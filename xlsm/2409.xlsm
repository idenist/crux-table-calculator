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00000000-0000-0000-0000-000000000000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윤승혁\OneDrive - 홍익대학교\바탕 화면\모의고사&amp;수능 관련\2024\고1\"/>
    </mc:Choice>
  </mc:AlternateContent>
  <xr:revisionPtr revIDLastSave="0" documentId="13_ncr:1_{E4F88051-960D-437E-9DDA-CCEC1E751C5C}" xr6:coauthVersionLast="47" xr6:coauthVersionMax="47" xr10:uidLastSave="{00000000-0000-0000-0000-000000000000}"/>
  <bookViews>
    <workbookView xWindow="-110" yWindow="-110" windowWidth="19420" windowHeight="11620" firstSheet="1" activeTab="3" xr2:uid="{AB9EE284-95EA-49B1-8133-EE4E7651E7F1}"/>
  </bookViews>
  <sheets>
    <sheet name="통계 및 응시자 수 입력 기능" sheetId="67" r:id="rId1"/>
    <sheet name="표점등급&amp;절평인원 입력기능" sheetId="66" r:id="rId2"/>
    <sheet name="인원 입력 기능" sheetId="64" r:id="rId3"/>
    <sheet name="국어" sheetId="2" r:id="rId4"/>
    <sheet name="수학" sheetId="5" r:id="rId5"/>
    <sheet name="영어" sheetId="6" r:id="rId6"/>
    <sheet name="한국사" sheetId="25" r:id="rId7"/>
    <sheet name="사회" sheetId="69" r:id="rId8"/>
    <sheet name="과학" sheetId="68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4" i="5" l="1"/>
  <c r="E104" i="5" s="1"/>
  <c r="G104" i="5"/>
  <c r="H104" i="5" s="1"/>
  <c r="I104" i="5"/>
  <c r="J104" i="5" s="1"/>
  <c r="E105" i="5"/>
  <c r="D99" i="2"/>
  <c r="J3" i="68"/>
  <c r="H4" i="68"/>
  <c r="H3" i="68"/>
  <c r="J3" i="69"/>
  <c r="H4" i="69"/>
  <c r="H3" i="69"/>
  <c r="F104" i="5" l="1"/>
  <c r="G105" i="5"/>
  <c r="H105" i="5" s="1"/>
  <c r="E15" i="68"/>
  <c r="F15" i="68" s="1"/>
  <c r="E9" i="68"/>
  <c r="F9" i="68" s="1"/>
  <c r="E10" i="68"/>
  <c r="F10" i="68" s="1"/>
  <c r="E11" i="68"/>
  <c r="F11" i="68" s="1"/>
  <c r="E12" i="68"/>
  <c r="F12" i="68" s="1"/>
  <c r="E13" i="68"/>
  <c r="F13" i="68" s="1"/>
  <c r="E14" i="68"/>
  <c r="F14" i="68" s="1"/>
  <c r="E8" i="68"/>
  <c r="F8" i="68" s="1"/>
  <c r="E7" i="68"/>
  <c r="F7" i="68" s="1"/>
  <c r="E15" i="69"/>
  <c r="F15" i="69" s="1"/>
  <c r="E14" i="69"/>
  <c r="F14" i="69" s="1"/>
  <c r="E9" i="69"/>
  <c r="F9" i="69" s="1"/>
  <c r="E10" i="69"/>
  <c r="F10" i="69" s="1"/>
  <c r="E11" i="69"/>
  <c r="F11" i="69" s="1"/>
  <c r="E12" i="69"/>
  <c r="F12" i="69" s="1"/>
  <c r="E13" i="69"/>
  <c r="F13" i="69" s="1"/>
  <c r="E8" i="69"/>
  <c r="F8" i="69" s="1"/>
  <c r="E7" i="69"/>
  <c r="F7" i="69" s="1"/>
  <c r="E15" i="25"/>
  <c r="E9" i="25"/>
  <c r="E10" i="25"/>
  <c r="E11" i="25"/>
  <c r="E12" i="25"/>
  <c r="E13" i="25"/>
  <c r="E14" i="25"/>
  <c r="E8" i="25"/>
  <c r="E7" i="25"/>
  <c r="E15" i="6"/>
  <c r="E14" i="6"/>
  <c r="E9" i="6"/>
  <c r="E10" i="6"/>
  <c r="E11" i="6"/>
  <c r="E12" i="6"/>
  <c r="E13" i="6"/>
  <c r="E8" i="6"/>
  <c r="E7" i="6"/>
  <c r="I105" i="5" l="1"/>
  <c r="G13" i="68"/>
  <c r="H13" i="68" s="1"/>
  <c r="G7" i="68"/>
  <c r="H7" i="68" s="1"/>
  <c r="G11" i="68"/>
  <c r="H11" i="68" s="1"/>
  <c r="G15" i="68"/>
  <c r="H15" i="68" s="1"/>
  <c r="G10" i="68"/>
  <c r="H10" i="68" s="1"/>
  <c r="G14" i="68"/>
  <c r="H14" i="68" s="1"/>
  <c r="G8" i="68"/>
  <c r="H8" i="68" s="1"/>
  <c r="G12" i="68"/>
  <c r="H12" i="68" s="1"/>
  <c r="G9" i="68"/>
  <c r="H9" i="68" s="1"/>
  <c r="G13" i="69"/>
  <c r="H13" i="69" s="1"/>
  <c r="G11" i="69"/>
  <c r="H11" i="69" s="1"/>
  <c r="G7" i="69"/>
  <c r="H7" i="69" s="1"/>
  <c r="G10" i="69"/>
  <c r="H10" i="69" s="1"/>
  <c r="G14" i="69"/>
  <c r="H14" i="69" s="1"/>
  <c r="G8" i="69"/>
  <c r="H8" i="69" s="1"/>
  <c r="G12" i="69"/>
  <c r="H12" i="69" s="1"/>
  <c r="G9" i="69"/>
  <c r="H9" i="69" s="1"/>
  <c r="G15" i="69"/>
  <c r="H15" i="69" s="1"/>
  <c r="J3" i="2"/>
  <c r="J3" i="5"/>
  <c r="J105" i="5" l="1"/>
  <c r="F105" i="5"/>
  <c r="Q8" i="5"/>
  <c r="Q9" i="5"/>
  <c r="Q10" i="5"/>
  <c r="Q11" i="5"/>
  <c r="Q12" i="5"/>
  <c r="Q13" i="5"/>
  <c r="Q14" i="5"/>
  <c r="Q7" i="5"/>
  <c r="Q8" i="2"/>
  <c r="Q9" i="2"/>
  <c r="Q10" i="2"/>
  <c r="Q11" i="2"/>
  <c r="Q12" i="2"/>
  <c r="Q13" i="2"/>
  <c r="Q14" i="2"/>
  <c r="Q7" i="2"/>
  <c r="J3" i="25"/>
  <c r="J3" i="6"/>
  <c r="H4" i="25"/>
  <c r="H4" i="6"/>
  <c r="H4" i="5"/>
  <c r="H4" i="2"/>
  <c r="H3" i="25"/>
  <c r="H3" i="6"/>
  <c r="H3" i="5"/>
  <c r="H3" i="2"/>
  <c r="D107" i="2" l="1"/>
  <c r="G107" i="2" s="1"/>
  <c r="H107" i="2" s="1"/>
  <c r="Q17" i="2"/>
  <c r="Q17" i="5"/>
  <c r="F9" i="6"/>
  <c r="F13" i="6"/>
  <c r="F10" i="6"/>
  <c r="F14" i="6"/>
  <c r="F8" i="6"/>
  <c r="F15" i="6"/>
  <c r="F11" i="6"/>
  <c r="F7" i="6"/>
  <c r="F12" i="6"/>
  <c r="F9" i="25"/>
  <c r="F13" i="25"/>
  <c r="F10" i="25"/>
  <c r="F14" i="25"/>
  <c r="F8" i="25"/>
  <c r="F7" i="25"/>
  <c r="F11" i="25"/>
  <c r="F15" i="25"/>
  <c r="F12" i="25"/>
  <c r="D102" i="5"/>
  <c r="D102" i="2"/>
  <c r="L102" i="2" s="1"/>
  <c r="L107" i="2" l="1"/>
  <c r="E102" i="5"/>
  <c r="L102" i="5"/>
  <c r="E102" i="2"/>
  <c r="G15" i="25"/>
  <c r="H15" i="25" s="1"/>
  <c r="G14" i="25"/>
  <c r="H14" i="25" s="1"/>
  <c r="G13" i="25"/>
  <c r="H13" i="25" s="1"/>
  <c r="G12" i="25"/>
  <c r="H12" i="25" s="1"/>
  <c r="G11" i="25"/>
  <c r="H11" i="25" s="1"/>
  <c r="G10" i="25"/>
  <c r="H10" i="25" s="1"/>
  <c r="G9" i="25"/>
  <c r="H9" i="25" s="1"/>
  <c r="G8" i="25"/>
  <c r="H8" i="25" s="1"/>
  <c r="G7" i="25"/>
  <c r="H7" i="25" s="1"/>
  <c r="D107" i="5" l="1"/>
  <c r="D10" i="5"/>
  <c r="L10" i="5" s="1"/>
  <c r="D11" i="5"/>
  <c r="D12" i="5"/>
  <c r="D13" i="5"/>
  <c r="L13" i="5" s="1"/>
  <c r="D14" i="5"/>
  <c r="L14" i="5" s="1"/>
  <c r="D16" i="5"/>
  <c r="L16" i="5" s="1"/>
  <c r="D17" i="5"/>
  <c r="L17" i="5" s="1"/>
  <c r="D18" i="5"/>
  <c r="L18" i="5" s="1"/>
  <c r="D19" i="5"/>
  <c r="D20" i="5"/>
  <c r="L20" i="5" s="1"/>
  <c r="L21" i="5"/>
  <c r="D22" i="5"/>
  <c r="L22" i="5" s="1"/>
  <c r="D23" i="5"/>
  <c r="D24" i="5"/>
  <c r="L24" i="5" s="1"/>
  <c r="D25" i="5"/>
  <c r="L25" i="5" s="1"/>
  <c r="D26" i="5"/>
  <c r="L26" i="5" s="1"/>
  <c r="D28" i="5"/>
  <c r="L28" i="5" s="1"/>
  <c r="D29" i="5"/>
  <c r="L29" i="5" s="1"/>
  <c r="D30" i="5"/>
  <c r="L30" i="5" s="1"/>
  <c r="D31" i="5"/>
  <c r="D32" i="5"/>
  <c r="L32" i="5" s="1"/>
  <c r="L33" i="5"/>
  <c r="D34" i="5"/>
  <c r="L34" i="5" s="1"/>
  <c r="D35" i="5"/>
  <c r="D36" i="5"/>
  <c r="L36" i="5" s="1"/>
  <c r="D37" i="5"/>
  <c r="L37" i="5" s="1"/>
  <c r="D38" i="5"/>
  <c r="L38" i="5" s="1"/>
  <c r="D40" i="5"/>
  <c r="L40" i="5" s="1"/>
  <c r="D41" i="5"/>
  <c r="L41" i="5" s="1"/>
  <c r="D42" i="5"/>
  <c r="L42" i="5" s="1"/>
  <c r="D43" i="5"/>
  <c r="D44" i="5"/>
  <c r="L44" i="5" s="1"/>
  <c r="L45" i="5"/>
  <c r="D46" i="5"/>
  <c r="L46" i="5" s="1"/>
  <c r="D47" i="5"/>
  <c r="D48" i="5"/>
  <c r="L48" i="5" s="1"/>
  <c r="D49" i="5"/>
  <c r="L49" i="5" s="1"/>
  <c r="D50" i="5"/>
  <c r="L50" i="5" s="1"/>
  <c r="D52" i="5"/>
  <c r="L52" i="5" s="1"/>
  <c r="D53" i="5"/>
  <c r="L53" i="5" s="1"/>
  <c r="D54" i="5"/>
  <c r="L54" i="5" s="1"/>
  <c r="D55" i="5"/>
  <c r="D56" i="5"/>
  <c r="L56" i="5" s="1"/>
  <c r="L57" i="5"/>
  <c r="D58" i="5"/>
  <c r="L58" i="5" s="1"/>
  <c r="D59" i="5"/>
  <c r="D60" i="5"/>
  <c r="L60" i="5" s="1"/>
  <c r="D61" i="5"/>
  <c r="L61" i="5" s="1"/>
  <c r="D62" i="5"/>
  <c r="L62" i="5" s="1"/>
  <c r="D64" i="5"/>
  <c r="L64" i="5" s="1"/>
  <c r="D65" i="5"/>
  <c r="L65" i="5" s="1"/>
  <c r="D66" i="5"/>
  <c r="L66" i="5" s="1"/>
  <c r="D67" i="5"/>
  <c r="D68" i="5"/>
  <c r="L68" i="5" s="1"/>
  <c r="L69" i="5"/>
  <c r="D70" i="5"/>
  <c r="L70" i="5" s="1"/>
  <c r="D71" i="5"/>
  <c r="D72" i="5"/>
  <c r="L72" i="5" s="1"/>
  <c r="D73" i="5"/>
  <c r="L73" i="5" s="1"/>
  <c r="D74" i="5"/>
  <c r="L74" i="5" s="1"/>
  <c r="D76" i="5"/>
  <c r="L76" i="5" s="1"/>
  <c r="D77" i="5"/>
  <c r="L77" i="5" s="1"/>
  <c r="D78" i="5"/>
  <c r="L78" i="5" s="1"/>
  <c r="D79" i="5"/>
  <c r="D80" i="5"/>
  <c r="L80" i="5" s="1"/>
  <c r="L81" i="5"/>
  <c r="D82" i="5"/>
  <c r="L82" i="5" s="1"/>
  <c r="D83" i="5"/>
  <c r="D84" i="5"/>
  <c r="L84" i="5" s="1"/>
  <c r="D85" i="5"/>
  <c r="L85" i="5" s="1"/>
  <c r="D86" i="5"/>
  <c r="L86" i="5" s="1"/>
  <c r="D88" i="5"/>
  <c r="L88" i="5" s="1"/>
  <c r="D89" i="5"/>
  <c r="L89" i="5" s="1"/>
  <c r="D90" i="5"/>
  <c r="L90" i="5" s="1"/>
  <c r="D91" i="5"/>
  <c r="D92" i="5"/>
  <c r="L92" i="5" s="1"/>
  <c r="L93" i="5"/>
  <c r="D94" i="5"/>
  <c r="L94" i="5" s="1"/>
  <c r="D95" i="5"/>
  <c r="D96" i="5"/>
  <c r="L96" i="5" s="1"/>
  <c r="D97" i="5"/>
  <c r="L97" i="5" s="1"/>
  <c r="D98" i="5"/>
  <c r="L98" i="5" s="1"/>
  <c r="D100" i="5"/>
  <c r="L100" i="5" s="1"/>
  <c r="D101" i="5"/>
  <c r="L101" i="5" s="1"/>
  <c r="D103" i="5"/>
  <c r="L105" i="5"/>
  <c r="D9" i="5"/>
  <c r="D7" i="5"/>
  <c r="G12" i="5" l="1"/>
  <c r="H12" i="5" s="1"/>
  <c r="L12" i="5"/>
  <c r="L104" i="5"/>
  <c r="L99" i="5"/>
  <c r="G95" i="5"/>
  <c r="H95" i="5" s="1"/>
  <c r="L95" i="5"/>
  <c r="G91" i="5"/>
  <c r="H91" i="5" s="1"/>
  <c r="L91" i="5"/>
  <c r="L87" i="5"/>
  <c r="G83" i="5"/>
  <c r="H83" i="5" s="1"/>
  <c r="L83" i="5"/>
  <c r="G79" i="5"/>
  <c r="H79" i="5" s="1"/>
  <c r="L79" i="5"/>
  <c r="L75" i="5"/>
  <c r="G71" i="5"/>
  <c r="H71" i="5" s="1"/>
  <c r="L71" i="5"/>
  <c r="G67" i="5"/>
  <c r="H67" i="5" s="1"/>
  <c r="L67" i="5"/>
  <c r="L63" i="5"/>
  <c r="G59" i="5"/>
  <c r="H59" i="5" s="1"/>
  <c r="L59" i="5"/>
  <c r="G55" i="5"/>
  <c r="H55" i="5" s="1"/>
  <c r="L55" i="5"/>
  <c r="L51" i="5"/>
  <c r="G47" i="5"/>
  <c r="H47" i="5" s="1"/>
  <c r="L47" i="5"/>
  <c r="G43" i="5"/>
  <c r="H43" i="5" s="1"/>
  <c r="L43" i="5"/>
  <c r="L39" i="5"/>
  <c r="G35" i="5"/>
  <c r="H35" i="5" s="1"/>
  <c r="L35" i="5"/>
  <c r="G31" i="5"/>
  <c r="H31" i="5" s="1"/>
  <c r="L31" i="5"/>
  <c r="L27" i="5"/>
  <c r="G23" i="5"/>
  <c r="H23" i="5" s="1"/>
  <c r="L23" i="5"/>
  <c r="G19" i="5"/>
  <c r="H19" i="5" s="1"/>
  <c r="L19" i="5"/>
  <c r="L15" i="5"/>
  <c r="G11" i="5"/>
  <c r="H11" i="5" s="1"/>
  <c r="L11" i="5"/>
  <c r="G7" i="5"/>
  <c r="H7" i="5" s="1"/>
  <c r="L7" i="5"/>
  <c r="G103" i="5"/>
  <c r="H103" i="5" s="1"/>
  <c r="L103" i="5"/>
  <c r="G9" i="5"/>
  <c r="H9" i="5" s="1"/>
  <c r="L9" i="5"/>
  <c r="G107" i="5"/>
  <c r="H107" i="5" s="1"/>
  <c r="L107" i="5"/>
  <c r="G80" i="5"/>
  <c r="H80" i="5" s="1"/>
  <c r="G76" i="5"/>
  <c r="H76" i="5" s="1"/>
  <c r="G72" i="5"/>
  <c r="H72" i="5" s="1"/>
  <c r="G68" i="5"/>
  <c r="H68" i="5" s="1"/>
  <c r="G64" i="5"/>
  <c r="H64" i="5" s="1"/>
  <c r="G60" i="5"/>
  <c r="H60" i="5" s="1"/>
  <c r="G56" i="5"/>
  <c r="H56" i="5" s="1"/>
  <c r="G52" i="5"/>
  <c r="H52" i="5" s="1"/>
  <c r="G48" i="5"/>
  <c r="H48" i="5" s="1"/>
  <c r="G44" i="5"/>
  <c r="H44" i="5" s="1"/>
  <c r="G40" i="5"/>
  <c r="H40" i="5" s="1"/>
  <c r="G36" i="5"/>
  <c r="H36" i="5" s="1"/>
  <c r="G32" i="5"/>
  <c r="H32" i="5" s="1"/>
  <c r="G28" i="5"/>
  <c r="H28" i="5" s="1"/>
  <c r="G24" i="5"/>
  <c r="H24" i="5" s="1"/>
  <c r="G20" i="5"/>
  <c r="H20" i="5" s="1"/>
  <c r="G16" i="5"/>
  <c r="H16" i="5" s="1"/>
  <c r="G100" i="5"/>
  <c r="H100" i="5" s="1"/>
  <c r="G96" i="5"/>
  <c r="H96" i="5" s="1"/>
  <c r="G92" i="5"/>
  <c r="H92" i="5" s="1"/>
  <c r="G88" i="5"/>
  <c r="H88" i="5" s="1"/>
  <c r="G84" i="5"/>
  <c r="H84" i="5" s="1"/>
  <c r="G98" i="5"/>
  <c r="H98" i="5" s="1"/>
  <c r="G94" i="5"/>
  <c r="H94" i="5" s="1"/>
  <c r="G90" i="5"/>
  <c r="H90" i="5" s="1"/>
  <c r="G86" i="5"/>
  <c r="H86" i="5" s="1"/>
  <c r="G82" i="5"/>
  <c r="H82" i="5" s="1"/>
  <c r="G78" i="5"/>
  <c r="H78" i="5" s="1"/>
  <c r="G74" i="5"/>
  <c r="H74" i="5" s="1"/>
  <c r="G70" i="5"/>
  <c r="H70" i="5" s="1"/>
  <c r="G66" i="5"/>
  <c r="H66" i="5" s="1"/>
  <c r="G62" i="5"/>
  <c r="H62" i="5" s="1"/>
  <c r="G58" i="5"/>
  <c r="H58" i="5" s="1"/>
  <c r="G54" i="5"/>
  <c r="H54" i="5" s="1"/>
  <c r="G50" i="5"/>
  <c r="H50" i="5" s="1"/>
  <c r="G46" i="5"/>
  <c r="H46" i="5" s="1"/>
  <c r="G42" i="5"/>
  <c r="H42" i="5" s="1"/>
  <c r="G38" i="5"/>
  <c r="H38" i="5" s="1"/>
  <c r="G34" i="5"/>
  <c r="H34" i="5" s="1"/>
  <c r="G30" i="5"/>
  <c r="H30" i="5" s="1"/>
  <c r="G26" i="5"/>
  <c r="H26" i="5" s="1"/>
  <c r="G22" i="5"/>
  <c r="H22" i="5" s="1"/>
  <c r="G18" i="5"/>
  <c r="H18" i="5" s="1"/>
  <c r="G14" i="5"/>
  <c r="H14" i="5" s="1"/>
  <c r="G10" i="5"/>
  <c r="H10" i="5" s="1"/>
  <c r="G101" i="5"/>
  <c r="H101" i="5" s="1"/>
  <c r="G102" i="5"/>
  <c r="H102" i="5" s="1"/>
  <c r="G97" i="5"/>
  <c r="H97" i="5" s="1"/>
  <c r="G89" i="5"/>
  <c r="H89" i="5" s="1"/>
  <c r="G85" i="5"/>
  <c r="H85" i="5" s="1"/>
  <c r="G77" i="5"/>
  <c r="H77" i="5" s="1"/>
  <c r="G73" i="5"/>
  <c r="H73" i="5" s="1"/>
  <c r="G65" i="5"/>
  <c r="H65" i="5" s="1"/>
  <c r="G61" i="5"/>
  <c r="H61" i="5" s="1"/>
  <c r="G53" i="5"/>
  <c r="H53" i="5" s="1"/>
  <c r="G49" i="5"/>
  <c r="H49" i="5" s="1"/>
  <c r="G41" i="5"/>
  <c r="H41" i="5" s="1"/>
  <c r="G37" i="5"/>
  <c r="H37" i="5" s="1"/>
  <c r="G29" i="5"/>
  <c r="H29" i="5" s="1"/>
  <c r="G25" i="5"/>
  <c r="H25" i="5" s="1"/>
  <c r="G17" i="5"/>
  <c r="H17" i="5" s="1"/>
  <c r="G13" i="5"/>
  <c r="H13" i="5" s="1"/>
  <c r="E96" i="5"/>
  <c r="E84" i="5"/>
  <c r="E72" i="5"/>
  <c r="E60" i="5"/>
  <c r="E48" i="5"/>
  <c r="E36" i="5"/>
  <c r="E24" i="5"/>
  <c r="E12" i="5"/>
  <c r="E7" i="5"/>
  <c r="E103" i="5"/>
  <c r="E95" i="5"/>
  <c r="E91" i="5"/>
  <c r="E83" i="5"/>
  <c r="E79" i="5"/>
  <c r="E71" i="5"/>
  <c r="E67" i="5"/>
  <c r="E59" i="5"/>
  <c r="E55" i="5"/>
  <c r="E47" i="5"/>
  <c r="E43" i="5"/>
  <c r="E35" i="5"/>
  <c r="E31" i="5"/>
  <c r="E23" i="5"/>
  <c r="E19" i="5"/>
  <c r="E11" i="5"/>
  <c r="E92" i="5"/>
  <c r="E76" i="5"/>
  <c r="E64" i="5"/>
  <c r="E52" i="5"/>
  <c r="E40" i="5"/>
  <c r="E28" i="5"/>
  <c r="E16" i="5"/>
  <c r="E9" i="5"/>
  <c r="E98" i="5"/>
  <c r="E94" i="5"/>
  <c r="E90" i="5"/>
  <c r="E86" i="5"/>
  <c r="E82" i="5"/>
  <c r="E78" i="5"/>
  <c r="E74" i="5"/>
  <c r="E70" i="5"/>
  <c r="E66" i="5"/>
  <c r="E62" i="5"/>
  <c r="E58" i="5"/>
  <c r="E54" i="5"/>
  <c r="E50" i="5"/>
  <c r="E46" i="5"/>
  <c r="E42" i="5"/>
  <c r="E38" i="5"/>
  <c r="E34" i="5"/>
  <c r="E30" i="5"/>
  <c r="E26" i="5"/>
  <c r="E22" i="5"/>
  <c r="E18" i="5"/>
  <c r="E14" i="5"/>
  <c r="E10" i="5"/>
  <c r="E100" i="5"/>
  <c r="E88" i="5"/>
  <c r="E80" i="5"/>
  <c r="E68" i="5"/>
  <c r="E56" i="5"/>
  <c r="E44" i="5"/>
  <c r="E32" i="5"/>
  <c r="E20" i="5"/>
  <c r="E101" i="5"/>
  <c r="E97" i="5"/>
  <c r="E89" i="5"/>
  <c r="E85" i="5"/>
  <c r="E77" i="5"/>
  <c r="E73" i="5"/>
  <c r="E65" i="5"/>
  <c r="E61" i="5"/>
  <c r="E53" i="5"/>
  <c r="E49" i="5"/>
  <c r="E41" i="5"/>
  <c r="E37" i="5"/>
  <c r="E29" i="5"/>
  <c r="E25" i="5"/>
  <c r="E17" i="5"/>
  <c r="E13" i="5"/>
  <c r="E107" i="5"/>
  <c r="D10" i="2"/>
  <c r="L10" i="2" s="1"/>
  <c r="D11" i="2"/>
  <c r="L11" i="2" s="1"/>
  <c r="D12" i="2"/>
  <c r="L12" i="2" s="1"/>
  <c r="D13" i="2"/>
  <c r="L13" i="2" s="1"/>
  <c r="D14" i="2"/>
  <c r="L14" i="2" s="1"/>
  <c r="D15" i="2"/>
  <c r="L15" i="2" s="1"/>
  <c r="D16" i="2"/>
  <c r="L16" i="2" s="1"/>
  <c r="D17" i="2"/>
  <c r="L17" i="2" s="1"/>
  <c r="L18" i="2"/>
  <c r="D19" i="2"/>
  <c r="L19" i="2" s="1"/>
  <c r="D20" i="2"/>
  <c r="L20" i="2" s="1"/>
  <c r="D21" i="2"/>
  <c r="L21" i="2" s="1"/>
  <c r="D22" i="2"/>
  <c r="L22" i="2" s="1"/>
  <c r="D23" i="2"/>
  <c r="L23" i="2" s="1"/>
  <c r="D24" i="2"/>
  <c r="L24" i="2" s="1"/>
  <c r="D25" i="2"/>
  <c r="L25" i="2" s="1"/>
  <c r="D26" i="2"/>
  <c r="L26" i="2" s="1"/>
  <c r="D27" i="2"/>
  <c r="L27" i="2" s="1"/>
  <c r="D28" i="2"/>
  <c r="L28" i="2" s="1"/>
  <c r="D29" i="2"/>
  <c r="L29" i="2" s="1"/>
  <c r="D30" i="2"/>
  <c r="L30" i="2" s="1"/>
  <c r="D31" i="2"/>
  <c r="L31" i="2" s="1"/>
  <c r="D32" i="2"/>
  <c r="L32" i="2" s="1"/>
  <c r="D33" i="2"/>
  <c r="L33" i="2" s="1"/>
  <c r="D34" i="2"/>
  <c r="L34" i="2" s="1"/>
  <c r="D35" i="2"/>
  <c r="L35" i="2" s="1"/>
  <c r="D36" i="2"/>
  <c r="L36" i="2" s="1"/>
  <c r="D37" i="2"/>
  <c r="L37" i="2" s="1"/>
  <c r="L38" i="2"/>
  <c r="D39" i="2"/>
  <c r="L39" i="2" s="1"/>
  <c r="D40" i="2"/>
  <c r="L40" i="2" s="1"/>
  <c r="D41" i="2"/>
  <c r="L41" i="2" s="1"/>
  <c r="D42" i="2"/>
  <c r="L42" i="2" s="1"/>
  <c r="D43" i="2"/>
  <c r="L43" i="2" s="1"/>
  <c r="D44" i="2"/>
  <c r="L44" i="2" s="1"/>
  <c r="D45" i="2"/>
  <c r="L45" i="2" s="1"/>
  <c r="D46" i="2"/>
  <c r="L46" i="2" s="1"/>
  <c r="D47" i="2"/>
  <c r="L47" i="2" s="1"/>
  <c r="D48" i="2"/>
  <c r="L48" i="2" s="1"/>
  <c r="D49" i="2"/>
  <c r="L49" i="2" s="1"/>
  <c r="D50" i="2"/>
  <c r="L50" i="2" s="1"/>
  <c r="D51" i="2"/>
  <c r="L51" i="2" s="1"/>
  <c r="D52" i="2"/>
  <c r="L52" i="2" s="1"/>
  <c r="D53" i="2"/>
  <c r="L53" i="2" s="1"/>
  <c r="D54" i="2"/>
  <c r="L54" i="2" s="1"/>
  <c r="D55" i="2"/>
  <c r="L55" i="2" s="1"/>
  <c r="D56" i="2"/>
  <c r="L56" i="2" s="1"/>
  <c r="D57" i="2"/>
  <c r="L57" i="2" s="1"/>
  <c r="L58" i="2"/>
  <c r="D59" i="2"/>
  <c r="L59" i="2" s="1"/>
  <c r="D60" i="2"/>
  <c r="L60" i="2" s="1"/>
  <c r="D61" i="2"/>
  <c r="L61" i="2" s="1"/>
  <c r="D62" i="2"/>
  <c r="L62" i="2" s="1"/>
  <c r="D63" i="2"/>
  <c r="L63" i="2" s="1"/>
  <c r="D64" i="2"/>
  <c r="L64" i="2" s="1"/>
  <c r="D65" i="2"/>
  <c r="L65" i="2" s="1"/>
  <c r="D66" i="2"/>
  <c r="L66" i="2" s="1"/>
  <c r="D67" i="2"/>
  <c r="L67" i="2" s="1"/>
  <c r="D68" i="2"/>
  <c r="L68" i="2" s="1"/>
  <c r="D69" i="2"/>
  <c r="L69" i="2" s="1"/>
  <c r="D70" i="2"/>
  <c r="L70" i="2" s="1"/>
  <c r="D71" i="2"/>
  <c r="L71" i="2" s="1"/>
  <c r="D72" i="2"/>
  <c r="L72" i="2" s="1"/>
  <c r="D73" i="2"/>
  <c r="L73" i="2" s="1"/>
  <c r="D74" i="2"/>
  <c r="L74" i="2" s="1"/>
  <c r="D75" i="2"/>
  <c r="L75" i="2" s="1"/>
  <c r="D76" i="2"/>
  <c r="L76" i="2" s="1"/>
  <c r="D77" i="2"/>
  <c r="L77" i="2" s="1"/>
  <c r="L78" i="2"/>
  <c r="D79" i="2"/>
  <c r="L79" i="2" s="1"/>
  <c r="D80" i="2"/>
  <c r="L80" i="2" s="1"/>
  <c r="D81" i="2"/>
  <c r="L81" i="2" s="1"/>
  <c r="D82" i="2"/>
  <c r="L82" i="2" s="1"/>
  <c r="D83" i="2"/>
  <c r="L83" i="2" s="1"/>
  <c r="D84" i="2"/>
  <c r="L84" i="2" s="1"/>
  <c r="D85" i="2"/>
  <c r="L85" i="2" s="1"/>
  <c r="D86" i="2"/>
  <c r="L86" i="2" s="1"/>
  <c r="D87" i="2"/>
  <c r="L87" i="2" s="1"/>
  <c r="D88" i="2"/>
  <c r="L88" i="2" s="1"/>
  <c r="D89" i="2"/>
  <c r="L89" i="2" s="1"/>
  <c r="D90" i="2"/>
  <c r="L90" i="2" s="1"/>
  <c r="D91" i="2"/>
  <c r="L91" i="2" s="1"/>
  <c r="D92" i="2"/>
  <c r="L92" i="2" s="1"/>
  <c r="D93" i="2"/>
  <c r="L93" i="2" s="1"/>
  <c r="D94" i="2"/>
  <c r="L94" i="2" s="1"/>
  <c r="D95" i="2"/>
  <c r="L95" i="2" s="1"/>
  <c r="D96" i="2"/>
  <c r="L96" i="2" s="1"/>
  <c r="D97" i="2"/>
  <c r="L97" i="2" s="1"/>
  <c r="L98" i="2"/>
  <c r="L99" i="2"/>
  <c r="D100" i="2"/>
  <c r="L100" i="2" s="1"/>
  <c r="D101" i="2"/>
  <c r="L101" i="2" s="1"/>
  <c r="D103" i="2"/>
  <c r="D104" i="2"/>
  <c r="L104" i="2" s="1"/>
  <c r="D105" i="2"/>
  <c r="L105" i="2" s="1"/>
  <c r="D9" i="2"/>
  <c r="D7" i="2"/>
  <c r="G7" i="2" l="1"/>
  <c r="H7" i="2" s="1"/>
  <c r="L7" i="2"/>
  <c r="G103" i="2"/>
  <c r="H103" i="2" s="1"/>
  <c r="L103" i="2"/>
  <c r="G9" i="2"/>
  <c r="H9" i="2" s="1"/>
  <c r="L9" i="2"/>
  <c r="G104" i="2"/>
  <c r="H104" i="2" s="1"/>
  <c r="G99" i="2"/>
  <c r="H99" i="2" s="1"/>
  <c r="G95" i="2"/>
  <c r="H95" i="2" s="1"/>
  <c r="G91" i="2"/>
  <c r="H91" i="2" s="1"/>
  <c r="G87" i="2"/>
  <c r="H87" i="2" s="1"/>
  <c r="G83" i="2"/>
  <c r="H83" i="2" s="1"/>
  <c r="G79" i="2"/>
  <c r="H79" i="2" s="1"/>
  <c r="G75" i="2"/>
  <c r="H75" i="2" s="1"/>
  <c r="G71" i="2"/>
  <c r="H71" i="2" s="1"/>
  <c r="G67" i="2"/>
  <c r="H67" i="2" s="1"/>
  <c r="G63" i="2"/>
  <c r="H63" i="2" s="1"/>
  <c r="G59" i="2"/>
  <c r="H59" i="2" s="1"/>
  <c r="G55" i="2"/>
  <c r="H55" i="2" s="1"/>
  <c r="G51" i="2"/>
  <c r="H51" i="2" s="1"/>
  <c r="G47" i="2"/>
  <c r="H47" i="2" s="1"/>
  <c r="G43" i="2"/>
  <c r="H43" i="2" s="1"/>
  <c r="G39" i="2"/>
  <c r="H39" i="2" s="1"/>
  <c r="G35" i="2"/>
  <c r="H35" i="2" s="1"/>
  <c r="G31" i="2"/>
  <c r="H31" i="2" s="1"/>
  <c r="G27" i="2"/>
  <c r="H27" i="2" s="1"/>
  <c r="G23" i="2"/>
  <c r="H23" i="2" s="1"/>
  <c r="G19" i="2"/>
  <c r="H19" i="2" s="1"/>
  <c r="G15" i="2"/>
  <c r="H15" i="2" s="1"/>
  <c r="G11" i="2"/>
  <c r="H11" i="2" s="1"/>
  <c r="G97" i="2"/>
  <c r="H97" i="2" s="1"/>
  <c r="G93" i="2"/>
  <c r="H93" i="2" s="1"/>
  <c r="G89" i="2"/>
  <c r="H89" i="2" s="1"/>
  <c r="G85" i="2"/>
  <c r="H85" i="2" s="1"/>
  <c r="G81" i="2"/>
  <c r="H81" i="2" s="1"/>
  <c r="G77" i="2"/>
  <c r="H77" i="2" s="1"/>
  <c r="G69" i="2"/>
  <c r="H69" i="2" s="1"/>
  <c r="G65" i="2"/>
  <c r="H65" i="2" s="1"/>
  <c r="G61" i="2"/>
  <c r="H61" i="2" s="1"/>
  <c r="G57" i="2"/>
  <c r="H57" i="2" s="1"/>
  <c r="G53" i="2"/>
  <c r="H53" i="2" s="1"/>
  <c r="G49" i="2"/>
  <c r="H49" i="2" s="1"/>
  <c r="G45" i="2"/>
  <c r="H45" i="2" s="1"/>
  <c r="G41" i="2"/>
  <c r="H41" i="2" s="1"/>
  <c r="G37" i="2"/>
  <c r="H37" i="2" s="1"/>
  <c r="G33" i="2"/>
  <c r="H33" i="2" s="1"/>
  <c r="G29" i="2"/>
  <c r="H29" i="2" s="1"/>
  <c r="G25" i="2"/>
  <c r="H25" i="2" s="1"/>
  <c r="G21" i="2"/>
  <c r="H21" i="2" s="1"/>
  <c r="G17" i="2"/>
  <c r="H17" i="2" s="1"/>
  <c r="G13" i="2"/>
  <c r="H13" i="2" s="1"/>
  <c r="G73" i="2"/>
  <c r="H73" i="2" s="1"/>
  <c r="G94" i="2"/>
  <c r="H94" i="2" s="1"/>
  <c r="G90" i="2"/>
  <c r="H90" i="2" s="1"/>
  <c r="G86" i="2"/>
  <c r="H86" i="2" s="1"/>
  <c r="G82" i="2"/>
  <c r="H82" i="2" s="1"/>
  <c r="G74" i="2"/>
  <c r="H74" i="2" s="1"/>
  <c r="G70" i="2"/>
  <c r="H70" i="2" s="1"/>
  <c r="G66" i="2"/>
  <c r="H66" i="2" s="1"/>
  <c r="G62" i="2"/>
  <c r="H62" i="2" s="1"/>
  <c r="G54" i="2"/>
  <c r="H54" i="2" s="1"/>
  <c r="G50" i="2"/>
  <c r="H50" i="2" s="1"/>
  <c r="G46" i="2"/>
  <c r="H46" i="2" s="1"/>
  <c r="G42" i="2"/>
  <c r="H42" i="2" s="1"/>
  <c r="G34" i="2"/>
  <c r="H34" i="2" s="1"/>
  <c r="G30" i="2"/>
  <c r="H30" i="2" s="1"/>
  <c r="G26" i="2"/>
  <c r="H26" i="2" s="1"/>
  <c r="G22" i="2"/>
  <c r="H22" i="2" s="1"/>
  <c r="G14" i="2"/>
  <c r="H14" i="2" s="1"/>
  <c r="G10" i="2"/>
  <c r="H10" i="2" s="1"/>
  <c r="G101" i="2"/>
  <c r="H101" i="2" s="1"/>
  <c r="G102" i="2"/>
  <c r="H102" i="2" s="1"/>
  <c r="G105" i="2"/>
  <c r="H105" i="2" s="1"/>
  <c r="G100" i="2"/>
  <c r="H100" i="2" s="1"/>
  <c r="G96" i="2"/>
  <c r="H96" i="2" s="1"/>
  <c r="G92" i="2"/>
  <c r="H92" i="2" s="1"/>
  <c r="G88" i="2"/>
  <c r="H88" i="2" s="1"/>
  <c r="G84" i="2"/>
  <c r="H84" i="2" s="1"/>
  <c r="G80" i="2"/>
  <c r="H80" i="2" s="1"/>
  <c r="G76" i="2"/>
  <c r="H76" i="2" s="1"/>
  <c r="G72" i="2"/>
  <c r="H72" i="2" s="1"/>
  <c r="G68" i="2"/>
  <c r="H68" i="2" s="1"/>
  <c r="G64" i="2"/>
  <c r="H64" i="2" s="1"/>
  <c r="G60" i="2"/>
  <c r="H60" i="2" s="1"/>
  <c r="G56" i="2"/>
  <c r="H56" i="2" s="1"/>
  <c r="G52" i="2"/>
  <c r="H52" i="2" s="1"/>
  <c r="G48" i="2"/>
  <c r="H48" i="2" s="1"/>
  <c r="G44" i="2"/>
  <c r="H44" i="2" s="1"/>
  <c r="G40" i="2"/>
  <c r="H40" i="2" s="1"/>
  <c r="G36" i="2"/>
  <c r="H36" i="2" s="1"/>
  <c r="G32" i="2"/>
  <c r="H32" i="2" s="1"/>
  <c r="G28" i="2"/>
  <c r="H28" i="2" s="1"/>
  <c r="G24" i="2"/>
  <c r="H24" i="2" s="1"/>
  <c r="G20" i="2"/>
  <c r="H20" i="2" s="1"/>
  <c r="G16" i="2"/>
  <c r="H16" i="2" s="1"/>
  <c r="G12" i="2"/>
  <c r="H12" i="2" s="1"/>
  <c r="I102" i="5"/>
  <c r="J102" i="5" s="1"/>
  <c r="G15" i="6"/>
  <c r="H15" i="6" s="1"/>
  <c r="G14" i="6"/>
  <c r="H14" i="6" s="1"/>
  <c r="G13" i="6"/>
  <c r="H13" i="6" s="1"/>
  <c r="G12" i="6"/>
  <c r="H12" i="6" s="1"/>
  <c r="G11" i="6"/>
  <c r="H11" i="6" s="1"/>
  <c r="G10" i="6"/>
  <c r="H10" i="6" s="1"/>
  <c r="G9" i="6"/>
  <c r="H9" i="6" s="1"/>
  <c r="G8" i="6"/>
  <c r="H8" i="6" s="1"/>
  <c r="G7" i="6"/>
  <c r="H7" i="6" s="1"/>
  <c r="I102" i="2" l="1"/>
  <c r="J102" i="2" s="1"/>
  <c r="I14" i="2"/>
  <c r="J14" i="2" s="1"/>
  <c r="I27" i="2"/>
  <c r="J27" i="2" s="1"/>
  <c r="I107" i="5"/>
  <c r="J107" i="5" s="1"/>
  <c r="I103" i="5"/>
  <c r="J103" i="5" s="1"/>
  <c r="I101" i="5"/>
  <c r="J101" i="5" s="1"/>
  <c r="I100" i="5"/>
  <c r="J100" i="5" s="1"/>
  <c r="I98" i="5"/>
  <c r="J98" i="5" s="1"/>
  <c r="I97" i="5"/>
  <c r="J97" i="5" s="1"/>
  <c r="I96" i="5"/>
  <c r="J96" i="5" s="1"/>
  <c r="I95" i="5"/>
  <c r="J95" i="5" s="1"/>
  <c r="I94" i="5"/>
  <c r="J94" i="5" s="1"/>
  <c r="I92" i="5"/>
  <c r="J92" i="5" s="1"/>
  <c r="I91" i="5"/>
  <c r="J91" i="5" s="1"/>
  <c r="I90" i="5"/>
  <c r="J90" i="5" s="1"/>
  <c r="I89" i="5"/>
  <c r="J89" i="5" s="1"/>
  <c r="I88" i="5"/>
  <c r="J88" i="5" s="1"/>
  <c r="I86" i="5"/>
  <c r="J86" i="5" s="1"/>
  <c r="I85" i="5"/>
  <c r="J85" i="5" s="1"/>
  <c r="I84" i="5"/>
  <c r="J84" i="5" s="1"/>
  <c r="I83" i="5"/>
  <c r="J83" i="5" s="1"/>
  <c r="I82" i="5"/>
  <c r="J82" i="5" s="1"/>
  <c r="I80" i="5"/>
  <c r="J80" i="5" s="1"/>
  <c r="I79" i="5"/>
  <c r="J79" i="5" s="1"/>
  <c r="I78" i="5"/>
  <c r="J78" i="5" s="1"/>
  <c r="I77" i="5"/>
  <c r="J77" i="5" s="1"/>
  <c r="I76" i="5"/>
  <c r="J76" i="5" s="1"/>
  <c r="I74" i="5"/>
  <c r="J74" i="5" s="1"/>
  <c r="I73" i="5"/>
  <c r="J73" i="5" s="1"/>
  <c r="I72" i="5"/>
  <c r="J72" i="5" s="1"/>
  <c r="I71" i="5"/>
  <c r="J71" i="5" s="1"/>
  <c r="I70" i="5"/>
  <c r="J70" i="5" s="1"/>
  <c r="I68" i="5"/>
  <c r="J68" i="5" s="1"/>
  <c r="I67" i="5"/>
  <c r="J67" i="5" s="1"/>
  <c r="I66" i="5"/>
  <c r="J66" i="5" s="1"/>
  <c r="I65" i="5"/>
  <c r="J65" i="5" s="1"/>
  <c r="I64" i="5"/>
  <c r="J64" i="5" s="1"/>
  <c r="I62" i="5"/>
  <c r="J62" i="5" s="1"/>
  <c r="I61" i="5"/>
  <c r="J61" i="5" s="1"/>
  <c r="I60" i="5"/>
  <c r="J60" i="5" s="1"/>
  <c r="I59" i="5"/>
  <c r="J59" i="5" s="1"/>
  <c r="I58" i="5"/>
  <c r="J58" i="5" s="1"/>
  <c r="I56" i="5"/>
  <c r="J56" i="5" s="1"/>
  <c r="I55" i="5"/>
  <c r="J55" i="5" s="1"/>
  <c r="I54" i="5"/>
  <c r="J54" i="5" s="1"/>
  <c r="I53" i="5"/>
  <c r="J53" i="5" s="1"/>
  <c r="I52" i="5"/>
  <c r="J52" i="5" s="1"/>
  <c r="I50" i="5"/>
  <c r="J50" i="5" s="1"/>
  <c r="I49" i="5"/>
  <c r="J49" i="5" s="1"/>
  <c r="I48" i="5"/>
  <c r="J48" i="5" s="1"/>
  <c r="I47" i="5"/>
  <c r="J47" i="5" s="1"/>
  <c r="I46" i="5"/>
  <c r="J46" i="5" s="1"/>
  <c r="I44" i="5"/>
  <c r="J44" i="5" s="1"/>
  <c r="I43" i="5"/>
  <c r="J43" i="5" s="1"/>
  <c r="I42" i="5"/>
  <c r="J42" i="5" s="1"/>
  <c r="I41" i="5"/>
  <c r="J41" i="5" s="1"/>
  <c r="I40" i="5"/>
  <c r="J40" i="5" s="1"/>
  <c r="I38" i="5"/>
  <c r="J38" i="5" s="1"/>
  <c r="I37" i="5"/>
  <c r="J37" i="5" s="1"/>
  <c r="I36" i="5"/>
  <c r="J36" i="5" s="1"/>
  <c r="I35" i="5"/>
  <c r="J35" i="5" s="1"/>
  <c r="I34" i="5"/>
  <c r="J34" i="5" s="1"/>
  <c r="I32" i="5"/>
  <c r="J32" i="5" s="1"/>
  <c r="I31" i="5"/>
  <c r="J31" i="5" s="1"/>
  <c r="I30" i="5"/>
  <c r="J30" i="5" s="1"/>
  <c r="I29" i="5"/>
  <c r="J29" i="5" s="1"/>
  <c r="I28" i="5"/>
  <c r="J28" i="5" s="1"/>
  <c r="I26" i="5"/>
  <c r="J26" i="5" s="1"/>
  <c r="I25" i="5"/>
  <c r="J25" i="5" s="1"/>
  <c r="I24" i="5"/>
  <c r="J24" i="5" s="1"/>
  <c r="I23" i="5"/>
  <c r="J23" i="5" s="1"/>
  <c r="I22" i="5"/>
  <c r="J22" i="5" s="1"/>
  <c r="I20" i="5"/>
  <c r="J20" i="5" s="1"/>
  <c r="I19" i="5"/>
  <c r="J19" i="5" s="1"/>
  <c r="I18" i="5"/>
  <c r="J18" i="5" s="1"/>
  <c r="I17" i="5"/>
  <c r="J17" i="5" s="1"/>
  <c r="I16" i="5"/>
  <c r="J16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7" i="5"/>
  <c r="E7" i="2"/>
  <c r="I7" i="2"/>
  <c r="E9" i="2"/>
  <c r="I9" i="2"/>
  <c r="J9" i="2" s="1"/>
  <c r="E10" i="2"/>
  <c r="I10" i="2"/>
  <c r="J10" i="2" s="1"/>
  <c r="E11" i="2"/>
  <c r="I11" i="2"/>
  <c r="J11" i="2" s="1"/>
  <c r="E12" i="2"/>
  <c r="I12" i="2"/>
  <c r="J12" i="2" s="1"/>
  <c r="E13" i="2"/>
  <c r="I13" i="2"/>
  <c r="J13" i="2" s="1"/>
  <c r="E14" i="2"/>
  <c r="E15" i="2"/>
  <c r="I15" i="2"/>
  <c r="J15" i="2" s="1"/>
  <c r="E16" i="2"/>
  <c r="I16" i="2"/>
  <c r="J16" i="2" s="1"/>
  <c r="E17" i="2"/>
  <c r="I17" i="2"/>
  <c r="J17" i="2" s="1"/>
  <c r="E19" i="2"/>
  <c r="I19" i="2"/>
  <c r="J19" i="2" s="1"/>
  <c r="E20" i="2"/>
  <c r="I20" i="2"/>
  <c r="J20" i="2" s="1"/>
  <c r="E21" i="2"/>
  <c r="I21" i="2"/>
  <c r="J21" i="2" s="1"/>
  <c r="E22" i="2"/>
  <c r="I22" i="2"/>
  <c r="J22" i="2" s="1"/>
  <c r="E23" i="2"/>
  <c r="I23" i="2"/>
  <c r="J23" i="2" s="1"/>
  <c r="E24" i="2"/>
  <c r="I24" i="2"/>
  <c r="J24" i="2" s="1"/>
  <c r="E25" i="2"/>
  <c r="I25" i="2"/>
  <c r="J25" i="2" s="1"/>
  <c r="E26" i="2"/>
  <c r="I26" i="2"/>
  <c r="J26" i="2" s="1"/>
  <c r="E27" i="2"/>
  <c r="E28" i="2"/>
  <c r="I28" i="2"/>
  <c r="J28" i="2" s="1"/>
  <c r="E29" i="2"/>
  <c r="I29" i="2"/>
  <c r="J29" i="2" s="1"/>
  <c r="E30" i="2"/>
  <c r="I30" i="2"/>
  <c r="J30" i="2" s="1"/>
  <c r="E31" i="2"/>
  <c r="I31" i="2"/>
  <c r="J31" i="2" s="1"/>
  <c r="E32" i="2"/>
  <c r="I32" i="2"/>
  <c r="J32" i="2" s="1"/>
  <c r="E33" i="2"/>
  <c r="I33" i="2"/>
  <c r="J33" i="2" s="1"/>
  <c r="E34" i="2"/>
  <c r="I34" i="2"/>
  <c r="J34" i="2" s="1"/>
  <c r="E35" i="2"/>
  <c r="I35" i="2"/>
  <c r="J35" i="2" s="1"/>
  <c r="E36" i="2"/>
  <c r="I36" i="2"/>
  <c r="J36" i="2" s="1"/>
  <c r="E37" i="2"/>
  <c r="I37" i="2"/>
  <c r="J37" i="2" s="1"/>
  <c r="E39" i="2"/>
  <c r="I39" i="2"/>
  <c r="J39" i="2" s="1"/>
  <c r="E40" i="2"/>
  <c r="I40" i="2"/>
  <c r="J40" i="2" s="1"/>
  <c r="E41" i="2"/>
  <c r="I41" i="2"/>
  <c r="J41" i="2" s="1"/>
  <c r="E42" i="2"/>
  <c r="I42" i="2"/>
  <c r="J42" i="2" s="1"/>
  <c r="E43" i="2"/>
  <c r="I43" i="2"/>
  <c r="J43" i="2" s="1"/>
  <c r="E44" i="2"/>
  <c r="I44" i="2"/>
  <c r="J44" i="2" s="1"/>
  <c r="E45" i="2"/>
  <c r="I45" i="2"/>
  <c r="J45" i="2" s="1"/>
  <c r="E46" i="2"/>
  <c r="I46" i="2"/>
  <c r="J46" i="2" s="1"/>
  <c r="E47" i="2"/>
  <c r="I47" i="2"/>
  <c r="J47" i="2" s="1"/>
  <c r="E48" i="2"/>
  <c r="I48" i="2"/>
  <c r="J48" i="2" s="1"/>
  <c r="E49" i="2"/>
  <c r="I49" i="2"/>
  <c r="J49" i="2" s="1"/>
  <c r="E50" i="2"/>
  <c r="I50" i="2"/>
  <c r="J50" i="2" s="1"/>
  <c r="E51" i="2"/>
  <c r="I51" i="2"/>
  <c r="J51" i="2" s="1"/>
  <c r="E52" i="2"/>
  <c r="I52" i="2"/>
  <c r="J52" i="2" s="1"/>
  <c r="E53" i="2"/>
  <c r="I53" i="2"/>
  <c r="J53" i="2" s="1"/>
  <c r="E54" i="2"/>
  <c r="I54" i="2"/>
  <c r="J54" i="2" s="1"/>
  <c r="E55" i="2"/>
  <c r="I55" i="2"/>
  <c r="J55" i="2" s="1"/>
  <c r="E56" i="2"/>
  <c r="I56" i="2"/>
  <c r="J56" i="2" s="1"/>
  <c r="E57" i="2"/>
  <c r="I57" i="2"/>
  <c r="J57" i="2" s="1"/>
  <c r="E59" i="2"/>
  <c r="I59" i="2"/>
  <c r="J59" i="2" s="1"/>
  <c r="E60" i="2"/>
  <c r="I60" i="2"/>
  <c r="J60" i="2" s="1"/>
  <c r="E61" i="2"/>
  <c r="I61" i="2"/>
  <c r="J61" i="2" s="1"/>
  <c r="E62" i="2"/>
  <c r="I62" i="2"/>
  <c r="J62" i="2" s="1"/>
  <c r="E63" i="2"/>
  <c r="I63" i="2"/>
  <c r="J63" i="2" s="1"/>
  <c r="E64" i="2"/>
  <c r="I64" i="2"/>
  <c r="J64" i="2" s="1"/>
  <c r="E65" i="2"/>
  <c r="I65" i="2"/>
  <c r="J65" i="2" s="1"/>
  <c r="E66" i="2"/>
  <c r="I66" i="2"/>
  <c r="J66" i="2" s="1"/>
  <c r="E67" i="2"/>
  <c r="I67" i="2"/>
  <c r="J67" i="2" s="1"/>
  <c r="E68" i="2"/>
  <c r="I68" i="2"/>
  <c r="J68" i="2" s="1"/>
  <c r="E69" i="2"/>
  <c r="I69" i="2"/>
  <c r="J69" i="2" s="1"/>
  <c r="E70" i="2"/>
  <c r="I70" i="2"/>
  <c r="J70" i="2" s="1"/>
  <c r="E71" i="2"/>
  <c r="I71" i="2"/>
  <c r="J71" i="2" s="1"/>
  <c r="E72" i="2"/>
  <c r="I72" i="2"/>
  <c r="J72" i="2" s="1"/>
  <c r="E73" i="2"/>
  <c r="I73" i="2"/>
  <c r="J73" i="2" s="1"/>
  <c r="E74" i="2"/>
  <c r="I74" i="2"/>
  <c r="J74" i="2" s="1"/>
  <c r="E75" i="2"/>
  <c r="I75" i="2"/>
  <c r="J75" i="2" s="1"/>
  <c r="E76" i="2"/>
  <c r="I76" i="2"/>
  <c r="J76" i="2" s="1"/>
  <c r="E77" i="2"/>
  <c r="I77" i="2"/>
  <c r="J77" i="2" s="1"/>
  <c r="E79" i="2"/>
  <c r="I79" i="2"/>
  <c r="J79" i="2" s="1"/>
  <c r="E80" i="2"/>
  <c r="I80" i="2"/>
  <c r="J80" i="2" s="1"/>
  <c r="E81" i="2"/>
  <c r="I81" i="2"/>
  <c r="J81" i="2" s="1"/>
  <c r="E82" i="2"/>
  <c r="I82" i="2"/>
  <c r="J82" i="2" s="1"/>
  <c r="E83" i="2"/>
  <c r="I83" i="2"/>
  <c r="J83" i="2" s="1"/>
  <c r="E84" i="2"/>
  <c r="I84" i="2"/>
  <c r="J84" i="2" s="1"/>
  <c r="E85" i="2"/>
  <c r="I85" i="2"/>
  <c r="J85" i="2" s="1"/>
  <c r="E86" i="2"/>
  <c r="I86" i="2"/>
  <c r="J86" i="2" s="1"/>
  <c r="E87" i="2"/>
  <c r="I87" i="2"/>
  <c r="J87" i="2" s="1"/>
  <c r="E88" i="2"/>
  <c r="I88" i="2"/>
  <c r="J88" i="2" s="1"/>
  <c r="E89" i="2"/>
  <c r="I89" i="2"/>
  <c r="J89" i="2" s="1"/>
  <c r="E90" i="2"/>
  <c r="I90" i="2"/>
  <c r="J90" i="2" s="1"/>
  <c r="E91" i="2"/>
  <c r="I91" i="2"/>
  <c r="J91" i="2" s="1"/>
  <c r="E92" i="2"/>
  <c r="I92" i="2"/>
  <c r="J92" i="2" s="1"/>
  <c r="E93" i="2"/>
  <c r="I93" i="2"/>
  <c r="J93" i="2" s="1"/>
  <c r="E94" i="2"/>
  <c r="I94" i="2"/>
  <c r="J94" i="2" s="1"/>
  <c r="E95" i="2"/>
  <c r="I95" i="2"/>
  <c r="J95" i="2" s="1"/>
  <c r="E96" i="2"/>
  <c r="I96" i="2"/>
  <c r="J96" i="2" s="1"/>
  <c r="E97" i="2"/>
  <c r="I97" i="2"/>
  <c r="J97" i="2" s="1"/>
  <c r="E99" i="2"/>
  <c r="I99" i="2"/>
  <c r="J99" i="2" s="1"/>
  <c r="E100" i="2"/>
  <c r="I100" i="2"/>
  <c r="J100" i="2" s="1"/>
  <c r="E101" i="2"/>
  <c r="I101" i="2"/>
  <c r="J101" i="2" s="1"/>
  <c r="E103" i="2"/>
  <c r="I103" i="2"/>
  <c r="J103" i="2" s="1"/>
  <c r="E104" i="2"/>
  <c r="I104" i="2"/>
  <c r="J104" i="2" s="1"/>
  <c r="E105" i="2"/>
  <c r="I105" i="2"/>
  <c r="J105" i="2" s="1"/>
  <c r="E107" i="2"/>
  <c r="I107" i="2"/>
  <c r="J107" i="2" s="1"/>
  <c r="F7" i="2" l="1"/>
  <c r="J7" i="2"/>
  <c r="F7" i="5"/>
  <c r="J7" i="5"/>
  <c r="F103" i="2"/>
  <c r="F25" i="2"/>
  <c r="F23" i="2"/>
  <c r="F21" i="2"/>
  <c r="F19" i="2"/>
  <c r="F18" i="5"/>
  <c r="F22" i="5"/>
  <c r="F30" i="5"/>
  <c r="F38" i="5"/>
  <c r="F46" i="5"/>
  <c r="F54" i="5"/>
  <c r="F58" i="5"/>
  <c r="F62" i="5"/>
  <c r="F70" i="5"/>
  <c r="F74" i="5"/>
  <c r="F78" i="5"/>
  <c r="F82" i="5"/>
  <c r="F86" i="5"/>
  <c r="F90" i="5"/>
  <c r="F94" i="5"/>
  <c r="F98" i="5"/>
  <c r="F14" i="5"/>
  <c r="F26" i="5"/>
  <c r="F34" i="5"/>
  <c r="F42" i="5"/>
  <c r="F50" i="5"/>
  <c r="F66" i="5"/>
  <c r="F107" i="2"/>
  <c r="F104" i="2"/>
  <c r="F101" i="2"/>
  <c r="F99" i="2"/>
  <c r="F97" i="2"/>
  <c r="F95" i="2"/>
  <c r="F93" i="2"/>
  <c r="F91" i="2"/>
  <c r="F89" i="2"/>
  <c r="F87" i="2"/>
  <c r="F85" i="2"/>
  <c r="F83" i="2"/>
  <c r="F81" i="2"/>
  <c r="F79" i="2"/>
  <c r="F77" i="2"/>
  <c r="F75" i="2"/>
  <c r="F73" i="2"/>
  <c r="F71" i="2"/>
  <c r="F69" i="2"/>
  <c r="F67" i="2"/>
  <c r="F65" i="2"/>
  <c r="F63" i="2"/>
  <c r="F61" i="2"/>
  <c r="F59" i="2"/>
  <c r="F57" i="2"/>
  <c r="F55" i="2"/>
  <c r="F53" i="2"/>
  <c r="F51" i="2"/>
  <c r="F49" i="2"/>
  <c r="F47" i="2"/>
  <c r="F45" i="2"/>
  <c r="F43" i="2"/>
  <c r="F41" i="2"/>
  <c r="F39" i="2"/>
  <c r="F37" i="2"/>
  <c r="F35" i="2"/>
  <c r="F33" i="2"/>
  <c r="F31" i="2"/>
  <c r="F29" i="2"/>
  <c r="F12" i="2"/>
  <c r="F10" i="2"/>
  <c r="F27" i="2"/>
  <c r="F14" i="2"/>
  <c r="F19" i="5"/>
  <c r="F23" i="5"/>
  <c r="F31" i="5"/>
  <c r="F35" i="5"/>
  <c r="F43" i="5"/>
  <c r="F47" i="5"/>
  <c r="F55" i="5"/>
  <c r="F59" i="5"/>
  <c r="F67" i="5"/>
  <c r="F71" i="5"/>
  <c r="F79" i="5"/>
  <c r="F83" i="5"/>
  <c r="F91" i="5"/>
  <c r="F95" i="5"/>
  <c r="F102" i="5"/>
  <c r="F103" i="5"/>
  <c r="F26" i="2"/>
  <c r="F24" i="2"/>
  <c r="F22" i="2"/>
  <c r="F20" i="2"/>
  <c r="F16" i="2"/>
  <c r="F12" i="5"/>
  <c r="F16" i="5"/>
  <c r="F20" i="5"/>
  <c r="F24" i="5"/>
  <c r="F28" i="5"/>
  <c r="F32" i="5"/>
  <c r="F36" i="5"/>
  <c r="F40" i="5"/>
  <c r="F44" i="5"/>
  <c r="F48" i="5"/>
  <c r="F52" i="5"/>
  <c r="F56" i="5"/>
  <c r="F60" i="5"/>
  <c r="F64" i="5"/>
  <c r="F68" i="5"/>
  <c r="F72" i="5"/>
  <c r="F76" i="5"/>
  <c r="F80" i="5"/>
  <c r="F84" i="5"/>
  <c r="F88" i="5"/>
  <c r="F92" i="5"/>
  <c r="F96" i="5"/>
  <c r="F100" i="5"/>
  <c r="F105" i="2"/>
  <c r="F102" i="2"/>
  <c r="F100" i="2"/>
  <c r="F96" i="2"/>
  <c r="F94" i="2"/>
  <c r="F92" i="2"/>
  <c r="F90" i="2"/>
  <c r="F88" i="2"/>
  <c r="F86" i="2"/>
  <c r="F84" i="2"/>
  <c r="F82" i="2"/>
  <c r="F80" i="2"/>
  <c r="F76" i="2"/>
  <c r="F74" i="2"/>
  <c r="F72" i="2"/>
  <c r="F70" i="2"/>
  <c r="F68" i="2"/>
  <c r="F66" i="2"/>
  <c r="F64" i="2"/>
  <c r="F62" i="2"/>
  <c r="F60" i="2"/>
  <c r="F56" i="2"/>
  <c r="F54" i="2"/>
  <c r="F52" i="2"/>
  <c r="F50" i="2"/>
  <c r="F48" i="2"/>
  <c r="F46" i="2"/>
  <c r="F44" i="2"/>
  <c r="F42" i="2"/>
  <c r="F40" i="2"/>
  <c r="F36" i="2"/>
  <c r="F34" i="2"/>
  <c r="F32" i="2"/>
  <c r="F30" i="2"/>
  <c r="F13" i="5"/>
  <c r="F17" i="5"/>
  <c r="F25" i="5"/>
  <c r="F29" i="5"/>
  <c r="F37" i="5"/>
  <c r="F41" i="5"/>
  <c r="F49" i="5"/>
  <c r="F53" i="5"/>
  <c r="F61" i="5"/>
  <c r="F65" i="5"/>
  <c r="F73" i="5"/>
  <c r="F77" i="5"/>
  <c r="F85" i="5"/>
  <c r="F89" i="5"/>
  <c r="F97" i="5"/>
  <c r="F101" i="5"/>
  <c r="F107" i="5"/>
  <c r="F28" i="2"/>
  <c r="F9" i="5"/>
  <c r="F15" i="2"/>
  <c r="F17" i="2"/>
  <c r="F13" i="2"/>
  <c r="F11" i="2"/>
  <c r="F10" i="5"/>
  <c r="F11" i="5"/>
  <c r="F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윤승혁</author>
  </authors>
  <commentList>
    <comment ref="B8" authorId="0" shapeId="0" xr:uid="{3485AEE5-E2B0-4118-B66D-8CE95F27DC0B}">
      <text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모의고사에서만</t>
        </r>
        <r>
          <rPr>
            <b/>
            <sz val="9"/>
            <color indexed="81"/>
            <rFont val="Tahoma"/>
            <family val="2"/>
          </rPr>
          <t xml:space="preserve"> '</t>
        </r>
        <r>
          <rPr>
            <b/>
            <sz val="9"/>
            <color indexed="81"/>
            <rFont val="돋움"/>
            <family val="3"/>
            <charset val="129"/>
          </rPr>
          <t>통합</t>
        </r>
        <r>
          <rPr>
            <b/>
            <sz val="9"/>
            <color indexed="81"/>
            <rFont val="Tahoma"/>
            <family val="2"/>
          </rPr>
          <t xml:space="preserve">' </t>
        </r>
        <r>
          <rPr>
            <b/>
            <sz val="9"/>
            <color indexed="81"/>
            <rFont val="돋움"/>
            <family val="3"/>
            <charset val="129"/>
          </rPr>
          <t>단어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빼기
</t>
        </r>
        <r>
          <rPr>
            <b/>
            <sz val="9"/>
            <color indexed="81"/>
            <rFont val="Tahoma"/>
            <family val="2"/>
          </rPr>
          <t>6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모의고사부터는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붙일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것</t>
        </r>
      </text>
    </comment>
  </commentList>
</comments>
</file>

<file path=xl/sharedStrings.xml><?xml version="1.0" encoding="utf-8"?>
<sst xmlns="http://schemas.openxmlformats.org/spreadsheetml/2006/main" count="182" uniqueCount="84">
  <si>
    <t>표준편차</t>
    <phoneticPr fontId="1" type="noConversion"/>
  </si>
  <si>
    <t>응시자 수</t>
    <phoneticPr fontId="1" type="noConversion"/>
  </si>
  <si>
    <t>평균</t>
    <phoneticPr fontId="1" type="noConversion"/>
  </si>
  <si>
    <t>국어</t>
    <phoneticPr fontId="1" type="noConversion"/>
  </si>
  <si>
    <t>영어</t>
    <phoneticPr fontId="1" type="noConversion"/>
  </si>
  <si>
    <t>한국사</t>
    <phoneticPr fontId="1" type="noConversion"/>
  </si>
  <si>
    <t>표준점수</t>
    <phoneticPr fontId="1" type="noConversion"/>
  </si>
  <si>
    <t>인원</t>
    <phoneticPr fontId="1" type="noConversion"/>
  </si>
  <si>
    <t>국어</t>
    <phoneticPr fontId="1" type="noConversion"/>
  </si>
  <si>
    <t>1등급</t>
    <phoneticPr fontId="1" type="noConversion"/>
  </si>
  <si>
    <t>2등급</t>
    <phoneticPr fontId="1" type="noConversion"/>
  </si>
  <si>
    <t>3등급</t>
    <phoneticPr fontId="1" type="noConversion"/>
  </si>
  <si>
    <t>4등급</t>
    <phoneticPr fontId="1" type="noConversion"/>
  </si>
  <si>
    <t>5등급</t>
    <phoneticPr fontId="1" type="noConversion"/>
  </si>
  <si>
    <t>6등급</t>
    <phoneticPr fontId="1" type="noConversion"/>
  </si>
  <si>
    <t>7등급</t>
    <phoneticPr fontId="1" type="noConversion"/>
  </si>
  <si>
    <t>8등급</t>
    <phoneticPr fontId="1" type="noConversion"/>
  </si>
  <si>
    <t>수학</t>
    <phoneticPr fontId="1" type="noConversion"/>
  </si>
  <si>
    <t>통합 사회</t>
    <phoneticPr fontId="1" type="noConversion"/>
  </si>
  <si>
    <t>통합 과학</t>
    <phoneticPr fontId="1" type="noConversion"/>
  </si>
  <si>
    <t>국</t>
    <phoneticPr fontId="1" type="noConversion"/>
  </si>
  <si>
    <t>수</t>
    <phoneticPr fontId="1" type="noConversion"/>
  </si>
  <si>
    <t>9등급</t>
  </si>
  <si>
    <t>9등급</t>
    <phoneticPr fontId="1" type="noConversion"/>
  </si>
  <si>
    <t>1등급</t>
    <phoneticPr fontId="1" type="noConversion"/>
  </si>
  <si>
    <t>2등급</t>
  </si>
  <si>
    <t>3등급</t>
  </si>
  <si>
    <t>4등급</t>
  </si>
  <si>
    <t>5등급</t>
  </si>
  <si>
    <t>6등급</t>
  </si>
  <si>
    <t>7등급</t>
  </si>
  <si>
    <t>8등급</t>
  </si>
  <si>
    <t>이 아래로 붙여넣기</t>
    <phoneticPr fontId="1" type="noConversion"/>
  </si>
  <si>
    <t>영</t>
    <phoneticPr fontId="1" type="noConversion"/>
  </si>
  <si>
    <t>한</t>
    <phoneticPr fontId="1" type="noConversion"/>
  </si>
  <si>
    <t>사</t>
    <phoneticPr fontId="1" type="noConversion"/>
  </si>
  <si>
    <t>과</t>
    <phoneticPr fontId="1" type="noConversion"/>
  </si>
  <si>
    <t>-</t>
    <phoneticPr fontId="1" type="noConversion"/>
  </si>
  <si>
    <r>
      <rPr>
        <sz val="12"/>
        <color theme="1"/>
        <rFont val="돋움"/>
        <family val="3"/>
        <charset val="129"/>
      </rPr>
      <t>오차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돋움"/>
        <family val="3"/>
        <charset val="129"/>
      </rPr>
      <t>경고</t>
    </r>
    <phoneticPr fontId="1" type="noConversion"/>
  </si>
  <si>
    <t>B2:K108</t>
    <phoneticPr fontId="1" type="noConversion"/>
  </si>
  <si>
    <t>B2:K16</t>
    <phoneticPr fontId="1" type="noConversion"/>
  </si>
  <si>
    <r>
      <rPr>
        <sz val="12"/>
        <color theme="1"/>
        <rFont val="맑은 고딕"/>
        <family val="3"/>
        <charset val="129"/>
      </rPr>
      <t>시험명</t>
    </r>
  </si>
  <si>
    <r>
      <rPr>
        <sz val="12"/>
        <color theme="1"/>
        <rFont val="맑은 고딕"/>
        <family val="3"/>
        <charset val="129"/>
      </rPr>
      <t>평균</t>
    </r>
    <phoneticPr fontId="1" type="noConversion"/>
  </si>
  <si>
    <r>
      <rPr>
        <sz val="12"/>
        <color theme="1"/>
        <rFont val="맑은 고딕"/>
        <family val="3"/>
        <charset val="129"/>
      </rPr>
      <t>응시자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3"/>
        <charset val="129"/>
      </rPr>
      <t>수</t>
    </r>
    <phoneticPr fontId="1" type="noConversion"/>
  </si>
  <si>
    <r>
      <rPr>
        <sz val="12"/>
        <color theme="1"/>
        <rFont val="맑은 고딕"/>
        <family val="3"/>
        <charset val="129"/>
      </rPr>
      <t>과목</t>
    </r>
    <phoneticPr fontId="1" type="noConversion"/>
  </si>
  <si>
    <r>
      <rPr>
        <sz val="12"/>
        <color theme="1"/>
        <rFont val="맑은 고딕"/>
        <family val="3"/>
        <charset val="129"/>
      </rPr>
      <t>국어</t>
    </r>
    <phoneticPr fontId="1" type="noConversion"/>
  </si>
  <si>
    <r>
      <rPr>
        <sz val="12"/>
        <color theme="1"/>
        <rFont val="맑은 고딕"/>
        <family val="3"/>
        <charset val="129"/>
      </rPr>
      <t>표준편차</t>
    </r>
    <phoneticPr fontId="1" type="noConversion"/>
  </si>
  <si>
    <r>
      <rPr>
        <sz val="12"/>
        <color theme="1"/>
        <rFont val="맑은 고딕"/>
        <family val="3"/>
        <charset val="129"/>
      </rPr>
      <t>수학</t>
    </r>
    <phoneticPr fontId="1" type="noConversion"/>
  </si>
  <si>
    <r>
      <rPr>
        <sz val="13"/>
        <color theme="1"/>
        <rFont val="맑은 고딕"/>
        <family val="3"/>
        <charset val="129"/>
      </rPr>
      <t>원점수</t>
    </r>
    <phoneticPr fontId="1" type="noConversion"/>
  </si>
  <si>
    <r>
      <rPr>
        <sz val="13"/>
        <color theme="1"/>
        <rFont val="맑은 고딕"/>
        <family val="3"/>
        <charset val="129"/>
      </rPr>
      <t>표준점수</t>
    </r>
    <phoneticPr fontId="1" type="noConversion"/>
  </si>
  <si>
    <r>
      <rPr>
        <sz val="13"/>
        <color theme="1"/>
        <rFont val="맑은 고딕"/>
        <family val="3"/>
        <charset val="129"/>
      </rPr>
      <t>등급</t>
    </r>
    <phoneticPr fontId="1" type="noConversion"/>
  </si>
  <si>
    <r>
      <rPr>
        <sz val="13"/>
        <color theme="1"/>
        <rFont val="맑은 고딕"/>
        <family val="3"/>
        <charset val="129"/>
      </rPr>
      <t>백분위</t>
    </r>
    <phoneticPr fontId="1" type="noConversion"/>
  </si>
  <si>
    <r>
      <rPr>
        <sz val="13"/>
        <color theme="1"/>
        <rFont val="맑은 고딕"/>
        <family val="3"/>
        <charset val="129"/>
      </rPr>
      <t>인원</t>
    </r>
    <phoneticPr fontId="1" type="noConversion"/>
  </si>
  <si>
    <r>
      <rPr>
        <sz val="13"/>
        <color theme="1"/>
        <rFont val="맑은 고딕"/>
        <family val="3"/>
        <charset val="129"/>
      </rPr>
      <t>비율</t>
    </r>
    <phoneticPr fontId="1" type="noConversion"/>
  </si>
  <si>
    <r>
      <rPr>
        <sz val="13"/>
        <color theme="1"/>
        <rFont val="맑은 고딕"/>
        <family val="3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3"/>
        <charset val="129"/>
      </rPr>
      <t>인원</t>
    </r>
    <phoneticPr fontId="1" type="noConversion"/>
  </si>
  <si>
    <r>
      <rPr>
        <sz val="13"/>
        <color theme="1"/>
        <rFont val="맑은 고딕"/>
        <family val="3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3"/>
        <charset val="129"/>
      </rPr>
      <t>비율</t>
    </r>
    <phoneticPr fontId="1" type="noConversion"/>
  </si>
  <si>
    <r>
      <rPr>
        <sz val="12"/>
        <color theme="1"/>
        <rFont val="맑은 고딕"/>
        <family val="2"/>
        <charset val="129"/>
      </rPr>
      <t>시험명</t>
    </r>
  </si>
  <si>
    <r>
      <rPr>
        <sz val="12"/>
        <color theme="1"/>
        <rFont val="맑은 고딕"/>
        <family val="2"/>
        <charset val="129"/>
      </rPr>
      <t>평균</t>
    </r>
    <phoneticPr fontId="1" type="noConversion"/>
  </si>
  <si>
    <r>
      <rPr>
        <sz val="12"/>
        <color theme="1"/>
        <rFont val="맑은 고딕"/>
        <family val="2"/>
        <charset val="129"/>
      </rPr>
      <t>응시자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수</t>
    </r>
    <phoneticPr fontId="1" type="noConversion"/>
  </si>
  <si>
    <r>
      <rPr>
        <sz val="12"/>
        <color theme="1"/>
        <rFont val="맑은 고딕"/>
        <family val="2"/>
        <charset val="129"/>
      </rPr>
      <t>과목</t>
    </r>
    <phoneticPr fontId="1" type="noConversion"/>
  </si>
  <si>
    <r>
      <rPr>
        <sz val="12"/>
        <color theme="1"/>
        <rFont val="맑은 고딕"/>
        <family val="2"/>
        <charset val="129"/>
      </rPr>
      <t>영어</t>
    </r>
    <phoneticPr fontId="1" type="noConversion"/>
  </si>
  <si>
    <r>
      <rPr>
        <sz val="12"/>
        <color theme="1"/>
        <rFont val="맑은 고딕"/>
        <family val="2"/>
        <charset val="129"/>
      </rPr>
      <t>표준편차</t>
    </r>
    <phoneticPr fontId="1" type="noConversion"/>
  </si>
  <si>
    <r>
      <rPr>
        <sz val="12"/>
        <color theme="1"/>
        <rFont val="맑은 고딕"/>
        <family val="2"/>
        <charset val="129"/>
      </rPr>
      <t>한국사</t>
    </r>
    <phoneticPr fontId="1" type="noConversion"/>
  </si>
  <si>
    <r>
      <rPr>
        <sz val="13"/>
        <color theme="1"/>
        <rFont val="맑은 고딕"/>
        <family val="2"/>
        <charset val="129"/>
      </rPr>
      <t>등급</t>
    </r>
    <phoneticPr fontId="1" type="noConversion"/>
  </si>
  <si>
    <r>
      <rPr>
        <sz val="13"/>
        <color theme="1"/>
        <rFont val="맑은 고딕"/>
        <family val="2"/>
        <charset val="129"/>
      </rPr>
      <t>원점수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등급컷</t>
    </r>
    <phoneticPr fontId="1" type="noConversion"/>
  </si>
  <si>
    <r>
      <rPr>
        <sz val="13"/>
        <color theme="1"/>
        <rFont val="맑은 고딕"/>
        <family val="2"/>
        <charset val="129"/>
      </rPr>
      <t>인원</t>
    </r>
    <phoneticPr fontId="1" type="noConversion"/>
  </si>
  <si>
    <r>
      <rPr>
        <sz val="13"/>
        <color theme="1"/>
        <rFont val="맑은 고딕"/>
        <family val="2"/>
        <charset val="129"/>
      </rPr>
      <t>비율</t>
    </r>
    <phoneticPr fontId="1" type="noConversion"/>
  </si>
  <si>
    <r>
      <rPr>
        <sz val="13"/>
        <color theme="1"/>
        <rFont val="맑은 고딕"/>
        <family val="2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인원</t>
    </r>
    <phoneticPr fontId="1" type="noConversion"/>
  </si>
  <si>
    <r>
      <rPr>
        <sz val="13"/>
        <color theme="1"/>
        <rFont val="맑은 고딕"/>
        <family val="2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비율</t>
    </r>
    <phoneticPr fontId="1" type="noConversion"/>
  </si>
  <si>
    <t>2024학년도 9월 고1 전국연합학력평가</t>
  </si>
  <si>
    <r>
      <rPr>
        <sz val="12"/>
        <color theme="1"/>
        <rFont val="맑은 고딕"/>
        <family val="2"/>
        <charset val="129"/>
      </rPr>
      <t>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통합 사회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</si>
  <si>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통합 과학</t>
    </r>
    <r>
      <rPr>
        <sz val="12"/>
        <color theme="1"/>
        <rFont val="Microsoft Sans Serif"/>
        <family val="2"/>
      </rPr>
      <t>)</t>
    </r>
    <phoneticPr fontId="1" type="noConversion"/>
  </si>
  <si>
    <t>49.51</t>
  </si>
  <si>
    <t>21.04</t>
  </si>
  <si>
    <t>45.74</t>
  </si>
  <si>
    <t>23.97</t>
  </si>
  <si>
    <t>54.31</t>
  </si>
  <si>
    <t>22.59</t>
  </si>
  <si>
    <t>29.66</t>
  </si>
  <si>
    <t>11.88</t>
  </si>
  <si>
    <t>29.09</t>
  </si>
  <si>
    <t>10.46</t>
  </si>
  <si>
    <t>26.82</t>
  </si>
  <si>
    <t>12.57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</si>
</sst>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#,##0.00_ "/>
    <numFmt numFmtId="177" formatCode="#,##0_ "/>
    <numFmt numFmtId="178" formatCode="0.00_);[Red]\(0.00\)"/>
    <numFmt numFmtId="180" formatCode="_-* #,##0_-;\-* #,##0_-;_-* &quot;-&quot;_-;_-@_-"/>
  </numFmts>
  <fonts count="4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name val="Arial"/>
      <family val="2"/>
    </font>
    <font>
      <b/>
      <sz val="18"/>
      <color theme="3"/>
      <name val="맑은 고딕"/>
      <family val="2"/>
      <charset val="129"/>
      <scheme val="major"/>
    </font>
    <font>
      <sz val="11"/>
      <color rgb="FF9C6500"/>
      <name val="맑은 고딕"/>
      <family val="2"/>
      <charset val="129"/>
      <scheme val="minor"/>
    </font>
    <font>
      <u/>
      <sz val="11"/>
      <color rgb="FF0000FF"/>
      <name val="맑은 고딕"/>
      <family val="2"/>
      <charset val="129"/>
      <scheme val="minor"/>
    </font>
    <font>
      <u/>
      <sz val="11"/>
      <color rgb="FF800080"/>
      <name val="맑은 고딕"/>
      <family val="2"/>
      <charset val="129"/>
      <scheme val="minor"/>
    </font>
    <font>
      <sz val="12"/>
      <color theme="1"/>
      <name val="맑은 고딕"/>
      <family val="3"/>
      <charset val="129"/>
    </font>
    <font>
      <sz val="12"/>
      <color theme="1"/>
      <name val="Microsoft Sans Serif"/>
      <family val="2"/>
    </font>
    <font>
      <sz val="12"/>
      <name val="Microsoft Sans Serif"/>
      <family val="2"/>
    </font>
    <font>
      <sz val="11"/>
      <color theme="1"/>
      <name val="Microsoft Sans Serif"/>
      <family val="2"/>
    </font>
    <font>
      <sz val="12"/>
      <color theme="1"/>
      <name val="맑은 고딕"/>
      <family val="2"/>
      <charset val="129"/>
    </font>
    <font>
      <sz val="11"/>
      <color rgb="FF000000"/>
      <name val="맑은 고딕"/>
      <family val="3"/>
      <charset val="129"/>
    </font>
    <font>
      <sz val="12"/>
      <color theme="1"/>
      <name val="돋움"/>
      <family val="3"/>
      <charset val="129"/>
    </font>
    <font>
      <sz val="12"/>
      <color theme="1"/>
      <name val="Microsoft Sans Serif"/>
      <family val="3"/>
      <charset val="129"/>
    </font>
    <font>
      <sz val="13"/>
      <color theme="1"/>
      <name val="Microsoft Sans Serif"/>
      <family val="2"/>
    </font>
    <font>
      <sz val="13"/>
      <color theme="1"/>
      <name val="맑은 고딕"/>
      <family val="3"/>
      <charset val="129"/>
    </font>
    <font>
      <sz val="13"/>
      <name val="Microsoft Sans Serif"/>
      <family val="2"/>
    </font>
    <font>
      <sz val="13"/>
      <color theme="1"/>
      <name val="맑은 고딕"/>
      <family val="2"/>
      <charset val="129"/>
    </font>
    <font>
      <b/>
      <sz val="13"/>
      <color theme="1"/>
      <name val="Microsoft Sans Serif"/>
      <family val="2"/>
    </font>
    <font>
      <b/>
      <sz val="13"/>
      <color indexed="8"/>
      <name val="Microsoft Sans Serif"/>
      <family val="2"/>
    </font>
    <font>
      <b/>
      <sz val="12"/>
      <color theme="1"/>
      <name val="Microsoft Sans Serif"/>
      <family val="2"/>
    </font>
    <font>
      <b/>
      <sz val="12"/>
      <color indexed="8"/>
      <name val="Microsoft Sans Serif"/>
      <family val="2"/>
    </font>
    <font>
      <sz val="12"/>
      <color theme="1"/>
      <name val="Arial Unicode MS"/>
      <family val="2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2"/>
      <color theme="1"/>
      <name val="Microsoft Sans Serif"/>
      <family val="2"/>
      <charset val="129"/>
    </font>
    <font>
      <sz val="10"/>
      <color theme="1"/>
      <name val="맑은 고딕"/>
      <family val="3"/>
      <charset val="129"/>
      <scheme val="minor"/>
    </font>
    <font>
      <sz val="10"/>
      <name val="돋움"/>
      <family val="3"/>
      <charset val="129"/>
    </font>
    <font>
      <sz val="9"/>
      <name val="돋움"/>
      <family val="3"/>
      <charset val="129"/>
    </font>
  </fonts>
  <fills count="40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</fills>
  <borders count="65">
    <border>
      <left/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4D4D4"/>
      </left>
      <right/>
      <top style="thin">
        <color rgb="FFD4D4D4"/>
      </top>
      <bottom/>
      <diagonal/>
    </border>
    <border>
      <left/>
      <right/>
      <top style="thin">
        <color rgb="FFD4D4D4"/>
      </top>
      <bottom/>
      <diagonal/>
    </border>
    <border>
      <left/>
      <right style="thin">
        <color rgb="FFD4D4D4"/>
      </right>
      <top style="thin">
        <color rgb="FFD4D4D4"/>
      </top>
      <bottom/>
      <diagonal/>
    </border>
    <border>
      <left style="thin">
        <color rgb="FFD4D4D4"/>
      </left>
      <right/>
      <top/>
      <bottom/>
      <diagonal/>
    </border>
    <border>
      <left/>
      <right style="thin">
        <color rgb="FFD4D4D4"/>
      </right>
      <top/>
      <bottom/>
      <diagonal/>
    </border>
    <border>
      <left style="thin">
        <color rgb="FFD4D4D4"/>
      </left>
      <right/>
      <top/>
      <bottom style="thin">
        <color rgb="FFD4D4D4"/>
      </bottom>
      <diagonal/>
    </border>
    <border>
      <left/>
      <right/>
      <top/>
      <bottom style="thin">
        <color rgb="FFD4D4D4"/>
      </bottom>
      <diagonal/>
    </border>
    <border>
      <left/>
      <right style="thin">
        <color rgb="FFD4D4D4"/>
      </right>
      <top/>
      <bottom style="thin">
        <color rgb="FFD4D4D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55">
    <xf numFmtId="0" fontId="0" fillId="0" borderId="0">
      <alignment vertical="center"/>
    </xf>
    <xf numFmtId="0" fontId="2" fillId="0" borderId="0"/>
    <xf numFmtId="0" fontId="4" fillId="0" borderId="25" applyNumberFormat="0" applyFill="0" applyAlignment="0" applyProtection="0">
      <alignment vertical="center"/>
    </xf>
    <xf numFmtId="0" fontId="5" fillId="0" borderId="26" applyNumberFormat="0" applyFill="0" applyAlignment="0" applyProtection="0">
      <alignment vertical="center"/>
    </xf>
    <xf numFmtId="0" fontId="6" fillId="0" borderId="27" applyNumberFormat="0" applyFill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9" fillId="10" borderId="28" applyNumberFormat="0" applyAlignment="0" applyProtection="0">
      <alignment vertical="center"/>
    </xf>
    <xf numFmtId="0" fontId="10" fillId="11" borderId="29" applyNumberFormat="0" applyAlignment="0" applyProtection="0">
      <alignment vertical="center"/>
    </xf>
    <xf numFmtId="0" fontId="11" fillId="11" borderId="28" applyNumberFormat="0" applyAlignment="0" applyProtection="0">
      <alignment vertical="center"/>
    </xf>
    <xf numFmtId="0" fontId="12" fillId="0" borderId="30" applyNumberFormat="0" applyFill="0" applyAlignment="0" applyProtection="0">
      <alignment vertical="center"/>
    </xf>
    <xf numFmtId="0" fontId="13" fillId="12" borderId="31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33" applyNumberFormat="0" applyFill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17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17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17" fillId="34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6" borderId="0" applyNumberFormat="0" applyBorder="0" applyAlignment="0" applyProtection="0">
      <alignment vertical="center"/>
    </xf>
    <xf numFmtId="0" fontId="18" fillId="0" borderId="0"/>
    <xf numFmtId="0" fontId="19" fillId="0" borderId="0" applyNumberFormat="0" applyFill="0" applyBorder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17" fillId="37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13" borderId="32" applyNumberFormat="0" applyFont="0" applyAlignment="0" applyProtection="0">
      <alignment vertical="center"/>
    </xf>
    <xf numFmtId="0" fontId="2" fillId="0" borderId="0"/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3" fillId="0" borderId="0">
      <alignment vertical="center"/>
    </xf>
    <xf numFmtId="0" fontId="18" fillId="0" borderId="0"/>
    <xf numFmtId="9" fontId="3" fillId="0" borderId="0" applyFont="0" applyFill="0" applyBorder="0" applyAlignment="0" applyProtection="0">
      <alignment vertical="center"/>
    </xf>
    <xf numFmtId="0" fontId="18" fillId="0" borderId="0"/>
    <xf numFmtId="0" fontId="18" fillId="0" borderId="0"/>
    <xf numFmtId="0" fontId="18" fillId="0" borderId="0"/>
    <xf numFmtId="180" fontId="2" fillId="0" borderId="0" applyFont="0" applyFill="0" applyBorder="0" applyAlignment="0" applyProtection="0">
      <alignment vertical="center"/>
    </xf>
  </cellStyleXfs>
  <cellXfs count="16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6" borderId="0" xfId="0" applyFill="1">
      <alignment vertical="center"/>
    </xf>
    <xf numFmtId="0" fontId="0" fillId="0" borderId="37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7" xfId="0" applyBorder="1">
      <alignment vertical="center"/>
    </xf>
    <xf numFmtId="0" fontId="0" fillId="0" borderId="34" xfId="0" applyBorder="1">
      <alignment vertical="center"/>
    </xf>
    <xf numFmtId="0" fontId="0" fillId="0" borderId="38" xfId="0" applyBorder="1">
      <alignment vertical="center"/>
    </xf>
    <xf numFmtId="0" fontId="0" fillId="0" borderId="16" xfId="0" applyBorder="1">
      <alignment vertical="center"/>
    </xf>
    <xf numFmtId="0" fontId="0" fillId="0" borderId="40" xfId="0" applyBorder="1">
      <alignment vertical="center"/>
    </xf>
    <xf numFmtId="0" fontId="0" fillId="38" borderId="0" xfId="0" applyFill="1" applyAlignment="1">
      <alignment horizontal="center" vertical="center"/>
    </xf>
    <xf numFmtId="0" fontId="0" fillId="0" borderId="41" xfId="0" applyBorder="1">
      <alignment vertical="center"/>
    </xf>
    <xf numFmtId="3" fontId="0" fillId="0" borderId="34" xfId="0" applyNumberFormat="1" applyBorder="1">
      <alignment vertical="center"/>
    </xf>
    <xf numFmtId="3" fontId="0" fillId="0" borderId="0" xfId="0" applyNumberFormat="1">
      <alignment vertical="center"/>
    </xf>
    <xf numFmtId="0" fontId="24" fillId="6" borderId="0" xfId="0" applyFont="1" applyFill="1">
      <alignment vertical="center"/>
    </xf>
    <xf numFmtId="0" fontId="24" fillId="5" borderId="15" xfId="0" applyFont="1" applyFill="1" applyBorder="1" applyAlignment="1">
      <alignment horizontal="center" vertical="center"/>
    </xf>
    <xf numFmtId="0" fontId="24" fillId="0" borderId="0" xfId="0" applyFont="1">
      <alignment vertical="center"/>
    </xf>
    <xf numFmtId="0" fontId="24" fillId="6" borderId="0" xfId="0" applyFont="1" applyFill="1" applyAlignment="1">
      <alignment horizontal="center" vertical="center"/>
    </xf>
    <xf numFmtId="0" fontId="24" fillId="6" borderId="0" xfId="0" quotePrefix="1" applyFont="1" applyFill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6" fillId="6" borderId="0" xfId="0" applyFont="1" applyFill="1">
      <alignment vertical="center"/>
    </xf>
    <xf numFmtId="0" fontId="26" fillId="0" borderId="0" xfId="0" applyFont="1">
      <alignment vertical="center"/>
    </xf>
    <xf numFmtId="0" fontId="0" fillId="6" borderId="0" xfId="0" applyFill="1" applyAlignment="1">
      <alignment horizontal="center" vertical="center"/>
    </xf>
    <xf numFmtId="0" fontId="30" fillId="6" borderId="0" xfId="0" applyFont="1" applyFill="1" applyAlignment="1">
      <alignment horizontal="center" vertical="center"/>
    </xf>
    <xf numFmtId="0" fontId="0" fillId="6" borderId="49" xfId="0" applyFill="1" applyBorder="1">
      <alignment vertical="center"/>
    </xf>
    <xf numFmtId="0" fontId="0" fillId="6" borderId="50" xfId="0" applyFill="1" applyBorder="1">
      <alignment vertical="center"/>
    </xf>
    <xf numFmtId="0" fontId="0" fillId="6" borderId="51" xfId="0" applyFill="1" applyBorder="1">
      <alignment vertical="center"/>
    </xf>
    <xf numFmtId="0" fontId="24" fillId="6" borderId="52" xfId="0" applyFont="1" applyFill="1" applyBorder="1">
      <alignment vertical="center"/>
    </xf>
    <xf numFmtId="3" fontId="26" fillId="6" borderId="53" xfId="0" applyNumberFormat="1" applyFont="1" applyFill="1" applyBorder="1" applyAlignment="1">
      <alignment horizontal="center" vertical="center"/>
    </xf>
    <xf numFmtId="0" fontId="26" fillId="6" borderId="53" xfId="0" applyFont="1" applyFill="1" applyBorder="1">
      <alignment vertical="center"/>
    </xf>
    <xf numFmtId="0" fontId="24" fillId="6" borderId="53" xfId="0" applyFont="1" applyFill="1" applyBorder="1">
      <alignment vertical="center"/>
    </xf>
    <xf numFmtId="0" fontId="24" fillId="6" borderId="53" xfId="0" applyFont="1" applyFill="1" applyBorder="1" applyAlignment="1">
      <alignment horizontal="center" vertical="center"/>
    </xf>
    <xf numFmtId="10" fontId="25" fillId="6" borderId="53" xfId="1" applyNumberFormat="1" applyFont="1" applyFill="1" applyBorder="1" applyAlignment="1">
      <alignment horizontal="center" vertical="center"/>
    </xf>
    <xf numFmtId="176" fontId="25" fillId="6" borderId="53" xfId="1" applyNumberFormat="1" applyFont="1" applyFill="1" applyBorder="1" applyAlignment="1">
      <alignment horizontal="center" vertical="center"/>
    </xf>
    <xf numFmtId="0" fontId="0" fillId="6" borderId="54" xfId="0" applyFill="1" applyBorder="1">
      <alignment vertical="center"/>
    </xf>
    <xf numFmtId="0" fontId="0" fillId="6" borderId="55" xfId="0" applyFill="1" applyBorder="1">
      <alignment vertical="center"/>
    </xf>
    <xf numFmtId="0" fontId="0" fillId="6" borderId="56" xfId="0" applyFill="1" applyBorder="1">
      <alignment vertical="center"/>
    </xf>
    <xf numFmtId="10" fontId="25" fillId="6" borderId="53" xfId="50" applyNumberFormat="1" applyFont="1" applyFill="1" applyBorder="1" applyAlignment="1">
      <alignment horizontal="center" vertical="center"/>
    </xf>
    <xf numFmtId="0" fontId="26" fillId="6" borderId="52" xfId="0" applyFont="1" applyFill="1" applyBorder="1">
      <alignment vertical="center"/>
    </xf>
    <xf numFmtId="0" fontId="0" fillId="0" borderId="35" xfId="0" applyBorder="1">
      <alignment vertical="center"/>
    </xf>
    <xf numFmtId="0" fontId="0" fillId="0" borderId="39" xfId="0" applyBorder="1">
      <alignment vertical="center"/>
    </xf>
    <xf numFmtId="0" fontId="0" fillId="0" borderId="36" xfId="0" applyBorder="1">
      <alignment vertical="center"/>
    </xf>
    <xf numFmtId="0" fontId="24" fillId="5" borderId="21" xfId="0" applyFont="1" applyFill="1" applyBorder="1" applyAlignment="1">
      <alignment horizontal="center" vertical="center"/>
    </xf>
    <xf numFmtId="2" fontId="24" fillId="0" borderId="20" xfId="0" applyNumberFormat="1" applyFont="1" applyBorder="1" applyAlignment="1">
      <alignment horizontal="center" vertical="center"/>
    </xf>
    <xf numFmtId="3" fontId="24" fillId="0" borderId="19" xfId="0" applyNumberFormat="1" applyFont="1" applyBorder="1" applyAlignment="1">
      <alignment horizontal="center" vertical="center"/>
    </xf>
    <xf numFmtId="0" fontId="24" fillId="5" borderId="4" xfId="0" applyFont="1" applyFill="1" applyBorder="1" applyAlignment="1">
      <alignment horizontal="center" vertical="center"/>
    </xf>
    <xf numFmtId="0" fontId="24" fillId="5" borderId="17" xfId="0" applyFont="1" applyFill="1" applyBorder="1" applyAlignment="1">
      <alignment horizontal="center" vertical="center"/>
    </xf>
    <xf numFmtId="2" fontId="24" fillId="0" borderId="16" xfId="0" applyNumberFormat="1" applyFont="1" applyBorder="1" applyAlignment="1">
      <alignment horizontal="center" vertical="center"/>
    </xf>
    <xf numFmtId="0" fontId="31" fillId="5" borderId="15" xfId="0" applyFont="1" applyFill="1" applyBorder="1" applyAlignment="1">
      <alignment horizontal="center" vertical="center"/>
    </xf>
    <xf numFmtId="0" fontId="31" fillId="5" borderId="14" xfId="0" applyFont="1" applyFill="1" applyBorder="1" applyAlignment="1">
      <alignment horizontal="center" vertical="center"/>
    </xf>
    <xf numFmtId="0" fontId="31" fillId="5" borderId="13" xfId="0" applyFont="1" applyFill="1" applyBorder="1" applyAlignment="1">
      <alignment horizontal="center" vertical="center"/>
    </xf>
    <xf numFmtId="0" fontId="31" fillId="5" borderId="12" xfId="0" applyFont="1" applyFill="1" applyBorder="1" applyAlignment="1">
      <alignment horizontal="center" vertical="center"/>
    </xf>
    <xf numFmtId="0" fontId="31" fillId="0" borderId="11" xfId="0" applyFont="1" applyBorder="1" applyAlignment="1">
      <alignment horizontal="center" vertical="center"/>
    </xf>
    <xf numFmtId="0" fontId="31" fillId="0" borderId="8" xfId="0" applyFont="1" applyBorder="1" applyAlignment="1">
      <alignment horizontal="center" vertical="center"/>
    </xf>
    <xf numFmtId="178" fontId="31" fillId="0" borderId="8" xfId="0" applyNumberFormat="1" applyFont="1" applyBorder="1" applyAlignment="1">
      <alignment horizontal="center" vertical="center"/>
    </xf>
    <xf numFmtId="177" fontId="33" fillId="0" borderId="8" xfId="1" applyNumberFormat="1" applyFont="1" applyBorder="1" applyAlignment="1">
      <alignment horizontal="center" vertical="center"/>
    </xf>
    <xf numFmtId="10" fontId="33" fillId="0" borderId="7" xfId="1" applyNumberFormat="1" applyFont="1" applyBorder="1" applyAlignment="1">
      <alignment horizontal="center" vertical="center"/>
    </xf>
    <xf numFmtId="177" fontId="31" fillId="0" borderId="10" xfId="0" applyNumberFormat="1" applyFont="1" applyBorder="1" applyAlignment="1">
      <alignment horizontal="center" vertical="center"/>
    </xf>
    <xf numFmtId="10" fontId="33" fillId="0" borderId="5" xfId="1" applyNumberFormat="1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0" fontId="31" fillId="4" borderId="8" xfId="0" applyFont="1" applyFill="1" applyBorder="1" applyAlignment="1">
      <alignment horizontal="center" vertical="center"/>
    </xf>
    <xf numFmtId="178" fontId="31" fillId="4" borderId="8" xfId="0" applyNumberFormat="1" applyFont="1" applyFill="1" applyBorder="1" applyAlignment="1">
      <alignment horizontal="center" vertical="center"/>
    </xf>
    <xf numFmtId="0" fontId="31" fillId="4" borderId="6" xfId="0" applyFont="1" applyFill="1" applyBorder="1">
      <alignment vertical="center"/>
    </xf>
    <xf numFmtId="176" fontId="33" fillId="4" borderId="7" xfId="1" applyNumberFormat="1" applyFont="1" applyFill="1" applyBorder="1" applyAlignment="1">
      <alignment horizontal="center" vertical="center"/>
    </xf>
    <xf numFmtId="177" fontId="31" fillId="4" borderId="8" xfId="0" applyNumberFormat="1" applyFont="1" applyFill="1" applyBorder="1" applyAlignment="1">
      <alignment horizontal="center" vertical="center"/>
    </xf>
    <xf numFmtId="176" fontId="33" fillId="4" borderId="5" xfId="1" applyNumberFormat="1" applyFont="1" applyFill="1" applyBorder="1" applyAlignment="1">
      <alignment horizontal="center" vertical="center"/>
    </xf>
    <xf numFmtId="177" fontId="31" fillId="0" borderId="6" xfId="0" applyNumberFormat="1" applyFont="1" applyBorder="1" applyAlignment="1">
      <alignment horizontal="center" vertical="center"/>
    </xf>
    <xf numFmtId="0" fontId="31" fillId="6" borderId="9" xfId="0" applyFont="1" applyFill="1" applyBorder="1" applyAlignment="1">
      <alignment horizontal="center" vertical="center"/>
    </xf>
    <xf numFmtId="0" fontId="31" fillId="6" borderId="8" xfId="0" applyFont="1" applyFill="1" applyBorder="1" applyAlignment="1">
      <alignment horizontal="center" vertical="center"/>
    </xf>
    <xf numFmtId="177" fontId="31" fillId="6" borderId="6" xfId="0" applyNumberFormat="1" applyFont="1" applyFill="1" applyBorder="1" applyAlignment="1">
      <alignment horizontal="center" vertical="center"/>
    </xf>
    <xf numFmtId="177" fontId="31" fillId="4" borderId="6" xfId="0" applyNumberFormat="1" applyFont="1" applyFill="1" applyBorder="1" applyAlignment="1">
      <alignment horizontal="center" vertical="center"/>
    </xf>
    <xf numFmtId="0" fontId="31" fillId="3" borderId="4" xfId="0" applyFont="1" applyFill="1" applyBorder="1" applyAlignment="1">
      <alignment horizontal="center" vertical="center"/>
    </xf>
    <xf numFmtId="0" fontId="31" fillId="2" borderId="2" xfId="0" applyFont="1" applyFill="1" applyBorder="1" applyAlignment="1">
      <alignment horizontal="center" vertical="center"/>
    </xf>
    <xf numFmtId="178" fontId="31" fillId="2" borderId="2" xfId="0" applyNumberFormat="1" applyFont="1" applyFill="1" applyBorder="1" applyAlignment="1">
      <alignment horizontal="center" vertical="center"/>
    </xf>
    <xf numFmtId="177" fontId="33" fillId="2" borderId="2" xfId="1" applyNumberFormat="1" applyFont="1" applyFill="1" applyBorder="1" applyAlignment="1">
      <alignment horizontal="center" vertical="center"/>
    </xf>
    <xf numFmtId="10" fontId="33" fillId="2" borderId="2" xfId="1" applyNumberFormat="1" applyFont="1" applyFill="1" applyBorder="1" applyAlignment="1">
      <alignment horizontal="center" vertical="center"/>
    </xf>
    <xf numFmtId="177" fontId="31" fillId="2" borderId="2" xfId="0" applyNumberFormat="1" applyFont="1" applyFill="1" applyBorder="1" applyAlignment="1">
      <alignment horizontal="center" vertical="center"/>
    </xf>
    <xf numFmtId="10" fontId="33" fillId="2" borderId="1" xfId="50" applyNumberFormat="1" applyFont="1" applyFill="1" applyBorder="1" applyAlignment="1">
      <alignment horizontal="center" vertical="center"/>
    </xf>
    <xf numFmtId="10" fontId="33" fillId="2" borderId="1" xfId="1" applyNumberFormat="1" applyFont="1" applyFill="1" applyBorder="1" applyAlignment="1">
      <alignment horizontal="center" vertical="center"/>
    </xf>
    <xf numFmtId="0" fontId="31" fillId="5" borderId="19" xfId="0" applyFont="1" applyFill="1" applyBorder="1" applyAlignment="1">
      <alignment horizontal="center" vertical="center"/>
    </xf>
    <xf numFmtId="0" fontId="31" fillId="5" borderId="44" xfId="0" applyFont="1" applyFill="1" applyBorder="1" applyAlignment="1">
      <alignment horizontal="center" vertical="center"/>
    </xf>
    <xf numFmtId="0" fontId="35" fillId="39" borderId="21" xfId="0" applyFont="1" applyFill="1" applyBorder="1" applyAlignment="1">
      <alignment horizontal="center" vertical="center"/>
    </xf>
    <xf numFmtId="0" fontId="35" fillId="39" borderId="22" xfId="0" applyFont="1" applyFill="1" applyBorder="1" applyAlignment="1">
      <alignment horizontal="center" vertical="center"/>
    </xf>
    <xf numFmtId="3" fontId="31" fillId="0" borderId="45" xfId="0" applyNumberFormat="1" applyFont="1" applyBorder="1" applyAlignment="1">
      <alignment horizontal="center" vertical="center"/>
    </xf>
    <xf numFmtId="10" fontId="31" fillId="0" borderId="8" xfId="50" applyNumberFormat="1" applyFont="1" applyBorder="1" applyAlignment="1">
      <alignment horizontal="center" vertical="center"/>
    </xf>
    <xf numFmtId="3" fontId="31" fillId="0" borderId="10" xfId="0" applyNumberFormat="1" applyFont="1" applyBorder="1" applyAlignment="1">
      <alignment horizontal="center" vertical="center"/>
    </xf>
    <xf numFmtId="10" fontId="31" fillId="0" borderId="24" xfId="50" applyNumberFormat="1" applyFont="1" applyBorder="1" applyAlignment="1">
      <alignment horizontal="center" vertical="center"/>
    </xf>
    <xf numFmtId="0" fontId="35" fillId="39" borderId="9" xfId="0" applyFont="1" applyFill="1" applyBorder="1" applyAlignment="1">
      <alignment horizontal="center" vertical="center"/>
    </xf>
    <xf numFmtId="0" fontId="35" fillId="39" borderId="48" xfId="0" applyFont="1" applyFill="1" applyBorder="1" applyAlignment="1">
      <alignment horizontal="center" vertical="center"/>
    </xf>
    <xf numFmtId="3" fontId="31" fillId="0" borderId="46" xfId="0" applyNumberFormat="1" applyFont="1" applyBorder="1" applyAlignment="1">
      <alignment horizontal="center" vertical="center"/>
    </xf>
    <xf numFmtId="3" fontId="31" fillId="0" borderId="6" xfId="0" applyNumberFormat="1" applyFont="1" applyBorder="1" applyAlignment="1">
      <alignment horizontal="center" vertical="center"/>
    </xf>
    <xf numFmtId="0" fontId="35" fillId="39" borderId="4" xfId="0" applyFont="1" applyFill="1" applyBorder="1" applyAlignment="1">
      <alignment horizontal="center" vertical="center"/>
    </xf>
    <xf numFmtId="0" fontId="35" fillId="39" borderId="1" xfId="0" applyFont="1" applyFill="1" applyBorder="1" applyAlignment="1">
      <alignment horizontal="center" vertical="center"/>
    </xf>
    <xf numFmtId="3" fontId="31" fillId="0" borderId="47" xfId="0" applyNumberFormat="1" applyFont="1" applyBorder="1" applyAlignment="1">
      <alignment horizontal="center" vertical="center"/>
    </xf>
    <xf numFmtId="10" fontId="31" fillId="0" borderId="42" xfId="50" applyNumberFormat="1" applyFont="1" applyBorder="1" applyAlignment="1">
      <alignment horizontal="center" vertical="center"/>
    </xf>
    <xf numFmtId="3" fontId="31" fillId="0" borderId="2" xfId="0" applyNumberFormat="1" applyFont="1" applyBorder="1" applyAlignment="1">
      <alignment horizontal="center" vertical="center"/>
    </xf>
    <xf numFmtId="10" fontId="31" fillId="0" borderId="43" xfId="50" applyNumberFormat="1" applyFont="1" applyBorder="1" applyAlignment="1">
      <alignment horizontal="center" vertical="center"/>
    </xf>
    <xf numFmtId="0" fontId="36" fillId="39" borderId="21" xfId="0" applyFont="1" applyFill="1" applyBorder="1" applyAlignment="1">
      <alignment horizontal="center" vertical="center"/>
    </xf>
    <xf numFmtId="0" fontId="36" fillId="39" borderId="22" xfId="0" applyFont="1" applyFill="1" applyBorder="1" applyAlignment="1">
      <alignment horizontal="center" vertical="center"/>
    </xf>
    <xf numFmtId="0" fontId="36" fillId="39" borderId="9" xfId="0" applyFont="1" applyFill="1" applyBorder="1" applyAlignment="1">
      <alignment horizontal="center" vertical="center"/>
    </xf>
    <xf numFmtId="0" fontId="36" fillId="39" borderId="48" xfId="0" applyFont="1" applyFill="1" applyBorder="1" applyAlignment="1">
      <alignment horizontal="center" vertical="center"/>
    </xf>
    <xf numFmtId="0" fontId="36" fillId="39" borderId="4" xfId="0" applyFont="1" applyFill="1" applyBorder="1" applyAlignment="1">
      <alignment horizontal="center" vertical="center"/>
    </xf>
    <xf numFmtId="0" fontId="36" fillId="39" borderId="1" xfId="0" applyFont="1" applyFill="1" applyBorder="1" applyAlignment="1">
      <alignment horizontal="center" vertical="center"/>
    </xf>
    <xf numFmtId="0" fontId="37" fillId="6" borderId="0" xfId="0" applyFont="1" applyFill="1" applyAlignment="1">
      <alignment horizontal="center" vertical="center"/>
    </xf>
    <xf numFmtId="0" fontId="38" fillId="6" borderId="0" xfId="0" applyFont="1" applyFill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0" fillId="38" borderId="0" xfId="0" applyFill="1" applyAlignment="1">
      <alignment horizontal="center" vertical="center"/>
    </xf>
    <xf numFmtId="0" fontId="24" fillId="6" borderId="23" xfId="0" applyFont="1" applyFill="1" applyBorder="1" applyAlignment="1">
      <alignment horizontal="center" vertical="center"/>
    </xf>
    <xf numFmtId="0" fontId="24" fillId="6" borderId="20" xfId="0" applyFont="1" applyFill="1" applyBorder="1" applyAlignment="1">
      <alignment horizontal="center" vertical="center"/>
    </xf>
    <xf numFmtId="0" fontId="24" fillId="6" borderId="22" xfId="0" applyFont="1" applyFill="1" applyBorder="1" applyAlignment="1">
      <alignment horizontal="center" vertical="center"/>
    </xf>
    <xf numFmtId="0" fontId="24" fillId="6" borderId="3" xfId="0" applyFont="1" applyFill="1" applyBorder="1" applyAlignment="1">
      <alignment horizontal="center" vertical="center"/>
    </xf>
    <xf numFmtId="0" fontId="24" fillId="6" borderId="18" xfId="0" applyFont="1" applyFill="1" applyBorder="1" applyAlignment="1">
      <alignment horizontal="center" vertical="center"/>
    </xf>
    <xf numFmtId="0" fontId="24" fillId="6" borderId="1" xfId="0" applyFont="1" applyFill="1" applyBorder="1" applyAlignment="1">
      <alignment horizontal="center" vertical="center"/>
    </xf>
    <xf numFmtId="0" fontId="43" fillId="6" borderId="39" xfId="0" applyFont="1" applyFill="1" applyBorder="1" applyAlignment="1">
      <alignment horizontal="center" vertical="center" wrapText="1"/>
    </xf>
    <xf numFmtId="0" fontId="43" fillId="6" borderId="39" xfId="0" applyFont="1" applyFill="1" applyBorder="1" applyAlignment="1">
      <alignment horizontal="center" vertical="center"/>
    </xf>
    <xf numFmtId="0" fontId="43" fillId="6" borderId="40" xfId="0" applyFont="1" applyFill="1" applyBorder="1" applyAlignment="1">
      <alignment horizontal="center" vertical="center"/>
    </xf>
    <xf numFmtId="0" fontId="43" fillId="6" borderId="0" xfId="0" applyFont="1" applyFill="1" applyAlignment="1">
      <alignment horizontal="center" vertical="center"/>
    </xf>
    <xf numFmtId="0" fontId="42" fillId="6" borderId="3" xfId="0" applyFont="1" applyFill="1" applyBorder="1" applyAlignment="1">
      <alignment horizontal="center" vertical="center"/>
    </xf>
    <xf numFmtId="0" fontId="31" fillId="6" borderId="8" xfId="0" applyFont="1" applyFill="1" applyBorder="1" applyAlignment="1">
      <alignment horizontal="center" vertical="center"/>
    </xf>
    <xf numFmtId="0" fontId="31" fillId="0" borderId="8" xfId="0" applyFont="1" applyBorder="1" applyAlignment="1">
      <alignment horizontal="center" vertical="center"/>
    </xf>
    <xf numFmtId="0" fontId="44" fillId="0" borderId="58" xfId="45" applyFont="1" applyBorder="1" applyAlignment="1">
      <alignment horizontal="center" vertical="center"/>
    </xf>
    <xf numFmtId="0" fontId="44" fillId="0" borderId="59" xfId="45" applyFont="1" applyBorder="1" applyAlignment="1">
      <alignment horizontal="center" vertical="center"/>
    </xf>
    <xf numFmtId="0" fontId="44" fillId="0" borderId="6" xfId="45" applyFont="1" applyBorder="1" applyAlignment="1">
      <alignment horizontal="center" vertical="center"/>
    </xf>
    <xf numFmtId="0" fontId="44" fillId="0" borderId="57" xfId="45" applyFont="1" applyBorder="1" applyAlignment="1">
      <alignment horizontal="center" vertical="center"/>
    </xf>
    <xf numFmtId="0" fontId="44" fillId="0" borderId="2" xfId="45" applyFont="1" applyBorder="1" applyAlignment="1">
      <alignment horizontal="center" vertical="center"/>
    </xf>
    <xf numFmtId="0" fontId="44" fillId="0" borderId="60" xfId="45" applyFont="1" applyBorder="1" applyAlignment="1">
      <alignment horizontal="center" vertical="center"/>
    </xf>
    <xf numFmtId="177" fontId="44" fillId="0" borderId="58" xfId="45" applyNumberFormat="1" applyFont="1" applyBorder="1" applyAlignment="1">
      <alignment horizontal="center" vertical="center"/>
    </xf>
    <xf numFmtId="177" fontId="44" fillId="0" borderId="6" xfId="45" applyNumberFormat="1" applyFont="1" applyBorder="1" applyAlignment="1">
      <alignment horizontal="center" vertical="center"/>
    </xf>
    <xf numFmtId="177" fontId="44" fillId="0" borderId="2" xfId="45" applyNumberFormat="1" applyFont="1" applyBorder="1" applyAlignment="1">
      <alignment horizontal="center" vertical="center"/>
    </xf>
    <xf numFmtId="0" fontId="31" fillId="0" borderId="62" xfId="0" applyFont="1" applyBorder="1" applyAlignment="1">
      <alignment horizontal="center" vertical="center"/>
    </xf>
    <xf numFmtId="38" fontId="44" fillId="0" borderId="6" xfId="45" applyNumberFormat="1" applyFont="1" applyBorder="1" applyAlignment="1">
      <alignment horizontal="center" vertical="center"/>
    </xf>
    <xf numFmtId="0" fontId="44" fillId="0" borderId="9" xfId="34" applyFont="1" applyBorder="1" applyAlignment="1">
      <alignment horizontal="center" vertical="center"/>
    </xf>
    <xf numFmtId="38" fontId="44" fillId="0" borderId="6" xfId="34" applyNumberFormat="1" applyFont="1" applyBorder="1" applyAlignment="1">
      <alignment horizontal="center" vertical="center"/>
    </xf>
    <xf numFmtId="0" fontId="44" fillId="0" borderId="9" xfId="45" applyFont="1" applyBorder="1" applyAlignment="1">
      <alignment horizontal="center" vertical="center"/>
    </xf>
    <xf numFmtId="38" fontId="44" fillId="0" borderId="57" xfId="45" applyNumberFormat="1" applyFont="1" applyBorder="1" applyAlignment="1">
      <alignment horizontal="center" vertical="center"/>
    </xf>
    <xf numFmtId="38" fontId="44" fillId="0" borderId="57" xfId="34" applyNumberFormat="1" applyFont="1" applyBorder="1" applyAlignment="1">
      <alignment horizontal="center" vertical="center"/>
    </xf>
    <xf numFmtId="38" fontId="44" fillId="0" borderId="58" xfId="45" applyNumberFormat="1" applyFont="1" applyBorder="1" applyAlignment="1">
      <alignment horizontal="center" vertical="center"/>
    </xf>
    <xf numFmtId="0" fontId="45" fillId="0" borderId="9" xfId="45" applyFont="1" applyBorder="1" applyAlignment="1">
      <alignment horizontal="center" vertical="center"/>
    </xf>
    <xf numFmtId="38" fontId="45" fillId="0" borderId="6" xfId="45" applyNumberFormat="1" applyFont="1" applyBorder="1" applyAlignment="1">
      <alignment horizontal="center" vertical="center"/>
    </xf>
    <xf numFmtId="38" fontId="45" fillId="0" borderId="57" xfId="45" applyNumberFormat="1" applyFont="1" applyBorder="1" applyAlignment="1">
      <alignment horizontal="center" vertical="center"/>
    </xf>
    <xf numFmtId="38" fontId="44" fillId="0" borderId="64" xfId="34" applyNumberFormat="1" applyFont="1" applyBorder="1" applyAlignment="1">
      <alignment horizontal="center" vertical="center"/>
    </xf>
    <xf numFmtId="0" fontId="45" fillId="0" borderId="61" xfId="45" applyFont="1" applyBorder="1" applyAlignment="1">
      <alignment horizontal="center" vertical="center"/>
    </xf>
    <xf numFmtId="0" fontId="44" fillId="0" borderId="61" xfId="45" applyFont="1" applyBorder="1" applyAlignment="1">
      <alignment horizontal="center" vertical="center"/>
    </xf>
    <xf numFmtId="38" fontId="44" fillId="0" borderId="59" xfId="45" applyNumberFormat="1" applyFont="1" applyBorder="1" applyAlignment="1">
      <alignment horizontal="center" vertical="center"/>
    </xf>
    <xf numFmtId="38" fontId="45" fillId="0" borderId="58" xfId="45" applyNumberFormat="1" applyFont="1" applyBorder="1" applyAlignment="1">
      <alignment horizontal="center" vertical="center"/>
    </xf>
    <xf numFmtId="38" fontId="45" fillId="0" borderId="59" xfId="45" applyNumberFormat="1" applyFont="1" applyBorder="1" applyAlignment="1">
      <alignment horizontal="center" vertical="center"/>
    </xf>
    <xf numFmtId="38" fontId="44" fillId="0" borderId="6" xfId="45" applyNumberFormat="1" applyFont="1" applyBorder="1" applyAlignment="1">
      <alignment horizontal="center" vertical="center"/>
    </xf>
    <xf numFmtId="38" fontId="44" fillId="0" borderId="8" xfId="45" applyNumberFormat="1" applyFont="1" applyBorder="1" applyAlignment="1">
      <alignment horizontal="center" vertical="center"/>
    </xf>
    <xf numFmtId="0" fontId="44" fillId="0" borderId="58" xfId="45" applyFont="1" applyBorder="1" applyAlignment="1">
      <alignment horizontal="center" vertical="center"/>
    </xf>
    <xf numFmtId="0" fontId="44" fillId="0" borderId="6" xfId="45" applyFont="1" applyBorder="1" applyAlignment="1">
      <alignment horizontal="center" vertical="center"/>
    </xf>
    <xf numFmtId="0" fontId="44" fillId="0" borderId="2" xfId="45" applyFont="1" applyBorder="1" applyAlignment="1">
      <alignment horizontal="center" vertical="center"/>
    </xf>
    <xf numFmtId="0" fontId="44" fillId="0" borderId="8" xfId="45" applyFont="1" applyBorder="1" applyAlignment="1">
      <alignment horizontal="center" vertical="center"/>
    </xf>
    <xf numFmtId="38" fontId="44" fillId="0" borderId="58" xfId="45" applyNumberFormat="1" applyFont="1" applyBorder="1" applyAlignment="1">
      <alignment horizontal="center" vertical="center"/>
    </xf>
    <xf numFmtId="38" fontId="44" fillId="0" borderId="2" xfId="45" applyNumberFormat="1" applyFont="1" applyBorder="1" applyAlignment="1">
      <alignment horizontal="center" vertical="center"/>
    </xf>
    <xf numFmtId="0" fontId="31" fillId="6" borderId="62" xfId="0" applyFont="1" applyFill="1" applyBorder="1" applyAlignment="1">
      <alignment horizontal="center" vertical="center"/>
    </xf>
    <xf numFmtId="178" fontId="31" fillId="0" borderId="8" xfId="0" applyNumberFormat="1" applyFont="1" applyBorder="1" applyAlignment="1">
      <alignment horizontal="center" vertical="center"/>
    </xf>
    <xf numFmtId="178" fontId="31" fillId="0" borderId="62" xfId="0" applyNumberFormat="1" applyFont="1" applyBorder="1" applyAlignment="1">
      <alignment horizontal="center" vertical="center"/>
    </xf>
    <xf numFmtId="177" fontId="33" fillId="0" borderId="8" xfId="1" applyNumberFormat="1" applyFont="1" applyBorder="1" applyAlignment="1">
      <alignment horizontal="center" vertical="center"/>
    </xf>
    <xf numFmtId="177" fontId="33" fillId="0" borderId="62" xfId="1" applyNumberFormat="1" applyFont="1" applyBorder="1" applyAlignment="1">
      <alignment horizontal="center" vertical="center"/>
    </xf>
    <xf numFmtId="10" fontId="33" fillId="0" borderId="62" xfId="1" applyNumberFormat="1" applyFont="1" applyBorder="1" applyAlignment="1">
      <alignment horizontal="center" vertical="center"/>
    </xf>
    <xf numFmtId="10" fontId="33" fillId="0" borderId="8" xfId="1" applyNumberFormat="1" applyFont="1" applyBorder="1" applyAlignment="1">
      <alignment horizontal="center" vertical="center"/>
    </xf>
    <xf numFmtId="177" fontId="31" fillId="6" borderId="62" xfId="0" applyNumberFormat="1" applyFont="1" applyFill="1" applyBorder="1" applyAlignment="1">
      <alignment horizontal="center" vertical="center"/>
    </xf>
    <xf numFmtId="177" fontId="31" fillId="6" borderId="8" xfId="0" applyNumberFormat="1" applyFont="1" applyFill="1" applyBorder="1" applyAlignment="1">
      <alignment horizontal="center" vertical="center"/>
    </xf>
    <xf numFmtId="10" fontId="33" fillId="0" borderId="63" xfId="1" applyNumberFormat="1" applyFont="1" applyBorder="1" applyAlignment="1">
      <alignment horizontal="center" vertical="center"/>
    </xf>
    <xf numFmtId="10" fontId="33" fillId="0" borderId="24" xfId="1" applyNumberFormat="1" applyFont="1" applyBorder="1" applyAlignment="1">
      <alignment horizontal="center" vertical="center"/>
    </xf>
    <xf numFmtId="177" fontId="31" fillId="0" borderId="62" xfId="0" applyNumberFormat="1" applyFont="1" applyBorder="1" applyAlignment="1">
      <alignment horizontal="center" vertical="center"/>
    </xf>
    <xf numFmtId="177" fontId="31" fillId="0" borderId="8" xfId="0" applyNumberFormat="1" applyFont="1" applyBorder="1" applyAlignment="1">
      <alignment horizontal="center" vertical="center"/>
    </xf>
  </cellXfs>
  <cellStyles count="55">
    <cellStyle name="20% - 강조색1" xfId="17" builtinId="30" customBuiltin="1"/>
    <cellStyle name="20% - 강조색2" xfId="20" builtinId="34" customBuiltin="1"/>
    <cellStyle name="20% - 강조색3" xfId="23" builtinId="38" customBuiltin="1"/>
    <cellStyle name="20% - 강조색4" xfId="26" builtinId="42" customBuiltin="1"/>
    <cellStyle name="20% - 강조색5" xfId="29" builtinId="46" customBuiltin="1"/>
    <cellStyle name="20% - 강조색6" xfId="32" builtinId="50" customBuiltin="1"/>
    <cellStyle name="40% - 강조색1" xfId="18" builtinId="31" customBuiltin="1"/>
    <cellStyle name="40% - 강조색2" xfId="21" builtinId="35" customBuiltin="1"/>
    <cellStyle name="40% - 강조색3" xfId="24" builtinId="39" customBuiltin="1"/>
    <cellStyle name="40% - 강조색4" xfId="27" builtinId="43" customBuiltin="1"/>
    <cellStyle name="40% - 강조색5" xfId="30" builtinId="47" customBuiltin="1"/>
    <cellStyle name="40% - 강조색6" xfId="33" builtinId="51" customBuiltin="1"/>
    <cellStyle name="60% - 강조색1 2" xfId="37" xr:uid="{00000000-0005-0000-0000-000032000000}"/>
    <cellStyle name="60% - 강조색2 2" xfId="38" xr:uid="{00000000-0005-0000-0000-000033000000}"/>
    <cellStyle name="60% - 강조색3 2" xfId="39" xr:uid="{00000000-0005-0000-0000-000034000000}"/>
    <cellStyle name="60% - 강조색4 2" xfId="40" xr:uid="{00000000-0005-0000-0000-000035000000}"/>
    <cellStyle name="60% - 강조색5 2" xfId="41" xr:uid="{00000000-0005-0000-0000-000036000000}"/>
    <cellStyle name="60% - 강조색6 2" xfId="42" xr:uid="{00000000-0005-0000-0000-000037000000}"/>
    <cellStyle name="강조색1" xfId="16" builtinId="29" customBuiltin="1"/>
    <cellStyle name="강조색2" xfId="19" builtinId="33" customBuiltin="1"/>
    <cellStyle name="강조색3" xfId="22" builtinId="37" customBuiltin="1"/>
    <cellStyle name="강조색4" xfId="25" builtinId="41" customBuiltin="1"/>
    <cellStyle name="강조색5" xfId="28" builtinId="45" customBuiltin="1"/>
    <cellStyle name="강조색6" xfId="31" builtinId="49" customBuiltin="1"/>
    <cellStyle name="경고문" xfId="13" builtinId="11" customBuiltin="1"/>
    <cellStyle name="계산" xfId="10" builtinId="22" customBuiltin="1"/>
    <cellStyle name="나쁨" xfId="7" builtinId="27" customBuiltin="1"/>
    <cellStyle name="메모 2" xfId="44" xr:uid="{00000000-0005-0000-0000-00001B000000}"/>
    <cellStyle name="백분율" xfId="50" builtinId="5"/>
    <cellStyle name="보통 2" xfId="36" xr:uid="{00000000-0005-0000-0000-000039000000}"/>
    <cellStyle name="설명 텍스트" xfId="14" builtinId="53" customBuiltin="1"/>
    <cellStyle name="셀 확인" xfId="12" builtinId="23" customBuiltin="1"/>
    <cellStyle name="쉼표 [0] 2" xfId="54" xr:uid="{5ED53333-90FA-4034-BE3A-E48AAF7A27F0}"/>
    <cellStyle name="연결된 셀" xfId="11" builtinId="24" customBuiltin="1"/>
    <cellStyle name="열어 본 하이퍼링크 2" xfId="47" xr:uid="{00000000-0005-0000-0000-000020000000}"/>
    <cellStyle name="요약" xfId="15" builtinId="25" customBuiltin="1"/>
    <cellStyle name="입력" xfId="8" builtinId="20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제목 5" xfId="35" xr:uid="{00000000-0005-0000-0000-00003B000000}"/>
    <cellStyle name="좋음" xfId="6" builtinId="26" customBuiltin="1"/>
    <cellStyle name="출력" xfId="9" builtinId="21" customBuiltin="1"/>
    <cellStyle name="표준" xfId="0" builtinId="0"/>
    <cellStyle name="표준 2" xfId="34" xr:uid="{00000000-0005-0000-0000-00002B000000}"/>
    <cellStyle name="표준 3" xfId="45" xr:uid="{00000000-0005-0000-0000-00002C000000}"/>
    <cellStyle name="표준 3 2" xfId="49" xr:uid="{00000000-0005-0000-0000-00002D000000}"/>
    <cellStyle name="표준 4" xfId="1" xr:uid="{2FF9B68B-8794-4F1F-9B6D-29886EAF3713}"/>
    <cellStyle name="표준 4 2" xfId="43" xr:uid="{00000000-0005-0000-0000-00002E000000}"/>
    <cellStyle name="표준 4 2 2" xfId="52" xr:uid="{A318B459-CA23-42E2-8ECC-411DF5A1766C}"/>
    <cellStyle name="표준 4 3" xfId="51" xr:uid="{B5FB9756-37D5-4E35-A31F-6F633157E1B2}"/>
    <cellStyle name="표준 5" xfId="48" xr:uid="{00000000-0005-0000-0000-00002F000000}"/>
    <cellStyle name="표준 5 2" xfId="53" xr:uid="{BD8C11C9-B385-4C7C-B99C-9E87BFEF6523}"/>
    <cellStyle name="하이퍼링크 2" xfId="46" xr:uid="{00000000-0005-0000-0000-000030000000}"/>
  </cellStyles>
  <dxfs count="6"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</dxfs>
  <tableStyles count="0" defaultTableStyle="TableStyleMedium2" defaultPivotStyle="PivotStyleLight16"/>
  <colors>
    <mruColors>
      <color rgb="FFFF99FF"/>
      <color rgb="FFCCFFCC"/>
      <color rgb="FF00FF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8</xdr:col>
          <xdr:colOff>6350</xdr:colOff>
          <xdr:row>6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자동 병합 기능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54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746125" y="1681162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34</xdr:row>
      <xdr:rowOff>0</xdr:rowOff>
    </xdr:from>
    <xdr:ext cx="8647200" cy="1602362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732118" y="10570882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74</xdr:row>
      <xdr:rowOff>0</xdr:rowOff>
    </xdr:from>
    <xdr:ext cx="8647200" cy="1602362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734786" y="2315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94</xdr:row>
      <xdr:rowOff>0</xdr:rowOff>
    </xdr:from>
    <xdr:ext cx="8647200" cy="1602362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734786" y="295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54</xdr:row>
      <xdr:rowOff>0</xdr:rowOff>
    </xdr:from>
    <xdr:ext cx="8647200" cy="1602362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736600" y="168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738909" y="417945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34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738909" y="10644909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74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738909" y="23575818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94</xdr:row>
      <xdr:rowOff>0</xdr:rowOff>
    </xdr:from>
    <xdr:ext cx="8647200" cy="1602362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738909" y="30041273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15290</xdr:colOff>
      <xdr:row>8</xdr:row>
      <xdr:rowOff>0</xdr:rowOff>
    </xdr:from>
    <xdr:ext cx="6476651" cy="162111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747408" y="2218765"/>
          <a:ext cx="6476651" cy="16211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7</xdr:row>
      <xdr:rowOff>311150</xdr:rowOff>
    </xdr:from>
    <xdr:ext cx="6476651" cy="162111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736600" y="2190750"/>
          <a:ext cx="6476651" cy="16211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8</xdr:row>
      <xdr:rowOff>0</xdr:rowOff>
    </xdr:from>
    <xdr:ext cx="6476651" cy="162111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732118" y="2218765"/>
          <a:ext cx="6476651" cy="16211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8</xdr:row>
      <xdr:rowOff>0</xdr:rowOff>
    </xdr:from>
    <xdr:ext cx="6476651" cy="162111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736600" y="2197100"/>
          <a:ext cx="6476651" cy="16211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F596D-1499-418A-8860-3C8EB1877B25}">
  <sheetPr codeName="Sheet1"/>
  <dimension ref="B3:E9"/>
  <sheetViews>
    <sheetView workbookViewId="0">
      <selection activeCell="H21" sqref="H21"/>
    </sheetView>
  </sheetViews>
  <sheetFormatPr defaultRowHeight="17"/>
  <cols>
    <col min="2" max="5" width="12.58203125" style="1" customWidth="1"/>
  </cols>
  <sheetData>
    <row r="3" spans="2:5" ht="17.5" thickBot="1">
      <c r="C3" s="1" t="s">
        <v>1</v>
      </c>
      <c r="D3" s="1" t="s">
        <v>2</v>
      </c>
      <c r="E3" s="1" t="s">
        <v>0</v>
      </c>
    </row>
    <row r="4" spans="2:5" ht="17.5" thickTop="1">
      <c r="B4" s="1" t="s">
        <v>3</v>
      </c>
      <c r="C4" s="126">
        <v>361314</v>
      </c>
      <c r="D4" s="120" t="s">
        <v>72</v>
      </c>
      <c r="E4" s="121" t="s">
        <v>73</v>
      </c>
    </row>
    <row r="5" spans="2:5">
      <c r="B5" s="1" t="s">
        <v>17</v>
      </c>
      <c r="C5" s="127">
        <v>360591</v>
      </c>
      <c r="D5" s="122" t="s">
        <v>74</v>
      </c>
      <c r="E5" s="123" t="s">
        <v>75</v>
      </c>
    </row>
    <row r="6" spans="2:5">
      <c r="B6" s="1" t="s">
        <v>4</v>
      </c>
      <c r="C6" s="127">
        <v>358771</v>
      </c>
      <c r="D6" s="122" t="s">
        <v>76</v>
      </c>
      <c r="E6" s="123" t="s">
        <v>77</v>
      </c>
    </row>
    <row r="7" spans="2:5">
      <c r="B7" s="1" t="s">
        <v>5</v>
      </c>
      <c r="C7" s="127">
        <v>357061</v>
      </c>
      <c r="D7" s="122" t="s">
        <v>78</v>
      </c>
      <c r="E7" s="123" t="s">
        <v>79</v>
      </c>
    </row>
    <row r="8" spans="2:5">
      <c r="B8" s="1" t="s">
        <v>18</v>
      </c>
      <c r="C8" s="127">
        <v>356181</v>
      </c>
      <c r="D8" s="122" t="s">
        <v>80</v>
      </c>
      <c r="E8" s="123" t="s">
        <v>81</v>
      </c>
    </row>
    <row r="9" spans="2:5" ht="17.5" thickBot="1">
      <c r="B9" s="1" t="s">
        <v>19</v>
      </c>
      <c r="C9" s="128">
        <v>355599</v>
      </c>
      <c r="D9" s="124" t="s">
        <v>82</v>
      </c>
      <c r="E9" s="125" t="s">
        <v>83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표점증발병합_및_복사영역선택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8</xdr:col>
                    <xdr:colOff>6350</xdr:colOff>
                    <xdr:row>6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BFFD9-ECD1-4F20-92E4-14F247EF20FA}">
  <sheetPr codeName="Sheet2"/>
  <dimension ref="A3:F57"/>
  <sheetViews>
    <sheetView workbookViewId="0">
      <selection activeCell="C4" sqref="C4:D57"/>
    </sheetView>
  </sheetViews>
  <sheetFormatPr defaultRowHeight="17"/>
  <cols>
    <col min="2" max="2" width="12.58203125" customWidth="1"/>
    <col min="3" max="3" width="17.58203125" customWidth="1"/>
    <col min="4" max="4" width="18.08203125" customWidth="1"/>
    <col min="5" max="6" width="12.58203125" customWidth="1"/>
  </cols>
  <sheetData>
    <row r="3" spans="1:6" ht="17.5" thickBot="1">
      <c r="C3" s="106" t="s">
        <v>32</v>
      </c>
      <c r="D3" s="106"/>
      <c r="E3" s="1"/>
      <c r="F3" s="1"/>
    </row>
    <row r="4" spans="1:6" ht="17.5" thickTop="1">
      <c r="A4" t="s">
        <v>20</v>
      </c>
      <c r="B4" s="1" t="s">
        <v>9</v>
      </c>
      <c r="C4" s="148">
        <v>136</v>
      </c>
      <c r="D4" s="152">
        <v>15171</v>
      </c>
      <c r="E4" s="1"/>
      <c r="F4" s="1"/>
    </row>
    <row r="5" spans="1:6">
      <c r="B5" s="1" t="s">
        <v>10</v>
      </c>
      <c r="C5" s="149">
        <v>127</v>
      </c>
      <c r="D5" s="146">
        <v>24764</v>
      </c>
      <c r="E5" s="1"/>
      <c r="F5" s="1"/>
    </row>
    <row r="6" spans="1:6">
      <c r="B6" s="1" t="s">
        <v>11</v>
      </c>
      <c r="C6" s="149">
        <v>117</v>
      </c>
      <c r="D6" s="146">
        <v>46331</v>
      </c>
      <c r="E6" s="1"/>
      <c r="F6" s="1"/>
    </row>
    <row r="7" spans="1:6">
      <c r="B7" s="1" t="s">
        <v>12</v>
      </c>
      <c r="C7" s="149">
        <v>105</v>
      </c>
      <c r="D7" s="146">
        <v>62790</v>
      </c>
      <c r="E7" s="1"/>
      <c r="F7" s="1"/>
    </row>
    <row r="8" spans="1:6">
      <c r="B8" s="1" t="s">
        <v>13</v>
      </c>
      <c r="C8" s="149">
        <v>93</v>
      </c>
      <c r="D8" s="146">
        <v>70649</v>
      </c>
      <c r="E8" s="1"/>
      <c r="F8" s="1"/>
    </row>
    <row r="9" spans="1:6">
      <c r="B9" s="1" t="s">
        <v>14</v>
      </c>
      <c r="C9" s="149">
        <v>82</v>
      </c>
      <c r="D9" s="146">
        <v>59059</v>
      </c>
      <c r="E9" s="1"/>
      <c r="F9" s="1"/>
    </row>
    <row r="10" spans="1:6">
      <c r="B10" s="1" t="s">
        <v>15</v>
      </c>
      <c r="C10" s="149">
        <v>75</v>
      </c>
      <c r="D10" s="146">
        <v>44913</v>
      </c>
      <c r="E10" s="1"/>
      <c r="F10" s="1"/>
    </row>
    <row r="11" spans="1:6">
      <c r="B11" s="1" t="s">
        <v>16</v>
      </c>
      <c r="C11" s="149">
        <v>70</v>
      </c>
      <c r="D11" s="146">
        <v>24974</v>
      </c>
      <c r="E11" s="1"/>
      <c r="F11" s="1"/>
    </row>
    <row r="12" spans="1:6" ht="17.5" thickBot="1">
      <c r="B12" s="1" t="s">
        <v>23</v>
      </c>
      <c r="C12" s="150">
        <v>53</v>
      </c>
      <c r="D12" s="153">
        <v>12663</v>
      </c>
    </row>
    <row r="13" spans="1:6">
      <c r="A13" t="s">
        <v>21</v>
      </c>
      <c r="B13" s="1" t="s">
        <v>24</v>
      </c>
      <c r="C13" s="151">
        <v>135</v>
      </c>
      <c r="D13" s="147">
        <v>14589</v>
      </c>
    </row>
    <row r="14" spans="1:6">
      <c r="B14" s="1" t="s">
        <v>25</v>
      </c>
      <c r="C14" s="149">
        <v>125</v>
      </c>
      <c r="D14" s="146">
        <v>32189</v>
      </c>
    </row>
    <row r="15" spans="1:6">
      <c r="B15" s="1" t="s">
        <v>26</v>
      </c>
      <c r="C15" s="149">
        <v>119</v>
      </c>
      <c r="D15" s="146">
        <v>37512</v>
      </c>
    </row>
    <row r="16" spans="1:6">
      <c r="B16" s="1" t="s">
        <v>27</v>
      </c>
      <c r="C16" s="149">
        <v>108</v>
      </c>
      <c r="D16" s="146">
        <v>60109</v>
      </c>
    </row>
    <row r="17" spans="1:4">
      <c r="B17" s="1" t="s">
        <v>28</v>
      </c>
      <c r="C17" s="149">
        <v>92</v>
      </c>
      <c r="D17" s="146">
        <v>74063</v>
      </c>
    </row>
    <row r="18" spans="1:4">
      <c r="B18" s="1" t="s">
        <v>29</v>
      </c>
      <c r="C18" s="149">
        <v>80</v>
      </c>
      <c r="D18" s="146">
        <v>60814</v>
      </c>
    </row>
    <row r="19" spans="1:4">
      <c r="B19" s="1" t="s">
        <v>30</v>
      </c>
      <c r="C19" s="149">
        <v>75</v>
      </c>
      <c r="D19" s="146">
        <v>43316</v>
      </c>
    </row>
    <row r="20" spans="1:4">
      <c r="B20" s="1" t="s">
        <v>31</v>
      </c>
      <c r="C20" s="149">
        <v>72</v>
      </c>
      <c r="D20" s="146">
        <v>24142</v>
      </c>
    </row>
    <row r="21" spans="1:4" ht="17.5" thickBot="1">
      <c r="B21" s="1" t="s">
        <v>22</v>
      </c>
      <c r="C21" s="150">
        <v>62</v>
      </c>
      <c r="D21" s="153">
        <v>13857</v>
      </c>
    </row>
    <row r="22" spans="1:4">
      <c r="A22" t="s">
        <v>33</v>
      </c>
      <c r="B22" s="1" t="s">
        <v>9</v>
      </c>
      <c r="C22" s="151">
        <v>90</v>
      </c>
      <c r="D22" s="147">
        <v>27159</v>
      </c>
    </row>
    <row r="23" spans="1:4">
      <c r="B23" s="1" t="s">
        <v>10</v>
      </c>
      <c r="C23" s="149">
        <v>80</v>
      </c>
      <c r="D23" s="146">
        <v>34985</v>
      </c>
    </row>
    <row r="24" spans="1:4">
      <c r="B24" s="1" t="s">
        <v>11</v>
      </c>
      <c r="C24" s="149">
        <v>70</v>
      </c>
      <c r="D24" s="146">
        <v>38889</v>
      </c>
    </row>
    <row r="25" spans="1:4">
      <c r="B25" s="1" t="s">
        <v>12</v>
      </c>
      <c r="C25" s="149">
        <v>60</v>
      </c>
      <c r="D25" s="146">
        <v>44424</v>
      </c>
    </row>
    <row r="26" spans="1:4">
      <c r="B26" s="1" t="s">
        <v>13</v>
      </c>
      <c r="C26" s="149">
        <v>50</v>
      </c>
      <c r="D26" s="146">
        <v>50391</v>
      </c>
    </row>
    <row r="27" spans="1:4">
      <c r="B27" s="1" t="s">
        <v>14</v>
      </c>
      <c r="C27" s="149">
        <v>40</v>
      </c>
      <c r="D27" s="146">
        <v>53700</v>
      </c>
    </row>
    <row r="28" spans="1:4">
      <c r="B28" s="1" t="s">
        <v>15</v>
      </c>
      <c r="C28" s="149">
        <v>30</v>
      </c>
      <c r="D28" s="146">
        <v>51630</v>
      </c>
    </row>
    <row r="29" spans="1:4">
      <c r="B29" s="1" t="s">
        <v>16</v>
      </c>
      <c r="C29" s="149">
        <v>20</v>
      </c>
      <c r="D29" s="146">
        <v>43933</v>
      </c>
    </row>
    <row r="30" spans="1:4" ht="17.5" thickBot="1">
      <c r="B30" s="1" t="s">
        <v>23</v>
      </c>
      <c r="C30" s="150">
        <v>0</v>
      </c>
      <c r="D30" s="153">
        <v>13660</v>
      </c>
    </row>
    <row r="31" spans="1:4">
      <c r="A31" t="s">
        <v>34</v>
      </c>
      <c r="B31" s="1" t="s">
        <v>9</v>
      </c>
      <c r="C31" s="151">
        <v>40</v>
      </c>
      <c r="D31" s="147">
        <v>86627</v>
      </c>
    </row>
    <row r="32" spans="1:4">
      <c r="B32" s="1" t="s">
        <v>25</v>
      </c>
      <c r="C32" s="149">
        <v>35</v>
      </c>
      <c r="D32" s="146">
        <v>56114</v>
      </c>
    </row>
    <row r="33" spans="1:4">
      <c r="B33" s="1" t="s">
        <v>26</v>
      </c>
      <c r="C33" s="149">
        <v>30</v>
      </c>
      <c r="D33" s="146">
        <v>53685</v>
      </c>
    </row>
    <row r="34" spans="1:4">
      <c r="B34" s="1" t="s">
        <v>27</v>
      </c>
      <c r="C34" s="149">
        <v>25</v>
      </c>
      <c r="D34" s="146">
        <v>44398</v>
      </c>
    </row>
    <row r="35" spans="1:4">
      <c r="B35" s="1" t="s">
        <v>28</v>
      </c>
      <c r="C35" s="149">
        <v>20</v>
      </c>
      <c r="D35" s="146">
        <v>33755</v>
      </c>
    </row>
    <row r="36" spans="1:4">
      <c r="B36" s="1" t="s">
        <v>29</v>
      </c>
      <c r="C36" s="149">
        <v>15</v>
      </c>
      <c r="D36" s="146">
        <v>27979</v>
      </c>
    </row>
    <row r="37" spans="1:4">
      <c r="B37" s="1" t="s">
        <v>30</v>
      </c>
      <c r="C37" s="149">
        <v>10</v>
      </c>
      <c r="D37" s="146">
        <v>38607</v>
      </c>
    </row>
    <row r="38" spans="1:4">
      <c r="B38" s="1" t="s">
        <v>31</v>
      </c>
      <c r="C38" s="149">
        <v>5</v>
      </c>
      <c r="D38" s="146">
        <v>13384</v>
      </c>
    </row>
    <row r="39" spans="1:4" ht="17.5" thickBot="1">
      <c r="B39" s="1" t="s">
        <v>22</v>
      </c>
      <c r="C39" s="150">
        <v>0</v>
      </c>
      <c r="D39" s="153">
        <v>2512</v>
      </c>
    </row>
    <row r="40" spans="1:4">
      <c r="A40" t="s">
        <v>35</v>
      </c>
      <c r="B40" s="1" t="s">
        <v>9</v>
      </c>
      <c r="C40" s="151">
        <v>40</v>
      </c>
      <c r="D40" s="147">
        <v>56423</v>
      </c>
    </row>
    <row r="41" spans="1:4">
      <c r="B41" s="1" t="s">
        <v>10</v>
      </c>
      <c r="C41" s="149">
        <v>35</v>
      </c>
      <c r="D41" s="146">
        <v>65475</v>
      </c>
    </row>
    <row r="42" spans="1:4">
      <c r="B42" s="1" t="s">
        <v>11</v>
      </c>
      <c r="C42" s="149">
        <v>30</v>
      </c>
      <c r="D42" s="146">
        <v>67967</v>
      </c>
    </row>
    <row r="43" spans="1:4">
      <c r="B43" s="1" t="s">
        <v>12</v>
      </c>
      <c r="C43" s="149">
        <v>25</v>
      </c>
      <c r="D43" s="146">
        <v>55924</v>
      </c>
    </row>
    <row r="44" spans="1:4">
      <c r="B44" s="1" t="s">
        <v>13</v>
      </c>
      <c r="C44" s="149">
        <v>20</v>
      </c>
      <c r="D44" s="146">
        <v>38513</v>
      </c>
    </row>
    <row r="45" spans="1:4">
      <c r="B45" s="1" t="s">
        <v>14</v>
      </c>
      <c r="C45" s="149">
        <v>15</v>
      </c>
      <c r="D45" s="146">
        <v>26664</v>
      </c>
    </row>
    <row r="46" spans="1:4">
      <c r="B46" s="1" t="s">
        <v>15</v>
      </c>
      <c r="C46" s="149">
        <v>10</v>
      </c>
      <c r="D46" s="146">
        <v>29510</v>
      </c>
    </row>
    <row r="47" spans="1:4">
      <c r="B47" s="1" t="s">
        <v>16</v>
      </c>
      <c r="C47" s="149">
        <v>5</v>
      </c>
      <c r="D47" s="146">
        <v>13922</v>
      </c>
    </row>
    <row r="48" spans="1:4" ht="17.5" thickBot="1">
      <c r="B48" s="1" t="s">
        <v>23</v>
      </c>
      <c r="C48" s="150">
        <v>0</v>
      </c>
      <c r="D48" s="153">
        <v>1783</v>
      </c>
    </row>
    <row r="49" spans="1:4">
      <c r="A49" t="s">
        <v>36</v>
      </c>
      <c r="B49" s="1" t="s">
        <v>9</v>
      </c>
      <c r="C49" s="151">
        <v>40</v>
      </c>
      <c r="D49" s="147">
        <v>73727</v>
      </c>
    </row>
    <row r="50" spans="1:4">
      <c r="B50" s="1" t="s">
        <v>25</v>
      </c>
      <c r="C50" s="149">
        <v>35</v>
      </c>
      <c r="D50" s="146">
        <v>38793</v>
      </c>
    </row>
    <row r="51" spans="1:4">
      <c r="B51" s="1" t="s">
        <v>26</v>
      </c>
      <c r="C51" s="149">
        <v>30</v>
      </c>
      <c r="D51" s="146">
        <v>39567</v>
      </c>
    </row>
    <row r="52" spans="1:4">
      <c r="B52" s="1" t="s">
        <v>27</v>
      </c>
      <c r="C52" s="149">
        <v>25</v>
      </c>
      <c r="D52" s="146">
        <v>40550</v>
      </c>
    </row>
    <row r="53" spans="1:4">
      <c r="B53" s="1" t="s">
        <v>28</v>
      </c>
      <c r="C53" s="149">
        <v>20</v>
      </c>
      <c r="D53" s="146">
        <v>41745</v>
      </c>
    </row>
    <row r="54" spans="1:4">
      <c r="B54" s="1" t="s">
        <v>29</v>
      </c>
      <c r="C54" s="149">
        <v>15</v>
      </c>
      <c r="D54" s="146">
        <v>43395</v>
      </c>
    </row>
    <row r="55" spans="1:4">
      <c r="B55" s="1" t="s">
        <v>30</v>
      </c>
      <c r="C55" s="149">
        <v>10</v>
      </c>
      <c r="D55" s="146">
        <v>53781</v>
      </c>
    </row>
    <row r="56" spans="1:4">
      <c r="B56" s="1" t="s">
        <v>31</v>
      </c>
      <c r="C56" s="149">
        <v>5</v>
      </c>
      <c r="D56" s="146">
        <v>20896</v>
      </c>
    </row>
    <row r="57" spans="1:4" ht="17.5" thickBot="1">
      <c r="B57" s="1" t="s">
        <v>22</v>
      </c>
      <c r="C57" s="150">
        <v>0</v>
      </c>
      <c r="D57" s="153">
        <v>3145</v>
      </c>
    </row>
  </sheetData>
  <mergeCells count="1">
    <mergeCell ref="C3:D3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3C3CE-17EB-47DF-B598-C7487F2B56E7}">
  <sheetPr codeName="Sheet3"/>
  <dimension ref="A1:P102"/>
  <sheetViews>
    <sheetView workbookViewId="0">
      <selection activeCell="A5" sqref="A5:J98"/>
    </sheetView>
  </sheetViews>
  <sheetFormatPr defaultRowHeight="17"/>
  <sheetData>
    <row r="1" spans="1:16">
      <c r="A1" s="10"/>
    </row>
    <row r="2" spans="1:16" ht="17.5" thickBot="1"/>
    <row r="3" spans="1:16">
      <c r="A3" s="39" t="s">
        <v>8</v>
      </c>
      <c r="B3" s="40"/>
      <c r="C3" s="40"/>
      <c r="D3" s="41"/>
      <c r="F3" s="39" t="s">
        <v>17</v>
      </c>
      <c r="G3" s="40"/>
      <c r="H3" s="40"/>
      <c r="I3" s="41"/>
    </row>
    <row r="4" spans="1:16" ht="17.5" thickBot="1">
      <c r="A4" s="3" t="s">
        <v>6</v>
      </c>
      <c r="B4" s="1"/>
      <c r="C4" s="1"/>
      <c r="D4" s="4" t="s">
        <v>7</v>
      </c>
      <c r="E4" s="11"/>
      <c r="F4" s="1" t="s">
        <v>6</v>
      </c>
      <c r="G4" s="1"/>
      <c r="H4" s="1"/>
      <c r="I4" s="4" t="s">
        <v>7</v>
      </c>
      <c r="L4" s="1"/>
      <c r="M4" s="1"/>
      <c r="O4" s="1"/>
      <c r="P4" s="1"/>
    </row>
    <row r="5" spans="1:16" ht="17.5" thickTop="1">
      <c r="A5" s="142">
        <v>148</v>
      </c>
      <c r="B5" s="136">
        <v>126</v>
      </c>
      <c r="C5" s="136">
        <v>192</v>
      </c>
      <c r="D5" s="136">
        <v>330</v>
      </c>
      <c r="E5" s="143">
        <v>330</v>
      </c>
      <c r="F5" s="141">
        <v>145</v>
      </c>
      <c r="G5" s="144">
        <v>1063</v>
      </c>
      <c r="H5" s="144">
        <v>467</v>
      </c>
      <c r="I5" s="144">
        <v>1553</v>
      </c>
      <c r="J5" s="145">
        <v>1553</v>
      </c>
      <c r="L5" s="1"/>
      <c r="M5" s="1"/>
      <c r="O5" s="1"/>
      <c r="P5" s="1"/>
    </row>
    <row r="6" spans="1:16">
      <c r="A6" s="133">
        <v>146</v>
      </c>
      <c r="B6" s="130">
        <v>333</v>
      </c>
      <c r="C6" s="130">
        <v>468</v>
      </c>
      <c r="D6" s="130">
        <v>815</v>
      </c>
      <c r="E6" s="134">
        <v>1145</v>
      </c>
      <c r="F6" s="137">
        <v>144</v>
      </c>
      <c r="G6" s="138">
        <v>3</v>
      </c>
      <c r="H6" s="138">
        <v>0</v>
      </c>
      <c r="I6" s="138">
        <v>3</v>
      </c>
      <c r="J6" s="139">
        <v>1556</v>
      </c>
      <c r="L6" s="1"/>
      <c r="M6" s="1"/>
      <c r="O6" s="1"/>
      <c r="P6" s="1"/>
    </row>
    <row r="7" spans="1:16">
      <c r="A7" s="133">
        <v>145</v>
      </c>
      <c r="B7" s="130">
        <v>90</v>
      </c>
      <c r="C7" s="130">
        <v>135</v>
      </c>
      <c r="D7" s="130">
        <v>231</v>
      </c>
      <c r="E7" s="134">
        <v>1376</v>
      </c>
      <c r="F7" s="137">
        <v>143</v>
      </c>
      <c r="G7" s="138">
        <v>135</v>
      </c>
      <c r="H7" s="138">
        <v>42</v>
      </c>
      <c r="I7" s="138">
        <v>182</v>
      </c>
      <c r="J7" s="139">
        <v>1738</v>
      </c>
      <c r="L7" s="1"/>
      <c r="M7" s="1"/>
      <c r="O7" s="1"/>
      <c r="P7" s="1"/>
    </row>
    <row r="8" spans="1:16">
      <c r="A8" s="133">
        <v>144</v>
      </c>
      <c r="B8" s="130">
        <v>418</v>
      </c>
      <c r="C8" s="130">
        <v>549</v>
      </c>
      <c r="D8" s="130">
        <v>980</v>
      </c>
      <c r="E8" s="134">
        <v>2356</v>
      </c>
      <c r="F8" s="137">
        <v>142</v>
      </c>
      <c r="G8" s="138">
        <v>1641</v>
      </c>
      <c r="H8" s="138">
        <v>951</v>
      </c>
      <c r="I8" s="138">
        <v>2621</v>
      </c>
      <c r="J8" s="139">
        <v>4359</v>
      </c>
      <c r="L8" s="1"/>
      <c r="M8" s="1"/>
      <c r="O8" s="1"/>
      <c r="P8" s="1"/>
    </row>
    <row r="9" spans="1:16">
      <c r="A9" s="133">
        <v>143</v>
      </c>
      <c r="B9" s="130">
        <v>299</v>
      </c>
      <c r="C9" s="130">
        <v>414</v>
      </c>
      <c r="D9" s="130">
        <v>725</v>
      </c>
      <c r="E9" s="134">
        <v>3081</v>
      </c>
      <c r="F9" s="137">
        <v>141</v>
      </c>
      <c r="G9" s="138">
        <v>1</v>
      </c>
      <c r="H9" s="138">
        <v>1</v>
      </c>
      <c r="I9" s="138">
        <v>2</v>
      </c>
      <c r="J9" s="139">
        <v>4361</v>
      </c>
      <c r="L9" s="1"/>
      <c r="M9" s="1"/>
      <c r="O9" s="1"/>
      <c r="P9" s="1"/>
    </row>
    <row r="10" spans="1:16">
      <c r="A10" s="133">
        <v>142</v>
      </c>
      <c r="B10" s="130">
        <v>421</v>
      </c>
      <c r="C10" s="130">
        <v>529</v>
      </c>
      <c r="D10" s="130">
        <v>973</v>
      </c>
      <c r="E10" s="134">
        <v>4054</v>
      </c>
      <c r="F10" s="137">
        <v>140</v>
      </c>
      <c r="G10" s="138">
        <v>10</v>
      </c>
      <c r="H10" s="138">
        <v>2</v>
      </c>
      <c r="I10" s="138">
        <v>13</v>
      </c>
      <c r="J10" s="139">
        <v>4374</v>
      </c>
      <c r="L10" s="1"/>
      <c r="M10" s="1"/>
      <c r="O10" s="1"/>
      <c r="P10" s="1"/>
    </row>
    <row r="11" spans="1:16">
      <c r="A11" s="133">
        <v>141</v>
      </c>
      <c r="B11" s="130">
        <v>532</v>
      </c>
      <c r="C11" s="130">
        <v>739</v>
      </c>
      <c r="D11" s="130">
        <v>1290</v>
      </c>
      <c r="E11" s="134">
        <v>5344</v>
      </c>
      <c r="F11" s="137">
        <v>139</v>
      </c>
      <c r="G11" s="138">
        <v>2681</v>
      </c>
      <c r="H11" s="138">
        <v>1651</v>
      </c>
      <c r="I11" s="138">
        <v>4413</v>
      </c>
      <c r="J11" s="139">
        <v>8787</v>
      </c>
      <c r="L11" s="1"/>
      <c r="M11" s="1"/>
      <c r="O11" s="1"/>
      <c r="P11" s="1"/>
    </row>
    <row r="12" spans="1:16">
      <c r="A12" s="133">
        <v>140</v>
      </c>
      <c r="B12" s="130">
        <v>459</v>
      </c>
      <c r="C12" s="130">
        <v>640</v>
      </c>
      <c r="D12" s="130">
        <v>1115</v>
      </c>
      <c r="E12" s="134">
        <v>6459</v>
      </c>
      <c r="F12" s="137">
        <v>138</v>
      </c>
      <c r="G12" s="138">
        <v>5</v>
      </c>
      <c r="H12" s="138">
        <v>1</v>
      </c>
      <c r="I12" s="138">
        <v>6</v>
      </c>
      <c r="J12" s="139">
        <v>8793</v>
      </c>
      <c r="L12" s="1"/>
      <c r="M12" s="1"/>
      <c r="O12" s="1"/>
      <c r="P12" s="1"/>
    </row>
    <row r="13" spans="1:16">
      <c r="A13" s="133">
        <v>139</v>
      </c>
      <c r="B13" s="130">
        <v>712</v>
      </c>
      <c r="C13" s="130">
        <v>942</v>
      </c>
      <c r="D13" s="130">
        <v>1688</v>
      </c>
      <c r="E13" s="134">
        <v>8147</v>
      </c>
      <c r="F13" s="137">
        <v>137</v>
      </c>
      <c r="G13" s="138">
        <v>64</v>
      </c>
      <c r="H13" s="138">
        <v>18</v>
      </c>
      <c r="I13" s="138">
        <v>82</v>
      </c>
      <c r="J13" s="139">
        <v>8875</v>
      </c>
      <c r="L13" s="1"/>
      <c r="M13" s="1"/>
      <c r="O13" s="1"/>
      <c r="P13" s="1"/>
    </row>
    <row r="14" spans="1:16">
      <c r="A14" s="133">
        <v>138</v>
      </c>
      <c r="B14" s="130">
        <v>1298</v>
      </c>
      <c r="C14" s="130">
        <v>1854</v>
      </c>
      <c r="D14" s="130">
        <v>3221</v>
      </c>
      <c r="E14" s="134">
        <v>11368</v>
      </c>
      <c r="F14" s="137">
        <v>136</v>
      </c>
      <c r="G14" s="138">
        <v>626</v>
      </c>
      <c r="H14" s="138">
        <v>345</v>
      </c>
      <c r="I14" s="138">
        <v>990</v>
      </c>
      <c r="J14" s="139">
        <v>9865</v>
      </c>
      <c r="L14" s="1"/>
      <c r="M14" s="1"/>
      <c r="O14" s="1"/>
      <c r="P14" s="1"/>
    </row>
    <row r="15" spans="1:16">
      <c r="A15" s="133">
        <v>137</v>
      </c>
      <c r="B15" s="130">
        <v>755</v>
      </c>
      <c r="C15" s="130">
        <v>1046</v>
      </c>
      <c r="D15" s="130">
        <v>1828</v>
      </c>
      <c r="E15" s="134">
        <v>13196</v>
      </c>
      <c r="F15" s="137">
        <v>135</v>
      </c>
      <c r="G15" s="138">
        <v>2775</v>
      </c>
      <c r="H15" s="138">
        <v>1878</v>
      </c>
      <c r="I15" s="138">
        <v>4724</v>
      </c>
      <c r="J15" s="139">
        <v>14589</v>
      </c>
      <c r="L15" s="1"/>
      <c r="M15" s="1"/>
      <c r="O15" s="1"/>
      <c r="P15" s="1"/>
    </row>
    <row r="16" spans="1:16">
      <c r="A16" s="133">
        <v>136</v>
      </c>
      <c r="B16" s="130">
        <v>835</v>
      </c>
      <c r="C16" s="130">
        <v>1106</v>
      </c>
      <c r="D16" s="130">
        <v>1975</v>
      </c>
      <c r="E16" s="134">
        <v>15171</v>
      </c>
      <c r="F16" s="137">
        <v>134</v>
      </c>
      <c r="G16" s="138">
        <v>133</v>
      </c>
      <c r="H16" s="138">
        <v>49</v>
      </c>
      <c r="I16" s="138">
        <v>184</v>
      </c>
      <c r="J16" s="139">
        <v>14773</v>
      </c>
      <c r="L16" s="1"/>
      <c r="M16" s="1"/>
      <c r="O16" s="1"/>
      <c r="P16" s="1"/>
    </row>
    <row r="17" spans="1:16">
      <c r="A17" s="133">
        <v>135</v>
      </c>
      <c r="B17" s="130">
        <v>898</v>
      </c>
      <c r="C17" s="130">
        <v>1273</v>
      </c>
      <c r="D17" s="130">
        <v>2216</v>
      </c>
      <c r="E17" s="134">
        <v>17387</v>
      </c>
      <c r="F17" s="137">
        <v>133</v>
      </c>
      <c r="G17" s="138">
        <v>938</v>
      </c>
      <c r="H17" s="138">
        <v>577</v>
      </c>
      <c r="I17" s="138">
        <v>1538</v>
      </c>
      <c r="J17" s="139">
        <v>16311</v>
      </c>
      <c r="L17" s="1"/>
      <c r="M17" s="1"/>
      <c r="O17" s="1"/>
      <c r="P17" s="1"/>
    </row>
    <row r="18" spans="1:16">
      <c r="A18" s="133">
        <v>134</v>
      </c>
      <c r="B18" s="130">
        <v>931</v>
      </c>
      <c r="C18" s="130">
        <v>1311</v>
      </c>
      <c r="D18" s="130">
        <v>2282</v>
      </c>
      <c r="E18" s="134">
        <v>19669</v>
      </c>
      <c r="F18" s="137">
        <v>132</v>
      </c>
      <c r="G18" s="138">
        <v>3400</v>
      </c>
      <c r="H18" s="138">
        <v>2565</v>
      </c>
      <c r="I18" s="138">
        <v>6072</v>
      </c>
      <c r="J18" s="139">
        <v>22383</v>
      </c>
      <c r="L18" s="1"/>
      <c r="M18" s="1"/>
      <c r="O18" s="1"/>
      <c r="P18" s="1"/>
    </row>
    <row r="19" spans="1:16">
      <c r="A19" s="133">
        <v>133</v>
      </c>
      <c r="B19" s="130">
        <v>1099</v>
      </c>
      <c r="C19" s="130">
        <v>1426</v>
      </c>
      <c r="D19" s="130">
        <v>2562</v>
      </c>
      <c r="E19" s="134">
        <v>22231</v>
      </c>
      <c r="F19" s="137">
        <v>131</v>
      </c>
      <c r="G19" s="138">
        <v>19</v>
      </c>
      <c r="H19" s="138">
        <v>7</v>
      </c>
      <c r="I19" s="138">
        <v>27</v>
      </c>
      <c r="J19" s="139">
        <v>22410</v>
      </c>
      <c r="L19" s="1"/>
      <c r="M19" s="1"/>
      <c r="O19" s="1"/>
      <c r="P19" s="1"/>
    </row>
    <row r="20" spans="1:16">
      <c r="A20" s="133">
        <v>132</v>
      </c>
      <c r="B20" s="130">
        <v>1051</v>
      </c>
      <c r="C20" s="130">
        <v>1403</v>
      </c>
      <c r="D20" s="130">
        <v>2493</v>
      </c>
      <c r="E20" s="134">
        <v>24724</v>
      </c>
      <c r="F20" s="137">
        <v>130</v>
      </c>
      <c r="G20" s="138">
        <v>242</v>
      </c>
      <c r="H20" s="138">
        <v>100</v>
      </c>
      <c r="I20" s="138">
        <v>349</v>
      </c>
      <c r="J20" s="139">
        <v>22759</v>
      </c>
      <c r="L20" s="1"/>
      <c r="M20" s="1"/>
      <c r="O20" s="1"/>
      <c r="P20" s="1"/>
    </row>
    <row r="21" spans="1:16">
      <c r="A21" s="133">
        <v>131</v>
      </c>
      <c r="B21" s="130">
        <v>1141</v>
      </c>
      <c r="C21" s="130">
        <v>1543</v>
      </c>
      <c r="D21" s="130">
        <v>2730</v>
      </c>
      <c r="E21" s="134">
        <v>27454</v>
      </c>
      <c r="F21" s="137">
        <v>129</v>
      </c>
      <c r="G21" s="138">
        <v>5678</v>
      </c>
      <c r="H21" s="138">
        <v>4331</v>
      </c>
      <c r="I21" s="138">
        <v>10197</v>
      </c>
      <c r="J21" s="139">
        <v>32956</v>
      </c>
      <c r="L21" s="1"/>
      <c r="M21" s="1"/>
      <c r="O21" s="1"/>
      <c r="P21" s="1"/>
    </row>
    <row r="22" spans="1:16">
      <c r="A22" s="133">
        <v>130</v>
      </c>
      <c r="B22" s="130">
        <v>1165</v>
      </c>
      <c r="C22" s="130">
        <v>1592</v>
      </c>
      <c r="D22" s="130">
        <v>2821</v>
      </c>
      <c r="E22" s="134">
        <v>30275</v>
      </c>
      <c r="F22" s="137">
        <v>128</v>
      </c>
      <c r="G22" s="138">
        <v>29</v>
      </c>
      <c r="H22" s="138">
        <v>14</v>
      </c>
      <c r="I22" s="138">
        <v>43</v>
      </c>
      <c r="J22" s="139">
        <v>32999</v>
      </c>
      <c r="L22" s="1"/>
      <c r="M22" s="1"/>
      <c r="O22" s="1"/>
      <c r="P22" s="1"/>
    </row>
    <row r="23" spans="1:16">
      <c r="A23" s="133">
        <v>129</v>
      </c>
      <c r="B23" s="130">
        <v>1315</v>
      </c>
      <c r="C23" s="130">
        <v>1780</v>
      </c>
      <c r="D23" s="130">
        <v>3150</v>
      </c>
      <c r="E23" s="134">
        <v>33425</v>
      </c>
      <c r="F23" s="137">
        <v>127</v>
      </c>
      <c r="G23" s="138">
        <v>315</v>
      </c>
      <c r="H23" s="138">
        <v>181</v>
      </c>
      <c r="I23" s="138">
        <v>509</v>
      </c>
      <c r="J23" s="139">
        <v>33508</v>
      </c>
      <c r="L23" s="1"/>
      <c r="M23" s="1"/>
      <c r="O23" s="1"/>
      <c r="P23" s="1"/>
    </row>
    <row r="24" spans="1:16">
      <c r="A24" s="133">
        <v>128</v>
      </c>
      <c r="B24" s="130">
        <v>1358</v>
      </c>
      <c r="C24" s="130">
        <v>1781</v>
      </c>
      <c r="D24" s="130">
        <v>3194</v>
      </c>
      <c r="E24" s="134">
        <v>36619</v>
      </c>
      <c r="F24" s="137">
        <v>126</v>
      </c>
      <c r="G24" s="138">
        <v>1869</v>
      </c>
      <c r="H24" s="138">
        <v>1312</v>
      </c>
      <c r="I24" s="138">
        <v>3226</v>
      </c>
      <c r="J24" s="139">
        <v>36734</v>
      </c>
      <c r="L24" s="1"/>
      <c r="M24" s="1"/>
      <c r="O24" s="1"/>
      <c r="P24" s="1"/>
    </row>
    <row r="25" spans="1:16">
      <c r="A25" s="133">
        <v>127</v>
      </c>
      <c r="B25" s="130">
        <v>1360</v>
      </c>
      <c r="C25" s="130">
        <v>1901</v>
      </c>
      <c r="D25" s="130">
        <v>3316</v>
      </c>
      <c r="E25" s="134">
        <v>39935</v>
      </c>
      <c r="F25" s="137">
        <v>125</v>
      </c>
      <c r="G25" s="138">
        <v>5140</v>
      </c>
      <c r="H25" s="138">
        <v>4732</v>
      </c>
      <c r="I25" s="138">
        <v>10044</v>
      </c>
      <c r="J25" s="139">
        <v>46778</v>
      </c>
      <c r="L25" s="1"/>
      <c r="M25" s="1"/>
      <c r="O25" s="1"/>
      <c r="P25" s="1"/>
    </row>
    <row r="26" spans="1:16">
      <c r="A26" s="133">
        <v>126</v>
      </c>
      <c r="B26" s="130">
        <v>1540</v>
      </c>
      <c r="C26" s="130">
        <v>2030</v>
      </c>
      <c r="D26" s="130">
        <v>3630</v>
      </c>
      <c r="E26" s="134">
        <v>43565</v>
      </c>
      <c r="F26" s="137">
        <v>124</v>
      </c>
      <c r="G26" s="138">
        <v>618</v>
      </c>
      <c r="H26" s="138">
        <v>430</v>
      </c>
      <c r="I26" s="138">
        <v>1068</v>
      </c>
      <c r="J26" s="139">
        <v>47846</v>
      </c>
      <c r="L26" s="1"/>
      <c r="M26" s="1"/>
      <c r="O26" s="1"/>
      <c r="P26" s="1"/>
    </row>
    <row r="27" spans="1:16">
      <c r="A27" s="133">
        <v>125</v>
      </c>
      <c r="B27" s="130">
        <v>1612</v>
      </c>
      <c r="C27" s="130">
        <v>2053</v>
      </c>
      <c r="D27" s="130">
        <v>3747</v>
      </c>
      <c r="E27" s="134">
        <v>47312</v>
      </c>
      <c r="F27" s="137">
        <v>123</v>
      </c>
      <c r="G27" s="138">
        <v>2736</v>
      </c>
      <c r="H27" s="138">
        <v>2169</v>
      </c>
      <c r="I27" s="138">
        <v>5002</v>
      </c>
      <c r="J27" s="139">
        <v>52848</v>
      </c>
      <c r="L27" s="1"/>
      <c r="M27" s="1"/>
      <c r="O27" s="1"/>
      <c r="P27" s="1"/>
    </row>
    <row r="28" spans="1:16">
      <c r="A28" s="133">
        <v>124</v>
      </c>
      <c r="B28" s="130">
        <v>1643</v>
      </c>
      <c r="C28" s="130">
        <v>2139</v>
      </c>
      <c r="D28" s="130">
        <v>3858</v>
      </c>
      <c r="E28" s="134">
        <v>51170</v>
      </c>
      <c r="F28" s="137">
        <v>122</v>
      </c>
      <c r="G28" s="138">
        <v>5650</v>
      </c>
      <c r="H28" s="138">
        <v>5731</v>
      </c>
      <c r="I28" s="138">
        <v>11586</v>
      </c>
      <c r="J28" s="139">
        <v>64434</v>
      </c>
      <c r="L28" s="1"/>
      <c r="M28" s="1"/>
      <c r="O28" s="1"/>
      <c r="P28" s="1"/>
    </row>
    <row r="29" spans="1:16">
      <c r="A29" s="133">
        <v>123</v>
      </c>
      <c r="B29" s="130">
        <v>1725</v>
      </c>
      <c r="C29" s="130">
        <v>2212</v>
      </c>
      <c r="D29" s="130">
        <v>4003</v>
      </c>
      <c r="E29" s="134">
        <v>55173</v>
      </c>
      <c r="F29" s="137">
        <v>121</v>
      </c>
      <c r="G29" s="138">
        <v>129</v>
      </c>
      <c r="H29" s="138">
        <v>71</v>
      </c>
      <c r="I29" s="138">
        <v>207</v>
      </c>
      <c r="J29" s="139">
        <v>64641</v>
      </c>
      <c r="L29" s="1"/>
      <c r="M29" s="1"/>
      <c r="O29" s="1"/>
      <c r="P29" s="1"/>
    </row>
    <row r="30" spans="1:16">
      <c r="A30" s="133">
        <v>122</v>
      </c>
      <c r="B30" s="130">
        <v>1796</v>
      </c>
      <c r="C30" s="130">
        <v>2279</v>
      </c>
      <c r="D30" s="130">
        <v>4149</v>
      </c>
      <c r="E30" s="134">
        <v>59322</v>
      </c>
      <c r="F30" s="137">
        <v>120</v>
      </c>
      <c r="G30" s="138">
        <v>891</v>
      </c>
      <c r="H30" s="138">
        <v>645</v>
      </c>
      <c r="I30" s="138">
        <v>1570</v>
      </c>
      <c r="J30" s="139">
        <v>66211</v>
      </c>
      <c r="L30" s="1"/>
      <c r="M30" s="1"/>
      <c r="O30" s="1"/>
      <c r="P30" s="1"/>
    </row>
    <row r="31" spans="1:16">
      <c r="A31" s="133">
        <v>121</v>
      </c>
      <c r="B31" s="130">
        <v>1773</v>
      </c>
      <c r="C31" s="130">
        <v>2367</v>
      </c>
      <c r="D31" s="130">
        <v>4234</v>
      </c>
      <c r="E31" s="134">
        <v>63556</v>
      </c>
      <c r="F31" s="137">
        <v>119</v>
      </c>
      <c r="G31" s="138">
        <v>8812</v>
      </c>
      <c r="H31" s="138">
        <v>8928</v>
      </c>
      <c r="I31" s="138">
        <v>18079</v>
      </c>
      <c r="J31" s="139">
        <v>84290</v>
      </c>
      <c r="L31" s="1"/>
      <c r="M31" s="1"/>
      <c r="O31" s="1"/>
      <c r="P31" s="1"/>
    </row>
    <row r="32" spans="1:16">
      <c r="A32" s="133">
        <v>120</v>
      </c>
      <c r="B32" s="130">
        <v>1845</v>
      </c>
      <c r="C32" s="130">
        <v>2400</v>
      </c>
      <c r="D32" s="130">
        <v>4320</v>
      </c>
      <c r="E32" s="134">
        <v>67876</v>
      </c>
      <c r="F32" s="137">
        <v>118</v>
      </c>
      <c r="G32" s="138">
        <v>285</v>
      </c>
      <c r="H32" s="138">
        <v>177</v>
      </c>
      <c r="I32" s="138">
        <v>473</v>
      </c>
      <c r="J32" s="139">
        <v>84763</v>
      </c>
      <c r="L32" s="1"/>
      <c r="M32" s="1"/>
      <c r="O32" s="1"/>
      <c r="P32" s="1"/>
    </row>
    <row r="33" spans="1:16">
      <c r="A33" s="133">
        <v>119</v>
      </c>
      <c r="B33" s="130">
        <v>3797</v>
      </c>
      <c r="C33" s="130">
        <v>4989</v>
      </c>
      <c r="D33" s="130">
        <v>8929</v>
      </c>
      <c r="E33" s="134">
        <v>76805</v>
      </c>
      <c r="F33" s="137">
        <v>117</v>
      </c>
      <c r="G33" s="138">
        <v>1386</v>
      </c>
      <c r="H33" s="138">
        <v>1204</v>
      </c>
      <c r="I33" s="138">
        <v>2642</v>
      </c>
      <c r="J33" s="139">
        <v>87405</v>
      </c>
      <c r="L33" s="1"/>
      <c r="M33" s="1"/>
      <c r="O33" s="1"/>
      <c r="P33" s="1"/>
    </row>
    <row r="34" spans="1:16">
      <c r="A34" s="133">
        <v>118</v>
      </c>
      <c r="B34" s="130">
        <v>2063</v>
      </c>
      <c r="C34" s="130">
        <v>2508</v>
      </c>
      <c r="D34" s="130">
        <v>4657</v>
      </c>
      <c r="E34" s="134">
        <v>81462</v>
      </c>
      <c r="F34" s="137">
        <v>116</v>
      </c>
      <c r="G34" s="138">
        <v>4094</v>
      </c>
      <c r="H34" s="138">
        <v>4204</v>
      </c>
      <c r="I34" s="138">
        <v>8461</v>
      </c>
      <c r="J34" s="139">
        <v>95866</v>
      </c>
      <c r="L34" s="1"/>
      <c r="M34" s="1"/>
      <c r="O34" s="1"/>
      <c r="P34" s="1"/>
    </row>
    <row r="35" spans="1:16">
      <c r="A35" s="133">
        <v>117</v>
      </c>
      <c r="B35" s="130">
        <v>2068</v>
      </c>
      <c r="C35" s="130">
        <v>2651</v>
      </c>
      <c r="D35" s="130">
        <v>4804</v>
      </c>
      <c r="E35" s="134">
        <v>86266</v>
      </c>
      <c r="F35" s="137">
        <v>115</v>
      </c>
      <c r="G35" s="138">
        <v>3866</v>
      </c>
      <c r="H35" s="138">
        <v>4557</v>
      </c>
      <c r="I35" s="138">
        <v>8581</v>
      </c>
      <c r="J35" s="139">
        <v>104447</v>
      </c>
      <c r="L35" s="1"/>
      <c r="M35" s="1"/>
      <c r="O35" s="1"/>
      <c r="P35" s="1"/>
    </row>
    <row r="36" spans="1:16">
      <c r="A36" s="133">
        <v>116</v>
      </c>
      <c r="B36" s="130">
        <v>2162</v>
      </c>
      <c r="C36" s="130">
        <v>2700</v>
      </c>
      <c r="D36" s="130">
        <v>4944</v>
      </c>
      <c r="E36" s="134">
        <v>91210</v>
      </c>
      <c r="F36" s="137">
        <v>114</v>
      </c>
      <c r="G36" s="138">
        <v>2559</v>
      </c>
      <c r="H36" s="138">
        <v>2443</v>
      </c>
      <c r="I36" s="138">
        <v>5092</v>
      </c>
      <c r="J36" s="139">
        <v>109539</v>
      </c>
      <c r="L36" s="1"/>
      <c r="M36" s="1"/>
      <c r="O36" s="1"/>
      <c r="P36" s="1"/>
    </row>
    <row r="37" spans="1:16">
      <c r="A37" s="133">
        <v>115</v>
      </c>
      <c r="B37" s="130">
        <v>2090</v>
      </c>
      <c r="C37" s="130">
        <v>2734</v>
      </c>
      <c r="D37" s="130">
        <v>4914</v>
      </c>
      <c r="E37" s="134">
        <v>96124</v>
      </c>
      <c r="F37" s="137">
        <v>113</v>
      </c>
      <c r="G37" s="138">
        <v>4031</v>
      </c>
      <c r="H37" s="138">
        <v>4395</v>
      </c>
      <c r="I37" s="138">
        <v>8584</v>
      </c>
      <c r="J37" s="139">
        <v>118123</v>
      </c>
      <c r="L37" s="1"/>
      <c r="M37" s="1"/>
      <c r="O37" s="1"/>
      <c r="P37" s="1"/>
    </row>
    <row r="38" spans="1:16">
      <c r="A38" s="133">
        <v>114</v>
      </c>
      <c r="B38" s="130">
        <v>2177</v>
      </c>
      <c r="C38" s="130">
        <v>2769</v>
      </c>
      <c r="D38" s="130">
        <v>5039</v>
      </c>
      <c r="E38" s="134">
        <v>101163</v>
      </c>
      <c r="F38" s="137">
        <v>112</v>
      </c>
      <c r="G38" s="138">
        <v>2357</v>
      </c>
      <c r="H38" s="138">
        <v>2798</v>
      </c>
      <c r="I38" s="138">
        <v>5269</v>
      </c>
      <c r="J38" s="139">
        <v>123392</v>
      </c>
      <c r="L38" s="1"/>
      <c r="M38" s="1"/>
      <c r="O38" s="1"/>
      <c r="P38" s="1"/>
    </row>
    <row r="39" spans="1:16">
      <c r="A39" s="133">
        <v>113</v>
      </c>
      <c r="B39" s="130">
        <v>2290</v>
      </c>
      <c r="C39" s="130">
        <v>2747</v>
      </c>
      <c r="D39" s="130">
        <v>5137</v>
      </c>
      <c r="E39" s="134">
        <v>106300</v>
      </c>
      <c r="F39" s="137">
        <v>111</v>
      </c>
      <c r="G39" s="138">
        <v>973</v>
      </c>
      <c r="H39" s="138">
        <v>995</v>
      </c>
      <c r="I39" s="138">
        <v>2016</v>
      </c>
      <c r="J39" s="139">
        <v>125408</v>
      </c>
      <c r="L39" s="1"/>
      <c r="M39" s="1"/>
      <c r="O39" s="1"/>
      <c r="P39" s="1"/>
    </row>
    <row r="40" spans="1:16">
      <c r="A40" s="133">
        <v>112</v>
      </c>
      <c r="B40" s="130">
        <v>2224</v>
      </c>
      <c r="C40" s="130">
        <v>2901</v>
      </c>
      <c r="D40" s="130">
        <v>5224</v>
      </c>
      <c r="E40" s="134">
        <v>111524</v>
      </c>
      <c r="F40" s="137">
        <v>110</v>
      </c>
      <c r="G40" s="138">
        <v>2650</v>
      </c>
      <c r="H40" s="138">
        <v>2924</v>
      </c>
      <c r="I40" s="138">
        <v>5674</v>
      </c>
      <c r="J40" s="139">
        <v>131082</v>
      </c>
      <c r="L40" s="1"/>
      <c r="M40" s="1"/>
      <c r="O40" s="1"/>
      <c r="P40" s="1"/>
    </row>
    <row r="41" spans="1:16">
      <c r="A41" s="133">
        <v>111</v>
      </c>
      <c r="B41" s="130">
        <v>2326</v>
      </c>
      <c r="C41" s="130">
        <v>2769</v>
      </c>
      <c r="D41" s="130">
        <v>5221</v>
      </c>
      <c r="E41" s="134">
        <v>116745</v>
      </c>
      <c r="F41" s="137">
        <v>109</v>
      </c>
      <c r="G41" s="138">
        <v>4477</v>
      </c>
      <c r="H41" s="138">
        <v>5044</v>
      </c>
      <c r="I41" s="138">
        <v>9714</v>
      </c>
      <c r="J41" s="139">
        <v>140796</v>
      </c>
      <c r="L41" s="1"/>
      <c r="M41" s="1"/>
      <c r="O41" s="1"/>
      <c r="P41" s="1"/>
    </row>
    <row r="42" spans="1:16">
      <c r="A42" s="133">
        <v>110</v>
      </c>
      <c r="B42" s="130">
        <v>2343</v>
      </c>
      <c r="C42" s="130">
        <v>2835</v>
      </c>
      <c r="D42" s="130">
        <v>5277</v>
      </c>
      <c r="E42" s="134">
        <v>122022</v>
      </c>
      <c r="F42" s="137">
        <v>108</v>
      </c>
      <c r="G42" s="138">
        <v>1697</v>
      </c>
      <c r="H42" s="138">
        <v>1843</v>
      </c>
      <c r="I42" s="138">
        <v>3603</v>
      </c>
      <c r="J42" s="139">
        <v>144399</v>
      </c>
      <c r="L42" s="1"/>
      <c r="M42" s="1"/>
      <c r="O42" s="1"/>
      <c r="P42" s="1"/>
    </row>
    <row r="43" spans="1:16">
      <c r="A43" s="133">
        <v>109</v>
      </c>
      <c r="B43" s="130">
        <v>2398</v>
      </c>
      <c r="C43" s="130">
        <v>2824</v>
      </c>
      <c r="D43" s="130">
        <v>5341</v>
      </c>
      <c r="E43" s="134">
        <v>127363</v>
      </c>
      <c r="F43" s="137">
        <v>107</v>
      </c>
      <c r="G43" s="138">
        <v>2825</v>
      </c>
      <c r="H43" s="138">
        <v>3308</v>
      </c>
      <c r="I43" s="138">
        <v>6241</v>
      </c>
      <c r="J43" s="139">
        <v>150640</v>
      </c>
      <c r="L43" s="1"/>
      <c r="M43" s="1"/>
      <c r="O43" s="1"/>
      <c r="P43" s="1"/>
    </row>
    <row r="44" spans="1:16">
      <c r="A44" s="133">
        <v>108</v>
      </c>
      <c r="B44" s="130">
        <v>2355</v>
      </c>
      <c r="C44" s="130">
        <v>2917</v>
      </c>
      <c r="D44" s="130">
        <v>5370</v>
      </c>
      <c r="E44" s="134">
        <v>132733</v>
      </c>
      <c r="F44" s="137">
        <v>106</v>
      </c>
      <c r="G44" s="138">
        <v>1809</v>
      </c>
      <c r="H44" s="138">
        <v>2256</v>
      </c>
      <c r="I44" s="138">
        <v>4153</v>
      </c>
      <c r="J44" s="139">
        <v>154793</v>
      </c>
      <c r="L44" s="1"/>
      <c r="M44" s="1"/>
      <c r="O44" s="1"/>
      <c r="P44" s="1"/>
    </row>
    <row r="45" spans="1:16">
      <c r="A45" s="133">
        <v>107</v>
      </c>
      <c r="B45" s="130">
        <v>2464</v>
      </c>
      <c r="C45" s="130">
        <v>2822</v>
      </c>
      <c r="D45" s="130">
        <v>5394</v>
      </c>
      <c r="E45" s="134">
        <v>138127</v>
      </c>
      <c r="F45" s="137">
        <v>105</v>
      </c>
      <c r="G45" s="138">
        <v>1289</v>
      </c>
      <c r="H45" s="138">
        <v>1423</v>
      </c>
      <c r="I45" s="138">
        <v>2767</v>
      </c>
      <c r="J45" s="139">
        <v>157560</v>
      </c>
      <c r="L45" s="1"/>
      <c r="M45" s="1"/>
      <c r="O45" s="1"/>
      <c r="P45" s="1"/>
    </row>
    <row r="46" spans="1:16">
      <c r="A46" s="133">
        <v>106</v>
      </c>
      <c r="B46" s="130">
        <v>2410</v>
      </c>
      <c r="C46" s="130">
        <v>2942</v>
      </c>
      <c r="D46" s="130">
        <v>5461</v>
      </c>
      <c r="E46" s="134">
        <v>143588</v>
      </c>
      <c r="F46" s="137">
        <v>104</v>
      </c>
      <c r="G46" s="138">
        <v>4353</v>
      </c>
      <c r="H46" s="138">
        <v>5128</v>
      </c>
      <c r="I46" s="138">
        <v>9666</v>
      </c>
      <c r="J46" s="139">
        <v>167226</v>
      </c>
      <c r="L46" s="1"/>
      <c r="M46" s="1"/>
      <c r="O46" s="1"/>
      <c r="P46" s="1"/>
    </row>
    <row r="47" spans="1:16">
      <c r="A47" s="133">
        <v>105</v>
      </c>
      <c r="B47" s="130">
        <v>2484</v>
      </c>
      <c r="C47" s="130">
        <v>2862</v>
      </c>
      <c r="D47" s="130">
        <v>5468</v>
      </c>
      <c r="E47" s="134">
        <v>149056</v>
      </c>
      <c r="F47" s="137">
        <v>103</v>
      </c>
      <c r="G47" s="138">
        <v>1266</v>
      </c>
      <c r="H47" s="138">
        <v>1443</v>
      </c>
      <c r="I47" s="138">
        <v>2779</v>
      </c>
      <c r="J47" s="139">
        <v>170005</v>
      </c>
      <c r="L47" s="1"/>
      <c r="M47" s="1"/>
      <c r="O47" s="1"/>
      <c r="P47" s="1"/>
    </row>
    <row r="48" spans="1:16">
      <c r="A48" s="133">
        <v>104</v>
      </c>
      <c r="B48" s="130">
        <v>2598</v>
      </c>
      <c r="C48" s="130">
        <v>2800</v>
      </c>
      <c r="D48" s="130">
        <v>5492</v>
      </c>
      <c r="E48" s="134">
        <v>154548</v>
      </c>
      <c r="F48" s="137">
        <v>102</v>
      </c>
      <c r="G48" s="138">
        <v>1973</v>
      </c>
      <c r="H48" s="138">
        <v>2183</v>
      </c>
      <c r="I48" s="138">
        <v>4239</v>
      </c>
      <c r="J48" s="139">
        <v>174244</v>
      </c>
      <c r="L48" s="1"/>
      <c r="M48" s="1"/>
      <c r="O48" s="1"/>
      <c r="P48" s="1"/>
    </row>
    <row r="49" spans="1:16">
      <c r="A49" s="133">
        <v>103</v>
      </c>
      <c r="B49" s="130">
        <v>2522</v>
      </c>
      <c r="C49" s="130">
        <v>2814</v>
      </c>
      <c r="D49" s="130">
        <v>5442</v>
      </c>
      <c r="E49" s="134">
        <v>159990</v>
      </c>
      <c r="F49" s="137">
        <v>101</v>
      </c>
      <c r="G49" s="138">
        <v>2130</v>
      </c>
      <c r="H49" s="138">
        <v>2510</v>
      </c>
      <c r="I49" s="138">
        <v>4728</v>
      </c>
      <c r="J49" s="139">
        <v>178972</v>
      </c>
      <c r="L49" s="1"/>
      <c r="M49" s="1"/>
      <c r="O49" s="1"/>
      <c r="P49" s="1"/>
    </row>
    <row r="50" spans="1:16">
      <c r="A50" s="133">
        <v>102</v>
      </c>
      <c r="B50" s="130">
        <v>2478</v>
      </c>
      <c r="C50" s="130">
        <v>2912</v>
      </c>
      <c r="D50" s="130">
        <v>5512</v>
      </c>
      <c r="E50" s="134">
        <v>165502</v>
      </c>
      <c r="F50" s="137">
        <v>100</v>
      </c>
      <c r="G50" s="138">
        <v>1402</v>
      </c>
      <c r="H50" s="138">
        <v>1623</v>
      </c>
      <c r="I50" s="138">
        <v>3082</v>
      </c>
      <c r="J50" s="139">
        <v>182054</v>
      </c>
      <c r="L50" s="1"/>
      <c r="M50" s="1"/>
      <c r="O50" s="1"/>
      <c r="P50" s="1"/>
    </row>
    <row r="51" spans="1:16">
      <c r="A51" s="133">
        <v>101</v>
      </c>
      <c r="B51" s="130">
        <v>2493</v>
      </c>
      <c r="C51" s="130">
        <v>2854</v>
      </c>
      <c r="D51" s="130">
        <v>5459</v>
      </c>
      <c r="E51" s="134">
        <v>170961</v>
      </c>
      <c r="F51" s="137">
        <v>99</v>
      </c>
      <c r="G51" s="138">
        <v>3716</v>
      </c>
      <c r="H51" s="138">
        <v>4237</v>
      </c>
      <c r="I51" s="138">
        <v>8134</v>
      </c>
      <c r="J51" s="139">
        <v>190188</v>
      </c>
      <c r="L51" s="1"/>
      <c r="M51" s="1"/>
      <c r="O51" s="1"/>
      <c r="P51" s="1"/>
    </row>
    <row r="52" spans="1:16">
      <c r="A52" s="133">
        <v>100</v>
      </c>
      <c r="B52" s="130">
        <v>4920</v>
      </c>
      <c r="C52" s="130">
        <v>5657</v>
      </c>
      <c r="D52" s="130">
        <v>10800</v>
      </c>
      <c r="E52" s="134">
        <v>181761</v>
      </c>
      <c r="F52" s="137">
        <v>98</v>
      </c>
      <c r="G52" s="138">
        <v>1391</v>
      </c>
      <c r="H52" s="138">
        <v>1664</v>
      </c>
      <c r="I52" s="138">
        <v>3107</v>
      </c>
      <c r="J52" s="139">
        <v>193295</v>
      </c>
      <c r="L52" s="1"/>
      <c r="M52" s="1"/>
      <c r="O52" s="1"/>
      <c r="P52" s="1"/>
    </row>
    <row r="53" spans="1:16">
      <c r="A53" s="133">
        <v>99</v>
      </c>
      <c r="B53" s="130">
        <v>2583</v>
      </c>
      <c r="C53" s="130">
        <v>2906</v>
      </c>
      <c r="D53" s="130">
        <v>5590</v>
      </c>
      <c r="E53" s="134">
        <v>187351</v>
      </c>
      <c r="F53" s="137">
        <v>97</v>
      </c>
      <c r="G53" s="138">
        <v>1500</v>
      </c>
      <c r="H53" s="138">
        <v>1644</v>
      </c>
      <c r="I53" s="138">
        <v>3212</v>
      </c>
      <c r="J53" s="139">
        <v>196507</v>
      </c>
    </row>
    <row r="54" spans="1:16">
      <c r="A54" s="133">
        <v>98</v>
      </c>
      <c r="B54" s="130">
        <v>2554</v>
      </c>
      <c r="C54" s="130">
        <v>2829</v>
      </c>
      <c r="D54" s="130">
        <v>5500</v>
      </c>
      <c r="E54" s="134">
        <v>192851</v>
      </c>
      <c r="F54" s="137">
        <v>96</v>
      </c>
      <c r="G54" s="138">
        <v>2043</v>
      </c>
      <c r="H54" s="138">
        <v>2435</v>
      </c>
      <c r="I54" s="138">
        <v>4573</v>
      </c>
      <c r="J54" s="139">
        <v>201080</v>
      </c>
    </row>
    <row r="55" spans="1:16">
      <c r="A55" s="133">
        <v>97</v>
      </c>
      <c r="B55" s="130">
        <v>2482</v>
      </c>
      <c r="C55" s="130">
        <v>2807</v>
      </c>
      <c r="D55" s="130">
        <v>5407</v>
      </c>
      <c r="E55" s="134">
        <v>198258</v>
      </c>
      <c r="F55" s="137">
        <v>95</v>
      </c>
      <c r="G55" s="138">
        <v>1479</v>
      </c>
      <c r="H55" s="138">
        <v>1753</v>
      </c>
      <c r="I55" s="138">
        <v>3304</v>
      </c>
      <c r="J55" s="139">
        <v>204384</v>
      </c>
    </row>
    <row r="56" spans="1:16">
      <c r="A56" s="133">
        <v>96</v>
      </c>
      <c r="B56" s="130">
        <v>2549</v>
      </c>
      <c r="C56" s="130">
        <v>2761</v>
      </c>
      <c r="D56" s="130">
        <v>5405</v>
      </c>
      <c r="E56" s="134">
        <v>203663</v>
      </c>
      <c r="F56" s="137">
        <v>94</v>
      </c>
      <c r="G56" s="138">
        <v>3390</v>
      </c>
      <c r="H56" s="138">
        <v>4163</v>
      </c>
      <c r="I56" s="138">
        <v>7722</v>
      </c>
      <c r="J56" s="139">
        <v>212106</v>
      </c>
    </row>
    <row r="57" spans="1:16">
      <c r="A57" s="133">
        <v>95</v>
      </c>
      <c r="B57" s="130">
        <v>2468</v>
      </c>
      <c r="C57" s="130">
        <v>2767</v>
      </c>
      <c r="D57" s="130">
        <v>5383</v>
      </c>
      <c r="E57" s="134">
        <v>209046</v>
      </c>
      <c r="F57" s="137">
        <v>93</v>
      </c>
      <c r="G57" s="138">
        <v>1471</v>
      </c>
      <c r="H57" s="138">
        <v>1808</v>
      </c>
      <c r="I57" s="138">
        <v>3351</v>
      </c>
      <c r="J57" s="139">
        <v>215457</v>
      </c>
    </row>
    <row r="58" spans="1:16">
      <c r="A58" s="133">
        <v>94</v>
      </c>
      <c r="B58" s="130">
        <v>2509</v>
      </c>
      <c r="C58" s="130">
        <v>2729</v>
      </c>
      <c r="D58" s="130">
        <v>5352</v>
      </c>
      <c r="E58" s="134">
        <v>214398</v>
      </c>
      <c r="F58" s="137">
        <v>92</v>
      </c>
      <c r="G58" s="138">
        <v>1300</v>
      </c>
      <c r="H58" s="138">
        <v>1633</v>
      </c>
      <c r="I58" s="138">
        <v>3005</v>
      </c>
      <c r="J58" s="139">
        <v>218462</v>
      </c>
    </row>
    <row r="59" spans="1:16">
      <c r="A59" s="133">
        <v>93</v>
      </c>
      <c r="B59" s="130">
        <v>2502</v>
      </c>
      <c r="C59" s="130">
        <v>2665</v>
      </c>
      <c r="D59" s="130">
        <v>5307</v>
      </c>
      <c r="E59" s="134">
        <v>219705</v>
      </c>
      <c r="F59" s="137">
        <v>91</v>
      </c>
      <c r="G59" s="138">
        <v>2060</v>
      </c>
      <c r="H59" s="138">
        <v>2433</v>
      </c>
      <c r="I59" s="138">
        <v>4591</v>
      </c>
      <c r="J59" s="139">
        <v>223053</v>
      </c>
    </row>
    <row r="60" spans="1:16">
      <c r="A60" s="133">
        <v>92</v>
      </c>
      <c r="B60" s="130">
        <v>2543</v>
      </c>
      <c r="C60" s="130">
        <v>2662</v>
      </c>
      <c r="D60" s="130">
        <v>5314</v>
      </c>
      <c r="E60" s="134">
        <v>225019</v>
      </c>
      <c r="F60" s="137">
        <v>90</v>
      </c>
      <c r="G60" s="138">
        <v>1473</v>
      </c>
      <c r="H60" s="138">
        <v>1839</v>
      </c>
      <c r="I60" s="138">
        <v>3384</v>
      </c>
      <c r="J60" s="139">
        <v>226437</v>
      </c>
    </row>
    <row r="61" spans="1:16">
      <c r="A61" s="133">
        <v>91</v>
      </c>
      <c r="B61" s="130">
        <v>2577</v>
      </c>
      <c r="C61" s="130">
        <v>2647</v>
      </c>
      <c r="D61" s="130">
        <v>5362</v>
      </c>
      <c r="E61" s="134">
        <v>230381</v>
      </c>
      <c r="F61" s="137">
        <v>89</v>
      </c>
      <c r="G61" s="138">
        <v>3506</v>
      </c>
      <c r="H61" s="138">
        <v>4071</v>
      </c>
      <c r="I61" s="138">
        <v>7771</v>
      </c>
      <c r="J61" s="139">
        <v>234208</v>
      </c>
    </row>
    <row r="62" spans="1:16">
      <c r="A62" s="133">
        <v>90</v>
      </c>
      <c r="B62" s="130">
        <v>2601</v>
      </c>
      <c r="C62" s="130">
        <v>2593</v>
      </c>
      <c r="D62" s="130">
        <v>5341</v>
      </c>
      <c r="E62" s="134">
        <v>235722</v>
      </c>
      <c r="F62" s="137">
        <v>88</v>
      </c>
      <c r="G62" s="138">
        <v>1671</v>
      </c>
      <c r="H62" s="138">
        <v>1924</v>
      </c>
      <c r="I62" s="138">
        <v>3687</v>
      </c>
      <c r="J62" s="139">
        <v>237895</v>
      </c>
    </row>
    <row r="63" spans="1:16">
      <c r="A63" s="133">
        <v>89</v>
      </c>
      <c r="B63" s="130">
        <v>2692</v>
      </c>
      <c r="C63" s="130">
        <v>2568</v>
      </c>
      <c r="D63" s="130">
        <v>5383</v>
      </c>
      <c r="E63" s="134">
        <v>241105</v>
      </c>
      <c r="F63" s="137">
        <v>87</v>
      </c>
      <c r="G63" s="138">
        <v>1454</v>
      </c>
      <c r="H63" s="138">
        <v>1772</v>
      </c>
      <c r="I63" s="138">
        <v>3308</v>
      </c>
      <c r="J63" s="139">
        <v>241203</v>
      </c>
    </row>
    <row r="64" spans="1:16">
      <c r="A64" s="133">
        <v>88</v>
      </c>
      <c r="B64" s="130">
        <v>2648</v>
      </c>
      <c r="C64" s="130">
        <v>2578</v>
      </c>
      <c r="D64" s="130">
        <v>5360</v>
      </c>
      <c r="E64" s="134">
        <v>246465</v>
      </c>
      <c r="F64" s="137">
        <v>86</v>
      </c>
      <c r="G64" s="138">
        <v>2277</v>
      </c>
      <c r="H64" s="138">
        <v>2557</v>
      </c>
      <c r="I64" s="138">
        <v>4944</v>
      </c>
      <c r="J64" s="139">
        <v>246147</v>
      </c>
    </row>
    <row r="65" spans="1:10">
      <c r="A65" s="133">
        <v>87</v>
      </c>
      <c r="B65" s="130">
        <v>2647</v>
      </c>
      <c r="C65" s="130">
        <v>2557</v>
      </c>
      <c r="D65" s="130">
        <v>5346</v>
      </c>
      <c r="E65" s="134">
        <v>251811</v>
      </c>
      <c r="F65" s="137">
        <v>85</v>
      </c>
      <c r="G65" s="138">
        <v>1838</v>
      </c>
      <c r="H65" s="138">
        <v>2126</v>
      </c>
      <c r="I65" s="138">
        <v>4048</v>
      </c>
      <c r="J65" s="139">
        <v>250195</v>
      </c>
    </row>
    <row r="66" spans="1:10">
      <c r="A66" s="133">
        <v>86</v>
      </c>
      <c r="B66" s="130">
        <v>2638</v>
      </c>
      <c r="C66" s="130">
        <v>2476</v>
      </c>
      <c r="D66" s="130">
        <v>5271</v>
      </c>
      <c r="E66" s="134">
        <v>257082</v>
      </c>
      <c r="F66" s="137">
        <v>84</v>
      </c>
      <c r="G66" s="138">
        <v>4238</v>
      </c>
      <c r="H66" s="138">
        <v>4782</v>
      </c>
      <c r="I66" s="138">
        <v>9232</v>
      </c>
      <c r="J66" s="139">
        <v>259427</v>
      </c>
    </row>
    <row r="67" spans="1:10">
      <c r="A67" s="133">
        <v>85</v>
      </c>
      <c r="B67" s="130">
        <v>2876</v>
      </c>
      <c r="C67" s="130">
        <v>2441</v>
      </c>
      <c r="D67" s="130">
        <v>5447</v>
      </c>
      <c r="E67" s="134">
        <v>262529</v>
      </c>
      <c r="F67" s="137">
        <v>83</v>
      </c>
      <c r="G67" s="138">
        <v>1915</v>
      </c>
      <c r="H67" s="138">
        <v>2296</v>
      </c>
      <c r="I67" s="138">
        <v>4330</v>
      </c>
      <c r="J67" s="139">
        <v>263757</v>
      </c>
    </row>
    <row r="68" spans="1:10">
      <c r="A68" s="133">
        <v>84</v>
      </c>
      <c r="B68" s="130">
        <v>2781</v>
      </c>
      <c r="C68" s="130">
        <v>2440</v>
      </c>
      <c r="D68" s="130">
        <v>5377</v>
      </c>
      <c r="E68" s="134">
        <v>267906</v>
      </c>
      <c r="F68" s="137">
        <v>82</v>
      </c>
      <c r="G68" s="138">
        <v>1950</v>
      </c>
      <c r="H68" s="138">
        <v>2235</v>
      </c>
      <c r="I68" s="138">
        <v>4296</v>
      </c>
      <c r="J68" s="139">
        <v>268053</v>
      </c>
    </row>
    <row r="69" spans="1:10">
      <c r="A69" s="133">
        <v>83</v>
      </c>
      <c r="B69" s="130">
        <v>2799</v>
      </c>
      <c r="C69" s="130">
        <v>2390</v>
      </c>
      <c r="D69" s="130">
        <v>5352</v>
      </c>
      <c r="E69" s="134">
        <v>273258</v>
      </c>
      <c r="F69" s="137">
        <v>81</v>
      </c>
      <c r="G69" s="138">
        <v>2909</v>
      </c>
      <c r="H69" s="138">
        <v>3288</v>
      </c>
      <c r="I69" s="138">
        <v>6380</v>
      </c>
      <c r="J69" s="139">
        <v>274433</v>
      </c>
    </row>
    <row r="70" spans="1:10">
      <c r="A70" s="133">
        <v>82</v>
      </c>
      <c r="B70" s="130">
        <v>2912</v>
      </c>
      <c r="C70" s="130">
        <v>2435</v>
      </c>
      <c r="D70" s="130">
        <v>5506</v>
      </c>
      <c r="E70" s="134">
        <v>278764</v>
      </c>
      <c r="F70" s="137">
        <v>80</v>
      </c>
      <c r="G70" s="138">
        <v>2164</v>
      </c>
      <c r="H70" s="138">
        <v>2555</v>
      </c>
      <c r="I70" s="138">
        <v>4843</v>
      </c>
      <c r="J70" s="139">
        <v>279276</v>
      </c>
    </row>
    <row r="71" spans="1:10">
      <c r="A71" s="133">
        <v>81</v>
      </c>
      <c r="B71" s="130">
        <v>5860</v>
      </c>
      <c r="C71" s="130">
        <v>4727</v>
      </c>
      <c r="D71" s="130">
        <v>10952</v>
      </c>
      <c r="E71" s="134">
        <v>289716</v>
      </c>
      <c r="F71" s="137">
        <v>79</v>
      </c>
      <c r="G71" s="138">
        <v>5422</v>
      </c>
      <c r="H71" s="138">
        <v>5877</v>
      </c>
      <c r="I71" s="138">
        <v>11627</v>
      </c>
      <c r="J71" s="139">
        <v>290903</v>
      </c>
    </row>
    <row r="72" spans="1:10">
      <c r="A72" s="133">
        <v>80</v>
      </c>
      <c r="B72" s="130">
        <v>2849</v>
      </c>
      <c r="C72" s="130">
        <v>2190</v>
      </c>
      <c r="D72" s="130">
        <v>5231</v>
      </c>
      <c r="E72" s="134">
        <v>294947</v>
      </c>
      <c r="F72" s="137">
        <v>78</v>
      </c>
      <c r="G72" s="138">
        <v>3097</v>
      </c>
      <c r="H72" s="138">
        <v>3102</v>
      </c>
      <c r="I72" s="138">
        <v>6407</v>
      </c>
      <c r="J72" s="139">
        <v>297310</v>
      </c>
    </row>
    <row r="73" spans="1:10">
      <c r="A73" s="133">
        <v>79</v>
      </c>
      <c r="B73" s="130">
        <v>3135</v>
      </c>
      <c r="C73" s="130">
        <v>2338</v>
      </c>
      <c r="D73" s="130">
        <v>5681</v>
      </c>
      <c r="E73" s="134">
        <v>300628</v>
      </c>
      <c r="F73" s="137">
        <v>77</v>
      </c>
      <c r="G73" s="138">
        <v>2851</v>
      </c>
      <c r="H73" s="138">
        <v>3227</v>
      </c>
      <c r="I73" s="138">
        <v>6292</v>
      </c>
      <c r="J73" s="139">
        <v>303602</v>
      </c>
    </row>
    <row r="74" spans="1:10">
      <c r="A74" s="133">
        <v>78</v>
      </c>
      <c r="B74" s="130">
        <v>2821</v>
      </c>
      <c r="C74" s="130">
        <v>2109</v>
      </c>
      <c r="D74" s="130">
        <v>5107</v>
      </c>
      <c r="E74" s="134">
        <v>305735</v>
      </c>
      <c r="F74" s="137">
        <v>76</v>
      </c>
      <c r="G74" s="138">
        <v>2507</v>
      </c>
      <c r="H74" s="138">
        <v>2551</v>
      </c>
      <c r="I74" s="138">
        <v>5227</v>
      </c>
      <c r="J74" s="139">
        <v>308829</v>
      </c>
    </row>
    <row r="75" spans="1:10">
      <c r="A75" s="133">
        <v>77</v>
      </c>
      <c r="B75" s="130">
        <v>4649</v>
      </c>
      <c r="C75" s="130">
        <v>2877</v>
      </c>
      <c r="D75" s="130">
        <v>7982</v>
      </c>
      <c r="E75" s="134">
        <v>313717</v>
      </c>
      <c r="F75" s="137">
        <v>75</v>
      </c>
      <c r="G75" s="138">
        <v>6970</v>
      </c>
      <c r="H75" s="138">
        <v>6105</v>
      </c>
      <c r="I75" s="138">
        <v>13763</v>
      </c>
      <c r="J75" s="139">
        <v>322592</v>
      </c>
    </row>
    <row r="76" spans="1:10">
      <c r="A76" s="133">
        <v>76</v>
      </c>
      <c r="B76" s="130">
        <v>2927</v>
      </c>
      <c r="C76" s="130">
        <v>1954</v>
      </c>
      <c r="D76" s="130">
        <v>5077</v>
      </c>
      <c r="E76" s="134">
        <v>318794</v>
      </c>
      <c r="F76" s="137">
        <v>74</v>
      </c>
      <c r="G76" s="138">
        <v>7119</v>
      </c>
      <c r="H76" s="138">
        <v>6424</v>
      </c>
      <c r="I76" s="138">
        <v>14131</v>
      </c>
      <c r="J76" s="139">
        <v>336723</v>
      </c>
    </row>
    <row r="77" spans="1:10">
      <c r="A77" s="133">
        <v>75</v>
      </c>
      <c r="B77" s="130">
        <v>2803</v>
      </c>
      <c r="C77" s="130">
        <v>1880</v>
      </c>
      <c r="D77" s="130">
        <v>4883</v>
      </c>
      <c r="E77" s="134">
        <v>323677</v>
      </c>
      <c r="F77" s="137">
        <v>73</v>
      </c>
      <c r="G77" s="138">
        <v>1836</v>
      </c>
      <c r="H77" s="138">
        <v>1931</v>
      </c>
      <c r="I77" s="138">
        <v>3879</v>
      </c>
      <c r="J77" s="139">
        <v>340602</v>
      </c>
    </row>
    <row r="78" spans="1:10">
      <c r="A78" s="133">
        <v>74</v>
      </c>
      <c r="B78" s="130">
        <v>2803</v>
      </c>
      <c r="C78" s="130">
        <v>1773</v>
      </c>
      <c r="D78" s="130">
        <v>4789</v>
      </c>
      <c r="E78" s="134">
        <v>328466</v>
      </c>
      <c r="F78" s="137">
        <v>72</v>
      </c>
      <c r="G78" s="138">
        <v>3224</v>
      </c>
      <c r="H78" s="138">
        <v>2636</v>
      </c>
      <c r="I78" s="138">
        <v>6132</v>
      </c>
      <c r="J78" s="139">
        <v>346734</v>
      </c>
    </row>
    <row r="79" spans="1:10">
      <c r="A79" s="133">
        <v>73</v>
      </c>
      <c r="B79" s="130">
        <v>2854</v>
      </c>
      <c r="C79" s="130">
        <v>1570</v>
      </c>
      <c r="D79" s="130">
        <v>4652</v>
      </c>
      <c r="E79" s="134">
        <v>333118</v>
      </c>
      <c r="F79" s="137">
        <v>71</v>
      </c>
      <c r="G79" s="138">
        <v>1363</v>
      </c>
      <c r="H79" s="138">
        <v>1258</v>
      </c>
      <c r="I79" s="138">
        <v>2691</v>
      </c>
      <c r="J79" s="139">
        <v>349425</v>
      </c>
    </row>
    <row r="80" spans="1:10">
      <c r="A80" s="133">
        <v>72</v>
      </c>
      <c r="B80" s="130">
        <v>2482</v>
      </c>
      <c r="C80" s="130">
        <v>1498</v>
      </c>
      <c r="D80" s="130">
        <v>4191</v>
      </c>
      <c r="E80" s="134">
        <v>337309</v>
      </c>
      <c r="F80" s="137">
        <v>70</v>
      </c>
      <c r="G80" s="138">
        <v>1221</v>
      </c>
      <c r="H80" s="138">
        <v>1181</v>
      </c>
      <c r="I80" s="138">
        <v>2485</v>
      </c>
      <c r="J80" s="139">
        <v>351910</v>
      </c>
    </row>
    <row r="81" spans="1:10">
      <c r="A81" s="133">
        <v>71</v>
      </c>
      <c r="B81" s="130">
        <v>1823</v>
      </c>
      <c r="C81" s="130">
        <v>1117</v>
      </c>
      <c r="D81" s="130">
        <v>3079</v>
      </c>
      <c r="E81" s="134">
        <v>340388</v>
      </c>
      <c r="F81" s="137">
        <v>69</v>
      </c>
      <c r="G81" s="138">
        <v>1708</v>
      </c>
      <c r="H81" s="138">
        <v>1585</v>
      </c>
      <c r="I81" s="138">
        <v>3408</v>
      </c>
      <c r="J81" s="139">
        <v>355318</v>
      </c>
    </row>
    <row r="82" spans="1:10">
      <c r="A82" s="133">
        <v>70</v>
      </c>
      <c r="B82" s="130">
        <v>5222</v>
      </c>
      <c r="C82" s="130">
        <v>2371</v>
      </c>
      <c r="D82" s="130">
        <v>8263</v>
      </c>
      <c r="E82" s="134">
        <v>348651</v>
      </c>
      <c r="F82" s="137">
        <v>68</v>
      </c>
      <c r="G82" s="138">
        <v>686</v>
      </c>
      <c r="H82" s="138">
        <v>664</v>
      </c>
      <c r="I82" s="138">
        <v>1409</v>
      </c>
      <c r="J82" s="139">
        <v>356727</v>
      </c>
    </row>
    <row r="83" spans="1:10">
      <c r="A83" s="133">
        <v>69</v>
      </c>
      <c r="B83" s="130">
        <v>1545</v>
      </c>
      <c r="C83" s="130">
        <v>874</v>
      </c>
      <c r="D83" s="130">
        <v>2543</v>
      </c>
      <c r="E83" s="134">
        <v>351194</v>
      </c>
      <c r="F83" s="137">
        <v>67</v>
      </c>
      <c r="G83" s="138">
        <v>509</v>
      </c>
      <c r="H83" s="138">
        <v>444</v>
      </c>
      <c r="I83" s="138">
        <v>996</v>
      </c>
      <c r="J83" s="139">
        <v>357723</v>
      </c>
    </row>
    <row r="84" spans="1:10">
      <c r="A84" s="133">
        <v>68</v>
      </c>
      <c r="B84" s="130">
        <v>1215</v>
      </c>
      <c r="C84" s="130">
        <v>661</v>
      </c>
      <c r="D84" s="130">
        <v>1987</v>
      </c>
      <c r="E84" s="134">
        <v>353181</v>
      </c>
      <c r="F84" s="137">
        <v>66</v>
      </c>
      <c r="G84" s="138">
        <v>262</v>
      </c>
      <c r="H84" s="138">
        <v>243</v>
      </c>
      <c r="I84" s="138">
        <v>534</v>
      </c>
      <c r="J84" s="139">
        <v>358257</v>
      </c>
    </row>
    <row r="85" spans="1:10">
      <c r="A85" s="133">
        <v>67</v>
      </c>
      <c r="B85" s="130">
        <v>1253</v>
      </c>
      <c r="C85" s="130">
        <v>605</v>
      </c>
      <c r="D85" s="130">
        <v>1954</v>
      </c>
      <c r="E85" s="134">
        <v>355135</v>
      </c>
      <c r="F85" s="137">
        <v>65</v>
      </c>
      <c r="G85" s="138">
        <v>310</v>
      </c>
      <c r="H85" s="138">
        <v>258</v>
      </c>
      <c r="I85" s="138">
        <v>585</v>
      </c>
      <c r="J85" s="139">
        <v>358842</v>
      </c>
    </row>
    <row r="86" spans="1:10">
      <c r="A86" s="133">
        <v>66</v>
      </c>
      <c r="B86" s="130">
        <v>824</v>
      </c>
      <c r="C86" s="130">
        <v>394</v>
      </c>
      <c r="D86" s="130">
        <v>1285</v>
      </c>
      <c r="E86" s="134">
        <v>356420</v>
      </c>
      <c r="F86" s="137">
        <v>64</v>
      </c>
      <c r="G86" s="138">
        <v>218</v>
      </c>
      <c r="H86" s="138">
        <v>168</v>
      </c>
      <c r="I86" s="138">
        <v>401</v>
      </c>
      <c r="J86" s="139">
        <v>359243</v>
      </c>
    </row>
    <row r="87" spans="1:10">
      <c r="A87" s="133">
        <v>65</v>
      </c>
      <c r="B87" s="130">
        <v>634</v>
      </c>
      <c r="C87" s="130">
        <v>357</v>
      </c>
      <c r="D87" s="130">
        <v>1045</v>
      </c>
      <c r="E87" s="134">
        <v>357465</v>
      </c>
      <c r="F87" s="137">
        <v>63</v>
      </c>
      <c r="G87" s="138">
        <v>141</v>
      </c>
      <c r="H87" s="138">
        <v>119</v>
      </c>
      <c r="I87" s="138">
        <v>274</v>
      </c>
      <c r="J87" s="139">
        <v>359517</v>
      </c>
    </row>
    <row r="88" spans="1:10">
      <c r="A88" s="133">
        <v>64</v>
      </c>
      <c r="B88" s="130">
        <v>516</v>
      </c>
      <c r="C88" s="130">
        <v>241</v>
      </c>
      <c r="D88" s="130">
        <v>805</v>
      </c>
      <c r="E88" s="134">
        <v>358270</v>
      </c>
      <c r="F88" s="137">
        <v>62</v>
      </c>
      <c r="G88" s="138">
        <v>714</v>
      </c>
      <c r="H88" s="138">
        <v>283</v>
      </c>
      <c r="I88" s="138">
        <v>1074</v>
      </c>
      <c r="J88" s="139">
        <v>360591</v>
      </c>
    </row>
    <row r="89" spans="1:10">
      <c r="A89" s="133">
        <v>63</v>
      </c>
      <c r="B89" s="130">
        <v>366</v>
      </c>
      <c r="C89" s="130">
        <v>196</v>
      </c>
      <c r="D89" s="130">
        <v>587</v>
      </c>
      <c r="E89" s="134">
        <v>358857</v>
      </c>
      <c r="F89" s="137"/>
      <c r="G89" s="138"/>
      <c r="H89" s="138"/>
      <c r="I89" s="138"/>
      <c r="J89" s="139"/>
    </row>
    <row r="90" spans="1:10">
      <c r="A90" s="133">
        <v>62</v>
      </c>
      <c r="B90" s="130">
        <v>470</v>
      </c>
      <c r="C90" s="130">
        <v>209</v>
      </c>
      <c r="D90" s="130">
        <v>714</v>
      </c>
      <c r="E90" s="134">
        <v>359571</v>
      </c>
      <c r="F90" s="137"/>
      <c r="G90" s="138"/>
      <c r="H90" s="138"/>
      <c r="I90" s="138"/>
      <c r="J90" s="139"/>
    </row>
    <row r="91" spans="1:10">
      <c r="A91" s="133">
        <v>61</v>
      </c>
      <c r="B91" s="130">
        <v>138</v>
      </c>
      <c r="C91" s="130">
        <v>73</v>
      </c>
      <c r="D91" s="130">
        <v>225</v>
      </c>
      <c r="E91" s="134">
        <v>359796</v>
      </c>
      <c r="F91" s="137"/>
      <c r="G91" s="138"/>
      <c r="H91" s="138"/>
      <c r="I91" s="138"/>
      <c r="J91" s="139"/>
    </row>
    <row r="92" spans="1:10">
      <c r="A92" s="133">
        <v>60</v>
      </c>
      <c r="B92" s="130">
        <v>82</v>
      </c>
      <c r="C92" s="130">
        <v>31</v>
      </c>
      <c r="D92" s="130">
        <v>119</v>
      </c>
      <c r="E92" s="134">
        <v>359915</v>
      </c>
      <c r="F92" s="137"/>
      <c r="G92" s="138"/>
      <c r="H92" s="138"/>
      <c r="I92" s="138"/>
      <c r="J92" s="139"/>
    </row>
    <row r="93" spans="1:10">
      <c r="A93" s="133">
        <v>59</v>
      </c>
      <c r="B93" s="130">
        <v>106</v>
      </c>
      <c r="C93" s="130">
        <v>48</v>
      </c>
      <c r="D93" s="130">
        <v>167</v>
      </c>
      <c r="E93" s="134">
        <v>360082</v>
      </c>
      <c r="F93" s="137"/>
      <c r="G93" s="138"/>
      <c r="H93" s="138"/>
      <c r="I93" s="138"/>
      <c r="J93" s="139"/>
    </row>
    <row r="94" spans="1:10">
      <c r="A94" s="133">
        <v>58</v>
      </c>
      <c r="B94" s="130">
        <v>21</v>
      </c>
      <c r="C94" s="130">
        <v>15</v>
      </c>
      <c r="D94" s="130">
        <v>37</v>
      </c>
      <c r="E94" s="134">
        <v>360119</v>
      </c>
      <c r="F94" s="137"/>
      <c r="G94" s="138"/>
      <c r="H94" s="138"/>
      <c r="I94" s="138"/>
      <c r="J94" s="139"/>
    </row>
    <row r="95" spans="1:10">
      <c r="A95" s="133">
        <v>57</v>
      </c>
      <c r="B95" s="130">
        <v>97</v>
      </c>
      <c r="C95" s="130">
        <v>33</v>
      </c>
      <c r="D95" s="130">
        <v>136</v>
      </c>
      <c r="E95" s="134">
        <v>360255</v>
      </c>
      <c r="F95" s="137"/>
      <c r="G95" s="138"/>
      <c r="H95" s="138"/>
      <c r="I95" s="138"/>
      <c r="J95" s="139"/>
    </row>
    <row r="96" spans="1:10">
      <c r="A96" s="133">
        <v>56</v>
      </c>
      <c r="B96" s="130">
        <v>2</v>
      </c>
      <c r="C96" s="130">
        <v>2</v>
      </c>
      <c r="D96" s="130">
        <v>4</v>
      </c>
      <c r="E96" s="134">
        <v>360259</v>
      </c>
      <c r="F96" s="137"/>
      <c r="G96" s="138"/>
      <c r="H96" s="138"/>
      <c r="I96" s="138"/>
      <c r="J96" s="139"/>
    </row>
    <row r="97" spans="1:10">
      <c r="A97" s="131">
        <v>55</v>
      </c>
      <c r="B97" s="132">
        <v>47</v>
      </c>
      <c r="C97" s="132">
        <v>26</v>
      </c>
      <c r="D97" s="132">
        <v>80</v>
      </c>
      <c r="E97" s="140">
        <v>360339</v>
      </c>
      <c r="F97" s="137"/>
      <c r="G97" s="138"/>
      <c r="H97" s="138"/>
      <c r="I97" s="138"/>
      <c r="J97" s="139"/>
    </row>
    <row r="98" spans="1:10">
      <c r="A98" s="131">
        <v>53</v>
      </c>
      <c r="B98" s="132">
        <v>610</v>
      </c>
      <c r="C98" s="132">
        <v>253</v>
      </c>
      <c r="D98" s="132">
        <v>975</v>
      </c>
      <c r="E98" s="135">
        <v>361314</v>
      </c>
      <c r="F98" s="133"/>
      <c r="G98" s="130"/>
      <c r="H98" s="130"/>
      <c r="I98" s="130"/>
      <c r="J98" s="134"/>
    </row>
    <row r="99" spans="1:10">
      <c r="A99" s="5"/>
      <c r="D99" s="6"/>
      <c r="E99" s="13"/>
      <c r="F99" s="5"/>
      <c r="I99" s="6"/>
    </row>
    <row r="100" spans="1:10">
      <c r="A100" s="5"/>
      <c r="D100" s="12"/>
      <c r="E100" s="13"/>
      <c r="F100" s="5"/>
      <c r="I100" s="6"/>
    </row>
    <row r="101" spans="1:10">
      <c r="A101" s="5"/>
      <c r="D101" s="6"/>
      <c r="F101" s="5"/>
      <c r="I101" s="6"/>
    </row>
    <row r="102" spans="1:10" ht="17.5" thickBot="1">
      <c r="A102" s="7"/>
      <c r="B102" s="9"/>
      <c r="C102" s="9"/>
      <c r="D102" s="8"/>
      <c r="F102" s="7"/>
      <c r="G102" s="9"/>
      <c r="H102" s="9"/>
      <c r="I102" s="8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4B5DD-2734-4EE0-BFFB-E8EF25ED5316}">
  <sheetPr codeName="Sheet4"/>
  <dimension ref="A1:Q109"/>
  <sheetViews>
    <sheetView tabSelected="1" zoomScaleNormal="100" workbookViewId="0">
      <selection activeCell="B2" sqref="B2:K108"/>
    </sheetView>
  </sheetViews>
  <sheetFormatPr defaultRowHeight="17"/>
  <cols>
    <col min="1" max="1" width="8.6640625" customWidth="1"/>
    <col min="2" max="2" width="1" customWidth="1"/>
    <col min="3" max="10" width="14.1640625" customWidth="1"/>
    <col min="11" max="11" width="1" style="2" customWidth="1"/>
    <col min="12" max="12" width="14.1640625" style="1" customWidth="1"/>
    <col min="13" max="13" width="13.75" customWidth="1"/>
    <col min="14" max="14" width="12.1640625" customWidth="1"/>
  </cols>
  <sheetData>
    <row r="1" spans="1:17">
      <c r="A1" s="2" t="s">
        <v>39</v>
      </c>
      <c r="B1" s="2"/>
      <c r="C1" s="2"/>
      <c r="D1" s="2"/>
      <c r="E1" s="2"/>
      <c r="F1" s="2"/>
      <c r="G1" s="2"/>
      <c r="H1" s="2"/>
      <c r="I1" s="2"/>
      <c r="J1" s="2"/>
      <c r="L1" s="22"/>
    </row>
    <row r="2" spans="1:17" ht="6" customHeight="1" thickBot="1">
      <c r="A2" s="2"/>
      <c r="B2" s="24"/>
      <c r="C2" s="25"/>
      <c r="D2" s="25"/>
      <c r="E2" s="25"/>
      <c r="F2" s="25"/>
      <c r="G2" s="25"/>
      <c r="H2" s="25"/>
      <c r="I2" s="25"/>
      <c r="J2" s="25"/>
      <c r="K2" s="26"/>
      <c r="L2" s="22"/>
    </row>
    <row r="3" spans="1:17" s="16" customFormat="1" ht="25" customHeight="1" thickBot="1">
      <c r="A3" s="14"/>
      <c r="B3" s="27"/>
      <c r="C3" s="42" t="s">
        <v>41</v>
      </c>
      <c r="D3" s="107" t="s">
        <v>69</v>
      </c>
      <c r="E3" s="108"/>
      <c r="F3" s="109"/>
      <c r="G3" s="42" t="s">
        <v>42</v>
      </c>
      <c r="H3" s="43" t="str">
        <f>'통계 및 응시자 수 입력 기능'!D4</f>
        <v>49.51</v>
      </c>
      <c r="I3" s="15" t="s">
        <v>43</v>
      </c>
      <c r="J3" s="44">
        <f>'통계 및 응시자 수 입력 기능'!C4</f>
        <v>361314</v>
      </c>
      <c r="K3" s="28"/>
      <c r="L3" s="17"/>
    </row>
    <row r="4" spans="1:17" s="16" customFormat="1" ht="25" customHeight="1" thickBot="1">
      <c r="A4" s="14"/>
      <c r="B4" s="27"/>
      <c r="C4" s="45" t="s">
        <v>44</v>
      </c>
      <c r="D4" s="110" t="s">
        <v>45</v>
      </c>
      <c r="E4" s="111"/>
      <c r="F4" s="112"/>
      <c r="G4" s="46" t="s">
        <v>46</v>
      </c>
      <c r="H4" s="47" t="str">
        <f>'통계 및 응시자 수 입력 기능'!E4</f>
        <v>21.04</v>
      </c>
      <c r="I4" s="113"/>
      <c r="J4" s="114"/>
      <c r="K4" s="29"/>
      <c r="L4" s="19"/>
    </row>
    <row r="5" spans="1:17" s="16" customFormat="1" ht="25" customHeight="1" thickBot="1">
      <c r="A5" s="14"/>
      <c r="B5" s="27"/>
      <c r="C5" s="17"/>
      <c r="D5" s="17"/>
      <c r="E5" s="17"/>
      <c r="F5" s="104"/>
      <c r="G5" s="17"/>
      <c r="H5" s="14"/>
      <c r="I5" s="115"/>
      <c r="J5" s="115"/>
      <c r="K5" s="30"/>
      <c r="L5" s="17"/>
    </row>
    <row r="6" spans="1:17" s="16" customFormat="1" ht="25" customHeight="1" thickBot="1">
      <c r="A6" s="14"/>
      <c r="B6" s="27"/>
      <c r="C6" s="48" t="s">
        <v>48</v>
      </c>
      <c r="D6" s="49" t="s">
        <v>49</v>
      </c>
      <c r="E6" s="49" t="s">
        <v>50</v>
      </c>
      <c r="F6" s="49" t="s">
        <v>51</v>
      </c>
      <c r="G6" s="49" t="s">
        <v>52</v>
      </c>
      <c r="H6" s="50" t="s">
        <v>53</v>
      </c>
      <c r="I6" s="50" t="s">
        <v>54</v>
      </c>
      <c r="J6" s="51" t="s">
        <v>55</v>
      </c>
      <c r="K6" s="31"/>
      <c r="L6" s="23" t="s">
        <v>38</v>
      </c>
      <c r="M6" s="17"/>
      <c r="N6" s="18"/>
    </row>
    <row r="7" spans="1:17" s="16" customFormat="1" ht="25" customHeight="1">
      <c r="A7" s="14"/>
      <c r="B7" s="27"/>
      <c r="C7" s="52">
        <v>100</v>
      </c>
      <c r="D7" s="53">
        <f>ROUND(20*(C7-$H$3)/$H$4+100,0)</f>
        <v>148</v>
      </c>
      <c r="E7" s="53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4">
        <f>ROUND(100*(1-(0+I7)/2/$J$3),2)</f>
        <v>99.95</v>
      </c>
      <c r="G7" s="55">
        <f>_xlfn.IFNA(VLOOKUP(D7,'인원 입력 기능'!$A$5:$D$103,4,FALSE),0)</f>
        <v>330</v>
      </c>
      <c r="H7" s="56">
        <f>G7/$J$3</f>
        <v>9.1333300121224201E-4</v>
      </c>
      <c r="I7" s="57">
        <f>G7</f>
        <v>330</v>
      </c>
      <c r="J7" s="58">
        <f>I7/$J$3</f>
        <v>9.1333300121224201E-4</v>
      </c>
      <c r="K7" s="32"/>
      <c r="L7" s="20" t="str">
        <f>IF(ABS((C7-$H$3)/$H$4*20+100-D7)&gt;0.49, "경고", "")</f>
        <v/>
      </c>
      <c r="N7" s="19"/>
      <c r="P7" s="19">
        <v>1</v>
      </c>
      <c r="Q7" s="19">
        <f>'표점등급&amp;절평인원 입력기능'!C4</f>
        <v>136</v>
      </c>
    </row>
    <row r="8" spans="1:17" s="16" customFormat="1" ht="25" customHeight="1">
      <c r="A8" s="14"/>
      <c r="B8" s="27"/>
      <c r="C8" s="59">
        <v>99</v>
      </c>
      <c r="D8" s="60" t="s">
        <v>37</v>
      </c>
      <c r="E8" s="60"/>
      <c r="F8" s="61"/>
      <c r="G8" s="62"/>
      <c r="H8" s="63"/>
      <c r="I8" s="64"/>
      <c r="J8" s="65"/>
      <c r="K8" s="33"/>
      <c r="L8" s="17"/>
      <c r="N8" s="19"/>
      <c r="P8" s="19">
        <v>2</v>
      </c>
      <c r="Q8" s="19">
        <f>'표점등급&amp;절평인원 입력기능'!C5</f>
        <v>127</v>
      </c>
    </row>
    <row r="9" spans="1:17" s="16" customFormat="1" ht="25" customHeight="1">
      <c r="A9" s="14"/>
      <c r="B9" s="27"/>
      <c r="C9" s="59">
        <v>98</v>
      </c>
      <c r="D9" s="53">
        <f>ROUND(20*(C9-$H$3)/$H$4+100,0)</f>
        <v>146</v>
      </c>
      <c r="E9" s="53">
        <f t="shared" si="0"/>
        <v>1</v>
      </c>
      <c r="F9" s="54">
        <f>IF(I8=0,ROUND(100*(1-(I7+I9)/2/$J$3),2),ROUND(100*(1-(I8+I9)/2/$J$3),2))</f>
        <v>99.8</v>
      </c>
      <c r="G9" s="55">
        <f>_xlfn.IFNA(VLOOKUP(D9,'인원 입력 기능'!$A$5:$D$103,4,FALSE),0)</f>
        <v>815</v>
      </c>
      <c r="H9" s="56">
        <f>G9/$J$3</f>
        <v>2.2556557454181127E-3</v>
      </c>
      <c r="I9" s="66">
        <f>SUM($G$7:G9)</f>
        <v>1145</v>
      </c>
      <c r="J9" s="58">
        <f>I9/$J$3</f>
        <v>3.168988746630355E-3</v>
      </c>
      <c r="K9" s="32"/>
      <c r="L9" s="20" t="str">
        <f t="shared" ref="L9:L40" si="1">IF(ABS((C9-$H$3)/$H$4*20+100-D9)&gt;0.49, "경고", "")</f>
        <v/>
      </c>
      <c r="N9" s="19"/>
      <c r="P9" s="19">
        <v>3</v>
      </c>
      <c r="Q9" s="19">
        <f>'표점등급&amp;절평인원 입력기능'!C6</f>
        <v>117</v>
      </c>
    </row>
    <row r="10" spans="1:17" s="16" customFormat="1" ht="25" customHeight="1">
      <c r="A10" s="14"/>
      <c r="B10" s="27"/>
      <c r="C10" s="59">
        <v>97</v>
      </c>
      <c r="D10" s="53">
        <f t="shared" ref="D10:D73" si="2">ROUND(20*(C10-$H$3)/$H$4+100,0)</f>
        <v>145</v>
      </c>
      <c r="E10" s="53">
        <f t="shared" si="0"/>
        <v>1</v>
      </c>
      <c r="F10" s="54">
        <f t="shared" ref="F10:F73" si="3">IF(I9=0,ROUND(100*(1-(I8+I10)/2/$J$3),2),ROUND(100*(1-(I9+I10)/2/$J$3),2))</f>
        <v>99.65</v>
      </c>
      <c r="G10" s="55">
        <f>IF(D10=D9,"",_xlfn.IFNA(VLOOKUP(D10,'인원 입력 기능'!$A$5:$D$103,4,FALSE),0))</f>
        <v>231</v>
      </c>
      <c r="H10" s="56">
        <f t="shared" ref="H10:H73" si="4">G10/$J$3</f>
        <v>6.3933310084856936E-4</v>
      </c>
      <c r="I10" s="66">
        <f>SUM($G$7:G10)</f>
        <v>1376</v>
      </c>
      <c r="J10" s="58">
        <f t="shared" ref="J10:J73" si="5">I10/$J$3</f>
        <v>3.8083218474789242E-3</v>
      </c>
      <c r="K10" s="32"/>
      <c r="L10" s="20" t="str">
        <f t="shared" si="1"/>
        <v/>
      </c>
      <c r="N10" s="19"/>
      <c r="P10" s="19">
        <v>4</v>
      </c>
      <c r="Q10" s="19">
        <f>'표점등급&amp;절평인원 입력기능'!C7</f>
        <v>105</v>
      </c>
    </row>
    <row r="11" spans="1:17" s="16" customFormat="1" ht="25" customHeight="1">
      <c r="A11" s="14"/>
      <c r="B11" s="27"/>
      <c r="C11" s="59">
        <v>96</v>
      </c>
      <c r="D11" s="53">
        <f t="shared" si="2"/>
        <v>144</v>
      </c>
      <c r="E11" s="53">
        <f t="shared" si="0"/>
        <v>1</v>
      </c>
      <c r="F11" s="54">
        <f t="shared" si="3"/>
        <v>99.48</v>
      </c>
      <c r="G11" s="55">
        <f>IF(D11=D10,"",_xlfn.IFNA(VLOOKUP(D11,'인원 입력 기능'!$A$5:$D$103,4,FALSE),0))</f>
        <v>980</v>
      </c>
      <c r="H11" s="56">
        <f t="shared" si="4"/>
        <v>2.7123222460242336E-3</v>
      </c>
      <c r="I11" s="66">
        <f>SUM($G$7:G11)</f>
        <v>2356</v>
      </c>
      <c r="J11" s="58">
        <f t="shared" si="5"/>
        <v>6.5206440935031583E-3</v>
      </c>
      <c r="K11" s="32"/>
      <c r="L11" s="20" t="str">
        <f t="shared" si="1"/>
        <v/>
      </c>
      <c r="N11" s="19"/>
      <c r="P11" s="19">
        <v>5</v>
      </c>
      <c r="Q11" s="19">
        <f>'표점등급&amp;절평인원 입력기능'!C8</f>
        <v>93</v>
      </c>
    </row>
    <row r="12" spans="1:17" s="16" customFormat="1" ht="25" customHeight="1">
      <c r="A12" s="14"/>
      <c r="B12" s="27"/>
      <c r="C12" s="59">
        <v>95</v>
      </c>
      <c r="D12" s="53">
        <f t="shared" si="2"/>
        <v>143</v>
      </c>
      <c r="E12" s="53">
        <f t="shared" si="0"/>
        <v>1</v>
      </c>
      <c r="F12" s="54">
        <f t="shared" si="3"/>
        <v>99.25</v>
      </c>
      <c r="G12" s="55">
        <f>IF(D12=D11,"",_xlfn.IFNA(VLOOKUP(D12,'인원 입력 기능'!$A$5:$D$103,4,FALSE),0))</f>
        <v>725</v>
      </c>
      <c r="H12" s="56">
        <f t="shared" si="4"/>
        <v>2.006564926905683E-3</v>
      </c>
      <c r="I12" s="66">
        <f>SUM($G$7:G12)</f>
        <v>3081</v>
      </c>
      <c r="J12" s="58">
        <f t="shared" si="5"/>
        <v>8.5272090204088404E-3</v>
      </c>
      <c r="K12" s="32"/>
      <c r="L12" s="20" t="str">
        <f t="shared" si="1"/>
        <v/>
      </c>
      <c r="N12" s="19"/>
      <c r="P12" s="19">
        <v>6</v>
      </c>
      <c r="Q12" s="19">
        <f>'표점등급&amp;절평인원 입력기능'!C9</f>
        <v>82</v>
      </c>
    </row>
    <row r="13" spans="1:17" s="16" customFormat="1" ht="25" customHeight="1">
      <c r="A13" s="14"/>
      <c r="B13" s="27"/>
      <c r="C13" s="59">
        <v>94</v>
      </c>
      <c r="D13" s="53">
        <f t="shared" si="2"/>
        <v>142</v>
      </c>
      <c r="E13" s="53">
        <f t="shared" si="0"/>
        <v>1</v>
      </c>
      <c r="F13" s="54">
        <f t="shared" si="3"/>
        <v>99.01</v>
      </c>
      <c r="G13" s="55">
        <f>IF(D13=D12,"",_xlfn.IFNA(VLOOKUP(D13,'인원 입력 기능'!$A$5:$D$103,4,FALSE),0))</f>
        <v>973</v>
      </c>
      <c r="H13" s="56">
        <f t="shared" si="4"/>
        <v>2.692948515695489E-3</v>
      </c>
      <c r="I13" s="66">
        <f>SUM($G$7:G13)</f>
        <v>4054</v>
      </c>
      <c r="J13" s="58">
        <f t="shared" si="5"/>
        <v>1.1220157536104331E-2</v>
      </c>
      <c r="K13" s="32"/>
      <c r="L13" s="20" t="str">
        <f t="shared" si="1"/>
        <v/>
      </c>
      <c r="N13" s="19"/>
      <c r="P13" s="19">
        <v>7</v>
      </c>
      <c r="Q13" s="19">
        <f>'표점등급&amp;절평인원 입력기능'!C10</f>
        <v>75</v>
      </c>
    </row>
    <row r="14" spans="1:17" s="16" customFormat="1" ht="25" customHeight="1">
      <c r="A14" s="14"/>
      <c r="B14" s="27"/>
      <c r="C14" s="59">
        <v>93</v>
      </c>
      <c r="D14" s="53">
        <f t="shared" si="2"/>
        <v>141</v>
      </c>
      <c r="E14" s="53">
        <f t="shared" si="0"/>
        <v>1</v>
      </c>
      <c r="F14" s="54">
        <f t="shared" si="3"/>
        <v>98.7</v>
      </c>
      <c r="G14" s="55">
        <f>IF(D14=D13,"",_xlfn.IFNA(VLOOKUP(D14,'인원 입력 기능'!$A$5:$D$103,4,FALSE),0))</f>
        <v>1290</v>
      </c>
      <c r="H14" s="56">
        <f t="shared" si="4"/>
        <v>3.5703017320114915E-3</v>
      </c>
      <c r="I14" s="66">
        <f>SUM($G$7:G14)</f>
        <v>5344</v>
      </c>
      <c r="J14" s="58">
        <f t="shared" si="5"/>
        <v>1.4790459268115822E-2</v>
      </c>
      <c r="K14" s="32"/>
      <c r="L14" s="20" t="str">
        <f t="shared" si="1"/>
        <v/>
      </c>
      <c r="N14" s="19"/>
      <c r="P14" s="19">
        <v>8</v>
      </c>
      <c r="Q14" s="19">
        <f>'표점등급&amp;절평인원 입력기능'!C11</f>
        <v>70</v>
      </c>
    </row>
    <row r="15" spans="1:17" s="16" customFormat="1" ht="25" customHeight="1">
      <c r="A15" s="14"/>
      <c r="B15" s="27"/>
      <c r="C15" s="59">
        <v>92</v>
      </c>
      <c r="D15" s="53">
        <f t="shared" si="2"/>
        <v>140</v>
      </c>
      <c r="E15" s="53">
        <f t="shared" si="0"/>
        <v>1</v>
      </c>
      <c r="F15" s="54">
        <f t="shared" si="3"/>
        <v>98.37</v>
      </c>
      <c r="G15" s="55">
        <f>IF(D15=D14,"",_xlfn.IFNA(VLOOKUP(D15,'인원 입력 기능'!$A$5:$D$103,4,FALSE),0))</f>
        <v>1115</v>
      </c>
      <c r="H15" s="56">
        <f t="shared" si="4"/>
        <v>3.0859584737928784E-3</v>
      </c>
      <c r="I15" s="66">
        <f>SUM($G$7:G15)</f>
        <v>6459</v>
      </c>
      <c r="J15" s="58">
        <f t="shared" si="5"/>
        <v>1.78764177419087E-2</v>
      </c>
      <c r="K15" s="32"/>
      <c r="L15" s="20" t="str">
        <f t="shared" si="1"/>
        <v/>
      </c>
      <c r="N15" s="19"/>
      <c r="P15" s="19">
        <v>9</v>
      </c>
      <c r="Q15" s="19"/>
    </row>
    <row r="16" spans="1:17" s="16" customFormat="1" ht="25" customHeight="1">
      <c r="A16" s="14"/>
      <c r="B16" s="27"/>
      <c r="C16" s="67">
        <v>91</v>
      </c>
      <c r="D16" s="53">
        <f t="shared" si="2"/>
        <v>139</v>
      </c>
      <c r="E16" s="68">
        <f t="shared" si="0"/>
        <v>1</v>
      </c>
      <c r="F16" s="54">
        <f t="shared" si="3"/>
        <v>97.98</v>
      </c>
      <c r="G16" s="55">
        <f>IF(D16=D15,"",_xlfn.IFNA(VLOOKUP(D16,'인원 입력 기능'!$A$5:$D$103,4,FALSE),0))</f>
        <v>1688</v>
      </c>
      <c r="H16" s="56">
        <f t="shared" si="4"/>
        <v>4.6718366849886799E-3</v>
      </c>
      <c r="I16" s="69">
        <f>SUM($G$7:G16)</f>
        <v>8147</v>
      </c>
      <c r="J16" s="58">
        <f t="shared" si="5"/>
        <v>2.2548254426897379E-2</v>
      </c>
      <c r="K16" s="32"/>
      <c r="L16" s="20" t="str">
        <f t="shared" si="1"/>
        <v/>
      </c>
      <c r="N16" s="19"/>
    </row>
    <row r="17" spans="1:17" s="16" customFormat="1" ht="25" customHeight="1">
      <c r="A17" s="14"/>
      <c r="B17" s="27"/>
      <c r="C17" s="67">
        <v>90</v>
      </c>
      <c r="D17" s="129">
        <f t="shared" si="2"/>
        <v>138</v>
      </c>
      <c r="E17" s="154">
        <f t="shared" si="0"/>
        <v>1</v>
      </c>
      <c r="F17" s="156">
        <f t="shared" si="3"/>
        <v>97.3</v>
      </c>
      <c r="G17" s="158">
        <f>IF(D17=D16,"",_xlfn.IFNA(VLOOKUP(D17,'인원 입력 기능'!$A$5:$D$103,4,FALSE),0))</f>
        <v>3221</v>
      </c>
      <c r="H17" s="159">
        <f t="shared" si="4"/>
        <v>8.9146836269837319E-3</v>
      </c>
      <c r="I17" s="161">
        <f>SUM($G$7:G17)</f>
        <v>11368</v>
      </c>
      <c r="J17" s="163">
        <f t="shared" si="5"/>
        <v>3.1462938053881111E-2</v>
      </c>
      <c r="K17" s="32"/>
      <c r="L17" s="20" t="str">
        <f t="shared" si="1"/>
        <v/>
      </c>
      <c r="N17" s="19"/>
      <c r="Q17" s="16">
        <f>IF(H3*H4*J3*Q7=0, 0, 1)</f>
        <v>1</v>
      </c>
    </row>
    <row r="18" spans="1:17" s="16" customFormat="1" ht="25" customHeight="1">
      <c r="A18" s="14"/>
      <c r="B18" s="27"/>
      <c r="C18" s="67">
        <v>89</v>
      </c>
      <c r="D18" s="119"/>
      <c r="E18" s="118"/>
      <c r="F18" s="155"/>
      <c r="G18" s="157"/>
      <c r="H18" s="160"/>
      <c r="I18" s="162"/>
      <c r="J18" s="164"/>
      <c r="K18" s="32"/>
      <c r="L18" s="20" t="str">
        <f t="shared" si="1"/>
        <v>경고</v>
      </c>
      <c r="N18" s="19"/>
    </row>
    <row r="19" spans="1:17" s="16" customFormat="1" ht="25" customHeight="1">
      <c r="A19" s="14"/>
      <c r="B19" s="27"/>
      <c r="C19" s="67">
        <v>88</v>
      </c>
      <c r="D19" s="53">
        <f t="shared" si="2"/>
        <v>137</v>
      </c>
      <c r="E19" s="68">
        <f t="shared" si="0"/>
        <v>1</v>
      </c>
      <c r="F19" s="54">
        <f t="shared" si="3"/>
        <v>96.6</v>
      </c>
      <c r="G19" s="55">
        <f>IF(D19=D18,"",_xlfn.IFNA(VLOOKUP(D19,'인원 입력 기능'!$A$5:$D$103,4,FALSE),0))</f>
        <v>1828</v>
      </c>
      <c r="H19" s="56">
        <f t="shared" si="4"/>
        <v>5.0593112915635705E-3</v>
      </c>
      <c r="I19" s="69">
        <f>SUM($G$7:G19)</f>
        <v>13196</v>
      </c>
      <c r="J19" s="58">
        <f t="shared" si="5"/>
        <v>3.6522249345444679E-2</v>
      </c>
      <c r="K19" s="32"/>
      <c r="L19" s="20" t="str">
        <f t="shared" si="1"/>
        <v/>
      </c>
      <c r="N19" s="105"/>
    </row>
    <row r="20" spans="1:17" s="16" customFormat="1" ht="25" customHeight="1">
      <c r="A20" s="14"/>
      <c r="B20" s="27"/>
      <c r="C20" s="67">
        <v>87</v>
      </c>
      <c r="D20" s="53">
        <f t="shared" si="2"/>
        <v>136</v>
      </c>
      <c r="E20" s="68">
        <f t="shared" si="0"/>
        <v>1</v>
      </c>
      <c r="F20" s="54">
        <f t="shared" si="3"/>
        <v>96.07</v>
      </c>
      <c r="G20" s="55">
        <f>IF(D20=D19,"",_xlfn.IFNA(VLOOKUP(D20,'인원 입력 기능'!$A$5:$D$103,4,FALSE),0))</f>
        <v>1975</v>
      </c>
      <c r="H20" s="56">
        <f t="shared" si="4"/>
        <v>5.4661596284672062E-3</v>
      </c>
      <c r="I20" s="69">
        <f>SUM($G$7:G20)</f>
        <v>15171</v>
      </c>
      <c r="J20" s="58">
        <f t="shared" si="5"/>
        <v>4.1988408973911887E-2</v>
      </c>
      <c r="K20" s="32"/>
      <c r="L20" s="20" t="str">
        <f t="shared" si="1"/>
        <v/>
      </c>
      <c r="N20" s="105"/>
    </row>
    <row r="21" spans="1:17" s="16" customFormat="1" ht="25" customHeight="1">
      <c r="A21" s="14"/>
      <c r="B21" s="27"/>
      <c r="C21" s="67">
        <v>86</v>
      </c>
      <c r="D21" s="53">
        <f t="shared" si="2"/>
        <v>135</v>
      </c>
      <c r="E21" s="68">
        <f t="shared" si="0"/>
        <v>2</v>
      </c>
      <c r="F21" s="54">
        <f t="shared" si="3"/>
        <v>95.49</v>
      </c>
      <c r="G21" s="55">
        <f>IF(D21=D20,"",_xlfn.IFNA(VLOOKUP(D21,'인원 입력 기능'!$A$5:$D$103,4,FALSE),0))</f>
        <v>2216</v>
      </c>
      <c r="H21" s="56">
        <f t="shared" si="4"/>
        <v>6.1331694869282676E-3</v>
      </c>
      <c r="I21" s="69">
        <f>SUM($G$7:G21)</f>
        <v>17387</v>
      </c>
      <c r="J21" s="58">
        <f t="shared" si="5"/>
        <v>4.8121578460840156E-2</v>
      </c>
      <c r="K21" s="32"/>
      <c r="L21" s="20" t="str">
        <f t="shared" si="1"/>
        <v/>
      </c>
      <c r="N21" s="19"/>
    </row>
    <row r="22" spans="1:17" s="16" customFormat="1" ht="25" customHeight="1">
      <c r="A22" s="14"/>
      <c r="B22" s="27"/>
      <c r="C22" s="67">
        <v>85</v>
      </c>
      <c r="D22" s="53">
        <f t="shared" si="2"/>
        <v>134</v>
      </c>
      <c r="E22" s="68">
        <f t="shared" si="0"/>
        <v>2</v>
      </c>
      <c r="F22" s="54">
        <f t="shared" si="3"/>
        <v>94.87</v>
      </c>
      <c r="G22" s="55">
        <f>IF(D22=D21,"",_xlfn.IFNA(VLOOKUP(D22,'인원 입력 기능'!$A$5:$D$103,4,FALSE),0))</f>
        <v>2282</v>
      </c>
      <c r="H22" s="56">
        <f t="shared" si="4"/>
        <v>6.315836087170716E-3</v>
      </c>
      <c r="I22" s="69">
        <f>SUM($G$7:G22)</f>
        <v>19669</v>
      </c>
      <c r="J22" s="58">
        <f t="shared" si="5"/>
        <v>5.4437414548010869E-2</v>
      </c>
      <c r="K22" s="32"/>
      <c r="L22" s="20" t="str">
        <f t="shared" si="1"/>
        <v/>
      </c>
      <c r="N22" s="19"/>
    </row>
    <row r="23" spans="1:17" s="16" customFormat="1" ht="25" customHeight="1">
      <c r="A23" s="14"/>
      <c r="B23" s="27"/>
      <c r="C23" s="67">
        <v>84</v>
      </c>
      <c r="D23" s="53">
        <f t="shared" si="2"/>
        <v>133</v>
      </c>
      <c r="E23" s="68">
        <f t="shared" si="0"/>
        <v>2</v>
      </c>
      <c r="F23" s="54">
        <f t="shared" si="3"/>
        <v>94.2</v>
      </c>
      <c r="G23" s="55">
        <f>IF(D23=D22,"",_xlfn.IFNA(VLOOKUP(D23,'인원 입력 기능'!$A$5:$D$103,4,FALSE),0))</f>
        <v>2562</v>
      </c>
      <c r="H23" s="56">
        <f t="shared" si="4"/>
        <v>7.0907853003204973E-3</v>
      </c>
      <c r="I23" s="69">
        <f>SUM($G$7:G23)</f>
        <v>22231</v>
      </c>
      <c r="J23" s="58">
        <f t="shared" si="5"/>
        <v>6.1528199848331369E-2</v>
      </c>
      <c r="K23" s="32"/>
      <c r="L23" s="20" t="str">
        <f t="shared" si="1"/>
        <v/>
      </c>
      <c r="N23" s="19"/>
    </row>
    <row r="24" spans="1:17" s="16" customFormat="1" ht="25" customHeight="1">
      <c r="A24" s="14"/>
      <c r="B24" s="27"/>
      <c r="C24" s="67">
        <v>83</v>
      </c>
      <c r="D24" s="53">
        <f t="shared" si="2"/>
        <v>132</v>
      </c>
      <c r="E24" s="68">
        <f t="shared" si="0"/>
        <v>2</v>
      </c>
      <c r="F24" s="54">
        <f t="shared" si="3"/>
        <v>93.5</v>
      </c>
      <c r="G24" s="55">
        <f>IF(D24=D23,"",_xlfn.IFNA(VLOOKUP(D24,'인원 입력 기능'!$A$5:$D$103,4,FALSE),0))</f>
        <v>2493</v>
      </c>
      <c r="H24" s="56">
        <f t="shared" si="4"/>
        <v>6.8998156727943004E-3</v>
      </c>
      <c r="I24" s="69">
        <f>SUM($G$7:G24)</f>
        <v>24724</v>
      </c>
      <c r="J24" s="58">
        <f t="shared" si="5"/>
        <v>6.8428015521125665E-2</v>
      </c>
      <c r="K24" s="32"/>
      <c r="L24" s="20" t="str">
        <f t="shared" si="1"/>
        <v/>
      </c>
      <c r="N24" s="19"/>
    </row>
    <row r="25" spans="1:17" s="16" customFormat="1" ht="25" customHeight="1">
      <c r="A25" s="14"/>
      <c r="B25" s="27"/>
      <c r="C25" s="67">
        <v>82</v>
      </c>
      <c r="D25" s="53">
        <f t="shared" si="2"/>
        <v>131</v>
      </c>
      <c r="E25" s="68">
        <f t="shared" si="0"/>
        <v>2</v>
      </c>
      <c r="F25" s="54">
        <f t="shared" si="3"/>
        <v>92.78</v>
      </c>
      <c r="G25" s="55">
        <f>IF(D25=D24,"",_xlfn.IFNA(VLOOKUP(D25,'인원 입력 기능'!$A$5:$D$103,4,FALSE),0))</f>
        <v>2730</v>
      </c>
      <c r="H25" s="56">
        <f t="shared" si="4"/>
        <v>7.5557548282103653E-3</v>
      </c>
      <c r="I25" s="69">
        <f>SUM($G$7:G25)</f>
        <v>27454</v>
      </c>
      <c r="J25" s="58">
        <f t="shared" si="5"/>
        <v>7.5983770349336038E-2</v>
      </c>
      <c r="K25" s="32"/>
      <c r="L25" s="20" t="str">
        <f t="shared" si="1"/>
        <v/>
      </c>
      <c r="N25" s="19"/>
    </row>
    <row r="26" spans="1:17" s="16" customFormat="1" ht="25" customHeight="1">
      <c r="A26" s="14"/>
      <c r="B26" s="27"/>
      <c r="C26" s="67">
        <v>81</v>
      </c>
      <c r="D26" s="53">
        <f t="shared" si="2"/>
        <v>130</v>
      </c>
      <c r="E26" s="68">
        <f t="shared" si="0"/>
        <v>2</v>
      </c>
      <c r="F26" s="54">
        <f t="shared" si="3"/>
        <v>92.01</v>
      </c>
      <c r="G26" s="55">
        <f>IF(D26=D25,"",_xlfn.IFNA(VLOOKUP(D26,'인원 입력 기능'!$A$5:$D$103,4,FALSE),0))</f>
        <v>2821</v>
      </c>
      <c r="H26" s="56">
        <f t="shared" si="4"/>
        <v>7.8076133224840444E-3</v>
      </c>
      <c r="I26" s="69">
        <f>SUM($G$7:G26)</f>
        <v>30275</v>
      </c>
      <c r="J26" s="58">
        <f t="shared" si="5"/>
        <v>8.3791383671820083E-2</v>
      </c>
      <c r="K26" s="32"/>
      <c r="L26" s="20" t="str">
        <f t="shared" si="1"/>
        <v/>
      </c>
      <c r="N26" s="19"/>
    </row>
    <row r="27" spans="1:17" s="16" customFormat="1" ht="25" customHeight="1">
      <c r="A27" s="14"/>
      <c r="B27" s="27"/>
      <c r="C27" s="67">
        <v>80</v>
      </c>
      <c r="D27" s="53">
        <f t="shared" si="2"/>
        <v>129</v>
      </c>
      <c r="E27" s="68">
        <f t="shared" si="0"/>
        <v>2</v>
      </c>
      <c r="F27" s="54">
        <f t="shared" si="3"/>
        <v>91.18</v>
      </c>
      <c r="G27" s="55">
        <f>IF(D27=D26,"",_xlfn.IFNA(VLOOKUP(D27,'인원 입력 기능'!$A$5:$D$103,4,FALSE),0))</f>
        <v>3150</v>
      </c>
      <c r="H27" s="56">
        <f t="shared" si="4"/>
        <v>8.7181786479350373E-3</v>
      </c>
      <c r="I27" s="69">
        <f>SUM($G$7:G27)</f>
        <v>33425</v>
      </c>
      <c r="J27" s="58">
        <f t="shared" si="5"/>
        <v>9.2509562319755115E-2</v>
      </c>
      <c r="K27" s="32"/>
      <c r="L27" s="20" t="str">
        <f t="shared" si="1"/>
        <v/>
      </c>
      <c r="N27" s="19"/>
    </row>
    <row r="28" spans="1:17" s="16" customFormat="1" ht="25" customHeight="1">
      <c r="A28" s="14"/>
      <c r="B28" s="27"/>
      <c r="C28" s="67">
        <v>79</v>
      </c>
      <c r="D28" s="53">
        <f t="shared" si="2"/>
        <v>128</v>
      </c>
      <c r="E28" s="68">
        <f t="shared" si="0"/>
        <v>2</v>
      </c>
      <c r="F28" s="54">
        <f t="shared" si="3"/>
        <v>90.31</v>
      </c>
      <c r="G28" s="55">
        <f>IF(D28=D27,"",_xlfn.IFNA(VLOOKUP(D28,'인원 입력 기능'!$A$5:$D$103,4,FALSE),0))</f>
        <v>3194</v>
      </c>
      <c r="H28" s="56">
        <f t="shared" si="4"/>
        <v>8.8399563814300034E-3</v>
      </c>
      <c r="I28" s="69">
        <f>SUM($G$7:G28)</f>
        <v>36619</v>
      </c>
      <c r="J28" s="58">
        <f t="shared" si="5"/>
        <v>0.10134951870118512</v>
      </c>
      <c r="K28" s="32"/>
      <c r="L28" s="20" t="str">
        <f t="shared" si="1"/>
        <v/>
      </c>
      <c r="N28" s="19"/>
    </row>
    <row r="29" spans="1:17" s="16" customFormat="1" ht="25" customHeight="1">
      <c r="A29" s="14"/>
      <c r="B29" s="27"/>
      <c r="C29" s="67">
        <v>78</v>
      </c>
      <c r="D29" s="53">
        <f t="shared" si="2"/>
        <v>127</v>
      </c>
      <c r="E29" s="68">
        <f t="shared" si="0"/>
        <v>2</v>
      </c>
      <c r="F29" s="54">
        <f t="shared" si="3"/>
        <v>89.41</v>
      </c>
      <c r="G29" s="55">
        <f>IF(D29=D28,"",_xlfn.IFNA(VLOOKUP(D29,'인원 입력 기능'!$A$5:$D$103,4,FALSE),0))</f>
        <v>3316</v>
      </c>
      <c r="H29" s="56">
        <f t="shared" si="4"/>
        <v>9.1776128243024075E-3</v>
      </c>
      <c r="I29" s="69">
        <f>SUM($G$7:G29)</f>
        <v>39935</v>
      </c>
      <c r="J29" s="58">
        <f t="shared" si="5"/>
        <v>0.11052713152548753</v>
      </c>
      <c r="K29" s="32"/>
      <c r="L29" s="20" t="str">
        <f t="shared" si="1"/>
        <v/>
      </c>
      <c r="N29" s="19"/>
    </row>
    <row r="30" spans="1:17" s="16" customFormat="1" ht="25" customHeight="1">
      <c r="A30" s="14"/>
      <c r="B30" s="27"/>
      <c r="C30" s="67">
        <v>77</v>
      </c>
      <c r="D30" s="53">
        <f t="shared" si="2"/>
        <v>126</v>
      </c>
      <c r="E30" s="68">
        <f t="shared" si="0"/>
        <v>3</v>
      </c>
      <c r="F30" s="54">
        <f t="shared" si="3"/>
        <v>88.44</v>
      </c>
      <c r="G30" s="55">
        <f>IF(D30=D29,"",_xlfn.IFNA(VLOOKUP(D30,'인원 입력 기능'!$A$5:$D$103,4,FALSE),0))</f>
        <v>3630</v>
      </c>
      <c r="H30" s="56">
        <f t="shared" si="4"/>
        <v>1.0046663013334662E-2</v>
      </c>
      <c r="I30" s="69">
        <f>SUM($G$7:G30)</f>
        <v>43565</v>
      </c>
      <c r="J30" s="58">
        <f t="shared" si="5"/>
        <v>0.12057379453882219</v>
      </c>
      <c r="K30" s="32"/>
      <c r="L30" s="20" t="str">
        <f t="shared" si="1"/>
        <v/>
      </c>
      <c r="N30" s="19"/>
    </row>
    <row r="31" spans="1:17" s="16" customFormat="1" ht="25" customHeight="1">
      <c r="A31" s="14"/>
      <c r="B31" s="27"/>
      <c r="C31" s="67">
        <v>76</v>
      </c>
      <c r="D31" s="53">
        <f t="shared" si="2"/>
        <v>125</v>
      </c>
      <c r="E31" s="68">
        <f t="shared" si="0"/>
        <v>3</v>
      </c>
      <c r="F31" s="54">
        <f t="shared" si="3"/>
        <v>87.42</v>
      </c>
      <c r="G31" s="55">
        <f>IF(D31=D30,"",_xlfn.IFNA(VLOOKUP(D31,'인원 입력 기능'!$A$5:$D$103,4,FALSE),0))</f>
        <v>3747</v>
      </c>
      <c r="H31" s="56">
        <f t="shared" si="4"/>
        <v>1.0370481077400821E-2</v>
      </c>
      <c r="I31" s="69">
        <f>SUM($G$7:G31)</f>
        <v>47312</v>
      </c>
      <c r="J31" s="58">
        <f t="shared" si="5"/>
        <v>0.13094427561622302</v>
      </c>
      <c r="K31" s="32"/>
      <c r="L31" s="20" t="str">
        <f t="shared" si="1"/>
        <v/>
      </c>
      <c r="N31" s="19"/>
    </row>
    <row r="32" spans="1:17" s="16" customFormat="1" ht="25" customHeight="1">
      <c r="A32" s="14"/>
      <c r="B32" s="27"/>
      <c r="C32" s="67">
        <v>75</v>
      </c>
      <c r="D32" s="53">
        <f t="shared" si="2"/>
        <v>124</v>
      </c>
      <c r="E32" s="68">
        <f t="shared" si="0"/>
        <v>3</v>
      </c>
      <c r="F32" s="54">
        <f t="shared" si="3"/>
        <v>86.37</v>
      </c>
      <c r="G32" s="55">
        <f>IF(D32=D31,"",_xlfn.IFNA(VLOOKUP(D32,'인원 입력 기능'!$A$5:$D$103,4,FALSE),0))</f>
        <v>3858</v>
      </c>
      <c r="H32" s="56">
        <f t="shared" si="4"/>
        <v>1.0677693086899484E-2</v>
      </c>
      <c r="I32" s="69">
        <f>SUM($G$7:G32)</f>
        <v>51170</v>
      </c>
      <c r="J32" s="58">
        <f t="shared" si="5"/>
        <v>0.14162196870312249</v>
      </c>
      <c r="K32" s="32"/>
      <c r="L32" s="20" t="str">
        <f t="shared" si="1"/>
        <v/>
      </c>
      <c r="N32" s="19"/>
    </row>
    <row r="33" spans="1:14" s="16" customFormat="1" ht="25" customHeight="1">
      <c r="A33" s="14"/>
      <c r="B33" s="27"/>
      <c r="C33" s="67">
        <v>74</v>
      </c>
      <c r="D33" s="53">
        <f t="shared" si="2"/>
        <v>123</v>
      </c>
      <c r="E33" s="68">
        <f t="shared" si="0"/>
        <v>3</v>
      </c>
      <c r="F33" s="54">
        <f t="shared" si="3"/>
        <v>85.28</v>
      </c>
      <c r="G33" s="55">
        <f>IF(D33=D32,"",_xlfn.IFNA(VLOOKUP(D33,'인원 입력 기능'!$A$5:$D$103,4,FALSE),0))</f>
        <v>4003</v>
      </c>
      <c r="H33" s="56">
        <f t="shared" si="4"/>
        <v>1.107900607228062E-2</v>
      </c>
      <c r="I33" s="69">
        <f>SUM($G$7:G33)</f>
        <v>55173</v>
      </c>
      <c r="J33" s="58">
        <f t="shared" si="5"/>
        <v>0.15270097477540312</v>
      </c>
      <c r="K33" s="32"/>
      <c r="L33" s="20" t="str">
        <f t="shared" si="1"/>
        <v/>
      </c>
      <c r="N33" s="19"/>
    </row>
    <row r="34" spans="1:14" s="16" customFormat="1" ht="25" customHeight="1">
      <c r="A34" s="14"/>
      <c r="B34" s="27"/>
      <c r="C34" s="67">
        <v>73</v>
      </c>
      <c r="D34" s="53">
        <f t="shared" si="2"/>
        <v>122</v>
      </c>
      <c r="E34" s="68">
        <f t="shared" si="0"/>
        <v>3</v>
      </c>
      <c r="F34" s="54">
        <f t="shared" si="3"/>
        <v>84.16</v>
      </c>
      <c r="G34" s="55">
        <f>IF(D34=D33,"",_xlfn.IFNA(VLOOKUP(D34,'인원 입력 기능'!$A$5:$D$103,4,FALSE),0))</f>
        <v>4149</v>
      </c>
      <c r="H34" s="56">
        <f t="shared" si="4"/>
        <v>1.1483086733423006E-2</v>
      </c>
      <c r="I34" s="69">
        <f>SUM($G$7:G34)</f>
        <v>59322</v>
      </c>
      <c r="J34" s="58">
        <f t="shared" si="5"/>
        <v>0.16418406150882611</v>
      </c>
      <c r="K34" s="32"/>
      <c r="L34" s="20" t="str">
        <f t="shared" si="1"/>
        <v/>
      </c>
      <c r="N34" s="19"/>
    </row>
    <row r="35" spans="1:14" s="16" customFormat="1" ht="25" customHeight="1">
      <c r="A35" s="14"/>
      <c r="B35" s="27"/>
      <c r="C35" s="67">
        <v>72</v>
      </c>
      <c r="D35" s="53">
        <f t="shared" si="2"/>
        <v>121</v>
      </c>
      <c r="E35" s="68">
        <f t="shared" si="0"/>
        <v>3</v>
      </c>
      <c r="F35" s="54">
        <f t="shared" si="3"/>
        <v>83</v>
      </c>
      <c r="G35" s="55">
        <f>IF(D35=D34,"",_xlfn.IFNA(VLOOKUP(D35,'인원 입력 기능'!$A$5:$D$103,4,FALSE),0))</f>
        <v>4234</v>
      </c>
      <c r="H35" s="56">
        <f t="shared" si="4"/>
        <v>1.1718339173129189E-2</v>
      </c>
      <c r="I35" s="69">
        <f>SUM($G$7:G35)</f>
        <v>63556</v>
      </c>
      <c r="J35" s="58">
        <f t="shared" si="5"/>
        <v>0.17590240068195531</v>
      </c>
      <c r="K35" s="32"/>
      <c r="L35" s="20" t="str">
        <f t="shared" si="1"/>
        <v/>
      </c>
      <c r="N35" s="19"/>
    </row>
    <row r="36" spans="1:14" s="16" customFormat="1" ht="25" customHeight="1">
      <c r="A36" s="14"/>
      <c r="B36" s="27"/>
      <c r="C36" s="67">
        <v>71</v>
      </c>
      <c r="D36" s="53">
        <f t="shared" si="2"/>
        <v>120</v>
      </c>
      <c r="E36" s="68">
        <f t="shared" si="0"/>
        <v>3</v>
      </c>
      <c r="F36" s="54">
        <f t="shared" si="3"/>
        <v>81.81</v>
      </c>
      <c r="G36" s="55">
        <f>IF(D36=D35,"",_xlfn.IFNA(VLOOKUP(D36,'인원 입력 기능'!$A$5:$D$103,4,FALSE),0))</f>
        <v>4320</v>
      </c>
      <c r="H36" s="56">
        <f t="shared" si="4"/>
        <v>1.1956359288596622E-2</v>
      </c>
      <c r="I36" s="69">
        <f>SUM($G$7:G36)</f>
        <v>67876</v>
      </c>
      <c r="J36" s="58">
        <f t="shared" si="5"/>
        <v>0.18785875997055193</v>
      </c>
      <c r="K36" s="32"/>
      <c r="L36" s="20" t="str">
        <f t="shared" si="1"/>
        <v/>
      </c>
      <c r="N36" s="19"/>
    </row>
    <row r="37" spans="1:14" s="16" customFormat="1" ht="25" customHeight="1">
      <c r="A37" s="14"/>
      <c r="B37" s="27"/>
      <c r="C37" s="67">
        <v>70</v>
      </c>
      <c r="D37" s="129">
        <f t="shared" si="2"/>
        <v>119</v>
      </c>
      <c r="E37" s="154">
        <f t="shared" si="0"/>
        <v>3</v>
      </c>
      <c r="F37" s="156">
        <f t="shared" si="3"/>
        <v>79.98</v>
      </c>
      <c r="G37" s="158">
        <f>IF(D37=D36,"",_xlfn.IFNA(VLOOKUP(D37,'인원 입력 기능'!$A$5:$D$103,4,FALSE),0))</f>
        <v>8929</v>
      </c>
      <c r="H37" s="159">
        <f t="shared" si="4"/>
        <v>2.4712576872194268E-2</v>
      </c>
      <c r="I37" s="161">
        <f>SUM($G$7:G37)</f>
        <v>76805</v>
      </c>
      <c r="J37" s="163">
        <f t="shared" si="5"/>
        <v>0.21257133684274621</v>
      </c>
      <c r="K37" s="32"/>
      <c r="L37" s="20" t="str">
        <f t="shared" si="1"/>
        <v/>
      </c>
      <c r="N37" s="19"/>
    </row>
    <row r="38" spans="1:14" s="16" customFormat="1" ht="25" customHeight="1">
      <c r="A38" s="14"/>
      <c r="B38" s="27"/>
      <c r="C38" s="67">
        <v>69</v>
      </c>
      <c r="D38" s="119"/>
      <c r="E38" s="118"/>
      <c r="F38" s="155"/>
      <c r="G38" s="157"/>
      <c r="H38" s="160"/>
      <c r="I38" s="162"/>
      <c r="J38" s="164"/>
      <c r="K38" s="32"/>
      <c r="L38" s="20" t="str">
        <f t="shared" si="1"/>
        <v>경고</v>
      </c>
      <c r="N38" s="19"/>
    </row>
    <row r="39" spans="1:14" s="16" customFormat="1" ht="25" customHeight="1">
      <c r="A39" s="14"/>
      <c r="B39" s="27"/>
      <c r="C39" s="67">
        <v>68</v>
      </c>
      <c r="D39" s="53">
        <f t="shared" si="2"/>
        <v>118</v>
      </c>
      <c r="E39" s="68">
        <f t="shared" ref="E39:E70" si="6">IF(ROUND(D39,0)&gt;=$Q$7,1,IF(ROUND(D39,0)&gt;=$Q$8,2,IF(ROUND(D39,0)&gt;=$Q$9,3,IF(ROUND(D39,0)&gt;=$Q$10,4,IF(ROUND(D39,0)&gt;=$Q$11,5,IF(ROUND(D39,0)&gt;=$Q$12,6,IF(ROUND(D39,0)&gt;=$Q$13,7,IF(ROUND(D39,0)&gt;=$Q$14,8,9))))))))</f>
        <v>3</v>
      </c>
      <c r="F39" s="54">
        <f t="shared" si="3"/>
        <v>78.099999999999994</v>
      </c>
      <c r="G39" s="55">
        <f>IF(D39=D38,"",_xlfn.IFNA(VLOOKUP(D39,'인원 입력 기능'!$A$5:$D$103,4,FALSE),0))</f>
        <v>4657</v>
      </c>
      <c r="H39" s="56">
        <f t="shared" si="4"/>
        <v>1.288906602013761E-2</v>
      </c>
      <c r="I39" s="69">
        <f>SUM($G$7:G39)</f>
        <v>81462</v>
      </c>
      <c r="J39" s="58">
        <f t="shared" si="5"/>
        <v>0.2254604028628838</v>
      </c>
      <c r="K39" s="32"/>
      <c r="L39" s="20" t="str">
        <f t="shared" si="1"/>
        <v/>
      </c>
      <c r="N39" s="19"/>
    </row>
    <row r="40" spans="1:14" s="16" customFormat="1" ht="25" customHeight="1">
      <c r="A40" s="14"/>
      <c r="B40" s="27"/>
      <c r="C40" s="67">
        <v>67</v>
      </c>
      <c r="D40" s="53">
        <f t="shared" si="2"/>
        <v>117</v>
      </c>
      <c r="E40" s="68">
        <f t="shared" si="6"/>
        <v>3</v>
      </c>
      <c r="F40" s="54">
        <f t="shared" si="3"/>
        <v>76.790000000000006</v>
      </c>
      <c r="G40" s="55">
        <f>IF(D40=D39,"",_xlfn.IFNA(VLOOKUP(D40,'인원 입력 기능'!$A$5:$D$103,4,FALSE),0))</f>
        <v>4804</v>
      </c>
      <c r="H40" s="56">
        <f t="shared" si="4"/>
        <v>1.3295914357041244E-2</v>
      </c>
      <c r="I40" s="69">
        <f>SUM($G$7:G40)</f>
        <v>86266</v>
      </c>
      <c r="J40" s="58">
        <f t="shared" si="5"/>
        <v>0.23875631721992505</v>
      </c>
      <c r="K40" s="32"/>
      <c r="L40" s="20" t="str">
        <f t="shared" si="1"/>
        <v/>
      </c>
      <c r="N40" s="19"/>
    </row>
    <row r="41" spans="1:14" s="16" customFormat="1" ht="25" customHeight="1">
      <c r="A41" s="14"/>
      <c r="B41" s="27"/>
      <c r="C41" s="67">
        <v>66</v>
      </c>
      <c r="D41" s="53">
        <f t="shared" si="2"/>
        <v>116</v>
      </c>
      <c r="E41" s="68">
        <f t="shared" si="6"/>
        <v>4</v>
      </c>
      <c r="F41" s="54">
        <f t="shared" si="3"/>
        <v>75.44</v>
      </c>
      <c r="G41" s="55">
        <f>IF(D41=D40,"",_xlfn.IFNA(VLOOKUP(D41,'인원 입력 기능'!$A$5:$D$103,4,FALSE),0))</f>
        <v>4944</v>
      </c>
      <c r="H41" s="56">
        <f t="shared" si="4"/>
        <v>1.3683388963616134E-2</v>
      </c>
      <c r="I41" s="69">
        <f>SUM($G$7:G41)</f>
        <v>91210</v>
      </c>
      <c r="J41" s="58">
        <f t="shared" si="5"/>
        <v>0.25243970618354117</v>
      </c>
      <c r="K41" s="32"/>
      <c r="L41" s="20" t="str">
        <f t="shared" ref="L41:L72" si="7">IF(ABS((C41-$H$3)/$H$4*20+100-D41)&gt;0.49, "경고", "")</f>
        <v/>
      </c>
      <c r="N41" s="19"/>
    </row>
    <row r="42" spans="1:14" s="16" customFormat="1" ht="25" customHeight="1">
      <c r="A42" s="14"/>
      <c r="B42" s="27"/>
      <c r="C42" s="67">
        <v>65</v>
      </c>
      <c r="D42" s="53">
        <f t="shared" si="2"/>
        <v>115</v>
      </c>
      <c r="E42" s="68">
        <f t="shared" si="6"/>
        <v>4</v>
      </c>
      <c r="F42" s="54">
        <f t="shared" si="3"/>
        <v>74.08</v>
      </c>
      <c r="G42" s="55">
        <f>IF(D42=D41,"",_xlfn.IFNA(VLOOKUP(D42,'인원 입력 기능'!$A$5:$D$103,4,FALSE),0))</f>
        <v>4914</v>
      </c>
      <c r="H42" s="56">
        <f t="shared" si="4"/>
        <v>1.3600358690778658E-2</v>
      </c>
      <c r="I42" s="69">
        <f>SUM($G$7:G42)</f>
        <v>96124</v>
      </c>
      <c r="J42" s="58">
        <f t="shared" si="5"/>
        <v>0.26604006487431986</v>
      </c>
      <c r="K42" s="32"/>
      <c r="L42" s="20" t="str">
        <f t="shared" si="7"/>
        <v/>
      </c>
      <c r="N42" s="19"/>
    </row>
    <row r="43" spans="1:14" s="16" customFormat="1" ht="25" customHeight="1">
      <c r="A43" s="14"/>
      <c r="B43" s="27"/>
      <c r="C43" s="67">
        <v>64</v>
      </c>
      <c r="D43" s="53">
        <f t="shared" si="2"/>
        <v>114</v>
      </c>
      <c r="E43" s="68">
        <f t="shared" si="6"/>
        <v>4</v>
      </c>
      <c r="F43" s="54">
        <f t="shared" si="3"/>
        <v>72.7</v>
      </c>
      <c r="G43" s="55">
        <f>IF(D43=D42,"",_xlfn.IFNA(VLOOKUP(D43,'인원 입력 기능'!$A$5:$D$103,4,FALSE),0))</f>
        <v>5039</v>
      </c>
      <c r="H43" s="56">
        <f t="shared" si="4"/>
        <v>1.394631816093481E-2</v>
      </c>
      <c r="I43" s="69">
        <f>SUM($G$7:G43)</f>
        <v>101163</v>
      </c>
      <c r="J43" s="58">
        <f t="shared" si="5"/>
        <v>0.27998638303525464</v>
      </c>
      <c r="K43" s="32"/>
      <c r="L43" s="20" t="str">
        <f t="shared" si="7"/>
        <v/>
      </c>
      <c r="N43" s="19"/>
    </row>
    <row r="44" spans="1:14" s="16" customFormat="1" ht="25" customHeight="1">
      <c r="A44" s="14"/>
      <c r="B44" s="27"/>
      <c r="C44" s="67">
        <v>63</v>
      </c>
      <c r="D44" s="53">
        <f t="shared" si="2"/>
        <v>113</v>
      </c>
      <c r="E44" s="68">
        <f t="shared" si="6"/>
        <v>4</v>
      </c>
      <c r="F44" s="54">
        <f t="shared" si="3"/>
        <v>71.290000000000006</v>
      </c>
      <c r="G44" s="55">
        <f>IF(D44=D43,"",_xlfn.IFNA(VLOOKUP(D44,'인원 입력 기능'!$A$5:$D$103,4,FALSE),0))</f>
        <v>5137</v>
      </c>
      <c r="H44" s="56">
        <f t="shared" si="4"/>
        <v>1.4217550385537233E-2</v>
      </c>
      <c r="I44" s="69">
        <f>SUM($G$7:G44)</f>
        <v>106300</v>
      </c>
      <c r="J44" s="58">
        <f t="shared" si="5"/>
        <v>0.29420393342079187</v>
      </c>
      <c r="K44" s="32"/>
      <c r="L44" s="20" t="str">
        <f t="shared" si="7"/>
        <v/>
      </c>
      <c r="N44" s="19"/>
    </row>
    <row r="45" spans="1:14" s="16" customFormat="1" ht="25" customHeight="1">
      <c r="A45" s="14"/>
      <c r="B45" s="27"/>
      <c r="C45" s="67">
        <v>62</v>
      </c>
      <c r="D45" s="53">
        <f t="shared" si="2"/>
        <v>112</v>
      </c>
      <c r="E45" s="68">
        <f t="shared" si="6"/>
        <v>4</v>
      </c>
      <c r="F45" s="54">
        <f t="shared" si="3"/>
        <v>69.86</v>
      </c>
      <c r="G45" s="55">
        <f>IF(D45=D44,"",_xlfn.IFNA(VLOOKUP(D45,'인원 입력 기능'!$A$5:$D$103,4,FALSE),0))</f>
        <v>5224</v>
      </c>
      <c r="H45" s="56">
        <f t="shared" si="4"/>
        <v>1.4458338176765916E-2</v>
      </c>
      <c r="I45" s="69">
        <f>SUM($G$7:G45)</f>
        <v>111524</v>
      </c>
      <c r="J45" s="58">
        <f t="shared" si="5"/>
        <v>0.30866227159755782</v>
      </c>
      <c r="K45" s="32"/>
      <c r="L45" s="20" t="str">
        <f t="shared" si="7"/>
        <v/>
      </c>
      <c r="N45" s="19"/>
    </row>
    <row r="46" spans="1:14" s="16" customFormat="1" ht="25" customHeight="1">
      <c r="A46" s="14"/>
      <c r="B46" s="27"/>
      <c r="C46" s="67">
        <v>61</v>
      </c>
      <c r="D46" s="53">
        <f t="shared" si="2"/>
        <v>111</v>
      </c>
      <c r="E46" s="68">
        <f t="shared" si="6"/>
        <v>4</v>
      </c>
      <c r="F46" s="54">
        <f t="shared" si="3"/>
        <v>68.41</v>
      </c>
      <c r="G46" s="55">
        <f>IF(D46=D45,"",_xlfn.IFNA(VLOOKUP(D46,'인원 입력 기능'!$A$5:$D$103,4,FALSE),0))</f>
        <v>5221</v>
      </c>
      <c r="H46" s="56">
        <f t="shared" si="4"/>
        <v>1.4450035149482168E-2</v>
      </c>
      <c r="I46" s="69">
        <f>SUM($G$7:G46)</f>
        <v>116745</v>
      </c>
      <c r="J46" s="58">
        <f t="shared" si="5"/>
        <v>0.32311230674703995</v>
      </c>
      <c r="K46" s="32"/>
      <c r="L46" s="20" t="str">
        <f t="shared" si="7"/>
        <v/>
      </c>
      <c r="N46" s="19"/>
    </row>
    <row r="47" spans="1:14" s="16" customFormat="1" ht="25" customHeight="1">
      <c r="A47" s="14"/>
      <c r="B47" s="27"/>
      <c r="C47" s="67">
        <v>60</v>
      </c>
      <c r="D47" s="53">
        <f t="shared" si="2"/>
        <v>110</v>
      </c>
      <c r="E47" s="68">
        <f t="shared" si="6"/>
        <v>4</v>
      </c>
      <c r="F47" s="54">
        <f t="shared" si="3"/>
        <v>66.959999999999994</v>
      </c>
      <c r="G47" s="55">
        <f>IF(D47=D46,"",_xlfn.IFNA(VLOOKUP(D47,'인원 입력 기능'!$A$5:$D$103,4,FALSE),0))</f>
        <v>5277</v>
      </c>
      <c r="H47" s="56">
        <f t="shared" si="4"/>
        <v>1.4605024992112125E-2</v>
      </c>
      <c r="I47" s="69">
        <f>SUM($G$7:G47)</f>
        <v>122022</v>
      </c>
      <c r="J47" s="58">
        <f t="shared" si="5"/>
        <v>0.33771733173915208</v>
      </c>
      <c r="K47" s="32"/>
      <c r="L47" s="20" t="str">
        <f t="shared" si="7"/>
        <v/>
      </c>
      <c r="N47" s="19"/>
    </row>
    <row r="48" spans="1:14" s="16" customFormat="1" ht="25" customHeight="1">
      <c r="A48" s="14"/>
      <c r="B48" s="27"/>
      <c r="C48" s="67">
        <v>59</v>
      </c>
      <c r="D48" s="53">
        <f t="shared" si="2"/>
        <v>109</v>
      </c>
      <c r="E48" s="68">
        <f t="shared" si="6"/>
        <v>4</v>
      </c>
      <c r="F48" s="54">
        <f t="shared" si="3"/>
        <v>65.489999999999995</v>
      </c>
      <c r="G48" s="55">
        <f>IF(D48=D47,"",_xlfn.IFNA(VLOOKUP(D48,'인원 입력 기능'!$A$5:$D$103,4,FALSE),0))</f>
        <v>5341</v>
      </c>
      <c r="H48" s="56">
        <f t="shared" si="4"/>
        <v>1.4782156240832074E-2</v>
      </c>
      <c r="I48" s="69">
        <f>SUM($G$7:G48)</f>
        <v>127363</v>
      </c>
      <c r="J48" s="58">
        <f t="shared" si="5"/>
        <v>0.35249948797998415</v>
      </c>
      <c r="K48" s="32"/>
      <c r="L48" s="20" t="str">
        <f t="shared" si="7"/>
        <v/>
      </c>
      <c r="N48" s="19"/>
    </row>
    <row r="49" spans="1:14" s="16" customFormat="1" ht="25" customHeight="1">
      <c r="A49" s="14"/>
      <c r="B49" s="27"/>
      <c r="C49" s="67">
        <v>58</v>
      </c>
      <c r="D49" s="53">
        <f t="shared" si="2"/>
        <v>108</v>
      </c>
      <c r="E49" s="68">
        <f t="shared" si="6"/>
        <v>4</v>
      </c>
      <c r="F49" s="54">
        <f t="shared" si="3"/>
        <v>64.010000000000005</v>
      </c>
      <c r="G49" s="55">
        <f>IF(D49=D48,"",_xlfn.IFNA(VLOOKUP(D49,'인원 입력 기능'!$A$5:$D$103,4,FALSE),0))</f>
        <v>5370</v>
      </c>
      <c r="H49" s="56">
        <f t="shared" si="4"/>
        <v>1.4862418837908301E-2</v>
      </c>
      <c r="I49" s="69">
        <f>SUM($G$7:G49)</f>
        <v>132733</v>
      </c>
      <c r="J49" s="58">
        <f t="shared" si="5"/>
        <v>0.36736190681789249</v>
      </c>
      <c r="K49" s="32"/>
      <c r="L49" s="20" t="str">
        <f t="shared" si="7"/>
        <v/>
      </c>
      <c r="N49" s="19"/>
    </row>
    <row r="50" spans="1:14" s="16" customFormat="1" ht="25" customHeight="1">
      <c r="A50" s="14"/>
      <c r="B50" s="27"/>
      <c r="C50" s="67">
        <v>57</v>
      </c>
      <c r="D50" s="53">
        <f t="shared" si="2"/>
        <v>107</v>
      </c>
      <c r="E50" s="68">
        <f t="shared" si="6"/>
        <v>4</v>
      </c>
      <c r="F50" s="54">
        <f t="shared" si="3"/>
        <v>62.52</v>
      </c>
      <c r="G50" s="55">
        <f>IF(D50=D49,"",_xlfn.IFNA(VLOOKUP(D50,'인원 입력 기능'!$A$5:$D$103,4,FALSE),0))</f>
        <v>5394</v>
      </c>
      <c r="H50" s="56">
        <f t="shared" si="4"/>
        <v>1.4928843056178283E-2</v>
      </c>
      <c r="I50" s="69">
        <f>SUM($G$7:G50)</f>
        <v>138127</v>
      </c>
      <c r="J50" s="58">
        <f t="shared" si="5"/>
        <v>0.38229074987407075</v>
      </c>
      <c r="K50" s="32"/>
      <c r="L50" s="20" t="str">
        <f t="shared" si="7"/>
        <v/>
      </c>
      <c r="N50" s="19"/>
    </row>
    <row r="51" spans="1:14" s="16" customFormat="1" ht="25" customHeight="1">
      <c r="A51" s="14"/>
      <c r="B51" s="27"/>
      <c r="C51" s="67">
        <v>56</v>
      </c>
      <c r="D51" s="53">
        <f t="shared" si="2"/>
        <v>106</v>
      </c>
      <c r="E51" s="68">
        <f t="shared" si="6"/>
        <v>4</v>
      </c>
      <c r="F51" s="54">
        <f t="shared" si="3"/>
        <v>61.02</v>
      </c>
      <c r="G51" s="55">
        <f>IF(D51=D50,"",_xlfn.IFNA(VLOOKUP(D51,'인원 입력 기능'!$A$5:$D$103,4,FALSE),0))</f>
        <v>5461</v>
      </c>
      <c r="H51" s="56">
        <f t="shared" si="4"/>
        <v>1.511427733218198E-2</v>
      </c>
      <c r="I51" s="69">
        <f>SUM($G$7:G51)</f>
        <v>143588</v>
      </c>
      <c r="J51" s="58">
        <f t="shared" si="5"/>
        <v>0.39740502720625276</v>
      </c>
      <c r="K51" s="32"/>
      <c r="L51" s="20" t="str">
        <f t="shared" si="7"/>
        <v/>
      </c>
      <c r="N51" s="19"/>
    </row>
    <row r="52" spans="1:14" s="16" customFormat="1" ht="25" customHeight="1">
      <c r="A52" s="14"/>
      <c r="B52" s="27"/>
      <c r="C52" s="67">
        <v>55</v>
      </c>
      <c r="D52" s="53">
        <f t="shared" si="2"/>
        <v>105</v>
      </c>
      <c r="E52" s="68">
        <f t="shared" si="6"/>
        <v>4</v>
      </c>
      <c r="F52" s="54">
        <f t="shared" si="3"/>
        <v>59.5</v>
      </c>
      <c r="G52" s="55">
        <f>IF(D52=D51,"",_xlfn.IFNA(VLOOKUP(D52,'인원 입력 기능'!$A$5:$D$103,4,FALSE),0))</f>
        <v>5468</v>
      </c>
      <c r="H52" s="56">
        <f t="shared" si="4"/>
        <v>1.5133651062510725E-2</v>
      </c>
      <c r="I52" s="69">
        <f>SUM($G$7:G52)</f>
        <v>149056</v>
      </c>
      <c r="J52" s="58">
        <f t="shared" si="5"/>
        <v>0.41253867826876345</v>
      </c>
      <c r="K52" s="32"/>
      <c r="L52" s="20" t="str">
        <f t="shared" si="7"/>
        <v/>
      </c>
      <c r="N52" s="19"/>
    </row>
    <row r="53" spans="1:14" s="16" customFormat="1" ht="25" customHeight="1">
      <c r="A53" s="14"/>
      <c r="B53" s="27"/>
      <c r="C53" s="67">
        <v>54</v>
      </c>
      <c r="D53" s="53">
        <f t="shared" si="2"/>
        <v>104</v>
      </c>
      <c r="E53" s="68">
        <f t="shared" si="6"/>
        <v>5</v>
      </c>
      <c r="F53" s="54">
        <f t="shared" si="3"/>
        <v>57.99</v>
      </c>
      <c r="G53" s="55">
        <f>IF(D53=D52,"",_xlfn.IFNA(VLOOKUP(D53,'인원 입력 기능'!$A$5:$D$103,4,FALSE),0))</f>
        <v>5492</v>
      </c>
      <c r="H53" s="56">
        <f t="shared" si="4"/>
        <v>1.5200075280780706E-2</v>
      </c>
      <c r="I53" s="69">
        <f>SUM($G$7:G53)</f>
        <v>154548</v>
      </c>
      <c r="J53" s="58">
        <f t="shared" si="5"/>
        <v>0.42773875354954416</v>
      </c>
      <c r="K53" s="32"/>
      <c r="L53" s="20" t="str">
        <f t="shared" si="7"/>
        <v/>
      </c>
      <c r="N53" s="19"/>
    </row>
    <row r="54" spans="1:14" s="16" customFormat="1" ht="25" customHeight="1">
      <c r="A54" s="14"/>
      <c r="B54" s="27"/>
      <c r="C54" s="67">
        <v>53</v>
      </c>
      <c r="D54" s="53">
        <f t="shared" si="2"/>
        <v>103</v>
      </c>
      <c r="E54" s="68">
        <f t="shared" si="6"/>
        <v>5</v>
      </c>
      <c r="F54" s="54">
        <f t="shared" si="3"/>
        <v>56.47</v>
      </c>
      <c r="G54" s="55">
        <f>IF(D54=D53,"",_xlfn.IFNA(VLOOKUP(D54,'인원 입력 기능'!$A$5:$D$103,4,FALSE),0))</f>
        <v>5442</v>
      </c>
      <c r="H54" s="56">
        <f t="shared" si="4"/>
        <v>1.5061691492718245E-2</v>
      </c>
      <c r="I54" s="69">
        <f>SUM($G$7:G54)</f>
        <v>159990</v>
      </c>
      <c r="J54" s="58">
        <f t="shared" si="5"/>
        <v>0.4428004450422624</v>
      </c>
      <c r="K54" s="32"/>
      <c r="L54" s="20" t="str">
        <f t="shared" si="7"/>
        <v/>
      </c>
      <c r="N54" s="19"/>
    </row>
    <row r="55" spans="1:14" s="16" customFormat="1" ht="25" customHeight="1">
      <c r="A55" s="14"/>
      <c r="B55" s="27"/>
      <c r="C55" s="67">
        <v>52</v>
      </c>
      <c r="D55" s="53">
        <f t="shared" si="2"/>
        <v>102</v>
      </c>
      <c r="E55" s="68">
        <f t="shared" si="6"/>
        <v>5</v>
      </c>
      <c r="F55" s="54">
        <f t="shared" si="3"/>
        <v>54.96</v>
      </c>
      <c r="G55" s="55">
        <f>IF(D55=D54,"",_xlfn.IFNA(VLOOKUP(D55,'인원 입력 기능'!$A$5:$D$103,4,FALSE),0))</f>
        <v>5512</v>
      </c>
      <c r="H55" s="56">
        <f t="shared" si="4"/>
        <v>1.525542879600569E-2</v>
      </c>
      <c r="I55" s="69">
        <f>SUM($G$7:G55)</f>
        <v>165502</v>
      </c>
      <c r="J55" s="58">
        <f t="shared" si="5"/>
        <v>0.45805587383826812</v>
      </c>
      <c r="K55" s="32"/>
      <c r="L55" s="20" t="str">
        <f t="shared" si="7"/>
        <v/>
      </c>
      <c r="N55" s="19"/>
    </row>
    <row r="56" spans="1:14" s="16" customFormat="1" ht="25" customHeight="1">
      <c r="A56" s="14"/>
      <c r="B56" s="27"/>
      <c r="C56" s="67">
        <v>51</v>
      </c>
      <c r="D56" s="53">
        <f t="shared" si="2"/>
        <v>101</v>
      </c>
      <c r="E56" s="68">
        <f t="shared" si="6"/>
        <v>5</v>
      </c>
      <c r="F56" s="54">
        <f t="shared" si="3"/>
        <v>53.44</v>
      </c>
      <c r="G56" s="55">
        <f>IF(D56=D55,"",_xlfn.IFNA(VLOOKUP(D56,'인원 입력 기능'!$A$5:$D$103,4,FALSE),0))</f>
        <v>5459</v>
      </c>
      <c r="H56" s="56">
        <f t="shared" si="4"/>
        <v>1.5108741980659483E-2</v>
      </c>
      <c r="I56" s="69">
        <f>SUM($G$7:G56)</f>
        <v>170961</v>
      </c>
      <c r="J56" s="58">
        <f t="shared" si="5"/>
        <v>0.4731646158189276</v>
      </c>
      <c r="K56" s="32"/>
      <c r="L56" s="20" t="str">
        <f t="shared" si="7"/>
        <v/>
      </c>
      <c r="N56" s="19"/>
    </row>
    <row r="57" spans="1:14" s="16" customFormat="1" ht="25" customHeight="1">
      <c r="A57" s="14"/>
      <c r="B57" s="27"/>
      <c r="C57" s="67">
        <v>50</v>
      </c>
      <c r="D57" s="129">
        <f t="shared" si="2"/>
        <v>100</v>
      </c>
      <c r="E57" s="154">
        <f t="shared" si="6"/>
        <v>5</v>
      </c>
      <c r="F57" s="156">
        <f t="shared" si="3"/>
        <v>51.19</v>
      </c>
      <c r="G57" s="158">
        <f>IF(D57=D56,"",_xlfn.IFNA(VLOOKUP(D57,'인원 입력 기능'!$A$5:$D$103,4,FALSE),0))</f>
        <v>10800</v>
      </c>
      <c r="H57" s="159">
        <f t="shared" si="4"/>
        <v>2.9890898221491557E-2</v>
      </c>
      <c r="I57" s="161">
        <f>SUM($G$7:G57)</f>
        <v>181761</v>
      </c>
      <c r="J57" s="163">
        <f t="shared" si="5"/>
        <v>0.50305551404041915</v>
      </c>
      <c r="K57" s="32"/>
      <c r="L57" s="20" t="str">
        <f t="shared" si="7"/>
        <v/>
      </c>
      <c r="N57" s="19"/>
    </row>
    <row r="58" spans="1:14" s="16" customFormat="1" ht="25" customHeight="1">
      <c r="A58" s="14"/>
      <c r="B58" s="27"/>
      <c r="C58" s="67">
        <v>49</v>
      </c>
      <c r="D58" s="119"/>
      <c r="E58" s="118"/>
      <c r="F58" s="155"/>
      <c r="G58" s="157"/>
      <c r="H58" s="160"/>
      <c r="I58" s="162"/>
      <c r="J58" s="164"/>
      <c r="K58" s="32"/>
      <c r="L58" s="20" t="str">
        <f t="shared" si="7"/>
        <v>경고</v>
      </c>
      <c r="N58" s="19"/>
    </row>
    <row r="59" spans="1:14" s="16" customFormat="1" ht="25" customHeight="1">
      <c r="A59" s="14"/>
      <c r="B59" s="27"/>
      <c r="C59" s="67">
        <v>48</v>
      </c>
      <c r="D59" s="53">
        <f t="shared" si="2"/>
        <v>99</v>
      </c>
      <c r="E59" s="68">
        <f t="shared" si="6"/>
        <v>5</v>
      </c>
      <c r="F59" s="54">
        <f t="shared" si="3"/>
        <v>48.92</v>
      </c>
      <c r="G59" s="55">
        <f>IF(D59=D58,"",_xlfn.IFNA(VLOOKUP(D59,'인원 입력 기능'!$A$5:$D$103,4,FALSE),0))</f>
        <v>5590</v>
      </c>
      <c r="H59" s="56">
        <f t="shared" si="4"/>
        <v>1.547130750538313E-2</v>
      </c>
      <c r="I59" s="69">
        <f>SUM($G$7:G59)</f>
        <v>187351</v>
      </c>
      <c r="J59" s="58">
        <f t="shared" si="5"/>
        <v>0.51852682154580232</v>
      </c>
      <c r="K59" s="32"/>
      <c r="L59" s="20" t="str">
        <f t="shared" si="7"/>
        <v/>
      </c>
      <c r="N59" s="19"/>
    </row>
    <row r="60" spans="1:14" s="16" customFormat="1" ht="25" customHeight="1">
      <c r="A60" s="14"/>
      <c r="B60" s="27"/>
      <c r="C60" s="67">
        <v>47</v>
      </c>
      <c r="D60" s="53">
        <f t="shared" si="2"/>
        <v>98</v>
      </c>
      <c r="E60" s="68">
        <f t="shared" si="6"/>
        <v>5</v>
      </c>
      <c r="F60" s="54">
        <f t="shared" si="3"/>
        <v>47.39</v>
      </c>
      <c r="G60" s="55">
        <f>IF(D60=D59,"",_xlfn.IFNA(VLOOKUP(D60,'인원 입력 기능'!$A$5:$D$103,4,FALSE),0))</f>
        <v>5500</v>
      </c>
      <c r="H60" s="56">
        <f t="shared" si="4"/>
        <v>1.5222216686870699E-2</v>
      </c>
      <c r="I60" s="69">
        <f>SUM($G$7:G60)</f>
        <v>192851</v>
      </c>
      <c r="J60" s="58">
        <f t="shared" si="5"/>
        <v>0.53374903823267295</v>
      </c>
      <c r="K60" s="32"/>
      <c r="L60" s="20" t="str">
        <f t="shared" si="7"/>
        <v/>
      </c>
      <c r="N60" s="19"/>
    </row>
    <row r="61" spans="1:14" s="16" customFormat="1" ht="25" customHeight="1">
      <c r="A61" s="14"/>
      <c r="B61" s="27"/>
      <c r="C61" s="67">
        <v>46</v>
      </c>
      <c r="D61" s="53">
        <f t="shared" si="2"/>
        <v>97</v>
      </c>
      <c r="E61" s="68">
        <f t="shared" si="6"/>
        <v>5</v>
      </c>
      <c r="F61" s="54">
        <f t="shared" si="3"/>
        <v>45.88</v>
      </c>
      <c r="G61" s="55">
        <f>IF(D61=D60,"",_xlfn.IFNA(VLOOKUP(D61,'인원 입력 기능'!$A$5:$D$103,4,FALSE),0))</f>
        <v>5407</v>
      </c>
      <c r="H61" s="56">
        <f t="shared" si="4"/>
        <v>1.4964822841074522E-2</v>
      </c>
      <c r="I61" s="69">
        <f>SUM($G$7:G61)</f>
        <v>198258</v>
      </c>
      <c r="J61" s="58">
        <f t="shared" si="5"/>
        <v>0.54871386107374753</v>
      </c>
      <c r="K61" s="32"/>
      <c r="L61" s="20" t="str">
        <f t="shared" si="7"/>
        <v/>
      </c>
      <c r="N61" s="19"/>
    </row>
    <row r="62" spans="1:14" s="16" customFormat="1" ht="25" customHeight="1">
      <c r="A62" s="14"/>
      <c r="B62" s="27"/>
      <c r="C62" s="67">
        <v>45</v>
      </c>
      <c r="D62" s="53">
        <f t="shared" si="2"/>
        <v>96</v>
      </c>
      <c r="E62" s="68">
        <f t="shared" si="6"/>
        <v>5</v>
      </c>
      <c r="F62" s="54">
        <f t="shared" si="3"/>
        <v>44.38</v>
      </c>
      <c r="G62" s="55">
        <f>IF(D62=D61,"",_xlfn.IFNA(VLOOKUP(D62,'인원 입력 기능'!$A$5:$D$103,4,FALSE),0))</f>
        <v>5405</v>
      </c>
      <c r="H62" s="56">
        <f t="shared" si="4"/>
        <v>1.4959287489552024E-2</v>
      </c>
      <c r="I62" s="69">
        <f>SUM($G$7:G62)</f>
        <v>203663</v>
      </c>
      <c r="J62" s="58">
        <f t="shared" si="5"/>
        <v>0.56367314856329953</v>
      </c>
      <c r="K62" s="32"/>
      <c r="L62" s="20" t="str">
        <f t="shared" si="7"/>
        <v/>
      </c>
      <c r="N62" s="19"/>
    </row>
    <row r="63" spans="1:14" s="16" customFormat="1" ht="25" customHeight="1">
      <c r="A63" s="14"/>
      <c r="B63" s="27"/>
      <c r="C63" s="67">
        <v>44</v>
      </c>
      <c r="D63" s="53">
        <f t="shared" si="2"/>
        <v>95</v>
      </c>
      <c r="E63" s="68">
        <f t="shared" si="6"/>
        <v>5</v>
      </c>
      <c r="F63" s="54">
        <f t="shared" si="3"/>
        <v>42.89</v>
      </c>
      <c r="G63" s="55">
        <f>IF(D63=D62,"",_xlfn.IFNA(VLOOKUP(D63,'인원 입력 기능'!$A$5:$D$103,4,FALSE),0))</f>
        <v>5383</v>
      </c>
      <c r="H63" s="56">
        <f t="shared" si="4"/>
        <v>1.4898398622804541E-2</v>
      </c>
      <c r="I63" s="69">
        <f>SUM($G$7:G63)</f>
        <v>209046</v>
      </c>
      <c r="J63" s="58">
        <f t="shared" si="5"/>
        <v>0.57857154718610404</v>
      </c>
      <c r="K63" s="32"/>
      <c r="L63" s="20" t="str">
        <f t="shared" si="7"/>
        <v/>
      </c>
      <c r="N63" s="19"/>
    </row>
    <row r="64" spans="1:14" s="16" customFormat="1" ht="25" customHeight="1">
      <c r="A64" s="14"/>
      <c r="B64" s="27"/>
      <c r="C64" s="67">
        <v>43</v>
      </c>
      <c r="D64" s="53">
        <f t="shared" si="2"/>
        <v>94</v>
      </c>
      <c r="E64" s="68">
        <f t="shared" si="6"/>
        <v>5</v>
      </c>
      <c r="F64" s="54">
        <f t="shared" si="3"/>
        <v>41.4</v>
      </c>
      <c r="G64" s="55">
        <f>IF(D64=D63,"",_xlfn.IFNA(VLOOKUP(D64,'인원 입력 기능'!$A$5:$D$103,4,FALSE),0))</f>
        <v>5352</v>
      </c>
      <c r="H64" s="56">
        <f t="shared" si="4"/>
        <v>1.4812600674205815E-2</v>
      </c>
      <c r="I64" s="69">
        <f>SUM($G$7:G64)</f>
        <v>214398</v>
      </c>
      <c r="J64" s="58">
        <f t="shared" si="5"/>
        <v>0.59338414786030991</v>
      </c>
      <c r="K64" s="32"/>
      <c r="L64" s="20" t="str">
        <f t="shared" si="7"/>
        <v/>
      </c>
      <c r="N64" s="19"/>
    </row>
    <row r="65" spans="1:14" s="16" customFormat="1" ht="25" customHeight="1">
      <c r="A65" s="14"/>
      <c r="B65" s="27"/>
      <c r="C65" s="67">
        <v>42</v>
      </c>
      <c r="D65" s="53">
        <f t="shared" si="2"/>
        <v>93</v>
      </c>
      <c r="E65" s="68">
        <f t="shared" si="6"/>
        <v>5</v>
      </c>
      <c r="F65" s="54">
        <f t="shared" si="3"/>
        <v>39.93</v>
      </c>
      <c r="G65" s="55">
        <f>IF(D65=D64,"",_xlfn.IFNA(VLOOKUP(D65,'인원 입력 기능'!$A$5:$D$103,4,FALSE),0))</f>
        <v>5307</v>
      </c>
      <c r="H65" s="56">
        <f t="shared" si="4"/>
        <v>1.4688055264949601E-2</v>
      </c>
      <c r="I65" s="69">
        <f>SUM($G$7:G65)</f>
        <v>219705</v>
      </c>
      <c r="J65" s="58">
        <f t="shared" si="5"/>
        <v>0.60807220312525945</v>
      </c>
      <c r="K65" s="32"/>
      <c r="L65" s="20" t="str">
        <f t="shared" si="7"/>
        <v/>
      </c>
      <c r="N65" s="19"/>
    </row>
    <row r="66" spans="1:14" s="16" customFormat="1" ht="25" customHeight="1">
      <c r="A66" s="14"/>
      <c r="B66" s="27"/>
      <c r="C66" s="67">
        <v>41</v>
      </c>
      <c r="D66" s="53">
        <f t="shared" si="2"/>
        <v>92</v>
      </c>
      <c r="E66" s="68">
        <f t="shared" si="6"/>
        <v>6</v>
      </c>
      <c r="F66" s="54">
        <f t="shared" si="3"/>
        <v>38.46</v>
      </c>
      <c r="G66" s="55">
        <f>IF(D66=D65,"",_xlfn.IFNA(VLOOKUP(D66,'인원 입력 기능'!$A$5:$D$103,4,FALSE),0))</f>
        <v>5314</v>
      </c>
      <c r="H66" s="56">
        <f t="shared" si="4"/>
        <v>1.4707428995278346E-2</v>
      </c>
      <c r="I66" s="69">
        <f>SUM($G$7:G66)</f>
        <v>225019</v>
      </c>
      <c r="J66" s="58">
        <f t="shared" si="5"/>
        <v>0.62277963212053777</v>
      </c>
      <c r="K66" s="32"/>
      <c r="L66" s="20" t="str">
        <f t="shared" si="7"/>
        <v/>
      </c>
      <c r="N66" s="19"/>
    </row>
    <row r="67" spans="1:14" s="16" customFormat="1" ht="25" customHeight="1">
      <c r="A67" s="14"/>
      <c r="B67" s="27"/>
      <c r="C67" s="67">
        <v>40</v>
      </c>
      <c r="D67" s="53">
        <f t="shared" si="2"/>
        <v>91</v>
      </c>
      <c r="E67" s="68">
        <f t="shared" si="6"/>
        <v>6</v>
      </c>
      <c r="F67" s="54">
        <f t="shared" si="3"/>
        <v>36.979999999999997</v>
      </c>
      <c r="G67" s="55">
        <f>IF(D67=D66,"",_xlfn.IFNA(VLOOKUP(D67,'인원 입력 기능'!$A$5:$D$103,4,FALSE),0))</f>
        <v>5362</v>
      </c>
      <c r="H67" s="56">
        <f t="shared" si="4"/>
        <v>1.4840277431818307E-2</v>
      </c>
      <c r="I67" s="69">
        <f>SUM($G$7:G67)</f>
        <v>230381</v>
      </c>
      <c r="J67" s="58">
        <f t="shared" si="5"/>
        <v>0.63761990955235615</v>
      </c>
      <c r="K67" s="32"/>
      <c r="L67" s="20" t="str">
        <f t="shared" si="7"/>
        <v/>
      </c>
      <c r="N67" s="19"/>
    </row>
    <row r="68" spans="1:14" s="16" customFormat="1" ht="25" customHeight="1">
      <c r="A68" s="14"/>
      <c r="B68" s="27"/>
      <c r="C68" s="67">
        <v>39</v>
      </c>
      <c r="D68" s="53">
        <f t="shared" si="2"/>
        <v>90</v>
      </c>
      <c r="E68" s="68">
        <f t="shared" si="6"/>
        <v>6</v>
      </c>
      <c r="F68" s="54">
        <f t="shared" si="3"/>
        <v>35.5</v>
      </c>
      <c r="G68" s="55">
        <f>IF(D68=D67,"",_xlfn.IFNA(VLOOKUP(D68,'인원 입력 기능'!$A$5:$D$103,4,FALSE),0))</f>
        <v>5341</v>
      </c>
      <c r="H68" s="56">
        <f t="shared" si="4"/>
        <v>1.4782156240832074E-2</v>
      </c>
      <c r="I68" s="69">
        <f>SUM($G$7:G68)</f>
        <v>235722</v>
      </c>
      <c r="J68" s="58">
        <f t="shared" si="5"/>
        <v>0.65240206579318816</v>
      </c>
      <c r="K68" s="32"/>
      <c r="L68" s="20" t="str">
        <f t="shared" si="7"/>
        <v/>
      </c>
      <c r="N68" s="19"/>
    </row>
    <row r="69" spans="1:14" s="16" customFormat="1" ht="25" customHeight="1">
      <c r="A69" s="14"/>
      <c r="B69" s="27"/>
      <c r="C69" s="67">
        <v>38</v>
      </c>
      <c r="D69" s="53">
        <f t="shared" si="2"/>
        <v>89</v>
      </c>
      <c r="E69" s="68">
        <f t="shared" si="6"/>
        <v>6</v>
      </c>
      <c r="F69" s="54">
        <f t="shared" si="3"/>
        <v>34.01</v>
      </c>
      <c r="G69" s="55">
        <f>IF(D69=D68,"",_xlfn.IFNA(VLOOKUP(D69,'인원 입력 기능'!$A$5:$D$103,4,FALSE),0))</f>
        <v>5383</v>
      </c>
      <c r="H69" s="56">
        <f t="shared" si="4"/>
        <v>1.4898398622804541E-2</v>
      </c>
      <c r="I69" s="69">
        <f>SUM($G$7:G69)</f>
        <v>241105</v>
      </c>
      <c r="J69" s="58">
        <f t="shared" si="5"/>
        <v>0.66730046441599278</v>
      </c>
      <c r="K69" s="32"/>
      <c r="L69" s="20" t="str">
        <f t="shared" si="7"/>
        <v/>
      </c>
      <c r="N69" s="19"/>
    </row>
    <row r="70" spans="1:14" s="16" customFormat="1" ht="25" customHeight="1">
      <c r="A70" s="14"/>
      <c r="B70" s="27"/>
      <c r="C70" s="67">
        <v>37</v>
      </c>
      <c r="D70" s="53">
        <f t="shared" si="2"/>
        <v>88</v>
      </c>
      <c r="E70" s="68">
        <f t="shared" si="6"/>
        <v>6</v>
      </c>
      <c r="F70" s="54">
        <f t="shared" si="3"/>
        <v>32.53</v>
      </c>
      <c r="G70" s="55">
        <f>IF(D70=D69,"",_xlfn.IFNA(VLOOKUP(D70,'인원 입력 기능'!$A$5:$D$103,4,FALSE),0))</f>
        <v>5360</v>
      </c>
      <c r="H70" s="56">
        <f t="shared" si="4"/>
        <v>1.483474208029581E-2</v>
      </c>
      <c r="I70" s="69">
        <f>SUM($G$7:G70)</f>
        <v>246465</v>
      </c>
      <c r="J70" s="58">
        <f t="shared" si="5"/>
        <v>0.68213520649628856</v>
      </c>
      <c r="K70" s="32"/>
      <c r="L70" s="20" t="str">
        <f t="shared" si="7"/>
        <v/>
      </c>
      <c r="N70" s="19"/>
    </row>
    <row r="71" spans="1:14" s="16" customFormat="1" ht="25" customHeight="1">
      <c r="A71" s="14"/>
      <c r="B71" s="27"/>
      <c r="C71" s="67">
        <v>36</v>
      </c>
      <c r="D71" s="53">
        <f t="shared" si="2"/>
        <v>87</v>
      </c>
      <c r="E71" s="68">
        <f t="shared" ref="E71:E102" si="8">IF(ROUND(D71,0)&gt;=$Q$7,1,IF(ROUND(D71,0)&gt;=$Q$8,2,IF(ROUND(D71,0)&gt;=$Q$9,3,IF(ROUND(D71,0)&gt;=$Q$10,4,IF(ROUND(D71,0)&gt;=$Q$11,5,IF(ROUND(D71,0)&gt;=$Q$12,6,IF(ROUND(D71,0)&gt;=$Q$13,7,IF(ROUND(D71,0)&gt;=$Q$14,8,9))))))))</f>
        <v>6</v>
      </c>
      <c r="F71" s="54">
        <f t="shared" si="3"/>
        <v>31.05</v>
      </c>
      <c r="G71" s="55">
        <f>IF(D71=D70,"",_xlfn.IFNA(VLOOKUP(D71,'인원 입력 기능'!$A$5:$D$103,4,FALSE),0))</f>
        <v>5346</v>
      </c>
      <c r="H71" s="56">
        <f t="shared" si="4"/>
        <v>1.479599461963832E-2</v>
      </c>
      <c r="I71" s="69">
        <f>SUM($G$7:G71)</f>
        <v>251811</v>
      </c>
      <c r="J71" s="58">
        <f t="shared" si="5"/>
        <v>0.69693120111592688</v>
      </c>
      <c r="K71" s="32"/>
      <c r="L71" s="20" t="str">
        <f t="shared" si="7"/>
        <v/>
      </c>
      <c r="N71" s="19"/>
    </row>
    <row r="72" spans="1:14" s="16" customFormat="1" ht="25" customHeight="1">
      <c r="A72" s="14"/>
      <c r="B72" s="27"/>
      <c r="C72" s="67">
        <v>35</v>
      </c>
      <c r="D72" s="53">
        <f t="shared" si="2"/>
        <v>86</v>
      </c>
      <c r="E72" s="68">
        <f t="shared" si="8"/>
        <v>6</v>
      </c>
      <c r="F72" s="54">
        <f t="shared" si="3"/>
        <v>29.58</v>
      </c>
      <c r="G72" s="55">
        <f>IF(D72=D71,"",_xlfn.IFNA(VLOOKUP(D72,'인원 입력 기능'!$A$5:$D$103,4,FALSE),0))</f>
        <v>5271</v>
      </c>
      <c r="H72" s="56">
        <f t="shared" si="4"/>
        <v>1.4588418937544629E-2</v>
      </c>
      <c r="I72" s="69">
        <f>SUM($G$7:G72)</f>
        <v>257082</v>
      </c>
      <c r="J72" s="58">
        <f t="shared" si="5"/>
        <v>0.71151962005347147</v>
      </c>
      <c r="K72" s="32"/>
      <c r="L72" s="20" t="str">
        <f t="shared" si="7"/>
        <v/>
      </c>
      <c r="N72" s="19"/>
    </row>
    <row r="73" spans="1:14" s="16" customFormat="1" ht="25" customHeight="1">
      <c r="A73" s="14"/>
      <c r="B73" s="27"/>
      <c r="C73" s="67">
        <v>34</v>
      </c>
      <c r="D73" s="53">
        <f t="shared" si="2"/>
        <v>85</v>
      </c>
      <c r="E73" s="68">
        <f t="shared" si="8"/>
        <v>6</v>
      </c>
      <c r="F73" s="54">
        <f t="shared" si="3"/>
        <v>28.09</v>
      </c>
      <c r="G73" s="55">
        <f>IF(D73=D72,"",_xlfn.IFNA(VLOOKUP(D73,'인원 입력 기능'!$A$5:$D$103,4,FALSE),0))</f>
        <v>5447</v>
      </c>
      <c r="H73" s="56">
        <f t="shared" si="4"/>
        <v>1.507552987152449E-2</v>
      </c>
      <c r="I73" s="69">
        <f>SUM($G$7:G73)</f>
        <v>262529</v>
      </c>
      <c r="J73" s="58">
        <f t="shared" si="5"/>
        <v>0.72659514992499596</v>
      </c>
      <c r="K73" s="32"/>
      <c r="L73" s="20" t="str">
        <f t="shared" ref="L73:L105" si="9">IF(ABS((C73-$H$3)/$H$4*20+100-D73)&gt;0.49, "경고", "")</f>
        <v/>
      </c>
      <c r="N73" s="19"/>
    </row>
    <row r="74" spans="1:14" s="16" customFormat="1" ht="25" customHeight="1">
      <c r="A74" s="14"/>
      <c r="B74" s="27"/>
      <c r="C74" s="67">
        <v>33</v>
      </c>
      <c r="D74" s="53">
        <f t="shared" ref="D74:D105" si="10">ROUND(20*(C74-$H$3)/$H$4+100,0)</f>
        <v>84</v>
      </c>
      <c r="E74" s="68">
        <f t="shared" si="8"/>
        <v>6</v>
      </c>
      <c r="F74" s="54">
        <f t="shared" ref="F74:F105" si="11">IF(I73=0,ROUND(100*(1-(I72+I74)/2/$J$3),2),ROUND(100*(1-(I73+I74)/2/$J$3),2))</f>
        <v>26.6</v>
      </c>
      <c r="G74" s="55">
        <f>IF(D74=D73,"",_xlfn.IFNA(VLOOKUP(D74,'인원 입력 기능'!$A$5:$D$103,4,FALSE),0))</f>
        <v>5377</v>
      </c>
      <c r="H74" s="56">
        <f t="shared" ref="H74:H105" si="12">G74/$J$3</f>
        <v>1.4881792568237046E-2</v>
      </c>
      <c r="I74" s="69">
        <f>SUM($G$7:G74)</f>
        <v>267906</v>
      </c>
      <c r="J74" s="58">
        <f t="shared" ref="J74:J105" si="13">I74/$J$3</f>
        <v>0.74147694249323304</v>
      </c>
      <c r="K74" s="32"/>
      <c r="L74" s="20" t="str">
        <f t="shared" si="9"/>
        <v/>
      </c>
      <c r="N74" s="19"/>
    </row>
    <row r="75" spans="1:14" s="16" customFormat="1" ht="25" customHeight="1">
      <c r="A75" s="14"/>
      <c r="B75" s="27"/>
      <c r="C75" s="67">
        <v>32</v>
      </c>
      <c r="D75" s="53">
        <f t="shared" si="10"/>
        <v>83</v>
      </c>
      <c r="E75" s="68">
        <f t="shared" si="8"/>
        <v>6</v>
      </c>
      <c r="F75" s="54">
        <f t="shared" si="11"/>
        <v>25.11</v>
      </c>
      <c r="G75" s="55">
        <f>IF(D75=D74,"",_xlfn.IFNA(VLOOKUP(D75,'인원 입력 기능'!$A$5:$D$103,4,FALSE),0))</f>
        <v>5352</v>
      </c>
      <c r="H75" s="56">
        <f t="shared" si="12"/>
        <v>1.4812600674205815E-2</v>
      </c>
      <c r="I75" s="69">
        <f>SUM($G$7:G75)</f>
        <v>273258</v>
      </c>
      <c r="J75" s="58">
        <f t="shared" si="13"/>
        <v>0.75628954316743879</v>
      </c>
      <c r="K75" s="32"/>
      <c r="L75" s="20" t="str">
        <f t="shared" si="9"/>
        <v/>
      </c>
      <c r="N75" s="19"/>
    </row>
    <row r="76" spans="1:14" s="16" customFormat="1" ht="25" customHeight="1">
      <c r="A76" s="14"/>
      <c r="B76" s="27"/>
      <c r="C76" s="67">
        <v>31</v>
      </c>
      <c r="D76" s="53">
        <f t="shared" si="10"/>
        <v>82</v>
      </c>
      <c r="E76" s="68">
        <f t="shared" si="8"/>
        <v>6</v>
      </c>
      <c r="F76" s="54">
        <f t="shared" si="11"/>
        <v>23.61</v>
      </c>
      <c r="G76" s="55">
        <f>IF(D76=D75,"",_xlfn.IFNA(VLOOKUP(D76,'인원 입력 기능'!$A$5:$D$103,4,FALSE),0))</f>
        <v>5506</v>
      </c>
      <c r="H76" s="56">
        <f t="shared" si="12"/>
        <v>1.5238822741438195E-2</v>
      </c>
      <c r="I76" s="69">
        <f>SUM($G$7:G76)</f>
        <v>278764</v>
      </c>
      <c r="J76" s="58">
        <f t="shared" si="13"/>
        <v>0.77152836590887708</v>
      </c>
      <c r="K76" s="32"/>
      <c r="L76" s="20" t="str">
        <f t="shared" si="9"/>
        <v/>
      </c>
      <c r="N76" s="19"/>
    </row>
    <row r="77" spans="1:14" s="16" customFormat="1" ht="25" customHeight="1">
      <c r="A77" s="14"/>
      <c r="B77" s="27"/>
      <c r="C77" s="67">
        <v>30</v>
      </c>
      <c r="D77" s="129">
        <f t="shared" si="10"/>
        <v>81</v>
      </c>
      <c r="E77" s="154">
        <f t="shared" si="8"/>
        <v>7</v>
      </c>
      <c r="F77" s="156">
        <f t="shared" si="11"/>
        <v>21.33</v>
      </c>
      <c r="G77" s="158">
        <f>IF(D77=D76,"",_xlfn.IFNA(VLOOKUP(D77,'인원 입력 기능'!$A$5:$D$103,4,FALSE),0))</f>
        <v>10952</v>
      </c>
      <c r="H77" s="159">
        <f t="shared" si="12"/>
        <v>3.0311584937201437E-2</v>
      </c>
      <c r="I77" s="161">
        <f>SUM($G$7:G77)</f>
        <v>289716</v>
      </c>
      <c r="J77" s="163">
        <f t="shared" si="13"/>
        <v>0.80183995084607851</v>
      </c>
      <c r="K77" s="32"/>
      <c r="L77" s="20" t="str">
        <f t="shared" si="9"/>
        <v/>
      </c>
      <c r="N77" s="19"/>
    </row>
    <row r="78" spans="1:14" s="16" customFormat="1" ht="25" customHeight="1">
      <c r="A78" s="14"/>
      <c r="B78" s="27"/>
      <c r="C78" s="67">
        <v>29</v>
      </c>
      <c r="D78" s="119"/>
      <c r="E78" s="118"/>
      <c r="F78" s="155"/>
      <c r="G78" s="157"/>
      <c r="H78" s="160"/>
      <c r="I78" s="162"/>
      <c r="J78" s="164"/>
      <c r="K78" s="32"/>
      <c r="L78" s="20" t="str">
        <f t="shared" si="9"/>
        <v>경고</v>
      </c>
      <c r="N78" s="19"/>
    </row>
    <row r="79" spans="1:14" s="16" customFormat="1" ht="25" customHeight="1">
      <c r="A79" s="14"/>
      <c r="B79" s="27"/>
      <c r="C79" s="67">
        <v>28</v>
      </c>
      <c r="D79" s="53">
        <f t="shared" si="10"/>
        <v>80</v>
      </c>
      <c r="E79" s="68">
        <f t="shared" si="8"/>
        <v>7</v>
      </c>
      <c r="F79" s="54">
        <f t="shared" si="11"/>
        <v>19.09</v>
      </c>
      <c r="G79" s="55">
        <f>IF(D79=D78,"",_xlfn.IFNA(VLOOKUP(D79,'인원 입력 기능'!$A$5:$D$103,4,FALSE),0))</f>
        <v>5231</v>
      </c>
      <c r="H79" s="56">
        <f t="shared" si="12"/>
        <v>1.4477711907094661E-2</v>
      </c>
      <c r="I79" s="69">
        <f>SUM($G$7:G79)</f>
        <v>294947</v>
      </c>
      <c r="J79" s="58">
        <f t="shared" si="13"/>
        <v>0.81631766275317319</v>
      </c>
      <c r="K79" s="32"/>
      <c r="L79" s="20" t="str">
        <f t="shared" si="9"/>
        <v/>
      </c>
      <c r="N79" s="19"/>
    </row>
    <row r="80" spans="1:14" s="16" customFormat="1" ht="25" customHeight="1">
      <c r="A80" s="14"/>
      <c r="B80" s="27"/>
      <c r="C80" s="67">
        <v>27</v>
      </c>
      <c r="D80" s="53">
        <f t="shared" si="10"/>
        <v>79</v>
      </c>
      <c r="E80" s="68">
        <f t="shared" si="8"/>
        <v>7</v>
      </c>
      <c r="F80" s="54">
        <f t="shared" si="11"/>
        <v>17.579999999999998</v>
      </c>
      <c r="G80" s="55">
        <f>IF(D80=D79,"",_xlfn.IFNA(VLOOKUP(D80,'인원 입력 기능'!$A$5:$D$103,4,FALSE),0))</f>
        <v>5681</v>
      </c>
      <c r="H80" s="56">
        <f t="shared" si="12"/>
        <v>1.5723165999656809E-2</v>
      </c>
      <c r="I80" s="69">
        <f>SUM($G$7:G80)</f>
        <v>300628</v>
      </c>
      <c r="J80" s="58">
        <f t="shared" si="13"/>
        <v>0.83204082875282992</v>
      </c>
      <c r="K80" s="32"/>
      <c r="L80" s="20" t="str">
        <f t="shared" si="9"/>
        <v/>
      </c>
      <c r="N80" s="19"/>
    </row>
    <row r="81" spans="1:14" s="16" customFormat="1" ht="25" customHeight="1">
      <c r="A81" s="14"/>
      <c r="B81" s="27"/>
      <c r="C81" s="67">
        <v>26</v>
      </c>
      <c r="D81" s="53">
        <f t="shared" si="10"/>
        <v>78</v>
      </c>
      <c r="E81" s="68">
        <f t="shared" si="8"/>
        <v>7</v>
      </c>
      <c r="F81" s="54">
        <f t="shared" si="11"/>
        <v>16.09</v>
      </c>
      <c r="G81" s="55">
        <f>IF(D81=D80,"",_xlfn.IFNA(VLOOKUP(D81,'인원 입력 기능'!$A$5:$D$103,4,FALSE),0))</f>
        <v>5107</v>
      </c>
      <c r="H81" s="56">
        <f t="shared" si="12"/>
        <v>1.4134520112699757E-2</v>
      </c>
      <c r="I81" s="69">
        <f>SUM($G$7:G81)</f>
        <v>305735</v>
      </c>
      <c r="J81" s="58">
        <f t="shared" si="13"/>
        <v>0.8461753488655297</v>
      </c>
      <c r="K81" s="32"/>
      <c r="L81" s="20" t="str">
        <f t="shared" si="9"/>
        <v/>
      </c>
      <c r="N81" s="19"/>
    </row>
    <row r="82" spans="1:14" s="16" customFormat="1" ht="25" customHeight="1">
      <c r="A82" s="14"/>
      <c r="B82" s="27"/>
      <c r="C82" s="67">
        <v>25</v>
      </c>
      <c r="D82" s="53">
        <f t="shared" si="10"/>
        <v>77</v>
      </c>
      <c r="E82" s="68">
        <f t="shared" si="8"/>
        <v>7</v>
      </c>
      <c r="F82" s="54">
        <f t="shared" si="11"/>
        <v>14.28</v>
      </c>
      <c r="G82" s="55">
        <f>IF(D82=D81,"",_xlfn.IFNA(VLOOKUP(D82,'인원 입력 기능'!$A$5:$D$103,4,FALSE),0))</f>
        <v>7982</v>
      </c>
      <c r="H82" s="56">
        <f t="shared" si="12"/>
        <v>2.2091587926291258E-2</v>
      </c>
      <c r="I82" s="69">
        <f>SUM($G$7:G82)</f>
        <v>313717</v>
      </c>
      <c r="J82" s="58">
        <f t="shared" si="13"/>
        <v>0.86826693679182099</v>
      </c>
      <c r="K82" s="32"/>
      <c r="L82" s="20" t="str">
        <f t="shared" si="9"/>
        <v/>
      </c>
      <c r="N82" s="19"/>
    </row>
    <row r="83" spans="1:14" s="16" customFormat="1" ht="25" customHeight="1">
      <c r="A83" s="14"/>
      <c r="B83" s="27"/>
      <c r="C83" s="67">
        <v>24</v>
      </c>
      <c r="D83" s="53">
        <f t="shared" si="10"/>
        <v>76</v>
      </c>
      <c r="E83" s="68">
        <f t="shared" si="8"/>
        <v>7</v>
      </c>
      <c r="F83" s="54">
        <f t="shared" si="11"/>
        <v>12.47</v>
      </c>
      <c r="G83" s="55">
        <f>IF(D83=D82,"",_xlfn.IFNA(VLOOKUP(D83,'인원 입력 기능'!$A$5:$D$103,4,FALSE),0))</f>
        <v>5077</v>
      </c>
      <c r="H83" s="56">
        <f t="shared" si="12"/>
        <v>1.4051489839862281E-2</v>
      </c>
      <c r="I83" s="69">
        <f>SUM($G$7:G83)</f>
        <v>318794</v>
      </c>
      <c r="J83" s="58">
        <f t="shared" si="13"/>
        <v>0.88231842663168325</v>
      </c>
      <c r="K83" s="32"/>
      <c r="L83" s="20" t="str">
        <f t="shared" si="9"/>
        <v/>
      </c>
      <c r="N83" s="19"/>
    </row>
    <row r="84" spans="1:14" s="16" customFormat="1" ht="25" customHeight="1">
      <c r="A84" s="14"/>
      <c r="B84" s="27"/>
      <c r="C84" s="67">
        <v>23</v>
      </c>
      <c r="D84" s="53">
        <f t="shared" si="10"/>
        <v>75</v>
      </c>
      <c r="E84" s="68">
        <f t="shared" si="8"/>
        <v>7</v>
      </c>
      <c r="F84" s="54">
        <f t="shared" si="11"/>
        <v>11.09</v>
      </c>
      <c r="G84" s="55">
        <f>IF(D84=D83,"",_xlfn.IFNA(VLOOKUP(D84,'인원 입력 기능'!$A$5:$D$103,4,FALSE),0))</f>
        <v>4883</v>
      </c>
      <c r="H84" s="56">
        <f t="shared" si="12"/>
        <v>1.3514560742179932E-2</v>
      </c>
      <c r="I84" s="69">
        <f>SUM($G$7:G84)</f>
        <v>323677</v>
      </c>
      <c r="J84" s="58">
        <f t="shared" si="13"/>
        <v>0.89583298737386319</v>
      </c>
      <c r="K84" s="32"/>
      <c r="L84" s="20" t="str">
        <f t="shared" si="9"/>
        <v/>
      </c>
      <c r="N84" s="19"/>
    </row>
    <row r="85" spans="1:14" s="16" customFormat="1" ht="25" customHeight="1">
      <c r="A85" s="14"/>
      <c r="B85" s="27"/>
      <c r="C85" s="67">
        <v>22</v>
      </c>
      <c r="D85" s="53">
        <f t="shared" si="10"/>
        <v>74</v>
      </c>
      <c r="E85" s="68">
        <f t="shared" si="8"/>
        <v>8</v>
      </c>
      <c r="F85" s="54">
        <f t="shared" si="11"/>
        <v>9.75</v>
      </c>
      <c r="G85" s="55">
        <f>IF(D85=D84,"",_xlfn.IFNA(VLOOKUP(D85,'인원 입력 기능'!$A$5:$D$103,4,FALSE),0))</f>
        <v>4789</v>
      </c>
      <c r="H85" s="56">
        <f t="shared" si="12"/>
        <v>1.3254399220622506E-2</v>
      </c>
      <c r="I85" s="69">
        <f>SUM($G$7:G85)</f>
        <v>328466</v>
      </c>
      <c r="J85" s="58">
        <f t="shared" si="13"/>
        <v>0.90908738659448574</v>
      </c>
      <c r="K85" s="32"/>
      <c r="L85" s="20" t="str">
        <f t="shared" si="9"/>
        <v/>
      </c>
      <c r="N85" s="19"/>
    </row>
    <row r="86" spans="1:14" s="16" customFormat="1" ht="25" customHeight="1">
      <c r="A86" s="14"/>
      <c r="B86" s="27"/>
      <c r="C86" s="67">
        <v>21</v>
      </c>
      <c r="D86" s="53">
        <f t="shared" si="10"/>
        <v>73</v>
      </c>
      <c r="E86" s="68">
        <f t="shared" si="8"/>
        <v>8</v>
      </c>
      <c r="F86" s="54">
        <f t="shared" si="11"/>
        <v>8.4499999999999993</v>
      </c>
      <c r="G86" s="55">
        <f>IF(D86=D85,"",_xlfn.IFNA(VLOOKUP(D86,'인원 입력 기능'!$A$5:$D$103,4,FALSE),0))</f>
        <v>4652</v>
      </c>
      <c r="H86" s="56">
        <f t="shared" si="12"/>
        <v>1.2875227641331363E-2</v>
      </c>
      <c r="I86" s="69">
        <f>SUM($G$7:G86)</f>
        <v>333118</v>
      </c>
      <c r="J86" s="58">
        <f t="shared" si="13"/>
        <v>0.92196261423581705</v>
      </c>
      <c r="K86" s="32"/>
      <c r="L86" s="20" t="str">
        <f t="shared" si="9"/>
        <v/>
      </c>
      <c r="N86" s="19"/>
    </row>
    <row r="87" spans="1:14" s="16" customFormat="1" ht="25" customHeight="1">
      <c r="A87" s="14"/>
      <c r="B87" s="27"/>
      <c r="C87" s="67">
        <v>20</v>
      </c>
      <c r="D87" s="53">
        <f t="shared" si="10"/>
        <v>72</v>
      </c>
      <c r="E87" s="68">
        <f t="shared" si="8"/>
        <v>8</v>
      </c>
      <c r="F87" s="54">
        <f t="shared" si="11"/>
        <v>7.22</v>
      </c>
      <c r="G87" s="55">
        <f>IF(D87=D86,"",_xlfn.IFNA(VLOOKUP(D87,'인원 입력 기능'!$A$5:$D$103,4,FALSE),0))</f>
        <v>4191</v>
      </c>
      <c r="H87" s="56">
        <f t="shared" si="12"/>
        <v>1.1599329115395473E-2</v>
      </c>
      <c r="I87" s="69">
        <f>SUM($G$7:G87)</f>
        <v>337309</v>
      </c>
      <c r="J87" s="58">
        <f t="shared" si="13"/>
        <v>0.93356194335121256</v>
      </c>
      <c r="K87" s="32"/>
      <c r="L87" s="20" t="str">
        <f t="shared" si="9"/>
        <v/>
      </c>
      <c r="N87" s="19"/>
    </row>
    <row r="88" spans="1:14" s="16" customFormat="1" ht="25" customHeight="1">
      <c r="A88" s="14"/>
      <c r="B88" s="27"/>
      <c r="C88" s="67">
        <v>19</v>
      </c>
      <c r="D88" s="53">
        <f t="shared" si="10"/>
        <v>71</v>
      </c>
      <c r="E88" s="68">
        <f t="shared" si="8"/>
        <v>8</v>
      </c>
      <c r="F88" s="54">
        <f t="shared" si="11"/>
        <v>6.22</v>
      </c>
      <c r="G88" s="55">
        <f>IF(D88=D87,"",_xlfn.IFNA(VLOOKUP(D88,'인원 입력 기능'!$A$5:$D$103,4,FALSE),0))</f>
        <v>3079</v>
      </c>
      <c r="H88" s="56">
        <f t="shared" si="12"/>
        <v>8.5216736688863426E-3</v>
      </c>
      <c r="I88" s="69">
        <f>SUM($G$7:G88)</f>
        <v>340388</v>
      </c>
      <c r="J88" s="58">
        <f t="shared" si="13"/>
        <v>0.94208361702009891</v>
      </c>
      <c r="K88" s="32"/>
      <c r="L88" s="20" t="str">
        <f t="shared" si="9"/>
        <v/>
      </c>
      <c r="N88" s="19"/>
    </row>
    <row r="89" spans="1:14" s="16" customFormat="1" ht="25" customHeight="1">
      <c r="A89" s="14"/>
      <c r="B89" s="27"/>
      <c r="C89" s="67">
        <v>18</v>
      </c>
      <c r="D89" s="53">
        <f t="shared" si="10"/>
        <v>70</v>
      </c>
      <c r="E89" s="68">
        <f t="shared" si="8"/>
        <v>8</v>
      </c>
      <c r="F89" s="54">
        <f t="shared" si="11"/>
        <v>4.6500000000000004</v>
      </c>
      <c r="G89" s="55">
        <f>IF(D89=D88,"",_xlfn.IFNA(VLOOKUP(D89,'인원 입력 기능'!$A$5:$D$103,4,FALSE),0))</f>
        <v>8263</v>
      </c>
      <c r="H89" s="56">
        <f t="shared" si="12"/>
        <v>2.2869304815202291E-2</v>
      </c>
      <c r="I89" s="69">
        <f>SUM($G$7:G89)</f>
        <v>348651</v>
      </c>
      <c r="J89" s="58">
        <f t="shared" si="13"/>
        <v>0.96495292183530113</v>
      </c>
      <c r="K89" s="32"/>
      <c r="L89" s="20" t="str">
        <f t="shared" si="9"/>
        <v/>
      </c>
      <c r="N89" s="19"/>
    </row>
    <row r="90" spans="1:14" s="16" customFormat="1" ht="25" customHeight="1">
      <c r="A90" s="14"/>
      <c r="B90" s="27"/>
      <c r="C90" s="67">
        <v>17</v>
      </c>
      <c r="D90" s="53">
        <f t="shared" si="10"/>
        <v>69</v>
      </c>
      <c r="E90" s="68">
        <f t="shared" si="8"/>
        <v>9</v>
      </c>
      <c r="F90" s="54">
        <f t="shared" si="11"/>
        <v>3.15</v>
      </c>
      <c r="G90" s="55">
        <f>IF(D90=D89,"",_xlfn.IFNA(VLOOKUP(D90,'인원 입력 기능'!$A$5:$D$103,4,FALSE),0))</f>
        <v>2543</v>
      </c>
      <c r="H90" s="56">
        <f t="shared" si="12"/>
        <v>7.0381994608567618E-3</v>
      </c>
      <c r="I90" s="69">
        <f>SUM($G$7:G90)</f>
        <v>351194</v>
      </c>
      <c r="J90" s="58">
        <f t="shared" si="13"/>
        <v>0.97199112129615794</v>
      </c>
      <c r="K90" s="32"/>
      <c r="L90" s="20" t="str">
        <f t="shared" si="9"/>
        <v/>
      </c>
      <c r="N90" s="19"/>
    </row>
    <row r="91" spans="1:14" s="16" customFormat="1" ht="25" customHeight="1">
      <c r="A91" s="14"/>
      <c r="B91" s="27"/>
      <c r="C91" s="67">
        <v>16</v>
      </c>
      <c r="D91" s="53">
        <f t="shared" si="10"/>
        <v>68</v>
      </c>
      <c r="E91" s="68">
        <f t="shared" si="8"/>
        <v>9</v>
      </c>
      <c r="F91" s="54">
        <f t="shared" si="11"/>
        <v>2.5299999999999998</v>
      </c>
      <c r="G91" s="55">
        <f>IF(D91=D90,"",_xlfn.IFNA(VLOOKUP(D91,'인원 입력 기능'!$A$5:$D$103,4,FALSE),0))</f>
        <v>1987</v>
      </c>
      <c r="H91" s="56">
        <f t="shared" si="12"/>
        <v>5.4993717376021966E-3</v>
      </c>
      <c r="I91" s="69">
        <f>SUM($G$7:G91)</f>
        <v>353181</v>
      </c>
      <c r="J91" s="58">
        <f t="shared" si="13"/>
        <v>0.97749049303376012</v>
      </c>
      <c r="K91" s="32"/>
      <c r="L91" s="20" t="str">
        <f t="shared" si="9"/>
        <v/>
      </c>
      <c r="N91" s="19"/>
    </row>
    <row r="92" spans="1:14" s="16" customFormat="1" ht="25" customHeight="1">
      <c r="A92" s="14"/>
      <c r="B92" s="27"/>
      <c r="C92" s="67">
        <v>15</v>
      </c>
      <c r="D92" s="53">
        <f t="shared" si="10"/>
        <v>67</v>
      </c>
      <c r="E92" s="68">
        <f t="shared" si="8"/>
        <v>9</v>
      </c>
      <c r="F92" s="54">
        <f t="shared" si="11"/>
        <v>1.98</v>
      </c>
      <c r="G92" s="55">
        <f>IF(D92=D91,"",_xlfn.IFNA(VLOOKUP(D92,'인원 입력 기능'!$A$5:$D$103,4,FALSE),0))</f>
        <v>1954</v>
      </c>
      <c r="H92" s="56">
        <f t="shared" si="12"/>
        <v>5.408038437480972E-3</v>
      </c>
      <c r="I92" s="69">
        <f>SUM($G$7:G92)</f>
        <v>355135</v>
      </c>
      <c r="J92" s="58">
        <f t="shared" si="13"/>
        <v>0.98289853147124107</v>
      </c>
      <c r="K92" s="32"/>
      <c r="L92" s="20" t="str">
        <f t="shared" si="9"/>
        <v/>
      </c>
      <c r="N92" s="19"/>
    </row>
    <row r="93" spans="1:14" s="16" customFormat="1" ht="25" customHeight="1">
      <c r="A93" s="14"/>
      <c r="B93" s="27"/>
      <c r="C93" s="67">
        <v>14</v>
      </c>
      <c r="D93" s="53">
        <f t="shared" si="10"/>
        <v>66</v>
      </c>
      <c r="E93" s="68">
        <f t="shared" si="8"/>
        <v>9</v>
      </c>
      <c r="F93" s="54">
        <f t="shared" si="11"/>
        <v>1.53</v>
      </c>
      <c r="G93" s="55">
        <f>IF(D93=D92,"",_xlfn.IFNA(VLOOKUP(D93,'인원 입력 기능'!$A$5:$D$103,4,FALSE),0))</f>
        <v>1285</v>
      </c>
      <c r="H93" s="56">
        <f t="shared" si="12"/>
        <v>3.5564633532052452E-3</v>
      </c>
      <c r="I93" s="69">
        <f>SUM($G$7:G93)</f>
        <v>356420</v>
      </c>
      <c r="J93" s="58">
        <f t="shared" si="13"/>
        <v>0.98645499482444632</v>
      </c>
      <c r="K93" s="32"/>
      <c r="L93" s="20" t="str">
        <f t="shared" si="9"/>
        <v/>
      </c>
      <c r="N93" s="19"/>
    </row>
    <row r="94" spans="1:14" s="16" customFormat="1" ht="25" customHeight="1">
      <c r="A94" s="14"/>
      <c r="B94" s="27"/>
      <c r="C94" s="67">
        <v>13</v>
      </c>
      <c r="D94" s="53">
        <f t="shared" si="10"/>
        <v>65</v>
      </c>
      <c r="E94" s="68">
        <f t="shared" si="8"/>
        <v>9</v>
      </c>
      <c r="F94" s="54">
        <f t="shared" si="11"/>
        <v>1.21</v>
      </c>
      <c r="G94" s="55">
        <f>IF(D94=D93,"",_xlfn.IFNA(VLOOKUP(D94,'인원 입력 기능'!$A$5:$D$103,4,FALSE),0))</f>
        <v>1045</v>
      </c>
      <c r="H94" s="56">
        <f t="shared" si="12"/>
        <v>2.8922211705054331E-3</v>
      </c>
      <c r="I94" s="69">
        <f>SUM($G$7:G94)</f>
        <v>357465</v>
      </c>
      <c r="J94" s="58">
        <f t="shared" si="13"/>
        <v>0.98934721599495179</v>
      </c>
      <c r="K94" s="32"/>
      <c r="L94" s="20" t="str">
        <f t="shared" si="9"/>
        <v/>
      </c>
      <c r="N94" s="19"/>
    </row>
    <row r="95" spans="1:14" s="16" customFormat="1" ht="25" customHeight="1">
      <c r="A95" s="14"/>
      <c r="B95" s="27"/>
      <c r="C95" s="67">
        <v>12</v>
      </c>
      <c r="D95" s="53">
        <f t="shared" si="10"/>
        <v>64</v>
      </c>
      <c r="E95" s="68">
        <f t="shared" si="8"/>
        <v>9</v>
      </c>
      <c r="F95" s="54">
        <f t="shared" si="11"/>
        <v>0.95</v>
      </c>
      <c r="G95" s="55">
        <f>IF(D95=D94,"",_xlfn.IFNA(VLOOKUP(D95,'인원 입력 기능'!$A$5:$D$103,4,FALSE),0))</f>
        <v>805</v>
      </c>
      <c r="H95" s="56">
        <f t="shared" si="12"/>
        <v>2.2279789878056205E-3</v>
      </c>
      <c r="I95" s="69">
        <f>SUM($G$7:G95)</f>
        <v>358270</v>
      </c>
      <c r="J95" s="58">
        <f t="shared" si="13"/>
        <v>0.99157519498275737</v>
      </c>
      <c r="K95" s="32"/>
      <c r="L95" s="20" t="str">
        <f t="shared" si="9"/>
        <v/>
      </c>
      <c r="N95" s="19"/>
    </row>
    <row r="96" spans="1:14" s="16" customFormat="1" ht="25" customHeight="1">
      <c r="A96" s="14"/>
      <c r="B96" s="27"/>
      <c r="C96" s="67">
        <v>11</v>
      </c>
      <c r="D96" s="53">
        <f t="shared" si="10"/>
        <v>63</v>
      </c>
      <c r="E96" s="68">
        <f t="shared" si="8"/>
        <v>9</v>
      </c>
      <c r="F96" s="54">
        <f t="shared" si="11"/>
        <v>0.76</v>
      </c>
      <c r="G96" s="55">
        <f>IF(D96=D95,"",_xlfn.IFNA(VLOOKUP(D96,'인원 입력 기능'!$A$5:$D$103,4,FALSE),0))</f>
        <v>587</v>
      </c>
      <c r="H96" s="56">
        <f t="shared" si="12"/>
        <v>1.6246256718532911E-3</v>
      </c>
      <c r="I96" s="69">
        <f>SUM($G$7:G96)</f>
        <v>358857</v>
      </c>
      <c r="J96" s="58">
        <f t="shared" si="13"/>
        <v>0.99319982065461065</v>
      </c>
      <c r="K96" s="32"/>
      <c r="L96" s="20" t="str">
        <f t="shared" si="9"/>
        <v/>
      </c>
      <c r="N96" s="19"/>
    </row>
    <row r="97" spans="1:14" s="16" customFormat="1" ht="25" customHeight="1">
      <c r="A97" s="14"/>
      <c r="B97" s="27"/>
      <c r="C97" s="67">
        <v>10</v>
      </c>
      <c r="D97" s="129">
        <f t="shared" si="10"/>
        <v>62</v>
      </c>
      <c r="E97" s="154">
        <f t="shared" si="8"/>
        <v>9</v>
      </c>
      <c r="F97" s="156">
        <f t="shared" si="11"/>
        <v>0.57999999999999996</v>
      </c>
      <c r="G97" s="158">
        <f>IF(D97=D96,"",_xlfn.IFNA(VLOOKUP(D97,'인원 입력 기능'!$A$5:$D$103,4,FALSE),0))</f>
        <v>714</v>
      </c>
      <c r="H97" s="159">
        <f t="shared" si="12"/>
        <v>1.9761204935319419E-3</v>
      </c>
      <c r="I97" s="161">
        <f>SUM($G$7:G97)</f>
        <v>359571</v>
      </c>
      <c r="J97" s="163">
        <f t="shared" si="13"/>
        <v>0.99517594114814256</v>
      </c>
      <c r="K97" s="32"/>
      <c r="L97" s="20" t="str">
        <f t="shared" si="9"/>
        <v/>
      </c>
      <c r="N97" s="19"/>
    </row>
    <row r="98" spans="1:14" s="16" customFormat="1" ht="25" customHeight="1">
      <c r="A98" s="14"/>
      <c r="B98" s="27"/>
      <c r="C98" s="67">
        <v>9</v>
      </c>
      <c r="D98" s="119"/>
      <c r="E98" s="118"/>
      <c r="F98" s="155"/>
      <c r="G98" s="157"/>
      <c r="H98" s="160"/>
      <c r="I98" s="162"/>
      <c r="J98" s="164"/>
      <c r="K98" s="32"/>
      <c r="L98" s="20" t="str">
        <f t="shared" si="9"/>
        <v>경고</v>
      </c>
      <c r="N98" s="19"/>
    </row>
    <row r="99" spans="1:14" s="16" customFormat="1" ht="25" customHeight="1">
      <c r="A99" s="14"/>
      <c r="B99" s="27"/>
      <c r="C99" s="67">
        <v>8</v>
      </c>
      <c r="D99" s="53">
        <f t="shared" si="10"/>
        <v>61</v>
      </c>
      <c r="E99" s="68">
        <f t="shared" si="8"/>
        <v>9</v>
      </c>
      <c r="F99" s="54">
        <f t="shared" si="11"/>
        <v>0.45</v>
      </c>
      <c r="G99" s="55">
        <f>IF(D99=D98,"",_xlfn.IFNA(VLOOKUP(D99,'인원 입력 기능'!$A$5:$D$103,4,FALSE),0))</f>
        <v>225</v>
      </c>
      <c r="H99" s="56">
        <f t="shared" si="12"/>
        <v>6.2272704628107403E-4</v>
      </c>
      <c r="I99" s="69">
        <f>SUM($G$7:G99)</f>
        <v>359796</v>
      </c>
      <c r="J99" s="58">
        <f t="shared" si="13"/>
        <v>0.99579866819442364</v>
      </c>
      <c r="K99" s="32"/>
      <c r="L99" s="20" t="str">
        <f t="shared" si="9"/>
        <v/>
      </c>
      <c r="N99" s="19"/>
    </row>
    <row r="100" spans="1:14" s="16" customFormat="1" ht="25" customHeight="1">
      <c r="A100" s="14"/>
      <c r="B100" s="27"/>
      <c r="C100" s="67">
        <v>7</v>
      </c>
      <c r="D100" s="53">
        <f t="shared" si="10"/>
        <v>60</v>
      </c>
      <c r="E100" s="68">
        <f t="shared" si="8"/>
        <v>9</v>
      </c>
      <c r="F100" s="54">
        <f t="shared" si="11"/>
        <v>0.4</v>
      </c>
      <c r="G100" s="55">
        <f>IF(D100=D99,"",_xlfn.IFNA(VLOOKUP(D100,'인원 입력 기능'!$A$5:$D$103,4,FALSE),0))</f>
        <v>119</v>
      </c>
      <c r="H100" s="56">
        <f t="shared" si="12"/>
        <v>3.2935341558865697E-4</v>
      </c>
      <c r="I100" s="69">
        <f>SUM($G$7:G100)</f>
        <v>359915</v>
      </c>
      <c r="J100" s="58">
        <f t="shared" si="13"/>
        <v>0.99612802161001235</v>
      </c>
      <c r="K100" s="32"/>
      <c r="L100" s="20" t="str">
        <f t="shared" si="9"/>
        <v/>
      </c>
      <c r="N100" s="19"/>
    </row>
    <row r="101" spans="1:14" s="16" customFormat="1" ht="25" customHeight="1">
      <c r="A101" s="14"/>
      <c r="B101" s="27"/>
      <c r="C101" s="59">
        <v>6</v>
      </c>
      <c r="D101" s="53">
        <f t="shared" si="10"/>
        <v>59</v>
      </c>
      <c r="E101" s="53">
        <f t="shared" si="8"/>
        <v>9</v>
      </c>
      <c r="F101" s="54">
        <f t="shared" si="11"/>
        <v>0.36</v>
      </c>
      <c r="G101" s="55">
        <f>IF(D101=D100,"",_xlfn.IFNA(VLOOKUP(D101,'인원 입력 기능'!$A$5:$D$103,4,FALSE),0))</f>
        <v>167</v>
      </c>
      <c r="H101" s="56">
        <f t="shared" si="12"/>
        <v>4.6220185212861943E-4</v>
      </c>
      <c r="I101" s="66">
        <f>SUM($G$7:G101)</f>
        <v>360082</v>
      </c>
      <c r="J101" s="58">
        <f t="shared" si="13"/>
        <v>0.99659022346214099</v>
      </c>
      <c r="K101" s="32"/>
      <c r="L101" s="20" t="str">
        <f t="shared" si="9"/>
        <v/>
      </c>
      <c r="N101" s="19"/>
    </row>
    <row r="102" spans="1:14" s="16" customFormat="1" ht="25" customHeight="1">
      <c r="A102" s="14"/>
      <c r="B102" s="27"/>
      <c r="C102" s="59">
        <v>5</v>
      </c>
      <c r="D102" s="53">
        <f t="shared" si="10"/>
        <v>58</v>
      </c>
      <c r="E102" s="53">
        <f t="shared" si="8"/>
        <v>9</v>
      </c>
      <c r="F102" s="54">
        <f t="shared" si="11"/>
        <v>0.34</v>
      </c>
      <c r="G102" s="55">
        <f>IF(D102=D101,"",_xlfn.IFNA(VLOOKUP(D102,'인원 입력 기능'!$A$5:$D$103,4,FALSE),0))</f>
        <v>37</v>
      </c>
      <c r="H102" s="56">
        <f t="shared" si="12"/>
        <v>1.0240400316622107E-4</v>
      </c>
      <c r="I102" s="66">
        <f>SUM($G$7:G102)</f>
        <v>360119</v>
      </c>
      <c r="J102" s="58">
        <f t="shared" si="13"/>
        <v>0.99669262746530718</v>
      </c>
      <c r="K102" s="32"/>
      <c r="L102" s="20" t="str">
        <f t="shared" si="9"/>
        <v/>
      </c>
      <c r="N102" s="19"/>
    </row>
    <row r="103" spans="1:14" s="16" customFormat="1" ht="25" customHeight="1">
      <c r="A103" s="14"/>
      <c r="B103" s="27"/>
      <c r="C103" s="59">
        <v>4</v>
      </c>
      <c r="D103" s="53">
        <f t="shared" si="10"/>
        <v>57</v>
      </c>
      <c r="E103" s="53">
        <f t="shared" ref="E103:E105" si="14">IF(ROUND(D103,0)&gt;=$Q$7,1,IF(ROUND(D103,0)&gt;=$Q$8,2,IF(ROUND(D103,0)&gt;=$Q$9,3,IF(ROUND(D103,0)&gt;=$Q$10,4,IF(ROUND(D103,0)&gt;=$Q$11,5,IF(ROUND(D103,0)&gt;=$Q$12,6,IF(ROUND(D103,0)&gt;=$Q$13,7,IF(ROUND(D103,0)&gt;=$Q$14,8,9))))))))</f>
        <v>9</v>
      </c>
      <c r="F103" s="54">
        <f t="shared" si="11"/>
        <v>0.31</v>
      </c>
      <c r="G103" s="55">
        <f>IF(D103=D102,"",_xlfn.IFNA(VLOOKUP(D103,'인원 입력 기능'!$A$5:$D$103,4,FALSE),0))</f>
        <v>136</v>
      </c>
      <c r="H103" s="56">
        <f t="shared" si="12"/>
        <v>3.7640390352989368E-4</v>
      </c>
      <c r="I103" s="66">
        <f>SUM($G$7:G103)</f>
        <v>360255</v>
      </c>
      <c r="J103" s="58">
        <f t="shared" si="13"/>
        <v>0.99706903136883707</v>
      </c>
      <c r="K103" s="32"/>
      <c r="L103" s="20" t="str">
        <f t="shared" si="9"/>
        <v/>
      </c>
      <c r="N103" s="19"/>
    </row>
    <row r="104" spans="1:14" s="16" customFormat="1" ht="25" customHeight="1">
      <c r="A104" s="14"/>
      <c r="B104" s="27"/>
      <c r="C104" s="59">
        <v>3</v>
      </c>
      <c r="D104" s="53">
        <f t="shared" si="10"/>
        <v>56</v>
      </c>
      <c r="E104" s="53">
        <f t="shared" si="14"/>
        <v>9</v>
      </c>
      <c r="F104" s="54">
        <f t="shared" si="11"/>
        <v>0.28999999999999998</v>
      </c>
      <c r="G104" s="55">
        <f>IF(D104=D103,"",_xlfn.IFNA(VLOOKUP(D104,'인원 입력 기능'!$A$5:$D$103,4,FALSE),0))</f>
        <v>4</v>
      </c>
      <c r="H104" s="56">
        <f t="shared" si="12"/>
        <v>1.1070703044996872E-5</v>
      </c>
      <c r="I104" s="66">
        <f>SUM($G$7:G104)</f>
        <v>360259</v>
      </c>
      <c r="J104" s="58">
        <f t="shared" si="13"/>
        <v>0.99708010207188202</v>
      </c>
      <c r="K104" s="32"/>
      <c r="L104" s="20" t="str">
        <f t="shared" si="9"/>
        <v/>
      </c>
      <c r="N104" s="19"/>
    </row>
    <row r="105" spans="1:14" s="16" customFormat="1" ht="25" customHeight="1">
      <c r="A105" s="14"/>
      <c r="B105" s="27"/>
      <c r="C105" s="59">
        <v>2</v>
      </c>
      <c r="D105" s="53">
        <f t="shared" si="10"/>
        <v>55</v>
      </c>
      <c r="E105" s="53">
        <f t="shared" si="14"/>
        <v>9</v>
      </c>
      <c r="F105" s="54">
        <f t="shared" si="11"/>
        <v>0.28000000000000003</v>
      </c>
      <c r="G105" s="55">
        <f>IF(D105=D104,"",_xlfn.IFNA(VLOOKUP(D105,'인원 입력 기능'!$A$5:$D$103,4,FALSE),0))</f>
        <v>80</v>
      </c>
      <c r="H105" s="56">
        <f t="shared" si="12"/>
        <v>2.2141406089993746E-4</v>
      </c>
      <c r="I105" s="66">
        <f>SUM($G$7:G105)</f>
        <v>360339</v>
      </c>
      <c r="J105" s="58">
        <f t="shared" si="13"/>
        <v>0.99730151613278206</v>
      </c>
      <c r="K105" s="32"/>
      <c r="L105" s="20" t="str">
        <f t="shared" si="9"/>
        <v/>
      </c>
      <c r="N105" s="19"/>
    </row>
    <row r="106" spans="1:14" s="16" customFormat="1" ht="25" customHeight="1">
      <c r="A106" s="14"/>
      <c r="B106" s="27"/>
      <c r="C106" s="59">
        <v>1</v>
      </c>
      <c r="D106" s="60" t="s">
        <v>37</v>
      </c>
      <c r="E106" s="60"/>
      <c r="F106" s="61"/>
      <c r="G106" s="62"/>
      <c r="H106" s="63"/>
      <c r="I106" s="70"/>
      <c r="J106" s="65"/>
      <c r="K106" s="33"/>
      <c r="L106" s="20"/>
    </row>
    <row r="107" spans="1:14" s="16" customFormat="1" ht="25" customHeight="1" thickBot="1">
      <c r="A107" s="14"/>
      <c r="B107" s="27"/>
      <c r="C107" s="71">
        <v>0</v>
      </c>
      <c r="D107" s="72">
        <f>ROUND(20*(C107-$H$3)/$H$4+100,0)</f>
        <v>53</v>
      </c>
      <c r="E107" s="72">
        <f>IF(ROUND(D107,0)&gt;=$Q$7,1,IF(ROUND(D107,0)&gt;=$Q$8,2,IF(ROUND(D107,0)&gt;=$Q$9,3,IF(ROUND(D107,0)&gt;=$Q$10,4,IF(ROUND(D107,0)&gt;=$Q$11,5,IF(ROUND(D107,0)&gt;=$Q$12,6,IF(ROUND(D107,0)&gt;=$Q$13,7,IF(ROUND(D107,0)&gt;=$Q$14,8,9))))))))</f>
        <v>9</v>
      </c>
      <c r="F107" s="73">
        <f>IF(I105=0,ROUND(100*(1-(I104+I107)/2/$J$3),2),ROUND(100*(1-(I105+I107)/2/$J$3),2))</f>
        <v>0.13</v>
      </c>
      <c r="G107" s="74">
        <f>_xlfn.IFNA(VLOOKUP(D107,'인원 입력 기능'!$A$5:$D$103,4,FALSE),0)</f>
        <v>975</v>
      </c>
      <c r="H107" s="75">
        <f>G107/$J$3</f>
        <v>2.6984838672179877E-3</v>
      </c>
      <c r="I107" s="76">
        <f>SUM($G$7:G107)</f>
        <v>361314</v>
      </c>
      <c r="J107" s="77">
        <f>I107/$J$3</f>
        <v>1</v>
      </c>
      <c r="K107" s="37"/>
      <c r="L107" s="20" t="str">
        <f>IF(ABS((C107-$H$3)/$H$4*20+100-D107)&gt;0.49, "경고", "")</f>
        <v/>
      </c>
    </row>
    <row r="108" spans="1:14" s="2" customFormat="1" ht="6" customHeight="1">
      <c r="B108" s="34"/>
      <c r="C108" s="35"/>
      <c r="D108" s="35"/>
      <c r="E108" s="35"/>
      <c r="F108" s="35"/>
      <c r="G108" s="35"/>
      <c r="H108" s="35"/>
      <c r="I108" s="35"/>
      <c r="J108" s="35"/>
      <c r="K108" s="36"/>
      <c r="L108" s="22"/>
    </row>
    <row r="109" spans="1:14">
      <c r="A109" s="2"/>
      <c r="B109" s="2"/>
      <c r="C109" s="2"/>
      <c r="D109" s="2"/>
      <c r="E109" s="2"/>
      <c r="F109" s="2"/>
      <c r="G109" s="2"/>
      <c r="H109" s="2"/>
      <c r="I109" s="2"/>
      <c r="J109" s="2"/>
      <c r="L109" s="22"/>
    </row>
  </sheetData>
  <mergeCells count="38">
    <mergeCell ref="I77:I78"/>
    <mergeCell ref="J77:J78"/>
    <mergeCell ref="D97:D98"/>
    <mergeCell ref="E97:E98"/>
    <mergeCell ref="F97:F98"/>
    <mergeCell ref="G97:G98"/>
    <mergeCell ref="H97:H98"/>
    <mergeCell ref="I97:I98"/>
    <mergeCell ref="J97:J98"/>
    <mergeCell ref="D77:D78"/>
    <mergeCell ref="E77:E78"/>
    <mergeCell ref="F77:F78"/>
    <mergeCell ref="G77:G78"/>
    <mergeCell ref="H77:H78"/>
    <mergeCell ref="I37:I38"/>
    <mergeCell ref="J37:J38"/>
    <mergeCell ref="D57:D58"/>
    <mergeCell ref="E57:E58"/>
    <mergeCell ref="F57:F58"/>
    <mergeCell ref="G57:G58"/>
    <mergeCell ref="H57:H58"/>
    <mergeCell ref="I57:I58"/>
    <mergeCell ref="J57:J58"/>
    <mergeCell ref="D37:D38"/>
    <mergeCell ref="E37:E38"/>
    <mergeCell ref="F37:F38"/>
    <mergeCell ref="G37:G38"/>
    <mergeCell ref="H37:H38"/>
    <mergeCell ref="D3:F3"/>
    <mergeCell ref="D4:F4"/>
    <mergeCell ref="I4:J5"/>
    <mergeCell ref="D17:D18"/>
    <mergeCell ref="E17:E18"/>
    <mergeCell ref="F17:F18"/>
    <mergeCell ref="G17:G18"/>
    <mergeCell ref="H17:H18"/>
    <mergeCell ref="I17:I18"/>
    <mergeCell ref="J17:J18"/>
  </mergeCells>
  <phoneticPr fontId="1" type="noConversion"/>
  <conditionalFormatting sqref="D7:J17 D19:J37 D39:J57 D59:J77 D79:J97 D99:J107">
    <cfRule type="expression" dxfId="5" priority="3">
      <formula>OR($D7=$Q$7:$Q$14)</formula>
    </cfRule>
  </conditionalFormatting>
  <conditionalFormatting sqref="C7:C107">
    <cfRule type="expression" dxfId="4" priority="2">
      <formula>OR(AND($D7=0,OR($D6=$Q$7:$Q$14)),AND($D8&gt;0,OR($D7=$Q$7:$Q$14)))</formula>
    </cfRule>
  </conditionalFormatting>
  <conditionalFormatting sqref="D7:D17 D19:D37 D39:D57 D59:D77 D79:D97 D99:D107">
    <cfRule type="expression" dxfId="3" priority="1">
      <formula>$D7=$D8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749FE-5941-4A60-840C-DC2EFCC49008}">
  <sheetPr codeName="Sheet5"/>
  <dimension ref="A1:Q108"/>
  <sheetViews>
    <sheetView zoomScale="85" zoomScaleNormal="85" workbookViewId="0">
      <selection activeCell="B2" sqref="B2:K108"/>
    </sheetView>
  </sheetViews>
  <sheetFormatPr defaultRowHeight="17"/>
  <cols>
    <col min="2" max="2" width="1" style="2" customWidth="1"/>
    <col min="3" max="10" width="14.1640625" customWidth="1"/>
    <col min="11" max="11" width="1" style="2" customWidth="1"/>
    <col min="12" max="12" width="14.1640625" customWidth="1"/>
    <col min="13" max="14" width="12.4140625" customWidth="1"/>
  </cols>
  <sheetData>
    <row r="1" spans="1:17">
      <c r="A1" s="2" t="s">
        <v>39</v>
      </c>
      <c r="C1" s="2"/>
      <c r="D1" s="2"/>
      <c r="E1" s="2"/>
      <c r="F1" s="2"/>
      <c r="G1" s="2"/>
      <c r="H1" s="2"/>
      <c r="I1" s="2"/>
      <c r="J1" s="2"/>
      <c r="L1" s="2"/>
    </row>
    <row r="2" spans="1:17" s="2" customFormat="1" ht="6" customHeight="1" thickBot="1">
      <c r="B2" s="24"/>
      <c r="C2" s="25"/>
      <c r="D2" s="25"/>
      <c r="E2" s="25"/>
      <c r="F2" s="25"/>
      <c r="G2" s="25"/>
      <c r="H2" s="25"/>
      <c r="I2" s="25"/>
      <c r="J2" s="25"/>
      <c r="K2" s="26"/>
    </row>
    <row r="3" spans="1:17" s="16" customFormat="1" ht="25" customHeight="1" thickBot="1">
      <c r="A3" s="14"/>
      <c r="B3" s="27"/>
      <c r="C3" s="42" t="s">
        <v>41</v>
      </c>
      <c r="D3" s="107" t="s">
        <v>69</v>
      </c>
      <c r="E3" s="108"/>
      <c r="F3" s="109"/>
      <c r="G3" s="42" t="s">
        <v>42</v>
      </c>
      <c r="H3" s="43" t="str">
        <f>'통계 및 응시자 수 입력 기능'!D5</f>
        <v>45.74</v>
      </c>
      <c r="I3" s="15" t="s">
        <v>43</v>
      </c>
      <c r="J3" s="44">
        <f>'통계 및 응시자 수 입력 기능'!C5</f>
        <v>360591</v>
      </c>
      <c r="K3" s="28"/>
      <c r="L3" s="14"/>
    </row>
    <row r="4" spans="1:17" s="16" customFormat="1" ht="25" customHeight="1" thickBot="1">
      <c r="A4" s="14"/>
      <c r="B4" s="27"/>
      <c r="C4" s="45" t="s">
        <v>44</v>
      </c>
      <c r="D4" s="110" t="s">
        <v>47</v>
      </c>
      <c r="E4" s="111"/>
      <c r="F4" s="112"/>
      <c r="G4" s="46" t="s">
        <v>46</v>
      </c>
      <c r="H4" s="47" t="str">
        <f>'통계 및 응시자 수 입력 기능'!E5</f>
        <v>23.97</v>
      </c>
      <c r="I4" s="113"/>
      <c r="J4" s="114"/>
      <c r="K4" s="29"/>
      <c r="L4" s="14"/>
    </row>
    <row r="5" spans="1:17" s="16" customFormat="1" ht="25" customHeight="1" thickBot="1">
      <c r="A5" s="14"/>
      <c r="B5" s="27"/>
      <c r="C5" s="17"/>
      <c r="D5" s="17"/>
      <c r="E5" s="17"/>
      <c r="F5" s="103"/>
      <c r="G5" s="17"/>
      <c r="H5" s="14"/>
      <c r="I5" s="115"/>
      <c r="J5" s="115"/>
      <c r="K5" s="30"/>
      <c r="L5" s="14"/>
    </row>
    <row r="6" spans="1:17" s="16" customFormat="1" ht="25" customHeight="1" thickBot="1">
      <c r="A6" s="14"/>
      <c r="B6" s="27"/>
      <c r="C6" s="48" t="s">
        <v>48</v>
      </c>
      <c r="D6" s="49" t="s">
        <v>49</v>
      </c>
      <c r="E6" s="49" t="s">
        <v>50</v>
      </c>
      <c r="F6" s="49" t="s">
        <v>51</v>
      </c>
      <c r="G6" s="49" t="s">
        <v>52</v>
      </c>
      <c r="H6" s="50" t="s">
        <v>53</v>
      </c>
      <c r="I6" s="50" t="s">
        <v>54</v>
      </c>
      <c r="J6" s="51" t="s">
        <v>55</v>
      </c>
      <c r="K6" s="31"/>
      <c r="L6" s="23" t="s">
        <v>38</v>
      </c>
      <c r="M6" s="17"/>
      <c r="N6" s="18"/>
    </row>
    <row r="7" spans="1:17" s="16" customFormat="1" ht="25" customHeight="1">
      <c r="A7" s="14"/>
      <c r="B7" s="27"/>
      <c r="C7" s="52">
        <v>100</v>
      </c>
      <c r="D7" s="53">
        <f>ROUND(20*(C7-$H$3)/$H$4+100,0)</f>
        <v>145</v>
      </c>
      <c r="E7" s="53">
        <f t="shared" ref="E7:E70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4">
        <f>ROUND(100*(1-(0+I7)/2/$J$3),2)</f>
        <v>99.78</v>
      </c>
      <c r="G7" s="55">
        <f>_xlfn.IFNA(VLOOKUP(D7,'인원 입력 기능'!$F$5:$I$103,4,FALSE),0)</f>
        <v>1553</v>
      </c>
      <c r="H7" s="56">
        <f>G7/$J$3</f>
        <v>4.3068185284713149E-3</v>
      </c>
      <c r="I7" s="57">
        <f>G7</f>
        <v>1553</v>
      </c>
      <c r="J7" s="58">
        <f>I7/$J$3</f>
        <v>4.3068185284713149E-3</v>
      </c>
      <c r="K7" s="32"/>
      <c r="L7" s="20" t="str">
        <f>IF(ABS((C7-$H$3)/$H$4*20+100-D7)&gt;0.49, "경고", "")</f>
        <v/>
      </c>
      <c r="N7" s="19"/>
      <c r="P7" s="19">
        <v>1</v>
      </c>
      <c r="Q7" s="19">
        <f>'표점등급&amp;절평인원 입력기능'!C13</f>
        <v>135</v>
      </c>
    </row>
    <row r="8" spans="1:17" s="16" customFormat="1" ht="25" customHeight="1">
      <c r="A8" s="14"/>
      <c r="B8" s="27"/>
      <c r="C8" s="59">
        <v>99</v>
      </c>
      <c r="D8" s="60" t="s">
        <v>37</v>
      </c>
      <c r="E8" s="60"/>
      <c r="F8" s="61"/>
      <c r="G8" s="62"/>
      <c r="H8" s="63"/>
      <c r="I8" s="64"/>
      <c r="J8" s="65"/>
      <c r="K8" s="33"/>
      <c r="L8" s="20"/>
      <c r="N8" s="19"/>
      <c r="P8" s="19">
        <v>2</v>
      </c>
      <c r="Q8" s="19">
        <f>'표점등급&amp;절평인원 입력기능'!C14</f>
        <v>125</v>
      </c>
    </row>
    <row r="9" spans="1:17" s="16" customFormat="1" ht="25" customHeight="1">
      <c r="A9" s="14"/>
      <c r="B9" s="27"/>
      <c r="C9" s="59">
        <v>98</v>
      </c>
      <c r="D9" s="53">
        <f t="shared" ref="D9:D40" si="1">ROUND(20*(C9-$H$3)/$H$4+100,0)</f>
        <v>144</v>
      </c>
      <c r="E9" s="53">
        <f t="shared" si="0"/>
        <v>1</v>
      </c>
      <c r="F9" s="54">
        <f>IF(I8=0,ROUND(100*(1-(I7+I9)/2/$J$3),2),ROUND(100*(1-(I8+I9)/2/$J$3),2))</f>
        <v>99.57</v>
      </c>
      <c r="G9" s="55">
        <f>_xlfn.IFNA(VLOOKUP(D9,'인원 입력 기능'!$F$5:$I$103,4,FALSE),0)</f>
        <v>3</v>
      </c>
      <c r="H9" s="56">
        <f>G9/$J$3</f>
        <v>8.3196751998801965E-6</v>
      </c>
      <c r="I9" s="66">
        <f>SUM($G$7:G9)</f>
        <v>1556</v>
      </c>
      <c r="J9" s="58">
        <f>I9/$J$3</f>
        <v>4.315138203671195E-3</v>
      </c>
      <c r="K9" s="32"/>
      <c r="L9" s="20" t="str">
        <f t="shared" ref="L9:L40" si="2">IF(ABS((C9-$H$3)/$H$4*20+100-D9)&gt;0.49, "경고", "")</f>
        <v/>
      </c>
      <c r="N9" s="19"/>
      <c r="P9" s="19">
        <v>3</v>
      </c>
      <c r="Q9" s="19">
        <f>'표점등급&amp;절평인원 입력기능'!C15</f>
        <v>119</v>
      </c>
    </row>
    <row r="10" spans="1:17" s="16" customFormat="1" ht="25" customHeight="1">
      <c r="A10" s="14"/>
      <c r="B10" s="27"/>
      <c r="C10" s="59">
        <v>97</v>
      </c>
      <c r="D10" s="53">
        <f t="shared" si="1"/>
        <v>143</v>
      </c>
      <c r="E10" s="53">
        <f t="shared" si="0"/>
        <v>1</v>
      </c>
      <c r="F10" s="54">
        <f t="shared" ref="F10:F73" si="3">IF(I9=0,ROUND(100*(1-(I8+I10)/2/$J$3),2),ROUND(100*(1-(I9+I10)/2/$J$3),2))</f>
        <v>99.54</v>
      </c>
      <c r="G10" s="55">
        <f>IF(D10=D9,"",_xlfn.IFNA(VLOOKUP(D10,'인원 입력 기능'!$F$5:$I$103,4,FALSE),0))</f>
        <v>182</v>
      </c>
      <c r="H10" s="56">
        <f t="shared" ref="H10:H73" si="4">G10/$J$3</f>
        <v>5.0472696212606528E-4</v>
      </c>
      <c r="I10" s="66">
        <f>SUM($G$7:G10)</f>
        <v>1738</v>
      </c>
      <c r="J10" s="58">
        <f t="shared" ref="J10:J73" si="5">I10/$J$3</f>
        <v>4.8198651657972609E-3</v>
      </c>
      <c r="K10" s="32"/>
      <c r="L10" s="20" t="str">
        <f t="shared" si="2"/>
        <v/>
      </c>
      <c r="N10" s="19"/>
      <c r="P10" s="19">
        <v>4</v>
      </c>
      <c r="Q10" s="19">
        <f>'표점등급&amp;절평인원 입력기능'!C16</f>
        <v>108</v>
      </c>
    </row>
    <row r="11" spans="1:17" s="16" customFormat="1" ht="25" customHeight="1">
      <c r="A11" s="14"/>
      <c r="B11" s="27"/>
      <c r="C11" s="59">
        <v>96</v>
      </c>
      <c r="D11" s="53">
        <f t="shared" si="1"/>
        <v>142</v>
      </c>
      <c r="E11" s="53">
        <f t="shared" si="0"/>
        <v>1</v>
      </c>
      <c r="F11" s="54">
        <f t="shared" si="3"/>
        <v>99.15</v>
      </c>
      <c r="G11" s="55">
        <f>IF(D11=D10,"",_xlfn.IFNA(VLOOKUP(D11,'인원 입력 기능'!$F$5:$I$103,4,FALSE),0))</f>
        <v>2621</v>
      </c>
      <c r="H11" s="56">
        <f t="shared" si="4"/>
        <v>7.2686228996286656E-3</v>
      </c>
      <c r="I11" s="66">
        <f>SUM($G$7:G11)</f>
        <v>4359</v>
      </c>
      <c r="J11" s="58">
        <f t="shared" si="5"/>
        <v>1.2088488065425926E-2</v>
      </c>
      <c r="K11" s="32"/>
      <c r="L11" s="20" t="str">
        <f t="shared" si="2"/>
        <v/>
      </c>
      <c r="N11" s="19"/>
      <c r="P11" s="19">
        <v>5</v>
      </c>
      <c r="Q11" s="19">
        <f>'표점등급&amp;절평인원 입력기능'!C17</f>
        <v>92</v>
      </c>
    </row>
    <row r="12" spans="1:17" s="16" customFormat="1" ht="25" customHeight="1">
      <c r="A12" s="14"/>
      <c r="B12" s="27"/>
      <c r="C12" s="59">
        <v>95</v>
      </c>
      <c r="D12" s="53">
        <f t="shared" si="1"/>
        <v>141</v>
      </c>
      <c r="E12" s="53">
        <f t="shared" si="0"/>
        <v>1</v>
      </c>
      <c r="F12" s="54">
        <f t="shared" si="3"/>
        <v>98.79</v>
      </c>
      <c r="G12" s="55">
        <f>IF(D12=D11,"",_xlfn.IFNA(VLOOKUP(D12,'인원 입력 기능'!$F$5:$I$103,4,FALSE),0))</f>
        <v>2</v>
      </c>
      <c r="H12" s="56">
        <f t="shared" si="4"/>
        <v>5.546450133253464E-6</v>
      </c>
      <c r="I12" s="66">
        <f>SUM($G$7:G12)</f>
        <v>4361</v>
      </c>
      <c r="J12" s="58">
        <f t="shared" si="5"/>
        <v>1.2094034515559179E-2</v>
      </c>
      <c r="K12" s="32"/>
      <c r="L12" s="20" t="str">
        <f t="shared" si="2"/>
        <v/>
      </c>
      <c r="N12" s="19"/>
      <c r="P12" s="19">
        <v>6</v>
      </c>
      <c r="Q12" s="19">
        <f>'표점등급&amp;절평인원 입력기능'!C18</f>
        <v>80</v>
      </c>
    </row>
    <row r="13" spans="1:17" s="16" customFormat="1" ht="25" customHeight="1">
      <c r="A13" s="14"/>
      <c r="B13" s="27"/>
      <c r="C13" s="59">
        <v>94</v>
      </c>
      <c r="D13" s="53">
        <f t="shared" si="1"/>
        <v>140</v>
      </c>
      <c r="E13" s="53">
        <f t="shared" si="0"/>
        <v>1</v>
      </c>
      <c r="F13" s="54">
        <f t="shared" si="3"/>
        <v>98.79</v>
      </c>
      <c r="G13" s="55">
        <f>IF(D13=D12,"",_xlfn.IFNA(VLOOKUP(D13,'인원 입력 기능'!$F$5:$I$103,4,FALSE),0))</f>
        <v>13</v>
      </c>
      <c r="H13" s="56">
        <f t="shared" si="4"/>
        <v>3.6051925866147521E-5</v>
      </c>
      <c r="I13" s="66">
        <f>SUM($G$7:G13)</f>
        <v>4374</v>
      </c>
      <c r="J13" s="58">
        <f t="shared" si="5"/>
        <v>1.2130086441425327E-2</v>
      </c>
      <c r="K13" s="32"/>
      <c r="L13" s="20" t="str">
        <f t="shared" si="2"/>
        <v/>
      </c>
      <c r="N13" s="19"/>
      <c r="P13" s="19">
        <v>7</v>
      </c>
      <c r="Q13" s="19">
        <f>'표점등급&amp;절평인원 입력기능'!C19</f>
        <v>75</v>
      </c>
    </row>
    <row r="14" spans="1:17" s="16" customFormat="1" ht="25" customHeight="1">
      <c r="A14" s="14"/>
      <c r="B14" s="27"/>
      <c r="C14" s="59">
        <v>93</v>
      </c>
      <c r="D14" s="129">
        <f t="shared" si="1"/>
        <v>139</v>
      </c>
      <c r="E14" s="129">
        <f t="shared" si="0"/>
        <v>1</v>
      </c>
      <c r="F14" s="156">
        <f t="shared" si="3"/>
        <v>98.18</v>
      </c>
      <c r="G14" s="158">
        <f>IF(D14=D13,"",_xlfn.IFNA(VLOOKUP(D14,'인원 입력 기능'!$F$5:$I$103,4,FALSE),0))</f>
        <v>4413</v>
      </c>
      <c r="H14" s="159">
        <f t="shared" si="4"/>
        <v>1.2238242219023769E-2</v>
      </c>
      <c r="I14" s="165">
        <f>SUM($G$7:G14)</f>
        <v>8787</v>
      </c>
      <c r="J14" s="163">
        <f t="shared" si="5"/>
        <v>2.4368328660449096E-2</v>
      </c>
      <c r="K14" s="32"/>
      <c r="L14" s="20" t="str">
        <f t="shared" si="2"/>
        <v/>
      </c>
      <c r="N14" s="19"/>
      <c r="P14" s="19">
        <v>8</v>
      </c>
      <c r="Q14" s="19">
        <f>'표점등급&amp;절평인원 입력기능'!C20</f>
        <v>72</v>
      </c>
    </row>
    <row r="15" spans="1:17" s="16" customFormat="1" ht="25" customHeight="1">
      <c r="A15" s="14"/>
      <c r="B15" s="27"/>
      <c r="C15" s="59">
        <v>92</v>
      </c>
      <c r="D15" s="119"/>
      <c r="E15" s="119"/>
      <c r="F15" s="155"/>
      <c r="G15" s="157"/>
      <c r="H15" s="160"/>
      <c r="I15" s="166"/>
      <c r="J15" s="164"/>
      <c r="K15" s="32"/>
      <c r="L15" s="20" t="str">
        <f t="shared" si="2"/>
        <v>경고</v>
      </c>
      <c r="N15" s="19"/>
      <c r="P15" s="19">
        <v>9</v>
      </c>
    </row>
    <row r="16" spans="1:17" s="16" customFormat="1" ht="25" customHeight="1">
      <c r="A16" s="14"/>
      <c r="B16" s="27"/>
      <c r="C16" s="59">
        <v>91</v>
      </c>
      <c r="D16" s="53">
        <f t="shared" si="1"/>
        <v>138</v>
      </c>
      <c r="E16" s="53">
        <f t="shared" si="0"/>
        <v>1</v>
      </c>
      <c r="F16" s="54">
        <f t="shared" si="3"/>
        <v>97.56</v>
      </c>
      <c r="G16" s="55">
        <f>IF(D16=D15,"",_xlfn.IFNA(VLOOKUP(D16,'인원 입력 기능'!$F$5:$I$103,4,FALSE),0))</f>
        <v>6</v>
      </c>
      <c r="H16" s="56">
        <f t="shared" si="4"/>
        <v>1.6639350399760393E-5</v>
      </c>
      <c r="I16" s="66">
        <f>SUM($G$7:G16)</f>
        <v>8793</v>
      </c>
      <c r="J16" s="58">
        <f t="shared" si="5"/>
        <v>2.4384968010848856E-2</v>
      </c>
      <c r="K16" s="32"/>
      <c r="L16" s="20" t="str">
        <f t="shared" si="2"/>
        <v/>
      </c>
      <c r="N16" s="19"/>
    </row>
    <row r="17" spans="1:17" s="16" customFormat="1" ht="25" customHeight="1">
      <c r="A17" s="14"/>
      <c r="B17" s="27"/>
      <c r="C17" s="59">
        <v>90</v>
      </c>
      <c r="D17" s="53">
        <f t="shared" si="1"/>
        <v>137</v>
      </c>
      <c r="E17" s="53">
        <f t="shared" si="0"/>
        <v>1</v>
      </c>
      <c r="F17" s="54">
        <f t="shared" si="3"/>
        <v>97.55</v>
      </c>
      <c r="G17" s="55">
        <f>IF(D17=D16,"",_xlfn.IFNA(VLOOKUP(D17,'인원 입력 기능'!$F$5:$I$103,4,FALSE),0))</f>
        <v>82</v>
      </c>
      <c r="H17" s="56">
        <f t="shared" si="4"/>
        <v>2.2740445546339205E-4</v>
      </c>
      <c r="I17" s="66">
        <f>SUM($G$7:G17)</f>
        <v>8875</v>
      </c>
      <c r="J17" s="58">
        <f t="shared" si="5"/>
        <v>2.461237246631225E-2</v>
      </c>
      <c r="K17" s="32"/>
      <c r="L17" s="20" t="str">
        <f t="shared" si="2"/>
        <v/>
      </c>
      <c r="N17" s="19"/>
      <c r="Q17" s="16">
        <f>IF(H3*H4*J3*Q7=0, 0, 1)</f>
        <v>1</v>
      </c>
    </row>
    <row r="18" spans="1:17" s="16" customFormat="1" ht="25" customHeight="1">
      <c r="A18" s="14"/>
      <c r="B18" s="27"/>
      <c r="C18" s="59">
        <v>89</v>
      </c>
      <c r="D18" s="53">
        <f t="shared" si="1"/>
        <v>136</v>
      </c>
      <c r="E18" s="53">
        <f t="shared" si="0"/>
        <v>1</v>
      </c>
      <c r="F18" s="54">
        <f t="shared" si="3"/>
        <v>97.4</v>
      </c>
      <c r="G18" s="55">
        <f>IF(D18=D17,"",_xlfn.IFNA(VLOOKUP(D18,'인원 입력 기능'!$F$5:$I$103,4,FALSE),0))</f>
        <v>990</v>
      </c>
      <c r="H18" s="56">
        <f t="shared" si="4"/>
        <v>2.745492815960465E-3</v>
      </c>
      <c r="I18" s="66">
        <f>SUM($G$7:G18)</f>
        <v>9865</v>
      </c>
      <c r="J18" s="58">
        <f t="shared" si="5"/>
        <v>2.7357865282272714E-2</v>
      </c>
      <c r="K18" s="32"/>
      <c r="L18" s="20" t="str">
        <f t="shared" si="2"/>
        <v/>
      </c>
      <c r="N18" s="19"/>
    </row>
    <row r="19" spans="1:17" s="16" customFormat="1" ht="25" customHeight="1">
      <c r="A19" s="14"/>
      <c r="B19" s="27"/>
      <c r="C19" s="59">
        <v>88</v>
      </c>
      <c r="D19" s="53">
        <f t="shared" si="1"/>
        <v>135</v>
      </c>
      <c r="E19" s="68">
        <f t="shared" si="0"/>
        <v>1</v>
      </c>
      <c r="F19" s="54">
        <f t="shared" si="3"/>
        <v>96.61</v>
      </c>
      <c r="G19" s="55">
        <f>IF(D19=D18,"",_xlfn.IFNA(VLOOKUP(D19,'인원 입력 기능'!$F$5:$I$103,4,FALSE),0))</f>
        <v>4724</v>
      </c>
      <c r="H19" s="56">
        <f t="shared" si="4"/>
        <v>1.3100715214744683E-2</v>
      </c>
      <c r="I19" s="66">
        <f>SUM($G$7:G19)</f>
        <v>14589</v>
      </c>
      <c r="J19" s="58">
        <f t="shared" si="5"/>
        <v>4.0458580497017393E-2</v>
      </c>
      <c r="K19" s="32"/>
      <c r="L19" s="20" t="str">
        <f t="shared" si="2"/>
        <v/>
      </c>
      <c r="N19" s="19"/>
    </row>
    <row r="20" spans="1:17" s="16" customFormat="1" ht="25" customHeight="1">
      <c r="A20" s="14"/>
      <c r="B20" s="27"/>
      <c r="C20" s="59">
        <v>87</v>
      </c>
      <c r="D20" s="129">
        <f t="shared" si="1"/>
        <v>134</v>
      </c>
      <c r="E20" s="154">
        <f t="shared" si="0"/>
        <v>2</v>
      </c>
      <c r="F20" s="156">
        <f t="shared" si="3"/>
        <v>95.93</v>
      </c>
      <c r="G20" s="158">
        <f>IF(D20=D19,"",_xlfn.IFNA(VLOOKUP(D20,'인원 입력 기능'!$F$5:$I$103,4,FALSE),0))</f>
        <v>184</v>
      </c>
      <c r="H20" s="159">
        <f t="shared" si="4"/>
        <v>5.1027341225931869E-4</v>
      </c>
      <c r="I20" s="165">
        <f>SUM($G$7:G20)</f>
        <v>14773</v>
      </c>
      <c r="J20" s="163">
        <f t="shared" si="5"/>
        <v>4.0968853909276716E-2</v>
      </c>
      <c r="K20" s="32"/>
      <c r="L20" s="20" t="str">
        <f t="shared" si="2"/>
        <v/>
      </c>
      <c r="N20" s="19"/>
    </row>
    <row r="21" spans="1:17" s="16" customFormat="1" ht="25" customHeight="1">
      <c r="A21" s="14"/>
      <c r="B21" s="27"/>
      <c r="C21" s="59">
        <v>86</v>
      </c>
      <c r="D21" s="119"/>
      <c r="E21" s="118"/>
      <c r="F21" s="155"/>
      <c r="G21" s="157"/>
      <c r="H21" s="160"/>
      <c r="I21" s="166"/>
      <c r="J21" s="164"/>
      <c r="K21" s="32"/>
      <c r="L21" s="20" t="str">
        <f t="shared" si="2"/>
        <v>경고</v>
      </c>
      <c r="N21" s="19"/>
    </row>
    <row r="22" spans="1:17" s="16" customFormat="1" ht="25" customHeight="1">
      <c r="A22" s="14"/>
      <c r="B22" s="27"/>
      <c r="C22" s="59">
        <v>85</v>
      </c>
      <c r="D22" s="53">
        <f t="shared" si="1"/>
        <v>133</v>
      </c>
      <c r="E22" s="68">
        <f t="shared" si="0"/>
        <v>2</v>
      </c>
      <c r="F22" s="54">
        <f t="shared" si="3"/>
        <v>95.69</v>
      </c>
      <c r="G22" s="55">
        <f>IF(D22=D21,"",_xlfn.IFNA(VLOOKUP(D22,'인원 입력 기능'!$F$5:$I$103,4,FALSE),0))</f>
        <v>1538</v>
      </c>
      <c r="H22" s="56">
        <f t="shared" si="4"/>
        <v>4.2652201524719146E-3</v>
      </c>
      <c r="I22" s="66">
        <f>SUM($G$7:G22)</f>
        <v>16311</v>
      </c>
      <c r="J22" s="58">
        <f t="shared" si="5"/>
        <v>4.5234074061748626E-2</v>
      </c>
      <c r="K22" s="32"/>
      <c r="L22" s="20" t="str">
        <f t="shared" si="2"/>
        <v/>
      </c>
      <c r="N22" s="19"/>
    </row>
    <row r="23" spans="1:17" s="16" customFormat="1" ht="25" customHeight="1">
      <c r="A23" s="14"/>
      <c r="B23" s="27"/>
      <c r="C23" s="59">
        <v>84</v>
      </c>
      <c r="D23" s="53">
        <f t="shared" si="1"/>
        <v>132</v>
      </c>
      <c r="E23" s="68">
        <f t="shared" si="0"/>
        <v>2</v>
      </c>
      <c r="F23" s="54">
        <f t="shared" si="3"/>
        <v>94.63</v>
      </c>
      <c r="G23" s="55">
        <f>IF(D23=D22,"",_xlfn.IFNA(VLOOKUP(D23,'인원 입력 기능'!$F$5:$I$103,4,FALSE),0))</f>
        <v>6072</v>
      </c>
      <c r="H23" s="56">
        <f t="shared" si="4"/>
        <v>1.6839022604557517E-2</v>
      </c>
      <c r="I23" s="66">
        <f>SUM($G$7:G23)</f>
        <v>22383</v>
      </c>
      <c r="J23" s="58">
        <f t="shared" si="5"/>
        <v>6.207309666630615E-2</v>
      </c>
      <c r="K23" s="32"/>
      <c r="L23" s="20" t="str">
        <f t="shared" si="2"/>
        <v/>
      </c>
      <c r="N23" s="19"/>
    </row>
    <row r="24" spans="1:17" s="16" customFormat="1" ht="25" customHeight="1">
      <c r="A24" s="14"/>
      <c r="B24" s="27"/>
      <c r="C24" s="67">
        <v>83</v>
      </c>
      <c r="D24" s="68">
        <f t="shared" si="1"/>
        <v>131</v>
      </c>
      <c r="E24" s="68">
        <f t="shared" si="0"/>
        <v>2</v>
      </c>
      <c r="F24" s="54">
        <f t="shared" si="3"/>
        <v>93.79</v>
      </c>
      <c r="G24" s="55">
        <f>IF(D24=D23,"",_xlfn.IFNA(VLOOKUP(D24,'인원 입력 기능'!$F$5:$I$103,4,FALSE),0))</f>
        <v>27</v>
      </c>
      <c r="H24" s="56">
        <f t="shared" si="4"/>
        <v>7.4877076798921777E-5</v>
      </c>
      <c r="I24" s="69">
        <f>SUM($G$7:G24)</f>
        <v>22410</v>
      </c>
      <c r="J24" s="58">
        <f t="shared" si="5"/>
        <v>6.2147973743105066E-2</v>
      </c>
      <c r="K24" s="32"/>
      <c r="L24" s="20" t="str">
        <f t="shared" si="2"/>
        <v/>
      </c>
      <c r="N24" s="19"/>
    </row>
    <row r="25" spans="1:17" s="16" customFormat="1" ht="25" customHeight="1">
      <c r="A25" s="14"/>
      <c r="B25" s="27"/>
      <c r="C25" s="67">
        <v>82</v>
      </c>
      <c r="D25" s="68">
        <f t="shared" si="1"/>
        <v>130</v>
      </c>
      <c r="E25" s="68">
        <f t="shared" si="0"/>
        <v>2</v>
      </c>
      <c r="F25" s="54">
        <f t="shared" si="3"/>
        <v>93.74</v>
      </c>
      <c r="G25" s="55">
        <f>IF(D25=D24,"",_xlfn.IFNA(VLOOKUP(D25,'인원 입력 기능'!$F$5:$I$103,4,FALSE),0))</f>
        <v>349</v>
      </c>
      <c r="H25" s="56">
        <f t="shared" si="4"/>
        <v>9.6785554825272956E-4</v>
      </c>
      <c r="I25" s="69">
        <f>SUM($G$7:G25)</f>
        <v>22759</v>
      </c>
      <c r="J25" s="58">
        <f t="shared" si="5"/>
        <v>6.3115829291357797E-2</v>
      </c>
      <c r="K25" s="32"/>
      <c r="L25" s="20" t="str">
        <f t="shared" si="2"/>
        <v/>
      </c>
      <c r="N25" s="19"/>
    </row>
    <row r="26" spans="1:17" s="16" customFormat="1" ht="25" customHeight="1">
      <c r="A26" s="14"/>
      <c r="B26" s="27"/>
      <c r="C26" s="67">
        <v>81</v>
      </c>
      <c r="D26" s="154">
        <f t="shared" si="1"/>
        <v>129</v>
      </c>
      <c r="E26" s="154">
        <f t="shared" si="0"/>
        <v>2</v>
      </c>
      <c r="F26" s="156">
        <f t="shared" si="3"/>
        <v>92.27</v>
      </c>
      <c r="G26" s="158">
        <f>IF(D26=D25,"",_xlfn.IFNA(VLOOKUP(D26,'인원 입력 기능'!$F$5:$I$103,4,FALSE),0))</f>
        <v>10197</v>
      </c>
      <c r="H26" s="159">
        <f t="shared" si="4"/>
        <v>2.8278576004392788E-2</v>
      </c>
      <c r="I26" s="161">
        <f>SUM($G$7:G26)</f>
        <v>32956</v>
      </c>
      <c r="J26" s="163">
        <f t="shared" si="5"/>
        <v>9.1394405295750589E-2</v>
      </c>
      <c r="K26" s="32"/>
      <c r="L26" s="20" t="str">
        <f t="shared" si="2"/>
        <v/>
      </c>
      <c r="N26" s="19"/>
    </row>
    <row r="27" spans="1:17" s="16" customFormat="1" ht="25" customHeight="1">
      <c r="A27" s="14"/>
      <c r="B27" s="27"/>
      <c r="C27" s="67">
        <v>80</v>
      </c>
      <c r="D27" s="118"/>
      <c r="E27" s="118"/>
      <c r="F27" s="155"/>
      <c r="G27" s="157"/>
      <c r="H27" s="160"/>
      <c r="I27" s="162"/>
      <c r="J27" s="164"/>
      <c r="K27" s="32"/>
      <c r="L27" s="20" t="str">
        <f t="shared" si="2"/>
        <v>경고</v>
      </c>
      <c r="N27" s="19"/>
    </row>
    <row r="28" spans="1:17" s="16" customFormat="1" ht="25" customHeight="1">
      <c r="A28" s="14"/>
      <c r="B28" s="27"/>
      <c r="C28" s="67">
        <v>79</v>
      </c>
      <c r="D28" s="68">
        <f t="shared" si="1"/>
        <v>128</v>
      </c>
      <c r="E28" s="68">
        <f t="shared" si="0"/>
        <v>2</v>
      </c>
      <c r="F28" s="54">
        <f t="shared" si="3"/>
        <v>90.85</v>
      </c>
      <c r="G28" s="55">
        <f>IF(D28=D27,"",_xlfn.IFNA(VLOOKUP(D28,'인원 입력 기능'!$F$5:$I$103,4,FALSE),0))</f>
        <v>43</v>
      </c>
      <c r="H28" s="56">
        <f t="shared" si="4"/>
        <v>1.1924867786494948E-4</v>
      </c>
      <c r="I28" s="69">
        <f>SUM($G$7:G28)</f>
        <v>32999</v>
      </c>
      <c r="J28" s="58">
        <f t="shared" si="5"/>
        <v>9.1513653973615536E-2</v>
      </c>
      <c r="K28" s="32"/>
      <c r="L28" s="20" t="str">
        <f t="shared" si="2"/>
        <v/>
      </c>
      <c r="N28" s="19"/>
    </row>
    <row r="29" spans="1:17" s="16" customFormat="1" ht="25" customHeight="1">
      <c r="A29" s="14"/>
      <c r="B29" s="27"/>
      <c r="C29" s="67">
        <v>78</v>
      </c>
      <c r="D29" s="68">
        <f t="shared" si="1"/>
        <v>127</v>
      </c>
      <c r="E29" s="68">
        <f t="shared" si="0"/>
        <v>2</v>
      </c>
      <c r="F29" s="54">
        <f t="shared" si="3"/>
        <v>90.78</v>
      </c>
      <c r="G29" s="55">
        <f>IF(D29=D28,"",_xlfn.IFNA(VLOOKUP(D29,'인원 입력 기능'!$F$5:$I$103,4,FALSE),0))</f>
        <v>509</v>
      </c>
      <c r="H29" s="56">
        <f t="shared" si="4"/>
        <v>1.4115715589130067E-3</v>
      </c>
      <c r="I29" s="69">
        <f>SUM($G$7:G29)</f>
        <v>33508</v>
      </c>
      <c r="J29" s="58">
        <f t="shared" si="5"/>
        <v>9.2925225532528549E-2</v>
      </c>
      <c r="K29" s="32"/>
      <c r="L29" s="20" t="str">
        <f t="shared" si="2"/>
        <v/>
      </c>
      <c r="N29" s="19"/>
    </row>
    <row r="30" spans="1:17" s="16" customFormat="1" ht="25" customHeight="1">
      <c r="A30" s="14"/>
      <c r="B30" s="27"/>
      <c r="C30" s="67">
        <v>77</v>
      </c>
      <c r="D30" s="68">
        <f t="shared" si="1"/>
        <v>126</v>
      </c>
      <c r="E30" s="68">
        <f t="shared" si="0"/>
        <v>2</v>
      </c>
      <c r="F30" s="54">
        <f t="shared" si="3"/>
        <v>90.26</v>
      </c>
      <c r="G30" s="55">
        <f>IF(D30=D29,"",_xlfn.IFNA(VLOOKUP(D30,'인원 입력 기능'!$F$5:$I$103,4,FALSE),0))</f>
        <v>3226</v>
      </c>
      <c r="H30" s="56">
        <f t="shared" si="4"/>
        <v>8.9464240649378378E-3</v>
      </c>
      <c r="I30" s="69">
        <f>SUM($G$7:G30)</f>
        <v>36734</v>
      </c>
      <c r="J30" s="58">
        <f t="shared" si="5"/>
        <v>0.10187164959746638</v>
      </c>
      <c r="K30" s="32"/>
      <c r="L30" s="20" t="str">
        <f t="shared" si="2"/>
        <v/>
      </c>
      <c r="N30" s="19"/>
    </row>
    <row r="31" spans="1:17" s="16" customFormat="1" ht="25" customHeight="1">
      <c r="A31" s="14"/>
      <c r="B31" s="27"/>
      <c r="C31" s="67">
        <v>76</v>
      </c>
      <c r="D31" s="68">
        <f t="shared" si="1"/>
        <v>125</v>
      </c>
      <c r="E31" s="68">
        <f t="shared" si="0"/>
        <v>2</v>
      </c>
      <c r="F31" s="54">
        <f t="shared" si="3"/>
        <v>88.42</v>
      </c>
      <c r="G31" s="55">
        <f>IF(D31=D30,"",_xlfn.IFNA(VLOOKUP(D31,'인원 입력 기능'!$F$5:$I$103,4,FALSE),0))</f>
        <v>10044</v>
      </c>
      <c r="H31" s="56">
        <f t="shared" si="4"/>
        <v>2.7854272569198899E-2</v>
      </c>
      <c r="I31" s="69">
        <f>SUM($G$7:G31)</f>
        <v>46778</v>
      </c>
      <c r="J31" s="58">
        <f t="shared" si="5"/>
        <v>0.12972592216666529</v>
      </c>
      <c r="K31" s="32"/>
      <c r="L31" s="20" t="str">
        <f t="shared" si="2"/>
        <v/>
      </c>
      <c r="N31" s="19"/>
    </row>
    <row r="32" spans="1:17" s="16" customFormat="1" ht="25" customHeight="1">
      <c r="A32" s="14"/>
      <c r="B32" s="27"/>
      <c r="C32" s="67">
        <v>75</v>
      </c>
      <c r="D32" s="154">
        <f t="shared" si="1"/>
        <v>124</v>
      </c>
      <c r="E32" s="154">
        <f t="shared" si="0"/>
        <v>3</v>
      </c>
      <c r="F32" s="156">
        <f t="shared" si="3"/>
        <v>86.88</v>
      </c>
      <c r="G32" s="158">
        <f>IF(D32=D31,"",_xlfn.IFNA(VLOOKUP(D32,'인원 입력 기능'!$F$5:$I$103,4,FALSE),0))</f>
        <v>1068</v>
      </c>
      <c r="H32" s="159">
        <f t="shared" si="4"/>
        <v>2.9618043711573498E-3</v>
      </c>
      <c r="I32" s="161">
        <f>SUM($G$7:G32)</f>
        <v>47846</v>
      </c>
      <c r="J32" s="163">
        <f t="shared" si="5"/>
        <v>0.13268772653782263</v>
      </c>
      <c r="K32" s="32"/>
      <c r="L32" s="20" t="str">
        <f t="shared" si="2"/>
        <v/>
      </c>
      <c r="N32" s="19"/>
    </row>
    <row r="33" spans="1:14" s="16" customFormat="1" ht="25" customHeight="1">
      <c r="A33" s="14"/>
      <c r="B33" s="27"/>
      <c r="C33" s="67">
        <v>74</v>
      </c>
      <c r="D33" s="118"/>
      <c r="E33" s="118"/>
      <c r="F33" s="155"/>
      <c r="G33" s="157"/>
      <c r="H33" s="160"/>
      <c r="I33" s="162"/>
      <c r="J33" s="164"/>
      <c r="K33" s="32"/>
      <c r="L33" s="20" t="str">
        <f t="shared" si="2"/>
        <v>경고</v>
      </c>
      <c r="N33" s="19"/>
    </row>
    <row r="34" spans="1:14" s="16" customFormat="1" ht="25" customHeight="1">
      <c r="A34" s="14"/>
      <c r="B34" s="27"/>
      <c r="C34" s="67">
        <v>73</v>
      </c>
      <c r="D34" s="68">
        <f t="shared" si="1"/>
        <v>123</v>
      </c>
      <c r="E34" s="68">
        <f t="shared" si="0"/>
        <v>3</v>
      </c>
      <c r="F34" s="54">
        <f t="shared" si="3"/>
        <v>86.04</v>
      </c>
      <c r="G34" s="55">
        <f>IF(D34=D33,"",_xlfn.IFNA(VLOOKUP(D34,'인원 입력 기능'!$F$5:$I$103,4,FALSE),0))</f>
        <v>5002</v>
      </c>
      <c r="H34" s="56">
        <f t="shared" si="4"/>
        <v>1.3871671783266915E-2</v>
      </c>
      <c r="I34" s="69">
        <f>SUM($G$7:G34)</f>
        <v>52848</v>
      </c>
      <c r="J34" s="58">
        <f t="shared" si="5"/>
        <v>0.14655939832108955</v>
      </c>
      <c r="K34" s="32"/>
      <c r="L34" s="20" t="str">
        <f t="shared" si="2"/>
        <v/>
      </c>
      <c r="N34" s="19"/>
    </row>
    <row r="35" spans="1:14" s="16" customFormat="1" ht="25" customHeight="1">
      <c r="A35" s="14"/>
      <c r="B35" s="27"/>
      <c r="C35" s="67">
        <v>72</v>
      </c>
      <c r="D35" s="68">
        <f t="shared" si="1"/>
        <v>122</v>
      </c>
      <c r="E35" s="68">
        <f t="shared" si="0"/>
        <v>3</v>
      </c>
      <c r="F35" s="54">
        <f t="shared" si="3"/>
        <v>83.74</v>
      </c>
      <c r="G35" s="55">
        <f>IF(D35=D34,"",_xlfn.IFNA(VLOOKUP(D35,'인원 입력 기능'!$F$5:$I$103,4,FALSE),0))</f>
        <v>11586</v>
      </c>
      <c r="H35" s="56">
        <f t="shared" si="4"/>
        <v>3.2130585621937317E-2</v>
      </c>
      <c r="I35" s="69">
        <f>SUM($G$7:G35)</f>
        <v>64434</v>
      </c>
      <c r="J35" s="58">
        <f t="shared" si="5"/>
        <v>0.17868998394302688</v>
      </c>
      <c r="K35" s="32"/>
      <c r="L35" s="20" t="str">
        <f t="shared" si="2"/>
        <v/>
      </c>
      <c r="N35" s="19"/>
    </row>
    <row r="36" spans="1:14" s="16" customFormat="1" ht="25" customHeight="1">
      <c r="A36" s="14"/>
      <c r="B36" s="27"/>
      <c r="C36" s="67">
        <v>71</v>
      </c>
      <c r="D36" s="68">
        <f t="shared" si="1"/>
        <v>121</v>
      </c>
      <c r="E36" s="68">
        <f t="shared" si="0"/>
        <v>3</v>
      </c>
      <c r="F36" s="54">
        <f t="shared" si="3"/>
        <v>82.1</v>
      </c>
      <c r="G36" s="55">
        <f>IF(D36=D35,"",_xlfn.IFNA(VLOOKUP(D36,'인원 입력 기능'!$F$5:$I$103,4,FALSE),0))</f>
        <v>207</v>
      </c>
      <c r="H36" s="56">
        <f t="shared" si="4"/>
        <v>5.7405758879173357E-4</v>
      </c>
      <c r="I36" s="69">
        <f>SUM($G$7:G36)</f>
        <v>64641</v>
      </c>
      <c r="J36" s="58">
        <f t="shared" si="5"/>
        <v>0.1792640415318186</v>
      </c>
      <c r="K36" s="32"/>
      <c r="L36" s="20" t="str">
        <f t="shared" si="2"/>
        <v/>
      </c>
      <c r="N36" s="19"/>
    </row>
    <row r="37" spans="1:14" s="16" customFormat="1" ht="25" customHeight="1">
      <c r="A37" s="14"/>
      <c r="B37" s="27"/>
      <c r="C37" s="67">
        <v>70</v>
      </c>
      <c r="D37" s="68">
        <f t="shared" si="1"/>
        <v>120</v>
      </c>
      <c r="E37" s="68">
        <f t="shared" si="0"/>
        <v>3</v>
      </c>
      <c r="F37" s="54">
        <f t="shared" si="3"/>
        <v>81.86</v>
      </c>
      <c r="G37" s="55">
        <f>IF(D37=D36,"",_xlfn.IFNA(VLOOKUP(D37,'인원 입력 기능'!$F$5:$I$103,4,FALSE),0))</f>
        <v>1570</v>
      </c>
      <c r="H37" s="56">
        <f t="shared" si="4"/>
        <v>4.3539633546039692E-3</v>
      </c>
      <c r="I37" s="69">
        <f>SUM($G$7:G37)</f>
        <v>66211</v>
      </c>
      <c r="J37" s="58">
        <f t="shared" si="5"/>
        <v>0.18361800488642258</v>
      </c>
      <c r="K37" s="32"/>
      <c r="L37" s="20" t="str">
        <f t="shared" si="2"/>
        <v/>
      </c>
      <c r="N37" s="19"/>
    </row>
    <row r="38" spans="1:14" s="16" customFormat="1" ht="25" customHeight="1">
      <c r="A38" s="14"/>
      <c r="B38" s="27"/>
      <c r="C38" s="67">
        <v>69</v>
      </c>
      <c r="D38" s="154">
        <f t="shared" si="1"/>
        <v>119</v>
      </c>
      <c r="E38" s="154">
        <f t="shared" si="0"/>
        <v>3</v>
      </c>
      <c r="F38" s="156">
        <f t="shared" si="3"/>
        <v>79.13</v>
      </c>
      <c r="G38" s="158">
        <f>IF(D38=D37,"",_xlfn.IFNA(VLOOKUP(D38,'인원 입력 기능'!$F$5:$I$103,4,FALSE),0))</f>
        <v>18079</v>
      </c>
      <c r="H38" s="159">
        <f t="shared" si="4"/>
        <v>5.0137135979544695E-2</v>
      </c>
      <c r="I38" s="161">
        <f>SUM($G$7:G38)</f>
        <v>84290</v>
      </c>
      <c r="J38" s="163">
        <f t="shared" si="5"/>
        <v>0.23375514086596727</v>
      </c>
      <c r="K38" s="32"/>
      <c r="L38" s="20" t="str">
        <f t="shared" si="2"/>
        <v/>
      </c>
      <c r="N38" s="19"/>
    </row>
    <row r="39" spans="1:14" s="16" customFormat="1" ht="25" customHeight="1">
      <c r="A39" s="14"/>
      <c r="B39" s="27"/>
      <c r="C39" s="67">
        <v>68</v>
      </c>
      <c r="D39" s="118"/>
      <c r="E39" s="118"/>
      <c r="F39" s="155"/>
      <c r="G39" s="157"/>
      <c r="H39" s="160"/>
      <c r="I39" s="162"/>
      <c r="J39" s="164"/>
      <c r="K39" s="32"/>
      <c r="L39" s="20" t="str">
        <f t="shared" si="2"/>
        <v>경고</v>
      </c>
      <c r="N39" s="19"/>
    </row>
    <row r="40" spans="1:14" s="16" customFormat="1" ht="25" customHeight="1">
      <c r="A40" s="14"/>
      <c r="B40" s="27"/>
      <c r="C40" s="67">
        <v>67</v>
      </c>
      <c r="D40" s="68">
        <f t="shared" si="1"/>
        <v>118</v>
      </c>
      <c r="E40" s="68">
        <f t="shared" si="0"/>
        <v>4</v>
      </c>
      <c r="F40" s="54">
        <f t="shared" si="3"/>
        <v>76.56</v>
      </c>
      <c r="G40" s="55">
        <f>IF(D40=D39,"",_xlfn.IFNA(VLOOKUP(D40,'인원 입력 기능'!$F$5:$I$103,4,FALSE),0))</f>
        <v>473</v>
      </c>
      <c r="H40" s="56">
        <f t="shared" si="4"/>
        <v>1.3117354565144444E-3</v>
      </c>
      <c r="I40" s="69">
        <f>SUM($G$7:G40)</f>
        <v>84763</v>
      </c>
      <c r="J40" s="58">
        <f t="shared" si="5"/>
        <v>0.23506687632248172</v>
      </c>
      <c r="K40" s="32"/>
      <c r="L40" s="20" t="str">
        <f t="shared" si="2"/>
        <v/>
      </c>
      <c r="N40" s="19"/>
    </row>
    <row r="41" spans="1:14" s="16" customFormat="1" ht="25" customHeight="1">
      <c r="A41" s="14"/>
      <c r="B41" s="27"/>
      <c r="C41" s="67">
        <v>66</v>
      </c>
      <c r="D41" s="68">
        <f t="shared" ref="D41:D72" si="6">ROUND(20*(C41-$H$3)/$H$4+100,0)</f>
        <v>117</v>
      </c>
      <c r="E41" s="68">
        <f t="shared" si="0"/>
        <v>4</v>
      </c>
      <c r="F41" s="54">
        <f t="shared" si="3"/>
        <v>76.13</v>
      </c>
      <c r="G41" s="55">
        <f>IF(D41=D40,"",_xlfn.IFNA(VLOOKUP(D41,'인원 입력 기능'!$F$5:$I$103,4,FALSE),0))</f>
        <v>2642</v>
      </c>
      <c r="H41" s="56">
        <f t="shared" si="4"/>
        <v>7.3268606260278269E-3</v>
      </c>
      <c r="I41" s="69">
        <f>SUM($G$7:G41)</f>
        <v>87405</v>
      </c>
      <c r="J41" s="58">
        <f t="shared" si="5"/>
        <v>0.24239373694850952</v>
      </c>
      <c r="K41" s="32"/>
      <c r="L41" s="20" t="str">
        <f t="shared" ref="L41:L72" si="7">IF(ABS((C41-$H$3)/$H$4*20+100-D41)&gt;0.49, "경고", "")</f>
        <v/>
      </c>
      <c r="N41" s="19"/>
    </row>
    <row r="42" spans="1:14" s="16" customFormat="1" ht="25" customHeight="1">
      <c r="A42" s="14"/>
      <c r="B42" s="27"/>
      <c r="C42" s="67">
        <v>65</v>
      </c>
      <c r="D42" s="68">
        <f t="shared" si="6"/>
        <v>116</v>
      </c>
      <c r="E42" s="68">
        <f t="shared" si="0"/>
        <v>4</v>
      </c>
      <c r="F42" s="54">
        <f t="shared" si="3"/>
        <v>74.59</v>
      </c>
      <c r="G42" s="55">
        <f>IF(D42=D41,"",_xlfn.IFNA(VLOOKUP(D42,'인원 입력 기능'!$F$5:$I$103,4,FALSE),0))</f>
        <v>8461</v>
      </c>
      <c r="H42" s="56">
        <f t="shared" si="4"/>
        <v>2.3464257288728783E-2</v>
      </c>
      <c r="I42" s="69">
        <f>SUM($G$7:G42)</f>
        <v>95866</v>
      </c>
      <c r="J42" s="58">
        <f t="shared" si="5"/>
        <v>0.26585799423723833</v>
      </c>
      <c r="K42" s="32"/>
      <c r="L42" s="20" t="str">
        <f t="shared" si="7"/>
        <v/>
      </c>
      <c r="N42" s="19"/>
    </row>
    <row r="43" spans="1:14" s="16" customFormat="1" ht="25" customHeight="1">
      <c r="A43" s="14"/>
      <c r="B43" s="27"/>
      <c r="C43" s="67">
        <v>64</v>
      </c>
      <c r="D43" s="68">
        <f t="shared" si="6"/>
        <v>115</v>
      </c>
      <c r="E43" s="68">
        <f t="shared" si="0"/>
        <v>4</v>
      </c>
      <c r="F43" s="54">
        <f t="shared" si="3"/>
        <v>72.22</v>
      </c>
      <c r="G43" s="55">
        <f>IF(D43=D42,"",_xlfn.IFNA(VLOOKUP(D43,'인원 입력 기능'!$F$5:$I$103,4,FALSE),0))</f>
        <v>8581</v>
      </c>
      <c r="H43" s="56">
        <f t="shared" si="4"/>
        <v>2.3797044296723989E-2</v>
      </c>
      <c r="I43" s="69">
        <f>SUM($G$7:G43)</f>
        <v>104447</v>
      </c>
      <c r="J43" s="58">
        <f t="shared" si="5"/>
        <v>0.28965503853396229</v>
      </c>
      <c r="K43" s="32"/>
      <c r="L43" s="20" t="str">
        <f t="shared" si="7"/>
        <v/>
      </c>
      <c r="N43" s="19"/>
    </row>
    <row r="44" spans="1:14" s="16" customFormat="1" ht="25" customHeight="1">
      <c r="A44" s="14"/>
      <c r="B44" s="27"/>
      <c r="C44" s="67">
        <v>63</v>
      </c>
      <c r="D44" s="154">
        <f t="shared" si="6"/>
        <v>114</v>
      </c>
      <c r="E44" s="154">
        <f t="shared" si="0"/>
        <v>4</v>
      </c>
      <c r="F44" s="156">
        <f t="shared" si="3"/>
        <v>70.33</v>
      </c>
      <c r="G44" s="158">
        <f>IF(D44=D43,"",_xlfn.IFNA(VLOOKUP(D44,'인원 입력 기능'!$F$5:$I$103,4,FALSE),0))</f>
        <v>5092</v>
      </c>
      <c r="H44" s="159">
        <f t="shared" si="4"/>
        <v>1.4121262039263321E-2</v>
      </c>
      <c r="I44" s="161">
        <f>SUM($G$7:G44)</f>
        <v>109539</v>
      </c>
      <c r="J44" s="163">
        <f t="shared" si="5"/>
        <v>0.30377630057322563</v>
      </c>
      <c r="K44" s="32"/>
      <c r="L44" s="20" t="str">
        <f t="shared" si="7"/>
        <v/>
      </c>
      <c r="N44" s="19"/>
    </row>
    <row r="45" spans="1:14" s="16" customFormat="1" ht="25" customHeight="1">
      <c r="A45" s="14"/>
      <c r="B45" s="27"/>
      <c r="C45" s="67">
        <v>62</v>
      </c>
      <c r="D45" s="118"/>
      <c r="E45" s="118"/>
      <c r="F45" s="155"/>
      <c r="G45" s="157"/>
      <c r="H45" s="160"/>
      <c r="I45" s="162"/>
      <c r="J45" s="164"/>
      <c r="K45" s="32"/>
      <c r="L45" s="20" t="str">
        <f t="shared" si="7"/>
        <v>경고</v>
      </c>
      <c r="N45" s="19"/>
    </row>
    <row r="46" spans="1:14" s="16" customFormat="1" ht="25" customHeight="1">
      <c r="A46" s="14"/>
      <c r="B46" s="27"/>
      <c r="C46" s="67">
        <v>61</v>
      </c>
      <c r="D46" s="68">
        <f t="shared" si="6"/>
        <v>113</v>
      </c>
      <c r="E46" s="68">
        <f t="shared" si="0"/>
        <v>4</v>
      </c>
      <c r="F46" s="54">
        <f t="shared" si="3"/>
        <v>68.430000000000007</v>
      </c>
      <c r="G46" s="55">
        <f>IF(D46=D45,"",_xlfn.IFNA(VLOOKUP(D46,'인원 입력 기능'!$F$5:$I$103,4,FALSE),0))</f>
        <v>8584</v>
      </c>
      <c r="H46" s="56">
        <f t="shared" si="4"/>
        <v>2.3805363971923871E-2</v>
      </c>
      <c r="I46" s="69">
        <f>SUM($G$7:G46)</f>
        <v>118123</v>
      </c>
      <c r="J46" s="58">
        <f t="shared" si="5"/>
        <v>0.32758166454514948</v>
      </c>
      <c r="K46" s="32"/>
      <c r="L46" s="20" t="str">
        <f t="shared" si="7"/>
        <v/>
      </c>
      <c r="N46" s="19"/>
    </row>
    <row r="47" spans="1:14" s="16" customFormat="1" ht="25" customHeight="1">
      <c r="A47" s="14"/>
      <c r="B47" s="27"/>
      <c r="C47" s="67">
        <v>60</v>
      </c>
      <c r="D47" s="68">
        <f t="shared" si="6"/>
        <v>112</v>
      </c>
      <c r="E47" s="68">
        <f t="shared" si="0"/>
        <v>4</v>
      </c>
      <c r="F47" s="54">
        <f t="shared" si="3"/>
        <v>66.510000000000005</v>
      </c>
      <c r="G47" s="55">
        <f>IF(D47=D46,"",_xlfn.IFNA(VLOOKUP(D47,'인원 입력 기능'!$F$5:$I$103,4,FALSE),0))</f>
        <v>5269</v>
      </c>
      <c r="H47" s="56">
        <f t="shared" si="4"/>
        <v>1.4612122876056252E-2</v>
      </c>
      <c r="I47" s="69">
        <f>SUM($G$7:G47)</f>
        <v>123392</v>
      </c>
      <c r="J47" s="58">
        <f t="shared" si="5"/>
        <v>0.34219378742120576</v>
      </c>
      <c r="K47" s="32"/>
      <c r="L47" s="20" t="str">
        <f t="shared" si="7"/>
        <v/>
      </c>
      <c r="N47" s="19"/>
    </row>
    <row r="48" spans="1:14" s="16" customFormat="1" ht="25" customHeight="1">
      <c r="A48" s="14"/>
      <c r="B48" s="27"/>
      <c r="C48" s="67">
        <v>59</v>
      </c>
      <c r="D48" s="68">
        <f t="shared" si="6"/>
        <v>111</v>
      </c>
      <c r="E48" s="68">
        <f t="shared" si="0"/>
        <v>4</v>
      </c>
      <c r="F48" s="54">
        <f t="shared" si="3"/>
        <v>65.5</v>
      </c>
      <c r="G48" s="55">
        <f>IF(D48=D47,"",_xlfn.IFNA(VLOOKUP(D48,'인원 입력 기능'!$F$5:$I$103,4,FALSE),0))</f>
        <v>2016</v>
      </c>
      <c r="H48" s="56">
        <f t="shared" si="4"/>
        <v>5.5908217343194925E-3</v>
      </c>
      <c r="I48" s="69">
        <f>SUM($G$7:G48)</f>
        <v>125408</v>
      </c>
      <c r="J48" s="58">
        <f t="shared" si="5"/>
        <v>0.34778460915552523</v>
      </c>
      <c r="K48" s="32"/>
      <c r="L48" s="20" t="str">
        <f t="shared" si="7"/>
        <v/>
      </c>
      <c r="N48" s="19"/>
    </row>
    <row r="49" spans="1:14" s="16" customFormat="1" ht="25" customHeight="1">
      <c r="A49" s="14"/>
      <c r="B49" s="27"/>
      <c r="C49" s="67">
        <v>58</v>
      </c>
      <c r="D49" s="68">
        <f t="shared" si="6"/>
        <v>110</v>
      </c>
      <c r="E49" s="68">
        <f t="shared" si="0"/>
        <v>4</v>
      </c>
      <c r="F49" s="54">
        <f t="shared" si="3"/>
        <v>64.430000000000007</v>
      </c>
      <c r="G49" s="55">
        <f>IF(D49=D48,"",_xlfn.IFNA(VLOOKUP(D49,'인원 입력 기능'!$F$5:$I$103,4,FALSE),0))</f>
        <v>5674</v>
      </c>
      <c r="H49" s="56">
        <f t="shared" si="4"/>
        <v>1.5735279028040079E-2</v>
      </c>
      <c r="I49" s="69">
        <f>SUM($G$7:G49)</f>
        <v>131082</v>
      </c>
      <c r="J49" s="58">
        <f t="shared" si="5"/>
        <v>0.36351988818356529</v>
      </c>
      <c r="K49" s="32"/>
      <c r="L49" s="20" t="str">
        <f t="shared" si="7"/>
        <v/>
      </c>
      <c r="N49" s="19"/>
    </row>
    <row r="50" spans="1:14" s="16" customFormat="1" ht="25" customHeight="1">
      <c r="A50" s="14"/>
      <c r="B50" s="27"/>
      <c r="C50" s="67">
        <v>57</v>
      </c>
      <c r="D50" s="154">
        <f t="shared" si="6"/>
        <v>109</v>
      </c>
      <c r="E50" s="154">
        <f t="shared" si="0"/>
        <v>4</v>
      </c>
      <c r="F50" s="156">
        <f t="shared" si="3"/>
        <v>62.3</v>
      </c>
      <c r="G50" s="158">
        <f>IF(D50=D49,"",_xlfn.IFNA(VLOOKUP(D50,'인원 입력 기능'!$F$5:$I$103,4,FALSE),0))</f>
        <v>9714</v>
      </c>
      <c r="H50" s="159">
        <f t="shared" si="4"/>
        <v>2.6939108297212078E-2</v>
      </c>
      <c r="I50" s="161">
        <f>SUM($G$7:G50)</f>
        <v>140796</v>
      </c>
      <c r="J50" s="163">
        <f t="shared" si="5"/>
        <v>0.39045899648077736</v>
      </c>
      <c r="K50" s="32"/>
      <c r="L50" s="20" t="str">
        <f t="shared" si="7"/>
        <v/>
      </c>
      <c r="N50" s="19"/>
    </row>
    <row r="51" spans="1:14" s="16" customFormat="1" ht="25" customHeight="1">
      <c r="A51" s="14"/>
      <c r="B51" s="27"/>
      <c r="C51" s="67">
        <v>56</v>
      </c>
      <c r="D51" s="118"/>
      <c r="E51" s="118"/>
      <c r="F51" s="155"/>
      <c r="G51" s="157"/>
      <c r="H51" s="160"/>
      <c r="I51" s="162"/>
      <c r="J51" s="164"/>
      <c r="K51" s="32"/>
      <c r="L51" s="20" t="str">
        <f t="shared" si="7"/>
        <v>경고</v>
      </c>
      <c r="N51" s="19"/>
    </row>
    <row r="52" spans="1:14" s="16" customFormat="1" ht="25" customHeight="1">
      <c r="A52" s="14"/>
      <c r="B52" s="27"/>
      <c r="C52" s="67">
        <v>55</v>
      </c>
      <c r="D52" s="68">
        <f t="shared" si="6"/>
        <v>108</v>
      </c>
      <c r="E52" s="68">
        <f t="shared" si="0"/>
        <v>4</v>
      </c>
      <c r="F52" s="54">
        <f t="shared" si="3"/>
        <v>60.45</v>
      </c>
      <c r="G52" s="55">
        <f>IF(D52=D51,"",_xlfn.IFNA(VLOOKUP(D52,'인원 입력 기능'!$F$5:$I$103,4,FALSE),0))</f>
        <v>3603</v>
      </c>
      <c r="H52" s="56">
        <f t="shared" si="4"/>
        <v>9.991929915056116E-3</v>
      </c>
      <c r="I52" s="69">
        <f>SUM($G$7:G52)</f>
        <v>144399</v>
      </c>
      <c r="J52" s="58">
        <f t="shared" si="5"/>
        <v>0.40045092639583352</v>
      </c>
      <c r="K52" s="32"/>
      <c r="L52" s="20" t="str">
        <f t="shared" si="7"/>
        <v/>
      </c>
      <c r="N52" s="19"/>
    </row>
    <row r="53" spans="1:14" s="16" customFormat="1" ht="25" customHeight="1">
      <c r="A53" s="14"/>
      <c r="B53" s="27"/>
      <c r="C53" s="67">
        <v>54</v>
      </c>
      <c r="D53" s="68">
        <f t="shared" si="6"/>
        <v>107</v>
      </c>
      <c r="E53" s="68">
        <f t="shared" si="0"/>
        <v>5</v>
      </c>
      <c r="F53" s="54">
        <f t="shared" si="3"/>
        <v>59.09</v>
      </c>
      <c r="G53" s="55">
        <f>IF(D53=D52,"",_xlfn.IFNA(VLOOKUP(D53,'인원 입력 기능'!$F$5:$I$103,4,FALSE),0))</f>
        <v>6241</v>
      </c>
      <c r="H53" s="56">
        <f t="shared" si="4"/>
        <v>1.7307697640817434E-2</v>
      </c>
      <c r="I53" s="69">
        <f>SUM($G$7:G53)</f>
        <v>150640</v>
      </c>
      <c r="J53" s="58">
        <f t="shared" si="5"/>
        <v>0.41775862403665093</v>
      </c>
      <c r="K53" s="32"/>
      <c r="L53" s="20" t="str">
        <f t="shared" si="7"/>
        <v/>
      </c>
      <c r="N53" s="19"/>
    </row>
    <row r="54" spans="1:14" s="16" customFormat="1" ht="25" customHeight="1">
      <c r="A54" s="14"/>
      <c r="B54" s="27"/>
      <c r="C54" s="67">
        <v>53</v>
      </c>
      <c r="D54" s="68">
        <f t="shared" si="6"/>
        <v>106</v>
      </c>
      <c r="E54" s="68">
        <f t="shared" si="0"/>
        <v>5</v>
      </c>
      <c r="F54" s="54">
        <f t="shared" si="3"/>
        <v>57.65</v>
      </c>
      <c r="G54" s="55">
        <f>IF(D54=D53,"",_xlfn.IFNA(VLOOKUP(D54,'인원 입력 기능'!$F$5:$I$103,4,FALSE),0))</f>
        <v>4153</v>
      </c>
      <c r="H54" s="56">
        <f t="shared" si="4"/>
        <v>1.1517203701700819E-2</v>
      </c>
      <c r="I54" s="69">
        <f>SUM($G$7:G54)</f>
        <v>154793</v>
      </c>
      <c r="J54" s="58">
        <f t="shared" si="5"/>
        <v>0.42927582773835177</v>
      </c>
      <c r="K54" s="32"/>
      <c r="L54" s="20" t="str">
        <f t="shared" si="7"/>
        <v/>
      </c>
      <c r="N54" s="19"/>
    </row>
    <row r="55" spans="1:14" s="16" customFormat="1" ht="25" customHeight="1">
      <c r="A55" s="14"/>
      <c r="B55" s="27"/>
      <c r="C55" s="67">
        <v>52</v>
      </c>
      <c r="D55" s="68">
        <f t="shared" si="6"/>
        <v>105</v>
      </c>
      <c r="E55" s="68">
        <f t="shared" si="0"/>
        <v>5</v>
      </c>
      <c r="F55" s="54">
        <f t="shared" si="3"/>
        <v>56.69</v>
      </c>
      <c r="G55" s="55">
        <f>IF(D55=D54,"",_xlfn.IFNA(VLOOKUP(D55,'인원 입력 기능'!$F$5:$I$103,4,FALSE),0))</f>
        <v>2767</v>
      </c>
      <c r="H55" s="56">
        <f t="shared" si="4"/>
        <v>7.6735137593561681E-3</v>
      </c>
      <c r="I55" s="69">
        <f>SUM($G$7:G55)</f>
        <v>157560</v>
      </c>
      <c r="J55" s="58">
        <f t="shared" si="5"/>
        <v>0.43694934149770792</v>
      </c>
      <c r="K55" s="32"/>
      <c r="L55" s="20" t="str">
        <f t="shared" si="7"/>
        <v/>
      </c>
      <c r="N55" s="19"/>
    </row>
    <row r="56" spans="1:14" s="16" customFormat="1" ht="25" customHeight="1">
      <c r="A56" s="14"/>
      <c r="B56" s="27"/>
      <c r="C56" s="67">
        <v>51</v>
      </c>
      <c r="D56" s="154">
        <f t="shared" si="6"/>
        <v>104</v>
      </c>
      <c r="E56" s="154">
        <f t="shared" si="0"/>
        <v>5</v>
      </c>
      <c r="F56" s="156">
        <f t="shared" si="3"/>
        <v>54.96</v>
      </c>
      <c r="G56" s="158">
        <f>IF(D56=D55,"",_xlfn.IFNA(VLOOKUP(D56,'인원 입력 기능'!$F$5:$I$103,4,FALSE),0))</f>
        <v>9666</v>
      </c>
      <c r="H56" s="159">
        <f t="shared" si="4"/>
        <v>2.6805993494013993E-2</v>
      </c>
      <c r="I56" s="161">
        <f>SUM($G$7:G56)</f>
        <v>167226</v>
      </c>
      <c r="J56" s="163">
        <f t="shared" si="5"/>
        <v>0.46375533499172195</v>
      </c>
      <c r="K56" s="32"/>
      <c r="L56" s="20" t="str">
        <f t="shared" si="7"/>
        <v/>
      </c>
      <c r="N56" s="19"/>
    </row>
    <row r="57" spans="1:14" s="16" customFormat="1" ht="25" customHeight="1">
      <c r="A57" s="14"/>
      <c r="B57" s="27"/>
      <c r="C57" s="67">
        <v>50</v>
      </c>
      <c r="D57" s="118"/>
      <c r="E57" s="118"/>
      <c r="F57" s="155"/>
      <c r="G57" s="157"/>
      <c r="H57" s="160"/>
      <c r="I57" s="162"/>
      <c r="J57" s="164"/>
      <c r="K57" s="32"/>
      <c r="L57" s="20" t="str">
        <f t="shared" si="7"/>
        <v>경고</v>
      </c>
      <c r="N57" s="19"/>
    </row>
    <row r="58" spans="1:14" s="16" customFormat="1" ht="25" customHeight="1">
      <c r="A58" s="14"/>
      <c r="B58" s="27"/>
      <c r="C58" s="67">
        <v>49</v>
      </c>
      <c r="D58" s="68">
        <f t="shared" si="6"/>
        <v>103</v>
      </c>
      <c r="E58" s="68">
        <f t="shared" si="0"/>
        <v>5</v>
      </c>
      <c r="F58" s="54">
        <f t="shared" si="3"/>
        <v>53.24</v>
      </c>
      <c r="G58" s="55">
        <f>IF(D58=D57,"",_xlfn.IFNA(VLOOKUP(D58,'인원 입력 기능'!$F$5:$I$103,4,FALSE),0))</f>
        <v>2779</v>
      </c>
      <c r="H58" s="56">
        <f t="shared" si="4"/>
        <v>7.7067924601556892E-3</v>
      </c>
      <c r="I58" s="69">
        <f>SUM($G$7:G58)</f>
        <v>170005</v>
      </c>
      <c r="J58" s="58">
        <f t="shared" si="5"/>
        <v>0.4714621274518776</v>
      </c>
      <c r="K58" s="32"/>
      <c r="L58" s="20" t="str">
        <f t="shared" si="7"/>
        <v/>
      </c>
      <c r="N58" s="19"/>
    </row>
    <row r="59" spans="1:14" s="16" customFormat="1" ht="25" customHeight="1">
      <c r="A59" s="14"/>
      <c r="B59" s="27"/>
      <c r="C59" s="67">
        <v>48</v>
      </c>
      <c r="D59" s="68">
        <f t="shared" si="6"/>
        <v>102</v>
      </c>
      <c r="E59" s="68">
        <f t="shared" si="0"/>
        <v>5</v>
      </c>
      <c r="F59" s="54">
        <f t="shared" si="3"/>
        <v>52.27</v>
      </c>
      <c r="G59" s="55">
        <f>IF(D59=D58,"",_xlfn.IFNA(VLOOKUP(D59,'인원 입력 기능'!$F$5:$I$103,4,FALSE),0))</f>
        <v>4239</v>
      </c>
      <c r="H59" s="56">
        <f t="shared" si="4"/>
        <v>1.1755701057430719E-2</v>
      </c>
      <c r="I59" s="69">
        <f>SUM($G$7:G59)</f>
        <v>174244</v>
      </c>
      <c r="J59" s="58">
        <f t="shared" si="5"/>
        <v>0.48321782850930833</v>
      </c>
      <c r="K59" s="32"/>
      <c r="L59" s="20" t="str">
        <f t="shared" si="7"/>
        <v/>
      </c>
      <c r="N59" s="19"/>
    </row>
    <row r="60" spans="1:14" s="16" customFormat="1" ht="25" customHeight="1">
      <c r="A60" s="14"/>
      <c r="B60" s="27"/>
      <c r="C60" s="67">
        <v>47</v>
      </c>
      <c r="D60" s="68">
        <f t="shared" si="6"/>
        <v>101</v>
      </c>
      <c r="E60" s="68">
        <f t="shared" si="0"/>
        <v>5</v>
      </c>
      <c r="F60" s="54">
        <f t="shared" si="3"/>
        <v>51.02</v>
      </c>
      <c r="G60" s="55">
        <f>IF(D60=D59,"",_xlfn.IFNA(VLOOKUP(D60,'인원 입력 기능'!$F$5:$I$103,4,FALSE),0))</f>
        <v>4728</v>
      </c>
      <c r="H60" s="56">
        <f t="shared" si="4"/>
        <v>1.3111808115011191E-2</v>
      </c>
      <c r="I60" s="69">
        <f>SUM($G$7:G60)</f>
        <v>178972</v>
      </c>
      <c r="J60" s="58">
        <f t="shared" si="5"/>
        <v>0.4963296366243195</v>
      </c>
      <c r="K60" s="32"/>
      <c r="L60" s="20" t="str">
        <f t="shared" si="7"/>
        <v/>
      </c>
      <c r="N60" s="19"/>
    </row>
    <row r="61" spans="1:14" s="16" customFormat="1" ht="25" customHeight="1">
      <c r="A61" s="14"/>
      <c r="B61" s="27"/>
      <c r="C61" s="67">
        <v>46</v>
      </c>
      <c r="D61" s="68">
        <f t="shared" si="6"/>
        <v>100</v>
      </c>
      <c r="E61" s="68">
        <f t="shared" si="0"/>
        <v>5</v>
      </c>
      <c r="F61" s="54">
        <f t="shared" si="3"/>
        <v>49.94</v>
      </c>
      <c r="G61" s="55">
        <f>IF(D61=D60,"",_xlfn.IFNA(VLOOKUP(D61,'인원 입력 기능'!$F$5:$I$103,4,FALSE),0))</f>
        <v>3082</v>
      </c>
      <c r="H61" s="56">
        <f t="shared" si="4"/>
        <v>8.5470796553435893E-3</v>
      </c>
      <c r="I61" s="69">
        <f>SUM($G$7:G61)</f>
        <v>182054</v>
      </c>
      <c r="J61" s="58">
        <f t="shared" si="5"/>
        <v>0.50487671627966313</v>
      </c>
      <c r="K61" s="32"/>
      <c r="L61" s="20" t="str">
        <f t="shared" si="7"/>
        <v/>
      </c>
      <c r="N61" s="19"/>
    </row>
    <row r="62" spans="1:14" s="16" customFormat="1" ht="25" customHeight="1">
      <c r="A62" s="14"/>
      <c r="B62" s="27"/>
      <c r="C62" s="67">
        <v>45</v>
      </c>
      <c r="D62" s="154">
        <f t="shared" si="6"/>
        <v>99</v>
      </c>
      <c r="E62" s="154">
        <f t="shared" si="0"/>
        <v>5</v>
      </c>
      <c r="F62" s="156">
        <f t="shared" si="3"/>
        <v>48.38</v>
      </c>
      <c r="G62" s="158">
        <f>IF(D62=D61,"",_xlfn.IFNA(VLOOKUP(D62,'인원 입력 기능'!$F$5:$I$103,4,FALSE),0))</f>
        <v>8134</v>
      </c>
      <c r="H62" s="159">
        <f t="shared" si="4"/>
        <v>2.255741269194184E-2</v>
      </c>
      <c r="I62" s="161">
        <f>SUM($G$7:G62)</f>
        <v>190188</v>
      </c>
      <c r="J62" s="163">
        <f t="shared" si="5"/>
        <v>0.52743412897160491</v>
      </c>
      <c r="K62" s="32"/>
      <c r="L62" s="20" t="str">
        <f t="shared" si="7"/>
        <v/>
      </c>
      <c r="N62" s="19"/>
    </row>
    <row r="63" spans="1:14" s="16" customFormat="1" ht="25" customHeight="1">
      <c r="A63" s="14"/>
      <c r="B63" s="27"/>
      <c r="C63" s="67">
        <v>44</v>
      </c>
      <c r="D63" s="118"/>
      <c r="E63" s="118"/>
      <c r="F63" s="155"/>
      <c r="G63" s="157"/>
      <c r="H63" s="160"/>
      <c r="I63" s="162"/>
      <c r="J63" s="164"/>
      <c r="K63" s="32"/>
      <c r="L63" s="20" t="str">
        <f t="shared" si="7"/>
        <v>경고</v>
      </c>
      <c r="N63" s="19"/>
    </row>
    <row r="64" spans="1:14" s="16" customFormat="1" ht="25" customHeight="1">
      <c r="A64" s="14"/>
      <c r="B64" s="27"/>
      <c r="C64" s="67">
        <v>43</v>
      </c>
      <c r="D64" s="68">
        <f t="shared" si="6"/>
        <v>98</v>
      </c>
      <c r="E64" s="68">
        <f t="shared" si="0"/>
        <v>5</v>
      </c>
      <c r="F64" s="54">
        <f t="shared" si="3"/>
        <v>46.83</v>
      </c>
      <c r="G64" s="55">
        <f>IF(D64=D63,"",_xlfn.IFNA(VLOOKUP(D64,'인원 입력 기능'!$F$5:$I$103,4,FALSE),0))</f>
        <v>3107</v>
      </c>
      <c r="H64" s="56">
        <f t="shared" si="4"/>
        <v>8.6164102820092577E-3</v>
      </c>
      <c r="I64" s="69">
        <f>SUM($G$7:G64)</f>
        <v>193295</v>
      </c>
      <c r="J64" s="58">
        <f t="shared" si="5"/>
        <v>0.53605053925361423</v>
      </c>
      <c r="K64" s="32"/>
      <c r="L64" s="20" t="str">
        <f t="shared" si="7"/>
        <v/>
      </c>
      <c r="N64" s="19"/>
    </row>
    <row r="65" spans="1:14" s="16" customFormat="1" ht="25" customHeight="1">
      <c r="A65" s="14"/>
      <c r="B65" s="27"/>
      <c r="C65" s="67">
        <v>42</v>
      </c>
      <c r="D65" s="68">
        <f t="shared" si="6"/>
        <v>97</v>
      </c>
      <c r="E65" s="68">
        <f t="shared" si="0"/>
        <v>5</v>
      </c>
      <c r="F65" s="54">
        <f t="shared" si="3"/>
        <v>45.95</v>
      </c>
      <c r="G65" s="55">
        <f>IF(D65=D64,"",_xlfn.IFNA(VLOOKUP(D65,'인원 입력 기능'!$F$5:$I$103,4,FALSE),0))</f>
        <v>3212</v>
      </c>
      <c r="H65" s="56">
        <f t="shared" si="4"/>
        <v>8.9075989140050636E-3</v>
      </c>
      <c r="I65" s="69">
        <f>SUM($G$7:G65)</f>
        <v>196507</v>
      </c>
      <c r="J65" s="58">
        <f t="shared" si="5"/>
        <v>0.54495813816761929</v>
      </c>
      <c r="K65" s="32"/>
      <c r="L65" s="20" t="str">
        <f t="shared" si="7"/>
        <v/>
      </c>
      <c r="N65" s="19"/>
    </row>
    <row r="66" spans="1:14" s="16" customFormat="1" ht="25" customHeight="1">
      <c r="A66" s="14"/>
      <c r="B66" s="27"/>
      <c r="C66" s="67">
        <v>41</v>
      </c>
      <c r="D66" s="68">
        <f t="shared" si="6"/>
        <v>96</v>
      </c>
      <c r="E66" s="68">
        <f t="shared" si="0"/>
        <v>5</v>
      </c>
      <c r="F66" s="54">
        <f t="shared" si="3"/>
        <v>44.87</v>
      </c>
      <c r="G66" s="55">
        <f>IF(D66=D65,"",_xlfn.IFNA(VLOOKUP(D66,'인원 입력 기능'!$F$5:$I$103,4,FALSE),0))</f>
        <v>4573</v>
      </c>
      <c r="H66" s="56">
        <f t="shared" si="4"/>
        <v>1.2681958229684046E-2</v>
      </c>
      <c r="I66" s="69">
        <f>SUM($G$7:G66)</f>
        <v>201080</v>
      </c>
      <c r="J66" s="58">
        <f t="shared" si="5"/>
        <v>0.55764009639730328</v>
      </c>
      <c r="K66" s="32"/>
      <c r="L66" s="20" t="str">
        <f t="shared" si="7"/>
        <v/>
      </c>
      <c r="N66" s="19"/>
    </row>
    <row r="67" spans="1:14" s="16" customFormat="1" ht="25" customHeight="1">
      <c r="A67" s="14"/>
      <c r="B67" s="27"/>
      <c r="C67" s="67">
        <v>40</v>
      </c>
      <c r="D67" s="68">
        <f t="shared" si="6"/>
        <v>95</v>
      </c>
      <c r="E67" s="68">
        <f t="shared" si="0"/>
        <v>5</v>
      </c>
      <c r="F67" s="54">
        <f t="shared" si="3"/>
        <v>43.78</v>
      </c>
      <c r="G67" s="55">
        <f>IF(D67=D66,"",_xlfn.IFNA(VLOOKUP(D67,'인원 입력 기능'!$F$5:$I$103,4,FALSE),0))</f>
        <v>3304</v>
      </c>
      <c r="H67" s="56">
        <f t="shared" si="4"/>
        <v>9.1627356201347231E-3</v>
      </c>
      <c r="I67" s="69">
        <f>SUM($G$7:G67)</f>
        <v>204384</v>
      </c>
      <c r="J67" s="58">
        <f t="shared" si="5"/>
        <v>0.56680283201743809</v>
      </c>
      <c r="K67" s="32"/>
      <c r="L67" s="20" t="str">
        <f t="shared" si="7"/>
        <v/>
      </c>
      <c r="N67" s="19"/>
    </row>
    <row r="68" spans="1:14" s="16" customFormat="1" ht="25" customHeight="1">
      <c r="A68" s="14"/>
      <c r="B68" s="27"/>
      <c r="C68" s="67">
        <v>39</v>
      </c>
      <c r="D68" s="154">
        <f t="shared" si="6"/>
        <v>94</v>
      </c>
      <c r="E68" s="154">
        <f t="shared" si="0"/>
        <v>5</v>
      </c>
      <c r="F68" s="156">
        <f t="shared" si="3"/>
        <v>42.25</v>
      </c>
      <c r="G68" s="158">
        <f>IF(D68=D67,"",_xlfn.IFNA(VLOOKUP(D68,'인원 입력 기능'!$F$5:$I$103,4,FALSE),0))</f>
        <v>7722</v>
      </c>
      <c r="H68" s="159">
        <f t="shared" si="4"/>
        <v>2.1414843964491625E-2</v>
      </c>
      <c r="I68" s="161">
        <f>SUM($G$7:G68)</f>
        <v>212106</v>
      </c>
      <c r="J68" s="163">
        <f t="shared" si="5"/>
        <v>0.58821767598192964</v>
      </c>
      <c r="K68" s="32"/>
      <c r="L68" s="20" t="str">
        <f t="shared" si="7"/>
        <v/>
      </c>
      <c r="N68" s="19"/>
    </row>
    <row r="69" spans="1:14" s="16" customFormat="1" ht="25" customHeight="1">
      <c r="A69" s="14"/>
      <c r="B69" s="27"/>
      <c r="C69" s="67">
        <v>38</v>
      </c>
      <c r="D69" s="118"/>
      <c r="E69" s="118"/>
      <c r="F69" s="155"/>
      <c r="G69" s="157"/>
      <c r="H69" s="160"/>
      <c r="I69" s="162"/>
      <c r="J69" s="164"/>
      <c r="K69" s="32"/>
      <c r="L69" s="20" t="str">
        <f t="shared" si="7"/>
        <v>경고</v>
      </c>
      <c r="N69" s="19"/>
    </row>
    <row r="70" spans="1:14" s="16" customFormat="1" ht="25" customHeight="1">
      <c r="A70" s="14"/>
      <c r="B70" s="27"/>
      <c r="C70" s="67">
        <v>37</v>
      </c>
      <c r="D70" s="68">
        <f t="shared" si="6"/>
        <v>93</v>
      </c>
      <c r="E70" s="68">
        <f t="shared" si="0"/>
        <v>5</v>
      </c>
      <c r="F70" s="54">
        <f t="shared" si="3"/>
        <v>40.71</v>
      </c>
      <c r="G70" s="55">
        <f>IF(D70=D69,"",_xlfn.IFNA(VLOOKUP(D70,'인원 입력 기능'!$F$5:$I$103,4,FALSE),0))</f>
        <v>3351</v>
      </c>
      <c r="H70" s="56">
        <f t="shared" si="4"/>
        <v>9.2930771982661798E-3</v>
      </c>
      <c r="I70" s="69">
        <f>SUM($G$7:G70)</f>
        <v>215457</v>
      </c>
      <c r="J70" s="58">
        <f t="shared" si="5"/>
        <v>0.59751075318019586</v>
      </c>
      <c r="K70" s="32"/>
      <c r="L70" s="20" t="str">
        <f t="shared" si="7"/>
        <v/>
      </c>
      <c r="N70" s="19"/>
    </row>
    <row r="71" spans="1:14" s="16" customFormat="1" ht="25" customHeight="1">
      <c r="A71" s="14"/>
      <c r="B71" s="27"/>
      <c r="C71" s="67">
        <v>36</v>
      </c>
      <c r="D71" s="68">
        <f t="shared" si="6"/>
        <v>92</v>
      </c>
      <c r="E71" s="68">
        <f t="shared" ref="E71:E105" si="8">IF(ROUND(D71,0)&gt;=$Q$7,1,IF(ROUND(D71,0)&gt;=$Q$8,2,IF(ROUND(D71,0)&gt;=$Q$9,3,IF(ROUND(D71,0)&gt;=$Q$10,4,IF(ROUND(D71,0)&gt;=$Q$11,5,IF(ROUND(D71,0)&gt;=$Q$12,6,IF(ROUND(D71,0)&gt;=$Q$13,7,IF(ROUND(D71,0)&gt;=$Q$14,8,9))))))))</f>
        <v>5</v>
      </c>
      <c r="F71" s="54">
        <f t="shared" si="3"/>
        <v>39.83</v>
      </c>
      <c r="G71" s="55">
        <f>IF(D71=D70,"",_xlfn.IFNA(VLOOKUP(D71,'인원 입력 기능'!$F$5:$I$103,4,FALSE),0))</f>
        <v>3005</v>
      </c>
      <c r="H71" s="56">
        <f t="shared" si="4"/>
        <v>8.3335413252133301E-3</v>
      </c>
      <c r="I71" s="69">
        <f>SUM($G$7:G71)</f>
        <v>218462</v>
      </c>
      <c r="J71" s="58">
        <f t="shared" si="5"/>
        <v>0.60584429450540922</v>
      </c>
      <c r="K71" s="32"/>
      <c r="L71" s="20" t="str">
        <f t="shared" si="7"/>
        <v/>
      </c>
      <c r="N71" s="19"/>
    </row>
    <row r="72" spans="1:14" s="16" customFormat="1" ht="25" customHeight="1">
      <c r="A72" s="14"/>
      <c r="B72" s="27"/>
      <c r="C72" s="67">
        <v>35</v>
      </c>
      <c r="D72" s="68">
        <f t="shared" si="6"/>
        <v>91</v>
      </c>
      <c r="E72" s="68">
        <f t="shared" si="8"/>
        <v>6</v>
      </c>
      <c r="F72" s="54">
        <f t="shared" si="3"/>
        <v>38.78</v>
      </c>
      <c r="G72" s="55">
        <f>IF(D72=D71,"",_xlfn.IFNA(VLOOKUP(D72,'인원 입력 기능'!$F$5:$I$103,4,FALSE),0))</f>
        <v>4591</v>
      </c>
      <c r="H72" s="56">
        <f t="shared" si="4"/>
        <v>1.2731876280883328E-2</v>
      </c>
      <c r="I72" s="69">
        <f>SUM($G$7:G72)</f>
        <v>223053</v>
      </c>
      <c r="J72" s="58">
        <f t="shared" si="5"/>
        <v>0.61857617078629246</v>
      </c>
      <c r="K72" s="32"/>
      <c r="L72" s="20" t="str">
        <f t="shared" si="7"/>
        <v/>
      </c>
      <c r="N72" s="19"/>
    </row>
    <row r="73" spans="1:14" s="16" customFormat="1" ht="25" customHeight="1">
      <c r="A73" s="14"/>
      <c r="B73" s="27"/>
      <c r="C73" s="67">
        <v>34</v>
      </c>
      <c r="D73" s="68">
        <f t="shared" ref="D73:D104" si="9">ROUND(20*(C73-$H$3)/$H$4+100,0)</f>
        <v>90</v>
      </c>
      <c r="E73" s="68">
        <f t="shared" si="8"/>
        <v>6</v>
      </c>
      <c r="F73" s="54">
        <f t="shared" si="3"/>
        <v>37.67</v>
      </c>
      <c r="G73" s="55">
        <f>IF(D73=D72,"",_xlfn.IFNA(VLOOKUP(D73,'인원 입력 기능'!$F$5:$I$103,4,FALSE),0))</f>
        <v>3384</v>
      </c>
      <c r="H73" s="56">
        <f t="shared" si="4"/>
        <v>9.3845936254648623E-3</v>
      </c>
      <c r="I73" s="69">
        <f>SUM($G$7:G73)</f>
        <v>226437</v>
      </c>
      <c r="J73" s="58">
        <f t="shared" si="5"/>
        <v>0.62796076441175741</v>
      </c>
      <c r="K73" s="32"/>
      <c r="L73" s="20" t="str">
        <f t="shared" ref="L73:L105" si="10">IF(ABS((C73-$H$3)/$H$4*20+100-D73)&gt;0.49, "경고", "")</f>
        <v/>
      </c>
      <c r="N73" s="19"/>
    </row>
    <row r="74" spans="1:14" s="16" customFormat="1" ht="25" customHeight="1">
      <c r="A74" s="14"/>
      <c r="B74" s="27"/>
      <c r="C74" s="67">
        <v>33</v>
      </c>
      <c r="D74" s="154">
        <f t="shared" si="9"/>
        <v>89</v>
      </c>
      <c r="E74" s="154">
        <f t="shared" si="8"/>
        <v>6</v>
      </c>
      <c r="F74" s="156">
        <f t="shared" ref="F74:F105" si="11">IF(I73=0,ROUND(100*(1-(I72+I74)/2/$J$3),2),ROUND(100*(1-(I73+I74)/2/$J$3),2))</f>
        <v>36.130000000000003</v>
      </c>
      <c r="G74" s="158">
        <f>IF(D74=D73,"",_xlfn.IFNA(VLOOKUP(D74,'인원 입력 기능'!$F$5:$I$103,4,FALSE),0))</f>
        <v>7771</v>
      </c>
      <c r="H74" s="159">
        <f t="shared" ref="H74:H105" si="12">G74/$J$3</f>
        <v>2.1550731992756336E-2</v>
      </c>
      <c r="I74" s="161">
        <f>SUM($G$7:G74)</f>
        <v>234208</v>
      </c>
      <c r="J74" s="163">
        <f t="shared" ref="J74:J105" si="13">I74/$J$3</f>
        <v>0.64951149640451367</v>
      </c>
      <c r="K74" s="32"/>
      <c r="L74" s="20" t="str">
        <f t="shared" si="10"/>
        <v/>
      </c>
      <c r="N74" s="19"/>
    </row>
    <row r="75" spans="1:14" s="16" customFormat="1" ht="25" customHeight="1">
      <c r="A75" s="14"/>
      <c r="B75" s="27"/>
      <c r="C75" s="67">
        <v>32</v>
      </c>
      <c r="D75" s="118"/>
      <c r="E75" s="118"/>
      <c r="F75" s="155"/>
      <c r="G75" s="157"/>
      <c r="H75" s="160"/>
      <c r="I75" s="162"/>
      <c r="J75" s="164"/>
      <c r="K75" s="32"/>
      <c r="L75" s="20" t="str">
        <f t="shared" si="10"/>
        <v>경고</v>
      </c>
      <c r="N75" s="19"/>
    </row>
    <row r="76" spans="1:14" s="16" customFormat="1" ht="25" customHeight="1">
      <c r="A76" s="14"/>
      <c r="B76" s="27"/>
      <c r="C76" s="67">
        <v>31</v>
      </c>
      <c r="D76" s="68">
        <f t="shared" si="9"/>
        <v>88</v>
      </c>
      <c r="E76" s="68">
        <f t="shared" si="8"/>
        <v>6</v>
      </c>
      <c r="F76" s="54">
        <f t="shared" si="11"/>
        <v>34.54</v>
      </c>
      <c r="G76" s="55">
        <f>IF(D76=D75,"",_xlfn.IFNA(VLOOKUP(D76,'인원 입력 기능'!$F$5:$I$103,4,FALSE),0))</f>
        <v>3687</v>
      </c>
      <c r="H76" s="56">
        <f t="shared" si="12"/>
        <v>1.0224880820652761E-2</v>
      </c>
      <c r="I76" s="69">
        <f>SUM($G$7:G76)</f>
        <v>237895</v>
      </c>
      <c r="J76" s="58">
        <f t="shared" si="13"/>
        <v>0.65973637722516643</v>
      </c>
      <c r="K76" s="32"/>
      <c r="L76" s="20" t="str">
        <f t="shared" si="10"/>
        <v/>
      </c>
      <c r="N76" s="19"/>
    </row>
    <row r="77" spans="1:14" s="16" customFormat="1" ht="25" customHeight="1">
      <c r="A77" s="14"/>
      <c r="B77" s="27"/>
      <c r="C77" s="67">
        <v>30</v>
      </c>
      <c r="D77" s="68">
        <f t="shared" si="9"/>
        <v>87</v>
      </c>
      <c r="E77" s="68">
        <f t="shared" si="8"/>
        <v>6</v>
      </c>
      <c r="F77" s="54">
        <f t="shared" si="11"/>
        <v>33.57</v>
      </c>
      <c r="G77" s="55">
        <f>IF(D77=D76,"",_xlfn.IFNA(VLOOKUP(D77,'인원 입력 기능'!$F$5:$I$103,4,FALSE),0))</f>
        <v>3308</v>
      </c>
      <c r="H77" s="56">
        <f t="shared" si="12"/>
        <v>9.173828520401231E-3</v>
      </c>
      <c r="I77" s="69">
        <f>SUM($G$7:G77)</f>
        <v>241203</v>
      </c>
      <c r="J77" s="58">
        <f t="shared" si="13"/>
        <v>0.6689102057455677</v>
      </c>
      <c r="K77" s="32"/>
      <c r="L77" s="20" t="str">
        <f t="shared" si="10"/>
        <v/>
      </c>
      <c r="N77" s="19"/>
    </row>
    <row r="78" spans="1:14" s="16" customFormat="1" ht="25" customHeight="1">
      <c r="A78" s="14"/>
      <c r="B78" s="27"/>
      <c r="C78" s="67">
        <v>29</v>
      </c>
      <c r="D78" s="68">
        <f t="shared" si="9"/>
        <v>86</v>
      </c>
      <c r="E78" s="68">
        <f t="shared" si="8"/>
        <v>6</v>
      </c>
      <c r="F78" s="54">
        <f t="shared" si="11"/>
        <v>32.42</v>
      </c>
      <c r="G78" s="55">
        <f>IF(D78=D77,"",_xlfn.IFNA(VLOOKUP(D78,'인원 입력 기능'!$F$5:$I$103,4,FALSE),0))</f>
        <v>4944</v>
      </c>
      <c r="H78" s="56">
        <f t="shared" si="12"/>
        <v>1.3710824729402564E-2</v>
      </c>
      <c r="I78" s="69">
        <f>SUM($G$7:G78)</f>
        <v>246147</v>
      </c>
      <c r="J78" s="58">
        <f t="shared" si="13"/>
        <v>0.68262103047497025</v>
      </c>
      <c r="K78" s="32"/>
      <c r="L78" s="20" t="str">
        <f t="shared" si="10"/>
        <v/>
      </c>
      <c r="N78" s="19"/>
    </row>
    <row r="79" spans="1:14" s="16" customFormat="1" ht="25" customHeight="1">
      <c r="A79" s="14"/>
      <c r="B79" s="27"/>
      <c r="C79" s="67">
        <v>28</v>
      </c>
      <c r="D79" s="68">
        <f t="shared" si="9"/>
        <v>85</v>
      </c>
      <c r="E79" s="68">
        <f t="shared" si="8"/>
        <v>6</v>
      </c>
      <c r="F79" s="54">
        <f t="shared" si="11"/>
        <v>31.18</v>
      </c>
      <c r="G79" s="55">
        <f>IF(D79=D78,"",_xlfn.IFNA(VLOOKUP(D79,'인원 입력 기능'!$F$5:$I$103,4,FALSE),0))</f>
        <v>4048</v>
      </c>
      <c r="H79" s="56">
        <f t="shared" si="12"/>
        <v>1.1226015069705012E-2</v>
      </c>
      <c r="I79" s="69">
        <f>SUM($G$7:G79)</f>
        <v>250195</v>
      </c>
      <c r="J79" s="58">
        <f t="shared" si="13"/>
        <v>0.69384704554467524</v>
      </c>
      <c r="K79" s="32"/>
      <c r="L79" s="20" t="str">
        <f t="shared" si="10"/>
        <v/>
      </c>
      <c r="N79" s="19"/>
    </row>
    <row r="80" spans="1:14" s="16" customFormat="1" ht="25" customHeight="1">
      <c r="A80" s="14"/>
      <c r="B80" s="27"/>
      <c r="C80" s="67">
        <v>27</v>
      </c>
      <c r="D80" s="154">
        <f t="shared" si="9"/>
        <v>84</v>
      </c>
      <c r="E80" s="154">
        <f t="shared" si="8"/>
        <v>6</v>
      </c>
      <c r="F80" s="156">
        <f t="shared" si="11"/>
        <v>29.34</v>
      </c>
      <c r="G80" s="158">
        <f>IF(D80=D79,"",_xlfn.IFNA(VLOOKUP(D80,'인원 입력 기능'!$F$5:$I$103,4,FALSE),0))</f>
        <v>9232</v>
      </c>
      <c r="H80" s="159">
        <f t="shared" si="12"/>
        <v>2.5602413815097994E-2</v>
      </c>
      <c r="I80" s="161">
        <f>SUM($G$7:G80)</f>
        <v>259427</v>
      </c>
      <c r="J80" s="163">
        <f t="shared" si="13"/>
        <v>0.71944945935977322</v>
      </c>
      <c r="K80" s="32"/>
      <c r="L80" s="20" t="str">
        <f t="shared" si="10"/>
        <v/>
      </c>
      <c r="N80" s="19"/>
    </row>
    <row r="81" spans="1:14" s="16" customFormat="1" ht="25" customHeight="1">
      <c r="A81" s="14"/>
      <c r="B81" s="27"/>
      <c r="C81" s="67">
        <v>26</v>
      </c>
      <c r="D81" s="118"/>
      <c r="E81" s="118"/>
      <c r="F81" s="155"/>
      <c r="G81" s="157"/>
      <c r="H81" s="160"/>
      <c r="I81" s="162"/>
      <c r="J81" s="164"/>
      <c r="K81" s="32"/>
      <c r="L81" s="20" t="str">
        <f t="shared" si="10"/>
        <v>경고</v>
      </c>
      <c r="N81" s="19"/>
    </row>
    <row r="82" spans="1:14" s="16" customFormat="1" ht="25" customHeight="1">
      <c r="A82" s="14"/>
      <c r="B82" s="27"/>
      <c r="C82" s="67">
        <v>25</v>
      </c>
      <c r="D82" s="68">
        <f t="shared" si="9"/>
        <v>83</v>
      </c>
      <c r="E82" s="68">
        <f t="shared" si="8"/>
        <v>6</v>
      </c>
      <c r="F82" s="54">
        <f t="shared" si="11"/>
        <v>27.45</v>
      </c>
      <c r="G82" s="55">
        <f>IF(D82=D81,"",_xlfn.IFNA(VLOOKUP(D82,'인원 입력 기능'!$F$5:$I$103,4,FALSE),0))</f>
        <v>4330</v>
      </c>
      <c r="H82" s="56">
        <f t="shared" si="12"/>
        <v>1.200806453849375E-2</v>
      </c>
      <c r="I82" s="69">
        <f>SUM($G$7:G82)</f>
        <v>263757</v>
      </c>
      <c r="J82" s="58">
        <f t="shared" si="13"/>
        <v>0.73145752389826701</v>
      </c>
      <c r="K82" s="32"/>
      <c r="L82" s="20" t="str">
        <f t="shared" si="10"/>
        <v/>
      </c>
      <c r="N82" s="19"/>
    </row>
    <row r="83" spans="1:14" s="16" customFormat="1" ht="25" customHeight="1">
      <c r="A83" s="14"/>
      <c r="B83" s="27"/>
      <c r="C83" s="67">
        <v>24</v>
      </c>
      <c r="D83" s="68">
        <f t="shared" si="9"/>
        <v>82</v>
      </c>
      <c r="E83" s="68">
        <f t="shared" si="8"/>
        <v>6</v>
      </c>
      <c r="F83" s="54">
        <f t="shared" si="11"/>
        <v>26.26</v>
      </c>
      <c r="G83" s="55">
        <f>IF(D83=D82,"",_xlfn.IFNA(VLOOKUP(D83,'인원 입력 기능'!$F$5:$I$103,4,FALSE),0))</f>
        <v>4296</v>
      </c>
      <c r="H83" s="56">
        <f t="shared" si="12"/>
        <v>1.1913774886228442E-2</v>
      </c>
      <c r="I83" s="69">
        <f>SUM($G$7:G83)</f>
        <v>268053</v>
      </c>
      <c r="J83" s="58">
        <f t="shared" si="13"/>
        <v>0.74337129878449548</v>
      </c>
      <c r="K83" s="32"/>
      <c r="L83" s="20" t="str">
        <f t="shared" si="10"/>
        <v/>
      </c>
      <c r="N83" s="19"/>
    </row>
    <row r="84" spans="1:14" s="16" customFormat="1" ht="25" customHeight="1">
      <c r="A84" s="14"/>
      <c r="B84" s="27"/>
      <c r="C84" s="67">
        <v>23</v>
      </c>
      <c r="D84" s="68">
        <f t="shared" si="9"/>
        <v>81</v>
      </c>
      <c r="E84" s="68">
        <f t="shared" si="8"/>
        <v>6</v>
      </c>
      <c r="F84" s="54">
        <f t="shared" si="11"/>
        <v>24.78</v>
      </c>
      <c r="G84" s="55">
        <f>IF(D84=D83,"",_xlfn.IFNA(VLOOKUP(D84,'인원 입력 기능'!$F$5:$I$103,4,FALSE),0))</f>
        <v>6380</v>
      </c>
      <c r="H84" s="56">
        <f t="shared" si="12"/>
        <v>1.769317592507855E-2</v>
      </c>
      <c r="I84" s="69">
        <f>SUM($G$7:G84)</f>
        <v>274433</v>
      </c>
      <c r="J84" s="58">
        <f t="shared" si="13"/>
        <v>0.76106447470957406</v>
      </c>
      <c r="K84" s="32"/>
      <c r="L84" s="20" t="str">
        <f t="shared" si="10"/>
        <v/>
      </c>
      <c r="N84" s="19"/>
    </row>
    <row r="85" spans="1:14" s="16" customFormat="1" ht="25" customHeight="1">
      <c r="A85" s="14"/>
      <c r="B85" s="27"/>
      <c r="C85" s="67">
        <v>22</v>
      </c>
      <c r="D85" s="68">
        <f t="shared" si="9"/>
        <v>80</v>
      </c>
      <c r="E85" s="68">
        <f t="shared" si="8"/>
        <v>6</v>
      </c>
      <c r="F85" s="54">
        <f t="shared" si="11"/>
        <v>23.22</v>
      </c>
      <c r="G85" s="55">
        <f>IF(D85=D84,"",_xlfn.IFNA(VLOOKUP(D85,'인원 입력 기능'!$F$5:$I$103,4,FALSE),0))</f>
        <v>4843</v>
      </c>
      <c r="H85" s="56">
        <f t="shared" si="12"/>
        <v>1.3430728997673265E-2</v>
      </c>
      <c r="I85" s="69">
        <f>SUM($G$7:G85)</f>
        <v>279276</v>
      </c>
      <c r="J85" s="58">
        <f t="shared" si="13"/>
        <v>0.77449520370724723</v>
      </c>
      <c r="K85" s="32"/>
      <c r="L85" s="20" t="str">
        <f t="shared" si="10"/>
        <v/>
      </c>
      <c r="N85" s="19"/>
    </row>
    <row r="86" spans="1:14" s="16" customFormat="1" ht="25" customHeight="1">
      <c r="A86" s="14"/>
      <c r="B86" s="27"/>
      <c r="C86" s="67">
        <v>21</v>
      </c>
      <c r="D86" s="154">
        <f t="shared" si="9"/>
        <v>79</v>
      </c>
      <c r="E86" s="154">
        <f t="shared" si="8"/>
        <v>7</v>
      </c>
      <c r="F86" s="156">
        <f t="shared" si="11"/>
        <v>20.94</v>
      </c>
      <c r="G86" s="158">
        <f>IF(D86=D85,"",_xlfn.IFNA(VLOOKUP(D86,'인원 입력 기능'!$F$5:$I$103,4,FALSE),0))</f>
        <v>11627</v>
      </c>
      <c r="H86" s="159">
        <f t="shared" si="12"/>
        <v>3.2244287849669012E-2</v>
      </c>
      <c r="I86" s="161">
        <f>SUM($G$7:G86)</f>
        <v>290903</v>
      </c>
      <c r="J86" s="163">
        <f t="shared" si="13"/>
        <v>0.80673949155691627</v>
      </c>
      <c r="K86" s="32"/>
      <c r="L86" s="20" t="str">
        <f t="shared" si="10"/>
        <v/>
      </c>
      <c r="N86" s="19"/>
    </row>
    <row r="87" spans="1:14" s="16" customFormat="1" ht="25" customHeight="1">
      <c r="A87" s="14"/>
      <c r="B87" s="27"/>
      <c r="C87" s="67">
        <v>20</v>
      </c>
      <c r="D87" s="118"/>
      <c r="E87" s="118"/>
      <c r="F87" s="155"/>
      <c r="G87" s="157"/>
      <c r="H87" s="160"/>
      <c r="I87" s="162"/>
      <c r="J87" s="164"/>
      <c r="K87" s="32"/>
      <c r="L87" s="20" t="str">
        <f t="shared" si="10"/>
        <v>경고</v>
      </c>
      <c r="N87" s="19"/>
    </row>
    <row r="88" spans="1:14" s="16" customFormat="1" ht="25" customHeight="1">
      <c r="A88" s="14"/>
      <c r="B88" s="27"/>
      <c r="C88" s="67">
        <v>19</v>
      </c>
      <c r="D88" s="68">
        <f t="shared" si="9"/>
        <v>78</v>
      </c>
      <c r="E88" s="68">
        <f t="shared" si="8"/>
        <v>7</v>
      </c>
      <c r="F88" s="54">
        <f t="shared" si="11"/>
        <v>18.440000000000001</v>
      </c>
      <c r="G88" s="55">
        <f>IF(D88=D87,"",_xlfn.IFNA(VLOOKUP(D88,'인원 입력 기능'!$F$5:$I$103,4,FALSE),0))</f>
        <v>6407</v>
      </c>
      <c r="H88" s="56">
        <f t="shared" si="12"/>
        <v>1.7768053001877473E-2</v>
      </c>
      <c r="I88" s="69">
        <f>SUM($G$7:G88)</f>
        <v>297310</v>
      </c>
      <c r="J88" s="58">
        <f t="shared" si="13"/>
        <v>0.82450754455879371</v>
      </c>
      <c r="K88" s="32"/>
      <c r="L88" s="20" t="str">
        <f t="shared" si="10"/>
        <v/>
      </c>
      <c r="N88" s="19"/>
    </row>
    <row r="89" spans="1:14" s="16" customFormat="1" ht="25" customHeight="1">
      <c r="A89" s="14"/>
      <c r="B89" s="27"/>
      <c r="C89" s="67">
        <v>18</v>
      </c>
      <c r="D89" s="68">
        <f t="shared" si="9"/>
        <v>77</v>
      </c>
      <c r="E89" s="68">
        <f t="shared" si="8"/>
        <v>7</v>
      </c>
      <c r="F89" s="54">
        <f t="shared" si="11"/>
        <v>16.68</v>
      </c>
      <c r="G89" s="55">
        <f>IF(D89=D88,"",_xlfn.IFNA(VLOOKUP(D89,'인원 입력 기능'!$F$5:$I$103,4,FALSE),0))</f>
        <v>6292</v>
      </c>
      <c r="H89" s="56">
        <f t="shared" si="12"/>
        <v>1.7449132119215401E-2</v>
      </c>
      <c r="I89" s="69">
        <f>SUM($G$7:G89)</f>
        <v>303602</v>
      </c>
      <c r="J89" s="58">
        <f t="shared" si="13"/>
        <v>0.84195667667800911</v>
      </c>
      <c r="K89" s="32"/>
      <c r="L89" s="20" t="str">
        <f t="shared" si="10"/>
        <v/>
      </c>
      <c r="N89" s="19"/>
    </row>
    <row r="90" spans="1:14" s="16" customFormat="1" ht="25" customHeight="1">
      <c r="A90" s="14"/>
      <c r="B90" s="27"/>
      <c r="C90" s="67">
        <v>17</v>
      </c>
      <c r="D90" s="68">
        <f t="shared" si="9"/>
        <v>76</v>
      </c>
      <c r="E90" s="68">
        <f t="shared" si="8"/>
        <v>7</v>
      </c>
      <c r="F90" s="54">
        <f t="shared" si="11"/>
        <v>15.08</v>
      </c>
      <c r="G90" s="55">
        <f>IF(D90=D89,"",_xlfn.IFNA(VLOOKUP(D90,'인원 입력 기능'!$F$5:$I$103,4,FALSE),0))</f>
        <v>5227</v>
      </c>
      <c r="H90" s="56">
        <f t="shared" si="12"/>
        <v>1.4495647423257929E-2</v>
      </c>
      <c r="I90" s="69">
        <f>SUM($G$7:G90)</f>
        <v>308829</v>
      </c>
      <c r="J90" s="58">
        <f t="shared" si="13"/>
        <v>0.85645232410126704</v>
      </c>
      <c r="K90" s="32"/>
      <c r="L90" s="20" t="str">
        <f t="shared" si="10"/>
        <v/>
      </c>
      <c r="N90" s="19"/>
    </row>
    <row r="91" spans="1:14" s="16" customFormat="1" ht="25" customHeight="1">
      <c r="A91" s="14"/>
      <c r="B91" s="27"/>
      <c r="C91" s="67">
        <v>16</v>
      </c>
      <c r="D91" s="68">
        <f t="shared" si="9"/>
        <v>75</v>
      </c>
      <c r="E91" s="68">
        <f t="shared" si="8"/>
        <v>7</v>
      </c>
      <c r="F91" s="54">
        <f t="shared" si="11"/>
        <v>12.45</v>
      </c>
      <c r="G91" s="55">
        <f>IF(D91=D90,"",_xlfn.IFNA(VLOOKUP(D91,'인원 입력 기능'!$F$5:$I$103,4,FALSE),0))</f>
        <v>13763</v>
      </c>
      <c r="H91" s="56">
        <f t="shared" si="12"/>
        <v>3.8167896591983719E-2</v>
      </c>
      <c r="I91" s="69">
        <f>SUM($G$7:G91)</f>
        <v>322592</v>
      </c>
      <c r="J91" s="58">
        <f t="shared" si="13"/>
        <v>0.89462022069325076</v>
      </c>
      <c r="K91" s="32"/>
      <c r="L91" s="20" t="str">
        <f t="shared" si="10"/>
        <v/>
      </c>
      <c r="N91" s="19"/>
    </row>
    <row r="92" spans="1:14" s="16" customFormat="1" ht="25" customHeight="1">
      <c r="A92" s="14"/>
      <c r="B92" s="27"/>
      <c r="C92" s="67">
        <v>15</v>
      </c>
      <c r="D92" s="154">
        <f t="shared" si="9"/>
        <v>74</v>
      </c>
      <c r="E92" s="154">
        <f t="shared" si="8"/>
        <v>8</v>
      </c>
      <c r="F92" s="156">
        <f t="shared" si="11"/>
        <v>8.58</v>
      </c>
      <c r="G92" s="158">
        <f>IF(D92=D91,"",_xlfn.IFNA(VLOOKUP(D92,'인원 입력 기능'!$F$5:$I$103,4,FALSE),0))</f>
        <v>14131</v>
      </c>
      <c r="H92" s="159">
        <f t="shared" si="12"/>
        <v>3.918844341650235E-2</v>
      </c>
      <c r="I92" s="161">
        <f>SUM($G$7:G92)</f>
        <v>336723</v>
      </c>
      <c r="J92" s="163">
        <f t="shared" si="13"/>
        <v>0.93380866410975316</v>
      </c>
      <c r="K92" s="32"/>
      <c r="L92" s="20" t="str">
        <f t="shared" si="10"/>
        <v/>
      </c>
      <c r="N92" s="19"/>
    </row>
    <row r="93" spans="1:14" s="16" customFormat="1" ht="25" customHeight="1">
      <c r="A93" s="14"/>
      <c r="B93" s="27"/>
      <c r="C93" s="67">
        <v>14</v>
      </c>
      <c r="D93" s="118"/>
      <c r="E93" s="118"/>
      <c r="F93" s="155"/>
      <c r="G93" s="157"/>
      <c r="H93" s="160"/>
      <c r="I93" s="162"/>
      <c r="J93" s="164"/>
      <c r="K93" s="32"/>
      <c r="L93" s="20" t="str">
        <f t="shared" si="10"/>
        <v>경고</v>
      </c>
      <c r="N93" s="19"/>
    </row>
    <row r="94" spans="1:14" s="16" customFormat="1" ht="25" customHeight="1">
      <c r="A94" s="14"/>
      <c r="B94" s="27"/>
      <c r="C94" s="67">
        <v>13</v>
      </c>
      <c r="D94" s="68">
        <f t="shared" si="9"/>
        <v>73</v>
      </c>
      <c r="E94" s="68">
        <f t="shared" si="8"/>
        <v>8</v>
      </c>
      <c r="F94" s="54">
        <f t="shared" si="11"/>
        <v>6.08</v>
      </c>
      <c r="G94" s="55">
        <f>IF(D94=D93,"",_xlfn.IFNA(VLOOKUP(D94,'인원 입력 기능'!$F$5:$I$103,4,FALSE),0))</f>
        <v>3879</v>
      </c>
      <c r="H94" s="56">
        <f t="shared" si="12"/>
        <v>1.0757340033445095E-2</v>
      </c>
      <c r="I94" s="69">
        <f>SUM($G$7:G94)</f>
        <v>340602</v>
      </c>
      <c r="J94" s="58">
        <f t="shared" si="13"/>
        <v>0.94456600414319825</v>
      </c>
      <c r="K94" s="32"/>
      <c r="L94" s="20" t="str">
        <f t="shared" si="10"/>
        <v/>
      </c>
      <c r="N94" s="19"/>
    </row>
    <row r="95" spans="1:14" s="16" customFormat="1" ht="25" customHeight="1">
      <c r="A95" s="14"/>
      <c r="B95" s="27"/>
      <c r="C95" s="67">
        <v>12</v>
      </c>
      <c r="D95" s="68">
        <f t="shared" si="9"/>
        <v>72</v>
      </c>
      <c r="E95" s="68">
        <f t="shared" si="8"/>
        <v>8</v>
      </c>
      <c r="F95" s="54">
        <f t="shared" si="11"/>
        <v>4.6900000000000004</v>
      </c>
      <c r="G95" s="55">
        <f>IF(D95=D94,"",_xlfn.IFNA(VLOOKUP(D95,'인원 입력 기능'!$F$5:$I$103,4,FALSE),0))</f>
        <v>6132</v>
      </c>
      <c r="H95" s="56">
        <f t="shared" si="12"/>
        <v>1.7005416108555122E-2</v>
      </c>
      <c r="I95" s="69">
        <f>SUM($G$7:G95)</f>
        <v>346734</v>
      </c>
      <c r="J95" s="58">
        <f t="shared" si="13"/>
        <v>0.96157142025175335</v>
      </c>
      <c r="K95" s="32"/>
      <c r="L95" s="20" t="str">
        <f t="shared" si="10"/>
        <v/>
      </c>
      <c r="N95" s="19"/>
    </row>
    <row r="96" spans="1:14" s="16" customFormat="1" ht="25" customHeight="1">
      <c r="A96" s="14"/>
      <c r="B96" s="27"/>
      <c r="C96" s="67">
        <v>11</v>
      </c>
      <c r="D96" s="68">
        <f t="shared" si="9"/>
        <v>71</v>
      </c>
      <c r="E96" s="68">
        <f t="shared" si="8"/>
        <v>9</v>
      </c>
      <c r="F96" s="54">
        <f t="shared" si="11"/>
        <v>3.47</v>
      </c>
      <c r="G96" s="55">
        <f>IF(D96=D95,"",_xlfn.IFNA(VLOOKUP(D96,'인원 입력 기능'!$F$5:$I$103,4,FALSE),0))</f>
        <v>2691</v>
      </c>
      <c r="H96" s="56">
        <f t="shared" si="12"/>
        <v>7.4627486542925368E-3</v>
      </c>
      <c r="I96" s="69">
        <f>SUM($G$7:G96)</f>
        <v>349425</v>
      </c>
      <c r="J96" s="58">
        <f t="shared" si="13"/>
        <v>0.96903416890604588</v>
      </c>
      <c r="K96" s="32"/>
      <c r="L96" s="20" t="str">
        <f t="shared" si="10"/>
        <v/>
      </c>
      <c r="N96" s="19"/>
    </row>
    <row r="97" spans="1:14" s="16" customFormat="1" ht="25" customHeight="1">
      <c r="A97" s="14"/>
      <c r="B97" s="27"/>
      <c r="C97" s="67">
        <v>10</v>
      </c>
      <c r="D97" s="68">
        <f t="shared" si="9"/>
        <v>70</v>
      </c>
      <c r="E97" s="68">
        <f t="shared" si="8"/>
        <v>9</v>
      </c>
      <c r="F97" s="54">
        <f t="shared" si="11"/>
        <v>2.75</v>
      </c>
      <c r="G97" s="55">
        <f>IF(D97=D96,"",_xlfn.IFNA(VLOOKUP(D97,'인원 입력 기능'!$F$5:$I$103,4,FALSE),0))</f>
        <v>2485</v>
      </c>
      <c r="H97" s="56">
        <f t="shared" si="12"/>
        <v>6.8914642905674294E-3</v>
      </c>
      <c r="I97" s="69">
        <f>SUM($G$7:G97)</f>
        <v>351910</v>
      </c>
      <c r="J97" s="58">
        <f t="shared" si="13"/>
        <v>0.9759256331966133</v>
      </c>
      <c r="K97" s="32"/>
      <c r="L97" s="20" t="str">
        <f t="shared" si="10"/>
        <v/>
      </c>
      <c r="N97" s="19"/>
    </row>
    <row r="98" spans="1:14" s="16" customFormat="1" ht="25" customHeight="1">
      <c r="A98" s="14"/>
      <c r="B98" s="27"/>
      <c r="C98" s="67">
        <v>9</v>
      </c>
      <c r="D98" s="154">
        <f t="shared" si="9"/>
        <v>69</v>
      </c>
      <c r="E98" s="154">
        <f t="shared" si="8"/>
        <v>9</v>
      </c>
      <c r="F98" s="156">
        <f t="shared" si="11"/>
        <v>1.93</v>
      </c>
      <c r="G98" s="158">
        <f>IF(D98=D97,"",_xlfn.IFNA(VLOOKUP(D98,'인원 입력 기능'!$F$5:$I$103,4,FALSE),0))</f>
        <v>3408</v>
      </c>
      <c r="H98" s="159">
        <f t="shared" si="12"/>
        <v>9.4511510270639029E-3</v>
      </c>
      <c r="I98" s="161">
        <f>SUM($G$7:G98)</f>
        <v>355318</v>
      </c>
      <c r="J98" s="163">
        <f t="shared" si="13"/>
        <v>0.98537678422367725</v>
      </c>
      <c r="K98" s="32"/>
      <c r="L98" s="20" t="str">
        <f t="shared" si="10"/>
        <v/>
      </c>
      <c r="N98" s="19"/>
    </row>
    <row r="99" spans="1:14" s="16" customFormat="1" ht="25" customHeight="1">
      <c r="A99" s="14"/>
      <c r="B99" s="27"/>
      <c r="C99" s="67">
        <v>8</v>
      </c>
      <c r="D99" s="118"/>
      <c r="E99" s="118"/>
      <c r="F99" s="155"/>
      <c r="G99" s="157"/>
      <c r="H99" s="160"/>
      <c r="I99" s="162"/>
      <c r="J99" s="164"/>
      <c r="K99" s="32"/>
      <c r="L99" s="20" t="str">
        <f t="shared" si="10"/>
        <v>경고</v>
      </c>
      <c r="N99" s="19"/>
    </row>
    <row r="100" spans="1:14" s="16" customFormat="1" ht="25" customHeight="1">
      <c r="A100" s="14"/>
      <c r="B100" s="27"/>
      <c r="C100" s="67">
        <v>7</v>
      </c>
      <c r="D100" s="68">
        <f t="shared" si="9"/>
        <v>68</v>
      </c>
      <c r="E100" s="68">
        <f t="shared" si="8"/>
        <v>9</v>
      </c>
      <c r="F100" s="54">
        <f t="shared" si="11"/>
        <v>1.27</v>
      </c>
      <c r="G100" s="55">
        <f>IF(D100=D99,"",_xlfn.IFNA(VLOOKUP(D100,'인원 입력 기능'!$F$5:$I$103,4,FALSE),0))</f>
        <v>1409</v>
      </c>
      <c r="H100" s="56">
        <f t="shared" si="12"/>
        <v>3.9074741188770655E-3</v>
      </c>
      <c r="I100" s="69">
        <f>SUM($G$7:G100)</f>
        <v>356727</v>
      </c>
      <c r="J100" s="58">
        <f t="shared" si="13"/>
        <v>0.98928425834255429</v>
      </c>
      <c r="K100" s="32"/>
      <c r="L100" s="20" t="str">
        <f t="shared" si="10"/>
        <v/>
      </c>
      <c r="N100" s="19"/>
    </row>
    <row r="101" spans="1:14" s="16" customFormat="1" ht="25" customHeight="1">
      <c r="A101" s="14"/>
      <c r="B101" s="27"/>
      <c r="C101" s="59">
        <v>6</v>
      </c>
      <c r="D101" s="53">
        <f t="shared" si="9"/>
        <v>67</v>
      </c>
      <c r="E101" s="68">
        <f t="shared" si="8"/>
        <v>9</v>
      </c>
      <c r="F101" s="54">
        <f t="shared" si="11"/>
        <v>0.93</v>
      </c>
      <c r="G101" s="55">
        <f>IF(D101=D100,"",_xlfn.IFNA(VLOOKUP(D101,'인원 입력 기능'!$F$5:$I$103,4,FALSE),0))</f>
        <v>996</v>
      </c>
      <c r="H101" s="56">
        <f t="shared" si="12"/>
        <v>2.7621321663602251E-3</v>
      </c>
      <c r="I101" s="66">
        <f>SUM($G$7:G101)</f>
        <v>357723</v>
      </c>
      <c r="J101" s="58">
        <f t="shared" si="13"/>
        <v>0.99204639050891452</v>
      </c>
      <c r="K101" s="32"/>
      <c r="L101" s="20" t="str">
        <f t="shared" si="10"/>
        <v/>
      </c>
      <c r="N101" s="19"/>
    </row>
    <row r="102" spans="1:14" s="16" customFormat="1" ht="25" customHeight="1">
      <c r="A102" s="14"/>
      <c r="B102" s="27"/>
      <c r="C102" s="59">
        <v>5</v>
      </c>
      <c r="D102" s="53">
        <f t="shared" si="9"/>
        <v>66</v>
      </c>
      <c r="E102" s="68">
        <f t="shared" si="8"/>
        <v>9</v>
      </c>
      <c r="F102" s="54">
        <f t="shared" si="11"/>
        <v>0.72</v>
      </c>
      <c r="G102" s="55">
        <f>IF(D102=D101,"",_xlfn.IFNA(VLOOKUP(D102,'인원 입력 기능'!$F$5:$I$103,4,FALSE),0))</f>
        <v>534</v>
      </c>
      <c r="H102" s="56">
        <f t="shared" si="12"/>
        <v>1.4809021855786749E-3</v>
      </c>
      <c r="I102" s="66">
        <f>SUM($G$7:G102)</f>
        <v>358257</v>
      </c>
      <c r="J102" s="58">
        <f t="shared" si="13"/>
        <v>0.99352729269449325</v>
      </c>
      <c r="K102" s="32"/>
      <c r="L102" s="20" t="str">
        <f t="shared" si="10"/>
        <v/>
      </c>
      <c r="N102" s="19"/>
    </row>
    <row r="103" spans="1:14" s="16" customFormat="1" ht="25" customHeight="1">
      <c r="A103" s="14"/>
      <c r="B103" s="27"/>
      <c r="C103" s="59">
        <v>4</v>
      </c>
      <c r="D103" s="53">
        <f t="shared" si="9"/>
        <v>65</v>
      </c>
      <c r="E103" s="68">
        <f t="shared" si="8"/>
        <v>9</v>
      </c>
      <c r="F103" s="54">
        <f t="shared" si="11"/>
        <v>0.56999999999999995</v>
      </c>
      <c r="G103" s="55">
        <f>IF(D103=D102,"",_xlfn.IFNA(VLOOKUP(D103,'인원 입력 기능'!$F$5:$I$103,4,FALSE),0))</f>
        <v>585</v>
      </c>
      <c r="H103" s="56">
        <f t="shared" si="12"/>
        <v>1.6223366639766383E-3</v>
      </c>
      <c r="I103" s="66">
        <f>SUM($G$7:G103)</f>
        <v>358842</v>
      </c>
      <c r="J103" s="58">
        <f t="shared" si="13"/>
        <v>0.99514962935846984</v>
      </c>
      <c r="K103" s="32"/>
      <c r="L103" s="20" t="str">
        <f t="shared" si="10"/>
        <v/>
      </c>
      <c r="N103" s="19"/>
    </row>
    <row r="104" spans="1:14" s="16" customFormat="1" ht="25" customHeight="1">
      <c r="A104" s="14"/>
      <c r="B104" s="27"/>
      <c r="C104" s="59">
        <v>3</v>
      </c>
      <c r="D104" s="53">
        <f t="shared" ref="D104:D105" si="14">ROUND(20*(C104-$H$3)/$H$4+100,0)</f>
        <v>64</v>
      </c>
      <c r="E104" s="68">
        <f t="shared" ref="E104:E105" si="15">IF(ROUND(D104,0)&gt;=$Q$7,1,IF(ROUND(D104,0)&gt;=$Q$8,2,IF(ROUND(D104,0)&gt;=$Q$9,3,IF(ROUND(D104,0)&gt;=$Q$10,4,IF(ROUND(D104,0)&gt;=$Q$11,5,IF(ROUND(D104,0)&gt;=$Q$12,6,IF(ROUND(D104,0)&gt;=$Q$13,7,IF(ROUND(D104,0)&gt;=$Q$14,8,9))))))))</f>
        <v>9</v>
      </c>
      <c r="F104" s="54">
        <f t="shared" ref="F104:F105" si="16">IF(I103=0,ROUND(100*(1-(I102+I104)/2/$J$3),2),ROUND(100*(1-(I103+I104)/2/$J$3),2))</f>
        <v>0.43</v>
      </c>
      <c r="G104" s="55">
        <f>IF(D104=D103,"",_xlfn.IFNA(VLOOKUP(D104,'인원 입력 기능'!$F$5:$I$103,4,FALSE),0))</f>
        <v>401</v>
      </c>
      <c r="H104" s="56">
        <f t="shared" ref="H104:H105" si="17">G104/$J$3</f>
        <v>1.1120632517173197E-3</v>
      </c>
      <c r="I104" s="66">
        <f>SUM($G$7:G104)</f>
        <v>359243</v>
      </c>
      <c r="J104" s="58">
        <f t="shared" ref="J104:J105" si="18">I104/$J$3</f>
        <v>0.99626169261018716</v>
      </c>
      <c r="K104" s="32"/>
      <c r="L104" s="20" t="str">
        <f t="shared" si="10"/>
        <v/>
      </c>
      <c r="N104" s="19"/>
    </row>
    <row r="105" spans="1:14" s="16" customFormat="1" ht="25" customHeight="1">
      <c r="A105" s="14"/>
      <c r="B105" s="27"/>
      <c r="C105" s="59">
        <v>2</v>
      </c>
      <c r="D105" s="53">
        <v>63</v>
      </c>
      <c r="E105" s="68">
        <f t="shared" si="15"/>
        <v>9</v>
      </c>
      <c r="F105" s="54">
        <f t="shared" si="16"/>
        <v>0.34</v>
      </c>
      <c r="G105" s="55">
        <f>IF(D105=D104,"",_xlfn.IFNA(VLOOKUP(D105,'인원 입력 기능'!$F$5:$I$103,4,FALSE),0))</f>
        <v>274</v>
      </c>
      <c r="H105" s="56">
        <f t="shared" si="17"/>
        <v>7.5986366825572468E-4</v>
      </c>
      <c r="I105" s="66">
        <f>SUM($G$7:G105)</f>
        <v>359517</v>
      </c>
      <c r="J105" s="58">
        <f t="shared" si="18"/>
        <v>0.99702155627844291</v>
      </c>
      <c r="K105" s="32"/>
      <c r="L105" s="20" t="str">
        <f t="shared" si="10"/>
        <v>경고</v>
      </c>
      <c r="N105" s="19"/>
    </row>
    <row r="106" spans="1:14" s="16" customFormat="1" ht="25" customHeight="1">
      <c r="A106" s="14"/>
      <c r="B106" s="27"/>
      <c r="C106" s="59">
        <v>1</v>
      </c>
      <c r="D106" s="60" t="s">
        <v>37</v>
      </c>
      <c r="E106" s="60"/>
      <c r="F106" s="61"/>
      <c r="G106" s="62"/>
      <c r="H106" s="63"/>
      <c r="I106" s="70"/>
      <c r="J106" s="65"/>
      <c r="K106" s="33"/>
      <c r="L106" s="20"/>
    </row>
    <row r="107" spans="1:14" s="16" customFormat="1" ht="25" customHeight="1" thickBot="1">
      <c r="A107" s="14"/>
      <c r="B107" s="27"/>
      <c r="C107" s="71">
        <v>0</v>
      </c>
      <c r="D107" s="72">
        <f>ROUND(20*(C107-$H$3)/$H$4+100,0)</f>
        <v>62</v>
      </c>
      <c r="E107" s="72">
        <f>IF(ROUND(D107,0)&gt;=$Q$7,1,IF(ROUND(D107,0)&gt;=$Q$8,2,IF(ROUND(D107,0)&gt;=$Q$9,3,IF(ROUND(D107,0)&gt;=$Q$10,4,IF(ROUND(D107,0)&gt;=$Q$11,5,IF(ROUND(D107,0)&gt;=$Q$12,6,IF(ROUND(D107,0)&gt;=$Q$13,7,IF(ROUND(D107,0)&gt;=$Q$14,8,9))))))))</f>
        <v>9</v>
      </c>
      <c r="F107" s="73">
        <f>IF(I105=0,ROUND(100*(1-(I104+I107)/2/$J$3),2),ROUND(100*(1-(I105+I107)/2/$J$3),2))</f>
        <v>0.15</v>
      </c>
      <c r="G107" s="74">
        <f>_xlfn.IFNA(VLOOKUP(D107,'인원 입력 기능'!$F$5:$I$103,4,FALSE),0)</f>
        <v>1074</v>
      </c>
      <c r="H107" s="75">
        <f>G107/$J$3</f>
        <v>2.9784437215571104E-3</v>
      </c>
      <c r="I107" s="76">
        <f>SUM($G$7:G107)</f>
        <v>360591</v>
      </c>
      <c r="J107" s="78">
        <f>I107/$J$3</f>
        <v>1</v>
      </c>
      <c r="K107" s="32"/>
      <c r="L107" s="20" t="str">
        <f>IF(ABS((C107-$H$3)/$H$4*20+100-D107)&gt;0.49, "경고", "")</f>
        <v/>
      </c>
    </row>
    <row r="108" spans="1:14" ht="6" customHeight="1">
      <c r="A108" s="2"/>
      <c r="B108" s="34"/>
      <c r="C108" s="35"/>
      <c r="D108" s="35"/>
      <c r="E108" s="35"/>
      <c r="F108" s="35"/>
      <c r="G108" s="35"/>
      <c r="H108" s="35"/>
      <c r="I108" s="35"/>
      <c r="J108" s="35"/>
      <c r="K108" s="36"/>
      <c r="L108" s="2"/>
    </row>
  </sheetData>
  <mergeCells count="108">
    <mergeCell ref="I92:I93"/>
    <mergeCell ref="J92:J93"/>
    <mergeCell ref="D98:D99"/>
    <mergeCell ref="E98:E99"/>
    <mergeCell ref="F98:F99"/>
    <mergeCell ref="G98:G99"/>
    <mergeCell ref="H98:H99"/>
    <mergeCell ref="I98:I99"/>
    <mergeCell ref="J98:J99"/>
    <mergeCell ref="D92:D93"/>
    <mergeCell ref="E92:E93"/>
    <mergeCell ref="F92:F93"/>
    <mergeCell ref="G92:G93"/>
    <mergeCell ref="H92:H93"/>
    <mergeCell ref="I80:I81"/>
    <mergeCell ref="J80:J81"/>
    <mergeCell ref="D86:D87"/>
    <mergeCell ref="E86:E87"/>
    <mergeCell ref="F86:F87"/>
    <mergeCell ref="G86:G87"/>
    <mergeCell ref="H86:H87"/>
    <mergeCell ref="I86:I87"/>
    <mergeCell ref="J86:J87"/>
    <mergeCell ref="D80:D81"/>
    <mergeCell ref="E80:E81"/>
    <mergeCell ref="F80:F81"/>
    <mergeCell ref="G80:G81"/>
    <mergeCell ref="H80:H81"/>
    <mergeCell ref="I68:I69"/>
    <mergeCell ref="J68:J69"/>
    <mergeCell ref="D74:D75"/>
    <mergeCell ref="E74:E75"/>
    <mergeCell ref="F74:F75"/>
    <mergeCell ref="G74:G75"/>
    <mergeCell ref="H74:H75"/>
    <mergeCell ref="I74:I75"/>
    <mergeCell ref="J74:J75"/>
    <mergeCell ref="D68:D69"/>
    <mergeCell ref="E68:E69"/>
    <mergeCell ref="F68:F69"/>
    <mergeCell ref="G68:G69"/>
    <mergeCell ref="H68:H69"/>
    <mergeCell ref="I56:I57"/>
    <mergeCell ref="J56:J57"/>
    <mergeCell ref="D62:D63"/>
    <mergeCell ref="E62:E63"/>
    <mergeCell ref="F62:F63"/>
    <mergeCell ref="G62:G63"/>
    <mergeCell ref="H62:H63"/>
    <mergeCell ref="I62:I63"/>
    <mergeCell ref="J62:J63"/>
    <mergeCell ref="D56:D57"/>
    <mergeCell ref="E56:E57"/>
    <mergeCell ref="F56:F57"/>
    <mergeCell ref="G56:G57"/>
    <mergeCell ref="H56:H57"/>
    <mergeCell ref="I44:I45"/>
    <mergeCell ref="J44:J45"/>
    <mergeCell ref="D50:D51"/>
    <mergeCell ref="E50:E51"/>
    <mergeCell ref="F50:F51"/>
    <mergeCell ref="G50:G51"/>
    <mergeCell ref="H50:H51"/>
    <mergeCell ref="I50:I51"/>
    <mergeCell ref="J50:J51"/>
    <mergeCell ref="D44:D45"/>
    <mergeCell ref="E44:E45"/>
    <mergeCell ref="F44:F45"/>
    <mergeCell ref="G44:G45"/>
    <mergeCell ref="H44:H45"/>
    <mergeCell ref="I32:I33"/>
    <mergeCell ref="J32:J33"/>
    <mergeCell ref="D38:D39"/>
    <mergeCell ref="E38:E39"/>
    <mergeCell ref="F38:F39"/>
    <mergeCell ref="G38:G39"/>
    <mergeCell ref="H38:H39"/>
    <mergeCell ref="I38:I39"/>
    <mergeCell ref="J38:J39"/>
    <mergeCell ref="D32:D33"/>
    <mergeCell ref="E32:E33"/>
    <mergeCell ref="F32:F33"/>
    <mergeCell ref="G32:G33"/>
    <mergeCell ref="H32:H33"/>
    <mergeCell ref="I20:I21"/>
    <mergeCell ref="J20:J21"/>
    <mergeCell ref="D26:D27"/>
    <mergeCell ref="E26:E27"/>
    <mergeCell ref="F26:F27"/>
    <mergeCell ref="G26:G27"/>
    <mergeCell ref="H26:H27"/>
    <mergeCell ref="I26:I27"/>
    <mergeCell ref="J26:J27"/>
    <mergeCell ref="D20:D21"/>
    <mergeCell ref="E20:E21"/>
    <mergeCell ref="F20:F21"/>
    <mergeCell ref="G20:G21"/>
    <mergeCell ref="H20:H21"/>
    <mergeCell ref="D3:F3"/>
    <mergeCell ref="D4:F4"/>
    <mergeCell ref="I4:J5"/>
    <mergeCell ref="D14:D15"/>
    <mergeCell ref="E14:E15"/>
    <mergeCell ref="F14:F15"/>
    <mergeCell ref="G14:G15"/>
    <mergeCell ref="H14:H15"/>
    <mergeCell ref="I14:I15"/>
    <mergeCell ref="J14:J15"/>
  </mergeCells>
  <phoneticPr fontId="1" type="noConversion"/>
  <conditionalFormatting sqref="C7:C107">
    <cfRule type="expression" dxfId="2" priority="3">
      <formula>OR(AND($D7=0,OR($D6=$Q$7:$Q$14)),AND($D8&gt;0,OR($D7=$Q$7:$Q$14)))</formula>
    </cfRule>
  </conditionalFormatting>
  <conditionalFormatting sqref="D7:J14 D16:J20 D22:J26 D28:J32 D34:J38 D40:J44 D46:J50 D52:J56 D58:J62 D64:J68 D70:J74 D76:J80 D82:J86 D88:J92 D94:J98 D100:J107">
    <cfRule type="expression" dxfId="1" priority="2">
      <formula>OR($D7=$Q$7:$Q$14)</formula>
    </cfRule>
  </conditionalFormatting>
  <conditionalFormatting sqref="D7:D14 D16:D20 D22:D26 D28:D32 D34:D38 D40:D44 D46:D50 D52:D56 D58:D62 D64:D68 D70:D74 D76:D80 D82:D86 D88:D92 D94:D98 D100:D107">
    <cfRule type="expression" dxfId="0" priority="1">
      <formula>$D7=$D8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C9F68-5CFB-48ED-A130-AE73DC06040C}">
  <sheetPr codeName="Sheet6"/>
  <dimension ref="A1:L16"/>
  <sheetViews>
    <sheetView zoomScale="85" zoomScaleNormal="85" workbookViewId="0">
      <selection activeCell="B2" sqref="B2:K16"/>
    </sheetView>
  </sheetViews>
  <sheetFormatPr defaultRowHeight="17"/>
  <cols>
    <col min="2" max="2" width="1" style="2" customWidth="1"/>
    <col min="3" max="10" width="14.1640625" customWidth="1"/>
    <col min="11" max="11" width="1" customWidth="1"/>
  </cols>
  <sheetData>
    <row r="1" spans="1:12">
      <c r="A1" s="2" t="s">
        <v>40</v>
      </c>
      <c r="C1" s="2"/>
      <c r="D1" s="2"/>
      <c r="E1" s="2"/>
      <c r="F1" s="2"/>
      <c r="G1" s="2"/>
      <c r="H1" s="2"/>
      <c r="I1" s="2"/>
      <c r="J1" s="2"/>
      <c r="K1" s="2"/>
    </row>
    <row r="2" spans="1:12" s="2" customFormat="1" ht="6" customHeight="1" thickBot="1">
      <c r="B2" s="24"/>
      <c r="C2" s="25"/>
      <c r="D2" s="25"/>
      <c r="E2" s="25"/>
      <c r="F2" s="25"/>
      <c r="G2" s="25"/>
      <c r="H2" s="25"/>
      <c r="I2" s="25"/>
      <c r="J2" s="25"/>
      <c r="K2" s="26"/>
    </row>
    <row r="3" spans="1:12" s="21" customFormat="1" ht="25" customHeight="1" thickBot="1">
      <c r="A3" s="20"/>
      <c r="B3" s="38"/>
      <c r="C3" s="42" t="s">
        <v>56</v>
      </c>
      <c r="D3" s="107" t="s">
        <v>69</v>
      </c>
      <c r="E3" s="108"/>
      <c r="F3" s="109"/>
      <c r="G3" s="42" t="s">
        <v>57</v>
      </c>
      <c r="H3" s="43" t="str">
        <f>'통계 및 응시자 수 입력 기능'!D6</f>
        <v>54.31</v>
      </c>
      <c r="I3" s="15" t="s">
        <v>58</v>
      </c>
      <c r="J3" s="44">
        <f>'통계 및 응시자 수 입력 기능'!C6</f>
        <v>358771</v>
      </c>
      <c r="K3" s="29"/>
    </row>
    <row r="4" spans="1:12" s="21" customFormat="1" ht="25" customHeight="1" thickBot="1">
      <c r="A4" s="20"/>
      <c r="B4" s="38"/>
      <c r="C4" s="45" t="s">
        <v>59</v>
      </c>
      <c r="D4" s="110" t="s">
        <v>60</v>
      </c>
      <c r="E4" s="111"/>
      <c r="F4" s="112"/>
      <c r="G4" s="46" t="s">
        <v>61</v>
      </c>
      <c r="H4" s="47" t="str">
        <f>'통계 및 응시자 수 입력 기능'!E6</f>
        <v>22.59</v>
      </c>
      <c r="I4" s="113"/>
      <c r="J4" s="114"/>
      <c r="K4" s="29"/>
    </row>
    <row r="5" spans="1:12" s="21" customFormat="1" ht="25" customHeight="1" thickBot="1">
      <c r="A5" s="20"/>
      <c r="B5" s="38"/>
      <c r="C5" s="14"/>
      <c r="D5" s="14"/>
      <c r="E5" s="14"/>
      <c r="F5" s="14"/>
      <c r="G5" s="14"/>
      <c r="H5" s="14"/>
      <c r="I5" s="116"/>
      <c r="J5" s="116"/>
      <c r="K5" s="29"/>
    </row>
    <row r="6" spans="1:12" s="21" customFormat="1" ht="25" customHeight="1" thickBot="1">
      <c r="A6" s="20"/>
      <c r="B6" s="38"/>
      <c r="C6" s="48" t="s">
        <v>63</v>
      </c>
      <c r="D6" s="79" t="s">
        <v>64</v>
      </c>
      <c r="E6" s="80" t="s">
        <v>65</v>
      </c>
      <c r="F6" s="49" t="s">
        <v>66</v>
      </c>
      <c r="G6" s="49" t="s">
        <v>67</v>
      </c>
      <c r="H6" s="51" t="s">
        <v>68</v>
      </c>
      <c r="I6" s="14"/>
      <c r="J6" s="14"/>
      <c r="K6" s="29"/>
      <c r="L6" s="20"/>
    </row>
    <row r="7" spans="1:12" s="21" customFormat="1" ht="25" customHeight="1">
      <c r="A7" s="20"/>
      <c r="B7" s="38"/>
      <c r="C7" s="81">
        <v>1</v>
      </c>
      <c r="D7" s="82">
        <v>90</v>
      </c>
      <c r="E7" s="83">
        <f>'표점등급&amp;절평인원 입력기능'!D22</f>
        <v>27159</v>
      </c>
      <c r="F7" s="84">
        <f>E7/$J$3</f>
        <v>7.5700098391453044E-2</v>
      </c>
      <c r="G7" s="85">
        <f>SUM($E$7:E7)</f>
        <v>27159</v>
      </c>
      <c r="H7" s="86">
        <f>G7/$J$3</f>
        <v>7.5700098391453044E-2</v>
      </c>
      <c r="I7" s="14"/>
      <c r="J7" s="14"/>
      <c r="K7" s="29"/>
      <c r="L7" s="20"/>
    </row>
    <row r="8" spans="1:12" s="21" customFormat="1" ht="25" customHeight="1">
      <c r="A8" s="20"/>
      <c r="B8" s="38"/>
      <c r="C8" s="87">
        <v>2</v>
      </c>
      <c r="D8" s="88">
        <v>80</v>
      </c>
      <c r="E8" s="89">
        <f>'표점등급&amp;절평인원 입력기능'!D23</f>
        <v>34985</v>
      </c>
      <c r="F8" s="84">
        <f t="shared" ref="F8:F15" si="0">E8/$J$3</f>
        <v>9.7513455658344739E-2</v>
      </c>
      <c r="G8" s="90">
        <f>SUM($E$7:E8)</f>
        <v>62144</v>
      </c>
      <c r="H8" s="86">
        <f t="shared" ref="H8:H15" si="1">G8/$J$3</f>
        <v>0.17321355404979777</v>
      </c>
      <c r="I8" s="14"/>
      <c r="J8" s="14"/>
      <c r="K8" s="29"/>
      <c r="L8" s="20"/>
    </row>
    <row r="9" spans="1:12" s="21" customFormat="1" ht="25" customHeight="1">
      <c r="A9" s="20"/>
      <c r="B9" s="38"/>
      <c r="C9" s="87">
        <v>3</v>
      </c>
      <c r="D9" s="88">
        <v>70</v>
      </c>
      <c r="E9" s="89">
        <f>'표점등급&amp;절평인원 입력기능'!D24</f>
        <v>38889</v>
      </c>
      <c r="F9" s="84">
        <f t="shared" si="0"/>
        <v>0.10839504865220433</v>
      </c>
      <c r="G9" s="90">
        <f>SUM($E$7:E9)</f>
        <v>101033</v>
      </c>
      <c r="H9" s="86">
        <f t="shared" si="1"/>
        <v>0.28160860270200211</v>
      </c>
      <c r="I9" s="14"/>
      <c r="J9" s="14"/>
      <c r="K9" s="29"/>
      <c r="L9" s="20"/>
    </row>
    <row r="10" spans="1:12" s="21" customFormat="1" ht="25" customHeight="1">
      <c r="A10" s="20"/>
      <c r="B10" s="38"/>
      <c r="C10" s="87">
        <v>4</v>
      </c>
      <c r="D10" s="88">
        <v>60</v>
      </c>
      <c r="E10" s="89">
        <f>'표점등급&amp;절평인원 입력기능'!D25</f>
        <v>44424</v>
      </c>
      <c r="F10" s="84">
        <f t="shared" si="0"/>
        <v>0.12382271699775066</v>
      </c>
      <c r="G10" s="90">
        <f>SUM($E$7:E10)</f>
        <v>145457</v>
      </c>
      <c r="H10" s="86">
        <f t="shared" si="1"/>
        <v>0.40543131969975277</v>
      </c>
      <c r="I10" s="14"/>
      <c r="J10" s="14"/>
      <c r="K10" s="29"/>
      <c r="L10" s="20"/>
    </row>
    <row r="11" spans="1:12" s="21" customFormat="1" ht="25" customHeight="1">
      <c r="A11" s="20"/>
      <c r="B11" s="38"/>
      <c r="C11" s="87">
        <v>5</v>
      </c>
      <c r="D11" s="88">
        <v>50</v>
      </c>
      <c r="E11" s="89">
        <f>'표점등급&amp;절평인원 입력기능'!D26</f>
        <v>50391</v>
      </c>
      <c r="F11" s="84">
        <f t="shared" si="0"/>
        <v>0.14045449604343718</v>
      </c>
      <c r="G11" s="90">
        <f>SUM($E$7:E11)</f>
        <v>195848</v>
      </c>
      <c r="H11" s="86">
        <f t="shared" si="1"/>
        <v>0.54588581574318995</v>
      </c>
      <c r="I11" s="14"/>
      <c r="J11" s="14"/>
      <c r="K11" s="29"/>
      <c r="L11" s="20"/>
    </row>
    <row r="12" spans="1:12" s="21" customFormat="1" ht="25" customHeight="1">
      <c r="A12" s="20"/>
      <c r="B12" s="38"/>
      <c r="C12" s="87">
        <v>6</v>
      </c>
      <c r="D12" s="88">
        <v>40</v>
      </c>
      <c r="E12" s="89">
        <f>'표점등급&amp;절평인원 입력기능'!D27</f>
        <v>53700</v>
      </c>
      <c r="F12" s="84">
        <f t="shared" si="0"/>
        <v>0.14967764953131663</v>
      </c>
      <c r="G12" s="90">
        <f>SUM($E$7:E12)</f>
        <v>249548</v>
      </c>
      <c r="H12" s="86">
        <f t="shared" si="1"/>
        <v>0.69556346527450663</v>
      </c>
      <c r="I12" s="14"/>
      <c r="J12" s="14"/>
      <c r="K12" s="29"/>
      <c r="L12" s="20"/>
    </row>
    <row r="13" spans="1:12" s="21" customFormat="1" ht="25" customHeight="1">
      <c r="A13" s="20"/>
      <c r="B13" s="38"/>
      <c r="C13" s="87">
        <v>7</v>
      </c>
      <c r="D13" s="88">
        <v>30</v>
      </c>
      <c r="E13" s="89">
        <f>'표점등급&amp;절평인원 입력기능'!D28</f>
        <v>51630</v>
      </c>
      <c r="F13" s="84">
        <f t="shared" si="0"/>
        <v>0.14390795242647816</v>
      </c>
      <c r="G13" s="90">
        <f>SUM($E$7:E13)</f>
        <v>301178</v>
      </c>
      <c r="H13" s="86">
        <f t="shared" si="1"/>
        <v>0.83947141770098477</v>
      </c>
      <c r="I13" s="14"/>
      <c r="J13" s="14"/>
      <c r="K13" s="29"/>
      <c r="L13" s="20"/>
    </row>
    <row r="14" spans="1:12" s="21" customFormat="1" ht="25" customHeight="1">
      <c r="A14" s="20"/>
      <c r="B14" s="38"/>
      <c r="C14" s="87">
        <v>8</v>
      </c>
      <c r="D14" s="88">
        <v>20</v>
      </c>
      <c r="E14" s="89">
        <f>'표점등급&amp;절평인원 입력기능'!D29</f>
        <v>43933</v>
      </c>
      <c r="F14" s="84">
        <f t="shared" si="0"/>
        <v>0.12245415599365612</v>
      </c>
      <c r="G14" s="90">
        <f>SUM($E$7:E14)</f>
        <v>345111</v>
      </c>
      <c r="H14" s="86">
        <f t="shared" si="1"/>
        <v>0.96192557369464082</v>
      </c>
      <c r="I14" s="14"/>
      <c r="J14" s="14"/>
      <c r="K14" s="29"/>
      <c r="L14" s="20"/>
    </row>
    <row r="15" spans="1:12" s="21" customFormat="1" ht="25" customHeight="1" thickBot="1">
      <c r="A15" s="20"/>
      <c r="B15" s="38"/>
      <c r="C15" s="91">
        <v>9</v>
      </c>
      <c r="D15" s="92">
        <v>0</v>
      </c>
      <c r="E15" s="93">
        <f>'표점등급&amp;절평인원 입력기능'!D30</f>
        <v>13660</v>
      </c>
      <c r="F15" s="94">
        <f t="shared" si="0"/>
        <v>3.8074426305359128E-2</v>
      </c>
      <c r="G15" s="95">
        <f>SUM($E$7:E15)</f>
        <v>358771</v>
      </c>
      <c r="H15" s="96">
        <f t="shared" si="1"/>
        <v>1</v>
      </c>
      <c r="I15" s="14"/>
      <c r="J15" s="14"/>
      <c r="K15" s="29"/>
      <c r="L15" s="20"/>
    </row>
    <row r="16" spans="1:12" ht="6" customHeight="1">
      <c r="A16" s="2"/>
      <c r="B16" s="34"/>
      <c r="C16" s="35"/>
      <c r="D16" s="35"/>
      <c r="E16" s="35"/>
      <c r="F16" s="35"/>
      <c r="G16" s="35"/>
      <c r="H16" s="35"/>
      <c r="I16" s="35"/>
      <c r="J16" s="35"/>
      <c r="K16" s="36"/>
    </row>
  </sheetData>
  <mergeCells count="3">
    <mergeCell ref="D3:F3"/>
    <mergeCell ref="D4:F4"/>
    <mergeCell ref="I4:J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AB635-F5A9-449C-B5D9-16CA419300D1}">
  <sheetPr codeName="Sheet7"/>
  <dimension ref="A1:L16"/>
  <sheetViews>
    <sheetView zoomScale="85" zoomScaleNormal="85" workbookViewId="0">
      <selection activeCell="B2" sqref="B2:K16"/>
    </sheetView>
  </sheetViews>
  <sheetFormatPr defaultRowHeight="17"/>
  <cols>
    <col min="2" max="2" width="1" style="2" customWidth="1"/>
    <col min="3" max="10" width="14.1640625" customWidth="1"/>
    <col min="11" max="11" width="1" customWidth="1"/>
  </cols>
  <sheetData>
    <row r="1" spans="1:12">
      <c r="A1" s="2" t="s">
        <v>40</v>
      </c>
      <c r="C1" s="2"/>
      <c r="D1" s="2"/>
      <c r="E1" s="2"/>
      <c r="F1" s="2"/>
      <c r="G1" s="2"/>
      <c r="H1" s="2"/>
      <c r="I1" s="2"/>
      <c r="J1" s="2"/>
      <c r="K1" s="2"/>
    </row>
    <row r="2" spans="1:12" s="2" customFormat="1" ht="6" customHeight="1" thickBot="1">
      <c r="B2" s="24"/>
      <c r="C2" s="25"/>
      <c r="D2" s="25"/>
      <c r="E2" s="25"/>
      <c r="F2" s="25"/>
      <c r="G2" s="25"/>
      <c r="H2" s="25"/>
      <c r="I2" s="25"/>
      <c r="J2" s="25"/>
      <c r="K2" s="26"/>
    </row>
    <row r="3" spans="1:12" s="21" customFormat="1" ht="25" customHeight="1" thickBot="1">
      <c r="A3" s="20"/>
      <c r="B3" s="38"/>
      <c r="C3" s="42" t="s">
        <v>56</v>
      </c>
      <c r="D3" s="107" t="s">
        <v>69</v>
      </c>
      <c r="E3" s="108"/>
      <c r="F3" s="109"/>
      <c r="G3" s="42" t="s">
        <v>57</v>
      </c>
      <c r="H3" s="43" t="str">
        <f>'통계 및 응시자 수 입력 기능'!D7</f>
        <v>29.66</v>
      </c>
      <c r="I3" s="15" t="s">
        <v>58</v>
      </c>
      <c r="J3" s="44">
        <f>'통계 및 응시자 수 입력 기능'!C7</f>
        <v>357061</v>
      </c>
      <c r="K3" s="29"/>
    </row>
    <row r="4" spans="1:12" s="21" customFormat="1" ht="25" customHeight="1" thickBot="1">
      <c r="A4" s="20"/>
      <c r="B4" s="38"/>
      <c r="C4" s="45" t="s">
        <v>59</v>
      </c>
      <c r="D4" s="110" t="s">
        <v>62</v>
      </c>
      <c r="E4" s="111"/>
      <c r="F4" s="112"/>
      <c r="G4" s="46" t="s">
        <v>61</v>
      </c>
      <c r="H4" s="47" t="str">
        <f>'통계 및 응시자 수 입력 기능'!E7</f>
        <v>11.88</v>
      </c>
      <c r="I4" s="113"/>
      <c r="J4" s="114"/>
      <c r="K4" s="29"/>
    </row>
    <row r="5" spans="1:12" s="21" customFormat="1" ht="25" customHeight="1" thickBot="1">
      <c r="A5" s="20"/>
      <c r="B5" s="38"/>
      <c r="C5" s="14"/>
      <c r="D5" s="14"/>
      <c r="E5" s="14"/>
      <c r="F5" s="14"/>
      <c r="G5" s="14"/>
      <c r="H5" s="14"/>
      <c r="I5" s="116"/>
      <c r="J5" s="116"/>
      <c r="K5" s="29"/>
    </row>
    <row r="6" spans="1:12" s="21" customFormat="1" ht="25" customHeight="1" thickBot="1">
      <c r="A6" s="20"/>
      <c r="B6" s="38"/>
      <c r="C6" s="48" t="s">
        <v>63</v>
      </c>
      <c r="D6" s="79" t="s">
        <v>64</v>
      </c>
      <c r="E6" s="80" t="s">
        <v>65</v>
      </c>
      <c r="F6" s="49" t="s">
        <v>66</v>
      </c>
      <c r="G6" s="49" t="s">
        <v>67</v>
      </c>
      <c r="H6" s="51" t="s">
        <v>68</v>
      </c>
      <c r="I6" s="14"/>
      <c r="J6" s="14"/>
      <c r="K6" s="29"/>
      <c r="L6" s="20"/>
    </row>
    <row r="7" spans="1:12" s="21" customFormat="1" ht="25" customHeight="1">
      <c r="A7" s="20"/>
      <c r="B7" s="38"/>
      <c r="C7" s="97">
        <v>1</v>
      </c>
      <c r="D7" s="98">
        <v>40</v>
      </c>
      <c r="E7" s="83">
        <f>'표점등급&amp;절평인원 입력기능'!D31</f>
        <v>86627</v>
      </c>
      <c r="F7" s="84">
        <f>E7/$J$3</f>
        <v>0.24261120648852716</v>
      </c>
      <c r="G7" s="85">
        <f>SUM($E$7:E7)</f>
        <v>86627</v>
      </c>
      <c r="H7" s="86">
        <f>G7/$J$3</f>
        <v>0.24261120648852716</v>
      </c>
      <c r="I7" s="14"/>
      <c r="J7" s="14"/>
      <c r="K7" s="29"/>
      <c r="L7" s="20"/>
    </row>
    <row r="8" spans="1:12" s="21" customFormat="1" ht="25" customHeight="1">
      <c r="A8" s="20"/>
      <c r="B8" s="38"/>
      <c r="C8" s="99">
        <v>2</v>
      </c>
      <c r="D8" s="100">
        <v>35</v>
      </c>
      <c r="E8" s="89">
        <f>'표점등급&amp;절평인원 입력기능'!D32</f>
        <v>56114</v>
      </c>
      <c r="F8" s="84">
        <f t="shared" ref="F8:F15" si="0">E8/$J$3</f>
        <v>0.1571552199764186</v>
      </c>
      <c r="G8" s="90">
        <f>SUM($E$7:E8)</f>
        <v>142741</v>
      </c>
      <c r="H8" s="86">
        <f t="shared" ref="H8:H15" si="1">G8/$J$3</f>
        <v>0.39976642646494576</v>
      </c>
      <c r="I8" s="14"/>
      <c r="J8" s="14"/>
      <c r="K8" s="29"/>
      <c r="L8" s="20"/>
    </row>
    <row r="9" spans="1:12" s="21" customFormat="1" ht="25" customHeight="1">
      <c r="A9" s="20"/>
      <c r="B9" s="38"/>
      <c r="C9" s="99">
        <v>3</v>
      </c>
      <c r="D9" s="100">
        <v>30</v>
      </c>
      <c r="E9" s="89">
        <f>'표점등급&amp;절평인원 입력기능'!D33</f>
        <v>53685</v>
      </c>
      <c r="F9" s="84">
        <f t="shared" si="0"/>
        <v>0.15035246078401168</v>
      </c>
      <c r="G9" s="90">
        <f>SUM($E$7:E9)</f>
        <v>196426</v>
      </c>
      <c r="H9" s="86">
        <f t="shared" si="1"/>
        <v>0.55011888724895741</v>
      </c>
      <c r="I9" s="14"/>
      <c r="J9" s="14"/>
      <c r="K9" s="29"/>
      <c r="L9" s="20"/>
    </row>
    <row r="10" spans="1:12" s="21" customFormat="1" ht="25" customHeight="1">
      <c r="A10" s="20"/>
      <c r="B10" s="38"/>
      <c r="C10" s="99">
        <v>4</v>
      </c>
      <c r="D10" s="100">
        <v>25</v>
      </c>
      <c r="E10" s="89">
        <f>'표점등급&amp;절평인원 입력기능'!D34</f>
        <v>44398</v>
      </c>
      <c r="F10" s="84">
        <f t="shared" si="0"/>
        <v>0.12434289939254077</v>
      </c>
      <c r="G10" s="90">
        <f>SUM($E$7:E10)</f>
        <v>240824</v>
      </c>
      <c r="H10" s="86">
        <f t="shared" si="1"/>
        <v>0.67446178664149825</v>
      </c>
      <c r="I10" s="14"/>
      <c r="J10" s="14"/>
      <c r="K10" s="29"/>
      <c r="L10" s="20"/>
    </row>
    <row r="11" spans="1:12" s="21" customFormat="1" ht="25" customHeight="1">
      <c r="A11" s="20"/>
      <c r="B11" s="38"/>
      <c r="C11" s="99">
        <v>5</v>
      </c>
      <c r="D11" s="100">
        <v>20</v>
      </c>
      <c r="E11" s="89">
        <f>'표점등급&amp;절평인원 입력기능'!D35</f>
        <v>33755</v>
      </c>
      <c r="F11" s="84">
        <f t="shared" si="0"/>
        <v>9.4535667575008198E-2</v>
      </c>
      <c r="G11" s="90">
        <f>SUM($E$7:E11)</f>
        <v>274579</v>
      </c>
      <c r="H11" s="86">
        <f t="shared" si="1"/>
        <v>0.76899745421650645</v>
      </c>
      <c r="I11" s="14"/>
      <c r="J11" s="14"/>
      <c r="K11" s="29"/>
      <c r="L11" s="20"/>
    </row>
    <row r="12" spans="1:12" s="21" customFormat="1" ht="25" customHeight="1">
      <c r="A12" s="20"/>
      <c r="B12" s="38"/>
      <c r="C12" s="99">
        <v>6</v>
      </c>
      <c r="D12" s="100">
        <v>15</v>
      </c>
      <c r="E12" s="89">
        <f>'표점등급&amp;절평인원 입력기능'!D36</f>
        <v>27979</v>
      </c>
      <c r="F12" s="84">
        <f t="shared" si="0"/>
        <v>7.8359159919453539E-2</v>
      </c>
      <c r="G12" s="90">
        <f>SUM($E$7:E12)</f>
        <v>302558</v>
      </c>
      <c r="H12" s="86">
        <f t="shared" si="1"/>
        <v>0.84735661413595997</v>
      </c>
      <c r="I12" s="14"/>
      <c r="J12" s="14"/>
      <c r="K12" s="29"/>
      <c r="L12" s="20"/>
    </row>
    <row r="13" spans="1:12" s="21" customFormat="1" ht="25" customHeight="1">
      <c r="A13" s="20"/>
      <c r="B13" s="38"/>
      <c r="C13" s="99">
        <v>7</v>
      </c>
      <c r="D13" s="100">
        <v>10</v>
      </c>
      <c r="E13" s="89">
        <f>'표점등급&amp;절평인원 입력기능'!D37</f>
        <v>38607</v>
      </c>
      <c r="F13" s="84">
        <f t="shared" si="0"/>
        <v>0.10812438210837924</v>
      </c>
      <c r="G13" s="90">
        <f>SUM($E$7:E13)</f>
        <v>341165</v>
      </c>
      <c r="H13" s="86">
        <f t="shared" si="1"/>
        <v>0.95548099624433924</v>
      </c>
      <c r="I13" s="14"/>
      <c r="J13" s="14"/>
      <c r="K13" s="29"/>
      <c r="L13" s="20"/>
    </row>
    <row r="14" spans="1:12" s="21" customFormat="1" ht="25" customHeight="1">
      <c r="A14" s="20"/>
      <c r="B14" s="38"/>
      <c r="C14" s="99">
        <v>8</v>
      </c>
      <c r="D14" s="100">
        <v>5</v>
      </c>
      <c r="E14" s="89">
        <f>'표점등급&amp;절평인원 입력기능'!D38</f>
        <v>13384</v>
      </c>
      <c r="F14" s="84">
        <f t="shared" si="0"/>
        <v>3.7483791284962514E-2</v>
      </c>
      <c r="G14" s="90">
        <f>SUM($E$7:E14)</f>
        <v>354549</v>
      </c>
      <c r="H14" s="86">
        <f t="shared" si="1"/>
        <v>0.99296478752930173</v>
      </c>
      <c r="I14" s="14"/>
      <c r="J14" s="14"/>
      <c r="K14" s="29"/>
      <c r="L14" s="20"/>
    </row>
    <row r="15" spans="1:12" s="21" customFormat="1" ht="25" customHeight="1" thickBot="1">
      <c r="A15" s="20"/>
      <c r="B15" s="38"/>
      <c r="C15" s="101">
        <v>9</v>
      </c>
      <c r="D15" s="102">
        <v>0</v>
      </c>
      <c r="E15" s="93">
        <f>'표점등급&amp;절평인원 입력기능'!D39</f>
        <v>2512</v>
      </c>
      <c r="F15" s="94">
        <f t="shared" si="0"/>
        <v>7.0352124706982841E-3</v>
      </c>
      <c r="G15" s="95">
        <f>SUM($E$7:E15)</f>
        <v>357061</v>
      </c>
      <c r="H15" s="96">
        <f t="shared" si="1"/>
        <v>1</v>
      </c>
      <c r="I15" s="14"/>
      <c r="J15" s="14"/>
      <c r="K15" s="29"/>
      <c r="L15" s="20"/>
    </row>
    <row r="16" spans="1:12" ht="6" customHeight="1">
      <c r="A16" s="2"/>
      <c r="B16" s="34"/>
      <c r="C16" s="35"/>
      <c r="D16" s="35"/>
      <c r="E16" s="35"/>
      <c r="F16" s="35"/>
      <c r="G16" s="35"/>
      <c r="H16" s="35"/>
      <c r="I16" s="35"/>
      <c r="J16" s="35"/>
      <c r="K16" s="36"/>
    </row>
  </sheetData>
  <mergeCells count="3">
    <mergeCell ref="D3:F3"/>
    <mergeCell ref="D4:F4"/>
    <mergeCell ref="I4:J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5C796-3132-4C04-AFE6-AEEFC657C7D6}">
  <sheetPr codeName="Sheet8"/>
  <dimension ref="A1:L16"/>
  <sheetViews>
    <sheetView zoomScale="85" zoomScaleNormal="85" workbookViewId="0">
      <selection activeCell="B2" sqref="B2:K16"/>
    </sheetView>
  </sheetViews>
  <sheetFormatPr defaultRowHeight="17"/>
  <cols>
    <col min="2" max="2" width="1" style="2" customWidth="1"/>
    <col min="3" max="10" width="14.1640625" customWidth="1"/>
    <col min="11" max="11" width="1" customWidth="1"/>
  </cols>
  <sheetData>
    <row r="1" spans="1:12">
      <c r="A1" s="2" t="s">
        <v>40</v>
      </c>
      <c r="C1" s="2"/>
      <c r="D1" s="2"/>
      <c r="E1" s="2"/>
      <c r="F1" s="2"/>
      <c r="G1" s="2"/>
      <c r="H1" s="2"/>
      <c r="I1" s="2"/>
      <c r="J1" s="2"/>
      <c r="K1" s="2"/>
    </row>
    <row r="2" spans="1:12" s="2" customFormat="1" ht="6" customHeight="1" thickBot="1">
      <c r="B2" s="24"/>
      <c r="C2" s="25"/>
      <c r="D2" s="25"/>
      <c r="E2" s="25"/>
      <c r="F2" s="25"/>
      <c r="G2" s="25"/>
      <c r="H2" s="25"/>
      <c r="I2" s="25"/>
      <c r="J2" s="25"/>
      <c r="K2" s="26"/>
    </row>
    <row r="3" spans="1:12" s="21" customFormat="1" ht="25" customHeight="1" thickBot="1">
      <c r="A3" s="20"/>
      <c r="B3" s="38"/>
      <c r="C3" s="42" t="s">
        <v>56</v>
      </c>
      <c r="D3" s="107" t="s">
        <v>69</v>
      </c>
      <c r="E3" s="108"/>
      <c r="F3" s="109"/>
      <c r="G3" s="42" t="s">
        <v>57</v>
      </c>
      <c r="H3" s="43" t="str">
        <f>'통계 및 응시자 수 입력 기능'!D8</f>
        <v>29.09</v>
      </c>
      <c r="I3" s="15" t="s">
        <v>58</v>
      </c>
      <c r="J3" s="44">
        <f>'통계 및 응시자 수 입력 기능'!C8</f>
        <v>356181</v>
      </c>
      <c r="K3" s="29"/>
    </row>
    <row r="4" spans="1:12" s="21" customFormat="1" ht="25" customHeight="1" thickBot="1">
      <c r="A4" s="20"/>
      <c r="B4" s="38"/>
      <c r="C4" s="45" t="s">
        <v>59</v>
      </c>
      <c r="D4" s="117" t="s">
        <v>70</v>
      </c>
      <c r="E4" s="111"/>
      <c r="F4" s="112"/>
      <c r="G4" s="46" t="s">
        <v>61</v>
      </c>
      <c r="H4" s="47" t="str">
        <f>'통계 및 응시자 수 입력 기능'!E8</f>
        <v>10.46</v>
      </c>
      <c r="I4" s="113"/>
      <c r="J4" s="114"/>
      <c r="K4" s="29"/>
    </row>
    <row r="5" spans="1:12" s="21" customFormat="1" ht="25" customHeight="1" thickBot="1">
      <c r="A5" s="20"/>
      <c r="B5" s="38"/>
      <c r="C5" s="14"/>
      <c r="D5" s="14"/>
      <c r="E5" s="14"/>
      <c r="F5" s="14"/>
      <c r="G5" s="14"/>
      <c r="H5" s="14"/>
      <c r="I5" s="116"/>
      <c r="J5" s="116"/>
      <c r="K5" s="29"/>
    </row>
    <row r="6" spans="1:12" s="21" customFormat="1" ht="25" customHeight="1" thickBot="1">
      <c r="A6" s="20"/>
      <c r="B6" s="38"/>
      <c r="C6" s="48" t="s">
        <v>63</v>
      </c>
      <c r="D6" s="79" t="s">
        <v>64</v>
      </c>
      <c r="E6" s="80" t="s">
        <v>65</v>
      </c>
      <c r="F6" s="49" t="s">
        <v>66</v>
      </c>
      <c r="G6" s="49" t="s">
        <v>67</v>
      </c>
      <c r="H6" s="51" t="s">
        <v>68</v>
      </c>
      <c r="I6" s="14"/>
      <c r="J6" s="14"/>
      <c r="K6" s="29"/>
      <c r="L6" s="20"/>
    </row>
    <row r="7" spans="1:12" s="21" customFormat="1" ht="25" customHeight="1">
      <c r="A7" s="20"/>
      <c r="B7" s="38"/>
      <c r="C7" s="97">
        <v>1</v>
      </c>
      <c r="D7" s="98">
        <v>40</v>
      </c>
      <c r="E7" s="83">
        <f>'표점등급&amp;절평인원 입력기능'!D40</f>
        <v>56423</v>
      </c>
      <c r="F7" s="84">
        <f>E7/$J$3</f>
        <v>0.15841103259297942</v>
      </c>
      <c r="G7" s="85">
        <f>SUM($E$7:E7)</f>
        <v>56423</v>
      </c>
      <c r="H7" s="86">
        <f>G7/$J$3</f>
        <v>0.15841103259297942</v>
      </c>
      <c r="I7" s="14"/>
      <c r="J7" s="14"/>
      <c r="K7" s="29"/>
      <c r="L7" s="20"/>
    </row>
    <row r="8" spans="1:12" s="21" customFormat="1" ht="25" customHeight="1">
      <c r="A8" s="20"/>
      <c r="B8" s="38"/>
      <c r="C8" s="99">
        <v>2</v>
      </c>
      <c r="D8" s="100">
        <v>35</v>
      </c>
      <c r="E8" s="89">
        <f>'표점등급&amp;절평인원 입력기능'!D41</f>
        <v>65475</v>
      </c>
      <c r="F8" s="84">
        <f t="shared" ref="F8:F15" si="0">E8/$J$3</f>
        <v>0.18382507769925965</v>
      </c>
      <c r="G8" s="90">
        <f>SUM($E$7:E8)</f>
        <v>121898</v>
      </c>
      <c r="H8" s="86">
        <f t="shared" ref="H8:H15" si="1">G8/$J$3</f>
        <v>0.34223611029223905</v>
      </c>
      <c r="I8" s="14"/>
      <c r="J8" s="14"/>
      <c r="K8" s="29"/>
      <c r="L8" s="20"/>
    </row>
    <row r="9" spans="1:12" s="21" customFormat="1" ht="25" customHeight="1">
      <c r="A9" s="20"/>
      <c r="B9" s="38"/>
      <c r="C9" s="99">
        <v>3</v>
      </c>
      <c r="D9" s="100">
        <v>30</v>
      </c>
      <c r="E9" s="89">
        <f>'표점등급&amp;절평인원 입력기능'!D42</f>
        <v>67967</v>
      </c>
      <c r="F9" s="84">
        <f t="shared" si="0"/>
        <v>0.19082152051906193</v>
      </c>
      <c r="G9" s="90">
        <f>SUM($E$7:E9)</f>
        <v>189865</v>
      </c>
      <c r="H9" s="86">
        <f t="shared" si="1"/>
        <v>0.53305763081130098</v>
      </c>
      <c r="I9" s="14"/>
      <c r="J9" s="14"/>
      <c r="K9" s="29"/>
      <c r="L9" s="20"/>
    </row>
    <row r="10" spans="1:12" s="21" customFormat="1" ht="25" customHeight="1">
      <c r="A10" s="20"/>
      <c r="B10" s="38"/>
      <c r="C10" s="99">
        <v>4</v>
      </c>
      <c r="D10" s="100">
        <v>25</v>
      </c>
      <c r="E10" s="89">
        <f>'표점등급&amp;절평인원 입력기능'!D43</f>
        <v>55924</v>
      </c>
      <c r="F10" s="84">
        <f t="shared" si="0"/>
        <v>0.15701005949222446</v>
      </c>
      <c r="G10" s="90">
        <f>SUM($E$7:E10)</f>
        <v>245789</v>
      </c>
      <c r="H10" s="86">
        <f t="shared" si="1"/>
        <v>0.69006769030352544</v>
      </c>
      <c r="I10" s="14"/>
      <c r="J10" s="14"/>
      <c r="K10" s="29"/>
      <c r="L10" s="20"/>
    </row>
    <row r="11" spans="1:12" s="21" customFormat="1" ht="25" customHeight="1">
      <c r="A11" s="20"/>
      <c r="B11" s="38"/>
      <c r="C11" s="99">
        <v>5</v>
      </c>
      <c r="D11" s="100">
        <v>20</v>
      </c>
      <c r="E11" s="89">
        <f>'표점등급&amp;절평인원 입력기능'!D44</f>
        <v>38513</v>
      </c>
      <c r="F11" s="84">
        <f t="shared" si="0"/>
        <v>0.10812760927730564</v>
      </c>
      <c r="G11" s="90">
        <f>SUM($E$7:E11)</f>
        <v>284302</v>
      </c>
      <c r="H11" s="86">
        <f t="shared" si="1"/>
        <v>0.79819529958083113</v>
      </c>
      <c r="I11" s="14"/>
      <c r="J11" s="14"/>
      <c r="K11" s="29"/>
      <c r="L11" s="20"/>
    </row>
    <row r="12" spans="1:12" s="21" customFormat="1" ht="25" customHeight="1">
      <c r="A12" s="20"/>
      <c r="B12" s="38"/>
      <c r="C12" s="99">
        <v>6</v>
      </c>
      <c r="D12" s="100">
        <v>15</v>
      </c>
      <c r="E12" s="89">
        <f>'표점등급&amp;절평인원 입력기능'!D45</f>
        <v>26664</v>
      </c>
      <c r="F12" s="84">
        <f t="shared" si="0"/>
        <v>7.4860815147354862E-2</v>
      </c>
      <c r="G12" s="90">
        <f>SUM($E$7:E12)</f>
        <v>310966</v>
      </c>
      <c r="H12" s="86">
        <f t="shared" si="1"/>
        <v>0.87305611472818601</v>
      </c>
      <c r="I12" s="14"/>
      <c r="J12" s="14"/>
      <c r="K12" s="29"/>
      <c r="L12" s="20"/>
    </row>
    <row r="13" spans="1:12" s="21" customFormat="1" ht="25" customHeight="1">
      <c r="A13" s="20"/>
      <c r="B13" s="38"/>
      <c r="C13" s="99">
        <v>7</v>
      </c>
      <c r="D13" s="100">
        <v>10</v>
      </c>
      <c r="E13" s="89">
        <f>'표점등급&amp;절평인원 입력기능'!D46</f>
        <v>29510</v>
      </c>
      <c r="F13" s="84">
        <f t="shared" si="0"/>
        <v>8.2851134675909155E-2</v>
      </c>
      <c r="G13" s="90">
        <f>SUM($E$7:E13)</f>
        <v>340476</v>
      </c>
      <c r="H13" s="86">
        <f t="shared" si="1"/>
        <v>0.95590724940409511</v>
      </c>
      <c r="I13" s="14"/>
      <c r="J13" s="14"/>
      <c r="K13" s="29"/>
      <c r="L13" s="20"/>
    </row>
    <row r="14" spans="1:12" s="21" customFormat="1" ht="25" customHeight="1">
      <c r="A14" s="20"/>
      <c r="B14" s="38"/>
      <c r="C14" s="99">
        <v>8</v>
      </c>
      <c r="D14" s="100">
        <v>5</v>
      </c>
      <c r="E14" s="89">
        <f>'표점등급&amp;절평인원 입력기능'!D47</f>
        <v>13922</v>
      </c>
      <c r="F14" s="84">
        <f t="shared" si="0"/>
        <v>3.9086868754930781E-2</v>
      </c>
      <c r="G14" s="90">
        <f>SUM($E$7:E14)</f>
        <v>354398</v>
      </c>
      <c r="H14" s="86">
        <f t="shared" si="1"/>
        <v>0.99499411815902594</v>
      </c>
      <c r="I14" s="14"/>
      <c r="J14" s="14"/>
      <c r="K14" s="29"/>
      <c r="L14" s="20"/>
    </row>
    <row r="15" spans="1:12" s="21" customFormat="1" ht="25" customHeight="1" thickBot="1">
      <c r="A15" s="20"/>
      <c r="B15" s="38"/>
      <c r="C15" s="101">
        <v>9</v>
      </c>
      <c r="D15" s="102">
        <v>0</v>
      </c>
      <c r="E15" s="93">
        <f>'표점등급&amp;절평인원 입력기능'!D48</f>
        <v>1783</v>
      </c>
      <c r="F15" s="94">
        <f t="shared" si="0"/>
        <v>5.0058818409741117E-3</v>
      </c>
      <c r="G15" s="95">
        <f>SUM($E$7:E15)</f>
        <v>356181</v>
      </c>
      <c r="H15" s="96">
        <f t="shared" si="1"/>
        <v>1</v>
      </c>
      <c r="I15" s="14"/>
      <c r="J15" s="14"/>
      <c r="K15" s="29"/>
      <c r="L15" s="20"/>
    </row>
    <row r="16" spans="1:12" ht="6" customHeight="1">
      <c r="A16" s="2"/>
      <c r="B16" s="34"/>
      <c r="C16" s="35"/>
      <c r="D16" s="35"/>
      <c r="E16" s="35"/>
      <c r="F16" s="35"/>
      <c r="G16" s="35"/>
      <c r="H16" s="35"/>
      <c r="I16" s="35"/>
      <c r="J16" s="35"/>
      <c r="K16" s="36"/>
    </row>
  </sheetData>
  <mergeCells count="3">
    <mergeCell ref="D3:F3"/>
    <mergeCell ref="D4:F4"/>
    <mergeCell ref="I4:J5"/>
  </mergeCells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FAE8D-03E5-4BB1-A552-691C1EE8C097}">
  <sheetPr codeName="Sheet9"/>
  <dimension ref="A1:L16"/>
  <sheetViews>
    <sheetView workbookViewId="0">
      <selection activeCell="B2" sqref="B2:K16"/>
    </sheetView>
  </sheetViews>
  <sheetFormatPr defaultRowHeight="17"/>
  <cols>
    <col min="2" max="2" width="1" style="2" customWidth="1"/>
    <col min="3" max="10" width="14.1640625" customWidth="1"/>
    <col min="11" max="11" width="1" customWidth="1"/>
  </cols>
  <sheetData>
    <row r="1" spans="1:12">
      <c r="A1" s="2" t="s">
        <v>40</v>
      </c>
      <c r="C1" s="2"/>
      <c r="D1" s="2"/>
      <c r="E1" s="2"/>
      <c r="F1" s="2"/>
      <c r="G1" s="2"/>
      <c r="H1" s="2"/>
      <c r="I1" s="2"/>
      <c r="J1" s="2"/>
      <c r="K1" s="2"/>
    </row>
    <row r="2" spans="1:12" s="2" customFormat="1" ht="6" customHeight="1" thickBot="1">
      <c r="B2" s="24"/>
      <c r="C2" s="25"/>
      <c r="D2" s="25"/>
      <c r="E2" s="25"/>
      <c r="F2" s="25"/>
      <c r="G2" s="25"/>
      <c r="H2" s="25"/>
      <c r="I2" s="25"/>
      <c r="J2" s="25"/>
      <c r="K2" s="26"/>
    </row>
    <row r="3" spans="1:12" s="21" customFormat="1" ht="25" customHeight="1" thickBot="1">
      <c r="A3" s="20"/>
      <c r="B3" s="38"/>
      <c r="C3" s="42" t="s">
        <v>56</v>
      </c>
      <c r="D3" s="107" t="s">
        <v>69</v>
      </c>
      <c r="E3" s="108"/>
      <c r="F3" s="109"/>
      <c r="G3" s="42" t="s">
        <v>57</v>
      </c>
      <c r="H3" s="43" t="str">
        <f>'통계 및 응시자 수 입력 기능'!D9</f>
        <v>26.82</v>
      </c>
      <c r="I3" s="15" t="s">
        <v>58</v>
      </c>
      <c r="J3" s="44">
        <f>'통계 및 응시자 수 입력 기능'!C9</f>
        <v>355599</v>
      </c>
      <c r="K3" s="29"/>
    </row>
    <row r="4" spans="1:12" s="21" customFormat="1" ht="25" customHeight="1" thickBot="1">
      <c r="A4" s="20"/>
      <c r="B4" s="38"/>
      <c r="C4" s="45" t="s">
        <v>59</v>
      </c>
      <c r="D4" s="117" t="s">
        <v>71</v>
      </c>
      <c r="E4" s="111"/>
      <c r="F4" s="112"/>
      <c r="G4" s="46" t="s">
        <v>61</v>
      </c>
      <c r="H4" s="47" t="str">
        <f>'통계 및 응시자 수 입력 기능'!E9</f>
        <v>12.57</v>
      </c>
      <c r="I4" s="113"/>
      <c r="J4" s="114"/>
      <c r="K4" s="29"/>
    </row>
    <row r="5" spans="1:12" s="21" customFormat="1" ht="25" customHeight="1" thickBot="1">
      <c r="A5" s="20"/>
      <c r="B5" s="38"/>
      <c r="C5" s="14"/>
      <c r="D5" s="14"/>
      <c r="E5" s="14"/>
      <c r="F5" s="14"/>
      <c r="G5" s="14"/>
      <c r="H5" s="14"/>
      <c r="I5" s="116"/>
      <c r="J5" s="116"/>
      <c r="K5" s="29"/>
    </row>
    <row r="6" spans="1:12" s="21" customFormat="1" ht="25" customHeight="1" thickBot="1">
      <c r="A6" s="20"/>
      <c r="B6" s="38"/>
      <c r="C6" s="48" t="s">
        <v>63</v>
      </c>
      <c r="D6" s="79" t="s">
        <v>64</v>
      </c>
      <c r="E6" s="80" t="s">
        <v>65</v>
      </c>
      <c r="F6" s="49" t="s">
        <v>66</v>
      </c>
      <c r="G6" s="49" t="s">
        <v>67</v>
      </c>
      <c r="H6" s="51" t="s">
        <v>68</v>
      </c>
      <c r="I6" s="14"/>
      <c r="J6" s="14"/>
      <c r="K6" s="29"/>
      <c r="L6" s="20"/>
    </row>
    <row r="7" spans="1:12" s="21" customFormat="1" ht="25" customHeight="1">
      <c r="A7" s="20"/>
      <c r="B7" s="38"/>
      <c r="C7" s="97">
        <v>1</v>
      </c>
      <c r="D7" s="98">
        <v>40</v>
      </c>
      <c r="E7" s="83">
        <f>'표점등급&amp;절평인원 입력기능'!D49</f>
        <v>73727</v>
      </c>
      <c r="F7" s="84">
        <f>E7/$J$3</f>
        <v>0.20733185413907237</v>
      </c>
      <c r="G7" s="85">
        <f>SUM($E$7:E7)</f>
        <v>73727</v>
      </c>
      <c r="H7" s="86">
        <f>G7/$J$3</f>
        <v>0.20733185413907237</v>
      </c>
      <c r="I7" s="14"/>
      <c r="J7" s="14"/>
      <c r="K7" s="29"/>
      <c r="L7" s="20"/>
    </row>
    <row r="8" spans="1:12" s="21" customFormat="1" ht="25" customHeight="1">
      <c r="A8" s="20"/>
      <c r="B8" s="38"/>
      <c r="C8" s="99">
        <v>2</v>
      </c>
      <c r="D8" s="100">
        <v>35</v>
      </c>
      <c r="E8" s="89">
        <f>'표점등급&amp;절평인원 입력기능'!D50</f>
        <v>38793</v>
      </c>
      <c r="F8" s="84">
        <f t="shared" ref="F8:F15" si="0">E8/$J$3</f>
        <v>0.10909198282334877</v>
      </c>
      <c r="G8" s="90">
        <f>SUM($E$7:E8)</f>
        <v>112520</v>
      </c>
      <c r="H8" s="86">
        <f t="shared" ref="H8:H15" si="1">G8/$J$3</f>
        <v>0.31642383696242116</v>
      </c>
      <c r="I8" s="14"/>
      <c r="J8" s="14"/>
      <c r="K8" s="29"/>
      <c r="L8" s="20"/>
    </row>
    <row r="9" spans="1:12" s="21" customFormat="1" ht="25" customHeight="1">
      <c r="A9" s="20"/>
      <c r="B9" s="38"/>
      <c r="C9" s="99">
        <v>3</v>
      </c>
      <c r="D9" s="100">
        <v>30</v>
      </c>
      <c r="E9" s="89">
        <f>'표점등급&amp;절평인원 입력기능'!D51</f>
        <v>39567</v>
      </c>
      <c r="F9" s="84">
        <f t="shared" si="0"/>
        <v>0.11126859186893101</v>
      </c>
      <c r="G9" s="90">
        <f>SUM($E$7:E9)</f>
        <v>152087</v>
      </c>
      <c r="H9" s="86">
        <f t="shared" si="1"/>
        <v>0.42769242883135217</v>
      </c>
      <c r="I9" s="14"/>
      <c r="J9" s="14"/>
      <c r="K9" s="29"/>
      <c r="L9" s="20"/>
    </row>
    <row r="10" spans="1:12" s="21" customFormat="1" ht="25" customHeight="1">
      <c r="A10" s="20"/>
      <c r="B10" s="38"/>
      <c r="C10" s="99">
        <v>4</v>
      </c>
      <c r="D10" s="100">
        <v>25</v>
      </c>
      <c r="E10" s="89">
        <f>'표점등급&amp;절평인원 입력기능'!D52</f>
        <v>40550</v>
      </c>
      <c r="F10" s="84">
        <f t="shared" si="0"/>
        <v>0.11403294159994826</v>
      </c>
      <c r="G10" s="90">
        <f>SUM($E$7:E10)</f>
        <v>192637</v>
      </c>
      <c r="H10" s="86">
        <f t="shared" si="1"/>
        <v>0.54172537043130042</v>
      </c>
      <c r="I10" s="14"/>
      <c r="J10" s="14"/>
      <c r="K10" s="29"/>
      <c r="L10" s="20"/>
    </row>
    <row r="11" spans="1:12" s="21" customFormat="1" ht="25" customHeight="1">
      <c r="A11" s="20"/>
      <c r="B11" s="38"/>
      <c r="C11" s="99">
        <v>5</v>
      </c>
      <c r="D11" s="100">
        <v>20</v>
      </c>
      <c r="E11" s="89">
        <f>'표점등급&amp;절평인원 입력기능'!D53</f>
        <v>41745</v>
      </c>
      <c r="F11" s="84">
        <f t="shared" si="0"/>
        <v>0.11739346848556942</v>
      </c>
      <c r="G11" s="90">
        <f>SUM($E$7:E11)</f>
        <v>234382</v>
      </c>
      <c r="H11" s="86">
        <f t="shared" si="1"/>
        <v>0.65911883891686984</v>
      </c>
      <c r="I11" s="14"/>
      <c r="J11" s="14"/>
      <c r="K11" s="29"/>
      <c r="L11" s="20"/>
    </row>
    <row r="12" spans="1:12" s="21" customFormat="1" ht="25" customHeight="1">
      <c r="A12" s="20"/>
      <c r="B12" s="38"/>
      <c r="C12" s="99">
        <v>6</v>
      </c>
      <c r="D12" s="100">
        <v>15</v>
      </c>
      <c r="E12" s="89">
        <f>'표점등급&amp;절평인원 입력기능'!D54</f>
        <v>43395</v>
      </c>
      <c r="F12" s="84">
        <f t="shared" si="0"/>
        <v>0.12203352652847731</v>
      </c>
      <c r="G12" s="90">
        <f>SUM($E$7:E12)</f>
        <v>277777</v>
      </c>
      <c r="H12" s="86">
        <f t="shared" si="1"/>
        <v>0.78115236544534716</v>
      </c>
      <c r="I12" s="14"/>
      <c r="J12" s="14"/>
      <c r="K12" s="29"/>
      <c r="L12" s="20"/>
    </row>
    <row r="13" spans="1:12" s="21" customFormat="1" ht="25" customHeight="1">
      <c r="A13" s="20"/>
      <c r="B13" s="38"/>
      <c r="C13" s="99">
        <v>7</v>
      </c>
      <c r="D13" s="100">
        <v>10</v>
      </c>
      <c r="E13" s="89">
        <f>'표점등급&amp;절평인원 입력기능'!D55</f>
        <v>53781</v>
      </c>
      <c r="F13" s="84">
        <f t="shared" si="0"/>
        <v>0.15124058279129018</v>
      </c>
      <c r="G13" s="90">
        <f>SUM($E$7:E13)</f>
        <v>331558</v>
      </c>
      <c r="H13" s="86">
        <f t="shared" si="1"/>
        <v>0.93239294823663732</v>
      </c>
      <c r="I13" s="14"/>
      <c r="J13" s="14"/>
      <c r="K13" s="29"/>
      <c r="L13" s="20"/>
    </row>
    <row r="14" spans="1:12" s="21" customFormat="1" ht="25" customHeight="1">
      <c r="A14" s="20"/>
      <c r="B14" s="38"/>
      <c r="C14" s="99">
        <v>8</v>
      </c>
      <c r="D14" s="100">
        <v>5</v>
      </c>
      <c r="E14" s="89">
        <f>'표점등급&amp;절평인원 입력기능'!D56</f>
        <v>20896</v>
      </c>
      <c r="F14" s="84">
        <f t="shared" si="0"/>
        <v>5.8762819917941279E-2</v>
      </c>
      <c r="G14" s="90">
        <f>SUM($E$7:E14)</f>
        <v>352454</v>
      </c>
      <c r="H14" s="86">
        <f t="shared" si="1"/>
        <v>0.99115576815457862</v>
      </c>
      <c r="I14" s="14"/>
      <c r="J14" s="14"/>
      <c r="K14" s="29"/>
      <c r="L14" s="20"/>
    </row>
    <row r="15" spans="1:12" s="21" customFormat="1" ht="25" customHeight="1" thickBot="1">
      <c r="A15" s="20"/>
      <c r="B15" s="38"/>
      <c r="C15" s="101">
        <v>9</v>
      </c>
      <c r="D15" s="102">
        <v>0</v>
      </c>
      <c r="E15" s="93">
        <f>'표점등급&amp;절평인원 입력기능'!D57</f>
        <v>3145</v>
      </c>
      <c r="F15" s="94">
        <f t="shared" si="0"/>
        <v>8.8442318454213884E-3</v>
      </c>
      <c r="G15" s="95">
        <f>SUM($E$7:E15)</f>
        <v>355599</v>
      </c>
      <c r="H15" s="96">
        <f t="shared" si="1"/>
        <v>1</v>
      </c>
      <c r="I15" s="14"/>
      <c r="J15" s="14"/>
      <c r="K15" s="29"/>
      <c r="L15" s="20"/>
    </row>
    <row r="16" spans="1:12" ht="6" customHeight="1">
      <c r="A16" s="2"/>
      <c r="B16" s="34"/>
      <c r="C16" s="35"/>
      <c r="D16" s="35"/>
      <c r="E16" s="35"/>
      <c r="F16" s="35"/>
      <c r="G16" s="35"/>
      <c r="H16" s="35"/>
      <c r="I16" s="35"/>
      <c r="J16" s="35"/>
      <c r="K16" s="36"/>
    </row>
  </sheetData>
  <mergeCells count="3">
    <mergeCell ref="D3:F3"/>
    <mergeCell ref="D4:F4"/>
    <mergeCell ref="I4:J5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통계 및 응시자 수 입력 기능</vt:lpstr>
      <vt:lpstr>표점등급&amp;절평인원 입력기능</vt:lpstr>
      <vt:lpstr>인원 입력 기능</vt:lpstr>
      <vt:lpstr>국어</vt:lpstr>
      <vt:lpstr>수학</vt:lpstr>
      <vt:lpstr>영어</vt:lpstr>
      <vt:lpstr>한국사</vt:lpstr>
      <vt:lpstr>사회</vt:lpstr>
      <vt:lpstr>과학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윤승혁</dc:creator>
  <cp:lastModifiedBy>윤승혁</cp:lastModifiedBy>
  <cp:lastPrinted>2022-05-21T13:19:13Z</cp:lastPrinted>
  <dcterms:created xsi:type="dcterms:W3CDTF">2018-04-21T04:34:05Z</dcterms:created>
  <dcterms:modified xsi:type="dcterms:W3CDTF">2024-09-25T01:25:04Z</dcterms:modified>
</cp:coreProperties>
</file>