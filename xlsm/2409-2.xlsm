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00000000-0000-0000-0000-000000000000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윤승혁\OneDrive - 홍익대학교\바탕 화면\모의고사&amp;수능 관련\2024\고2\"/>
    </mc:Choice>
  </mc:AlternateContent>
  <xr:revisionPtr revIDLastSave="0" documentId="13_ncr:1_{167D4830-61AE-409B-B622-54465D229196}" xr6:coauthVersionLast="47" xr6:coauthVersionMax="47" xr10:uidLastSave="{00000000-0000-0000-0000-000000000000}"/>
  <bookViews>
    <workbookView xWindow="-110" yWindow="-110" windowWidth="19420" windowHeight="11620" firstSheet="4" activeTab="4" xr2:uid="{AB9EE284-95EA-49B1-8133-EE4E7651E7F1}"/>
  </bookViews>
  <sheets>
    <sheet name="통계 및 응시자 수 입력 기능" sheetId="67" r:id="rId1"/>
    <sheet name="표점등급&amp;절평인원 입력 기능" sheetId="66" r:id="rId2"/>
    <sheet name="인원 입력 기능(국수)" sheetId="64" r:id="rId3"/>
    <sheet name="인원 입력 기능(사과탐)" sheetId="68" r:id="rId4"/>
    <sheet name="국어" sheetId="2" r:id="rId5"/>
    <sheet name="수학" sheetId="5" r:id="rId6"/>
    <sheet name="영어" sheetId="6" r:id="rId7"/>
    <sheet name="한국사" sheetId="25" r:id="rId8"/>
    <sheet name="생활과 윤리" sheetId="3" r:id="rId9"/>
    <sheet name="윤리와 사상" sheetId="26" r:id="rId10"/>
    <sheet name="한국지리" sheetId="27" r:id="rId11"/>
    <sheet name="세계지리" sheetId="28" r:id="rId12"/>
    <sheet name="동아시아사" sheetId="29" r:id="rId13"/>
    <sheet name="세계사" sheetId="30" r:id="rId14"/>
    <sheet name="경제" sheetId="31" r:id="rId15"/>
    <sheet name="정치와 법" sheetId="32" r:id="rId16"/>
    <sheet name="사회∙문화" sheetId="33" r:id="rId17"/>
    <sheet name="물리학Ⅰ" sheetId="34" r:id="rId18"/>
    <sheet name="화학Ⅰ" sheetId="35" r:id="rId19"/>
    <sheet name="생명과학Ⅰ" sheetId="36" r:id="rId20"/>
    <sheet name="지구과학Ⅰ" sheetId="37" r:id="rId21"/>
    <sheet name="등급컷 모아보기" sheetId="79" r:id="rId2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3" l="1"/>
  <c r="H3" i="26"/>
  <c r="H4" i="3"/>
  <c r="J3" i="2" l="1"/>
  <c r="J3" i="5"/>
  <c r="E15" i="25" l="1"/>
  <c r="E14" i="25"/>
  <c r="E9" i="25"/>
  <c r="E10" i="25"/>
  <c r="E11" i="25"/>
  <c r="E12" i="25"/>
  <c r="E13" i="25"/>
  <c r="E8" i="25"/>
  <c r="E7" i="25"/>
  <c r="E15" i="6"/>
  <c r="E9" i="6"/>
  <c r="E10" i="6"/>
  <c r="E11" i="6"/>
  <c r="E12" i="6"/>
  <c r="E13" i="6"/>
  <c r="E14" i="6"/>
  <c r="E8" i="6"/>
  <c r="E7" i="6"/>
  <c r="Q8" i="26" l="1"/>
  <c r="Q9" i="26"/>
  <c r="Q10" i="26"/>
  <c r="Q11" i="26"/>
  <c r="Q12" i="26"/>
  <c r="Q13" i="26"/>
  <c r="Q14" i="26"/>
  <c r="Q8" i="27"/>
  <c r="Q9" i="27"/>
  <c r="Q10" i="27"/>
  <c r="Q11" i="27"/>
  <c r="Q12" i="27"/>
  <c r="Q13" i="27"/>
  <c r="Q14" i="27"/>
  <c r="Q8" i="28"/>
  <c r="Q9" i="28"/>
  <c r="Q10" i="28"/>
  <c r="Q11" i="28"/>
  <c r="Q12" i="28"/>
  <c r="Q13" i="28"/>
  <c r="Q14" i="28"/>
  <c r="Q8" i="29"/>
  <c r="Q9" i="29"/>
  <c r="Q10" i="29"/>
  <c r="Q11" i="29"/>
  <c r="Q12" i="29"/>
  <c r="Q13" i="29"/>
  <c r="Q14" i="29"/>
  <c r="Q8" i="30"/>
  <c r="Q9" i="30"/>
  <c r="Q10" i="30"/>
  <c r="Q11" i="30"/>
  <c r="Q12" i="30"/>
  <c r="Q13" i="30"/>
  <c r="Q14" i="30"/>
  <c r="Q8" i="31"/>
  <c r="Q9" i="31"/>
  <c r="Q10" i="31"/>
  <c r="Q11" i="31"/>
  <c r="Q12" i="31"/>
  <c r="Q13" i="31"/>
  <c r="Q14" i="31"/>
  <c r="Q8" i="32"/>
  <c r="Q9" i="32"/>
  <c r="Q10" i="32"/>
  <c r="Q11" i="32"/>
  <c r="Q12" i="32"/>
  <c r="Q13" i="32"/>
  <c r="Q14" i="32"/>
  <c r="Q8" i="33"/>
  <c r="Q9" i="33"/>
  <c r="Q10" i="33"/>
  <c r="Q11" i="33"/>
  <c r="Q12" i="33"/>
  <c r="Q13" i="33"/>
  <c r="Q14" i="33"/>
  <c r="Q8" i="34"/>
  <c r="Q9" i="34"/>
  <c r="Q10" i="34"/>
  <c r="Q11" i="34"/>
  <c r="Q12" i="34"/>
  <c r="Q13" i="34"/>
  <c r="Q14" i="34"/>
  <c r="Q8" i="35"/>
  <c r="Q9" i="35"/>
  <c r="Q10" i="35"/>
  <c r="Q11" i="35"/>
  <c r="Q12" i="35"/>
  <c r="Q13" i="35"/>
  <c r="Q14" i="35"/>
  <c r="Q8" i="36"/>
  <c r="Q9" i="36"/>
  <c r="Q10" i="36"/>
  <c r="Q11" i="36"/>
  <c r="Q12" i="36"/>
  <c r="Q13" i="36"/>
  <c r="Q14" i="36"/>
  <c r="Q8" i="37"/>
  <c r="Q9" i="37"/>
  <c r="Q10" i="37"/>
  <c r="Q11" i="37"/>
  <c r="Q12" i="37"/>
  <c r="Q13" i="37"/>
  <c r="Q14" i="37"/>
  <c r="Q8" i="3"/>
  <c r="D21" i="79" s="1"/>
  <c r="Q9" i="3"/>
  <c r="D22" i="79" s="1"/>
  <c r="Q10" i="3"/>
  <c r="D23" i="79" s="1"/>
  <c r="Q11" i="3"/>
  <c r="D24" i="79" s="1"/>
  <c r="Q12" i="3"/>
  <c r="D25" i="79" s="1"/>
  <c r="Q13" i="3"/>
  <c r="D26" i="79" s="1"/>
  <c r="Q14" i="3"/>
  <c r="D27" i="79" s="1"/>
  <c r="Q7" i="37"/>
  <c r="Q7" i="36"/>
  <c r="Q7" i="35"/>
  <c r="Q7" i="34"/>
  <c r="Q7" i="33"/>
  <c r="Q7" i="32"/>
  <c r="Q7" i="31"/>
  <c r="Q7" i="30"/>
  <c r="Q7" i="29"/>
  <c r="Q7" i="28"/>
  <c r="Q7" i="27"/>
  <c r="Q7" i="26"/>
  <c r="Q7" i="3"/>
  <c r="Q8" i="5"/>
  <c r="Q9" i="5"/>
  <c r="Q10" i="5"/>
  <c r="Q11" i="5"/>
  <c r="Q12" i="5"/>
  <c r="Q13" i="5"/>
  <c r="Q14" i="5"/>
  <c r="Q7" i="5"/>
  <c r="Q8" i="2"/>
  <c r="Q9" i="2"/>
  <c r="Q10" i="2"/>
  <c r="Q11" i="2"/>
  <c r="Q12" i="2"/>
  <c r="Q13" i="2"/>
  <c r="Q14" i="2"/>
  <c r="Q7" i="2"/>
  <c r="J3" i="37"/>
  <c r="J3" i="36"/>
  <c r="J3" i="35"/>
  <c r="J3" i="34"/>
  <c r="J3" i="33"/>
  <c r="J3" i="32"/>
  <c r="J3" i="31"/>
  <c r="J3" i="30"/>
  <c r="J3" i="29"/>
  <c r="J3" i="28"/>
  <c r="J3" i="27"/>
  <c r="J3" i="26"/>
  <c r="J3" i="3"/>
  <c r="J3" i="25"/>
  <c r="F7" i="25" s="1"/>
  <c r="J3" i="6"/>
  <c r="F8" i="6" s="1"/>
  <c r="H4" i="37"/>
  <c r="H4" i="36"/>
  <c r="H4" i="35"/>
  <c r="H4" i="34"/>
  <c r="H4" i="33"/>
  <c r="H4" i="32"/>
  <c r="H4" i="31"/>
  <c r="H4" i="30"/>
  <c r="H4" i="29"/>
  <c r="H4" i="28"/>
  <c r="H4" i="27"/>
  <c r="H4" i="26"/>
  <c r="H4" i="25"/>
  <c r="H4" i="6"/>
  <c r="H4" i="5"/>
  <c r="H4" i="2"/>
  <c r="H3" i="37"/>
  <c r="H3" i="36"/>
  <c r="H3" i="35"/>
  <c r="H3" i="34"/>
  <c r="H3" i="33"/>
  <c r="H3" i="32"/>
  <c r="H3" i="31"/>
  <c r="H3" i="30"/>
  <c r="H3" i="29"/>
  <c r="H3" i="28"/>
  <c r="H3" i="27"/>
  <c r="H3" i="25"/>
  <c r="H3" i="6"/>
  <c r="H3" i="5"/>
  <c r="H3" i="2"/>
  <c r="F14" i="6" l="1"/>
  <c r="G35" i="79"/>
  <c r="E37" i="79"/>
  <c r="E33" i="79"/>
  <c r="D36" i="79"/>
  <c r="D32" i="79"/>
  <c r="L24" i="79"/>
  <c r="J26" i="79"/>
  <c r="J22" i="79"/>
  <c r="I25" i="79"/>
  <c r="I21" i="79"/>
  <c r="F26" i="79"/>
  <c r="F22" i="79"/>
  <c r="E25" i="79"/>
  <c r="E21" i="79"/>
  <c r="F13" i="25"/>
  <c r="E36" i="79"/>
  <c r="E32" i="79"/>
  <c r="D35" i="79"/>
  <c r="J25" i="79"/>
  <c r="J21" i="79"/>
  <c r="I24" i="79"/>
  <c r="F25" i="79"/>
  <c r="F21" i="79"/>
  <c r="E24" i="79"/>
  <c r="F10" i="6"/>
  <c r="F15" i="6"/>
  <c r="F38" i="79"/>
  <c r="K27" i="79"/>
  <c r="H24" i="79"/>
  <c r="G27" i="79"/>
  <c r="G23" i="79"/>
  <c r="K20" i="79"/>
  <c r="F31" i="79"/>
  <c r="H20" i="79"/>
  <c r="G38" i="79"/>
  <c r="H23" i="79"/>
  <c r="G20" i="79"/>
  <c r="L20" i="79"/>
  <c r="G31" i="79"/>
  <c r="G34" i="79"/>
  <c r="F33" i="79"/>
  <c r="L23" i="79"/>
  <c r="K22" i="79"/>
  <c r="G26" i="79"/>
  <c r="E20" i="79"/>
  <c r="I20" i="79"/>
  <c r="D31" i="79"/>
  <c r="G37" i="79"/>
  <c r="G33" i="79"/>
  <c r="F36" i="79"/>
  <c r="F32" i="79"/>
  <c r="E35" i="79"/>
  <c r="D38" i="79"/>
  <c r="D34" i="79"/>
  <c r="L26" i="79"/>
  <c r="L22" i="79"/>
  <c r="K25" i="79"/>
  <c r="K21" i="79"/>
  <c r="J24" i="79"/>
  <c r="I27" i="79"/>
  <c r="I23" i="79"/>
  <c r="H26" i="79"/>
  <c r="H22" i="79"/>
  <c r="G25" i="79"/>
  <c r="G21" i="79"/>
  <c r="F24" i="79"/>
  <c r="E27" i="79"/>
  <c r="E23" i="79"/>
  <c r="F34" i="79"/>
  <c r="K23" i="79"/>
  <c r="F37" i="79"/>
  <c r="L27" i="79"/>
  <c r="K26" i="79"/>
  <c r="H27" i="79"/>
  <c r="G22" i="79"/>
  <c r="F20" i="79"/>
  <c r="J20" i="79"/>
  <c r="E31" i="79"/>
  <c r="G36" i="79"/>
  <c r="G32" i="79"/>
  <c r="F35" i="79"/>
  <c r="E38" i="79"/>
  <c r="E34" i="79"/>
  <c r="D37" i="79"/>
  <c r="D33" i="79"/>
  <c r="L25" i="79"/>
  <c r="L21" i="79"/>
  <c r="K24" i="79"/>
  <c r="J27" i="79"/>
  <c r="J23" i="79"/>
  <c r="I26" i="79"/>
  <c r="I22" i="79"/>
  <c r="H25" i="79"/>
  <c r="H21" i="79"/>
  <c r="G24" i="79"/>
  <c r="F27" i="79"/>
  <c r="F23" i="79"/>
  <c r="E22" i="79"/>
  <c r="D20" i="79"/>
  <c r="E16" i="79"/>
  <c r="E12" i="79"/>
  <c r="D16" i="79"/>
  <c r="D12" i="79"/>
  <c r="D15" i="79"/>
  <c r="D11" i="79"/>
  <c r="E15" i="79"/>
  <c r="E11" i="79"/>
  <c r="D14" i="79"/>
  <c r="D10" i="79"/>
  <c r="E14" i="79"/>
  <c r="E10" i="79"/>
  <c r="D9" i="79"/>
  <c r="D13" i="79"/>
  <c r="E9" i="79"/>
  <c r="E13" i="79"/>
  <c r="F12" i="6"/>
  <c r="F11" i="25"/>
  <c r="F9" i="6"/>
  <c r="F15" i="25"/>
  <c r="F14" i="25"/>
  <c r="F7" i="6"/>
  <c r="F11" i="6"/>
  <c r="F13" i="6"/>
  <c r="F12" i="25"/>
  <c r="F10" i="25"/>
  <c r="F9" i="25"/>
  <c r="F8" i="25"/>
  <c r="D107" i="2"/>
  <c r="G107" i="2" s="1"/>
  <c r="H107" i="2" s="1"/>
  <c r="D102" i="2"/>
  <c r="L102" i="2" s="1"/>
  <c r="D102" i="5"/>
  <c r="L102" i="5" s="1"/>
  <c r="L107" i="2" l="1"/>
  <c r="E102" i="2"/>
  <c r="E102" i="5"/>
  <c r="D15" i="34"/>
  <c r="L15" i="34" s="1"/>
  <c r="E15" i="34" l="1"/>
  <c r="D13" i="28" l="1"/>
  <c r="L13" i="28" s="1"/>
  <c r="D14" i="28"/>
  <c r="L14" i="28" s="1"/>
  <c r="D15" i="28"/>
  <c r="L15" i="28" s="1"/>
  <c r="D16" i="28"/>
  <c r="L16" i="28" s="1"/>
  <c r="D17" i="28"/>
  <c r="L17" i="28" s="1"/>
  <c r="L18" i="28"/>
  <c r="D19" i="28"/>
  <c r="L19" i="28" s="1"/>
  <c r="D20" i="28"/>
  <c r="L20" i="28" s="1"/>
  <c r="D21" i="28"/>
  <c r="L21" i="28" s="1"/>
  <c r="D22" i="28"/>
  <c r="L22" i="28" s="1"/>
  <c r="D23" i="28"/>
  <c r="L23" i="28" s="1"/>
  <c r="D24" i="28"/>
  <c r="L24" i="28" s="1"/>
  <c r="L25" i="28"/>
  <c r="D26" i="28"/>
  <c r="L26" i="28" s="1"/>
  <c r="D27" i="28"/>
  <c r="L27" i="28" s="1"/>
  <c r="D28" i="28"/>
  <c r="L28" i="28" s="1"/>
  <c r="D29" i="28"/>
  <c r="L29" i="28" s="1"/>
  <c r="D30" i="28"/>
  <c r="L30" i="28" s="1"/>
  <c r="L31" i="28"/>
  <c r="D32" i="28"/>
  <c r="L32" i="28" s="1"/>
  <c r="D33" i="28"/>
  <c r="L33" i="28" s="1"/>
  <c r="D34" i="28"/>
  <c r="L34" i="28" s="1"/>
  <c r="D35" i="28"/>
  <c r="L35" i="28" s="1"/>
  <c r="D36" i="28"/>
  <c r="L36" i="28" s="1"/>
  <c r="D37" i="28"/>
  <c r="L37" i="28" s="1"/>
  <c r="L38" i="28"/>
  <c r="D39" i="28"/>
  <c r="L39" i="28" s="1"/>
  <c r="D40" i="28"/>
  <c r="L40" i="28" s="1"/>
  <c r="D41" i="28"/>
  <c r="L41" i="28" s="1"/>
  <c r="D42" i="28"/>
  <c r="L42" i="28" s="1"/>
  <c r="D43" i="28"/>
  <c r="L43" i="28" s="1"/>
  <c r="D44" i="28"/>
  <c r="L44" i="28" s="1"/>
  <c r="L45" i="28"/>
  <c r="D46" i="28"/>
  <c r="L46" i="28" s="1"/>
  <c r="D47" i="28"/>
  <c r="L47" i="28" s="1"/>
  <c r="D48" i="28"/>
  <c r="L48" i="28" s="1"/>
  <c r="D49" i="28"/>
  <c r="L49" i="28" s="1"/>
  <c r="D50" i="28"/>
  <c r="L51" i="28"/>
  <c r="D52" i="28"/>
  <c r="L52" i="28" s="1"/>
  <c r="D53" i="28"/>
  <c r="L53" i="28" s="1"/>
  <c r="D54" i="28"/>
  <c r="D55" i="28"/>
  <c r="L55" i="28" s="1"/>
  <c r="D57" i="28"/>
  <c r="G57" i="28" l="1"/>
  <c r="H57" i="28" s="1"/>
  <c r="L57" i="28"/>
  <c r="G54" i="28"/>
  <c r="H54" i="28" s="1"/>
  <c r="L54" i="28"/>
  <c r="G50" i="28"/>
  <c r="H50" i="28" s="1"/>
  <c r="L50" i="28"/>
  <c r="G55" i="28"/>
  <c r="H55" i="28" s="1"/>
  <c r="G47" i="28"/>
  <c r="H47" i="28" s="1"/>
  <c r="G43" i="28"/>
  <c r="H43" i="28" s="1"/>
  <c r="G39" i="28"/>
  <c r="H39" i="28" s="1"/>
  <c r="G35" i="28"/>
  <c r="H35" i="28" s="1"/>
  <c r="G27" i="28"/>
  <c r="H27" i="28" s="1"/>
  <c r="G23" i="28"/>
  <c r="H23" i="28" s="1"/>
  <c r="G19" i="28"/>
  <c r="H19" i="28" s="1"/>
  <c r="G15" i="28"/>
  <c r="H15" i="28" s="1"/>
  <c r="G52" i="28"/>
  <c r="H52" i="28" s="1"/>
  <c r="G48" i="28"/>
  <c r="H48" i="28" s="1"/>
  <c r="G44" i="28"/>
  <c r="H44" i="28" s="1"/>
  <c r="G40" i="28"/>
  <c r="H40" i="28" s="1"/>
  <c r="G36" i="28"/>
  <c r="H36" i="28" s="1"/>
  <c r="G32" i="28"/>
  <c r="H32" i="28" s="1"/>
  <c r="G28" i="28"/>
  <c r="H28" i="28" s="1"/>
  <c r="G24" i="28"/>
  <c r="H24" i="28" s="1"/>
  <c r="G20" i="28"/>
  <c r="H20" i="28" s="1"/>
  <c r="G16" i="28"/>
  <c r="H16" i="28" s="1"/>
  <c r="G46" i="28"/>
  <c r="H46" i="28" s="1"/>
  <c r="G42" i="28"/>
  <c r="H42" i="28" s="1"/>
  <c r="G34" i="28"/>
  <c r="H34" i="28" s="1"/>
  <c r="G30" i="28"/>
  <c r="H30" i="28" s="1"/>
  <c r="G26" i="28"/>
  <c r="H26" i="28" s="1"/>
  <c r="G22" i="28"/>
  <c r="H22" i="28" s="1"/>
  <c r="G14" i="28"/>
  <c r="H14" i="28" s="1"/>
  <c r="G53" i="28"/>
  <c r="H53" i="28" s="1"/>
  <c r="G49" i="28"/>
  <c r="H49" i="28" s="1"/>
  <c r="G41" i="28"/>
  <c r="H41" i="28" s="1"/>
  <c r="G37" i="28"/>
  <c r="H37" i="28" s="1"/>
  <c r="G33" i="28"/>
  <c r="H33" i="28" s="1"/>
  <c r="G29" i="28"/>
  <c r="H29" i="28" s="1"/>
  <c r="G21" i="28"/>
  <c r="H21" i="28" s="1"/>
  <c r="G17" i="28"/>
  <c r="H17" i="28" s="1"/>
  <c r="D57" i="37"/>
  <c r="D55" i="37"/>
  <c r="L55" i="37" s="1"/>
  <c r="D54" i="37"/>
  <c r="L54" i="37" s="1"/>
  <c r="D53" i="37"/>
  <c r="L53" i="37" s="1"/>
  <c r="D52" i="37"/>
  <c r="L52" i="37" s="1"/>
  <c r="D51" i="37"/>
  <c r="L51" i="37" s="1"/>
  <c r="D50" i="37"/>
  <c r="L50" i="37" s="1"/>
  <c r="D49" i="37"/>
  <c r="L49" i="37" s="1"/>
  <c r="D48" i="37"/>
  <c r="D47" i="37"/>
  <c r="L47" i="37" s="1"/>
  <c r="D46" i="37"/>
  <c r="L46" i="37" s="1"/>
  <c r="D45" i="37"/>
  <c r="L45" i="37" s="1"/>
  <c r="D44" i="37"/>
  <c r="D43" i="37"/>
  <c r="L43" i="37" s="1"/>
  <c r="D42" i="37"/>
  <c r="L42" i="37" s="1"/>
  <c r="L41" i="37"/>
  <c r="D40" i="37"/>
  <c r="L40" i="37" s="1"/>
  <c r="D39" i="37"/>
  <c r="L39" i="37" s="1"/>
  <c r="D38" i="37"/>
  <c r="L38" i="37" s="1"/>
  <c r="D37" i="37"/>
  <c r="L37" i="37" s="1"/>
  <c r="D36" i="37"/>
  <c r="L36" i="37" s="1"/>
  <c r="D35" i="37"/>
  <c r="L35" i="37" s="1"/>
  <c r="D34" i="37"/>
  <c r="L34" i="37" s="1"/>
  <c r="D33" i="37"/>
  <c r="L33" i="37" s="1"/>
  <c r="D32" i="37"/>
  <c r="L32" i="37" s="1"/>
  <c r="D31" i="37"/>
  <c r="L31" i="37" s="1"/>
  <c r="D30" i="37"/>
  <c r="L30" i="37" s="1"/>
  <c r="D29" i="37"/>
  <c r="L29" i="37" s="1"/>
  <c r="D28" i="37"/>
  <c r="L28" i="37" s="1"/>
  <c r="D27" i="37"/>
  <c r="L27" i="37" s="1"/>
  <c r="D26" i="37"/>
  <c r="L26" i="37" s="1"/>
  <c r="D25" i="37"/>
  <c r="L25" i="37" s="1"/>
  <c r="D24" i="37"/>
  <c r="L24" i="37" s="1"/>
  <c r="D23" i="37"/>
  <c r="L23" i="37" s="1"/>
  <c r="D22" i="37"/>
  <c r="L22" i="37" s="1"/>
  <c r="D21" i="37"/>
  <c r="L21" i="37" s="1"/>
  <c r="L20" i="37"/>
  <c r="D19" i="37"/>
  <c r="L19" i="37" s="1"/>
  <c r="D18" i="37"/>
  <c r="L18" i="37" s="1"/>
  <c r="D17" i="37"/>
  <c r="L17" i="37" s="1"/>
  <c r="D16" i="37"/>
  <c r="L16" i="37" s="1"/>
  <c r="D15" i="37"/>
  <c r="L15" i="37" s="1"/>
  <c r="D14" i="37"/>
  <c r="L14" i="37" s="1"/>
  <c r="D13" i="37"/>
  <c r="L13" i="37" s="1"/>
  <c r="D12" i="37"/>
  <c r="L12" i="37" s="1"/>
  <c r="D11" i="37"/>
  <c r="L11" i="37" s="1"/>
  <c r="D10" i="37"/>
  <c r="L10" i="37" s="1"/>
  <c r="D9" i="37"/>
  <c r="D7" i="37"/>
  <c r="D57" i="36"/>
  <c r="D55" i="36"/>
  <c r="L55" i="36" s="1"/>
  <c r="D54" i="36"/>
  <c r="L54" i="36" s="1"/>
  <c r="D53" i="36"/>
  <c r="L53" i="36" s="1"/>
  <c r="D52" i="36"/>
  <c r="L52" i="36" s="1"/>
  <c r="D51" i="36"/>
  <c r="L51" i="36" s="1"/>
  <c r="D50" i="36"/>
  <c r="L50" i="36" s="1"/>
  <c r="D49" i="36"/>
  <c r="L49" i="36" s="1"/>
  <c r="D48" i="36"/>
  <c r="L48" i="36" s="1"/>
  <c r="D47" i="36"/>
  <c r="L47" i="36" s="1"/>
  <c r="D46" i="36"/>
  <c r="L46" i="36" s="1"/>
  <c r="D45" i="36"/>
  <c r="L45" i="36" s="1"/>
  <c r="D44" i="36"/>
  <c r="L44" i="36" s="1"/>
  <c r="D43" i="36"/>
  <c r="L43" i="36" s="1"/>
  <c r="D42" i="36"/>
  <c r="L42" i="36" s="1"/>
  <c r="D41" i="36"/>
  <c r="L41" i="36" s="1"/>
  <c r="D40" i="36"/>
  <c r="L40" i="36" s="1"/>
  <c r="D39" i="36"/>
  <c r="L39" i="36" s="1"/>
  <c r="D38" i="36"/>
  <c r="L38" i="36" s="1"/>
  <c r="D37" i="36"/>
  <c r="L37" i="36" s="1"/>
  <c r="D36" i="36"/>
  <c r="L36" i="36" s="1"/>
  <c r="D35" i="36"/>
  <c r="L35" i="36" s="1"/>
  <c r="D34" i="36"/>
  <c r="L34" i="36" s="1"/>
  <c r="D33" i="36"/>
  <c r="L33" i="36" s="1"/>
  <c r="D32" i="36"/>
  <c r="L32" i="36" s="1"/>
  <c r="D31" i="36"/>
  <c r="L31" i="36" s="1"/>
  <c r="D30" i="36"/>
  <c r="L30" i="36" s="1"/>
  <c r="D29" i="36"/>
  <c r="L29" i="36" s="1"/>
  <c r="D28" i="36"/>
  <c r="L28" i="36" s="1"/>
  <c r="D27" i="36"/>
  <c r="L27" i="36" s="1"/>
  <c r="D26" i="36"/>
  <c r="L26" i="36" s="1"/>
  <c r="D25" i="36"/>
  <c r="L25" i="36" s="1"/>
  <c r="D24" i="36"/>
  <c r="L24" i="36" s="1"/>
  <c r="D23" i="36"/>
  <c r="L23" i="36" s="1"/>
  <c r="D22" i="36"/>
  <c r="L22" i="36" s="1"/>
  <c r="D21" i="36"/>
  <c r="L21" i="36" s="1"/>
  <c r="D20" i="36"/>
  <c r="L20" i="36" s="1"/>
  <c r="D19" i="36"/>
  <c r="L19" i="36" s="1"/>
  <c r="D18" i="36"/>
  <c r="L18" i="36" s="1"/>
  <c r="L17" i="36"/>
  <c r="D16" i="36"/>
  <c r="L16" i="36" s="1"/>
  <c r="D15" i="36"/>
  <c r="L15" i="36" s="1"/>
  <c r="D14" i="36"/>
  <c r="L14" i="36" s="1"/>
  <c r="D13" i="36"/>
  <c r="L13" i="36" s="1"/>
  <c r="D12" i="36"/>
  <c r="L12" i="36" s="1"/>
  <c r="D11" i="36"/>
  <c r="L11" i="36" s="1"/>
  <c r="D10" i="36"/>
  <c r="L10" i="36" s="1"/>
  <c r="D9" i="36"/>
  <c r="D7" i="36"/>
  <c r="D57" i="35"/>
  <c r="D55" i="35"/>
  <c r="L55" i="35" s="1"/>
  <c r="D54" i="35"/>
  <c r="L54" i="35" s="1"/>
  <c r="D53" i="35"/>
  <c r="L53" i="35" s="1"/>
  <c r="D52" i="35"/>
  <c r="L52" i="35" s="1"/>
  <c r="D51" i="35"/>
  <c r="L51" i="35" s="1"/>
  <c r="D50" i="35"/>
  <c r="L50" i="35" s="1"/>
  <c r="D49" i="35"/>
  <c r="L49" i="35" s="1"/>
  <c r="D48" i="35"/>
  <c r="L48" i="35" s="1"/>
  <c r="D47" i="35"/>
  <c r="L47" i="35" s="1"/>
  <c r="D46" i="35"/>
  <c r="L46" i="35" s="1"/>
  <c r="D45" i="35"/>
  <c r="L45" i="35" s="1"/>
  <c r="L44" i="35"/>
  <c r="D43" i="35"/>
  <c r="L43" i="35" s="1"/>
  <c r="D42" i="35"/>
  <c r="L42" i="35" s="1"/>
  <c r="D41" i="35"/>
  <c r="L41" i="35" s="1"/>
  <c r="D40" i="35"/>
  <c r="L40" i="35" s="1"/>
  <c r="D39" i="35"/>
  <c r="L39" i="35" s="1"/>
  <c r="D38" i="35"/>
  <c r="L38" i="35" s="1"/>
  <c r="D37" i="35"/>
  <c r="L37" i="35" s="1"/>
  <c r="D36" i="35"/>
  <c r="L36" i="35" s="1"/>
  <c r="D35" i="35"/>
  <c r="L35" i="35" s="1"/>
  <c r="D34" i="35"/>
  <c r="L34" i="35" s="1"/>
  <c r="D33" i="35"/>
  <c r="L33" i="35" s="1"/>
  <c r="D32" i="35"/>
  <c r="L32" i="35" s="1"/>
  <c r="L31" i="35"/>
  <c r="D30" i="35"/>
  <c r="L30" i="35" s="1"/>
  <c r="D29" i="35"/>
  <c r="L29" i="35" s="1"/>
  <c r="D28" i="35"/>
  <c r="L28" i="35" s="1"/>
  <c r="D27" i="35"/>
  <c r="L27" i="35" s="1"/>
  <c r="D26" i="35"/>
  <c r="L26" i="35" s="1"/>
  <c r="D25" i="35"/>
  <c r="L25" i="35" s="1"/>
  <c r="D24" i="35"/>
  <c r="L24" i="35" s="1"/>
  <c r="D23" i="35"/>
  <c r="L23" i="35" s="1"/>
  <c r="D22" i="35"/>
  <c r="L22" i="35" s="1"/>
  <c r="D21" i="35"/>
  <c r="L21" i="35" s="1"/>
  <c r="D20" i="35"/>
  <c r="L20" i="35" s="1"/>
  <c r="D19" i="35"/>
  <c r="L19" i="35" s="1"/>
  <c r="L18" i="35"/>
  <c r="D17" i="35"/>
  <c r="L17" i="35" s="1"/>
  <c r="D16" i="35"/>
  <c r="L16" i="35" s="1"/>
  <c r="D15" i="35"/>
  <c r="L15" i="35" s="1"/>
  <c r="D14" i="35"/>
  <c r="L14" i="35" s="1"/>
  <c r="D13" i="35"/>
  <c r="L13" i="35" s="1"/>
  <c r="D12" i="35"/>
  <c r="L12" i="35" s="1"/>
  <c r="D11" i="35"/>
  <c r="L11" i="35" s="1"/>
  <c r="D10" i="35"/>
  <c r="L10" i="35" s="1"/>
  <c r="D9" i="35"/>
  <c r="D7" i="35"/>
  <c r="D57" i="34"/>
  <c r="D55" i="34"/>
  <c r="L55" i="34" s="1"/>
  <c r="D54" i="34"/>
  <c r="L54" i="34" s="1"/>
  <c r="D53" i="34"/>
  <c r="L53" i="34" s="1"/>
  <c r="D52" i="34"/>
  <c r="L52" i="34" s="1"/>
  <c r="D51" i="34"/>
  <c r="L51" i="34" s="1"/>
  <c r="D50" i="34"/>
  <c r="L50" i="34" s="1"/>
  <c r="D49" i="34"/>
  <c r="L49" i="34" s="1"/>
  <c r="D48" i="34"/>
  <c r="L48" i="34" s="1"/>
  <c r="D47" i="34"/>
  <c r="L47" i="34" s="1"/>
  <c r="D46" i="34"/>
  <c r="L46" i="34" s="1"/>
  <c r="L45" i="34"/>
  <c r="D44" i="34"/>
  <c r="L44" i="34" s="1"/>
  <c r="D43" i="34"/>
  <c r="L43" i="34" s="1"/>
  <c r="D42" i="34"/>
  <c r="L42" i="34" s="1"/>
  <c r="D41" i="34"/>
  <c r="L41" i="34" s="1"/>
  <c r="D40" i="34"/>
  <c r="L40" i="34" s="1"/>
  <c r="D39" i="34"/>
  <c r="L39" i="34" s="1"/>
  <c r="D38" i="34"/>
  <c r="L38" i="34" s="1"/>
  <c r="D37" i="34"/>
  <c r="L37" i="34" s="1"/>
  <c r="D36" i="34"/>
  <c r="L36" i="34" s="1"/>
  <c r="D35" i="34"/>
  <c r="L35" i="34" s="1"/>
  <c r="D34" i="34"/>
  <c r="L34" i="34" s="1"/>
  <c r="D33" i="34"/>
  <c r="L33" i="34" s="1"/>
  <c r="D32" i="34"/>
  <c r="L32" i="34" s="1"/>
  <c r="D31" i="34"/>
  <c r="L31" i="34" s="1"/>
  <c r="D30" i="34"/>
  <c r="L30" i="34" s="1"/>
  <c r="D29" i="34"/>
  <c r="L29" i="34" s="1"/>
  <c r="D28" i="34"/>
  <c r="L28" i="34" s="1"/>
  <c r="D27" i="34"/>
  <c r="L27" i="34" s="1"/>
  <c r="D26" i="34"/>
  <c r="L26" i="34" s="1"/>
  <c r="D25" i="34"/>
  <c r="L25" i="34" s="1"/>
  <c r="D24" i="34"/>
  <c r="L24" i="34" s="1"/>
  <c r="D23" i="34"/>
  <c r="L23" i="34" s="1"/>
  <c r="D22" i="34"/>
  <c r="L22" i="34" s="1"/>
  <c r="D21" i="34"/>
  <c r="L21" i="34" s="1"/>
  <c r="D20" i="34"/>
  <c r="L20" i="34" s="1"/>
  <c r="D19" i="34"/>
  <c r="L19" i="34" s="1"/>
  <c r="D18" i="34"/>
  <c r="L18" i="34" s="1"/>
  <c r="D17" i="34"/>
  <c r="L17" i="34" s="1"/>
  <c r="D16" i="34"/>
  <c r="D14" i="34"/>
  <c r="L14" i="34" s="1"/>
  <c r="D13" i="34"/>
  <c r="L13" i="34" s="1"/>
  <c r="D12" i="34"/>
  <c r="L12" i="34" s="1"/>
  <c r="L11" i="34"/>
  <c r="D10" i="34"/>
  <c r="L10" i="34" s="1"/>
  <c r="D9" i="34"/>
  <c r="D7" i="34"/>
  <c r="D57" i="33"/>
  <c r="D55" i="33"/>
  <c r="L55" i="33" s="1"/>
  <c r="D54" i="33"/>
  <c r="L54" i="33" s="1"/>
  <c r="L53" i="33"/>
  <c r="D52" i="33"/>
  <c r="L52" i="33" s="1"/>
  <c r="D51" i="33"/>
  <c r="L51" i="33" s="1"/>
  <c r="D50" i="33"/>
  <c r="L50" i="33" s="1"/>
  <c r="D49" i="33"/>
  <c r="L49" i="33" s="1"/>
  <c r="D48" i="33"/>
  <c r="L48" i="33" s="1"/>
  <c r="D47" i="33"/>
  <c r="L47" i="33" s="1"/>
  <c r="D46" i="33"/>
  <c r="L46" i="33" s="1"/>
  <c r="L45" i="33"/>
  <c r="D44" i="33"/>
  <c r="L44" i="33" s="1"/>
  <c r="D43" i="33"/>
  <c r="L43" i="33" s="1"/>
  <c r="D42" i="33"/>
  <c r="L42" i="33" s="1"/>
  <c r="D41" i="33"/>
  <c r="L41" i="33" s="1"/>
  <c r="D40" i="33"/>
  <c r="L40" i="33" s="1"/>
  <c r="D39" i="33"/>
  <c r="L39" i="33" s="1"/>
  <c r="D38" i="33"/>
  <c r="L38" i="33" s="1"/>
  <c r="D37" i="33"/>
  <c r="L37" i="33" s="1"/>
  <c r="L36" i="33"/>
  <c r="D35" i="33"/>
  <c r="L35" i="33" s="1"/>
  <c r="D34" i="33"/>
  <c r="L34" i="33" s="1"/>
  <c r="D33" i="33"/>
  <c r="L33" i="33" s="1"/>
  <c r="D32" i="33"/>
  <c r="L32" i="33" s="1"/>
  <c r="D31" i="33"/>
  <c r="L31" i="33" s="1"/>
  <c r="D30" i="33"/>
  <c r="L30" i="33" s="1"/>
  <c r="D29" i="33"/>
  <c r="L29" i="33" s="1"/>
  <c r="L28" i="33"/>
  <c r="D27" i="33"/>
  <c r="L27" i="33" s="1"/>
  <c r="D26" i="33"/>
  <c r="L26" i="33" s="1"/>
  <c r="D25" i="33"/>
  <c r="L25" i="33" s="1"/>
  <c r="D24" i="33"/>
  <c r="L24" i="33" s="1"/>
  <c r="D23" i="33"/>
  <c r="L23" i="33" s="1"/>
  <c r="D22" i="33"/>
  <c r="L22" i="33" s="1"/>
  <c r="D21" i="33"/>
  <c r="L21" i="33" s="1"/>
  <c r="D20" i="33"/>
  <c r="L20" i="33" s="1"/>
  <c r="L19" i="33"/>
  <c r="D18" i="33"/>
  <c r="L18" i="33" s="1"/>
  <c r="D17" i="33"/>
  <c r="L17" i="33" s="1"/>
  <c r="D16" i="33"/>
  <c r="L16" i="33" s="1"/>
  <c r="D15" i="33"/>
  <c r="L15" i="33" s="1"/>
  <c r="D14" i="33"/>
  <c r="L14" i="33" s="1"/>
  <c r="D13" i="33"/>
  <c r="L13" i="33" s="1"/>
  <c r="D12" i="33"/>
  <c r="L12" i="33" s="1"/>
  <c r="L11" i="33"/>
  <c r="D10" i="33"/>
  <c r="L10" i="33" s="1"/>
  <c r="D9" i="33"/>
  <c r="D7" i="33"/>
  <c r="D57" i="32"/>
  <c r="D55" i="32"/>
  <c r="L55" i="32" s="1"/>
  <c r="D54" i="32"/>
  <c r="L54" i="32" s="1"/>
  <c r="D53" i="32"/>
  <c r="L53" i="32" s="1"/>
  <c r="D52" i="32"/>
  <c r="L52" i="32" s="1"/>
  <c r="D51" i="32"/>
  <c r="L51" i="32" s="1"/>
  <c r="D50" i="32"/>
  <c r="L50" i="32" s="1"/>
  <c r="L49" i="32"/>
  <c r="D48" i="32"/>
  <c r="L48" i="32" s="1"/>
  <c r="D47" i="32"/>
  <c r="L47" i="32" s="1"/>
  <c r="D46" i="32"/>
  <c r="L46" i="32" s="1"/>
  <c r="D45" i="32"/>
  <c r="L45" i="32" s="1"/>
  <c r="D44" i="32"/>
  <c r="L44" i="32" s="1"/>
  <c r="L43" i="32"/>
  <c r="D42" i="32"/>
  <c r="L42" i="32" s="1"/>
  <c r="D41" i="32"/>
  <c r="L41" i="32" s="1"/>
  <c r="D40" i="32"/>
  <c r="L40" i="32" s="1"/>
  <c r="D39" i="32"/>
  <c r="L39" i="32" s="1"/>
  <c r="D38" i="32"/>
  <c r="L38" i="32" s="1"/>
  <c r="D37" i="32"/>
  <c r="L37" i="32" s="1"/>
  <c r="L36" i="32"/>
  <c r="D35" i="32"/>
  <c r="L35" i="32" s="1"/>
  <c r="D34" i="32"/>
  <c r="L34" i="32" s="1"/>
  <c r="D33" i="32"/>
  <c r="L33" i="32" s="1"/>
  <c r="D32" i="32"/>
  <c r="L32" i="32" s="1"/>
  <c r="D31" i="32"/>
  <c r="L31" i="32" s="1"/>
  <c r="D30" i="32"/>
  <c r="L30" i="32" s="1"/>
  <c r="L29" i="32"/>
  <c r="D28" i="32"/>
  <c r="L28" i="32" s="1"/>
  <c r="D27" i="32"/>
  <c r="L27" i="32" s="1"/>
  <c r="D26" i="32"/>
  <c r="L26" i="32" s="1"/>
  <c r="D25" i="32"/>
  <c r="L25" i="32" s="1"/>
  <c r="D24" i="32"/>
  <c r="L24" i="32" s="1"/>
  <c r="L23" i="32"/>
  <c r="D22" i="32"/>
  <c r="L22" i="32" s="1"/>
  <c r="D21" i="32"/>
  <c r="L21" i="32" s="1"/>
  <c r="D20" i="32"/>
  <c r="L20" i="32" s="1"/>
  <c r="D19" i="32"/>
  <c r="L19" i="32" s="1"/>
  <c r="D18" i="32"/>
  <c r="L18" i="32" s="1"/>
  <c r="D17" i="32"/>
  <c r="L17" i="32" s="1"/>
  <c r="L16" i="32"/>
  <c r="D15" i="32"/>
  <c r="L15" i="32" s="1"/>
  <c r="D14" i="32"/>
  <c r="L14" i="32" s="1"/>
  <c r="D13" i="32"/>
  <c r="L13" i="32" s="1"/>
  <c r="D12" i="32"/>
  <c r="L12" i="32" s="1"/>
  <c r="D11" i="32"/>
  <c r="L11" i="32" s="1"/>
  <c r="D10" i="32"/>
  <c r="L10" i="32" s="1"/>
  <c r="D7" i="32"/>
  <c r="D57" i="31"/>
  <c r="D55" i="31"/>
  <c r="L55" i="31" s="1"/>
  <c r="D54" i="31"/>
  <c r="L54" i="31" s="1"/>
  <c r="D53" i="31"/>
  <c r="L53" i="31" s="1"/>
  <c r="D52" i="31"/>
  <c r="L52" i="31" s="1"/>
  <c r="D51" i="31"/>
  <c r="L51" i="31" s="1"/>
  <c r="D50" i="31"/>
  <c r="L50" i="31" s="1"/>
  <c r="D49" i="31"/>
  <c r="L49" i="31" s="1"/>
  <c r="D48" i="31"/>
  <c r="L48" i="31" s="1"/>
  <c r="D47" i="31"/>
  <c r="L47" i="31" s="1"/>
  <c r="D46" i="31"/>
  <c r="L46" i="31" s="1"/>
  <c r="D45" i="31"/>
  <c r="L45" i="31" s="1"/>
  <c r="D44" i="31"/>
  <c r="L44" i="31" s="1"/>
  <c r="D43" i="31"/>
  <c r="L43" i="31" s="1"/>
  <c r="D42" i="31"/>
  <c r="L42" i="31" s="1"/>
  <c r="L41" i="31"/>
  <c r="D40" i="31"/>
  <c r="L40" i="31" s="1"/>
  <c r="D39" i="31"/>
  <c r="L39" i="31" s="1"/>
  <c r="D38" i="31"/>
  <c r="L38" i="31" s="1"/>
  <c r="D37" i="31"/>
  <c r="L37" i="31" s="1"/>
  <c r="D36" i="31"/>
  <c r="L36" i="31" s="1"/>
  <c r="D35" i="31"/>
  <c r="L35" i="31" s="1"/>
  <c r="D34" i="31"/>
  <c r="L34" i="31" s="1"/>
  <c r="D33" i="31"/>
  <c r="L33" i="31" s="1"/>
  <c r="D32" i="31"/>
  <c r="L32" i="31" s="1"/>
  <c r="D31" i="31"/>
  <c r="L31" i="31" s="1"/>
  <c r="D30" i="31"/>
  <c r="L30" i="31" s="1"/>
  <c r="D29" i="31"/>
  <c r="L29" i="31" s="1"/>
  <c r="D28" i="31"/>
  <c r="L28" i="31" s="1"/>
  <c r="D27" i="31"/>
  <c r="L27" i="31" s="1"/>
  <c r="D26" i="31"/>
  <c r="L26" i="31" s="1"/>
  <c r="D25" i="31"/>
  <c r="L25" i="31" s="1"/>
  <c r="D24" i="31"/>
  <c r="L24" i="31" s="1"/>
  <c r="D23" i="31"/>
  <c r="L23" i="31" s="1"/>
  <c r="D22" i="31"/>
  <c r="L22" i="31" s="1"/>
  <c r="D21" i="31"/>
  <c r="L21" i="31" s="1"/>
  <c r="D20" i="31"/>
  <c r="L20" i="31" s="1"/>
  <c r="D19" i="31"/>
  <c r="L19" i="31" s="1"/>
  <c r="L18" i="31"/>
  <c r="D17" i="31"/>
  <c r="L17" i="31" s="1"/>
  <c r="D16" i="31"/>
  <c r="L16" i="31" s="1"/>
  <c r="D15" i="31"/>
  <c r="L15" i="31" s="1"/>
  <c r="D14" i="31"/>
  <c r="L14" i="31" s="1"/>
  <c r="D13" i="31"/>
  <c r="L13" i="31" s="1"/>
  <c r="D12" i="31"/>
  <c r="L12" i="31" s="1"/>
  <c r="D11" i="31"/>
  <c r="L11" i="31" s="1"/>
  <c r="D10" i="31"/>
  <c r="L10" i="31" s="1"/>
  <c r="D9" i="31"/>
  <c r="D7" i="31"/>
  <c r="D57" i="30"/>
  <c r="D55" i="30"/>
  <c r="L55" i="30" s="1"/>
  <c r="D54" i="30"/>
  <c r="L54" i="30" s="1"/>
  <c r="D53" i="30"/>
  <c r="L53" i="30" s="1"/>
  <c r="D52" i="30"/>
  <c r="L52" i="30" s="1"/>
  <c r="D51" i="30"/>
  <c r="L51" i="30" s="1"/>
  <c r="D50" i="30"/>
  <c r="L50" i="30" s="1"/>
  <c r="D49" i="30"/>
  <c r="L49" i="30" s="1"/>
  <c r="D48" i="30"/>
  <c r="L48" i="30" s="1"/>
  <c r="L47" i="30"/>
  <c r="D46" i="30"/>
  <c r="L46" i="30" s="1"/>
  <c r="D45" i="30"/>
  <c r="L45" i="30" s="1"/>
  <c r="D44" i="30"/>
  <c r="L44" i="30" s="1"/>
  <c r="D43" i="30"/>
  <c r="L43" i="30" s="1"/>
  <c r="D42" i="30"/>
  <c r="L42" i="30" s="1"/>
  <c r="D41" i="30"/>
  <c r="L41" i="30" s="1"/>
  <c r="D40" i="30"/>
  <c r="L40" i="30" s="1"/>
  <c r="D39" i="30"/>
  <c r="L39" i="30" s="1"/>
  <c r="L38" i="30"/>
  <c r="D37" i="30"/>
  <c r="L37" i="30" s="1"/>
  <c r="D36" i="30"/>
  <c r="L36" i="30" s="1"/>
  <c r="D35" i="30"/>
  <c r="L35" i="30" s="1"/>
  <c r="D34" i="30"/>
  <c r="L34" i="30" s="1"/>
  <c r="D33" i="30"/>
  <c r="L33" i="30" s="1"/>
  <c r="D32" i="30"/>
  <c r="L32" i="30" s="1"/>
  <c r="D31" i="30"/>
  <c r="L31" i="30" s="1"/>
  <c r="L30" i="30"/>
  <c r="D29" i="30"/>
  <c r="L29" i="30" s="1"/>
  <c r="D28" i="30"/>
  <c r="L28" i="30" s="1"/>
  <c r="D27" i="30"/>
  <c r="L27" i="30" s="1"/>
  <c r="D26" i="30"/>
  <c r="L26" i="30" s="1"/>
  <c r="D25" i="30"/>
  <c r="L25" i="30" s="1"/>
  <c r="D24" i="30"/>
  <c r="L24" i="30" s="1"/>
  <c r="D23" i="30"/>
  <c r="L23" i="30" s="1"/>
  <c r="D22" i="30"/>
  <c r="L22" i="30" s="1"/>
  <c r="L21" i="30"/>
  <c r="D20" i="30"/>
  <c r="L20" i="30" s="1"/>
  <c r="D19" i="30"/>
  <c r="L19" i="30" s="1"/>
  <c r="D18" i="30"/>
  <c r="L18" i="30" s="1"/>
  <c r="D17" i="30"/>
  <c r="L17" i="30" s="1"/>
  <c r="D16" i="30"/>
  <c r="L16" i="30" s="1"/>
  <c r="D15" i="30"/>
  <c r="L15" i="30" s="1"/>
  <c r="D14" i="30"/>
  <c r="L14" i="30" s="1"/>
  <c r="D13" i="30"/>
  <c r="L13" i="30" s="1"/>
  <c r="L12" i="30"/>
  <c r="D11" i="30"/>
  <c r="L11" i="30" s="1"/>
  <c r="D10" i="30"/>
  <c r="L10" i="30" s="1"/>
  <c r="D9" i="30"/>
  <c r="D7" i="30"/>
  <c r="D57" i="29"/>
  <c r="D55" i="29"/>
  <c r="L55" i="29" s="1"/>
  <c r="D54" i="29"/>
  <c r="L54" i="29" s="1"/>
  <c r="D53" i="29"/>
  <c r="L53" i="29" s="1"/>
  <c r="D52" i="29"/>
  <c r="L52" i="29" s="1"/>
  <c r="D51" i="29"/>
  <c r="L51" i="29" s="1"/>
  <c r="L50" i="29"/>
  <c r="D49" i="29"/>
  <c r="L49" i="29" s="1"/>
  <c r="D48" i="29"/>
  <c r="L48" i="29" s="1"/>
  <c r="D47" i="29"/>
  <c r="L47" i="29" s="1"/>
  <c r="D46" i="29"/>
  <c r="L46" i="29" s="1"/>
  <c r="D45" i="29"/>
  <c r="L45" i="29" s="1"/>
  <c r="D44" i="29"/>
  <c r="L44" i="29" s="1"/>
  <c r="D43" i="29"/>
  <c r="L43" i="29" s="1"/>
  <c r="D42" i="29"/>
  <c r="L42" i="29" s="1"/>
  <c r="D41" i="29"/>
  <c r="L41" i="29" s="1"/>
  <c r="D40" i="29"/>
  <c r="L40" i="29" s="1"/>
  <c r="L39" i="29"/>
  <c r="D38" i="29"/>
  <c r="L38" i="29" s="1"/>
  <c r="D37" i="29"/>
  <c r="L37" i="29" s="1"/>
  <c r="D36" i="29"/>
  <c r="L36" i="29" s="1"/>
  <c r="D35" i="29"/>
  <c r="L35" i="29" s="1"/>
  <c r="D34" i="29"/>
  <c r="L34" i="29" s="1"/>
  <c r="D33" i="29"/>
  <c r="L33" i="29" s="1"/>
  <c r="D32" i="29"/>
  <c r="L32" i="29" s="1"/>
  <c r="D31" i="29"/>
  <c r="L31" i="29" s="1"/>
  <c r="D30" i="29"/>
  <c r="L30" i="29" s="1"/>
  <c r="D29" i="29"/>
  <c r="L29" i="29" s="1"/>
  <c r="L28" i="29"/>
  <c r="D27" i="29"/>
  <c r="L27" i="29" s="1"/>
  <c r="D26" i="29"/>
  <c r="L26" i="29" s="1"/>
  <c r="D25" i="29"/>
  <c r="L25" i="29" s="1"/>
  <c r="D24" i="29"/>
  <c r="L24" i="29" s="1"/>
  <c r="D23" i="29"/>
  <c r="L23" i="29" s="1"/>
  <c r="D22" i="29"/>
  <c r="L22" i="29" s="1"/>
  <c r="D21" i="29"/>
  <c r="L21" i="29" s="1"/>
  <c r="D20" i="29"/>
  <c r="L20" i="29" s="1"/>
  <c r="D19" i="29"/>
  <c r="L19" i="29" s="1"/>
  <c r="L18" i="29"/>
  <c r="D17" i="29"/>
  <c r="L17" i="29" s="1"/>
  <c r="D16" i="29"/>
  <c r="L16" i="29" s="1"/>
  <c r="D15" i="29"/>
  <c r="L15" i="29" s="1"/>
  <c r="D14" i="29"/>
  <c r="L14" i="29" s="1"/>
  <c r="D13" i="29"/>
  <c r="L13" i="29" s="1"/>
  <c r="D12" i="29"/>
  <c r="L12" i="29" s="1"/>
  <c r="D11" i="29"/>
  <c r="L11" i="29" s="1"/>
  <c r="D10" i="29"/>
  <c r="L10" i="29" s="1"/>
  <c r="D9" i="29"/>
  <c r="D7" i="29"/>
  <c r="E57" i="28"/>
  <c r="E55" i="28"/>
  <c r="E54" i="28"/>
  <c r="E53" i="28"/>
  <c r="E52" i="28"/>
  <c r="E50" i="28"/>
  <c r="E49" i="28"/>
  <c r="E48" i="28"/>
  <c r="E47" i="28"/>
  <c r="E46" i="28"/>
  <c r="E44" i="28"/>
  <c r="E43" i="28"/>
  <c r="E42" i="28"/>
  <c r="E41" i="28"/>
  <c r="E40" i="28"/>
  <c r="E39" i="28"/>
  <c r="E37" i="28"/>
  <c r="E36" i="28"/>
  <c r="E35" i="28"/>
  <c r="E34" i="28"/>
  <c r="E33" i="28"/>
  <c r="E32" i="28"/>
  <c r="E30" i="28"/>
  <c r="E29" i="28"/>
  <c r="E28" i="28"/>
  <c r="E27" i="28"/>
  <c r="E26" i="28"/>
  <c r="E24" i="28"/>
  <c r="E23" i="28"/>
  <c r="E22" i="28"/>
  <c r="E21" i="28"/>
  <c r="E20" i="28"/>
  <c r="E19" i="28"/>
  <c r="E17" i="28"/>
  <c r="E16" i="28"/>
  <c r="E15" i="28"/>
  <c r="E14" i="28"/>
  <c r="E13" i="28"/>
  <c r="L12" i="28"/>
  <c r="D11" i="28"/>
  <c r="L11" i="28" s="1"/>
  <c r="D10" i="28"/>
  <c r="L10" i="28" s="1"/>
  <c r="D9" i="28"/>
  <c r="D7" i="28"/>
  <c r="D57" i="27"/>
  <c r="L55" i="27"/>
  <c r="D54" i="27"/>
  <c r="L54" i="27" s="1"/>
  <c r="D53" i="27"/>
  <c r="L53" i="27" s="1"/>
  <c r="D52" i="27"/>
  <c r="L52" i="27" s="1"/>
  <c r="D51" i="27"/>
  <c r="L51" i="27" s="1"/>
  <c r="D50" i="27"/>
  <c r="L50" i="27" s="1"/>
  <c r="D49" i="27"/>
  <c r="L49" i="27" s="1"/>
  <c r="L48" i="27"/>
  <c r="D47" i="27"/>
  <c r="L47" i="27" s="1"/>
  <c r="D46" i="27"/>
  <c r="L46" i="27" s="1"/>
  <c r="D45" i="27"/>
  <c r="L45" i="27" s="1"/>
  <c r="D44" i="27"/>
  <c r="L44" i="27" s="1"/>
  <c r="D43" i="27"/>
  <c r="L43" i="27" s="1"/>
  <c r="L42" i="27"/>
  <c r="D41" i="27"/>
  <c r="L41" i="27" s="1"/>
  <c r="D40" i="27"/>
  <c r="L40" i="27" s="1"/>
  <c r="D39" i="27"/>
  <c r="L39" i="27" s="1"/>
  <c r="D38" i="27"/>
  <c r="L38" i="27" s="1"/>
  <c r="D37" i="27"/>
  <c r="L37" i="27" s="1"/>
  <c r="D36" i="27"/>
  <c r="L36" i="27" s="1"/>
  <c r="L35" i="27"/>
  <c r="D34" i="27"/>
  <c r="L34" i="27" s="1"/>
  <c r="D33" i="27"/>
  <c r="L33" i="27" s="1"/>
  <c r="D32" i="27"/>
  <c r="L32" i="27" s="1"/>
  <c r="D31" i="27"/>
  <c r="L31" i="27" s="1"/>
  <c r="D30" i="27"/>
  <c r="L30" i="27" s="1"/>
  <c r="L29" i="27"/>
  <c r="D28" i="27"/>
  <c r="L28" i="27" s="1"/>
  <c r="D27" i="27"/>
  <c r="L27" i="27" s="1"/>
  <c r="D26" i="27"/>
  <c r="L26" i="27" s="1"/>
  <c r="D25" i="27"/>
  <c r="L25" i="27" s="1"/>
  <c r="D24" i="27"/>
  <c r="L24" i="27" s="1"/>
  <c r="D23" i="27"/>
  <c r="L23" i="27" s="1"/>
  <c r="L22" i="27"/>
  <c r="D21" i="27"/>
  <c r="L21" i="27" s="1"/>
  <c r="D20" i="27"/>
  <c r="L20" i="27" s="1"/>
  <c r="D19" i="27"/>
  <c r="L19" i="27" s="1"/>
  <c r="D18" i="27"/>
  <c r="L18" i="27" s="1"/>
  <c r="D17" i="27"/>
  <c r="L17" i="27" s="1"/>
  <c r="L16" i="27"/>
  <c r="D15" i="27"/>
  <c r="L15" i="27" s="1"/>
  <c r="D14" i="27"/>
  <c r="L14" i="27" s="1"/>
  <c r="D13" i="27"/>
  <c r="L13" i="27" s="1"/>
  <c r="D12" i="27"/>
  <c r="L12" i="27" s="1"/>
  <c r="D11" i="27"/>
  <c r="L11" i="27" s="1"/>
  <c r="D10" i="27"/>
  <c r="L10" i="27" s="1"/>
  <c r="D9" i="27"/>
  <c r="D7" i="27"/>
  <c r="D57" i="26"/>
  <c r="D55" i="26"/>
  <c r="L55" i="26" s="1"/>
  <c r="D54" i="26"/>
  <c r="L54" i="26" s="1"/>
  <c r="D53" i="26"/>
  <c r="L53" i="26" s="1"/>
  <c r="D52" i="26"/>
  <c r="L52" i="26" s="1"/>
  <c r="D51" i="26"/>
  <c r="L51" i="26" s="1"/>
  <c r="D50" i="26"/>
  <c r="L50" i="26" s="1"/>
  <c r="D49" i="26"/>
  <c r="L49" i="26" s="1"/>
  <c r="L48" i="26"/>
  <c r="D47" i="26"/>
  <c r="L47" i="26" s="1"/>
  <c r="D46" i="26"/>
  <c r="L46" i="26" s="1"/>
  <c r="D45" i="26"/>
  <c r="L45" i="26" s="1"/>
  <c r="D44" i="26"/>
  <c r="L44" i="26" s="1"/>
  <c r="D43" i="26"/>
  <c r="L43" i="26" s="1"/>
  <c r="D42" i="26"/>
  <c r="L42" i="26" s="1"/>
  <c r="D41" i="26"/>
  <c r="L41" i="26" s="1"/>
  <c r="D40" i="26"/>
  <c r="L40" i="26" s="1"/>
  <c r="D39" i="26"/>
  <c r="L39" i="26" s="1"/>
  <c r="D38" i="26"/>
  <c r="L38" i="26" s="1"/>
  <c r="D37" i="26"/>
  <c r="L37" i="26" s="1"/>
  <c r="D36" i="26"/>
  <c r="L36" i="26" s="1"/>
  <c r="D35" i="26"/>
  <c r="L35" i="26" s="1"/>
  <c r="D34" i="26"/>
  <c r="L34" i="26" s="1"/>
  <c r="D33" i="26"/>
  <c r="L33" i="26" s="1"/>
  <c r="D32" i="26"/>
  <c r="L32" i="26" s="1"/>
  <c r="D31" i="26"/>
  <c r="L31" i="26" s="1"/>
  <c r="D30" i="26"/>
  <c r="L30" i="26" s="1"/>
  <c r="D29" i="26"/>
  <c r="L29" i="26" s="1"/>
  <c r="D28" i="26"/>
  <c r="L28" i="26" s="1"/>
  <c r="D27" i="26"/>
  <c r="L27" i="26" s="1"/>
  <c r="D26" i="26"/>
  <c r="L26" i="26" s="1"/>
  <c r="D25" i="26"/>
  <c r="L25" i="26" s="1"/>
  <c r="D24" i="26"/>
  <c r="L24" i="26" s="1"/>
  <c r="D23" i="26"/>
  <c r="L23" i="26" s="1"/>
  <c r="D22" i="26"/>
  <c r="L22" i="26" s="1"/>
  <c r="D21" i="26"/>
  <c r="L21" i="26" s="1"/>
  <c r="D20" i="26"/>
  <c r="L20" i="26" s="1"/>
  <c r="D19" i="26"/>
  <c r="L19" i="26" s="1"/>
  <c r="D18" i="26"/>
  <c r="L18" i="26" s="1"/>
  <c r="D17" i="26"/>
  <c r="L17" i="26" s="1"/>
  <c r="D16" i="26"/>
  <c r="L16" i="26" s="1"/>
  <c r="D15" i="26"/>
  <c r="L15" i="26" s="1"/>
  <c r="D14" i="26"/>
  <c r="L14" i="26" s="1"/>
  <c r="D13" i="26"/>
  <c r="L13" i="26" s="1"/>
  <c r="D12" i="26"/>
  <c r="L12" i="26" s="1"/>
  <c r="D11" i="26"/>
  <c r="L11" i="26" s="1"/>
  <c r="D10" i="26"/>
  <c r="L10" i="26" s="1"/>
  <c r="D9" i="26"/>
  <c r="D7" i="26"/>
  <c r="G15" i="25"/>
  <c r="H15" i="25" s="1"/>
  <c r="G14" i="25"/>
  <c r="H14" i="25" s="1"/>
  <c r="G13" i="25"/>
  <c r="H13" i="25" s="1"/>
  <c r="G12" i="25"/>
  <c r="H12" i="25" s="1"/>
  <c r="G11" i="25"/>
  <c r="H11" i="25" s="1"/>
  <c r="G10" i="25"/>
  <c r="H10" i="25" s="1"/>
  <c r="G9" i="25"/>
  <c r="H9" i="25" s="1"/>
  <c r="G8" i="25"/>
  <c r="H8" i="25" s="1"/>
  <c r="G7" i="25"/>
  <c r="H7" i="25" s="1"/>
  <c r="G7" i="31" l="1"/>
  <c r="H7" i="31" s="1"/>
  <c r="L7" i="31"/>
  <c r="G9" i="34"/>
  <c r="H9" i="34" s="1"/>
  <c r="L9" i="34"/>
  <c r="G9" i="35"/>
  <c r="H9" i="35" s="1"/>
  <c r="L9" i="35"/>
  <c r="G7" i="36"/>
  <c r="H7" i="36" s="1"/>
  <c r="L7" i="36"/>
  <c r="G57" i="36"/>
  <c r="H57" i="36" s="1"/>
  <c r="L57" i="36"/>
  <c r="G7" i="27"/>
  <c r="H7" i="27" s="1"/>
  <c r="L7" i="27"/>
  <c r="G57" i="31"/>
  <c r="H57" i="31" s="1"/>
  <c r="L57" i="31"/>
  <c r="G9" i="27"/>
  <c r="H9" i="27" s="1"/>
  <c r="L9" i="27"/>
  <c r="G7" i="28"/>
  <c r="H7" i="28" s="1"/>
  <c r="L7" i="28"/>
  <c r="G9" i="31"/>
  <c r="H9" i="31" s="1"/>
  <c r="L9" i="31"/>
  <c r="G7" i="32"/>
  <c r="H7" i="32" s="1"/>
  <c r="L7" i="32"/>
  <c r="G57" i="32"/>
  <c r="H57" i="32" s="1"/>
  <c r="L57" i="32"/>
  <c r="G9" i="36"/>
  <c r="H9" i="36" s="1"/>
  <c r="L9" i="36"/>
  <c r="G7" i="37"/>
  <c r="H7" i="37" s="1"/>
  <c r="L7" i="37"/>
  <c r="G44" i="37"/>
  <c r="H44" i="37" s="1"/>
  <c r="L44" i="37"/>
  <c r="G48" i="37"/>
  <c r="H48" i="37" s="1"/>
  <c r="L48" i="37"/>
  <c r="G57" i="37"/>
  <c r="H57" i="37" s="1"/>
  <c r="L57" i="37"/>
  <c r="G57" i="27"/>
  <c r="H57" i="27" s="1"/>
  <c r="L57" i="27"/>
  <c r="G9" i="30"/>
  <c r="H9" i="30" s="1"/>
  <c r="L9" i="30"/>
  <c r="G7" i="29"/>
  <c r="H7" i="29" s="1"/>
  <c r="L7" i="29"/>
  <c r="G57" i="29"/>
  <c r="H57" i="29" s="1"/>
  <c r="L57" i="29"/>
  <c r="G9" i="32"/>
  <c r="H9" i="32" s="1"/>
  <c r="L9" i="32"/>
  <c r="G7" i="33"/>
  <c r="H7" i="33" s="1"/>
  <c r="L7" i="33"/>
  <c r="G57" i="33"/>
  <c r="H57" i="33" s="1"/>
  <c r="L57" i="33"/>
  <c r="G16" i="34"/>
  <c r="H16" i="34" s="1"/>
  <c r="L16" i="34"/>
  <c r="G57" i="34"/>
  <c r="H57" i="34" s="1"/>
  <c r="L57" i="34"/>
  <c r="G9" i="37"/>
  <c r="H9" i="37" s="1"/>
  <c r="L9" i="37"/>
  <c r="G9" i="28"/>
  <c r="H9" i="28" s="1"/>
  <c r="L9" i="28"/>
  <c r="G9" i="29"/>
  <c r="H9" i="29" s="1"/>
  <c r="L9" i="29"/>
  <c r="G7" i="30"/>
  <c r="H7" i="30" s="1"/>
  <c r="L7" i="30"/>
  <c r="G57" i="30"/>
  <c r="H57" i="30" s="1"/>
  <c r="L57" i="30"/>
  <c r="G9" i="33"/>
  <c r="H9" i="33" s="1"/>
  <c r="L9" i="33"/>
  <c r="G7" i="34"/>
  <c r="H7" i="34" s="1"/>
  <c r="L7" i="34"/>
  <c r="G7" i="35"/>
  <c r="H7" i="35" s="1"/>
  <c r="L7" i="35"/>
  <c r="G57" i="35"/>
  <c r="H57" i="35" s="1"/>
  <c r="L57" i="35"/>
  <c r="G57" i="26"/>
  <c r="H57" i="26" s="1"/>
  <c r="L57" i="26"/>
  <c r="G9" i="26"/>
  <c r="H9" i="26" s="1"/>
  <c r="L9" i="26"/>
  <c r="G7" i="26"/>
  <c r="H7" i="26" s="1"/>
  <c r="L7" i="26"/>
  <c r="G12" i="26"/>
  <c r="H12" i="26" s="1"/>
  <c r="G16" i="26"/>
  <c r="H16" i="26" s="1"/>
  <c r="G20" i="26"/>
  <c r="H20" i="26" s="1"/>
  <c r="G24" i="26"/>
  <c r="H24" i="26" s="1"/>
  <c r="G28" i="26"/>
  <c r="H28" i="26" s="1"/>
  <c r="G32" i="26"/>
  <c r="H32" i="26" s="1"/>
  <c r="G36" i="26"/>
  <c r="H36" i="26" s="1"/>
  <c r="G40" i="26"/>
  <c r="H40" i="26" s="1"/>
  <c r="G44" i="26"/>
  <c r="H44" i="26" s="1"/>
  <c r="G48" i="26"/>
  <c r="H48" i="26" s="1"/>
  <c r="G52" i="26"/>
  <c r="H52" i="26" s="1"/>
  <c r="G11" i="27"/>
  <c r="H11" i="27" s="1"/>
  <c r="G15" i="27"/>
  <c r="H15" i="27" s="1"/>
  <c r="G19" i="27"/>
  <c r="H19" i="27" s="1"/>
  <c r="G23" i="27"/>
  <c r="H23" i="27" s="1"/>
  <c r="G27" i="27"/>
  <c r="H27" i="27" s="1"/>
  <c r="G31" i="27"/>
  <c r="H31" i="27" s="1"/>
  <c r="G39" i="27"/>
  <c r="H39" i="27" s="1"/>
  <c r="G43" i="27"/>
  <c r="H43" i="27" s="1"/>
  <c r="G47" i="27"/>
  <c r="H47" i="27" s="1"/>
  <c r="G51" i="27"/>
  <c r="H51" i="27" s="1"/>
  <c r="G10" i="28"/>
  <c r="H10" i="28" s="1"/>
  <c r="G13" i="29"/>
  <c r="H13" i="29" s="1"/>
  <c r="G17" i="29"/>
  <c r="H17" i="29" s="1"/>
  <c r="G21" i="29"/>
  <c r="H21" i="29" s="1"/>
  <c r="G25" i="29"/>
  <c r="H25" i="29" s="1"/>
  <c r="G29" i="29"/>
  <c r="H29" i="29" s="1"/>
  <c r="G33" i="29"/>
  <c r="H33" i="29" s="1"/>
  <c r="G37" i="29"/>
  <c r="H37" i="29" s="1"/>
  <c r="G41" i="29"/>
  <c r="H41" i="29" s="1"/>
  <c r="G45" i="29"/>
  <c r="H45" i="29" s="1"/>
  <c r="G49" i="29"/>
  <c r="H49" i="29" s="1"/>
  <c r="G53" i="29"/>
  <c r="H53" i="29" s="1"/>
  <c r="G16" i="30"/>
  <c r="H16" i="30" s="1"/>
  <c r="G20" i="30"/>
  <c r="H20" i="30" s="1"/>
  <c r="G24" i="30"/>
  <c r="H24" i="30" s="1"/>
  <c r="G28" i="30"/>
  <c r="H28" i="30" s="1"/>
  <c r="G32" i="30"/>
  <c r="H32" i="30" s="1"/>
  <c r="G36" i="30"/>
  <c r="H36" i="30" s="1"/>
  <c r="G40" i="30"/>
  <c r="H40" i="30" s="1"/>
  <c r="G44" i="30"/>
  <c r="H44" i="30" s="1"/>
  <c r="G48" i="30"/>
  <c r="H48" i="30" s="1"/>
  <c r="G52" i="30"/>
  <c r="H52" i="30" s="1"/>
  <c r="G12" i="35"/>
  <c r="H12" i="35" s="1"/>
  <c r="G16" i="35"/>
  <c r="H16" i="35" s="1"/>
  <c r="G20" i="35"/>
  <c r="H20" i="35" s="1"/>
  <c r="G24" i="35"/>
  <c r="H24" i="35" s="1"/>
  <c r="G28" i="35"/>
  <c r="H28" i="35" s="1"/>
  <c r="G32" i="35"/>
  <c r="H32" i="35" s="1"/>
  <c r="G36" i="35"/>
  <c r="H36" i="35" s="1"/>
  <c r="G40" i="35"/>
  <c r="H40" i="35" s="1"/>
  <c r="G48" i="35"/>
  <c r="H48" i="35" s="1"/>
  <c r="G52" i="35"/>
  <c r="H52" i="35" s="1"/>
  <c r="G54" i="37"/>
  <c r="H54" i="37" s="1"/>
  <c r="G44" i="36"/>
  <c r="H44" i="36" s="1"/>
  <c r="G48" i="36"/>
  <c r="H48" i="36" s="1"/>
  <c r="G52" i="36"/>
  <c r="H52" i="36" s="1"/>
  <c r="G11" i="37"/>
  <c r="H11" i="37" s="1"/>
  <c r="G50" i="35"/>
  <c r="H50" i="35" s="1"/>
  <c r="G54" i="35"/>
  <c r="H54" i="35" s="1"/>
  <c r="G13" i="36"/>
  <c r="H13" i="36" s="1"/>
  <c r="G21" i="36"/>
  <c r="H21" i="36" s="1"/>
  <c r="G25" i="36"/>
  <c r="H25" i="36" s="1"/>
  <c r="G29" i="36"/>
  <c r="H29" i="36" s="1"/>
  <c r="G33" i="36"/>
  <c r="H33" i="36" s="1"/>
  <c r="G37" i="36"/>
  <c r="H37" i="36" s="1"/>
  <c r="G41" i="36"/>
  <c r="H41" i="36" s="1"/>
  <c r="G45" i="36"/>
  <c r="H45" i="36" s="1"/>
  <c r="G49" i="36"/>
  <c r="H49" i="36" s="1"/>
  <c r="G53" i="36"/>
  <c r="H53" i="36" s="1"/>
  <c r="G12" i="37"/>
  <c r="H12" i="37" s="1"/>
  <c r="G16" i="37"/>
  <c r="H16" i="37" s="1"/>
  <c r="G24" i="37"/>
  <c r="H24" i="37" s="1"/>
  <c r="G28" i="37"/>
  <c r="H28" i="37" s="1"/>
  <c r="G32" i="37"/>
  <c r="H32" i="37" s="1"/>
  <c r="G36" i="37"/>
  <c r="H36" i="37" s="1"/>
  <c r="G40" i="37"/>
  <c r="H40" i="37" s="1"/>
  <c r="G52" i="37"/>
  <c r="H52" i="37" s="1"/>
  <c r="G12" i="27"/>
  <c r="H12" i="27" s="1"/>
  <c r="G20" i="27"/>
  <c r="H20" i="27" s="1"/>
  <c r="G24" i="27"/>
  <c r="H24" i="27" s="1"/>
  <c r="G28" i="27"/>
  <c r="H28" i="27" s="1"/>
  <c r="G32" i="27"/>
  <c r="H32" i="27" s="1"/>
  <c r="G36" i="27"/>
  <c r="H36" i="27" s="1"/>
  <c r="G40" i="27"/>
  <c r="H40" i="27" s="1"/>
  <c r="G44" i="27"/>
  <c r="H44" i="27" s="1"/>
  <c r="G52" i="27"/>
  <c r="H52" i="27" s="1"/>
  <c r="G11" i="28"/>
  <c r="H11" i="28" s="1"/>
  <c r="G10" i="29"/>
  <c r="H10" i="29" s="1"/>
  <c r="G14" i="29"/>
  <c r="H14" i="29" s="1"/>
  <c r="G22" i="29"/>
  <c r="H22" i="29" s="1"/>
  <c r="G26" i="29"/>
  <c r="H26" i="29" s="1"/>
  <c r="G30" i="29"/>
  <c r="H30" i="29" s="1"/>
  <c r="G34" i="29"/>
  <c r="H34" i="29" s="1"/>
  <c r="G38" i="29"/>
  <c r="H38" i="29" s="1"/>
  <c r="G42" i="29"/>
  <c r="H42" i="29" s="1"/>
  <c r="G46" i="29"/>
  <c r="H46" i="29" s="1"/>
  <c r="G54" i="29"/>
  <c r="H54" i="29" s="1"/>
  <c r="G13" i="30"/>
  <c r="H13" i="30" s="1"/>
  <c r="G17" i="26"/>
  <c r="H17" i="26" s="1"/>
  <c r="G25" i="26"/>
  <c r="H25" i="26" s="1"/>
  <c r="G33" i="26"/>
  <c r="H33" i="26" s="1"/>
  <c r="G41" i="26"/>
  <c r="H41" i="26" s="1"/>
  <c r="G49" i="26"/>
  <c r="H49" i="26" s="1"/>
  <c r="G13" i="26"/>
  <c r="H13" i="26" s="1"/>
  <c r="G21" i="26"/>
  <c r="H21" i="26" s="1"/>
  <c r="G29" i="26"/>
  <c r="H29" i="26" s="1"/>
  <c r="G37" i="26"/>
  <c r="H37" i="26" s="1"/>
  <c r="G45" i="26"/>
  <c r="H45" i="26" s="1"/>
  <c r="G53" i="26"/>
  <c r="H53" i="26" s="1"/>
  <c r="G17" i="30"/>
  <c r="H17" i="30" s="1"/>
  <c r="G25" i="30"/>
  <c r="H25" i="30" s="1"/>
  <c r="G29" i="30"/>
  <c r="H29" i="30" s="1"/>
  <c r="G33" i="30"/>
  <c r="H33" i="30" s="1"/>
  <c r="G37" i="30"/>
  <c r="H37" i="30" s="1"/>
  <c r="G41" i="30"/>
  <c r="H41" i="30" s="1"/>
  <c r="G45" i="30"/>
  <c r="H45" i="30" s="1"/>
  <c r="G49" i="30"/>
  <c r="H49" i="30" s="1"/>
  <c r="G53" i="30"/>
  <c r="H53" i="30" s="1"/>
  <c r="G12" i="31"/>
  <c r="H12" i="31" s="1"/>
  <c r="G16" i="31"/>
  <c r="H16" i="31" s="1"/>
  <c r="G20" i="31"/>
  <c r="H20" i="31" s="1"/>
  <c r="G24" i="31"/>
  <c r="H24" i="31" s="1"/>
  <c r="G28" i="31"/>
  <c r="H28" i="31" s="1"/>
  <c r="G32" i="31"/>
  <c r="H32" i="31" s="1"/>
  <c r="G36" i="31"/>
  <c r="H36" i="31" s="1"/>
  <c r="G40" i="31"/>
  <c r="H40" i="31" s="1"/>
  <c r="G44" i="31"/>
  <c r="H44" i="31" s="1"/>
  <c r="G48" i="31"/>
  <c r="H48" i="31" s="1"/>
  <c r="G52" i="31"/>
  <c r="H52" i="31" s="1"/>
  <c r="G11" i="32"/>
  <c r="H11" i="32" s="1"/>
  <c r="G15" i="32"/>
  <c r="H15" i="32" s="1"/>
  <c r="G19" i="32"/>
  <c r="H19" i="32" s="1"/>
  <c r="G27" i="32"/>
  <c r="H27" i="32" s="1"/>
  <c r="G31" i="32"/>
  <c r="H31" i="32" s="1"/>
  <c r="G35" i="32"/>
  <c r="H35" i="32" s="1"/>
  <c r="G39" i="32"/>
  <c r="H39" i="32" s="1"/>
  <c r="G47" i="32"/>
  <c r="H47" i="32" s="1"/>
  <c r="G51" i="32"/>
  <c r="H51" i="32" s="1"/>
  <c r="G55" i="32"/>
  <c r="H55" i="32" s="1"/>
  <c r="G10" i="33"/>
  <c r="H10" i="33" s="1"/>
  <c r="G14" i="33"/>
  <c r="H14" i="33" s="1"/>
  <c r="G18" i="33"/>
  <c r="H18" i="33" s="1"/>
  <c r="G22" i="33"/>
  <c r="H22" i="33" s="1"/>
  <c r="G26" i="33"/>
  <c r="H26" i="33" s="1"/>
  <c r="G30" i="33"/>
  <c r="H30" i="33" s="1"/>
  <c r="G34" i="33"/>
  <c r="H34" i="33" s="1"/>
  <c r="G38" i="33"/>
  <c r="H38" i="33" s="1"/>
  <c r="G42" i="33"/>
  <c r="H42" i="33" s="1"/>
  <c r="G46" i="33"/>
  <c r="H46" i="33" s="1"/>
  <c r="G50" i="33"/>
  <c r="H50" i="33" s="1"/>
  <c r="G54" i="33"/>
  <c r="H54" i="33" s="1"/>
  <c r="G13" i="34"/>
  <c r="H13" i="34" s="1"/>
  <c r="G18" i="34"/>
  <c r="H18" i="34" s="1"/>
  <c r="G22" i="34"/>
  <c r="H22" i="34" s="1"/>
  <c r="G26" i="34"/>
  <c r="H26" i="34" s="1"/>
  <c r="G30" i="34"/>
  <c r="H30" i="34" s="1"/>
  <c r="G34" i="34"/>
  <c r="H34" i="34" s="1"/>
  <c r="G38" i="34"/>
  <c r="H38" i="34" s="1"/>
  <c r="G42" i="34"/>
  <c r="H42" i="34" s="1"/>
  <c r="G46" i="34"/>
  <c r="H46" i="34" s="1"/>
  <c r="G50" i="34"/>
  <c r="H50" i="34" s="1"/>
  <c r="G54" i="34"/>
  <c r="H54" i="34" s="1"/>
  <c r="G13" i="35"/>
  <c r="H13" i="35" s="1"/>
  <c r="G17" i="35"/>
  <c r="H17" i="35" s="1"/>
  <c r="G21" i="35"/>
  <c r="H21" i="35" s="1"/>
  <c r="G25" i="35"/>
  <c r="H25" i="35" s="1"/>
  <c r="G29" i="35"/>
  <c r="H29" i="35" s="1"/>
  <c r="G33" i="35"/>
  <c r="H33" i="35" s="1"/>
  <c r="G37" i="35"/>
  <c r="H37" i="35" s="1"/>
  <c r="G41" i="35"/>
  <c r="H41" i="35" s="1"/>
  <c r="G45" i="35"/>
  <c r="H45" i="35" s="1"/>
  <c r="G49" i="35"/>
  <c r="H49" i="35" s="1"/>
  <c r="G53" i="35"/>
  <c r="H53" i="35" s="1"/>
  <c r="G12" i="36"/>
  <c r="H12" i="36" s="1"/>
  <c r="G16" i="36"/>
  <c r="H16" i="36" s="1"/>
  <c r="G20" i="36"/>
  <c r="H20" i="36" s="1"/>
  <c r="G24" i="36"/>
  <c r="H24" i="36" s="1"/>
  <c r="G28" i="36"/>
  <c r="H28" i="36" s="1"/>
  <c r="G32" i="36"/>
  <c r="H32" i="36" s="1"/>
  <c r="G36" i="36"/>
  <c r="H36" i="36" s="1"/>
  <c r="G40" i="36"/>
  <c r="H40" i="36" s="1"/>
  <c r="G15" i="37"/>
  <c r="H15" i="37" s="1"/>
  <c r="G19" i="37"/>
  <c r="H19" i="37" s="1"/>
  <c r="G23" i="37"/>
  <c r="H23" i="37" s="1"/>
  <c r="G27" i="37"/>
  <c r="H27" i="37" s="1"/>
  <c r="G31" i="37"/>
  <c r="H31" i="37" s="1"/>
  <c r="G35" i="37"/>
  <c r="H35" i="37" s="1"/>
  <c r="G39" i="37"/>
  <c r="H39" i="37" s="1"/>
  <c r="G43" i="37"/>
  <c r="H43" i="37" s="1"/>
  <c r="G47" i="37"/>
  <c r="H47" i="37" s="1"/>
  <c r="G51" i="37"/>
  <c r="H51" i="37" s="1"/>
  <c r="G55" i="37"/>
  <c r="H55" i="37" s="1"/>
  <c r="G10" i="26"/>
  <c r="H10" i="26" s="1"/>
  <c r="G14" i="26"/>
  <c r="H14" i="26" s="1"/>
  <c r="G18" i="26"/>
  <c r="H18" i="26" s="1"/>
  <c r="G22" i="26"/>
  <c r="H22" i="26" s="1"/>
  <c r="G26" i="26"/>
  <c r="H26" i="26" s="1"/>
  <c r="G30" i="26"/>
  <c r="H30" i="26" s="1"/>
  <c r="G34" i="26"/>
  <c r="H34" i="26" s="1"/>
  <c r="G38" i="26"/>
  <c r="H38" i="26" s="1"/>
  <c r="G42" i="26"/>
  <c r="H42" i="26" s="1"/>
  <c r="G46" i="26"/>
  <c r="H46" i="26" s="1"/>
  <c r="G50" i="26"/>
  <c r="H50" i="26" s="1"/>
  <c r="G54" i="26"/>
  <c r="H54" i="26" s="1"/>
  <c r="G13" i="27"/>
  <c r="H13" i="27" s="1"/>
  <c r="G17" i="27"/>
  <c r="H17" i="27" s="1"/>
  <c r="G21" i="27"/>
  <c r="H21" i="27" s="1"/>
  <c r="G25" i="27"/>
  <c r="H25" i="27" s="1"/>
  <c r="G33" i="27"/>
  <c r="H33" i="27" s="1"/>
  <c r="G37" i="27"/>
  <c r="H37" i="27" s="1"/>
  <c r="G41" i="27"/>
  <c r="H41" i="27" s="1"/>
  <c r="G45" i="27"/>
  <c r="H45" i="27" s="1"/>
  <c r="G49" i="27"/>
  <c r="H49" i="27" s="1"/>
  <c r="G53" i="27"/>
  <c r="H53" i="27" s="1"/>
  <c r="G11" i="29"/>
  <c r="H11" i="29" s="1"/>
  <c r="G15" i="29"/>
  <c r="H15" i="29" s="1"/>
  <c r="G19" i="29"/>
  <c r="H19" i="29" s="1"/>
  <c r="G23" i="29"/>
  <c r="H23" i="29" s="1"/>
  <c r="G27" i="29"/>
  <c r="H27" i="29" s="1"/>
  <c r="G31" i="29"/>
  <c r="H31" i="29" s="1"/>
  <c r="G35" i="29"/>
  <c r="H35" i="29" s="1"/>
  <c r="G43" i="29"/>
  <c r="H43" i="29" s="1"/>
  <c r="G47" i="29"/>
  <c r="H47" i="29" s="1"/>
  <c r="G51" i="29"/>
  <c r="H51" i="29" s="1"/>
  <c r="G55" i="29"/>
  <c r="H55" i="29" s="1"/>
  <c r="G10" i="30"/>
  <c r="H10" i="30" s="1"/>
  <c r="G14" i="30"/>
  <c r="H14" i="30" s="1"/>
  <c r="G18" i="30"/>
  <c r="H18" i="30" s="1"/>
  <c r="G22" i="30"/>
  <c r="H22" i="30" s="1"/>
  <c r="G26" i="30"/>
  <c r="H26" i="30" s="1"/>
  <c r="G34" i="30"/>
  <c r="H34" i="30" s="1"/>
  <c r="G42" i="30"/>
  <c r="H42" i="30" s="1"/>
  <c r="G46" i="30"/>
  <c r="H46" i="30" s="1"/>
  <c r="G50" i="30"/>
  <c r="H50" i="30" s="1"/>
  <c r="G54" i="30"/>
  <c r="H54" i="30" s="1"/>
  <c r="G13" i="31"/>
  <c r="H13" i="31" s="1"/>
  <c r="G17" i="31"/>
  <c r="H17" i="31" s="1"/>
  <c r="G21" i="31"/>
  <c r="H21" i="31" s="1"/>
  <c r="G25" i="31"/>
  <c r="H25" i="31" s="1"/>
  <c r="G29" i="31"/>
  <c r="H29" i="31" s="1"/>
  <c r="G33" i="31"/>
  <c r="H33" i="31" s="1"/>
  <c r="G37" i="31"/>
  <c r="H37" i="31" s="1"/>
  <c r="G45" i="31"/>
  <c r="H45" i="31" s="1"/>
  <c r="G49" i="31"/>
  <c r="H49" i="31" s="1"/>
  <c r="G53" i="31"/>
  <c r="H53" i="31" s="1"/>
  <c r="G12" i="32"/>
  <c r="H12" i="32" s="1"/>
  <c r="G20" i="32"/>
  <c r="H20" i="32" s="1"/>
  <c r="G24" i="32"/>
  <c r="H24" i="32" s="1"/>
  <c r="G28" i="32"/>
  <c r="H28" i="32" s="1"/>
  <c r="G32" i="32"/>
  <c r="H32" i="32" s="1"/>
  <c r="G40" i="32"/>
  <c r="H40" i="32" s="1"/>
  <c r="G44" i="32"/>
  <c r="H44" i="32" s="1"/>
  <c r="G48" i="32"/>
  <c r="H48" i="32" s="1"/>
  <c r="G52" i="32"/>
  <c r="H52" i="32" s="1"/>
  <c r="G15" i="33"/>
  <c r="H15" i="33" s="1"/>
  <c r="G23" i="33"/>
  <c r="H23" i="33" s="1"/>
  <c r="G27" i="33"/>
  <c r="H27" i="33" s="1"/>
  <c r="G31" i="33"/>
  <c r="H31" i="33" s="1"/>
  <c r="G35" i="33"/>
  <c r="H35" i="33" s="1"/>
  <c r="G39" i="33"/>
  <c r="H39" i="33" s="1"/>
  <c r="G43" i="33"/>
  <c r="H43" i="33" s="1"/>
  <c r="G47" i="33"/>
  <c r="H47" i="33" s="1"/>
  <c r="G51" i="33"/>
  <c r="H51" i="33" s="1"/>
  <c r="G55" i="33"/>
  <c r="H55" i="33" s="1"/>
  <c r="G10" i="34"/>
  <c r="H10" i="34" s="1"/>
  <c r="G14" i="34"/>
  <c r="H14" i="34" s="1"/>
  <c r="G15" i="34"/>
  <c r="H15" i="34" s="1"/>
  <c r="G19" i="34"/>
  <c r="H19" i="34" s="1"/>
  <c r="G23" i="34"/>
  <c r="H23" i="34" s="1"/>
  <c r="G27" i="34"/>
  <c r="H27" i="34" s="1"/>
  <c r="G31" i="34"/>
  <c r="H31" i="34" s="1"/>
  <c r="G35" i="34"/>
  <c r="H35" i="34" s="1"/>
  <c r="G39" i="34"/>
  <c r="H39" i="34" s="1"/>
  <c r="G43" i="34"/>
  <c r="H43" i="34" s="1"/>
  <c r="G47" i="34"/>
  <c r="H47" i="34" s="1"/>
  <c r="G51" i="34"/>
  <c r="H51" i="34" s="1"/>
  <c r="G55" i="34"/>
  <c r="H55" i="34" s="1"/>
  <c r="G10" i="35"/>
  <c r="H10" i="35" s="1"/>
  <c r="G14" i="35"/>
  <c r="H14" i="35" s="1"/>
  <c r="G22" i="35"/>
  <c r="H22" i="35" s="1"/>
  <c r="G26" i="35"/>
  <c r="H26" i="35" s="1"/>
  <c r="G30" i="35"/>
  <c r="H30" i="35" s="1"/>
  <c r="G34" i="35"/>
  <c r="H34" i="35" s="1"/>
  <c r="G38" i="35"/>
  <c r="H38" i="35" s="1"/>
  <c r="G42" i="35"/>
  <c r="H42" i="35" s="1"/>
  <c r="G46" i="35"/>
  <c r="H46" i="35" s="1"/>
  <c r="G13" i="28"/>
  <c r="H13" i="28" s="1"/>
  <c r="G11" i="26"/>
  <c r="H11" i="26" s="1"/>
  <c r="G15" i="26"/>
  <c r="H15" i="26" s="1"/>
  <c r="G19" i="26"/>
  <c r="H19" i="26" s="1"/>
  <c r="G23" i="26"/>
  <c r="H23" i="26" s="1"/>
  <c r="G27" i="26"/>
  <c r="H27" i="26" s="1"/>
  <c r="G31" i="26"/>
  <c r="H31" i="26" s="1"/>
  <c r="G35" i="26"/>
  <c r="H35" i="26" s="1"/>
  <c r="G39" i="26"/>
  <c r="H39" i="26" s="1"/>
  <c r="G43" i="26"/>
  <c r="H43" i="26" s="1"/>
  <c r="G47" i="26"/>
  <c r="H47" i="26" s="1"/>
  <c r="G51" i="26"/>
  <c r="H51" i="26" s="1"/>
  <c r="G55" i="26"/>
  <c r="H55" i="26" s="1"/>
  <c r="G10" i="27"/>
  <c r="H10" i="27" s="1"/>
  <c r="G14" i="27"/>
  <c r="H14" i="27" s="1"/>
  <c r="G18" i="27"/>
  <c r="H18" i="27" s="1"/>
  <c r="G26" i="27"/>
  <c r="H26" i="27" s="1"/>
  <c r="G30" i="27"/>
  <c r="H30" i="27" s="1"/>
  <c r="G34" i="27"/>
  <c r="H34" i="27" s="1"/>
  <c r="G38" i="27"/>
  <c r="H38" i="27" s="1"/>
  <c r="G46" i="27"/>
  <c r="H46" i="27" s="1"/>
  <c r="G50" i="27"/>
  <c r="H50" i="27" s="1"/>
  <c r="G54" i="27"/>
  <c r="H54" i="27" s="1"/>
  <c r="G12" i="29"/>
  <c r="H12" i="29" s="1"/>
  <c r="G16" i="29"/>
  <c r="H16" i="29" s="1"/>
  <c r="G20" i="29"/>
  <c r="H20" i="29" s="1"/>
  <c r="G24" i="29"/>
  <c r="H24" i="29" s="1"/>
  <c r="G32" i="29"/>
  <c r="H32" i="29" s="1"/>
  <c r="G36" i="29"/>
  <c r="H36" i="29" s="1"/>
  <c r="G40" i="29"/>
  <c r="H40" i="29" s="1"/>
  <c r="G44" i="29"/>
  <c r="H44" i="29" s="1"/>
  <c r="G48" i="29"/>
  <c r="H48" i="29" s="1"/>
  <c r="G52" i="29"/>
  <c r="H52" i="29" s="1"/>
  <c r="G11" i="30"/>
  <c r="H11" i="30" s="1"/>
  <c r="G15" i="30"/>
  <c r="H15" i="30" s="1"/>
  <c r="G19" i="30"/>
  <c r="H19" i="30" s="1"/>
  <c r="G23" i="30"/>
  <c r="H23" i="30" s="1"/>
  <c r="G27" i="30"/>
  <c r="H27" i="30" s="1"/>
  <c r="G31" i="30"/>
  <c r="H31" i="30" s="1"/>
  <c r="G35" i="30"/>
  <c r="H35" i="30" s="1"/>
  <c r="G39" i="30"/>
  <c r="H39" i="30" s="1"/>
  <c r="G43" i="30"/>
  <c r="H43" i="30" s="1"/>
  <c r="G51" i="30"/>
  <c r="H51" i="30" s="1"/>
  <c r="G55" i="30"/>
  <c r="H55" i="30" s="1"/>
  <c r="G10" i="31"/>
  <c r="H10" i="31" s="1"/>
  <c r="G14" i="31"/>
  <c r="H14" i="31" s="1"/>
  <c r="G22" i="31"/>
  <c r="H22" i="31" s="1"/>
  <c r="G26" i="31"/>
  <c r="H26" i="31" s="1"/>
  <c r="G30" i="31"/>
  <c r="H30" i="31" s="1"/>
  <c r="G34" i="31"/>
  <c r="H34" i="31" s="1"/>
  <c r="G38" i="31"/>
  <c r="H38" i="31" s="1"/>
  <c r="G42" i="31"/>
  <c r="H42" i="31" s="1"/>
  <c r="G46" i="31"/>
  <c r="H46" i="31" s="1"/>
  <c r="G50" i="31"/>
  <c r="H50" i="31" s="1"/>
  <c r="G54" i="31"/>
  <c r="H54" i="31" s="1"/>
  <c r="G13" i="32"/>
  <c r="H13" i="32" s="1"/>
  <c r="G17" i="32"/>
  <c r="H17" i="32" s="1"/>
  <c r="G21" i="32"/>
  <c r="H21" i="32" s="1"/>
  <c r="G25" i="32"/>
  <c r="H25" i="32" s="1"/>
  <c r="G33" i="32"/>
  <c r="H33" i="32" s="1"/>
  <c r="G37" i="32"/>
  <c r="H37" i="32" s="1"/>
  <c r="G41" i="32"/>
  <c r="H41" i="32" s="1"/>
  <c r="G45" i="32"/>
  <c r="H45" i="32" s="1"/>
  <c r="G53" i="32"/>
  <c r="H53" i="32" s="1"/>
  <c r="G12" i="33"/>
  <c r="H12" i="33" s="1"/>
  <c r="G16" i="33"/>
  <c r="H16" i="33" s="1"/>
  <c r="G20" i="33"/>
  <c r="H20" i="33" s="1"/>
  <c r="G24" i="33"/>
  <c r="H24" i="33" s="1"/>
  <c r="G32" i="33"/>
  <c r="H32" i="33" s="1"/>
  <c r="G40" i="33"/>
  <c r="H40" i="33" s="1"/>
  <c r="G44" i="33"/>
  <c r="H44" i="33" s="1"/>
  <c r="G48" i="33"/>
  <c r="H48" i="33" s="1"/>
  <c r="G52" i="33"/>
  <c r="H52" i="33" s="1"/>
  <c r="G20" i="34"/>
  <c r="H20" i="34" s="1"/>
  <c r="G24" i="34"/>
  <c r="H24" i="34" s="1"/>
  <c r="G28" i="34"/>
  <c r="H28" i="34" s="1"/>
  <c r="G32" i="34"/>
  <c r="H32" i="34" s="1"/>
  <c r="G36" i="34"/>
  <c r="H36" i="34" s="1"/>
  <c r="G40" i="34"/>
  <c r="H40" i="34" s="1"/>
  <c r="G44" i="34"/>
  <c r="H44" i="34" s="1"/>
  <c r="G48" i="34"/>
  <c r="H48" i="34" s="1"/>
  <c r="G52" i="34"/>
  <c r="H52" i="34" s="1"/>
  <c r="G11" i="35"/>
  <c r="H11" i="35" s="1"/>
  <c r="G15" i="35"/>
  <c r="H15" i="35" s="1"/>
  <c r="G19" i="35"/>
  <c r="H19" i="35" s="1"/>
  <c r="G23" i="35"/>
  <c r="H23" i="35" s="1"/>
  <c r="G27" i="35"/>
  <c r="H27" i="35" s="1"/>
  <c r="G35" i="35"/>
  <c r="H35" i="35" s="1"/>
  <c r="G39" i="35"/>
  <c r="H39" i="35" s="1"/>
  <c r="G43" i="35"/>
  <c r="H43" i="35" s="1"/>
  <c r="G47" i="35"/>
  <c r="H47" i="35" s="1"/>
  <c r="G51" i="35"/>
  <c r="H51" i="35" s="1"/>
  <c r="G55" i="35"/>
  <c r="H55" i="35" s="1"/>
  <c r="G10" i="36"/>
  <c r="H10" i="36" s="1"/>
  <c r="G14" i="36"/>
  <c r="H14" i="36" s="1"/>
  <c r="G18" i="36"/>
  <c r="H18" i="36" s="1"/>
  <c r="G22" i="36"/>
  <c r="H22" i="36" s="1"/>
  <c r="G26" i="36"/>
  <c r="H26" i="36" s="1"/>
  <c r="G30" i="36"/>
  <c r="H30" i="36" s="1"/>
  <c r="G34" i="36"/>
  <c r="H34" i="36" s="1"/>
  <c r="G38" i="36"/>
  <c r="H38" i="36" s="1"/>
  <c r="G42" i="36"/>
  <c r="H42" i="36" s="1"/>
  <c r="G46" i="36"/>
  <c r="H46" i="36" s="1"/>
  <c r="G50" i="36"/>
  <c r="H50" i="36" s="1"/>
  <c r="G54" i="36"/>
  <c r="H54" i="36" s="1"/>
  <c r="G13" i="37"/>
  <c r="H13" i="37" s="1"/>
  <c r="G17" i="37"/>
  <c r="H17" i="37" s="1"/>
  <c r="G21" i="37"/>
  <c r="H21" i="37" s="1"/>
  <c r="G25" i="37"/>
  <c r="H25" i="37" s="1"/>
  <c r="G29" i="37"/>
  <c r="H29" i="37" s="1"/>
  <c r="G33" i="37"/>
  <c r="H33" i="37" s="1"/>
  <c r="G37" i="37"/>
  <c r="H37" i="37" s="1"/>
  <c r="G45" i="37"/>
  <c r="H45" i="37" s="1"/>
  <c r="G49" i="37"/>
  <c r="H49" i="37" s="1"/>
  <c r="G53" i="37"/>
  <c r="H53" i="37" s="1"/>
  <c r="G11" i="31"/>
  <c r="H11" i="31" s="1"/>
  <c r="G15" i="31"/>
  <c r="H15" i="31" s="1"/>
  <c r="G19" i="31"/>
  <c r="H19" i="31" s="1"/>
  <c r="G23" i="31"/>
  <c r="H23" i="31" s="1"/>
  <c r="G27" i="31"/>
  <c r="H27" i="31" s="1"/>
  <c r="G31" i="31"/>
  <c r="H31" i="31" s="1"/>
  <c r="G35" i="31"/>
  <c r="H35" i="31" s="1"/>
  <c r="G39" i="31"/>
  <c r="H39" i="31" s="1"/>
  <c r="G43" i="31"/>
  <c r="H43" i="31" s="1"/>
  <c r="G47" i="31"/>
  <c r="H47" i="31" s="1"/>
  <c r="G51" i="31"/>
  <c r="H51" i="31" s="1"/>
  <c r="G55" i="31"/>
  <c r="H55" i="31" s="1"/>
  <c r="G10" i="32"/>
  <c r="H10" i="32" s="1"/>
  <c r="G14" i="32"/>
  <c r="H14" i="32" s="1"/>
  <c r="G18" i="32"/>
  <c r="H18" i="32" s="1"/>
  <c r="G22" i="32"/>
  <c r="H22" i="32" s="1"/>
  <c r="G26" i="32"/>
  <c r="H26" i="32" s="1"/>
  <c r="G30" i="32"/>
  <c r="H30" i="32" s="1"/>
  <c r="G34" i="32"/>
  <c r="H34" i="32" s="1"/>
  <c r="G38" i="32"/>
  <c r="H38" i="32" s="1"/>
  <c r="G42" i="32"/>
  <c r="H42" i="32" s="1"/>
  <c r="G46" i="32"/>
  <c r="H46" i="32" s="1"/>
  <c r="G50" i="32"/>
  <c r="H50" i="32" s="1"/>
  <c r="G54" i="32"/>
  <c r="H54" i="32" s="1"/>
  <c r="G13" i="33"/>
  <c r="H13" i="33" s="1"/>
  <c r="G17" i="33"/>
  <c r="H17" i="33" s="1"/>
  <c r="G21" i="33"/>
  <c r="H21" i="33" s="1"/>
  <c r="G25" i="33"/>
  <c r="H25" i="33" s="1"/>
  <c r="G29" i="33"/>
  <c r="H29" i="33" s="1"/>
  <c r="G33" i="33"/>
  <c r="H33" i="33" s="1"/>
  <c r="G37" i="33"/>
  <c r="H37" i="33" s="1"/>
  <c r="G41" i="33"/>
  <c r="H41" i="33" s="1"/>
  <c r="G49" i="33"/>
  <c r="H49" i="33" s="1"/>
  <c r="G12" i="34"/>
  <c r="H12" i="34" s="1"/>
  <c r="G17" i="34"/>
  <c r="H17" i="34" s="1"/>
  <c r="G21" i="34"/>
  <c r="H21" i="34" s="1"/>
  <c r="G25" i="34"/>
  <c r="H25" i="34" s="1"/>
  <c r="G29" i="34"/>
  <c r="H29" i="34" s="1"/>
  <c r="G33" i="34"/>
  <c r="H33" i="34" s="1"/>
  <c r="G37" i="34"/>
  <c r="H37" i="34" s="1"/>
  <c r="G41" i="34"/>
  <c r="H41" i="34" s="1"/>
  <c r="G49" i="34"/>
  <c r="H49" i="34" s="1"/>
  <c r="G53" i="34"/>
  <c r="H53" i="34" s="1"/>
  <c r="G11" i="36"/>
  <c r="H11" i="36" s="1"/>
  <c r="G15" i="36"/>
  <c r="H15" i="36" s="1"/>
  <c r="G19" i="36"/>
  <c r="H19" i="36" s="1"/>
  <c r="G23" i="36"/>
  <c r="H23" i="36" s="1"/>
  <c r="G27" i="36"/>
  <c r="H27" i="36" s="1"/>
  <c r="G31" i="36"/>
  <c r="H31" i="36" s="1"/>
  <c r="G35" i="36"/>
  <c r="H35" i="36" s="1"/>
  <c r="G39" i="36"/>
  <c r="H39" i="36" s="1"/>
  <c r="G43" i="36"/>
  <c r="H43" i="36" s="1"/>
  <c r="G47" i="36"/>
  <c r="H47" i="36" s="1"/>
  <c r="G51" i="36"/>
  <c r="H51" i="36" s="1"/>
  <c r="G55" i="36"/>
  <c r="H55" i="36" s="1"/>
  <c r="G10" i="37"/>
  <c r="H10" i="37" s="1"/>
  <c r="G14" i="37"/>
  <c r="H14" i="37" s="1"/>
  <c r="G18" i="37"/>
  <c r="H18" i="37" s="1"/>
  <c r="G22" i="37"/>
  <c r="H22" i="37" s="1"/>
  <c r="G26" i="37"/>
  <c r="H26" i="37" s="1"/>
  <c r="G30" i="37"/>
  <c r="H30" i="37" s="1"/>
  <c r="G34" i="37"/>
  <c r="H34" i="37" s="1"/>
  <c r="G38" i="37"/>
  <c r="H38" i="37" s="1"/>
  <c r="G42" i="37"/>
  <c r="H42" i="37" s="1"/>
  <c r="G46" i="37"/>
  <c r="H46" i="37" s="1"/>
  <c r="G50" i="37"/>
  <c r="H50" i="37" s="1"/>
  <c r="E25" i="26"/>
  <c r="E41" i="26"/>
  <c r="E55" i="32"/>
  <c r="E17" i="27"/>
  <c r="E21" i="27"/>
  <c r="E33" i="27"/>
  <c r="E37" i="27"/>
  <c r="E49" i="27"/>
  <c r="E43" i="29"/>
  <c r="E39" i="32"/>
  <c r="E13" i="32"/>
  <c r="E16" i="33"/>
  <c r="E32" i="33"/>
  <c r="E19" i="35"/>
  <c r="E51" i="35"/>
  <c r="E21" i="37"/>
  <c r="E37" i="37"/>
  <c r="E53" i="37"/>
  <c r="E21" i="26"/>
  <c r="E37" i="26"/>
  <c r="E53" i="26"/>
  <c r="E35" i="36"/>
  <c r="E31" i="31"/>
  <c r="E35" i="31"/>
  <c r="E39" i="31"/>
  <c r="E43" i="31"/>
  <c r="E47" i="31"/>
  <c r="E51" i="31"/>
  <c r="E7" i="32"/>
  <c r="E10" i="32"/>
  <c r="E15" i="32"/>
  <c r="E41" i="32"/>
  <c r="E45" i="32"/>
  <c r="E10" i="33"/>
  <c r="E34" i="33"/>
  <c r="E50" i="33"/>
  <c r="E16" i="36"/>
  <c r="E25" i="36"/>
  <c r="E53" i="36"/>
  <c r="E42" i="37"/>
  <c r="E7" i="31"/>
  <c r="E10" i="31"/>
  <c r="E14" i="31"/>
  <c r="E22" i="31"/>
  <c r="E26" i="31"/>
  <c r="E30" i="31"/>
  <c r="E34" i="31"/>
  <c r="E38" i="31"/>
  <c r="E42" i="31"/>
  <c r="E46" i="31"/>
  <c r="E50" i="31"/>
  <c r="E54" i="31"/>
  <c r="E57" i="31"/>
  <c r="E9" i="32"/>
  <c r="E14" i="32"/>
  <c r="E20" i="32"/>
  <c r="E32" i="32"/>
  <c r="E34" i="32"/>
  <c r="E38" i="32"/>
  <c r="E47" i="32"/>
  <c r="E51" i="32"/>
  <c r="E53" i="32"/>
  <c r="E9" i="33"/>
  <c r="E14" i="33"/>
  <c r="E23" i="33"/>
  <c r="E24" i="33"/>
  <c r="E33" i="33"/>
  <c r="E40" i="33"/>
  <c r="E46" i="33"/>
  <c r="E16" i="34"/>
  <c r="E21" i="34"/>
  <c r="E37" i="34"/>
  <c r="E46" i="34"/>
  <c r="E9" i="35"/>
  <c r="E14" i="35"/>
  <c r="E28" i="35"/>
  <c r="E37" i="35"/>
  <c r="E11" i="36"/>
  <c r="E34" i="36"/>
  <c r="E39" i="36"/>
  <c r="E48" i="36"/>
  <c r="E15" i="37"/>
  <c r="E25" i="37"/>
  <c r="E27" i="31"/>
  <c r="E24" i="32"/>
  <c r="E28" i="32"/>
  <c r="E30" i="32"/>
  <c r="E7" i="33"/>
  <c r="E15" i="33"/>
  <c r="E20" i="33"/>
  <c r="E44" i="33"/>
  <c r="E10" i="34"/>
  <c r="E33" i="34"/>
  <c r="E30" i="36"/>
  <c r="E44" i="36"/>
  <c r="E9" i="37"/>
  <c r="E9" i="31"/>
  <c r="E13" i="31"/>
  <c r="E17" i="31"/>
  <c r="E21" i="31"/>
  <c r="E25" i="31"/>
  <c r="E29" i="31"/>
  <c r="E33" i="31"/>
  <c r="E37" i="31"/>
  <c r="E45" i="31"/>
  <c r="E49" i="31"/>
  <c r="E53" i="31"/>
  <c r="E12" i="32"/>
  <c r="E19" i="32"/>
  <c r="E25" i="32"/>
  <c r="E27" i="32"/>
  <c r="E40" i="32"/>
  <c r="E42" i="32"/>
  <c r="E44" i="32"/>
  <c r="E46" i="32"/>
  <c r="E57" i="32"/>
  <c r="E13" i="33"/>
  <c r="E18" i="33"/>
  <c r="E22" i="33"/>
  <c r="E27" i="33"/>
  <c r="E31" i="33"/>
  <c r="E39" i="33"/>
  <c r="E42" i="33"/>
  <c r="E49" i="33"/>
  <c r="E55" i="33"/>
  <c r="E7" i="34"/>
  <c r="E14" i="34"/>
  <c r="E25" i="34"/>
  <c r="E41" i="34"/>
  <c r="E50" i="34"/>
  <c r="E57" i="34"/>
  <c r="E23" i="35"/>
  <c r="E32" i="35"/>
  <c r="E41" i="35"/>
  <c r="E46" i="35"/>
  <c r="E43" i="36"/>
  <c r="E10" i="37"/>
  <c r="E31" i="37"/>
  <c r="E36" i="37"/>
  <c r="E11" i="31"/>
  <c r="E15" i="31"/>
  <c r="E19" i="31"/>
  <c r="E23" i="31"/>
  <c r="E55" i="31"/>
  <c r="E21" i="32"/>
  <c r="E26" i="32"/>
  <c r="E25" i="33"/>
  <c r="E29" i="33"/>
  <c r="E37" i="33"/>
  <c r="E42" i="34"/>
  <c r="E12" i="31"/>
  <c r="E16" i="31"/>
  <c r="E20" i="31"/>
  <c r="E24" i="31"/>
  <c r="E28" i="31"/>
  <c r="E32" i="31"/>
  <c r="E36" i="31"/>
  <c r="E40" i="31"/>
  <c r="E44" i="31"/>
  <c r="E48" i="31"/>
  <c r="E52" i="31"/>
  <c r="E11" i="32"/>
  <c r="E17" i="32"/>
  <c r="E18" i="32"/>
  <c r="E22" i="32"/>
  <c r="E31" i="32"/>
  <c r="E33" i="32"/>
  <c r="E35" i="32"/>
  <c r="E37" i="32"/>
  <c r="E48" i="32"/>
  <c r="E50" i="32"/>
  <c r="E52" i="32"/>
  <c r="E54" i="32"/>
  <c r="E12" i="33"/>
  <c r="E17" i="33"/>
  <c r="E21" i="33"/>
  <c r="E26" i="33"/>
  <c r="E30" i="33"/>
  <c r="E35" i="33"/>
  <c r="E41" i="33"/>
  <c r="E48" i="33"/>
  <c r="E51" i="33"/>
  <c r="E54" i="33"/>
  <c r="E17" i="34"/>
  <c r="E29" i="34"/>
  <c r="E54" i="34"/>
  <c r="E27" i="35"/>
  <c r="E50" i="35"/>
  <c r="E55" i="35"/>
  <c r="E12" i="36"/>
  <c r="E21" i="36"/>
  <c r="E26" i="37"/>
  <c r="E47" i="37"/>
  <c r="E52" i="37"/>
  <c r="E20" i="34"/>
  <c r="E24" i="34"/>
  <c r="E28" i="34"/>
  <c r="E32" i="34"/>
  <c r="E36" i="34"/>
  <c r="E40" i="34"/>
  <c r="E49" i="34"/>
  <c r="E53" i="34"/>
  <c r="E13" i="35"/>
  <c r="E17" i="35"/>
  <c r="E22" i="35"/>
  <c r="E26" i="35"/>
  <c r="E36" i="35"/>
  <c r="E40" i="35"/>
  <c r="E45" i="35"/>
  <c r="E49" i="35"/>
  <c r="E54" i="35"/>
  <c r="E7" i="36"/>
  <c r="E10" i="36"/>
  <c r="E15" i="36"/>
  <c r="E20" i="36"/>
  <c r="E24" i="36"/>
  <c r="E29" i="36"/>
  <c r="E33" i="36"/>
  <c r="E38" i="36"/>
  <c r="E42" i="36"/>
  <c r="E47" i="36"/>
  <c r="E52" i="36"/>
  <c r="E14" i="37"/>
  <c r="E19" i="37"/>
  <c r="E24" i="37"/>
  <c r="E30" i="37"/>
  <c r="E35" i="37"/>
  <c r="E40" i="37"/>
  <c r="E46" i="37"/>
  <c r="E51" i="37"/>
  <c r="E57" i="33"/>
  <c r="E9" i="34"/>
  <c r="E13" i="34"/>
  <c r="E19" i="34"/>
  <c r="E23" i="34"/>
  <c r="E27" i="34"/>
  <c r="E31" i="34"/>
  <c r="E35" i="34"/>
  <c r="E39" i="34"/>
  <c r="E44" i="34"/>
  <c r="E48" i="34"/>
  <c r="E52" i="34"/>
  <c r="E12" i="35"/>
  <c r="E16" i="35"/>
  <c r="E21" i="35"/>
  <c r="E25" i="35"/>
  <c r="E30" i="35"/>
  <c r="E34" i="35"/>
  <c r="E35" i="35"/>
  <c r="E39" i="35"/>
  <c r="E48" i="35"/>
  <c r="E53" i="35"/>
  <c r="E57" i="35"/>
  <c r="E9" i="36"/>
  <c r="E14" i="36"/>
  <c r="E18" i="36"/>
  <c r="E19" i="36"/>
  <c r="E23" i="36"/>
  <c r="E28" i="36"/>
  <c r="E32" i="36"/>
  <c r="E37" i="36"/>
  <c r="E41" i="36"/>
  <c r="E46" i="36"/>
  <c r="E50" i="36"/>
  <c r="E51" i="36"/>
  <c r="E55" i="36"/>
  <c r="E7" i="37"/>
  <c r="E12" i="37"/>
  <c r="E13" i="37"/>
  <c r="E18" i="37"/>
  <c r="E23" i="37"/>
  <c r="E28" i="37"/>
  <c r="E29" i="37"/>
  <c r="E34" i="37"/>
  <c r="E39" i="37"/>
  <c r="E44" i="37"/>
  <c r="E45" i="37"/>
  <c r="E50" i="37"/>
  <c r="E55" i="37"/>
  <c r="E38" i="33"/>
  <c r="E43" i="33"/>
  <c r="E47" i="33"/>
  <c r="E52" i="33"/>
  <c r="E12" i="34"/>
  <c r="E18" i="34"/>
  <c r="E22" i="34"/>
  <c r="E26" i="34"/>
  <c r="E30" i="34"/>
  <c r="E34" i="34"/>
  <c r="E38" i="34"/>
  <c r="E43" i="34"/>
  <c r="E47" i="34"/>
  <c r="E51" i="34"/>
  <c r="E55" i="34"/>
  <c r="E7" i="35"/>
  <c r="E10" i="35"/>
  <c r="E11" i="35"/>
  <c r="E15" i="35"/>
  <c r="E20" i="35"/>
  <c r="E24" i="35"/>
  <c r="E29" i="35"/>
  <c r="E33" i="35"/>
  <c r="E38" i="35"/>
  <c r="E42" i="35"/>
  <c r="E43" i="35"/>
  <c r="E47" i="35"/>
  <c r="E52" i="35"/>
  <c r="E13" i="36"/>
  <c r="E22" i="36"/>
  <c r="E26" i="36"/>
  <c r="E27" i="36"/>
  <c r="E31" i="36"/>
  <c r="E36" i="36"/>
  <c r="E40" i="36"/>
  <c r="E45" i="36"/>
  <c r="E49" i="36"/>
  <c r="E54" i="36"/>
  <c r="E57" i="36"/>
  <c r="E11" i="37"/>
  <c r="E16" i="37"/>
  <c r="E17" i="37"/>
  <c r="E22" i="37"/>
  <c r="E27" i="37"/>
  <c r="E32" i="37"/>
  <c r="E33" i="37"/>
  <c r="E38" i="37"/>
  <c r="E43" i="37"/>
  <c r="E48" i="37"/>
  <c r="E49" i="37"/>
  <c r="E54" i="37"/>
  <c r="E57" i="37"/>
  <c r="E15" i="27"/>
  <c r="E14" i="29"/>
  <c r="E22" i="29"/>
  <c r="E30" i="29"/>
  <c r="E38" i="29"/>
  <c r="E42" i="29"/>
  <c r="E47" i="29"/>
  <c r="E7" i="30"/>
  <c r="E14" i="30"/>
  <c r="E18" i="30"/>
  <c r="E50" i="30"/>
  <c r="E54" i="30"/>
  <c r="E19" i="27"/>
  <c r="E24" i="27"/>
  <c r="E40" i="27"/>
  <c r="E46" i="27"/>
  <c r="E51" i="27"/>
  <c r="E13" i="29"/>
  <c r="E17" i="29"/>
  <c r="E21" i="29"/>
  <c r="E25" i="29"/>
  <c r="E29" i="29"/>
  <c r="E33" i="29"/>
  <c r="E37" i="29"/>
  <c r="E41" i="29"/>
  <c r="E46" i="29"/>
  <c r="E54" i="29"/>
  <c r="E57" i="29"/>
  <c r="E9" i="30"/>
  <c r="E17" i="30"/>
  <c r="E25" i="30"/>
  <c r="E33" i="30"/>
  <c r="E41" i="30"/>
  <c r="E45" i="30"/>
  <c r="E49" i="30"/>
  <c r="E53" i="30"/>
  <c r="E7" i="27"/>
  <c r="E12" i="27"/>
  <c r="E13" i="27"/>
  <c r="E18" i="27"/>
  <c r="E23" i="27"/>
  <c r="E28" i="27"/>
  <c r="E34" i="27"/>
  <c r="E39" i="27"/>
  <c r="E44" i="27"/>
  <c r="E45" i="27"/>
  <c r="E50" i="27"/>
  <c r="E54" i="27"/>
  <c r="E57" i="27"/>
  <c r="E9" i="28"/>
  <c r="E10" i="28"/>
  <c r="E12" i="29"/>
  <c r="E16" i="29"/>
  <c r="E20" i="29"/>
  <c r="E24" i="29"/>
  <c r="E32" i="29"/>
  <c r="E36" i="29"/>
  <c r="E40" i="29"/>
  <c r="E45" i="29"/>
  <c r="E49" i="29"/>
  <c r="E53" i="29"/>
  <c r="E16" i="30"/>
  <c r="E20" i="30"/>
  <c r="E24" i="30"/>
  <c r="E28" i="30"/>
  <c r="E32" i="30"/>
  <c r="E36" i="30"/>
  <c r="E40" i="30"/>
  <c r="E44" i="30"/>
  <c r="E48" i="30"/>
  <c r="E52" i="30"/>
  <c r="E10" i="27"/>
  <c r="E20" i="27"/>
  <c r="E26" i="27"/>
  <c r="E31" i="27"/>
  <c r="E36" i="27"/>
  <c r="E47" i="27"/>
  <c r="E52" i="27"/>
  <c r="E9" i="29"/>
  <c r="E26" i="29"/>
  <c r="E34" i="29"/>
  <c r="E51" i="29"/>
  <c r="E55" i="29"/>
  <c r="E10" i="30"/>
  <c r="E22" i="30"/>
  <c r="E26" i="30"/>
  <c r="E34" i="30"/>
  <c r="E42" i="30"/>
  <c r="E46" i="30"/>
  <c r="E57" i="30"/>
  <c r="E9" i="27"/>
  <c r="E14" i="27"/>
  <c r="E25" i="27"/>
  <c r="E30" i="27"/>
  <c r="E41" i="27"/>
  <c r="E7" i="28"/>
  <c r="E11" i="28"/>
  <c r="E13" i="30"/>
  <c r="E29" i="30"/>
  <c r="E37" i="30"/>
  <c r="E11" i="27"/>
  <c r="E27" i="27"/>
  <c r="E32" i="27"/>
  <c r="E38" i="27"/>
  <c r="E43" i="27"/>
  <c r="E53" i="27"/>
  <c r="E7" i="29"/>
  <c r="E10" i="29"/>
  <c r="E11" i="29"/>
  <c r="E15" i="29"/>
  <c r="E19" i="29"/>
  <c r="E23" i="29"/>
  <c r="E27" i="29"/>
  <c r="E31" i="29"/>
  <c r="E35" i="29"/>
  <c r="E44" i="29"/>
  <c r="E48" i="29"/>
  <c r="E52" i="29"/>
  <c r="E11" i="30"/>
  <c r="E15" i="30"/>
  <c r="E19" i="30"/>
  <c r="E23" i="30"/>
  <c r="E27" i="30"/>
  <c r="E31" i="30"/>
  <c r="E35" i="30"/>
  <c r="E39" i="30"/>
  <c r="E43" i="30"/>
  <c r="E51" i="30"/>
  <c r="E55" i="30"/>
  <c r="E9" i="26"/>
  <c r="E30" i="26"/>
  <c r="E35" i="26"/>
  <c r="E40" i="26"/>
  <c r="E7" i="26"/>
  <c r="E12" i="26"/>
  <c r="E13" i="26"/>
  <c r="E18" i="26"/>
  <c r="E23" i="26"/>
  <c r="E28" i="26"/>
  <c r="E29" i="26"/>
  <c r="E34" i="26"/>
  <c r="E39" i="26"/>
  <c r="E44" i="26"/>
  <c r="E45" i="26"/>
  <c r="E50" i="26"/>
  <c r="E55" i="26"/>
  <c r="E11" i="26"/>
  <c r="E16" i="26"/>
  <c r="E17" i="26"/>
  <c r="E22" i="26"/>
  <c r="E27" i="26"/>
  <c r="E32" i="26"/>
  <c r="E33" i="26"/>
  <c r="E38" i="26"/>
  <c r="E43" i="26"/>
  <c r="E48" i="26"/>
  <c r="E49" i="26"/>
  <c r="E54" i="26"/>
  <c r="E57" i="26"/>
  <c r="E14" i="26"/>
  <c r="E19" i="26"/>
  <c r="E24" i="26"/>
  <c r="E46" i="26"/>
  <c r="E51" i="26"/>
  <c r="E10" i="26"/>
  <c r="E15" i="26"/>
  <c r="E20" i="26"/>
  <c r="E26" i="26"/>
  <c r="E31" i="26"/>
  <c r="E36" i="26"/>
  <c r="E42" i="26"/>
  <c r="E47" i="26"/>
  <c r="E52" i="26"/>
  <c r="I38" i="29" l="1"/>
  <c r="J38" i="29" s="1"/>
  <c r="I35" i="29"/>
  <c r="I48" i="29"/>
  <c r="I54" i="29"/>
  <c r="I13" i="29"/>
  <c r="I9" i="29"/>
  <c r="I12" i="29"/>
  <c r="I20" i="29"/>
  <c r="I7" i="29"/>
  <c r="J7" i="29" s="1"/>
  <c r="I32" i="29"/>
  <c r="I24" i="29"/>
  <c r="I33" i="29"/>
  <c r="I25" i="29"/>
  <c r="I51" i="29"/>
  <c r="I47" i="29"/>
  <c r="I37" i="29"/>
  <c r="I43" i="29"/>
  <c r="I44" i="29"/>
  <c r="I45" i="29"/>
  <c r="I36" i="29"/>
  <c r="I16" i="29"/>
  <c r="I31" i="29"/>
  <c r="I34" i="29"/>
  <c r="I27" i="29"/>
  <c r="I22" i="29"/>
  <c r="I49" i="29"/>
  <c r="I57" i="29"/>
  <c r="J57" i="29" s="1"/>
  <c r="Q17" i="29" s="1"/>
  <c r="I41" i="29"/>
  <c r="I21" i="29"/>
  <c r="I15" i="29"/>
  <c r="I26" i="29"/>
  <c r="J26" i="29" s="1"/>
  <c r="I11" i="29"/>
  <c r="I55" i="29"/>
  <c r="J55" i="29" s="1"/>
  <c r="I53" i="29"/>
  <c r="I40" i="29"/>
  <c r="I46" i="29"/>
  <c r="I29" i="29"/>
  <c r="I17" i="29"/>
  <c r="I23" i="29"/>
  <c r="I42" i="29"/>
  <c r="I10" i="29"/>
  <c r="I52" i="29"/>
  <c r="I19" i="29"/>
  <c r="I30" i="29"/>
  <c r="I14" i="29"/>
  <c r="J14" i="29" s="1"/>
  <c r="I57" i="35"/>
  <c r="J57" i="35" s="1"/>
  <c r="Q17" i="35" s="1"/>
  <c r="I53" i="35"/>
  <c r="I48" i="35"/>
  <c r="I39" i="35"/>
  <c r="I35" i="35"/>
  <c r="I34" i="35"/>
  <c r="I30" i="35"/>
  <c r="I25" i="35"/>
  <c r="I21" i="35"/>
  <c r="I16" i="35"/>
  <c r="I12" i="35"/>
  <c r="I54" i="35"/>
  <c r="I49" i="35"/>
  <c r="I45" i="35"/>
  <c r="I40" i="35"/>
  <c r="I36" i="35"/>
  <c r="I27" i="35"/>
  <c r="I26" i="35"/>
  <c r="I22" i="35"/>
  <c r="I17" i="35"/>
  <c r="I13" i="35"/>
  <c r="I55" i="35"/>
  <c r="I51" i="35"/>
  <c r="I50" i="35"/>
  <c r="I46" i="35"/>
  <c r="I41" i="35"/>
  <c r="I37" i="35"/>
  <c r="I32" i="35"/>
  <c r="I28" i="35"/>
  <c r="I23" i="35"/>
  <c r="I19" i="35"/>
  <c r="I14" i="35"/>
  <c r="I9" i="35"/>
  <c r="I11" i="35"/>
  <c r="I52" i="35"/>
  <c r="I47" i="35"/>
  <c r="I42" i="35"/>
  <c r="I33" i="35"/>
  <c r="I24" i="35"/>
  <c r="I7" i="35"/>
  <c r="J7" i="35" s="1"/>
  <c r="I43" i="35"/>
  <c r="I38" i="35"/>
  <c r="I29" i="35"/>
  <c r="I20" i="35"/>
  <c r="I15" i="35"/>
  <c r="I10" i="35"/>
  <c r="I55" i="37"/>
  <c r="I50" i="37"/>
  <c r="I45" i="37"/>
  <c r="I44" i="37"/>
  <c r="I39" i="37"/>
  <c r="I34" i="37"/>
  <c r="I29" i="37"/>
  <c r="I28" i="37"/>
  <c r="I23" i="37"/>
  <c r="I18" i="37"/>
  <c r="I13" i="37"/>
  <c r="I12" i="37"/>
  <c r="I7" i="37"/>
  <c r="J7" i="37" s="1"/>
  <c r="I51" i="37"/>
  <c r="I46" i="37"/>
  <c r="I40" i="37"/>
  <c r="I35" i="37"/>
  <c r="I30" i="37"/>
  <c r="I25" i="37"/>
  <c r="I24" i="37"/>
  <c r="I19" i="37"/>
  <c r="I14" i="37"/>
  <c r="I9" i="37"/>
  <c r="I53" i="37"/>
  <c r="I52" i="37"/>
  <c r="I47" i="37"/>
  <c r="I42" i="37"/>
  <c r="I37" i="37"/>
  <c r="I36" i="37"/>
  <c r="I31" i="37"/>
  <c r="I26" i="37"/>
  <c r="I21" i="37"/>
  <c r="I15" i="37"/>
  <c r="I10" i="37"/>
  <c r="I43" i="37"/>
  <c r="I22" i="37"/>
  <c r="I17" i="37"/>
  <c r="I48" i="37"/>
  <c r="I27" i="37"/>
  <c r="I57" i="37"/>
  <c r="J57" i="37" s="1"/>
  <c r="Q17" i="37" s="1"/>
  <c r="I38" i="37"/>
  <c r="I33" i="37"/>
  <c r="I16" i="37"/>
  <c r="I54" i="37"/>
  <c r="I49" i="37"/>
  <c r="I32" i="37"/>
  <c r="I11" i="37"/>
  <c r="I53" i="31"/>
  <c r="I49" i="31"/>
  <c r="I45" i="31"/>
  <c r="I37" i="31"/>
  <c r="I33" i="31"/>
  <c r="I29" i="31"/>
  <c r="I25" i="31"/>
  <c r="I21" i="31"/>
  <c r="I17" i="31"/>
  <c r="I13" i="31"/>
  <c r="I9" i="31"/>
  <c r="I24" i="31"/>
  <c r="I20" i="31"/>
  <c r="I16" i="31"/>
  <c r="I12" i="31"/>
  <c r="I57" i="31"/>
  <c r="J57" i="31" s="1"/>
  <c r="Q17" i="31" s="1"/>
  <c r="I54" i="31"/>
  <c r="I50" i="31"/>
  <c r="I46" i="31"/>
  <c r="I42" i="31"/>
  <c r="I38" i="31"/>
  <c r="I34" i="31"/>
  <c r="I30" i="31"/>
  <c r="I26" i="31"/>
  <c r="I22" i="31"/>
  <c r="I14" i="31"/>
  <c r="I10" i="31"/>
  <c r="I7" i="31"/>
  <c r="J7" i="31" s="1"/>
  <c r="I28" i="31"/>
  <c r="I55" i="31"/>
  <c r="I51" i="31"/>
  <c r="I47" i="31"/>
  <c r="I43" i="31"/>
  <c r="I39" i="31"/>
  <c r="I35" i="31"/>
  <c r="I31" i="31"/>
  <c r="I27" i="31"/>
  <c r="I23" i="31"/>
  <c r="I19" i="31"/>
  <c r="I15" i="31"/>
  <c r="I11" i="31"/>
  <c r="I52" i="31"/>
  <c r="I48" i="31"/>
  <c r="I44" i="31"/>
  <c r="I40" i="31"/>
  <c r="I36" i="31"/>
  <c r="I32" i="31"/>
  <c r="I55" i="36"/>
  <c r="I51" i="36"/>
  <c r="I50" i="36"/>
  <c r="I46" i="36"/>
  <c r="I41" i="36"/>
  <c r="I37" i="36"/>
  <c r="I32" i="36"/>
  <c r="I28" i="36"/>
  <c r="I23" i="36"/>
  <c r="I19" i="36"/>
  <c r="I18" i="36"/>
  <c r="I14" i="36"/>
  <c r="I9" i="36"/>
  <c r="I52" i="36"/>
  <c r="I47" i="36"/>
  <c r="I43" i="36"/>
  <c r="I42" i="36"/>
  <c r="I38" i="36"/>
  <c r="I33" i="36"/>
  <c r="I29" i="36"/>
  <c r="I24" i="36"/>
  <c r="I20" i="36"/>
  <c r="I15" i="36"/>
  <c r="I11" i="36"/>
  <c r="I10" i="36"/>
  <c r="I7" i="36"/>
  <c r="J7" i="36" s="1"/>
  <c r="I53" i="36"/>
  <c r="I48" i="36"/>
  <c r="I44" i="36"/>
  <c r="I39" i="36"/>
  <c r="I35" i="36"/>
  <c r="I34" i="36"/>
  <c r="I30" i="36"/>
  <c r="I25" i="36"/>
  <c r="I21" i="36"/>
  <c r="I16" i="36"/>
  <c r="I12" i="36"/>
  <c r="I54" i="36"/>
  <c r="I45" i="36"/>
  <c r="I36" i="36"/>
  <c r="I31" i="36"/>
  <c r="I26" i="36"/>
  <c r="I57" i="36"/>
  <c r="J57" i="36" s="1"/>
  <c r="Q17" i="36" s="1"/>
  <c r="I27" i="36"/>
  <c r="I22" i="36"/>
  <c r="I13" i="36"/>
  <c r="I49" i="36"/>
  <c r="I40" i="36"/>
  <c r="I19" i="32"/>
  <c r="I13" i="32"/>
  <c r="I12" i="32"/>
  <c r="I18" i="32"/>
  <c r="I17" i="32"/>
  <c r="I20" i="32"/>
  <c r="I14" i="32"/>
  <c r="I9" i="32"/>
  <c r="I15" i="32"/>
  <c r="I10" i="32"/>
  <c r="I7" i="32"/>
  <c r="J7" i="32" s="1"/>
  <c r="I11" i="32"/>
  <c r="I15" i="34"/>
  <c r="I52" i="34"/>
  <c r="I48" i="34"/>
  <c r="I44" i="34"/>
  <c r="I39" i="34"/>
  <c r="I35" i="34"/>
  <c r="I31" i="34"/>
  <c r="I27" i="34"/>
  <c r="I23" i="34"/>
  <c r="I19" i="34"/>
  <c r="I13" i="34"/>
  <c r="I9" i="34"/>
  <c r="I53" i="34"/>
  <c r="I49" i="34"/>
  <c r="I41" i="34"/>
  <c r="I40" i="34"/>
  <c r="I36" i="34"/>
  <c r="I32" i="34"/>
  <c r="I28" i="34"/>
  <c r="I24" i="34"/>
  <c r="I20" i="34"/>
  <c r="I16" i="34"/>
  <c r="I14" i="34"/>
  <c r="I10" i="34"/>
  <c r="I7" i="34"/>
  <c r="J7" i="34" s="1"/>
  <c r="I57" i="34"/>
  <c r="J57" i="34" s="1"/>
  <c r="Q17" i="34" s="1"/>
  <c r="I54" i="34"/>
  <c r="I50" i="34"/>
  <c r="I46" i="34"/>
  <c r="I42" i="34"/>
  <c r="I37" i="34"/>
  <c r="I33" i="34"/>
  <c r="I29" i="34"/>
  <c r="I25" i="34"/>
  <c r="I21" i="34"/>
  <c r="I43" i="34"/>
  <c r="I34" i="34"/>
  <c r="I18" i="34"/>
  <c r="I17" i="34"/>
  <c r="I55" i="34"/>
  <c r="I30" i="34"/>
  <c r="I12" i="34"/>
  <c r="I47" i="34"/>
  <c r="I38" i="34"/>
  <c r="I22" i="34"/>
  <c r="I51" i="34"/>
  <c r="I26" i="34"/>
  <c r="I57" i="33"/>
  <c r="J57" i="33" s="1"/>
  <c r="Q17" i="33" s="1"/>
  <c r="I49" i="33"/>
  <c r="I44" i="33"/>
  <c r="I40" i="33"/>
  <c r="I39" i="33"/>
  <c r="I35" i="33"/>
  <c r="I55" i="33"/>
  <c r="I52" i="33"/>
  <c r="I42" i="33"/>
  <c r="I32" i="33"/>
  <c r="I31" i="33"/>
  <c r="I27" i="33"/>
  <c r="I22" i="33"/>
  <c r="I18" i="33"/>
  <c r="I13" i="33"/>
  <c r="I54" i="33"/>
  <c r="I41" i="33"/>
  <c r="I38" i="33"/>
  <c r="I30" i="33"/>
  <c r="I46" i="33"/>
  <c r="I43" i="33"/>
  <c r="I33" i="33"/>
  <c r="I24" i="33"/>
  <c r="I23" i="33"/>
  <c r="I14" i="33"/>
  <c r="I9" i="33"/>
  <c r="I48" i="33"/>
  <c r="I21" i="33"/>
  <c r="I17" i="33"/>
  <c r="I12" i="33"/>
  <c r="I50" i="33"/>
  <c r="I47" i="33"/>
  <c r="I37" i="33"/>
  <c r="I34" i="33"/>
  <c r="I29" i="33"/>
  <c r="I25" i="33"/>
  <c r="I20" i="33"/>
  <c r="I16" i="33"/>
  <c r="I15" i="33"/>
  <c r="I10" i="33"/>
  <c r="I7" i="33"/>
  <c r="J7" i="33" s="1"/>
  <c r="I51" i="33"/>
  <c r="I26" i="33"/>
  <c r="I52" i="30"/>
  <c r="I48" i="30"/>
  <c r="I44" i="30"/>
  <c r="I40" i="30"/>
  <c r="I36" i="30"/>
  <c r="I32" i="30"/>
  <c r="I28" i="30"/>
  <c r="I24" i="30"/>
  <c r="I20" i="30"/>
  <c r="I16" i="30"/>
  <c r="I46" i="30"/>
  <c r="I22" i="30"/>
  <c r="I14" i="30"/>
  <c r="I43" i="30"/>
  <c r="I39" i="30"/>
  <c r="I35" i="30"/>
  <c r="I31" i="30"/>
  <c r="I27" i="30"/>
  <c r="I23" i="30"/>
  <c r="I11" i="30"/>
  <c r="I53" i="30"/>
  <c r="I49" i="30"/>
  <c r="I45" i="30"/>
  <c r="I41" i="30"/>
  <c r="I37" i="30"/>
  <c r="I33" i="30"/>
  <c r="I29" i="30"/>
  <c r="I25" i="30"/>
  <c r="I17" i="30"/>
  <c r="I13" i="30"/>
  <c r="I9" i="30"/>
  <c r="I57" i="30"/>
  <c r="J57" i="30" s="1"/>
  <c r="Q17" i="30" s="1"/>
  <c r="I54" i="30"/>
  <c r="I50" i="30"/>
  <c r="I42" i="30"/>
  <c r="I34" i="30"/>
  <c r="I26" i="30"/>
  <c r="I18" i="30"/>
  <c r="I10" i="30"/>
  <c r="I7" i="30"/>
  <c r="J7" i="30" s="1"/>
  <c r="I55" i="30"/>
  <c r="I51" i="30"/>
  <c r="I19" i="30"/>
  <c r="I15" i="30"/>
  <c r="I55" i="28"/>
  <c r="I50" i="28"/>
  <c r="I46" i="28"/>
  <c r="I42" i="28"/>
  <c r="I34" i="28"/>
  <c r="I30" i="28"/>
  <c r="I26" i="28"/>
  <c r="I22" i="28"/>
  <c r="I14" i="28"/>
  <c r="I10" i="28"/>
  <c r="I9" i="28"/>
  <c r="I24" i="28"/>
  <c r="I20" i="28"/>
  <c r="I37" i="28"/>
  <c r="I29" i="28"/>
  <c r="I21" i="28"/>
  <c r="I13" i="28"/>
  <c r="I52" i="28"/>
  <c r="I47" i="28"/>
  <c r="I43" i="28"/>
  <c r="I39" i="28"/>
  <c r="I35" i="28"/>
  <c r="I27" i="28"/>
  <c r="I23" i="28"/>
  <c r="I19" i="28"/>
  <c r="I15" i="28"/>
  <c r="I11" i="28"/>
  <c r="I7" i="28"/>
  <c r="J7" i="28" s="1"/>
  <c r="I53" i="28"/>
  <c r="I48" i="28"/>
  <c r="I44" i="28"/>
  <c r="I40" i="28"/>
  <c r="I36" i="28"/>
  <c r="I32" i="28"/>
  <c r="I28" i="28"/>
  <c r="I16" i="28"/>
  <c r="I57" i="28"/>
  <c r="J57" i="28" s="1"/>
  <c r="Q17" i="28" s="1"/>
  <c r="I54" i="28"/>
  <c r="I49" i="28"/>
  <c r="I41" i="28"/>
  <c r="I33" i="28"/>
  <c r="I17" i="28"/>
  <c r="I57" i="27"/>
  <c r="J57" i="27" s="1"/>
  <c r="Q17" i="27" s="1"/>
  <c r="I54" i="27"/>
  <c r="I50" i="27"/>
  <c r="I45" i="27"/>
  <c r="I44" i="27"/>
  <c r="I39" i="27"/>
  <c r="I34" i="27"/>
  <c r="I28" i="27"/>
  <c r="I23" i="27"/>
  <c r="I18" i="27"/>
  <c r="I13" i="27"/>
  <c r="I12" i="27"/>
  <c r="I7" i="27"/>
  <c r="J7" i="27" s="1"/>
  <c r="I31" i="27"/>
  <c r="I15" i="27"/>
  <c r="I10" i="27"/>
  <c r="I53" i="27"/>
  <c r="I49" i="27"/>
  <c r="I43" i="27"/>
  <c r="I38" i="27"/>
  <c r="I33" i="27"/>
  <c r="I32" i="27"/>
  <c r="I27" i="27"/>
  <c r="I11" i="27"/>
  <c r="I51" i="27"/>
  <c r="I46" i="27"/>
  <c r="I41" i="27"/>
  <c r="I40" i="27"/>
  <c r="I30" i="27"/>
  <c r="I25" i="27"/>
  <c r="I24" i="27"/>
  <c r="I19" i="27"/>
  <c r="I14" i="27"/>
  <c r="I9" i="27"/>
  <c r="I52" i="27"/>
  <c r="I47" i="27"/>
  <c r="I37" i="27"/>
  <c r="I36" i="27"/>
  <c r="I26" i="27"/>
  <c r="I21" i="27"/>
  <c r="I20" i="27"/>
  <c r="I17" i="27"/>
  <c r="I57" i="26"/>
  <c r="J57" i="26" s="1"/>
  <c r="Q17" i="26" s="1"/>
  <c r="I54" i="26"/>
  <c r="I49" i="26"/>
  <c r="I48" i="26"/>
  <c r="I43" i="26"/>
  <c r="I38" i="26"/>
  <c r="I33" i="26"/>
  <c r="I32" i="26"/>
  <c r="I27" i="26"/>
  <c r="I22" i="26"/>
  <c r="I17" i="26"/>
  <c r="I16" i="26"/>
  <c r="I11" i="26"/>
  <c r="I53" i="26"/>
  <c r="I52" i="26"/>
  <c r="I47" i="26"/>
  <c r="I42" i="26"/>
  <c r="I26" i="26"/>
  <c r="I21" i="26"/>
  <c r="I20" i="26"/>
  <c r="I15" i="26"/>
  <c r="I55" i="26"/>
  <c r="I50" i="26"/>
  <c r="I45" i="26"/>
  <c r="I44" i="26"/>
  <c r="I39" i="26"/>
  <c r="I34" i="26"/>
  <c r="I29" i="26"/>
  <c r="I28" i="26"/>
  <c r="I23" i="26"/>
  <c r="I18" i="26"/>
  <c r="I13" i="26"/>
  <c r="I12" i="26"/>
  <c r="I7" i="26"/>
  <c r="J7" i="26" s="1"/>
  <c r="I51" i="26"/>
  <c r="I46" i="26"/>
  <c r="I41" i="26"/>
  <c r="I40" i="26"/>
  <c r="I35" i="26"/>
  <c r="I30" i="26"/>
  <c r="I25" i="26"/>
  <c r="I24" i="26"/>
  <c r="I19" i="26"/>
  <c r="I14" i="26"/>
  <c r="I9" i="26"/>
  <c r="I37" i="26"/>
  <c r="I36" i="26"/>
  <c r="I31" i="26"/>
  <c r="I10" i="26"/>
  <c r="F20" i="26" l="1"/>
  <c r="J19" i="26"/>
  <c r="F35" i="26"/>
  <c r="J34" i="26"/>
  <c r="F53" i="26"/>
  <c r="J52" i="26"/>
  <c r="F50" i="26"/>
  <c r="J49" i="26"/>
  <c r="F10" i="27"/>
  <c r="J9" i="27"/>
  <c r="F40" i="26"/>
  <c r="J39" i="26"/>
  <c r="F54" i="26"/>
  <c r="J53" i="26"/>
  <c r="F39" i="26"/>
  <c r="J38" i="26"/>
  <c r="F21" i="27"/>
  <c r="J20" i="27"/>
  <c r="F31" i="27"/>
  <c r="J30" i="27"/>
  <c r="F23" i="27"/>
  <c r="F54" i="27"/>
  <c r="J53" i="27"/>
  <c r="J34" i="27"/>
  <c r="F55" i="28"/>
  <c r="J54" i="28"/>
  <c r="F48" i="28"/>
  <c r="J47" i="28"/>
  <c r="F32" i="26"/>
  <c r="J31" i="26"/>
  <c r="F15" i="26"/>
  <c r="J14" i="26"/>
  <c r="F31" i="26"/>
  <c r="J30" i="26"/>
  <c r="F47" i="26"/>
  <c r="J46" i="26"/>
  <c r="F14" i="26"/>
  <c r="J13" i="26"/>
  <c r="F30" i="26"/>
  <c r="J29" i="26"/>
  <c r="F46" i="26"/>
  <c r="J45" i="26"/>
  <c r="F21" i="26"/>
  <c r="J20" i="26"/>
  <c r="F48" i="26"/>
  <c r="J47" i="26"/>
  <c r="F17" i="26"/>
  <c r="J16" i="26"/>
  <c r="F33" i="26"/>
  <c r="J32" i="26"/>
  <c r="F49" i="26"/>
  <c r="J48" i="26"/>
  <c r="F17" i="27"/>
  <c r="F27" i="27"/>
  <c r="J26" i="27"/>
  <c r="F53" i="27"/>
  <c r="J52" i="27"/>
  <c r="F25" i="27"/>
  <c r="J24" i="27"/>
  <c r="F41" i="27"/>
  <c r="J40" i="27"/>
  <c r="F57" i="27"/>
  <c r="F33" i="27"/>
  <c r="J32" i="27"/>
  <c r="F49" i="27"/>
  <c r="J15" i="27"/>
  <c r="F13" i="27"/>
  <c r="J12" i="27"/>
  <c r="J28" i="27"/>
  <c r="F45" i="27"/>
  <c r="J44" i="27"/>
  <c r="F42" i="28"/>
  <c r="J41" i="28"/>
  <c r="F17" i="28"/>
  <c r="J16" i="28"/>
  <c r="F41" i="28"/>
  <c r="J40" i="28"/>
  <c r="F24" i="28"/>
  <c r="J23" i="28"/>
  <c r="F40" i="28"/>
  <c r="J39" i="28"/>
  <c r="F53" i="28"/>
  <c r="J52" i="28"/>
  <c r="J37" i="28"/>
  <c r="J24" i="28"/>
  <c r="F19" i="28"/>
  <c r="F35" i="28"/>
  <c r="J34" i="28"/>
  <c r="J50" i="28"/>
  <c r="F52" i="30"/>
  <c r="J51" i="30"/>
  <c r="F19" i="30"/>
  <c r="J18" i="30"/>
  <c r="F51" i="30"/>
  <c r="J50" i="30"/>
  <c r="F14" i="30"/>
  <c r="J13" i="30"/>
  <c r="J29" i="30"/>
  <c r="F46" i="30"/>
  <c r="J45" i="30"/>
  <c r="F24" i="30"/>
  <c r="J23" i="30"/>
  <c r="F40" i="30"/>
  <c r="J39" i="30"/>
  <c r="F23" i="30"/>
  <c r="J22" i="30"/>
  <c r="F13" i="30"/>
  <c r="F29" i="30"/>
  <c r="J28" i="30"/>
  <c r="F45" i="30"/>
  <c r="J44" i="30"/>
  <c r="F52" i="33"/>
  <c r="J51" i="33"/>
  <c r="F17" i="33"/>
  <c r="J16" i="33"/>
  <c r="F35" i="33"/>
  <c r="J34" i="33"/>
  <c r="F12" i="33"/>
  <c r="F49" i="33"/>
  <c r="J48" i="33"/>
  <c r="F24" i="33"/>
  <c r="J23" i="33"/>
  <c r="F37" i="33"/>
  <c r="F39" i="33"/>
  <c r="J38" i="33"/>
  <c r="J18" i="33"/>
  <c r="F33" i="33"/>
  <c r="J32" i="33"/>
  <c r="F57" i="33"/>
  <c r="J55" i="33"/>
  <c r="J44" i="33"/>
  <c r="F27" i="34"/>
  <c r="J26" i="34"/>
  <c r="F48" i="34"/>
  <c r="J47" i="34"/>
  <c r="F18" i="34"/>
  <c r="J17" i="34"/>
  <c r="F44" i="34"/>
  <c r="J43" i="34"/>
  <c r="F34" i="34"/>
  <c r="J33" i="34"/>
  <c r="F51" i="34"/>
  <c r="J50" i="34"/>
  <c r="J10" i="34"/>
  <c r="F25" i="34"/>
  <c r="J24" i="34"/>
  <c r="F41" i="34"/>
  <c r="J40" i="34"/>
  <c r="F54" i="34"/>
  <c r="J53" i="34"/>
  <c r="F24" i="34"/>
  <c r="J23" i="34"/>
  <c r="F40" i="34"/>
  <c r="J39" i="34"/>
  <c r="F16" i="34"/>
  <c r="J15" i="34"/>
  <c r="J15" i="32"/>
  <c r="J20" i="32"/>
  <c r="F14" i="32"/>
  <c r="J13" i="32"/>
  <c r="F14" i="36"/>
  <c r="J13" i="36"/>
  <c r="F18" i="36"/>
  <c r="F46" i="36"/>
  <c r="J45" i="36"/>
  <c r="F22" i="36"/>
  <c r="J21" i="36"/>
  <c r="F36" i="36"/>
  <c r="J35" i="36"/>
  <c r="F54" i="36"/>
  <c r="J53" i="36"/>
  <c r="F16" i="36"/>
  <c r="J15" i="36"/>
  <c r="F34" i="36"/>
  <c r="J33" i="36"/>
  <c r="F48" i="36"/>
  <c r="J47" i="36"/>
  <c r="F19" i="36"/>
  <c r="J18" i="36"/>
  <c r="F33" i="36"/>
  <c r="J32" i="36"/>
  <c r="F51" i="36"/>
  <c r="J50" i="36"/>
  <c r="F37" i="31"/>
  <c r="J36" i="31"/>
  <c r="F53" i="31"/>
  <c r="J52" i="31"/>
  <c r="F24" i="31"/>
  <c r="J23" i="31"/>
  <c r="F40" i="31"/>
  <c r="J39" i="31"/>
  <c r="F57" i="31"/>
  <c r="J55" i="31"/>
  <c r="F15" i="31"/>
  <c r="J14" i="31"/>
  <c r="F31" i="31"/>
  <c r="J30" i="31"/>
  <c r="F47" i="31"/>
  <c r="J46" i="31"/>
  <c r="F13" i="31"/>
  <c r="J12" i="31"/>
  <c r="F10" i="31"/>
  <c r="J9" i="31"/>
  <c r="F26" i="31"/>
  <c r="J25" i="31"/>
  <c r="F42" i="31"/>
  <c r="F12" i="37"/>
  <c r="J11" i="37"/>
  <c r="F17" i="37"/>
  <c r="J16" i="37"/>
  <c r="F28" i="37"/>
  <c r="J27" i="37"/>
  <c r="F44" i="37"/>
  <c r="J43" i="37"/>
  <c r="F22" i="37"/>
  <c r="J21" i="37"/>
  <c r="F38" i="37"/>
  <c r="J37" i="37"/>
  <c r="F54" i="37"/>
  <c r="J53" i="37"/>
  <c r="F25" i="37"/>
  <c r="J24" i="37"/>
  <c r="J40" i="37"/>
  <c r="F24" i="37"/>
  <c r="J23" i="37"/>
  <c r="F40" i="37"/>
  <c r="J39" i="37"/>
  <c r="F57" i="37"/>
  <c r="J55" i="37"/>
  <c r="F30" i="35"/>
  <c r="J29" i="35"/>
  <c r="F25" i="35"/>
  <c r="J24" i="35"/>
  <c r="F53" i="35"/>
  <c r="J52" i="35"/>
  <c r="F19" i="35"/>
  <c r="F33" i="35"/>
  <c r="J32" i="35"/>
  <c r="F51" i="35"/>
  <c r="J50" i="35"/>
  <c r="J17" i="35"/>
  <c r="F32" i="35"/>
  <c r="F50" i="35"/>
  <c r="J49" i="35"/>
  <c r="F22" i="35"/>
  <c r="J21" i="35"/>
  <c r="F36" i="35"/>
  <c r="J35" i="35"/>
  <c r="F54" i="35"/>
  <c r="J53" i="35"/>
  <c r="F20" i="29"/>
  <c r="J19" i="29"/>
  <c r="F24" i="29"/>
  <c r="J23" i="29"/>
  <c r="F41" i="29"/>
  <c r="J40" i="29"/>
  <c r="F35" i="29"/>
  <c r="J34" i="29"/>
  <c r="F29" i="29"/>
  <c r="F44" i="29"/>
  <c r="J43" i="29"/>
  <c r="F26" i="29"/>
  <c r="J25" i="29"/>
  <c r="F10" i="29"/>
  <c r="J9" i="29"/>
  <c r="F49" i="29"/>
  <c r="J48" i="29"/>
  <c r="F52" i="26"/>
  <c r="J51" i="26"/>
  <c r="F18" i="26"/>
  <c r="J17" i="26"/>
  <c r="F18" i="27"/>
  <c r="J17" i="27"/>
  <c r="F37" i="27"/>
  <c r="J36" i="27"/>
  <c r="J41" i="27"/>
  <c r="F12" i="27"/>
  <c r="J11" i="27"/>
  <c r="F34" i="27"/>
  <c r="J33" i="27"/>
  <c r="F50" i="27"/>
  <c r="J49" i="27"/>
  <c r="F32" i="27"/>
  <c r="J31" i="27"/>
  <c r="F14" i="27"/>
  <c r="J13" i="27"/>
  <c r="F30" i="27"/>
  <c r="F46" i="27"/>
  <c r="J45" i="27"/>
  <c r="J17" i="28"/>
  <c r="F50" i="28"/>
  <c r="J49" i="28"/>
  <c r="F29" i="28"/>
  <c r="J28" i="28"/>
  <c r="J44" i="28"/>
  <c r="J11" i="28"/>
  <c r="F28" i="28"/>
  <c r="J27" i="28"/>
  <c r="F44" i="28"/>
  <c r="J43" i="28"/>
  <c r="F14" i="28"/>
  <c r="J13" i="28"/>
  <c r="F46" i="28"/>
  <c r="F10" i="28"/>
  <c r="J9" i="28"/>
  <c r="F23" i="28"/>
  <c r="J22" i="28"/>
  <c r="F39" i="28"/>
  <c r="F57" i="28"/>
  <c r="J55" i="28"/>
  <c r="F57" i="30"/>
  <c r="J55" i="30"/>
  <c r="F27" i="30"/>
  <c r="J26" i="30"/>
  <c r="F55" i="30"/>
  <c r="J54" i="30"/>
  <c r="F18" i="30"/>
  <c r="J17" i="30"/>
  <c r="F34" i="30"/>
  <c r="J33" i="30"/>
  <c r="F50" i="30"/>
  <c r="J49" i="30"/>
  <c r="F28" i="30"/>
  <c r="J27" i="30"/>
  <c r="F44" i="30"/>
  <c r="J43" i="30"/>
  <c r="F31" i="30"/>
  <c r="F17" i="30"/>
  <c r="J16" i="30"/>
  <c r="F33" i="30"/>
  <c r="J32" i="30"/>
  <c r="F49" i="30"/>
  <c r="J48" i="30"/>
  <c r="F21" i="33"/>
  <c r="J20" i="33"/>
  <c r="F38" i="33"/>
  <c r="J37" i="33"/>
  <c r="F13" i="33"/>
  <c r="J12" i="33"/>
  <c r="F10" i="33"/>
  <c r="J9" i="33"/>
  <c r="F25" i="33"/>
  <c r="J24" i="33"/>
  <c r="F44" i="33"/>
  <c r="J43" i="33"/>
  <c r="F42" i="33"/>
  <c r="J41" i="33"/>
  <c r="F23" i="33"/>
  <c r="J22" i="33"/>
  <c r="F43" i="33"/>
  <c r="J42" i="33"/>
  <c r="J35" i="33"/>
  <c r="F50" i="33"/>
  <c r="J49" i="33"/>
  <c r="F52" i="34"/>
  <c r="J51" i="34"/>
  <c r="F13" i="34"/>
  <c r="J12" i="34"/>
  <c r="F12" i="34"/>
  <c r="F22" i="34"/>
  <c r="J21" i="34"/>
  <c r="F38" i="34"/>
  <c r="J37" i="34"/>
  <c r="F55" i="34"/>
  <c r="J54" i="34"/>
  <c r="F15" i="34"/>
  <c r="J14" i="34"/>
  <c r="F29" i="34"/>
  <c r="J28" i="34"/>
  <c r="F42" i="34"/>
  <c r="J41" i="34"/>
  <c r="F10" i="34"/>
  <c r="J9" i="34"/>
  <c r="F28" i="34"/>
  <c r="J27" i="34"/>
  <c r="J44" i="34"/>
  <c r="F12" i="32"/>
  <c r="J11" i="32"/>
  <c r="F17" i="32"/>
  <c r="F18" i="32"/>
  <c r="J17" i="32"/>
  <c r="F20" i="32"/>
  <c r="J19" i="32"/>
  <c r="F23" i="36"/>
  <c r="J22" i="36"/>
  <c r="F27" i="36"/>
  <c r="J26" i="36"/>
  <c r="F55" i="36"/>
  <c r="J54" i="36"/>
  <c r="F26" i="36"/>
  <c r="J25" i="36"/>
  <c r="F40" i="36"/>
  <c r="J39" i="36"/>
  <c r="F21" i="36"/>
  <c r="J20" i="36"/>
  <c r="F39" i="36"/>
  <c r="J38" i="36"/>
  <c r="F53" i="36"/>
  <c r="J52" i="36"/>
  <c r="F20" i="36"/>
  <c r="J19" i="36"/>
  <c r="F38" i="36"/>
  <c r="J37" i="36"/>
  <c r="F52" i="36"/>
  <c r="J51" i="36"/>
  <c r="J40" i="31"/>
  <c r="F12" i="31"/>
  <c r="J11" i="31"/>
  <c r="F28" i="31"/>
  <c r="J27" i="31"/>
  <c r="F44" i="31"/>
  <c r="J43" i="31"/>
  <c r="F29" i="31"/>
  <c r="J28" i="31"/>
  <c r="F19" i="31"/>
  <c r="F35" i="31"/>
  <c r="J34" i="31"/>
  <c r="F51" i="31"/>
  <c r="J50" i="31"/>
  <c r="F17" i="31"/>
  <c r="J16" i="31"/>
  <c r="F14" i="31"/>
  <c r="J13" i="31"/>
  <c r="F30" i="31"/>
  <c r="J29" i="31"/>
  <c r="F46" i="31"/>
  <c r="J45" i="31"/>
  <c r="F33" i="37"/>
  <c r="J32" i="37"/>
  <c r="F34" i="37"/>
  <c r="J33" i="37"/>
  <c r="F49" i="37"/>
  <c r="J48" i="37"/>
  <c r="F11" i="37"/>
  <c r="J10" i="37"/>
  <c r="F27" i="37"/>
  <c r="J26" i="37"/>
  <c r="F43" i="37"/>
  <c r="J42" i="37"/>
  <c r="F10" i="37"/>
  <c r="J9" i="37"/>
  <c r="F26" i="37"/>
  <c r="J25" i="37"/>
  <c r="F42" i="37"/>
  <c r="F13" i="37"/>
  <c r="J12" i="37"/>
  <c r="F29" i="37"/>
  <c r="J28" i="37"/>
  <c r="F45" i="37"/>
  <c r="J44" i="37"/>
  <c r="F11" i="35"/>
  <c r="J10" i="35"/>
  <c r="F39" i="35"/>
  <c r="J38" i="35"/>
  <c r="F34" i="35"/>
  <c r="J33" i="35"/>
  <c r="F12" i="35"/>
  <c r="J11" i="35"/>
  <c r="F20" i="35"/>
  <c r="J19" i="35"/>
  <c r="F38" i="35"/>
  <c r="J37" i="35"/>
  <c r="F52" i="35"/>
  <c r="J51" i="35"/>
  <c r="F23" i="35"/>
  <c r="J22" i="35"/>
  <c r="F37" i="35"/>
  <c r="J36" i="35"/>
  <c r="F55" i="35"/>
  <c r="J54" i="35"/>
  <c r="F26" i="35"/>
  <c r="J25" i="35"/>
  <c r="F40" i="35"/>
  <c r="J39" i="35"/>
  <c r="F53" i="29"/>
  <c r="J52" i="29"/>
  <c r="J17" i="29"/>
  <c r="F54" i="29"/>
  <c r="J53" i="29"/>
  <c r="F16" i="29"/>
  <c r="J15" i="29"/>
  <c r="J49" i="29"/>
  <c r="F32" i="29"/>
  <c r="J31" i="29"/>
  <c r="F37" i="29"/>
  <c r="J36" i="29"/>
  <c r="F38" i="29"/>
  <c r="J37" i="29"/>
  <c r="F34" i="29"/>
  <c r="J33" i="29"/>
  <c r="F21" i="29"/>
  <c r="J20" i="29"/>
  <c r="F40" i="29"/>
  <c r="F36" i="29"/>
  <c r="J35" i="29"/>
  <c r="F36" i="26"/>
  <c r="J35" i="26"/>
  <c r="F51" i="26"/>
  <c r="J50" i="26"/>
  <c r="F38" i="26"/>
  <c r="J37" i="26"/>
  <c r="F27" i="26"/>
  <c r="J26" i="26"/>
  <c r="F15" i="27"/>
  <c r="J14" i="27"/>
  <c r="F19" i="27"/>
  <c r="J18" i="27"/>
  <c r="F26" i="28"/>
  <c r="F49" i="28"/>
  <c r="J48" i="28"/>
  <c r="F32" i="28"/>
  <c r="F22" i="28"/>
  <c r="J21" i="28"/>
  <c r="F13" i="28"/>
  <c r="F11" i="28"/>
  <c r="J10" i="28"/>
  <c r="F27" i="28"/>
  <c r="J26" i="28"/>
  <c r="F43" i="28"/>
  <c r="J42" i="28"/>
  <c r="F16" i="30"/>
  <c r="J15" i="30"/>
  <c r="F35" i="30"/>
  <c r="J34" i="30"/>
  <c r="F22" i="30"/>
  <c r="J37" i="30"/>
  <c r="F54" i="30"/>
  <c r="J53" i="30"/>
  <c r="F32" i="30"/>
  <c r="J31" i="30"/>
  <c r="F48" i="30"/>
  <c r="F39" i="30"/>
  <c r="J20" i="30"/>
  <c r="F37" i="30"/>
  <c r="J36" i="30"/>
  <c r="F53" i="30"/>
  <c r="J52" i="30"/>
  <c r="J10" i="33"/>
  <c r="F26" i="33"/>
  <c r="J25" i="33"/>
  <c r="F48" i="33"/>
  <c r="J47" i="33"/>
  <c r="F18" i="33"/>
  <c r="J17" i="33"/>
  <c r="F15" i="33"/>
  <c r="J14" i="33"/>
  <c r="F29" i="33"/>
  <c r="F47" i="33"/>
  <c r="J46" i="33"/>
  <c r="F55" i="33"/>
  <c r="J54" i="33"/>
  <c r="J27" i="33"/>
  <c r="F46" i="33"/>
  <c r="F40" i="33"/>
  <c r="J39" i="33"/>
  <c r="F54" i="33"/>
  <c r="F23" i="34"/>
  <c r="J22" i="34"/>
  <c r="F31" i="34"/>
  <c r="J30" i="34"/>
  <c r="F19" i="34"/>
  <c r="J18" i="34"/>
  <c r="F26" i="34"/>
  <c r="J25" i="34"/>
  <c r="F43" i="34"/>
  <c r="J42" i="34"/>
  <c r="F17" i="34"/>
  <c r="J16" i="34"/>
  <c r="F33" i="34"/>
  <c r="J32" i="34"/>
  <c r="F46" i="34"/>
  <c r="F14" i="34"/>
  <c r="J13" i="34"/>
  <c r="F32" i="34"/>
  <c r="J31" i="34"/>
  <c r="F49" i="34"/>
  <c r="J48" i="34"/>
  <c r="F10" i="32"/>
  <c r="J9" i="32"/>
  <c r="F19" i="32"/>
  <c r="J18" i="32"/>
  <c r="F41" i="36"/>
  <c r="J40" i="36"/>
  <c r="F28" i="36"/>
  <c r="J27" i="36"/>
  <c r="F32" i="36"/>
  <c r="J31" i="36"/>
  <c r="F13" i="36"/>
  <c r="J12" i="36"/>
  <c r="F31" i="36"/>
  <c r="J30" i="36"/>
  <c r="F45" i="36"/>
  <c r="J44" i="36"/>
  <c r="F11" i="36"/>
  <c r="J10" i="36"/>
  <c r="F25" i="36"/>
  <c r="J24" i="36"/>
  <c r="F43" i="36"/>
  <c r="J42" i="36"/>
  <c r="F10" i="36"/>
  <c r="J9" i="36"/>
  <c r="F24" i="36"/>
  <c r="J23" i="36"/>
  <c r="F42" i="36"/>
  <c r="J41" i="36"/>
  <c r="F57" i="36"/>
  <c r="J55" i="36"/>
  <c r="F45" i="31"/>
  <c r="J44" i="31"/>
  <c r="F16" i="31"/>
  <c r="J15" i="31"/>
  <c r="F32" i="31"/>
  <c r="J31" i="31"/>
  <c r="F48" i="31"/>
  <c r="J47" i="31"/>
  <c r="F23" i="31"/>
  <c r="J22" i="31"/>
  <c r="F39" i="31"/>
  <c r="J38" i="31"/>
  <c r="F55" i="31"/>
  <c r="J54" i="31"/>
  <c r="F21" i="31"/>
  <c r="J20" i="31"/>
  <c r="J17" i="31"/>
  <c r="F34" i="31"/>
  <c r="J33" i="31"/>
  <c r="F50" i="31"/>
  <c r="J49" i="31"/>
  <c r="F50" i="37"/>
  <c r="J49" i="37"/>
  <c r="F39" i="37"/>
  <c r="J38" i="37"/>
  <c r="F18" i="37"/>
  <c r="J17" i="37"/>
  <c r="F16" i="37"/>
  <c r="J15" i="37"/>
  <c r="F32" i="37"/>
  <c r="J31" i="37"/>
  <c r="F48" i="37"/>
  <c r="J47" i="37"/>
  <c r="F15" i="37"/>
  <c r="J14" i="37"/>
  <c r="F31" i="37"/>
  <c r="J30" i="37"/>
  <c r="F47" i="37"/>
  <c r="J46" i="37"/>
  <c r="F14" i="37"/>
  <c r="J13" i="37"/>
  <c r="F30" i="37"/>
  <c r="J29" i="37"/>
  <c r="F46" i="37"/>
  <c r="J45" i="37"/>
  <c r="F16" i="35"/>
  <c r="J15" i="35"/>
  <c r="J43" i="35"/>
  <c r="F43" i="35"/>
  <c r="J42" i="35"/>
  <c r="F10" i="35"/>
  <c r="J9" i="35"/>
  <c r="F24" i="35"/>
  <c r="J23" i="35"/>
  <c r="F42" i="35"/>
  <c r="J41" i="35"/>
  <c r="F57" i="35"/>
  <c r="J55" i="35"/>
  <c r="F27" i="35"/>
  <c r="J26" i="35"/>
  <c r="F41" i="35"/>
  <c r="J40" i="35"/>
  <c r="F13" i="35"/>
  <c r="J12" i="35"/>
  <c r="J30" i="35"/>
  <c r="F45" i="35"/>
  <c r="F11" i="29"/>
  <c r="J10" i="29"/>
  <c r="F30" i="29"/>
  <c r="J29" i="29"/>
  <c r="F22" i="29"/>
  <c r="J21" i="29"/>
  <c r="F23" i="29"/>
  <c r="J22" i="29"/>
  <c r="F51" i="29"/>
  <c r="F46" i="29"/>
  <c r="J45" i="29"/>
  <c r="F48" i="29"/>
  <c r="J47" i="29"/>
  <c r="F25" i="29"/>
  <c r="J24" i="29"/>
  <c r="F19" i="29"/>
  <c r="F14" i="29"/>
  <c r="J13" i="29"/>
  <c r="F37" i="26"/>
  <c r="J36" i="26"/>
  <c r="F19" i="26"/>
  <c r="J18" i="26"/>
  <c r="F22" i="26"/>
  <c r="J21" i="26"/>
  <c r="F34" i="26"/>
  <c r="J33" i="26"/>
  <c r="F26" i="27"/>
  <c r="J25" i="27"/>
  <c r="F25" i="26"/>
  <c r="J24" i="26"/>
  <c r="F41" i="26"/>
  <c r="J40" i="26"/>
  <c r="F24" i="26"/>
  <c r="J23" i="26"/>
  <c r="F57" i="26"/>
  <c r="J55" i="26"/>
  <c r="F23" i="26"/>
  <c r="J22" i="26"/>
  <c r="F55" i="26"/>
  <c r="J54" i="26"/>
  <c r="F38" i="27"/>
  <c r="J37" i="27"/>
  <c r="F47" i="27"/>
  <c r="J46" i="27"/>
  <c r="F39" i="27"/>
  <c r="J38" i="27"/>
  <c r="F43" i="27"/>
  <c r="F51" i="27"/>
  <c r="J50" i="27"/>
  <c r="F33" i="28"/>
  <c r="J32" i="28"/>
  <c r="F16" i="28"/>
  <c r="J15" i="28"/>
  <c r="F11" i="26"/>
  <c r="J10" i="26"/>
  <c r="F10" i="26"/>
  <c r="J9" i="26"/>
  <c r="F26" i="26"/>
  <c r="J25" i="26"/>
  <c r="F42" i="26"/>
  <c r="J41" i="26"/>
  <c r="F13" i="26"/>
  <c r="J12" i="26"/>
  <c r="F29" i="26"/>
  <c r="J28" i="26"/>
  <c r="F45" i="26"/>
  <c r="J44" i="26"/>
  <c r="F16" i="26"/>
  <c r="J15" i="26"/>
  <c r="F43" i="26"/>
  <c r="J42" i="26"/>
  <c r="F12" i="26"/>
  <c r="J11" i="26"/>
  <c r="F28" i="26"/>
  <c r="J27" i="26"/>
  <c r="F44" i="26"/>
  <c r="J43" i="26"/>
  <c r="J21" i="27"/>
  <c r="J47" i="27"/>
  <c r="F20" i="27"/>
  <c r="J19" i="27"/>
  <c r="F36" i="27"/>
  <c r="F52" i="27"/>
  <c r="J51" i="27"/>
  <c r="F28" i="27"/>
  <c r="J27" i="27"/>
  <c r="F44" i="27"/>
  <c r="J43" i="27"/>
  <c r="F11" i="27"/>
  <c r="J10" i="27"/>
  <c r="F24" i="27"/>
  <c r="J23" i="27"/>
  <c r="F40" i="27"/>
  <c r="J39" i="27"/>
  <c r="J54" i="27"/>
  <c r="F34" i="28"/>
  <c r="J33" i="28"/>
  <c r="F37" i="28"/>
  <c r="J36" i="28"/>
  <c r="F54" i="28"/>
  <c r="J53" i="28"/>
  <c r="F20" i="28"/>
  <c r="J19" i="28"/>
  <c r="F36" i="28"/>
  <c r="J35" i="28"/>
  <c r="F52" i="28"/>
  <c r="F30" i="28"/>
  <c r="J29" i="28"/>
  <c r="F21" i="28"/>
  <c r="J20" i="28"/>
  <c r="F15" i="28"/>
  <c r="J14" i="28"/>
  <c r="J30" i="28"/>
  <c r="F47" i="28"/>
  <c r="J46" i="28"/>
  <c r="F20" i="30"/>
  <c r="J19" i="30"/>
  <c r="F11" i="30"/>
  <c r="J10" i="30"/>
  <c r="F43" i="30"/>
  <c r="J42" i="30"/>
  <c r="F10" i="30"/>
  <c r="J9" i="30"/>
  <c r="F26" i="30"/>
  <c r="J25" i="30"/>
  <c r="F42" i="30"/>
  <c r="J41" i="30"/>
  <c r="J11" i="30"/>
  <c r="F36" i="30"/>
  <c r="J35" i="30"/>
  <c r="F15" i="30"/>
  <c r="J14" i="30"/>
  <c r="J46" i="30"/>
  <c r="F25" i="30"/>
  <c r="J24" i="30"/>
  <c r="F41" i="30"/>
  <c r="J40" i="30"/>
  <c r="F27" i="33"/>
  <c r="J26" i="33"/>
  <c r="F16" i="33"/>
  <c r="J15" i="33"/>
  <c r="F30" i="33"/>
  <c r="J29" i="33"/>
  <c r="F51" i="33"/>
  <c r="J50" i="33"/>
  <c r="F22" i="33"/>
  <c r="J21" i="33"/>
  <c r="F20" i="33"/>
  <c r="F34" i="33"/>
  <c r="J33" i="33"/>
  <c r="F31" i="33"/>
  <c r="J30" i="33"/>
  <c r="F14" i="33"/>
  <c r="J13" i="33"/>
  <c r="F32" i="33"/>
  <c r="J31" i="33"/>
  <c r="J52" i="33"/>
  <c r="F41" i="33"/>
  <c r="J40" i="33"/>
  <c r="F39" i="34"/>
  <c r="J38" i="34"/>
  <c r="F57" i="34"/>
  <c r="J55" i="34"/>
  <c r="F35" i="34"/>
  <c r="J34" i="34"/>
  <c r="F30" i="34"/>
  <c r="J29" i="34"/>
  <c r="F47" i="34"/>
  <c r="J46" i="34"/>
  <c r="F21" i="34"/>
  <c r="J20" i="34"/>
  <c r="F37" i="34"/>
  <c r="J36" i="34"/>
  <c r="F50" i="34"/>
  <c r="J49" i="34"/>
  <c r="F20" i="34"/>
  <c r="J19" i="34"/>
  <c r="F36" i="34"/>
  <c r="J35" i="34"/>
  <c r="F53" i="34"/>
  <c r="J52" i="34"/>
  <c r="F11" i="32"/>
  <c r="J10" i="32"/>
  <c r="F15" i="32"/>
  <c r="J14" i="32"/>
  <c r="F13" i="32"/>
  <c r="J12" i="32"/>
  <c r="F50" i="36"/>
  <c r="J49" i="36"/>
  <c r="F37" i="36"/>
  <c r="J36" i="36"/>
  <c r="J16" i="36"/>
  <c r="F35" i="36"/>
  <c r="J34" i="36"/>
  <c r="F49" i="36"/>
  <c r="J48" i="36"/>
  <c r="F12" i="36"/>
  <c r="J11" i="36"/>
  <c r="F30" i="36"/>
  <c r="J29" i="36"/>
  <c r="F44" i="36"/>
  <c r="J43" i="36"/>
  <c r="F15" i="36"/>
  <c r="J14" i="36"/>
  <c r="F29" i="36"/>
  <c r="J28" i="36"/>
  <c r="F47" i="36"/>
  <c r="J46" i="36"/>
  <c r="F33" i="31"/>
  <c r="J32" i="31"/>
  <c r="F49" i="31"/>
  <c r="J48" i="31"/>
  <c r="F20" i="31"/>
  <c r="J19" i="31"/>
  <c r="F36" i="31"/>
  <c r="J35" i="31"/>
  <c r="F52" i="31"/>
  <c r="J51" i="31"/>
  <c r="F11" i="31"/>
  <c r="J10" i="31"/>
  <c r="F27" i="31"/>
  <c r="J26" i="31"/>
  <c r="F43" i="31"/>
  <c r="J42" i="31"/>
  <c r="F25" i="31"/>
  <c r="J24" i="31"/>
  <c r="F22" i="31"/>
  <c r="J21" i="31"/>
  <c r="F38" i="31"/>
  <c r="J37" i="31"/>
  <c r="F54" i="31"/>
  <c r="J53" i="31"/>
  <c r="F55" i="37"/>
  <c r="J54" i="37"/>
  <c r="F23" i="37"/>
  <c r="J22" i="37"/>
  <c r="F21" i="37"/>
  <c r="F37" i="37"/>
  <c r="J36" i="37"/>
  <c r="F53" i="37"/>
  <c r="J52" i="37"/>
  <c r="J19" i="37"/>
  <c r="F36" i="37"/>
  <c r="J35" i="37"/>
  <c r="F52" i="37"/>
  <c r="J51" i="37"/>
  <c r="F19" i="37"/>
  <c r="J18" i="37"/>
  <c r="F35" i="37"/>
  <c r="J34" i="37"/>
  <c r="F51" i="37"/>
  <c r="J50" i="37"/>
  <c r="F21" i="35"/>
  <c r="J20" i="35"/>
  <c r="F48" i="35"/>
  <c r="J47" i="35"/>
  <c r="F15" i="35"/>
  <c r="J14" i="35"/>
  <c r="F29" i="35"/>
  <c r="J28" i="35"/>
  <c r="F47" i="35"/>
  <c r="J46" i="35"/>
  <c r="F14" i="35"/>
  <c r="J13" i="35"/>
  <c r="F28" i="35"/>
  <c r="J27" i="35"/>
  <c r="F46" i="35"/>
  <c r="J45" i="35"/>
  <c r="F17" i="35"/>
  <c r="J16" i="35"/>
  <c r="F35" i="35"/>
  <c r="J34" i="35"/>
  <c r="F49" i="35"/>
  <c r="J48" i="35"/>
  <c r="F31" i="29"/>
  <c r="J30" i="29"/>
  <c r="F43" i="29"/>
  <c r="J42" i="29"/>
  <c r="F47" i="29"/>
  <c r="J46" i="29"/>
  <c r="F12" i="29"/>
  <c r="J11" i="29"/>
  <c r="F42" i="29"/>
  <c r="J41" i="29"/>
  <c r="J27" i="29"/>
  <c r="F17" i="29"/>
  <c r="J16" i="29"/>
  <c r="F45" i="29"/>
  <c r="J44" i="29"/>
  <c r="F52" i="29"/>
  <c r="J51" i="29"/>
  <c r="F33" i="29"/>
  <c r="J32" i="29"/>
  <c r="F13" i="29"/>
  <c r="J12" i="29"/>
  <c r="F55" i="29"/>
  <c r="J54" i="29"/>
  <c r="F9" i="29"/>
  <c r="F7" i="29"/>
  <c r="F27" i="29"/>
  <c r="F15" i="29"/>
  <c r="F57" i="29"/>
  <c r="F9" i="33"/>
  <c r="F7" i="33"/>
  <c r="F9" i="37"/>
  <c r="F7" i="37"/>
  <c r="F9" i="27"/>
  <c r="F7" i="27"/>
  <c r="F9" i="28"/>
  <c r="F7" i="28"/>
  <c r="F9" i="32"/>
  <c r="F7" i="32"/>
  <c r="F7" i="36"/>
  <c r="F9" i="36"/>
  <c r="F9" i="31"/>
  <c r="F7" i="31"/>
  <c r="F7" i="26"/>
  <c r="F9" i="26"/>
  <c r="F7" i="34"/>
  <c r="F9" i="34"/>
  <c r="F7" i="30"/>
  <c r="F9" i="30"/>
  <c r="F9" i="35"/>
  <c r="F7" i="35"/>
  <c r="D57" i="3" l="1"/>
  <c r="D10" i="3"/>
  <c r="L10" i="3" s="1"/>
  <c r="D11" i="3"/>
  <c r="D12" i="3"/>
  <c r="L12" i="3" s="1"/>
  <c r="D13" i="3"/>
  <c r="L13" i="3" s="1"/>
  <c r="D14" i="3"/>
  <c r="L14" i="3" s="1"/>
  <c r="D15" i="3"/>
  <c r="D16" i="3"/>
  <c r="L16" i="3" s="1"/>
  <c r="D17" i="3"/>
  <c r="L17" i="3" s="1"/>
  <c r="D18" i="3"/>
  <c r="L18" i="3" s="1"/>
  <c r="D19" i="3"/>
  <c r="D20" i="3"/>
  <c r="L20" i="3" s="1"/>
  <c r="D21" i="3"/>
  <c r="L21" i="3" s="1"/>
  <c r="D22" i="3"/>
  <c r="L22" i="3" s="1"/>
  <c r="D23" i="3"/>
  <c r="D24" i="3"/>
  <c r="L24" i="3" s="1"/>
  <c r="D25" i="3"/>
  <c r="L25" i="3" s="1"/>
  <c r="D26" i="3"/>
  <c r="L26" i="3" s="1"/>
  <c r="D27" i="3"/>
  <c r="D28" i="3"/>
  <c r="L28" i="3" s="1"/>
  <c r="D29" i="3"/>
  <c r="L29" i="3" s="1"/>
  <c r="D30" i="3"/>
  <c r="L30" i="3" s="1"/>
  <c r="D31" i="3"/>
  <c r="D32" i="3"/>
  <c r="L32" i="3" s="1"/>
  <c r="D33" i="3"/>
  <c r="L33" i="3" s="1"/>
  <c r="D34" i="3"/>
  <c r="L34" i="3" s="1"/>
  <c r="D35" i="3"/>
  <c r="D36" i="3"/>
  <c r="L36" i="3" s="1"/>
  <c r="L37" i="3"/>
  <c r="D38" i="3"/>
  <c r="L38" i="3" s="1"/>
  <c r="D39" i="3"/>
  <c r="D40" i="3"/>
  <c r="L40" i="3" s="1"/>
  <c r="D41" i="3"/>
  <c r="L41" i="3" s="1"/>
  <c r="D42" i="3"/>
  <c r="L42" i="3" s="1"/>
  <c r="D43" i="3"/>
  <c r="D44" i="3"/>
  <c r="L44" i="3" s="1"/>
  <c r="D45" i="3"/>
  <c r="L45" i="3" s="1"/>
  <c r="D46" i="3"/>
  <c r="L46" i="3" s="1"/>
  <c r="D47" i="3"/>
  <c r="D48" i="3"/>
  <c r="L48" i="3" s="1"/>
  <c r="D49" i="3"/>
  <c r="L49" i="3" s="1"/>
  <c r="D50" i="3"/>
  <c r="L50" i="3" s="1"/>
  <c r="D51" i="3"/>
  <c r="D52" i="3"/>
  <c r="L52" i="3" s="1"/>
  <c r="D53" i="3"/>
  <c r="L53" i="3" s="1"/>
  <c r="D54" i="3"/>
  <c r="L54" i="3" s="1"/>
  <c r="D55" i="3"/>
  <c r="D9" i="3"/>
  <c r="D7" i="3"/>
  <c r="D107" i="5"/>
  <c r="D10" i="5"/>
  <c r="L10" i="5" s="1"/>
  <c r="D11" i="5"/>
  <c r="L11" i="5" s="1"/>
  <c r="D12" i="5"/>
  <c r="L12" i="5" s="1"/>
  <c r="D13" i="5"/>
  <c r="L13" i="5" s="1"/>
  <c r="D14" i="5"/>
  <c r="L14" i="5" s="1"/>
  <c r="D15" i="5"/>
  <c r="L15" i="5" s="1"/>
  <c r="D16" i="5"/>
  <c r="L16" i="5" s="1"/>
  <c r="D17" i="5"/>
  <c r="L17" i="5" s="1"/>
  <c r="D18" i="5"/>
  <c r="L18" i="5" s="1"/>
  <c r="D19" i="5"/>
  <c r="L19" i="5" s="1"/>
  <c r="D20" i="5"/>
  <c r="L20" i="5" s="1"/>
  <c r="L21" i="5"/>
  <c r="D22" i="5"/>
  <c r="L22" i="5" s="1"/>
  <c r="D23" i="5"/>
  <c r="L23" i="5" s="1"/>
  <c r="D24" i="5"/>
  <c r="L24" i="5" s="1"/>
  <c r="D25" i="5"/>
  <c r="L25" i="5" s="1"/>
  <c r="D26" i="5"/>
  <c r="L26" i="5" s="1"/>
  <c r="D27" i="5"/>
  <c r="L27" i="5" s="1"/>
  <c r="D28" i="5"/>
  <c r="L28" i="5" s="1"/>
  <c r="D29" i="5"/>
  <c r="L29" i="5" s="1"/>
  <c r="D30" i="5"/>
  <c r="L30" i="5" s="1"/>
  <c r="D31" i="5"/>
  <c r="L31" i="5" s="1"/>
  <c r="D32" i="5"/>
  <c r="L32" i="5" s="1"/>
  <c r="D33" i="5"/>
  <c r="L33" i="5" s="1"/>
  <c r="D34" i="5"/>
  <c r="L34" i="5" s="1"/>
  <c r="L35" i="5"/>
  <c r="D36" i="5"/>
  <c r="L36" i="5" s="1"/>
  <c r="D37" i="5"/>
  <c r="L37" i="5" s="1"/>
  <c r="D38" i="5"/>
  <c r="L38" i="5" s="1"/>
  <c r="D39" i="5"/>
  <c r="L39" i="5" s="1"/>
  <c r="D40" i="5"/>
  <c r="L40" i="5" s="1"/>
  <c r="D41" i="5"/>
  <c r="L41" i="5" s="1"/>
  <c r="D42" i="5"/>
  <c r="L42" i="5" s="1"/>
  <c r="D43" i="5"/>
  <c r="L43" i="5" s="1"/>
  <c r="D44" i="5"/>
  <c r="L44" i="5" s="1"/>
  <c r="D45" i="5"/>
  <c r="L45" i="5" s="1"/>
  <c r="D46" i="5"/>
  <c r="L46" i="5" s="1"/>
  <c r="D47" i="5"/>
  <c r="L47" i="5" s="1"/>
  <c r="D48" i="5"/>
  <c r="L48" i="5" s="1"/>
  <c r="L49" i="5"/>
  <c r="D50" i="5"/>
  <c r="L50" i="5" s="1"/>
  <c r="D51" i="5"/>
  <c r="L51" i="5" s="1"/>
  <c r="D52" i="5"/>
  <c r="L52" i="5" s="1"/>
  <c r="D53" i="5"/>
  <c r="L53" i="5" s="1"/>
  <c r="D54" i="5"/>
  <c r="L54" i="5" s="1"/>
  <c r="D55" i="5"/>
  <c r="L55" i="5" s="1"/>
  <c r="D56" i="5"/>
  <c r="L56" i="5" s="1"/>
  <c r="D57" i="5"/>
  <c r="L57" i="5" s="1"/>
  <c r="D58" i="5"/>
  <c r="L58" i="5" s="1"/>
  <c r="D59" i="5"/>
  <c r="L59" i="5" s="1"/>
  <c r="D60" i="5"/>
  <c r="L60" i="5" s="1"/>
  <c r="D61" i="5"/>
  <c r="L61" i="5" s="1"/>
  <c r="L62" i="5"/>
  <c r="D63" i="5"/>
  <c r="L63" i="5" s="1"/>
  <c r="D64" i="5"/>
  <c r="L64" i="5" s="1"/>
  <c r="D65" i="5"/>
  <c r="L65" i="5" s="1"/>
  <c r="D66" i="5"/>
  <c r="L66" i="5" s="1"/>
  <c r="D67" i="5"/>
  <c r="L67" i="5" s="1"/>
  <c r="D68" i="5"/>
  <c r="L68" i="5" s="1"/>
  <c r="D69" i="5"/>
  <c r="L69" i="5" s="1"/>
  <c r="D70" i="5"/>
  <c r="L70" i="5" s="1"/>
  <c r="D71" i="5"/>
  <c r="L71" i="5" s="1"/>
  <c r="D72" i="5"/>
  <c r="L72" i="5" s="1"/>
  <c r="D73" i="5"/>
  <c r="L73" i="5" s="1"/>
  <c r="D74" i="5"/>
  <c r="L74" i="5" s="1"/>
  <c r="D75" i="5"/>
  <c r="L75" i="5" s="1"/>
  <c r="L76" i="5"/>
  <c r="D77" i="5"/>
  <c r="L77" i="5" s="1"/>
  <c r="D78" i="5"/>
  <c r="L78" i="5" s="1"/>
  <c r="D79" i="5"/>
  <c r="L79" i="5" s="1"/>
  <c r="D80" i="5"/>
  <c r="L80" i="5" s="1"/>
  <c r="D81" i="5"/>
  <c r="L81" i="5" s="1"/>
  <c r="D82" i="5"/>
  <c r="L82" i="5" s="1"/>
  <c r="D83" i="5"/>
  <c r="L83" i="5" s="1"/>
  <c r="D84" i="5"/>
  <c r="L84" i="5" s="1"/>
  <c r="D85" i="5"/>
  <c r="L85" i="5" s="1"/>
  <c r="D86" i="5"/>
  <c r="L86" i="5" s="1"/>
  <c r="D87" i="5"/>
  <c r="L87" i="5" s="1"/>
  <c r="D88" i="5"/>
  <c r="L88" i="5" s="1"/>
  <c r="D89" i="5"/>
  <c r="L89" i="5" s="1"/>
  <c r="L90" i="5"/>
  <c r="D91" i="5"/>
  <c r="L91" i="5" s="1"/>
  <c r="D92" i="5"/>
  <c r="L92" i="5" s="1"/>
  <c r="D93" i="5"/>
  <c r="L93" i="5" s="1"/>
  <c r="D94" i="5"/>
  <c r="L94" i="5" s="1"/>
  <c r="D95" i="5"/>
  <c r="L95" i="5" s="1"/>
  <c r="D96" i="5"/>
  <c r="L96" i="5" s="1"/>
  <c r="D97" i="5"/>
  <c r="L97" i="5" s="1"/>
  <c r="D98" i="5"/>
  <c r="L98" i="5" s="1"/>
  <c r="D99" i="5"/>
  <c r="L99" i="5" s="1"/>
  <c r="D100" i="5"/>
  <c r="L100" i="5" s="1"/>
  <c r="D101" i="5"/>
  <c r="L101" i="5" s="1"/>
  <c r="D103" i="5"/>
  <c r="L104" i="5"/>
  <c r="D105" i="5"/>
  <c r="L105" i="5" s="1"/>
  <c r="D9" i="5"/>
  <c r="D7" i="5"/>
  <c r="G7" i="5" l="1"/>
  <c r="H7" i="5" s="1"/>
  <c r="L7" i="5"/>
  <c r="G103" i="5"/>
  <c r="H103" i="5" s="1"/>
  <c r="L103" i="5"/>
  <c r="G9" i="5"/>
  <c r="H9" i="5" s="1"/>
  <c r="L9" i="5"/>
  <c r="G107" i="5"/>
  <c r="H107" i="5" s="1"/>
  <c r="L107" i="5"/>
  <c r="G55" i="3"/>
  <c r="H55" i="3" s="1"/>
  <c r="L55" i="3"/>
  <c r="G51" i="3"/>
  <c r="H51" i="3" s="1"/>
  <c r="L51" i="3"/>
  <c r="G47" i="3"/>
  <c r="H47" i="3" s="1"/>
  <c r="L47" i="3"/>
  <c r="G43" i="3"/>
  <c r="H43" i="3" s="1"/>
  <c r="L43" i="3"/>
  <c r="G39" i="3"/>
  <c r="H39" i="3" s="1"/>
  <c r="L39" i="3"/>
  <c r="G35" i="3"/>
  <c r="H35" i="3" s="1"/>
  <c r="L35" i="3"/>
  <c r="G31" i="3"/>
  <c r="H31" i="3" s="1"/>
  <c r="L31" i="3"/>
  <c r="G27" i="3"/>
  <c r="H27" i="3" s="1"/>
  <c r="L27" i="3"/>
  <c r="G23" i="3"/>
  <c r="H23" i="3" s="1"/>
  <c r="L23" i="3"/>
  <c r="G19" i="3"/>
  <c r="H19" i="3" s="1"/>
  <c r="L19" i="3"/>
  <c r="G15" i="3"/>
  <c r="H15" i="3" s="1"/>
  <c r="L15" i="3"/>
  <c r="G11" i="3"/>
  <c r="H11" i="3" s="1"/>
  <c r="L11" i="3"/>
  <c r="G9" i="3"/>
  <c r="H9" i="3" s="1"/>
  <c r="L9" i="3"/>
  <c r="G7" i="3"/>
  <c r="H7" i="3" s="1"/>
  <c r="L7" i="3"/>
  <c r="G57" i="3"/>
  <c r="H57" i="3" s="1"/>
  <c r="L57" i="3"/>
  <c r="G105" i="5"/>
  <c r="H105" i="5" s="1"/>
  <c r="G100" i="5"/>
  <c r="H100" i="5" s="1"/>
  <c r="G96" i="5"/>
  <c r="H96" i="5" s="1"/>
  <c r="G92" i="5"/>
  <c r="H92" i="5" s="1"/>
  <c r="G88" i="5"/>
  <c r="H88" i="5" s="1"/>
  <c r="G84" i="5"/>
  <c r="H84" i="5" s="1"/>
  <c r="G80" i="5"/>
  <c r="H80" i="5" s="1"/>
  <c r="G72" i="5"/>
  <c r="H72" i="5" s="1"/>
  <c r="G68" i="5"/>
  <c r="H68" i="5" s="1"/>
  <c r="G64" i="5"/>
  <c r="H64" i="5" s="1"/>
  <c r="G60" i="5"/>
  <c r="H60" i="5" s="1"/>
  <c r="G56" i="5"/>
  <c r="H56" i="5" s="1"/>
  <c r="G52" i="5"/>
  <c r="H52" i="5" s="1"/>
  <c r="G48" i="5"/>
  <c r="H48" i="5" s="1"/>
  <c r="G44" i="5"/>
  <c r="H44" i="5" s="1"/>
  <c r="G40" i="5"/>
  <c r="H40" i="5" s="1"/>
  <c r="G36" i="5"/>
  <c r="H36" i="5" s="1"/>
  <c r="G32" i="5"/>
  <c r="H32" i="5" s="1"/>
  <c r="G28" i="5"/>
  <c r="H28" i="5" s="1"/>
  <c r="G24" i="5"/>
  <c r="H24" i="5" s="1"/>
  <c r="G20" i="5"/>
  <c r="H20" i="5" s="1"/>
  <c r="G16" i="5"/>
  <c r="H16" i="5" s="1"/>
  <c r="G12" i="5"/>
  <c r="H12" i="5" s="1"/>
  <c r="G98" i="5"/>
  <c r="H98" i="5" s="1"/>
  <c r="G94" i="5"/>
  <c r="H94" i="5" s="1"/>
  <c r="G86" i="5"/>
  <c r="H86" i="5" s="1"/>
  <c r="G82" i="5"/>
  <c r="H82" i="5" s="1"/>
  <c r="G78" i="5"/>
  <c r="H78" i="5" s="1"/>
  <c r="G74" i="5"/>
  <c r="H74" i="5" s="1"/>
  <c r="G70" i="5"/>
  <c r="H70" i="5" s="1"/>
  <c r="G66" i="5"/>
  <c r="H66" i="5" s="1"/>
  <c r="G58" i="5"/>
  <c r="H58" i="5" s="1"/>
  <c r="G54" i="5"/>
  <c r="H54" i="5" s="1"/>
  <c r="G50" i="5"/>
  <c r="H50" i="5" s="1"/>
  <c r="G46" i="5"/>
  <c r="H46" i="5" s="1"/>
  <c r="G42" i="5"/>
  <c r="H42" i="5" s="1"/>
  <c r="G38" i="5"/>
  <c r="H38" i="5" s="1"/>
  <c r="G34" i="5"/>
  <c r="H34" i="5" s="1"/>
  <c r="G30" i="5"/>
  <c r="H30" i="5" s="1"/>
  <c r="G26" i="5"/>
  <c r="H26" i="5" s="1"/>
  <c r="G22" i="5"/>
  <c r="H22" i="5" s="1"/>
  <c r="G18" i="5"/>
  <c r="H18" i="5" s="1"/>
  <c r="G14" i="5"/>
  <c r="H14" i="5" s="1"/>
  <c r="G53" i="3"/>
  <c r="H53" i="3" s="1"/>
  <c r="G49" i="3"/>
  <c r="H49" i="3" s="1"/>
  <c r="G45" i="3"/>
  <c r="H45" i="3" s="1"/>
  <c r="G97" i="5"/>
  <c r="H97" i="5" s="1"/>
  <c r="G93" i="5"/>
  <c r="H93" i="5" s="1"/>
  <c r="G89" i="5"/>
  <c r="H89" i="5" s="1"/>
  <c r="G85" i="5"/>
  <c r="H85" i="5" s="1"/>
  <c r="G81" i="5"/>
  <c r="H81" i="5" s="1"/>
  <c r="G77" i="5"/>
  <c r="H77" i="5" s="1"/>
  <c r="G73" i="5"/>
  <c r="H73" i="5" s="1"/>
  <c r="G69" i="5"/>
  <c r="H69" i="5" s="1"/>
  <c r="G65" i="5"/>
  <c r="H65" i="5" s="1"/>
  <c r="G61" i="5"/>
  <c r="H61" i="5" s="1"/>
  <c r="G57" i="5"/>
  <c r="H57" i="5" s="1"/>
  <c r="G53" i="5"/>
  <c r="H53" i="5" s="1"/>
  <c r="G45" i="5"/>
  <c r="H45" i="5" s="1"/>
  <c r="G41" i="5"/>
  <c r="H41" i="5" s="1"/>
  <c r="G37" i="5"/>
  <c r="H37" i="5" s="1"/>
  <c r="G33" i="5"/>
  <c r="H33" i="5" s="1"/>
  <c r="G29" i="5"/>
  <c r="H29" i="5" s="1"/>
  <c r="G25" i="5"/>
  <c r="H25" i="5" s="1"/>
  <c r="G41" i="3"/>
  <c r="H41" i="3" s="1"/>
  <c r="G33" i="3"/>
  <c r="H33" i="3" s="1"/>
  <c r="G29" i="3"/>
  <c r="H29" i="3" s="1"/>
  <c r="G25" i="3"/>
  <c r="H25" i="3" s="1"/>
  <c r="G21" i="3"/>
  <c r="H21" i="3" s="1"/>
  <c r="G17" i="3"/>
  <c r="H17" i="3" s="1"/>
  <c r="G13" i="3"/>
  <c r="H13" i="3" s="1"/>
  <c r="G17" i="5"/>
  <c r="H17" i="5" s="1"/>
  <c r="G13" i="5"/>
  <c r="H13" i="5" s="1"/>
  <c r="G52" i="3"/>
  <c r="H52" i="3" s="1"/>
  <c r="G48" i="3"/>
  <c r="H48" i="3" s="1"/>
  <c r="G44" i="3"/>
  <c r="H44" i="3" s="1"/>
  <c r="G40" i="3"/>
  <c r="H40" i="3" s="1"/>
  <c r="G36" i="3"/>
  <c r="H36" i="3" s="1"/>
  <c r="G32" i="3"/>
  <c r="H32" i="3" s="1"/>
  <c r="G28" i="3"/>
  <c r="H28" i="3" s="1"/>
  <c r="G24" i="3"/>
  <c r="H24" i="3" s="1"/>
  <c r="G20" i="3"/>
  <c r="H20" i="3" s="1"/>
  <c r="G16" i="3"/>
  <c r="H16" i="3" s="1"/>
  <c r="G12" i="3"/>
  <c r="H12" i="3" s="1"/>
  <c r="G101" i="5"/>
  <c r="H101" i="5" s="1"/>
  <c r="G102" i="5"/>
  <c r="H102" i="5" s="1"/>
  <c r="G99" i="5"/>
  <c r="H99" i="5" s="1"/>
  <c r="G95" i="5"/>
  <c r="H95" i="5" s="1"/>
  <c r="G91" i="5"/>
  <c r="H91" i="5" s="1"/>
  <c r="G87" i="5"/>
  <c r="H87" i="5" s="1"/>
  <c r="G83" i="5"/>
  <c r="H83" i="5" s="1"/>
  <c r="G79" i="5"/>
  <c r="H79" i="5" s="1"/>
  <c r="G75" i="5"/>
  <c r="H75" i="5" s="1"/>
  <c r="G71" i="5"/>
  <c r="H71" i="5" s="1"/>
  <c r="G67" i="5"/>
  <c r="H67" i="5" s="1"/>
  <c r="G63" i="5"/>
  <c r="H63" i="5" s="1"/>
  <c r="G59" i="5"/>
  <c r="H59" i="5" s="1"/>
  <c r="G55" i="5"/>
  <c r="H55" i="5" s="1"/>
  <c r="G51" i="5"/>
  <c r="H51" i="5" s="1"/>
  <c r="G47" i="5"/>
  <c r="H47" i="5" s="1"/>
  <c r="G43" i="5"/>
  <c r="H43" i="5" s="1"/>
  <c r="G39" i="5"/>
  <c r="H39" i="5" s="1"/>
  <c r="G31" i="5"/>
  <c r="H31" i="5" s="1"/>
  <c r="G27" i="5"/>
  <c r="H27" i="5" s="1"/>
  <c r="G23" i="5"/>
  <c r="H23" i="5" s="1"/>
  <c r="G19" i="5"/>
  <c r="H19" i="5" s="1"/>
  <c r="G15" i="5"/>
  <c r="H15" i="5" s="1"/>
  <c r="G11" i="5"/>
  <c r="H11" i="5" s="1"/>
  <c r="G54" i="3"/>
  <c r="H54" i="3" s="1"/>
  <c r="G50" i="3"/>
  <c r="H50" i="3" s="1"/>
  <c r="G46" i="3"/>
  <c r="H46" i="3" s="1"/>
  <c r="G42" i="3"/>
  <c r="H42" i="3" s="1"/>
  <c r="G38" i="3"/>
  <c r="H38" i="3" s="1"/>
  <c r="G34" i="3"/>
  <c r="H34" i="3" s="1"/>
  <c r="G30" i="3"/>
  <c r="H30" i="3" s="1"/>
  <c r="G26" i="3"/>
  <c r="H26" i="3" s="1"/>
  <c r="G22" i="3"/>
  <c r="H22" i="3" s="1"/>
  <c r="G18" i="3"/>
  <c r="H18" i="3" s="1"/>
  <c r="G14" i="3"/>
  <c r="H14" i="3" s="1"/>
  <c r="G10" i="3"/>
  <c r="H10" i="3" s="1"/>
  <c r="G10" i="5"/>
  <c r="H10" i="5" s="1"/>
  <c r="I7" i="3"/>
  <c r="J7" i="3" s="1"/>
  <c r="E96" i="5"/>
  <c r="E84" i="5"/>
  <c r="E72" i="5"/>
  <c r="E60" i="5"/>
  <c r="E48" i="5"/>
  <c r="E36" i="5"/>
  <c r="E24" i="5"/>
  <c r="E12" i="5"/>
  <c r="E7" i="5"/>
  <c r="E103" i="5"/>
  <c r="E99" i="5"/>
  <c r="E95" i="5"/>
  <c r="E91" i="5"/>
  <c r="E87" i="5"/>
  <c r="E83" i="5"/>
  <c r="E79" i="5"/>
  <c r="E75" i="5"/>
  <c r="E71" i="5"/>
  <c r="E67" i="5"/>
  <c r="E63" i="5"/>
  <c r="E59" i="5"/>
  <c r="E55" i="5"/>
  <c r="E51" i="5"/>
  <c r="E47" i="5"/>
  <c r="E43" i="5"/>
  <c r="E39" i="5"/>
  <c r="E31" i="5"/>
  <c r="E27" i="5"/>
  <c r="E23" i="5"/>
  <c r="E19" i="5"/>
  <c r="E15" i="5"/>
  <c r="E11" i="5"/>
  <c r="E92" i="5"/>
  <c r="E64" i="5"/>
  <c r="E52" i="5"/>
  <c r="E40" i="5"/>
  <c r="E28" i="5"/>
  <c r="E16" i="5"/>
  <c r="E9" i="5"/>
  <c r="E98" i="5"/>
  <c r="E94" i="5"/>
  <c r="E86" i="5"/>
  <c r="E82" i="5"/>
  <c r="E78" i="5"/>
  <c r="E74" i="5"/>
  <c r="E70" i="5"/>
  <c r="E66" i="5"/>
  <c r="E58" i="5"/>
  <c r="E54" i="5"/>
  <c r="E50" i="5"/>
  <c r="E46" i="5"/>
  <c r="E42" i="5"/>
  <c r="E38" i="5"/>
  <c r="E34" i="5"/>
  <c r="E30" i="5"/>
  <c r="E26" i="5"/>
  <c r="E22" i="5"/>
  <c r="E18" i="5"/>
  <c r="E14" i="5"/>
  <c r="E10" i="5"/>
  <c r="E100" i="5"/>
  <c r="E88" i="5"/>
  <c r="E80" i="5"/>
  <c r="E68" i="5"/>
  <c r="E56" i="5"/>
  <c r="E44" i="5"/>
  <c r="E32" i="5"/>
  <c r="E20" i="5"/>
  <c r="E105" i="5"/>
  <c r="E101" i="5"/>
  <c r="E97" i="5"/>
  <c r="E93" i="5"/>
  <c r="E89" i="5"/>
  <c r="E85" i="5"/>
  <c r="E81" i="5"/>
  <c r="E77" i="5"/>
  <c r="E73" i="5"/>
  <c r="E69" i="5"/>
  <c r="E65" i="5"/>
  <c r="E61" i="5"/>
  <c r="E57" i="5"/>
  <c r="E53" i="5"/>
  <c r="E45" i="5"/>
  <c r="E41" i="5"/>
  <c r="E37" i="5"/>
  <c r="E33" i="5"/>
  <c r="E29" i="5"/>
  <c r="E25" i="5"/>
  <c r="E17" i="5"/>
  <c r="E13" i="5"/>
  <c r="E107" i="5"/>
  <c r="D10" i="2"/>
  <c r="L10" i="2" s="1"/>
  <c r="D11" i="2"/>
  <c r="L11" i="2" s="1"/>
  <c r="D12" i="2"/>
  <c r="L12" i="2" s="1"/>
  <c r="D13" i="2"/>
  <c r="L13" i="2" s="1"/>
  <c r="D14" i="2"/>
  <c r="L14" i="2" s="1"/>
  <c r="L15" i="2"/>
  <c r="D16" i="2"/>
  <c r="L16" i="2" s="1"/>
  <c r="D17" i="2"/>
  <c r="L17" i="2" s="1"/>
  <c r="D18" i="2"/>
  <c r="L18" i="2" s="1"/>
  <c r="D19" i="2"/>
  <c r="L19" i="2" s="1"/>
  <c r="D20" i="2"/>
  <c r="L20" i="2" s="1"/>
  <c r="D21" i="2"/>
  <c r="L21" i="2" s="1"/>
  <c r="D22" i="2"/>
  <c r="L22" i="2" s="1"/>
  <c r="D23" i="2"/>
  <c r="L23" i="2" s="1"/>
  <c r="D24" i="2"/>
  <c r="L24" i="2" s="1"/>
  <c r="D25" i="2"/>
  <c r="L25" i="2" s="1"/>
  <c r="L26" i="2"/>
  <c r="D27" i="2"/>
  <c r="L27" i="2" s="1"/>
  <c r="D28" i="2"/>
  <c r="L28" i="2" s="1"/>
  <c r="D29" i="2"/>
  <c r="L29" i="2" s="1"/>
  <c r="D30" i="2"/>
  <c r="L30" i="2" s="1"/>
  <c r="D31" i="2"/>
  <c r="L31" i="2" s="1"/>
  <c r="D32" i="2"/>
  <c r="L32" i="2" s="1"/>
  <c r="D33" i="2"/>
  <c r="L33" i="2" s="1"/>
  <c r="D34" i="2"/>
  <c r="L34" i="2" s="1"/>
  <c r="D35" i="2"/>
  <c r="L35" i="2" s="1"/>
  <c r="L36" i="2"/>
  <c r="D37" i="2"/>
  <c r="L37" i="2" s="1"/>
  <c r="D38" i="2"/>
  <c r="L38" i="2" s="1"/>
  <c r="D39" i="2"/>
  <c r="L39" i="2" s="1"/>
  <c r="D40" i="2"/>
  <c r="L40" i="2" s="1"/>
  <c r="D41" i="2"/>
  <c r="L41" i="2" s="1"/>
  <c r="D42" i="2"/>
  <c r="L42" i="2" s="1"/>
  <c r="D43" i="2"/>
  <c r="L43" i="2" s="1"/>
  <c r="D44" i="2"/>
  <c r="L44" i="2" s="1"/>
  <c r="D45" i="2"/>
  <c r="L45" i="2" s="1"/>
  <c r="D46" i="2"/>
  <c r="L46" i="2" s="1"/>
  <c r="L47" i="2"/>
  <c r="D48" i="2"/>
  <c r="L48" i="2" s="1"/>
  <c r="D49" i="2"/>
  <c r="L49" i="2" s="1"/>
  <c r="D50" i="2"/>
  <c r="L50" i="2" s="1"/>
  <c r="D51" i="2"/>
  <c r="L51" i="2" s="1"/>
  <c r="D52" i="2"/>
  <c r="L52" i="2" s="1"/>
  <c r="D53" i="2"/>
  <c r="L53" i="2" s="1"/>
  <c r="D54" i="2"/>
  <c r="L54" i="2" s="1"/>
  <c r="D55" i="2"/>
  <c r="L55" i="2" s="1"/>
  <c r="D56" i="2"/>
  <c r="L56" i="2" s="1"/>
  <c r="L57" i="2"/>
  <c r="D58" i="2"/>
  <c r="L58" i="2" s="1"/>
  <c r="D59" i="2"/>
  <c r="L59" i="2" s="1"/>
  <c r="D60" i="2"/>
  <c r="L60" i="2" s="1"/>
  <c r="D61" i="2"/>
  <c r="L61" i="2" s="1"/>
  <c r="D62" i="2"/>
  <c r="L62" i="2" s="1"/>
  <c r="D63" i="2"/>
  <c r="L63" i="2" s="1"/>
  <c r="D64" i="2"/>
  <c r="L64" i="2" s="1"/>
  <c r="D65" i="2"/>
  <c r="L65" i="2" s="1"/>
  <c r="D66" i="2"/>
  <c r="L66" i="2" s="1"/>
  <c r="D67" i="2"/>
  <c r="L67" i="2" s="1"/>
  <c r="L68" i="2"/>
  <c r="D69" i="2"/>
  <c r="L69" i="2" s="1"/>
  <c r="D70" i="2"/>
  <c r="L70" i="2" s="1"/>
  <c r="D71" i="2"/>
  <c r="L71" i="2" s="1"/>
  <c r="D72" i="2"/>
  <c r="L72" i="2" s="1"/>
  <c r="D73" i="2"/>
  <c r="L73" i="2" s="1"/>
  <c r="D74" i="2"/>
  <c r="L74" i="2" s="1"/>
  <c r="D75" i="2"/>
  <c r="L75" i="2" s="1"/>
  <c r="D76" i="2"/>
  <c r="L76" i="2" s="1"/>
  <c r="D77" i="2"/>
  <c r="L77" i="2" s="1"/>
  <c r="L78" i="2"/>
  <c r="D79" i="2"/>
  <c r="L79" i="2" s="1"/>
  <c r="D80" i="2"/>
  <c r="L80" i="2" s="1"/>
  <c r="D81" i="2"/>
  <c r="L81" i="2" s="1"/>
  <c r="D82" i="2"/>
  <c r="L82" i="2" s="1"/>
  <c r="D83" i="2"/>
  <c r="L83" i="2" s="1"/>
  <c r="D84" i="2"/>
  <c r="L84" i="2" s="1"/>
  <c r="D85" i="2"/>
  <c r="L85" i="2" s="1"/>
  <c r="D86" i="2"/>
  <c r="L86" i="2" s="1"/>
  <c r="D87" i="2"/>
  <c r="L87" i="2" s="1"/>
  <c r="D88" i="2"/>
  <c r="L88" i="2" s="1"/>
  <c r="L89" i="2"/>
  <c r="D90" i="2"/>
  <c r="L90" i="2" s="1"/>
  <c r="D91" i="2"/>
  <c r="L91" i="2" s="1"/>
  <c r="D92" i="2"/>
  <c r="L92" i="2" s="1"/>
  <c r="D93" i="2"/>
  <c r="L93" i="2" s="1"/>
  <c r="D94" i="2"/>
  <c r="L94" i="2" s="1"/>
  <c r="D95" i="2"/>
  <c r="L95" i="2" s="1"/>
  <c r="D96" i="2"/>
  <c r="L96" i="2" s="1"/>
  <c r="D97" i="2"/>
  <c r="L97" i="2" s="1"/>
  <c r="D98" i="2"/>
  <c r="L98" i="2" s="1"/>
  <c r="L99" i="2"/>
  <c r="D100" i="2"/>
  <c r="L100" i="2" s="1"/>
  <c r="D101" i="2"/>
  <c r="L101" i="2" s="1"/>
  <c r="D103" i="2"/>
  <c r="D104" i="2"/>
  <c r="L104" i="2" s="1"/>
  <c r="D105" i="2"/>
  <c r="L105" i="2" s="1"/>
  <c r="D9" i="2"/>
  <c r="D7" i="2"/>
  <c r="I54" i="3" l="1"/>
  <c r="I47" i="3"/>
  <c r="I21" i="3"/>
  <c r="I29" i="3"/>
  <c r="J29" i="3" s="1"/>
  <c r="I102" i="5"/>
  <c r="J102" i="5" s="1"/>
  <c r="I48" i="3"/>
  <c r="F49" i="3" s="1"/>
  <c r="I36" i="3"/>
  <c r="J36" i="3" s="1"/>
  <c r="I16" i="3"/>
  <c r="F16" i="3" s="1"/>
  <c r="I49" i="3"/>
  <c r="I43" i="3"/>
  <c r="I39" i="3"/>
  <c r="I38" i="3"/>
  <c r="F39" i="3" s="1"/>
  <c r="I25" i="3"/>
  <c r="I15" i="3"/>
  <c r="J15" i="3" s="1"/>
  <c r="I9" i="3"/>
  <c r="F10" i="3" s="1"/>
  <c r="I32" i="3"/>
  <c r="F33" i="3" s="1"/>
  <c r="I35" i="3"/>
  <c r="I22" i="3"/>
  <c r="I17" i="3"/>
  <c r="I53" i="3"/>
  <c r="J53" i="3" s="1"/>
  <c r="I52" i="3"/>
  <c r="F53" i="3" s="1"/>
  <c r="I20" i="3"/>
  <c r="I11" i="3"/>
  <c r="J11" i="3" s="1"/>
  <c r="I10" i="3"/>
  <c r="J10" i="3" s="1"/>
  <c r="G7" i="2"/>
  <c r="H7" i="2" s="1"/>
  <c r="L7" i="2"/>
  <c r="G103" i="2"/>
  <c r="H103" i="2" s="1"/>
  <c r="L103" i="2"/>
  <c r="G9" i="2"/>
  <c r="H9" i="2" s="1"/>
  <c r="L9" i="2"/>
  <c r="I57" i="3"/>
  <c r="J57" i="3" s="1"/>
  <c r="Q17" i="3" s="1"/>
  <c r="I45" i="3"/>
  <c r="J45" i="3" s="1"/>
  <c r="I44" i="3"/>
  <c r="I12" i="3"/>
  <c r="I27" i="3"/>
  <c r="I50" i="3"/>
  <c r="I18" i="3"/>
  <c r="J18" i="3" s="1"/>
  <c r="I41" i="3"/>
  <c r="I31" i="3"/>
  <c r="I13" i="3"/>
  <c r="I28" i="3"/>
  <c r="J28" i="3" s="1"/>
  <c r="I34" i="3"/>
  <c r="J34" i="3" s="1"/>
  <c r="I33" i="3"/>
  <c r="I55" i="3"/>
  <c r="J55" i="3" s="1"/>
  <c r="I23" i="3"/>
  <c r="J23" i="3" s="1"/>
  <c r="I40" i="3"/>
  <c r="F41" i="3" s="1"/>
  <c r="I24" i="3"/>
  <c r="I51" i="3"/>
  <c r="I19" i="3"/>
  <c r="I46" i="3"/>
  <c r="F47" i="3" s="1"/>
  <c r="I30" i="3"/>
  <c r="I14" i="3"/>
  <c r="J14" i="3" s="1"/>
  <c r="I42" i="3"/>
  <c r="I26" i="3"/>
  <c r="F26" i="3" s="1"/>
  <c r="J25" i="3"/>
  <c r="F22" i="3"/>
  <c r="J21" i="3"/>
  <c r="J33" i="3"/>
  <c r="F24" i="3"/>
  <c r="J51" i="3"/>
  <c r="J47" i="3"/>
  <c r="F21" i="3"/>
  <c r="J20" i="3"/>
  <c r="J43" i="3"/>
  <c r="F12" i="3"/>
  <c r="J49" i="3"/>
  <c r="F54" i="3"/>
  <c r="J32" i="3"/>
  <c r="J35" i="3"/>
  <c r="J54" i="3"/>
  <c r="J22" i="3"/>
  <c r="J39" i="3"/>
  <c r="F17" i="3"/>
  <c r="J16" i="3"/>
  <c r="J31" i="3"/>
  <c r="J44" i="3"/>
  <c r="G97" i="2"/>
  <c r="H97" i="2" s="1"/>
  <c r="G93" i="2"/>
  <c r="H93" i="2" s="1"/>
  <c r="G85" i="2"/>
  <c r="H85" i="2" s="1"/>
  <c r="G81" i="2"/>
  <c r="H81" i="2" s="1"/>
  <c r="G77" i="2"/>
  <c r="H77" i="2" s="1"/>
  <c r="G73" i="2"/>
  <c r="H73" i="2" s="1"/>
  <c r="G69" i="2"/>
  <c r="H69" i="2" s="1"/>
  <c r="G65" i="2"/>
  <c r="H65" i="2" s="1"/>
  <c r="G61" i="2"/>
  <c r="H61" i="2" s="1"/>
  <c r="G53" i="2"/>
  <c r="H53" i="2" s="1"/>
  <c r="G49" i="2"/>
  <c r="H49" i="2" s="1"/>
  <c r="G45" i="2"/>
  <c r="H45" i="2" s="1"/>
  <c r="G41" i="2"/>
  <c r="H41" i="2" s="1"/>
  <c r="G37" i="2"/>
  <c r="H37" i="2" s="1"/>
  <c r="G33" i="2"/>
  <c r="H33" i="2" s="1"/>
  <c r="G29" i="2"/>
  <c r="H29" i="2" s="1"/>
  <c r="G25" i="2"/>
  <c r="H25" i="2" s="1"/>
  <c r="G21" i="2"/>
  <c r="H21" i="2" s="1"/>
  <c r="G17" i="2"/>
  <c r="H17" i="2" s="1"/>
  <c r="G13" i="2"/>
  <c r="H13" i="2" s="1"/>
  <c r="G105" i="2"/>
  <c r="H105" i="2" s="1"/>
  <c r="G100" i="2"/>
  <c r="H100" i="2" s="1"/>
  <c r="G96" i="2"/>
  <c r="H96" i="2" s="1"/>
  <c r="G92" i="2"/>
  <c r="H92" i="2" s="1"/>
  <c r="G88" i="2"/>
  <c r="H88" i="2" s="1"/>
  <c r="G84" i="2"/>
  <c r="H84" i="2" s="1"/>
  <c r="G80" i="2"/>
  <c r="H80" i="2" s="1"/>
  <c r="G76" i="2"/>
  <c r="H76" i="2" s="1"/>
  <c r="G72" i="2"/>
  <c r="H72" i="2" s="1"/>
  <c r="G64" i="2"/>
  <c r="H64" i="2" s="1"/>
  <c r="G60" i="2"/>
  <c r="H60" i="2" s="1"/>
  <c r="G56" i="2"/>
  <c r="H56" i="2" s="1"/>
  <c r="G52" i="2"/>
  <c r="H52" i="2" s="1"/>
  <c r="G48" i="2"/>
  <c r="H48" i="2" s="1"/>
  <c r="G44" i="2"/>
  <c r="H44" i="2" s="1"/>
  <c r="G40" i="2"/>
  <c r="H40" i="2" s="1"/>
  <c r="G32" i="2"/>
  <c r="H32" i="2" s="1"/>
  <c r="G28" i="2"/>
  <c r="H28" i="2" s="1"/>
  <c r="G24" i="2"/>
  <c r="H24" i="2" s="1"/>
  <c r="G16" i="2"/>
  <c r="H16" i="2" s="1"/>
  <c r="G12" i="2"/>
  <c r="H12" i="2" s="1"/>
  <c r="G104" i="2"/>
  <c r="H104" i="2" s="1"/>
  <c r="G95" i="2"/>
  <c r="H95" i="2" s="1"/>
  <c r="G91" i="2"/>
  <c r="H91" i="2" s="1"/>
  <c r="G11" i="2"/>
  <c r="H11" i="2" s="1"/>
  <c r="G20" i="2"/>
  <c r="H20" i="2" s="1"/>
  <c r="G101" i="2"/>
  <c r="H101" i="2" s="1"/>
  <c r="G102" i="2"/>
  <c r="H102" i="2" s="1"/>
  <c r="G87" i="2"/>
  <c r="H87" i="2" s="1"/>
  <c r="G83" i="2"/>
  <c r="H83" i="2" s="1"/>
  <c r="G79" i="2"/>
  <c r="H79" i="2" s="1"/>
  <c r="G75" i="2"/>
  <c r="H75" i="2" s="1"/>
  <c r="G71" i="2"/>
  <c r="H71" i="2" s="1"/>
  <c r="G67" i="2"/>
  <c r="H67" i="2" s="1"/>
  <c r="G63" i="2"/>
  <c r="H63" i="2" s="1"/>
  <c r="G59" i="2"/>
  <c r="H59" i="2" s="1"/>
  <c r="G55" i="2"/>
  <c r="H55" i="2" s="1"/>
  <c r="G51" i="2"/>
  <c r="H51" i="2" s="1"/>
  <c r="G43" i="2"/>
  <c r="H43" i="2" s="1"/>
  <c r="G39" i="2"/>
  <c r="H39" i="2" s="1"/>
  <c r="G35" i="2"/>
  <c r="H35" i="2" s="1"/>
  <c r="G31" i="2"/>
  <c r="H31" i="2" s="1"/>
  <c r="G27" i="2"/>
  <c r="H27" i="2" s="1"/>
  <c r="G23" i="2"/>
  <c r="H23" i="2" s="1"/>
  <c r="G19" i="2"/>
  <c r="H19" i="2" s="1"/>
  <c r="G98" i="2"/>
  <c r="H98" i="2" s="1"/>
  <c r="G94" i="2"/>
  <c r="H94" i="2" s="1"/>
  <c r="G90" i="2"/>
  <c r="H90" i="2" s="1"/>
  <c r="G86" i="2"/>
  <c r="H86" i="2" s="1"/>
  <c r="G82" i="2"/>
  <c r="H82" i="2" s="1"/>
  <c r="G74" i="2"/>
  <c r="H74" i="2" s="1"/>
  <c r="G70" i="2"/>
  <c r="H70" i="2" s="1"/>
  <c r="G66" i="2"/>
  <c r="H66" i="2" s="1"/>
  <c r="G62" i="2"/>
  <c r="H62" i="2" s="1"/>
  <c r="G58" i="2"/>
  <c r="H58" i="2" s="1"/>
  <c r="G54" i="2"/>
  <c r="H54" i="2" s="1"/>
  <c r="G50" i="2"/>
  <c r="H50" i="2" s="1"/>
  <c r="G46" i="2"/>
  <c r="H46" i="2" s="1"/>
  <c r="G42" i="2"/>
  <c r="H42" i="2" s="1"/>
  <c r="G38" i="2"/>
  <c r="H38" i="2" s="1"/>
  <c r="G34" i="2"/>
  <c r="H34" i="2" s="1"/>
  <c r="G30" i="2"/>
  <c r="H30" i="2" s="1"/>
  <c r="G22" i="2"/>
  <c r="H22" i="2" s="1"/>
  <c r="G18" i="2"/>
  <c r="H18" i="2" s="1"/>
  <c r="G14" i="2"/>
  <c r="H14" i="2" s="1"/>
  <c r="G10" i="2"/>
  <c r="H10" i="2" s="1"/>
  <c r="F7" i="3"/>
  <c r="G15" i="6"/>
  <c r="H15" i="6" s="1"/>
  <c r="G14" i="6"/>
  <c r="H14" i="6" s="1"/>
  <c r="G13" i="6"/>
  <c r="H13" i="6" s="1"/>
  <c r="G12" i="6"/>
  <c r="H12" i="6" s="1"/>
  <c r="G11" i="6"/>
  <c r="H11" i="6" s="1"/>
  <c r="G10" i="6"/>
  <c r="H10" i="6" s="1"/>
  <c r="G9" i="6"/>
  <c r="H9" i="6" s="1"/>
  <c r="G8" i="6"/>
  <c r="H8" i="6" s="1"/>
  <c r="G7" i="6"/>
  <c r="H7" i="6" s="1"/>
  <c r="J48" i="3" l="1"/>
  <c r="F11" i="3"/>
  <c r="J9" i="3"/>
  <c r="F31" i="3"/>
  <c r="F51" i="3"/>
  <c r="F57" i="3"/>
  <c r="J52" i="3"/>
  <c r="F9" i="3"/>
  <c r="F29" i="3"/>
  <c r="F40" i="3"/>
  <c r="F45" i="3"/>
  <c r="I102" i="2"/>
  <c r="J38" i="3"/>
  <c r="F48" i="3"/>
  <c r="F20" i="3"/>
  <c r="F13" i="3"/>
  <c r="F32" i="3"/>
  <c r="F28" i="3"/>
  <c r="F18" i="3"/>
  <c r="F23" i="3"/>
  <c r="F50" i="3"/>
  <c r="F15" i="3"/>
  <c r="F52" i="3"/>
  <c r="F25" i="3"/>
  <c r="F14" i="3"/>
  <c r="F46" i="3"/>
  <c r="F55" i="3"/>
  <c r="F44" i="3"/>
  <c r="F42" i="3"/>
  <c r="F30" i="3"/>
  <c r="J27" i="3"/>
  <c r="J17" i="3"/>
  <c r="F27" i="3"/>
  <c r="J30" i="3"/>
  <c r="J46" i="3"/>
  <c r="J24" i="3"/>
  <c r="J50" i="3"/>
  <c r="J13" i="3"/>
  <c r="J26" i="3"/>
  <c r="J40" i="3"/>
  <c r="F35" i="3"/>
  <c r="F38" i="3"/>
  <c r="J12" i="3"/>
  <c r="J41" i="3"/>
  <c r="J42" i="3"/>
  <c r="J19" i="3"/>
  <c r="F19" i="3"/>
  <c r="F43" i="3"/>
  <c r="F34" i="3"/>
  <c r="F36" i="3"/>
  <c r="I14" i="2"/>
  <c r="I27" i="2"/>
  <c r="I107" i="5"/>
  <c r="J107" i="5" s="1"/>
  <c r="Q17" i="5" s="1"/>
  <c r="I105" i="5"/>
  <c r="I103" i="5"/>
  <c r="F103" i="5" s="1"/>
  <c r="I101" i="5"/>
  <c r="I100" i="5"/>
  <c r="I99" i="5"/>
  <c r="I98" i="5"/>
  <c r="I97" i="5"/>
  <c r="I96" i="5"/>
  <c r="I95" i="5"/>
  <c r="I94" i="5"/>
  <c r="I93" i="5"/>
  <c r="I92" i="5"/>
  <c r="I91" i="5"/>
  <c r="I89" i="5"/>
  <c r="I88" i="5"/>
  <c r="I87" i="5"/>
  <c r="I86" i="5"/>
  <c r="I85" i="5"/>
  <c r="I84" i="5"/>
  <c r="I83" i="5"/>
  <c r="I82" i="5"/>
  <c r="I81" i="5"/>
  <c r="I80" i="5"/>
  <c r="I79" i="5"/>
  <c r="I78" i="5"/>
  <c r="I77" i="5"/>
  <c r="I75" i="5"/>
  <c r="I74" i="5"/>
  <c r="I73" i="5"/>
  <c r="I72" i="5"/>
  <c r="I71" i="5"/>
  <c r="I70" i="5"/>
  <c r="I69" i="5"/>
  <c r="I68" i="5"/>
  <c r="I67" i="5"/>
  <c r="I66" i="5"/>
  <c r="I65" i="5"/>
  <c r="I64" i="5"/>
  <c r="I63" i="5"/>
  <c r="I61" i="5"/>
  <c r="I60" i="5"/>
  <c r="I59" i="5"/>
  <c r="I58" i="5"/>
  <c r="I57" i="5"/>
  <c r="I56" i="5"/>
  <c r="I55" i="5"/>
  <c r="I54" i="5"/>
  <c r="I53" i="5"/>
  <c r="I52" i="5"/>
  <c r="I51" i="5"/>
  <c r="I50" i="5"/>
  <c r="I48" i="5"/>
  <c r="I47" i="5"/>
  <c r="I46" i="5"/>
  <c r="I45" i="5"/>
  <c r="I44" i="5"/>
  <c r="I43" i="5"/>
  <c r="I42" i="5"/>
  <c r="I41" i="5"/>
  <c r="I40" i="5"/>
  <c r="I39" i="5"/>
  <c r="I38" i="5"/>
  <c r="I37" i="5"/>
  <c r="I36" i="5"/>
  <c r="I34" i="5"/>
  <c r="I33" i="5"/>
  <c r="I32" i="5"/>
  <c r="I31" i="5"/>
  <c r="I30" i="5"/>
  <c r="I29" i="5"/>
  <c r="I28" i="5"/>
  <c r="I27" i="5"/>
  <c r="I26" i="5"/>
  <c r="I25" i="5"/>
  <c r="I24" i="5"/>
  <c r="I23" i="5"/>
  <c r="I22" i="5"/>
  <c r="I20" i="5"/>
  <c r="I19" i="5"/>
  <c r="I18" i="5"/>
  <c r="I17" i="5"/>
  <c r="I16" i="5"/>
  <c r="I15" i="5"/>
  <c r="I14" i="5"/>
  <c r="I13" i="5"/>
  <c r="I12" i="5"/>
  <c r="I11" i="5"/>
  <c r="I10" i="5"/>
  <c r="I9" i="5"/>
  <c r="I7" i="5"/>
  <c r="E7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7" i="3"/>
  <c r="E7" i="2"/>
  <c r="I7" i="2"/>
  <c r="E9" i="2"/>
  <c r="I9" i="2"/>
  <c r="E10" i="2"/>
  <c r="I10" i="2"/>
  <c r="E11" i="2"/>
  <c r="I11" i="2"/>
  <c r="E12" i="2"/>
  <c r="I12" i="2"/>
  <c r="E13" i="2"/>
  <c r="I13" i="2"/>
  <c r="E14" i="2"/>
  <c r="E16" i="2"/>
  <c r="I16" i="2"/>
  <c r="E17" i="2"/>
  <c r="I17" i="2"/>
  <c r="E18" i="2"/>
  <c r="I18" i="2"/>
  <c r="E19" i="2"/>
  <c r="I19" i="2"/>
  <c r="E20" i="2"/>
  <c r="I20" i="2"/>
  <c r="E21" i="2"/>
  <c r="I21" i="2"/>
  <c r="E22" i="2"/>
  <c r="I22" i="2"/>
  <c r="E23" i="2"/>
  <c r="I23" i="2"/>
  <c r="E24" i="2"/>
  <c r="I24" i="2"/>
  <c r="E25" i="2"/>
  <c r="I25" i="2"/>
  <c r="E27" i="2"/>
  <c r="E28" i="2"/>
  <c r="I28" i="2"/>
  <c r="E29" i="2"/>
  <c r="I29" i="2"/>
  <c r="E30" i="2"/>
  <c r="I30" i="2"/>
  <c r="E31" i="2"/>
  <c r="I31" i="2"/>
  <c r="E32" i="2"/>
  <c r="I32" i="2"/>
  <c r="E33" i="2"/>
  <c r="I33" i="2"/>
  <c r="E34" i="2"/>
  <c r="I34" i="2"/>
  <c r="E35" i="2"/>
  <c r="I35" i="2"/>
  <c r="E37" i="2"/>
  <c r="I37" i="2"/>
  <c r="E38" i="2"/>
  <c r="I38" i="2"/>
  <c r="E39" i="2"/>
  <c r="I39" i="2"/>
  <c r="E40" i="2"/>
  <c r="I40" i="2"/>
  <c r="E41" i="2"/>
  <c r="I41" i="2"/>
  <c r="E42" i="2"/>
  <c r="I42" i="2"/>
  <c r="E43" i="2"/>
  <c r="I43" i="2"/>
  <c r="E44" i="2"/>
  <c r="I44" i="2"/>
  <c r="E45" i="2"/>
  <c r="I45" i="2"/>
  <c r="E46" i="2"/>
  <c r="I46" i="2"/>
  <c r="E48" i="2"/>
  <c r="I48" i="2"/>
  <c r="E49" i="2"/>
  <c r="I49" i="2"/>
  <c r="E50" i="2"/>
  <c r="I50" i="2"/>
  <c r="E51" i="2"/>
  <c r="I51" i="2"/>
  <c r="E52" i="2"/>
  <c r="I52" i="2"/>
  <c r="E53" i="2"/>
  <c r="I53" i="2"/>
  <c r="E54" i="2"/>
  <c r="I54" i="2"/>
  <c r="E55" i="2"/>
  <c r="I55" i="2"/>
  <c r="E56" i="2"/>
  <c r="I56" i="2"/>
  <c r="E58" i="2"/>
  <c r="I58" i="2"/>
  <c r="E59" i="2"/>
  <c r="I59" i="2"/>
  <c r="E60" i="2"/>
  <c r="I60" i="2"/>
  <c r="E61" i="2"/>
  <c r="I61" i="2"/>
  <c r="E62" i="2"/>
  <c r="I62" i="2"/>
  <c r="E63" i="2"/>
  <c r="I63" i="2"/>
  <c r="E64" i="2"/>
  <c r="I64" i="2"/>
  <c r="E65" i="2"/>
  <c r="I65" i="2"/>
  <c r="E66" i="2"/>
  <c r="I66" i="2"/>
  <c r="E67" i="2"/>
  <c r="I67" i="2"/>
  <c r="E69" i="2"/>
  <c r="I69" i="2"/>
  <c r="E70" i="2"/>
  <c r="I70" i="2"/>
  <c r="E71" i="2"/>
  <c r="I71" i="2"/>
  <c r="E72" i="2"/>
  <c r="I72" i="2"/>
  <c r="E73" i="2"/>
  <c r="I73" i="2"/>
  <c r="E74" i="2"/>
  <c r="I74" i="2"/>
  <c r="E75" i="2"/>
  <c r="I75" i="2"/>
  <c r="E76" i="2"/>
  <c r="I76" i="2"/>
  <c r="E77" i="2"/>
  <c r="I77" i="2"/>
  <c r="E79" i="2"/>
  <c r="I79" i="2"/>
  <c r="E80" i="2"/>
  <c r="I80" i="2"/>
  <c r="E81" i="2"/>
  <c r="I81" i="2"/>
  <c r="E82" i="2"/>
  <c r="I82" i="2"/>
  <c r="E83" i="2"/>
  <c r="I83" i="2"/>
  <c r="E84" i="2"/>
  <c r="I84" i="2"/>
  <c r="E85" i="2"/>
  <c r="I85" i="2"/>
  <c r="E86" i="2"/>
  <c r="I86" i="2"/>
  <c r="E87" i="2"/>
  <c r="I87" i="2"/>
  <c r="E88" i="2"/>
  <c r="I88" i="2"/>
  <c r="E90" i="2"/>
  <c r="I90" i="2"/>
  <c r="E91" i="2"/>
  <c r="I91" i="2"/>
  <c r="E92" i="2"/>
  <c r="I92" i="2"/>
  <c r="E93" i="2"/>
  <c r="I93" i="2"/>
  <c r="E94" i="2"/>
  <c r="I94" i="2"/>
  <c r="E95" i="2"/>
  <c r="I95" i="2"/>
  <c r="E96" i="2"/>
  <c r="I96" i="2"/>
  <c r="E97" i="2"/>
  <c r="I97" i="2"/>
  <c r="E98" i="2"/>
  <c r="I98" i="2"/>
  <c r="E100" i="2"/>
  <c r="I100" i="2"/>
  <c r="E101" i="2"/>
  <c r="I101" i="2"/>
  <c r="E103" i="2"/>
  <c r="I103" i="2"/>
  <c r="E104" i="2"/>
  <c r="I104" i="2"/>
  <c r="E105" i="2"/>
  <c r="I105" i="2"/>
  <c r="E107" i="2"/>
  <c r="I107" i="2"/>
  <c r="J107" i="2" s="1"/>
  <c r="Q17" i="2" s="1"/>
  <c r="F103" i="2" l="1"/>
  <c r="J102" i="2"/>
  <c r="F105" i="2"/>
  <c r="J104" i="2"/>
  <c r="F98" i="2"/>
  <c r="J97" i="2"/>
  <c r="F92" i="2"/>
  <c r="J91" i="2"/>
  <c r="F88" i="2"/>
  <c r="J87" i="2"/>
  <c r="F82" i="2"/>
  <c r="J81" i="2"/>
  <c r="J77" i="2"/>
  <c r="F72" i="2"/>
  <c r="J71" i="2"/>
  <c r="J67" i="2"/>
  <c r="F64" i="2"/>
  <c r="J63" i="2"/>
  <c r="F58" i="2"/>
  <c r="F54" i="2"/>
  <c r="J53" i="2"/>
  <c r="F50" i="2"/>
  <c r="J49" i="2"/>
  <c r="F44" i="2"/>
  <c r="J43" i="2"/>
  <c r="F40" i="2"/>
  <c r="J39" i="2"/>
  <c r="J35" i="2"/>
  <c r="F32" i="2"/>
  <c r="J31" i="2"/>
  <c r="F13" i="2"/>
  <c r="J12" i="2"/>
  <c r="F7" i="2"/>
  <c r="J7" i="2"/>
  <c r="F14" i="5"/>
  <c r="J13" i="5"/>
  <c r="F22" i="5"/>
  <c r="F30" i="5"/>
  <c r="J29" i="5"/>
  <c r="F38" i="5"/>
  <c r="J37" i="5"/>
  <c r="F46" i="5"/>
  <c r="J45" i="5"/>
  <c r="F54" i="5"/>
  <c r="J53" i="5"/>
  <c r="F58" i="5"/>
  <c r="J57" i="5"/>
  <c r="F66" i="5"/>
  <c r="J65" i="5"/>
  <c r="F74" i="5"/>
  <c r="J73" i="5"/>
  <c r="F78" i="5"/>
  <c r="J77" i="5"/>
  <c r="F82" i="5"/>
  <c r="J81" i="5"/>
  <c r="F86" i="5"/>
  <c r="J85" i="5"/>
  <c r="J89" i="5"/>
  <c r="F94" i="5"/>
  <c r="J93" i="5"/>
  <c r="F98" i="5"/>
  <c r="J97" i="5"/>
  <c r="F102" i="5"/>
  <c r="J101" i="5"/>
  <c r="F27" i="2"/>
  <c r="F25" i="2"/>
  <c r="J24" i="2"/>
  <c r="F23" i="2"/>
  <c r="J22" i="2"/>
  <c r="F21" i="2"/>
  <c r="J20" i="2"/>
  <c r="F19" i="2"/>
  <c r="J18" i="2"/>
  <c r="F17" i="2"/>
  <c r="J16" i="2"/>
  <c r="F11" i="5"/>
  <c r="J10" i="5"/>
  <c r="F15" i="5"/>
  <c r="J14" i="5"/>
  <c r="F19" i="5"/>
  <c r="J18" i="5"/>
  <c r="F23" i="5"/>
  <c r="J22" i="5"/>
  <c r="F27" i="5"/>
  <c r="J26" i="5"/>
  <c r="F31" i="5"/>
  <c r="J30" i="5"/>
  <c r="J34" i="5"/>
  <c r="F39" i="5"/>
  <c r="J38" i="5"/>
  <c r="F43" i="5"/>
  <c r="J42" i="5"/>
  <c r="F47" i="5"/>
  <c r="J46" i="5"/>
  <c r="F51" i="5"/>
  <c r="J50" i="5"/>
  <c r="F55" i="5"/>
  <c r="J54" i="5"/>
  <c r="F59" i="5"/>
  <c r="J58" i="5"/>
  <c r="F63" i="5"/>
  <c r="F67" i="5"/>
  <c r="J66" i="5"/>
  <c r="F71" i="5"/>
  <c r="J70" i="5"/>
  <c r="F75" i="5"/>
  <c r="J74" i="5"/>
  <c r="F79" i="5"/>
  <c r="J78" i="5"/>
  <c r="F83" i="5"/>
  <c r="J82" i="5"/>
  <c r="F87" i="5"/>
  <c r="J86" i="5"/>
  <c r="F91" i="5"/>
  <c r="F95" i="5"/>
  <c r="J94" i="5"/>
  <c r="F99" i="5"/>
  <c r="J98" i="5"/>
  <c r="J103" i="5"/>
  <c r="F28" i="2"/>
  <c r="J27" i="2"/>
  <c r="F100" i="2"/>
  <c r="F96" i="2"/>
  <c r="J95" i="2"/>
  <c r="F90" i="2"/>
  <c r="F86" i="2"/>
  <c r="J85" i="2"/>
  <c r="F80" i="2"/>
  <c r="J79" i="2"/>
  <c r="F76" i="2"/>
  <c r="J75" i="2"/>
  <c r="F70" i="2"/>
  <c r="J69" i="2"/>
  <c r="F66" i="2"/>
  <c r="J65" i="2"/>
  <c r="F60" i="2"/>
  <c r="J59" i="2"/>
  <c r="F56" i="2"/>
  <c r="J55" i="2"/>
  <c r="F52" i="2"/>
  <c r="J51" i="2"/>
  <c r="F48" i="2"/>
  <c r="F42" i="2"/>
  <c r="J41" i="2"/>
  <c r="F38" i="2"/>
  <c r="J37" i="2"/>
  <c r="F34" i="2"/>
  <c r="J33" i="2"/>
  <c r="F30" i="2"/>
  <c r="J29" i="2"/>
  <c r="F11" i="2"/>
  <c r="J10" i="2"/>
  <c r="F10" i="5"/>
  <c r="J9" i="5"/>
  <c r="F18" i="5"/>
  <c r="J17" i="5"/>
  <c r="F26" i="5"/>
  <c r="J25" i="5"/>
  <c r="F34" i="5"/>
  <c r="J33" i="5"/>
  <c r="F42" i="5"/>
  <c r="J41" i="5"/>
  <c r="F50" i="5"/>
  <c r="J61" i="5"/>
  <c r="F70" i="5"/>
  <c r="J69" i="5"/>
  <c r="F107" i="2"/>
  <c r="J105" i="2"/>
  <c r="F104" i="2"/>
  <c r="J103" i="2"/>
  <c r="F101" i="2"/>
  <c r="J100" i="2"/>
  <c r="J98" i="2"/>
  <c r="F97" i="2"/>
  <c r="J96" i="2"/>
  <c r="F95" i="2"/>
  <c r="J94" i="2"/>
  <c r="F93" i="2"/>
  <c r="J92" i="2"/>
  <c r="F91" i="2"/>
  <c r="J90" i="2"/>
  <c r="J88" i="2"/>
  <c r="F87" i="2"/>
  <c r="J86" i="2"/>
  <c r="F85" i="2"/>
  <c r="J84" i="2"/>
  <c r="F83" i="2"/>
  <c r="J82" i="2"/>
  <c r="F81" i="2"/>
  <c r="J80" i="2"/>
  <c r="F79" i="2"/>
  <c r="F77" i="2"/>
  <c r="J76" i="2"/>
  <c r="F75" i="2"/>
  <c r="J74" i="2"/>
  <c r="F73" i="2"/>
  <c r="J72" i="2"/>
  <c r="F71" i="2"/>
  <c r="J70" i="2"/>
  <c r="F69" i="2"/>
  <c r="F67" i="2"/>
  <c r="J66" i="2"/>
  <c r="F65" i="2"/>
  <c r="J64" i="2"/>
  <c r="F63" i="2"/>
  <c r="J62" i="2"/>
  <c r="F61" i="2"/>
  <c r="J60" i="2"/>
  <c r="F59" i="2"/>
  <c r="J58" i="2"/>
  <c r="J56" i="2"/>
  <c r="F55" i="2"/>
  <c r="J54" i="2"/>
  <c r="F53" i="2"/>
  <c r="J52" i="2"/>
  <c r="F51" i="2"/>
  <c r="J50" i="2"/>
  <c r="F49" i="2"/>
  <c r="J48" i="2"/>
  <c r="J46" i="2"/>
  <c r="F45" i="2"/>
  <c r="J44" i="2"/>
  <c r="F43" i="2"/>
  <c r="J42" i="2"/>
  <c r="F41" i="2"/>
  <c r="J40" i="2"/>
  <c r="F39" i="2"/>
  <c r="J38" i="2"/>
  <c r="F37" i="2"/>
  <c r="F35" i="2"/>
  <c r="J34" i="2"/>
  <c r="F33" i="2"/>
  <c r="J32" i="2"/>
  <c r="F31" i="2"/>
  <c r="J30" i="2"/>
  <c r="F29" i="2"/>
  <c r="J28" i="2"/>
  <c r="F14" i="2"/>
  <c r="J13" i="2"/>
  <c r="F12" i="2"/>
  <c r="J11" i="2"/>
  <c r="F10" i="2"/>
  <c r="J9" i="2"/>
  <c r="F12" i="5"/>
  <c r="J11" i="5"/>
  <c r="F16" i="5"/>
  <c r="J15" i="5"/>
  <c r="F20" i="5"/>
  <c r="J19" i="5"/>
  <c r="F24" i="5"/>
  <c r="J23" i="5"/>
  <c r="F28" i="5"/>
  <c r="J27" i="5"/>
  <c r="F32" i="5"/>
  <c r="J31" i="5"/>
  <c r="F36" i="5"/>
  <c r="F40" i="5"/>
  <c r="J39" i="5"/>
  <c r="F44" i="5"/>
  <c r="J43" i="5"/>
  <c r="F48" i="5"/>
  <c r="J47" i="5"/>
  <c r="F52" i="5"/>
  <c r="J51" i="5"/>
  <c r="F56" i="5"/>
  <c r="J55" i="5"/>
  <c r="F60" i="5"/>
  <c r="J59" i="5"/>
  <c r="F64" i="5"/>
  <c r="J63" i="5"/>
  <c r="F68" i="5"/>
  <c r="J67" i="5"/>
  <c r="F72" i="5"/>
  <c r="J71" i="5"/>
  <c r="J75" i="5"/>
  <c r="F80" i="5"/>
  <c r="J79" i="5"/>
  <c r="F84" i="5"/>
  <c r="J83" i="5"/>
  <c r="F88" i="5"/>
  <c r="J87" i="5"/>
  <c r="F92" i="5"/>
  <c r="J91" i="5"/>
  <c r="F96" i="5"/>
  <c r="J95" i="5"/>
  <c r="F100" i="5"/>
  <c r="J99" i="5"/>
  <c r="F105" i="5"/>
  <c r="J14" i="2"/>
  <c r="F102" i="2"/>
  <c r="J101" i="2"/>
  <c r="F94" i="2"/>
  <c r="J93" i="2"/>
  <c r="F84" i="2"/>
  <c r="J83" i="2"/>
  <c r="F74" i="2"/>
  <c r="J73" i="2"/>
  <c r="F62" i="2"/>
  <c r="J61" i="2"/>
  <c r="F46" i="2"/>
  <c r="J45" i="2"/>
  <c r="J25" i="2"/>
  <c r="F24" i="2"/>
  <c r="J23" i="2"/>
  <c r="F22" i="2"/>
  <c r="J21" i="2"/>
  <c r="F20" i="2"/>
  <c r="J19" i="2"/>
  <c r="F18" i="2"/>
  <c r="J17" i="2"/>
  <c r="F16" i="2"/>
  <c r="F7" i="5"/>
  <c r="J7" i="5"/>
  <c r="F13" i="5"/>
  <c r="J12" i="5"/>
  <c r="F17" i="5"/>
  <c r="J16" i="5"/>
  <c r="J20" i="5"/>
  <c r="F25" i="5"/>
  <c r="J24" i="5"/>
  <c r="F29" i="5"/>
  <c r="J28" i="5"/>
  <c r="F33" i="5"/>
  <c r="J32" i="5"/>
  <c r="F37" i="5"/>
  <c r="J36" i="5"/>
  <c r="F41" i="5"/>
  <c r="J40" i="5"/>
  <c r="F45" i="5"/>
  <c r="J44" i="5"/>
  <c r="J48" i="5"/>
  <c r="F53" i="5"/>
  <c r="J52" i="5"/>
  <c r="F57" i="5"/>
  <c r="J56" i="5"/>
  <c r="F61" i="5"/>
  <c r="J60" i="5"/>
  <c r="F65" i="5"/>
  <c r="J64" i="5"/>
  <c r="F69" i="5"/>
  <c r="J68" i="5"/>
  <c r="F73" i="5"/>
  <c r="J72" i="5"/>
  <c r="F77" i="5"/>
  <c r="F81" i="5"/>
  <c r="J80" i="5"/>
  <c r="F85" i="5"/>
  <c r="J84" i="5"/>
  <c r="F89" i="5"/>
  <c r="J88" i="5"/>
  <c r="F93" i="5"/>
  <c r="J92" i="5"/>
  <c r="F97" i="5"/>
  <c r="J96" i="5"/>
  <c r="F101" i="5"/>
  <c r="J100" i="5"/>
  <c r="F107" i="5"/>
  <c r="J105" i="5"/>
  <c r="F9" i="2"/>
  <c r="F9" i="5"/>
  <c r="I52" i="32"/>
  <c r="I46" i="32"/>
  <c r="I42" i="32"/>
  <c r="I38" i="32"/>
  <c r="I34" i="32"/>
  <c r="I30" i="32"/>
  <c r="I26" i="32"/>
  <c r="I22" i="32"/>
  <c r="I33" i="32"/>
  <c r="I51" i="32"/>
  <c r="I39" i="32"/>
  <c r="I50" i="32"/>
  <c r="I54" i="32"/>
  <c r="I48" i="32"/>
  <c r="I44" i="32"/>
  <c r="I40" i="32"/>
  <c r="I32" i="32"/>
  <c r="I28" i="32"/>
  <c r="I24" i="32"/>
  <c r="I57" i="32"/>
  <c r="J57" i="32" s="1"/>
  <c r="Q17" i="32" s="1"/>
  <c r="I41" i="32"/>
  <c r="I31" i="32"/>
  <c r="I27" i="32"/>
  <c r="I55" i="32"/>
  <c r="I37" i="32"/>
  <c r="I45" i="32"/>
  <c r="I25" i="32"/>
  <c r="I53" i="32"/>
  <c r="I47" i="32"/>
  <c r="I21" i="32"/>
  <c r="F21" i="32" s="1"/>
  <c r="I35" i="32"/>
  <c r="F28" i="32" l="1"/>
  <c r="J27" i="32"/>
  <c r="F25" i="32"/>
  <c r="J24" i="32"/>
  <c r="F41" i="32"/>
  <c r="J40" i="32"/>
  <c r="F51" i="32"/>
  <c r="J50" i="32"/>
  <c r="F34" i="32"/>
  <c r="J33" i="32"/>
  <c r="F31" i="32"/>
  <c r="J30" i="32"/>
  <c r="F47" i="32"/>
  <c r="J46" i="32"/>
  <c r="F48" i="32"/>
  <c r="J47" i="32"/>
  <c r="F38" i="32"/>
  <c r="J37" i="32"/>
  <c r="F45" i="32"/>
  <c r="J44" i="32"/>
  <c r="F40" i="32"/>
  <c r="J39" i="32"/>
  <c r="F44" i="32"/>
  <c r="F35" i="32"/>
  <c r="J34" i="32"/>
  <c r="F53" i="32"/>
  <c r="J52" i="32"/>
  <c r="F24" i="32"/>
  <c r="F32" i="32"/>
  <c r="J31" i="32"/>
  <c r="F50" i="32"/>
  <c r="F33" i="32"/>
  <c r="J32" i="32"/>
  <c r="F52" i="32"/>
  <c r="J51" i="32"/>
  <c r="J22" i="32"/>
  <c r="F39" i="32"/>
  <c r="J38" i="32"/>
  <c r="F54" i="32"/>
  <c r="J53" i="32"/>
  <c r="J28" i="32"/>
  <c r="J35" i="32"/>
  <c r="F26" i="32"/>
  <c r="J25" i="32"/>
  <c r="F42" i="32"/>
  <c r="J41" i="32"/>
  <c r="J48" i="32"/>
  <c r="F22" i="32"/>
  <c r="J21" i="32"/>
  <c r="F46" i="32"/>
  <c r="J45" i="32"/>
  <c r="F57" i="32"/>
  <c r="J55" i="32"/>
  <c r="F37" i="32"/>
  <c r="F55" i="32"/>
  <c r="J54" i="32"/>
  <c r="F30" i="32"/>
  <c r="F27" i="32"/>
  <c r="J26" i="32"/>
  <c r="J42" i="32"/>
</calcChain>
</file>

<file path=xl/sharedStrings.xml><?xml version="1.0" encoding="utf-8"?>
<sst xmlns="http://schemas.openxmlformats.org/spreadsheetml/2006/main" count="638" uniqueCount="168">
  <si>
    <t>표준편차</t>
    <phoneticPr fontId="1" type="noConversion"/>
  </si>
  <si>
    <t>응시자 수</t>
    <phoneticPr fontId="1" type="noConversion"/>
  </si>
  <si>
    <t>평균</t>
    <phoneticPr fontId="1" type="noConversion"/>
  </si>
  <si>
    <t>국어</t>
    <phoneticPr fontId="1" type="noConversion"/>
  </si>
  <si>
    <t>영어</t>
    <phoneticPr fontId="1" type="noConversion"/>
  </si>
  <si>
    <t>한국사</t>
    <phoneticPr fontId="1" type="noConversion"/>
  </si>
  <si>
    <t>표준점수</t>
    <phoneticPr fontId="1" type="noConversion"/>
  </si>
  <si>
    <t>인원</t>
    <phoneticPr fontId="1" type="noConversion"/>
  </si>
  <si>
    <t>국어</t>
    <phoneticPr fontId="1" type="noConversion"/>
  </si>
  <si>
    <t>생활과 윤리</t>
    <phoneticPr fontId="1" type="noConversion"/>
  </si>
  <si>
    <t>윤리와 사상</t>
    <phoneticPr fontId="1" type="noConversion"/>
  </si>
  <si>
    <t>한국지리</t>
    <phoneticPr fontId="1" type="noConversion"/>
  </si>
  <si>
    <t>세계지리</t>
    <phoneticPr fontId="1" type="noConversion"/>
  </si>
  <si>
    <t>동아시아사</t>
    <phoneticPr fontId="1" type="noConversion"/>
  </si>
  <si>
    <t>세계사</t>
    <phoneticPr fontId="1" type="noConversion"/>
  </si>
  <si>
    <t>경제</t>
    <phoneticPr fontId="1" type="noConversion"/>
  </si>
  <si>
    <t>사회∙문화</t>
    <phoneticPr fontId="1" type="noConversion"/>
  </si>
  <si>
    <t>화학Ⅰ</t>
    <phoneticPr fontId="1" type="noConversion"/>
  </si>
  <si>
    <t>생명과학Ⅰ</t>
    <phoneticPr fontId="1" type="noConversion"/>
  </si>
  <si>
    <t>지구과학Ⅰ</t>
    <phoneticPr fontId="1" type="noConversion"/>
  </si>
  <si>
    <t>화학Ⅱ</t>
    <phoneticPr fontId="1" type="noConversion"/>
  </si>
  <si>
    <t>생명과학Ⅱ</t>
    <phoneticPr fontId="1" type="noConversion"/>
  </si>
  <si>
    <t>지구과학Ⅱ</t>
    <phoneticPr fontId="1" type="noConversion"/>
  </si>
  <si>
    <t>물리Ⅰ</t>
  </si>
  <si>
    <t>물리Ⅱ</t>
  </si>
  <si>
    <t>1등급</t>
    <phoneticPr fontId="1" type="noConversion"/>
  </si>
  <si>
    <t>2등급</t>
    <phoneticPr fontId="1" type="noConversion"/>
  </si>
  <si>
    <t>3등급</t>
    <phoneticPr fontId="1" type="noConversion"/>
  </si>
  <si>
    <t>4등급</t>
    <phoneticPr fontId="1" type="noConversion"/>
  </si>
  <si>
    <t>5등급</t>
    <phoneticPr fontId="1" type="noConversion"/>
  </si>
  <si>
    <t>6등급</t>
    <phoneticPr fontId="1" type="noConversion"/>
  </si>
  <si>
    <t>7등급</t>
    <phoneticPr fontId="1" type="noConversion"/>
  </si>
  <si>
    <t>8등급</t>
    <phoneticPr fontId="1" type="noConversion"/>
  </si>
  <si>
    <t>9등급</t>
  </si>
  <si>
    <t>9등급</t>
    <phoneticPr fontId="1" type="noConversion"/>
  </si>
  <si>
    <t>1등급</t>
    <phoneticPr fontId="1" type="noConversion"/>
  </si>
  <si>
    <t>2등급</t>
  </si>
  <si>
    <t>3등급</t>
  </si>
  <si>
    <t>4등급</t>
  </si>
  <si>
    <t>5등급</t>
  </si>
  <si>
    <t>6등급</t>
  </si>
  <si>
    <t>7등급</t>
  </si>
  <si>
    <t>8등급</t>
  </si>
  <si>
    <t>국</t>
    <phoneticPr fontId="1" type="noConversion"/>
  </si>
  <si>
    <t>생</t>
    <phoneticPr fontId="1" type="noConversion"/>
  </si>
  <si>
    <t>윤</t>
    <phoneticPr fontId="1" type="noConversion"/>
  </si>
  <si>
    <t>한</t>
    <phoneticPr fontId="1" type="noConversion"/>
  </si>
  <si>
    <t>세</t>
    <phoneticPr fontId="1" type="noConversion"/>
  </si>
  <si>
    <t>동</t>
    <phoneticPr fontId="1" type="noConversion"/>
  </si>
  <si>
    <t>경</t>
    <phoneticPr fontId="1" type="noConversion"/>
  </si>
  <si>
    <t>사</t>
    <phoneticPr fontId="1" type="noConversion"/>
  </si>
  <si>
    <t>물1</t>
    <phoneticPr fontId="1" type="noConversion"/>
  </si>
  <si>
    <t>화1</t>
    <phoneticPr fontId="1" type="noConversion"/>
  </si>
  <si>
    <t>생1</t>
    <phoneticPr fontId="1" type="noConversion"/>
  </si>
  <si>
    <t>지1</t>
    <phoneticPr fontId="1" type="noConversion"/>
  </si>
  <si>
    <t>이 아래로 붙여넣기</t>
    <phoneticPr fontId="1" type="noConversion"/>
  </si>
  <si>
    <t>.</t>
    <phoneticPr fontId="1" type="noConversion"/>
  </si>
  <si>
    <t>물리학Ⅰ</t>
    <phoneticPr fontId="1" type="noConversion"/>
  </si>
  <si>
    <t>정치와 법</t>
    <phoneticPr fontId="1" type="noConversion"/>
  </si>
  <si>
    <t>수학</t>
    <phoneticPr fontId="1" type="noConversion"/>
  </si>
  <si>
    <t>정</t>
    <phoneticPr fontId="1" type="noConversion"/>
  </si>
  <si>
    <t>수</t>
    <phoneticPr fontId="1" type="noConversion"/>
  </si>
  <si>
    <t>영</t>
    <phoneticPr fontId="1" type="noConversion"/>
  </si>
  <si>
    <t>한</t>
    <phoneticPr fontId="1" type="noConversion"/>
  </si>
  <si>
    <r>
      <rPr>
        <sz val="11"/>
        <color theme="1"/>
        <rFont val="맑은 고딕"/>
        <family val="2"/>
        <charset val="129"/>
      </rPr>
      <t>오차</t>
    </r>
    <r>
      <rPr>
        <sz val="11"/>
        <color theme="1"/>
        <rFont val="Microsoft Sans Serif"/>
        <family val="2"/>
      </rPr>
      <t xml:space="preserve"> </t>
    </r>
    <r>
      <rPr>
        <sz val="11"/>
        <color theme="1"/>
        <rFont val="맑은 고딕"/>
        <family val="2"/>
        <charset val="129"/>
      </rPr>
      <t>경고</t>
    </r>
    <phoneticPr fontId="1" type="noConversion"/>
  </si>
  <si>
    <t>오차 경고</t>
    <phoneticPr fontId="1" type="noConversion"/>
  </si>
  <si>
    <t>B2:K108</t>
    <phoneticPr fontId="1" type="noConversion"/>
  </si>
  <si>
    <t>B3:M39</t>
    <phoneticPr fontId="1" type="noConversion"/>
  </si>
  <si>
    <r>
      <rPr>
        <sz val="12"/>
        <color theme="1"/>
        <rFont val="맑은 고딕"/>
        <family val="2"/>
        <charset val="129"/>
      </rPr>
      <t>시험명</t>
    </r>
  </si>
  <si>
    <r>
      <rPr>
        <sz val="12"/>
        <color theme="1"/>
        <rFont val="맑은 고딕"/>
        <family val="2"/>
        <charset val="129"/>
      </rPr>
      <t>평균</t>
    </r>
    <phoneticPr fontId="1" type="noConversion"/>
  </si>
  <si>
    <r>
      <rPr>
        <sz val="12"/>
        <color theme="1"/>
        <rFont val="맑은 고딕"/>
        <family val="2"/>
        <charset val="129"/>
      </rPr>
      <t>응시자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수</t>
    </r>
    <phoneticPr fontId="1" type="noConversion"/>
  </si>
  <si>
    <r>
      <rPr>
        <sz val="12"/>
        <color theme="1"/>
        <rFont val="맑은 고딕"/>
        <family val="2"/>
        <charset val="129"/>
      </rPr>
      <t>과목</t>
    </r>
    <phoneticPr fontId="1" type="noConversion"/>
  </si>
  <si>
    <r>
      <rPr>
        <sz val="12"/>
        <color theme="1"/>
        <rFont val="맑은 고딕"/>
        <family val="2"/>
        <charset val="129"/>
      </rPr>
      <t>국어</t>
    </r>
    <phoneticPr fontId="1" type="noConversion"/>
  </si>
  <si>
    <r>
      <rPr>
        <sz val="12"/>
        <color theme="1"/>
        <rFont val="맑은 고딕"/>
        <family val="2"/>
        <charset val="129"/>
      </rPr>
      <t>표준편차</t>
    </r>
    <phoneticPr fontId="1" type="noConversion"/>
  </si>
  <si>
    <r>
      <rPr>
        <sz val="12"/>
        <color theme="1"/>
        <rFont val="맑은 고딕"/>
        <family val="2"/>
        <charset val="129"/>
      </rPr>
      <t>수학</t>
    </r>
    <phoneticPr fontId="1" type="noConversion"/>
  </si>
  <si>
    <r>
      <rPr>
        <sz val="13"/>
        <color theme="1"/>
        <rFont val="맑은 고딕"/>
        <family val="3"/>
        <charset val="129"/>
      </rPr>
      <t>원점수</t>
    </r>
    <phoneticPr fontId="1" type="noConversion"/>
  </si>
  <si>
    <r>
      <rPr>
        <sz val="13"/>
        <color theme="1"/>
        <rFont val="맑은 고딕"/>
        <family val="3"/>
        <charset val="129"/>
      </rPr>
      <t>표준점수</t>
    </r>
    <phoneticPr fontId="1" type="noConversion"/>
  </si>
  <si>
    <r>
      <rPr>
        <sz val="13"/>
        <color theme="1"/>
        <rFont val="맑은 고딕"/>
        <family val="3"/>
        <charset val="129"/>
      </rPr>
      <t>등급</t>
    </r>
    <phoneticPr fontId="1" type="noConversion"/>
  </si>
  <si>
    <r>
      <rPr>
        <sz val="13"/>
        <color theme="1"/>
        <rFont val="맑은 고딕"/>
        <family val="3"/>
        <charset val="129"/>
      </rPr>
      <t>백분위</t>
    </r>
    <phoneticPr fontId="1" type="noConversion"/>
  </si>
  <si>
    <r>
      <rPr>
        <sz val="13"/>
        <color theme="1"/>
        <rFont val="맑은 고딕"/>
        <family val="3"/>
        <charset val="129"/>
      </rPr>
      <t>인원</t>
    </r>
    <phoneticPr fontId="1" type="noConversion"/>
  </si>
  <si>
    <r>
      <rPr>
        <sz val="13"/>
        <color theme="1"/>
        <rFont val="맑은 고딕"/>
        <family val="3"/>
        <charset val="129"/>
      </rPr>
      <t>비율</t>
    </r>
    <phoneticPr fontId="1" type="noConversion"/>
  </si>
  <si>
    <r>
      <rPr>
        <sz val="13"/>
        <color theme="1"/>
        <rFont val="맑은 고딕"/>
        <family val="3"/>
        <charset val="129"/>
      </rPr>
      <t>누적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3"/>
        <charset val="129"/>
      </rPr>
      <t>인원</t>
    </r>
    <phoneticPr fontId="1" type="noConversion"/>
  </si>
  <si>
    <r>
      <rPr>
        <sz val="13"/>
        <color theme="1"/>
        <rFont val="맑은 고딕"/>
        <family val="3"/>
        <charset val="129"/>
      </rPr>
      <t>누적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3"/>
        <charset val="129"/>
      </rPr>
      <t>비율</t>
    </r>
    <phoneticPr fontId="1" type="noConversion"/>
  </si>
  <si>
    <r>
      <rPr>
        <sz val="12"/>
        <color theme="1"/>
        <rFont val="맑은 고딕"/>
        <family val="2"/>
        <charset val="129"/>
      </rPr>
      <t>영어</t>
    </r>
    <phoneticPr fontId="1" type="noConversion"/>
  </si>
  <si>
    <r>
      <rPr>
        <sz val="12"/>
        <color theme="1"/>
        <rFont val="맑은 고딕"/>
        <family val="2"/>
        <charset val="129"/>
      </rPr>
      <t>한국사</t>
    </r>
    <phoneticPr fontId="1" type="noConversion"/>
  </si>
  <si>
    <r>
      <rPr>
        <sz val="13"/>
        <color theme="1"/>
        <rFont val="맑은 고딕"/>
        <family val="2"/>
        <charset val="129"/>
      </rPr>
      <t>등급</t>
    </r>
    <phoneticPr fontId="1" type="noConversion"/>
  </si>
  <si>
    <r>
      <rPr>
        <sz val="13"/>
        <color theme="1"/>
        <rFont val="맑은 고딕"/>
        <family val="2"/>
        <charset val="129"/>
      </rPr>
      <t>원점수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2"/>
        <charset val="129"/>
      </rPr>
      <t>등급컷</t>
    </r>
    <phoneticPr fontId="1" type="noConversion"/>
  </si>
  <si>
    <r>
      <rPr>
        <sz val="13"/>
        <color theme="1"/>
        <rFont val="맑은 고딕"/>
        <family val="2"/>
        <charset val="129"/>
      </rPr>
      <t>인원</t>
    </r>
    <phoneticPr fontId="1" type="noConversion"/>
  </si>
  <si>
    <r>
      <rPr>
        <sz val="13"/>
        <color theme="1"/>
        <rFont val="맑은 고딕"/>
        <family val="2"/>
        <charset val="129"/>
      </rPr>
      <t>비율</t>
    </r>
    <phoneticPr fontId="1" type="noConversion"/>
  </si>
  <si>
    <r>
      <rPr>
        <sz val="13"/>
        <color theme="1"/>
        <rFont val="맑은 고딕"/>
        <family val="2"/>
        <charset val="129"/>
      </rPr>
      <t>누적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2"/>
        <charset val="129"/>
      </rPr>
      <t>인원</t>
    </r>
    <phoneticPr fontId="1" type="noConversion"/>
  </si>
  <si>
    <r>
      <rPr>
        <sz val="13"/>
        <color theme="1"/>
        <rFont val="맑은 고딕"/>
        <family val="2"/>
        <charset val="129"/>
      </rPr>
      <t>누적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2"/>
        <charset val="129"/>
      </rPr>
      <t>비율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</si>
  <si>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생활과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윤리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</si>
  <si>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지구과학</t>
    </r>
    <r>
      <rPr>
        <sz val="12"/>
        <color theme="1"/>
        <rFont val="맑은 고딕"/>
        <family val="3"/>
        <charset val="129"/>
      </rPr>
      <t>Ⅰ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</si>
  <si>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생명과학</t>
    </r>
    <r>
      <rPr>
        <sz val="12"/>
        <color theme="1"/>
        <rFont val="맑은 고딕"/>
        <family val="3"/>
        <charset val="129"/>
      </rPr>
      <t>Ⅰ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</si>
  <si>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화학</t>
    </r>
    <r>
      <rPr>
        <sz val="12"/>
        <color theme="1"/>
        <rFont val="맑은 고딕"/>
        <family val="3"/>
        <charset val="129"/>
      </rPr>
      <t>Ⅰ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</si>
  <si>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물리학</t>
    </r>
    <r>
      <rPr>
        <sz val="12"/>
        <color theme="1"/>
        <rFont val="맑은 고딕"/>
        <family val="3"/>
        <charset val="129"/>
      </rPr>
      <t>Ⅰ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</si>
  <si>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사회</t>
    </r>
    <r>
      <rPr>
        <sz val="12"/>
        <color theme="1"/>
        <rFont val="맑은 고딕"/>
        <family val="3"/>
        <charset val="129"/>
      </rPr>
      <t>∙</t>
    </r>
    <r>
      <rPr>
        <sz val="12"/>
        <color theme="1"/>
        <rFont val="맑은 고딕"/>
        <family val="2"/>
        <charset val="129"/>
      </rPr>
      <t>문화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</si>
  <si>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정치와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법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</si>
  <si>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경제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</si>
  <si>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세계사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</si>
  <si>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동아시아사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</si>
  <si>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세계지리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</si>
  <si>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한국지리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</si>
  <si>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윤리와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사상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</si>
  <si>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과목</t>
    </r>
  </si>
  <si>
    <r>
      <rPr>
        <sz val="12"/>
        <color theme="1"/>
        <rFont val="맑은 고딕"/>
        <family val="2"/>
        <charset val="129"/>
      </rPr>
      <t>전과목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등급컷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모아보기</t>
    </r>
    <phoneticPr fontId="1" type="noConversion"/>
  </si>
  <si>
    <r>
      <rPr>
        <b/>
        <sz val="13"/>
        <color theme="1"/>
        <rFont val="맑은 고딕"/>
        <family val="3"/>
        <charset val="129"/>
      </rPr>
      <t>국어</t>
    </r>
    <r>
      <rPr>
        <b/>
        <sz val="13"/>
        <color theme="1"/>
        <rFont val="Microsoft Sans Serif"/>
        <family val="2"/>
      </rPr>
      <t>/</t>
    </r>
    <r>
      <rPr>
        <b/>
        <sz val="13"/>
        <color theme="1"/>
        <rFont val="맑은 고딕"/>
        <family val="3"/>
        <charset val="129"/>
      </rPr>
      <t>수학</t>
    </r>
    <phoneticPr fontId="1" type="noConversion"/>
  </si>
  <si>
    <r>
      <rPr>
        <b/>
        <sz val="13"/>
        <color theme="1"/>
        <rFont val="맑은 고딕"/>
        <family val="3"/>
        <charset val="129"/>
      </rPr>
      <t>국어</t>
    </r>
    <phoneticPr fontId="1" type="noConversion"/>
  </si>
  <si>
    <r>
      <rPr>
        <b/>
        <sz val="13"/>
        <color theme="1"/>
        <rFont val="맑은 고딕"/>
        <family val="3"/>
        <charset val="129"/>
      </rPr>
      <t>수학</t>
    </r>
    <phoneticPr fontId="1" type="noConversion"/>
  </si>
  <si>
    <r>
      <t>1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</si>
  <si>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2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</si>
  <si>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3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</si>
  <si>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4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</si>
  <si>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5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</si>
  <si>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6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</si>
  <si>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7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</si>
  <si>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8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</si>
  <si>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rPr>
        <b/>
        <sz val="13"/>
        <color theme="1"/>
        <rFont val="맑은 고딕"/>
        <family val="3"/>
        <charset val="129"/>
      </rPr>
      <t>사회탐구</t>
    </r>
    <phoneticPr fontId="1" type="noConversion"/>
  </si>
  <si>
    <r>
      <rPr>
        <b/>
        <sz val="13"/>
        <color theme="1"/>
        <rFont val="맑은 고딕"/>
        <family val="3"/>
        <charset val="129"/>
      </rPr>
      <t>생활과</t>
    </r>
    <r>
      <rPr>
        <b/>
        <sz val="13"/>
        <color theme="1"/>
        <rFont val="Microsoft Sans Serif"/>
        <family val="2"/>
      </rPr>
      <t xml:space="preserve"> </t>
    </r>
    <r>
      <rPr>
        <b/>
        <sz val="13"/>
        <color theme="1"/>
        <rFont val="맑은 고딕"/>
        <family val="3"/>
        <charset val="129"/>
      </rPr>
      <t>윤리</t>
    </r>
    <phoneticPr fontId="1" type="noConversion"/>
  </si>
  <si>
    <r>
      <rPr>
        <b/>
        <sz val="13"/>
        <color theme="1"/>
        <rFont val="맑은 고딕"/>
        <family val="3"/>
        <charset val="129"/>
      </rPr>
      <t>윤리와</t>
    </r>
    <r>
      <rPr>
        <b/>
        <sz val="13"/>
        <color theme="1"/>
        <rFont val="Microsoft Sans Serif"/>
        <family val="2"/>
      </rPr>
      <t xml:space="preserve"> </t>
    </r>
    <r>
      <rPr>
        <b/>
        <sz val="13"/>
        <color theme="1"/>
        <rFont val="맑은 고딕"/>
        <family val="3"/>
        <charset val="129"/>
      </rPr>
      <t>사상</t>
    </r>
    <phoneticPr fontId="1" type="noConversion"/>
  </si>
  <si>
    <r>
      <rPr>
        <b/>
        <sz val="13"/>
        <color theme="1"/>
        <rFont val="맑은 고딕"/>
        <family val="3"/>
        <charset val="129"/>
      </rPr>
      <t>한국지리</t>
    </r>
    <phoneticPr fontId="1" type="noConversion"/>
  </si>
  <si>
    <r>
      <rPr>
        <b/>
        <sz val="13"/>
        <color theme="1"/>
        <rFont val="맑은 고딕"/>
        <family val="3"/>
        <charset val="129"/>
      </rPr>
      <t>세계지리</t>
    </r>
    <phoneticPr fontId="1" type="noConversion"/>
  </si>
  <si>
    <r>
      <rPr>
        <b/>
        <sz val="13"/>
        <color theme="1"/>
        <rFont val="맑은 고딕"/>
        <family val="3"/>
        <charset val="129"/>
      </rPr>
      <t>동아시아사</t>
    </r>
    <phoneticPr fontId="1" type="noConversion"/>
  </si>
  <si>
    <r>
      <rPr>
        <b/>
        <sz val="13"/>
        <color theme="1"/>
        <rFont val="맑은 고딕"/>
        <family val="3"/>
        <charset val="129"/>
      </rPr>
      <t>세계사</t>
    </r>
    <phoneticPr fontId="1" type="noConversion"/>
  </si>
  <si>
    <r>
      <rPr>
        <b/>
        <sz val="13"/>
        <color theme="1"/>
        <rFont val="맑은 고딕"/>
        <family val="3"/>
        <charset val="129"/>
      </rPr>
      <t>경제</t>
    </r>
    <phoneticPr fontId="1" type="noConversion"/>
  </si>
  <si>
    <r>
      <rPr>
        <b/>
        <sz val="13"/>
        <color theme="1"/>
        <rFont val="맑은 고딕"/>
        <family val="3"/>
        <charset val="129"/>
      </rPr>
      <t>정치와</t>
    </r>
    <r>
      <rPr>
        <b/>
        <sz val="13"/>
        <color theme="1"/>
        <rFont val="Microsoft Sans Serif"/>
        <family val="2"/>
      </rPr>
      <t xml:space="preserve"> </t>
    </r>
    <r>
      <rPr>
        <b/>
        <sz val="13"/>
        <color theme="1"/>
        <rFont val="맑은 고딕"/>
        <family val="3"/>
        <charset val="129"/>
      </rPr>
      <t>법</t>
    </r>
    <phoneticPr fontId="1" type="noConversion"/>
  </si>
  <si>
    <r>
      <rPr>
        <b/>
        <sz val="13"/>
        <color theme="1"/>
        <rFont val="맑은 고딕"/>
        <family val="3"/>
        <charset val="129"/>
      </rPr>
      <t>사회∙문화</t>
    </r>
    <phoneticPr fontId="1" type="noConversion"/>
  </si>
  <si>
    <r>
      <rPr>
        <b/>
        <sz val="13"/>
        <color theme="1"/>
        <rFont val="맑은 고딕"/>
        <family val="3"/>
        <charset val="129"/>
      </rPr>
      <t>과학탐구</t>
    </r>
    <phoneticPr fontId="1" type="noConversion"/>
  </si>
  <si>
    <r>
      <rPr>
        <b/>
        <sz val="13"/>
        <color theme="1"/>
        <rFont val="맑은 고딕"/>
        <family val="3"/>
        <charset val="129"/>
      </rPr>
      <t>물리학</t>
    </r>
    <r>
      <rPr>
        <b/>
        <sz val="13"/>
        <color theme="1"/>
        <rFont val="MS PGothic"/>
        <family val="2"/>
        <charset val="128"/>
      </rPr>
      <t>Ⅰ</t>
    </r>
    <phoneticPr fontId="1" type="noConversion"/>
  </si>
  <si>
    <r>
      <rPr>
        <b/>
        <sz val="13"/>
        <color theme="1"/>
        <rFont val="맑은 고딕"/>
        <family val="3"/>
        <charset val="129"/>
      </rPr>
      <t>화학</t>
    </r>
    <r>
      <rPr>
        <b/>
        <sz val="13"/>
        <color theme="1"/>
        <rFont val="MS PGothic"/>
        <family val="2"/>
        <charset val="128"/>
      </rPr>
      <t>Ⅰ</t>
    </r>
    <phoneticPr fontId="1" type="noConversion"/>
  </si>
  <si>
    <r>
      <rPr>
        <b/>
        <sz val="13"/>
        <color theme="1"/>
        <rFont val="맑은 고딕"/>
        <family val="3"/>
        <charset val="129"/>
      </rPr>
      <t>생명과학</t>
    </r>
    <r>
      <rPr>
        <b/>
        <sz val="13"/>
        <color theme="1"/>
        <rFont val="MS PGothic"/>
        <family val="2"/>
        <charset val="128"/>
      </rPr>
      <t>Ⅰ</t>
    </r>
    <phoneticPr fontId="1" type="noConversion"/>
  </si>
  <si>
    <r>
      <rPr>
        <b/>
        <sz val="13"/>
        <color theme="1"/>
        <rFont val="맑은 고딕"/>
        <family val="3"/>
        <charset val="129"/>
      </rPr>
      <t>지구과학</t>
    </r>
    <r>
      <rPr>
        <b/>
        <sz val="13"/>
        <color theme="1"/>
        <rFont val="MS PGothic"/>
        <family val="2"/>
        <charset val="128"/>
      </rPr>
      <t>Ⅰ</t>
    </r>
    <phoneticPr fontId="1" type="noConversion"/>
  </si>
  <si>
    <t>B2:K16</t>
    <phoneticPr fontId="1" type="noConversion"/>
  </si>
  <si>
    <t>B2:K58</t>
    <phoneticPr fontId="1" type="noConversion"/>
  </si>
  <si>
    <t>2024학년도 9월 고2 전국연합학력평가</t>
  </si>
  <si>
    <t>51.64</t>
  </si>
  <si>
    <t>22.11</t>
  </si>
  <si>
    <t>35.84</t>
  </si>
  <si>
    <t>21.55</t>
  </si>
  <si>
    <t>59.03</t>
  </si>
  <si>
    <t>23.69</t>
  </si>
  <si>
    <t>25.37</t>
  </si>
  <si>
    <t>12.12</t>
  </si>
  <si>
    <t>22.54</t>
  </si>
  <si>
    <t>10.21</t>
  </si>
  <si>
    <t>20.33</t>
  </si>
  <si>
    <t xml:space="preserve"> 9.85</t>
  </si>
  <si>
    <t>24.92</t>
  </si>
  <si>
    <t>11.81</t>
  </si>
  <si>
    <t>24.22</t>
  </si>
  <si>
    <t>11.79</t>
  </si>
  <si>
    <t>19.61</t>
  </si>
  <si>
    <t>11.04</t>
  </si>
  <si>
    <t>20.68</t>
  </si>
  <si>
    <t>11.30</t>
  </si>
  <si>
    <t>17.53</t>
  </si>
  <si>
    <t>10.47</t>
  </si>
  <si>
    <t>21.52</t>
  </si>
  <si>
    <t>11.77</t>
  </si>
  <si>
    <t>21.53</t>
  </si>
  <si>
    <t>11.35</t>
  </si>
  <si>
    <t>19.71</t>
  </si>
  <si>
    <t>10.30</t>
  </si>
  <si>
    <t>21.08</t>
  </si>
  <si>
    <t>10.86</t>
  </si>
  <si>
    <t>23.14</t>
  </si>
  <si>
    <t>22.80</t>
  </si>
  <si>
    <t>10.49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</si>
</sst>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#,##0.00_ "/>
    <numFmt numFmtId="177" formatCode="#,##0_ "/>
    <numFmt numFmtId="178" formatCode="0.00_);[Red]\(0.00\)"/>
  </numFmts>
  <fonts count="4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name val="Arial"/>
      <family val="2"/>
    </font>
    <font>
      <b/>
      <sz val="18"/>
      <color theme="3"/>
      <name val="맑은 고딕"/>
      <family val="2"/>
      <charset val="129"/>
      <scheme val="major"/>
    </font>
    <font>
      <sz val="11"/>
      <color rgb="FF9C6500"/>
      <name val="맑은 고딕"/>
      <family val="2"/>
      <charset val="129"/>
      <scheme val="minor"/>
    </font>
    <font>
      <u/>
      <sz val="11"/>
      <color rgb="FF0000FF"/>
      <name val="맑은 고딕"/>
      <family val="2"/>
      <charset val="129"/>
      <scheme val="minor"/>
    </font>
    <font>
      <u/>
      <sz val="11"/>
      <color rgb="FF800080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</font>
    <font>
      <sz val="12"/>
      <color theme="1"/>
      <name val="맑은 고딕"/>
      <family val="3"/>
      <charset val="129"/>
    </font>
    <font>
      <sz val="11"/>
      <color theme="1"/>
      <name val="Microsoft Sans Serif"/>
      <family val="2"/>
    </font>
    <font>
      <sz val="12"/>
      <color theme="1"/>
      <name val="Microsoft Sans Serif"/>
      <family val="2"/>
    </font>
    <font>
      <sz val="12"/>
      <color theme="1"/>
      <name val="맑은 고딕"/>
      <family val="2"/>
      <charset val="129"/>
    </font>
    <font>
      <sz val="11"/>
      <color rgb="FF000000"/>
      <name val="맑은 고딕"/>
      <family val="3"/>
      <charset val="129"/>
    </font>
    <font>
      <sz val="13"/>
      <color theme="1"/>
      <name val="Microsoft Sans Serif"/>
      <family val="2"/>
    </font>
    <font>
      <sz val="13"/>
      <color theme="1"/>
      <name val="맑은 고딕"/>
      <family val="3"/>
      <charset val="129"/>
    </font>
    <font>
      <sz val="13"/>
      <name val="Microsoft Sans Serif"/>
      <family val="2"/>
    </font>
    <font>
      <sz val="13"/>
      <color theme="1"/>
      <name val="맑은 고딕"/>
      <family val="2"/>
      <charset val="129"/>
    </font>
    <font>
      <b/>
      <sz val="13"/>
      <color theme="1"/>
      <name val="Microsoft Sans Serif"/>
      <family val="2"/>
    </font>
    <font>
      <b/>
      <sz val="13"/>
      <color indexed="8"/>
      <name val="Microsoft Sans Serif"/>
      <family val="2"/>
    </font>
    <font>
      <sz val="12"/>
      <color theme="1"/>
      <name val="맑은 고딕"/>
      <family val="2"/>
      <charset val="129"/>
      <scheme val="minor"/>
    </font>
    <font>
      <sz val="13"/>
      <color theme="1"/>
      <name val="맑은 고딕"/>
      <family val="3"/>
      <charset val="129"/>
      <scheme val="minor"/>
    </font>
    <font>
      <b/>
      <sz val="13"/>
      <color theme="1"/>
      <name val="맑은 고딕"/>
      <family val="3"/>
      <charset val="129"/>
    </font>
    <font>
      <b/>
      <sz val="13"/>
      <color theme="1"/>
      <name val="MS PGothic"/>
      <family val="2"/>
      <charset val="128"/>
    </font>
    <font>
      <sz val="10"/>
      <color theme="1"/>
      <name val="맑은 고딕"/>
      <family val="3"/>
      <charset val="129"/>
      <scheme val="minor"/>
    </font>
    <font>
      <sz val="10"/>
      <name val="돋움"/>
      <family val="3"/>
      <charset val="129"/>
    </font>
    <font>
      <sz val="9"/>
      <name val="돋움"/>
      <family val="3"/>
      <charset val="129"/>
    </font>
  </fonts>
  <fills count="40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</fills>
  <borders count="77">
    <border>
      <left/>
      <right/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D4D4D4"/>
      </left>
      <right/>
      <top style="thin">
        <color rgb="FFD4D4D4"/>
      </top>
      <bottom/>
      <diagonal/>
    </border>
    <border>
      <left/>
      <right/>
      <top style="thin">
        <color rgb="FFD4D4D4"/>
      </top>
      <bottom/>
      <diagonal/>
    </border>
    <border>
      <left/>
      <right style="thin">
        <color rgb="FFD4D4D4"/>
      </right>
      <top style="thin">
        <color rgb="FFD4D4D4"/>
      </top>
      <bottom/>
      <diagonal/>
    </border>
    <border>
      <left style="thin">
        <color rgb="FFD4D4D4"/>
      </left>
      <right/>
      <top/>
      <bottom/>
      <diagonal/>
    </border>
    <border>
      <left/>
      <right style="thin">
        <color rgb="FFD4D4D4"/>
      </right>
      <top/>
      <bottom/>
      <diagonal/>
    </border>
    <border>
      <left style="thin">
        <color rgb="FFD4D4D4"/>
      </left>
      <right/>
      <top/>
      <bottom style="thin">
        <color rgb="FFD4D4D4"/>
      </bottom>
      <diagonal/>
    </border>
    <border>
      <left/>
      <right/>
      <top/>
      <bottom style="thin">
        <color rgb="FFD4D4D4"/>
      </bottom>
      <diagonal/>
    </border>
    <border>
      <left/>
      <right style="thin">
        <color rgb="FFD4D4D4"/>
      </right>
      <top/>
      <bottom style="thin">
        <color rgb="FFD4D4D4"/>
      </bottom>
      <diagonal/>
    </border>
    <border>
      <left style="thin">
        <color rgb="FFD4D4D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50">
    <xf numFmtId="0" fontId="0" fillId="0" borderId="0">
      <alignment vertical="center"/>
    </xf>
    <xf numFmtId="0" fontId="2" fillId="0" borderId="0"/>
    <xf numFmtId="0" fontId="5" fillId="0" borderId="26" applyNumberFormat="0" applyFill="0" applyAlignment="0" applyProtection="0">
      <alignment vertical="center"/>
    </xf>
    <xf numFmtId="0" fontId="6" fillId="0" borderId="27" applyNumberFormat="0" applyFill="0" applyAlignment="0" applyProtection="0">
      <alignment vertical="center"/>
    </xf>
    <xf numFmtId="0" fontId="7" fillId="0" borderId="28" applyNumberFormat="0" applyFill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10" borderId="29" applyNumberFormat="0" applyAlignment="0" applyProtection="0">
      <alignment vertical="center"/>
    </xf>
    <xf numFmtId="0" fontId="11" fillId="11" borderId="30" applyNumberFormat="0" applyAlignment="0" applyProtection="0">
      <alignment vertical="center"/>
    </xf>
    <xf numFmtId="0" fontId="12" fillId="11" borderId="29" applyNumberFormat="0" applyAlignment="0" applyProtection="0">
      <alignment vertical="center"/>
    </xf>
    <xf numFmtId="0" fontId="13" fillId="0" borderId="31" applyNumberFormat="0" applyFill="0" applyAlignment="0" applyProtection="0">
      <alignment vertical="center"/>
    </xf>
    <xf numFmtId="0" fontId="14" fillId="12" borderId="32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34" applyNumberFormat="0" applyFill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18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18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18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18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18" fillId="34" borderId="0" applyNumberFormat="0" applyBorder="0" applyAlignment="0" applyProtection="0">
      <alignment vertical="center"/>
    </xf>
    <xf numFmtId="0" fontId="4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8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13" borderId="33" applyNumberFormat="0" applyFont="0" applyAlignment="0" applyProtection="0">
      <alignment vertical="center"/>
    </xf>
    <xf numFmtId="0" fontId="2" fillId="0" borderId="0"/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4" fillId="0" borderId="0">
      <alignment vertical="center"/>
    </xf>
    <xf numFmtId="0" fontId="19" fillId="0" borderId="0"/>
  </cellStyleXfs>
  <cellXfs count="26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0" xfId="0" quotePrefix="1" applyFill="1" applyAlignment="1">
      <alignment horizontal="center" vertical="center"/>
    </xf>
    <xf numFmtId="0" fontId="0" fillId="6" borderId="0" xfId="0" applyFill="1">
      <alignment vertical="center"/>
    </xf>
    <xf numFmtId="0" fontId="0" fillId="0" borderId="38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38" xfId="0" applyBorder="1">
      <alignment vertical="center"/>
    </xf>
    <xf numFmtId="0" fontId="0" fillId="0" borderId="35" xfId="0" applyBorder="1">
      <alignment vertical="center"/>
    </xf>
    <xf numFmtId="0" fontId="0" fillId="0" borderId="39" xfId="0" applyBorder="1">
      <alignment vertical="center"/>
    </xf>
    <xf numFmtId="0" fontId="0" fillId="0" borderId="16" xfId="0" applyBorder="1">
      <alignment vertical="center"/>
    </xf>
    <xf numFmtId="0" fontId="0" fillId="0" borderId="41" xfId="0" applyBorder="1">
      <alignment vertical="center"/>
    </xf>
    <xf numFmtId="0" fontId="0" fillId="0" borderId="41" xfId="0" applyBorder="1" applyAlignment="1">
      <alignment horizontal="center" vertical="center"/>
    </xf>
    <xf numFmtId="0" fontId="0" fillId="38" borderId="0" xfId="0" applyFill="1">
      <alignment vertical="center"/>
    </xf>
    <xf numFmtId="0" fontId="24" fillId="0" borderId="0" xfId="0" applyFont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8" fillId="6" borderId="0" xfId="0" applyFont="1" applyFill="1" applyAlignment="1">
      <alignment horizontal="center" vertical="center"/>
    </xf>
    <xf numFmtId="0" fontId="28" fillId="6" borderId="0" xfId="0" applyFont="1" applyFill="1">
      <alignment vertical="center"/>
    </xf>
    <xf numFmtId="0" fontId="29" fillId="5" borderId="15" xfId="0" applyFont="1" applyFill="1" applyBorder="1" applyAlignment="1">
      <alignment horizontal="center" vertical="center"/>
    </xf>
    <xf numFmtId="0" fontId="28" fillId="0" borderId="0" xfId="0" applyFont="1">
      <alignment vertical="center"/>
    </xf>
    <xf numFmtId="0" fontId="28" fillId="6" borderId="0" xfId="0" quotePrefix="1" applyFont="1" applyFill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5" fillId="6" borderId="0" xfId="0" applyFont="1" applyFill="1">
      <alignment vertical="center"/>
    </xf>
    <xf numFmtId="0" fontId="25" fillId="0" borderId="0" xfId="0" applyFont="1">
      <alignment vertical="center"/>
    </xf>
    <xf numFmtId="0" fontId="0" fillId="6" borderId="61" xfId="0" applyFill="1" applyBorder="1">
      <alignment vertical="center"/>
    </xf>
    <xf numFmtId="0" fontId="0" fillId="6" borderId="62" xfId="0" applyFill="1" applyBorder="1">
      <alignment vertical="center"/>
    </xf>
    <xf numFmtId="0" fontId="0" fillId="6" borderId="63" xfId="0" applyFill="1" applyBorder="1">
      <alignment vertical="center"/>
    </xf>
    <xf numFmtId="0" fontId="0" fillId="6" borderId="64" xfId="0" applyFill="1" applyBorder="1">
      <alignment vertical="center"/>
    </xf>
    <xf numFmtId="0" fontId="0" fillId="6" borderId="65" xfId="0" applyFill="1" applyBorder="1">
      <alignment vertical="center"/>
    </xf>
    <xf numFmtId="0" fontId="0" fillId="6" borderId="66" xfId="0" applyFill="1" applyBorder="1">
      <alignment vertical="center"/>
    </xf>
    <xf numFmtId="0" fontId="0" fillId="6" borderId="67" xfId="0" applyFill="1" applyBorder="1">
      <alignment vertical="center"/>
    </xf>
    <xf numFmtId="0" fontId="0" fillId="6" borderId="68" xfId="0" applyFill="1" applyBorder="1">
      <alignment vertical="center"/>
    </xf>
    <xf numFmtId="0" fontId="28" fillId="6" borderId="64" xfId="0" applyFont="1" applyFill="1" applyBorder="1">
      <alignment vertical="center"/>
    </xf>
    <xf numFmtId="0" fontId="28" fillId="6" borderId="65" xfId="0" applyFont="1" applyFill="1" applyBorder="1">
      <alignment vertical="center"/>
    </xf>
    <xf numFmtId="0" fontId="29" fillId="6" borderId="0" xfId="0" applyFont="1" applyFill="1" applyAlignment="1">
      <alignment horizontal="center" vertical="center"/>
    </xf>
    <xf numFmtId="0" fontId="29" fillId="6" borderId="0" xfId="0" applyFont="1" applyFill="1">
      <alignment vertical="center"/>
    </xf>
    <xf numFmtId="0" fontId="3" fillId="6" borderId="62" xfId="0" applyFont="1" applyFill="1" applyBorder="1" applyAlignment="1">
      <alignment horizontal="center" vertical="center"/>
    </xf>
    <xf numFmtId="0" fontId="0" fillId="6" borderId="62" xfId="0" applyFill="1" applyBorder="1" applyAlignment="1">
      <alignment horizontal="center" vertical="center"/>
    </xf>
    <xf numFmtId="0" fontId="25" fillId="6" borderId="66" xfId="0" applyFont="1" applyFill="1" applyBorder="1">
      <alignment vertical="center"/>
    </xf>
    <xf numFmtId="0" fontId="29" fillId="6" borderId="67" xfId="0" applyFont="1" applyFill="1" applyBorder="1" applyAlignment="1">
      <alignment horizontal="center" vertical="center"/>
    </xf>
    <xf numFmtId="0" fontId="29" fillId="6" borderId="67" xfId="0" applyFont="1" applyFill="1" applyBorder="1">
      <alignment vertical="center"/>
    </xf>
    <xf numFmtId="0" fontId="25" fillId="6" borderId="68" xfId="0" applyFont="1" applyFill="1" applyBorder="1">
      <alignment vertical="center"/>
    </xf>
    <xf numFmtId="0" fontId="0" fillId="0" borderId="36" xfId="0" applyBorder="1">
      <alignment vertical="center"/>
    </xf>
    <xf numFmtId="0" fontId="0" fillId="0" borderId="40" xfId="0" applyBorder="1">
      <alignment vertical="center"/>
    </xf>
    <xf numFmtId="0" fontId="0" fillId="0" borderId="37" xfId="0" applyBorder="1">
      <alignment vertical="center"/>
    </xf>
    <xf numFmtId="0" fontId="29" fillId="5" borderId="21" xfId="0" applyFont="1" applyFill="1" applyBorder="1" applyAlignment="1">
      <alignment horizontal="center" vertical="center"/>
    </xf>
    <xf numFmtId="2" fontId="29" fillId="0" borderId="20" xfId="0" applyNumberFormat="1" applyFont="1" applyBorder="1" applyAlignment="1">
      <alignment horizontal="center" vertical="center"/>
    </xf>
    <xf numFmtId="3" fontId="29" fillId="0" borderId="19" xfId="0" applyNumberFormat="1" applyFont="1" applyBorder="1" applyAlignment="1">
      <alignment horizontal="center" vertical="center"/>
    </xf>
    <xf numFmtId="0" fontId="29" fillId="5" borderId="4" xfId="0" applyFont="1" applyFill="1" applyBorder="1" applyAlignment="1">
      <alignment horizontal="center" vertical="center"/>
    </xf>
    <xf numFmtId="0" fontId="29" fillId="5" borderId="17" xfId="0" applyFont="1" applyFill="1" applyBorder="1" applyAlignment="1">
      <alignment horizontal="center" vertical="center"/>
    </xf>
    <xf numFmtId="2" fontId="29" fillId="0" borderId="16" xfId="0" applyNumberFormat="1" applyFont="1" applyBorder="1" applyAlignment="1">
      <alignment horizontal="center" vertical="center"/>
    </xf>
    <xf numFmtId="0" fontId="32" fillId="5" borderId="15" xfId="0" applyFont="1" applyFill="1" applyBorder="1" applyAlignment="1">
      <alignment horizontal="center" vertical="center"/>
    </xf>
    <xf numFmtId="0" fontId="32" fillId="5" borderId="14" xfId="0" applyFont="1" applyFill="1" applyBorder="1" applyAlignment="1">
      <alignment horizontal="center" vertical="center"/>
    </xf>
    <xf numFmtId="0" fontId="32" fillId="5" borderId="13" xfId="0" applyFont="1" applyFill="1" applyBorder="1" applyAlignment="1">
      <alignment horizontal="center" vertical="center"/>
    </xf>
    <xf numFmtId="0" fontId="32" fillId="5" borderId="12" xfId="0" applyFont="1" applyFill="1" applyBorder="1" applyAlignment="1">
      <alignment horizontal="center" vertical="center"/>
    </xf>
    <xf numFmtId="0" fontId="32" fillId="0" borderId="11" xfId="0" applyFont="1" applyBorder="1" applyAlignment="1">
      <alignment horizontal="center" vertical="center"/>
    </xf>
    <xf numFmtId="0" fontId="32" fillId="0" borderId="8" xfId="0" applyFont="1" applyBorder="1" applyAlignment="1">
      <alignment horizontal="center" vertical="center"/>
    </xf>
    <xf numFmtId="178" fontId="32" fillId="0" borderId="8" xfId="0" applyNumberFormat="1" applyFont="1" applyBorder="1" applyAlignment="1">
      <alignment horizontal="center" vertical="center"/>
    </xf>
    <xf numFmtId="177" fontId="34" fillId="0" borderId="8" xfId="1" applyNumberFormat="1" applyFont="1" applyBorder="1" applyAlignment="1">
      <alignment horizontal="center" vertical="center"/>
    </xf>
    <xf numFmtId="10" fontId="34" fillId="0" borderId="7" xfId="1" applyNumberFormat="1" applyFont="1" applyBorder="1" applyAlignment="1">
      <alignment horizontal="center" vertical="center"/>
    </xf>
    <xf numFmtId="177" fontId="32" fillId="0" borderId="10" xfId="0" applyNumberFormat="1" applyFont="1" applyBorder="1" applyAlignment="1">
      <alignment horizontal="center" vertical="center"/>
    </xf>
    <xf numFmtId="10" fontId="34" fillId="0" borderId="5" xfId="1" applyNumberFormat="1" applyFont="1" applyBorder="1" applyAlignment="1">
      <alignment horizontal="center" vertical="center"/>
    </xf>
    <xf numFmtId="0" fontId="32" fillId="0" borderId="9" xfId="0" applyFont="1" applyBorder="1" applyAlignment="1">
      <alignment horizontal="center" vertical="center"/>
    </xf>
    <xf numFmtId="0" fontId="32" fillId="4" borderId="8" xfId="0" applyFont="1" applyFill="1" applyBorder="1" applyAlignment="1">
      <alignment horizontal="center" vertical="center"/>
    </xf>
    <xf numFmtId="178" fontId="32" fillId="4" borderId="8" xfId="0" applyNumberFormat="1" applyFont="1" applyFill="1" applyBorder="1" applyAlignment="1">
      <alignment horizontal="center" vertical="center"/>
    </xf>
    <xf numFmtId="0" fontId="32" fillId="4" borderId="6" xfId="0" applyFont="1" applyFill="1" applyBorder="1">
      <alignment vertical="center"/>
    </xf>
    <xf numFmtId="0" fontId="34" fillId="4" borderId="7" xfId="1" applyFont="1" applyFill="1" applyBorder="1" applyAlignment="1">
      <alignment horizontal="center" vertical="center"/>
    </xf>
    <xf numFmtId="177" fontId="32" fillId="4" borderId="8" xfId="0" applyNumberFormat="1" applyFont="1" applyFill="1" applyBorder="1" applyAlignment="1">
      <alignment horizontal="center" vertical="center"/>
    </xf>
    <xf numFmtId="176" fontId="34" fillId="4" borderId="5" xfId="1" applyNumberFormat="1" applyFont="1" applyFill="1" applyBorder="1" applyAlignment="1">
      <alignment horizontal="center" vertical="center"/>
    </xf>
    <xf numFmtId="177" fontId="32" fillId="0" borderId="6" xfId="0" applyNumberFormat="1" applyFont="1" applyBorder="1" applyAlignment="1">
      <alignment horizontal="center" vertical="center"/>
    </xf>
    <xf numFmtId="0" fontId="32" fillId="6" borderId="9" xfId="0" applyFont="1" applyFill="1" applyBorder="1" applyAlignment="1">
      <alignment horizontal="center" vertical="center"/>
    </xf>
    <xf numFmtId="0" fontId="32" fillId="6" borderId="8" xfId="0" applyFont="1" applyFill="1" applyBorder="1" applyAlignment="1">
      <alignment horizontal="center" vertical="center"/>
    </xf>
    <xf numFmtId="177" fontId="32" fillId="6" borderId="6" xfId="0" applyNumberFormat="1" applyFont="1" applyFill="1" applyBorder="1" applyAlignment="1">
      <alignment horizontal="center" vertical="center"/>
    </xf>
    <xf numFmtId="177" fontId="32" fillId="4" borderId="6" xfId="0" applyNumberFormat="1" applyFont="1" applyFill="1" applyBorder="1" applyAlignment="1">
      <alignment horizontal="center" vertical="center"/>
    </xf>
    <xf numFmtId="0" fontId="32" fillId="3" borderId="4" xfId="0" applyFont="1" applyFill="1" applyBorder="1" applyAlignment="1">
      <alignment horizontal="center" vertical="center"/>
    </xf>
    <xf numFmtId="0" fontId="32" fillId="2" borderId="2" xfId="0" applyFont="1" applyFill="1" applyBorder="1" applyAlignment="1">
      <alignment horizontal="center" vertical="center"/>
    </xf>
    <xf numFmtId="178" fontId="32" fillId="2" borderId="2" xfId="0" applyNumberFormat="1" applyFont="1" applyFill="1" applyBorder="1" applyAlignment="1">
      <alignment horizontal="center" vertical="center"/>
    </xf>
    <xf numFmtId="177" fontId="34" fillId="2" borderId="2" xfId="1" applyNumberFormat="1" applyFont="1" applyFill="1" applyBorder="1" applyAlignment="1">
      <alignment horizontal="center" vertical="center"/>
    </xf>
    <xf numFmtId="10" fontId="34" fillId="2" borderId="2" xfId="1" applyNumberFormat="1" applyFont="1" applyFill="1" applyBorder="1" applyAlignment="1">
      <alignment horizontal="center" vertical="center"/>
    </xf>
    <xf numFmtId="177" fontId="32" fillId="2" borderId="2" xfId="0" applyNumberFormat="1" applyFont="1" applyFill="1" applyBorder="1" applyAlignment="1">
      <alignment horizontal="center" vertical="center"/>
    </xf>
    <xf numFmtId="10" fontId="34" fillId="2" borderId="1" xfId="1" applyNumberFormat="1" applyFont="1" applyFill="1" applyBorder="1" applyAlignment="1">
      <alignment horizontal="center" vertical="center"/>
    </xf>
    <xf numFmtId="0" fontId="32" fillId="5" borderId="19" xfId="0" applyFont="1" applyFill="1" applyBorder="1" applyAlignment="1">
      <alignment horizontal="center" vertical="center"/>
    </xf>
    <xf numFmtId="0" fontId="32" fillId="5" borderId="46" xfId="0" applyFont="1" applyFill="1" applyBorder="1" applyAlignment="1">
      <alignment horizontal="center" vertical="center"/>
    </xf>
    <xf numFmtId="0" fontId="36" fillId="39" borderId="22" xfId="0" applyFont="1" applyFill="1" applyBorder="1" applyAlignment="1">
      <alignment horizontal="center" vertical="center"/>
    </xf>
    <xf numFmtId="3" fontId="32" fillId="0" borderId="48" xfId="0" applyNumberFormat="1" applyFont="1" applyBorder="1" applyAlignment="1">
      <alignment horizontal="center" vertical="center"/>
    </xf>
    <xf numFmtId="10" fontId="32" fillId="0" borderId="10" xfId="0" applyNumberFormat="1" applyFont="1" applyBorder="1" applyAlignment="1">
      <alignment horizontal="center" vertical="center"/>
    </xf>
    <xf numFmtId="3" fontId="32" fillId="0" borderId="10" xfId="0" applyNumberFormat="1" applyFont="1" applyBorder="1" applyAlignment="1">
      <alignment horizontal="center" vertical="center"/>
    </xf>
    <xf numFmtId="10" fontId="32" fillId="0" borderId="42" xfId="0" applyNumberFormat="1" applyFont="1" applyBorder="1" applyAlignment="1">
      <alignment horizontal="center" vertical="center"/>
    </xf>
    <xf numFmtId="0" fontId="36" fillId="39" borderId="9" xfId="0" applyFont="1" applyFill="1" applyBorder="1" applyAlignment="1">
      <alignment horizontal="center" vertical="center"/>
    </xf>
    <xf numFmtId="0" fontId="36" fillId="39" borderId="59" xfId="0" applyFont="1" applyFill="1" applyBorder="1" applyAlignment="1">
      <alignment horizontal="center" vertical="center"/>
    </xf>
    <xf numFmtId="3" fontId="32" fillId="0" borderId="57" xfId="0" applyNumberFormat="1" applyFont="1" applyBorder="1" applyAlignment="1">
      <alignment horizontal="center" vertical="center"/>
    </xf>
    <xf numFmtId="10" fontId="32" fillId="0" borderId="8" xfId="0" applyNumberFormat="1" applyFont="1" applyBorder="1" applyAlignment="1">
      <alignment horizontal="center" vertical="center"/>
    </xf>
    <xf numFmtId="3" fontId="32" fillId="0" borderId="6" xfId="0" applyNumberFormat="1" applyFont="1" applyBorder="1" applyAlignment="1">
      <alignment horizontal="center" vertical="center"/>
    </xf>
    <xf numFmtId="10" fontId="32" fillId="0" borderId="25" xfId="0" applyNumberFormat="1" applyFont="1" applyBorder="1" applyAlignment="1">
      <alignment horizontal="center" vertical="center"/>
    </xf>
    <xf numFmtId="0" fontId="36" fillId="39" borderId="4" xfId="0" applyFont="1" applyFill="1" applyBorder="1" applyAlignment="1">
      <alignment horizontal="center" vertical="center"/>
    </xf>
    <xf numFmtId="0" fontId="36" fillId="39" borderId="1" xfId="0" applyFont="1" applyFill="1" applyBorder="1" applyAlignment="1">
      <alignment horizontal="center" vertical="center"/>
    </xf>
    <xf numFmtId="3" fontId="32" fillId="0" borderId="58" xfId="0" applyNumberFormat="1" applyFont="1" applyBorder="1" applyAlignment="1">
      <alignment horizontal="center" vertical="center"/>
    </xf>
    <xf numFmtId="10" fontId="32" fillId="0" borderId="24" xfId="0" applyNumberFormat="1" applyFont="1" applyBorder="1" applyAlignment="1">
      <alignment horizontal="center" vertical="center"/>
    </xf>
    <xf numFmtId="3" fontId="32" fillId="0" borderId="2" xfId="0" applyNumberFormat="1" applyFont="1" applyBorder="1" applyAlignment="1">
      <alignment horizontal="center" vertical="center"/>
    </xf>
    <xf numFmtId="10" fontId="32" fillId="0" borderId="43" xfId="0" applyNumberFormat="1" applyFont="1" applyBorder="1" applyAlignment="1">
      <alignment horizontal="center" vertical="center"/>
    </xf>
    <xf numFmtId="0" fontId="37" fillId="39" borderId="22" xfId="0" applyFont="1" applyFill="1" applyBorder="1" applyAlignment="1">
      <alignment horizontal="center" vertical="center"/>
    </xf>
    <xf numFmtId="0" fontId="37" fillId="39" borderId="9" xfId="0" applyFont="1" applyFill="1" applyBorder="1" applyAlignment="1">
      <alignment horizontal="center" vertical="center"/>
    </xf>
    <xf numFmtId="0" fontId="37" fillId="39" borderId="59" xfId="0" applyFont="1" applyFill="1" applyBorder="1" applyAlignment="1">
      <alignment horizontal="center" vertical="center"/>
    </xf>
    <xf numFmtId="0" fontId="37" fillId="39" borderId="4" xfId="0" applyFont="1" applyFill="1" applyBorder="1" applyAlignment="1">
      <alignment horizontal="center" vertical="center"/>
    </xf>
    <xf numFmtId="0" fontId="37" fillId="39" borderId="1" xfId="0" applyFont="1" applyFill="1" applyBorder="1" applyAlignment="1">
      <alignment horizontal="center" vertical="center"/>
    </xf>
    <xf numFmtId="176" fontId="34" fillId="4" borderId="7" xfId="1" applyNumberFormat="1" applyFont="1" applyFill="1" applyBorder="1" applyAlignment="1">
      <alignment horizontal="center" vertical="center"/>
    </xf>
    <xf numFmtId="0" fontId="32" fillId="6" borderId="11" xfId="0" applyFont="1" applyFill="1" applyBorder="1" applyAlignment="1">
      <alignment horizontal="center" vertical="center"/>
    </xf>
    <xf numFmtId="0" fontId="32" fillId="4" borderId="6" xfId="0" applyFont="1" applyFill="1" applyBorder="1" applyAlignment="1">
      <alignment horizontal="center" vertical="center"/>
    </xf>
    <xf numFmtId="0" fontId="32" fillId="2" borderId="17" xfId="0" applyFont="1" applyFill="1" applyBorder="1" applyAlignment="1">
      <alignment horizontal="center" vertical="center"/>
    </xf>
    <xf numFmtId="0" fontId="32" fillId="2" borderId="24" xfId="0" applyFont="1" applyFill="1" applyBorder="1" applyAlignment="1">
      <alignment horizontal="center" vertical="center"/>
    </xf>
    <xf numFmtId="177" fontId="34" fillId="2" borderId="24" xfId="1" applyNumberFormat="1" applyFont="1" applyFill="1" applyBorder="1" applyAlignment="1">
      <alignment horizontal="center" vertical="center"/>
    </xf>
    <xf numFmtId="10" fontId="34" fillId="2" borderId="16" xfId="1" applyNumberFormat="1" applyFont="1" applyFill="1" applyBorder="1" applyAlignment="1">
      <alignment horizontal="center" vertical="center"/>
    </xf>
    <xf numFmtId="0" fontId="32" fillId="0" borderId="6" xfId="0" applyFont="1" applyBorder="1" applyAlignment="1">
      <alignment horizontal="center" vertical="center"/>
    </xf>
    <xf numFmtId="0" fontId="38" fillId="6" borderId="0" xfId="0" applyFont="1" applyFill="1">
      <alignment vertical="center"/>
    </xf>
    <xf numFmtId="0" fontId="38" fillId="6" borderId="64" xfId="0" applyFont="1" applyFill="1" applyBorder="1">
      <alignment vertical="center"/>
    </xf>
    <xf numFmtId="0" fontId="38" fillId="6" borderId="65" xfId="0" applyFont="1" applyFill="1" applyBorder="1">
      <alignment vertical="center"/>
    </xf>
    <xf numFmtId="0" fontId="38" fillId="0" borderId="0" xfId="0" applyFont="1">
      <alignment vertical="center"/>
    </xf>
    <xf numFmtId="0" fontId="39" fillId="6" borderId="0" xfId="0" applyFont="1" applyFill="1">
      <alignment vertical="center"/>
    </xf>
    <xf numFmtId="0" fontId="39" fillId="6" borderId="64" xfId="0" applyFont="1" applyFill="1" applyBorder="1">
      <alignment vertical="center"/>
    </xf>
    <xf numFmtId="0" fontId="36" fillId="39" borderId="45" xfId="0" applyFont="1" applyFill="1" applyBorder="1" applyAlignment="1">
      <alignment horizontal="center" vertical="center"/>
    </xf>
    <xf numFmtId="0" fontId="36" fillId="39" borderId="46" xfId="0" applyFont="1" applyFill="1" applyBorder="1" applyAlignment="1">
      <alignment horizontal="center" vertical="center"/>
    </xf>
    <xf numFmtId="0" fontId="36" fillId="39" borderId="12" xfId="0" applyFont="1" applyFill="1" applyBorder="1" applyAlignment="1">
      <alignment horizontal="center" vertical="center"/>
    </xf>
    <xf numFmtId="0" fontId="32" fillId="6" borderId="0" xfId="0" applyFont="1" applyFill="1" applyAlignment="1">
      <alignment horizontal="center" vertical="center"/>
    </xf>
    <xf numFmtId="0" fontId="32" fillId="6" borderId="0" xfId="0" applyFont="1" applyFill="1">
      <alignment vertical="center"/>
    </xf>
    <xf numFmtId="0" fontId="39" fillId="6" borderId="65" xfId="0" applyFont="1" applyFill="1" applyBorder="1">
      <alignment vertical="center"/>
    </xf>
    <xf numFmtId="0" fontId="39" fillId="0" borderId="0" xfId="0" applyFont="1">
      <alignment vertical="center"/>
    </xf>
    <xf numFmtId="0" fontId="36" fillId="39" borderId="47" xfId="0" applyFont="1" applyFill="1" applyBorder="1" applyAlignment="1">
      <alignment horizontal="center" vertical="center"/>
    </xf>
    <xf numFmtId="0" fontId="32" fillId="6" borderId="21" xfId="0" applyFont="1" applyFill="1" applyBorder="1" applyAlignment="1">
      <alignment horizontal="center" vertical="center"/>
    </xf>
    <xf numFmtId="0" fontId="32" fillId="6" borderId="22" xfId="0" applyFont="1" applyFill="1" applyBorder="1" applyAlignment="1">
      <alignment horizontal="center" vertical="center"/>
    </xf>
    <xf numFmtId="0" fontId="36" fillId="39" borderId="49" xfId="0" applyFont="1" applyFill="1" applyBorder="1" applyAlignment="1">
      <alignment horizontal="center" vertical="center"/>
    </xf>
    <xf numFmtId="0" fontId="32" fillId="6" borderId="5" xfId="0" applyFont="1" applyFill="1" applyBorder="1" applyAlignment="1">
      <alignment horizontal="center" vertical="center"/>
    </xf>
    <xf numFmtId="0" fontId="36" fillId="39" borderId="51" xfId="0" applyFont="1" applyFill="1" applyBorder="1" applyAlignment="1">
      <alignment horizontal="center" vertical="center"/>
    </xf>
    <xf numFmtId="0" fontId="32" fillId="6" borderId="17" xfId="0" applyFont="1" applyFill="1" applyBorder="1" applyAlignment="1">
      <alignment horizontal="center" vertical="center"/>
    </xf>
    <xf numFmtId="0" fontId="32" fillId="6" borderId="16" xfId="0" applyFont="1" applyFill="1" applyBorder="1" applyAlignment="1">
      <alignment horizontal="center" vertical="center"/>
    </xf>
    <xf numFmtId="0" fontId="36" fillId="39" borderId="60" xfId="0" applyFont="1" applyFill="1" applyBorder="1" applyAlignment="1">
      <alignment horizontal="center" vertical="center"/>
    </xf>
    <xf numFmtId="0" fontId="36" fillId="39" borderId="15" xfId="0" applyFont="1" applyFill="1" applyBorder="1" applyAlignment="1">
      <alignment horizontal="center" vertical="center"/>
    </xf>
    <xf numFmtId="0" fontId="36" fillId="39" borderId="14" xfId="0" applyFont="1" applyFill="1" applyBorder="1" applyAlignment="1">
      <alignment horizontal="center" vertical="center"/>
    </xf>
    <xf numFmtId="0" fontId="36" fillId="39" borderId="53" xfId="0" applyFont="1" applyFill="1" applyBorder="1" applyAlignment="1">
      <alignment horizontal="center" vertical="center"/>
    </xf>
    <xf numFmtId="0" fontId="32" fillId="6" borderId="25" xfId="0" applyFont="1" applyFill="1" applyBorder="1" applyAlignment="1">
      <alignment horizontal="center" vertical="center"/>
    </xf>
    <xf numFmtId="0" fontId="36" fillId="39" borderId="54" xfId="0" applyFont="1" applyFill="1" applyBorder="1" applyAlignment="1">
      <alignment horizontal="center" vertical="center"/>
    </xf>
    <xf numFmtId="0" fontId="32" fillId="6" borderId="6" xfId="0" applyFont="1" applyFill="1" applyBorder="1" applyAlignment="1">
      <alignment horizontal="center" vertical="center"/>
    </xf>
    <xf numFmtId="0" fontId="32" fillId="6" borderId="55" xfId="0" applyFont="1" applyFill="1" applyBorder="1" applyAlignment="1">
      <alignment horizontal="center" vertical="center"/>
    </xf>
    <xf numFmtId="0" fontId="36" fillId="39" borderId="56" xfId="0" applyFont="1" applyFill="1" applyBorder="1" applyAlignment="1">
      <alignment horizontal="center" vertical="center"/>
    </xf>
    <xf numFmtId="0" fontId="32" fillId="6" borderId="4" xfId="0" applyFont="1" applyFill="1" applyBorder="1" applyAlignment="1">
      <alignment horizontal="center" vertical="center"/>
    </xf>
    <xf numFmtId="0" fontId="32" fillId="6" borderId="2" xfId="0" applyFont="1" applyFill="1" applyBorder="1" applyAlignment="1">
      <alignment horizontal="center" vertical="center"/>
    </xf>
    <xf numFmtId="0" fontId="32" fillId="6" borderId="44" xfId="0" applyFont="1" applyFill="1" applyBorder="1" applyAlignment="1">
      <alignment horizontal="center" vertical="center"/>
    </xf>
    <xf numFmtId="0" fontId="32" fillId="6" borderId="48" xfId="0" applyFont="1" applyFill="1" applyBorder="1" applyAlignment="1">
      <alignment horizontal="center" vertical="center"/>
    </xf>
    <xf numFmtId="0" fontId="32" fillId="6" borderId="50" xfId="0" applyFont="1" applyFill="1" applyBorder="1" applyAlignment="1">
      <alignment horizontal="center" vertical="center"/>
    </xf>
    <xf numFmtId="0" fontId="32" fillId="6" borderId="52" xfId="0" applyFont="1" applyFill="1" applyBorder="1" applyAlignment="1">
      <alignment horizontal="center" vertical="center"/>
    </xf>
    <xf numFmtId="0" fontId="42" fillId="6" borderId="0" xfId="0" applyFont="1" applyFill="1" applyAlignment="1">
      <alignment vertical="center" wrapText="1"/>
    </xf>
    <xf numFmtId="0" fontId="37" fillId="39" borderId="11" xfId="0" applyFont="1" applyFill="1" applyBorder="1" applyAlignment="1">
      <alignment horizontal="center" vertical="center"/>
    </xf>
    <xf numFmtId="0" fontId="36" fillId="39" borderId="11" xfId="0" applyFont="1" applyFill="1" applyBorder="1" applyAlignment="1">
      <alignment horizontal="center" vertical="center"/>
    </xf>
    <xf numFmtId="0" fontId="28" fillId="6" borderId="69" xfId="0" applyFont="1" applyFill="1" applyBorder="1">
      <alignment vertical="center"/>
    </xf>
    <xf numFmtId="0" fontId="0" fillId="6" borderId="69" xfId="0" applyFill="1" applyBorder="1">
      <alignment vertical="center"/>
    </xf>
    <xf numFmtId="0" fontId="42" fillId="6" borderId="67" xfId="0" applyFont="1" applyFill="1" applyBorder="1" applyAlignment="1">
      <alignment vertical="center" wrapText="1"/>
    </xf>
    <xf numFmtId="0" fontId="42" fillId="6" borderId="65" xfId="0" applyFont="1" applyFill="1" applyBorder="1" applyAlignment="1">
      <alignment vertical="center" wrapText="1"/>
    </xf>
    <xf numFmtId="0" fontId="36" fillId="39" borderId="70" xfId="0" applyFont="1" applyFill="1" applyBorder="1" applyAlignment="1">
      <alignment horizontal="center" vertical="center"/>
    </xf>
    <xf numFmtId="0" fontId="32" fillId="0" borderId="70" xfId="0" applyFont="1" applyBorder="1" applyAlignment="1">
      <alignment horizontal="center" vertical="center"/>
    </xf>
    <xf numFmtId="0" fontId="37" fillId="39" borderId="70" xfId="0" applyFont="1" applyFill="1" applyBorder="1" applyAlignment="1">
      <alignment horizontal="center" vertical="center"/>
    </xf>
    <xf numFmtId="0" fontId="0" fillId="38" borderId="0" xfId="0" applyFill="1" applyAlignment="1">
      <alignment horizontal="center" vertical="center"/>
    </xf>
    <xf numFmtId="0" fontId="29" fillId="6" borderId="23" xfId="0" applyFont="1" applyFill="1" applyBorder="1" applyAlignment="1">
      <alignment horizontal="center" vertical="center"/>
    </xf>
    <xf numFmtId="0" fontId="29" fillId="6" borderId="20" xfId="0" applyFont="1" applyFill="1" applyBorder="1" applyAlignment="1">
      <alignment horizontal="center" vertical="center"/>
    </xf>
    <xf numFmtId="0" fontId="29" fillId="6" borderId="22" xfId="0" applyFont="1" applyFill="1" applyBorder="1" applyAlignment="1">
      <alignment horizontal="center" vertical="center"/>
    </xf>
    <xf numFmtId="0" fontId="29" fillId="6" borderId="3" xfId="0" applyFont="1" applyFill="1" applyBorder="1" applyAlignment="1">
      <alignment horizontal="center" vertical="center"/>
    </xf>
    <xf numFmtId="0" fontId="29" fillId="6" borderId="18" xfId="0" applyFont="1" applyFill="1" applyBorder="1" applyAlignment="1">
      <alignment horizontal="center" vertical="center"/>
    </xf>
    <xf numFmtId="0" fontId="29" fillId="6" borderId="1" xfId="0" applyFont="1" applyFill="1" applyBorder="1" applyAlignment="1">
      <alignment horizontal="center" vertical="center"/>
    </xf>
    <xf numFmtId="0" fontId="42" fillId="6" borderId="40" xfId="0" applyFont="1" applyFill="1" applyBorder="1" applyAlignment="1">
      <alignment horizontal="center" vertical="center" wrapText="1"/>
    </xf>
    <xf numFmtId="0" fontId="42" fillId="6" borderId="40" xfId="0" applyFont="1" applyFill="1" applyBorder="1" applyAlignment="1">
      <alignment horizontal="center" vertical="center"/>
    </xf>
    <xf numFmtId="0" fontId="42" fillId="6" borderId="41" xfId="0" applyFont="1" applyFill="1" applyBorder="1" applyAlignment="1">
      <alignment horizontal="center" vertical="center"/>
    </xf>
    <xf numFmtId="0" fontId="42" fillId="6" borderId="0" xfId="0" applyFont="1" applyFill="1" applyAlignment="1">
      <alignment horizontal="center" vertical="center"/>
    </xf>
    <xf numFmtId="0" fontId="29" fillId="6" borderId="10" xfId="0" applyFont="1" applyFill="1" applyBorder="1" applyAlignment="1">
      <alignment horizontal="center" vertical="center"/>
    </xf>
    <xf numFmtId="0" fontId="29" fillId="6" borderId="42" xfId="0" applyFont="1" applyFill="1" applyBorder="1" applyAlignment="1">
      <alignment horizontal="center" vertical="center"/>
    </xf>
    <xf numFmtId="0" fontId="29" fillId="6" borderId="2" xfId="0" applyFont="1" applyFill="1" applyBorder="1" applyAlignment="1">
      <alignment horizontal="center" vertical="center"/>
    </xf>
    <xf numFmtId="0" fontId="29" fillId="6" borderId="44" xfId="0" applyFont="1" applyFill="1" applyBorder="1" applyAlignment="1">
      <alignment horizontal="center" vertical="center"/>
    </xf>
    <xf numFmtId="177" fontId="43" fillId="0" borderId="71" xfId="45" applyNumberFormat="1" applyFont="1" applyBorder="1" applyAlignment="1">
      <alignment horizontal="center" vertical="center"/>
    </xf>
    <xf numFmtId="177" fontId="43" fillId="0" borderId="6" xfId="45" applyNumberFormat="1" applyFont="1" applyBorder="1" applyAlignment="1">
      <alignment horizontal="center" vertical="center"/>
    </xf>
    <xf numFmtId="177" fontId="43" fillId="0" borderId="2" xfId="45" applyNumberFormat="1" applyFont="1" applyBorder="1" applyAlignment="1">
      <alignment horizontal="center" vertical="center"/>
    </xf>
    <xf numFmtId="0" fontId="43" fillId="0" borderId="71" xfId="45" applyNumberFormat="1" applyFont="1" applyBorder="1" applyAlignment="1">
      <alignment horizontal="center" vertical="center"/>
    </xf>
    <xf numFmtId="0" fontId="43" fillId="0" borderId="6" xfId="45" applyNumberFormat="1" applyFont="1" applyBorder="1" applyAlignment="1">
      <alignment horizontal="center" vertical="center"/>
    </xf>
    <xf numFmtId="0" fontId="43" fillId="0" borderId="2" xfId="45" applyNumberFormat="1" applyFont="1" applyBorder="1" applyAlignment="1">
      <alignment horizontal="center" vertical="center"/>
    </xf>
    <xf numFmtId="0" fontId="43" fillId="0" borderId="72" xfId="45" applyNumberFormat="1" applyFont="1" applyBorder="1" applyAlignment="1">
      <alignment horizontal="center" vertical="center"/>
    </xf>
    <xf numFmtId="0" fontId="43" fillId="0" borderId="55" xfId="45" applyNumberFormat="1" applyFont="1" applyBorder="1" applyAlignment="1">
      <alignment horizontal="center" vertical="center"/>
    </xf>
    <xf numFmtId="0" fontId="43" fillId="0" borderId="44" xfId="45" applyNumberFormat="1" applyFont="1" applyBorder="1" applyAlignment="1">
      <alignment horizontal="center" vertical="center"/>
    </xf>
    <xf numFmtId="38" fontId="43" fillId="0" borderId="6" xfId="45" applyNumberFormat="1" applyFont="1" applyBorder="1" applyAlignment="1">
      <alignment horizontal="center" vertical="center"/>
    </xf>
    <xf numFmtId="38" fontId="43" fillId="0" borderId="8" xfId="45" applyNumberFormat="1" applyFont="1" applyBorder="1" applyAlignment="1">
      <alignment horizontal="center" vertical="center"/>
    </xf>
    <xf numFmtId="0" fontId="43" fillId="0" borderId="71" xfId="45" applyFont="1" applyBorder="1" applyAlignment="1">
      <alignment horizontal="center" vertical="center"/>
    </xf>
    <xf numFmtId="0" fontId="43" fillId="0" borderId="6" xfId="45" applyFont="1" applyBorder="1" applyAlignment="1">
      <alignment horizontal="center" vertical="center"/>
    </xf>
    <xf numFmtId="0" fontId="43" fillId="0" borderId="2" xfId="45" applyFont="1" applyBorder="1" applyAlignment="1">
      <alignment horizontal="center" vertical="center"/>
    </xf>
    <xf numFmtId="0" fontId="43" fillId="0" borderId="8" xfId="45" applyFont="1" applyBorder="1" applyAlignment="1">
      <alignment horizontal="center" vertical="center"/>
    </xf>
    <xf numFmtId="38" fontId="43" fillId="0" borderId="71" xfId="45" applyNumberFormat="1" applyFont="1" applyBorder="1" applyAlignment="1">
      <alignment horizontal="center" vertical="center"/>
    </xf>
    <xf numFmtId="38" fontId="43" fillId="0" borderId="2" xfId="45" applyNumberFormat="1" applyFont="1" applyBorder="1" applyAlignment="1">
      <alignment horizontal="center" vertical="center"/>
    </xf>
    <xf numFmtId="38" fontId="43" fillId="0" borderId="6" xfId="45" applyNumberFormat="1" applyFont="1" applyBorder="1" applyAlignment="1">
      <alignment horizontal="center" vertical="center"/>
    </xf>
    <xf numFmtId="0" fontId="43" fillId="0" borderId="9" xfId="34" applyFont="1" applyBorder="1" applyAlignment="1">
      <alignment horizontal="center" vertical="center"/>
    </xf>
    <xf numFmtId="38" fontId="43" fillId="0" borderId="6" xfId="34" applyNumberFormat="1" applyFont="1" applyBorder="1" applyAlignment="1">
      <alignment horizontal="center" vertical="center"/>
    </xf>
    <xf numFmtId="0" fontId="43" fillId="0" borderId="9" xfId="45" applyFont="1" applyBorder="1" applyAlignment="1">
      <alignment horizontal="center" vertical="center"/>
    </xf>
    <xf numFmtId="38" fontId="43" fillId="0" borderId="55" xfId="45" applyNumberFormat="1" applyFont="1" applyBorder="1" applyAlignment="1">
      <alignment horizontal="center" vertical="center"/>
    </xf>
    <xf numFmtId="38" fontId="43" fillId="0" borderId="55" xfId="34" applyNumberFormat="1" applyFont="1" applyBorder="1" applyAlignment="1">
      <alignment horizontal="center" vertical="center"/>
    </xf>
    <xf numFmtId="38" fontId="43" fillId="0" borderId="71" xfId="45" applyNumberFormat="1" applyFont="1" applyBorder="1" applyAlignment="1">
      <alignment horizontal="center" vertical="center"/>
    </xf>
    <xf numFmtId="0" fontId="43" fillId="0" borderId="57" xfId="45" applyFont="1" applyBorder="1" applyAlignment="1">
      <alignment horizontal="center" vertical="center"/>
    </xf>
    <xf numFmtId="0" fontId="43" fillId="0" borderId="73" xfId="45" applyFont="1" applyBorder="1" applyAlignment="1">
      <alignment horizontal="center" vertical="center"/>
    </xf>
    <xf numFmtId="0" fontId="44" fillId="0" borderId="9" xfId="45" applyFont="1" applyBorder="1" applyAlignment="1">
      <alignment horizontal="center" vertical="center"/>
    </xf>
    <xf numFmtId="38" fontId="44" fillId="0" borderId="6" xfId="45" applyNumberFormat="1" applyFont="1" applyBorder="1" applyAlignment="1">
      <alignment horizontal="center" vertical="center"/>
    </xf>
    <xf numFmtId="38" fontId="44" fillId="0" borderId="55" xfId="45" applyNumberFormat="1" applyFont="1" applyBorder="1" applyAlignment="1">
      <alignment horizontal="center" vertical="center"/>
    </xf>
    <xf numFmtId="0" fontId="44" fillId="0" borderId="73" xfId="45" applyFont="1" applyBorder="1" applyAlignment="1">
      <alignment horizontal="center" vertical="center"/>
    </xf>
    <xf numFmtId="38" fontId="43" fillId="0" borderId="72" xfId="45" applyNumberFormat="1" applyFont="1" applyBorder="1" applyAlignment="1">
      <alignment horizontal="center" vertical="center"/>
    </xf>
    <xf numFmtId="38" fontId="44" fillId="0" borderId="71" xfId="45" applyNumberFormat="1" applyFont="1" applyBorder="1" applyAlignment="1">
      <alignment horizontal="center" vertical="center"/>
    </xf>
    <xf numFmtId="38" fontId="44" fillId="0" borderId="72" xfId="45" applyNumberFormat="1" applyFont="1" applyBorder="1" applyAlignment="1">
      <alignment horizontal="center" vertical="center"/>
    </xf>
    <xf numFmtId="38" fontId="43" fillId="0" borderId="6" xfId="45" applyNumberFormat="1" applyFont="1" applyBorder="1" applyAlignment="1">
      <alignment horizontal="center" vertical="center"/>
    </xf>
    <xf numFmtId="38" fontId="43" fillId="0" borderId="6" xfId="34" applyNumberFormat="1" applyFont="1" applyBorder="1" applyAlignment="1">
      <alignment horizontal="center" vertical="center"/>
    </xf>
    <xf numFmtId="38" fontId="43" fillId="0" borderId="55" xfId="45" applyNumberFormat="1" applyFont="1" applyBorder="1" applyAlignment="1">
      <alignment horizontal="center" vertical="center"/>
    </xf>
    <xf numFmtId="38" fontId="43" fillId="0" borderId="55" xfId="34" applyNumberFormat="1" applyFont="1" applyBorder="1" applyAlignment="1">
      <alignment horizontal="center" vertical="center"/>
    </xf>
    <xf numFmtId="38" fontId="43" fillId="0" borderId="9" xfId="45" applyNumberFormat="1" applyFont="1" applyBorder="1" applyAlignment="1">
      <alignment horizontal="center" vertical="center"/>
    </xf>
    <xf numFmtId="38" fontId="43" fillId="0" borderId="71" xfId="45" applyNumberFormat="1" applyFont="1" applyBorder="1" applyAlignment="1">
      <alignment horizontal="center" vertical="center"/>
    </xf>
    <xf numFmtId="38" fontId="43" fillId="0" borderId="72" xfId="45" applyNumberFormat="1" applyFont="1" applyBorder="1" applyAlignment="1">
      <alignment horizontal="center" vertical="center"/>
    </xf>
    <xf numFmtId="38" fontId="43" fillId="0" borderId="75" xfId="45" applyNumberFormat="1" applyFont="1" applyBorder="1" applyAlignment="1">
      <alignment horizontal="center" vertical="center"/>
    </xf>
    <xf numFmtId="38" fontId="43" fillId="0" borderId="75" xfId="34" applyNumberFormat="1" applyFont="1" applyBorder="1" applyAlignment="1">
      <alignment horizontal="center" vertical="center"/>
    </xf>
    <xf numFmtId="38" fontId="43" fillId="0" borderId="73" xfId="45" applyNumberFormat="1" applyFont="1" applyBorder="1" applyAlignment="1">
      <alignment horizontal="center" vertical="center"/>
    </xf>
    <xf numFmtId="38" fontId="43" fillId="0" borderId="57" xfId="45" applyNumberFormat="1" applyFont="1" applyBorder="1" applyAlignment="1">
      <alignment horizontal="center" vertical="center"/>
    </xf>
    <xf numFmtId="38" fontId="43" fillId="0" borderId="9" xfId="34" applyNumberFormat="1" applyFont="1" applyBorder="1" applyAlignment="1">
      <alignment horizontal="center" vertical="center"/>
    </xf>
    <xf numFmtId="38" fontId="43" fillId="0" borderId="6" xfId="45" applyNumberFormat="1" applyFont="1" applyBorder="1" applyAlignment="1">
      <alignment horizontal="center" vertical="center"/>
    </xf>
    <xf numFmtId="0" fontId="43" fillId="0" borderId="9" xfId="45" applyFont="1" applyBorder="1" applyAlignment="1">
      <alignment horizontal="center" vertical="center"/>
    </xf>
    <xf numFmtId="38" fontId="43" fillId="0" borderId="55" xfId="45" applyNumberFormat="1" applyFont="1" applyBorder="1" applyAlignment="1">
      <alignment horizontal="center" vertical="center"/>
    </xf>
    <xf numFmtId="38" fontId="43" fillId="0" borderId="9" xfId="45" applyNumberFormat="1" applyFont="1" applyBorder="1" applyAlignment="1">
      <alignment horizontal="center" vertical="center"/>
    </xf>
    <xf numFmtId="38" fontId="43" fillId="0" borderId="71" xfId="45" applyNumberFormat="1" applyFont="1" applyBorder="1" applyAlignment="1">
      <alignment horizontal="center" vertical="center"/>
    </xf>
    <xf numFmtId="0" fontId="43" fillId="0" borderId="57" xfId="45" applyFont="1" applyBorder="1" applyAlignment="1">
      <alignment horizontal="center" vertical="center"/>
    </xf>
    <xf numFmtId="0" fontId="43" fillId="0" borderId="73" xfId="45" applyFont="1" applyBorder="1" applyAlignment="1">
      <alignment horizontal="center" vertical="center"/>
    </xf>
    <xf numFmtId="38" fontId="43" fillId="0" borderId="72" xfId="45" applyNumberFormat="1" applyFont="1" applyBorder="1" applyAlignment="1">
      <alignment horizontal="center" vertical="center"/>
    </xf>
    <xf numFmtId="38" fontId="43" fillId="0" borderId="75" xfId="45" applyNumberFormat="1" applyFont="1" applyBorder="1" applyAlignment="1">
      <alignment horizontal="center" vertical="center"/>
    </xf>
    <xf numFmtId="38" fontId="43" fillId="0" borderId="6" xfId="45" applyNumberFormat="1" applyFont="1" applyBorder="1" applyAlignment="1">
      <alignment horizontal="center" vertical="center"/>
    </xf>
    <xf numFmtId="0" fontId="43" fillId="0" borderId="9" xfId="45" applyFont="1" applyBorder="1" applyAlignment="1">
      <alignment horizontal="center" vertical="center"/>
    </xf>
    <xf numFmtId="38" fontId="43" fillId="0" borderId="55" xfId="45" applyNumberFormat="1" applyFont="1" applyBorder="1" applyAlignment="1">
      <alignment horizontal="center" vertical="center"/>
    </xf>
    <xf numFmtId="38" fontId="43" fillId="0" borderId="71" xfId="45" applyNumberFormat="1" applyFont="1" applyBorder="1" applyAlignment="1">
      <alignment horizontal="center" vertical="center"/>
    </xf>
    <xf numFmtId="0" fontId="43" fillId="0" borderId="73" xfId="45" applyFont="1" applyBorder="1" applyAlignment="1">
      <alignment horizontal="center" vertical="center"/>
    </xf>
    <xf numFmtId="38" fontId="43" fillId="0" borderId="72" xfId="45" applyNumberFormat="1" applyFont="1" applyBorder="1" applyAlignment="1">
      <alignment horizontal="center" vertical="center"/>
    </xf>
    <xf numFmtId="0" fontId="32" fillId="0" borderId="74" xfId="0" applyFont="1" applyBorder="1" applyAlignment="1">
      <alignment horizontal="center" vertical="center"/>
    </xf>
    <xf numFmtId="0" fontId="32" fillId="0" borderId="8" xfId="0" applyFont="1" applyBorder="1" applyAlignment="1">
      <alignment horizontal="center" vertical="center"/>
    </xf>
    <xf numFmtId="38" fontId="43" fillId="0" borderId="6" xfId="45" applyNumberFormat="1" applyFont="1" applyBorder="1" applyAlignment="1">
      <alignment horizontal="center" vertical="center"/>
    </xf>
    <xf numFmtId="0" fontId="43" fillId="0" borderId="9" xfId="45" applyFont="1" applyBorder="1" applyAlignment="1">
      <alignment horizontal="center" vertical="center"/>
    </xf>
    <xf numFmtId="38" fontId="43" fillId="0" borderId="55" xfId="45" applyNumberFormat="1" applyFont="1" applyBorder="1" applyAlignment="1">
      <alignment horizontal="center" vertical="center"/>
    </xf>
    <xf numFmtId="38" fontId="43" fillId="0" borderId="71" xfId="45" applyNumberFormat="1" applyFont="1" applyBorder="1" applyAlignment="1">
      <alignment horizontal="center" vertical="center"/>
    </xf>
    <xf numFmtId="0" fontId="43" fillId="0" borderId="57" xfId="45" applyFont="1" applyBorder="1" applyAlignment="1">
      <alignment horizontal="center" vertical="center"/>
    </xf>
    <xf numFmtId="0" fontId="43" fillId="0" borderId="73" xfId="45" applyFont="1" applyBorder="1" applyAlignment="1">
      <alignment horizontal="center" vertical="center"/>
    </xf>
    <xf numFmtId="38" fontId="43" fillId="0" borderId="72" xfId="45" applyNumberFormat="1" applyFont="1" applyBorder="1" applyAlignment="1">
      <alignment horizontal="center" vertical="center"/>
    </xf>
    <xf numFmtId="178" fontId="32" fillId="0" borderId="8" xfId="0" applyNumberFormat="1" applyFont="1" applyBorder="1" applyAlignment="1">
      <alignment horizontal="center" vertical="center"/>
    </xf>
    <xf numFmtId="178" fontId="32" fillId="0" borderId="74" xfId="0" applyNumberFormat="1" applyFont="1" applyBorder="1" applyAlignment="1">
      <alignment horizontal="center" vertical="center"/>
    </xf>
    <xf numFmtId="177" fontId="34" fillId="0" borderId="8" xfId="1" applyNumberFormat="1" applyFont="1" applyBorder="1" applyAlignment="1">
      <alignment horizontal="center" vertical="center"/>
    </xf>
    <xf numFmtId="177" fontId="34" fillId="0" borderId="74" xfId="1" applyNumberFormat="1" applyFont="1" applyBorder="1" applyAlignment="1">
      <alignment horizontal="center" vertical="center"/>
    </xf>
    <xf numFmtId="10" fontId="34" fillId="0" borderId="74" xfId="1" applyNumberFormat="1" applyFont="1" applyBorder="1" applyAlignment="1">
      <alignment horizontal="center" vertical="center"/>
    </xf>
    <xf numFmtId="10" fontId="34" fillId="0" borderId="8" xfId="1" applyNumberFormat="1" applyFont="1" applyBorder="1" applyAlignment="1">
      <alignment horizontal="center" vertical="center"/>
    </xf>
    <xf numFmtId="177" fontId="32" fillId="0" borderId="74" xfId="0" applyNumberFormat="1" applyFont="1" applyBorder="1" applyAlignment="1">
      <alignment horizontal="center" vertical="center"/>
    </xf>
    <xf numFmtId="177" fontId="32" fillId="0" borderId="8" xfId="0" applyNumberFormat="1" applyFont="1" applyBorder="1" applyAlignment="1">
      <alignment horizontal="center" vertical="center"/>
    </xf>
    <xf numFmtId="10" fontId="34" fillId="0" borderId="76" xfId="1" applyNumberFormat="1" applyFont="1" applyBorder="1" applyAlignment="1">
      <alignment horizontal="center" vertical="center"/>
    </xf>
    <xf numFmtId="10" fontId="34" fillId="0" borderId="25" xfId="1" applyNumberFormat="1" applyFont="1" applyBorder="1" applyAlignment="1">
      <alignment horizontal="center" vertical="center"/>
    </xf>
    <xf numFmtId="0" fontId="32" fillId="6" borderId="8" xfId="0" applyFont="1" applyFill="1" applyBorder="1" applyAlignment="1">
      <alignment horizontal="center" vertical="center"/>
    </xf>
    <xf numFmtId="0" fontId="32" fillId="6" borderId="74" xfId="0" applyFont="1" applyFill="1" applyBorder="1" applyAlignment="1">
      <alignment horizontal="center" vertical="center"/>
    </xf>
    <xf numFmtId="177" fontId="32" fillId="6" borderId="74" xfId="0" applyNumberFormat="1" applyFont="1" applyFill="1" applyBorder="1" applyAlignment="1">
      <alignment horizontal="center" vertical="center"/>
    </xf>
    <xf numFmtId="177" fontId="32" fillId="6" borderId="8" xfId="0" applyNumberFormat="1" applyFont="1" applyFill="1" applyBorder="1" applyAlignment="1">
      <alignment horizontal="center" vertical="center"/>
    </xf>
  </cellXfs>
  <cellStyles count="50">
    <cellStyle name="20% - 강조색1" xfId="17" builtinId="30" customBuiltin="1"/>
    <cellStyle name="20% - 강조색2" xfId="20" builtinId="34" customBuiltin="1"/>
    <cellStyle name="20% - 강조색3" xfId="23" builtinId="38" customBuiltin="1"/>
    <cellStyle name="20% - 강조색4" xfId="26" builtinId="42" customBuiltin="1"/>
    <cellStyle name="20% - 강조색5" xfId="29" builtinId="46" customBuiltin="1"/>
    <cellStyle name="20% - 강조색6" xfId="32" builtinId="50" customBuiltin="1"/>
    <cellStyle name="40% - 강조색1" xfId="18" builtinId="31" customBuiltin="1"/>
    <cellStyle name="40% - 강조색2" xfId="21" builtinId="35" customBuiltin="1"/>
    <cellStyle name="40% - 강조색3" xfId="24" builtinId="39" customBuiltin="1"/>
    <cellStyle name="40% - 강조색4" xfId="27" builtinId="43" customBuiltin="1"/>
    <cellStyle name="40% - 강조색5" xfId="30" builtinId="47" customBuiltin="1"/>
    <cellStyle name="40% - 강조색6" xfId="33" builtinId="51" customBuiltin="1"/>
    <cellStyle name="60% - 강조색1 2" xfId="37" xr:uid="{00000000-0005-0000-0000-000032000000}"/>
    <cellStyle name="60% - 강조색2 2" xfId="38" xr:uid="{00000000-0005-0000-0000-000033000000}"/>
    <cellStyle name="60% - 강조색3 2" xfId="39" xr:uid="{00000000-0005-0000-0000-000034000000}"/>
    <cellStyle name="60% - 강조색4 2" xfId="40" xr:uid="{00000000-0005-0000-0000-000035000000}"/>
    <cellStyle name="60% - 강조색5 2" xfId="41" xr:uid="{00000000-0005-0000-0000-000036000000}"/>
    <cellStyle name="60% - 강조색6 2" xfId="42" xr:uid="{00000000-0005-0000-0000-000037000000}"/>
    <cellStyle name="강조색1" xfId="16" builtinId="29" customBuiltin="1"/>
    <cellStyle name="강조색2" xfId="19" builtinId="33" customBuiltin="1"/>
    <cellStyle name="강조색3" xfId="22" builtinId="37" customBuiltin="1"/>
    <cellStyle name="강조색4" xfId="25" builtinId="41" customBuiltin="1"/>
    <cellStyle name="강조색5" xfId="28" builtinId="45" customBuiltin="1"/>
    <cellStyle name="강조색6" xfId="31" builtinId="49" customBuiltin="1"/>
    <cellStyle name="경고문" xfId="13" builtinId="11" customBuiltin="1"/>
    <cellStyle name="계산" xfId="10" builtinId="22" customBuiltin="1"/>
    <cellStyle name="나쁨" xfId="7" builtinId="27" customBuiltin="1"/>
    <cellStyle name="메모 2" xfId="44" xr:uid="{00000000-0005-0000-0000-00001B000000}"/>
    <cellStyle name="보통 2" xfId="36" xr:uid="{00000000-0005-0000-0000-000039000000}"/>
    <cellStyle name="설명 텍스트" xfId="14" builtinId="53" customBuiltin="1"/>
    <cellStyle name="셀 확인" xfId="12" builtinId="23" customBuiltin="1"/>
    <cellStyle name="연결된 셀" xfId="11" builtinId="24" customBuiltin="1"/>
    <cellStyle name="열어 본 하이퍼링크 2" xfId="47" xr:uid="{00000000-0005-0000-0000-000020000000}"/>
    <cellStyle name="요약" xfId="15" builtinId="25" customBuiltin="1"/>
    <cellStyle name="입력" xfId="8" builtinId="20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제목 5" xfId="35" xr:uid="{00000000-0005-0000-0000-00003B000000}"/>
    <cellStyle name="좋음" xfId="6" builtinId="26" customBuiltin="1"/>
    <cellStyle name="출력" xfId="9" builtinId="21" customBuiltin="1"/>
    <cellStyle name="표준" xfId="0" builtinId="0"/>
    <cellStyle name="표준 2" xfId="34" xr:uid="{00000000-0005-0000-0000-00002B000000}"/>
    <cellStyle name="표준 3" xfId="45" xr:uid="{00000000-0005-0000-0000-00002C000000}"/>
    <cellStyle name="표준 3 2" xfId="49" xr:uid="{00000000-0005-0000-0000-00002D000000}"/>
    <cellStyle name="표준 4" xfId="1" xr:uid="{2FF9B68B-8794-4F1F-9B6D-29886EAF3713}"/>
    <cellStyle name="표준 4 2" xfId="43" xr:uid="{00000000-0005-0000-0000-00002E000000}"/>
    <cellStyle name="표준 5" xfId="48" xr:uid="{00000000-0005-0000-0000-00002F000000}"/>
    <cellStyle name="하이퍼링크 2" xfId="46" xr:uid="{00000000-0005-0000-0000-000030000000}"/>
  </cellStyles>
  <dxfs count="62"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</dxfs>
  <tableStyles count="0" defaultTableStyle="TableStyleMedium2" defaultPivotStyle="PivotStyleLight16"/>
  <colors>
    <mruColors>
      <color rgb="FFD4D4D4"/>
      <color rgb="FFCCFFCC"/>
      <color rgb="FFFFFF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4</xdr:row>
          <xdr:rowOff>107950</xdr:rowOff>
        </xdr:from>
        <xdr:to>
          <xdr:col>9</xdr:col>
          <xdr:colOff>88900</xdr:colOff>
          <xdr:row>7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자동 병합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54</xdr:row>
      <xdr:rowOff>0</xdr:rowOff>
    </xdr:from>
    <xdr:ext cx="8647200" cy="1602362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736600" y="168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738909" y="417945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34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738909" y="10644909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74</xdr:row>
      <xdr:rowOff>0</xdr:rowOff>
    </xdr:from>
    <xdr:ext cx="8647200" cy="1602362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738909" y="23575818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94</xdr:row>
      <xdr:rowOff>0</xdr:rowOff>
    </xdr:from>
    <xdr:ext cx="8647200" cy="1602362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738909" y="30041273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54</xdr:row>
      <xdr:rowOff>0</xdr:rowOff>
    </xdr:from>
    <xdr:ext cx="8647200" cy="160236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 txBox="1"/>
      </xdr:nvSpPr>
      <xdr:spPr>
        <a:xfrm>
          <a:off x="736600" y="168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734786" y="410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34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734786" y="1045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74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/>
      </xdr:nvSpPr>
      <xdr:spPr>
        <a:xfrm>
          <a:off x="734786" y="2315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94</xdr:row>
      <xdr:rowOff>0</xdr:rowOff>
    </xdr:from>
    <xdr:ext cx="8647200" cy="1602362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 txBox="1"/>
      </xdr:nvSpPr>
      <xdr:spPr>
        <a:xfrm>
          <a:off x="734786" y="2950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8</xdr:row>
      <xdr:rowOff>0</xdr:rowOff>
    </xdr:from>
    <xdr:ext cx="648335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736600" y="2197100"/>
          <a:ext cx="648335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72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72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72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8</xdr:row>
      <xdr:rowOff>0</xdr:rowOff>
    </xdr:from>
    <xdr:ext cx="64770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736600" y="2197100"/>
          <a:ext cx="64770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72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72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72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 txBox="1"/>
      </xdr:nvSpPr>
      <xdr:spPr>
        <a:xfrm>
          <a:off x="746125" y="887412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 txBox="1"/>
      </xdr:nvSpPr>
      <xdr:spPr>
        <a:xfrm>
          <a:off x="746125" y="411162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 txBox="1"/>
      </xdr:nvSpPr>
      <xdr:spPr>
        <a:xfrm>
          <a:off x="746125" y="1363662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738909" y="417945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 txBox="1"/>
      </xdr:nvSpPr>
      <xdr:spPr>
        <a:xfrm>
          <a:off x="738909" y="902854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 txBox="1"/>
      </xdr:nvSpPr>
      <xdr:spPr>
        <a:xfrm>
          <a:off x="738909" y="1387763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734786" y="410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734786" y="88627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 txBox="1"/>
      </xdr:nvSpPr>
      <xdr:spPr>
        <a:xfrm>
          <a:off x="734786" y="13625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734786" y="410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 txBox="1"/>
      </xdr:nvSpPr>
      <xdr:spPr>
        <a:xfrm>
          <a:off x="734786" y="88627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 txBox="1"/>
      </xdr:nvSpPr>
      <xdr:spPr>
        <a:xfrm>
          <a:off x="734786" y="13625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734786" y="410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 txBox="1"/>
      </xdr:nvSpPr>
      <xdr:spPr>
        <a:xfrm>
          <a:off x="734786" y="88627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 txBox="1"/>
      </xdr:nvSpPr>
      <xdr:spPr>
        <a:xfrm>
          <a:off x="734786" y="13625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/>
      </xdr:nvSpPr>
      <xdr:spPr>
        <a:xfrm>
          <a:off x="734786" y="410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 txBox="1"/>
      </xdr:nvSpPr>
      <xdr:spPr>
        <a:xfrm>
          <a:off x="734786" y="88627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 txBox="1"/>
      </xdr:nvSpPr>
      <xdr:spPr>
        <a:xfrm>
          <a:off x="734786" y="13625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 txBox="1"/>
      </xdr:nvSpPr>
      <xdr:spPr>
        <a:xfrm>
          <a:off x="734786" y="410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 txBox="1"/>
      </xdr:nvSpPr>
      <xdr:spPr>
        <a:xfrm>
          <a:off x="734786" y="88627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 txBox="1"/>
      </xdr:nvSpPr>
      <xdr:spPr>
        <a:xfrm>
          <a:off x="734786" y="13625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 txBox="1"/>
      </xdr:nvSpPr>
      <xdr:spPr>
        <a:xfrm>
          <a:off x="734786" y="410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 txBox="1"/>
      </xdr:nvSpPr>
      <xdr:spPr>
        <a:xfrm>
          <a:off x="734786" y="88627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SpPr txBox="1"/>
      </xdr:nvSpPr>
      <xdr:spPr>
        <a:xfrm>
          <a:off x="734786" y="13625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 txBox="1"/>
      </xdr:nvSpPr>
      <xdr:spPr>
        <a:xfrm>
          <a:off x="734786" y="410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 txBox="1"/>
      </xdr:nvSpPr>
      <xdr:spPr>
        <a:xfrm>
          <a:off x="734786" y="88627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SpPr txBox="1"/>
      </xdr:nvSpPr>
      <xdr:spPr>
        <a:xfrm>
          <a:off x="734786" y="13625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 txBox="1"/>
      </xdr:nvSpPr>
      <xdr:spPr>
        <a:xfrm>
          <a:off x="734786" y="410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 txBox="1"/>
      </xdr:nvSpPr>
      <xdr:spPr>
        <a:xfrm>
          <a:off x="734786" y="88627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SpPr txBox="1"/>
      </xdr:nvSpPr>
      <xdr:spPr>
        <a:xfrm>
          <a:off x="734786" y="13625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 txBox="1"/>
      </xdr:nvSpPr>
      <xdr:spPr>
        <a:xfrm>
          <a:off x="734786" y="410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 txBox="1"/>
      </xdr:nvSpPr>
      <xdr:spPr>
        <a:xfrm>
          <a:off x="734786" y="88627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SpPr txBox="1"/>
      </xdr:nvSpPr>
      <xdr:spPr>
        <a:xfrm>
          <a:off x="734786" y="13625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 txBox="1"/>
      </xdr:nvSpPr>
      <xdr:spPr>
        <a:xfrm>
          <a:off x="734786" y="410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SpPr txBox="1"/>
      </xdr:nvSpPr>
      <xdr:spPr>
        <a:xfrm>
          <a:off x="734786" y="88627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SpPr txBox="1"/>
      </xdr:nvSpPr>
      <xdr:spPr>
        <a:xfrm>
          <a:off x="734786" y="13625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8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 txBox="1"/>
      </xdr:nvSpPr>
      <xdr:spPr>
        <a:xfrm>
          <a:off x="734786" y="410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 txBox="1"/>
      </xdr:nvSpPr>
      <xdr:spPr>
        <a:xfrm>
          <a:off x="734786" y="88627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SpPr txBox="1"/>
      </xdr:nvSpPr>
      <xdr:spPr>
        <a:xfrm>
          <a:off x="734786" y="13625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6F596D-1499-418A-8860-3C8EB1877B25}">
  <sheetPr codeName="Sheet1"/>
  <dimension ref="B3:E20"/>
  <sheetViews>
    <sheetView zoomScale="115" zoomScaleNormal="115" workbookViewId="0">
      <selection activeCell="C4" sqref="C4:E20"/>
    </sheetView>
  </sheetViews>
  <sheetFormatPr defaultRowHeight="17" x14ac:dyDescent="0.45"/>
  <cols>
    <col min="2" max="2" width="15.75" style="1" customWidth="1"/>
    <col min="3" max="5" width="12.58203125" style="1" customWidth="1"/>
  </cols>
  <sheetData>
    <row r="3" spans="2:5" ht="17.5" thickBot="1" x14ac:dyDescent="0.5">
      <c r="C3" s="1" t="s">
        <v>1</v>
      </c>
      <c r="D3" s="1" t="s">
        <v>2</v>
      </c>
      <c r="E3" s="1" t="s">
        <v>0</v>
      </c>
    </row>
    <row r="4" spans="2:5" ht="17.5" thickTop="1" x14ac:dyDescent="0.45">
      <c r="B4" s="16" t="s">
        <v>3</v>
      </c>
      <c r="C4" s="177">
        <v>356625</v>
      </c>
      <c r="D4" s="180" t="s">
        <v>135</v>
      </c>
      <c r="E4" s="183" t="s">
        <v>136</v>
      </c>
    </row>
    <row r="5" spans="2:5" x14ac:dyDescent="0.45">
      <c r="B5" s="16" t="s">
        <v>59</v>
      </c>
      <c r="C5" s="178">
        <v>354237</v>
      </c>
      <c r="D5" s="181" t="s">
        <v>137</v>
      </c>
      <c r="E5" s="184" t="s">
        <v>138</v>
      </c>
    </row>
    <row r="6" spans="2:5" x14ac:dyDescent="0.45">
      <c r="B6" s="16" t="s">
        <v>4</v>
      </c>
      <c r="C6" s="178">
        <v>351307</v>
      </c>
      <c r="D6" s="181" t="s">
        <v>139</v>
      </c>
      <c r="E6" s="184" t="s">
        <v>140</v>
      </c>
    </row>
    <row r="7" spans="2:5" x14ac:dyDescent="0.45">
      <c r="B7" s="16" t="s">
        <v>5</v>
      </c>
      <c r="C7" s="178">
        <v>349846</v>
      </c>
      <c r="D7" s="181" t="s">
        <v>141</v>
      </c>
      <c r="E7" s="184" t="s">
        <v>142</v>
      </c>
    </row>
    <row r="8" spans="2:5" x14ac:dyDescent="0.45">
      <c r="B8" s="16" t="s">
        <v>9</v>
      </c>
      <c r="C8" s="178">
        <v>85127</v>
      </c>
      <c r="D8" s="181" t="s">
        <v>143</v>
      </c>
      <c r="E8" s="184" t="s">
        <v>144</v>
      </c>
    </row>
    <row r="9" spans="2:5" x14ac:dyDescent="0.45">
      <c r="B9" s="16" t="s">
        <v>10</v>
      </c>
      <c r="C9" s="178">
        <v>50518</v>
      </c>
      <c r="D9" s="181" t="s">
        <v>145</v>
      </c>
      <c r="E9" s="184" t="s">
        <v>146</v>
      </c>
    </row>
    <row r="10" spans="2:5" x14ac:dyDescent="0.45">
      <c r="B10" s="16" t="s">
        <v>11</v>
      </c>
      <c r="C10" s="178">
        <v>32444</v>
      </c>
      <c r="D10" s="181" t="s">
        <v>147</v>
      </c>
      <c r="E10" s="184" t="s">
        <v>148</v>
      </c>
    </row>
    <row r="11" spans="2:5" x14ac:dyDescent="0.45">
      <c r="B11" s="16" t="s">
        <v>12</v>
      </c>
      <c r="C11" s="178">
        <v>29939</v>
      </c>
      <c r="D11" s="181" t="s">
        <v>149</v>
      </c>
      <c r="E11" s="184" t="s">
        <v>150</v>
      </c>
    </row>
    <row r="12" spans="2:5" x14ac:dyDescent="0.45">
      <c r="B12" s="16" t="s">
        <v>13</v>
      </c>
      <c r="C12" s="178">
        <v>12990</v>
      </c>
      <c r="D12" s="181" t="s">
        <v>151</v>
      </c>
      <c r="E12" s="184" t="s">
        <v>152</v>
      </c>
    </row>
    <row r="13" spans="2:5" x14ac:dyDescent="0.45">
      <c r="B13" s="16" t="s">
        <v>14</v>
      </c>
      <c r="C13" s="178">
        <v>24244</v>
      </c>
      <c r="D13" s="181" t="s">
        <v>153</v>
      </c>
      <c r="E13" s="184" t="s">
        <v>154</v>
      </c>
    </row>
    <row r="14" spans="2:5" x14ac:dyDescent="0.45">
      <c r="B14" s="16" t="s">
        <v>58</v>
      </c>
      <c r="C14" s="178">
        <v>16261</v>
      </c>
      <c r="D14" s="181" t="s">
        <v>155</v>
      </c>
      <c r="E14" s="184" t="s">
        <v>156</v>
      </c>
    </row>
    <row r="15" spans="2:5" x14ac:dyDescent="0.45">
      <c r="B15" s="16" t="s">
        <v>15</v>
      </c>
      <c r="C15" s="178">
        <v>37524</v>
      </c>
      <c r="D15" s="181" t="s">
        <v>157</v>
      </c>
      <c r="E15" s="184" t="s">
        <v>158</v>
      </c>
    </row>
    <row r="16" spans="2:5" x14ac:dyDescent="0.45">
      <c r="B16" s="16" t="s">
        <v>16</v>
      </c>
      <c r="C16" s="178">
        <v>71348</v>
      </c>
      <c r="D16" s="181" t="s">
        <v>159</v>
      </c>
      <c r="E16" s="184" t="s">
        <v>160</v>
      </c>
    </row>
    <row r="17" spans="2:5" x14ac:dyDescent="0.45">
      <c r="B17" s="16" t="s">
        <v>57</v>
      </c>
      <c r="C17" s="178">
        <v>58538</v>
      </c>
      <c r="D17" s="181" t="s">
        <v>161</v>
      </c>
      <c r="E17" s="184" t="s">
        <v>162</v>
      </c>
    </row>
    <row r="18" spans="2:5" x14ac:dyDescent="0.45">
      <c r="B18" s="16" t="s">
        <v>17</v>
      </c>
      <c r="C18" s="178">
        <v>72699</v>
      </c>
      <c r="D18" s="181" t="s">
        <v>163</v>
      </c>
      <c r="E18" s="184" t="s">
        <v>164</v>
      </c>
    </row>
    <row r="19" spans="2:5" x14ac:dyDescent="0.45">
      <c r="B19" s="16" t="s">
        <v>18</v>
      </c>
      <c r="C19" s="178">
        <v>114924</v>
      </c>
      <c r="D19" s="181" t="s">
        <v>165</v>
      </c>
      <c r="E19" s="184" t="s">
        <v>144</v>
      </c>
    </row>
    <row r="20" spans="2:5" ht="17.5" thickBot="1" x14ac:dyDescent="0.5">
      <c r="B20" s="16" t="s">
        <v>19</v>
      </c>
      <c r="C20" s="179">
        <v>86430</v>
      </c>
      <c r="D20" s="182" t="s">
        <v>166</v>
      </c>
      <c r="E20" s="185" t="s">
        <v>167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표점증발병합_및_복사영역선택">
                <anchor moveWithCells="1" sizeWithCells="1">
                  <from>
                    <xdr:col>6</xdr:col>
                    <xdr:colOff>323850</xdr:colOff>
                    <xdr:row>4</xdr:row>
                    <xdr:rowOff>107950</xdr:rowOff>
                  </from>
                  <to>
                    <xdr:col>9</xdr:col>
                    <xdr:colOff>88900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BFFD9-ECD1-4F20-92E4-14F247EF20FA}">
  <sheetPr codeName="Sheet2"/>
  <dimension ref="A3:V156"/>
  <sheetViews>
    <sheetView workbookViewId="0">
      <selection activeCell="C4" sqref="C4:D156"/>
    </sheetView>
  </sheetViews>
  <sheetFormatPr defaultRowHeight="17" x14ac:dyDescent="0.45"/>
  <cols>
    <col min="2" max="2" width="12.58203125" customWidth="1"/>
    <col min="3" max="3" width="18" customWidth="1"/>
    <col min="4" max="4" width="15.6640625" customWidth="1"/>
    <col min="5" max="22" width="12.58203125" customWidth="1"/>
  </cols>
  <sheetData>
    <row r="3" spans="1:22" ht="17.5" thickBot="1" x14ac:dyDescent="0.5">
      <c r="C3" s="162" t="s">
        <v>55</v>
      </c>
      <c r="D3" s="162"/>
      <c r="E3" s="1"/>
      <c r="F3" s="1"/>
      <c r="G3" s="1"/>
      <c r="H3" s="1"/>
      <c r="I3" s="1"/>
      <c r="J3" s="1"/>
      <c r="K3" s="1"/>
      <c r="L3" s="1"/>
      <c r="M3" s="1"/>
      <c r="N3" s="1"/>
      <c r="O3" s="1" t="s">
        <v>23</v>
      </c>
      <c r="P3" s="1" t="s">
        <v>17</v>
      </c>
      <c r="Q3" s="1" t="s">
        <v>18</v>
      </c>
      <c r="R3" s="1" t="s">
        <v>19</v>
      </c>
      <c r="S3" s="1" t="s">
        <v>24</v>
      </c>
      <c r="T3" s="1" t="s">
        <v>20</v>
      </c>
      <c r="U3" s="1" t="s">
        <v>21</v>
      </c>
      <c r="V3" s="1" t="s">
        <v>22</v>
      </c>
    </row>
    <row r="4" spans="1:22" ht="17.5" thickTop="1" x14ac:dyDescent="0.45">
      <c r="A4" t="s">
        <v>43</v>
      </c>
      <c r="B4" s="1" t="s">
        <v>25</v>
      </c>
      <c r="C4" s="188">
        <v>134</v>
      </c>
      <c r="D4" s="192">
        <v>15973</v>
      </c>
    </row>
    <row r="5" spans="1:22" x14ac:dyDescent="0.45">
      <c r="B5" s="1" t="s">
        <v>26</v>
      </c>
      <c r="C5" s="189">
        <v>127</v>
      </c>
      <c r="D5" s="186">
        <v>23801</v>
      </c>
    </row>
    <row r="6" spans="1:22" x14ac:dyDescent="0.45">
      <c r="B6" s="1" t="s">
        <v>27</v>
      </c>
      <c r="C6" s="189">
        <v>117</v>
      </c>
      <c r="D6" s="186">
        <v>46291</v>
      </c>
    </row>
    <row r="7" spans="1:22" x14ac:dyDescent="0.45">
      <c r="B7" s="1" t="s">
        <v>28</v>
      </c>
      <c r="C7" s="189">
        <v>107</v>
      </c>
      <c r="D7" s="186">
        <v>56872</v>
      </c>
    </row>
    <row r="8" spans="1:22" x14ac:dyDescent="0.45">
      <c r="B8" s="1" t="s">
        <v>29</v>
      </c>
      <c r="C8" s="189">
        <v>94</v>
      </c>
      <c r="D8" s="186">
        <v>73618</v>
      </c>
    </row>
    <row r="9" spans="1:22" x14ac:dyDescent="0.45">
      <c r="B9" s="1" t="s">
        <v>30</v>
      </c>
      <c r="C9" s="189">
        <v>82</v>
      </c>
      <c r="D9" s="186">
        <v>59802</v>
      </c>
    </row>
    <row r="10" spans="1:22" x14ac:dyDescent="0.45">
      <c r="B10" s="1" t="s">
        <v>31</v>
      </c>
      <c r="C10" s="189">
        <v>74</v>
      </c>
      <c r="D10" s="186">
        <v>41225</v>
      </c>
    </row>
    <row r="11" spans="1:22" x14ac:dyDescent="0.45">
      <c r="B11" s="1" t="s">
        <v>32</v>
      </c>
      <c r="C11" s="189">
        <v>69</v>
      </c>
      <c r="D11" s="186">
        <v>27329</v>
      </c>
    </row>
    <row r="12" spans="1:22" ht="17.5" thickBot="1" x14ac:dyDescent="0.5">
      <c r="B12" s="1" t="s">
        <v>34</v>
      </c>
      <c r="C12" s="190">
        <v>53</v>
      </c>
      <c r="D12" s="193">
        <v>11714</v>
      </c>
    </row>
    <row r="13" spans="1:22" x14ac:dyDescent="0.45">
      <c r="A13" t="s">
        <v>61</v>
      </c>
      <c r="B13" s="1" t="s">
        <v>35</v>
      </c>
      <c r="C13" s="191">
        <v>141</v>
      </c>
      <c r="D13" s="187">
        <v>14976</v>
      </c>
    </row>
    <row r="14" spans="1:22" x14ac:dyDescent="0.45">
      <c r="B14" s="1" t="s">
        <v>36</v>
      </c>
      <c r="C14" s="189">
        <v>130</v>
      </c>
      <c r="D14" s="186">
        <v>25050</v>
      </c>
    </row>
    <row r="15" spans="1:22" x14ac:dyDescent="0.45">
      <c r="B15" s="1" t="s">
        <v>37</v>
      </c>
      <c r="C15" s="189">
        <v>117</v>
      </c>
      <c r="D15" s="186">
        <v>42529</v>
      </c>
    </row>
    <row r="16" spans="1:22" x14ac:dyDescent="0.45">
      <c r="B16" s="1" t="s">
        <v>38</v>
      </c>
      <c r="C16" s="189">
        <v>101</v>
      </c>
      <c r="D16" s="186">
        <v>60573</v>
      </c>
    </row>
    <row r="17" spans="1:4" x14ac:dyDescent="0.45">
      <c r="B17" s="1" t="s">
        <v>39</v>
      </c>
      <c r="C17" s="189">
        <v>89</v>
      </c>
      <c r="D17" s="186">
        <v>76525</v>
      </c>
    </row>
    <row r="18" spans="1:4" x14ac:dyDescent="0.45">
      <c r="B18" s="1" t="s">
        <v>40</v>
      </c>
      <c r="C18" s="189">
        <v>84</v>
      </c>
      <c r="D18" s="186">
        <v>53403</v>
      </c>
    </row>
    <row r="19" spans="1:4" x14ac:dyDescent="0.45">
      <c r="B19" s="1" t="s">
        <v>41</v>
      </c>
      <c r="C19" s="189">
        <v>80</v>
      </c>
      <c r="D19" s="186">
        <v>44084</v>
      </c>
    </row>
    <row r="20" spans="1:4" x14ac:dyDescent="0.45">
      <c r="B20" s="1" t="s">
        <v>42</v>
      </c>
      <c r="C20" s="189">
        <v>74</v>
      </c>
      <c r="D20" s="186">
        <v>24269</v>
      </c>
    </row>
    <row r="21" spans="1:4" ht="17.5" thickBot="1" x14ac:dyDescent="0.5">
      <c r="B21" s="1" t="s">
        <v>33</v>
      </c>
      <c r="C21" s="190">
        <v>67</v>
      </c>
      <c r="D21" s="193">
        <v>12828</v>
      </c>
    </row>
    <row r="22" spans="1:4" x14ac:dyDescent="0.45">
      <c r="A22" t="s">
        <v>62</v>
      </c>
      <c r="B22" s="1" t="s">
        <v>25</v>
      </c>
      <c r="C22" s="191">
        <v>90</v>
      </c>
      <c r="D22" s="187">
        <v>37643</v>
      </c>
    </row>
    <row r="23" spans="1:4" x14ac:dyDescent="0.45">
      <c r="B23" s="1" t="s">
        <v>26</v>
      </c>
      <c r="C23" s="189">
        <v>80</v>
      </c>
      <c r="D23" s="186">
        <v>40907</v>
      </c>
    </row>
    <row r="24" spans="1:4" x14ac:dyDescent="0.45">
      <c r="B24" s="1" t="s">
        <v>27</v>
      </c>
      <c r="C24" s="189">
        <v>70</v>
      </c>
      <c r="D24" s="186">
        <v>53664</v>
      </c>
    </row>
    <row r="25" spans="1:4" x14ac:dyDescent="0.45">
      <c r="B25" s="1" t="s">
        <v>28</v>
      </c>
      <c r="C25" s="189">
        <v>60</v>
      </c>
      <c r="D25" s="186">
        <v>53820</v>
      </c>
    </row>
    <row r="26" spans="1:4" x14ac:dyDescent="0.45">
      <c r="B26" s="1" t="s">
        <v>29</v>
      </c>
      <c r="C26" s="189">
        <v>50</v>
      </c>
      <c r="D26" s="186">
        <v>43312</v>
      </c>
    </row>
    <row r="27" spans="1:4" x14ac:dyDescent="0.45">
      <c r="B27" s="1" t="s">
        <v>30</v>
      </c>
      <c r="C27" s="189">
        <v>40</v>
      </c>
      <c r="D27" s="186">
        <v>36897</v>
      </c>
    </row>
    <row r="28" spans="1:4" x14ac:dyDescent="0.45">
      <c r="B28" s="1" t="s">
        <v>31</v>
      </c>
      <c r="C28" s="189">
        <v>30</v>
      </c>
      <c r="D28" s="186">
        <v>31939</v>
      </c>
    </row>
    <row r="29" spans="1:4" x14ac:dyDescent="0.45">
      <c r="B29" s="1" t="s">
        <v>32</v>
      </c>
      <c r="C29" s="189">
        <v>20</v>
      </c>
      <c r="D29" s="186">
        <v>38658</v>
      </c>
    </row>
    <row r="30" spans="1:4" ht="17.5" thickBot="1" x14ac:dyDescent="0.5">
      <c r="B30" s="1" t="s">
        <v>34</v>
      </c>
      <c r="C30" s="190">
        <v>0</v>
      </c>
      <c r="D30" s="193">
        <v>14467</v>
      </c>
    </row>
    <row r="31" spans="1:4" x14ac:dyDescent="0.45">
      <c r="A31" t="s">
        <v>63</v>
      </c>
      <c r="B31" s="1" t="s">
        <v>25</v>
      </c>
      <c r="C31" s="191">
        <v>40</v>
      </c>
      <c r="D31" s="187">
        <v>55715</v>
      </c>
    </row>
    <row r="32" spans="1:4" x14ac:dyDescent="0.45">
      <c r="B32" s="1" t="s">
        <v>26</v>
      </c>
      <c r="C32" s="189">
        <v>35</v>
      </c>
      <c r="D32" s="186">
        <v>37620</v>
      </c>
    </row>
    <row r="33" spans="1:4" x14ac:dyDescent="0.45">
      <c r="B33" s="1" t="s">
        <v>27</v>
      </c>
      <c r="C33" s="189">
        <v>30</v>
      </c>
      <c r="D33" s="186">
        <v>41836</v>
      </c>
    </row>
    <row r="34" spans="1:4" x14ac:dyDescent="0.45">
      <c r="B34" s="1" t="s">
        <v>28</v>
      </c>
      <c r="C34" s="189">
        <v>25</v>
      </c>
      <c r="D34" s="186">
        <v>43733</v>
      </c>
    </row>
    <row r="35" spans="1:4" x14ac:dyDescent="0.45">
      <c r="B35" s="1" t="s">
        <v>29</v>
      </c>
      <c r="C35" s="189">
        <v>20</v>
      </c>
      <c r="D35" s="186">
        <v>42400</v>
      </c>
    </row>
    <row r="36" spans="1:4" x14ac:dyDescent="0.45">
      <c r="B36" s="1" t="s">
        <v>30</v>
      </c>
      <c r="C36" s="189">
        <v>15</v>
      </c>
      <c r="D36" s="186">
        <v>41320</v>
      </c>
    </row>
    <row r="37" spans="1:4" x14ac:dyDescent="0.45">
      <c r="B37" s="1" t="s">
        <v>31</v>
      </c>
      <c r="C37" s="189">
        <v>10</v>
      </c>
      <c r="D37" s="186">
        <v>60650</v>
      </c>
    </row>
    <row r="38" spans="1:4" x14ac:dyDescent="0.45">
      <c r="B38" s="1" t="s">
        <v>32</v>
      </c>
      <c r="C38" s="189">
        <v>5</v>
      </c>
      <c r="D38" s="186">
        <v>21875</v>
      </c>
    </row>
    <row r="39" spans="1:4" ht="17.5" thickBot="1" x14ac:dyDescent="0.5">
      <c r="B39" s="1" t="s">
        <v>34</v>
      </c>
      <c r="C39" s="190">
        <v>0</v>
      </c>
      <c r="D39" s="193">
        <v>4697</v>
      </c>
    </row>
    <row r="40" spans="1:4" x14ac:dyDescent="0.45">
      <c r="A40" t="s">
        <v>44</v>
      </c>
      <c r="B40" s="1" t="s">
        <v>35</v>
      </c>
      <c r="C40" s="191">
        <v>69</v>
      </c>
      <c r="D40" s="187">
        <v>3877</v>
      </c>
    </row>
    <row r="41" spans="1:4" x14ac:dyDescent="0.45">
      <c r="B41" s="1" t="s">
        <v>36</v>
      </c>
      <c r="C41" s="189">
        <v>63</v>
      </c>
      <c r="D41" s="186">
        <v>6135</v>
      </c>
    </row>
    <row r="42" spans="1:4" x14ac:dyDescent="0.45">
      <c r="B42" s="1" t="s">
        <v>37</v>
      </c>
      <c r="C42" s="189">
        <v>57</v>
      </c>
      <c r="D42" s="186">
        <v>11420</v>
      </c>
    </row>
    <row r="43" spans="1:4" x14ac:dyDescent="0.45">
      <c r="B43" s="1" t="s">
        <v>38</v>
      </c>
      <c r="C43" s="189">
        <v>52</v>
      </c>
      <c r="D43" s="186">
        <v>13763</v>
      </c>
    </row>
    <row r="44" spans="1:4" x14ac:dyDescent="0.45">
      <c r="B44" s="1" t="s">
        <v>39</v>
      </c>
      <c r="C44" s="189">
        <v>47</v>
      </c>
      <c r="D44" s="186">
        <v>17119</v>
      </c>
    </row>
    <row r="45" spans="1:4" x14ac:dyDescent="0.45">
      <c r="B45" s="1" t="s">
        <v>40</v>
      </c>
      <c r="C45" s="189">
        <v>41</v>
      </c>
      <c r="D45" s="186">
        <v>13985</v>
      </c>
    </row>
    <row r="46" spans="1:4" x14ac:dyDescent="0.45">
      <c r="B46" s="1" t="s">
        <v>41</v>
      </c>
      <c r="C46" s="189">
        <v>38</v>
      </c>
      <c r="D46" s="186">
        <v>12713</v>
      </c>
    </row>
    <row r="47" spans="1:4" x14ac:dyDescent="0.45">
      <c r="B47" s="1" t="s">
        <v>42</v>
      </c>
      <c r="C47" s="189">
        <v>35</v>
      </c>
      <c r="D47" s="186">
        <v>4172</v>
      </c>
    </row>
    <row r="48" spans="1:4" x14ac:dyDescent="0.45">
      <c r="B48" s="1" t="s">
        <v>33</v>
      </c>
      <c r="C48" s="189">
        <v>28</v>
      </c>
      <c r="D48" s="186">
        <v>1943</v>
      </c>
    </row>
    <row r="49" spans="1:4" x14ac:dyDescent="0.45">
      <c r="A49" t="s">
        <v>45</v>
      </c>
      <c r="B49" s="1" t="s">
        <v>25</v>
      </c>
      <c r="C49" s="189">
        <v>70</v>
      </c>
      <c r="D49" s="186">
        <v>2280</v>
      </c>
    </row>
    <row r="50" spans="1:4" x14ac:dyDescent="0.45">
      <c r="B50" s="1" t="s">
        <v>26</v>
      </c>
      <c r="C50" s="189">
        <v>64</v>
      </c>
      <c r="D50" s="186">
        <v>3508</v>
      </c>
    </row>
    <row r="51" spans="1:4" x14ac:dyDescent="0.45">
      <c r="B51" s="1" t="s">
        <v>27</v>
      </c>
      <c r="C51" s="189">
        <v>58</v>
      </c>
      <c r="D51" s="186">
        <v>5924</v>
      </c>
    </row>
    <row r="52" spans="1:4" x14ac:dyDescent="0.45">
      <c r="B52" s="1" t="s">
        <v>28</v>
      </c>
      <c r="C52" s="189">
        <v>52</v>
      </c>
      <c r="D52" s="186">
        <v>8568</v>
      </c>
    </row>
    <row r="53" spans="1:4" x14ac:dyDescent="0.45">
      <c r="B53" s="1" t="s">
        <v>29</v>
      </c>
      <c r="C53" s="189">
        <v>46</v>
      </c>
      <c r="D53" s="186">
        <v>10421</v>
      </c>
    </row>
    <row r="54" spans="1:4" x14ac:dyDescent="0.45">
      <c r="B54" s="1" t="s">
        <v>30</v>
      </c>
      <c r="C54" s="189">
        <v>43</v>
      </c>
      <c r="D54" s="186">
        <v>9585</v>
      </c>
    </row>
    <row r="55" spans="1:4" x14ac:dyDescent="0.45">
      <c r="B55" s="1" t="s">
        <v>31</v>
      </c>
      <c r="C55" s="189">
        <v>39</v>
      </c>
      <c r="D55" s="186">
        <v>5936</v>
      </c>
    </row>
    <row r="56" spans="1:4" x14ac:dyDescent="0.45">
      <c r="B56" s="1" t="s">
        <v>32</v>
      </c>
      <c r="C56" s="189">
        <v>36</v>
      </c>
      <c r="D56" s="186">
        <v>2561</v>
      </c>
    </row>
    <row r="57" spans="1:4" x14ac:dyDescent="0.45">
      <c r="B57" s="1" t="s">
        <v>34</v>
      </c>
      <c r="C57" s="189">
        <v>29</v>
      </c>
      <c r="D57" s="186">
        <v>1735</v>
      </c>
    </row>
    <row r="58" spans="1:4" x14ac:dyDescent="0.45">
      <c r="A58" t="s">
        <v>46</v>
      </c>
      <c r="B58" s="1" t="s">
        <v>35</v>
      </c>
      <c r="C58" s="189">
        <v>67</v>
      </c>
      <c r="D58" s="186">
        <v>1365</v>
      </c>
    </row>
    <row r="59" spans="1:4" x14ac:dyDescent="0.45">
      <c r="B59" s="1" t="s">
        <v>36</v>
      </c>
      <c r="C59" s="189">
        <v>64</v>
      </c>
      <c r="D59" s="186">
        <v>2480</v>
      </c>
    </row>
    <row r="60" spans="1:4" x14ac:dyDescent="0.45">
      <c r="B60" s="1" t="s">
        <v>37</v>
      </c>
      <c r="C60" s="189">
        <v>59</v>
      </c>
      <c r="D60" s="186">
        <v>4083</v>
      </c>
    </row>
    <row r="61" spans="1:4" x14ac:dyDescent="0.45">
      <c r="B61" s="1" t="s">
        <v>38</v>
      </c>
      <c r="C61" s="189">
        <v>53</v>
      </c>
      <c r="D61" s="186">
        <v>6141</v>
      </c>
    </row>
    <row r="62" spans="1:4" x14ac:dyDescent="0.45">
      <c r="B62" s="1" t="s">
        <v>39</v>
      </c>
      <c r="C62" s="189">
        <v>47</v>
      </c>
      <c r="D62" s="186">
        <v>5766</v>
      </c>
    </row>
    <row r="63" spans="1:4" x14ac:dyDescent="0.45">
      <c r="B63" s="1" t="s">
        <v>40</v>
      </c>
      <c r="C63" s="189">
        <v>41</v>
      </c>
      <c r="D63" s="186">
        <v>5151</v>
      </c>
    </row>
    <row r="64" spans="1:4" x14ac:dyDescent="0.45">
      <c r="B64" s="1" t="s">
        <v>41</v>
      </c>
      <c r="C64" s="189">
        <v>37</v>
      </c>
      <c r="D64" s="186">
        <v>5522</v>
      </c>
    </row>
    <row r="65" spans="1:4" x14ac:dyDescent="0.45">
      <c r="B65" s="1" t="s">
        <v>42</v>
      </c>
      <c r="C65" s="189">
        <v>35</v>
      </c>
      <c r="D65" s="186">
        <v>1039</v>
      </c>
    </row>
    <row r="66" spans="1:4" x14ac:dyDescent="0.45">
      <c r="B66" s="1" t="s">
        <v>33</v>
      </c>
      <c r="C66" s="189">
        <v>29</v>
      </c>
      <c r="D66" s="186">
        <v>897</v>
      </c>
    </row>
    <row r="67" spans="1:4" x14ac:dyDescent="0.45">
      <c r="A67" t="s">
        <v>47</v>
      </c>
      <c r="B67" s="1" t="s">
        <v>25</v>
      </c>
      <c r="C67" s="189">
        <v>68</v>
      </c>
      <c r="D67" s="186">
        <v>1809</v>
      </c>
    </row>
    <row r="68" spans="1:4" x14ac:dyDescent="0.45">
      <c r="B68" s="1" t="s">
        <v>26</v>
      </c>
      <c r="C68" s="189">
        <v>63</v>
      </c>
      <c r="D68" s="186">
        <v>2457</v>
      </c>
    </row>
    <row r="69" spans="1:4" x14ac:dyDescent="0.45">
      <c r="B69" s="1" t="s">
        <v>27</v>
      </c>
      <c r="C69" s="189">
        <v>58</v>
      </c>
      <c r="D69" s="186">
        <v>2944</v>
      </c>
    </row>
    <row r="70" spans="1:4" x14ac:dyDescent="0.45">
      <c r="B70" s="1" t="s">
        <v>28</v>
      </c>
      <c r="C70" s="189">
        <v>52</v>
      </c>
      <c r="D70" s="186">
        <v>5991</v>
      </c>
    </row>
    <row r="71" spans="1:4" x14ac:dyDescent="0.45">
      <c r="B71" s="1" t="s">
        <v>29</v>
      </c>
      <c r="C71" s="189">
        <v>46</v>
      </c>
      <c r="D71" s="186">
        <v>5957</v>
      </c>
    </row>
    <row r="72" spans="1:4" x14ac:dyDescent="0.45">
      <c r="B72" s="1" t="s">
        <v>30</v>
      </c>
      <c r="C72" s="189">
        <v>40</v>
      </c>
      <c r="D72" s="186">
        <v>5323</v>
      </c>
    </row>
    <row r="73" spans="1:4" x14ac:dyDescent="0.45">
      <c r="B73" s="1" t="s">
        <v>31</v>
      </c>
      <c r="C73" s="189">
        <v>38</v>
      </c>
      <c r="D73" s="186">
        <v>2390</v>
      </c>
    </row>
    <row r="74" spans="1:4" x14ac:dyDescent="0.45">
      <c r="B74" s="1" t="s">
        <v>32</v>
      </c>
      <c r="C74" s="189">
        <v>35</v>
      </c>
      <c r="D74" s="186">
        <v>2391</v>
      </c>
    </row>
    <row r="75" spans="1:4" x14ac:dyDescent="0.45">
      <c r="B75" s="1" t="s">
        <v>34</v>
      </c>
      <c r="C75" s="189">
        <v>29</v>
      </c>
      <c r="D75" s="186">
        <v>677</v>
      </c>
    </row>
    <row r="76" spans="1:4" x14ac:dyDescent="0.45">
      <c r="A76" t="s">
        <v>48</v>
      </c>
      <c r="B76" s="1" t="s">
        <v>35</v>
      </c>
      <c r="C76" s="189">
        <v>72</v>
      </c>
      <c r="D76" s="186">
        <v>557</v>
      </c>
    </row>
    <row r="77" spans="1:4" x14ac:dyDescent="0.45">
      <c r="B77" s="1" t="s">
        <v>36</v>
      </c>
      <c r="C77" s="189">
        <v>65</v>
      </c>
      <c r="D77" s="186">
        <v>934</v>
      </c>
    </row>
    <row r="78" spans="1:4" x14ac:dyDescent="0.45">
      <c r="B78" s="1" t="s">
        <v>37</v>
      </c>
      <c r="C78" s="189">
        <v>57</v>
      </c>
      <c r="D78" s="186">
        <v>1681</v>
      </c>
    </row>
    <row r="79" spans="1:4" x14ac:dyDescent="0.45">
      <c r="B79" s="1" t="s">
        <v>38</v>
      </c>
      <c r="C79" s="189">
        <v>50</v>
      </c>
      <c r="D79" s="186">
        <v>2121</v>
      </c>
    </row>
    <row r="80" spans="1:4" x14ac:dyDescent="0.45">
      <c r="B80" s="1" t="s">
        <v>39</v>
      </c>
      <c r="C80" s="189">
        <v>45</v>
      </c>
      <c r="D80" s="186">
        <v>2694</v>
      </c>
    </row>
    <row r="81" spans="1:4" x14ac:dyDescent="0.45">
      <c r="B81" s="1" t="s">
        <v>40</v>
      </c>
      <c r="C81" s="189">
        <v>42</v>
      </c>
      <c r="D81" s="186">
        <v>2669</v>
      </c>
    </row>
    <row r="82" spans="1:4" x14ac:dyDescent="0.45">
      <c r="B82" s="1" t="s">
        <v>41</v>
      </c>
      <c r="C82" s="189">
        <v>40</v>
      </c>
      <c r="D82" s="186">
        <v>949</v>
      </c>
    </row>
    <row r="83" spans="1:4" x14ac:dyDescent="0.45">
      <c r="B83" s="1" t="s">
        <v>42</v>
      </c>
      <c r="C83" s="189">
        <v>38</v>
      </c>
      <c r="D83" s="186">
        <v>938</v>
      </c>
    </row>
    <row r="84" spans="1:4" x14ac:dyDescent="0.45">
      <c r="B84" s="1" t="s">
        <v>33</v>
      </c>
      <c r="C84" s="189">
        <v>32</v>
      </c>
      <c r="D84" s="186">
        <v>447</v>
      </c>
    </row>
    <row r="85" spans="1:4" x14ac:dyDescent="0.45">
      <c r="A85" t="s">
        <v>47</v>
      </c>
      <c r="B85" s="1" t="s">
        <v>25</v>
      </c>
      <c r="C85" s="189">
        <v>72</v>
      </c>
      <c r="D85" s="186">
        <v>1129</v>
      </c>
    </row>
    <row r="86" spans="1:4" x14ac:dyDescent="0.45">
      <c r="B86" s="1" t="s">
        <v>26</v>
      </c>
      <c r="C86" s="189">
        <v>64</v>
      </c>
      <c r="D86" s="186">
        <v>2071</v>
      </c>
    </row>
    <row r="87" spans="1:4" x14ac:dyDescent="0.45">
      <c r="B87" s="1" t="s">
        <v>27</v>
      </c>
      <c r="C87" s="189">
        <v>57</v>
      </c>
      <c r="D87" s="186">
        <v>2409</v>
      </c>
    </row>
    <row r="88" spans="1:4" x14ac:dyDescent="0.45">
      <c r="B88" s="1" t="s">
        <v>28</v>
      </c>
      <c r="C88" s="189">
        <v>50</v>
      </c>
      <c r="D88" s="186">
        <v>4402</v>
      </c>
    </row>
    <row r="89" spans="1:4" x14ac:dyDescent="0.45">
      <c r="B89" s="1" t="s">
        <v>29</v>
      </c>
      <c r="C89" s="189">
        <v>45</v>
      </c>
      <c r="D89" s="186">
        <v>5887</v>
      </c>
    </row>
    <row r="90" spans="1:4" x14ac:dyDescent="0.45">
      <c r="B90" s="1" t="s">
        <v>30</v>
      </c>
      <c r="C90" s="189">
        <v>42</v>
      </c>
      <c r="D90" s="186">
        <v>3010</v>
      </c>
    </row>
    <row r="91" spans="1:4" x14ac:dyDescent="0.45">
      <c r="B91" s="1" t="s">
        <v>31</v>
      </c>
      <c r="C91" s="189">
        <v>39</v>
      </c>
      <c r="D91" s="186">
        <v>2874</v>
      </c>
    </row>
    <row r="92" spans="1:4" x14ac:dyDescent="0.45">
      <c r="B92" s="1" t="s">
        <v>32</v>
      </c>
      <c r="C92" s="189">
        <v>37</v>
      </c>
      <c r="D92" s="186">
        <v>1900</v>
      </c>
    </row>
    <row r="93" spans="1:4" x14ac:dyDescent="0.45">
      <c r="B93" s="1" t="s">
        <v>34</v>
      </c>
      <c r="C93" s="189">
        <v>32</v>
      </c>
      <c r="D93" s="186">
        <v>562</v>
      </c>
    </row>
    <row r="94" spans="1:4" x14ac:dyDescent="0.45">
      <c r="A94" t="s">
        <v>60</v>
      </c>
      <c r="B94" s="1" t="s">
        <v>35</v>
      </c>
      <c r="C94" s="189">
        <v>72</v>
      </c>
      <c r="D94" s="186">
        <v>687</v>
      </c>
    </row>
    <row r="95" spans="1:4" x14ac:dyDescent="0.45">
      <c r="B95" s="1" t="s">
        <v>36</v>
      </c>
      <c r="C95" s="189">
        <v>65</v>
      </c>
      <c r="D95" s="186">
        <v>1144</v>
      </c>
    </row>
    <row r="96" spans="1:4" x14ac:dyDescent="0.45">
      <c r="B96" s="1" t="s">
        <v>37</v>
      </c>
      <c r="C96" s="189">
        <v>57</v>
      </c>
      <c r="D96" s="186">
        <v>1918</v>
      </c>
    </row>
    <row r="97" spans="1:4" x14ac:dyDescent="0.45">
      <c r="B97" s="1" t="s">
        <v>38</v>
      </c>
      <c r="C97" s="189">
        <v>49</v>
      </c>
      <c r="D97" s="186">
        <v>3656</v>
      </c>
    </row>
    <row r="98" spans="1:4" x14ac:dyDescent="0.45">
      <c r="B98" s="1" t="s">
        <v>39</v>
      </c>
      <c r="C98" s="189">
        <v>45</v>
      </c>
      <c r="D98" s="186">
        <v>2840</v>
      </c>
    </row>
    <row r="99" spans="1:4" x14ac:dyDescent="0.45">
      <c r="B99" s="1" t="s">
        <v>40</v>
      </c>
      <c r="C99" s="189">
        <v>42</v>
      </c>
      <c r="D99" s="186">
        <v>3728</v>
      </c>
    </row>
    <row r="100" spans="1:4" x14ac:dyDescent="0.45">
      <c r="B100" s="1" t="s">
        <v>41</v>
      </c>
      <c r="C100" s="189">
        <v>41</v>
      </c>
      <c r="D100" s="186">
        <v>623</v>
      </c>
    </row>
    <row r="101" spans="1:4" x14ac:dyDescent="0.45">
      <c r="B101" s="1" t="s">
        <v>42</v>
      </c>
      <c r="C101" s="189">
        <v>38</v>
      </c>
      <c r="D101" s="186">
        <v>1202</v>
      </c>
    </row>
    <row r="102" spans="1:4" x14ac:dyDescent="0.45">
      <c r="B102" s="1" t="s">
        <v>33</v>
      </c>
      <c r="C102" s="189">
        <v>33</v>
      </c>
      <c r="D102" s="186">
        <v>463</v>
      </c>
    </row>
    <row r="103" spans="1:4" x14ac:dyDescent="0.45">
      <c r="A103" t="s">
        <v>49</v>
      </c>
      <c r="B103" s="1" t="s">
        <v>25</v>
      </c>
      <c r="C103" s="189">
        <v>70</v>
      </c>
      <c r="D103" s="186">
        <v>1535</v>
      </c>
    </row>
    <row r="104" spans="1:4" x14ac:dyDescent="0.45">
      <c r="B104" s="1" t="s">
        <v>26</v>
      </c>
      <c r="C104" s="189">
        <v>65</v>
      </c>
      <c r="D104" s="186">
        <v>2781</v>
      </c>
    </row>
    <row r="105" spans="1:4" x14ac:dyDescent="0.45">
      <c r="B105" s="1" t="s">
        <v>27</v>
      </c>
      <c r="C105" s="189">
        <v>58</v>
      </c>
      <c r="D105" s="186">
        <v>4965</v>
      </c>
    </row>
    <row r="106" spans="1:4" x14ac:dyDescent="0.45">
      <c r="B106" s="1" t="s">
        <v>28</v>
      </c>
      <c r="C106" s="189">
        <v>51</v>
      </c>
      <c r="D106" s="186">
        <v>6095</v>
      </c>
    </row>
    <row r="107" spans="1:4" x14ac:dyDescent="0.45">
      <c r="B107" s="1" t="s">
        <v>29</v>
      </c>
      <c r="C107" s="189">
        <v>44</v>
      </c>
      <c r="D107" s="186">
        <v>9331</v>
      </c>
    </row>
    <row r="108" spans="1:4" x14ac:dyDescent="0.45">
      <c r="B108" s="1" t="s">
        <v>30</v>
      </c>
      <c r="C108" s="189">
        <v>42</v>
      </c>
      <c r="D108" s="186">
        <v>4352</v>
      </c>
    </row>
    <row r="109" spans="1:4" x14ac:dyDescent="0.45">
      <c r="B109" s="1" t="s">
        <v>31</v>
      </c>
      <c r="C109" s="189">
        <v>39</v>
      </c>
      <c r="D109" s="186">
        <v>6145</v>
      </c>
    </row>
    <row r="110" spans="1:4" x14ac:dyDescent="0.45">
      <c r="B110" s="1" t="s">
        <v>32</v>
      </c>
      <c r="C110" s="189">
        <v>37</v>
      </c>
      <c r="D110" s="186">
        <v>1178</v>
      </c>
    </row>
    <row r="111" spans="1:4" x14ac:dyDescent="0.45">
      <c r="B111" s="1" t="s">
        <v>34</v>
      </c>
      <c r="C111" s="189">
        <v>32</v>
      </c>
      <c r="D111" s="186">
        <v>1142</v>
      </c>
    </row>
    <row r="112" spans="1:4" x14ac:dyDescent="0.45">
      <c r="A112" t="s">
        <v>50</v>
      </c>
      <c r="B112" s="1" t="s">
        <v>35</v>
      </c>
      <c r="C112" s="189">
        <v>71</v>
      </c>
      <c r="D112" s="186">
        <v>3447</v>
      </c>
    </row>
    <row r="113" spans="1:4" x14ac:dyDescent="0.45">
      <c r="B113" s="1" t="s">
        <v>36</v>
      </c>
      <c r="C113" s="189">
        <v>65</v>
      </c>
      <c r="D113" s="186">
        <v>5384</v>
      </c>
    </row>
    <row r="114" spans="1:4" x14ac:dyDescent="0.45">
      <c r="B114" s="1" t="s">
        <v>37</v>
      </c>
      <c r="C114" s="189">
        <v>57</v>
      </c>
      <c r="D114" s="186">
        <v>9311</v>
      </c>
    </row>
    <row r="115" spans="1:4" x14ac:dyDescent="0.45">
      <c r="B115" s="1" t="s">
        <v>38</v>
      </c>
      <c r="C115" s="189">
        <v>50</v>
      </c>
      <c r="D115" s="186">
        <v>13877</v>
      </c>
    </row>
    <row r="116" spans="1:4" x14ac:dyDescent="0.45">
      <c r="B116" s="1" t="s">
        <v>39</v>
      </c>
      <c r="C116" s="189">
        <v>45</v>
      </c>
      <c r="D116" s="186">
        <v>12079</v>
      </c>
    </row>
    <row r="117" spans="1:4" x14ac:dyDescent="0.45">
      <c r="B117" s="1" t="s">
        <v>40</v>
      </c>
      <c r="C117" s="189">
        <v>42</v>
      </c>
      <c r="D117" s="186">
        <v>15102</v>
      </c>
    </row>
    <row r="118" spans="1:4" x14ac:dyDescent="0.45">
      <c r="B118" s="1" t="s">
        <v>41</v>
      </c>
      <c r="C118" s="189">
        <v>39</v>
      </c>
      <c r="D118" s="186">
        <v>6225</v>
      </c>
    </row>
    <row r="119" spans="1:4" x14ac:dyDescent="0.45">
      <c r="B119" s="1" t="s">
        <v>42</v>
      </c>
      <c r="C119" s="189">
        <v>37</v>
      </c>
      <c r="D119" s="186">
        <v>3390</v>
      </c>
    </row>
    <row r="120" spans="1:4" ht="17.5" thickBot="1" x14ac:dyDescent="0.5">
      <c r="B120" s="1" t="s">
        <v>33</v>
      </c>
      <c r="C120" s="190">
        <v>31</v>
      </c>
      <c r="D120" s="193">
        <v>2533</v>
      </c>
    </row>
    <row r="121" spans="1:4" x14ac:dyDescent="0.45">
      <c r="A121" t="s">
        <v>51</v>
      </c>
      <c r="B121" s="1" t="s">
        <v>25</v>
      </c>
      <c r="C121" s="191">
        <v>72</v>
      </c>
      <c r="D121" s="187">
        <v>2630</v>
      </c>
    </row>
    <row r="122" spans="1:4" x14ac:dyDescent="0.45">
      <c r="B122" s="1" t="s">
        <v>26</v>
      </c>
      <c r="C122" s="189">
        <v>64</v>
      </c>
      <c r="D122" s="186">
        <v>4576</v>
      </c>
    </row>
    <row r="123" spans="1:4" x14ac:dyDescent="0.45">
      <c r="B123" s="1" t="s">
        <v>27</v>
      </c>
      <c r="C123" s="189">
        <v>57</v>
      </c>
      <c r="D123" s="186">
        <v>6456</v>
      </c>
    </row>
    <row r="124" spans="1:4" x14ac:dyDescent="0.45">
      <c r="B124" s="1" t="s">
        <v>28</v>
      </c>
      <c r="C124" s="189">
        <v>50</v>
      </c>
      <c r="D124" s="186">
        <v>10914</v>
      </c>
    </row>
    <row r="125" spans="1:4" x14ac:dyDescent="0.45">
      <c r="B125" s="1" t="s">
        <v>29</v>
      </c>
      <c r="C125" s="189">
        <v>45</v>
      </c>
      <c r="D125" s="186">
        <v>13040</v>
      </c>
    </row>
    <row r="126" spans="1:4" x14ac:dyDescent="0.45">
      <c r="B126" s="1" t="s">
        <v>30</v>
      </c>
      <c r="C126" s="189">
        <v>43</v>
      </c>
      <c r="D126" s="186">
        <v>7603</v>
      </c>
    </row>
    <row r="127" spans="1:4" x14ac:dyDescent="0.45">
      <c r="B127" s="1" t="s">
        <v>31</v>
      </c>
      <c r="C127" s="189">
        <v>40</v>
      </c>
      <c r="D127" s="186">
        <v>7334</v>
      </c>
    </row>
    <row r="128" spans="1:4" x14ac:dyDescent="0.45">
      <c r="B128" s="1" t="s">
        <v>32</v>
      </c>
      <c r="C128" s="189">
        <v>37</v>
      </c>
      <c r="D128" s="186">
        <v>4030</v>
      </c>
    </row>
    <row r="129" spans="1:4" x14ac:dyDescent="0.45">
      <c r="B129" s="1" t="s">
        <v>34</v>
      </c>
      <c r="C129" s="189">
        <v>31</v>
      </c>
      <c r="D129" s="186">
        <v>1955</v>
      </c>
    </row>
    <row r="130" spans="1:4" x14ac:dyDescent="0.45">
      <c r="A130" t="s">
        <v>52</v>
      </c>
      <c r="B130" s="1" t="s">
        <v>35</v>
      </c>
      <c r="C130" s="189">
        <v>71</v>
      </c>
      <c r="D130" s="186">
        <v>2968</v>
      </c>
    </row>
    <row r="131" spans="1:4" x14ac:dyDescent="0.45">
      <c r="B131" s="1" t="s">
        <v>36</v>
      </c>
      <c r="C131" s="189">
        <v>65</v>
      </c>
      <c r="D131" s="186">
        <v>5256</v>
      </c>
    </row>
    <row r="132" spans="1:4" x14ac:dyDescent="0.45">
      <c r="B132" s="1" t="s">
        <v>37</v>
      </c>
      <c r="C132" s="189">
        <v>57</v>
      </c>
      <c r="D132" s="186">
        <v>9504</v>
      </c>
    </row>
    <row r="133" spans="1:4" x14ac:dyDescent="0.45">
      <c r="B133" s="1" t="s">
        <v>38</v>
      </c>
      <c r="C133" s="189">
        <v>51</v>
      </c>
      <c r="D133" s="186">
        <v>12254</v>
      </c>
    </row>
    <row r="134" spans="1:4" x14ac:dyDescent="0.45">
      <c r="B134" s="1" t="s">
        <v>39</v>
      </c>
      <c r="C134" s="189">
        <v>45</v>
      </c>
      <c r="D134" s="186">
        <v>15874</v>
      </c>
    </row>
    <row r="135" spans="1:4" x14ac:dyDescent="0.45">
      <c r="B135" s="1" t="s">
        <v>40</v>
      </c>
      <c r="C135" s="189">
        <v>42</v>
      </c>
      <c r="D135" s="186">
        <v>11768</v>
      </c>
    </row>
    <row r="136" spans="1:4" x14ac:dyDescent="0.45">
      <c r="B136" s="1" t="s">
        <v>41</v>
      </c>
      <c r="C136" s="189">
        <v>39</v>
      </c>
      <c r="D136" s="186">
        <v>8388</v>
      </c>
    </row>
    <row r="137" spans="1:4" x14ac:dyDescent="0.45">
      <c r="B137" s="1" t="s">
        <v>42</v>
      </c>
      <c r="C137" s="189">
        <v>37</v>
      </c>
      <c r="D137" s="186">
        <v>4177</v>
      </c>
    </row>
    <row r="138" spans="1:4" x14ac:dyDescent="0.45">
      <c r="B138" s="1" t="s">
        <v>33</v>
      </c>
      <c r="C138" s="189">
        <v>31</v>
      </c>
      <c r="D138" s="186">
        <v>2510</v>
      </c>
    </row>
    <row r="139" spans="1:4" x14ac:dyDescent="0.45">
      <c r="A139" t="s">
        <v>53</v>
      </c>
      <c r="B139" s="1" t="s">
        <v>25</v>
      </c>
      <c r="C139" s="189">
        <v>69</v>
      </c>
      <c r="D139" s="186">
        <v>4684</v>
      </c>
    </row>
    <row r="140" spans="1:4" x14ac:dyDescent="0.45">
      <c r="B140" s="1" t="s">
        <v>26</v>
      </c>
      <c r="C140" s="189">
        <v>64</v>
      </c>
      <c r="D140" s="186">
        <v>9166</v>
      </c>
    </row>
    <row r="141" spans="1:4" x14ac:dyDescent="0.45">
      <c r="B141" s="1" t="s">
        <v>27</v>
      </c>
      <c r="C141" s="189">
        <v>58</v>
      </c>
      <c r="D141" s="186">
        <v>13922</v>
      </c>
    </row>
    <row r="142" spans="1:4" x14ac:dyDescent="0.45">
      <c r="B142" s="1" t="s">
        <v>28</v>
      </c>
      <c r="C142" s="189">
        <v>52</v>
      </c>
      <c r="D142" s="186">
        <v>20235</v>
      </c>
    </row>
    <row r="143" spans="1:4" x14ac:dyDescent="0.45">
      <c r="B143" s="1" t="s">
        <v>29</v>
      </c>
      <c r="C143" s="189">
        <v>46</v>
      </c>
      <c r="D143" s="186">
        <v>24598</v>
      </c>
    </row>
    <row r="144" spans="1:4" x14ac:dyDescent="0.45">
      <c r="B144" s="1" t="s">
        <v>30</v>
      </c>
      <c r="C144" s="189">
        <v>42</v>
      </c>
      <c r="D144" s="186">
        <v>16195</v>
      </c>
    </row>
    <row r="145" spans="1:4" x14ac:dyDescent="0.45">
      <c r="B145" s="1" t="s">
        <v>31</v>
      </c>
      <c r="C145" s="189">
        <v>38</v>
      </c>
      <c r="D145" s="186">
        <v>13916</v>
      </c>
    </row>
    <row r="146" spans="1:4" x14ac:dyDescent="0.45">
      <c r="B146" s="1" t="s">
        <v>32</v>
      </c>
      <c r="C146" s="189">
        <v>35</v>
      </c>
      <c r="D146" s="186">
        <v>8345</v>
      </c>
    </row>
    <row r="147" spans="1:4" x14ac:dyDescent="0.45">
      <c r="B147" s="1" t="s">
        <v>34</v>
      </c>
      <c r="C147" s="189">
        <v>27</v>
      </c>
      <c r="D147" s="186">
        <v>3863</v>
      </c>
    </row>
    <row r="148" spans="1:4" x14ac:dyDescent="0.45">
      <c r="A148" t="s">
        <v>54</v>
      </c>
      <c r="B148" s="1" t="s">
        <v>35</v>
      </c>
      <c r="C148" s="189">
        <v>70</v>
      </c>
      <c r="D148" s="186">
        <v>3481</v>
      </c>
    </row>
    <row r="149" spans="1:4" x14ac:dyDescent="0.45">
      <c r="B149" s="1" t="s">
        <v>36</v>
      </c>
      <c r="C149" s="189">
        <v>64</v>
      </c>
      <c r="D149" s="186">
        <v>7011</v>
      </c>
    </row>
    <row r="150" spans="1:4" x14ac:dyDescent="0.45">
      <c r="B150" s="1" t="s">
        <v>37</v>
      </c>
      <c r="C150" s="189">
        <v>58</v>
      </c>
      <c r="D150" s="186">
        <v>10137</v>
      </c>
    </row>
    <row r="151" spans="1:4" x14ac:dyDescent="0.45">
      <c r="B151" s="1" t="s">
        <v>38</v>
      </c>
      <c r="C151" s="189">
        <v>52</v>
      </c>
      <c r="D151" s="186">
        <v>14096</v>
      </c>
    </row>
    <row r="152" spans="1:4" x14ac:dyDescent="0.45">
      <c r="B152" s="1" t="s">
        <v>39</v>
      </c>
      <c r="C152" s="189">
        <v>46</v>
      </c>
      <c r="D152" s="186">
        <v>17767</v>
      </c>
    </row>
    <row r="153" spans="1:4" x14ac:dyDescent="0.45">
      <c r="B153" s="1" t="s">
        <v>40</v>
      </c>
      <c r="C153" s="189">
        <v>42</v>
      </c>
      <c r="D153" s="186">
        <v>14729</v>
      </c>
    </row>
    <row r="154" spans="1:4" x14ac:dyDescent="0.45">
      <c r="B154" s="1" t="s">
        <v>41</v>
      </c>
      <c r="C154" s="189">
        <v>39</v>
      </c>
      <c r="D154" s="186">
        <v>10420</v>
      </c>
    </row>
    <row r="155" spans="1:4" x14ac:dyDescent="0.45">
      <c r="B155" s="1" t="s">
        <v>42</v>
      </c>
      <c r="C155" s="189">
        <v>35</v>
      </c>
      <c r="D155" s="186">
        <v>6546</v>
      </c>
    </row>
    <row r="156" spans="1:4" ht="17.5" thickBot="1" x14ac:dyDescent="0.5">
      <c r="B156" s="1" t="s">
        <v>33</v>
      </c>
      <c r="C156" s="190">
        <v>28</v>
      </c>
      <c r="D156" s="193">
        <v>2243</v>
      </c>
    </row>
  </sheetData>
  <mergeCells count="1">
    <mergeCell ref="C3:D3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3C3CE-17EB-47DF-B598-C7487F2B56E7}">
  <sheetPr codeName="Sheet3"/>
  <dimension ref="A1:J102"/>
  <sheetViews>
    <sheetView workbookViewId="0">
      <selection activeCell="A5" sqref="A5:J95"/>
    </sheetView>
  </sheetViews>
  <sheetFormatPr defaultRowHeight="17" x14ac:dyDescent="0.45"/>
  <sheetData>
    <row r="1" spans="1:10" x14ac:dyDescent="0.45">
      <c r="A1" s="15"/>
    </row>
    <row r="2" spans="1:10" ht="17.5" thickBot="1" x14ac:dyDescent="0.5"/>
    <row r="3" spans="1:10" x14ac:dyDescent="0.45">
      <c r="A3" s="45" t="s">
        <v>8</v>
      </c>
      <c r="B3" s="46"/>
      <c r="C3" s="46"/>
      <c r="D3" s="47"/>
      <c r="F3" s="45" t="s">
        <v>59</v>
      </c>
      <c r="G3" s="46"/>
      <c r="H3" s="46"/>
      <c r="I3" s="47"/>
    </row>
    <row r="4" spans="1:10" ht="17.5" thickBot="1" x14ac:dyDescent="0.5">
      <c r="A4" s="6" t="s">
        <v>6</v>
      </c>
      <c r="B4" s="1"/>
      <c r="C4" s="1"/>
      <c r="D4" s="7" t="s">
        <v>7</v>
      </c>
      <c r="F4" s="6" t="s">
        <v>6</v>
      </c>
      <c r="G4" s="1"/>
      <c r="H4" s="1"/>
      <c r="I4" s="7" t="s">
        <v>7</v>
      </c>
    </row>
    <row r="5" spans="1:10" ht="17.5" thickTop="1" x14ac:dyDescent="0.45">
      <c r="A5" s="202">
        <v>144</v>
      </c>
      <c r="B5" s="200">
        <v>292</v>
      </c>
      <c r="C5" s="200">
        <v>304</v>
      </c>
      <c r="D5" s="200">
        <v>601</v>
      </c>
      <c r="E5" s="207">
        <v>601</v>
      </c>
      <c r="F5" s="206">
        <v>160</v>
      </c>
      <c r="G5" s="208">
        <v>133</v>
      </c>
      <c r="H5" s="208">
        <v>21</v>
      </c>
      <c r="I5" s="208">
        <v>154</v>
      </c>
      <c r="J5" s="209">
        <v>154</v>
      </c>
    </row>
    <row r="6" spans="1:10" x14ac:dyDescent="0.45">
      <c r="A6" s="197">
        <v>142</v>
      </c>
      <c r="B6" s="194">
        <v>572</v>
      </c>
      <c r="C6" s="194">
        <v>586</v>
      </c>
      <c r="D6" s="194">
        <v>1172</v>
      </c>
      <c r="E6" s="198">
        <v>1773</v>
      </c>
      <c r="F6" s="203">
        <v>158</v>
      </c>
      <c r="G6" s="204">
        <v>2</v>
      </c>
      <c r="H6" s="204">
        <v>0</v>
      </c>
      <c r="I6" s="204">
        <v>2</v>
      </c>
      <c r="J6" s="205">
        <v>156</v>
      </c>
    </row>
    <row r="7" spans="1:10" x14ac:dyDescent="0.45">
      <c r="A7" s="197">
        <v>141</v>
      </c>
      <c r="B7" s="194">
        <v>208</v>
      </c>
      <c r="C7" s="194">
        <v>253</v>
      </c>
      <c r="D7" s="194">
        <v>472</v>
      </c>
      <c r="E7" s="198">
        <v>2245</v>
      </c>
      <c r="F7" s="203">
        <v>157</v>
      </c>
      <c r="G7" s="204">
        <v>27</v>
      </c>
      <c r="H7" s="204">
        <v>3</v>
      </c>
      <c r="I7" s="204">
        <v>30</v>
      </c>
      <c r="J7" s="205">
        <v>186</v>
      </c>
    </row>
    <row r="8" spans="1:10" x14ac:dyDescent="0.45">
      <c r="A8" s="197">
        <v>140</v>
      </c>
      <c r="B8" s="194">
        <v>599</v>
      </c>
      <c r="C8" s="194">
        <v>686</v>
      </c>
      <c r="D8" s="194">
        <v>1306</v>
      </c>
      <c r="E8" s="198">
        <v>3551</v>
      </c>
      <c r="F8" s="203">
        <v>156</v>
      </c>
      <c r="G8" s="204">
        <v>501</v>
      </c>
      <c r="H8" s="204">
        <v>155</v>
      </c>
      <c r="I8" s="204">
        <v>659</v>
      </c>
      <c r="J8" s="205">
        <v>845</v>
      </c>
    </row>
    <row r="9" spans="1:10" x14ac:dyDescent="0.45">
      <c r="A9" s="197">
        <v>139</v>
      </c>
      <c r="B9" s="194">
        <v>546</v>
      </c>
      <c r="C9" s="194">
        <v>662</v>
      </c>
      <c r="D9" s="194">
        <v>1220</v>
      </c>
      <c r="E9" s="198">
        <v>4771</v>
      </c>
      <c r="F9" s="203">
        <v>155</v>
      </c>
      <c r="G9" s="204">
        <v>0</v>
      </c>
      <c r="H9" s="204">
        <v>1</v>
      </c>
      <c r="I9" s="204">
        <v>1</v>
      </c>
      <c r="J9" s="205">
        <v>846</v>
      </c>
    </row>
    <row r="10" spans="1:10" x14ac:dyDescent="0.45">
      <c r="A10" s="197">
        <v>138</v>
      </c>
      <c r="B10" s="194">
        <v>596</v>
      </c>
      <c r="C10" s="194">
        <v>715</v>
      </c>
      <c r="D10" s="194">
        <v>1327</v>
      </c>
      <c r="E10" s="198">
        <v>6098</v>
      </c>
      <c r="F10" s="203">
        <v>154</v>
      </c>
      <c r="G10" s="204">
        <v>4</v>
      </c>
      <c r="H10" s="204">
        <v>1</v>
      </c>
      <c r="I10" s="204">
        <v>5</v>
      </c>
      <c r="J10" s="205">
        <v>851</v>
      </c>
    </row>
    <row r="11" spans="1:10" x14ac:dyDescent="0.45">
      <c r="A11" s="197">
        <v>137</v>
      </c>
      <c r="B11" s="194">
        <v>1466</v>
      </c>
      <c r="C11" s="194">
        <v>1850</v>
      </c>
      <c r="D11" s="194">
        <v>3358</v>
      </c>
      <c r="E11" s="198">
        <v>9456</v>
      </c>
      <c r="F11" s="203">
        <v>153</v>
      </c>
      <c r="G11" s="204">
        <v>111</v>
      </c>
      <c r="H11" s="204">
        <v>30</v>
      </c>
      <c r="I11" s="204">
        <v>144</v>
      </c>
      <c r="J11" s="205">
        <v>995</v>
      </c>
    </row>
    <row r="12" spans="1:10" x14ac:dyDescent="0.45">
      <c r="A12" s="197">
        <v>136</v>
      </c>
      <c r="B12" s="194">
        <v>985</v>
      </c>
      <c r="C12" s="194">
        <v>1168</v>
      </c>
      <c r="D12" s="194">
        <v>2176</v>
      </c>
      <c r="E12" s="198">
        <v>11632</v>
      </c>
      <c r="F12" s="203">
        <v>152</v>
      </c>
      <c r="G12" s="204">
        <v>1303</v>
      </c>
      <c r="H12" s="204">
        <v>473</v>
      </c>
      <c r="I12" s="204">
        <v>1793</v>
      </c>
      <c r="J12" s="205">
        <v>2788</v>
      </c>
    </row>
    <row r="13" spans="1:10" x14ac:dyDescent="0.45">
      <c r="A13" s="197">
        <v>135</v>
      </c>
      <c r="B13" s="194">
        <v>876</v>
      </c>
      <c r="C13" s="194">
        <v>1078</v>
      </c>
      <c r="D13" s="194">
        <v>1985</v>
      </c>
      <c r="E13" s="198">
        <v>13617</v>
      </c>
      <c r="F13" s="203">
        <v>150</v>
      </c>
      <c r="G13" s="204">
        <v>23</v>
      </c>
      <c r="H13" s="204">
        <v>7</v>
      </c>
      <c r="I13" s="204">
        <v>30</v>
      </c>
      <c r="J13" s="205">
        <v>2818</v>
      </c>
    </row>
    <row r="14" spans="1:10" x14ac:dyDescent="0.45">
      <c r="A14" s="197">
        <v>134</v>
      </c>
      <c r="B14" s="194">
        <v>1011</v>
      </c>
      <c r="C14" s="194">
        <v>1303</v>
      </c>
      <c r="D14" s="194">
        <v>2356</v>
      </c>
      <c r="E14" s="198">
        <v>15973</v>
      </c>
      <c r="F14" s="203">
        <v>149</v>
      </c>
      <c r="G14" s="204">
        <v>438</v>
      </c>
      <c r="H14" s="204">
        <v>189</v>
      </c>
      <c r="I14" s="204">
        <v>629</v>
      </c>
      <c r="J14" s="205">
        <v>3447</v>
      </c>
    </row>
    <row r="15" spans="1:10" x14ac:dyDescent="0.45">
      <c r="A15" s="197">
        <v>133</v>
      </c>
      <c r="B15" s="194">
        <v>1094</v>
      </c>
      <c r="C15" s="194">
        <v>1383</v>
      </c>
      <c r="D15" s="194">
        <v>2512</v>
      </c>
      <c r="E15" s="198">
        <v>18485</v>
      </c>
      <c r="F15" s="203">
        <v>148</v>
      </c>
      <c r="G15" s="204">
        <v>1568</v>
      </c>
      <c r="H15" s="204">
        <v>700</v>
      </c>
      <c r="I15" s="204">
        <v>2295</v>
      </c>
      <c r="J15" s="205">
        <v>5742</v>
      </c>
    </row>
    <row r="16" spans="1:10" x14ac:dyDescent="0.45">
      <c r="A16" s="197">
        <v>132</v>
      </c>
      <c r="B16" s="194">
        <v>1151</v>
      </c>
      <c r="C16" s="194">
        <v>1342</v>
      </c>
      <c r="D16" s="194">
        <v>2528</v>
      </c>
      <c r="E16" s="198">
        <v>21013</v>
      </c>
      <c r="F16" s="203">
        <v>147</v>
      </c>
      <c r="G16" s="204">
        <v>109</v>
      </c>
      <c r="H16" s="204">
        <v>48</v>
      </c>
      <c r="I16" s="204">
        <v>158</v>
      </c>
      <c r="J16" s="205">
        <v>5900</v>
      </c>
    </row>
    <row r="17" spans="1:10" x14ac:dyDescent="0.45">
      <c r="A17" s="197">
        <v>131</v>
      </c>
      <c r="B17" s="194">
        <v>1214</v>
      </c>
      <c r="C17" s="194">
        <v>1547</v>
      </c>
      <c r="D17" s="194">
        <v>2810</v>
      </c>
      <c r="E17" s="198">
        <v>23823</v>
      </c>
      <c r="F17" s="203">
        <v>146</v>
      </c>
      <c r="G17" s="204">
        <v>785</v>
      </c>
      <c r="H17" s="204">
        <v>321</v>
      </c>
      <c r="I17" s="204">
        <v>1124</v>
      </c>
      <c r="J17" s="205">
        <v>7024</v>
      </c>
    </row>
    <row r="18" spans="1:10" x14ac:dyDescent="0.45">
      <c r="A18" s="197">
        <v>130</v>
      </c>
      <c r="B18" s="194">
        <v>1242</v>
      </c>
      <c r="C18" s="194">
        <v>1535</v>
      </c>
      <c r="D18" s="194">
        <v>2809</v>
      </c>
      <c r="E18" s="198">
        <v>26632</v>
      </c>
      <c r="F18" s="203">
        <v>145</v>
      </c>
      <c r="G18" s="204">
        <v>1896</v>
      </c>
      <c r="H18" s="204">
        <v>883</v>
      </c>
      <c r="I18" s="204">
        <v>2812</v>
      </c>
      <c r="J18" s="205">
        <v>9836</v>
      </c>
    </row>
    <row r="19" spans="1:10" x14ac:dyDescent="0.45">
      <c r="A19" s="197">
        <v>129</v>
      </c>
      <c r="B19" s="194">
        <v>1316</v>
      </c>
      <c r="C19" s="194">
        <v>1717</v>
      </c>
      <c r="D19" s="194">
        <v>3084</v>
      </c>
      <c r="E19" s="198">
        <v>29716</v>
      </c>
      <c r="F19" s="203">
        <v>144</v>
      </c>
      <c r="G19" s="204">
        <v>29</v>
      </c>
      <c r="H19" s="204">
        <v>11</v>
      </c>
      <c r="I19" s="204">
        <v>40</v>
      </c>
      <c r="J19" s="205">
        <v>9876</v>
      </c>
    </row>
    <row r="20" spans="1:10" x14ac:dyDescent="0.45">
      <c r="A20" s="197">
        <v>128</v>
      </c>
      <c r="B20" s="194">
        <v>1303</v>
      </c>
      <c r="C20" s="194">
        <v>1831</v>
      </c>
      <c r="D20" s="194">
        <v>3178</v>
      </c>
      <c r="E20" s="198">
        <v>32894</v>
      </c>
      <c r="F20" s="203">
        <v>143</v>
      </c>
      <c r="G20" s="204">
        <v>225</v>
      </c>
      <c r="H20" s="204">
        <v>90</v>
      </c>
      <c r="I20" s="204">
        <v>317</v>
      </c>
      <c r="J20" s="205">
        <v>10193</v>
      </c>
    </row>
    <row r="21" spans="1:10" x14ac:dyDescent="0.45">
      <c r="A21" s="197">
        <v>127</v>
      </c>
      <c r="B21" s="194">
        <v>2952</v>
      </c>
      <c r="C21" s="194">
        <v>3826</v>
      </c>
      <c r="D21" s="194">
        <v>6880</v>
      </c>
      <c r="E21" s="198">
        <v>39774</v>
      </c>
      <c r="F21" s="203">
        <v>142</v>
      </c>
      <c r="G21" s="204">
        <v>1152</v>
      </c>
      <c r="H21" s="204">
        <v>506</v>
      </c>
      <c r="I21" s="204">
        <v>1685</v>
      </c>
      <c r="J21" s="205">
        <v>11878</v>
      </c>
    </row>
    <row r="22" spans="1:10" x14ac:dyDescent="0.45">
      <c r="A22" s="197">
        <v>126</v>
      </c>
      <c r="B22" s="194">
        <v>1549</v>
      </c>
      <c r="C22" s="194">
        <v>2046</v>
      </c>
      <c r="D22" s="194">
        <v>3660</v>
      </c>
      <c r="E22" s="198">
        <v>43434</v>
      </c>
      <c r="F22" s="203">
        <v>141</v>
      </c>
      <c r="G22" s="204">
        <v>1914</v>
      </c>
      <c r="H22" s="204">
        <v>1147</v>
      </c>
      <c r="I22" s="204">
        <v>3098</v>
      </c>
      <c r="J22" s="205">
        <v>14976</v>
      </c>
    </row>
    <row r="23" spans="1:10" x14ac:dyDescent="0.45">
      <c r="A23" s="197">
        <v>125</v>
      </c>
      <c r="B23" s="194">
        <v>1584</v>
      </c>
      <c r="C23" s="194">
        <v>2132</v>
      </c>
      <c r="D23" s="194">
        <v>3772</v>
      </c>
      <c r="E23" s="198">
        <v>47206</v>
      </c>
      <c r="F23" s="203">
        <v>140</v>
      </c>
      <c r="G23" s="204">
        <v>77</v>
      </c>
      <c r="H23" s="204">
        <v>18</v>
      </c>
      <c r="I23" s="204">
        <v>97</v>
      </c>
      <c r="J23" s="205">
        <v>15073</v>
      </c>
    </row>
    <row r="24" spans="1:10" x14ac:dyDescent="0.45">
      <c r="A24" s="197">
        <v>124</v>
      </c>
      <c r="B24" s="194">
        <v>1668</v>
      </c>
      <c r="C24" s="194">
        <v>2143</v>
      </c>
      <c r="D24" s="194">
        <v>3870</v>
      </c>
      <c r="E24" s="198">
        <v>51076</v>
      </c>
      <c r="F24" s="203">
        <v>139</v>
      </c>
      <c r="G24" s="204">
        <v>415</v>
      </c>
      <c r="H24" s="204">
        <v>196</v>
      </c>
      <c r="I24" s="204">
        <v>618</v>
      </c>
      <c r="J24" s="205">
        <v>15691</v>
      </c>
    </row>
    <row r="25" spans="1:10" x14ac:dyDescent="0.45">
      <c r="A25" s="197">
        <v>123</v>
      </c>
      <c r="B25" s="194">
        <v>1731</v>
      </c>
      <c r="C25" s="194">
        <v>2184</v>
      </c>
      <c r="D25" s="194">
        <v>3971</v>
      </c>
      <c r="E25" s="198">
        <v>55047</v>
      </c>
      <c r="F25" s="203">
        <v>138</v>
      </c>
      <c r="G25" s="204">
        <v>1597</v>
      </c>
      <c r="H25" s="204">
        <v>843</v>
      </c>
      <c r="I25" s="204">
        <v>2488</v>
      </c>
      <c r="J25" s="205">
        <v>18179</v>
      </c>
    </row>
    <row r="26" spans="1:10" x14ac:dyDescent="0.45">
      <c r="A26" s="197">
        <v>122</v>
      </c>
      <c r="B26" s="194">
        <v>1769</v>
      </c>
      <c r="C26" s="194">
        <v>2296</v>
      </c>
      <c r="D26" s="194">
        <v>4130</v>
      </c>
      <c r="E26" s="198">
        <v>59177</v>
      </c>
      <c r="F26" s="203">
        <v>137</v>
      </c>
      <c r="G26" s="204">
        <v>2111</v>
      </c>
      <c r="H26" s="204">
        <v>1396</v>
      </c>
      <c r="I26" s="204">
        <v>3548</v>
      </c>
      <c r="J26" s="205">
        <v>21727</v>
      </c>
    </row>
    <row r="27" spans="1:10" x14ac:dyDescent="0.45">
      <c r="A27" s="197">
        <v>121</v>
      </c>
      <c r="B27" s="194">
        <v>1819</v>
      </c>
      <c r="C27" s="194">
        <v>2366</v>
      </c>
      <c r="D27" s="194">
        <v>4252</v>
      </c>
      <c r="E27" s="198">
        <v>63429</v>
      </c>
      <c r="F27" s="203">
        <v>136</v>
      </c>
      <c r="G27" s="204">
        <v>111</v>
      </c>
      <c r="H27" s="204">
        <v>61</v>
      </c>
      <c r="I27" s="204">
        <v>174</v>
      </c>
      <c r="J27" s="205">
        <v>21901</v>
      </c>
    </row>
    <row r="28" spans="1:10" x14ac:dyDescent="0.45">
      <c r="A28" s="197">
        <v>120</v>
      </c>
      <c r="B28" s="194">
        <v>1873</v>
      </c>
      <c r="C28" s="194">
        <v>2328</v>
      </c>
      <c r="D28" s="194">
        <v>4260</v>
      </c>
      <c r="E28" s="198">
        <v>67689</v>
      </c>
      <c r="F28" s="203">
        <v>135</v>
      </c>
      <c r="G28" s="204">
        <v>692</v>
      </c>
      <c r="H28" s="204">
        <v>357</v>
      </c>
      <c r="I28" s="204">
        <v>1068</v>
      </c>
      <c r="J28" s="205">
        <v>22969</v>
      </c>
    </row>
    <row r="29" spans="1:10" x14ac:dyDescent="0.45">
      <c r="A29" s="197">
        <v>119</v>
      </c>
      <c r="B29" s="194">
        <v>1881</v>
      </c>
      <c r="C29" s="194">
        <v>2448</v>
      </c>
      <c r="D29" s="194">
        <v>4400</v>
      </c>
      <c r="E29" s="198">
        <v>72089</v>
      </c>
      <c r="F29" s="203">
        <v>134</v>
      </c>
      <c r="G29" s="204">
        <v>4149</v>
      </c>
      <c r="H29" s="204">
        <v>2836</v>
      </c>
      <c r="I29" s="204">
        <v>7072</v>
      </c>
      <c r="J29" s="205">
        <v>30041</v>
      </c>
    </row>
    <row r="30" spans="1:10" x14ac:dyDescent="0.45">
      <c r="A30" s="197">
        <v>118</v>
      </c>
      <c r="B30" s="194">
        <v>3953</v>
      </c>
      <c r="C30" s="194">
        <v>4994</v>
      </c>
      <c r="D30" s="194">
        <v>9100</v>
      </c>
      <c r="E30" s="198">
        <v>81189</v>
      </c>
      <c r="F30" s="203">
        <v>133</v>
      </c>
      <c r="G30" s="204">
        <v>248</v>
      </c>
      <c r="H30" s="204">
        <v>136</v>
      </c>
      <c r="I30" s="204">
        <v>390</v>
      </c>
      <c r="J30" s="205">
        <v>30431</v>
      </c>
    </row>
    <row r="31" spans="1:10" x14ac:dyDescent="0.45">
      <c r="A31" s="197">
        <v>117</v>
      </c>
      <c r="B31" s="194">
        <v>2059</v>
      </c>
      <c r="C31" s="194">
        <v>2728</v>
      </c>
      <c r="D31" s="194">
        <v>4876</v>
      </c>
      <c r="E31" s="198">
        <v>86065</v>
      </c>
      <c r="F31" s="203">
        <v>132</v>
      </c>
      <c r="G31" s="204">
        <v>1078</v>
      </c>
      <c r="H31" s="204">
        <v>670</v>
      </c>
      <c r="I31" s="204">
        <v>1773</v>
      </c>
      <c r="J31" s="205">
        <v>32204</v>
      </c>
    </row>
    <row r="32" spans="1:10" x14ac:dyDescent="0.45">
      <c r="A32" s="197">
        <v>116</v>
      </c>
      <c r="B32" s="194">
        <v>2124</v>
      </c>
      <c r="C32" s="194">
        <v>2595</v>
      </c>
      <c r="D32" s="194">
        <v>4802</v>
      </c>
      <c r="E32" s="198">
        <v>90867</v>
      </c>
      <c r="F32" s="203">
        <v>131</v>
      </c>
      <c r="G32" s="204">
        <v>2566</v>
      </c>
      <c r="H32" s="204">
        <v>1757</v>
      </c>
      <c r="I32" s="204">
        <v>4373</v>
      </c>
      <c r="J32" s="205">
        <v>36577</v>
      </c>
    </row>
    <row r="33" spans="1:10" x14ac:dyDescent="0.45">
      <c r="A33" s="197">
        <v>115</v>
      </c>
      <c r="B33" s="194">
        <v>2151</v>
      </c>
      <c r="C33" s="194">
        <v>2712</v>
      </c>
      <c r="D33" s="194">
        <v>4949</v>
      </c>
      <c r="E33" s="198">
        <v>95816</v>
      </c>
      <c r="F33" s="203">
        <v>130</v>
      </c>
      <c r="G33" s="204">
        <v>1886</v>
      </c>
      <c r="H33" s="204">
        <v>1523</v>
      </c>
      <c r="I33" s="204">
        <v>3449</v>
      </c>
      <c r="J33" s="205">
        <v>40026</v>
      </c>
    </row>
    <row r="34" spans="1:10" x14ac:dyDescent="0.45">
      <c r="A34" s="197">
        <v>114</v>
      </c>
      <c r="B34" s="194">
        <v>2197</v>
      </c>
      <c r="C34" s="194">
        <v>2731</v>
      </c>
      <c r="D34" s="194">
        <v>4999</v>
      </c>
      <c r="E34" s="198">
        <v>100815</v>
      </c>
      <c r="F34" s="203">
        <v>129</v>
      </c>
      <c r="G34" s="204">
        <v>466</v>
      </c>
      <c r="H34" s="204">
        <v>278</v>
      </c>
      <c r="I34" s="204">
        <v>755</v>
      </c>
      <c r="J34" s="205">
        <v>40781</v>
      </c>
    </row>
    <row r="35" spans="1:10" x14ac:dyDescent="0.45">
      <c r="A35" s="197">
        <v>113</v>
      </c>
      <c r="B35" s="194">
        <v>2191</v>
      </c>
      <c r="C35" s="194">
        <v>2756</v>
      </c>
      <c r="D35" s="194">
        <v>5033</v>
      </c>
      <c r="E35" s="198">
        <v>105848</v>
      </c>
      <c r="F35" s="203">
        <v>128</v>
      </c>
      <c r="G35" s="204">
        <v>1591</v>
      </c>
      <c r="H35" s="204">
        <v>1133</v>
      </c>
      <c r="I35" s="204">
        <v>2771</v>
      </c>
      <c r="J35" s="205">
        <v>43552</v>
      </c>
    </row>
    <row r="36" spans="1:10" x14ac:dyDescent="0.45">
      <c r="A36" s="197">
        <v>112</v>
      </c>
      <c r="B36" s="194">
        <v>2232</v>
      </c>
      <c r="C36" s="194">
        <v>2823</v>
      </c>
      <c r="D36" s="194">
        <v>5149</v>
      </c>
      <c r="E36" s="198">
        <v>110997</v>
      </c>
      <c r="F36" s="203">
        <v>127</v>
      </c>
      <c r="G36" s="204">
        <v>2693</v>
      </c>
      <c r="H36" s="204">
        <v>2185</v>
      </c>
      <c r="I36" s="204">
        <v>4937</v>
      </c>
      <c r="J36" s="205">
        <v>48489</v>
      </c>
    </row>
    <row r="37" spans="1:10" x14ac:dyDescent="0.45">
      <c r="A37" s="197">
        <v>111</v>
      </c>
      <c r="B37" s="194">
        <v>2341</v>
      </c>
      <c r="C37" s="194">
        <v>2859</v>
      </c>
      <c r="D37" s="194">
        <v>5288</v>
      </c>
      <c r="E37" s="198">
        <v>116285</v>
      </c>
      <c r="F37" s="203">
        <v>126</v>
      </c>
      <c r="G37" s="204">
        <v>1382</v>
      </c>
      <c r="H37" s="204">
        <v>1305</v>
      </c>
      <c r="I37" s="204">
        <v>2729</v>
      </c>
      <c r="J37" s="205">
        <v>51218</v>
      </c>
    </row>
    <row r="38" spans="1:10" x14ac:dyDescent="0.45">
      <c r="A38" s="197">
        <v>110</v>
      </c>
      <c r="B38" s="194">
        <v>2359</v>
      </c>
      <c r="C38" s="194">
        <v>2844</v>
      </c>
      <c r="D38" s="194">
        <v>5289</v>
      </c>
      <c r="E38" s="198">
        <v>121574</v>
      </c>
      <c r="F38" s="203">
        <v>125</v>
      </c>
      <c r="G38" s="204">
        <v>834</v>
      </c>
      <c r="H38" s="204">
        <v>566</v>
      </c>
      <c r="I38" s="204">
        <v>1427</v>
      </c>
      <c r="J38" s="205">
        <v>52645</v>
      </c>
    </row>
    <row r="39" spans="1:10" x14ac:dyDescent="0.45">
      <c r="A39" s="197">
        <v>109</v>
      </c>
      <c r="B39" s="194">
        <v>2310</v>
      </c>
      <c r="C39" s="194">
        <v>2844</v>
      </c>
      <c r="D39" s="194">
        <v>5249</v>
      </c>
      <c r="E39" s="198">
        <v>126823</v>
      </c>
      <c r="F39" s="203">
        <v>124</v>
      </c>
      <c r="G39" s="204">
        <v>2172</v>
      </c>
      <c r="H39" s="204">
        <v>1646</v>
      </c>
      <c r="I39" s="204">
        <v>3868</v>
      </c>
      <c r="J39" s="205">
        <v>56513</v>
      </c>
    </row>
    <row r="40" spans="1:10" x14ac:dyDescent="0.45">
      <c r="A40" s="197">
        <v>108</v>
      </c>
      <c r="B40" s="194">
        <v>4766</v>
      </c>
      <c r="C40" s="194">
        <v>5703</v>
      </c>
      <c r="D40" s="194">
        <v>10679</v>
      </c>
      <c r="E40" s="198">
        <v>137502</v>
      </c>
      <c r="F40" s="203">
        <v>123</v>
      </c>
      <c r="G40" s="204">
        <v>2319</v>
      </c>
      <c r="H40" s="204">
        <v>2095</v>
      </c>
      <c r="I40" s="204">
        <v>4466</v>
      </c>
      <c r="J40" s="205">
        <v>60979</v>
      </c>
    </row>
    <row r="41" spans="1:10" x14ac:dyDescent="0.45">
      <c r="A41" s="197">
        <v>107</v>
      </c>
      <c r="B41" s="194">
        <v>2413</v>
      </c>
      <c r="C41" s="194">
        <v>2903</v>
      </c>
      <c r="D41" s="194">
        <v>5435</v>
      </c>
      <c r="E41" s="198">
        <v>142937</v>
      </c>
      <c r="F41" s="203">
        <v>122</v>
      </c>
      <c r="G41" s="204">
        <v>1032</v>
      </c>
      <c r="H41" s="204">
        <v>938</v>
      </c>
      <c r="I41" s="204">
        <v>2005</v>
      </c>
      <c r="J41" s="205">
        <v>62984</v>
      </c>
    </row>
    <row r="42" spans="1:10" x14ac:dyDescent="0.45">
      <c r="A42" s="197">
        <v>106</v>
      </c>
      <c r="B42" s="194">
        <v>2456</v>
      </c>
      <c r="C42" s="194">
        <v>2876</v>
      </c>
      <c r="D42" s="194">
        <v>5464</v>
      </c>
      <c r="E42" s="198">
        <v>148401</v>
      </c>
      <c r="F42" s="203">
        <v>121</v>
      </c>
      <c r="G42" s="204">
        <v>3651</v>
      </c>
      <c r="H42" s="204">
        <v>3033</v>
      </c>
      <c r="I42" s="204">
        <v>6788</v>
      </c>
      <c r="J42" s="205">
        <v>69772</v>
      </c>
    </row>
    <row r="43" spans="1:10" x14ac:dyDescent="0.45">
      <c r="A43" s="197">
        <v>105</v>
      </c>
      <c r="B43" s="194">
        <v>2417</v>
      </c>
      <c r="C43" s="194">
        <v>2847</v>
      </c>
      <c r="D43" s="194">
        <v>5368</v>
      </c>
      <c r="E43" s="198">
        <v>153769</v>
      </c>
      <c r="F43" s="203">
        <v>120</v>
      </c>
      <c r="G43" s="204">
        <v>1696</v>
      </c>
      <c r="H43" s="204">
        <v>1680</v>
      </c>
      <c r="I43" s="204">
        <v>3429</v>
      </c>
      <c r="J43" s="205">
        <v>73201</v>
      </c>
    </row>
    <row r="44" spans="1:10" x14ac:dyDescent="0.45">
      <c r="A44" s="197">
        <v>104</v>
      </c>
      <c r="B44" s="194">
        <v>2369</v>
      </c>
      <c r="C44" s="194">
        <v>2795</v>
      </c>
      <c r="D44" s="194">
        <v>5275</v>
      </c>
      <c r="E44" s="198">
        <v>159044</v>
      </c>
      <c r="F44" s="203">
        <v>119</v>
      </c>
      <c r="G44" s="204">
        <v>1101</v>
      </c>
      <c r="H44" s="204">
        <v>927</v>
      </c>
      <c r="I44" s="204">
        <v>2063</v>
      </c>
      <c r="J44" s="205">
        <v>75264</v>
      </c>
    </row>
    <row r="45" spans="1:10" x14ac:dyDescent="0.45">
      <c r="A45" s="197">
        <v>103</v>
      </c>
      <c r="B45" s="194">
        <v>2406</v>
      </c>
      <c r="C45" s="194">
        <v>2840</v>
      </c>
      <c r="D45" s="194">
        <v>5349</v>
      </c>
      <c r="E45" s="198">
        <v>164393</v>
      </c>
      <c r="F45" s="203">
        <v>118</v>
      </c>
      <c r="G45" s="204">
        <v>1802</v>
      </c>
      <c r="H45" s="204">
        <v>1534</v>
      </c>
      <c r="I45" s="204">
        <v>3399</v>
      </c>
      <c r="J45" s="205">
        <v>78663</v>
      </c>
    </row>
    <row r="46" spans="1:10" x14ac:dyDescent="0.45">
      <c r="A46" s="197">
        <v>102</v>
      </c>
      <c r="B46" s="194">
        <v>2447</v>
      </c>
      <c r="C46" s="194">
        <v>2868</v>
      </c>
      <c r="D46" s="194">
        <v>5443</v>
      </c>
      <c r="E46" s="198">
        <v>169836</v>
      </c>
      <c r="F46" s="203">
        <v>117</v>
      </c>
      <c r="G46" s="204">
        <v>1927</v>
      </c>
      <c r="H46" s="204">
        <v>1910</v>
      </c>
      <c r="I46" s="204">
        <v>3892</v>
      </c>
      <c r="J46" s="205">
        <v>82555</v>
      </c>
    </row>
    <row r="47" spans="1:10" x14ac:dyDescent="0.45">
      <c r="A47" s="197">
        <v>101</v>
      </c>
      <c r="B47" s="194">
        <v>2415</v>
      </c>
      <c r="C47" s="194">
        <v>2831</v>
      </c>
      <c r="D47" s="194">
        <v>5354</v>
      </c>
      <c r="E47" s="198">
        <v>175190</v>
      </c>
      <c r="F47" s="203">
        <v>116</v>
      </c>
      <c r="G47" s="204">
        <v>1246</v>
      </c>
      <c r="H47" s="204">
        <v>1244</v>
      </c>
      <c r="I47" s="204">
        <v>2526</v>
      </c>
      <c r="J47" s="205">
        <v>85081</v>
      </c>
    </row>
    <row r="48" spans="1:10" x14ac:dyDescent="0.45">
      <c r="A48" s="197">
        <v>100</v>
      </c>
      <c r="B48" s="194">
        <v>2384</v>
      </c>
      <c r="C48" s="194">
        <v>2780</v>
      </c>
      <c r="D48" s="194">
        <v>5277</v>
      </c>
      <c r="E48" s="198">
        <v>180467</v>
      </c>
      <c r="F48" s="203">
        <v>115</v>
      </c>
      <c r="G48" s="204">
        <v>1426</v>
      </c>
      <c r="H48" s="204">
        <v>1333</v>
      </c>
      <c r="I48" s="204">
        <v>2805</v>
      </c>
      <c r="J48" s="205">
        <v>87886</v>
      </c>
    </row>
    <row r="49" spans="1:10" x14ac:dyDescent="0.45">
      <c r="A49" s="197">
        <v>99</v>
      </c>
      <c r="B49" s="194">
        <v>4825</v>
      </c>
      <c r="C49" s="194">
        <v>5473</v>
      </c>
      <c r="D49" s="194">
        <v>10533</v>
      </c>
      <c r="E49" s="198">
        <v>191000</v>
      </c>
      <c r="F49" s="203">
        <v>114</v>
      </c>
      <c r="G49" s="204">
        <v>1766</v>
      </c>
      <c r="H49" s="204">
        <v>1725</v>
      </c>
      <c r="I49" s="204">
        <v>3535</v>
      </c>
      <c r="J49" s="205">
        <v>91421</v>
      </c>
    </row>
    <row r="50" spans="1:10" x14ac:dyDescent="0.45">
      <c r="A50" s="197">
        <v>98</v>
      </c>
      <c r="B50" s="194">
        <v>2440</v>
      </c>
      <c r="C50" s="194">
        <v>2693</v>
      </c>
      <c r="D50" s="194">
        <v>5263</v>
      </c>
      <c r="E50" s="198">
        <v>196263</v>
      </c>
      <c r="F50" s="203">
        <v>113</v>
      </c>
      <c r="G50" s="204">
        <v>1519</v>
      </c>
      <c r="H50" s="204">
        <v>1602</v>
      </c>
      <c r="I50" s="204">
        <v>3170</v>
      </c>
      <c r="J50" s="205">
        <v>94591</v>
      </c>
    </row>
    <row r="51" spans="1:10" x14ac:dyDescent="0.45">
      <c r="A51" s="197">
        <v>97</v>
      </c>
      <c r="B51" s="194">
        <v>2408</v>
      </c>
      <c r="C51" s="194">
        <v>2677</v>
      </c>
      <c r="D51" s="194">
        <v>5196</v>
      </c>
      <c r="E51" s="198">
        <v>201459</v>
      </c>
      <c r="F51" s="203">
        <v>112</v>
      </c>
      <c r="G51" s="204">
        <v>1374</v>
      </c>
      <c r="H51" s="204">
        <v>1367</v>
      </c>
      <c r="I51" s="204">
        <v>2783</v>
      </c>
      <c r="J51" s="205">
        <v>97374</v>
      </c>
    </row>
    <row r="52" spans="1:10" x14ac:dyDescent="0.45">
      <c r="A52" s="197">
        <v>96</v>
      </c>
      <c r="B52" s="194">
        <v>2300</v>
      </c>
      <c r="C52" s="194">
        <v>2641</v>
      </c>
      <c r="D52" s="194">
        <v>5039</v>
      </c>
      <c r="E52" s="198">
        <v>206498</v>
      </c>
      <c r="F52" s="203">
        <v>111</v>
      </c>
      <c r="G52" s="204">
        <v>1592</v>
      </c>
      <c r="H52" s="204">
        <v>1612</v>
      </c>
      <c r="I52" s="204">
        <v>3253</v>
      </c>
      <c r="J52" s="205">
        <v>100627</v>
      </c>
    </row>
    <row r="53" spans="1:10" x14ac:dyDescent="0.45">
      <c r="A53" s="197">
        <v>95</v>
      </c>
      <c r="B53" s="194">
        <v>2377</v>
      </c>
      <c r="C53" s="194">
        <v>2510</v>
      </c>
      <c r="D53" s="194">
        <v>5003</v>
      </c>
      <c r="E53" s="198">
        <v>211501</v>
      </c>
      <c r="F53" s="203">
        <v>110</v>
      </c>
      <c r="G53" s="204">
        <v>1635</v>
      </c>
      <c r="H53" s="204">
        <v>1789</v>
      </c>
      <c r="I53" s="204">
        <v>3485</v>
      </c>
      <c r="J53" s="205">
        <v>104112</v>
      </c>
    </row>
    <row r="54" spans="1:10" x14ac:dyDescent="0.45">
      <c r="A54" s="197">
        <v>94</v>
      </c>
      <c r="B54" s="194">
        <v>2333</v>
      </c>
      <c r="C54" s="194">
        <v>2596</v>
      </c>
      <c r="D54" s="194">
        <v>5054</v>
      </c>
      <c r="E54" s="198">
        <v>216555</v>
      </c>
      <c r="F54" s="203">
        <v>109</v>
      </c>
      <c r="G54" s="204">
        <v>3162</v>
      </c>
      <c r="H54" s="204">
        <v>3268</v>
      </c>
      <c r="I54" s="204">
        <v>6537</v>
      </c>
      <c r="J54" s="205">
        <v>110649</v>
      </c>
    </row>
    <row r="55" spans="1:10" x14ac:dyDescent="0.45">
      <c r="A55" s="197">
        <v>93</v>
      </c>
      <c r="B55" s="194">
        <v>2286</v>
      </c>
      <c r="C55" s="194">
        <v>2455</v>
      </c>
      <c r="D55" s="194">
        <v>4872</v>
      </c>
      <c r="E55" s="198">
        <v>221427</v>
      </c>
      <c r="F55" s="203">
        <v>108</v>
      </c>
      <c r="G55" s="204">
        <v>1779</v>
      </c>
      <c r="H55" s="204">
        <v>1980</v>
      </c>
      <c r="I55" s="204">
        <v>3822</v>
      </c>
      <c r="J55" s="205">
        <v>114471</v>
      </c>
    </row>
    <row r="56" spans="1:10" x14ac:dyDescent="0.45">
      <c r="A56" s="197">
        <v>92</v>
      </c>
      <c r="B56" s="194">
        <v>2366</v>
      </c>
      <c r="C56" s="194">
        <v>2417</v>
      </c>
      <c r="D56" s="194">
        <v>4915</v>
      </c>
      <c r="E56" s="198">
        <v>226342</v>
      </c>
      <c r="F56" s="203">
        <v>107</v>
      </c>
      <c r="G56" s="204">
        <v>1818</v>
      </c>
      <c r="H56" s="204">
        <v>2032</v>
      </c>
      <c r="I56" s="204">
        <v>3933</v>
      </c>
      <c r="J56" s="205">
        <v>118404</v>
      </c>
    </row>
    <row r="57" spans="1:10" x14ac:dyDescent="0.45">
      <c r="A57" s="197">
        <v>91</v>
      </c>
      <c r="B57" s="194">
        <v>2292</v>
      </c>
      <c r="C57" s="194">
        <v>2342</v>
      </c>
      <c r="D57" s="194">
        <v>4769</v>
      </c>
      <c r="E57" s="198">
        <v>231111</v>
      </c>
      <c r="F57" s="203">
        <v>106</v>
      </c>
      <c r="G57" s="204">
        <v>1461</v>
      </c>
      <c r="H57" s="204">
        <v>1513</v>
      </c>
      <c r="I57" s="204">
        <v>3038</v>
      </c>
      <c r="J57" s="205">
        <v>121442</v>
      </c>
    </row>
    <row r="58" spans="1:10" x14ac:dyDescent="0.45">
      <c r="A58" s="197">
        <v>90</v>
      </c>
      <c r="B58" s="194">
        <v>2337</v>
      </c>
      <c r="C58" s="194">
        <v>2417</v>
      </c>
      <c r="D58" s="194">
        <v>4888</v>
      </c>
      <c r="E58" s="198">
        <v>235999</v>
      </c>
      <c r="F58" s="203">
        <v>105</v>
      </c>
      <c r="G58" s="204">
        <v>1916</v>
      </c>
      <c r="H58" s="204">
        <v>2094</v>
      </c>
      <c r="I58" s="204">
        <v>4081</v>
      </c>
      <c r="J58" s="205">
        <v>125523</v>
      </c>
    </row>
    <row r="59" spans="1:10" x14ac:dyDescent="0.45">
      <c r="A59" s="197">
        <v>89</v>
      </c>
      <c r="B59" s="194">
        <v>4532</v>
      </c>
      <c r="C59" s="194">
        <v>4435</v>
      </c>
      <c r="D59" s="194">
        <v>9253</v>
      </c>
      <c r="E59" s="198">
        <v>245252</v>
      </c>
      <c r="F59" s="203">
        <v>104</v>
      </c>
      <c r="G59" s="204">
        <v>2067</v>
      </c>
      <c r="H59" s="204">
        <v>2319</v>
      </c>
      <c r="I59" s="204">
        <v>4465</v>
      </c>
      <c r="J59" s="205">
        <v>129988</v>
      </c>
    </row>
    <row r="60" spans="1:10" x14ac:dyDescent="0.45">
      <c r="A60" s="197">
        <v>88</v>
      </c>
      <c r="B60" s="194">
        <v>2206</v>
      </c>
      <c r="C60" s="194">
        <v>2176</v>
      </c>
      <c r="D60" s="194">
        <v>4511</v>
      </c>
      <c r="E60" s="198">
        <v>249763</v>
      </c>
      <c r="F60" s="203">
        <v>103</v>
      </c>
      <c r="G60" s="204">
        <v>1534</v>
      </c>
      <c r="H60" s="204">
        <v>1758</v>
      </c>
      <c r="I60" s="204">
        <v>3349</v>
      </c>
      <c r="J60" s="205">
        <v>133337</v>
      </c>
    </row>
    <row r="61" spans="1:10" x14ac:dyDescent="0.45">
      <c r="A61" s="197">
        <v>87</v>
      </c>
      <c r="B61" s="194">
        <v>2324</v>
      </c>
      <c r="C61" s="194">
        <v>2210</v>
      </c>
      <c r="D61" s="194">
        <v>4664</v>
      </c>
      <c r="E61" s="198">
        <v>254427</v>
      </c>
      <c r="F61" s="203">
        <v>102</v>
      </c>
      <c r="G61" s="204">
        <v>2074</v>
      </c>
      <c r="H61" s="204">
        <v>2355</v>
      </c>
      <c r="I61" s="204">
        <v>4491</v>
      </c>
      <c r="J61" s="205">
        <v>137828</v>
      </c>
    </row>
    <row r="62" spans="1:10" x14ac:dyDescent="0.45">
      <c r="A62" s="197">
        <v>86</v>
      </c>
      <c r="B62" s="194">
        <v>2202</v>
      </c>
      <c r="C62" s="194">
        <v>2233</v>
      </c>
      <c r="D62" s="194">
        <v>4578</v>
      </c>
      <c r="E62" s="198">
        <v>259005</v>
      </c>
      <c r="F62" s="203">
        <v>101</v>
      </c>
      <c r="G62" s="204">
        <v>2459</v>
      </c>
      <c r="H62" s="204">
        <v>2742</v>
      </c>
      <c r="I62" s="204">
        <v>5300</v>
      </c>
      <c r="J62" s="205">
        <v>143128</v>
      </c>
    </row>
    <row r="63" spans="1:10" x14ac:dyDescent="0.45">
      <c r="A63" s="197">
        <v>85</v>
      </c>
      <c r="B63" s="194">
        <v>2163</v>
      </c>
      <c r="C63" s="194">
        <v>2033</v>
      </c>
      <c r="D63" s="194">
        <v>4348</v>
      </c>
      <c r="E63" s="198">
        <v>263353</v>
      </c>
      <c r="F63" s="203">
        <v>100</v>
      </c>
      <c r="G63" s="204">
        <v>1739</v>
      </c>
      <c r="H63" s="204">
        <v>1939</v>
      </c>
      <c r="I63" s="204">
        <v>3729</v>
      </c>
      <c r="J63" s="205">
        <v>146857</v>
      </c>
    </row>
    <row r="64" spans="1:10" x14ac:dyDescent="0.45">
      <c r="A64" s="197">
        <v>84</v>
      </c>
      <c r="B64" s="194">
        <v>2317</v>
      </c>
      <c r="C64" s="194">
        <v>2058</v>
      </c>
      <c r="D64" s="194">
        <v>4530</v>
      </c>
      <c r="E64" s="198">
        <v>267883</v>
      </c>
      <c r="F64" s="203">
        <v>99</v>
      </c>
      <c r="G64" s="204">
        <v>2296</v>
      </c>
      <c r="H64" s="204">
        <v>2494</v>
      </c>
      <c r="I64" s="204">
        <v>4878</v>
      </c>
      <c r="J64" s="205">
        <v>151735</v>
      </c>
    </row>
    <row r="65" spans="1:10" x14ac:dyDescent="0.45">
      <c r="A65" s="197">
        <v>83</v>
      </c>
      <c r="B65" s="194">
        <v>2189</v>
      </c>
      <c r="C65" s="194">
        <v>1807</v>
      </c>
      <c r="D65" s="194">
        <v>4150</v>
      </c>
      <c r="E65" s="198">
        <v>272033</v>
      </c>
      <c r="F65" s="203">
        <v>98</v>
      </c>
      <c r="G65" s="204">
        <v>2719</v>
      </c>
      <c r="H65" s="204">
        <v>3181</v>
      </c>
      <c r="I65" s="204">
        <v>6001</v>
      </c>
      <c r="J65" s="205">
        <v>157736</v>
      </c>
    </row>
    <row r="66" spans="1:10" x14ac:dyDescent="0.45">
      <c r="A66" s="197">
        <v>82</v>
      </c>
      <c r="B66" s="194">
        <v>2285</v>
      </c>
      <c r="C66" s="194">
        <v>1866</v>
      </c>
      <c r="D66" s="194">
        <v>4324</v>
      </c>
      <c r="E66" s="198">
        <v>276357</v>
      </c>
      <c r="F66" s="203">
        <v>97</v>
      </c>
      <c r="G66" s="204">
        <v>1855</v>
      </c>
      <c r="H66" s="204">
        <v>2323</v>
      </c>
      <c r="I66" s="204">
        <v>4255</v>
      </c>
      <c r="J66" s="205">
        <v>161991</v>
      </c>
    </row>
    <row r="67" spans="1:10" x14ac:dyDescent="0.45">
      <c r="A67" s="197">
        <v>81</v>
      </c>
      <c r="B67" s="194">
        <v>2142</v>
      </c>
      <c r="C67" s="194">
        <v>1801</v>
      </c>
      <c r="D67" s="194">
        <v>4112</v>
      </c>
      <c r="E67" s="198">
        <v>280469</v>
      </c>
      <c r="F67" s="203">
        <v>96</v>
      </c>
      <c r="G67" s="204">
        <v>5434</v>
      </c>
      <c r="H67" s="204">
        <v>6420</v>
      </c>
      <c r="I67" s="204">
        <v>12085</v>
      </c>
      <c r="J67" s="205">
        <v>174076</v>
      </c>
    </row>
    <row r="68" spans="1:10" x14ac:dyDescent="0.45">
      <c r="A68" s="197">
        <v>80</v>
      </c>
      <c r="B68" s="194">
        <v>4486</v>
      </c>
      <c r="C68" s="194">
        <v>3340</v>
      </c>
      <c r="D68" s="194">
        <v>8189</v>
      </c>
      <c r="E68" s="198">
        <v>288658</v>
      </c>
      <c r="F68" s="203">
        <v>95</v>
      </c>
      <c r="G68" s="204">
        <v>2184</v>
      </c>
      <c r="H68" s="204">
        <v>2789</v>
      </c>
      <c r="I68" s="204">
        <v>5096</v>
      </c>
      <c r="J68" s="205">
        <v>179172</v>
      </c>
    </row>
    <row r="69" spans="1:10" x14ac:dyDescent="0.45">
      <c r="A69" s="197">
        <v>79</v>
      </c>
      <c r="B69" s="194">
        <v>2375</v>
      </c>
      <c r="C69" s="194">
        <v>1769</v>
      </c>
      <c r="D69" s="194">
        <v>4340</v>
      </c>
      <c r="E69" s="198">
        <v>292998</v>
      </c>
      <c r="F69" s="203">
        <v>94</v>
      </c>
      <c r="G69" s="204">
        <v>2654</v>
      </c>
      <c r="H69" s="204">
        <v>3256</v>
      </c>
      <c r="I69" s="204">
        <v>6040</v>
      </c>
      <c r="J69" s="205">
        <v>185212</v>
      </c>
    </row>
    <row r="70" spans="1:10" x14ac:dyDescent="0.45">
      <c r="A70" s="197">
        <v>78</v>
      </c>
      <c r="B70" s="194">
        <v>2298</v>
      </c>
      <c r="C70" s="194">
        <v>1491</v>
      </c>
      <c r="D70" s="194">
        <v>3978</v>
      </c>
      <c r="E70" s="198">
        <v>296976</v>
      </c>
      <c r="F70" s="203">
        <v>93</v>
      </c>
      <c r="G70" s="204">
        <v>3064</v>
      </c>
      <c r="H70" s="204">
        <v>3682</v>
      </c>
      <c r="I70" s="204">
        <v>6890</v>
      </c>
      <c r="J70" s="205">
        <v>192102</v>
      </c>
    </row>
    <row r="71" spans="1:10" x14ac:dyDescent="0.45">
      <c r="A71" s="197">
        <v>77</v>
      </c>
      <c r="B71" s="194">
        <v>2475</v>
      </c>
      <c r="C71" s="194">
        <v>1626</v>
      </c>
      <c r="D71" s="194">
        <v>4345</v>
      </c>
      <c r="E71" s="198">
        <v>301321</v>
      </c>
      <c r="F71" s="203">
        <v>92</v>
      </c>
      <c r="G71" s="204">
        <v>2717</v>
      </c>
      <c r="H71" s="204">
        <v>3484</v>
      </c>
      <c r="I71" s="204">
        <v>6333</v>
      </c>
      <c r="J71" s="205">
        <v>198435</v>
      </c>
    </row>
    <row r="72" spans="1:10" x14ac:dyDescent="0.45">
      <c r="A72" s="197">
        <v>76</v>
      </c>
      <c r="B72" s="194">
        <v>2098</v>
      </c>
      <c r="C72" s="194">
        <v>1339</v>
      </c>
      <c r="D72" s="194">
        <v>3613</v>
      </c>
      <c r="E72" s="198">
        <v>304934</v>
      </c>
      <c r="F72" s="203">
        <v>91</v>
      </c>
      <c r="G72" s="204">
        <v>2822</v>
      </c>
      <c r="H72" s="204">
        <v>3480</v>
      </c>
      <c r="I72" s="204">
        <v>6443</v>
      </c>
      <c r="J72" s="205">
        <v>204878</v>
      </c>
    </row>
    <row r="73" spans="1:10" x14ac:dyDescent="0.45">
      <c r="A73" s="197">
        <v>75</v>
      </c>
      <c r="B73" s="194">
        <v>5406</v>
      </c>
      <c r="C73" s="194">
        <v>2961</v>
      </c>
      <c r="D73" s="194">
        <v>9107</v>
      </c>
      <c r="E73" s="198">
        <v>314041</v>
      </c>
      <c r="F73" s="203">
        <v>90</v>
      </c>
      <c r="G73" s="204">
        <v>3339</v>
      </c>
      <c r="H73" s="204">
        <v>4069</v>
      </c>
      <c r="I73" s="204">
        <v>7563</v>
      </c>
      <c r="J73" s="205">
        <v>212441</v>
      </c>
    </row>
    <row r="74" spans="1:10" x14ac:dyDescent="0.45">
      <c r="A74" s="197">
        <v>74</v>
      </c>
      <c r="B74" s="194">
        <v>2135</v>
      </c>
      <c r="C74" s="194">
        <v>1241</v>
      </c>
      <c r="D74" s="194">
        <v>3541</v>
      </c>
      <c r="E74" s="198">
        <v>317582</v>
      </c>
      <c r="F74" s="203">
        <v>89</v>
      </c>
      <c r="G74" s="204">
        <v>3096</v>
      </c>
      <c r="H74" s="204">
        <v>3951</v>
      </c>
      <c r="I74" s="204">
        <v>7212</v>
      </c>
      <c r="J74" s="205">
        <v>219653</v>
      </c>
    </row>
    <row r="75" spans="1:10" x14ac:dyDescent="0.45">
      <c r="A75" s="197">
        <v>73</v>
      </c>
      <c r="B75" s="194">
        <v>2267</v>
      </c>
      <c r="C75" s="194">
        <v>1166</v>
      </c>
      <c r="D75" s="194">
        <v>3650</v>
      </c>
      <c r="E75" s="198">
        <v>321232</v>
      </c>
      <c r="F75" s="203">
        <v>88</v>
      </c>
      <c r="G75" s="204">
        <v>3192</v>
      </c>
      <c r="H75" s="204">
        <v>3884</v>
      </c>
      <c r="I75" s="204">
        <v>7260</v>
      </c>
      <c r="J75" s="205">
        <v>226913</v>
      </c>
    </row>
    <row r="76" spans="1:10" x14ac:dyDescent="0.45">
      <c r="A76" s="197">
        <v>72</v>
      </c>
      <c r="B76" s="194">
        <v>2161</v>
      </c>
      <c r="C76" s="194">
        <v>1195</v>
      </c>
      <c r="D76" s="194">
        <v>3574</v>
      </c>
      <c r="E76" s="198">
        <v>324806</v>
      </c>
      <c r="F76" s="203">
        <v>87</v>
      </c>
      <c r="G76" s="204">
        <v>3793</v>
      </c>
      <c r="H76" s="204">
        <v>4838</v>
      </c>
      <c r="I76" s="204">
        <v>8863</v>
      </c>
      <c r="J76" s="205">
        <v>235776</v>
      </c>
    </row>
    <row r="77" spans="1:10" x14ac:dyDescent="0.45">
      <c r="A77" s="197">
        <v>71</v>
      </c>
      <c r="B77" s="194">
        <v>1952</v>
      </c>
      <c r="C77" s="194">
        <v>1013</v>
      </c>
      <c r="D77" s="194">
        <v>3184</v>
      </c>
      <c r="E77" s="198">
        <v>327990</v>
      </c>
      <c r="F77" s="203">
        <v>86</v>
      </c>
      <c r="G77" s="204">
        <v>3549</v>
      </c>
      <c r="H77" s="204">
        <v>4290</v>
      </c>
      <c r="I77" s="204">
        <v>8066</v>
      </c>
      <c r="J77" s="205">
        <v>243842</v>
      </c>
    </row>
    <row r="78" spans="1:10" x14ac:dyDescent="0.45">
      <c r="A78" s="197">
        <v>70</v>
      </c>
      <c r="B78" s="194">
        <v>4242</v>
      </c>
      <c r="C78" s="194">
        <v>2221</v>
      </c>
      <c r="D78" s="194">
        <v>6967</v>
      </c>
      <c r="E78" s="198">
        <v>334957</v>
      </c>
      <c r="F78" s="203">
        <v>85</v>
      </c>
      <c r="G78" s="204">
        <v>3036</v>
      </c>
      <c r="H78" s="204">
        <v>3851</v>
      </c>
      <c r="I78" s="204">
        <v>7066</v>
      </c>
      <c r="J78" s="205">
        <v>250908</v>
      </c>
    </row>
    <row r="79" spans="1:10" x14ac:dyDescent="0.45">
      <c r="A79" s="197">
        <v>69</v>
      </c>
      <c r="B79" s="194">
        <v>6493</v>
      </c>
      <c r="C79" s="194">
        <v>2534</v>
      </c>
      <c r="D79" s="194">
        <v>9954</v>
      </c>
      <c r="E79" s="198">
        <v>344911</v>
      </c>
      <c r="F79" s="203">
        <v>84</v>
      </c>
      <c r="G79" s="204">
        <v>11420</v>
      </c>
      <c r="H79" s="204">
        <v>9727</v>
      </c>
      <c r="I79" s="204">
        <v>22148</v>
      </c>
      <c r="J79" s="205">
        <v>273056</v>
      </c>
    </row>
    <row r="80" spans="1:10" x14ac:dyDescent="0.45">
      <c r="A80" s="197">
        <v>68</v>
      </c>
      <c r="B80" s="194">
        <v>1787</v>
      </c>
      <c r="C80" s="194">
        <v>837</v>
      </c>
      <c r="D80" s="194">
        <v>2831</v>
      </c>
      <c r="E80" s="198">
        <v>347742</v>
      </c>
      <c r="F80" s="203">
        <v>83</v>
      </c>
      <c r="G80" s="204">
        <v>6536</v>
      </c>
      <c r="H80" s="204">
        <v>7804</v>
      </c>
      <c r="I80" s="204">
        <v>14748</v>
      </c>
      <c r="J80" s="205">
        <v>287804</v>
      </c>
    </row>
    <row r="81" spans="1:10" x14ac:dyDescent="0.45">
      <c r="A81" s="197">
        <v>67</v>
      </c>
      <c r="B81" s="194">
        <v>1214</v>
      </c>
      <c r="C81" s="194">
        <v>559</v>
      </c>
      <c r="D81" s="194">
        <v>1904</v>
      </c>
      <c r="E81" s="198">
        <v>349646</v>
      </c>
      <c r="F81" s="203">
        <v>82</v>
      </c>
      <c r="G81" s="204">
        <v>4173</v>
      </c>
      <c r="H81" s="204">
        <v>4754</v>
      </c>
      <c r="I81" s="204">
        <v>9242</v>
      </c>
      <c r="J81" s="205">
        <v>297046</v>
      </c>
    </row>
    <row r="82" spans="1:10" x14ac:dyDescent="0.45">
      <c r="A82" s="197">
        <v>66</v>
      </c>
      <c r="B82" s="194">
        <v>902</v>
      </c>
      <c r="C82" s="194">
        <v>400</v>
      </c>
      <c r="D82" s="194">
        <v>1422</v>
      </c>
      <c r="E82" s="198">
        <v>351068</v>
      </c>
      <c r="F82" s="203">
        <v>81</v>
      </c>
      <c r="G82" s="204">
        <v>7187</v>
      </c>
      <c r="H82" s="204">
        <v>7111</v>
      </c>
      <c r="I82" s="204">
        <v>14888</v>
      </c>
      <c r="J82" s="205">
        <v>311934</v>
      </c>
    </row>
    <row r="83" spans="1:10" x14ac:dyDescent="0.45">
      <c r="A83" s="197">
        <v>65</v>
      </c>
      <c r="B83" s="194">
        <v>683</v>
      </c>
      <c r="C83" s="194">
        <v>273</v>
      </c>
      <c r="D83" s="194">
        <v>1022</v>
      </c>
      <c r="E83" s="198">
        <v>352090</v>
      </c>
      <c r="F83" s="203">
        <v>80</v>
      </c>
      <c r="G83" s="204">
        <v>2294</v>
      </c>
      <c r="H83" s="204">
        <v>2733</v>
      </c>
      <c r="I83" s="204">
        <v>5206</v>
      </c>
      <c r="J83" s="205">
        <v>317140</v>
      </c>
    </row>
    <row r="84" spans="1:10" x14ac:dyDescent="0.45">
      <c r="A84" s="197">
        <v>64</v>
      </c>
      <c r="B84" s="194">
        <v>432</v>
      </c>
      <c r="C84" s="194">
        <v>217</v>
      </c>
      <c r="D84" s="194">
        <v>700</v>
      </c>
      <c r="E84" s="198">
        <v>352790</v>
      </c>
      <c r="F84" s="203">
        <v>79</v>
      </c>
      <c r="G84" s="204">
        <v>3288</v>
      </c>
      <c r="H84" s="204">
        <v>3208</v>
      </c>
      <c r="I84" s="204">
        <v>6751</v>
      </c>
      <c r="J84" s="205">
        <v>323891</v>
      </c>
    </row>
    <row r="85" spans="1:10" x14ac:dyDescent="0.45">
      <c r="A85" s="197">
        <v>63</v>
      </c>
      <c r="B85" s="194">
        <v>364</v>
      </c>
      <c r="C85" s="194">
        <v>158</v>
      </c>
      <c r="D85" s="194">
        <v>566</v>
      </c>
      <c r="E85" s="198">
        <v>353356</v>
      </c>
      <c r="F85" s="203">
        <v>78</v>
      </c>
      <c r="G85" s="204">
        <v>1830</v>
      </c>
      <c r="H85" s="204">
        <v>2052</v>
      </c>
      <c r="I85" s="204">
        <v>4002</v>
      </c>
      <c r="J85" s="205">
        <v>327893</v>
      </c>
    </row>
    <row r="86" spans="1:10" x14ac:dyDescent="0.45">
      <c r="A86" s="197">
        <v>62</v>
      </c>
      <c r="B86" s="194">
        <v>307</v>
      </c>
      <c r="C86" s="194">
        <v>133</v>
      </c>
      <c r="D86" s="194">
        <v>460</v>
      </c>
      <c r="E86" s="198">
        <v>353816</v>
      </c>
      <c r="F86" s="203">
        <v>77</v>
      </c>
      <c r="G86" s="204">
        <v>2093</v>
      </c>
      <c r="H86" s="204">
        <v>2171</v>
      </c>
      <c r="I86" s="204">
        <v>4414</v>
      </c>
      <c r="J86" s="205">
        <v>332307</v>
      </c>
    </row>
    <row r="87" spans="1:10" x14ac:dyDescent="0.45">
      <c r="A87" s="197">
        <v>61</v>
      </c>
      <c r="B87" s="194">
        <v>333</v>
      </c>
      <c r="C87" s="194">
        <v>140</v>
      </c>
      <c r="D87" s="194">
        <v>522</v>
      </c>
      <c r="E87" s="198">
        <v>354338</v>
      </c>
      <c r="F87" s="203">
        <v>76</v>
      </c>
      <c r="G87" s="204">
        <v>1820</v>
      </c>
      <c r="H87" s="204">
        <v>2051</v>
      </c>
      <c r="I87" s="204">
        <v>3996</v>
      </c>
      <c r="J87" s="205">
        <v>336303</v>
      </c>
    </row>
    <row r="88" spans="1:10" x14ac:dyDescent="0.45">
      <c r="A88" s="197">
        <v>60</v>
      </c>
      <c r="B88" s="194">
        <v>50</v>
      </c>
      <c r="C88" s="194">
        <v>27</v>
      </c>
      <c r="D88" s="194">
        <v>86</v>
      </c>
      <c r="E88" s="198">
        <v>354424</v>
      </c>
      <c r="F88" s="203">
        <v>75</v>
      </c>
      <c r="G88" s="204">
        <v>1339</v>
      </c>
      <c r="H88" s="204">
        <v>1511</v>
      </c>
      <c r="I88" s="204">
        <v>2945</v>
      </c>
      <c r="J88" s="205">
        <v>339248</v>
      </c>
    </row>
    <row r="89" spans="1:10" x14ac:dyDescent="0.45">
      <c r="A89" s="197">
        <v>59</v>
      </c>
      <c r="B89" s="194">
        <v>92</v>
      </c>
      <c r="C89" s="194">
        <v>50</v>
      </c>
      <c r="D89" s="194">
        <v>163</v>
      </c>
      <c r="E89" s="198">
        <v>354587</v>
      </c>
      <c r="F89" s="203">
        <v>74</v>
      </c>
      <c r="G89" s="204">
        <v>1005</v>
      </c>
      <c r="H89" s="204">
        <v>1090</v>
      </c>
      <c r="I89" s="204">
        <v>2161</v>
      </c>
      <c r="J89" s="205">
        <v>341409</v>
      </c>
    </row>
    <row r="90" spans="1:10" x14ac:dyDescent="0.45">
      <c r="A90" s="197">
        <v>58</v>
      </c>
      <c r="B90" s="194">
        <v>30</v>
      </c>
      <c r="C90" s="194">
        <v>12</v>
      </c>
      <c r="D90" s="194">
        <v>45</v>
      </c>
      <c r="E90" s="198">
        <v>354632</v>
      </c>
      <c r="F90" s="203">
        <v>73</v>
      </c>
      <c r="G90" s="204">
        <v>1301</v>
      </c>
      <c r="H90" s="204">
        <v>1214</v>
      </c>
      <c r="I90" s="204">
        <v>2630</v>
      </c>
      <c r="J90" s="205">
        <v>344039</v>
      </c>
    </row>
    <row r="91" spans="1:10" x14ac:dyDescent="0.45">
      <c r="A91" s="197">
        <v>57</v>
      </c>
      <c r="B91" s="194">
        <v>59</v>
      </c>
      <c r="C91" s="194">
        <v>30</v>
      </c>
      <c r="D91" s="194">
        <v>100</v>
      </c>
      <c r="E91" s="198">
        <v>354732</v>
      </c>
      <c r="F91" s="203">
        <v>72</v>
      </c>
      <c r="G91" s="204">
        <v>915</v>
      </c>
      <c r="H91" s="204">
        <v>977</v>
      </c>
      <c r="I91" s="204">
        <v>1963</v>
      </c>
      <c r="J91" s="205">
        <v>346002</v>
      </c>
    </row>
    <row r="92" spans="1:10" x14ac:dyDescent="0.45">
      <c r="A92" s="197">
        <v>56</v>
      </c>
      <c r="B92" s="194">
        <v>5</v>
      </c>
      <c r="C92" s="194">
        <v>4</v>
      </c>
      <c r="D92" s="194">
        <v>9</v>
      </c>
      <c r="E92" s="198">
        <v>354741</v>
      </c>
      <c r="F92" s="203">
        <v>71</v>
      </c>
      <c r="G92" s="204">
        <v>1650</v>
      </c>
      <c r="H92" s="204">
        <v>1438</v>
      </c>
      <c r="I92" s="204">
        <v>3257</v>
      </c>
      <c r="J92" s="205">
        <v>349259</v>
      </c>
    </row>
    <row r="93" spans="1:10" x14ac:dyDescent="0.45">
      <c r="A93" s="197">
        <v>55</v>
      </c>
      <c r="B93" s="194">
        <v>100</v>
      </c>
      <c r="C93" s="194">
        <v>32</v>
      </c>
      <c r="D93" s="194">
        <v>146</v>
      </c>
      <c r="E93" s="198">
        <v>354887</v>
      </c>
      <c r="F93" s="203">
        <v>70</v>
      </c>
      <c r="G93" s="204">
        <v>1111</v>
      </c>
      <c r="H93" s="204">
        <v>1002</v>
      </c>
      <c r="I93" s="204">
        <v>2193</v>
      </c>
      <c r="J93" s="205">
        <v>351452</v>
      </c>
    </row>
    <row r="94" spans="1:10" x14ac:dyDescent="0.45">
      <c r="A94" s="197">
        <v>53</v>
      </c>
      <c r="B94" s="194">
        <v>1129</v>
      </c>
      <c r="C94" s="194">
        <v>388</v>
      </c>
      <c r="D94" s="194">
        <v>1738</v>
      </c>
      <c r="E94" s="198">
        <v>356625</v>
      </c>
      <c r="F94" s="201">
        <v>69</v>
      </c>
      <c r="G94" s="194">
        <v>160</v>
      </c>
      <c r="H94" s="194">
        <v>138</v>
      </c>
      <c r="I94" s="194">
        <v>314</v>
      </c>
      <c r="J94" s="198">
        <v>351766</v>
      </c>
    </row>
    <row r="95" spans="1:10" x14ac:dyDescent="0.45">
      <c r="A95" s="195"/>
      <c r="B95" s="196"/>
      <c r="C95" s="196"/>
      <c r="D95" s="196"/>
      <c r="E95" s="199"/>
      <c r="F95" s="197">
        <v>67</v>
      </c>
      <c r="G95" s="194">
        <v>1505</v>
      </c>
      <c r="H95" s="194">
        <v>742</v>
      </c>
      <c r="I95" s="194">
        <v>2471</v>
      </c>
      <c r="J95" s="198">
        <v>354237</v>
      </c>
    </row>
    <row r="96" spans="1:10" x14ac:dyDescent="0.45">
      <c r="A96" s="9"/>
      <c r="D96" s="10"/>
      <c r="F96" s="9"/>
      <c r="I96" s="10"/>
    </row>
    <row r="97" spans="1:9" x14ac:dyDescent="0.45">
      <c r="A97" s="9"/>
      <c r="D97" s="10"/>
      <c r="F97" s="9"/>
      <c r="I97" s="10"/>
    </row>
    <row r="98" spans="1:9" x14ac:dyDescent="0.45">
      <c r="A98" s="9"/>
      <c r="D98" s="10"/>
      <c r="F98" s="9"/>
      <c r="I98" s="10"/>
    </row>
    <row r="99" spans="1:9" x14ac:dyDescent="0.45">
      <c r="A99" s="9"/>
      <c r="D99" s="10"/>
      <c r="F99" s="9"/>
      <c r="I99" s="10"/>
    </row>
    <row r="100" spans="1:9" x14ac:dyDescent="0.45">
      <c r="A100" s="9"/>
      <c r="D100" s="10"/>
      <c r="F100" s="9"/>
      <c r="I100" s="10"/>
    </row>
    <row r="101" spans="1:9" x14ac:dyDescent="0.45">
      <c r="A101" s="9"/>
      <c r="D101" s="10"/>
      <c r="F101" s="9"/>
      <c r="I101" s="10"/>
    </row>
    <row r="102" spans="1:9" ht="17.5" thickBot="1" x14ac:dyDescent="0.5">
      <c r="A102" s="11"/>
      <c r="B102" s="13"/>
      <c r="C102" s="13"/>
      <c r="D102" s="12"/>
      <c r="F102" s="11"/>
      <c r="G102" s="13"/>
      <c r="H102" s="13"/>
      <c r="I102" s="12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0E877-379A-49E2-992A-061D04B66978}">
  <sheetPr codeName="Sheet4"/>
  <dimension ref="A1:T224"/>
  <sheetViews>
    <sheetView topLeftCell="A165" workbookViewId="0">
      <selection activeCell="A177" sqref="A177:T224"/>
    </sheetView>
  </sheetViews>
  <sheetFormatPr defaultRowHeight="17" x14ac:dyDescent="0.45"/>
  <sheetData>
    <row r="1" spans="1:20" x14ac:dyDescent="0.45">
      <c r="A1" s="15"/>
    </row>
    <row r="2" spans="1:20" ht="17.5" thickBot="1" x14ac:dyDescent="0.5"/>
    <row r="3" spans="1:20" x14ac:dyDescent="0.45">
      <c r="A3" s="45" t="s">
        <v>9</v>
      </c>
      <c r="B3" s="46"/>
      <c r="C3" s="46"/>
      <c r="D3" s="47"/>
      <c r="F3" s="45" t="s">
        <v>10</v>
      </c>
      <c r="G3" s="46"/>
      <c r="H3" s="46"/>
      <c r="I3" s="47"/>
      <c r="K3" s="45" t="s">
        <v>11</v>
      </c>
      <c r="L3" s="46"/>
      <c r="M3" s="46"/>
      <c r="N3" s="47"/>
      <c r="P3" s="45" t="s">
        <v>12</v>
      </c>
      <c r="Q3" s="46"/>
      <c r="R3" s="46"/>
      <c r="S3" s="47"/>
    </row>
    <row r="4" spans="1:20" ht="17.5" thickBot="1" x14ac:dyDescent="0.5">
      <c r="A4" s="6" t="s">
        <v>6</v>
      </c>
      <c r="B4" s="1"/>
      <c r="C4" s="1"/>
      <c r="D4" s="7" t="s">
        <v>7</v>
      </c>
      <c r="F4" s="6" t="s">
        <v>6</v>
      </c>
      <c r="G4" s="1"/>
      <c r="H4" s="1"/>
      <c r="I4" s="7" t="s">
        <v>7</v>
      </c>
      <c r="K4" s="6" t="s">
        <v>6</v>
      </c>
      <c r="L4" s="1"/>
      <c r="M4" s="1"/>
      <c r="N4" s="7" t="s">
        <v>7</v>
      </c>
      <c r="P4" s="6" t="s">
        <v>6</v>
      </c>
      <c r="Q4" s="1"/>
      <c r="R4" s="1"/>
      <c r="S4" s="7" t="s">
        <v>7</v>
      </c>
    </row>
    <row r="5" spans="1:20" ht="17.5" thickTop="1" x14ac:dyDescent="0.45">
      <c r="A5" s="219">
        <v>77</v>
      </c>
      <c r="B5" s="215">
        <v>155</v>
      </c>
      <c r="C5" s="215">
        <v>296</v>
      </c>
      <c r="D5" s="215">
        <v>453</v>
      </c>
      <c r="E5" s="216">
        <v>453</v>
      </c>
      <c r="F5" s="219">
        <v>80</v>
      </c>
      <c r="G5" s="215">
        <v>101</v>
      </c>
      <c r="H5" s="215">
        <v>113</v>
      </c>
      <c r="I5" s="215">
        <v>215</v>
      </c>
      <c r="J5" s="216">
        <v>215</v>
      </c>
      <c r="K5" s="219">
        <v>71</v>
      </c>
      <c r="L5" s="215">
        <v>186</v>
      </c>
      <c r="M5" s="215">
        <v>156</v>
      </c>
      <c r="N5" s="215">
        <v>343</v>
      </c>
      <c r="O5" s="216">
        <v>343</v>
      </c>
      <c r="P5" s="219">
        <v>72</v>
      </c>
      <c r="Q5" s="215">
        <v>206</v>
      </c>
      <c r="R5" s="215">
        <v>192</v>
      </c>
      <c r="S5" s="215">
        <v>402</v>
      </c>
      <c r="T5" s="216">
        <v>402</v>
      </c>
    </row>
    <row r="6" spans="1:20" x14ac:dyDescent="0.45">
      <c r="A6" s="214">
        <v>75</v>
      </c>
      <c r="B6" s="210">
        <v>118</v>
      </c>
      <c r="C6" s="210">
        <v>239</v>
      </c>
      <c r="D6" s="210">
        <v>360</v>
      </c>
      <c r="E6" s="212">
        <v>813</v>
      </c>
      <c r="F6" s="214">
        <v>78</v>
      </c>
      <c r="G6" s="210">
        <v>29</v>
      </c>
      <c r="H6" s="210">
        <v>34</v>
      </c>
      <c r="I6" s="210">
        <v>63</v>
      </c>
      <c r="J6" s="212">
        <v>278</v>
      </c>
      <c r="K6" s="214">
        <v>70</v>
      </c>
      <c r="L6" s="210">
        <v>29</v>
      </c>
      <c r="M6" s="210">
        <v>31</v>
      </c>
      <c r="N6" s="210">
        <v>60</v>
      </c>
      <c r="O6" s="212">
        <v>403</v>
      </c>
      <c r="P6" s="214">
        <v>70</v>
      </c>
      <c r="Q6" s="210">
        <v>197</v>
      </c>
      <c r="R6" s="210">
        <v>183</v>
      </c>
      <c r="S6" s="210">
        <v>381</v>
      </c>
      <c r="T6" s="212">
        <v>783</v>
      </c>
    </row>
    <row r="7" spans="1:20" x14ac:dyDescent="0.45">
      <c r="A7" s="214">
        <v>74</v>
      </c>
      <c r="B7" s="210">
        <v>157</v>
      </c>
      <c r="C7" s="210">
        <v>332</v>
      </c>
      <c r="D7" s="210">
        <v>493</v>
      </c>
      <c r="E7" s="212">
        <v>1306</v>
      </c>
      <c r="F7" s="214">
        <v>77</v>
      </c>
      <c r="G7" s="210">
        <v>119</v>
      </c>
      <c r="H7" s="210">
        <v>189</v>
      </c>
      <c r="I7" s="210">
        <v>310</v>
      </c>
      <c r="J7" s="212">
        <v>588</v>
      </c>
      <c r="K7" s="214">
        <v>69</v>
      </c>
      <c r="L7" s="210">
        <v>365</v>
      </c>
      <c r="M7" s="210">
        <v>373</v>
      </c>
      <c r="N7" s="210">
        <v>740</v>
      </c>
      <c r="O7" s="212">
        <v>1143</v>
      </c>
      <c r="P7" s="214">
        <v>69</v>
      </c>
      <c r="Q7" s="210">
        <v>136</v>
      </c>
      <c r="R7" s="210">
        <v>139</v>
      </c>
      <c r="S7" s="210">
        <v>276</v>
      </c>
      <c r="T7" s="212">
        <v>1059</v>
      </c>
    </row>
    <row r="8" spans="1:20" x14ac:dyDescent="0.45">
      <c r="A8" s="214">
        <v>73</v>
      </c>
      <c r="B8" s="210">
        <v>42</v>
      </c>
      <c r="C8" s="210">
        <v>103</v>
      </c>
      <c r="D8" s="210">
        <v>149</v>
      </c>
      <c r="E8" s="212">
        <v>1455</v>
      </c>
      <c r="F8" s="214">
        <v>76</v>
      </c>
      <c r="G8" s="210">
        <v>12</v>
      </c>
      <c r="H8" s="210">
        <v>19</v>
      </c>
      <c r="I8" s="210">
        <v>31</v>
      </c>
      <c r="J8" s="212">
        <v>619</v>
      </c>
      <c r="K8" s="214">
        <v>68</v>
      </c>
      <c r="L8" s="210">
        <v>6</v>
      </c>
      <c r="M8" s="210">
        <v>6</v>
      </c>
      <c r="N8" s="210">
        <v>12</v>
      </c>
      <c r="O8" s="212">
        <v>1155</v>
      </c>
      <c r="P8" s="214">
        <v>68</v>
      </c>
      <c r="Q8" s="210">
        <v>383</v>
      </c>
      <c r="R8" s="210">
        <v>362</v>
      </c>
      <c r="S8" s="210">
        <v>750</v>
      </c>
      <c r="T8" s="212">
        <v>1809</v>
      </c>
    </row>
    <row r="9" spans="1:20" x14ac:dyDescent="0.45">
      <c r="A9" s="214">
        <v>72</v>
      </c>
      <c r="B9" s="210">
        <v>183</v>
      </c>
      <c r="C9" s="210">
        <v>396</v>
      </c>
      <c r="D9" s="210">
        <v>584</v>
      </c>
      <c r="E9" s="212">
        <v>2039</v>
      </c>
      <c r="F9" s="214">
        <v>75</v>
      </c>
      <c r="G9" s="210">
        <v>59</v>
      </c>
      <c r="H9" s="210">
        <v>130</v>
      </c>
      <c r="I9" s="210">
        <v>190</v>
      </c>
      <c r="J9" s="212">
        <v>809</v>
      </c>
      <c r="K9" s="214">
        <v>67</v>
      </c>
      <c r="L9" s="210">
        <v>100</v>
      </c>
      <c r="M9" s="210">
        <v>108</v>
      </c>
      <c r="N9" s="210">
        <v>210</v>
      </c>
      <c r="O9" s="212">
        <v>1365</v>
      </c>
      <c r="P9" s="214">
        <v>67</v>
      </c>
      <c r="Q9" s="210">
        <v>142</v>
      </c>
      <c r="R9" s="210">
        <v>117</v>
      </c>
      <c r="S9" s="210">
        <v>260</v>
      </c>
      <c r="T9" s="212">
        <v>2069</v>
      </c>
    </row>
    <row r="10" spans="1:20" x14ac:dyDescent="0.45">
      <c r="A10" s="214">
        <v>71</v>
      </c>
      <c r="B10" s="210">
        <v>205</v>
      </c>
      <c r="C10" s="210">
        <v>378</v>
      </c>
      <c r="D10" s="210">
        <v>583</v>
      </c>
      <c r="E10" s="212">
        <v>2622</v>
      </c>
      <c r="F10" s="214">
        <v>74</v>
      </c>
      <c r="G10" s="210">
        <v>108</v>
      </c>
      <c r="H10" s="210">
        <v>202</v>
      </c>
      <c r="I10" s="210">
        <v>315</v>
      </c>
      <c r="J10" s="212">
        <v>1124</v>
      </c>
      <c r="K10" s="214">
        <v>66</v>
      </c>
      <c r="L10" s="210">
        <v>486</v>
      </c>
      <c r="M10" s="210">
        <v>462</v>
      </c>
      <c r="N10" s="210">
        <v>953</v>
      </c>
      <c r="O10" s="212">
        <v>2318</v>
      </c>
      <c r="P10" s="214">
        <v>66</v>
      </c>
      <c r="Q10" s="210">
        <v>210</v>
      </c>
      <c r="R10" s="210">
        <v>206</v>
      </c>
      <c r="S10" s="210">
        <v>416</v>
      </c>
      <c r="T10" s="212">
        <v>2485</v>
      </c>
    </row>
    <row r="11" spans="1:20" x14ac:dyDescent="0.45">
      <c r="A11" s="214">
        <v>70</v>
      </c>
      <c r="B11" s="210">
        <v>128</v>
      </c>
      <c r="C11" s="210">
        <v>294</v>
      </c>
      <c r="D11" s="210">
        <v>422</v>
      </c>
      <c r="E11" s="212">
        <v>3044</v>
      </c>
      <c r="F11" s="214">
        <v>73</v>
      </c>
      <c r="G11" s="210">
        <v>45</v>
      </c>
      <c r="H11" s="210">
        <v>80</v>
      </c>
      <c r="I11" s="210">
        <v>126</v>
      </c>
      <c r="J11" s="212">
        <v>1250</v>
      </c>
      <c r="K11" s="214">
        <v>65</v>
      </c>
      <c r="L11" s="210">
        <v>37</v>
      </c>
      <c r="M11" s="210">
        <v>29</v>
      </c>
      <c r="N11" s="210">
        <v>67</v>
      </c>
      <c r="O11" s="212">
        <v>2385</v>
      </c>
      <c r="P11" s="214">
        <v>65</v>
      </c>
      <c r="Q11" s="210">
        <v>222</v>
      </c>
      <c r="R11" s="210">
        <v>209</v>
      </c>
      <c r="S11" s="210">
        <v>433</v>
      </c>
      <c r="T11" s="212">
        <v>2918</v>
      </c>
    </row>
    <row r="12" spans="1:20" x14ac:dyDescent="0.45">
      <c r="A12" s="214">
        <v>69</v>
      </c>
      <c r="B12" s="210">
        <v>255</v>
      </c>
      <c r="C12" s="210">
        <v>570</v>
      </c>
      <c r="D12" s="210">
        <v>833</v>
      </c>
      <c r="E12" s="212">
        <v>3877</v>
      </c>
      <c r="F12" s="214">
        <v>72</v>
      </c>
      <c r="G12" s="210">
        <v>111</v>
      </c>
      <c r="H12" s="210">
        <v>272</v>
      </c>
      <c r="I12" s="210">
        <v>387</v>
      </c>
      <c r="J12" s="212">
        <v>1637</v>
      </c>
      <c r="K12" s="214">
        <v>64</v>
      </c>
      <c r="L12" s="210">
        <v>687</v>
      </c>
      <c r="M12" s="210">
        <v>768</v>
      </c>
      <c r="N12" s="210">
        <v>1460</v>
      </c>
      <c r="O12" s="212">
        <v>3845</v>
      </c>
      <c r="P12" s="214">
        <v>64</v>
      </c>
      <c r="Q12" s="210">
        <v>159</v>
      </c>
      <c r="R12" s="210">
        <v>172</v>
      </c>
      <c r="S12" s="210">
        <v>332</v>
      </c>
      <c r="T12" s="212">
        <v>3250</v>
      </c>
    </row>
    <row r="13" spans="1:20" x14ac:dyDescent="0.45">
      <c r="A13" s="214">
        <v>68</v>
      </c>
      <c r="B13" s="210">
        <v>206</v>
      </c>
      <c r="C13" s="210">
        <v>422</v>
      </c>
      <c r="D13" s="210">
        <v>631</v>
      </c>
      <c r="E13" s="212">
        <v>4508</v>
      </c>
      <c r="F13" s="214">
        <v>71</v>
      </c>
      <c r="G13" s="210">
        <v>142</v>
      </c>
      <c r="H13" s="210">
        <v>226</v>
      </c>
      <c r="I13" s="210">
        <v>371</v>
      </c>
      <c r="J13" s="212">
        <v>2008</v>
      </c>
      <c r="K13" s="214">
        <v>63</v>
      </c>
      <c r="L13" s="210">
        <v>98</v>
      </c>
      <c r="M13" s="210">
        <v>121</v>
      </c>
      <c r="N13" s="210">
        <v>220</v>
      </c>
      <c r="O13" s="212">
        <v>4065</v>
      </c>
      <c r="P13" s="214">
        <v>63</v>
      </c>
      <c r="Q13" s="210">
        <v>525</v>
      </c>
      <c r="R13" s="210">
        <v>483</v>
      </c>
      <c r="S13" s="210">
        <v>1016</v>
      </c>
      <c r="T13" s="212">
        <v>4266</v>
      </c>
    </row>
    <row r="14" spans="1:20" x14ac:dyDescent="0.45">
      <c r="A14" s="214">
        <v>67</v>
      </c>
      <c r="B14" s="210">
        <v>226</v>
      </c>
      <c r="C14" s="210">
        <v>542</v>
      </c>
      <c r="D14" s="210">
        <v>775</v>
      </c>
      <c r="E14" s="212">
        <v>5283</v>
      </c>
      <c r="F14" s="214">
        <v>70</v>
      </c>
      <c r="G14" s="210">
        <v>78</v>
      </c>
      <c r="H14" s="210">
        <v>192</v>
      </c>
      <c r="I14" s="210">
        <v>272</v>
      </c>
      <c r="J14" s="212">
        <v>2280</v>
      </c>
      <c r="K14" s="214">
        <v>62</v>
      </c>
      <c r="L14" s="210">
        <v>337</v>
      </c>
      <c r="M14" s="210">
        <v>446</v>
      </c>
      <c r="N14" s="210">
        <v>792</v>
      </c>
      <c r="O14" s="212">
        <v>4857</v>
      </c>
      <c r="P14" s="214">
        <v>62</v>
      </c>
      <c r="Q14" s="210">
        <v>235</v>
      </c>
      <c r="R14" s="210">
        <v>273</v>
      </c>
      <c r="S14" s="210">
        <v>510</v>
      </c>
      <c r="T14" s="212">
        <v>4776</v>
      </c>
    </row>
    <row r="15" spans="1:20" x14ac:dyDescent="0.45">
      <c r="A15" s="214">
        <v>66</v>
      </c>
      <c r="B15" s="210">
        <v>336</v>
      </c>
      <c r="C15" s="210">
        <v>773</v>
      </c>
      <c r="D15" s="210">
        <v>1113</v>
      </c>
      <c r="E15" s="212">
        <v>6396</v>
      </c>
      <c r="F15" s="214">
        <v>69</v>
      </c>
      <c r="G15" s="210">
        <v>155</v>
      </c>
      <c r="H15" s="210">
        <v>369</v>
      </c>
      <c r="I15" s="210">
        <v>529</v>
      </c>
      <c r="J15" s="212">
        <v>2809</v>
      </c>
      <c r="K15" s="214">
        <v>61</v>
      </c>
      <c r="L15" s="210">
        <v>411</v>
      </c>
      <c r="M15" s="210">
        <v>433</v>
      </c>
      <c r="N15" s="210">
        <v>850</v>
      </c>
      <c r="O15" s="212">
        <v>5707</v>
      </c>
      <c r="P15" s="214">
        <v>61</v>
      </c>
      <c r="Q15" s="210">
        <v>276</v>
      </c>
      <c r="R15" s="210">
        <v>272</v>
      </c>
      <c r="S15" s="210">
        <v>555</v>
      </c>
      <c r="T15" s="212">
        <v>5331</v>
      </c>
    </row>
    <row r="16" spans="1:20" x14ac:dyDescent="0.45">
      <c r="A16" s="214">
        <v>65</v>
      </c>
      <c r="B16" s="210">
        <v>265</v>
      </c>
      <c r="C16" s="210">
        <v>599</v>
      </c>
      <c r="D16" s="210">
        <v>871</v>
      </c>
      <c r="E16" s="212">
        <v>7267</v>
      </c>
      <c r="F16" s="214">
        <v>68</v>
      </c>
      <c r="G16" s="210">
        <v>116</v>
      </c>
      <c r="H16" s="210">
        <v>271</v>
      </c>
      <c r="I16" s="210">
        <v>390</v>
      </c>
      <c r="J16" s="212">
        <v>3199</v>
      </c>
      <c r="K16" s="214">
        <v>60</v>
      </c>
      <c r="L16" s="210">
        <v>194</v>
      </c>
      <c r="M16" s="210">
        <v>262</v>
      </c>
      <c r="N16" s="210">
        <v>461</v>
      </c>
      <c r="O16" s="212">
        <v>6168</v>
      </c>
      <c r="P16" s="214">
        <v>60</v>
      </c>
      <c r="Q16" s="210">
        <v>270</v>
      </c>
      <c r="R16" s="210">
        <v>280</v>
      </c>
      <c r="S16" s="210">
        <v>552</v>
      </c>
      <c r="T16" s="212">
        <v>5883</v>
      </c>
    </row>
    <row r="17" spans="1:20" x14ac:dyDescent="0.45">
      <c r="A17" s="214">
        <v>64</v>
      </c>
      <c r="B17" s="210">
        <v>395</v>
      </c>
      <c r="C17" s="210">
        <v>850</v>
      </c>
      <c r="D17" s="210">
        <v>1252</v>
      </c>
      <c r="E17" s="212">
        <v>8519</v>
      </c>
      <c r="F17" s="214">
        <v>67</v>
      </c>
      <c r="G17" s="210">
        <v>155</v>
      </c>
      <c r="H17" s="210">
        <v>379</v>
      </c>
      <c r="I17" s="210">
        <v>539</v>
      </c>
      <c r="J17" s="212">
        <v>3738</v>
      </c>
      <c r="K17" s="214">
        <v>59</v>
      </c>
      <c r="L17" s="210">
        <v>763</v>
      </c>
      <c r="M17" s="210">
        <v>986</v>
      </c>
      <c r="N17" s="210">
        <v>1760</v>
      </c>
      <c r="O17" s="212">
        <v>7928</v>
      </c>
      <c r="P17" s="214">
        <v>59</v>
      </c>
      <c r="Q17" s="210">
        <v>325</v>
      </c>
      <c r="R17" s="210">
        <v>347</v>
      </c>
      <c r="S17" s="210">
        <v>674</v>
      </c>
      <c r="T17" s="212">
        <v>6557</v>
      </c>
    </row>
    <row r="18" spans="1:20" x14ac:dyDescent="0.45">
      <c r="A18" s="214">
        <v>63</v>
      </c>
      <c r="B18" s="210">
        <v>435</v>
      </c>
      <c r="C18" s="210">
        <v>1046</v>
      </c>
      <c r="D18" s="210">
        <v>1493</v>
      </c>
      <c r="E18" s="212">
        <v>10012</v>
      </c>
      <c r="F18" s="214">
        <v>66</v>
      </c>
      <c r="G18" s="210">
        <v>192</v>
      </c>
      <c r="H18" s="210">
        <v>465</v>
      </c>
      <c r="I18" s="210">
        <v>659</v>
      </c>
      <c r="J18" s="212">
        <v>4397</v>
      </c>
      <c r="K18" s="214">
        <v>58</v>
      </c>
      <c r="L18" s="210">
        <v>315</v>
      </c>
      <c r="M18" s="210">
        <v>424</v>
      </c>
      <c r="N18" s="210">
        <v>744</v>
      </c>
      <c r="O18" s="212">
        <v>8672</v>
      </c>
      <c r="P18" s="214">
        <v>58</v>
      </c>
      <c r="Q18" s="210">
        <v>326</v>
      </c>
      <c r="R18" s="210">
        <v>319</v>
      </c>
      <c r="S18" s="210">
        <v>653</v>
      </c>
      <c r="T18" s="212">
        <v>7210</v>
      </c>
    </row>
    <row r="19" spans="1:20" x14ac:dyDescent="0.45">
      <c r="A19" s="214">
        <v>62</v>
      </c>
      <c r="B19" s="210">
        <v>410</v>
      </c>
      <c r="C19" s="210">
        <v>900</v>
      </c>
      <c r="D19" s="210">
        <v>1318</v>
      </c>
      <c r="E19" s="212">
        <v>11330</v>
      </c>
      <c r="F19" s="214">
        <v>65</v>
      </c>
      <c r="G19" s="210">
        <v>190</v>
      </c>
      <c r="H19" s="210">
        <v>439</v>
      </c>
      <c r="I19" s="210">
        <v>632</v>
      </c>
      <c r="J19" s="212">
        <v>5029</v>
      </c>
      <c r="K19" s="214">
        <v>57</v>
      </c>
      <c r="L19" s="210">
        <v>422</v>
      </c>
      <c r="M19" s="210">
        <v>572</v>
      </c>
      <c r="N19" s="210">
        <v>1007</v>
      </c>
      <c r="O19" s="212">
        <v>9679</v>
      </c>
      <c r="P19" s="214">
        <v>57</v>
      </c>
      <c r="Q19" s="210">
        <v>596</v>
      </c>
      <c r="R19" s="210">
        <v>667</v>
      </c>
      <c r="S19" s="210">
        <v>1274</v>
      </c>
      <c r="T19" s="212">
        <v>8484</v>
      </c>
    </row>
    <row r="20" spans="1:20" x14ac:dyDescent="0.45">
      <c r="A20" s="214">
        <v>61</v>
      </c>
      <c r="B20" s="210">
        <v>562</v>
      </c>
      <c r="C20" s="210">
        <v>1312</v>
      </c>
      <c r="D20" s="210">
        <v>1897</v>
      </c>
      <c r="E20" s="212">
        <v>13227</v>
      </c>
      <c r="F20" s="214">
        <v>64</v>
      </c>
      <c r="G20" s="210">
        <v>191</v>
      </c>
      <c r="H20" s="210">
        <v>561</v>
      </c>
      <c r="I20" s="210">
        <v>759</v>
      </c>
      <c r="J20" s="212">
        <v>5788</v>
      </c>
      <c r="K20" s="214">
        <v>56</v>
      </c>
      <c r="L20" s="210">
        <v>297</v>
      </c>
      <c r="M20" s="210">
        <v>412</v>
      </c>
      <c r="N20" s="210">
        <v>715</v>
      </c>
      <c r="O20" s="212">
        <v>10394</v>
      </c>
      <c r="P20" s="214">
        <v>56</v>
      </c>
      <c r="Q20" s="210">
        <v>312</v>
      </c>
      <c r="R20" s="210">
        <v>320</v>
      </c>
      <c r="S20" s="210">
        <v>643</v>
      </c>
      <c r="T20" s="212">
        <v>9127</v>
      </c>
    </row>
    <row r="21" spans="1:20" x14ac:dyDescent="0.45">
      <c r="A21" s="214">
        <v>60</v>
      </c>
      <c r="B21" s="210">
        <v>526</v>
      </c>
      <c r="C21" s="210">
        <v>1212</v>
      </c>
      <c r="D21" s="210">
        <v>1750</v>
      </c>
      <c r="E21" s="212">
        <v>14977</v>
      </c>
      <c r="F21" s="214">
        <v>63</v>
      </c>
      <c r="G21" s="210">
        <v>217</v>
      </c>
      <c r="H21" s="210">
        <v>544</v>
      </c>
      <c r="I21" s="210">
        <v>768</v>
      </c>
      <c r="J21" s="212">
        <v>6556</v>
      </c>
      <c r="K21" s="214">
        <v>55</v>
      </c>
      <c r="L21" s="210">
        <v>417</v>
      </c>
      <c r="M21" s="210">
        <v>535</v>
      </c>
      <c r="N21" s="210">
        <v>957</v>
      </c>
      <c r="O21" s="212">
        <v>11351</v>
      </c>
      <c r="P21" s="214">
        <v>55</v>
      </c>
      <c r="Q21" s="210">
        <v>370</v>
      </c>
      <c r="R21" s="210">
        <v>447</v>
      </c>
      <c r="S21" s="210">
        <v>822</v>
      </c>
      <c r="T21" s="212">
        <v>9949</v>
      </c>
    </row>
    <row r="22" spans="1:20" x14ac:dyDescent="0.45">
      <c r="A22" s="214">
        <v>59</v>
      </c>
      <c r="B22" s="210">
        <v>623</v>
      </c>
      <c r="C22" s="210">
        <v>1372</v>
      </c>
      <c r="D22" s="210">
        <v>2006</v>
      </c>
      <c r="E22" s="212">
        <v>16983</v>
      </c>
      <c r="F22" s="214">
        <v>62</v>
      </c>
      <c r="G22" s="210">
        <v>264</v>
      </c>
      <c r="H22" s="210">
        <v>599</v>
      </c>
      <c r="I22" s="210">
        <v>872</v>
      </c>
      <c r="J22" s="212">
        <v>7428</v>
      </c>
      <c r="K22" s="214">
        <v>54</v>
      </c>
      <c r="L22" s="210">
        <v>379</v>
      </c>
      <c r="M22" s="210">
        <v>495</v>
      </c>
      <c r="N22" s="210">
        <v>879</v>
      </c>
      <c r="O22" s="212">
        <v>12230</v>
      </c>
      <c r="P22" s="214">
        <v>54</v>
      </c>
      <c r="Q22" s="210">
        <v>328</v>
      </c>
      <c r="R22" s="210">
        <v>421</v>
      </c>
      <c r="S22" s="210">
        <v>755</v>
      </c>
      <c r="T22" s="212">
        <v>10704</v>
      </c>
    </row>
    <row r="23" spans="1:20" x14ac:dyDescent="0.45">
      <c r="A23" s="214">
        <v>58</v>
      </c>
      <c r="B23" s="210">
        <v>676</v>
      </c>
      <c r="C23" s="210">
        <v>1551</v>
      </c>
      <c r="D23" s="210">
        <v>2236</v>
      </c>
      <c r="E23" s="212">
        <v>19219</v>
      </c>
      <c r="F23" s="214">
        <v>61</v>
      </c>
      <c r="G23" s="210">
        <v>257</v>
      </c>
      <c r="H23" s="210">
        <v>697</v>
      </c>
      <c r="I23" s="210">
        <v>964</v>
      </c>
      <c r="J23" s="212">
        <v>8392</v>
      </c>
      <c r="K23" s="214">
        <v>53</v>
      </c>
      <c r="L23" s="210">
        <v>818</v>
      </c>
      <c r="M23" s="210">
        <v>1010</v>
      </c>
      <c r="N23" s="210">
        <v>1839</v>
      </c>
      <c r="O23" s="212">
        <v>14069</v>
      </c>
      <c r="P23" s="214">
        <v>53</v>
      </c>
      <c r="Q23" s="210">
        <v>374</v>
      </c>
      <c r="R23" s="210">
        <v>436</v>
      </c>
      <c r="S23" s="210">
        <v>813</v>
      </c>
      <c r="T23" s="212">
        <v>11517</v>
      </c>
    </row>
    <row r="24" spans="1:20" x14ac:dyDescent="0.45">
      <c r="A24" s="214">
        <v>57</v>
      </c>
      <c r="B24" s="210">
        <v>695</v>
      </c>
      <c r="C24" s="210">
        <v>1499</v>
      </c>
      <c r="D24" s="210">
        <v>2213</v>
      </c>
      <c r="E24" s="212">
        <v>21432</v>
      </c>
      <c r="F24" s="214">
        <v>60</v>
      </c>
      <c r="G24" s="210">
        <v>278</v>
      </c>
      <c r="H24" s="210">
        <v>706</v>
      </c>
      <c r="I24" s="210">
        <v>988</v>
      </c>
      <c r="J24" s="212">
        <v>9380</v>
      </c>
      <c r="K24" s="214">
        <v>52</v>
      </c>
      <c r="L24" s="210">
        <v>342</v>
      </c>
      <c r="M24" s="210">
        <v>465</v>
      </c>
      <c r="N24" s="210">
        <v>813</v>
      </c>
      <c r="O24" s="212">
        <v>14882</v>
      </c>
      <c r="P24" s="214">
        <v>52</v>
      </c>
      <c r="Q24" s="210">
        <v>743</v>
      </c>
      <c r="R24" s="210">
        <v>929</v>
      </c>
      <c r="S24" s="210">
        <v>1684</v>
      </c>
      <c r="T24" s="212">
        <v>13201</v>
      </c>
    </row>
    <row r="25" spans="1:20" x14ac:dyDescent="0.45">
      <c r="A25" s="214">
        <v>56</v>
      </c>
      <c r="B25" s="210">
        <v>804</v>
      </c>
      <c r="C25" s="210">
        <v>1874</v>
      </c>
      <c r="D25" s="210">
        <v>2701</v>
      </c>
      <c r="E25" s="212">
        <v>24133</v>
      </c>
      <c r="F25" s="214">
        <v>59</v>
      </c>
      <c r="G25" s="210">
        <v>311</v>
      </c>
      <c r="H25" s="210">
        <v>885</v>
      </c>
      <c r="I25" s="210">
        <v>1205</v>
      </c>
      <c r="J25" s="212">
        <v>10585</v>
      </c>
      <c r="K25" s="214">
        <v>51</v>
      </c>
      <c r="L25" s="210">
        <v>378</v>
      </c>
      <c r="M25" s="210">
        <v>519</v>
      </c>
      <c r="N25" s="210">
        <v>907</v>
      </c>
      <c r="O25" s="212">
        <v>15789</v>
      </c>
      <c r="P25" s="214">
        <v>51</v>
      </c>
      <c r="Q25" s="210">
        <v>382</v>
      </c>
      <c r="R25" s="210">
        <v>507</v>
      </c>
      <c r="S25" s="210">
        <v>890</v>
      </c>
      <c r="T25" s="212">
        <v>14091</v>
      </c>
    </row>
    <row r="26" spans="1:20" x14ac:dyDescent="0.45">
      <c r="A26" s="214">
        <v>55</v>
      </c>
      <c r="B26" s="210">
        <v>826</v>
      </c>
      <c r="C26" s="210">
        <v>1779</v>
      </c>
      <c r="D26" s="210">
        <v>2629</v>
      </c>
      <c r="E26" s="212">
        <v>26762</v>
      </c>
      <c r="F26" s="214">
        <v>58</v>
      </c>
      <c r="G26" s="210">
        <v>305</v>
      </c>
      <c r="H26" s="210">
        <v>812</v>
      </c>
      <c r="I26" s="210">
        <v>1127</v>
      </c>
      <c r="J26" s="212">
        <v>11712</v>
      </c>
      <c r="K26" s="214">
        <v>50</v>
      </c>
      <c r="L26" s="210">
        <v>351</v>
      </c>
      <c r="M26" s="210">
        <v>495</v>
      </c>
      <c r="N26" s="210">
        <v>861</v>
      </c>
      <c r="O26" s="212">
        <v>16650</v>
      </c>
      <c r="P26" s="214">
        <v>50</v>
      </c>
      <c r="Q26" s="210">
        <v>372</v>
      </c>
      <c r="R26" s="210">
        <v>469</v>
      </c>
      <c r="S26" s="210">
        <v>852</v>
      </c>
      <c r="T26" s="212">
        <v>14943</v>
      </c>
    </row>
    <row r="27" spans="1:20" x14ac:dyDescent="0.45">
      <c r="A27" s="214">
        <v>54</v>
      </c>
      <c r="B27" s="210">
        <v>841</v>
      </c>
      <c r="C27" s="210">
        <v>1908</v>
      </c>
      <c r="D27" s="210">
        <v>2772</v>
      </c>
      <c r="E27" s="212">
        <v>29534</v>
      </c>
      <c r="F27" s="214">
        <v>57</v>
      </c>
      <c r="G27" s="210">
        <v>355</v>
      </c>
      <c r="H27" s="210">
        <v>934</v>
      </c>
      <c r="I27" s="210">
        <v>1296</v>
      </c>
      <c r="J27" s="212">
        <v>13008</v>
      </c>
      <c r="K27" s="214">
        <v>49</v>
      </c>
      <c r="L27" s="210">
        <v>319</v>
      </c>
      <c r="M27" s="210">
        <v>441</v>
      </c>
      <c r="N27" s="210">
        <v>764</v>
      </c>
      <c r="O27" s="212">
        <v>17414</v>
      </c>
      <c r="P27" s="214">
        <v>49</v>
      </c>
      <c r="Q27" s="210">
        <v>350</v>
      </c>
      <c r="R27" s="210">
        <v>473</v>
      </c>
      <c r="S27" s="210">
        <v>828</v>
      </c>
      <c r="T27" s="212">
        <v>15771</v>
      </c>
    </row>
    <row r="28" spans="1:20" x14ac:dyDescent="0.45">
      <c r="A28" s="214">
        <v>53</v>
      </c>
      <c r="B28" s="210">
        <v>900</v>
      </c>
      <c r="C28" s="210">
        <v>2030</v>
      </c>
      <c r="D28" s="210">
        <v>2954</v>
      </c>
      <c r="E28" s="212">
        <v>32488</v>
      </c>
      <c r="F28" s="214">
        <v>56</v>
      </c>
      <c r="G28" s="210">
        <v>387</v>
      </c>
      <c r="H28" s="210">
        <v>952</v>
      </c>
      <c r="I28" s="210">
        <v>1350</v>
      </c>
      <c r="J28" s="212">
        <v>14358</v>
      </c>
      <c r="K28" s="214">
        <v>48</v>
      </c>
      <c r="L28" s="210">
        <v>690</v>
      </c>
      <c r="M28" s="210">
        <v>980</v>
      </c>
      <c r="N28" s="210">
        <v>1684</v>
      </c>
      <c r="O28" s="212">
        <v>19098</v>
      </c>
      <c r="P28" s="214">
        <v>48</v>
      </c>
      <c r="Q28" s="210">
        <v>363</v>
      </c>
      <c r="R28" s="210">
        <v>507</v>
      </c>
      <c r="S28" s="210">
        <v>878</v>
      </c>
      <c r="T28" s="212">
        <v>16649</v>
      </c>
    </row>
    <row r="29" spans="1:20" x14ac:dyDescent="0.45">
      <c r="A29" s="214">
        <v>52</v>
      </c>
      <c r="B29" s="210">
        <v>850</v>
      </c>
      <c r="C29" s="210">
        <v>1836</v>
      </c>
      <c r="D29" s="210">
        <v>2707</v>
      </c>
      <c r="E29" s="212">
        <v>35195</v>
      </c>
      <c r="F29" s="214">
        <v>55</v>
      </c>
      <c r="G29" s="210">
        <v>384</v>
      </c>
      <c r="H29" s="210">
        <v>909</v>
      </c>
      <c r="I29" s="210">
        <v>1301</v>
      </c>
      <c r="J29" s="212">
        <v>15659</v>
      </c>
      <c r="K29" s="214">
        <v>47</v>
      </c>
      <c r="L29" s="210">
        <v>310</v>
      </c>
      <c r="M29" s="210">
        <v>421</v>
      </c>
      <c r="N29" s="210">
        <v>737</v>
      </c>
      <c r="O29" s="212">
        <v>19835</v>
      </c>
      <c r="P29" s="214">
        <v>47</v>
      </c>
      <c r="Q29" s="210">
        <v>317</v>
      </c>
      <c r="R29" s="210">
        <v>436</v>
      </c>
      <c r="S29" s="210">
        <v>762</v>
      </c>
      <c r="T29" s="212">
        <v>17411</v>
      </c>
    </row>
    <row r="30" spans="1:20" x14ac:dyDescent="0.45">
      <c r="A30" s="214">
        <v>51</v>
      </c>
      <c r="B30" s="210">
        <v>1019</v>
      </c>
      <c r="C30" s="210">
        <v>2032</v>
      </c>
      <c r="D30" s="210">
        <v>3069</v>
      </c>
      <c r="E30" s="212">
        <v>38264</v>
      </c>
      <c r="F30" s="214">
        <v>54</v>
      </c>
      <c r="G30" s="210">
        <v>475</v>
      </c>
      <c r="H30" s="210">
        <v>1050</v>
      </c>
      <c r="I30" s="210">
        <v>1534</v>
      </c>
      <c r="J30" s="212">
        <v>17193</v>
      </c>
      <c r="K30" s="214">
        <v>46</v>
      </c>
      <c r="L30" s="210">
        <v>333</v>
      </c>
      <c r="M30" s="210">
        <v>463</v>
      </c>
      <c r="N30" s="210">
        <v>802</v>
      </c>
      <c r="O30" s="212">
        <v>20637</v>
      </c>
      <c r="P30" s="214">
        <v>46</v>
      </c>
      <c r="Q30" s="210">
        <v>727</v>
      </c>
      <c r="R30" s="210">
        <v>1010</v>
      </c>
      <c r="S30" s="210">
        <v>1747</v>
      </c>
      <c r="T30" s="212">
        <v>19158</v>
      </c>
    </row>
    <row r="31" spans="1:20" x14ac:dyDescent="0.45">
      <c r="A31" s="214">
        <v>50</v>
      </c>
      <c r="B31" s="210">
        <v>901</v>
      </c>
      <c r="C31" s="210">
        <v>1885</v>
      </c>
      <c r="D31" s="210">
        <v>2814</v>
      </c>
      <c r="E31" s="212">
        <v>41078</v>
      </c>
      <c r="F31" s="214">
        <v>53</v>
      </c>
      <c r="G31" s="210">
        <v>459</v>
      </c>
      <c r="H31" s="210">
        <v>997</v>
      </c>
      <c r="I31" s="210">
        <v>1469</v>
      </c>
      <c r="J31" s="212">
        <v>18662</v>
      </c>
      <c r="K31" s="214">
        <v>45</v>
      </c>
      <c r="L31" s="210">
        <v>297</v>
      </c>
      <c r="M31" s="210">
        <v>355</v>
      </c>
      <c r="N31" s="210">
        <v>662</v>
      </c>
      <c r="O31" s="212">
        <v>21299</v>
      </c>
      <c r="P31" s="214">
        <v>45</v>
      </c>
      <c r="Q31" s="210">
        <v>323</v>
      </c>
      <c r="R31" s="210">
        <v>441</v>
      </c>
      <c r="S31" s="210">
        <v>772</v>
      </c>
      <c r="T31" s="212">
        <v>19930</v>
      </c>
    </row>
    <row r="32" spans="1:20" x14ac:dyDescent="0.45">
      <c r="A32" s="214">
        <v>49</v>
      </c>
      <c r="B32" s="210">
        <v>999</v>
      </c>
      <c r="C32" s="210">
        <v>1950</v>
      </c>
      <c r="D32" s="210">
        <v>2975</v>
      </c>
      <c r="E32" s="212">
        <v>44053</v>
      </c>
      <c r="F32" s="214">
        <v>52</v>
      </c>
      <c r="G32" s="210">
        <v>516</v>
      </c>
      <c r="H32" s="210">
        <v>1092</v>
      </c>
      <c r="I32" s="210">
        <v>1618</v>
      </c>
      <c r="J32" s="212">
        <v>20280</v>
      </c>
      <c r="K32" s="214">
        <v>44</v>
      </c>
      <c r="L32" s="210">
        <v>355</v>
      </c>
      <c r="M32" s="210">
        <v>473</v>
      </c>
      <c r="N32" s="210">
        <v>837</v>
      </c>
      <c r="O32" s="212">
        <v>22136</v>
      </c>
      <c r="P32" s="214">
        <v>44</v>
      </c>
      <c r="Q32" s="210">
        <v>347</v>
      </c>
      <c r="R32" s="210">
        <v>445</v>
      </c>
      <c r="S32" s="210">
        <v>796</v>
      </c>
      <c r="T32" s="212">
        <v>20726</v>
      </c>
    </row>
    <row r="33" spans="1:20" x14ac:dyDescent="0.45">
      <c r="A33" s="214">
        <v>48</v>
      </c>
      <c r="B33" s="210">
        <v>1810</v>
      </c>
      <c r="C33" s="210">
        <v>3566</v>
      </c>
      <c r="D33" s="210">
        <v>5420</v>
      </c>
      <c r="E33" s="212">
        <v>49473</v>
      </c>
      <c r="F33" s="214">
        <v>51</v>
      </c>
      <c r="G33" s="210">
        <v>537</v>
      </c>
      <c r="H33" s="210">
        <v>1148</v>
      </c>
      <c r="I33" s="210">
        <v>1697</v>
      </c>
      <c r="J33" s="212">
        <v>21977</v>
      </c>
      <c r="K33" s="214">
        <v>43</v>
      </c>
      <c r="L33" s="210">
        <v>321</v>
      </c>
      <c r="M33" s="210">
        <v>367</v>
      </c>
      <c r="N33" s="210">
        <v>694</v>
      </c>
      <c r="O33" s="212">
        <v>22830</v>
      </c>
      <c r="P33" s="214">
        <v>43</v>
      </c>
      <c r="Q33" s="210">
        <v>322</v>
      </c>
      <c r="R33" s="210">
        <v>439</v>
      </c>
      <c r="S33" s="210">
        <v>767</v>
      </c>
      <c r="T33" s="212">
        <v>21493</v>
      </c>
    </row>
    <row r="34" spans="1:20" x14ac:dyDescent="0.45">
      <c r="A34" s="214">
        <v>47</v>
      </c>
      <c r="B34" s="210">
        <v>957</v>
      </c>
      <c r="C34" s="210">
        <v>1867</v>
      </c>
      <c r="D34" s="210">
        <v>2841</v>
      </c>
      <c r="E34" s="212">
        <v>52314</v>
      </c>
      <c r="F34" s="214">
        <v>50</v>
      </c>
      <c r="G34" s="210">
        <v>565</v>
      </c>
      <c r="H34" s="210">
        <v>1037</v>
      </c>
      <c r="I34" s="210">
        <v>1615</v>
      </c>
      <c r="J34" s="212">
        <v>23592</v>
      </c>
      <c r="K34" s="214">
        <v>42</v>
      </c>
      <c r="L34" s="210">
        <v>699</v>
      </c>
      <c r="M34" s="210">
        <v>770</v>
      </c>
      <c r="N34" s="210">
        <v>1486</v>
      </c>
      <c r="O34" s="212">
        <v>24316</v>
      </c>
      <c r="P34" s="214">
        <v>42</v>
      </c>
      <c r="Q34" s="210">
        <v>385</v>
      </c>
      <c r="R34" s="210">
        <v>406</v>
      </c>
      <c r="S34" s="210">
        <v>801</v>
      </c>
      <c r="T34" s="212">
        <v>22294</v>
      </c>
    </row>
    <row r="35" spans="1:20" x14ac:dyDescent="0.45">
      <c r="A35" s="214">
        <v>46</v>
      </c>
      <c r="B35" s="210">
        <v>855</v>
      </c>
      <c r="C35" s="210">
        <v>1493</v>
      </c>
      <c r="D35" s="210">
        <v>2366</v>
      </c>
      <c r="E35" s="212">
        <v>54680</v>
      </c>
      <c r="F35" s="214">
        <v>49</v>
      </c>
      <c r="G35" s="210">
        <v>599</v>
      </c>
      <c r="H35" s="210">
        <v>1211</v>
      </c>
      <c r="I35" s="210">
        <v>1826</v>
      </c>
      <c r="J35" s="212">
        <v>25418</v>
      </c>
      <c r="K35" s="214">
        <v>41</v>
      </c>
      <c r="L35" s="210">
        <v>347</v>
      </c>
      <c r="M35" s="210">
        <v>315</v>
      </c>
      <c r="N35" s="210">
        <v>670</v>
      </c>
      <c r="O35" s="212">
        <v>24986</v>
      </c>
      <c r="P35" s="214">
        <v>41</v>
      </c>
      <c r="Q35" s="210">
        <v>328</v>
      </c>
      <c r="R35" s="210">
        <v>348</v>
      </c>
      <c r="S35" s="210">
        <v>684</v>
      </c>
      <c r="T35" s="212">
        <v>22978</v>
      </c>
    </row>
    <row r="36" spans="1:20" x14ac:dyDescent="0.45">
      <c r="A36" s="214">
        <v>45</v>
      </c>
      <c r="B36" s="210">
        <v>954</v>
      </c>
      <c r="C36" s="210">
        <v>1676</v>
      </c>
      <c r="D36" s="210">
        <v>2655</v>
      </c>
      <c r="E36" s="212">
        <v>57335</v>
      </c>
      <c r="F36" s="214">
        <v>48</v>
      </c>
      <c r="G36" s="210">
        <v>587</v>
      </c>
      <c r="H36" s="210">
        <v>1039</v>
      </c>
      <c r="I36" s="210">
        <v>1637</v>
      </c>
      <c r="J36" s="212">
        <v>27055</v>
      </c>
      <c r="K36" s="214">
        <v>40</v>
      </c>
      <c r="L36" s="210">
        <v>495</v>
      </c>
      <c r="M36" s="210">
        <v>437</v>
      </c>
      <c r="N36" s="210">
        <v>944</v>
      </c>
      <c r="O36" s="212">
        <v>25930</v>
      </c>
      <c r="P36" s="214">
        <v>40</v>
      </c>
      <c r="Q36" s="210">
        <v>735</v>
      </c>
      <c r="R36" s="210">
        <v>753</v>
      </c>
      <c r="S36" s="210">
        <v>1503</v>
      </c>
      <c r="T36" s="212">
        <v>24481</v>
      </c>
    </row>
    <row r="37" spans="1:20" x14ac:dyDescent="0.45">
      <c r="A37" s="214">
        <v>44</v>
      </c>
      <c r="B37" s="210">
        <v>838</v>
      </c>
      <c r="C37" s="210">
        <v>1384</v>
      </c>
      <c r="D37" s="210">
        <v>2247</v>
      </c>
      <c r="E37" s="212">
        <v>59582</v>
      </c>
      <c r="F37" s="214">
        <v>47</v>
      </c>
      <c r="G37" s="210">
        <v>625</v>
      </c>
      <c r="H37" s="210">
        <v>1011</v>
      </c>
      <c r="I37" s="210">
        <v>1649</v>
      </c>
      <c r="J37" s="212">
        <v>28704</v>
      </c>
      <c r="K37" s="214">
        <v>39</v>
      </c>
      <c r="L37" s="210">
        <v>336</v>
      </c>
      <c r="M37" s="210">
        <v>264</v>
      </c>
      <c r="N37" s="210">
        <v>608</v>
      </c>
      <c r="O37" s="212">
        <v>26538</v>
      </c>
      <c r="P37" s="214">
        <v>39</v>
      </c>
      <c r="Q37" s="210">
        <v>290</v>
      </c>
      <c r="R37" s="210">
        <v>251</v>
      </c>
      <c r="S37" s="210">
        <v>556</v>
      </c>
      <c r="T37" s="212">
        <v>25037</v>
      </c>
    </row>
    <row r="38" spans="1:20" x14ac:dyDescent="0.45">
      <c r="A38" s="214">
        <v>43</v>
      </c>
      <c r="B38" s="210">
        <v>975</v>
      </c>
      <c r="C38" s="210">
        <v>1368</v>
      </c>
      <c r="D38" s="210">
        <v>2365</v>
      </c>
      <c r="E38" s="212">
        <v>61947</v>
      </c>
      <c r="F38" s="214">
        <v>46</v>
      </c>
      <c r="G38" s="210">
        <v>750</v>
      </c>
      <c r="H38" s="210">
        <v>1232</v>
      </c>
      <c r="I38" s="210">
        <v>1997</v>
      </c>
      <c r="J38" s="212">
        <v>30701</v>
      </c>
      <c r="K38" s="214">
        <v>38</v>
      </c>
      <c r="L38" s="210">
        <v>806</v>
      </c>
      <c r="M38" s="210">
        <v>588</v>
      </c>
      <c r="N38" s="210">
        <v>1417</v>
      </c>
      <c r="O38" s="212">
        <v>27955</v>
      </c>
      <c r="P38" s="214">
        <v>38</v>
      </c>
      <c r="Q38" s="210">
        <v>1149</v>
      </c>
      <c r="R38" s="210">
        <v>654</v>
      </c>
      <c r="S38" s="210">
        <v>1834</v>
      </c>
      <c r="T38" s="212">
        <v>26871</v>
      </c>
    </row>
    <row r="39" spans="1:20" x14ac:dyDescent="0.45">
      <c r="A39" s="214">
        <v>42</v>
      </c>
      <c r="B39" s="210">
        <v>1050</v>
      </c>
      <c r="C39" s="210">
        <v>1356</v>
      </c>
      <c r="D39" s="210">
        <v>2425</v>
      </c>
      <c r="E39" s="212">
        <v>64372</v>
      </c>
      <c r="F39" s="214">
        <v>45</v>
      </c>
      <c r="G39" s="210">
        <v>723</v>
      </c>
      <c r="H39" s="210">
        <v>1007</v>
      </c>
      <c r="I39" s="210">
        <v>1745</v>
      </c>
      <c r="J39" s="212">
        <v>32446</v>
      </c>
      <c r="K39" s="214">
        <v>37</v>
      </c>
      <c r="L39" s="210">
        <v>1633</v>
      </c>
      <c r="M39" s="210">
        <v>887</v>
      </c>
      <c r="N39" s="210">
        <v>2553</v>
      </c>
      <c r="O39" s="212">
        <v>30508</v>
      </c>
      <c r="P39" s="214">
        <v>37</v>
      </c>
      <c r="Q39" s="210">
        <v>809</v>
      </c>
      <c r="R39" s="210">
        <v>492</v>
      </c>
      <c r="S39" s="210">
        <v>1315</v>
      </c>
      <c r="T39" s="212">
        <v>28186</v>
      </c>
    </row>
    <row r="40" spans="1:20" x14ac:dyDescent="0.45">
      <c r="A40" s="214">
        <v>41</v>
      </c>
      <c r="B40" s="210">
        <v>851</v>
      </c>
      <c r="C40" s="210">
        <v>1057</v>
      </c>
      <c r="D40" s="210">
        <v>1927</v>
      </c>
      <c r="E40" s="212">
        <v>66299</v>
      </c>
      <c r="F40" s="214">
        <v>44</v>
      </c>
      <c r="G40" s="210">
        <v>1540</v>
      </c>
      <c r="H40" s="210">
        <v>1611</v>
      </c>
      <c r="I40" s="210">
        <v>3184</v>
      </c>
      <c r="J40" s="212">
        <v>35630</v>
      </c>
      <c r="K40" s="214">
        <v>36</v>
      </c>
      <c r="L40" s="210">
        <v>227</v>
      </c>
      <c r="M40" s="210">
        <v>152</v>
      </c>
      <c r="N40" s="210">
        <v>384</v>
      </c>
      <c r="O40" s="212">
        <v>30892</v>
      </c>
      <c r="P40" s="214">
        <v>36</v>
      </c>
      <c r="Q40" s="210">
        <v>234</v>
      </c>
      <c r="R40" s="210">
        <v>169</v>
      </c>
      <c r="S40" s="210">
        <v>409</v>
      </c>
      <c r="T40" s="212">
        <v>28595</v>
      </c>
    </row>
    <row r="41" spans="1:20" x14ac:dyDescent="0.45">
      <c r="A41" s="214">
        <v>40</v>
      </c>
      <c r="B41" s="210">
        <v>3447</v>
      </c>
      <c r="C41" s="210">
        <v>2626</v>
      </c>
      <c r="D41" s="210">
        <v>6161</v>
      </c>
      <c r="E41" s="212">
        <v>72460</v>
      </c>
      <c r="F41" s="214">
        <v>43</v>
      </c>
      <c r="G41" s="210">
        <v>2584</v>
      </c>
      <c r="H41" s="210">
        <v>2007</v>
      </c>
      <c r="I41" s="210">
        <v>4656</v>
      </c>
      <c r="J41" s="212">
        <v>40286</v>
      </c>
      <c r="K41" s="214">
        <v>35</v>
      </c>
      <c r="L41" s="210">
        <v>378</v>
      </c>
      <c r="M41" s="210">
        <v>259</v>
      </c>
      <c r="N41" s="210">
        <v>655</v>
      </c>
      <c r="O41" s="212">
        <v>31547</v>
      </c>
      <c r="P41" s="214">
        <v>35</v>
      </c>
      <c r="Q41" s="210">
        <v>382</v>
      </c>
      <c r="R41" s="210">
        <v>273</v>
      </c>
      <c r="S41" s="210">
        <v>667</v>
      </c>
      <c r="T41" s="212">
        <v>29262</v>
      </c>
    </row>
    <row r="42" spans="1:20" x14ac:dyDescent="0.45">
      <c r="A42" s="214">
        <v>39</v>
      </c>
      <c r="B42" s="210">
        <v>1070</v>
      </c>
      <c r="C42" s="210">
        <v>1123</v>
      </c>
      <c r="D42" s="210">
        <v>2219</v>
      </c>
      <c r="E42" s="212">
        <v>74679</v>
      </c>
      <c r="F42" s="214">
        <v>42</v>
      </c>
      <c r="G42" s="210">
        <v>618</v>
      </c>
      <c r="H42" s="210">
        <v>837</v>
      </c>
      <c r="I42" s="210">
        <v>1462</v>
      </c>
      <c r="J42" s="212">
        <v>41748</v>
      </c>
      <c r="K42" s="214">
        <v>34</v>
      </c>
      <c r="L42" s="210">
        <v>144</v>
      </c>
      <c r="M42" s="210">
        <v>94</v>
      </c>
      <c r="N42" s="210">
        <v>245</v>
      </c>
      <c r="O42" s="212">
        <v>31792</v>
      </c>
      <c r="P42" s="214">
        <v>34</v>
      </c>
      <c r="Q42" s="210">
        <v>150</v>
      </c>
      <c r="R42" s="210">
        <v>123</v>
      </c>
      <c r="S42" s="210">
        <v>277</v>
      </c>
      <c r="T42" s="212">
        <v>29539</v>
      </c>
    </row>
    <row r="43" spans="1:20" x14ac:dyDescent="0.45">
      <c r="A43" s="214">
        <v>38</v>
      </c>
      <c r="B43" s="210">
        <v>2363</v>
      </c>
      <c r="C43" s="210">
        <v>1911</v>
      </c>
      <c r="D43" s="210">
        <v>4333</v>
      </c>
      <c r="E43" s="212">
        <v>79012</v>
      </c>
      <c r="F43" s="214">
        <v>41</v>
      </c>
      <c r="G43" s="210">
        <v>711</v>
      </c>
      <c r="H43" s="210">
        <v>812</v>
      </c>
      <c r="I43" s="210">
        <v>1539</v>
      </c>
      <c r="J43" s="212">
        <v>43287</v>
      </c>
      <c r="K43" s="214">
        <v>33</v>
      </c>
      <c r="L43" s="210">
        <v>158</v>
      </c>
      <c r="M43" s="210">
        <v>126</v>
      </c>
      <c r="N43" s="210">
        <v>287</v>
      </c>
      <c r="O43" s="212">
        <v>32079</v>
      </c>
      <c r="P43" s="214">
        <v>33</v>
      </c>
      <c r="Q43" s="210">
        <v>104</v>
      </c>
      <c r="R43" s="210">
        <v>40</v>
      </c>
      <c r="S43" s="210">
        <v>147</v>
      </c>
      <c r="T43" s="212">
        <v>29686</v>
      </c>
    </row>
    <row r="44" spans="1:20" x14ac:dyDescent="0.45">
      <c r="A44" s="214">
        <v>37</v>
      </c>
      <c r="B44" s="210">
        <v>627</v>
      </c>
      <c r="C44" s="210">
        <v>676</v>
      </c>
      <c r="D44" s="210">
        <v>1320</v>
      </c>
      <c r="E44" s="212">
        <v>80332</v>
      </c>
      <c r="F44" s="214">
        <v>40</v>
      </c>
      <c r="G44" s="210">
        <v>701</v>
      </c>
      <c r="H44" s="210">
        <v>666</v>
      </c>
      <c r="I44" s="210">
        <v>1377</v>
      </c>
      <c r="J44" s="212">
        <v>44664</v>
      </c>
      <c r="K44" s="214">
        <v>32</v>
      </c>
      <c r="L44" s="210">
        <v>76</v>
      </c>
      <c r="M44" s="210">
        <v>40</v>
      </c>
      <c r="N44" s="210">
        <v>116</v>
      </c>
      <c r="O44" s="212">
        <v>32195</v>
      </c>
      <c r="P44" s="214">
        <v>32</v>
      </c>
      <c r="Q44" s="210">
        <v>60</v>
      </c>
      <c r="R44" s="210">
        <v>21</v>
      </c>
      <c r="S44" s="210">
        <v>81</v>
      </c>
      <c r="T44" s="212">
        <v>29767</v>
      </c>
    </row>
    <row r="45" spans="1:20" x14ac:dyDescent="0.45">
      <c r="A45" s="214">
        <v>36</v>
      </c>
      <c r="B45" s="210">
        <v>622</v>
      </c>
      <c r="C45" s="210">
        <v>511</v>
      </c>
      <c r="D45" s="210">
        <v>1151</v>
      </c>
      <c r="E45" s="212">
        <v>81483</v>
      </c>
      <c r="F45" s="214">
        <v>39</v>
      </c>
      <c r="G45" s="210">
        <v>776</v>
      </c>
      <c r="H45" s="210">
        <v>766</v>
      </c>
      <c r="I45" s="210">
        <v>1558</v>
      </c>
      <c r="J45" s="212">
        <v>46222</v>
      </c>
      <c r="K45" s="214">
        <v>31</v>
      </c>
      <c r="L45" s="210">
        <v>120</v>
      </c>
      <c r="M45" s="210">
        <v>90</v>
      </c>
      <c r="N45" s="210">
        <v>212</v>
      </c>
      <c r="O45" s="212">
        <v>32407</v>
      </c>
      <c r="P45" s="214">
        <v>31</v>
      </c>
      <c r="Q45" s="210">
        <v>80</v>
      </c>
      <c r="R45" s="210">
        <v>45</v>
      </c>
      <c r="S45" s="210">
        <v>127</v>
      </c>
      <c r="T45" s="212">
        <v>29894</v>
      </c>
    </row>
    <row r="46" spans="1:20" x14ac:dyDescent="0.45">
      <c r="A46" s="214">
        <v>35</v>
      </c>
      <c r="B46" s="210">
        <v>904</v>
      </c>
      <c r="C46" s="210">
        <v>773</v>
      </c>
      <c r="D46" s="210">
        <v>1701</v>
      </c>
      <c r="E46" s="212">
        <v>83184</v>
      </c>
      <c r="F46" s="214">
        <v>37</v>
      </c>
      <c r="G46" s="210">
        <v>433</v>
      </c>
      <c r="H46" s="210">
        <v>368</v>
      </c>
      <c r="I46" s="210">
        <v>813</v>
      </c>
      <c r="J46" s="212">
        <v>47035</v>
      </c>
      <c r="K46" s="214">
        <v>29</v>
      </c>
      <c r="L46" s="210">
        <v>20</v>
      </c>
      <c r="M46" s="210">
        <v>17</v>
      </c>
      <c r="N46" s="210">
        <v>37</v>
      </c>
      <c r="O46" s="212">
        <v>32444</v>
      </c>
      <c r="P46" s="220">
        <v>29</v>
      </c>
      <c r="Q46" s="210">
        <v>29</v>
      </c>
      <c r="R46" s="210">
        <v>16</v>
      </c>
      <c r="S46" s="210">
        <v>45</v>
      </c>
      <c r="T46" s="212">
        <v>29939</v>
      </c>
    </row>
    <row r="47" spans="1:20" x14ac:dyDescent="0.45">
      <c r="A47" s="214">
        <v>34</v>
      </c>
      <c r="B47" s="210">
        <v>310</v>
      </c>
      <c r="C47" s="210">
        <v>261</v>
      </c>
      <c r="D47" s="210">
        <v>576</v>
      </c>
      <c r="E47" s="217">
        <v>83760</v>
      </c>
      <c r="F47" s="214">
        <v>36</v>
      </c>
      <c r="G47" s="210">
        <v>915</v>
      </c>
      <c r="H47" s="210">
        <v>806</v>
      </c>
      <c r="I47" s="210">
        <v>1748</v>
      </c>
      <c r="J47" s="212">
        <v>48783</v>
      </c>
      <c r="K47" s="214"/>
      <c r="L47" s="210"/>
      <c r="M47" s="210"/>
      <c r="N47" s="210"/>
      <c r="O47" s="212"/>
      <c r="P47" s="220"/>
      <c r="Q47" s="210"/>
      <c r="R47" s="210"/>
      <c r="S47" s="210"/>
      <c r="T47" s="212"/>
    </row>
    <row r="48" spans="1:20" x14ac:dyDescent="0.45">
      <c r="A48" s="221">
        <v>33</v>
      </c>
      <c r="B48" s="211">
        <v>362</v>
      </c>
      <c r="C48" s="211">
        <v>277</v>
      </c>
      <c r="D48" s="211">
        <v>651</v>
      </c>
      <c r="E48" s="218">
        <v>84411</v>
      </c>
      <c r="F48" s="214">
        <v>35</v>
      </c>
      <c r="G48" s="210">
        <v>229</v>
      </c>
      <c r="H48" s="210">
        <v>224</v>
      </c>
      <c r="I48" s="210">
        <v>460</v>
      </c>
      <c r="J48" s="212">
        <v>49243</v>
      </c>
      <c r="K48" s="214"/>
      <c r="L48" s="210"/>
      <c r="M48" s="210"/>
      <c r="N48" s="210"/>
      <c r="O48" s="212"/>
      <c r="P48" s="220"/>
      <c r="Q48" s="210"/>
      <c r="R48" s="210"/>
      <c r="S48" s="210"/>
      <c r="T48" s="212"/>
    </row>
    <row r="49" spans="1:20" x14ac:dyDescent="0.45">
      <c r="A49" s="221">
        <v>32</v>
      </c>
      <c r="B49" s="211">
        <v>156</v>
      </c>
      <c r="C49" s="211">
        <v>130</v>
      </c>
      <c r="D49" s="211">
        <v>289</v>
      </c>
      <c r="E49" s="218">
        <v>84700</v>
      </c>
      <c r="F49" s="214">
        <v>34</v>
      </c>
      <c r="G49" s="210">
        <v>288</v>
      </c>
      <c r="H49" s="210">
        <v>253</v>
      </c>
      <c r="I49" s="210">
        <v>546</v>
      </c>
      <c r="J49" s="212">
        <v>49789</v>
      </c>
      <c r="K49" s="214"/>
      <c r="L49" s="210"/>
      <c r="M49" s="210"/>
      <c r="N49" s="210"/>
      <c r="O49" s="212"/>
      <c r="P49" s="220"/>
      <c r="Q49" s="210"/>
      <c r="R49" s="210"/>
      <c r="S49" s="210"/>
      <c r="T49" s="212"/>
    </row>
    <row r="50" spans="1:20" x14ac:dyDescent="0.45">
      <c r="A50" s="221">
        <v>31</v>
      </c>
      <c r="B50" s="211">
        <v>91</v>
      </c>
      <c r="C50" s="211">
        <v>75</v>
      </c>
      <c r="D50" s="211">
        <v>168</v>
      </c>
      <c r="E50" s="218">
        <v>84868</v>
      </c>
      <c r="F50" s="214">
        <v>33</v>
      </c>
      <c r="G50" s="210">
        <v>143</v>
      </c>
      <c r="H50" s="210">
        <v>143</v>
      </c>
      <c r="I50" s="210">
        <v>288</v>
      </c>
      <c r="J50" s="212">
        <v>50077</v>
      </c>
      <c r="K50" s="214"/>
      <c r="L50" s="210"/>
      <c r="M50" s="210"/>
      <c r="N50" s="210"/>
      <c r="O50" s="212"/>
      <c r="P50" s="220"/>
      <c r="Q50" s="210"/>
      <c r="R50" s="210"/>
      <c r="S50" s="210"/>
      <c r="T50" s="212"/>
    </row>
    <row r="51" spans="1:20" x14ac:dyDescent="0.45">
      <c r="A51" s="221">
        <v>30</v>
      </c>
      <c r="B51" s="211">
        <v>110</v>
      </c>
      <c r="C51" s="211">
        <v>78</v>
      </c>
      <c r="D51" s="211">
        <v>189</v>
      </c>
      <c r="E51" s="218">
        <v>85057</v>
      </c>
      <c r="F51" s="214">
        <v>32</v>
      </c>
      <c r="G51" s="210">
        <v>89</v>
      </c>
      <c r="H51" s="210">
        <v>65</v>
      </c>
      <c r="I51" s="210">
        <v>158</v>
      </c>
      <c r="J51" s="212">
        <v>50235</v>
      </c>
      <c r="K51" s="220"/>
      <c r="L51" s="210"/>
      <c r="M51" s="210"/>
      <c r="N51" s="210"/>
      <c r="O51" s="212"/>
      <c r="P51" s="214"/>
      <c r="Q51" s="210"/>
      <c r="R51" s="210"/>
      <c r="S51" s="210"/>
      <c r="T51" s="212"/>
    </row>
    <row r="52" spans="1:20" x14ac:dyDescent="0.45">
      <c r="A52" s="221">
        <v>28</v>
      </c>
      <c r="B52" s="211">
        <v>46</v>
      </c>
      <c r="C52" s="211">
        <v>23</v>
      </c>
      <c r="D52" s="211">
        <v>70</v>
      </c>
      <c r="E52" s="218">
        <v>85127</v>
      </c>
      <c r="F52" s="214">
        <v>31</v>
      </c>
      <c r="G52" s="210">
        <v>108</v>
      </c>
      <c r="H52" s="210">
        <v>101</v>
      </c>
      <c r="I52" s="210">
        <v>211</v>
      </c>
      <c r="J52" s="212">
        <v>50446</v>
      </c>
      <c r="K52" s="220"/>
      <c r="L52" s="210"/>
      <c r="M52" s="210"/>
      <c r="N52" s="210"/>
      <c r="O52" s="212"/>
      <c r="P52" s="214"/>
      <c r="Q52" s="210"/>
      <c r="R52" s="210"/>
      <c r="S52" s="210"/>
      <c r="T52" s="212"/>
    </row>
    <row r="53" spans="1:20" x14ac:dyDescent="0.45">
      <c r="A53" s="221"/>
      <c r="B53" s="211"/>
      <c r="C53" s="211"/>
      <c r="D53" s="211"/>
      <c r="E53" s="213"/>
      <c r="F53" s="214">
        <v>29</v>
      </c>
      <c r="G53" s="210">
        <v>37</v>
      </c>
      <c r="H53" s="210">
        <v>34</v>
      </c>
      <c r="I53" s="210">
        <v>72</v>
      </c>
      <c r="J53" s="212">
        <v>50518</v>
      </c>
      <c r="K53" s="214"/>
      <c r="L53" s="210"/>
      <c r="M53" s="210"/>
      <c r="N53" s="210"/>
      <c r="O53" s="212"/>
      <c r="P53" s="214"/>
      <c r="Q53" s="210"/>
      <c r="R53" s="210"/>
      <c r="S53" s="210"/>
      <c r="T53" s="212"/>
    </row>
    <row r="61" spans="1:20" ht="17.5" thickBot="1" x14ac:dyDescent="0.5"/>
    <row r="62" spans="1:20" x14ac:dyDescent="0.45">
      <c r="A62" s="45" t="s">
        <v>13</v>
      </c>
      <c r="B62" s="46"/>
      <c r="C62" s="46"/>
      <c r="D62" s="47"/>
      <c r="F62" s="45" t="s">
        <v>14</v>
      </c>
      <c r="G62" s="46"/>
      <c r="H62" s="46"/>
      <c r="I62" s="47"/>
      <c r="K62" s="45" t="s">
        <v>15</v>
      </c>
      <c r="L62" s="46"/>
      <c r="M62" s="46"/>
      <c r="N62" s="47"/>
      <c r="P62" s="45" t="s">
        <v>58</v>
      </c>
      <c r="Q62" s="46"/>
      <c r="R62" s="46"/>
      <c r="S62" s="47"/>
    </row>
    <row r="63" spans="1:20" ht="17.5" thickBot="1" x14ac:dyDescent="0.5">
      <c r="A63" s="6" t="s">
        <v>6</v>
      </c>
      <c r="B63" s="1"/>
      <c r="C63" s="1"/>
      <c r="D63" s="7" t="s">
        <v>7</v>
      </c>
      <c r="F63" s="6" t="s">
        <v>6</v>
      </c>
      <c r="G63" s="1"/>
      <c r="H63" s="1"/>
      <c r="I63" s="7" t="s">
        <v>7</v>
      </c>
      <c r="K63" s="6" t="s">
        <v>6</v>
      </c>
      <c r="L63" s="1"/>
      <c r="M63" s="1"/>
      <c r="N63" s="7" t="s">
        <v>7</v>
      </c>
      <c r="P63" s="6" t="s">
        <v>6</v>
      </c>
      <c r="Q63" s="1"/>
      <c r="R63" s="1"/>
      <c r="S63" s="7" t="s">
        <v>7</v>
      </c>
    </row>
    <row r="64" spans="1:20" ht="17.5" thickTop="1" x14ac:dyDescent="0.45">
      <c r="A64" s="228">
        <v>78</v>
      </c>
      <c r="B64" s="226">
        <v>104</v>
      </c>
      <c r="C64" s="226">
        <v>33</v>
      </c>
      <c r="D64" s="226">
        <v>139</v>
      </c>
      <c r="E64" s="229">
        <v>139</v>
      </c>
      <c r="F64" s="228">
        <v>76</v>
      </c>
      <c r="G64" s="226">
        <v>246</v>
      </c>
      <c r="H64" s="226">
        <v>75</v>
      </c>
      <c r="I64" s="226">
        <v>324</v>
      </c>
      <c r="J64" s="229">
        <v>324</v>
      </c>
      <c r="K64" s="228">
        <v>81</v>
      </c>
      <c r="L64" s="226">
        <v>68</v>
      </c>
      <c r="M64" s="226">
        <v>27</v>
      </c>
      <c r="N64" s="226">
        <v>95</v>
      </c>
      <c r="O64" s="229">
        <v>95</v>
      </c>
      <c r="P64" s="228">
        <v>74</v>
      </c>
      <c r="Q64" s="226">
        <v>192</v>
      </c>
      <c r="R64" s="226">
        <v>166</v>
      </c>
      <c r="S64" s="226">
        <v>358</v>
      </c>
      <c r="T64" s="229">
        <v>358</v>
      </c>
    </row>
    <row r="65" spans="1:20" x14ac:dyDescent="0.45">
      <c r="A65" s="223">
        <v>76</v>
      </c>
      <c r="B65" s="222">
        <v>47</v>
      </c>
      <c r="C65" s="222">
        <v>11</v>
      </c>
      <c r="D65" s="222">
        <v>58</v>
      </c>
      <c r="E65" s="224">
        <v>197</v>
      </c>
      <c r="F65" s="223">
        <v>74</v>
      </c>
      <c r="G65" s="222">
        <v>144</v>
      </c>
      <c r="H65" s="222">
        <v>45</v>
      </c>
      <c r="I65" s="222">
        <v>191</v>
      </c>
      <c r="J65" s="224">
        <v>515</v>
      </c>
      <c r="K65" s="223">
        <v>79</v>
      </c>
      <c r="L65" s="222">
        <v>19</v>
      </c>
      <c r="M65" s="222">
        <v>8</v>
      </c>
      <c r="N65" s="222">
        <v>28</v>
      </c>
      <c r="O65" s="224">
        <v>123</v>
      </c>
      <c r="P65" s="223">
        <v>73</v>
      </c>
      <c r="Q65" s="222">
        <v>93</v>
      </c>
      <c r="R65" s="222">
        <v>99</v>
      </c>
      <c r="S65" s="222">
        <v>193</v>
      </c>
      <c r="T65" s="224">
        <v>551</v>
      </c>
    </row>
    <row r="66" spans="1:20" x14ac:dyDescent="0.45">
      <c r="A66" s="223">
        <v>75</v>
      </c>
      <c r="B66" s="222">
        <v>84</v>
      </c>
      <c r="C66" s="222">
        <v>42</v>
      </c>
      <c r="D66" s="222">
        <v>127</v>
      </c>
      <c r="E66" s="224">
        <v>324</v>
      </c>
      <c r="F66" s="223">
        <v>73</v>
      </c>
      <c r="G66" s="222">
        <v>184</v>
      </c>
      <c r="H66" s="222">
        <v>66</v>
      </c>
      <c r="I66" s="222">
        <v>250</v>
      </c>
      <c r="J66" s="224">
        <v>765</v>
      </c>
      <c r="K66" s="223">
        <v>78</v>
      </c>
      <c r="L66" s="222">
        <v>67</v>
      </c>
      <c r="M66" s="222">
        <v>39</v>
      </c>
      <c r="N66" s="222">
        <v>109</v>
      </c>
      <c r="O66" s="224">
        <v>232</v>
      </c>
      <c r="P66" s="223">
        <v>72</v>
      </c>
      <c r="Q66" s="222">
        <v>234</v>
      </c>
      <c r="R66" s="222">
        <v>238</v>
      </c>
      <c r="S66" s="222">
        <v>474</v>
      </c>
      <c r="T66" s="224">
        <v>1025</v>
      </c>
    </row>
    <row r="67" spans="1:20" x14ac:dyDescent="0.45">
      <c r="A67" s="223">
        <v>74</v>
      </c>
      <c r="B67" s="222">
        <v>23</v>
      </c>
      <c r="C67" s="222">
        <v>3</v>
      </c>
      <c r="D67" s="222">
        <v>27</v>
      </c>
      <c r="E67" s="224">
        <v>351</v>
      </c>
      <c r="F67" s="223">
        <v>72</v>
      </c>
      <c r="G67" s="222">
        <v>261</v>
      </c>
      <c r="H67" s="222">
        <v>101</v>
      </c>
      <c r="I67" s="222">
        <v>364</v>
      </c>
      <c r="J67" s="224">
        <v>1129</v>
      </c>
      <c r="K67" s="223">
        <v>77</v>
      </c>
      <c r="L67" s="222">
        <v>1</v>
      </c>
      <c r="M67" s="222">
        <v>2</v>
      </c>
      <c r="N67" s="222">
        <v>3</v>
      </c>
      <c r="O67" s="224">
        <v>235</v>
      </c>
      <c r="P67" s="223">
        <v>71</v>
      </c>
      <c r="Q67" s="222">
        <v>34</v>
      </c>
      <c r="R67" s="222">
        <v>28</v>
      </c>
      <c r="S67" s="222">
        <v>64</v>
      </c>
      <c r="T67" s="224">
        <v>1089</v>
      </c>
    </row>
    <row r="68" spans="1:20" x14ac:dyDescent="0.45">
      <c r="A68" s="223">
        <v>73</v>
      </c>
      <c r="B68" s="222">
        <v>84</v>
      </c>
      <c r="C68" s="222">
        <v>31</v>
      </c>
      <c r="D68" s="222">
        <v>116</v>
      </c>
      <c r="E68" s="224">
        <v>467</v>
      </c>
      <c r="F68" s="223">
        <v>71</v>
      </c>
      <c r="G68" s="222">
        <v>89</v>
      </c>
      <c r="H68" s="222">
        <v>61</v>
      </c>
      <c r="I68" s="222">
        <v>150</v>
      </c>
      <c r="J68" s="224">
        <v>1279</v>
      </c>
      <c r="K68" s="223">
        <v>76</v>
      </c>
      <c r="L68" s="222">
        <v>39</v>
      </c>
      <c r="M68" s="222">
        <v>23</v>
      </c>
      <c r="N68" s="222">
        <v>63</v>
      </c>
      <c r="O68" s="224">
        <v>298</v>
      </c>
      <c r="P68" s="223">
        <v>70</v>
      </c>
      <c r="Q68" s="222">
        <v>180</v>
      </c>
      <c r="R68" s="222">
        <v>261</v>
      </c>
      <c r="S68" s="222">
        <v>446</v>
      </c>
      <c r="T68" s="224">
        <v>1535</v>
      </c>
    </row>
    <row r="69" spans="1:20" x14ac:dyDescent="0.45">
      <c r="A69" s="223">
        <v>72</v>
      </c>
      <c r="B69" s="222">
        <v>53</v>
      </c>
      <c r="C69" s="222">
        <v>35</v>
      </c>
      <c r="D69" s="222">
        <v>90</v>
      </c>
      <c r="E69" s="224">
        <v>557</v>
      </c>
      <c r="F69" s="223">
        <v>70</v>
      </c>
      <c r="G69" s="222">
        <v>164</v>
      </c>
      <c r="H69" s="222">
        <v>62</v>
      </c>
      <c r="I69" s="222">
        <v>226</v>
      </c>
      <c r="J69" s="224">
        <v>1505</v>
      </c>
      <c r="K69" s="223">
        <v>75</v>
      </c>
      <c r="L69" s="222">
        <v>77</v>
      </c>
      <c r="M69" s="222">
        <v>45</v>
      </c>
      <c r="N69" s="222">
        <v>123</v>
      </c>
      <c r="O69" s="224">
        <v>421</v>
      </c>
      <c r="P69" s="223">
        <v>69</v>
      </c>
      <c r="Q69" s="222">
        <v>182</v>
      </c>
      <c r="R69" s="222">
        <v>255</v>
      </c>
      <c r="S69" s="222">
        <v>440</v>
      </c>
      <c r="T69" s="224">
        <v>1975</v>
      </c>
    </row>
    <row r="70" spans="1:20" x14ac:dyDescent="0.45">
      <c r="A70" s="223">
        <v>71</v>
      </c>
      <c r="B70" s="222">
        <v>46</v>
      </c>
      <c r="C70" s="222">
        <v>25</v>
      </c>
      <c r="D70" s="222">
        <v>71</v>
      </c>
      <c r="E70" s="224">
        <v>628</v>
      </c>
      <c r="F70" s="223">
        <v>69</v>
      </c>
      <c r="G70" s="222">
        <v>146</v>
      </c>
      <c r="H70" s="222">
        <v>86</v>
      </c>
      <c r="I70" s="222">
        <v>233</v>
      </c>
      <c r="J70" s="224">
        <v>1738</v>
      </c>
      <c r="K70" s="223">
        <v>74</v>
      </c>
      <c r="L70" s="222">
        <v>26</v>
      </c>
      <c r="M70" s="222">
        <v>13</v>
      </c>
      <c r="N70" s="222">
        <v>39</v>
      </c>
      <c r="O70" s="224">
        <v>460</v>
      </c>
      <c r="P70" s="223">
        <v>68</v>
      </c>
      <c r="Q70" s="222">
        <v>99</v>
      </c>
      <c r="R70" s="222">
        <v>134</v>
      </c>
      <c r="S70" s="222">
        <v>233</v>
      </c>
      <c r="T70" s="224">
        <v>2208</v>
      </c>
    </row>
    <row r="71" spans="1:20" x14ac:dyDescent="0.45">
      <c r="A71" s="223">
        <v>70</v>
      </c>
      <c r="B71" s="222">
        <v>81</v>
      </c>
      <c r="C71" s="222">
        <v>34</v>
      </c>
      <c r="D71" s="222">
        <v>116</v>
      </c>
      <c r="E71" s="224">
        <v>744</v>
      </c>
      <c r="F71" s="223">
        <v>68</v>
      </c>
      <c r="G71" s="222">
        <v>114</v>
      </c>
      <c r="H71" s="222">
        <v>50</v>
      </c>
      <c r="I71" s="222">
        <v>164</v>
      </c>
      <c r="J71" s="224">
        <v>1902</v>
      </c>
      <c r="K71" s="223">
        <v>73</v>
      </c>
      <c r="L71" s="222">
        <v>79</v>
      </c>
      <c r="M71" s="222">
        <v>48</v>
      </c>
      <c r="N71" s="222">
        <v>127</v>
      </c>
      <c r="O71" s="224">
        <v>587</v>
      </c>
      <c r="P71" s="223">
        <v>67</v>
      </c>
      <c r="Q71" s="222">
        <v>413</v>
      </c>
      <c r="R71" s="222">
        <v>596</v>
      </c>
      <c r="S71" s="222">
        <v>1012</v>
      </c>
      <c r="T71" s="224">
        <v>3220</v>
      </c>
    </row>
    <row r="72" spans="1:20" x14ac:dyDescent="0.45">
      <c r="A72" s="223">
        <v>69</v>
      </c>
      <c r="B72" s="222">
        <v>48</v>
      </c>
      <c r="C72" s="222">
        <v>33</v>
      </c>
      <c r="D72" s="222">
        <v>81</v>
      </c>
      <c r="E72" s="224">
        <v>825</v>
      </c>
      <c r="F72" s="223">
        <v>67</v>
      </c>
      <c r="G72" s="222">
        <v>196</v>
      </c>
      <c r="H72" s="222">
        <v>82</v>
      </c>
      <c r="I72" s="222">
        <v>279</v>
      </c>
      <c r="J72" s="224">
        <v>2181</v>
      </c>
      <c r="K72" s="223">
        <v>72</v>
      </c>
      <c r="L72" s="222">
        <v>61</v>
      </c>
      <c r="M72" s="222">
        <v>39</v>
      </c>
      <c r="N72" s="222">
        <v>100</v>
      </c>
      <c r="O72" s="224">
        <v>687</v>
      </c>
      <c r="P72" s="223">
        <v>66</v>
      </c>
      <c r="Q72" s="222">
        <v>181</v>
      </c>
      <c r="R72" s="222">
        <v>282</v>
      </c>
      <c r="S72" s="222">
        <v>465</v>
      </c>
      <c r="T72" s="224">
        <v>3685</v>
      </c>
    </row>
    <row r="73" spans="1:20" x14ac:dyDescent="0.45">
      <c r="A73" s="223">
        <v>68</v>
      </c>
      <c r="B73" s="222">
        <v>155</v>
      </c>
      <c r="C73" s="222">
        <v>95</v>
      </c>
      <c r="D73" s="222">
        <v>250</v>
      </c>
      <c r="E73" s="224">
        <v>1075</v>
      </c>
      <c r="F73" s="223">
        <v>66</v>
      </c>
      <c r="G73" s="222">
        <v>129</v>
      </c>
      <c r="H73" s="222">
        <v>69</v>
      </c>
      <c r="I73" s="222">
        <v>200</v>
      </c>
      <c r="J73" s="224">
        <v>2381</v>
      </c>
      <c r="K73" s="223">
        <v>71</v>
      </c>
      <c r="L73" s="222">
        <v>143</v>
      </c>
      <c r="M73" s="222">
        <v>87</v>
      </c>
      <c r="N73" s="222">
        <v>232</v>
      </c>
      <c r="O73" s="224">
        <v>919</v>
      </c>
      <c r="P73" s="223">
        <v>65</v>
      </c>
      <c r="Q73" s="222">
        <v>227</v>
      </c>
      <c r="R73" s="222">
        <v>398</v>
      </c>
      <c r="S73" s="222">
        <v>631</v>
      </c>
      <c r="T73" s="224">
        <v>4316</v>
      </c>
    </row>
    <row r="74" spans="1:20" x14ac:dyDescent="0.45">
      <c r="A74" s="223">
        <v>67</v>
      </c>
      <c r="B74" s="222">
        <v>78</v>
      </c>
      <c r="C74" s="222">
        <v>46</v>
      </c>
      <c r="D74" s="222">
        <v>124</v>
      </c>
      <c r="E74" s="224">
        <v>1199</v>
      </c>
      <c r="F74" s="223">
        <v>65</v>
      </c>
      <c r="G74" s="222">
        <v>159</v>
      </c>
      <c r="H74" s="222">
        <v>93</v>
      </c>
      <c r="I74" s="222">
        <v>256</v>
      </c>
      <c r="J74" s="224">
        <v>2637</v>
      </c>
      <c r="K74" s="223">
        <v>70</v>
      </c>
      <c r="L74" s="222">
        <v>70</v>
      </c>
      <c r="M74" s="222">
        <v>45</v>
      </c>
      <c r="N74" s="222">
        <v>115</v>
      </c>
      <c r="O74" s="224">
        <v>1034</v>
      </c>
      <c r="P74" s="223">
        <v>64</v>
      </c>
      <c r="Q74" s="222">
        <v>141</v>
      </c>
      <c r="R74" s="222">
        <v>287</v>
      </c>
      <c r="S74" s="222">
        <v>429</v>
      </c>
      <c r="T74" s="224">
        <v>4745</v>
      </c>
    </row>
    <row r="75" spans="1:20" x14ac:dyDescent="0.45">
      <c r="A75" s="223">
        <v>66</v>
      </c>
      <c r="B75" s="222">
        <v>87</v>
      </c>
      <c r="C75" s="222">
        <v>76</v>
      </c>
      <c r="D75" s="222">
        <v>164</v>
      </c>
      <c r="E75" s="224">
        <v>1363</v>
      </c>
      <c r="F75" s="223">
        <v>64</v>
      </c>
      <c r="G75" s="222">
        <v>350</v>
      </c>
      <c r="H75" s="222">
        <v>207</v>
      </c>
      <c r="I75" s="222">
        <v>563</v>
      </c>
      <c r="J75" s="224">
        <v>3200</v>
      </c>
      <c r="K75" s="223">
        <v>69</v>
      </c>
      <c r="L75" s="222">
        <v>71</v>
      </c>
      <c r="M75" s="222">
        <v>53</v>
      </c>
      <c r="N75" s="222">
        <v>125</v>
      </c>
      <c r="O75" s="224">
        <v>1159</v>
      </c>
      <c r="P75" s="223">
        <v>63</v>
      </c>
      <c r="Q75" s="222">
        <v>237</v>
      </c>
      <c r="R75" s="222">
        <v>419</v>
      </c>
      <c r="S75" s="222">
        <v>664</v>
      </c>
      <c r="T75" s="224">
        <v>5409</v>
      </c>
    </row>
    <row r="76" spans="1:20" x14ac:dyDescent="0.45">
      <c r="A76" s="223">
        <v>65</v>
      </c>
      <c r="B76" s="222">
        <v>60</v>
      </c>
      <c r="C76" s="222">
        <v>66</v>
      </c>
      <c r="D76" s="222">
        <v>128</v>
      </c>
      <c r="E76" s="224">
        <v>1491</v>
      </c>
      <c r="F76" s="223">
        <v>63</v>
      </c>
      <c r="G76" s="222">
        <v>192</v>
      </c>
      <c r="H76" s="222">
        <v>110</v>
      </c>
      <c r="I76" s="222">
        <v>304</v>
      </c>
      <c r="J76" s="224">
        <v>3504</v>
      </c>
      <c r="K76" s="223">
        <v>68</v>
      </c>
      <c r="L76" s="222">
        <v>98</v>
      </c>
      <c r="M76" s="222">
        <v>84</v>
      </c>
      <c r="N76" s="222">
        <v>182</v>
      </c>
      <c r="O76" s="224">
        <v>1341</v>
      </c>
      <c r="P76" s="223">
        <v>62</v>
      </c>
      <c r="Q76" s="222">
        <v>209</v>
      </c>
      <c r="R76" s="222">
        <v>325</v>
      </c>
      <c r="S76" s="222">
        <v>534</v>
      </c>
      <c r="T76" s="224">
        <v>5943</v>
      </c>
    </row>
    <row r="77" spans="1:20" x14ac:dyDescent="0.45">
      <c r="A77" s="223">
        <v>64</v>
      </c>
      <c r="B77" s="222">
        <v>88</v>
      </c>
      <c r="C77" s="222">
        <v>66</v>
      </c>
      <c r="D77" s="222">
        <v>155</v>
      </c>
      <c r="E77" s="224">
        <v>1646</v>
      </c>
      <c r="F77" s="223">
        <v>62</v>
      </c>
      <c r="G77" s="222">
        <v>149</v>
      </c>
      <c r="H77" s="222">
        <v>120</v>
      </c>
      <c r="I77" s="222">
        <v>270</v>
      </c>
      <c r="J77" s="224">
        <v>3774</v>
      </c>
      <c r="K77" s="223">
        <v>67</v>
      </c>
      <c r="L77" s="222">
        <v>71</v>
      </c>
      <c r="M77" s="222">
        <v>56</v>
      </c>
      <c r="N77" s="222">
        <v>127</v>
      </c>
      <c r="O77" s="224">
        <v>1468</v>
      </c>
      <c r="P77" s="223">
        <v>61</v>
      </c>
      <c r="Q77" s="222">
        <v>481</v>
      </c>
      <c r="R77" s="222">
        <v>854</v>
      </c>
      <c r="S77" s="222">
        <v>1349</v>
      </c>
      <c r="T77" s="224">
        <v>7292</v>
      </c>
    </row>
    <row r="78" spans="1:20" x14ac:dyDescent="0.45">
      <c r="A78" s="223">
        <v>63</v>
      </c>
      <c r="B78" s="222">
        <v>89</v>
      </c>
      <c r="C78" s="222">
        <v>88</v>
      </c>
      <c r="D78" s="222">
        <v>177</v>
      </c>
      <c r="E78" s="224">
        <v>1823</v>
      </c>
      <c r="F78" s="223">
        <v>61</v>
      </c>
      <c r="G78" s="222">
        <v>192</v>
      </c>
      <c r="H78" s="222">
        <v>113</v>
      </c>
      <c r="I78" s="222">
        <v>308</v>
      </c>
      <c r="J78" s="224">
        <v>4082</v>
      </c>
      <c r="K78" s="223">
        <v>66</v>
      </c>
      <c r="L78" s="222">
        <v>101</v>
      </c>
      <c r="M78" s="222">
        <v>90</v>
      </c>
      <c r="N78" s="222">
        <v>191</v>
      </c>
      <c r="O78" s="224">
        <v>1659</v>
      </c>
      <c r="P78" s="223">
        <v>60</v>
      </c>
      <c r="Q78" s="222">
        <v>215</v>
      </c>
      <c r="R78" s="222">
        <v>368</v>
      </c>
      <c r="S78" s="222">
        <v>585</v>
      </c>
      <c r="T78" s="224">
        <v>7877</v>
      </c>
    </row>
    <row r="79" spans="1:20" x14ac:dyDescent="0.45">
      <c r="A79" s="223">
        <v>62</v>
      </c>
      <c r="B79" s="222">
        <v>87</v>
      </c>
      <c r="C79" s="222">
        <v>57</v>
      </c>
      <c r="D79" s="222">
        <v>145</v>
      </c>
      <c r="E79" s="224">
        <v>1968</v>
      </c>
      <c r="F79" s="223">
        <v>60</v>
      </c>
      <c r="G79" s="222">
        <v>225</v>
      </c>
      <c r="H79" s="222">
        <v>150</v>
      </c>
      <c r="I79" s="222">
        <v>376</v>
      </c>
      <c r="J79" s="224">
        <v>4458</v>
      </c>
      <c r="K79" s="223">
        <v>65</v>
      </c>
      <c r="L79" s="222">
        <v>98</v>
      </c>
      <c r="M79" s="222">
        <v>74</v>
      </c>
      <c r="N79" s="222">
        <v>172</v>
      </c>
      <c r="O79" s="224">
        <v>1831</v>
      </c>
      <c r="P79" s="223">
        <v>59</v>
      </c>
      <c r="Q79" s="222">
        <v>244</v>
      </c>
      <c r="R79" s="222">
        <v>486</v>
      </c>
      <c r="S79" s="222">
        <v>738</v>
      </c>
      <c r="T79" s="224">
        <v>8615</v>
      </c>
    </row>
    <row r="80" spans="1:20" x14ac:dyDescent="0.45">
      <c r="A80" s="223">
        <v>61</v>
      </c>
      <c r="B80" s="222">
        <v>86</v>
      </c>
      <c r="C80" s="222">
        <v>91</v>
      </c>
      <c r="D80" s="222">
        <v>178</v>
      </c>
      <c r="E80" s="224">
        <v>2146</v>
      </c>
      <c r="F80" s="223">
        <v>59</v>
      </c>
      <c r="G80" s="222">
        <v>183</v>
      </c>
      <c r="H80" s="222">
        <v>129</v>
      </c>
      <c r="I80" s="222">
        <v>316</v>
      </c>
      <c r="J80" s="224">
        <v>4774</v>
      </c>
      <c r="K80" s="223">
        <v>64</v>
      </c>
      <c r="L80" s="222">
        <v>102</v>
      </c>
      <c r="M80" s="222">
        <v>100</v>
      </c>
      <c r="N80" s="222">
        <v>203</v>
      </c>
      <c r="O80" s="224">
        <v>2034</v>
      </c>
      <c r="P80" s="223">
        <v>58</v>
      </c>
      <c r="Q80" s="222">
        <v>251</v>
      </c>
      <c r="R80" s="222">
        <v>412</v>
      </c>
      <c r="S80" s="222">
        <v>666</v>
      </c>
      <c r="T80" s="224">
        <v>9281</v>
      </c>
    </row>
    <row r="81" spans="1:20" x14ac:dyDescent="0.45">
      <c r="A81" s="223">
        <v>60</v>
      </c>
      <c r="B81" s="222">
        <v>95</v>
      </c>
      <c r="C81" s="222">
        <v>86</v>
      </c>
      <c r="D81" s="222">
        <v>182</v>
      </c>
      <c r="E81" s="224">
        <v>2328</v>
      </c>
      <c r="F81" s="223">
        <v>58</v>
      </c>
      <c r="G81" s="222">
        <v>241</v>
      </c>
      <c r="H81" s="222">
        <v>190</v>
      </c>
      <c r="I81" s="222">
        <v>433</v>
      </c>
      <c r="J81" s="224">
        <v>5207</v>
      </c>
      <c r="K81" s="223">
        <v>63</v>
      </c>
      <c r="L81" s="222">
        <v>135</v>
      </c>
      <c r="M81" s="222">
        <v>103</v>
      </c>
      <c r="N81" s="222">
        <v>240</v>
      </c>
      <c r="O81" s="224">
        <v>2274</v>
      </c>
      <c r="P81" s="223">
        <v>57</v>
      </c>
      <c r="Q81" s="222">
        <v>258</v>
      </c>
      <c r="R81" s="222">
        <v>418</v>
      </c>
      <c r="S81" s="222">
        <v>681</v>
      </c>
      <c r="T81" s="224">
        <v>9962</v>
      </c>
    </row>
    <row r="82" spans="1:20" x14ac:dyDescent="0.45">
      <c r="A82" s="223">
        <v>59</v>
      </c>
      <c r="B82" s="222">
        <v>206</v>
      </c>
      <c r="C82" s="222">
        <v>182</v>
      </c>
      <c r="D82" s="222">
        <v>389</v>
      </c>
      <c r="E82" s="224">
        <v>2717</v>
      </c>
      <c r="F82" s="223">
        <v>57</v>
      </c>
      <c r="G82" s="222">
        <v>220</v>
      </c>
      <c r="H82" s="222">
        <v>179</v>
      </c>
      <c r="I82" s="222">
        <v>402</v>
      </c>
      <c r="J82" s="224">
        <v>5609</v>
      </c>
      <c r="K82" s="223">
        <v>62</v>
      </c>
      <c r="L82" s="222">
        <v>130</v>
      </c>
      <c r="M82" s="222">
        <v>84</v>
      </c>
      <c r="N82" s="222">
        <v>215</v>
      </c>
      <c r="O82" s="224">
        <v>2489</v>
      </c>
      <c r="P82" s="223">
        <v>56</v>
      </c>
      <c r="Q82" s="222">
        <v>485</v>
      </c>
      <c r="R82" s="222">
        <v>1021</v>
      </c>
      <c r="S82" s="222">
        <v>1514</v>
      </c>
      <c r="T82" s="224">
        <v>11476</v>
      </c>
    </row>
    <row r="83" spans="1:20" x14ac:dyDescent="0.45">
      <c r="A83" s="223">
        <v>58</v>
      </c>
      <c r="B83" s="222">
        <v>112</v>
      </c>
      <c r="C83" s="222">
        <v>94</v>
      </c>
      <c r="D83" s="222">
        <v>209</v>
      </c>
      <c r="E83" s="224">
        <v>2926</v>
      </c>
      <c r="F83" s="223">
        <v>56</v>
      </c>
      <c r="G83" s="222">
        <v>476</v>
      </c>
      <c r="H83" s="222">
        <v>391</v>
      </c>
      <c r="I83" s="222">
        <v>873</v>
      </c>
      <c r="J83" s="224">
        <v>6482</v>
      </c>
      <c r="K83" s="223">
        <v>61</v>
      </c>
      <c r="L83" s="222">
        <v>127</v>
      </c>
      <c r="M83" s="222">
        <v>102</v>
      </c>
      <c r="N83" s="222">
        <v>229</v>
      </c>
      <c r="O83" s="224">
        <v>2718</v>
      </c>
      <c r="P83" s="223">
        <v>55</v>
      </c>
      <c r="Q83" s="222">
        <v>288</v>
      </c>
      <c r="R83" s="222">
        <v>505</v>
      </c>
      <c r="S83" s="222">
        <v>796</v>
      </c>
      <c r="T83" s="224">
        <v>12272</v>
      </c>
    </row>
    <row r="84" spans="1:20" x14ac:dyDescent="0.45">
      <c r="A84" s="223">
        <v>57</v>
      </c>
      <c r="B84" s="222">
        <v>123</v>
      </c>
      <c r="C84" s="222">
        <v>120</v>
      </c>
      <c r="D84" s="222">
        <v>246</v>
      </c>
      <c r="E84" s="224">
        <v>3172</v>
      </c>
      <c r="F84" s="223">
        <v>55</v>
      </c>
      <c r="G84" s="222">
        <v>246</v>
      </c>
      <c r="H84" s="222">
        <v>213</v>
      </c>
      <c r="I84" s="222">
        <v>462</v>
      </c>
      <c r="J84" s="224">
        <v>6944</v>
      </c>
      <c r="K84" s="223">
        <v>60</v>
      </c>
      <c r="L84" s="222">
        <v>129</v>
      </c>
      <c r="M84" s="222">
        <v>103</v>
      </c>
      <c r="N84" s="222">
        <v>235</v>
      </c>
      <c r="O84" s="224">
        <v>2953</v>
      </c>
      <c r="P84" s="223">
        <v>54</v>
      </c>
      <c r="Q84" s="222">
        <v>280</v>
      </c>
      <c r="R84" s="222">
        <v>493</v>
      </c>
      <c r="S84" s="222">
        <v>780</v>
      </c>
      <c r="T84" s="224">
        <v>13052</v>
      </c>
    </row>
    <row r="85" spans="1:20" x14ac:dyDescent="0.45">
      <c r="A85" s="223">
        <v>56</v>
      </c>
      <c r="B85" s="222">
        <v>108</v>
      </c>
      <c r="C85" s="222">
        <v>106</v>
      </c>
      <c r="D85" s="222">
        <v>215</v>
      </c>
      <c r="E85" s="224">
        <v>3387</v>
      </c>
      <c r="F85" s="223">
        <v>54</v>
      </c>
      <c r="G85" s="222">
        <v>271</v>
      </c>
      <c r="H85" s="222">
        <v>265</v>
      </c>
      <c r="I85" s="222">
        <v>544</v>
      </c>
      <c r="J85" s="224">
        <v>7488</v>
      </c>
      <c r="K85" s="223">
        <v>59</v>
      </c>
      <c r="L85" s="222">
        <v>136</v>
      </c>
      <c r="M85" s="222">
        <v>112</v>
      </c>
      <c r="N85" s="222">
        <v>249</v>
      </c>
      <c r="O85" s="224">
        <v>3202</v>
      </c>
      <c r="P85" s="223">
        <v>53</v>
      </c>
      <c r="Q85" s="222">
        <v>255</v>
      </c>
      <c r="R85" s="222">
        <v>410</v>
      </c>
      <c r="S85" s="222">
        <v>668</v>
      </c>
      <c r="T85" s="224">
        <v>13720</v>
      </c>
    </row>
    <row r="86" spans="1:20" x14ac:dyDescent="0.45">
      <c r="A86" s="223">
        <v>55</v>
      </c>
      <c r="B86" s="222">
        <v>153</v>
      </c>
      <c r="C86" s="222">
        <v>112</v>
      </c>
      <c r="D86" s="222">
        <v>266</v>
      </c>
      <c r="E86" s="224">
        <v>3653</v>
      </c>
      <c r="F86" s="223">
        <v>53</v>
      </c>
      <c r="G86" s="222">
        <v>318</v>
      </c>
      <c r="H86" s="222">
        <v>281</v>
      </c>
      <c r="I86" s="222">
        <v>601</v>
      </c>
      <c r="J86" s="224">
        <v>8089</v>
      </c>
      <c r="K86" s="223">
        <v>58</v>
      </c>
      <c r="L86" s="222">
        <v>149</v>
      </c>
      <c r="M86" s="222">
        <v>136</v>
      </c>
      <c r="N86" s="222">
        <v>286</v>
      </c>
      <c r="O86" s="224">
        <v>3488</v>
      </c>
      <c r="P86" s="223">
        <v>52</v>
      </c>
      <c r="Q86" s="222">
        <v>309</v>
      </c>
      <c r="R86" s="222">
        <v>578</v>
      </c>
      <c r="S86" s="222">
        <v>892</v>
      </c>
      <c r="T86" s="224">
        <v>14612</v>
      </c>
    </row>
    <row r="87" spans="1:20" x14ac:dyDescent="0.45">
      <c r="A87" s="223">
        <v>54</v>
      </c>
      <c r="B87" s="222">
        <v>138</v>
      </c>
      <c r="C87" s="222">
        <v>142</v>
      </c>
      <c r="D87" s="222">
        <v>284</v>
      </c>
      <c r="E87" s="224">
        <v>3937</v>
      </c>
      <c r="F87" s="223">
        <v>52</v>
      </c>
      <c r="G87" s="222">
        <v>262</v>
      </c>
      <c r="H87" s="222">
        <v>272</v>
      </c>
      <c r="I87" s="222">
        <v>537</v>
      </c>
      <c r="J87" s="224">
        <v>8626</v>
      </c>
      <c r="K87" s="223">
        <v>57</v>
      </c>
      <c r="L87" s="222">
        <v>158</v>
      </c>
      <c r="M87" s="222">
        <v>102</v>
      </c>
      <c r="N87" s="222">
        <v>261</v>
      </c>
      <c r="O87" s="224">
        <v>3749</v>
      </c>
      <c r="P87" s="223">
        <v>51</v>
      </c>
      <c r="Q87" s="222">
        <v>271</v>
      </c>
      <c r="R87" s="222">
        <v>489</v>
      </c>
      <c r="S87" s="222">
        <v>764</v>
      </c>
      <c r="T87" s="224">
        <v>15376</v>
      </c>
    </row>
    <row r="88" spans="1:20" x14ac:dyDescent="0.45">
      <c r="A88" s="223">
        <v>53</v>
      </c>
      <c r="B88" s="222">
        <v>144</v>
      </c>
      <c r="C88" s="222">
        <v>162</v>
      </c>
      <c r="D88" s="222">
        <v>307</v>
      </c>
      <c r="E88" s="224">
        <v>4244</v>
      </c>
      <c r="F88" s="223">
        <v>51</v>
      </c>
      <c r="G88" s="222">
        <v>333</v>
      </c>
      <c r="H88" s="222">
        <v>345</v>
      </c>
      <c r="I88" s="222">
        <v>685</v>
      </c>
      <c r="J88" s="224">
        <v>9311</v>
      </c>
      <c r="K88" s="223">
        <v>56</v>
      </c>
      <c r="L88" s="222">
        <v>184</v>
      </c>
      <c r="M88" s="222">
        <v>114</v>
      </c>
      <c r="N88" s="222">
        <v>302</v>
      </c>
      <c r="O88" s="224">
        <v>4051</v>
      </c>
      <c r="P88" s="223">
        <v>50</v>
      </c>
      <c r="Q88" s="222">
        <v>647</v>
      </c>
      <c r="R88" s="222">
        <v>1068</v>
      </c>
      <c r="S88" s="222">
        <v>1728</v>
      </c>
      <c r="T88" s="224">
        <v>17104</v>
      </c>
    </row>
    <row r="89" spans="1:20" x14ac:dyDescent="0.45">
      <c r="A89" s="223">
        <v>52</v>
      </c>
      <c r="B89" s="222">
        <v>186</v>
      </c>
      <c r="C89" s="222">
        <v>143</v>
      </c>
      <c r="D89" s="222">
        <v>332</v>
      </c>
      <c r="E89" s="224">
        <v>4576</v>
      </c>
      <c r="F89" s="223">
        <v>50</v>
      </c>
      <c r="G89" s="222">
        <v>349</v>
      </c>
      <c r="H89" s="222">
        <v>348</v>
      </c>
      <c r="I89" s="222">
        <v>700</v>
      </c>
      <c r="J89" s="224">
        <v>10011</v>
      </c>
      <c r="K89" s="223">
        <v>55</v>
      </c>
      <c r="L89" s="222">
        <v>190</v>
      </c>
      <c r="M89" s="222">
        <v>123</v>
      </c>
      <c r="N89" s="222">
        <v>321</v>
      </c>
      <c r="O89" s="224">
        <v>4372</v>
      </c>
      <c r="P89" s="223">
        <v>49</v>
      </c>
      <c r="Q89" s="222">
        <v>326</v>
      </c>
      <c r="R89" s="222">
        <v>486</v>
      </c>
      <c r="S89" s="222">
        <v>818</v>
      </c>
      <c r="T89" s="224">
        <v>17922</v>
      </c>
    </row>
    <row r="90" spans="1:20" x14ac:dyDescent="0.45">
      <c r="A90" s="223">
        <v>51</v>
      </c>
      <c r="B90" s="222">
        <v>184</v>
      </c>
      <c r="C90" s="222">
        <v>171</v>
      </c>
      <c r="D90" s="222">
        <v>356</v>
      </c>
      <c r="E90" s="224">
        <v>4932</v>
      </c>
      <c r="F90" s="223">
        <v>49</v>
      </c>
      <c r="G90" s="222">
        <v>850</v>
      </c>
      <c r="H90" s="222">
        <v>793</v>
      </c>
      <c r="I90" s="222">
        <v>1661</v>
      </c>
      <c r="J90" s="224">
        <v>11672</v>
      </c>
      <c r="K90" s="223">
        <v>54</v>
      </c>
      <c r="L90" s="222">
        <v>161</v>
      </c>
      <c r="M90" s="222">
        <v>117</v>
      </c>
      <c r="N90" s="222">
        <v>281</v>
      </c>
      <c r="O90" s="224">
        <v>4653</v>
      </c>
      <c r="P90" s="223">
        <v>48</v>
      </c>
      <c r="Q90" s="222">
        <v>399</v>
      </c>
      <c r="R90" s="222">
        <v>637</v>
      </c>
      <c r="S90" s="222">
        <v>1040</v>
      </c>
      <c r="T90" s="224">
        <v>18962</v>
      </c>
    </row>
    <row r="91" spans="1:20" x14ac:dyDescent="0.45">
      <c r="A91" s="223">
        <v>50</v>
      </c>
      <c r="B91" s="222">
        <v>188</v>
      </c>
      <c r="C91" s="222">
        <v>164</v>
      </c>
      <c r="D91" s="222">
        <v>361</v>
      </c>
      <c r="E91" s="224">
        <v>5293</v>
      </c>
      <c r="F91" s="223">
        <v>48</v>
      </c>
      <c r="G91" s="222">
        <v>394</v>
      </c>
      <c r="H91" s="222">
        <v>410</v>
      </c>
      <c r="I91" s="222">
        <v>811</v>
      </c>
      <c r="J91" s="224">
        <v>12483</v>
      </c>
      <c r="K91" s="223">
        <v>53</v>
      </c>
      <c r="L91" s="222">
        <v>205</v>
      </c>
      <c r="M91" s="222">
        <v>158</v>
      </c>
      <c r="N91" s="222">
        <v>365</v>
      </c>
      <c r="O91" s="224">
        <v>5018</v>
      </c>
      <c r="P91" s="223">
        <v>47</v>
      </c>
      <c r="Q91" s="222">
        <v>397</v>
      </c>
      <c r="R91" s="222">
        <v>595</v>
      </c>
      <c r="S91" s="222">
        <v>997</v>
      </c>
      <c r="T91" s="224">
        <v>19959</v>
      </c>
    </row>
    <row r="92" spans="1:20" x14ac:dyDescent="0.45">
      <c r="A92" s="223">
        <v>49</v>
      </c>
      <c r="B92" s="222">
        <v>358</v>
      </c>
      <c r="C92" s="222">
        <v>380</v>
      </c>
      <c r="D92" s="222">
        <v>739</v>
      </c>
      <c r="E92" s="224">
        <v>6032</v>
      </c>
      <c r="F92" s="223">
        <v>47</v>
      </c>
      <c r="G92" s="222">
        <v>460</v>
      </c>
      <c r="H92" s="222">
        <v>499</v>
      </c>
      <c r="I92" s="222">
        <v>964</v>
      </c>
      <c r="J92" s="224">
        <v>13447</v>
      </c>
      <c r="K92" s="223">
        <v>52</v>
      </c>
      <c r="L92" s="222">
        <v>243</v>
      </c>
      <c r="M92" s="222">
        <v>144</v>
      </c>
      <c r="N92" s="222">
        <v>390</v>
      </c>
      <c r="O92" s="224">
        <v>5408</v>
      </c>
      <c r="P92" s="223">
        <v>46</v>
      </c>
      <c r="Q92" s="222">
        <v>455</v>
      </c>
      <c r="R92" s="222">
        <v>652</v>
      </c>
      <c r="S92" s="222">
        <v>1115</v>
      </c>
      <c r="T92" s="224">
        <v>21074</v>
      </c>
    </row>
    <row r="93" spans="1:20" x14ac:dyDescent="0.45">
      <c r="A93" s="223">
        <v>48</v>
      </c>
      <c r="B93" s="222">
        <v>236</v>
      </c>
      <c r="C93" s="222">
        <v>249</v>
      </c>
      <c r="D93" s="222">
        <v>487</v>
      </c>
      <c r="E93" s="224">
        <v>6519</v>
      </c>
      <c r="F93" s="223">
        <v>46</v>
      </c>
      <c r="G93" s="222">
        <v>438</v>
      </c>
      <c r="H93" s="222">
        <v>487</v>
      </c>
      <c r="I93" s="222">
        <v>930</v>
      </c>
      <c r="J93" s="224">
        <v>14377</v>
      </c>
      <c r="K93" s="223">
        <v>51</v>
      </c>
      <c r="L93" s="222">
        <v>266</v>
      </c>
      <c r="M93" s="222">
        <v>176</v>
      </c>
      <c r="N93" s="222">
        <v>446</v>
      </c>
      <c r="O93" s="224">
        <v>5854</v>
      </c>
      <c r="P93" s="223">
        <v>45</v>
      </c>
      <c r="Q93" s="222">
        <v>454</v>
      </c>
      <c r="R93" s="222">
        <v>632</v>
      </c>
      <c r="S93" s="222">
        <v>1092</v>
      </c>
      <c r="T93" s="224">
        <v>22166</v>
      </c>
    </row>
    <row r="94" spans="1:20" x14ac:dyDescent="0.45">
      <c r="A94" s="223">
        <v>47</v>
      </c>
      <c r="B94" s="222">
        <v>212</v>
      </c>
      <c r="C94" s="222">
        <v>225</v>
      </c>
      <c r="D94" s="222">
        <v>442</v>
      </c>
      <c r="E94" s="224">
        <v>6961</v>
      </c>
      <c r="F94" s="223">
        <v>45</v>
      </c>
      <c r="G94" s="222">
        <v>842</v>
      </c>
      <c r="H94" s="222">
        <v>665</v>
      </c>
      <c r="I94" s="222">
        <v>1521</v>
      </c>
      <c r="J94" s="224">
        <v>15898</v>
      </c>
      <c r="K94" s="223">
        <v>50</v>
      </c>
      <c r="L94" s="222">
        <v>310</v>
      </c>
      <c r="M94" s="222">
        <v>189</v>
      </c>
      <c r="N94" s="222">
        <v>500</v>
      </c>
      <c r="O94" s="224">
        <v>6354</v>
      </c>
      <c r="P94" s="223">
        <v>44</v>
      </c>
      <c r="Q94" s="222">
        <v>1187</v>
      </c>
      <c r="R94" s="222">
        <v>1328</v>
      </c>
      <c r="S94" s="222">
        <v>2541</v>
      </c>
      <c r="T94" s="224">
        <v>24707</v>
      </c>
    </row>
    <row r="95" spans="1:20" x14ac:dyDescent="0.45">
      <c r="A95" s="223">
        <v>46</v>
      </c>
      <c r="B95" s="222">
        <v>265</v>
      </c>
      <c r="C95" s="222">
        <v>246</v>
      </c>
      <c r="D95" s="222">
        <v>513</v>
      </c>
      <c r="E95" s="224">
        <v>7474</v>
      </c>
      <c r="F95" s="223">
        <v>44</v>
      </c>
      <c r="G95" s="222">
        <v>492</v>
      </c>
      <c r="H95" s="222">
        <v>520</v>
      </c>
      <c r="I95" s="222">
        <v>1018</v>
      </c>
      <c r="J95" s="224">
        <v>16916</v>
      </c>
      <c r="K95" s="223">
        <v>49</v>
      </c>
      <c r="L95" s="222">
        <v>660</v>
      </c>
      <c r="M95" s="222">
        <v>385</v>
      </c>
      <c r="N95" s="222">
        <v>1051</v>
      </c>
      <c r="O95" s="224">
        <v>7405</v>
      </c>
      <c r="P95" s="223">
        <v>43</v>
      </c>
      <c r="Q95" s="222">
        <v>556</v>
      </c>
      <c r="R95" s="222">
        <v>660</v>
      </c>
      <c r="S95" s="222">
        <v>1226</v>
      </c>
      <c r="T95" s="224">
        <v>25933</v>
      </c>
    </row>
    <row r="96" spans="1:20" x14ac:dyDescent="0.45">
      <c r="A96" s="223">
        <v>45</v>
      </c>
      <c r="B96" s="222">
        <v>240</v>
      </c>
      <c r="C96" s="222">
        <v>269</v>
      </c>
      <c r="D96" s="222">
        <v>513</v>
      </c>
      <c r="E96" s="224">
        <v>7987</v>
      </c>
      <c r="F96" s="223">
        <v>43</v>
      </c>
      <c r="G96" s="222">
        <v>570</v>
      </c>
      <c r="H96" s="222">
        <v>505</v>
      </c>
      <c r="I96" s="222">
        <v>1088</v>
      </c>
      <c r="J96" s="224">
        <v>18004</v>
      </c>
      <c r="K96" s="223">
        <v>48</v>
      </c>
      <c r="L96" s="222">
        <v>393</v>
      </c>
      <c r="M96" s="222">
        <v>233</v>
      </c>
      <c r="N96" s="222">
        <v>631</v>
      </c>
      <c r="O96" s="224">
        <v>8036</v>
      </c>
      <c r="P96" s="223">
        <v>42</v>
      </c>
      <c r="Q96" s="222">
        <v>1776</v>
      </c>
      <c r="R96" s="222">
        <v>1305</v>
      </c>
      <c r="S96" s="222">
        <v>3126</v>
      </c>
      <c r="T96" s="224">
        <v>29059</v>
      </c>
    </row>
    <row r="97" spans="1:20" x14ac:dyDescent="0.45">
      <c r="A97" s="223">
        <v>44</v>
      </c>
      <c r="B97" s="222">
        <v>307</v>
      </c>
      <c r="C97" s="222">
        <v>251</v>
      </c>
      <c r="D97" s="222">
        <v>561</v>
      </c>
      <c r="E97" s="224">
        <v>8548</v>
      </c>
      <c r="F97" s="223">
        <v>42</v>
      </c>
      <c r="G97" s="222">
        <v>443</v>
      </c>
      <c r="H97" s="222">
        <v>450</v>
      </c>
      <c r="I97" s="222">
        <v>904</v>
      </c>
      <c r="J97" s="224">
        <v>18908</v>
      </c>
      <c r="K97" s="223">
        <v>47</v>
      </c>
      <c r="L97" s="222">
        <v>396</v>
      </c>
      <c r="M97" s="222">
        <v>208</v>
      </c>
      <c r="N97" s="222">
        <v>614</v>
      </c>
      <c r="O97" s="224">
        <v>8650</v>
      </c>
      <c r="P97" s="223">
        <v>41</v>
      </c>
      <c r="Q97" s="222">
        <v>660</v>
      </c>
      <c r="R97" s="222">
        <v>597</v>
      </c>
      <c r="S97" s="222">
        <v>1279</v>
      </c>
      <c r="T97" s="224">
        <v>30338</v>
      </c>
    </row>
    <row r="98" spans="1:20" x14ac:dyDescent="0.45">
      <c r="A98" s="223">
        <v>43</v>
      </c>
      <c r="B98" s="222">
        <v>317</v>
      </c>
      <c r="C98" s="222">
        <v>285</v>
      </c>
      <c r="D98" s="222">
        <v>608</v>
      </c>
      <c r="E98" s="224">
        <v>9156</v>
      </c>
      <c r="F98" s="223">
        <v>41</v>
      </c>
      <c r="G98" s="222">
        <v>797</v>
      </c>
      <c r="H98" s="222">
        <v>709</v>
      </c>
      <c r="I98" s="222">
        <v>1528</v>
      </c>
      <c r="J98" s="224">
        <v>20436</v>
      </c>
      <c r="K98" s="223">
        <v>46</v>
      </c>
      <c r="L98" s="222">
        <v>550</v>
      </c>
      <c r="M98" s="222">
        <v>279</v>
      </c>
      <c r="N98" s="222">
        <v>839</v>
      </c>
      <c r="O98" s="224">
        <v>9489</v>
      </c>
      <c r="P98" s="223">
        <v>40</v>
      </c>
      <c r="Q98" s="222">
        <v>1275</v>
      </c>
      <c r="R98" s="222">
        <v>1063</v>
      </c>
      <c r="S98" s="222">
        <v>2364</v>
      </c>
      <c r="T98" s="224">
        <v>32702</v>
      </c>
    </row>
    <row r="99" spans="1:20" x14ac:dyDescent="0.45">
      <c r="A99" s="223">
        <v>42</v>
      </c>
      <c r="B99" s="222">
        <v>903</v>
      </c>
      <c r="C99" s="222">
        <v>580</v>
      </c>
      <c r="D99" s="222">
        <v>1500</v>
      </c>
      <c r="E99" s="224">
        <v>10656</v>
      </c>
      <c r="F99" s="223">
        <v>40</v>
      </c>
      <c r="G99" s="222">
        <v>499</v>
      </c>
      <c r="H99" s="222">
        <v>405</v>
      </c>
      <c r="I99" s="222">
        <v>914</v>
      </c>
      <c r="J99" s="224">
        <v>21350</v>
      </c>
      <c r="K99" s="223">
        <v>45</v>
      </c>
      <c r="L99" s="222">
        <v>485</v>
      </c>
      <c r="M99" s="222">
        <v>265</v>
      </c>
      <c r="N99" s="222">
        <v>756</v>
      </c>
      <c r="O99" s="224">
        <v>10245</v>
      </c>
      <c r="P99" s="223">
        <v>39</v>
      </c>
      <c r="Q99" s="222">
        <v>1285</v>
      </c>
      <c r="R99" s="222">
        <v>1189</v>
      </c>
      <c r="S99" s="222">
        <v>2502</v>
      </c>
      <c r="T99" s="224">
        <v>35204</v>
      </c>
    </row>
    <row r="100" spans="1:20" x14ac:dyDescent="0.45">
      <c r="A100" s="223">
        <v>41</v>
      </c>
      <c r="B100" s="222">
        <v>321</v>
      </c>
      <c r="C100" s="222">
        <v>278</v>
      </c>
      <c r="D100" s="222">
        <v>604</v>
      </c>
      <c r="E100" s="224">
        <v>11260</v>
      </c>
      <c r="F100" s="223">
        <v>39</v>
      </c>
      <c r="G100" s="222">
        <v>239</v>
      </c>
      <c r="H100" s="222">
        <v>188</v>
      </c>
      <c r="I100" s="222">
        <v>432</v>
      </c>
      <c r="J100" s="224">
        <v>21782</v>
      </c>
      <c r="K100" s="223">
        <v>44</v>
      </c>
      <c r="L100" s="222">
        <v>580</v>
      </c>
      <c r="M100" s="222">
        <v>287</v>
      </c>
      <c r="N100" s="222">
        <v>875</v>
      </c>
      <c r="O100" s="224">
        <v>11120</v>
      </c>
      <c r="P100" s="223">
        <v>38</v>
      </c>
      <c r="Q100" s="222">
        <v>351</v>
      </c>
      <c r="R100" s="222">
        <v>399</v>
      </c>
      <c r="S100" s="222">
        <v>756</v>
      </c>
      <c r="T100" s="224">
        <v>35960</v>
      </c>
    </row>
    <row r="101" spans="1:20" x14ac:dyDescent="0.45">
      <c r="A101" s="223">
        <v>40</v>
      </c>
      <c r="B101" s="222">
        <v>178</v>
      </c>
      <c r="C101" s="222">
        <v>165</v>
      </c>
      <c r="D101" s="222">
        <v>345</v>
      </c>
      <c r="E101" s="224">
        <v>11605</v>
      </c>
      <c r="F101" s="223">
        <v>38</v>
      </c>
      <c r="G101" s="222">
        <v>957</v>
      </c>
      <c r="H101" s="222">
        <v>493</v>
      </c>
      <c r="I101" s="222">
        <v>1473</v>
      </c>
      <c r="J101" s="224">
        <v>23255</v>
      </c>
      <c r="K101" s="223">
        <v>43</v>
      </c>
      <c r="L101" s="222">
        <v>421</v>
      </c>
      <c r="M101" s="222">
        <v>195</v>
      </c>
      <c r="N101" s="222">
        <v>620</v>
      </c>
      <c r="O101" s="224">
        <v>11740</v>
      </c>
      <c r="P101" s="223">
        <v>37</v>
      </c>
      <c r="Q101" s="222">
        <v>209</v>
      </c>
      <c r="R101" s="222">
        <v>206</v>
      </c>
      <c r="S101" s="222">
        <v>422</v>
      </c>
      <c r="T101" s="224">
        <v>36382</v>
      </c>
    </row>
    <row r="102" spans="1:20" x14ac:dyDescent="0.45">
      <c r="A102" s="223">
        <v>39</v>
      </c>
      <c r="B102" s="222">
        <v>335</v>
      </c>
      <c r="C102" s="222">
        <v>338</v>
      </c>
      <c r="D102" s="222">
        <v>684</v>
      </c>
      <c r="E102" s="224">
        <v>12289</v>
      </c>
      <c r="F102" s="223">
        <v>37</v>
      </c>
      <c r="G102" s="222">
        <v>250</v>
      </c>
      <c r="H102" s="222">
        <v>169</v>
      </c>
      <c r="I102" s="222">
        <v>427</v>
      </c>
      <c r="J102" s="224">
        <v>23682</v>
      </c>
      <c r="K102" s="223">
        <v>42</v>
      </c>
      <c r="L102" s="222">
        <v>1596</v>
      </c>
      <c r="M102" s="222">
        <v>598</v>
      </c>
      <c r="N102" s="222">
        <v>2233</v>
      </c>
      <c r="O102" s="224">
        <v>13973</v>
      </c>
      <c r="P102" s="223">
        <v>36</v>
      </c>
      <c r="Q102" s="222">
        <v>247</v>
      </c>
      <c r="R102" s="222">
        <v>249</v>
      </c>
      <c r="S102" s="222">
        <v>504</v>
      </c>
      <c r="T102" s="224">
        <v>36886</v>
      </c>
    </row>
    <row r="103" spans="1:20" x14ac:dyDescent="0.45">
      <c r="A103" s="223">
        <v>38</v>
      </c>
      <c r="B103" s="222">
        <v>152</v>
      </c>
      <c r="C103" s="222">
        <v>99</v>
      </c>
      <c r="D103" s="222">
        <v>254</v>
      </c>
      <c r="E103" s="224">
        <v>12543</v>
      </c>
      <c r="F103" s="223">
        <v>36</v>
      </c>
      <c r="G103" s="222">
        <v>140</v>
      </c>
      <c r="H103" s="222">
        <v>101</v>
      </c>
      <c r="I103" s="222">
        <v>242</v>
      </c>
      <c r="J103" s="224">
        <v>23924</v>
      </c>
      <c r="K103" s="223">
        <v>41</v>
      </c>
      <c r="L103" s="222">
        <v>438</v>
      </c>
      <c r="M103" s="222">
        <v>178</v>
      </c>
      <c r="N103" s="222">
        <v>623</v>
      </c>
      <c r="O103" s="224">
        <v>14596</v>
      </c>
      <c r="P103" s="223">
        <v>35</v>
      </c>
      <c r="Q103" s="222">
        <v>142</v>
      </c>
      <c r="R103" s="222">
        <v>101</v>
      </c>
      <c r="S103" s="222">
        <v>245</v>
      </c>
      <c r="T103" s="224">
        <v>37131</v>
      </c>
    </row>
    <row r="104" spans="1:20" x14ac:dyDescent="0.45">
      <c r="A104" s="223">
        <v>37</v>
      </c>
      <c r="B104" s="222">
        <v>120</v>
      </c>
      <c r="C104" s="222">
        <v>90</v>
      </c>
      <c r="D104" s="222">
        <v>213</v>
      </c>
      <c r="E104" s="224">
        <v>12756</v>
      </c>
      <c r="F104" s="223">
        <v>35</v>
      </c>
      <c r="G104" s="222">
        <v>81</v>
      </c>
      <c r="H104" s="222">
        <v>52</v>
      </c>
      <c r="I104" s="222">
        <v>134</v>
      </c>
      <c r="J104" s="224">
        <v>24058</v>
      </c>
      <c r="K104" s="223">
        <v>40</v>
      </c>
      <c r="L104" s="222">
        <v>385</v>
      </c>
      <c r="M104" s="222">
        <v>194</v>
      </c>
      <c r="N104" s="222">
        <v>587</v>
      </c>
      <c r="O104" s="224">
        <v>15183</v>
      </c>
      <c r="P104" s="223">
        <v>34</v>
      </c>
      <c r="Q104" s="222">
        <v>90</v>
      </c>
      <c r="R104" s="222">
        <v>77</v>
      </c>
      <c r="S104" s="222">
        <v>168</v>
      </c>
      <c r="T104" s="224">
        <v>37299</v>
      </c>
    </row>
    <row r="105" spans="1:20" x14ac:dyDescent="0.45">
      <c r="A105" s="223">
        <v>36</v>
      </c>
      <c r="B105" s="222">
        <v>45</v>
      </c>
      <c r="C105" s="222">
        <v>45</v>
      </c>
      <c r="D105" s="222">
        <v>91</v>
      </c>
      <c r="E105" s="224">
        <v>12847</v>
      </c>
      <c r="F105" s="223">
        <v>34</v>
      </c>
      <c r="G105" s="222">
        <v>44</v>
      </c>
      <c r="H105" s="222">
        <v>23</v>
      </c>
      <c r="I105" s="222">
        <v>68</v>
      </c>
      <c r="J105" s="224">
        <v>24126</v>
      </c>
      <c r="K105" s="223">
        <v>39</v>
      </c>
      <c r="L105" s="222">
        <v>174</v>
      </c>
      <c r="M105" s="222">
        <v>90</v>
      </c>
      <c r="N105" s="222">
        <v>267</v>
      </c>
      <c r="O105" s="224">
        <v>15450</v>
      </c>
      <c r="P105" s="223">
        <v>33</v>
      </c>
      <c r="Q105" s="222">
        <v>83</v>
      </c>
      <c r="R105" s="222">
        <v>66</v>
      </c>
      <c r="S105" s="222">
        <v>152</v>
      </c>
      <c r="T105" s="224">
        <v>37451</v>
      </c>
    </row>
    <row r="106" spans="1:20" x14ac:dyDescent="0.45">
      <c r="A106" s="223">
        <v>35</v>
      </c>
      <c r="B106" s="222">
        <v>34</v>
      </c>
      <c r="C106" s="222">
        <v>31</v>
      </c>
      <c r="D106" s="222">
        <v>65</v>
      </c>
      <c r="E106" s="224">
        <v>12912</v>
      </c>
      <c r="F106" s="223">
        <v>33</v>
      </c>
      <c r="G106" s="222">
        <v>49</v>
      </c>
      <c r="H106" s="222">
        <v>38</v>
      </c>
      <c r="I106" s="222">
        <v>88</v>
      </c>
      <c r="J106" s="224">
        <v>24214</v>
      </c>
      <c r="K106" s="227">
        <v>38</v>
      </c>
      <c r="L106" s="222">
        <v>225</v>
      </c>
      <c r="M106" s="222">
        <v>120</v>
      </c>
      <c r="N106" s="222">
        <v>348</v>
      </c>
      <c r="O106" s="224">
        <v>15798</v>
      </c>
      <c r="P106" s="223">
        <v>32</v>
      </c>
      <c r="Q106" s="222">
        <v>39</v>
      </c>
      <c r="R106" s="222">
        <v>34</v>
      </c>
      <c r="S106" s="222">
        <v>73</v>
      </c>
      <c r="T106" s="224">
        <v>37524</v>
      </c>
    </row>
    <row r="107" spans="1:20" x14ac:dyDescent="0.45">
      <c r="A107" s="223">
        <v>34</v>
      </c>
      <c r="B107" s="222">
        <v>26</v>
      </c>
      <c r="C107" s="222">
        <v>24</v>
      </c>
      <c r="D107" s="222">
        <v>51</v>
      </c>
      <c r="E107" s="224">
        <v>12963</v>
      </c>
      <c r="F107" s="223">
        <v>32</v>
      </c>
      <c r="G107" s="222">
        <v>20</v>
      </c>
      <c r="H107" s="222">
        <v>10</v>
      </c>
      <c r="I107" s="222">
        <v>30</v>
      </c>
      <c r="J107" s="224">
        <v>24244</v>
      </c>
      <c r="K107" s="227">
        <v>37</v>
      </c>
      <c r="L107" s="222">
        <v>132</v>
      </c>
      <c r="M107" s="222">
        <v>55</v>
      </c>
      <c r="N107" s="222">
        <v>190</v>
      </c>
      <c r="O107" s="224">
        <v>15988</v>
      </c>
      <c r="P107" s="223"/>
      <c r="Q107" s="222"/>
      <c r="R107" s="222"/>
      <c r="S107" s="222"/>
      <c r="T107" s="224"/>
    </row>
    <row r="108" spans="1:20" x14ac:dyDescent="0.45">
      <c r="A108" s="223">
        <v>32</v>
      </c>
      <c r="B108" s="222">
        <v>20</v>
      </c>
      <c r="C108" s="222">
        <v>7</v>
      </c>
      <c r="D108" s="222">
        <v>27</v>
      </c>
      <c r="E108" s="224">
        <v>12990</v>
      </c>
      <c r="F108" s="223"/>
      <c r="G108" s="222"/>
      <c r="H108" s="222"/>
      <c r="I108" s="222"/>
      <c r="J108" s="224"/>
      <c r="K108" s="227">
        <v>36</v>
      </c>
      <c r="L108" s="222">
        <v>72</v>
      </c>
      <c r="M108" s="222">
        <v>29</v>
      </c>
      <c r="N108" s="222">
        <v>102</v>
      </c>
      <c r="O108" s="224">
        <v>16090</v>
      </c>
      <c r="P108" s="223"/>
      <c r="Q108" s="222"/>
      <c r="R108" s="222"/>
      <c r="S108" s="222"/>
      <c r="T108" s="224"/>
    </row>
    <row r="109" spans="1:20" x14ac:dyDescent="0.45">
      <c r="A109" s="225"/>
      <c r="B109" s="222"/>
      <c r="C109" s="222"/>
      <c r="D109" s="222"/>
      <c r="E109" s="230"/>
      <c r="F109" s="223"/>
      <c r="G109" s="222"/>
      <c r="H109" s="222"/>
      <c r="I109" s="222"/>
      <c r="J109" s="224"/>
      <c r="K109" s="227">
        <v>35</v>
      </c>
      <c r="L109" s="222">
        <v>89</v>
      </c>
      <c r="M109" s="222">
        <v>41</v>
      </c>
      <c r="N109" s="222">
        <v>132</v>
      </c>
      <c r="O109" s="224">
        <v>16222</v>
      </c>
      <c r="P109" s="223"/>
      <c r="Q109" s="222"/>
      <c r="R109" s="222"/>
      <c r="S109" s="222"/>
      <c r="T109" s="224"/>
    </row>
    <row r="110" spans="1:20" x14ac:dyDescent="0.45">
      <c r="A110" s="225"/>
      <c r="B110" s="222"/>
      <c r="C110" s="222"/>
      <c r="D110" s="222"/>
      <c r="E110" s="224"/>
      <c r="F110" s="223"/>
      <c r="G110" s="222"/>
      <c r="H110" s="222"/>
      <c r="I110" s="222"/>
      <c r="J110" s="224"/>
      <c r="K110" s="223">
        <v>33</v>
      </c>
      <c r="L110" s="222">
        <v>31</v>
      </c>
      <c r="M110" s="222">
        <v>7</v>
      </c>
      <c r="N110" s="222">
        <v>39</v>
      </c>
      <c r="O110" s="224">
        <v>16261</v>
      </c>
      <c r="P110" s="223"/>
      <c r="Q110" s="222"/>
      <c r="R110" s="222"/>
      <c r="S110" s="222"/>
      <c r="T110" s="224"/>
    </row>
    <row r="111" spans="1:20" ht="17.5" thickBot="1" x14ac:dyDescent="0.5">
      <c r="A111" s="8"/>
      <c r="B111" s="14"/>
      <c r="C111" s="14"/>
      <c r="D111" s="2"/>
      <c r="F111" s="8"/>
      <c r="G111" s="14"/>
      <c r="H111" s="14"/>
      <c r="I111" s="2"/>
      <c r="K111" s="8"/>
      <c r="L111" s="14"/>
      <c r="M111" s="14"/>
      <c r="N111" s="2"/>
      <c r="P111" s="8"/>
      <c r="Q111" s="14"/>
      <c r="R111" s="14"/>
      <c r="S111" s="2"/>
    </row>
    <row r="118" spans="1:5" ht="17.5" thickBot="1" x14ac:dyDescent="0.5"/>
    <row r="119" spans="1:5" x14ac:dyDescent="0.45">
      <c r="A119" s="45" t="s">
        <v>16</v>
      </c>
      <c r="B119" s="46"/>
      <c r="C119" s="46"/>
      <c r="D119" s="47"/>
    </row>
    <row r="120" spans="1:5" ht="17.5" thickBot="1" x14ac:dyDescent="0.5">
      <c r="A120" s="6" t="s">
        <v>6</v>
      </c>
      <c r="B120" s="1"/>
      <c r="C120" s="1"/>
      <c r="D120" s="7" t="s">
        <v>7</v>
      </c>
    </row>
    <row r="121" spans="1:5" ht="17.5" thickTop="1" x14ac:dyDescent="0.45">
      <c r="A121" s="235">
        <v>75</v>
      </c>
      <c r="B121" s="234">
        <v>273</v>
      </c>
      <c r="C121" s="234">
        <v>438</v>
      </c>
      <c r="D121" s="234">
        <v>717</v>
      </c>
      <c r="E121" s="236">
        <v>717</v>
      </c>
    </row>
    <row r="122" spans="1:5" x14ac:dyDescent="0.45">
      <c r="A122" s="232">
        <v>73</v>
      </c>
      <c r="B122" s="231">
        <v>134</v>
      </c>
      <c r="C122" s="231">
        <v>208</v>
      </c>
      <c r="D122" s="231">
        <v>345</v>
      </c>
      <c r="E122" s="233">
        <v>1062</v>
      </c>
    </row>
    <row r="123" spans="1:5" x14ac:dyDescent="0.45">
      <c r="A123" s="232">
        <v>72</v>
      </c>
      <c r="B123" s="231">
        <v>459</v>
      </c>
      <c r="C123" s="231">
        <v>968</v>
      </c>
      <c r="D123" s="231">
        <v>1432</v>
      </c>
      <c r="E123" s="233">
        <v>2494</v>
      </c>
    </row>
    <row r="124" spans="1:5" x14ac:dyDescent="0.45">
      <c r="A124" s="232">
        <v>71</v>
      </c>
      <c r="B124" s="231">
        <v>303</v>
      </c>
      <c r="C124" s="231">
        <v>643</v>
      </c>
      <c r="D124" s="231">
        <v>953</v>
      </c>
      <c r="E124" s="233">
        <v>3447</v>
      </c>
    </row>
    <row r="125" spans="1:5" x14ac:dyDescent="0.45">
      <c r="A125" s="232">
        <v>70</v>
      </c>
      <c r="B125" s="231">
        <v>287</v>
      </c>
      <c r="C125" s="231">
        <v>570</v>
      </c>
      <c r="D125" s="231">
        <v>861</v>
      </c>
      <c r="E125" s="233">
        <v>4308</v>
      </c>
    </row>
    <row r="126" spans="1:5" x14ac:dyDescent="0.45">
      <c r="A126" s="232">
        <v>69</v>
      </c>
      <c r="B126" s="231">
        <v>138</v>
      </c>
      <c r="C126" s="231">
        <v>309</v>
      </c>
      <c r="D126" s="231">
        <v>453</v>
      </c>
      <c r="E126" s="233">
        <v>4761</v>
      </c>
    </row>
    <row r="127" spans="1:5" x14ac:dyDescent="0.45">
      <c r="A127" s="232">
        <v>68</v>
      </c>
      <c r="B127" s="231">
        <v>338</v>
      </c>
      <c r="C127" s="231">
        <v>737</v>
      </c>
      <c r="D127" s="231">
        <v>1081</v>
      </c>
      <c r="E127" s="233">
        <v>5842</v>
      </c>
    </row>
    <row r="128" spans="1:5" x14ac:dyDescent="0.45">
      <c r="A128" s="232">
        <v>67</v>
      </c>
      <c r="B128" s="231">
        <v>215</v>
      </c>
      <c r="C128" s="231">
        <v>409</v>
      </c>
      <c r="D128" s="231">
        <v>626</v>
      </c>
      <c r="E128" s="233">
        <v>6468</v>
      </c>
    </row>
    <row r="129" spans="1:5" x14ac:dyDescent="0.45">
      <c r="A129" s="232">
        <v>66</v>
      </c>
      <c r="B129" s="231">
        <v>262</v>
      </c>
      <c r="C129" s="231">
        <v>521</v>
      </c>
      <c r="D129" s="231">
        <v>787</v>
      </c>
      <c r="E129" s="233">
        <v>7255</v>
      </c>
    </row>
    <row r="130" spans="1:5" x14ac:dyDescent="0.45">
      <c r="A130" s="232">
        <v>65</v>
      </c>
      <c r="B130" s="231">
        <v>485</v>
      </c>
      <c r="C130" s="231">
        <v>1076</v>
      </c>
      <c r="D130" s="231">
        <v>1576</v>
      </c>
      <c r="E130" s="233">
        <v>8831</v>
      </c>
    </row>
    <row r="131" spans="1:5" x14ac:dyDescent="0.45">
      <c r="A131" s="232">
        <v>64</v>
      </c>
      <c r="B131" s="231">
        <v>298</v>
      </c>
      <c r="C131" s="231">
        <v>655</v>
      </c>
      <c r="D131" s="231">
        <v>965</v>
      </c>
      <c r="E131" s="233">
        <v>9796</v>
      </c>
    </row>
    <row r="132" spans="1:5" x14ac:dyDescent="0.45">
      <c r="A132" s="232">
        <v>63</v>
      </c>
      <c r="B132" s="231">
        <v>224</v>
      </c>
      <c r="C132" s="231">
        <v>581</v>
      </c>
      <c r="D132" s="231">
        <v>814</v>
      </c>
      <c r="E132" s="233">
        <v>10610</v>
      </c>
    </row>
    <row r="133" spans="1:5" x14ac:dyDescent="0.45">
      <c r="A133" s="232">
        <v>62</v>
      </c>
      <c r="B133" s="231">
        <v>233</v>
      </c>
      <c r="C133" s="231">
        <v>615</v>
      </c>
      <c r="D133" s="231">
        <v>851</v>
      </c>
      <c r="E133" s="233">
        <v>11461</v>
      </c>
    </row>
    <row r="134" spans="1:5" x14ac:dyDescent="0.45">
      <c r="A134" s="232">
        <v>61</v>
      </c>
      <c r="B134" s="231">
        <v>279</v>
      </c>
      <c r="C134" s="231">
        <v>681</v>
      </c>
      <c r="D134" s="231">
        <v>971</v>
      </c>
      <c r="E134" s="233">
        <v>12432</v>
      </c>
    </row>
    <row r="135" spans="1:5" x14ac:dyDescent="0.45">
      <c r="A135" s="232">
        <v>60</v>
      </c>
      <c r="B135" s="231">
        <v>285</v>
      </c>
      <c r="C135" s="231">
        <v>611</v>
      </c>
      <c r="D135" s="231">
        <v>902</v>
      </c>
      <c r="E135" s="233">
        <v>13334</v>
      </c>
    </row>
    <row r="136" spans="1:5" x14ac:dyDescent="0.45">
      <c r="A136" s="232">
        <v>59</v>
      </c>
      <c r="B136" s="231">
        <v>338</v>
      </c>
      <c r="C136" s="231">
        <v>806</v>
      </c>
      <c r="D136" s="231">
        <v>1154</v>
      </c>
      <c r="E136" s="233">
        <v>14488</v>
      </c>
    </row>
    <row r="137" spans="1:5" x14ac:dyDescent="0.45">
      <c r="A137" s="232">
        <v>58</v>
      </c>
      <c r="B137" s="231">
        <v>310</v>
      </c>
      <c r="C137" s="231">
        <v>779</v>
      </c>
      <c r="D137" s="231">
        <v>1094</v>
      </c>
      <c r="E137" s="233">
        <v>15582</v>
      </c>
    </row>
    <row r="138" spans="1:5" x14ac:dyDescent="0.45">
      <c r="A138" s="232">
        <v>57</v>
      </c>
      <c r="B138" s="231">
        <v>760</v>
      </c>
      <c r="C138" s="231">
        <v>1783</v>
      </c>
      <c r="D138" s="231">
        <v>2560</v>
      </c>
      <c r="E138" s="233">
        <v>18142</v>
      </c>
    </row>
    <row r="139" spans="1:5" x14ac:dyDescent="0.45">
      <c r="A139" s="232">
        <v>56</v>
      </c>
      <c r="B139" s="231">
        <v>373</v>
      </c>
      <c r="C139" s="231">
        <v>845</v>
      </c>
      <c r="D139" s="231">
        <v>1226</v>
      </c>
      <c r="E139" s="233">
        <v>19368</v>
      </c>
    </row>
    <row r="140" spans="1:5" x14ac:dyDescent="0.45">
      <c r="A140" s="232">
        <v>55</v>
      </c>
      <c r="B140" s="231">
        <v>455</v>
      </c>
      <c r="C140" s="231">
        <v>1044</v>
      </c>
      <c r="D140" s="231">
        <v>1514</v>
      </c>
      <c r="E140" s="233">
        <v>20882</v>
      </c>
    </row>
    <row r="141" spans="1:5" x14ac:dyDescent="0.45">
      <c r="A141" s="232">
        <v>54</v>
      </c>
      <c r="B141" s="231">
        <v>420</v>
      </c>
      <c r="C141" s="231">
        <v>1073</v>
      </c>
      <c r="D141" s="231">
        <v>1504</v>
      </c>
      <c r="E141" s="233">
        <v>22386</v>
      </c>
    </row>
    <row r="142" spans="1:5" x14ac:dyDescent="0.45">
      <c r="A142" s="232">
        <v>53</v>
      </c>
      <c r="B142" s="231">
        <v>497</v>
      </c>
      <c r="C142" s="231">
        <v>1118</v>
      </c>
      <c r="D142" s="231">
        <v>1624</v>
      </c>
      <c r="E142" s="233">
        <v>24010</v>
      </c>
    </row>
    <row r="143" spans="1:5" x14ac:dyDescent="0.45">
      <c r="A143" s="232">
        <v>52</v>
      </c>
      <c r="B143" s="231">
        <v>576</v>
      </c>
      <c r="C143" s="231">
        <v>1297</v>
      </c>
      <c r="D143" s="231">
        <v>1888</v>
      </c>
      <c r="E143" s="233">
        <v>25898</v>
      </c>
    </row>
    <row r="144" spans="1:5" x14ac:dyDescent="0.45">
      <c r="A144" s="232">
        <v>51</v>
      </c>
      <c r="B144" s="231">
        <v>578</v>
      </c>
      <c r="C144" s="231">
        <v>1232</v>
      </c>
      <c r="D144" s="231">
        <v>1818</v>
      </c>
      <c r="E144" s="233">
        <v>27716</v>
      </c>
    </row>
    <row r="145" spans="1:5" x14ac:dyDescent="0.45">
      <c r="A145" s="232">
        <v>50</v>
      </c>
      <c r="B145" s="231">
        <v>1291</v>
      </c>
      <c r="C145" s="231">
        <v>2991</v>
      </c>
      <c r="D145" s="231">
        <v>4303</v>
      </c>
      <c r="E145" s="233">
        <v>32019</v>
      </c>
    </row>
    <row r="146" spans="1:5" x14ac:dyDescent="0.45">
      <c r="A146" s="232">
        <v>49</v>
      </c>
      <c r="B146" s="231">
        <v>675</v>
      </c>
      <c r="C146" s="231">
        <v>1436</v>
      </c>
      <c r="D146" s="231">
        <v>2129</v>
      </c>
      <c r="E146" s="233">
        <v>34148</v>
      </c>
    </row>
    <row r="147" spans="1:5" x14ac:dyDescent="0.45">
      <c r="A147" s="232">
        <v>48</v>
      </c>
      <c r="B147" s="231">
        <v>828</v>
      </c>
      <c r="C147" s="231">
        <v>1697</v>
      </c>
      <c r="D147" s="231">
        <v>2541</v>
      </c>
      <c r="E147" s="233">
        <v>36689</v>
      </c>
    </row>
    <row r="148" spans="1:5" x14ac:dyDescent="0.45">
      <c r="A148" s="232">
        <v>47</v>
      </c>
      <c r="B148" s="231">
        <v>753</v>
      </c>
      <c r="C148" s="231">
        <v>1507</v>
      </c>
      <c r="D148" s="231">
        <v>2287</v>
      </c>
      <c r="E148" s="233">
        <v>38976</v>
      </c>
    </row>
    <row r="149" spans="1:5" x14ac:dyDescent="0.45">
      <c r="A149" s="232">
        <v>46</v>
      </c>
      <c r="B149" s="231">
        <v>863</v>
      </c>
      <c r="C149" s="231">
        <v>1662</v>
      </c>
      <c r="D149" s="231">
        <v>2553</v>
      </c>
      <c r="E149" s="233">
        <v>41529</v>
      </c>
    </row>
    <row r="150" spans="1:5" x14ac:dyDescent="0.45">
      <c r="A150" s="232">
        <v>45</v>
      </c>
      <c r="B150" s="231">
        <v>870</v>
      </c>
      <c r="C150" s="231">
        <v>1682</v>
      </c>
      <c r="D150" s="231">
        <v>2569</v>
      </c>
      <c r="E150" s="233">
        <v>44098</v>
      </c>
    </row>
    <row r="151" spans="1:5" x14ac:dyDescent="0.45">
      <c r="A151" s="232">
        <v>44</v>
      </c>
      <c r="B151" s="231">
        <v>905</v>
      </c>
      <c r="C151" s="231">
        <v>1617</v>
      </c>
      <c r="D151" s="231">
        <v>2547</v>
      </c>
      <c r="E151" s="233">
        <v>46645</v>
      </c>
    </row>
    <row r="152" spans="1:5" x14ac:dyDescent="0.45">
      <c r="A152" s="232">
        <v>43</v>
      </c>
      <c r="B152" s="231">
        <v>1014</v>
      </c>
      <c r="C152" s="231">
        <v>1668</v>
      </c>
      <c r="D152" s="231">
        <v>2701</v>
      </c>
      <c r="E152" s="233">
        <v>49346</v>
      </c>
    </row>
    <row r="153" spans="1:5" x14ac:dyDescent="0.45">
      <c r="A153" s="232">
        <v>42</v>
      </c>
      <c r="B153" s="231">
        <v>4617</v>
      </c>
      <c r="C153" s="231">
        <v>5113</v>
      </c>
      <c r="D153" s="231">
        <v>9854</v>
      </c>
      <c r="E153" s="233">
        <v>59200</v>
      </c>
    </row>
    <row r="154" spans="1:5" x14ac:dyDescent="0.45">
      <c r="A154" s="232">
        <v>41</v>
      </c>
      <c r="B154" s="231">
        <v>869</v>
      </c>
      <c r="C154" s="231">
        <v>1280</v>
      </c>
      <c r="D154" s="231">
        <v>2170</v>
      </c>
      <c r="E154" s="233">
        <v>61370</v>
      </c>
    </row>
    <row r="155" spans="1:5" x14ac:dyDescent="0.45">
      <c r="A155" s="232">
        <v>40</v>
      </c>
      <c r="B155" s="231">
        <v>812</v>
      </c>
      <c r="C155" s="231">
        <v>966</v>
      </c>
      <c r="D155" s="231">
        <v>1795</v>
      </c>
      <c r="E155" s="233">
        <v>63165</v>
      </c>
    </row>
    <row r="156" spans="1:5" x14ac:dyDescent="0.45">
      <c r="A156" s="232">
        <v>39</v>
      </c>
      <c r="B156" s="231">
        <v>1010</v>
      </c>
      <c r="C156" s="231">
        <v>1220</v>
      </c>
      <c r="D156" s="231">
        <v>2260</v>
      </c>
      <c r="E156" s="233">
        <v>65425</v>
      </c>
    </row>
    <row r="157" spans="1:5" x14ac:dyDescent="0.45">
      <c r="A157" s="232">
        <v>38</v>
      </c>
      <c r="B157" s="231">
        <v>1087</v>
      </c>
      <c r="C157" s="231">
        <v>1145</v>
      </c>
      <c r="D157" s="231">
        <v>2258</v>
      </c>
      <c r="E157" s="233">
        <v>67683</v>
      </c>
    </row>
    <row r="158" spans="1:5" x14ac:dyDescent="0.45">
      <c r="A158" s="232">
        <v>37</v>
      </c>
      <c r="B158" s="231">
        <v>555</v>
      </c>
      <c r="C158" s="231">
        <v>567</v>
      </c>
      <c r="D158" s="231">
        <v>1132</v>
      </c>
      <c r="E158" s="233">
        <v>68815</v>
      </c>
    </row>
    <row r="159" spans="1:5" x14ac:dyDescent="0.45">
      <c r="A159" s="232">
        <v>36</v>
      </c>
      <c r="B159" s="231">
        <v>366</v>
      </c>
      <c r="C159" s="231">
        <v>351</v>
      </c>
      <c r="D159" s="231">
        <v>727</v>
      </c>
      <c r="E159" s="233">
        <v>69542</v>
      </c>
    </row>
    <row r="160" spans="1:5" x14ac:dyDescent="0.45">
      <c r="A160" s="232">
        <v>35</v>
      </c>
      <c r="B160" s="231">
        <v>641</v>
      </c>
      <c r="C160" s="231">
        <v>549</v>
      </c>
      <c r="D160" s="231">
        <v>1203</v>
      </c>
      <c r="E160" s="233">
        <v>70745</v>
      </c>
    </row>
    <row r="161" spans="1:19" x14ac:dyDescent="0.45">
      <c r="A161" s="232">
        <v>34</v>
      </c>
      <c r="B161" s="231">
        <v>96</v>
      </c>
      <c r="C161" s="231">
        <v>114</v>
      </c>
      <c r="D161" s="231">
        <v>211</v>
      </c>
      <c r="E161" s="233">
        <v>70956</v>
      </c>
    </row>
    <row r="162" spans="1:19" x14ac:dyDescent="0.45">
      <c r="A162" s="232">
        <v>33</v>
      </c>
      <c r="B162" s="231">
        <v>141</v>
      </c>
      <c r="C162" s="231">
        <v>155</v>
      </c>
      <c r="D162" s="231">
        <v>298</v>
      </c>
      <c r="E162" s="233">
        <v>71254</v>
      </c>
    </row>
    <row r="163" spans="1:19" x14ac:dyDescent="0.45">
      <c r="A163" s="232">
        <v>31</v>
      </c>
      <c r="B163" s="231">
        <v>44</v>
      </c>
      <c r="C163" s="231">
        <v>49</v>
      </c>
      <c r="D163" s="231">
        <v>94</v>
      </c>
      <c r="E163" s="233">
        <v>71348</v>
      </c>
    </row>
    <row r="164" spans="1:19" x14ac:dyDescent="0.45">
      <c r="A164" s="6"/>
      <c r="B164" s="1"/>
      <c r="C164" s="1"/>
      <c r="D164" s="7"/>
    </row>
    <row r="165" spans="1:19" x14ac:dyDescent="0.45">
      <c r="A165" s="6"/>
      <c r="B165" s="1"/>
      <c r="C165" s="1"/>
      <c r="D165" s="7"/>
    </row>
    <row r="166" spans="1:19" x14ac:dyDescent="0.45">
      <c r="A166" s="6"/>
      <c r="B166" s="1"/>
      <c r="C166" s="1"/>
      <c r="D166" s="7"/>
    </row>
    <row r="167" spans="1:19" x14ac:dyDescent="0.45">
      <c r="A167" s="6"/>
      <c r="B167" s="1"/>
      <c r="C167" s="1"/>
      <c r="D167" s="7"/>
    </row>
    <row r="168" spans="1:19" ht="17.5" thickBot="1" x14ac:dyDescent="0.5">
      <c r="A168" s="8"/>
      <c r="B168" s="14"/>
      <c r="C168" s="14"/>
      <c r="D168" s="2"/>
    </row>
    <row r="174" spans="1:19" ht="17.5" thickBot="1" x14ac:dyDescent="0.5"/>
    <row r="175" spans="1:19" x14ac:dyDescent="0.45">
      <c r="A175" s="45" t="s">
        <v>57</v>
      </c>
      <c r="B175" s="46"/>
      <c r="C175" s="46"/>
      <c r="D175" s="47"/>
      <c r="F175" s="45" t="s">
        <v>17</v>
      </c>
      <c r="G175" s="46"/>
      <c r="H175" s="46"/>
      <c r="I175" s="47"/>
      <c r="K175" s="45" t="s">
        <v>18</v>
      </c>
      <c r="L175" s="46"/>
      <c r="M175" s="46"/>
      <c r="N175" s="47"/>
      <c r="P175" s="45" t="s">
        <v>19</v>
      </c>
      <c r="Q175" s="46"/>
      <c r="R175" s="46"/>
      <c r="S175" s="47"/>
    </row>
    <row r="176" spans="1:19" ht="17.5" thickBot="1" x14ac:dyDescent="0.5">
      <c r="A176" s="6" t="s">
        <v>6</v>
      </c>
      <c r="B176" s="1"/>
      <c r="C176" s="1"/>
      <c r="D176" s="7" t="s">
        <v>7</v>
      </c>
      <c r="F176" s="6" t="s">
        <v>6</v>
      </c>
      <c r="G176" s="1"/>
      <c r="H176" s="1"/>
      <c r="I176" s="7" t="s">
        <v>7</v>
      </c>
      <c r="K176" s="6" t="s">
        <v>6</v>
      </c>
      <c r="L176" s="1"/>
      <c r="M176" s="1"/>
      <c r="N176" s="7" t="s">
        <v>7</v>
      </c>
      <c r="P176" s="6" t="s">
        <v>6</v>
      </c>
      <c r="Q176" s="1"/>
      <c r="R176" s="1"/>
      <c r="S176" s="7" t="s">
        <v>7</v>
      </c>
    </row>
    <row r="177" spans="1:20" ht="17.5" thickTop="1" x14ac:dyDescent="0.45">
      <c r="A177" s="244">
        <v>79</v>
      </c>
      <c r="B177" s="242">
        <v>216</v>
      </c>
      <c r="C177" s="242">
        <v>35</v>
      </c>
      <c r="D177" s="242">
        <v>252</v>
      </c>
      <c r="E177" s="245">
        <v>252</v>
      </c>
      <c r="F177" s="244">
        <v>77</v>
      </c>
      <c r="G177" s="242">
        <v>356</v>
      </c>
      <c r="H177" s="242">
        <v>162</v>
      </c>
      <c r="I177" s="242">
        <v>518</v>
      </c>
      <c r="J177" s="245">
        <v>518</v>
      </c>
      <c r="K177" s="244">
        <v>76</v>
      </c>
      <c r="L177" s="242">
        <v>267</v>
      </c>
      <c r="M177" s="242">
        <v>139</v>
      </c>
      <c r="N177" s="242">
        <v>407</v>
      </c>
      <c r="O177" s="245">
        <v>407</v>
      </c>
      <c r="P177" s="244">
        <v>76</v>
      </c>
      <c r="Q177" s="242">
        <v>367</v>
      </c>
      <c r="R177" s="242">
        <v>134</v>
      </c>
      <c r="S177" s="242">
        <v>507</v>
      </c>
      <c r="T177" s="245">
        <v>507</v>
      </c>
    </row>
    <row r="178" spans="1:20" x14ac:dyDescent="0.45">
      <c r="A178" s="240">
        <v>77</v>
      </c>
      <c r="B178" s="239">
        <v>235</v>
      </c>
      <c r="C178" s="239">
        <v>38</v>
      </c>
      <c r="D178" s="239">
        <v>274</v>
      </c>
      <c r="E178" s="241">
        <v>526</v>
      </c>
      <c r="F178" s="240">
        <v>75</v>
      </c>
      <c r="G178" s="239">
        <v>202</v>
      </c>
      <c r="H178" s="239">
        <v>75</v>
      </c>
      <c r="I178" s="239">
        <v>280</v>
      </c>
      <c r="J178" s="241">
        <v>798</v>
      </c>
      <c r="K178" s="240">
        <v>74</v>
      </c>
      <c r="L178" s="239">
        <v>137</v>
      </c>
      <c r="M178" s="239">
        <v>88</v>
      </c>
      <c r="N178" s="239">
        <v>226</v>
      </c>
      <c r="O178" s="241">
        <v>633</v>
      </c>
      <c r="P178" s="240">
        <v>74</v>
      </c>
      <c r="Q178" s="239">
        <v>244</v>
      </c>
      <c r="R178" s="239">
        <v>109</v>
      </c>
      <c r="S178" s="239">
        <v>356</v>
      </c>
      <c r="T178" s="241">
        <v>863</v>
      </c>
    </row>
    <row r="179" spans="1:20" x14ac:dyDescent="0.45">
      <c r="A179" s="240">
        <v>76</v>
      </c>
      <c r="B179" s="239">
        <v>323</v>
      </c>
      <c r="C179" s="239">
        <v>47</v>
      </c>
      <c r="D179" s="239">
        <v>374</v>
      </c>
      <c r="E179" s="241">
        <v>900</v>
      </c>
      <c r="F179" s="240">
        <v>74</v>
      </c>
      <c r="G179" s="239">
        <v>466</v>
      </c>
      <c r="H179" s="239">
        <v>247</v>
      </c>
      <c r="I179" s="239">
        <v>717</v>
      </c>
      <c r="J179" s="241">
        <v>1515</v>
      </c>
      <c r="K179" s="240">
        <v>73</v>
      </c>
      <c r="L179" s="239">
        <v>720</v>
      </c>
      <c r="M179" s="239">
        <v>521</v>
      </c>
      <c r="N179" s="239">
        <v>1249</v>
      </c>
      <c r="O179" s="241">
        <v>1882</v>
      </c>
      <c r="P179" s="240">
        <v>73</v>
      </c>
      <c r="Q179" s="239">
        <v>567</v>
      </c>
      <c r="R179" s="239">
        <v>266</v>
      </c>
      <c r="S179" s="239">
        <v>840</v>
      </c>
      <c r="T179" s="241">
        <v>1703</v>
      </c>
    </row>
    <row r="180" spans="1:20" x14ac:dyDescent="0.45">
      <c r="A180" s="240">
        <v>75</v>
      </c>
      <c r="B180" s="239">
        <v>433</v>
      </c>
      <c r="C180" s="239">
        <v>74</v>
      </c>
      <c r="D180" s="239">
        <v>511</v>
      </c>
      <c r="E180" s="241">
        <v>1411</v>
      </c>
      <c r="F180" s="240">
        <v>73</v>
      </c>
      <c r="G180" s="239">
        <v>65</v>
      </c>
      <c r="H180" s="239">
        <v>39</v>
      </c>
      <c r="I180" s="239">
        <v>104</v>
      </c>
      <c r="J180" s="241">
        <v>1619</v>
      </c>
      <c r="K180" s="240">
        <v>72</v>
      </c>
      <c r="L180" s="239">
        <v>50</v>
      </c>
      <c r="M180" s="239">
        <v>46</v>
      </c>
      <c r="N180" s="239">
        <v>97</v>
      </c>
      <c r="O180" s="241">
        <v>1979</v>
      </c>
      <c r="P180" s="240">
        <v>72</v>
      </c>
      <c r="Q180" s="239">
        <v>71</v>
      </c>
      <c r="R180" s="239">
        <v>45</v>
      </c>
      <c r="S180" s="239">
        <v>116</v>
      </c>
      <c r="T180" s="241">
        <v>1819</v>
      </c>
    </row>
    <row r="181" spans="1:20" x14ac:dyDescent="0.45">
      <c r="A181" s="240">
        <v>74</v>
      </c>
      <c r="B181" s="239">
        <v>202</v>
      </c>
      <c r="C181" s="239">
        <v>26</v>
      </c>
      <c r="D181" s="239">
        <v>230</v>
      </c>
      <c r="E181" s="241">
        <v>1641</v>
      </c>
      <c r="F181" s="240">
        <v>72</v>
      </c>
      <c r="G181" s="239">
        <v>379</v>
      </c>
      <c r="H181" s="239">
        <v>188</v>
      </c>
      <c r="I181" s="239">
        <v>569</v>
      </c>
      <c r="J181" s="241">
        <v>2188</v>
      </c>
      <c r="K181" s="240">
        <v>71</v>
      </c>
      <c r="L181" s="239">
        <v>526</v>
      </c>
      <c r="M181" s="239">
        <v>456</v>
      </c>
      <c r="N181" s="239">
        <v>987</v>
      </c>
      <c r="O181" s="241">
        <v>2966</v>
      </c>
      <c r="P181" s="240">
        <v>71</v>
      </c>
      <c r="Q181" s="239">
        <v>546</v>
      </c>
      <c r="R181" s="239">
        <v>269</v>
      </c>
      <c r="S181" s="239">
        <v>818</v>
      </c>
      <c r="T181" s="241">
        <v>2637</v>
      </c>
    </row>
    <row r="182" spans="1:20" x14ac:dyDescent="0.45">
      <c r="A182" s="240">
        <v>73</v>
      </c>
      <c r="B182" s="239">
        <v>284</v>
      </c>
      <c r="C182" s="239">
        <v>64</v>
      </c>
      <c r="D182" s="239">
        <v>349</v>
      </c>
      <c r="E182" s="241">
        <v>1990</v>
      </c>
      <c r="F182" s="240">
        <v>71</v>
      </c>
      <c r="G182" s="239">
        <v>473</v>
      </c>
      <c r="H182" s="239">
        <v>300</v>
      </c>
      <c r="I182" s="239">
        <v>780</v>
      </c>
      <c r="J182" s="241">
        <v>2968</v>
      </c>
      <c r="K182" s="240">
        <v>70</v>
      </c>
      <c r="L182" s="239">
        <v>653</v>
      </c>
      <c r="M182" s="239">
        <v>559</v>
      </c>
      <c r="N182" s="239">
        <v>1226</v>
      </c>
      <c r="O182" s="241">
        <v>4192</v>
      </c>
      <c r="P182" s="240">
        <v>70</v>
      </c>
      <c r="Q182" s="239">
        <v>556</v>
      </c>
      <c r="R182" s="239">
        <v>280</v>
      </c>
      <c r="S182" s="239">
        <v>844</v>
      </c>
      <c r="T182" s="241">
        <v>3481</v>
      </c>
    </row>
    <row r="183" spans="1:20" x14ac:dyDescent="0.45">
      <c r="A183" s="240">
        <v>72</v>
      </c>
      <c r="B183" s="239">
        <v>537</v>
      </c>
      <c r="C183" s="239">
        <v>98</v>
      </c>
      <c r="D183" s="239">
        <v>640</v>
      </c>
      <c r="E183" s="241">
        <v>2630</v>
      </c>
      <c r="F183" s="240">
        <v>70</v>
      </c>
      <c r="G183" s="239">
        <v>212</v>
      </c>
      <c r="H183" s="239">
        <v>89</v>
      </c>
      <c r="I183" s="239">
        <v>301</v>
      </c>
      <c r="J183" s="241">
        <v>3269</v>
      </c>
      <c r="K183" s="240">
        <v>69</v>
      </c>
      <c r="L183" s="239">
        <v>221</v>
      </c>
      <c r="M183" s="239">
        <v>271</v>
      </c>
      <c r="N183" s="239">
        <v>492</v>
      </c>
      <c r="O183" s="241">
        <v>4684</v>
      </c>
      <c r="P183" s="240">
        <v>69</v>
      </c>
      <c r="Q183" s="239">
        <v>262</v>
      </c>
      <c r="R183" s="239">
        <v>161</v>
      </c>
      <c r="S183" s="239">
        <v>427</v>
      </c>
      <c r="T183" s="241">
        <v>3908</v>
      </c>
    </row>
    <row r="184" spans="1:20" x14ac:dyDescent="0.45">
      <c r="A184" s="240">
        <v>71</v>
      </c>
      <c r="B184" s="239">
        <v>207</v>
      </c>
      <c r="C184" s="239">
        <v>48</v>
      </c>
      <c r="D184" s="239">
        <v>256</v>
      </c>
      <c r="E184" s="241">
        <v>2886</v>
      </c>
      <c r="F184" s="240">
        <v>69</v>
      </c>
      <c r="G184" s="239">
        <v>493</v>
      </c>
      <c r="H184" s="239">
        <v>305</v>
      </c>
      <c r="I184" s="239">
        <v>808</v>
      </c>
      <c r="J184" s="241">
        <v>4077</v>
      </c>
      <c r="K184" s="240">
        <v>68</v>
      </c>
      <c r="L184" s="239">
        <v>776</v>
      </c>
      <c r="M184" s="239">
        <v>774</v>
      </c>
      <c r="N184" s="239">
        <v>1567</v>
      </c>
      <c r="O184" s="241">
        <v>6251</v>
      </c>
      <c r="P184" s="240">
        <v>68</v>
      </c>
      <c r="Q184" s="239">
        <v>758</v>
      </c>
      <c r="R184" s="239">
        <v>415</v>
      </c>
      <c r="S184" s="239">
        <v>1184</v>
      </c>
      <c r="T184" s="241">
        <v>5092</v>
      </c>
    </row>
    <row r="185" spans="1:20" x14ac:dyDescent="0.45">
      <c r="A185" s="240">
        <v>70</v>
      </c>
      <c r="B185" s="239">
        <v>483</v>
      </c>
      <c r="C185" s="239">
        <v>108</v>
      </c>
      <c r="D185" s="239">
        <v>597</v>
      </c>
      <c r="E185" s="241">
        <v>3483</v>
      </c>
      <c r="F185" s="240">
        <v>68</v>
      </c>
      <c r="G185" s="239">
        <v>468</v>
      </c>
      <c r="H185" s="239">
        <v>338</v>
      </c>
      <c r="I185" s="239">
        <v>811</v>
      </c>
      <c r="J185" s="241">
        <v>4888</v>
      </c>
      <c r="K185" s="240">
        <v>67</v>
      </c>
      <c r="L185" s="239">
        <v>1166</v>
      </c>
      <c r="M185" s="239">
        <v>1223</v>
      </c>
      <c r="N185" s="239">
        <v>2402</v>
      </c>
      <c r="O185" s="241">
        <v>8653</v>
      </c>
      <c r="P185" s="240">
        <v>67</v>
      </c>
      <c r="Q185" s="239">
        <v>578</v>
      </c>
      <c r="R185" s="239">
        <v>308</v>
      </c>
      <c r="S185" s="239">
        <v>893</v>
      </c>
      <c r="T185" s="241">
        <v>5985</v>
      </c>
    </row>
    <row r="186" spans="1:20" x14ac:dyDescent="0.45">
      <c r="A186" s="240">
        <v>69</v>
      </c>
      <c r="B186" s="239">
        <v>447</v>
      </c>
      <c r="C186" s="239">
        <v>117</v>
      </c>
      <c r="D186" s="239">
        <v>569</v>
      </c>
      <c r="E186" s="241">
        <v>4052</v>
      </c>
      <c r="F186" s="240">
        <v>67</v>
      </c>
      <c r="G186" s="239">
        <v>942</v>
      </c>
      <c r="H186" s="239">
        <v>642</v>
      </c>
      <c r="I186" s="239">
        <v>1599</v>
      </c>
      <c r="J186" s="241">
        <v>6487</v>
      </c>
      <c r="K186" s="240">
        <v>66</v>
      </c>
      <c r="L186" s="239">
        <v>857</v>
      </c>
      <c r="M186" s="239">
        <v>880</v>
      </c>
      <c r="N186" s="239">
        <v>1748</v>
      </c>
      <c r="O186" s="241">
        <v>10401</v>
      </c>
      <c r="P186" s="240">
        <v>66</v>
      </c>
      <c r="Q186" s="239">
        <v>542</v>
      </c>
      <c r="R186" s="239">
        <v>298</v>
      </c>
      <c r="S186" s="239">
        <v>848</v>
      </c>
      <c r="T186" s="241">
        <v>6833</v>
      </c>
    </row>
    <row r="187" spans="1:20" x14ac:dyDescent="0.45">
      <c r="A187" s="240">
        <v>68</v>
      </c>
      <c r="B187" s="239">
        <v>326</v>
      </c>
      <c r="C187" s="239">
        <v>74</v>
      </c>
      <c r="D187" s="239">
        <v>406</v>
      </c>
      <c r="E187" s="241">
        <v>4458</v>
      </c>
      <c r="F187" s="240">
        <v>66</v>
      </c>
      <c r="G187" s="239">
        <v>450</v>
      </c>
      <c r="H187" s="239">
        <v>334</v>
      </c>
      <c r="I187" s="239">
        <v>792</v>
      </c>
      <c r="J187" s="241">
        <v>7279</v>
      </c>
      <c r="K187" s="240">
        <v>65</v>
      </c>
      <c r="L187" s="239">
        <v>608</v>
      </c>
      <c r="M187" s="239">
        <v>737</v>
      </c>
      <c r="N187" s="239">
        <v>1355</v>
      </c>
      <c r="O187" s="241">
        <v>11756</v>
      </c>
      <c r="P187" s="240">
        <v>65</v>
      </c>
      <c r="Q187" s="239">
        <v>857</v>
      </c>
      <c r="R187" s="239">
        <v>485</v>
      </c>
      <c r="S187" s="239">
        <v>1352</v>
      </c>
      <c r="T187" s="241">
        <v>8185</v>
      </c>
    </row>
    <row r="188" spans="1:20" x14ac:dyDescent="0.45">
      <c r="A188" s="240">
        <v>67</v>
      </c>
      <c r="B188" s="239">
        <v>582</v>
      </c>
      <c r="C188" s="239">
        <v>125</v>
      </c>
      <c r="D188" s="239">
        <v>714</v>
      </c>
      <c r="E188" s="241">
        <v>5172</v>
      </c>
      <c r="F188" s="240">
        <v>65</v>
      </c>
      <c r="G188" s="239">
        <v>544</v>
      </c>
      <c r="H188" s="239">
        <v>390</v>
      </c>
      <c r="I188" s="239">
        <v>945</v>
      </c>
      <c r="J188" s="241">
        <v>8224</v>
      </c>
      <c r="K188" s="240">
        <v>64</v>
      </c>
      <c r="L188" s="239">
        <v>974</v>
      </c>
      <c r="M188" s="239">
        <v>1108</v>
      </c>
      <c r="N188" s="239">
        <v>2094</v>
      </c>
      <c r="O188" s="241">
        <v>13850</v>
      </c>
      <c r="P188" s="240">
        <v>64</v>
      </c>
      <c r="Q188" s="239">
        <v>1393</v>
      </c>
      <c r="R188" s="239">
        <v>894</v>
      </c>
      <c r="S188" s="239">
        <v>2307</v>
      </c>
      <c r="T188" s="241">
        <v>10492</v>
      </c>
    </row>
    <row r="189" spans="1:20" x14ac:dyDescent="0.45">
      <c r="A189" s="240">
        <v>66</v>
      </c>
      <c r="B189" s="239">
        <v>445</v>
      </c>
      <c r="C189" s="239">
        <v>136</v>
      </c>
      <c r="D189" s="239">
        <v>589</v>
      </c>
      <c r="E189" s="241">
        <v>5761</v>
      </c>
      <c r="F189" s="240">
        <v>64</v>
      </c>
      <c r="G189" s="239">
        <v>616</v>
      </c>
      <c r="H189" s="239">
        <v>507</v>
      </c>
      <c r="I189" s="239">
        <v>1134</v>
      </c>
      <c r="J189" s="241">
        <v>9358</v>
      </c>
      <c r="K189" s="240">
        <v>63</v>
      </c>
      <c r="L189" s="239">
        <v>813</v>
      </c>
      <c r="M189" s="239">
        <v>917</v>
      </c>
      <c r="N189" s="239">
        <v>1738</v>
      </c>
      <c r="O189" s="241">
        <v>15588</v>
      </c>
      <c r="P189" s="240">
        <v>63</v>
      </c>
      <c r="Q189" s="239">
        <v>900</v>
      </c>
      <c r="R189" s="239">
        <v>612</v>
      </c>
      <c r="S189" s="239">
        <v>1525</v>
      </c>
      <c r="T189" s="241">
        <v>12017</v>
      </c>
    </row>
    <row r="190" spans="1:20" x14ac:dyDescent="0.45">
      <c r="A190" s="240">
        <v>65</v>
      </c>
      <c r="B190" s="239">
        <v>474</v>
      </c>
      <c r="C190" s="239">
        <v>144</v>
      </c>
      <c r="D190" s="239">
        <v>620</v>
      </c>
      <c r="E190" s="241">
        <v>6381</v>
      </c>
      <c r="F190" s="240">
        <v>63</v>
      </c>
      <c r="G190" s="239">
        <v>520</v>
      </c>
      <c r="H190" s="239">
        <v>407</v>
      </c>
      <c r="I190" s="239">
        <v>934</v>
      </c>
      <c r="J190" s="241">
        <v>10292</v>
      </c>
      <c r="K190" s="240">
        <v>62</v>
      </c>
      <c r="L190" s="239">
        <v>909</v>
      </c>
      <c r="M190" s="239">
        <v>1118</v>
      </c>
      <c r="N190" s="239">
        <v>2042</v>
      </c>
      <c r="O190" s="241">
        <v>17630</v>
      </c>
      <c r="P190" s="240">
        <v>62</v>
      </c>
      <c r="Q190" s="239">
        <v>780</v>
      </c>
      <c r="R190" s="239">
        <v>496</v>
      </c>
      <c r="S190" s="239">
        <v>1286</v>
      </c>
      <c r="T190" s="241">
        <v>13303</v>
      </c>
    </row>
    <row r="191" spans="1:20" x14ac:dyDescent="0.45">
      <c r="A191" s="240">
        <v>64</v>
      </c>
      <c r="B191" s="239">
        <v>641</v>
      </c>
      <c r="C191" s="239">
        <v>178</v>
      </c>
      <c r="D191" s="239">
        <v>825</v>
      </c>
      <c r="E191" s="241">
        <v>7206</v>
      </c>
      <c r="F191" s="240">
        <v>62</v>
      </c>
      <c r="G191" s="239">
        <v>662</v>
      </c>
      <c r="H191" s="239">
        <v>431</v>
      </c>
      <c r="I191" s="239">
        <v>1103</v>
      </c>
      <c r="J191" s="241">
        <v>11395</v>
      </c>
      <c r="K191" s="240">
        <v>61</v>
      </c>
      <c r="L191" s="239">
        <v>1105</v>
      </c>
      <c r="M191" s="239">
        <v>1389</v>
      </c>
      <c r="N191" s="239">
        <v>2510</v>
      </c>
      <c r="O191" s="241">
        <v>20140</v>
      </c>
      <c r="P191" s="240">
        <v>61</v>
      </c>
      <c r="Q191" s="239">
        <v>1053</v>
      </c>
      <c r="R191" s="239">
        <v>747</v>
      </c>
      <c r="S191" s="239">
        <v>1812</v>
      </c>
      <c r="T191" s="241">
        <v>15115</v>
      </c>
    </row>
    <row r="192" spans="1:20" x14ac:dyDescent="0.45">
      <c r="A192" s="240">
        <v>63</v>
      </c>
      <c r="B192" s="239">
        <v>510</v>
      </c>
      <c r="C192" s="239">
        <v>133</v>
      </c>
      <c r="D192" s="239">
        <v>644</v>
      </c>
      <c r="E192" s="241">
        <v>7850</v>
      </c>
      <c r="F192" s="240">
        <v>61</v>
      </c>
      <c r="G192" s="239">
        <v>652</v>
      </c>
      <c r="H192" s="239">
        <v>558</v>
      </c>
      <c r="I192" s="239">
        <v>1217</v>
      </c>
      <c r="J192" s="241">
        <v>12612</v>
      </c>
      <c r="K192" s="240">
        <v>60</v>
      </c>
      <c r="L192" s="239">
        <v>939</v>
      </c>
      <c r="M192" s="239">
        <v>1197</v>
      </c>
      <c r="N192" s="239">
        <v>2158</v>
      </c>
      <c r="O192" s="241">
        <v>22298</v>
      </c>
      <c r="P192" s="240">
        <v>60</v>
      </c>
      <c r="Q192" s="239">
        <v>979</v>
      </c>
      <c r="R192" s="239">
        <v>682</v>
      </c>
      <c r="S192" s="239">
        <v>1677</v>
      </c>
      <c r="T192" s="241">
        <v>16792</v>
      </c>
    </row>
    <row r="193" spans="1:20" x14ac:dyDescent="0.45">
      <c r="A193" s="240">
        <v>62</v>
      </c>
      <c r="B193" s="239">
        <v>677</v>
      </c>
      <c r="C193" s="239">
        <v>176</v>
      </c>
      <c r="D193" s="239">
        <v>862</v>
      </c>
      <c r="E193" s="241">
        <v>8712</v>
      </c>
      <c r="F193" s="240">
        <v>60</v>
      </c>
      <c r="G193" s="239">
        <v>640</v>
      </c>
      <c r="H193" s="239">
        <v>467</v>
      </c>
      <c r="I193" s="239">
        <v>1114</v>
      </c>
      <c r="J193" s="241">
        <v>13726</v>
      </c>
      <c r="K193" s="240">
        <v>59</v>
      </c>
      <c r="L193" s="239">
        <v>1253</v>
      </c>
      <c r="M193" s="239">
        <v>1652</v>
      </c>
      <c r="N193" s="239">
        <v>2930</v>
      </c>
      <c r="O193" s="241">
        <v>25228</v>
      </c>
      <c r="P193" s="240">
        <v>59</v>
      </c>
      <c r="Q193" s="239">
        <v>1018</v>
      </c>
      <c r="R193" s="239">
        <v>682</v>
      </c>
      <c r="S193" s="239">
        <v>1716</v>
      </c>
      <c r="T193" s="241">
        <v>18508</v>
      </c>
    </row>
    <row r="194" spans="1:20" x14ac:dyDescent="0.45">
      <c r="A194" s="240">
        <v>61</v>
      </c>
      <c r="B194" s="239">
        <v>638</v>
      </c>
      <c r="C194" s="239">
        <v>209</v>
      </c>
      <c r="D194" s="239">
        <v>856</v>
      </c>
      <c r="E194" s="241">
        <v>9568</v>
      </c>
      <c r="F194" s="240">
        <v>59</v>
      </c>
      <c r="G194" s="239">
        <v>703</v>
      </c>
      <c r="H194" s="239">
        <v>600</v>
      </c>
      <c r="I194" s="239">
        <v>1310</v>
      </c>
      <c r="J194" s="241">
        <v>15036</v>
      </c>
      <c r="K194" s="240">
        <v>58</v>
      </c>
      <c r="L194" s="239">
        <v>1094</v>
      </c>
      <c r="M194" s="239">
        <v>1440</v>
      </c>
      <c r="N194" s="239">
        <v>2544</v>
      </c>
      <c r="O194" s="241">
        <v>27772</v>
      </c>
      <c r="P194" s="240">
        <v>58</v>
      </c>
      <c r="Q194" s="239">
        <v>1196</v>
      </c>
      <c r="R194" s="239">
        <v>915</v>
      </c>
      <c r="S194" s="239">
        <v>2121</v>
      </c>
      <c r="T194" s="241">
        <v>20629</v>
      </c>
    </row>
    <row r="195" spans="1:20" x14ac:dyDescent="0.45">
      <c r="A195" s="240">
        <v>60</v>
      </c>
      <c r="B195" s="239">
        <v>646</v>
      </c>
      <c r="C195" s="239">
        <v>201</v>
      </c>
      <c r="D195" s="239">
        <v>853</v>
      </c>
      <c r="E195" s="241">
        <v>10421</v>
      </c>
      <c r="F195" s="240">
        <v>58</v>
      </c>
      <c r="G195" s="239">
        <v>672</v>
      </c>
      <c r="H195" s="239">
        <v>584</v>
      </c>
      <c r="I195" s="239">
        <v>1260</v>
      </c>
      <c r="J195" s="241">
        <v>16296</v>
      </c>
      <c r="K195" s="240">
        <v>57</v>
      </c>
      <c r="L195" s="239">
        <v>1271</v>
      </c>
      <c r="M195" s="239">
        <v>1728</v>
      </c>
      <c r="N195" s="239">
        <v>3022</v>
      </c>
      <c r="O195" s="241">
        <v>30794</v>
      </c>
      <c r="P195" s="240">
        <v>57</v>
      </c>
      <c r="Q195" s="239">
        <v>1111</v>
      </c>
      <c r="R195" s="239">
        <v>774</v>
      </c>
      <c r="S195" s="239">
        <v>1901</v>
      </c>
      <c r="T195" s="241">
        <v>22530</v>
      </c>
    </row>
    <row r="196" spans="1:20" x14ac:dyDescent="0.45">
      <c r="A196" s="240">
        <v>59</v>
      </c>
      <c r="B196" s="239">
        <v>793</v>
      </c>
      <c r="C196" s="239">
        <v>270</v>
      </c>
      <c r="D196" s="239">
        <v>1072</v>
      </c>
      <c r="E196" s="241">
        <v>11493</v>
      </c>
      <c r="F196" s="240">
        <v>57</v>
      </c>
      <c r="G196" s="239">
        <v>777</v>
      </c>
      <c r="H196" s="239">
        <v>643</v>
      </c>
      <c r="I196" s="239">
        <v>1432</v>
      </c>
      <c r="J196" s="241">
        <v>17728</v>
      </c>
      <c r="K196" s="240">
        <v>56</v>
      </c>
      <c r="L196" s="239">
        <v>1349</v>
      </c>
      <c r="M196" s="239">
        <v>1834</v>
      </c>
      <c r="N196" s="239">
        <v>3221</v>
      </c>
      <c r="O196" s="241">
        <v>34015</v>
      </c>
      <c r="P196" s="240">
        <v>56</v>
      </c>
      <c r="Q196" s="239">
        <v>1275</v>
      </c>
      <c r="R196" s="239">
        <v>992</v>
      </c>
      <c r="S196" s="239">
        <v>2278</v>
      </c>
      <c r="T196" s="241">
        <v>24808</v>
      </c>
    </row>
    <row r="197" spans="1:20" x14ac:dyDescent="0.45">
      <c r="A197" s="240">
        <v>58</v>
      </c>
      <c r="B197" s="239">
        <v>730</v>
      </c>
      <c r="C197" s="239">
        <v>240</v>
      </c>
      <c r="D197" s="239">
        <v>979</v>
      </c>
      <c r="E197" s="241">
        <v>12472</v>
      </c>
      <c r="F197" s="240">
        <v>56</v>
      </c>
      <c r="G197" s="239">
        <v>802</v>
      </c>
      <c r="H197" s="239">
        <v>725</v>
      </c>
      <c r="I197" s="239">
        <v>1546</v>
      </c>
      <c r="J197" s="241">
        <v>19274</v>
      </c>
      <c r="K197" s="240">
        <v>55</v>
      </c>
      <c r="L197" s="239">
        <v>1269</v>
      </c>
      <c r="M197" s="239">
        <v>1790</v>
      </c>
      <c r="N197" s="239">
        <v>3081</v>
      </c>
      <c r="O197" s="241">
        <v>37096</v>
      </c>
      <c r="P197" s="240">
        <v>55</v>
      </c>
      <c r="Q197" s="239">
        <v>1275</v>
      </c>
      <c r="R197" s="239">
        <v>1015</v>
      </c>
      <c r="S197" s="239">
        <v>2304</v>
      </c>
      <c r="T197" s="241">
        <v>27112</v>
      </c>
    </row>
    <row r="198" spans="1:20" x14ac:dyDescent="0.45">
      <c r="A198" s="240">
        <v>57</v>
      </c>
      <c r="B198" s="239">
        <v>860</v>
      </c>
      <c r="C198" s="239">
        <v>324</v>
      </c>
      <c r="D198" s="239">
        <v>1190</v>
      </c>
      <c r="E198" s="241">
        <v>13662</v>
      </c>
      <c r="F198" s="240">
        <v>55</v>
      </c>
      <c r="G198" s="239">
        <v>1624</v>
      </c>
      <c r="H198" s="239">
        <v>1469</v>
      </c>
      <c r="I198" s="239">
        <v>3115</v>
      </c>
      <c r="J198" s="241">
        <v>22389</v>
      </c>
      <c r="K198" s="240">
        <v>54</v>
      </c>
      <c r="L198" s="239">
        <v>1503</v>
      </c>
      <c r="M198" s="239">
        <v>2153</v>
      </c>
      <c r="N198" s="239">
        <v>3676</v>
      </c>
      <c r="O198" s="241">
        <v>40772</v>
      </c>
      <c r="P198" s="240">
        <v>54</v>
      </c>
      <c r="Q198" s="239">
        <v>1315</v>
      </c>
      <c r="R198" s="239">
        <v>1083</v>
      </c>
      <c r="S198" s="239">
        <v>2418</v>
      </c>
      <c r="T198" s="241">
        <v>29530</v>
      </c>
    </row>
    <row r="199" spans="1:20" x14ac:dyDescent="0.45">
      <c r="A199" s="240">
        <v>56</v>
      </c>
      <c r="B199" s="239">
        <v>961</v>
      </c>
      <c r="C199" s="239">
        <v>348</v>
      </c>
      <c r="D199" s="239">
        <v>1324</v>
      </c>
      <c r="E199" s="241">
        <v>14986</v>
      </c>
      <c r="F199" s="240">
        <v>54</v>
      </c>
      <c r="G199" s="239">
        <v>926</v>
      </c>
      <c r="H199" s="239">
        <v>862</v>
      </c>
      <c r="I199" s="239">
        <v>1806</v>
      </c>
      <c r="J199" s="241">
        <v>24195</v>
      </c>
      <c r="K199" s="240">
        <v>53</v>
      </c>
      <c r="L199" s="239">
        <v>1429</v>
      </c>
      <c r="M199" s="239">
        <v>1962</v>
      </c>
      <c r="N199" s="239">
        <v>3418</v>
      </c>
      <c r="O199" s="241">
        <v>44190</v>
      </c>
      <c r="P199" s="240">
        <v>53</v>
      </c>
      <c r="Q199" s="239">
        <v>1465</v>
      </c>
      <c r="R199" s="239">
        <v>1219</v>
      </c>
      <c r="S199" s="239">
        <v>2704</v>
      </c>
      <c r="T199" s="241">
        <v>32234</v>
      </c>
    </row>
    <row r="200" spans="1:20" x14ac:dyDescent="0.45">
      <c r="A200" s="240">
        <v>55</v>
      </c>
      <c r="B200" s="239">
        <v>911</v>
      </c>
      <c r="C200" s="239">
        <v>338</v>
      </c>
      <c r="D200" s="239">
        <v>1257</v>
      </c>
      <c r="E200" s="241">
        <v>16243</v>
      </c>
      <c r="F200" s="240">
        <v>53</v>
      </c>
      <c r="G200" s="239">
        <v>929</v>
      </c>
      <c r="H200" s="239">
        <v>913</v>
      </c>
      <c r="I200" s="239">
        <v>1855</v>
      </c>
      <c r="J200" s="241">
        <v>26050</v>
      </c>
      <c r="K200" s="240">
        <v>52</v>
      </c>
      <c r="L200" s="239">
        <v>1515</v>
      </c>
      <c r="M200" s="239">
        <v>2273</v>
      </c>
      <c r="N200" s="239">
        <v>3817</v>
      </c>
      <c r="O200" s="241">
        <v>48007</v>
      </c>
      <c r="P200" s="240">
        <v>52</v>
      </c>
      <c r="Q200" s="239">
        <v>1387</v>
      </c>
      <c r="R200" s="239">
        <v>1076</v>
      </c>
      <c r="S200" s="239">
        <v>2491</v>
      </c>
      <c r="T200" s="241">
        <v>34725</v>
      </c>
    </row>
    <row r="201" spans="1:20" x14ac:dyDescent="0.45">
      <c r="A201" s="240">
        <v>54</v>
      </c>
      <c r="B201" s="239">
        <v>1048</v>
      </c>
      <c r="C201" s="239">
        <v>390</v>
      </c>
      <c r="D201" s="239">
        <v>1442</v>
      </c>
      <c r="E201" s="241">
        <v>17685</v>
      </c>
      <c r="F201" s="240">
        <v>52</v>
      </c>
      <c r="G201" s="239">
        <v>988</v>
      </c>
      <c r="H201" s="239">
        <v>924</v>
      </c>
      <c r="I201" s="239">
        <v>1929</v>
      </c>
      <c r="J201" s="241">
        <v>27979</v>
      </c>
      <c r="K201" s="240">
        <v>51</v>
      </c>
      <c r="L201" s="239">
        <v>1587</v>
      </c>
      <c r="M201" s="239">
        <v>2271</v>
      </c>
      <c r="N201" s="239">
        <v>3890</v>
      </c>
      <c r="O201" s="241">
        <v>51897</v>
      </c>
      <c r="P201" s="240">
        <v>51</v>
      </c>
      <c r="Q201" s="239">
        <v>1549</v>
      </c>
      <c r="R201" s="239">
        <v>1313</v>
      </c>
      <c r="S201" s="239">
        <v>2883</v>
      </c>
      <c r="T201" s="241">
        <v>37608</v>
      </c>
    </row>
    <row r="202" spans="1:20" x14ac:dyDescent="0.45">
      <c r="A202" s="240">
        <v>53</v>
      </c>
      <c r="B202" s="239">
        <v>1058</v>
      </c>
      <c r="C202" s="239">
        <v>390</v>
      </c>
      <c r="D202" s="239">
        <v>1463</v>
      </c>
      <c r="E202" s="241">
        <v>19148</v>
      </c>
      <c r="F202" s="240">
        <v>51</v>
      </c>
      <c r="G202" s="239">
        <v>1012</v>
      </c>
      <c r="H202" s="239">
        <v>981</v>
      </c>
      <c r="I202" s="239">
        <v>2003</v>
      </c>
      <c r="J202" s="241">
        <v>29982</v>
      </c>
      <c r="K202" s="240">
        <v>50</v>
      </c>
      <c r="L202" s="239">
        <v>1519</v>
      </c>
      <c r="M202" s="239">
        <v>2198</v>
      </c>
      <c r="N202" s="239">
        <v>3747</v>
      </c>
      <c r="O202" s="241">
        <v>55644</v>
      </c>
      <c r="P202" s="240">
        <v>50</v>
      </c>
      <c r="Q202" s="239">
        <v>1585</v>
      </c>
      <c r="R202" s="239">
        <v>1265</v>
      </c>
      <c r="S202" s="239">
        <v>2872</v>
      </c>
      <c r="T202" s="241">
        <v>40480</v>
      </c>
    </row>
    <row r="203" spans="1:20" x14ac:dyDescent="0.45">
      <c r="A203" s="240">
        <v>52</v>
      </c>
      <c r="B203" s="239">
        <v>1235</v>
      </c>
      <c r="C203" s="239">
        <v>440</v>
      </c>
      <c r="D203" s="239">
        <v>1697</v>
      </c>
      <c r="E203" s="241">
        <v>20845</v>
      </c>
      <c r="F203" s="240">
        <v>50</v>
      </c>
      <c r="G203" s="239">
        <v>1237</v>
      </c>
      <c r="H203" s="239">
        <v>1158</v>
      </c>
      <c r="I203" s="239">
        <v>2412</v>
      </c>
      <c r="J203" s="241">
        <v>32394</v>
      </c>
      <c r="K203" s="240">
        <v>49</v>
      </c>
      <c r="L203" s="239">
        <v>1812</v>
      </c>
      <c r="M203" s="239">
        <v>2584</v>
      </c>
      <c r="N203" s="239">
        <v>4429</v>
      </c>
      <c r="O203" s="241">
        <v>60073</v>
      </c>
      <c r="P203" s="240">
        <v>49</v>
      </c>
      <c r="Q203" s="239">
        <v>1563</v>
      </c>
      <c r="R203" s="239">
        <v>1285</v>
      </c>
      <c r="S203" s="239">
        <v>2868</v>
      </c>
      <c r="T203" s="241">
        <v>43348</v>
      </c>
    </row>
    <row r="204" spans="1:20" x14ac:dyDescent="0.45">
      <c r="A204" s="240">
        <v>51</v>
      </c>
      <c r="B204" s="239">
        <v>1352</v>
      </c>
      <c r="C204" s="239">
        <v>493</v>
      </c>
      <c r="D204" s="239">
        <v>1860</v>
      </c>
      <c r="E204" s="241">
        <v>22705</v>
      </c>
      <c r="F204" s="240">
        <v>49</v>
      </c>
      <c r="G204" s="239">
        <v>1222</v>
      </c>
      <c r="H204" s="239">
        <v>1155</v>
      </c>
      <c r="I204" s="239">
        <v>2398</v>
      </c>
      <c r="J204" s="241">
        <v>34792</v>
      </c>
      <c r="K204" s="240">
        <v>48</v>
      </c>
      <c r="L204" s="239">
        <v>1577</v>
      </c>
      <c r="M204" s="239">
        <v>2246</v>
      </c>
      <c r="N204" s="239">
        <v>3848</v>
      </c>
      <c r="O204" s="241">
        <v>63921</v>
      </c>
      <c r="P204" s="240">
        <v>48</v>
      </c>
      <c r="Q204" s="239">
        <v>1657</v>
      </c>
      <c r="R204" s="239">
        <v>1349</v>
      </c>
      <c r="S204" s="239">
        <v>3038</v>
      </c>
      <c r="T204" s="241">
        <v>46386</v>
      </c>
    </row>
    <row r="205" spans="1:20" x14ac:dyDescent="0.45">
      <c r="A205" s="240">
        <v>50</v>
      </c>
      <c r="B205" s="239">
        <v>1349</v>
      </c>
      <c r="C205" s="239">
        <v>506</v>
      </c>
      <c r="D205" s="239">
        <v>1871</v>
      </c>
      <c r="E205" s="241">
        <v>24576</v>
      </c>
      <c r="F205" s="240">
        <v>48</v>
      </c>
      <c r="G205" s="239">
        <v>1317</v>
      </c>
      <c r="H205" s="239">
        <v>1178</v>
      </c>
      <c r="I205" s="239">
        <v>2511</v>
      </c>
      <c r="J205" s="241">
        <v>37303</v>
      </c>
      <c r="K205" s="240">
        <v>47</v>
      </c>
      <c r="L205" s="239">
        <v>1866</v>
      </c>
      <c r="M205" s="239">
        <v>2529</v>
      </c>
      <c r="N205" s="239">
        <v>4433</v>
      </c>
      <c r="O205" s="241">
        <v>68354</v>
      </c>
      <c r="P205" s="240">
        <v>47</v>
      </c>
      <c r="Q205" s="239">
        <v>1662</v>
      </c>
      <c r="R205" s="239">
        <v>1302</v>
      </c>
      <c r="S205" s="239">
        <v>2981</v>
      </c>
      <c r="T205" s="241">
        <v>49367</v>
      </c>
    </row>
    <row r="206" spans="1:20" x14ac:dyDescent="0.45">
      <c r="A206" s="240">
        <v>49</v>
      </c>
      <c r="B206" s="239">
        <v>1556</v>
      </c>
      <c r="C206" s="239">
        <v>575</v>
      </c>
      <c r="D206" s="239">
        <v>2142</v>
      </c>
      <c r="E206" s="241">
        <v>26718</v>
      </c>
      <c r="F206" s="240">
        <v>47</v>
      </c>
      <c r="G206" s="239">
        <v>1368</v>
      </c>
      <c r="H206" s="239">
        <v>1289</v>
      </c>
      <c r="I206" s="239">
        <v>2681</v>
      </c>
      <c r="J206" s="241">
        <v>39984</v>
      </c>
      <c r="K206" s="240">
        <v>46</v>
      </c>
      <c r="L206" s="239">
        <v>1783</v>
      </c>
      <c r="M206" s="239">
        <v>2428</v>
      </c>
      <c r="N206" s="239">
        <v>4251</v>
      </c>
      <c r="O206" s="241">
        <v>72605</v>
      </c>
      <c r="P206" s="240">
        <v>46</v>
      </c>
      <c r="Q206" s="239">
        <v>1748</v>
      </c>
      <c r="R206" s="239">
        <v>1347</v>
      </c>
      <c r="S206" s="239">
        <v>3125</v>
      </c>
      <c r="T206" s="241">
        <v>52492</v>
      </c>
    </row>
    <row r="207" spans="1:20" x14ac:dyDescent="0.45">
      <c r="A207" s="240">
        <v>48</v>
      </c>
      <c r="B207" s="239">
        <v>1528</v>
      </c>
      <c r="C207" s="239">
        <v>548</v>
      </c>
      <c r="D207" s="239">
        <v>2094</v>
      </c>
      <c r="E207" s="241">
        <v>28812</v>
      </c>
      <c r="F207" s="240">
        <v>46</v>
      </c>
      <c r="G207" s="239">
        <v>1510</v>
      </c>
      <c r="H207" s="239">
        <v>1243</v>
      </c>
      <c r="I207" s="239">
        <v>2776</v>
      </c>
      <c r="J207" s="241">
        <v>42760</v>
      </c>
      <c r="K207" s="240">
        <v>45</v>
      </c>
      <c r="L207" s="239">
        <v>1730</v>
      </c>
      <c r="M207" s="239">
        <v>2119</v>
      </c>
      <c r="N207" s="239">
        <v>3882</v>
      </c>
      <c r="O207" s="241">
        <v>76487</v>
      </c>
      <c r="P207" s="240">
        <v>45</v>
      </c>
      <c r="Q207" s="239">
        <v>1700</v>
      </c>
      <c r="R207" s="239">
        <v>1289</v>
      </c>
      <c r="S207" s="239">
        <v>3009</v>
      </c>
      <c r="T207" s="241">
        <v>55501</v>
      </c>
    </row>
    <row r="208" spans="1:20" x14ac:dyDescent="0.45">
      <c r="A208" s="240">
        <v>47</v>
      </c>
      <c r="B208" s="239">
        <v>1806</v>
      </c>
      <c r="C208" s="239">
        <v>631</v>
      </c>
      <c r="D208" s="239">
        <v>2452</v>
      </c>
      <c r="E208" s="241">
        <v>31264</v>
      </c>
      <c r="F208" s="240">
        <v>45</v>
      </c>
      <c r="G208" s="239">
        <v>1657</v>
      </c>
      <c r="H208" s="239">
        <v>1417</v>
      </c>
      <c r="I208" s="239">
        <v>3096</v>
      </c>
      <c r="J208" s="241">
        <v>45856</v>
      </c>
      <c r="K208" s="240">
        <v>44</v>
      </c>
      <c r="L208" s="239">
        <v>1989</v>
      </c>
      <c r="M208" s="239">
        <v>2451</v>
      </c>
      <c r="N208" s="239">
        <v>4471</v>
      </c>
      <c r="O208" s="241">
        <v>80958</v>
      </c>
      <c r="P208" s="240">
        <v>44</v>
      </c>
      <c r="Q208" s="239">
        <v>3505</v>
      </c>
      <c r="R208" s="239">
        <v>2524</v>
      </c>
      <c r="S208" s="239">
        <v>6088</v>
      </c>
      <c r="T208" s="241">
        <v>61589</v>
      </c>
    </row>
    <row r="209" spans="1:20" x14ac:dyDescent="0.45">
      <c r="A209" s="240">
        <v>46</v>
      </c>
      <c r="B209" s="239">
        <v>1678</v>
      </c>
      <c r="C209" s="239">
        <v>674</v>
      </c>
      <c r="D209" s="239">
        <v>2374</v>
      </c>
      <c r="E209" s="241">
        <v>33638</v>
      </c>
      <c r="F209" s="240">
        <v>44</v>
      </c>
      <c r="G209" s="239">
        <v>1517</v>
      </c>
      <c r="H209" s="239">
        <v>1263</v>
      </c>
      <c r="I209" s="239">
        <v>2805</v>
      </c>
      <c r="J209" s="241">
        <v>48661</v>
      </c>
      <c r="K209" s="240">
        <v>43</v>
      </c>
      <c r="L209" s="239">
        <v>1636</v>
      </c>
      <c r="M209" s="239">
        <v>1897</v>
      </c>
      <c r="N209" s="239">
        <v>3562</v>
      </c>
      <c r="O209" s="241">
        <v>84520</v>
      </c>
      <c r="P209" s="240">
        <v>43</v>
      </c>
      <c r="Q209" s="239">
        <v>1567</v>
      </c>
      <c r="R209" s="239">
        <v>1051</v>
      </c>
      <c r="S209" s="239">
        <v>2647</v>
      </c>
      <c r="T209" s="241">
        <v>64236</v>
      </c>
    </row>
    <row r="210" spans="1:20" x14ac:dyDescent="0.45">
      <c r="A210" s="240">
        <v>45</v>
      </c>
      <c r="B210" s="239">
        <v>3087</v>
      </c>
      <c r="C210" s="239">
        <v>849</v>
      </c>
      <c r="D210" s="239">
        <v>3978</v>
      </c>
      <c r="E210" s="241">
        <v>37616</v>
      </c>
      <c r="F210" s="240">
        <v>43</v>
      </c>
      <c r="G210" s="239">
        <v>3360</v>
      </c>
      <c r="H210" s="239">
        <v>2638</v>
      </c>
      <c r="I210" s="239">
        <v>6053</v>
      </c>
      <c r="J210" s="241">
        <v>54714</v>
      </c>
      <c r="K210" s="240">
        <v>42</v>
      </c>
      <c r="L210" s="239">
        <v>2049</v>
      </c>
      <c r="M210" s="239">
        <v>2199</v>
      </c>
      <c r="N210" s="239">
        <v>4280</v>
      </c>
      <c r="O210" s="241">
        <v>88800</v>
      </c>
      <c r="P210" s="240">
        <v>42</v>
      </c>
      <c r="Q210" s="239">
        <v>1795</v>
      </c>
      <c r="R210" s="239">
        <v>1163</v>
      </c>
      <c r="S210" s="239">
        <v>2985</v>
      </c>
      <c r="T210" s="241">
        <v>67221</v>
      </c>
    </row>
    <row r="211" spans="1:20" x14ac:dyDescent="0.45">
      <c r="A211" s="240">
        <v>44</v>
      </c>
      <c r="B211" s="239">
        <v>1845</v>
      </c>
      <c r="C211" s="239">
        <v>658</v>
      </c>
      <c r="D211" s="239">
        <v>2528</v>
      </c>
      <c r="E211" s="241">
        <v>40144</v>
      </c>
      <c r="F211" s="240">
        <v>42</v>
      </c>
      <c r="G211" s="239">
        <v>1706</v>
      </c>
      <c r="H211" s="239">
        <v>1176</v>
      </c>
      <c r="I211" s="239">
        <v>2910</v>
      </c>
      <c r="J211" s="241">
        <v>57624</v>
      </c>
      <c r="K211" s="240">
        <v>41</v>
      </c>
      <c r="L211" s="239">
        <v>1577</v>
      </c>
      <c r="M211" s="239">
        <v>1796</v>
      </c>
      <c r="N211" s="239">
        <v>3410</v>
      </c>
      <c r="O211" s="241">
        <v>92210</v>
      </c>
      <c r="P211" s="240">
        <v>41</v>
      </c>
      <c r="Q211" s="239">
        <v>1419</v>
      </c>
      <c r="R211" s="239">
        <v>900</v>
      </c>
      <c r="S211" s="239">
        <v>2341</v>
      </c>
      <c r="T211" s="241">
        <v>69562</v>
      </c>
    </row>
    <row r="212" spans="1:20" x14ac:dyDescent="0.45">
      <c r="A212" s="240">
        <v>43</v>
      </c>
      <c r="B212" s="239">
        <v>3733</v>
      </c>
      <c r="C212" s="239">
        <v>1303</v>
      </c>
      <c r="D212" s="239">
        <v>5075</v>
      </c>
      <c r="E212" s="241">
        <v>45219</v>
      </c>
      <c r="F212" s="240">
        <v>41</v>
      </c>
      <c r="G212" s="239">
        <v>1520</v>
      </c>
      <c r="H212" s="239">
        <v>1045</v>
      </c>
      <c r="I212" s="239">
        <v>2593</v>
      </c>
      <c r="J212" s="241">
        <v>60217</v>
      </c>
      <c r="K212" s="240">
        <v>40</v>
      </c>
      <c r="L212" s="239">
        <v>3067</v>
      </c>
      <c r="M212" s="239">
        <v>2035</v>
      </c>
      <c r="N212" s="239">
        <v>5163</v>
      </c>
      <c r="O212" s="241">
        <v>97373</v>
      </c>
      <c r="P212" s="240">
        <v>40</v>
      </c>
      <c r="Q212" s="239">
        <v>4171</v>
      </c>
      <c r="R212" s="239">
        <v>1887</v>
      </c>
      <c r="S212" s="239">
        <v>6138</v>
      </c>
      <c r="T212" s="241">
        <v>75700</v>
      </c>
    </row>
    <row r="213" spans="1:20" x14ac:dyDescent="0.45">
      <c r="A213" s="240">
        <v>42</v>
      </c>
      <c r="B213" s="239">
        <v>1854</v>
      </c>
      <c r="C213" s="239">
        <v>568</v>
      </c>
      <c r="D213" s="239">
        <v>2443</v>
      </c>
      <c r="E213" s="241">
        <v>47662</v>
      </c>
      <c r="F213" s="240">
        <v>40</v>
      </c>
      <c r="G213" s="239">
        <v>2281</v>
      </c>
      <c r="H213" s="239">
        <v>1188</v>
      </c>
      <c r="I213" s="239">
        <v>3500</v>
      </c>
      <c r="J213" s="241">
        <v>63717</v>
      </c>
      <c r="K213" s="240">
        <v>39</v>
      </c>
      <c r="L213" s="239">
        <v>1561</v>
      </c>
      <c r="M213" s="239">
        <v>1485</v>
      </c>
      <c r="N213" s="239">
        <v>3071</v>
      </c>
      <c r="O213" s="241">
        <v>100444</v>
      </c>
      <c r="P213" s="240">
        <v>39</v>
      </c>
      <c r="Q213" s="239">
        <v>1166</v>
      </c>
      <c r="R213" s="239">
        <v>756</v>
      </c>
      <c r="S213" s="239">
        <v>1941</v>
      </c>
      <c r="T213" s="241">
        <v>77641</v>
      </c>
    </row>
    <row r="214" spans="1:20" x14ac:dyDescent="0.45">
      <c r="A214" s="240">
        <v>41</v>
      </c>
      <c r="B214" s="239">
        <v>2486</v>
      </c>
      <c r="C214" s="239">
        <v>634</v>
      </c>
      <c r="D214" s="239">
        <v>3161</v>
      </c>
      <c r="E214" s="241">
        <v>50823</v>
      </c>
      <c r="F214" s="240">
        <v>39</v>
      </c>
      <c r="G214" s="239">
        <v>1379</v>
      </c>
      <c r="H214" s="239">
        <v>894</v>
      </c>
      <c r="I214" s="239">
        <v>2295</v>
      </c>
      <c r="J214" s="241">
        <v>66012</v>
      </c>
      <c r="K214" s="240">
        <v>38</v>
      </c>
      <c r="L214" s="239">
        <v>1205</v>
      </c>
      <c r="M214" s="239">
        <v>1048</v>
      </c>
      <c r="N214" s="239">
        <v>2272</v>
      </c>
      <c r="O214" s="241">
        <v>102716</v>
      </c>
      <c r="P214" s="240">
        <v>38</v>
      </c>
      <c r="Q214" s="239">
        <v>1405</v>
      </c>
      <c r="R214" s="239">
        <v>697</v>
      </c>
      <c r="S214" s="239">
        <v>2117</v>
      </c>
      <c r="T214" s="241">
        <v>79758</v>
      </c>
    </row>
    <row r="215" spans="1:20" x14ac:dyDescent="0.45">
      <c r="A215" s="240">
        <v>40</v>
      </c>
      <c r="B215" s="239">
        <v>1318</v>
      </c>
      <c r="C215" s="239">
        <v>396</v>
      </c>
      <c r="D215" s="239">
        <v>1730</v>
      </c>
      <c r="E215" s="241">
        <v>52553</v>
      </c>
      <c r="F215" s="240">
        <v>38</v>
      </c>
      <c r="G215" s="239">
        <v>840</v>
      </c>
      <c r="H215" s="239">
        <v>527</v>
      </c>
      <c r="I215" s="239">
        <v>1378</v>
      </c>
      <c r="J215" s="241">
        <v>67390</v>
      </c>
      <c r="K215" s="240">
        <v>37</v>
      </c>
      <c r="L215" s="239">
        <v>2493</v>
      </c>
      <c r="M215" s="239">
        <v>1674</v>
      </c>
      <c r="N215" s="239">
        <v>4216</v>
      </c>
      <c r="O215" s="241">
        <v>106932</v>
      </c>
      <c r="P215" s="240">
        <v>37</v>
      </c>
      <c r="Q215" s="239">
        <v>1059</v>
      </c>
      <c r="R215" s="239">
        <v>554</v>
      </c>
      <c r="S215" s="239">
        <v>1627</v>
      </c>
      <c r="T215" s="241">
        <v>81385</v>
      </c>
    </row>
    <row r="216" spans="1:20" x14ac:dyDescent="0.45">
      <c r="A216" s="240">
        <v>39</v>
      </c>
      <c r="B216" s="239">
        <v>1350</v>
      </c>
      <c r="C216" s="239">
        <v>404</v>
      </c>
      <c r="D216" s="239">
        <v>1771</v>
      </c>
      <c r="E216" s="241">
        <v>54324</v>
      </c>
      <c r="F216" s="240">
        <v>37</v>
      </c>
      <c r="G216" s="239">
        <v>1976</v>
      </c>
      <c r="H216" s="239">
        <v>785</v>
      </c>
      <c r="I216" s="239">
        <v>2799</v>
      </c>
      <c r="J216" s="241">
        <v>70189</v>
      </c>
      <c r="K216" s="240">
        <v>36</v>
      </c>
      <c r="L216" s="239">
        <v>1207</v>
      </c>
      <c r="M216" s="239">
        <v>917</v>
      </c>
      <c r="N216" s="239">
        <v>2150</v>
      </c>
      <c r="O216" s="241">
        <v>109082</v>
      </c>
      <c r="P216" s="240">
        <v>36</v>
      </c>
      <c r="Q216" s="239">
        <v>754</v>
      </c>
      <c r="R216" s="239">
        <v>419</v>
      </c>
      <c r="S216" s="239">
        <v>1189</v>
      </c>
      <c r="T216" s="241">
        <v>82574</v>
      </c>
    </row>
    <row r="217" spans="1:20" x14ac:dyDescent="0.45">
      <c r="A217" s="240">
        <v>38</v>
      </c>
      <c r="B217" s="239">
        <v>1000</v>
      </c>
      <c r="C217" s="239">
        <v>283</v>
      </c>
      <c r="D217" s="239">
        <v>1294</v>
      </c>
      <c r="E217" s="241">
        <v>55618</v>
      </c>
      <c r="F217" s="240">
        <v>36</v>
      </c>
      <c r="G217" s="239">
        <v>485</v>
      </c>
      <c r="H217" s="239">
        <v>338</v>
      </c>
      <c r="I217" s="239">
        <v>830</v>
      </c>
      <c r="J217" s="241">
        <v>71019</v>
      </c>
      <c r="K217" s="240">
        <v>35</v>
      </c>
      <c r="L217" s="239">
        <v>1188</v>
      </c>
      <c r="M217" s="239">
        <v>776</v>
      </c>
      <c r="N217" s="239">
        <v>1979</v>
      </c>
      <c r="O217" s="241">
        <v>111061</v>
      </c>
      <c r="P217" s="240">
        <v>35</v>
      </c>
      <c r="Q217" s="239">
        <v>1104</v>
      </c>
      <c r="R217" s="239">
        <v>499</v>
      </c>
      <c r="S217" s="239">
        <v>1613</v>
      </c>
      <c r="T217" s="241">
        <v>84187</v>
      </c>
    </row>
    <row r="218" spans="1:20" x14ac:dyDescent="0.45">
      <c r="A218" s="240">
        <v>37</v>
      </c>
      <c r="B218" s="239">
        <v>768</v>
      </c>
      <c r="C218" s="239">
        <v>190</v>
      </c>
      <c r="D218" s="239">
        <v>965</v>
      </c>
      <c r="E218" s="241">
        <v>56583</v>
      </c>
      <c r="F218" s="240">
        <v>35</v>
      </c>
      <c r="G218" s="239">
        <v>457</v>
      </c>
      <c r="H218" s="239">
        <v>237</v>
      </c>
      <c r="I218" s="239">
        <v>698</v>
      </c>
      <c r="J218" s="241">
        <v>71717</v>
      </c>
      <c r="K218" s="240">
        <v>34</v>
      </c>
      <c r="L218" s="239">
        <v>786</v>
      </c>
      <c r="M218" s="239">
        <v>496</v>
      </c>
      <c r="N218" s="239">
        <v>1293</v>
      </c>
      <c r="O218" s="241">
        <v>112354</v>
      </c>
      <c r="P218" s="240">
        <v>34</v>
      </c>
      <c r="Q218" s="239">
        <v>388</v>
      </c>
      <c r="R218" s="239">
        <v>208</v>
      </c>
      <c r="S218" s="239">
        <v>603</v>
      </c>
      <c r="T218" s="241">
        <v>84790</v>
      </c>
    </row>
    <row r="219" spans="1:20" x14ac:dyDescent="0.45">
      <c r="A219" s="240">
        <v>36</v>
      </c>
      <c r="B219" s="239">
        <v>604</v>
      </c>
      <c r="C219" s="239">
        <v>169</v>
      </c>
      <c r="D219" s="239">
        <v>780</v>
      </c>
      <c r="E219" s="241">
        <v>57363</v>
      </c>
      <c r="F219" s="240">
        <v>34</v>
      </c>
      <c r="G219" s="239">
        <v>258</v>
      </c>
      <c r="H219" s="239">
        <v>180</v>
      </c>
      <c r="I219" s="239">
        <v>443</v>
      </c>
      <c r="J219" s="241">
        <v>72160</v>
      </c>
      <c r="K219" s="240">
        <v>33</v>
      </c>
      <c r="L219" s="239">
        <v>468</v>
      </c>
      <c r="M219" s="239">
        <v>317</v>
      </c>
      <c r="N219" s="239">
        <v>792</v>
      </c>
      <c r="O219" s="241">
        <v>113146</v>
      </c>
      <c r="P219" s="240">
        <v>33</v>
      </c>
      <c r="Q219" s="239">
        <v>493</v>
      </c>
      <c r="R219" s="239">
        <v>190</v>
      </c>
      <c r="S219" s="239">
        <v>693</v>
      </c>
      <c r="T219" s="241">
        <v>85483</v>
      </c>
    </row>
    <row r="220" spans="1:20" x14ac:dyDescent="0.45">
      <c r="A220" s="240">
        <v>35</v>
      </c>
      <c r="B220" s="239">
        <v>366</v>
      </c>
      <c r="C220" s="239">
        <v>100</v>
      </c>
      <c r="D220" s="239">
        <v>469</v>
      </c>
      <c r="E220" s="241">
        <v>57832</v>
      </c>
      <c r="F220" s="240">
        <v>33</v>
      </c>
      <c r="G220" s="239">
        <v>128</v>
      </c>
      <c r="H220" s="239">
        <v>50</v>
      </c>
      <c r="I220" s="239">
        <v>179</v>
      </c>
      <c r="J220" s="241">
        <v>72339</v>
      </c>
      <c r="K220" s="240">
        <v>32</v>
      </c>
      <c r="L220" s="239">
        <v>454</v>
      </c>
      <c r="M220" s="239">
        <v>305</v>
      </c>
      <c r="N220" s="239">
        <v>772</v>
      </c>
      <c r="O220" s="241">
        <v>113918</v>
      </c>
      <c r="P220" s="240">
        <v>32</v>
      </c>
      <c r="Q220" s="239">
        <v>204</v>
      </c>
      <c r="R220" s="239">
        <v>112</v>
      </c>
      <c r="S220" s="239">
        <v>322</v>
      </c>
      <c r="T220" s="241">
        <v>85805</v>
      </c>
    </row>
    <row r="221" spans="1:20" x14ac:dyDescent="0.45">
      <c r="A221" s="240">
        <v>34</v>
      </c>
      <c r="B221" s="239">
        <v>193</v>
      </c>
      <c r="C221" s="239">
        <v>48</v>
      </c>
      <c r="D221" s="239">
        <v>247</v>
      </c>
      <c r="E221" s="241">
        <v>58079</v>
      </c>
      <c r="F221" s="240">
        <v>32</v>
      </c>
      <c r="G221" s="239">
        <v>169</v>
      </c>
      <c r="H221" s="239">
        <v>90</v>
      </c>
      <c r="I221" s="239">
        <v>266</v>
      </c>
      <c r="J221" s="241">
        <v>72605</v>
      </c>
      <c r="K221" s="240">
        <v>31</v>
      </c>
      <c r="L221" s="239">
        <v>207</v>
      </c>
      <c r="M221" s="239">
        <v>159</v>
      </c>
      <c r="N221" s="239">
        <v>374</v>
      </c>
      <c r="O221" s="241">
        <v>114292</v>
      </c>
      <c r="P221" s="240">
        <v>31</v>
      </c>
      <c r="Q221" s="239">
        <v>164</v>
      </c>
      <c r="R221" s="239">
        <v>72</v>
      </c>
      <c r="S221" s="239">
        <v>244</v>
      </c>
      <c r="T221" s="241">
        <v>86049</v>
      </c>
    </row>
    <row r="222" spans="1:20" x14ac:dyDescent="0.45">
      <c r="A222" s="240">
        <v>33</v>
      </c>
      <c r="B222" s="239">
        <v>267</v>
      </c>
      <c r="C222" s="239">
        <v>66</v>
      </c>
      <c r="D222" s="239">
        <v>335</v>
      </c>
      <c r="E222" s="241">
        <v>58414</v>
      </c>
      <c r="F222" s="240">
        <v>31</v>
      </c>
      <c r="G222" s="239">
        <v>65</v>
      </c>
      <c r="H222" s="239">
        <v>26</v>
      </c>
      <c r="I222" s="239">
        <v>94</v>
      </c>
      <c r="J222" s="241">
        <v>72699</v>
      </c>
      <c r="K222" s="240">
        <v>30</v>
      </c>
      <c r="L222" s="239">
        <v>176</v>
      </c>
      <c r="M222" s="239">
        <v>78</v>
      </c>
      <c r="N222" s="239">
        <v>258</v>
      </c>
      <c r="O222" s="241">
        <v>114550</v>
      </c>
      <c r="P222" s="240">
        <v>30</v>
      </c>
      <c r="Q222" s="239">
        <v>197</v>
      </c>
      <c r="R222" s="239">
        <v>83</v>
      </c>
      <c r="S222" s="239">
        <v>284</v>
      </c>
      <c r="T222" s="241">
        <v>86333</v>
      </c>
    </row>
    <row r="223" spans="1:20" x14ac:dyDescent="0.45">
      <c r="A223" s="240">
        <v>31</v>
      </c>
      <c r="B223" s="239">
        <v>100</v>
      </c>
      <c r="C223" s="239">
        <v>22</v>
      </c>
      <c r="D223" s="239">
        <v>124</v>
      </c>
      <c r="E223" s="241">
        <v>58538</v>
      </c>
      <c r="F223" s="240"/>
      <c r="G223" s="239"/>
      <c r="H223" s="239"/>
      <c r="I223" s="239"/>
      <c r="J223" s="241"/>
      <c r="K223" s="243">
        <v>29</v>
      </c>
      <c r="L223" s="239">
        <v>153</v>
      </c>
      <c r="M223" s="239">
        <v>98</v>
      </c>
      <c r="N223" s="239">
        <v>252</v>
      </c>
      <c r="O223" s="241">
        <v>114802</v>
      </c>
      <c r="P223" s="240">
        <v>28</v>
      </c>
      <c r="Q223" s="239">
        <v>70</v>
      </c>
      <c r="R223" s="239">
        <v>26</v>
      </c>
      <c r="S223" s="239">
        <v>97</v>
      </c>
      <c r="T223" s="241">
        <v>86430</v>
      </c>
    </row>
    <row r="224" spans="1:20" x14ac:dyDescent="0.45">
      <c r="A224" s="240"/>
      <c r="B224" s="239"/>
      <c r="C224" s="239"/>
      <c r="D224" s="239"/>
      <c r="E224" s="241"/>
      <c r="F224" s="240"/>
      <c r="G224" s="239"/>
      <c r="H224" s="239"/>
      <c r="I224" s="239"/>
      <c r="J224" s="241"/>
      <c r="K224" s="243">
        <v>27</v>
      </c>
      <c r="L224" s="239">
        <v>78</v>
      </c>
      <c r="M224" s="239">
        <v>43</v>
      </c>
      <c r="N224" s="239">
        <v>122</v>
      </c>
      <c r="O224" s="241">
        <v>114924</v>
      </c>
      <c r="P224" s="240"/>
      <c r="Q224" s="239"/>
      <c r="R224" s="239"/>
      <c r="S224" s="239"/>
      <c r="T224" s="241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4B5DD-2734-4EE0-BFFB-E8EF25ED5316}">
  <sheetPr codeName="Sheet6"/>
  <dimension ref="A1:Q110"/>
  <sheetViews>
    <sheetView tabSelected="1" zoomScale="55" zoomScaleNormal="55" workbookViewId="0">
      <selection activeCell="F22" sqref="F22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  <col min="13" max="13" width="13.75" customWidth="1"/>
    <col min="14" max="14" width="12.1640625" customWidth="1"/>
  </cols>
  <sheetData>
    <row r="1" spans="1:17" x14ac:dyDescent="0.45">
      <c r="A1" s="5" t="s">
        <v>66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ht="25" customHeight="1" thickBot="1" x14ac:dyDescent="0.5">
      <c r="A3" s="5"/>
      <c r="B3" s="30"/>
      <c r="C3" s="48" t="s">
        <v>68</v>
      </c>
      <c r="D3" s="163" t="s">
        <v>134</v>
      </c>
      <c r="E3" s="164"/>
      <c r="F3" s="165"/>
      <c r="G3" s="48" t="s">
        <v>69</v>
      </c>
      <c r="H3" s="49" t="str">
        <f>'통계 및 응시자 수 입력 기능'!D4</f>
        <v>51.64</v>
      </c>
      <c r="I3" s="21" t="s">
        <v>70</v>
      </c>
      <c r="J3" s="50">
        <f>'통계 및 응시자 수 입력 기능'!C4</f>
        <v>356625</v>
      </c>
      <c r="K3" s="31"/>
      <c r="L3" s="5"/>
    </row>
    <row r="4" spans="1:17" ht="25" customHeight="1" thickBot="1" x14ac:dyDescent="0.5">
      <c r="A4" s="5"/>
      <c r="B4" s="30"/>
      <c r="C4" s="51" t="s">
        <v>71</v>
      </c>
      <c r="D4" s="166" t="s">
        <v>72</v>
      </c>
      <c r="E4" s="167"/>
      <c r="F4" s="168"/>
      <c r="G4" s="52" t="s">
        <v>73</v>
      </c>
      <c r="H4" s="53" t="str">
        <f>'통계 및 응시자 수 입력 기능'!E4</f>
        <v>22.11</v>
      </c>
      <c r="I4" s="169"/>
      <c r="J4" s="170"/>
      <c r="K4" s="31"/>
    </row>
    <row r="5" spans="1:17" ht="25" customHeight="1" thickBot="1" x14ac:dyDescent="0.5">
      <c r="A5" s="5"/>
      <c r="B5" s="30"/>
      <c r="C5" s="19"/>
      <c r="D5" s="19"/>
      <c r="E5" s="19"/>
      <c r="F5" s="19"/>
      <c r="G5" s="19"/>
      <c r="H5" s="20"/>
      <c r="I5" s="171"/>
      <c r="J5" s="171"/>
      <c r="K5" s="31"/>
      <c r="L5" s="5"/>
    </row>
    <row r="6" spans="1:17" ht="25" customHeight="1" thickBot="1" x14ac:dyDescent="0.5">
      <c r="A6" s="5"/>
      <c r="B6" s="30"/>
      <c r="C6" s="54" t="s">
        <v>75</v>
      </c>
      <c r="D6" s="55" t="s">
        <v>76</v>
      </c>
      <c r="E6" s="55" t="s">
        <v>77</v>
      </c>
      <c r="F6" s="55" t="s">
        <v>78</v>
      </c>
      <c r="G6" s="55" t="s">
        <v>79</v>
      </c>
      <c r="H6" s="56" t="s">
        <v>80</v>
      </c>
      <c r="I6" s="56" t="s">
        <v>81</v>
      </c>
      <c r="J6" s="57" t="s">
        <v>82</v>
      </c>
      <c r="K6" s="31"/>
      <c r="L6" s="3" t="s">
        <v>65</v>
      </c>
      <c r="M6" s="3"/>
      <c r="N6" s="4"/>
    </row>
    <row r="7" spans="1:17" ht="25" customHeight="1" x14ac:dyDescent="0.45">
      <c r="A7" s="5"/>
      <c r="B7" s="30"/>
      <c r="C7" s="58">
        <v>100</v>
      </c>
      <c r="D7" s="59">
        <f>ROUND(20*(C7-$H$3)/$H$4+100,0)</f>
        <v>144</v>
      </c>
      <c r="E7" s="59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60">
        <f>ROUND(100*(1-(0+I7)/2/$J$3),2)</f>
        <v>99.92</v>
      </c>
      <c r="G7" s="61">
        <f>_xlfn.IFNA(VLOOKUP(D7,'인원 입력 기능(국수)'!$A$5:$D$103,4,FALSE),0)</f>
        <v>601</v>
      </c>
      <c r="H7" s="62">
        <f>G7/$J$3</f>
        <v>1.6852436032246758E-3</v>
      </c>
      <c r="I7" s="63">
        <f>G7</f>
        <v>601</v>
      </c>
      <c r="J7" s="64">
        <f>I7/$J$3</f>
        <v>1.6852436032246758E-3</v>
      </c>
      <c r="K7" s="31"/>
      <c r="L7" s="20" t="str">
        <f>IF(ABS((C7-$H$3)/$H$4*20+100-D7)&gt;0.49, "경고", "")</f>
        <v/>
      </c>
      <c r="N7" s="1"/>
      <c r="P7" s="1">
        <v>1</v>
      </c>
      <c r="Q7" s="1">
        <f>'표점등급&amp;절평인원 입력 기능'!C4</f>
        <v>134</v>
      </c>
    </row>
    <row r="8" spans="1:17" ht="25" customHeight="1" x14ac:dyDescent="0.45">
      <c r="A8" s="5"/>
      <c r="B8" s="30"/>
      <c r="C8" s="65">
        <v>99</v>
      </c>
      <c r="D8" s="66" t="s">
        <v>56</v>
      </c>
      <c r="E8" s="66"/>
      <c r="F8" s="67"/>
      <c r="G8" s="68"/>
      <c r="H8" s="69"/>
      <c r="I8" s="70"/>
      <c r="J8" s="71"/>
      <c r="K8" s="31"/>
      <c r="L8" s="20"/>
      <c r="N8" s="1"/>
      <c r="P8" s="1">
        <v>2</v>
      </c>
      <c r="Q8" s="1">
        <f>'표점등급&amp;절평인원 입력 기능'!C5</f>
        <v>127</v>
      </c>
    </row>
    <row r="9" spans="1:17" ht="25" customHeight="1" x14ac:dyDescent="0.45">
      <c r="A9" s="5"/>
      <c r="B9" s="30"/>
      <c r="C9" s="65">
        <v>98</v>
      </c>
      <c r="D9" s="59">
        <f>ROUND(20*(C9-$H$3)/$H$4+100,0)</f>
        <v>142</v>
      </c>
      <c r="E9" s="59">
        <f t="shared" si="0"/>
        <v>1</v>
      </c>
      <c r="F9" s="60">
        <f>IF(I8=0,ROUND(100*(1-(I7+I9)/2/$J$3),2),ROUND(100*(1-(I8+I9)/2/$J$3),2))</f>
        <v>99.67</v>
      </c>
      <c r="G9" s="61">
        <f>_xlfn.IFNA(VLOOKUP(D9,'인원 입력 기능(국수)'!$A$5:$D$103,4,FALSE),0)</f>
        <v>1172</v>
      </c>
      <c r="H9" s="62">
        <f>G9/$J$3</f>
        <v>3.2863652295828951E-3</v>
      </c>
      <c r="I9" s="72">
        <f>SUM($G$7:G9)</f>
        <v>1773</v>
      </c>
      <c r="J9" s="64">
        <f>I9/$J$3</f>
        <v>4.9716088328075709E-3</v>
      </c>
      <c r="K9" s="31"/>
      <c r="L9" s="20" t="str">
        <f t="shared" ref="L9:L40" si="1">IF(ABS((C9-$H$3)/$H$4*20+100-D9)&gt;0.49, "경고", "")</f>
        <v/>
      </c>
      <c r="N9" s="1"/>
      <c r="P9" s="1">
        <v>3</v>
      </c>
      <c r="Q9" s="1">
        <f>'표점등급&amp;절평인원 입력 기능'!C6</f>
        <v>117</v>
      </c>
    </row>
    <row r="10" spans="1:17" ht="25" customHeight="1" x14ac:dyDescent="0.45">
      <c r="A10" s="5"/>
      <c r="B10" s="30"/>
      <c r="C10" s="65">
        <v>97</v>
      </c>
      <c r="D10" s="59">
        <f t="shared" ref="D10:D73" si="2">ROUND(20*(C10-$H$3)/$H$4+100,0)</f>
        <v>141</v>
      </c>
      <c r="E10" s="59">
        <f t="shared" si="0"/>
        <v>1</v>
      </c>
      <c r="F10" s="60">
        <f t="shared" ref="F10:F73" si="3">IF(I9=0,ROUND(100*(1-(I8+I10)/2/$J$3),2),ROUND(100*(1-(I9+I10)/2/$J$3),2))</f>
        <v>99.44</v>
      </c>
      <c r="G10" s="61">
        <f>IF(D10=D9,"",_xlfn.IFNA(VLOOKUP(D10,'인원 입력 기능(국수)'!$A$5:$D$103,4,FALSE),0))</f>
        <v>472</v>
      </c>
      <c r="H10" s="62">
        <f t="shared" ref="H10:H73" si="4">G10/$J$3</f>
        <v>1.3235191026989134E-3</v>
      </c>
      <c r="I10" s="72">
        <f>SUM($G$7:G10)</f>
        <v>2245</v>
      </c>
      <c r="J10" s="64">
        <f t="shared" ref="J10:J73" si="5">I10/$J$3</f>
        <v>6.2951279355064841E-3</v>
      </c>
      <c r="K10" s="31"/>
      <c r="L10" s="20" t="str">
        <f t="shared" si="1"/>
        <v/>
      </c>
      <c r="N10" s="1"/>
      <c r="P10" s="1">
        <v>4</v>
      </c>
      <c r="Q10" s="1">
        <f>'표점등급&amp;절평인원 입력 기능'!C7</f>
        <v>107</v>
      </c>
    </row>
    <row r="11" spans="1:17" ht="25" customHeight="1" x14ac:dyDescent="0.45">
      <c r="A11" s="5"/>
      <c r="B11" s="30"/>
      <c r="C11" s="65">
        <v>96</v>
      </c>
      <c r="D11" s="59">
        <f t="shared" si="2"/>
        <v>140</v>
      </c>
      <c r="E11" s="59">
        <f t="shared" si="0"/>
        <v>1</v>
      </c>
      <c r="F11" s="60">
        <f t="shared" si="3"/>
        <v>99.19</v>
      </c>
      <c r="G11" s="61">
        <f>IF(D11=D10,"",_xlfn.IFNA(VLOOKUP(D11,'인원 입력 기능(국수)'!$A$5:$D$103,4,FALSE),0))</f>
        <v>1306</v>
      </c>
      <c r="H11" s="62">
        <f t="shared" si="4"/>
        <v>3.6621100595864002E-3</v>
      </c>
      <c r="I11" s="72">
        <f>SUM($G$7:G11)</f>
        <v>3551</v>
      </c>
      <c r="J11" s="64">
        <f t="shared" si="5"/>
        <v>9.9572379950928838E-3</v>
      </c>
      <c r="K11" s="31"/>
      <c r="L11" s="20" t="str">
        <f t="shared" si="1"/>
        <v/>
      </c>
      <c r="N11" s="1"/>
      <c r="P11" s="1">
        <v>5</v>
      </c>
      <c r="Q11" s="1">
        <f>'표점등급&amp;절평인원 입력 기능'!C8</f>
        <v>94</v>
      </c>
    </row>
    <row r="12" spans="1:17" ht="25" customHeight="1" x14ac:dyDescent="0.45">
      <c r="A12" s="5"/>
      <c r="B12" s="30"/>
      <c r="C12" s="65">
        <v>95</v>
      </c>
      <c r="D12" s="59">
        <f t="shared" si="2"/>
        <v>139</v>
      </c>
      <c r="E12" s="59">
        <f t="shared" si="0"/>
        <v>1</v>
      </c>
      <c r="F12" s="60">
        <f t="shared" si="3"/>
        <v>98.83</v>
      </c>
      <c r="G12" s="61">
        <f>IF(D12=D11,"",_xlfn.IFNA(VLOOKUP(D12,'인원 입력 기능(국수)'!$A$5:$D$103,4,FALSE),0))</f>
        <v>1220</v>
      </c>
      <c r="H12" s="62">
        <f t="shared" si="4"/>
        <v>3.4209603925692252E-3</v>
      </c>
      <c r="I12" s="72">
        <f>SUM($G$7:G12)</f>
        <v>4771</v>
      </c>
      <c r="J12" s="64">
        <f t="shared" si="5"/>
        <v>1.337819838766211E-2</v>
      </c>
      <c r="K12" s="31"/>
      <c r="L12" s="20" t="str">
        <f t="shared" si="1"/>
        <v/>
      </c>
      <c r="N12" s="1"/>
      <c r="P12" s="1">
        <v>6</v>
      </c>
      <c r="Q12" s="1">
        <f>'표점등급&amp;절평인원 입력 기능'!C9</f>
        <v>82</v>
      </c>
    </row>
    <row r="13" spans="1:17" ht="25" customHeight="1" x14ac:dyDescent="0.45">
      <c r="A13" s="5"/>
      <c r="B13" s="30"/>
      <c r="C13" s="65">
        <v>94</v>
      </c>
      <c r="D13" s="59">
        <f t="shared" si="2"/>
        <v>138</v>
      </c>
      <c r="E13" s="59">
        <f t="shared" si="0"/>
        <v>1</v>
      </c>
      <c r="F13" s="60">
        <f t="shared" si="3"/>
        <v>98.48</v>
      </c>
      <c r="G13" s="61">
        <f>IF(D13=D12,"",_xlfn.IFNA(VLOOKUP(D13,'인원 입력 기능(국수)'!$A$5:$D$103,4,FALSE),0))</f>
        <v>1327</v>
      </c>
      <c r="H13" s="62">
        <f t="shared" si="4"/>
        <v>3.7209954433929195E-3</v>
      </c>
      <c r="I13" s="72">
        <f>SUM($G$7:G13)</f>
        <v>6098</v>
      </c>
      <c r="J13" s="64">
        <f t="shared" si="5"/>
        <v>1.7099193831055029E-2</v>
      </c>
      <c r="K13" s="31"/>
      <c r="L13" s="20" t="str">
        <f t="shared" si="1"/>
        <v/>
      </c>
      <c r="N13" s="1"/>
      <c r="P13" s="1">
        <v>7</v>
      </c>
      <c r="Q13" s="1">
        <f>'표점등급&amp;절평인원 입력 기능'!C10</f>
        <v>74</v>
      </c>
    </row>
    <row r="14" spans="1:17" ht="25" customHeight="1" x14ac:dyDescent="0.45">
      <c r="A14" s="5"/>
      <c r="B14" s="30"/>
      <c r="C14" s="65">
        <v>93</v>
      </c>
      <c r="D14" s="237">
        <f t="shared" si="2"/>
        <v>137</v>
      </c>
      <c r="E14" s="237">
        <f t="shared" si="0"/>
        <v>1</v>
      </c>
      <c r="F14" s="247">
        <f t="shared" si="3"/>
        <v>97.82</v>
      </c>
      <c r="G14" s="249">
        <f>IF(D14=D13,"",_xlfn.IFNA(VLOOKUP(D14,'인원 입력 기능(국수)'!$A$5:$D$103,4,FALSE),0))</f>
        <v>3358</v>
      </c>
      <c r="H14" s="250">
        <f t="shared" si="4"/>
        <v>9.4160532772520154E-3</v>
      </c>
      <c r="I14" s="252">
        <f>SUM($G$7:G14)</f>
        <v>9456</v>
      </c>
      <c r="J14" s="254">
        <f t="shared" si="5"/>
        <v>2.6515247108307046E-2</v>
      </c>
      <c r="K14" s="31"/>
      <c r="L14" s="20" t="str">
        <f t="shared" si="1"/>
        <v/>
      </c>
      <c r="N14" s="1"/>
      <c r="P14" s="1">
        <v>8</v>
      </c>
      <c r="Q14" s="1">
        <f>'표점등급&amp;절평인원 입력 기능'!C11</f>
        <v>69</v>
      </c>
    </row>
    <row r="15" spans="1:17" ht="25" customHeight="1" x14ac:dyDescent="0.45">
      <c r="A15" s="5"/>
      <c r="B15" s="30"/>
      <c r="C15" s="65">
        <v>92</v>
      </c>
      <c r="D15" s="238"/>
      <c r="E15" s="238"/>
      <c r="F15" s="246"/>
      <c r="G15" s="248"/>
      <c r="H15" s="251"/>
      <c r="I15" s="253"/>
      <c r="J15" s="255"/>
      <c r="K15" s="31"/>
      <c r="L15" s="20" t="str">
        <f t="shared" si="1"/>
        <v>경고</v>
      </c>
      <c r="N15" s="1"/>
      <c r="P15" s="1">
        <v>9</v>
      </c>
      <c r="Q15" s="1"/>
    </row>
    <row r="16" spans="1:17" ht="25" customHeight="1" x14ac:dyDescent="0.45">
      <c r="A16" s="5"/>
      <c r="B16" s="30"/>
      <c r="C16" s="73">
        <v>91</v>
      </c>
      <c r="D16" s="59">
        <f t="shared" si="2"/>
        <v>136</v>
      </c>
      <c r="E16" s="74">
        <f t="shared" si="0"/>
        <v>1</v>
      </c>
      <c r="F16" s="60">
        <f t="shared" si="3"/>
        <v>97.04</v>
      </c>
      <c r="G16" s="61">
        <f>IF(D16=D15,"",_xlfn.IFNA(VLOOKUP(D16,'인원 입력 기능(국수)'!$A$5:$D$103,4,FALSE),0))</f>
        <v>2176</v>
      </c>
      <c r="H16" s="62">
        <f t="shared" si="4"/>
        <v>6.101647388713635E-3</v>
      </c>
      <c r="I16" s="75">
        <f>SUM($G$7:G16)</f>
        <v>11632</v>
      </c>
      <c r="J16" s="64">
        <f t="shared" si="5"/>
        <v>3.2616894497020682E-2</v>
      </c>
      <c r="K16" s="31"/>
      <c r="L16" s="20" t="str">
        <f t="shared" si="1"/>
        <v/>
      </c>
      <c r="N16" s="1"/>
    </row>
    <row r="17" spans="1:17" ht="25" customHeight="1" x14ac:dyDescent="0.45">
      <c r="A17" s="5"/>
      <c r="B17" s="30"/>
      <c r="C17" s="73">
        <v>90</v>
      </c>
      <c r="D17" s="59">
        <f t="shared" si="2"/>
        <v>135</v>
      </c>
      <c r="E17" s="74">
        <f t="shared" si="0"/>
        <v>1</v>
      </c>
      <c r="F17" s="60">
        <f t="shared" si="3"/>
        <v>96.46</v>
      </c>
      <c r="G17" s="61">
        <f>IF(D17=D16,"",_xlfn.IFNA(VLOOKUP(D17,'인원 입력 기능(국수)'!$A$5:$D$103,4,FALSE),0))</f>
        <v>1985</v>
      </c>
      <c r="H17" s="62">
        <f t="shared" si="4"/>
        <v>5.5660708026638627E-3</v>
      </c>
      <c r="I17" s="75">
        <f>SUM($G$7:G17)</f>
        <v>13617</v>
      </c>
      <c r="J17" s="64">
        <f t="shared" si="5"/>
        <v>3.818296529968454E-2</v>
      </c>
      <c r="K17" s="31"/>
      <c r="L17" s="20" t="str">
        <f t="shared" si="1"/>
        <v/>
      </c>
      <c r="N17" s="1"/>
      <c r="Q17" s="1">
        <f>Q7*H3*H4*J3*IFERROR(IF(J107=1, 1, 0), 0)</f>
        <v>54562160555.100006</v>
      </c>
    </row>
    <row r="18" spans="1:17" ht="25" customHeight="1" x14ac:dyDescent="0.45">
      <c r="A18" s="5"/>
      <c r="B18" s="30"/>
      <c r="C18" s="73">
        <v>89</v>
      </c>
      <c r="D18" s="59">
        <f t="shared" si="2"/>
        <v>134</v>
      </c>
      <c r="E18" s="74">
        <f t="shared" si="0"/>
        <v>1</v>
      </c>
      <c r="F18" s="60">
        <f t="shared" si="3"/>
        <v>95.85</v>
      </c>
      <c r="G18" s="61">
        <f>IF(D18=D17,"",_xlfn.IFNA(VLOOKUP(D18,'인원 입력 기능(국수)'!$A$5:$D$103,4,FALSE),0))</f>
        <v>2356</v>
      </c>
      <c r="H18" s="62">
        <f t="shared" si="4"/>
        <v>6.6063792499123728E-3</v>
      </c>
      <c r="I18" s="75">
        <f>SUM($G$7:G18)</f>
        <v>15973</v>
      </c>
      <c r="J18" s="64">
        <f t="shared" si="5"/>
        <v>4.4789344549596918E-2</v>
      </c>
      <c r="K18" s="31"/>
      <c r="L18" s="20" t="str">
        <f t="shared" si="1"/>
        <v/>
      </c>
      <c r="N18" s="1"/>
    </row>
    <row r="19" spans="1:17" ht="25" customHeight="1" x14ac:dyDescent="0.45">
      <c r="A19" s="5"/>
      <c r="B19" s="30"/>
      <c r="C19" s="73">
        <v>88</v>
      </c>
      <c r="D19" s="59">
        <f t="shared" si="2"/>
        <v>133</v>
      </c>
      <c r="E19" s="74">
        <f t="shared" si="0"/>
        <v>2</v>
      </c>
      <c r="F19" s="60">
        <f t="shared" si="3"/>
        <v>95.17</v>
      </c>
      <c r="G19" s="61">
        <f>IF(D19=D18,"",_xlfn.IFNA(VLOOKUP(D19,'인원 입력 기능(국수)'!$A$5:$D$103,4,FALSE),0))</f>
        <v>2512</v>
      </c>
      <c r="H19" s="62">
        <f t="shared" si="4"/>
        <v>7.0438135296179462E-3</v>
      </c>
      <c r="I19" s="75">
        <f>SUM($G$7:G19)</f>
        <v>18485</v>
      </c>
      <c r="J19" s="64">
        <f t="shared" si="5"/>
        <v>5.1833158079214861E-2</v>
      </c>
      <c r="K19" s="31"/>
      <c r="L19" s="20" t="str">
        <f t="shared" si="1"/>
        <v/>
      </c>
      <c r="N19" s="1"/>
    </row>
    <row r="20" spans="1:17" ht="25" customHeight="1" x14ac:dyDescent="0.45">
      <c r="A20" s="5"/>
      <c r="B20" s="30"/>
      <c r="C20" s="73">
        <v>87</v>
      </c>
      <c r="D20" s="59">
        <f t="shared" si="2"/>
        <v>132</v>
      </c>
      <c r="E20" s="74">
        <f t="shared" si="0"/>
        <v>2</v>
      </c>
      <c r="F20" s="60">
        <f t="shared" si="3"/>
        <v>94.46</v>
      </c>
      <c r="G20" s="61">
        <f>IF(D20=D19,"",_xlfn.IFNA(VLOOKUP(D20,'인원 입력 기능(국수)'!$A$5:$D$103,4,FALSE),0))</f>
        <v>2528</v>
      </c>
      <c r="H20" s="62">
        <f t="shared" si="4"/>
        <v>7.0886785839467227E-3</v>
      </c>
      <c r="I20" s="75">
        <f>SUM($G$7:G20)</f>
        <v>21013</v>
      </c>
      <c r="J20" s="64">
        <f t="shared" si="5"/>
        <v>5.8921836663161586E-2</v>
      </c>
      <c r="K20" s="31"/>
      <c r="L20" s="20" t="str">
        <f t="shared" si="1"/>
        <v/>
      </c>
      <c r="N20" s="1"/>
    </row>
    <row r="21" spans="1:17" ht="25" customHeight="1" x14ac:dyDescent="0.45">
      <c r="A21" s="5"/>
      <c r="B21" s="30"/>
      <c r="C21" s="73">
        <v>86</v>
      </c>
      <c r="D21" s="59">
        <f t="shared" si="2"/>
        <v>131</v>
      </c>
      <c r="E21" s="74">
        <f t="shared" si="0"/>
        <v>2</v>
      </c>
      <c r="F21" s="60">
        <f t="shared" si="3"/>
        <v>93.71</v>
      </c>
      <c r="G21" s="61">
        <f>IF(D21=D20,"",_xlfn.IFNA(VLOOKUP(D21,'인원 입력 기능(국수)'!$A$5:$D$103,4,FALSE),0))</f>
        <v>2810</v>
      </c>
      <c r="H21" s="62">
        <f t="shared" si="4"/>
        <v>7.8794251664914133E-3</v>
      </c>
      <c r="I21" s="75">
        <f>SUM($G$7:G21)</f>
        <v>23823</v>
      </c>
      <c r="J21" s="64">
        <f t="shared" si="5"/>
        <v>6.6801261829653E-2</v>
      </c>
      <c r="K21" s="31"/>
      <c r="L21" s="20" t="str">
        <f t="shared" si="1"/>
        <v/>
      </c>
      <c r="N21" s="1"/>
    </row>
    <row r="22" spans="1:17" ht="25" customHeight="1" x14ac:dyDescent="0.45">
      <c r="A22" s="5"/>
      <c r="B22" s="30"/>
      <c r="C22" s="73">
        <v>85</v>
      </c>
      <c r="D22" s="59">
        <f t="shared" si="2"/>
        <v>130</v>
      </c>
      <c r="E22" s="74">
        <f t="shared" si="0"/>
        <v>2</v>
      </c>
      <c r="F22" s="60">
        <f t="shared" si="3"/>
        <v>92.93</v>
      </c>
      <c r="G22" s="61">
        <f>IF(D22=D21,"",_xlfn.IFNA(VLOOKUP(D22,'인원 입력 기능(국수)'!$A$5:$D$103,4,FALSE),0))</f>
        <v>2809</v>
      </c>
      <c r="H22" s="62">
        <f t="shared" si="4"/>
        <v>7.8766211005958636E-3</v>
      </c>
      <c r="I22" s="75">
        <f>SUM($G$7:G22)</f>
        <v>26632</v>
      </c>
      <c r="J22" s="64">
        <f t="shared" si="5"/>
        <v>7.4677882930248865E-2</v>
      </c>
      <c r="K22" s="31"/>
      <c r="L22" s="20" t="str">
        <f t="shared" si="1"/>
        <v/>
      </c>
      <c r="N22" s="1"/>
    </row>
    <row r="23" spans="1:17" ht="25" customHeight="1" x14ac:dyDescent="0.45">
      <c r="A23" s="5"/>
      <c r="B23" s="30"/>
      <c r="C23" s="73">
        <v>84</v>
      </c>
      <c r="D23" s="59">
        <f t="shared" si="2"/>
        <v>129</v>
      </c>
      <c r="E23" s="74">
        <f t="shared" si="0"/>
        <v>2</v>
      </c>
      <c r="F23" s="60">
        <f t="shared" si="3"/>
        <v>92.1</v>
      </c>
      <c r="G23" s="61">
        <f>IF(D23=D22,"",_xlfn.IFNA(VLOOKUP(D23,'인원 입력 기능(국수)'!$A$5:$D$103,4,FALSE),0))</f>
        <v>3084</v>
      </c>
      <c r="H23" s="62">
        <f t="shared" si="4"/>
        <v>8.6477392218717135E-3</v>
      </c>
      <c r="I23" s="75">
        <f>SUM($G$7:G23)</f>
        <v>29716</v>
      </c>
      <c r="J23" s="64">
        <f t="shared" si="5"/>
        <v>8.3325622152120568E-2</v>
      </c>
      <c r="K23" s="31"/>
      <c r="L23" s="20" t="str">
        <f t="shared" si="1"/>
        <v/>
      </c>
      <c r="N23" s="1"/>
    </row>
    <row r="24" spans="1:17" ht="25" customHeight="1" x14ac:dyDescent="0.45">
      <c r="A24" s="5"/>
      <c r="B24" s="30"/>
      <c r="C24" s="73">
        <v>83</v>
      </c>
      <c r="D24" s="59">
        <f t="shared" si="2"/>
        <v>128</v>
      </c>
      <c r="E24" s="74">
        <f t="shared" si="0"/>
        <v>2</v>
      </c>
      <c r="F24" s="60">
        <f t="shared" si="3"/>
        <v>91.22</v>
      </c>
      <c r="G24" s="61">
        <f>IF(D24=D23,"",_xlfn.IFNA(VLOOKUP(D24,'인원 입력 기능(국수)'!$A$5:$D$103,4,FALSE),0))</f>
        <v>3178</v>
      </c>
      <c r="H24" s="62">
        <f t="shared" si="4"/>
        <v>8.9113214160532767E-3</v>
      </c>
      <c r="I24" s="75">
        <f>SUM($G$7:G24)</f>
        <v>32894</v>
      </c>
      <c r="J24" s="64">
        <f t="shared" si="5"/>
        <v>9.2236943568173857E-2</v>
      </c>
      <c r="K24" s="31"/>
      <c r="L24" s="20" t="str">
        <f t="shared" si="1"/>
        <v/>
      </c>
      <c r="N24" s="1"/>
    </row>
    <row r="25" spans="1:17" ht="25" customHeight="1" x14ac:dyDescent="0.45">
      <c r="A25" s="5"/>
      <c r="B25" s="30"/>
      <c r="C25" s="73">
        <v>82</v>
      </c>
      <c r="D25" s="237">
        <f t="shared" si="2"/>
        <v>127</v>
      </c>
      <c r="E25" s="257">
        <f t="shared" si="0"/>
        <v>2</v>
      </c>
      <c r="F25" s="247">
        <f t="shared" si="3"/>
        <v>89.81</v>
      </c>
      <c r="G25" s="249">
        <f>IF(D25=D24,"",_xlfn.IFNA(VLOOKUP(D25,'인원 입력 기능(국수)'!$A$5:$D$103,4,FALSE),0))</f>
        <v>6880</v>
      </c>
      <c r="H25" s="250">
        <f t="shared" si="4"/>
        <v>1.9291973361373994E-2</v>
      </c>
      <c r="I25" s="258">
        <f>SUM($G$7:G25)</f>
        <v>39774</v>
      </c>
      <c r="J25" s="254">
        <f t="shared" si="5"/>
        <v>0.11152891692954785</v>
      </c>
      <c r="K25" s="31"/>
      <c r="L25" s="20" t="str">
        <f t="shared" si="1"/>
        <v/>
      </c>
      <c r="N25" s="1"/>
    </row>
    <row r="26" spans="1:17" ht="25" customHeight="1" x14ac:dyDescent="0.45">
      <c r="A26" s="5"/>
      <c r="B26" s="30"/>
      <c r="C26" s="73">
        <v>81</v>
      </c>
      <c r="D26" s="238"/>
      <c r="E26" s="256"/>
      <c r="F26" s="246"/>
      <c r="G26" s="248"/>
      <c r="H26" s="251"/>
      <c r="I26" s="259"/>
      <c r="J26" s="255"/>
      <c r="K26" s="31"/>
      <c r="L26" s="20" t="str">
        <f t="shared" si="1"/>
        <v>경고</v>
      </c>
      <c r="N26" s="1"/>
    </row>
    <row r="27" spans="1:17" ht="25" customHeight="1" x14ac:dyDescent="0.45">
      <c r="A27" s="5"/>
      <c r="B27" s="30"/>
      <c r="C27" s="73">
        <v>80</v>
      </c>
      <c r="D27" s="59">
        <f t="shared" si="2"/>
        <v>126</v>
      </c>
      <c r="E27" s="74">
        <f t="shared" si="0"/>
        <v>3</v>
      </c>
      <c r="F27" s="60">
        <f t="shared" si="3"/>
        <v>88.33</v>
      </c>
      <c r="G27" s="61">
        <f>IF(D27=D26,"",_xlfn.IFNA(VLOOKUP(D27,'인원 입력 기능(국수)'!$A$5:$D$103,4,FALSE),0))</f>
        <v>3660</v>
      </c>
      <c r="H27" s="62">
        <f t="shared" si="4"/>
        <v>1.0262881177707676E-2</v>
      </c>
      <c r="I27" s="75">
        <f>SUM($G$7:G27)</f>
        <v>43434</v>
      </c>
      <c r="J27" s="64">
        <f t="shared" si="5"/>
        <v>0.12179179810725552</v>
      </c>
      <c r="K27" s="31"/>
      <c r="L27" s="20" t="str">
        <f t="shared" si="1"/>
        <v/>
      </c>
      <c r="N27" s="1"/>
    </row>
    <row r="28" spans="1:17" ht="25" customHeight="1" x14ac:dyDescent="0.45">
      <c r="A28" s="5"/>
      <c r="B28" s="30"/>
      <c r="C28" s="73">
        <v>79</v>
      </c>
      <c r="D28" s="59">
        <f t="shared" si="2"/>
        <v>125</v>
      </c>
      <c r="E28" s="74">
        <f t="shared" si="0"/>
        <v>3</v>
      </c>
      <c r="F28" s="60">
        <f t="shared" si="3"/>
        <v>87.29</v>
      </c>
      <c r="G28" s="61">
        <f>IF(D28=D27,"",_xlfn.IFNA(VLOOKUP(D28,'인원 입력 기능(국수)'!$A$5:$D$103,4,FALSE),0))</f>
        <v>3772</v>
      </c>
      <c r="H28" s="62">
        <f t="shared" si="4"/>
        <v>1.0576936558009113E-2</v>
      </c>
      <c r="I28" s="75">
        <f>SUM($G$7:G28)</f>
        <v>47206</v>
      </c>
      <c r="J28" s="64">
        <f t="shared" si="5"/>
        <v>0.13236873466526464</v>
      </c>
      <c r="K28" s="31"/>
      <c r="L28" s="20" t="str">
        <f t="shared" si="1"/>
        <v/>
      </c>
      <c r="N28" s="1"/>
    </row>
    <row r="29" spans="1:17" ht="25" customHeight="1" x14ac:dyDescent="0.45">
      <c r="A29" s="5"/>
      <c r="B29" s="30"/>
      <c r="C29" s="73">
        <v>78</v>
      </c>
      <c r="D29" s="59">
        <f t="shared" si="2"/>
        <v>124</v>
      </c>
      <c r="E29" s="74">
        <f t="shared" si="0"/>
        <v>3</v>
      </c>
      <c r="F29" s="60">
        <f t="shared" si="3"/>
        <v>86.22</v>
      </c>
      <c r="G29" s="61">
        <f>IF(D29=D28,"",_xlfn.IFNA(VLOOKUP(D29,'인원 입력 기능(국수)'!$A$5:$D$103,4,FALSE),0))</f>
        <v>3870</v>
      </c>
      <c r="H29" s="62">
        <f t="shared" si="4"/>
        <v>1.085173501577287E-2</v>
      </c>
      <c r="I29" s="75">
        <f>SUM($G$7:G29)</f>
        <v>51076</v>
      </c>
      <c r="J29" s="64">
        <f t="shared" si="5"/>
        <v>0.14322046968103749</v>
      </c>
      <c r="K29" s="31"/>
      <c r="L29" s="20" t="str">
        <f t="shared" si="1"/>
        <v/>
      </c>
      <c r="N29" s="1"/>
    </row>
    <row r="30" spans="1:17" ht="25" customHeight="1" x14ac:dyDescent="0.45">
      <c r="A30" s="5"/>
      <c r="B30" s="30"/>
      <c r="C30" s="73">
        <v>77</v>
      </c>
      <c r="D30" s="59">
        <f t="shared" si="2"/>
        <v>123</v>
      </c>
      <c r="E30" s="74">
        <f t="shared" si="0"/>
        <v>3</v>
      </c>
      <c r="F30" s="60">
        <f t="shared" si="3"/>
        <v>85.12</v>
      </c>
      <c r="G30" s="61">
        <f>IF(D30=D29,"",_xlfn.IFNA(VLOOKUP(D30,'인원 입력 기능(국수)'!$A$5:$D$103,4,FALSE),0))</f>
        <v>3971</v>
      </c>
      <c r="H30" s="62">
        <f t="shared" si="4"/>
        <v>1.1134945671223273E-2</v>
      </c>
      <c r="I30" s="75">
        <f>SUM($G$7:G30)</f>
        <v>55047</v>
      </c>
      <c r="J30" s="64">
        <f t="shared" si="5"/>
        <v>0.15435541535226077</v>
      </c>
      <c r="K30" s="31"/>
      <c r="L30" s="20" t="str">
        <f t="shared" si="1"/>
        <v/>
      </c>
      <c r="N30" s="1"/>
    </row>
    <row r="31" spans="1:17" ht="25" customHeight="1" x14ac:dyDescent="0.45">
      <c r="A31" s="5"/>
      <c r="B31" s="30"/>
      <c r="C31" s="73">
        <v>76</v>
      </c>
      <c r="D31" s="59">
        <f t="shared" si="2"/>
        <v>122</v>
      </c>
      <c r="E31" s="74">
        <f t="shared" si="0"/>
        <v>3</v>
      </c>
      <c r="F31" s="60">
        <f t="shared" si="3"/>
        <v>83.99</v>
      </c>
      <c r="G31" s="61">
        <f>IF(D31=D30,"",_xlfn.IFNA(VLOOKUP(D31,'인원 입력 기능(국수)'!$A$5:$D$103,4,FALSE),0))</f>
        <v>4130</v>
      </c>
      <c r="H31" s="62">
        <f t="shared" si="4"/>
        <v>1.1580792148615493E-2</v>
      </c>
      <c r="I31" s="75">
        <f>SUM($G$7:G31)</f>
        <v>59177</v>
      </c>
      <c r="J31" s="64">
        <f t="shared" si="5"/>
        <v>0.16593620750087626</v>
      </c>
      <c r="K31" s="31"/>
      <c r="L31" s="20" t="str">
        <f t="shared" si="1"/>
        <v/>
      </c>
      <c r="N31" s="1"/>
    </row>
    <row r="32" spans="1:17" ht="25" customHeight="1" x14ac:dyDescent="0.45">
      <c r="A32" s="5"/>
      <c r="B32" s="30"/>
      <c r="C32" s="73">
        <v>75</v>
      </c>
      <c r="D32" s="59">
        <f t="shared" si="2"/>
        <v>121</v>
      </c>
      <c r="E32" s="74">
        <f t="shared" si="0"/>
        <v>3</v>
      </c>
      <c r="F32" s="60">
        <f t="shared" si="3"/>
        <v>82.81</v>
      </c>
      <c r="G32" s="61">
        <f>IF(D32=D31,"",_xlfn.IFNA(VLOOKUP(D32,'인원 입력 기능(국수)'!$A$5:$D$103,4,FALSE),0))</f>
        <v>4252</v>
      </c>
      <c r="H32" s="62">
        <f t="shared" si="4"/>
        <v>1.1922888187872415E-2</v>
      </c>
      <c r="I32" s="75">
        <f>SUM($G$7:G32)</f>
        <v>63429</v>
      </c>
      <c r="J32" s="64">
        <f t="shared" si="5"/>
        <v>0.17785909568874869</v>
      </c>
      <c r="K32" s="31"/>
      <c r="L32" s="20" t="str">
        <f t="shared" si="1"/>
        <v/>
      </c>
      <c r="N32" s="1"/>
    </row>
    <row r="33" spans="1:14" ht="25" customHeight="1" x14ac:dyDescent="0.45">
      <c r="A33" s="5"/>
      <c r="B33" s="30"/>
      <c r="C33" s="73">
        <v>74</v>
      </c>
      <c r="D33" s="59">
        <f t="shared" si="2"/>
        <v>120</v>
      </c>
      <c r="E33" s="74">
        <f t="shared" si="0"/>
        <v>3</v>
      </c>
      <c r="F33" s="60">
        <f t="shared" si="3"/>
        <v>81.62</v>
      </c>
      <c r="G33" s="61">
        <f>IF(D33=D32,"",_xlfn.IFNA(VLOOKUP(D33,'인원 입력 기능(국수)'!$A$5:$D$103,4,FALSE),0))</f>
        <v>4260</v>
      </c>
      <c r="H33" s="62">
        <f t="shared" si="4"/>
        <v>1.1945320715036803E-2</v>
      </c>
      <c r="I33" s="75">
        <f>SUM($G$7:G33)</f>
        <v>67689</v>
      </c>
      <c r="J33" s="64">
        <f t="shared" si="5"/>
        <v>0.18980441640378548</v>
      </c>
      <c r="K33" s="31"/>
      <c r="L33" s="20" t="str">
        <f t="shared" si="1"/>
        <v/>
      </c>
      <c r="N33" s="1"/>
    </row>
    <row r="34" spans="1:14" ht="25" customHeight="1" x14ac:dyDescent="0.45">
      <c r="A34" s="5"/>
      <c r="B34" s="30"/>
      <c r="C34" s="73">
        <v>73</v>
      </c>
      <c r="D34" s="59">
        <f t="shared" si="2"/>
        <v>119</v>
      </c>
      <c r="E34" s="74">
        <f t="shared" si="0"/>
        <v>3</v>
      </c>
      <c r="F34" s="60">
        <f t="shared" si="3"/>
        <v>80.400000000000006</v>
      </c>
      <c r="G34" s="61">
        <f>IF(D34=D33,"",_xlfn.IFNA(VLOOKUP(D34,'인원 입력 기능(국수)'!$A$5:$D$103,4,FALSE),0))</f>
        <v>4400</v>
      </c>
      <c r="H34" s="62">
        <f t="shared" si="4"/>
        <v>1.2337889940413599E-2</v>
      </c>
      <c r="I34" s="75">
        <f>SUM($G$7:G34)</f>
        <v>72089</v>
      </c>
      <c r="J34" s="64">
        <f t="shared" si="5"/>
        <v>0.20214230634419908</v>
      </c>
      <c r="K34" s="31"/>
      <c r="L34" s="20" t="str">
        <f t="shared" si="1"/>
        <v/>
      </c>
      <c r="N34" s="1"/>
    </row>
    <row r="35" spans="1:14" ht="25" customHeight="1" x14ac:dyDescent="0.45">
      <c r="A35" s="5"/>
      <c r="B35" s="30"/>
      <c r="C35" s="73">
        <v>72</v>
      </c>
      <c r="D35" s="237">
        <f t="shared" si="2"/>
        <v>118</v>
      </c>
      <c r="E35" s="257">
        <f t="shared" si="0"/>
        <v>3</v>
      </c>
      <c r="F35" s="247">
        <f t="shared" si="3"/>
        <v>78.510000000000005</v>
      </c>
      <c r="G35" s="249">
        <f>IF(D35=D34,"",_xlfn.IFNA(VLOOKUP(D35,'인원 입력 기능(국수)'!$A$5:$D$103,4,FALSE),0))</f>
        <v>9100</v>
      </c>
      <c r="H35" s="250">
        <f t="shared" si="4"/>
        <v>2.5516999649491764E-2</v>
      </c>
      <c r="I35" s="258">
        <f>SUM($G$7:G35)</f>
        <v>81189</v>
      </c>
      <c r="J35" s="254">
        <f t="shared" si="5"/>
        <v>0.22765930599369086</v>
      </c>
      <c r="K35" s="31"/>
      <c r="L35" s="20" t="str">
        <f t="shared" si="1"/>
        <v/>
      </c>
      <c r="N35" s="1"/>
    </row>
    <row r="36" spans="1:14" ht="25" customHeight="1" x14ac:dyDescent="0.45">
      <c r="A36" s="5"/>
      <c r="B36" s="30"/>
      <c r="C36" s="73">
        <v>71</v>
      </c>
      <c r="D36" s="238"/>
      <c r="E36" s="256"/>
      <c r="F36" s="246"/>
      <c r="G36" s="248"/>
      <c r="H36" s="251"/>
      <c r="I36" s="259"/>
      <c r="J36" s="255"/>
      <c r="K36" s="31"/>
      <c r="L36" s="20" t="str">
        <f t="shared" si="1"/>
        <v>경고</v>
      </c>
      <c r="N36" s="1"/>
    </row>
    <row r="37" spans="1:14" ht="25" customHeight="1" x14ac:dyDescent="0.45">
      <c r="A37" s="5"/>
      <c r="B37" s="30"/>
      <c r="C37" s="73">
        <v>70</v>
      </c>
      <c r="D37" s="59">
        <f t="shared" si="2"/>
        <v>117</v>
      </c>
      <c r="E37" s="74">
        <f t="shared" si="0"/>
        <v>3</v>
      </c>
      <c r="F37" s="60">
        <f t="shared" si="3"/>
        <v>76.55</v>
      </c>
      <c r="G37" s="61">
        <f>IF(D37=D36,"",_xlfn.IFNA(VLOOKUP(D37,'인원 입력 기능(국수)'!$A$5:$D$103,4,FALSE),0))</f>
        <v>4876</v>
      </c>
      <c r="H37" s="62">
        <f t="shared" si="4"/>
        <v>1.3672625306694707E-2</v>
      </c>
      <c r="I37" s="75">
        <f>SUM($G$7:G37)</f>
        <v>86065</v>
      </c>
      <c r="J37" s="64">
        <f t="shared" si="5"/>
        <v>0.24133193130038555</v>
      </c>
      <c r="K37" s="31"/>
      <c r="L37" s="20" t="str">
        <f t="shared" si="1"/>
        <v/>
      </c>
      <c r="N37" s="1"/>
    </row>
    <row r="38" spans="1:14" ht="25" customHeight="1" x14ac:dyDescent="0.45">
      <c r="A38" s="5"/>
      <c r="B38" s="30"/>
      <c r="C38" s="73">
        <v>69</v>
      </c>
      <c r="D38" s="59">
        <f t="shared" si="2"/>
        <v>116</v>
      </c>
      <c r="E38" s="74">
        <f t="shared" si="0"/>
        <v>4</v>
      </c>
      <c r="F38" s="60">
        <f t="shared" si="3"/>
        <v>75.19</v>
      </c>
      <c r="G38" s="61">
        <f>IF(D38=D37,"",_xlfn.IFNA(VLOOKUP(D38,'인원 입력 기능(국수)'!$A$5:$D$103,4,FALSE),0))</f>
        <v>4802</v>
      </c>
      <c r="H38" s="62">
        <f t="shared" si="4"/>
        <v>1.3465124430424115E-2</v>
      </c>
      <c r="I38" s="75">
        <f>SUM($G$7:G38)</f>
        <v>90867</v>
      </c>
      <c r="J38" s="64">
        <f t="shared" si="5"/>
        <v>0.25479705573080969</v>
      </c>
      <c r="K38" s="31"/>
      <c r="L38" s="20" t="str">
        <f t="shared" si="1"/>
        <v/>
      </c>
      <c r="N38" s="1"/>
    </row>
    <row r="39" spans="1:14" ht="25" customHeight="1" x14ac:dyDescent="0.45">
      <c r="A39" s="5"/>
      <c r="B39" s="30"/>
      <c r="C39" s="73">
        <v>68</v>
      </c>
      <c r="D39" s="59">
        <f t="shared" si="2"/>
        <v>115</v>
      </c>
      <c r="E39" s="74">
        <f t="shared" ref="E39:E70" si="6">IF(ROUND(D39,0)&gt;=$Q$7,1,IF(ROUND(D39,0)&gt;=$Q$8,2,IF(ROUND(D39,0)&gt;=$Q$9,3,IF(ROUND(D39,0)&gt;=$Q$10,4,IF(ROUND(D39,0)&gt;=$Q$11,5,IF(ROUND(D39,0)&gt;=$Q$12,6,IF(ROUND(D39,0)&gt;=$Q$13,7,IF(ROUND(D39,0)&gt;=$Q$14,8,9))))))))</f>
        <v>4</v>
      </c>
      <c r="F39" s="60">
        <f t="shared" si="3"/>
        <v>73.83</v>
      </c>
      <c r="G39" s="61">
        <f>IF(D39=D38,"",_xlfn.IFNA(VLOOKUP(D39,'인원 입력 기능(국수)'!$A$5:$D$103,4,FALSE),0))</f>
        <v>4949</v>
      </c>
      <c r="H39" s="62">
        <f t="shared" si="4"/>
        <v>1.3877322117069751E-2</v>
      </c>
      <c r="I39" s="75">
        <f>SUM($G$7:G39)</f>
        <v>95816</v>
      </c>
      <c r="J39" s="64">
        <f t="shared" si="5"/>
        <v>0.2686743778478794</v>
      </c>
      <c r="K39" s="31"/>
      <c r="L39" s="20" t="str">
        <f t="shared" si="1"/>
        <v/>
      </c>
      <c r="N39" s="1"/>
    </row>
    <row r="40" spans="1:14" ht="25" customHeight="1" x14ac:dyDescent="0.45">
      <c r="A40" s="5"/>
      <c r="B40" s="30"/>
      <c r="C40" s="73">
        <v>67</v>
      </c>
      <c r="D40" s="59">
        <f t="shared" si="2"/>
        <v>114</v>
      </c>
      <c r="E40" s="74">
        <f t="shared" si="6"/>
        <v>4</v>
      </c>
      <c r="F40" s="60">
        <f t="shared" si="3"/>
        <v>72.430000000000007</v>
      </c>
      <c r="G40" s="61">
        <f>IF(D40=D39,"",_xlfn.IFNA(VLOOKUP(D40,'인원 입력 기능(국수)'!$A$5:$D$103,4,FALSE),0))</f>
        <v>4999</v>
      </c>
      <c r="H40" s="62">
        <f t="shared" si="4"/>
        <v>1.4017525411847179E-2</v>
      </c>
      <c r="I40" s="75">
        <f>SUM($G$7:G40)</f>
        <v>100815</v>
      </c>
      <c r="J40" s="64">
        <f t="shared" si="5"/>
        <v>0.2826919032597266</v>
      </c>
      <c r="K40" s="31"/>
      <c r="L40" s="20" t="str">
        <f t="shared" si="1"/>
        <v/>
      </c>
      <c r="N40" s="1"/>
    </row>
    <row r="41" spans="1:14" ht="25" customHeight="1" x14ac:dyDescent="0.45">
      <c r="A41" s="5"/>
      <c r="B41" s="30"/>
      <c r="C41" s="73">
        <v>66</v>
      </c>
      <c r="D41" s="59">
        <f t="shared" si="2"/>
        <v>113</v>
      </c>
      <c r="E41" s="74">
        <f t="shared" si="6"/>
        <v>4</v>
      </c>
      <c r="F41" s="60">
        <f t="shared" si="3"/>
        <v>71.03</v>
      </c>
      <c r="G41" s="61">
        <f>IF(D41=D40,"",_xlfn.IFNA(VLOOKUP(D41,'인원 입력 기능(국수)'!$A$5:$D$103,4,FALSE),0))</f>
        <v>5033</v>
      </c>
      <c r="H41" s="62">
        <f t="shared" si="4"/>
        <v>1.4112863652295828E-2</v>
      </c>
      <c r="I41" s="75">
        <f>SUM($G$7:G41)</f>
        <v>105848</v>
      </c>
      <c r="J41" s="64">
        <f t="shared" si="5"/>
        <v>0.29680476691202246</v>
      </c>
      <c r="K41" s="31"/>
      <c r="L41" s="20" t="str">
        <f t="shared" ref="L41:L72" si="7">IF(ABS((C41-$H$3)/$H$4*20+100-D41)&gt;0.49, "경고", "")</f>
        <v/>
      </c>
      <c r="N41" s="1"/>
    </row>
    <row r="42" spans="1:14" ht="25" customHeight="1" x14ac:dyDescent="0.45">
      <c r="A42" s="5"/>
      <c r="B42" s="30"/>
      <c r="C42" s="73">
        <v>65</v>
      </c>
      <c r="D42" s="59">
        <f t="shared" si="2"/>
        <v>112</v>
      </c>
      <c r="E42" s="74">
        <f t="shared" si="6"/>
        <v>4</v>
      </c>
      <c r="F42" s="60">
        <f t="shared" si="3"/>
        <v>69.599999999999994</v>
      </c>
      <c r="G42" s="61">
        <f>IF(D42=D41,"",_xlfn.IFNA(VLOOKUP(D42,'인원 입력 기능(국수)'!$A$5:$D$103,4,FALSE),0))</f>
        <v>5149</v>
      </c>
      <c r="H42" s="62">
        <f t="shared" si="4"/>
        <v>1.4438135296179461E-2</v>
      </c>
      <c r="I42" s="75">
        <f>SUM($G$7:G42)</f>
        <v>110997</v>
      </c>
      <c r="J42" s="64">
        <f t="shared" si="5"/>
        <v>0.31124290220820189</v>
      </c>
      <c r="K42" s="31"/>
      <c r="L42" s="20" t="str">
        <f t="shared" si="7"/>
        <v/>
      </c>
      <c r="N42" s="1"/>
    </row>
    <row r="43" spans="1:14" ht="25" customHeight="1" x14ac:dyDescent="0.45">
      <c r="A43" s="5"/>
      <c r="B43" s="30"/>
      <c r="C43" s="73">
        <v>64</v>
      </c>
      <c r="D43" s="59">
        <f t="shared" si="2"/>
        <v>111</v>
      </c>
      <c r="E43" s="74">
        <f t="shared" si="6"/>
        <v>4</v>
      </c>
      <c r="F43" s="60">
        <f t="shared" si="3"/>
        <v>68.13</v>
      </c>
      <c r="G43" s="61">
        <f>IF(D43=D42,"",_xlfn.IFNA(VLOOKUP(D43,'인원 입력 기능(국수)'!$A$5:$D$103,4,FALSE),0))</f>
        <v>5288</v>
      </c>
      <c r="H43" s="62">
        <f t="shared" si="4"/>
        <v>1.4827900455660709E-2</v>
      </c>
      <c r="I43" s="75">
        <f>SUM($G$7:G43)</f>
        <v>116285</v>
      </c>
      <c r="J43" s="64">
        <f t="shared" si="5"/>
        <v>0.32607080266386262</v>
      </c>
      <c r="K43" s="31"/>
      <c r="L43" s="20" t="str">
        <f t="shared" si="7"/>
        <v/>
      </c>
      <c r="N43" s="1"/>
    </row>
    <row r="44" spans="1:14" ht="25" customHeight="1" x14ac:dyDescent="0.45">
      <c r="A44" s="5"/>
      <c r="B44" s="30"/>
      <c r="C44" s="73">
        <v>63</v>
      </c>
      <c r="D44" s="59">
        <f t="shared" si="2"/>
        <v>110</v>
      </c>
      <c r="E44" s="74">
        <f t="shared" si="6"/>
        <v>4</v>
      </c>
      <c r="F44" s="60">
        <f t="shared" si="3"/>
        <v>66.650000000000006</v>
      </c>
      <c r="G44" s="61">
        <f>IF(D44=D43,"",_xlfn.IFNA(VLOOKUP(D44,'인원 입력 기능(국수)'!$A$5:$D$103,4,FALSE),0))</f>
        <v>5289</v>
      </c>
      <c r="H44" s="62">
        <f t="shared" si="4"/>
        <v>1.4830704521556257E-2</v>
      </c>
      <c r="I44" s="75">
        <f>SUM($G$7:G44)</f>
        <v>121574</v>
      </c>
      <c r="J44" s="64">
        <f t="shared" si="5"/>
        <v>0.34090150718541884</v>
      </c>
      <c r="K44" s="31"/>
      <c r="L44" s="20" t="str">
        <f t="shared" si="7"/>
        <v/>
      </c>
      <c r="N44" s="1"/>
    </row>
    <row r="45" spans="1:14" ht="25" customHeight="1" x14ac:dyDescent="0.45">
      <c r="A45" s="5"/>
      <c r="B45" s="30"/>
      <c r="C45" s="73">
        <v>62</v>
      </c>
      <c r="D45" s="59">
        <f t="shared" si="2"/>
        <v>109</v>
      </c>
      <c r="E45" s="74">
        <f t="shared" si="6"/>
        <v>4</v>
      </c>
      <c r="F45" s="60">
        <f t="shared" si="3"/>
        <v>65.17</v>
      </c>
      <c r="G45" s="61">
        <f>IF(D45=D44,"",_xlfn.IFNA(VLOOKUP(D45,'인원 입력 기능(국수)'!$A$5:$D$103,4,FALSE),0))</f>
        <v>5249</v>
      </c>
      <c r="H45" s="62">
        <f t="shared" si="4"/>
        <v>1.4718541885734314E-2</v>
      </c>
      <c r="I45" s="75">
        <f>SUM($G$7:G45)</f>
        <v>126823</v>
      </c>
      <c r="J45" s="64">
        <f t="shared" si="5"/>
        <v>0.35562004907115319</v>
      </c>
      <c r="K45" s="31"/>
      <c r="L45" s="20" t="str">
        <f t="shared" si="7"/>
        <v/>
      </c>
      <c r="N45" s="1"/>
    </row>
    <row r="46" spans="1:14" ht="25" customHeight="1" x14ac:dyDescent="0.45">
      <c r="A46" s="5"/>
      <c r="B46" s="30"/>
      <c r="C46" s="73">
        <v>61</v>
      </c>
      <c r="D46" s="237">
        <f t="shared" si="2"/>
        <v>108</v>
      </c>
      <c r="E46" s="257">
        <f t="shared" si="6"/>
        <v>4</v>
      </c>
      <c r="F46" s="247">
        <f t="shared" si="3"/>
        <v>62.94</v>
      </c>
      <c r="G46" s="249">
        <f>IF(D46=D45,"",_xlfn.IFNA(VLOOKUP(D46,'인원 입력 기능(국수)'!$A$5:$D$103,4,FALSE),0))</f>
        <v>10679</v>
      </c>
      <c r="H46" s="250">
        <f t="shared" si="4"/>
        <v>2.9944619698562915E-2</v>
      </c>
      <c r="I46" s="258">
        <f>SUM($G$7:G46)</f>
        <v>137502</v>
      </c>
      <c r="J46" s="254">
        <f t="shared" si="5"/>
        <v>0.38556466876971607</v>
      </c>
      <c r="K46" s="31"/>
      <c r="L46" s="20" t="str">
        <f t="shared" si="7"/>
        <v/>
      </c>
      <c r="N46" s="1"/>
    </row>
    <row r="47" spans="1:14" ht="25" customHeight="1" x14ac:dyDescent="0.45">
      <c r="A47" s="5"/>
      <c r="B47" s="30"/>
      <c r="C47" s="73">
        <v>60</v>
      </c>
      <c r="D47" s="238"/>
      <c r="E47" s="256"/>
      <c r="F47" s="246"/>
      <c r="G47" s="248"/>
      <c r="H47" s="251"/>
      <c r="I47" s="259"/>
      <c r="J47" s="255"/>
      <c r="K47" s="31"/>
      <c r="L47" s="20" t="str">
        <f t="shared" si="7"/>
        <v>경고</v>
      </c>
      <c r="N47" s="1"/>
    </row>
    <row r="48" spans="1:14" ht="25" customHeight="1" x14ac:dyDescent="0.45">
      <c r="A48" s="5"/>
      <c r="B48" s="30"/>
      <c r="C48" s="73">
        <v>59</v>
      </c>
      <c r="D48" s="59">
        <f t="shared" si="2"/>
        <v>107</v>
      </c>
      <c r="E48" s="74">
        <f t="shared" si="6"/>
        <v>4</v>
      </c>
      <c r="F48" s="60">
        <f t="shared" si="3"/>
        <v>60.68</v>
      </c>
      <c r="G48" s="61">
        <f>IF(D48=D47,"",_xlfn.IFNA(VLOOKUP(D48,'인원 입력 기능(국수)'!$A$5:$D$103,4,FALSE),0))</f>
        <v>5435</v>
      </c>
      <c r="H48" s="62">
        <f t="shared" si="4"/>
        <v>1.5240098142306344E-2</v>
      </c>
      <c r="I48" s="75">
        <f>SUM($G$7:G48)</f>
        <v>142937</v>
      </c>
      <c r="J48" s="64">
        <f t="shared" si="5"/>
        <v>0.40080476691202244</v>
      </c>
      <c r="K48" s="31"/>
      <c r="L48" s="20" t="str">
        <f t="shared" si="7"/>
        <v/>
      </c>
      <c r="N48" s="1"/>
    </row>
    <row r="49" spans="1:14" ht="25" customHeight="1" x14ac:dyDescent="0.45">
      <c r="A49" s="5"/>
      <c r="B49" s="30"/>
      <c r="C49" s="73">
        <v>58</v>
      </c>
      <c r="D49" s="59">
        <f t="shared" si="2"/>
        <v>106</v>
      </c>
      <c r="E49" s="74">
        <f t="shared" si="6"/>
        <v>5</v>
      </c>
      <c r="F49" s="60">
        <f t="shared" si="3"/>
        <v>59.15</v>
      </c>
      <c r="G49" s="61">
        <f>IF(D49=D48,"",_xlfn.IFNA(VLOOKUP(D49,'인원 입력 기능(국수)'!$A$5:$D$103,4,FALSE),0))</f>
        <v>5464</v>
      </c>
      <c r="H49" s="62">
        <f t="shared" si="4"/>
        <v>1.5321416053277252E-2</v>
      </c>
      <c r="I49" s="75">
        <f>SUM($G$7:G49)</f>
        <v>148401</v>
      </c>
      <c r="J49" s="64">
        <f t="shared" si="5"/>
        <v>0.41612618296529968</v>
      </c>
      <c r="K49" s="31"/>
      <c r="L49" s="20" t="str">
        <f t="shared" si="7"/>
        <v/>
      </c>
      <c r="N49" s="1"/>
    </row>
    <row r="50" spans="1:14" ht="25" customHeight="1" x14ac:dyDescent="0.45">
      <c r="A50" s="5"/>
      <c r="B50" s="30"/>
      <c r="C50" s="73">
        <v>57</v>
      </c>
      <c r="D50" s="59">
        <f t="shared" si="2"/>
        <v>105</v>
      </c>
      <c r="E50" s="74">
        <f t="shared" si="6"/>
        <v>5</v>
      </c>
      <c r="F50" s="60">
        <f t="shared" si="3"/>
        <v>57.63</v>
      </c>
      <c r="G50" s="61">
        <f>IF(D50=D49,"",_xlfn.IFNA(VLOOKUP(D50,'인원 입력 기능(국수)'!$A$5:$D$103,4,FALSE),0))</f>
        <v>5368</v>
      </c>
      <c r="H50" s="62">
        <f t="shared" si="4"/>
        <v>1.5052225727304592E-2</v>
      </c>
      <c r="I50" s="75">
        <f>SUM($G$7:G50)</f>
        <v>153769</v>
      </c>
      <c r="J50" s="64">
        <f t="shared" si="5"/>
        <v>0.43117840869260426</v>
      </c>
      <c r="K50" s="31"/>
      <c r="L50" s="20" t="str">
        <f t="shared" si="7"/>
        <v/>
      </c>
      <c r="N50" s="1"/>
    </row>
    <row r="51" spans="1:14" ht="25" customHeight="1" x14ac:dyDescent="0.45">
      <c r="A51" s="5"/>
      <c r="B51" s="30"/>
      <c r="C51" s="73">
        <v>56</v>
      </c>
      <c r="D51" s="59">
        <f t="shared" si="2"/>
        <v>104</v>
      </c>
      <c r="E51" s="74">
        <f t="shared" si="6"/>
        <v>5</v>
      </c>
      <c r="F51" s="60">
        <f t="shared" si="3"/>
        <v>56.14</v>
      </c>
      <c r="G51" s="61">
        <f>IF(D51=D50,"",_xlfn.IFNA(VLOOKUP(D51,'인원 입력 기능(국수)'!$A$5:$D$103,4,FALSE),0))</f>
        <v>5275</v>
      </c>
      <c r="H51" s="62">
        <f t="shared" si="4"/>
        <v>1.4791447599018577E-2</v>
      </c>
      <c r="I51" s="75">
        <f>SUM($G$7:G51)</f>
        <v>159044</v>
      </c>
      <c r="J51" s="64">
        <f t="shared" si="5"/>
        <v>0.44596985629162283</v>
      </c>
      <c r="K51" s="31"/>
      <c r="L51" s="20" t="str">
        <f t="shared" si="7"/>
        <v/>
      </c>
      <c r="N51" s="1"/>
    </row>
    <row r="52" spans="1:14" ht="25" customHeight="1" x14ac:dyDescent="0.45">
      <c r="A52" s="5"/>
      <c r="B52" s="30"/>
      <c r="C52" s="73">
        <v>55</v>
      </c>
      <c r="D52" s="59">
        <f t="shared" si="2"/>
        <v>103</v>
      </c>
      <c r="E52" s="74">
        <f t="shared" si="6"/>
        <v>5</v>
      </c>
      <c r="F52" s="60">
        <f t="shared" si="3"/>
        <v>54.65</v>
      </c>
      <c r="G52" s="61">
        <f>IF(D52=D51,"",_xlfn.IFNA(VLOOKUP(D52,'인원 입력 기능(국수)'!$A$5:$D$103,4,FALSE),0))</f>
        <v>5349</v>
      </c>
      <c r="H52" s="62">
        <f t="shared" si="4"/>
        <v>1.4998948475289169E-2</v>
      </c>
      <c r="I52" s="75">
        <f>SUM($G$7:G52)</f>
        <v>164393</v>
      </c>
      <c r="J52" s="64">
        <f t="shared" si="5"/>
        <v>0.46096880476691204</v>
      </c>
      <c r="K52" s="31"/>
      <c r="L52" s="20" t="str">
        <f t="shared" si="7"/>
        <v/>
      </c>
      <c r="N52" s="1"/>
    </row>
    <row r="53" spans="1:14" ht="25" customHeight="1" x14ac:dyDescent="0.45">
      <c r="A53" s="5"/>
      <c r="B53" s="30"/>
      <c r="C53" s="73">
        <v>54</v>
      </c>
      <c r="D53" s="59">
        <f t="shared" si="2"/>
        <v>102</v>
      </c>
      <c r="E53" s="74">
        <f t="shared" si="6"/>
        <v>5</v>
      </c>
      <c r="F53" s="60">
        <f t="shared" si="3"/>
        <v>53.14</v>
      </c>
      <c r="G53" s="61">
        <f>IF(D53=D52,"",_xlfn.IFNA(VLOOKUP(D53,'인원 입력 기능(국수)'!$A$5:$D$103,4,FALSE),0))</f>
        <v>5443</v>
      </c>
      <c r="H53" s="62">
        <f t="shared" si="4"/>
        <v>1.5262530669470732E-2</v>
      </c>
      <c r="I53" s="75">
        <f>SUM($G$7:G53)</f>
        <v>169836</v>
      </c>
      <c r="J53" s="64">
        <f t="shared" si="5"/>
        <v>0.47623133543638274</v>
      </c>
      <c r="K53" s="31"/>
      <c r="L53" s="20" t="str">
        <f t="shared" si="7"/>
        <v/>
      </c>
      <c r="N53" s="1"/>
    </row>
    <row r="54" spans="1:14" ht="25" customHeight="1" x14ac:dyDescent="0.45">
      <c r="A54" s="5"/>
      <c r="B54" s="30"/>
      <c r="C54" s="73">
        <v>53</v>
      </c>
      <c r="D54" s="59">
        <f t="shared" si="2"/>
        <v>101</v>
      </c>
      <c r="E54" s="74">
        <f t="shared" si="6"/>
        <v>5</v>
      </c>
      <c r="F54" s="60">
        <f t="shared" si="3"/>
        <v>51.63</v>
      </c>
      <c r="G54" s="61">
        <f>IF(D54=D53,"",_xlfn.IFNA(VLOOKUP(D54,'인원 입력 기능(국수)'!$A$5:$D$103,4,FALSE),0))</f>
        <v>5354</v>
      </c>
      <c r="H54" s="62">
        <f t="shared" si="4"/>
        <v>1.5012968804766913E-2</v>
      </c>
      <c r="I54" s="75">
        <f>SUM($G$7:G54)</f>
        <v>175190</v>
      </c>
      <c r="J54" s="64">
        <f t="shared" si="5"/>
        <v>0.49124430424114968</v>
      </c>
      <c r="K54" s="31"/>
      <c r="L54" s="20" t="str">
        <f t="shared" si="7"/>
        <v/>
      </c>
      <c r="N54" s="1"/>
    </row>
    <row r="55" spans="1:14" ht="25" customHeight="1" x14ac:dyDescent="0.45">
      <c r="A55" s="5"/>
      <c r="B55" s="30"/>
      <c r="C55" s="73">
        <v>52</v>
      </c>
      <c r="D55" s="59">
        <f t="shared" si="2"/>
        <v>100</v>
      </c>
      <c r="E55" s="74">
        <f t="shared" si="6"/>
        <v>5</v>
      </c>
      <c r="F55" s="60">
        <f t="shared" si="3"/>
        <v>50.14</v>
      </c>
      <c r="G55" s="61">
        <f>IF(D55=D54,"",_xlfn.IFNA(VLOOKUP(D55,'인원 입력 기능(국수)'!$A$5:$D$103,4,FALSE),0))</f>
        <v>5277</v>
      </c>
      <c r="H55" s="62">
        <f t="shared" si="4"/>
        <v>1.4797055730809675E-2</v>
      </c>
      <c r="I55" s="75">
        <f>SUM($G$7:G55)</f>
        <v>180467</v>
      </c>
      <c r="J55" s="64">
        <f t="shared" si="5"/>
        <v>0.50604135997195931</v>
      </c>
      <c r="K55" s="31"/>
      <c r="L55" s="20" t="str">
        <f t="shared" si="7"/>
        <v/>
      </c>
      <c r="N55" s="1"/>
    </row>
    <row r="56" spans="1:14" ht="25" customHeight="1" x14ac:dyDescent="0.45">
      <c r="A56" s="5"/>
      <c r="B56" s="30"/>
      <c r="C56" s="73">
        <v>51</v>
      </c>
      <c r="D56" s="237">
        <f t="shared" si="2"/>
        <v>99</v>
      </c>
      <c r="E56" s="257">
        <f t="shared" si="6"/>
        <v>5</v>
      </c>
      <c r="F56" s="247">
        <f t="shared" si="3"/>
        <v>47.92</v>
      </c>
      <c r="G56" s="249">
        <f>IF(D56=D55,"",_xlfn.IFNA(VLOOKUP(D56,'인원 입력 기능(국수)'!$A$5:$D$103,4,FALSE),0))</f>
        <v>10533</v>
      </c>
      <c r="H56" s="250">
        <f t="shared" si="4"/>
        <v>2.953522607781283E-2</v>
      </c>
      <c r="I56" s="258">
        <f>SUM($G$7:G56)</f>
        <v>191000</v>
      </c>
      <c r="J56" s="254">
        <f t="shared" si="5"/>
        <v>0.53557658604977221</v>
      </c>
      <c r="K56" s="31"/>
      <c r="L56" s="20" t="str">
        <f t="shared" si="7"/>
        <v/>
      </c>
      <c r="N56" s="1"/>
    </row>
    <row r="57" spans="1:14" ht="25" customHeight="1" x14ac:dyDescent="0.45">
      <c r="A57" s="5"/>
      <c r="B57" s="30"/>
      <c r="C57" s="73">
        <v>50</v>
      </c>
      <c r="D57" s="238"/>
      <c r="E57" s="256"/>
      <c r="F57" s="246"/>
      <c r="G57" s="248"/>
      <c r="H57" s="251"/>
      <c r="I57" s="259"/>
      <c r="J57" s="255"/>
      <c r="K57" s="31"/>
      <c r="L57" s="20" t="str">
        <f t="shared" si="7"/>
        <v>경고</v>
      </c>
      <c r="N57" s="1"/>
    </row>
    <row r="58" spans="1:14" ht="25" customHeight="1" x14ac:dyDescent="0.45">
      <c r="A58" s="5"/>
      <c r="B58" s="30"/>
      <c r="C58" s="73">
        <v>49</v>
      </c>
      <c r="D58" s="59">
        <f t="shared" si="2"/>
        <v>98</v>
      </c>
      <c r="E58" s="74">
        <f t="shared" si="6"/>
        <v>5</v>
      </c>
      <c r="F58" s="60">
        <f t="shared" si="3"/>
        <v>45.7</v>
      </c>
      <c r="G58" s="61">
        <f>IF(D58=D57,"",_xlfn.IFNA(VLOOKUP(D58,'인원 입력 기능(국수)'!$A$5:$D$103,4,FALSE),0))</f>
        <v>5263</v>
      </c>
      <c r="H58" s="62">
        <f t="shared" si="4"/>
        <v>1.4757798808271994E-2</v>
      </c>
      <c r="I58" s="75">
        <f>SUM($G$7:G58)</f>
        <v>196263</v>
      </c>
      <c r="J58" s="64">
        <f t="shared" si="5"/>
        <v>0.5503343848580442</v>
      </c>
      <c r="K58" s="31"/>
      <c r="L58" s="20" t="str">
        <f t="shared" si="7"/>
        <v/>
      </c>
      <c r="N58" s="1"/>
    </row>
    <row r="59" spans="1:14" ht="25" customHeight="1" x14ac:dyDescent="0.45">
      <c r="A59" s="5"/>
      <c r="B59" s="30"/>
      <c r="C59" s="73">
        <v>48</v>
      </c>
      <c r="D59" s="59">
        <f t="shared" si="2"/>
        <v>97</v>
      </c>
      <c r="E59" s="74">
        <f t="shared" si="6"/>
        <v>5</v>
      </c>
      <c r="F59" s="60">
        <f t="shared" si="3"/>
        <v>44.24</v>
      </c>
      <c r="G59" s="61">
        <f>IF(D59=D58,"",_xlfn.IFNA(VLOOKUP(D59,'인원 입력 기능(국수)'!$A$5:$D$103,4,FALSE),0))</f>
        <v>5196</v>
      </c>
      <c r="H59" s="62">
        <f t="shared" si="4"/>
        <v>1.4569926393270241E-2</v>
      </c>
      <c r="I59" s="75">
        <f>SUM($G$7:G59)</f>
        <v>201459</v>
      </c>
      <c r="J59" s="64">
        <f t="shared" si="5"/>
        <v>0.56490431125131435</v>
      </c>
      <c r="K59" s="31"/>
      <c r="L59" s="20" t="str">
        <f t="shared" si="7"/>
        <v/>
      </c>
      <c r="N59" s="1"/>
    </row>
    <row r="60" spans="1:14" ht="25" customHeight="1" x14ac:dyDescent="0.45">
      <c r="A60" s="5"/>
      <c r="B60" s="30"/>
      <c r="C60" s="73">
        <v>47</v>
      </c>
      <c r="D60" s="59">
        <f t="shared" si="2"/>
        <v>96</v>
      </c>
      <c r="E60" s="74">
        <f t="shared" si="6"/>
        <v>5</v>
      </c>
      <c r="F60" s="60">
        <f t="shared" si="3"/>
        <v>42.8</v>
      </c>
      <c r="G60" s="61">
        <f>IF(D60=D59,"",_xlfn.IFNA(VLOOKUP(D60,'인원 입력 기능(국수)'!$A$5:$D$103,4,FALSE),0))</f>
        <v>5039</v>
      </c>
      <c r="H60" s="62">
        <f t="shared" si="4"/>
        <v>1.412968804766912E-2</v>
      </c>
      <c r="I60" s="75">
        <f>SUM($G$7:G60)</f>
        <v>206498</v>
      </c>
      <c r="J60" s="64">
        <f t="shared" si="5"/>
        <v>0.57903399929898358</v>
      </c>
      <c r="K60" s="31"/>
      <c r="L60" s="20" t="str">
        <f t="shared" si="7"/>
        <v/>
      </c>
      <c r="N60" s="1"/>
    </row>
    <row r="61" spans="1:14" ht="25" customHeight="1" x14ac:dyDescent="0.45">
      <c r="A61" s="5"/>
      <c r="B61" s="30"/>
      <c r="C61" s="73">
        <v>46</v>
      </c>
      <c r="D61" s="59">
        <f t="shared" si="2"/>
        <v>95</v>
      </c>
      <c r="E61" s="74">
        <f t="shared" si="6"/>
        <v>5</v>
      </c>
      <c r="F61" s="60">
        <f t="shared" si="3"/>
        <v>41.4</v>
      </c>
      <c r="G61" s="61">
        <f>IF(D61=D60,"",_xlfn.IFNA(VLOOKUP(D61,'인원 입력 기능(국수)'!$A$5:$D$103,4,FALSE),0))</f>
        <v>5003</v>
      </c>
      <c r="H61" s="62">
        <f t="shared" si="4"/>
        <v>1.4028741675429373E-2</v>
      </c>
      <c r="I61" s="75">
        <f>SUM($G$7:G61)</f>
        <v>211501</v>
      </c>
      <c r="J61" s="64">
        <f t="shared" si="5"/>
        <v>0.59306274097441292</v>
      </c>
      <c r="K61" s="31"/>
      <c r="L61" s="20" t="str">
        <f t="shared" si="7"/>
        <v/>
      </c>
      <c r="N61" s="1"/>
    </row>
    <row r="62" spans="1:14" ht="25" customHeight="1" x14ac:dyDescent="0.45">
      <c r="A62" s="5"/>
      <c r="B62" s="30"/>
      <c r="C62" s="73">
        <v>45</v>
      </c>
      <c r="D62" s="59">
        <f t="shared" si="2"/>
        <v>94</v>
      </c>
      <c r="E62" s="74">
        <f t="shared" si="6"/>
        <v>5</v>
      </c>
      <c r="F62" s="60">
        <f t="shared" si="3"/>
        <v>39.99</v>
      </c>
      <c r="G62" s="61">
        <f>IF(D62=D61,"",_xlfn.IFNA(VLOOKUP(D62,'인원 입력 기능(국수)'!$A$5:$D$103,4,FALSE),0))</f>
        <v>5054</v>
      </c>
      <c r="H62" s="62">
        <f t="shared" si="4"/>
        <v>1.4171749036102348E-2</v>
      </c>
      <c r="I62" s="75">
        <f>SUM($G$7:G62)</f>
        <v>216555</v>
      </c>
      <c r="J62" s="64">
        <f t="shared" si="5"/>
        <v>0.60723449001051522</v>
      </c>
      <c r="K62" s="31"/>
      <c r="L62" s="20" t="str">
        <f t="shared" si="7"/>
        <v/>
      </c>
      <c r="N62" s="1"/>
    </row>
    <row r="63" spans="1:14" ht="25" customHeight="1" x14ac:dyDescent="0.45">
      <c r="A63" s="5"/>
      <c r="B63" s="30"/>
      <c r="C63" s="73">
        <v>44</v>
      </c>
      <c r="D63" s="59">
        <f t="shared" si="2"/>
        <v>93</v>
      </c>
      <c r="E63" s="74">
        <f t="shared" si="6"/>
        <v>6</v>
      </c>
      <c r="F63" s="60">
        <f t="shared" si="3"/>
        <v>38.590000000000003</v>
      </c>
      <c r="G63" s="61">
        <f>IF(D63=D62,"",_xlfn.IFNA(VLOOKUP(D63,'인원 입력 기능(국수)'!$A$5:$D$103,4,FALSE),0))</f>
        <v>4872</v>
      </c>
      <c r="H63" s="62">
        <f t="shared" si="4"/>
        <v>1.3661409043112513E-2</v>
      </c>
      <c r="I63" s="75">
        <f>SUM($G$7:G63)</f>
        <v>221427</v>
      </c>
      <c r="J63" s="64">
        <f t="shared" si="5"/>
        <v>0.62089589905362774</v>
      </c>
      <c r="K63" s="31"/>
      <c r="L63" s="20" t="str">
        <f t="shared" si="7"/>
        <v/>
      </c>
      <c r="N63" s="1"/>
    </row>
    <row r="64" spans="1:14" ht="25" customHeight="1" x14ac:dyDescent="0.45">
      <c r="A64" s="5"/>
      <c r="B64" s="30"/>
      <c r="C64" s="73">
        <v>43</v>
      </c>
      <c r="D64" s="59">
        <f t="shared" si="2"/>
        <v>92</v>
      </c>
      <c r="E64" s="74">
        <f t="shared" si="6"/>
        <v>6</v>
      </c>
      <c r="F64" s="60">
        <f t="shared" si="3"/>
        <v>37.22</v>
      </c>
      <c r="G64" s="61">
        <f>IF(D64=D63,"",_xlfn.IFNA(VLOOKUP(D64,'인원 입력 기능(국수)'!$A$5:$D$103,4,FALSE),0))</f>
        <v>4915</v>
      </c>
      <c r="H64" s="62">
        <f t="shared" si="4"/>
        <v>1.37819838766211E-2</v>
      </c>
      <c r="I64" s="75">
        <f>SUM($G$7:G64)</f>
        <v>226342</v>
      </c>
      <c r="J64" s="64">
        <f t="shared" si="5"/>
        <v>0.63467788293024885</v>
      </c>
      <c r="K64" s="31"/>
      <c r="L64" s="20" t="str">
        <f t="shared" si="7"/>
        <v/>
      </c>
      <c r="N64" s="1"/>
    </row>
    <row r="65" spans="1:14" ht="25" customHeight="1" x14ac:dyDescent="0.45">
      <c r="A65" s="5"/>
      <c r="B65" s="30"/>
      <c r="C65" s="73">
        <v>42</v>
      </c>
      <c r="D65" s="59">
        <f t="shared" si="2"/>
        <v>91</v>
      </c>
      <c r="E65" s="74">
        <f t="shared" si="6"/>
        <v>6</v>
      </c>
      <c r="F65" s="60">
        <f t="shared" si="3"/>
        <v>35.86</v>
      </c>
      <c r="G65" s="61">
        <f>IF(D65=D64,"",_xlfn.IFNA(VLOOKUP(D65,'인원 입력 기능(국수)'!$A$5:$D$103,4,FALSE),0))</f>
        <v>4769</v>
      </c>
      <c r="H65" s="62">
        <f t="shared" si="4"/>
        <v>1.3372590255871014E-2</v>
      </c>
      <c r="I65" s="75">
        <f>SUM($G$7:G65)</f>
        <v>231111</v>
      </c>
      <c r="J65" s="64">
        <f t="shared" si="5"/>
        <v>0.64805047318611986</v>
      </c>
      <c r="K65" s="31"/>
      <c r="L65" s="20" t="str">
        <f t="shared" si="7"/>
        <v/>
      </c>
      <c r="N65" s="1"/>
    </row>
    <row r="66" spans="1:14" ht="25" customHeight="1" x14ac:dyDescent="0.45">
      <c r="A66" s="5"/>
      <c r="B66" s="30"/>
      <c r="C66" s="73">
        <v>41</v>
      </c>
      <c r="D66" s="59">
        <f t="shared" si="2"/>
        <v>90</v>
      </c>
      <c r="E66" s="74">
        <f t="shared" si="6"/>
        <v>6</v>
      </c>
      <c r="F66" s="60">
        <f t="shared" si="3"/>
        <v>34.51</v>
      </c>
      <c r="G66" s="61">
        <f>IF(D66=D65,"",_xlfn.IFNA(VLOOKUP(D66,'인원 입력 기능(국수)'!$A$5:$D$103,4,FALSE),0))</f>
        <v>4888</v>
      </c>
      <c r="H66" s="62">
        <f t="shared" si="4"/>
        <v>1.370627409744129E-2</v>
      </c>
      <c r="I66" s="75">
        <f>SUM($G$7:G66)</f>
        <v>235999</v>
      </c>
      <c r="J66" s="64">
        <f t="shared" si="5"/>
        <v>0.66175674728356115</v>
      </c>
      <c r="K66" s="31"/>
      <c r="L66" s="20" t="str">
        <f t="shared" si="7"/>
        <v/>
      </c>
      <c r="N66" s="1"/>
    </row>
    <row r="67" spans="1:14" ht="25" customHeight="1" x14ac:dyDescent="0.45">
      <c r="A67" s="5"/>
      <c r="B67" s="30"/>
      <c r="C67" s="73">
        <v>40</v>
      </c>
      <c r="D67" s="237">
        <f t="shared" si="2"/>
        <v>89</v>
      </c>
      <c r="E67" s="257">
        <f t="shared" si="6"/>
        <v>6</v>
      </c>
      <c r="F67" s="247">
        <f t="shared" si="3"/>
        <v>32.53</v>
      </c>
      <c r="G67" s="249">
        <f>IF(D67=D66,"",_xlfn.IFNA(VLOOKUP(D67,'인원 입력 기능(국수)'!$A$5:$D$103,4,FALSE),0))</f>
        <v>9253</v>
      </c>
      <c r="H67" s="250">
        <f t="shared" si="4"/>
        <v>2.5946021731510692E-2</v>
      </c>
      <c r="I67" s="258">
        <f>SUM($G$7:G67)</f>
        <v>245252</v>
      </c>
      <c r="J67" s="254">
        <f t="shared" si="5"/>
        <v>0.68770276901507188</v>
      </c>
      <c r="K67" s="31"/>
      <c r="L67" s="20" t="str">
        <f t="shared" si="7"/>
        <v/>
      </c>
      <c r="N67" s="1"/>
    </row>
    <row r="68" spans="1:14" ht="25" customHeight="1" x14ac:dyDescent="0.45">
      <c r="A68" s="5"/>
      <c r="B68" s="30"/>
      <c r="C68" s="73">
        <v>39</v>
      </c>
      <c r="D68" s="238"/>
      <c r="E68" s="256"/>
      <c r="F68" s="246"/>
      <c r="G68" s="248"/>
      <c r="H68" s="251"/>
      <c r="I68" s="259"/>
      <c r="J68" s="255"/>
      <c r="K68" s="31"/>
      <c r="L68" s="20" t="str">
        <f t="shared" si="7"/>
        <v>경고</v>
      </c>
      <c r="N68" s="1"/>
    </row>
    <row r="69" spans="1:14" ht="25" customHeight="1" x14ac:dyDescent="0.45">
      <c r="A69" s="5"/>
      <c r="B69" s="30"/>
      <c r="C69" s="73">
        <v>38</v>
      </c>
      <c r="D69" s="59">
        <f t="shared" si="2"/>
        <v>88</v>
      </c>
      <c r="E69" s="74">
        <f t="shared" si="6"/>
        <v>6</v>
      </c>
      <c r="F69" s="60">
        <f t="shared" si="3"/>
        <v>30.6</v>
      </c>
      <c r="G69" s="61">
        <f>IF(D69=D68,"",_xlfn.IFNA(VLOOKUP(D69,'인원 입력 기능(국수)'!$A$5:$D$103,4,FALSE),0))</f>
        <v>4511</v>
      </c>
      <c r="H69" s="62">
        <f t="shared" si="4"/>
        <v>1.2649141254819488E-2</v>
      </c>
      <c r="I69" s="75">
        <f>SUM($G$7:G69)</f>
        <v>249763</v>
      </c>
      <c r="J69" s="64">
        <f t="shared" si="5"/>
        <v>0.7003519102698913</v>
      </c>
      <c r="K69" s="31"/>
      <c r="L69" s="20" t="str">
        <f t="shared" si="7"/>
        <v/>
      </c>
      <c r="N69" s="1"/>
    </row>
    <row r="70" spans="1:14" ht="25" customHeight="1" x14ac:dyDescent="0.45">
      <c r="A70" s="5"/>
      <c r="B70" s="30"/>
      <c r="C70" s="73">
        <v>37</v>
      </c>
      <c r="D70" s="59">
        <f t="shared" si="2"/>
        <v>87</v>
      </c>
      <c r="E70" s="74">
        <f t="shared" si="6"/>
        <v>6</v>
      </c>
      <c r="F70" s="60">
        <f t="shared" si="3"/>
        <v>29.31</v>
      </c>
      <c r="G70" s="61">
        <f>IF(D70=D69,"",_xlfn.IFNA(VLOOKUP(D70,'인원 입력 기능(국수)'!$A$5:$D$103,4,FALSE),0))</f>
        <v>4664</v>
      </c>
      <c r="H70" s="62">
        <f t="shared" si="4"/>
        <v>1.3078163336838415E-2</v>
      </c>
      <c r="I70" s="75">
        <f>SUM($G$7:G70)</f>
        <v>254427</v>
      </c>
      <c r="J70" s="64">
        <f t="shared" si="5"/>
        <v>0.71343007360672972</v>
      </c>
      <c r="K70" s="31"/>
      <c r="L70" s="20" t="str">
        <f t="shared" si="7"/>
        <v/>
      </c>
      <c r="N70" s="1"/>
    </row>
    <row r="71" spans="1:14" ht="25" customHeight="1" x14ac:dyDescent="0.45">
      <c r="A71" s="5"/>
      <c r="B71" s="30"/>
      <c r="C71" s="73">
        <v>36</v>
      </c>
      <c r="D71" s="59">
        <f t="shared" si="2"/>
        <v>86</v>
      </c>
      <c r="E71" s="74">
        <f t="shared" ref="E71:E102" si="8">IF(ROUND(D71,0)&gt;=$Q$7,1,IF(ROUND(D71,0)&gt;=$Q$8,2,IF(ROUND(D71,0)&gt;=$Q$9,3,IF(ROUND(D71,0)&gt;=$Q$10,4,IF(ROUND(D71,0)&gt;=$Q$11,5,IF(ROUND(D71,0)&gt;=$Q$12,6,IF(ROUND(D71,0)&gt;=$Q$13,7,IF(ROUND(D71,0)&gt;=$Q$14,8,9))))))))</f>
        <v>6</v>
      </c>
      <c r="F71" s="60">
        <f t="shared" si="3"/>
        <v>28.02</v>
      </c>
      <c r="G71" s="61">
        <f>IF(D71=D70,"",_xlfn.IFNA(VLOOKUP(D71,'인원 입력 기능(국수)'!$A$5:$D$103,4,FALSE),0))</f>
        <v>4578</v>
      </c>
      <c r="H71" s="62">
        <f t="shared" si="4"/>
        <v>1.2837013669821241E-2</v>
      </c>
      <c r="I71" s="75">
        <f>SUM($G$7:G71)</f>
        <v>259005</v>
      </c>
      <c r="J71" s="64">
        <f t="shared" si="5"/>
        <v>0.72626708727655098</v>
      </c>
      <c r="K71" s="31"/>
      <c r="L71" s="20" t="str">
        <f t="shared" si="7"/>
        <v/>
      </c>
      <c r="N71" s="1"/>
    </row>
    <row r="72" spans="1:14" ht="25" customHeight="1" x14ac:dyDescent="0.45">
      <c r="A72" s="5"/>
      <c r="B72" s="30"/>
      <c r="C72" s="73">
        <v>35</v>
      </c>
      <c r="D72" s="59">
        <f t="shared" si="2"/>
        <v>85</v>
      </c>
      <c r="E72" s="74">
        <f t="shared" si="8"/>
        <v>6</v>
      </c>
      <c r="F72" s="60">
        <f t="shared" si="3"/>
        <v>26.76</v>
      </c>
      <c r="G72" s="61">
        <f>IF(D72=D71,"",_xlfn.IFNA(VLOOKUP(D72,'인원 입력 기능(국수)'!$A$5:$D$103,4,FALSE),0))</f>
        <v>4348</v>
      </c>
      <c r="H72" s="62">
        <f t="shared" si="4"/>
        <v>1.2192078513845076E-2</v>
      </c>
      <c r="I72" s="75">
        <f>SUM($G$7:G72)</f>
        <v>263353</v>
      </c>
      <c r="J72" s="64">
        <f t="shared" si="5"/>
        <v>0.73845916579039605</v>
      </c>
      <c r="K72" s="31"/>
      <c r="L72" s="20" t="str">
        <f t="shared" si="7"/>
        <v/>
      </c>
      <c r="N72" s="1"/>
    </row>
    <row r="73" spans="1:14" ht="25" customHeight="1" x14ac:dyDescent="0.45">
      <c r="A73" s="5"/>
      <c r="B73" s="30"/>
      <c r="C73" s="73">
        <v>34</v>
      </c>
      <c r="D73" s="59">
        <f t="shared" si="2"/>
        <v>84</v>
      </c>
      <c r="E73" s="74">
        <f t="shared" si="8"/>
        <v>6</v>
      </c>
      <c r="F73" s="60">
        <f t="shared" si="3"/>
        <v>25.52</v>
      </c>
      <c r="G73" s="61">
        <f>IF(D73=D72,"",_xlfn.IFNA(VLOOKUP(D73,'인원 입력 기능(국수)'!$A$5:$D$103,4,FALSE),0))</f>
        <v>4530</v>
      </c>
      <c r="H73" s="62">
        <f t="shared" si="4"/>
        <v>1.2702418506834911E-2</v>
      </c>
      <c r="I73" s="75">
        <f>SUM($G$7:G73)</f>
        <v>267883</v>
      </c>
      <c r="J73" s="64">
        <f t="shared" si="5"/>
        <v>0.75116158429723101</v>
      </c>
      <c r="K73" s="31"/>
      <c r="L73" s="20" t="str">
        <f t="shared" ref="L73:L105" si="9">IF(ABS((C73-$H$3)/$H$4*20+100-D73)&gt;0.49, "경고", "")</f>
        <v/>
      </c>
      <c r="N73" s="1"/>
    </row>
    <row r="74" spans="1:14" ht="25" customHeight="1" x14ac:dyDescent="0.45">
      <c r="A74" s="5"/>
      <c r="B74" s="30"/>
      <c r="C74" s="73">
        <v>33</v>
      </c>
      <c r="D74" s="59">
        <f t="shared" ref="D74:D105" si="10">ROUND(20*(C74-$H$3)/$H$4+100,0)</f>
        <v>83</v>
      </c>
      <c r="E74" s="74">
        <f t="shared" si="8"/>
        <v>6</v>
      </c>
      <c r="F74" s="60">
        <f t="shared" ref="F74:F105" si="11">IF(I73=0,ROUND(100*(1-(I72+I74)/2/$J$3),2),ROUND(100*(1-(I73+I74)/2/$J$3),2))</f>
        <v>24.3</v>
      </c>
      <c r="G74" s="61">
        <f>IF(D74=D73,"",_xlfn.IFNA(VLOOKUP(D74,'인원 입력 기능(국수)'!$A$5:$D$103,4,FALSE),0))</f>
        <v>4150</v>
      </c>
      <c r="H74" s="62">
        <f t="shared" ref="H74:H105" si="12">G74/$J$3</f>
        <v>1.1636873466526464E-2</v>
      </c>
      <c r="I74" s="75">
        <f>SUM($G$7:G74)</f>
        <v>272033</v>
      </c>
      <c r="J74" s="64">
        <f t="shared" ref="J74:J105" si="13">I74/$J$3</f>
        <v>0.76279845776375743</v>
      </c>
      <c r="K74" s="31"/>
      <c r="L74" s="20" t="str">
        <f t="shared" si="9"/>
        <v/>
      </c>
      <c r="N74" s="1"/>
    </row>
    <row r="75" spans="1:14" ht="25" customHeight="1" x14ac:dyDescent="0.45">
      <c r="A75" s="5"/>
      <c r="B75" s="30"/>
      <c r="C75" s="73">
        <v>32</v>
      </c>
      <c r="D75" s="59">
        <f t="shared" si="10"/>
        <v>82</v>
      </c>
      <c r="E75" s="74">
        <f t="shared" si="8"/>
        <v>6</v>
      </c>
      <c r="F75" s="60">
        <f t="shared" si="11"/>
        <v>23.11</v>
      </c>
      <c r="G75" s="61">
        <f>IF(D75=D74,"",_xlfn.IFNA(VLOOKUP(D75,'인원 입력 기능(국수)'!$A$5:$D$103,4,FALSE),0))</f>
        <v>4324</v>
      </c>
      <c r="H75" s="62">
        <f t="shared" si="12"/>
        <v>1.2124780932351911E-2</v>
      </c>
      <c r="I75" s="75">
        <f>SUM($G$7:G75)</f>
        <v>276357</v>
      </c>
      <c r="J75" s="64">
        <f t="shared" si="13"/>
        <v>0.77492323869610935</v>
      </c>
      <c r="K75" s="31"/>
      <c r="L75" s="20" t="str">
        <f t="shared" si="9"/>
        <v/>
      </c>
      <c r="N75" s="1"/>
    </row>
    <row r="76" spans="1:14" ht="25" customHeight="1" x14ac:dyDescent="0.45">
      <c r="A76" s="5"/>
      <c r="B76" s="30"/>
      <c r="C76" s="73">
        <v>31</v>
      </c>
      <c r="D76" s="59">
        <f t="shared" si="10"/>
        <v>81</v>
      </c>
      <c r="E76" s="74">
        <f t="shared" si="8"/>
        <v>7</v>
      </c>
      <c r="F76" s="60">
        <f t="shared" si="11"/>
        <v>21.93</v>
      </c>
      <c r="G76" s="61">
        <f>IF(D76=D75,"",_xlfn.IFNA(VLOOKUP(D76,'인원 입력 기능(국수)'!$A$5:$D$103,4,FALSE),0))</f>
        <v>4112</v>
      </c>
      <c r="H76" s="62">
        <f t="shared" si="12"/>
        <v>1.1530318962495619E-2</v>
      </c>
      <c r="I76" s="75">
        <f>SUM($G$7:G76)</f>
        <v>280469</v>
      </c>
      <c r="J76" s="64">
        <f t="shared" si="13"/>
        <v>0.78645355765860503</v>
      </c>
      <c r="K76" s="31"/>
      <c r="L76" s="20" t="str">
        <f t="shared" si="9"/>
        <v/>
      </c>
      <c r="N76" s="1"/>
    </row>
    <row r="77" spans="1:14" ht="25" customHeight="1" x14ac:dyDescent="0.45">
      <c r="A77" s="5"/>
      <c r="B77" s="30"/>
      <c r="C77" s="73">
        <v>30</v>
      </c>
      <c r="D77" s="237">
        <f t="shared" si="10"/>
        <v>80</v>
      </c>
      <c r="E77" s="257">
        <f t="shared" si="8"/>
        <v>7</v>
      </c>
      <c r="F77" s="247">
        <f t="shared" si="11"/>
        <v>20.21</v>
      </c>
      <c r="G77" s="249">
        <f>IF(D77=D76,"",_xlfn.IFNA(VLOOKUP(D77,'인원 입력 기능(국수)'!$A$5:$D$103,4,FALSE),0))</f>
        <v>8189</v>
      </c>
      <c r="H77" s="250">
        <f t="shared" si="12"/>
        <v>2.2962495618647039E-2</v>
      </c>
      <c r="I77" s="258">
        <f>SUM($G$7:G77)</f>
        <v>288658</v>
      </c>
      <c r="J77" s="254">
        <f t="shared" si="13"/>
        <v>0.80941605327725197</v>
      </c>
      <c r="K77" s="31"/>
      <c r="L77" s="20" t="str">
        <f t="shared" si="9"/>
        <v/>
      </c>
      <c r="N77" s="1"/>
    </row>
    <row r="78" spans="1:14" ht="25" customHeight="1" x14ac:dyDescent="0.45">
      <c r="A78" s="5"/>
      <c r="B78" s="30"/>
      <c r="C78" s="73">
        <v>29</v>
      </c>
      <c r="D78" s="238"/>
      <c r="E78" s="256"/>
      <c r="F78" s="246"/>
      <c r="G78" s="248"/>
      <c r="H78" s="251"/>
      <c r="I78" s="259"/>
      <c r="J78" s="255"/>
      <c r="K78" s="31"/>
      <c r="L78" s="20" t="str">
        <f t="shared" si="9"/>
        <v>경고</v>
      </c>
      <c r="N78" s="1"/>
    </row>
    <row r="79" spans="1:14" ht="25" customHeight="1" x14ac:dyDescent="0.45">
      <c r="A79" s="5"/>
      <c r="B79" s="30"/>
      <c r="C79" s="73">
        <v>28</v>
      </c>
      <c r="D79" s="59">
        <f t="shared" si="10"/>
        <v>79</v>
      </c>
      <c r="E79" s="74">
        <f t="shared" si="8"/>
        <v>7</v>
      </c>
      <c r="F79" s="60">
        <f t="shared" si="11"/>
        <v>18.45</v>
      </c>
      <c r="G79" s="61">
        <f>IF(D79=D78,"",_xlfn.IFNA(VLOOKUP(D79,'인원 입력 기능(국수)'!$A$5:$D$103,4,FALSE),0))</f>
        <v>4340</v>
      </c>
      <c r="H79" s="62">
        <f t="shared" si="12"/>
        <v>1.2169645986680687E-2</v>
      </c>
      <c r="I79" s="75">
        <f>SUM($G$7:G79)</f>
        <v>292998</v>
      </c>
      <c r="J79" s="64">
        <f t="shared" si="13"/>
        <v>0.82158569926393266</v>
      </c>
      <c r="K79" s="31"/>
      <c r="L79" s="20" t="str">
        <f t="shared" si="9"/>
        <v/>
      </c>
      <c r="N79" s="1"/>
    </row>
    <row r="80" spans="1:14" ht="25" customHeight="1" x14ac:dyDescent="0.45">
      <c r="A80" s="5"/>
      <c r="B80" s="30"/>
      <c r="C80" s="73">
        <v>27</v>
      </c>
      <c r="D80" s="59">
        <f t="shared" si="10"/>
        <v>78</v>
      </c>
      <c r="E80" s="74">
        <f t="shared" si="8"/>
        <v>7</v>
      </c>
      <c r="F80" s="60">
        <f t="shared" si="11"/>
        <v>17.28</v>
      </c>
      <c r="G80" s="61">
        <f>IF(D80=D79,"",_xlfn.IFNA(VLOOKUP(D80,'인원 입력 기능(국수)'!$A$5:$D$103,4,FALSE),0))</f>
        <v>3978</v>
      </c>
      <c r="H80" s="62">
        <f t="shared" si="12"/>
        <v>1.1154574132492113E-2</v>
      </c>
      <c r="I80" s="75">
        <f>SUM($G$7:G80)</f>
        <v>296976</v>
      </c>
      <c r="J80" s="64">
        <f t="shared" si="13"/>
        <v>0.83274027339642487</v>
      </c>
      <c r="K80" s="31"/>
      <c r="L80" s="20" t="str">
        <f t="shared" si="9"/>
        <v/>
      </c>
      <c r="N80" s="1"/>
    </row>
    <row r="81" spans="1:14" ht="25" customHeight="1" x14ac:dyDescent="0.45">
      <c r="A81" s="5"/>
      <c r="B81" s="30"/>
      <c r="C81" s="73">
        <v>26</v>
      </c>
      <c r="D81" s="59">
        <f t="shared" si="10"/>
        <v>77</v>
      </c>
      <c r="E81" s="74">
        <f t="shared" si="8"/>
        <v>7</v>
      </c>
      <c r="F81" s="60">
        <f t="shared" si="11"/>
        <v>16.12</v>
      </c>
      <c r="G81" s="61">
        <f>IF(D81=D80,"",_xlfn.IFNA(VLOOKUP(D81,'인원 입력 기능(국수)'!$A$5:$D$103,4,FALSE),0))</f>
        <v>4345</v>
      </c>
      <c r="H81" s="62">
        <f t="shared" si="12"/>
        <v>1.218366631615843E-2</v>
      </c>
      <c r="I81" s="75">
        <f>SUM($G$7:G81)</f>
        <v>301321</v>
      </c>
      <c r="J81" s="64">
        <f t="shared" si="13"/>
        <v>0.84492393971258328</v>
      </c>
      <c r="K81" s="31"/>
      <c r="L81" s="20" t="str">
        <f t="shared" si="9"/>
        <v/>
      </c>
      <c r="N81" s="1"/>
    </row>
    <row r="82" spans="1:14" ht="25" customHeight="1" x14ac:dyDescent="0.45">
      <c r="A82" s="5"/>
      <c r="B82" s="30"/>
      <c r="C82" s="73">
        <v>25</v>
      </c>
      <c r="D82" s="59">
        <f t="shared" si="10"/>
        <v>76</v>
      </c>
      <c r="E82" s="74">
        <f t="shared" si="8"/>
        <v>7</v>
      </c>
      <c r="F82" s="60">
        <f t="shared" si="11"/>
        <v>15</v>
      </c>
      <c r="G82" s="61">
        <f>IF(D82=D81,"",_xlfn.IFNA(VLOOKUP(D82,'인원 입력 기능(국수)'!$A$5:$D$103,4,FALSE),0))</f>
        <v>3613</v>
      </c>
      <c r="H82" s="62">
        <f t="shared" si="12"/>
        <v>1.0131090080616894E-2</v>
      </c>
      <c r="I82" s="75">
        <f>SUM($G$7:G82)</f>
        <v>304934</v>
      </c>
      <c r="J82" s="64">
        <f t="shared" si="13"/>
        <v>0.85505502979320014</v>
      </c>
      <c r="K82" s="31"/>
      <c r="L82" s="20" t="str">
        <f t="shared" si="9"/>
        <v/>
      </c>
      <c r="N82" s="1"/>
    </row>
    <row r="83" spans="1:14" ht="25" customHeight="1" x14ac:dyDescent="0.45">
      <c r="A83" s="5"/>
      <c r="B83" s="30"/>
      <c r="C83" s="73">
        <v>24</v>
      </c>
      <c r="D83" s="59">
        <f t="shared" si="10"/>
        <v>75</v>
      </c>
      <c r="E83" s="74">
        <f t="shared" si="8"/>
        <v>7</v>
      </c>
      <c r="F83" s="60">
        <f t="shared" si="11"/>
        <v>13.22</v>
      </c>
      <c r="G83" s="61">
        <f>IF(D83=D82,"",_xlfn.IFNA(VLOOKUP(D83,'인원 입력 기능(국수)'!$A$5:$D$103,4,FALSE),0))</f>
        <v>9107</v>
      </c>
      <c r="H83" s="62">
        <f t="shared" si="12"/>
        <v>2.5536628110760604E-2</v>
      </c>
      <c r="I83" s="75">
        <f>SUM($G$7:G83)</f>
        <v>314041</v>
      </c>
      <c r="J83" s="64">
        <f t="shared" si="13"/>
        <v>0.88059165790396077</v>
      </c>
      <c r="K83" s="31"/>
      <c r="L83" s="20" t="str">
        <f t="shared" si="9"/>
        <v/>
      </c>
      <c r="N83" s="1"/>
    </row>
    <row r="84" spans="1:14" ht="25" customHeight="1" x14ac:dyDescent="0.45">
      <c r="A84" s="5"/>
      <c r="B84" s="30"/>
      <c r="C84" s="73">
        <v>23</v>
      </c>
      <c r="D84" s="59">
        <f t="shared" si="10"/>
        <v>74</v>
      </c>
      <c r="E84" s="74">
        <f t="shared" si="8"/>
        <v>7</v>
      </c>
      <c r="F84" s="60">
        <f t="shared" si="11"/>
        <v>11.44</v>
      </c>
      <c r="G84" s="61">
        <f>IF(D84=D83,"",_xlfn.IFNA(VLOOKUP(D84,'인원 입력 기능(국수)'!$A$5:$D$103,4,FALSE),0))</f>
        <v>3541</v>
      </c>
      <c r="H84" s="62">
        <f t="shared" si="12"/>
        <v>9.9291973361373999E-3</v>
      </c>
      <c r="I84" s="75">
        <f>SUM($G$7:G84)</f>
        <v>317582</v>
      </c>
      <c r="J84" s="64">
        <f t="shared" si="13"/>
        <v>0.89052085524009816</v>
      </c>
      <c r="K84" s="31"/>
      <c r="L84" s="20" t="str">
        <f t="shared" si="9"/>
        <v/>
      </c>
      <c r="N84" s="1"/>
    </row>
    <row r="85" spans="1:14" ht="25" customHeight="1" x14ac:dyDescent="0.45">
      <c r="A85" s="5"/>
      <c r="B85" s="30"/>
      <c r="C85" s="73">
        <v>22</v>
      </c>
      <c r="D85" s="59">
        <f t="shared" si="10"/>
        <v>73</v>
      </c>
      <c r="E85" s="74">
        <f t="shared" si="8"/>
        <v>8</v>
      </c>
      <c r="F85" s="60">
        <f t="shared" si="11"/>
        <v>10.44</v>
      </c>
      <c r="G85" s="61">
        <f>IF(D85=D84,"",_xlfn.IFNA(VLOOKUP(D85,'인원 입력 기능(국수)'!$A$5:$D$103,4,FALSE),0))</f>
        <v>3650</v>
      </c>
      <c r="H85" s="62">
        <f t="shared" si="12"/>
        <v>1.0234840518752191E-2</v>
      </c>
      <c r="I85" s="75">
        <f>SUM($G$7:G85)</f>
        <v>321232</v>
      </c>
      <c r="J85" s="64">
        <f t="shared" si="13"/>
        <v>0.90075569575885028</v>
      </c>
      <c r="K85" s="31"/>
      <c r="L85" s="20" t="str">
        <f t="shared" si="9"/>
        <v/>
      </c>
      <c r="N85" s="1"/>
    </row>
    <row r="86" spans="1:14" ht="25" customHeight="1" x14ac:dyDescent="0.45">
      <c r="A86" s="5"/>
      <c r="B86" s="30"/>
      <c r="C86" s="73">
        <v>21</v>
      </c>
      <c r="D86" s="59">
        <f t="shared" si="10"/>
        <v>72</v>
      </c>
      <c r="E86" s="74">
        <f t="shared" si="8"/>
        <v>8</v>
      </c>
      <c r="F86" s="60">
        <f t="shared" si="11"/>
        <v>9.42</v>
      </c>
      <c r="G86" s="61">
        <f>IF(D86=D85,"",_xlfn.IFNA(VLOOKUP(D86,'인원 입력 기능(국수)'!$A$5:$D$103,4,FALSE),0))</f>
        <v>3574</v>
      </c>
      <c r="H86" s="62">
        <f t="shared" si="12"/>
        <v>1.0021731510690501E-2</v>
      </c>
      <c r="I86" s="75">
        <f>SUM($G$7:G86)</f>
        <v>324806</v>
      </c>
      <c r="J86" s="64">
        <f t="shared" si="13"/>
        <v>0.91077742726954081</v>
      </c>
      <c r="K86" s="31"/>
      <c r="L86" s="20" t="str">
        <f t="shared" si="9"/>
        <v/>
      </c>
      <c r="N86" s="1"/>
    </row>
    <row r="87" spans="1:14" ht="25" customHeight="1" x14ac:dyDescent="0.45">
      <c r="A87" s="5"/>
      <c r="B87" s="30"/>
      <c r="C87" s="73">
        <v>20</v>
      </c>
      <c r="D87" s="59">
        <f t="shared" si="10"/>
        <v>71</v>
      </c>
      <c r="E87" s="74">
        <f t="shared" si="8"/>
        <v>8</v>
      </c>
      <c r="F87" s="60">
        <f t="shared" si="11"/>
        <v>8.48</v>
      </c>
      <c r="G87" s="61">
        <f>IF(D87=D86,"",_xlfn.IFNA(VLOOKUP(D87,'인원 입력 기능(국수)'!$A$5:$D$103,4,FALSE),0))</f>
        <v>3184</v>
      </c>
      <c r="H87" s="62">
        <f t="shared" si="12"/>
        <v>8.9281458114265685E-3</v>
      </c>
      <c r="I87" s="75">
        <f>SUM($G$7:G87)</f>
        <v>327990</v>
      </c>
      <c r="J87" s="64">
        <f t="shared" si="13"/>
        <v>0.91970557308096745</v>
      </c>
      <c r="K87" s="31"/>
      <c r="L87" s="20" t="str">
        <f t="shared" si="9"/>
        <v/>
      </c>
      <c r="N87" s="1"/>
    </row>
    <row r="88" spans="1:14" ht="25" customHeight="1" x14ac:dyDescent="0.45">
      <c r="A88" s="5"/>
      <c r="B88" s="30"/>
      <c r="C88" s="73">
        <v>19</v>
      </c>
      <c r="D88" s="237">
        <f t="shared" si="10"/>
        <v>70</v>
      </c>
      <c r="E88" s="257">
        <f t="shared" si="8"/>
        <v>8</v>
      </c>
      <c r="F88" s="247">
        <f t="shared" si="11"/>
        <v>7.05</v>
      </c>
      <c r="G88" s="249">
        <f>IF(D88=D87,"",_xlfn.IFNA(VLOOKUP(D88,'인원 입력 기능(국수)'!$A$5:$D$103,4,FALSE),0))</f>
        <v>6967</v>
      </c>
      <c r="H88" s="250">
        <f t="shared" si="12"/>
        <v>1.9535927094286715E-2</v>
      </c>
      <c r="I88" s="258">
        <f>SUM($G$7:G88)</f>
        <v>334957</v>
      </c>
      <c r="J88" s="254">
        <f t="shared" si="13"/>
        <v>0.9392415001752541</v>
      </c>
      <c r="K88" s="31"/>
      <c r="L88" s="20" t="str">
        <f t="shared" si="9"/>
        <v/>
      </c>
      <c r="N88" s="1"/>
    </row>
    <row r="89" spans="1:14" ht="25" customHeight="1" x14ac:dyDescent="0.45">
      <c r="A89" s="5"/>
      <c r="B89" s="30"/>
      <c r="C89" s="73">
        <v>18</v>
      </c>
      <c r="D89" s="238"/>
      <c r="E89" s="256"/>
      <c r="F89" s="246"/>
      <c r="G89" s="248"/>
      <c r="H89" s="251"/>
      <c r="I89" s="259"/>
      <c r="J89" s="255"/>
      <c r="K89" s="31"/>
      <c r="L89" s="20" t="str">
        <f t="shared" si="9"/>
        <v>경고</v>
      </c>
      <c r="N89" s="1"/>
    </row>
    <row r="90" spans="1:14" ht="25" customHeight="1" x14ac:dyDescent="0.45">
      <c r="A90" s="5"/>
      <c r="B90" s="30"/>
      <c r="C90" s="73">
        <v>17</v>
      </c>
      <c r="D90" s="59">
        <f t="shared" si="10"/>
        <v>69</v>
      </c>
      <c r="E90" s="74">
        <f t="shared" si="8"/>
        <v>8</v>
      </c>
      <c r="F90" s="60">
        <f t="shared" si="11"/>
        <v>4.68</v>
      </c>
      <c r="G90" s="61">
        <f>IF(D90=D89,"",_xlfn.IFNA(VLOOKUP(D90,'인원 입력 기능(국수)'!$A$5:$D$103,4,FALSE),0))</f>
        <v>9954</v>
      </c>
      <c r="H90" s="62">
        <f t="shared" si="12"/>
        <v>2.791167192429022E-2</v>
      </c>
      <c r="I90" s="75">
        <f>SUM($G$7:G90)</f>
        <v>344911</v>
      </c>
      <c r="J90" s="64">
        <f t="shared" si="13"/>
        <v>0.96715317209954432</v>
      </c>
      <c r="K90" s="31"/>
      <c r="L90" s="20" t="str">
        <f t="shared" si="9"/>
        <v/>
      </c>
      <c r="N90" s="1"/>
    </row>
    <row r="91" spans="1:14" ht="25" customHeight="1" x14ac:dyDescent="0.45">
      <c r="A91" s="5"/>
      <c r="B91" s="30"/>
      <c r="C91" s="73">
        <v>16</v>
      </c>
      <c r="D91" s="59">
        <f t="shared" si="10"/>
        <v>68</v>
      </c>
      <c r="E91" s="74">
        <f t="shared" si="8"/>
        <v>9</v>
      </c>
      <c r="F91" s="60">
        <f t="shared" si="11"/>
        <v>2.89</v>
      </c>
      <c r="G91" s="61">
        <f>IF(D91=D90,"",_xlfn.IFNA(VLOOKUP(D91,'인원 입력 기능(국수)'!$A$5:$D$103,4,FALSE),0))</f>
        <v>2831</v>
      </c>
      <c r="H91" s="62">
        <f t="shared" si="12"/>
        <v>7.9383105502979327E-3</v>
      </c>
      <c r="I91" s="75">
        <f>SUM($G$7:G91)</f>
        <v>347742</v>
      </c>
      <c r="J91" s="64">
        <f t="shared" si="13"/>
        <v>0.97509148264984224</v>
      </c>
      <c r="K91" s="31"/>
      <c r="L91" s="20" t="str">
        <f t="shared" si="9"/>
        <v/>
      </c>
      <c r="N91" s="1"/>
    </row>
    <row r="92" spans="1:14" ht="25" customHeight="1" x14ac:dyDescent="0.45">
      <c r="A92" s="5"/>
      <c r="B92" s="30"/>
      <c r="C92" s="73">
        <v>15</v>
      </c>
      <c r="D92" s="59">
        <f t="shared" si="10"/>
        <v>67</v>
      </c>
      <c r="E92" s="74">
        <f t="shared" si="8"/>
        <v>9</v>
      </c>
      <c r="F92" s="60">
        <f t="shared" si="11"/>
        <v>2.2200000000000002</v>
      </c>
      <c r="G92" s="61">
        <f>IF(D92=D91,"",_xlfn.IFNA(VLOOKUP(D92,'인원 입력 기능(국수)'!$A$5:$D$103,4,FALSE),0))</f>
        <v>1904</v>
      </c>
      <c r="H92" s="62">
        <f t="shared" si="12"/>
        <v>5.3389414651244301E-3</v>
      </c>
      <c r="I92" s="75">
        <f>SUM($G$7:G92)</f>
        <v>349646</v>
      </c>
      <c r="J92" s="64">
        <f t="shared" si="13"/>
        <v>0.98043042411496673</v>
      </c>
      <c r="K92" s="31"/>
      <c r="L92" s="20" t="str">
        <f t="shared" si="9"/>
        <v/>
      </c>
      <c r="N92" s="1"/>
    </row>
    <row r="93" spans="1:14" ht="25" customHeight="1" x14ac:dyDescent="0.45">
      <c r="A93" s="5"/>
      <c r="B93" s="30"/>
      <c r="C93" s="73">
        <v>14</v>
      </c>
      <c r="D93" s="59">
        <f t="shared" si="10"/>
        <v>66</v>
      </c>
      <c r="E93" s="74">
        <f t="shared" si="8"/>
        <v>9</v>
      </c>
      <c r="F93" s="60">
        <f t="shared" si="11"/>
        <v>1.76</v>
      </c>
      <c r="G93" s="61">
        <f>IF(D93=D92,"",_xlfn.IFNA(VLOOKUP(D93,'인원 입력 기능(국수)'!$A$5:$D$103,4,FALSE),0))</f>
        <v>1422</v>
      </c>
      <c r="H93" s="62">
        <f t="shared" si="12"/>
        <v>3.9873817034700313E-3</v>
      </c>
      <c r="I93" s="75">
        <f>SUM($G$7:G93)</f>
        <v>351068</v>
      </c>
      <c r="J93" s="64">
        <f t="shared" si="13"/>
        <v>0.98441780581843674</v>
      </c>
      <c r="K93" s="31"/>
      <c r="L93" s="20" t="str">
        <f t="shared" si="9"/>
        <v/>
      </c>
      <c r="N93" s="1"/>
    </row>
    <row r="94" spans="1:14" ht="25" customHeight="1" x14ac:dyDescent="0.45">
      <c r="A94" s="5"/>
      <c r="B94" s="30"/>
      <c r="C94" s="73">
        <v>13</v>
      </c>
      <c r="D94" s="59">
        <f t="shared" si="10"/>
        <v>65</v>
      </c>
      <c r="E94" s="74">
        <f t="shared" si="8"/>
        <v>9</v>
      </c>
      <c r="F94" s="60">
        <f t="shared" si="11"/>
        <v>1.41</v>
      </c>
      <c r="G94" s="61">
        <f>IF(D94=D93,"",_xlfn.IFNA(VLOOKUP(D94,'인원 입력 기능(국수)'!$A$5:$D$103,4,FALSE),0))</f>
        <v>1022</v>
      </c>
      <c r="H94" s="62">
        <f t="shared" si="12"/>
        <v>2.8657553452506135E-3</v>
      </c>
      <c r="I94" s="75">
        <f>SUM($G$7:G94)</f>
        <v>352090</v>
      </c>
      <c r="J94" s="64">
        <f t="shared" si="13"/>
        <v>0.98728356116368732</v>
      </c>
      <c r="K94" s="31"/>
      <c r="L94" s="20" t="str">
        <f t="shared" si="9"/>
        <v/>
      </c>
      <c r="N94" s="1"/>
    </row>
    <row r="95" spans="1:14" ht="25" customHeight="1" x14ac:dyDescent="0.45">
      <c r="A95" s="5"/>
      <c r="B95" s="30"/>
      <c r="C95" s="73">
        <v>12</v>
      </c>
      <c r="D95" s="59">
        <f t="shared" si="10"/>
        <v>64</v>
      </c>
      <c r="E95" s="74">
        <f t="shared" si="8"/>
        <v>9</v>
      </c>
      <c r="F95" s="60">
        <f t="shared" si="11"/>
        <v>1.17</v>
      </c>
      <c r="G95" s="61">
        <f>IF(D95=D94,"",_xlfn.IFNA(VLOOKUP(D95,'인원 입력 기능(국수)'!$A$5:$D$103,4,FALSE),0))</f>
        <v>700</v>
      </c>
      <c r="H95" s="62">
        <f t="shared" si="12"/>
        <v>1.9628461268839819E-3</v>
      </c>
      <c r="I95" s="75">
        <f>SUM($G$7:G95)</f>
        <v>352790</v>
      </c>
      <c r="J95" s="64">
        <f t="shared" si="13"/>
        <v>0.98924640729057134</v>
      </c>
      <c r="K95" s="31"/>
      <c r="L95" s="20" t="str">
        <f t="shared" si="9"/>
        <v/>
      </c>
      <c r="N95" s="1"/>
    </row>
    <row r="96" spans="1:14" ht="25" customHeight="1" x14ac:dyDescent="0.45">
      <c r="A96" s="5"/>
      <c r="B96" s="30"/>
      <c r="C96" s="73">
        <v>11</v>
      </c>
      <c r="D96" s="59">
        <f t="shared" si="10"/>
        <v>63</v>
      </c>
      <c r="E96" s="74">
        <f t="shared" si="8"/>
        <v>9</v>
      </c>
      <c r="F96" s="60">
        <f t="shared" si="11"/>
        <v>1</v>
      </c>
      <c r="G96" s="61">
        <f>IF(D96=D95,"",_xlfn.IFNA(VLOOKUP(D96,'인원 입력 기능(국수)'!$A$5:$D$103,4,FALSE),0))</f>
        <v>566</v>
      </c>
      <c r="H96" s="62">
        <f t="shared" si="12"/>
        <v>1.5871012968804766E-3</v>
      </c>
      <c r="I96" s="75">
        <f>SUM($G$7:G96)</f>
        <v>353356</v>
      </c>
      <c r="J96" s="64">
        <f t="shared" si="13"/>
        <v>0.99083350858745178</v>
      </c>
      <c r="K96" s="31"/>
      <c r="L96" s="20" t="str">
        <f t="shared" si="9"/>
        <v/>
      </c>
      <c r="N96" s="1"/>
    </row>
    <row r="97" spans="1:14" ht="25" customHeight="1" x14ac:dyDescent="0.45">
      <c r="A97" s="5"/>
      <c r="B97" s="30"/>
      <c r="C97" s="73">
        <v>10</v>
      </c>
      <c r="D97" s="59">
        <f t="shared" si="10"/>
        <v>62</v>
      </c>
      <c r="E97" s="74">
        <f t="shared" si="8"/>
        <v>9</v>
      </c>
      <c r="F97" s="60">
        <f t="shared" si="11"/>
        <v>0.85</v>
      </c>
      <c r="G97" s="61">
        <f>IF(D97=D96,"",_xlfn.IFNA(VLOOKUP(D97,'인원 입력 기능(국수)'!$A$5:$D$103,4,FALSE),0))</f>
        <v>460</v>
      </c>
      <c r="H97" s="62">
        <f t="shared" si="12"/>
        <v>1.289870311952331E-3</v>
      </c>
      <c r="I97" s="75">
        <f>SUM($G$7:G97)</f>
        <v>353816</v>
      </c>
      <c r="J97" s="64">
        <f t="shared" si="13"/>
        <v>0.99212337889940416</v>
      </c>
      <c r="K97" s="31"/>
      <c r="L97" s="20" t="str">
        <f t="shared" si="9"/>
        <v/>
      </c>
      <c r="N97" s="1"/>
    </row>
    <row r="98" spans="1:14" ht="25" customHeight="1" x14ac:dyDescent="0.45">
      <c r="A98" s="5"/>
      <c r="B98" s="30"/>
      <c r="C98" s="73">
        <v>9</v>
      </c>
      <c r="D98" s="237">
        <f t="shared" si="10"/>
        <v>61</v>
      </c>
      <c r="E98" s="257">
        <f t="shared" si="8"/>
        <v>9</v>
      </c>
      <c r="F98" s="247">
        <f t="shared" si="11"/>
        <v>0.71</v>
      </c>
      <c r="G98" s="249">
        <f>IF(D98=D97,"",_xlfn.IFNA(VLOOKUP(D98,'인원 입력 기능(국수)'!$A$5:$D$103,4,FALSE),0))</f>
        <v>522</v>
      </c>
      <c r="H98" s="250">
        <f t="shared" si="12"/>
        <v>1.4637223974763407E-3</v>
      </c>
      <c r="I98" s="258">
        <f>SUM($G$7:G98)</f>
        <v>354338</v>
      </c>
      <c r="J98" s="254">
        <f t="shared" si="13"/>
        <v>0.99358710129688044</v>
      </c>
      <c r="K98" s="31"/>
      <c r="L98" s="20" t="str">
        <f t="shared" si="9"/>
        <v/>
      </c>
      <c r="N98" s="1"/>
    </row>
    <row r="99" spans="1:14" ht="25" customHeight="1" x14ac:dyDescent="0.45">
      <c r="A99" s="5"/>
      <c r="B99" s="30"/>
      <c r="C99" s="73">
        <v>8</v>
      </c>
      <c r="D99" s="238"/>
      <c r="E99" s="256"/>
      <c r="F99" s="246"/>
      <c r="G99" s="248"/>
      <c r="H99" s="251"/>
      <c r="I99" s="259"/>
      <c r="J99" s="255"/>
      <c r="K99" s="31"/>
      <c r="L99" s="20" t="str">
        <f t="shared" si="9"/>
        <v>경고</v>
      </c>
      <c r="N99" s="1"/>
    </row>
    <row r="100" spans="1:14" ht="25" customHeight="1" x14ac:dyDescent="0.45">
      <c r="A100" s="5"/>
      <c r="B100" s="30"/>
      <c r="C100" s="73">
        <v>7</v>
      </c>
      <c r="D100" s="59">
        <f t="shared" si="10"/>
        <v>60</v>
      </c>
      <c r="E100" s="74">
        <f t="shared" si="8"/>
        <v>9</v>
      </c>
      <c r="F100" s="60">
        <f t="shared" si="11"/>
        <v>0.63</v>
      </c>
      <c r="G100" s="61">
        <f>IF(D100=D99,"",_xlfn.IFNA(VLOOKUP(D100,'인원 입력 기능(국수)'!$A$5:$D$103,4,FALSE),0))</f>
        <v>86</v>
      </c>
      <c r="H100" s="62">
        <f t="shared" si="12"/>
        <v>2.4114966701717491E-4</v>
      </c>
      <c r="I100" s="75">
        <f>SUM($G$7:G100)</f>
        <v>354424</v>
      </c>
      <c r="J100" s="64">
        <f t="shared" si="13"/>
        <v>0.9938282509638976</v>
      </c>
      <c r="K100" s="31"/>
      <c r="L100" s="20" t="str">
        <f t="shared" si="9"/>
        <v/>
      </c>
      <c r="N100" s="1"/>
    </row>
    <row r="101" spans="1:14" ht="25" customHeight="1" x14ac:dyDescent="0.45">
      <c r="A101" s="5"/>
      <c r="B101" s="30"/>
      <c r="C101" s="65">
        <v>6</v>
      </c>
      <c r="D101" s="59">
        <f t="shared" si="10"/>
        <v>59</v>
      </c>
      <c r="E101" s="59">
        <f t="shared" si="8"/>
        <v>9</v>
      </c>
      <c r="F101" s="60">
        <f t="shared" si="11"/>
        <v>0.59</v>
      </c>
      <c r="G101" s="61">
        <f>IF(D101=D100,"",_xlfn.IFNA(VLOOKUP(D101,'인원 입력 기능(국수)'!$A$5:$D$103,4,FALSE),0))</f>
        <v>163</v>
      </c>
      <c r="H101" s="62">
        <f t="shared" si="12"/>
        <v>4.570627409744129E-4</v>
      </c>
      <c r="I101" s="72">
        <f>SUM($G$7:G101)</f>
        <v>354587</v>
      </c>
      <c r="J101" s="64">
        <f t="shared" si="13"/>
        <v>0.99428531370487205</v>
      </c>
      <c r="K101" s="31"/>
      <c r="L101" s="20" t="str">
        <f t="shared" si="9"/>
        <v/>
      </c>
      <c r="N101" s="1"/>
    </row>
    <row r="102" spans="1:14" ht="25" customHeight="1" x14ac:dyDescent="0.45">
      <c r="A102" s="5"/>
      <c r="B102" s="30"/>
      <c r="C102" s="65">
        <v>5</v>
      </c>
      <c r="D102" s="59">
        <f t="shared" si="10"/>
        <v>58</v>
      </c>
      <c r="E102" s="59">
        <f t="shared" si="8"/>
        <v>9</v>
      </c>
      <c r="F102" s="60">
        <f t="shared" si="11"/>
        <v>0.56999999999999995</v>
      </c>
      <c r="G102" s="61">
        <f>IF(D102=D101,"",_xlfn.IFNA(VLOOKUP(D102,'인원 입력 기능(국수)'!$A$5:$D$103,4,FALSE),0))</f>
        <v>45</v>
      </c>
      <c r="H102" s="62">
        <f t="shared" si="12"/>
        <v>1.2618296529968455E-4</v>
      </c>
      <c r="I102" s="72">
        <f>SUM($G$7:G102)</f>
        <v>354632</v>
      </c>
      <c r="J102" s="64">
        <f t="shared" si="13"/>
        <v>0.9944114966701717</v>
      </c>
      <c r="K102" s="31"/>
      <c r="L102" s="20" t="str">
        <f t="shared" si="9"/>
        <v/>
      </c>
      <c r="N102" s="1"/>
    </row>
    <row r="103" spans="1:14" ht="25" customHeight="1" x14ac:dyDescent="0.45">
      <c r="A103" s="5"/>
      <c r="B103" s="30"/>
      <c r="C103" s="65">
        <v>4</v>
      </c>
      <c r="D103" s="59">
        <f t="shared" si="10"/>
        <v>57</v>
      </c>
      <c r="E103" s="59">
        <f t="shared" ref="E103:E105" si="14">IF(ROUND(D103,0)&gt;=$Q$7,1,IF(ROUND(D103,0)&gt;=$Q$8,2,IF(ROUND(D103,0)&gt;=$Q$9,3,IF(ROUND(D103,0)&gt;=$Q$10,4,IF(ROUND(D103,0)&gt;=$Q$11,5,IF(ROUND(D103,0)&gt;=$Q$12,6,IF(ROUND(D103,0)&gt;=$Q$13,7,IF(ROUND(D103,0)&gt;=$Q$14,8,9))))))))</f>
        <v>9</v>
      </c>
      <c r="F103" s="60">
        <f t="shared" si="11"/>
        <v>0.54</v>
      </c>
      <c r="G103" s="61">
        <f>IF(D103=D102,"",_xlfn.IFNA(VLOOKUP(D103,'인원 입력 기능(국수)'!$A$5:$D$103,4,FALSE),0))</f>
        <v>100</v>
      </c>
      <c r="H103" s="62">
        <f t="shared" si="12"/>
        <v>2.8040658955485456E-4</v>
      </c>
      <c r="I103" s="72">
        <f>SUM($G$7:G103)</f>
        <v>354732</v>
      </c>
      <c r="J103" s="64">
        <f t="shared" si="13"/>
        <v>0.99469190325972656</v>
      </c>
      <c r="K103" s="31"/>
      <c r="L103" s="20" t="str">
        <f t="shared" si="9"/>
        <v/>
      </c>
      <c r="N103" s="1"/>
    </row>
    <row r="104" spans="1:14" ht="25" customHeight="1" x14ac:dyDescent="0.45">
      <c r="A104" s="5"/>
      <c r="B104" s="30"/>
      <c r="C104" s="65">
        <v>3</v>
      </c>
      <c r="D104" s="59">
        <f t="shared" si="10"/>
        <v>56</v>
      </c>
      <c r="E104" s="59">
        <f t="shared" si="14"/>
        <v>9</v>
      </c>
      <c r="F104" s="60">
        <f t="shared" si="11"/>
        <v>0.53</v>
      </c>
      <c r="G104" s="61">
        <f>IF(D104=D103,"",_xlfn.IFNA(VLOOKUP(D104,'인원 입력 기능(국수)'!$A$5:$D$103,4,FALSE),0))</f>
        <v>9</v>
      </c>
      <c r="H104" s="62">
        <f t="shared" si="12"/>
        <v>2.5236593059936908E-5</v>
      </c>
      <c r="I104" s="72">
        <f>SUM($G$7:G104)</f>
        <v>354741</v>
      </c>
      <c r="J104" s="64">
        <f t="shared" si="13"/>
        <v>0.99471713985278654</v>
      </c>
      <c r="K104" s="31"/>
      <c r="L104" s="20" t="str">
        <f t="shared" si="9"/>
        <v/>
      </c>
      <c r="N104" s="1"/>
    </row>
    <row r="105" spans="1:14" ht="25" customHeight="1" x14ac:dyDescent="0.45">
      <c r="A105" s="5"/>
      <c r="B105" s="30"/>
      <c r="C105" s="65">
        <v>2</v>
      </c>
      <c r="D105" s="59">
        <f t="shared" si="10"/>
        <v>55</v>
      </c>
      <c r="E105" s="59">
        <f t="shared" si="14"/>
        <v>9</v>
      </c>
      <c r="F105" s="60">
        <f t="shared" si="11"/>
        <v>0.51</v>
      </c>
      <c r="G105" s="61">
        <f>IF(D105=D104,"",_xlfn.IFNA(VLOOKUP(D105,'인원 입력 기능(국수)'!$A$5:$D$103,4,FALSE),0))</f>
        <v>146</v>
      </c>
      <c r="H105" s="62">
        <f t="shared" si="12"/>
        <v>4.0939362075008765E-4</v>
      </c>
      <c r="I105" s="72">
        <f>SUM($G$7:G105)</f>
        <v>354887</v>
      </c>
      <c r="J105" s="64">
        <f t="shared" si="13"/>
        <v>0.99512653347353663</v>
      </c>
      <c r="K105" s="31"/>
      <c r="L105" s="20" t="str">
        <f t="shared" si="9"/>
        <v/>
      </c>
      <c r="N105" s="1"/>
    </row>
    <row r="106" spans="1:14" ht="25" customHeight="1" x14ac:dyDescent="0.45">
      <c r="A106" s="5"/>
      <c r="B106" s="30"/>
      <c r="C106" s="65">
        <v>1</v>
      </c>
      <c r="D106" s="66" t="s">
        <v>56</v>
      </c>
      <c r="E106" s="66"/>
      <c r="F106" s="67"/>
      <c r="G106" s="68"/>
      <c r="H106" s="69"/>
      <c r="I106" s="76"/>
      <c r="J106" s="71"/>
      <c r="K106" s="31"/>
      <c r="L106" s="20"/>
    </row>
    <row r="107" spans="1:14" ht="25" customHeight="1" thickBot="1" x14ac:dyDescent="0.5">
      <c r="A107" s="5"/>
      <c r="B107" s="30"/>
      <c r="C107" s="77">
        <v>0</v>
      </c>
      <c r="D107" s="78">
        <f>ROUND(20*(C107-$H$3)/$H$4+100,0)</f>
        <v>53</v>
      </c>
      <c r="E107" s="78">
        <f>IF(ROUND(D107,0)&gt;=$Q$7,1,IF(ROUND(D107,0)&gt;=$Q$8,2,IF(ROUND(D107,0)&gt;=$Q$9,3,IF(ROUND(D107,0)&gt;=$Q$10,4,IF(ROUND(D107,0)&gt;=$Q$11,5,IF(ROUND(D107,0)&gt;=$Q$12,6,IF(ROUND(D107,0)&gt;=$Q$13,7,IF(ROUND(D107,0)&gt;=$Q$14,8,9))))))))</f>
        <v>9</v>
      </c>
      <c r="F107" s="79">
        <f>IF(I105=0,ROUND(100*(1-(I104+I107)/2/$J$3),2),ROUND(100*(1-(I105+I107)/2/$J$3),2))</f>
        <v>0.24</v>
      </c>
      <c r="G107" s="80">
        <f>_xlfn.IFNA(VLOOKUP(D107,'인원 입력 기능(국수)'!$A$5:$D$103,4,FALSE),0)</f>
        <v>1738</v>
      </c>
      <c r="H107" s="81">
        <f>G107/$J$3</f>
        <v>4.8734665264633719E-3</v>
      </c>
      <c r="I107" s="82">
        <f>SUM($G$7:G107)</f>
        <v>356625</v>
      </c>
      <c r="J107" s="83">
        <f>I107/$J$3</f>
        <v>1</v>
      </c>
      <c r="K107" s="31"/>
      <c r="L107" s="20" t="str">
        <f>IF(ABS((C107-$H$3)/$H$4*20+100-D107)&gt;0.49, "경고", "")</f>
        <v/>
      </c>
    </row>
    <row r="108" spans="1:14" s="5" customFormat="1" ht="6" customHeight="1" x14ac:dyDescent="0.45">
      <c r="B108" s="32"/>
      <c r="C108" s="33"/>
      <c r="D108" s="33"/>
      <c r="E108" s="33"/>
      <c r="F108" s="33"/>
      <c r="G108" s="33"/>
      <c r="H108" s="33"/>
      <c r="I108" s="33"/>
      <c r="J108" s="33"/>
      <c r="K108" s="34"/>
    </row>
    <row r="109" spans="1:14" ht="17" customHeight="1" x14ac:dyDescent="0.45">
      <c r="A109" s="5"/>
      <c r="L109" s="5"/>
    </row>
    <row r="110" spans="1:14" x14ac:dyDescent="0.45">
      <c r="A110" s="5"/>
      <c r="C110" s="5"/>
      <c r="D110" s="5"/>
      <c r="E110" s="5"/>
      <c r="F110" s="5"/>
      <c r="G110" s="5"/>
      <c r="H110" s="5"/>
      <c r="I110" s="5"/>
      <c r="J110" s="5"/>
      <c r="L110" s="5"/>
    </row>
  </sheetData>
  <mergeCells count="66">
    <mergeCell ref="I88:I89"/>
    <mergeCell ref="J88:J89"/>
    <mergeCell ref="D98:D99"/>
    <mergeCell ref="E98:E99"/>
    <mergeCell ref="F98:F99"/>
    <mergeCell ref="G98:G99"/>
    <mergeCell ref="H98:H99"/>
    <mergeCell ref="I98:I99"/>
    <mergeCell ref="J98:J99"/>
    <mergeCell ref="D88:D89"/>
    <mergeCell ref="E88:E89"/>
    <mergeCell ref="F88:F89"/>
    <mergeCell ref="G88:G89"/>
    <mergeCell ref="H88:H89"/>
    <mergeCell ref="I67:I68"/>
    <mergeCell ref="J67:J68"/>
    <mergeCell ref="D77:D78"/>
    <mergeCell ref="E77:E78"/>
    <mergeCell ref="F77:F78"/>
    <mergeCell ref="G77:G78"/>
    <mergeCell ref="H77:H78"/>
    <mergeCell ref="I77:I78"/>
    <mergeCell ref="J77:J78"/>
    <mergeCell ref="D67:D68"/>
    <mergeCell ref="E67:E68"/>
    <mergeCell ref="F67:F68"/>
    <mergeCell ref="G67:G68"/>
    <mergeCell ref="H67:H68"/>
    <mergeCell ref="I46:I47"/>
    <mergeCell ref="J46:J47"/>
    <mergeCell ref="D56:D57"/>
    <mergeCell ref="E56:E57"/>
    <mergeCell ref="F56:F57"/>
    <mergeCell ref="G56:G57"/>
    <mergeCell ref="H56:H57"/>
    <mergeCell ref="I56:I57"/>
    <mergeCell ref="J56:J57"/>
    <mergeCell ref="D46:D47"/>
    <mergeCell ref="E46:E47"/>
    <mergeCell ref="F46:F47"/>
    <mergeCell ref="G46:G47"/>
    <mergeCell ref="H46:H47"/>
    <mergeCell ref="I25:I26"/>
    <mergeCell ref="J25:J26"/>
    <mergeCell ref="D35:D36"/>
    <mergeCell ref="E35:E36"/>
    <mergeCell ref="F35:F36"/>
    <mergeCell ref="G35:G36"/>
    <mergeCell ref="H35:H36"/>
    <mergeCell ref="I35:I36"/>
    <mergeCell ref="J35:J36"/>
    <mergeCell ref="D25:D26"/>
    <mergeCell ref="E25:E26"/>
    <mergeCell ref="F25:F26"/>
    <mergeCell ref="G25:G26"/>
    <mergeCell ref="H25:H26"/>
    <mergeCell ref="D3:F3"/>
    <mergeCell ref="D4:F4"/>
    <mergeCell ref="I4:J5"/>
    <mergeCell ref="D14:D15"/>
    <mergeCell ref="E14:E15"/>
    <mergeCell ref="F14:F15"/>
    <mergeCell ref="G14:G15"/>
    <mergeCell ref="H14:H15"/>
    <mergeCell ref="I14:I15"/>
    <mergeCell ref="J14:J15"/>
  </mergeCells>
  <phoneticPr fontId="1" type="noConversion"/>
  <conditionalFormatting sqref="C7:C106">
    <cfRule type="expression" dxfId="61" priority="2">
      <formula>OR(AND($D7=0,OR($D6=$Q$7:$Q$14)),AND($D8&gt;0,OR($D7=$Q$7:$Q$14)))</formula>
    </cfRule>
  </conditionalFormatting>
  <conditionalFormatting sqref="D7:J14 D16:J25 D27:J35 D37:J46 D48:J56 D58:J67 D69:J77 D79:J88 D90:J98 D100:J107">
    <cfRule type="expression" dxfId="60" priority="3">
      <formula>OR($D7=$Q$7:$Q$14)</formula>
    </cfRule>
  </conditionalFormatting>
  <conditionalFormatting sqref="D7:D14 D16:D25 D27:D35 D37:D46 D48:D56 D58:D67 D69:D77 D79:D88 D90:D98 D100:D106">
    <cfRule type="expression" dxfId="59" priority="1">
      <formula>$D7=$D8</formula>
    </cfRule>
  </conditionalFormatting>
  <conditionalFormatting sqref="C107">
    <cfRule type="expression" dxfId="58" priority="7">
      <formula>OR(AND($D107=0,OR($D106=$Q$7:$Q$14)),AND($D109&gt;0,OR($D107=$Q$7:$Q$14)))</formula>
    </cfRule>
  </conditionalFormatting>
  <conditionalFormatting sqref="D107">
    <cfRule type="expression" dxfId="57" priority="9">
      <formula>$D107=$D109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749FE-5941-4A60-840C-DC2EFCC49008}">
  <sheetPr codeName="Sheet7"/>
  <dimension ref="A1:Q109"/>
  <sheetViews>
    <sheetView zoomScale="70" zoomScaleNormal="70" workbookViewId="0">
      <selection activeCell="B2" sqref="B2:K10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  <col min="13" max="14" width="12.4140625" customWidth="1"/>
  </cols>
  <sheetData>
    <row r="1" spans="1:17" x14ac:dyDescent="0.45">
      <c r="A1" s="152" t="s">
        <v>66</v>
      </c>
      <c r="B1" s="157"/>
      <c r="C1" s="33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8"/>
      <c r="B2" s="152"/>
      <c r="D2" s="28"/>
      <c r="E2" s="28"/>
      <c r="F2" s="28"/>
      <c r="G2" s="28"/>
      <c r="H2" s="28"/>
      <c r="I2" s="28"/>
      <c r="J2" s="28"/>
      <c r="K2" s="29"/>
    </row>
    <row r="3" spans="1:17" ht="25" customHeight="1" thickBot="1" x14ac:dyDescent="0.5">
      <c r="A3" s="5"/>
      <c r="B3" s="156"/>
      <c r="C3" s="48" t="s">
        <v>68</v>
      </c>
      <c r="D3" s="163" t="s">
        <v>134</v>
      </c>
      <c r="E3" s="164"/>
      <c r="F3" s="165"/>
      <c r="G3" s="48" t="s">
        <v>69</v>
      </c>
      <c r="H3" s="49" t="str">
        <f>'통계 및 응시자 수 입력 기능'!D5</f>
        <v>35.84</v>
      </c>
      <c r="I3" s="21" t="s">
        <v>70</v>
      </c>
      <c r="J3" s="50">
        <f>'통계 및 응시자 수 입력 기능'!C5</f>
        <v>354237</v>
      </c>
      <c r="K3" s="31"/>
      <c r="L3" s="5"/>
    </row>
    <row r="4" spans="1:17" ht="25" customHeight="1" thickBot="1" x14ac:dyDescent="0.5">
      <c r="A4" s="5"/>
      <c r="B4" s="30"/>
      <c r="C4" s="51" t="s">
        <v>71</v>
      </c>
      <c r="D4" s="166" t="s">
        <v>74</v>
      </c>
      <c r="E4" s="167"/>
      <c r="F4" s="168"/>
      <c r="G4" s="52" t="s">
        <v>73</v>
      </c>
      <c r="H4" s="53" t="str">
        <f>'통계 및 응시자 수 입력 기능'!E5</f>
        <v>21.55</v>
      </c>
      <c r="I4" s="169"/>
      <c r="J4" s="170"/>
      <c r="K4" s="31"/>
      <c r="L4" s="5"/>
    </row>
    <row r="5" spans="1:17" ht="25" customHeight="1" thickBot="1" x14ac:dyDescent="0.5">
      <c r="A5" s="5"/>
      <c r="B5" s="30"/>
      <c r="C5" s="19"/>
      <c r="D5" s="19"/>
      <c r="E5" s="19"/>
      <c r="F5" s="19"/>
      <c r="G5" s="19"/>
      <c r="H5" s="20"/>
      <c r="I5" s="171"/>
      <c r="J5" s="171"/>
      <c r="K5" s="31"/>
      <c r="L5" s="5"/>
    </row>
    <row r="6" spans="1:17" ht="25" customHeight="1" thickBot="1" x14ac:dyDescent="0.5">
      <c r="A6" s="5"/>
      <c r="B6" s="30"/>
      <c r="C6" s="54" t="s">
        <v>75</v>
      </c>
      <c r="D6" s="55" t="s">
        <v>76</v>
      </c>
      <c r="E6" s="55" t="s">
        <v>77</v>
      </c>
      <c r="F6" s="55" t="s">
        <v>78</v>
      </c>
      <c r="G6" s="55" t="s">
        <v>79</v>
      </c>
      <c r="H6" s="56" t="s">
        <v>80</v>
      </c>
      <c r="I6" s="56" t="s">
        <v>81</v>
      </c>
      <c r="J6" s="57" t="s">
        <v>82</v>
      </c>
      <c r="K6" s="31"/>
      <c r="L6" s="3" t="s">
        <v>65</v>
      </c>
      <c r="M6" s="3"/>
      <c r="N6" s="4"/>
    </row>
    <row r="7" spans="1:17" ht="25" customHeight="1" x14ac:dyDescent="0.45">
      <c r="A7" s="5"/>
      <c r="B7" s="30"/>
      <c r="C7" s="160">
        <v>100</v>
      </c>
      <c r="D7" s="59">
        <f>ROUND(20*(C7-$H$3)/$H$4+100,0)</f>
        <v>160</v>
      </c>
      <c r="E7" s="59">
        <f t="shared" ref="E7:E70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60">
        <f>ROUND(100*(1-(0+I7)/2/$J$3),2)</f>
        <v>99.98</v>
      </c>
      <c r="G7" s="61">
        <f>_xlfn.IFNA(VLOOKUP(D7,'인원 입력 기능(국수)'!$F$5:$I$103,4,FALSE),0)</f>
        <v>154</v>
      </c>
      <c r="H7" s="62">
        <f>G7/$J$3</f>
        <v>4.3473719571925009E-4</v>
      </c>
      <c r="I7" s="63">
        <f>G7</f>
        <v>154</v>
      </c>
      <c r="J7" s="64">
        <f>I7/$J$3</f>
        <v>4.3473719571925009E-4</v>
      </c>
      <c r="K7" s="31"/>
      <c r="L7" s="20" t="str">
        <f>IF(ABS((C7-$H$3)/$H$4*20+100-D7)&gt;0.49, "경고", "")</f>
        <v/>
      </c>
      <c r="N7" s="1"/>
      <c r="P7" s="1">
        <v>1</v>
      </c>
      <c r="Q7" s="1">
        <f>'표점등급&amp;절평인원 입력 기능'!C13</f>
        <v>141</v>
      </c>
    </row>
    <row r="8" spans="1:17" ht="25" customHeight="1" x14ac:dyDescent="0.45">
      <c r="A8" s="5"/>
      <c r="B8" s="30"/>
      <c r="C8" s="58">
        <v>99</v>
      </c>
      <c r="D8" s="66" t="s">
        <v>56</v>
      </c>
      <c r="E8" s="66"/>
      <c r="F8" s="67"/>
      <c r="G8" s="68"/>
      <c r="H8" s="69"/>
      <c r="I8" s="70"/>
      <c r="J8" s="71"/>
      <c r="K8" s="31"/>
      <c r="L8" s="20"/>
      <c r="N8" s="1"/>
      <c r="P8" s="1">
        <v>2</v>
      </c>
      <c r="Q8" s="1">
        <f>'표점등급&amp;절평인원 입력 기능'!C14</f>
        <v>130</v>
      </c>
    </row>
    <row r="9" spans="1:17" ht="25" customHeight="1" x14ac:dyDescent="0.45">
      <c r="A9" s="5"/>
      <c r="B9" s="30"/>
      <c r="C9" s="65">
        <v>98</v>
      </c>
      <c r="D9" s="59">
        <f t="shared" ref="D9:D40" si="1">ROUND(20*(C9-$H$3)/$H$4+100,0)</f>
        <v>158</v>
      </c>
      <c r="E9" s="59">
        <f t="shared" si="0"/>
        <v>1</v>
      </c>
      <c r="F9" s="60">
        <f>IF(I8=0,ROUND(100*(1-(I7+I9)/2/$J$3),2),ROUND(100*(1-(I8+I9)/2/$J$3),2))</f>
        <v>99.96</v>
      </c>
      <c r="G9" s="61">
        <f>_xlfn.IFNA(VLOOKUP(D9,'인원 입력 기능(국수)'!$F$5:$I$103,4,FALSE),0)</f>
        <v>2</v>
      </c>
      <c r="H9" s="62">
        <f>G9/$J$3</f>
        <v>5.6459376067435076E-6</v>
      </c>
      <c r="I9" s="72">
        <f>SUM($G$7:G9)</f>
        <v>156</v>
      </c>
      <c r="J9" s="64">
        <f>I9/$J$3</f>
        <v>4.4038313332599361E-4</v>
      </c>
      <c r="K9" s="31"/>
      <c r="L9" s="20" t="str">
        <f t="shared" ref="L9:L40" si="2">IF(ABS((C9-$H$3)/$H$4*20+100-D9)&gt;0.49, "경고", "")</f>
        <v/>
      </c>
      <c r="N9" s="1"/>
      <c r="P9" s="1">
        <v>3</v>
      </c>
      <c r="Q9" s="1">
        <f>'표점등급&amp;절평인원 입력 기능'!C15</f>
        <v>117</v>
      </c>
    </row>
    <row r="10" spans="1:17" ht="25" customHeight="1" x14ac:dyDescent="0.45">
      <c r="A10" s="5"/>
      <c r="B10" s="30"/>
      <c r="C10" s="65">
        <v>97</v>
      </c>
      <c r="D10" s="59">
        <f t="shared" si="1"/>
        <v>157</v>
      </c>
      <c r="E10" s="59">
        <f t="shared" si="0"/>
        <v>1</v>
      </c>
      <c r="F10" s="60">
        <f t="shared" ref="F10:F73" si="3">IF(I9=0,ROUND(100*(1-(I8+I10)/2/$J$3),2),ROUND(100*(1-(I9+I10)/2/$J$3),2))</f>
        <v>99.95</v>
      </c>
      <c r="G10" s="61">
        <f>IF(D10=D9,"",_xlfn.IFNA(VLOOKUP(D10,'인원 입력 기능(국수)'!$F$5:$I$103,4,FALSE),0))</f>
        <v>30</v>
      </c>
      <c r="H10" s="62">
        <f t="shared" ref="H10:H73" si="4">G10/$J$3</f>
        <v>8.4689064101152624E-5</v>
      </c>
      <c r="I10" s="72">
        <f>SUM($G$7:G10)</f>
        <v>186</v>
      </c>
      <c r="J10" s="64">
        <f t="shared" ref="J10:J73" si="5">I10/$J$3</f>
        <v>5.2507219742714626E-4</v>
      </c>
      <c r="K10" s="31"/>
      <c r="L10" s="20" t="str">
        <f t="shared" si="2"/>
        <v/>
      </c>
      <c r="N10" s="1"/>
      <c r="P10" s="1">
        <v>4</v>
      </c>
      <c r="Q10" s="1">
        <f>'표점등급&amp;절평인원 입력 기능'!C16</f>
        <v>101</v>
      </c>
    </row>
    <row r="11" spans="1:17" ht="25" customHeight="1" x14ac:dyDescent="0.45">
      <c r="A11" s="5"/>
      <c r="B11" s="30"/>
      <c r="C11" s="65">
        <v>96</v>
      </c>
      <c r="D11" s="59">
        <f t="shared" si="1"/>
        <v>156</v>
      </c>
      <c r="E11" s="59">
        <f t="shared" si="0"/>
        <v>1</v>
      </c>
      <c r="F11" s="60">
        <f t="shared" si="3"/>
        <v>99.85</v>
      </c>
      <c r="G11" s="61">
        <f>IF(D11=D10,"",_xlfn.IFNA(VLOOKUP(D11,'인원 입력 기능(국수)'!$F$5:$I$103,4,FALSE),0))</f>
        <v>659</v>
      </c>
      <c r="H11" s="62">
        <f t="shared" si="4"/>
        <v>1.8603364414219857E-3</v>
      </c>
      <c r="I11" s="72">
        <f>SUM($G$7:G11)</f>
        <v>845</v>
      </c>
      <c r="J11" s="64">
        <f t="shared" si="5"/>
        <v>2.3854086388491319E-3</v>
      </c>
      <c r="K11" s="31"/>
      <c r="L11" s="20" t="str">
        <f t="shared" si="2"/>
        <v/>
      </c>
      <c r="N11" s="1"/>
      <c r="P11" s="1">
        <v>5</v>
      </c>
      <c r="Q11" s="1">
        <f>'표점등급&amp;절평인원 입력 기능'!C17</f>
        <v>89</v>
      </c>
    </row>
    <row r="12" spans="1:17" ht="25" customHeight="1" x14ac:dyDescent="0.45">
      <c r="A12" s="5"/>
      <c r="B12" s="30"/>
      <c r="C12" s="65">
        <v>95</v>
      </c>
      <c r="D12" s="59">
        <f t="shared" si="1"/>
        <v>155</v>
      </c>
      <c r="E12" s="59">
        <f t="shared" si="0"/>
        <v>1</v>
      </c>
      <c r="F12" s="60">
        <f t="shared" si="3"/>
        <v>99.76</v>
      </c>
      <c r="G12" s="61">
        <f>IF(D12=D11,"",_xlfn.IFNA(VLOOKUP(D12,'인원 입력 기능(국수)'!$F$5:$I$103,4,FALSE),0))</f>
        <v>1</v>
      </c>
      <c r="H12" s="62">
        <f t="shared" si="4"/>
        <v>2.8229688033717538E-6</v>
      </c>
      <c r="I12" s="72">
        <f>SUM($G$7:G12)</f>
        <v>846</v>
      </c>
      <c r="J12" s="64">
        <f t="shared" si="5"/>
        <v>2.388231607652504E-3</v>
      </c>
      <c r="K12" s="31"/>
      <c r="L12" s="20" t="str">
        <f t="shared" si="2"/>
        <v/>
      </c>
      <c r="N12" s="1"/>
      <c r="P12" s="1">
        <v>6</v>
      </c>
      <c r="Q12" s="1">
        <f>'표점등급&amp;절평인원 입력 기능'!C18</f>
        <v>84</v>
      </c>
    </row>
    <row r="13" spans="1:17" ht="25" customHeight="1" x14ac:dyDescent="0.45">
      <c r="A13" s="5"/>
      <c r="B13" s="30"/>
      <c r="C13" s="65">
        <v>94</v>
      </c>
      <c r="D13" s="59">
        <f t="shared" si="1"/>
        <v>154</v>
      </c>
      <c r="E13" s="59">
        <f t="shared" si="0"/>
        <v>1</v>
      </c>
      <c r="F13" s="60">
        <f t="shared" si="3"/>
        <v>99.76</v>
      </c>
      <c r="G13" s="61">
        <f>IF(D13=D12,"",_xlfn.IFNA(VLOOKUP(D13,'인원 입력 기능(국수)'!$F$5:$I$103,4,FALSE),0))</f>
        <v>5</v>
      </c>
      <c r="H13" s="62">
        <f t="shared" si="4"/>
        <v>1.4114844016858769E-5</v>
      </c>
      <c r="I13" s="72">
        <f>SUM($G$7:G13)</f>
        <v>851</v>
      </c>
      <c r="J13" s="64">
        <f t="shared" si="5"/>
        <v>2.4023464516693626E-3</v>
      </c>
      <c r="K13" s="31"/>
      <c r="L13" s="20" t="str">
        <f t="shared" si="2"/>
        <v/>
      </c>
      <c r="N13" s="1"/>
      <c r="P13" s="1">
        <v>7</v>
      </c>
      <c r="Q13" s="1">
        <f>'표점등급&amp;절평인원 입력 기능'!C19</f>
        <v>80</v>
      </c>
    </row>
    <row r="14" spans="1:17" ht="25" customHeight="1" x14ac:dyDescent="0.45">
      <c r="A14" s="5"/>
      <c r="B14" s="30"/>
      <c r="C14" s="65">
        <v>93</v>
      </c>
      <c r="D14" s="59">
        <f t="shared" si="1"/>
        <v>153</v>
      </c>
      <c r="E14" s="59">
        <f t="shared" si="0"/>
        <v>1</v>
      </c>
      <c r="F14" s="60">
        <f t="shared" si="3"/>
        <v>99.74</v>
      </c>
      <c r="G14" s="61">
        <f>IF(D14=D13,"",_xlfn.IFNA(VLOOKUP(D14,'인원 입력 기능(국수)'!$F$5:$I$103,4,FALSE),0))</f>
        <v>144</v>
      </c>
      <c r="H14" s="62">
        <f t="shared" si="4"/>
        <v>4.0650750768553257E-4</v>
      </c>
      <c r="I14" s="72">
        <f>SUM($G$7:G14)</f>
        <v>995</v>
      </c>
      <c r="J14" s="64">
        <f t="shared" si="5"/>
        <v>2.808853959354895E-3</v>
      </c>
      <c r="K14" s="31"/>
      <c r="L14" s="20" t="str">
        <f t="shared" si="2"/>
        <v/>
      </c>
      <c r="N14" s="1"/>
      <c r="P14" s="1">
        <v>8</v>
      </c>
      <c r="Q14" s="1">
        <f>'표점등급&amp;절평인원 입력 기능'!C20</f>
        <v>74</v>
      </c>
    </row>
    <row r="15" spans="1:17" ht="25" customHeight="1" x14ac:dyDescent="0.45">
      <c r="A15" s="5"/>
      <c r="B15" s="30"/>
      <c r="C15" s="65">
        <v>92</v>
      </c>
      <c r="D15" s="59">
        <f t="shared" si="1"/>
        <v>152</v>
      </c>
      <c r="E15" s="59">
        <f t="shared" si="0"/>
        <v>1</v>
      </c>
      <c r="F15" s="60">
        <f t="shared" si="3"/>
        <v>99.47</v>
      </c>
      <c r="G15" s="61">
        <f>IF(D15=D14,"",_xlfn.IFNA(VLOOKUP(D15,'인원 입력 기능(국수)'!$F$5:$I$103,4,FALSE),0))</f>
        <v>1793</v>
      </c>
      <c r="H15" s="62">
        <f t="shared" si="4"/>
        <v>5.0615830644455545E-3</v>
      </c>
      <c r="I15" s="72">
        <f>SUM($G$7:G15)</f>
        <v>2788</v>
      </c>
      <c r="J15" s="64">
        <f t="shared" si="5"/>
        <v>7.8704370238004504E-3</v>
      </c>
      <c r="K15" s="31"/>
      <c r="L15" s="20" t="str">
        <f t="shared" si="2"/>
        <v/>
      </c>
      <c r="N15" s="1"/>
      <c r="P15" s="1">
        <v>9</v>
      </c>
    </row>
    <row r="16" spans="1:17" ht="25" customHeight="1" x14ac:dyDescent="0.45">
      <c r="A16" s="5"/>
      <c r="B16" s="30"/>
      <c r="C16" s="65">
        <v>91</v>
      </c>
      <c r="D16" s="59">
        <f t="shared" si="1"/>
        <v>151</v>
      </c>
      <c r="E16" s="59">
        <f t="shared" si="0"/>
        <v>1</v>
      </c>
      <c r="F16" s="60">
        <f t="shared" si="3"/>
        <v>99.21</v>
      </c>
      <c r="G16" s="61">
        <f>IF(D16=D15,"",_xlfn.IFNA(VLOOKUP(D16,'인원 입력 기능(국수)'!$F$5:$I$103,4,FALSE),0))</f>
        <v>0</v>
      </c>
      <c r="H16" s="62">
        <f t="shared" si="4"/>
        <v>0</v>
      </c>
      <c r="I16" s="72">
        <f>SUM($G$7:G16)</f>
        <v>2788</v>
      </c>
      <c r="J16" s="64">
        <f t="shared" si="5"/>
        <v>7.8704370238004504E-3</v>
      </c>
      <c r="K16" s="31"/>
      <c r="L16" s="20" t="str">
        <f t="shared" si="2"/>
        <v/>
      </c>
      <c r="N16" s="1"/>
    </row>
    <row r="17" spans="1:17" ht="25" customHeight="1" x14ac:dyDescent="0.45">
      <c r="A17" s="5"/>
      <c r="B17" s="30"/>
      <c r="C17" s="65">
        <v>90</v>
      </c>
      <c r="D17" s="59">
        <f t="shared" si="1"/>
        <v>150</v>
      </c>
      <c r="E17" s="59">
        <f t="shared" si="0"/>
        <v>1</v>
      </c>
      <c r="F17" s="60">
        <f t="shared" si="3"/>
        <v>99.21</v>
      </c>
      <c r="G17" s="61">
        <f>IF(D17=D16,"",_xlfn.IFNA(VLOOKUP(D17,'인원 입력 기능(국수)'!$F$5:$I$103,4,FALSE),0))</f>
        <v>30</v>
      </c>
      <c r="H17" s="62">
        <f t="shared" si="4"/>
        <v>8.4689064101152624E-5</v>
      </c>
      <c r="I17" s="72">
        <f>SUM($G$7:G17)</f>
        <v>2818</v>
      </c>
      <c r="J17" s="64">
        <f t="shared" si="5"/>
        <v>7.9551260879016025E-3</v>
      </c>
      <c r="K17" s="31"/>
      <c r="L17" s="20" t="str">
        <f t="shared" si="2"/>
        <v/>
      </c>
      <c r="N17" s="1"/>
      <c r="Q17" s="1">
        <f>Q7*H3*H4*J3*IFERROR(IF(J107=1, 1, 0), 0)</f>
        <v>38576987414.784004</v>
      </c>
    </row>
    <row r="18" spans="1:17" ht="25" customHeight="1" x14ac:dyDescent="0.45">
      <c r="A18" s="5"/>
      <c r="B18" s="30"/>
      <c r="C18" s="65">
        <v>89</v>
      </c>
      <c r="D18" s="59">
        <f t="shared" si="1"/>
        <v>149</v>
      </c>
      <c r="E18" s="59">
        <f t="shared" si="0"/>
        <v>1</v>
      </c>
      <c r="F18" s="60">
        <f t="shared" si="3"/>
        <v>99.12</v>
      </c>
      <c r="G18" s="61">
        <f>IF(D18=D17,"",_xlfn.IFNA(VLOOKUP(D18,'인원 입력 기능(국수)'!$F$5:$I$103,4,FALSE),0))</f>
        <v>629</v>
      </c>
      <c r="H18" s="62">
        <f t="shared" si="4"/>
        <v>1.7756473773208332E-3</v>
      </c>
      <c r="I18" s="72">
        <f>SUM($G$7:G18)</f>
        <v>3447</v>
      </c>
      <c r="J18" s="64">
        <f t="shared" si="5"/>
        <v>9.7307734652224351E-3</v>
      </c>
      <c r="K18" s="31"/>
      <c r="L18" s="20" t="str">
        <f t="shared" si="2"/>
        <v/>
      </c>
      <c r="N18" s="1"/>
    </row>
    <row r="19" spans="1:17" ht="25" customHeight="1" x14ac:dyDescent="0.45">
      <c r="A19" s="5"/>
      <c r="B19" s="30"/>
      <c r="C19" s="65">
        <v>88</v>
      </c>
      <c r="D19" s="59">
        <f t="shared" si="1"/>
        <v>148</v>
      </c>
      <c r="E19" s="74">
        <f t="shared" si="0"/>
        <v>1</v>
      </c>
      <c r="F19" s="60">
        <f t="shared" si="3"/>
        <v>98.7</v>
      </c>
      <c r="G19" s="61">
        <f>IF(D19=D18,"",_xlfn.IFNA(VLOOKUP(D19,'인원 입력 기능(국수)'!$F$5:$I$103,4,FALSE),0))</f>
        <v>2295</v>
      </c>
      <c r="H19" s="62">
        <f t="shared" si="4"/>
        <v>6.4787134037381754E-3</v>
      </c>
      <c r="I19" s="72">
        <f>SUM($G$7:G19)</f>
        <v>5742</v>
      </c>
      <c r="J19" s="64">
        <f t="shared" si="5"/>
        <v>1.620948686896061E-2</v>
      </c>
      <c r="K19" s="31"/>
      <c r="L19" s="20" t="str">
        <f t="shared" si="2"/>
        <v/>
      </c>
      <c r="N19" s="1"/>
    </row>
    <row r="20" spans="1:17" ht="25" customHeight="1" x14ac:dyDescent="0.45">
      <c r="A20" s="5"/>
      <c r="B20" s="30"/>
      <c r="C20" s="65">
        <v>87</v>
      </c>
      <c r="D20" s="237">
        <f t="shared" si="1"/>
        <v>147</v>
      </c>
      <c r="E20" s="257">
        <f t="shared" si="0"/>
        <v>1</v>
      </c>
      <c r="F20" s="247">
        <f t="shared" si="3"/>
        <v>98.36</v>
      </c>
      <c r="G20" s="249">
        <f>IF(D20=D19,"",_xlfn.IFNA(VLOOKUP(D20,'인원 입력 기능(국수)'!$F$5:$I$103,4,FALSE),0))</f>
        <v>158</v>
      </c>
      <c r="H20" s="250">
        <f t="shared" si="4"/>
        <v>4.4602907093273714E-4</v>
      </c>
      <c r="I20" s="252">
        <f>SUM($G$7:G20)</f>
        <v>5900</v>
      </c>
      <c r="J20" s="254">
        <f t="shared" si="5"/>
        <v>1.665551593989335E-2</v>
      </c>
      <c r="K20" s="31"/>
      <c r="L20" s="20" t="str">
        <f t="shared" si="2"/>
        <v/>
      </c>
      <c r="N20" s="1"/>
    </row>
    <row r="21" spans="1:17" ht="25" customHeight="1" x14ac:dyDescent="0.45">
      <c r="A21" s="5"/>
      <c r="B21" s="30"/>
      <c r="C21" s="65">
        <v>86</v>
      </c>
      <c r="D21" s="238"/>
      <c r="E21" s="256"/>
      <c r="F21" s="246"/>
      <c r="G21" s="248"/>
      <c r="H21" s="251"/>
      <c r="I21" s="253"/>
      <c r="J21" s="255"/>
      <c r="K21" s="31"/>
      <c r="L21" s="20" t="str">
        <f t="shared" si="2"/>
        <v>경고</v>
      </c>
      <c r="N21" s="1"/>
    </row>
    <row r="22" spans="1:17" ht="25" customHeight="1" x14ac:dyDescent="0.45">
      <c r="A22" s="5"/>
      <c r="B22" s="30"/>
      <c r="C22" s="65">
        <v>85</v>
      </c>
      <c r="D22" s="59">
        <f t="shared" si="1"/>
        <v>146</v>
      </c>
      <c r="E22" s="74">
        <f t="shared" si="0"/>
        <v>1</v>
      </c>
      <c r="F22" s="60">
        <f t="shared" si="3"/>
        <v>98.18</v>
      </c>
      <c r="G22" s="61">
        <f>IF(D22=D21,"",_xlfn.IFNA(VLOOKUP(D22,'인원 입력 기능(국수)'!$F$5:$I$103,4,FALSE),0))</f>
        <v>1124</v>
      </c>
      <c r="H22" s="62">
        <f t="shared" si="4"/>
        <v>3.1730169349898515E-3</v>
      </c>
      <c r="I22" s="72">
        <f>SUM($G$7:G22)</f>
        <v>7024</v>
      </c>
      <c r="J22" s="64">
        <f t="shared" si="5"/>
        <v>1.98285328748832E-2</v>
      </c>
      <c r="K22" s="31"/>
      <c r="L22" s="20" t="str">
        <f t="shared" si="2"/>
        <v/>
      </c>
      <c r="N22" s="1"/>
    </row>
    <row r="23" spans="1:17" ht="25" customHeight="1" x14ac:dyDescent="0.45">
      <c r="A23" s="5"/>
      <c r="B23" s="30"/>
      <c r="C23" s="65">
        <v>84</v>
      </c>
      <c r="D23" s="59">
        <f t="shared" si="1"/>
        <v>145</v>
      </c>
      <c r="E23" s="74">
        <f t="shared" si="0"/>
        <v>1</v>
      </c>
      <c r="F23" s="60">
        <f t="shared" si="3"/>
        <v>97.62</v>
      </c>
      <c r="G23" s="61">
        <f>IF(D23=D22,"",_xlfn.IFNA(VLOOKUP(D23,'인원 입력 기능(국수)'!$F$5:$I$103,4,FALSE),0))</f>
        <v>2812</v>
      </c>
      <c r="H23" s="62">
        <f t="shared" si="4"/>
        <v>7.9381882750813714E-3</v>
      </c>
      <c r="I23" s="72">
        <f>SUM($G$7:G23)</f>
        <v>9836</v>
      </c>
      <c r="J23" s="64">
        <f t="shared" si="5"/>
        <v>2.7766721149964573E-2</v>
      </c>
      <c r="K23" s="31"/>
      <c r="L23" s="20" t="str">
        <f t="shared" si="2"/>
        <v/>
      </c>
      <c r="N23" s="1"/>
    </row>
    <row r="24" spans="1:17" ht="25" customHeight="1" x14ac:dyDescent="0.45">
      <c r="A24" s="5"/>
      <c r="B24" s="30"/>
      <c r="C24" s="73">
        <v>83</v>
      </c>
      <c r="D24" s="74">
        <f t="shared" si="1"/>
        <v>144</v>
      </c>
      <c r="E24" s="74">
        <f t="shared" si="0"/>
        <v>1</v>
      </c>
      <c r="F24" s="60">
        <f t="shared" si="3"/>
        <v>97.22</v>
      </c>
      <c r="G24" s="61">
        <f>IF(D24=D23,"",_xlfn.IFNA(VLOOKUP(D24,'인원 입력 기능(국수)'!$F$5:$I$103,4,FALSE),0))</f>
        <v>40</v>
      </c>
      <c r="H24" s="62">
        <f t="shared" si="4"/>
        <v>1.1291875213487015E-4</v>
      </c>
      <c r="I24" s="75">
        <f>SUM($G$7:G24)</f>
        <v>9876</v>
      </c>
      <c r="J24" s="64">
        <f t="shared" si="5"/>
        <v>2.7879639902099441E-2</v>
      </c>
      <c r="K24" s="31"/>
      <c r="L24" s="20" t="str">
        <f t="shared" si="2"/>
        <v/>
      </c>
      <c r="N24" s="1"/>
    </row>
    <row r="25" spans="1:17" ht="25" customHeight="1" x14ac:dyDescent="0.45">
      <c r="A25" s="5"/>
      <c r="B25" s="30"/>
      <c r="C25" s="73">
        <v>82</v>
      </c>
      <c r="D25" s="74">
        <f t="shared" si="1"/>
        <v>143</v>
      </c>
      <c r="E25" s="74">
        <f t="shared" si="0"/>
        <v>1</v>
      </c>
      <c r="F25" s="60">
        <f t="shared" si="3"/>
        <v>97.17</v>
      </c>
      <c r="G25" s="61">
        <f>IF(D25=D24,"",_xlfn.IFNA(VLOOKUP(D25,'인원 입력 기능(국수)'!$F$5:$I$103,4,FALSE),0))</f>
        <v>317</v>
      </c>
      <c r="H25" s="62">
        <f t="shared" si="4"/>
        <v>8.9488111066884598E-4</v>
      </c>
      <c r="I25" s="75">
        <f>SUM($G$7:G25)</f>
        <v>10193</v>
      </c>
      <c r="J25" s="64">
        <f t="shared" si="5"/>
        <v>2.8774521012768287E-2</v>
      </c>
      <c r="K25" s="31"/>
      <c r="L25" s="20" t="str">
        <f t="shared" si="2"/>
        <v/>
      </c>
      <c r="N25" s="1"/>
    </row>
    <row r="26" spans="1:17" ht="25" customHeight="1" x14ac:dyDescent="0.45">
      <c r="A26" s="5"/>
      <c r="B26" s="30"/>
      <c r="C26" s="73">
        <v>81</v>
      </c>
      <c r="D26" s="74">
        <f t="shared" si="1"/>
        <v>142</v>
      </c>
      <c r="E26" s="74">
        <f t="shared" si="0"/>
        <v>1</v>
      </c>
      <c r="F26" s="60">
        <f t="shared" si="3"/>
        <v>96.88</v>
      </c>
      <c r="G26" s="61">
        <f>IF(D26=D25,"",_xlfn.IFNA(VLOOKUP(D26,'인원 입력 기능(국수)'!$F$5:$I$103,4,FALSE),0))</f>
        <v>1685</v>
      </c>
      <c r="H26" s="62">
        <f t="shared" si="4"/>
        <v>4.7567024336814057E-3</v>
      </c>
      <c r="I26" s="75">
        <f>SUM($G$7:G26)</f>
        <v>11878</v>
      </c>
      <c r="J26" s="64">
        <f t="shared" si="5"/>
        <v>3.3531223446449696E-2</v>
      </c>
      <c r="K26" s="31"/>
      <c r="L26" s="20" t="str">
        <f t="shared" si="2"/>
        <v/>
      </c>
      <c r="N26" s="1"/>
    </row>
    <row r="27" spans="1:17" ht="25" customHeight="1" x14ac:dyDescent="0.45">
      <c r="A27" s="5"/>
      <c r="B27" s="30"/>
      <c r="C27" s="73">
        <v>80</v>
      </c>
      <c r="D27" s="74">
        <f t="shared" si="1"/>
        <v>141</v>
      </c>
      <c r="E27" s="74">
        <f t="shared" si="0"/>
        <v>1</v>
      </c>
      <c r="F27" s="60">
        <f t="shared" si="3"/>
        <v>96.21</v>
      </c>
      <c r="G27" s="61">
        <f>IF(D27=D26,"",_xlfn.IFNA(VLOOKUP(D27,'인원 입력 기능(국수)'!$F$5:$I$103,4,FALSE),0))</f>
        <v>3098</v>
      </c>
      <c r="H27" s="62">
        <f t="shared" si="4"/>
        <v>8.7455573528456929E-3</v>
      </c>
      <c r="I27" s="75">
        <f>SUM($G$7:G27)</f>
        <v>14976</v>
      </c>
      <c r="J27" s="64">
        <f t="shared" si="5"/>
        <v>4.2276780799295387E-2</v>
      </c>
      <c r="K27" s="31"/>
      <c r="L27" s="20" t="str">
        <f t="shared" si="2"/>
        <v/>
      </c>
      <c r="N27" s="1"/>
    </row>
    <row r="28" spans="1:17" ht="25" customHeight="1" x14ac:dyDescent="0.45">
      <c r="A28" s="5"/>
      <c r="B28" s="30"/>
      <c r="C28" s="73">
        <v>79</v>
      </c>
      <c r="D28" s="74">
        <f t="shared" si="1"/>
        <v>140</v>
      </c>
      <c r="E28" s="74">
        <f t="shared" si="0"/>
        <v>2</v>
      </c>
      <c r="F28" s="60">
        <f t="shared" si="3"/>
        <v>95.76</v>
      </c>
      <c r="G28" s="61">
        <f>IF(D28=D27,"",_xlfn.IFNA(VLOOKUP(D28,'인원 입력 기능(국수)'!$F$5:$I$103,4,FALSE),0))</f>
        <v>97</v>
      </c>
      <c r="H28" s="62">
        <f t="shared" si="4"/>
        <v>2.7382797392706013E-4</v>
      </c>
      <c r="I28" s="75">
        <f>SUM($G$7:G28)</f>
        <v>15073</v>
      </c>
      <c r="J28" s="64">
        <f t="shared" si="5"/>
        <v>4.2550608773222448E-2</v>
      </c>
      <c r="K28" s="31"/>
      <c r="L28" s="20" t="str">
        <f t="shared" si="2"/>
        <v/>
      </c>
      <c r="N28" s="1"/>
    </row>
    <row r="29" spans="1:17" ht="25" customHeight="1" x14ac:dyDescent="0.45">
      <c r="A29" s="5"/>
      <c r="B29" s="30"/>
      <c r="C29" s="73">
        <v>78</v>
      </c>
      <c r="D29" s="74">
        <f t="shared" si="1"/>
        <v>139</v>
      </c>
      <c r="E29" s="74">
        <f t="shared" si="0"/>
        <v>2</v>
      </c>
      <c r="F29" s="60">
        <f t="shared" si="3"/>
        <v>95.66</v>
      </c>
      <c r="G29" s="61">
        <f>IF(D29=D28,"",_xlfn.IFNA(VLOOKUP(D29,'인원 입력 기능(국수)'!$F$5:$I$103,4,FALSE),0))</f>
        <v>618</v>
      </c>
      <c r="H29" s="62">
        <f t="shared" si="4"/>
        <v>1.744594720483744E-3</v>
      </c>
      <c r="I29" s="75">
        <f>SUM($G$7:G29)</f>
        <v>15691</v>
      </c>
      <c r="J29" s="64">
        <f t="shared" si="5"/>
        <v>4.4295203493706192E-2</v>
      </c>
      <c r="K29" s="31"/>
      <c r="L29" s="20" t="str">
        <f t="shared" si="2"/>
        <v/>
      </c>
      <c r="N29" s="1"/>
    </row>
    <row r="30" spans="1:17" ht="25" customHeight="1" x14ac:dyDescent="0.45">
      <c r="A30" s="5"/>
      <c r="B30" s="30"/>
      <c r="C30" s="73">
        <v>77</v>
      </c>
      <c r="D30" s="74">
        <f t="shared" si="1"/>
        <v>138</v>
      </c>
      <c r="E30" s="74">
        <f t="shared" si="0"/>
        <v>2</v>
      </c>
      <c r="F30" s="60">
        <f t="shared" si="3"/>
        <v>95.22</v>
      </c>
      <c r="G30" s="61">
        <f>IF(D30=D29,"",_xlfn.IFNA(VLOOKUP(D30,'인원 입력 기능(국수)'!$F$5:$I$103,4,FALSE),0))</f>
        <v>2488</v>
      </c>
      <c r="H30" s="62">
        <f t="shared" si="4"/>
        <v>7.0235463827889241E-3</v>
      </c>
      <c r="I30" s="75">
        <f>SUM($G$7:G30)</f>
        <v>18179</v>
      </c>
      <c r="J30" s="64">
        <f t="shared" si="5"/>
        <v>5.1318749876495116E-2</v>
      </c>
      <c r="K30" s="31"/>
      <c r="L30" s="20" t="str">
        <f t="shared" si="2"/>
        <v/>
      </c>
      <c r="N30" s="1"/>
    </row>
    <row r="31" spans="1:17" ht="25" customHeight="1" x14ac:dyDescent="0.45">
      <c r="A31" s="5"/>
      <c r="B31" s="30"/>
      <c r="C31" s="73">
        <v>76</v>
      </c>
      <c r="D31" s="74">
        <f t="shared" si="1"/>
        <v>137</v>
      </c>
      <c r="E31" s="74">
        <f t="shared" si="0"/>
        <v>2</v>
      </c>
      <c r="F31" s="60">
        <f t="shared" si="3"/>
        <v>94.37</v>
      </c>
      <c r="G31" s="61">
        <f>IF(D31=D30,"",_xlfn.IFNA(VLOOKUP(D31,'인원 입력 기능(국수)'!$F$5:$I$103,4,FALSE),0))</f>
        <v>3548</v>
      </c>
      <c r="H31" s="62">
        <f t="shared" si="4"/>
        <v>1.0015893314362983E-2</v>
      </c>
      <c r="I31" s="75">
        <f>SUM($G$7:G31)</f>
        <v>21727</v>
      </c>
      <c r="J31" s="64">
        <f t="shared" si="5"/>
        <v>6.1334643190858094E-2</v>
      </c>
      <c r="K31" s="31"/>
      <c r="L31" s="20" t="str">
        <f t="shared" si="2"/>
        <v/>
      </c>
      <c r="N31" s="1"/>
    </row>
    <row r="32" spans="1:17" ht="25" customHeight="1" x14ac:dyDescent="0.45">
      <c r="A32" s="5"/>
      <c r="B32" s="30"/>
      <c r="C32" s="73">
        <v>75</v>
      </c>
      <c r="D32" s="74">
        <f t="shared" si="1"/>
        <v>136</v>
      </c>
      <c r="E32" s="74">
        <f t="shared" si="0"/>
        <v>2</v>
      </c>
      <c r="F32" s="60">
        <f t="shared" si="3"/>
        <v>93.84</v>
      </c>
      <c r="G32" s="61">
        <f>IF(D32=D31,"",_xlfn.IFNA(VLOOKUP(D32,'인원 입력 기능(국수)'!$F$5:$I$103,4,FALSE),0))</f>
        <v>174</v>
      </c>
      <c r="H32" s="62">
        <f t="shared" si="4"/>
        <v>4.9119657178668522E-4</v>
      </c>
      <c r="I32" s="75">
        <f>SUM($G$7:G32)</f>
        <v>21901</v>
      </c>
      <c r="J32" s="64">
        <f t="shared" si="5"/>
        <v>6.1825839762644781E-2</v>
      </c>
      <c r="K32" s="31"/>
      <c r="L32" s="20" t="str">
        <f t="shared" si="2"/>
        <v/>
      </c>
      <c r="N32" s="1"/>
    </row>
    <row r="33" spans="1:14" ht="25" customHeight="1" x14ac:dyDescent="0.45">
      <c r="A33" s="5"/>
      <c r="B33" s="30"/>
      <c r="C33" s="73">
        <v>74</v>
      </c>
      <c r="D33" s="74">
        <f t="shared" si="1"/>
        <v>135</v>
      </c>
      <c r="E33" s="74">
        <f t="shared" si="0"/>
        <v>2</v>
      </c>
      <c r="F33" s="60">
        <f t="shared" si="3"/>
        <v>93.67</v>
      </c>
      <c r="G33" s="61">
        <f>IF(D33=D32,"",_xlfn.IFNA(VLOOKUP(D33,'인원 입력 기능(국수)'!$F$5:$I$103,4,FALSE),0))</f>
        <v>1068</v>
      </c>
      <c r="H33" s="62">
        <f t="shared" si="4"/>
        <v>3.0149306820010332E-3</v>
      </c>
      <c r="I33" s="75">
        <f>SUM($G$7:G33)</f>
        <v>22969</v>
      </c>
      <c r="J33" s="64">
        <f t="shared" si="5"/>
        <v>6.4840770444645812E-2</v>
      </c>
      <c r="K33" s="31"/>
      <c r="L33" s="20" t="str">
        <f t="shared" si="2"/>
        <v/>
      </c>
      <c r="N33" s="1"/>
    </row>
    <row r="34" spans="1:14" ht="25" customHeight="1" x14ac:dyDescent="0.45">
      <c r="A34" s="5"/>
      <c r="B34" s="30"/>
      <c r="C34" s="73">
        <v>73</v>
      </c>
      <c r="D34" s="257">
        <f t="shared" si="1"/>
        <v>134</v>
      </c>
      <c r="E34" s="257">
        <f t="shared" si="0"/>
        <v>2</v>
      </c>
      <c r="F34" s="247">
        <f t="shared" si="3"/>
        <v>92.52</v>
      </c>
      <c r="G34" s="249">
        <f>IF(D34=D33,"",_xlfn.IFNA(VLOOKUP(D34,'인원 입력 기능(국수)'!$F$5:$I$103,4,FALSE),0))</f>
        <v>7072</v>
      </c>
      <c r="H34" s="250">
        <f t="shared" si="4"/>
        <v>1.9964035377445045E-2</v>
      </c>
      <c r="I34" s="258">
        <f>SUM($G$7:G34)</f>
        <v>30041</v>
      </c>
      <c r="J34" s="254">
        <f t="shared" si="5"/>
        <v>8.4804805822090865E-2</v>
      </c>
      <c r="K34" s="31"/>
      <c r="L34" s="20" t="str">
        <f t="shared" si="2"/>
        <v/>
      </c>
      <c r="N34" s="1"/>
    </row>
    <row r="35" spans="1:14" ht="25" customHeight="1" x14ac:dyDescent="0.45">
      <c r="A35" s="5"/>
      <c r="B35" s="30"/>
      <c r="C35" s="73">
        <v>72</v>
      </c>
      <c r="D35" s="256"/>
      <c r="E35" s="256"/>
      <c r="F35" s="246"/>
      <c r="G35" s="248"/>
      <c r="H35" s="251"/>
      <c r="I35" s="259"/>
      <c r="J35" s="255"/>
      <c r="K35" s="31"/>
      <c r="L35" s="20" t="str">
        <f t="shared" si="2"/>
        <v>경고</v>
      </c>
      <c r="N35" s="1"/>
    </row>
    <row r="36" spans="1:14" ht="25" customHeight="1" x14ac:dyDescent="0.45">
      <c r="A36" s="5"/>
      <c r="B36" s="30"/>
      <c r="C36" s="73">
        <v>71</v>
      </c>
      <c r="D36" s="74">
        <f t="shared" si="1"/>
        <v>133</v>
      </c>
      <c r="E36" s="74">
        <f t="shared" si="0"/>
        <v>2</v>
      </c>
      <c r="F36" s="60">
        <f t="shared" si="3"/>
        <v>91.46</v>
      </c>
      <c r="G36" s="61">
        <f>IF(D36=D35,"",_xlfn.IFNA(VLOOKUP(D36,'인원 입력 기능(국수)'!$F$5:$I$103,4,FALSE),0))</f>
        <v>390</v>
      </c>
      <c r="H36" s="62">
        <f t="shared" si="4"/>
        <v>1.1009578333149841E-3</v>
      </c>
      <c r="I36" s="75">
        <f>SUM($G$7:G36)</f>
        <v>30431</v>
      </c>
      <c r="J36" s="64">
        <f t="shared" si="5"/>
        <v>8.5905763655405851E-2</v>
      </c>
      <c r="K36" s="31"/>
      <c r="L36" s="20" t="str">
        <f t="shared" si="2"/>
        <v/>
      </c>
      <c r="N36" s="1"/>
    </row>
    <row r="37" spans="1:14" ht="25" customHeight="1" x14ac:dyDescent="0.45">
      <c r="A37" s="5"/>
      <c r="B37" s="30"/>
      <c r="C37" s="73">
        <v>70</v>
      </c>
      <c r="D37" s="74">
        <f t="shared" si="1"/>
        <v>132</v>
      </c>
      <c r="E37" s="74">
        <f t="shared" si="0"/>
        <v>2</v>
      </c>
      <c r="F37" s="60">
        <f t="shared" si="3"/>
        <v>91.16</v>
      </c>
      <c r="G37" s="61">
        <f>IF(D37=D36,"",_xlfn.IFNA(VLOOKUP(D37,'인원 입력 기능(국수)'!$F$5:$I$103,4,FALSE),0))</f>
        <v>1773</v>
      </c>
      <c r="H37" s="62">
        <f t="shared" si="4"/>
        <v>5.0051236883781195E-3</v>
      </c>
      <c r="I37" s="75">
        <f>SUM($G$7:G37)</f>
        <v>32204</v>
      </c>
      <c r="J37" s="64">
        <f t="shared" si="5"/>
        <v>9.0910887343783969E-2</v>
      </c>
      <c r="K37" s="31"/>
      <c r="L37" s="20" t="str">
        <f t="shared" si="2"/>
        <v/>
      </c>
      <c r="N37" s="1"/>
    </row>
    <row r="38" spans="1:14" ht="25" customHeight="1" x14ac:dyDescent="0.45">
      <c r="A38" s="5"/>
      <c r="B38" s="30"/>
      <c r="C38" s="73">
        <v>69</v>
      </c>
      <c r="D38" s="74">
        <f t="shared" si="1"/>
        <v>131</v>
      </c>
      <c r="E38" s="74">
        <f t="shared" si="0"/>
        <v>2</v>
      </c>
      <c r="F38" s="60">
        <f t="shared" si="3"/>
        <v>90.29</v>
      </c>
      <c r="G38" s="61">
        <f>IF(D38=D37,"",_xlfn.IFNA(VLOOKUP(D38,'인원 입력 기능(국수)'!$F$5:$I$103,4,FALSE),0))</f>
        <v>4373</v>
      </c>
      <c r="H38" s="62">
        <f t="shared" si="4"/>
        <v>1.2344842577144679E-2</v>
      </c>
      <c r="I38" s="75">
        <f>SUM($G$7:G38)</f>
        <v>36577</v>
      </c>
      <c r="J38" s="64">
        <f t="shared" si="5"/>
        <v>0.10325572992092864</v>
      </c>
      <c r="K38" s="31"/>
      <c r="L38" s="20" t="str">
        <f t="shared" si="2"/>
        <v/>
      </c>
      <c r="N38" s="1"/>
    </row>
    <row r="39" spans="1:14" ht="25" customHeight="1" x14ac:dyDescent="0.45">
      <c r="A39" s="5"/>
      <c r="B39" s="30"/>
      <c r="C39" s="73">
        <v>68</v>
      </c>
      <c r="D39" s="74">
        <f t="shared" si="1"/>
        <v>130</v>
      </c>
      <c r="E39" s="74">
        <f t="shared" si="0"/>
        <v>2</v>
      </c>
      <c r="F39" s="60">
        <f t="shared" si="3"/>
        <v>89.19</v>
      </c>
      <c r="G39" s="61">
        <f>IF(D39=D38,"",_xlfn.IFNA(VLOOKUP(D39,'인원 입력 기능(국수)'!$F$5:$I$103,4,FALSE),0))</f>
        <v>3449</v>
      </c>
      <c r="H39" s="62">
        <f t="shared" si="4"/>
        <v>9.7364194028291794E-3</v>
      </c>
      <c r="I39" s="75">
        <f>SUM($G$7:G39)</f>
        <v>40026</v>
      </c>
      <c r="J39" s="64">
        <f t="shared" si="5"/>
        <v>0.11299214932375783</v>
      </c>
      <c r="K39" s="31"/>
      <c r="L39" s="20" t="str">
        <f t="shared" si="2"/>
        <v/>
      </c>
      <c r="N39" s="1"/>
    </row>
    <row r="40" spans="1:14" ht="25" customHeight="1" x14ac:dyDescent="0.45">
      <c r="A40" s="5"/>
      <c r="B40" s="30"/>
      <c r="C40" s="73">
        <v>67</v>
      </c>
      <c r="D40" s="74">
        <f t="shared" si="1"/>
        <v>129</v>
      </c>
      <c r="E40" s="74">
        <f t="shared" si="0"/>
        <v>3</v>
      </c>
      <c r="F40" s="60">
        <f t="shared" si="3"/>
        <v>88.59</v>
      </c>
      <c r="G40" s="61">
        <f>IF(D40=D39,"",_xlfn.IFNA(VLOOKUP(D40,'인원 입력 기능(국수)'!$F$5:$I$103,4,FALSE),0))</f>
        <v>755</v>
      </c>
      <c r="H40" s="62">
        <f t="shared" si="4"/>
        <v>2.1313414465456743E-3</v>
      </c>
      <c r="I40" s="75">
        <f>SUM($G$7:G40)</f>
        <v>40781</v>
      </c>
      <c r="J40" s="64">
        <f t="shared" si="5"/>
        <v>0.1151234907703035</v>
      </c>
      <c r="K40" s="31"/>
      <c r="L40" s="20" t="str">
        <f t="shared" si="2"/>
        <v/>
      </c>
      <c r="N40" s="1"/>
    </row>
    <row r="41" spans="1:14" ht="25" customHeight="1" x14ac:dyDescent="0.45">
      <c r="A41" s="5"/>
      <c r="B41" s="30"/>
      <c r="C41" s="73">
        <v>66</v>
      </c>
      <c r="D41" s="74">
        <f t="shared" ref="D41:D72" si="6">ROUND(20*(C41-$H$3)/$H$4+100,0)</f>
        <v>128</v>
      </c>
      <c r="E41" s="74">
        <f t="shared" si="0"/>
        <v>3</v>
      </c>
      <c r="F41" s="60">
        <f t="shared" si="3"/>
        <v>88.1</v>
      </c>
      <c r="G41" s="61">
        <f>IF(D41=D40,"",_xlfn.IFNA(VLOOKUP(D41,'인원 입력 기능(국수)'!$F$5:$I$103,4,FALSE),0))</f>
        <v>2771</v>
      </c>
      <c r="H41" s="62">
        <f t="shared" si="4"/>
        <v>7.8224465541431309E-3</v>
      </c>
      <c r="I41" s="75">
        <f>SUM($G$7:G41)</f>
        <v>43552</v>
      </c>
      <c r="J41" s="64">
        <f t="shared" si="5"/>
        <v>0.12294593732444663</v>
      </c>
      <c r="K41" s="31"/>
      <c r="L41" s="20" t="str">
        <f t="shared" ref="L41:L72" si="7">IF(ABS((C41-$H$3)/$H$4*20+100-D41)&gt;0.49, "경고", "")</f>
        <v/>
      </c>
      <c r="N41" s="1"/>
    </row>
    <row r="42" spans="1:14" ht="25" customHeight="1" x14ac:dyDescent="0.45">
      <c r="A42" s="5"/>
      <c r="B42" s="30"/>
      <c r="C42" s="73">
        <v>65</v>
      </c>
      <c r="D42" s="74">
        <f t="shared" si="6"/>
        <v>127</v>
      </c>
      <c r="E42" s="74">
        <f t="shared" si="0"/>
        <v>3</v>
      </c>
      <c r="F42" s="60">
        <f t="shared" si="3"/>
        <v>87.01</v>
      </c>
      <c r="G42" s="61">
        <f>IF(D42=D41,"",_xlfn.IFNA(VLOOKUP(D42,'인원 입력 기능(국수)'!$F$5:$I$103,4,FALSE),0))</f>
        <v>4937</v>
      </c>
      <c r="H42" s="62">
        <f t="shared" si="4"/>
        <v>1.3936996982246349E-2</v>
      </c>
      <c r="I42" s="75">
        <f>SUM($G$7:G42)</f>
        <v>48489</v>
      </c>
      <c r="J42" s="64">
        <f t="shared" si="5"/>
        <v>0.13688293430669299</v>
      </c>
      <c r="K42" s="31"/>
      <c r="L42" s="20" t="str">
        <f t="shared" si="7"/>
        <v/>
      </c>
      <c r="N42" s="1"/>
    </row>
    <row r="43" spans="1:14" ht="25" customHeight="1" x14ac:dyDescent="0.45">
      <c r="A43" s="5"/>
      <c r="B43" s="30"/>
      <c r="C43" s="73">
        <v>64</v>
      </c>
      <c r="D43" s="74">
        <f t="shared" si="6"/>
        <v>126</v>
      </c>
      <c r="E43" s="74">
        <f t="shared" si="0"/>
        <v>3</v>
      </c>
      <c r="F43" s="60">
        <f t="shared" si="3"/>
        <v>85.93</v>
      </c>
      <c r="G43" s="61">
        <f>IF(D43=D42,"",_xlfn.IFNA(VLOOKUP(D43,'인원 입력 기능(국수)'!$F$5:$I$103,4,FALSE),0))</f>
        <v>2729</v>
      </c>
      <c r="H43" s="62">
        <f t="shared" si="4"/>
        <v>7.7038818644015166E-3</v>
      </c>
      <c r="I43" s="75">
        <f>SUM($G$7:G43)</f>
        <v>51218</v>
      </c>
      <c r="J43" s="64">
        <f t="shared" si="5"/>
        <v>0.14458681617109451</v>
      </c>
      <c r="K43" s="31"/>
      <c r="L43" s="20" t="str">
        <f t="shared" si="7"/>
        <v/>
      </c>
      <c r="N43" s="1"/>
    </row>
    <row r="44" spans="1:14" ht="25" customHeight="1" x14ac:dyDescent="0.45">
      <c r="A44" s="5"/>
      <c r="B44" s="30"/>
      <c r="C44" s="73">
        <v>63</v>
      </c>
      <c r="D44" s="74">
        <f t="shared" si="6"/>
        <v>125</v>
      </c>
      <c r="E44" s="74">
        <f t="shared" si="0"/>
        <v>3</v>
      </c>
      <c r="F44" s="60">
        <f t="shared" si="3"/>
        <v>85.34</v>
      </c>
      <c r="G44" s="61">
        <f>IF(D44=D43,"",_xlfn.IFNA(VLOOKUP(D44,'인원 입력 기능(국수)'!$F$5:$I$103,4,FALSE),0))</f>
        <v>1427</v>
      </c>
      <c r="H44" s="62">
        <f t="shared" si="4"/>
        <v>4.0283764824114929E-3</v>
      </c>
      <c r="I44" s="75">
        <f>SUM($G$7:G44)</f>
        <v>52645</v>
      </c>
      <c r="J44" s="64">
        <f t="shared" si="5"/>
        <v>0.14861519265350598</v>
      </c>
      <c r="K44" s="31"/>
      <c r="L44" s="20" t="str">
        <f t="shared" si="7"/>
        <v/>
      </c>
      <c r="N44" s="1"/>
    </row>
    <row r="45" spans="1:14" ht="25" customHeight="1" x14ac:dyDescent="0.45">
      <c r="A45" s="5"/>
      <c r="B45" s="30"/>
      <c r="C45" s="73">
        <v>62</v>
      </c>
      <c r="D45" s="74">
        <f t="shared" si="6"/>
        <v>124</v>
      </c>
      <c r="E45" s="74">
        <f t="shared" si="0"/>
        <v>3</v>
      </c>
      <c r="F45" s="60">
        <f t="shared" si="3"/>
        <v>84.59</v>
      </c>
      <c r="G45" s="61">
        <f>IF(D45=D44,"",_xlfn.IFNA(VLOOKUP(D45,'인원 입력 기능(국수)'!$F$5:$I$103,4,FALSE),0))</f>
        <v>3868</v>
      </c>
      <c r="H45" s="62">
        <f t="shared" si="4"/>
        <v>1.0919243331441944E-2</v>
      </c>
      <c r="I45" s="75">
        <f>SUM($G$7:G45)</f>
        <v>56513</v>
      </c>
      <c r="J45" s="64">
        <f t="shared" si="5"/>
        <v>0.15953443598494793</v>
      </c>
      <c r="K45" s="31"/>
      <c r="L45" s="20" t="str">
        <f t="shared" si="7"/>
        <v/>
      </c>
      <c r="N45" s="1"/>
    </row>
    <row r="46" spans="1:14" ht="25" customHeight="1" x14ac:dyDescent="0.45">
      <c r="A46" s="5"/>
      <c r="B46" s="30"/>
      <c r="C46" s="73">
        <v>61</v>
      </c>
      <c r="D46" s="74">
        <f t="shared" si="6"/>
        <v>123</v>
      </c>
      <c r="E46" s="74">
        <f t="shared" si="0"/>
        <v>3</v>
      </c>
      <c r="F46" s="60">
        <f t="shared" si="3"/>
        <v>83.42</v>
      </c>
      <c r="G46" s="61">
        <f>IF(D46=D45,"",_xlfn.IFNA(VLOOKUP(D46,'인원 입력 기능(국수)'!$F$5:$I$103,4,FALSE),0))</f>
        <v>4466</v>
      </c>
      <c r="H46" s="62">
        <f t="shared" si="4"/>
        <v>1.2607378675858254E-2</v>
      </c>
      <c r="I46" s="75">
        <f>SUM($G$7:G46)</f>
        <v>60979</v>
      </c>
      <c r="J46" s="64">
        <f t="shared" si="5"/>
        <v>0.17214181466080619</v>
      </c>
      <c r="K46" s="31"/>
      <c r="L46" s="20" t="str">
        <f t="shared" si="7"/>
        <v/>
      </c>
      <c r="N46" s="1"/>
    </row>
    <row r="47" spans="1:14" ht="25" customHeight="1" x14ac:dyDescent="0.45">
      <c r="A47" s="5"/>
      <c r="B47" s="30"/>
      <c r="C47" s="73">
        <v>60</v>
      </c>
      <c r="D47" s="74">
        <f t="shared" si="6"/>
        <v>122</v>
      </c>
      <c r="E47" s="74">
        <f t="shared" si="0"/>
        <v>3</v>
      </c>
      <c r="F47" s="60">
        <f t="shared" si="3"/>
        <v>82.5</v>
      </c>
      <c r="G47" s="61">
        <f>IF(D47=D46,"",_xlfn.IFNA(VLOOKUP(D47,'인원 입력 기능(국수)'!$F$5:$I$103,4,FALSE),0))</f>
        <v>2005</v>
      </c>
      <c r="H47" s="62">
        <f t="shared" si="4"/>
        <v>5.660052450760367E-3</v>
      </c>
      <c r="I47" s="75">
        <f>SUM($G$7:G47)</f>
        <v>62984</v>
      </c>
      <c r="J47" s="64">
        <f t="shared" si="5"/>
        <v>0.17780186711156656</v>
      </c>
      <c r="K47" s="31"/>
      <c r="L47" s="20" t="str">
        <f t="shared" si="7"/>
        <v/>
      </c>
      <c r="N47" s="1"/>
    </row>
    <row r="48" spans="1:14" ht="25" customHeight="1" x14ac:dyDescent="0.45">
      <c r="A48" s="5"/>
      <c r="B48" s="30"/>
      <c r="C48" s="73">
        <v>59</v>
      </c>
      <c r="D48" s="257">
        <f t="shared" si="6"/>
        <v>121</v>
      </c>
      <c r="E48" s="257">
        <f t="shared" si="0"/>
        <v>3</v>
      </c>
      <c r="F48" s="247">
        <f t="shared" si="3"/>
        <v>81.260000000000005</v>
      </c>
      <c r="G48" s="249">
        <f>IF(D48=D47,"",_xlfn.IFNA(VLOOKUP(D48,'인원 입력 기능(국수)'!$F$5:$I$103,4,FALSE),0))</f>
        <v>6788</v>
      </c>
      <c r="H48" s="250">
        <f t="shared" si="4"/>
        <v>1.9162312237287465E-2</v>
      </c>
      <c r="I48" s="258">
        <f>SUM($G$7:G48)</f>
        <v>69772</v>
      </c>
      <c r="J48" s="254">
        <f t="shared" si="5"/>
        <v>0.19696417934885402</v>
      </c>
      <c r="K48" s="31"/>
      <c r="L48" s="20" t="str">
        <f t="shared" si="7"/>
        <v>경고</v>
      </c>
      <c r="N48" s="1"/>
    </row>
    <row r="49" spans="1:14" ht="25" customHeight="1" x14ac:dyDescent="0.45">
      <c r="A49" s="5"/>
      <c r="B49" s="30"/>
      <c r="C49" s="73">
        <v>58</v>
      </c>
      <c r="D49" s="256"/>
      <c r="E49" s="256"/>
      <c r="F49" s="246"/>
      <c r="G49" s="248"/>
      <c r="H49" s="251"/>
      <c r="I49" s="259"/>
      <c r="J49" s="255"/>
      <c r="K49" s="31"/>
      <c r="L49" s="20" t="str">
        <f t="shared" si="7"/>
        <v>경고</v>
      </c>
      <c r="N49" s="1"/>
    </row>
    <row r="50" spans="1:14" ht="25" customHeight="1" x14ac:dyDescent="0.45">
      <c r="A50" s="5"/>
      <c r="B50" s="30"/>
      <c r="C50" s="73">
        <v>57</v>
      </c>
      <c r="D50" s="74">
        <f t="shared" si="6"/>
        <v>120</v>
      </c>
      <c r="E50" s="74">
        <f t="shared" si="0"/>
        <v>3</v>
      </c>
      <c r="F50" s="60">
        <f t="shared" si="3"/>
        <v>79.819999999999993</v>
      </c>
      <c r="G50" s="61">
        <f>IF(D50=D49,"",_xlfn.IFNA(VLOOKUP(D50,'인원 입력 기능(국수)'!$F$5:$I$103,4,FALSE),0))</f>
        <v>3429</v>
      </c>
      <c r="H50" s="62">
        <f t="shared" si="4"/>
        <v>9.6799600267617435E-3</v>
      </c>
      <c r="I50" s="75">
        <f>SUM($G$7:G50)</f>
        <v>73201</v>
      </c>
      <c r="J50" s="64">
        <f t="shared" si="5"/>
        <v>0.20664413937561577</v>
      </c>
      <c r="K50" s="31"/>
      <c r="L50" s="20" t="str">
        <f t="shared" si="7"/>
        <v/>
      </c>
      <c r="N50" s="1"/>
    </row>
    <row r="51" spans="1:14" ht="25" customHeight="1" x14ac:dyDescent="0.45">
      <c r="A51" s="5"/>
      <c r="B51" s="30"/>
      <c r="C51" s="73">
        <v>56</v>
      </c>
      <c r="D51" s="74">
        <f t="shared" si="6"/>
        <v>119</v>
      </c>
      <c r="E51" s="74">
        <f t="shared" si="0"/>
        <v>3</v>
      </c>
      <c r="F51" s="60">
        <f t="shared" si="3"/>
        <v>79.040000000000006</v>
      </c>
      <c r="G51" s="61">
        <f>IF(D51=D50,"",_xlfn.IFNA(VLOOKUP(D51,'인원 입력 기능(국수)'!$F$5:$I$103,4,FALSE),0))</f>
        <v>2063</v>
      </c>
      <c r="H51" s="62">
        <f t="shared" si="4"/>
        <v>5.8237846413559287E-3</v>
      </c>
      <c r="I51" s="75">
        <f>SUM($G$7:G51)</f>
        <v>75264</v>
      </c>
      <c r="J51" s="64">
        <f t="shared" si="5"/>
        <v>0.21246792401697168</v>
      </c>
      <c r="K51" s="31"/>
      <c r="L51" s="20" t="str">
        <f t="shared" si="7"/>
        <v/>
      </c>
      <c r="N51" s="1"/>
    </row>
    <row r="52" spans="1:14" ht="25" customHeight="1" x14ac:dyDescent="0.45">
      <c r="A52" s="5"/>
      <c r="B52" s="30"/>
      <c r="C52" s="73">
        <v>55</v>
      </c>
      <c r="D52" s="74">
        <f t="shared" si="6"/>
        <v>118</v>
      </c>
      <c r="E52" s="74">
        <f t="shared" si="0"/>
        <v>3</v>
      </c>
      <c r="F52" s="60">
        <f t="shared" si="3"/>
        <v>78.27</v>
      </c>
      <c r="G52" s="61">
        <f>IF(D52=D51,"",_xlfn.IFNA(VLOOKUP(D52,'인원 입력 기능(국수)'!$F$5:$I$103,4,FALSE),0))</f>
        <v>3399</v>
      </c>
      <c r="H52" s="62">
        <f t="shared" si="4"/>
        <v>9.5952709626605914E-3</v>
      </c>
      <c r="I52" s="75">
        <f>SUM($G$7:G52)</f>
        <v>78663</v>
      </c>
      <c r="J52" s="64">
        <f t="shared" si="5"/>
        <v>0.22206319497963228</v>
      </c>
      <c r="K52" s="31"/>
      <c r="L52" s="20" t="str">
        <f t="shared" si="7"/>
        <v/>
      </c>
      <c r="N52" s="1"/>
    </row>
    <row r="53" spans="1:14" ht="25" customHeight="1" x14ac:dyDescent="0.45">
      <c r="A53" s="5"/>
      <c r="B53" s="30"/>
      <c r="C53" s="73">
        <v>54</v>
      </c>
      <c r="D53" s="74">
        <f t="shared" si="6"/>
        <v>117</v>
      </c>
      <c r="E53" s="74">
        <f t="shared" si="0"/>
        <v>3</v>
      </c>
      <c r="F53" s="60">
        <f t="shared" si="3"/>
        <v>77.239999999999995</v>
      </c>
      <c r="G53" s="61">
        <f>IF(D53=D52,"",_xlfn.IFNA(VLOOKUP(D53,'인원 입력 기능(국수)'!$F$5:$I$103,4,FALSE),0))</f>
        <v>3892</v>
      </c>
      <c r="H53" s="62">
        <f t="shared" si="4"/>
        <v>1.0986994582722866E-2</v>
      </c>
      <c r="I53" s="75">
        <f>SUM($G$7:G53)</f>
        <v>82555</v>
      </c>
      <c r="J53" s="64">
        <f t="shared" si="5"/>
        <v>0.23305018956235515</v>
      </c>
      <c r="K53" s="31"/>
      <c r="L53" s="20" t="str">
        <f t="shared" si="7"/>
        <v/>
      </c>
      <c r="N53" s="1"/>
    </row>
    <row r="54" spans="1:14" ht="25" customHeight="1" x14ac:dyDescent="0.45">
      <c r="A54" s="5"/>
      <c r="B54" s="30"/>
      <c r="C54" s="73">
        <v>53</v>
      </c>
      <c r="D54" s="74">
        <f t="shared" si="6"/>
        <v>116</v>
      </c>
      <c r="E54" s="74">
        <f t="shared" si="0"/>
        <v>4</v>
      </c>
      <c r="F54" s="60">
        <f t="shared" si="3"/>
        <v>76.34</v>
      </c>
      <c r="G54" s="61">
        <f>IF(D54=D53,"",_xlfn.IFNA(VLOOKUP(D54,'인원 입력 기능(국수)'!$F$5:$I$103,4,FALSE),0))</f>
        <v>2526</v>
      </c>
      <c r="H54" s="62">
        <f t="shared" si="4"/>
        <v>7.1308191973170508E-3</v>
      </c>
      <c r="I54" s="75">
        <f>SUM($G$7:G54)</f>
        <v>85081</v>
      </c>
      <c r="J54" s="64">
        <f t="shared" si="5"/>
        <v>0.24018100875967219</v>
      </c>
      <c r="K54" s="31"/>
      <c r="L54" s="20" t="str">
        <f t="shared" si="7"/>
        <v/>
      </c>
      <c r="N54" s="1"/>
    </row>
    <row r="55" spans="1:14" ht="25" customHeight="1" x14ac:dyDescent="0.45">
      <c r="A55" s="5"/>
      <c r="B55" s="30"/>
      <c r="C55" s="73">
        <v>52</v>
      </c>
      <c r="D55" s="74">
        <f t="shared" si="6"/>
        <v>115</v>
      </c>
      <c r="E55" s="74">
        <f t="shared" si="0"/>
        <v>4</v>
      </c>
      <c r="F55" s="60">
        <f t="shared" si="3"/>
        <v>75.59</v>
      </c>
      <c r="G55" s="61">
        <f>IF(D55=D54,"",_xlfn.IFNA(VLOOKUP(D55,'인원 입력 기능(국수)'!$F$5:$I$103,4,FALSE),0))</f>
        <v>2805</v>
      </c>
      <c r="H55" s="62">
        <f t="shared" si="4"/>
        <v>7.9184274934577699E-3</v>
      </c>
      <c r="I55" s="75">
        <f>SUM($G$7:G55)</f>
        <v>87886</v>
      </c>
      <c r="J55" s="64">
        <f t="shared" si="5"/>
        <v>0.24809943625312997</v>
      </c>
      <c r="K55" s="31"/>
      <c r="L55" s="20" t="str">
        <f t="shared" si="7"/>
        <v/>
      </c>
      <c r="N55" s="1"/>
    </row>
    <row r="56" spans="1:14" ht="25" customHeight="1" x14ac:dyDescent="0.45">
      <c r="A56" s="5"/>
      <c r="B56" s="30"/>
      <c r="C56" s="73">
        <v>51</v>
      </c>
      <c r="D56" s="74">
        <f t="shared" si="6"/>
        <v>114</v>
      </c>
      <c r="E56" s="74">
        <f t="shared" si="0"/>
        <v>4</v>
      </c>
      <c r="F56" s="60">
        <f t="shared" si="3"/>
        <v>74.69</v>
      </c>
      <c r="G56" s="61">
        <f>IF(D56=D55,"",_xlfn.IFNA(VLOOKUP(D56,'인원 입력 기능(국수)'!$F$5:$I$103,4,FALSE),0))</f>
        <v>3535</v>
      </c>
      <c r="H56" s="62">
        <f t="shared" si="4"/>
        <v>9.9791947199191506E-3</v>
      </c>
      <c r="I56" s="75">
        <f>SUM($G$7:G56)</f>
        <v>91421</v>
      </c>
      <c r="J56" s="64">
        <f t="shared" si="5"/>
        <v>0.25807863097304912</v>
      </c>
      <c r="K56" s="31"/>
      <c r="L56" s="20" t="str">
        <f t="shared" si="7"/>
        <v/>
      </c>
      <c r="N56" s="1"/>
    </row>
    <row r="57" spans="1:14" ht="25" customHeight="1" x14ac:dyDescent="0.45">
      <c r="A57" s="5"/>
      <c r="B57" s="30"/>
      <c r="C57" s="73">
        <v>50</v>
      </c>
      <c r="D57" s="74">
        <f t="shared" si="6"/>
        <v>113</v>
      </c>
      <c r="E57" s="74">
        <f t="shared" si="0"/>
        <v>4</v>
      </c>
      <c r="F57" s="60">
        <f t="shared" si="3"/>
        <v>73.739999999999995</v>
      </c>
      <c r="G57" s="61">
        <f>IF(D57=D56,"",_xlfn.IFNA(VLOOKUP(D57,'인원 입력 기능(국수)'!$F$5:$I$103,4,FALSE),0))</f>
        <v>3170</v>
      </c>
      <c r="H57" s="62">
        <f t="shared" si="4"/>
        <v>8.9488111066884594E-3</v>
      </c>
      <c r="I57" s="75">
        <f>SUM($G$7:G57)</f>
        <v>94591</v>
      </c>
      <c r="J57" s="64">
        <f t="shared" si="5"/>
        <v>0.26702744207973755</v>
      </c>
      <c r="K57" s="31"/>
      <c r="L57" s="20" t="str">
        <f t="shared" si="7"/>
        <v/>
      </c>
      <c r="N57" s="1"/>
    </row>
    <row r="58" spans="1:14" ht="25" customHeight="1" x14ac:dyDescent="0.45">
      <c r="A58" s="5"/>
      <c r="B58" s="30"/>
      <c r="C58" s="73">
        <v>49</v>
      </c>
      <c r="D58" s="74">
        <f t="shared" si="6"/>
        <v>112</v>
      </c>
      <c r="E58" s="74">
        <f t="shared" si="0"/>
        <v>4</v>
      </c>
      <c r="F58" s="60">
        <f t="shared" si="3"/>
        <v>72.900000000000006</v>
      </c>
      <c r="G58" s="61">
        <f>IF(D58=D57,"",_xlfn.IFNA(VLOOKUP(D58,'인원 입력 기능(국수)'!$F$5:$I$103,4,FALSE),0))</f>
        <v>2783</v>
      </c>
      <c r="H58" s="62">
        <f t="shared" si="4"/>
        <v>7.8563221797835914E-3</v>
      </c>
      <c r="I58" s="75">
        <f>SUM($G$7:G58)</f>
        <v>97374</v>
      </c>
      <c r="J58" s="64">
        <f t="shared" si="5"/>
        <v>0.27488376425952116</v>
      </c>
      <c r="K58" s="31"/>
      <c r="L58" s="20" t="str">
        <f t="shared" si="7"/>
        <v/>
      </c>
      <c r="N58" s="1"/>
    </row>
    <row r="59" spans="1:14" ht="25" customHeight="1" x14ac:dyDescent="0.45">
      <c r="A59" s="5"/>
      <c r="B59" s="30"/>
      <c r="C59" s="73">
        <v>48</v>
      </c>
      <c r="D59" s="74">
        <f t="shared" si="6"/>
        <v>111</v>
      </c>
      <c r="E59" s="74">
        <f t="shared" si="0"/>
        <v>4</v>
      </c>
      <c r="F59" s="60">
        <f t="shared" si="3"/>
        <v>72.05</v>
      </c>
      <c r="G59" s="61">
        <f>IF(D59=D58,"",_xlfn.IFNA(VLOOKUP(D59,'인원 입력 기능(국수)'!$F$5:$I$103,4,FALSE),0))</f>
        <v>3253</v>
      </c>
      <c r="H59" s="62">
        <f t="shared" si="4"/>
        <v>9.1831175173683159E-3</v>
      </c>
      <c r="I59" s="75">
        <f>SUM($G$7:G59)</f>
        <v>100627</v>
      </c>
      <c r="J59" s="64">
        <f t="shared" si="5"/>
        <v>0.28406688177688949</v>
      </c>
      <c r="K59" s="31"/>
      <c r="L59" s="20" t="str">
        <f t="shared" si="7"/>
        <v/>
      </c>
      <c r="N59" s="1"/>
    </row>
    <row r="60" spans="1:14" ht="25" customHeight="1" x14ac:dyDescent="0.45">
      <c r="A60" s="5"/>
      <c r="B60" s="30"/>
      <c r="C60" s="73">
        <v>47</v>
      </c>
      <c r="D60" s="74">
        <f t="shared" si="6"/>
        <v>110</v>
      </c>
      <c r="E60" s="74">
        <f t="shared" si="0"/>
        <v>4</v>
      </c>
      <c r="F60" s="60">
        <f t="shared" si="3"/>
        <v>71.099999999999994</v>
      </c>
      <c r="G60" s="61">
        <f>IF(D60=D59,"",_xlfn.IFNA(VLOOKUP(D60,'인원 입력 기능(국수)'!$F$5:$I$103,4,FALSE),0))</f>
        <v>3485</v>
      </c>
      <c r="H60" s="62">
        <f t="shared" si="4"/>
        <v>9.8380462797505626E-3</v>
      </c>
      <c r="I60" s="75">
        <f>SUM($G$7:G60)</f>
        <v>104112</v>
      </c>
      <c r="J60" s="64">
        <f t="shared" si="5"/>
        <v>0.29390492805664004</v>
      </c>
      <c r="K60" s="31"/>
      <c r="L60" s="20" t="str">
        <f t="shared" si="7"/>
        <v/>
      </c>
      <c r="N60" s="1"/>
    </row>
    <row r="61" spans="1:14" ht="25" customHeight="1" x14ac:dyDescent="0.45">
      <c r="A61" s="5"/>
      <c r="B61" s="30"/>
      <c r="C61" s="73">
        <v>46</v>
      </c>
      <c r="D61" s="257">
        <f t="shared" si="6"/>
        <v>109</v>
      </c>
      <c r="E61" s="257">
        <f t="shared" si="0"/>
        <v>4</v>
      </c>
      <c r="F61" s="247">
        <f t="shared" si="3"/>
        <v>69.69</v>
      </c>
      <c r="G61" s="249">
        <f>IF(D61=D60,"",_xlfn.IFNA(VLOOKUP(D61,'인원 입력 기능(국수)'!$F$5:$I$103,4,FALSE),0))</f>
        <v>6537</v>
      </c>
      <c r="H61" s="250">
        <f t="shared" si="4"/>
        <v>1.8453747067641156E-2</v>
      </c>
      <c r="I61" s="258">
        <f>SUM($G$7:G61)</f>
        <v>110649</v>
      </c>
      <c r="J61" s="254">
        <f t="shared" si="5"/>
        <v>0.31235867512428123</v>
      </c>
      <c r="K61" s="31"/>
      <c r="L61" s="20" t="str">
        <f t="shared" si="7"/>
        <v/>
      </c>
      <c r="N61" s="1"/>
    </row>
    <row r="62" spans="1:14" ht="25" customHeight="1" x14ac:dyDescent="0.45">
      <c r="A62" s="5"/>
      <c r="B62" s="30"/>
      <c r="C62" s="73">
        <v>45</v>
      </c>
      <c r="D62" s="256"/>
      <c r="E62" s="256"/>
      <c r="F62" s="246"/>
      <c r="G62" s="248"/>
      <c r="H62" s="251"/>
      <c r="I62" s="259"/>
      <c r="J62" s="255"/>
      <c r="K62" s="31"/>
      <c r="L62" s="20" t="str">
        <f t="shared" si="7"/>
        <v>경고</v>
      </c>
      <c r="N62" s="1"/>
    </row>
    <row r="63" spans="1:14" ht="25" customHeight="1" x14ac:dyDescent="0.45">
      <c r="A63" s="5"/>
      <c r="B63" s="30"/>
      <c r="C63" s="73">
        <v>44</v>
      </c>
      <c r="D63" s="74">
        <f t="shared" si="6"/>
        <v>108</v>
      </c>
      <c r="E63" s="74">
        <f t="shared" si="0"/>
        <v>4</v>
      </c>
      <c r="F63" s="60">
        <f t="shared" si="3"/>
        <v>68.22</v>
      </c>
      <c r="G63" s="61">
        <f>IF(D63=D62,"",_xlfn.IFNA(VLOOKUP(D63,'인원 입력 기능(국수)'!$F$5:$I$103,4,FALSE),0))</f>
        <v>3822</v>
      </c>
      <c r="H63" s="62">
        <f t="shared" si="4"/>
        <v>1.0789386766486844E-2</v>
      </c>
      <c r="I63" s="75">
        <f>SUM($G$7:G63)</f>
        <v>114471</v>
      </c>
      <c r="J63" s="64">
        <f t="shared" si="5"/>
        <v>0.32314806189076806</v>
      </c>
      <c r="K63" s="31"/>
      <c r="L63" s="20" t="str">
        <f t="shared" si="7"/>
        <v/>
      </c>
      <c r="N63" s="1"/>
    </row>
    <row r="64" spans="1:14" ht="25" customHeight="1" x14ac:dyDescent="0.45">
      <c r="A64" s="5"/>
      <c r="B64" s="30"/>
      <c r="C64" s="73">
        <v>43</v>
      </c>
      <c r="D64" s="74">
        <f t="shared" si="6"/>
        <v>107</v>
      </c>
      <c r="E64" s="74">
        <f t="shared" si="0"/>
        <v>4</v>
      </c>
      <c r="F64" s="60">
        <f t="shared" si="3"/>
        <v>67.13</v>
      </c>
      <c r="G64" s="61">
        <f>IF(D64=D63,"",_xlfn.IFNA(VLOOKUP(D64,'인원 입력 기능(국수)'!$F$5:$I$103,4,FALSE),0))</f>
        <v>3933</v>
      </c>
      <c r="H64" s="62">
        <f t="shared" si="4"/>
        <v>1.1102736303661109E-2</v>
      </c>
      <c r="I64" s="75">
        <f>SUM($G$7:G64)</f>
        <v>118404</v>
      </c>
      <c r="J64" s="64">
        <f t="shared" si="5"/>
        <v>0.33425079819442916</v>
      </c>
      <c r="K64" s="31"/>
      <c r="L64" s="20" t="str">
        <f t="shared" si="7"/>
        <v/>
      </c>
      <c r="N64" s="1"/>
    </row>
    <row r="65" spans="1:14" ht="25" customHeight="1" x14ac:dyDescent="0.45">
      <c r="A65" s="5"/>
      <c r="B65" s="30"/>
      <c r="C65" s="73">
        <v>42</v>
      </c>
      <c r="D65" s="74">
        <f t="shared" si="6"/>
        <v>106</v>
      </c>
      <c r="E65" s="74">
        <f t="shared" si="0"/>
        <v>4</v>
      </c>
      <c r="F65" s="60">
        <f t="shared" si="3"/>
        <v>66.150000000000006</v>
      </c>
      <c r="G65" s="61">
        <f>IF(D65=D64,"",_xlfn.IFNA(VLOOKUP(D65,'인원 입력 기능(국수)'!$F$5:$I$103,4,FALSE),0))</f>
        <v>3038</v>
      </c>
      <c r="H65" s="62">
        <f t="shared" si="4"/>
        <v>8.5761792246433887E-3</v>
      </c>
      <c r="I65" s="75">
        <f>SUM($G$7:G65)</f>
        <v>121442</v>
      </c>
      <c r="J65" s="64">
        <f t="shared" si="5"/>
        <v>0.34282697741907253</v>
      </c>
      <c r="K65" s="31"/>
      <c r="L65" s="20" t="str">
        <f t="shared" si="7"/>
        <v/>
      </c>
      <c r="N65" s="1"/>
    </row>
    <row r="66" spans="1:14" ht="25" customHeight="1" x14ac:dyDescent="0.45">
      <c r="A66" s="5"/>
      <c r="B66" s="30"/>
      <c r="C66" s="73">
        <v>41</v>
      </c>
      <c r="D66" s="74">
        <f t="shared" si="6"/>
        <v>105</v>
      </c>
      <c r="E66" s="74">
        <f t="shared" si="0"/>
        <v>4</v>
      </c>
      <c r="F66" s="60">
        <f t="shared" si="3"/>
        <v>65.14</v>
      </c>
      <c r="G66" s="61">
        <f>IF(D66=D65,"",_xlfn.IFNA(VLOOKUP(D66,'인원 입력 기능(국수)'!$F$5:$I$103,4,FALSE),0))</f>
        <v>4081</v>
      </c>
      <c r="H66" s="62">
        <f t="shared" si="4"/>
        <v>1.1520535686560128E-2</v>
      </c>
      <c r="I66" s="75">
        <f>SUM($G$7:G66)</f>
        <v>125523</v>
      </c>
      <c r="J66" s="64">
        <f t="shared" si="5"/>
        <v>0.35434751310563267</v>
      </c>
      <c r="K66" s="31"/>
      <c r="L66" s="20" t="str">
        <f t="shared" si="7"/>
        <v/>
      </c>
      <c r="N66" s="1"/>
    </row>
    <row r="67" spans="1:14" ht="25" customHeight="1" x14ac:dyDescent="0.45">
      <c r="A67" s="5"/>
      <c r="B67" s="30"/>
      <c r="C67" s="73">
        <v>40</v>
      </c>
      <c r="D67" s="74">
        <f t="shared" si="6"/>
        <v>104</v>
      </c>
      <c r="E67" s="74">
        <f t="shared" si="0"/>
        <v>4</v>
      </c>
      <c r="F67" s="60">
        <f t="shared" si="3"/>
        <v>63.94</v>
      </c>
      <c r="G67" s="61">
        <f>IF(D67=D66,"",_xlfn.IFNA(VLOOKUP(D67,'인원 입력 기능(국수)'!$F$5:$I$103,4,FALSE),0))</f>
        <v>4465</v>
      </c>
      <c r="H67" s="62">
        <f t="shared" si="4"/>
        <v>1.2604555707054882E-2</v>
      </c>
      <c r="I67" s="75">
        <f>SUM($G$7:G67)</f>
        <v>129988</v>
      </c>
      <c r="J67" s="64">
        <f t="shared" si="5"/>
        <v>0.36695206881268755</v>
      </c>
      <c r="K67" s="31"/>
      <c r="L67" s="20" t="str">
        <f t="shared" si="7"/>
        <v/>
      </c>
      <c r="N67" s="1"/>
    </row>
    <row r="68" spans="1:14" ht="25" customHeight="1" x14ac:dyDescent="0.45">
      <c r="A68" s="5"/>
      <c r="B68" s="30"/>
      <c r="C68" s="73">
        <v>39</v>
      </c>
      <c r="D68" s="74">
        <f t="shared" si="6"/>
        <v>103</v>
      </c>
      <c r="E68" s="74">
        <f t="shared" si="0"/>
        <v>4</v>
      </c>
      <c r="F68" s="60">
        <f t="shared" si="3"/>
        <v>62.83</v>
      </c>
      <c r="G68" s="61">
        <f>IF(D68=D67,"",_xlfn.IFNA(VLOOKUP(D68,'인원 입력 기능(국수)'!$F$5:$I$103,4,FALSE),0))</f>
        <v>3349</v>
      </c>
      <c r="H68" s="62">
        <f t="shared" si="4"/>
        <v>9.4541225224920034E-3</v>
      </c>
      <c r="I68" s="75">
        <f>SUM($G$7:G68)</f>
        <v>133337</v>
      </c>
      <c r="J68" s="64">
        <f t="shared" si="5"/>
        <v>0.37640619133517955</v>
      </c>
      <c r="K68" s="31"/>
      <c r="L68" s="20" t="str">
        <f t="shared" si="7"/>
        <v/>
      </c>
      <c r="N68" s="1"/>
    </row>
    <row r="69" spans="1:14" ht="25" customHeight="1" x14ac:dyDescent="0.45">
      <c r="A69" s="5"/>
      <c r="B69" s="30"/>
      <c r="C69" s="73">
        <v>38</v>
      </c>
      <c r="D69" s="74">
        <f t="shared" si="6"/>
        <v>102</v>
      </c>
      <c r="E69" s="74">
        <f t="shared" si="0"/>
        <v>4</v>
      </c>
      <c r="F69" s="60">
        <f t="shared" si="3"/>
        <v>61.73</v>
      </c>
      <c r="G69" s="61">
        <f>IF(D69=D68,"",_xlfn.IFNA(VLOOKUP(D69,'인원 입력 기능(국수)'!$F$5:$I$103,4,FALSE),0))</f>
        <v>4491</v>
      </c>
      <c r="H69" s="62">
        <f t="shared" si="4"/>
        <v>1.2677952895942547E-2</v>
      </c>
      <c r="I69" s="75">
        <f>SUM($G$7:G69)</f>
        <v>137828</v>
      </c>
      <c r="J69" s="64">
        <f t="shared" si="5"/>
        <v>0.38908414423112209</v>
      </c>
      <c r="K69" s="31"/>
      <c r="L69" s="20" t="str">
        <f t="shared" si="7"/>
        <v/>
      </c>
      <c r="N69" s="1"/>
    </row>
    <row r="70" spans="1:14" ht="25" customHeight="1" x14ac:dyDescent="0.45">
      <c r="A70" s="5"/>
      <c r="B70" s="30"/>
      <c r="C70" s="73">
        <v>37</v>
      </c>
      <c r="D70" s="74">
        <f t="shared" si="6"/>
        <v>101</v>
      </c>
      <c r="E70" s="74">
        <f t="shared" si="0"/>
        <v>4</v>
      </c>
      <c r="F70" s="60">
        <f t="shared" si="3"/>
        <v>60.34</v>
      </c>
      <c r="G70" s="61">
        <f>IF(D70=D69,"",_xlfn.IFNA(VLOOKUP(D70,'인원 입력 기능(국수)'!$F$5:$I$103,4,FALSE),0))</f>
        <v>5300</v>
      </c>
      <c r="H70" s="62">
        <f t="shared" si="4"/>
        <v>1.4961734657870296E-2</v>
      </c>
      <c r="I70" s="75">
        <f>SUM($G$7:G70)</f>
        <v>143128</v>
      </c>
      <c r="J70" s="64">
        <f t="shared" si="5"/>
        <v>0.4040458788889924</v>
      </c>
      <c r="K70" s="31"/>
      <c r="L70" s="20" t="str">
        <f t="shared" si="7"/>
        <v/>
      </c>
      <c r="N70" s="1"/>
    </row>
    <row r="71" spans="1:14" ht="25" customHeight="1" x14ac:dyDescent="0.45">
      <c r="A71" s="5"/>
      <c r="B71" s="30"/>
      <c r="C71" s="73">
        <v>36</v>
      </c>
      <c r="D71" s="74">
        <f t="shared" si="6"/>
        <v>100</v>
      </c>
      <c r="E71" s="74">
        <f t="shared" ref="E71:E105" si="8">IF(ROUND(D71,0)&gt;=$Q$7,1,IF(ROUND(D71,0)&gt;=$Q$8,2,IF(ROUND(D71,0)&gt;=$Q$9,3,IF(ROUND(D71,0)&gt;=$Q$10,4,IF(ROUND(D71,0)&gt;=$Q$11,5,IF(ROUND(D71,0)&gt;=$Q$12,6,IF(ROUND(D71,0)&gt;=$Q$13,7,IF(ROUND(D71,0)&gt;=$Q$14,8,9))))))))</f>
        <v>5</v>
      </c>
      <c r="F71" s="60">
        <f t="shared" si="3"/>
        <v>59.07</v>
      </c>
      <c r="G71" s="61">
        <f>IF(D71=D70,"",_xlfn.IFNA(VLOOKUP(D71,'인원 입력 기능(국수)'!$F$5:$I$103,4,FALSE),0))</f>
        <v>3729</v>
      </c>
      <c r="H71" s="62">
        <f t="shared" si="4"/>
        <v>1.052685066777327E-2</v>
      </c>
      <c r="I71" s="75">
        <f>SUM($G$7:G71)</f>
        <v>146857</v>
      </c>
      <c r="J71" s="64">
        <f t="shared" si="5"/>
        <v>0.41457272955676566</v>
      </c>
      <c r="K71" s="31"/>
      <c r="L71" s="20" t="str">
        <f t="shared" si="7"/>
        <v/>
      </c>
      <c r="N71" s="1"/>
    </row>
    <row r="72" spans="1:14" ht="25" customHeight="1" x14ac:dyDescent="0.45">
      <c r="A72" s="5"/>
      <c r="B72" s="30"/>
      <c r="C72" s="73">
        <v>35</v>
      </c>
      <c r="D72" s="74">
        <f t="shared" si="6"/>
        <v>99</v>
      </c>
      <c r="E72" s="74">
        <f t="shared" si="8"/>
        <v>5</v>
      </c>
      <c r="F72" s="60">
        <f t="shared" si="3"/>
        <v>57.85</v>
      </c>
      <c r="G72" s="61">
        <f>IF(D72=D71,"",_xlfn.IFNA(VLOOKUP(D72,'인원 입력 기능(국수)'!$F$5:$I$103,4,FALSE),0))</f>
        <v>4878</v>
      </c>
      <c r="H72" s="62">
        <f t="shared" si="4"/>
        <v>1.3770441822847417E-2</v>
      </c>
      <c r="I72" s="75">
        <f>SUM($G$7:G72)</f>
        <v>151735</v>
      </c>
      <c r="J72" s="64">
        <f t="shared" si="5"/>
        <v>0.42834317137961309</v>
      </c>
      <c r="K72" s="31"/>
      <c r="L72" s="20" t="str">
        <f t="shared" si="7"/>
        <v/>
      </c>
      <c r="N72" s="1"/>
    </row>
    <row r="73" spans="1:14" ht="25" customHeight="1" x14ac:dyDescent="0.45">
      <c r="A73" s="5"/>
      <c r="B73" s="30"/>
      <c r="C73" s="73">
        <v>34</v>
      </c>
      <c r="D73" s="74">
        <f t="shared" ref="D73:D104" si="9">ROUND(20*(C73-$H$3)/$H$4+100,0)</f>
        <v>98</v>
      </c>
      <c r="E73" s="74">
        <f t="shared" si="8"/>
        <v>5</v>
      </c>
      <c r="F73" s="60">
        <f t="shared" si="3"/>
        <v>56.32</v>
      </c>
      <c r="G73" s="61">
        <f>IF(D73=D72,"",_xlfn.IFNA(VLOOKUP(D73,'인원 입력 기능(국수)'!$F$5:$I$103,4,FALSE),0))</f>
        <v>6001</v>
      </c>
      <c r="H73" s="62">
        <f t="shared" si="4"/>
        <v>1.6940635789033896E-2</v>
      </c>
      <c r="I73" s="75">
        <f>SUM($G$7:G73)</f>
        <v>157736</v>
      </c>
      <c r="J73" s="64">
        <f t="shared" si="5"/>
        <v>0.44528380716864696</v>
      </c>
      <c r="K73" s="31"/>
      <c r="L73" s="20" t="str">
        <f t="shared" ref="L73:L105" si="10">IF(ABS((C73-$H$3)/$H$4*20+100-D73)&gt;0.49, "경고", "")</f>
        <v/>
      </c>
      <c r="N73" s="1"/>
    </row>
    <row r="74" spans="1:14" ht="25" customHeight="1" x14ac:dyDescent="0.45">
      <c r="A74" s="5"/>
      <c r="B74" s="30"/>
      <c r="C74" s="73">
        <v>33</v>
      </c>
      <c r="D74" s="74">
        <f t="shared" si="9"/>
        <v>97</v>
      </c>
      <c r="E74" s="74">
        <f t="shared" si="8"/>
        <v>5</v>
      </c>
      <c r="F74" s="60">
        <f t="shared" ref="F74:F105" si="11">IF(I73=0,ROUND(100*(1-(I72+I74)/2/$J$3),2),ROUND(100*(1-(I73+I74)/2/$J$3),2))</f>
        <v>54.87</v>
      </c>
      <c r="G74" s="61">
        <f>IF(D74=D73,"",_xlfn.IFNA(VLOOKUP(D74,'인원 입력 기능(국수)'!$F$5:$I$103,4,FALSE),0))</f>
        <v>4255</v>
      </c>
      <c r="H74" s="62">
        <f t="shared" ref="H74:H105" si="12">G74/$J$3</f>
        <v>1.2011732258346813E-2</v>
      </c>
      <c r="I74" s="75">
        <f>SUM($G$7:G74)</f>
        <v>161991</v>
      </c>
      <c r="J74" s="64">
        <f t="shared" ref="J74:J105" si="13">I74/$J$3</f>
        <v>0.4572955394269938</v>
      </c>
      <c r="K74" s="31"/>
      <c r="L74" s="20" t="str">
        <f t="shared" si="10"/>
        <v/>
      </c>
      <c r="N74" s="1"/>
    </row>
    <row r="75" spans="1:14" ht="25" customHeight="1" x14ac:dyDescent="0.45">
      <c r="A75" s="5"/>
      <c r="B75" s="30"/>
      <c r="C75" s="73">
        <v>32</v>
      </c>
      <c r="D75" s="257">
        <f t="shared" si="9"/>
        <v>96</v>
      </c>
      <c r="E75" s="257">
        <f t="shared" si="8"/>
        <v>5</v>
      </c>
      <c r="F75" s="247">
        <f t="shared" si="11"/>
        <v>52.56</v>
      </c>
      <c r="G75" s="249">
        <f>IF(D75=D74,"",_xlfn.IFNA(VLOOKUP(D75,'인원 입력 기능(국수)'!$F$5:$I$103,4,FALSE),0))</f>
        <v>12085</v>
      </c>
      <c r="H75" s="250">
        <f t="shared" si="12"/>
        <v>3.4115577988747647E-2</v>
      </c>
      <c r="I75" s="258">
        <f>SUM($G$7:G75)</f>
        <v>174076</v>
      </c>
      <c r="J75" s="254">
        <f t="shared" si="13"/>
        <v>0.49141111741574145</v>
      </c>
      <c r="K75" s="31"/>
      <c r="L75" s="20" t="str">
        <f t="shared" si="10"/>
        <v/>
      </c>
      <c r="N75" s="1"/>
    </row>
    <row r="76" spans="1:14" ht="25" customHeight="1" x14ac:dyDescent="0.45">
      <c r="A76" s="5"/>
      <c r="B76" s="30"/>
      <c r="C76" s="73">
        <v>31</v>
      </c>
      <c r="D76" s="256"/>
      <c r="E76" s="256"/>
      <c r="F76" s="246"/>
      <c r="G76" s="248"/>
      <c r="H76" s="251"/>
      <c r="I76" s="259"/>
      <c r="J76" s="255"/>
      <c r="K76" s="31"/>
      <c r="L76" s="20" t="str">
        <f t="shared" si="10"/>
        <v>경고</v>
      </c>
      <c r="N76" s="1"/>
    </row>
    <row r="77" spans="1:14" ht="25" customHeight="1" x14ac:dyDescent="0.45">
      <c r="A77" s="5"/>
      <c r="B77" s="30"/>
      <c r="C77" s="73">
        <v>30</v>
      </c>
      <c r="D77" s="74">
        <f t="shared" si="9"/>
        <v>95</v>
      </c>
      <c r="E77" s="74">
        <f t="shared" si="8"/>
        <v>5</v>
      </c>
      <c r="F77" s="60">
        <f t="shared" si="11"/>
        <v>50.14</v>
      </c>
      <c r="G77" s="61">
        <f>IF(D77=D76,"",_xlfn.IFNA(VLOOKUP(D77,'인원 입력 기능(국수)'!$F$5:$I$103,4,FALSE),0))</f>
        <v>5096</v>
      </c>
      <c r="H77" s="62">
        <f t="shared" si="12"/>
        <v>1.4385849021982458E-2</v>
      </c>
      <c r="I77" s="75">
        <f>SUM($G$7:G77)</f>
        <v>179172</v>
      </c>
      <c r="J77" s="64">
        <f t="shared" si="13"/>
        <v>0.50579696643772387</v>
      </c>
      <c r="K77" s="31"/>
      <c r="L77" s="20" t="str">
        <f t="shared" si="10"/>
        <v/>
      </c>
      <c r="N77" s="1"/>
    </row>
    <row r="78" spans="1:14" ht="25" customHeight="1" x14ac:dyDescent="0.45">
      <c r="A78" s="5"/>
      <c r="B78" s="30"/>
      <c r="C78" s="73">
        <v>29</v>
      </c>
      <c r="D78" s="74">
        <f t="shared" si="9"/>
        <v>94</v>
      </c>
      <c r="E78" s="74">
        <f t="shared" si="8"/>
        <v>5</v>
      </c>
      <c r="F78" s="60">
        <f t="shared" si="11"/>
        <v>48.57</v>
      </c>
      <c r="G78" s="61">
        <f>IF(D78=D77,"",_xlfn.IFNA(VLOOKUP(D78,'인원 입력 기능(국수)'!$F$5:$I$103,4,FALSE),0))</f>
        <v>6040</v>
      </c>
      <c r="H78" s="62">
        <f t="shared" si="12"/>
        <v>1.7050731572365394E-2</v>
      </c>
      <c r="I78" s="75">
        <f>SUM($G$7:G78)</f>
        <v>185212</v>
      </c>
      <c r="J78" s="64">
        <f t="shared" si="13"/>
        <v>0.52284769801008935</v>
      </c>
      <c r="K78" s="31"/>
      <c r="L78" s="20" t="str">
        <f t="shared" si="10"/>
        <v/>
      </c>
      <c r="N78" s="1"/>
    </row>
    <row r="79" spans="1:14" ht="25" customHeight="1" x14ac:dyDescent="0.45">
      <c r="A79" s="5"/>
      <c r="B79" s="30"/>
      <c r="C79" s="73">
        <v>28</v>
      </c>
      <c r="D79" s="74">
        <f t="shared" si="9"/>
        <v>93</v>
      </c>
      <c r="E79" s="74">
        <f t="shared" si="8"/>
        <v>5</v>
      </c>
      <c r="F79" s="60">
        <f t="shared" si="11"/>
        <v>46.74</v>
      </c>
      <c r="G79" s="61">
        <f>IF(D79=D78,"",_xlfn.IFNA(VLOOKUP(D79,'인원 입력 기능(국수)'!$F$5:$I$103,4,FALSE),0))</f>
        <v>6890</v>
      </c>
      <c r="H79" s="62">
        <f t="shared" si="12"/>
        <v>1.9450255055231385E-2</v>
      </c>
      <c r="I79" s="75">
        <f>SUM($G$7:G79)</f>
        <v>192102</v>
      </c>
      <c r="J79" s="64">
        <f t="shared" si="13"/>
        <v>0.54229795306532069</v>
      </c>
      <c r="K79" s="31"/>
      <c r="L79" s="20" t="str">
        <f t="shared" si="10"/>
        <v/>
      </c>
      <c r="N79" s="1"/>
    </row>
    <row r="80" spans="1:14" ht="25" customHeight="1" x14ac:dyDescent="0.45">
      <c r="A80" s="5"/>
      <c r="B80" s="30"/>
      <c r="C80" s="73">
        <v>27</v>
      </c>
      <c r="D80" s="74">
        <f t="shared" si="9"/>
        <v>92</v>
      </c>
      <c r="E80" s="74">
        <f t="shared" si="8"/>
        <v>5</v>
      </c>
      <c r="F80" s="60">
        <f t="shared" si="11"/>
        <v>44.88</v>
      </c>
      <c r="G80" s="61">
        <f>IF(D80=D79,"",_xlfn.IFNA(VLOOKUP(D80,'인원 입력 기능(국수)'!$F$5:$I$103,4,FALSE),0))</f>
        <v>6333</v>
      </c>
      <c r="H80" s="62">
        <f t="shared" si="12"/>
        <v>1.7877861431753319E-2</v>
      </c>
      <c r="I80" s="75">
        <f>SUM($G$7:G80)</f>
        <v>198435</v>
      </c>
      <c r="J80" s="64">
        <f t="shared" si="13"/>
        <v>0.56017581449707399</v>
      </c>
      <c r="K80" s="31"/>
      <c r="L80" s="20" t="str">
        <f t="shared" si="10"/>
        <v/>
      </c>
      <c r="N80" s="1"/>
    </row>
    <row r="81" spans="1:14" ht="25" customHeight="1" x14ac:dyDescent="0.45">
      <c r="A81" s="5"/>
      <c r="B81" s="30"/>
      <c r="C81" s="73">
        <v>26</v>
      </c>
      <c r="D81" s="74">
        <f t="shared" si="9"/>
        <v>91</v>
      </c>
      <c r="E81" s="74">
        <f t="shared" si="8"/>
        <v>5</v>
      </c>
      <c r="F81" s="60">
        <f t="shared" si="11"/>
        <v>43.07</v>
      </c>
      <c r="G81" s="61">
        <f>IF(D81=D80,"",_xlfn.IFNA(VLOOKUP(D81,'인원 입력 기능(국수)'!$F$5:$I$103,4,FALSE),0))</f>
        <v>6443</v>
      </c>
      <c r="H81" s="62">
        <f t="shared" si="12"/>
        <v>1.8188388000124209E-2</v>
      </c>
      <c r="I81" s="75">
        <f>SUM($G$7:G81)</f>
        <v>204878</v>
      </c>
      <c r="J81" s="64">
        <f t="shared" si="13"/>
        <v>0.57836420249719822</v>
      </c>
      <c r="K81" s="31"/>
      <c r="L81" s="20" t="str">
        <f t="shared" si="10"/>
        <v/>
      </c>
      <c r="N81" s="1"/>
    </row>
    <row r="82" spans="1:14" ht="25" customHeight="1" x14ac:dyDescent="0.45">
      <c r="A82" s="5"/>
      <c r="B82" s="30"/>
      <c r="C82" s="73">
        <v>25</v>
      </c>
      <c r="D82" s="74">
        <f t="shared" si="9"/>
        <v>90</v>
      </c>
      <c r="E82" s="74">
        <f t="shared" si="8"/>
        <v>5</v>
      </c>
      <c r="F82" s="60">
        <f t="shared" si="11"/>
        <v>41.1</v>
      </c>
      <c r="G82" s="61">
        <f>IF(D82=D81,"",_xlfn.IFNA(VLOOKUP(D82,'인원 입력 기능(국수)'!$F$5:$I$103,4,FALSE),0))</f>
        <v>7563</v>
      </c>
      <c r="H82" s="62">
        <f t="shared" si="12"/>
        <v>2.1350113059900575E-2</v>
      </c>
      <c r="I82" s="75">
        <f>SUM($G$7:G82)</f>
        <v>212441</v>
      </c>
      <c r="J82" s="64">
        <f t="shared" si="13"/>
        <v>0.59971431555709875</v>
      </c>
      <c r="K82" s="31"/>
      <c r="L82" s="20" t="str">
        <f t="shared" si="10"/>
        <v/>
      </c>
      <c r="N82" s="1"/>
    </row>
    <row r="83" spans="1:14" ht="25" customHeight="1" x14ac:dyDescent="0.45">
      <c r="A83" s="5"/>
      <c r="B83" s="30"/>
      <c r="C83" s="73">
        <v>24</v>
      </c>
      <c r="D83" s="74">
        <f t="shared" si="9"/>
        <v>89</v>
      </c>
      <c r="E83" s="74">
        <f t="shared" si="8"/>
        <v>5</v>
      </c>
      <c r="F83" s="60">
        <f t="shared" si="11"/>
        <v>39.01</v>
      </c>
      <c r="G83" s="61">
        <f>IF(D83=D82,"",_xlfn.IFNA(VLOOKUP(D83,'인원 입력 기능(국수)'!$F$5:$I$103,4,FALSE),0))</f>
        <v>7212</v>
      </c>
      <c r="H83" s="62">
        <f t="shared" si="12"/>
        <v>2.035925100991709E-2</v>
      </c>
      <c r="I83" s="75">
        <f>SUM($G$7:G83)</f>
        <v>219653</v>
      </c>
      <c r="J83" s="64">
        <f t="shared" si="13"/>
        <v>0.62007356656701584</v>
      </c>
      <c r="K83" s="31"/>
      <c r="L83" s="20" t="str">
        <f t="shared" si="10"/>
        <v/>
      </c>
      <c r="N83" s="1"/>
    </row>
    <row r="84" spans="1:14" ht="25" customHeight="1" x14ac:dyDescent="0.45">
      <c r="A84" s="5"/>
      <c r="B84" s="30"/>
      <c r="C84" s="73">
        <v>23</v>
      </c>
      <c r="D84" s="74">
        <f t="shared" si="9"/>
        <v>88</v>
      </c>
      <c r="E84" s="74">
        <f t="shared" si="8"/>
        <v>6</v>
      </c>
      <c r="F84" s="60">
        <f t="shared" si="11"/>
        <v>36.97</v>
      </c>
      <c r="G84" s="61">
        <f>IF(D84=D83,"",_xlfn.IFNA(VLOOKUP(D84,'인원 입력 기능(국수)'!$F$5:$I$103,4,FALSE),0))</f>
        <v>7260</v>
      </c>
      <c r="H84" s="62">
        <f t="shared" si="12"/>
        <v>2.0494753512478935E-2</v>
      </c>
      <c r="I84" s="75">
        <f>SUM($G$7:G84)</f>
        <v>226913</v>
      </c>
      <c r="J84" s="64">
        <f t="shared" si="13"/>
        <v>0.64056832007949482</v>
      </c>
      <c r="K84" s="31"/>
      <c r="L84" s="20" t="str">
        <f t="shared" si="10"/>
        <v/>
      </c>
      <c r="N84" s="1"/>
    </row>
    <row r="85" spans="1:14" ht="25" customHeight="1" x14ac:dyDescent="0.45">
      <c r="A85" s="5"/>
      <c r="B85" s="30"/>
      <c r="C85" s="73">
        <v>22</v>
      </c>
      <c r="D85" s="74">
        <f t="shared" si="9"/>
        <v>87</v>
      </c>
      <c r="E85" s="74">
        <f t="shared" si="8"/>
        <v>6</v>
      </c>
      <c r="F85" s="60">
        <f t="shared" si="11"/>
        <v>34.69</v>
      </c>
      <c r="G85" s="61">
        <f>IF(D85=D84,"",_xlfn.IFNA(VLOOKUP(D85,'인원 입력 기능(국수)'!$F$5:$I$103,4,FALSE),0))</f>
        <v>8863</v>
      </c>
      <c r="H85" s="62">
        <f t="shared" si="12"/>
        <v>2.5019972504283856E-2</v>
      </c>
      <c r="I85" s="75">
        <f>SUM($G$7:G85)</f>
        <v>235776</v>
      </c>
      <c r="J85" s="64">
        <f t="shared" si="13"/>
        <v>0.66558829258377861</v>
      </c>
      <c r="K85" s="31"/>
      <c r="L85" s="20" t="str">
        <f t="shared" si="10"/>
        <v/>
      </c>
      <c r="N85" s="1"/>
    </row>
    <row r="86" spans="1:14" ht="25" customHeight="1" x14ac:dyDescent="0.45">
      <c r="A86" s="5"/>
      <c r="B86" s="30"/>
      <c r="C86" s="73">
        <v>21</v>
      </c>
      <c r="D86" s="74">
        <f t="shared" si="9"/>
        <v>86</v>
      </c>
      <c r="E86" s="74">
        <f t="shared" si="8"/>
        <v>6</v>
      </c>
      <c r="F86" s="60">
        <f t="shared" si="11"/>
        <v>32.299999999999997</v>
      </c>
      <c r="G86" s="61">
        <f>IF(D86=D85,"",_xlfn.IFNA(VLOOKUP(D86,'인원 입력 기능(국수)'!$F$5:$I$103,4,FALSE),0))</f>
        <v>8066</v>
      </c>
      <c r="H86" s="62">
        <f t="shared" si="12"/>
        <v>2.2770066367996566E-2</v>
      </c>
      <c r="I86" s="75">
        <f>SUM($G$7:G86)</f>
        <v>243842</v>
      </c>
      <c r="J86" s="64">
        <f t="shared" si="13"/>
        <v>0.68835835895177522</v>
      </c>
      <c r="K86" s="31"/>
      <c r="L86" s="20" t="str">
        <f t="shared" si="10"/>
        <v/>
      </c>
      <c r="N86" s="1"/>
    </row>
    <row r="87" spans="1:14" ht="25" customHeight="1" x14ac:dyDescent="0.45">
      <c r="A87" s="5"/>
      <c r="B87" s="30"/>
      <c r="C87" s="73">
        <v>20</v>
      </c>
      <c r="D87" s="74">
        <f t="shared" si="9"/>
        <v>85</v>
      </c>
      <c r="E87" s="74">
        <f t="shared" si="8"/>
        <v>6</v>
      </c>
      <c r="F87" s="60">
        <f t="shared" si="11"/>
        <v>30.17</v>
      </c>
      <c r="G87" s="61">
        <f>IF(D87=D86,"",_xlfn.IFNA(VLOOKUP(D87,'인원 입력 기능(국수)'!$F$5:$I$103,4,FALSE),0))</f>
        <v>7066</v>
      </c>
      <c r="H87" s="62">
        <f t="shared" si="12"/>
        <v>1.9947097564624813E-2</v>
      </c>
      <c r="I87" s="75">
        <f>SUM($G$7:G87)</f>
        <v>250908</v>
      </c>
      <c r="J87" s="64">
        <f t="shared" si="13"/>
        <v>0.70830545651640009</v>
      </c>
      <c r="K87" s="31"/>
      <c r="L87" s="20" t="str">
        <f t="shared" si="10"/>
        <v/>
      </c>
      <c r="N87" s="1"/>
    </row>
    <row r="88" spans="1:14" ht="25" customHeight="1" x14ac:dyDescent="0.45">
      <c r="A88" s="5"/>
      <c r="B88" s="30"/>
      <c r="C88" s="73">
        <v>19</v>
      </c>
      <c r="D88" s="74">
        <f t="shared" si="9"/>
        <v>84</v>
      </c>
      <c r="E88" s="74">
        <f t="shared" si="8"/>
        <v>6</v>
      </c>
      <c r="F88" s="60">
        <f t="shared" si="11"/>
        <v>26.04</v>
      </c>
      <c r="G88" s="61">
        <f>IF(D88=D87,"",_xlfn.IFNA(VLOOKUP(D88,'인원 입력 기능(국수)'!$F$5:$I$103,4,FALSE),0))</f>
        <v>22148</v>
      </c>
      <c r="H88" s="62">
        <f t="shared" si="12"/>
        <v>6.2523113057077612E-2</v>
      </c>
      <c r="I88" s="75">
        <f>SUM($G$7:G88)</f>
        <v>273056</v>
      </c>
      <c r="J88" s="64">
        <f t="shared" si="13"/>
        <v>0.77082856957347767</v>
      </c>
      <c r="K88" s="31"/>
      <c r="L88" s="20" t="str">
        <f t="shared" si="10"/>
        <v/>
      </c>
      <c r="N88" s="1"/>
    </row>
    <row r="89" spans="1:14" ht="25" customHeight="1" x14ac:dyDescent="0.45">
      <c r="A89" s="5"/>
      <c r="B89" s="30"/>
      <c r="C89" s="73">
        <v>18</v>
      </c>
      <c r="D89" s="257">
        <f t="shared" si="9"/>
        <v>83</v>
      </c>
      <c r="E89" s="257">
        <f t="shared" si="8"/>
        <v>7</v>
      </c>
      <c r="F89" s="247">
        <f t="shared" si="11"/>
        <v>20.84</v>
      </c>
      <c r="G89" s="249">
        <f>IF(D89=D88,"",_xlfn.IFNA(VLOOKUP(D89,'인원 입력 기능(국수)'!$F$5:$I$103,4,FALSE),0))</f>
        <v>14748</v>
      </c>
      <c r="H89" s="250">
        <f t="shared" si="12"/>
        <v>4.1633143912126629E-2</v>
      </c>
      <c r="I89" s="258">
        <f>SUM($G$7:G89)</f>
        <v>287804</v>
      </c>
      <c r="J89" s="254">
        <f t="shared" si="13"/>
        <v>0.81246171348560425</v>
      </c>
      <c r="K89" s="31"/>
      <c r="L89" s="20" t="str">
        <f t="shared" si="10"/>
        <v/>
      </c>
      <c r="N89" s="1"/>
    </row>
    <row r="90" spans="1:14" ht="25" customHeight="1" x14ac:dyDescent="0.45">
      <c r="A90" s="5"/>
      <c r="B90" s="30"/>
      <c r="C90" s="73">
        <v>17</v>
      </c>
      <c r="D90" s="256"/>
      <c r="E90" s="256"/>
      <c r="F90" s="246"/>
      <c r="G90" s="248"/>
      <c r="H90" s="251"/>
      <c r="I90" s="259"/>
      <c r="J90" s="255"/>
      <c r="K90" s="31"/>
      <c r="L90" s="20" t="str">
        <f t="shared" si="10"/>
        <v>경고</v>
      </c>
      <c r="N90" s="1"/>
    </row>
    <row r="91" spans="1:14" ht="25" customHeight="1" x14ac:dyDescent="0.45">
      <c r="A91" s="5"/>
      <c r="B91" s="30"/>
      <c r="C91" s="73">
        <v>16</v>
      </c>
      <c r="D91" s="74">
        <f t="shared" si="9"/>
        <v>82</v>
      </c>
      <c r="E91" s="74">
        <f t="shared" si="8"/>
        <v>7</v>
      </c>
      <c r="F91" s="60">
        <f t="shared" si="11"/>
        <v>17.45</v>
      </c>
      <c r="G91" s="61">
        <f>IF(D91=D90,"",_xlfn.IFNA(VLOOKUP(D91,'인원 입력 기능(국수)'!$F$5:$I$103,4,FALSE),0))</f>
        <v>9242</v>
      </c>
      <c r="H91" s="62">
        <f t="shared" si="12"/>
        <v>2.608987768076175E-2</v>
      </c>
      <c r="I91" s="75">
        <f>SUM($G$7:G91)</f>
        <v>297046</v>
      </c>
      <c r="J91" s="64">
        <f t="shared" si="13"/>
        <v>0.83855159116636602</v>
      </c>
      <c r="K91" s="31"/>
      <c r="L91" s="20" t="str">
        <f t="shared" si="10"/>
        <v/>
      </c>
      <c r="N91" s="1"/>
    </row>
    <row r="92" spans="1:14" ht="25" customHeight="1" x14ac:dyDescent="0.45">
      <c r="A92" s="5"/>
      <c r="B92" s="30"/>
      <c r="C92" s="73">
        <v>15</v>
      </c>
      <c r="D92" s="74">
        <f t="shared" si="9"/>
        <v>81</v>
      </c>
      <c r="E92" s="74">
        <f t="shared" si="8"/>
        <v>7</v>
      </c>
      <c r="F92" s="60">
        <f t="shared" si="11"/>
        <v>14.04</v>
      </c>
      <c r="G92" s="61">
        <f>IF(D92=D91,"",_xlfn.IFNA(VLOOKUP(D92,'인원 입력 기능(국수)'!$F$5:$I$103,4,FALSE),0))</f>
        <v>14888</v>
      </c>
      <c r="H92" s="62">
        <f t="shared" si="12"/>
        <v>4.2028359544598673E-2</v>
      </c>
      <c r="I92" s="75">
        <f>SUM($G$7:G92)</f>
        <v>311934</v>
      </c>
      <c r="J92" s="64">
        <f t="shared" si="13"/>
        <v>0.88057995071096473</v>
      </c>
      <c r="K92" s="31"/>
      <c r="L92" s="20" t="str">
        <f t="shared" si="10"/>
        <v/>
      </c>
      <c r="N92" s="1"/>
    </row>
    <row r="93" spans="1:14" ht="25" customHeight="1" x14ac:dyDescent="0.45">
      <c r="A93" s="5"/>
      <c r="B93" s="30"/>
      <c r="C93" s="73">
        <v>14</v>
      </c>
      <c r="D93" s="74">
        <f t="shared" si="9"/>
        <v>80</v>
      </c>
      <c r="E93" s="74">
        <f t="shared" si="8"/>
        <v>7</v>
      </c>
      <c r="F93" s="60">
        <f t="shared" si="11"/>
        <v>11.21</v>
      </c>
      <c r="G93" s="61">
        <f>IF(D93=D92,"",_xlfn.IFNA(VLOOKUP(D93,'인원 입력 기능(국수)'!$F$5:$I$103,4,FALSE),0))</f>
        <v>5206</v>
      </c>
      <c r="H93" s="62">
        <f t="shared" si="12"/>
        <v>1.4696375590353351E-2</v>
      </c>
      <c r="I93" s="75">
        <f>SUM($G$7:G93)</f>
        <v>317140</v>
      </c>
      <c r="J93" s="64">
        <f t="shared" si="13"/>
        <v>0.89527632630131804</v>
      </c>
      <c r="K93" s="31"/>
      <c r="L93" s="20" t="str">
        <f t="shared" si="10"/>
        <v/>
      </c>
      <c r="N93" s="1"/>
    </row>
    <row r="94" spans="1:14" ht="25" customHeight="1" x14ac:dyDescent="0.45">
      <c r="A94" s="5"/>
      <c r="B94" s="30"/>
      <c r="C94" s="73">
        <v>13</v>
      </c>
      <c r="D94" s="74">
        <f t="shared" si="9"/>
        <v>79</v>
      </c>
      <c r="E94" s="74">
        <f t="shared" si="8"/>
        <v>8</v>
      </c>
      <c r="F94" s="60">
        <f t="shared" si="11"/>
        <v>9.52</v>
      </c>
      <c r="G94" s="61">
        <f>IF(D94=D93,"",_xlfn.IFNA(VLOOKUP(D94,'인원 입력 기능(국수)'!$F$5:$I$103,4,FALSE),0))</f>
        <v>6751</v>
      </c>
      <c r="H94" s="62">
        <f t="shared" si="12"/>
        <v>1.9057862391562711E-2</v>
      </c>
      <c r="I94" s="75">
        <f>SUM($G$7:G94)</f>
        <v>323891</v>
      </c>
      <c r="J94" s="64">
        <f t="shared" si="13"/>
        <v>0.91433418869288074</v>
      </c>
      <c r="K94" s="31"/>
      <c r="L94" s="20" t="str">
        <f t="shared" si="10"/>
        <v/>
      </c>
      <c r="N94" s="1"/>
    </row>
    <row r="95" spans="1:14" ht="25" customHeight="1" x14ac:dyDescent="0.45">
      <c r="A95" s="5"/>
      <c r="B95" s="30"/>
      <c r="C95" s="73">
        <v>12</v>
      </c>
      <c r="D95" s="74">
        <f t="shared" si="9"/>
        <v>78</v>
      </c>
      <c r="E95" s="74">
        <f t="shared" si="8"/>
        <v>8</v>
      </c>
      <c r="F95" s="60">
        <f t="shared" si="11"/>
        <v>8</v>
      </c>
      <c r="G95" s="61">
        <f>IF(D95=D94,"",_xlfn.IFNA(VLOOKUP(D95,'인원 입력 기능(국수)'!$F$5:$I$103,4,FALSE),0))</f>
        <v>4002</v>
      </c>
      <c r="H95" s="62">
        <f t="shared" si="12"/>
        <v>1.1297521151093759E-2</v>
      </c>
      <c r="I95" s="75">
        <f>SUM($G$7:G95)</f>
        <v>327893</v>
      </c>
      <c r="J95" s="64">
        <f t="shared" si="13"/>
        <v>0.92563170984397447</v>
      </c>
      <c r="K95" s="31"/>
      <c r="L95" s="20" t="str">
        <f t="shared" si="10"/>
        <v/>
      </c>
      <c r="N95" s="1"/>
    </row>
    <row r="96" spans="1:14" ht="25" customHeight="1" x14ac:dyDescent="0.45">
      <c r="A96" s="5"/>
      <c r="B96" s="30"/>
      <c r="C96" s="73">
        <v>11</v>
      </c>
      <c r="D96" s="74">
        <f t="shared" si="9"/>
        <v>77</v>
      </c>
      <c r="E96" s="74">
        <f t="shared" si="8"/>
        <v>8</v>
      </c>
      <c r="F96" s="60">
        <f t="shared" si="11"/>
        <v>6.81</v>
      </c>
      <c r="G96" s="61">
        <f>IF(D96=D95,"",_xlfn.IFNA(VLOOKUP(D96,'인원 입력 기능(국수)'!$F$5:$I$103,4,FALSE),0))</f>
        <v>4414</v>
      </c>
      <c r="H96" s="62">
        <f t="shared" si="12"/>
        <v>1.2460584298082921E-2</v>
      </c>
      <c r="I96" s="75">
        <f>SUM($G$7:G96)</f>
        <v>332307</v>
      </c>
      <c r="J96" s="64">
        <f t="shared" si="13"/>
        <v>0.93809229414205741</v>
      </c>
      <c r="K96" s="31"/>
      <c r="L96" s="20" t="str">
        <f t="shared" si="10"/>
        <v/>
      </c>
      <c r="N96" s="1"/>
    </row>
    <row r="97" spans="1:14" ht="25" customHeight="1" x14ac:dyDescent="0.45">
      <c r="A97" s="5"/>
      <c r="B97" s="30"/>
      <c r="C97" s="73">
        <v>10</v>
      </c>
      <c r="D97" s="74">
        <f t="shared" si="9"/>
        <v>76</v>
      </c>
      <c r="E97" s="74">
        <f t="shared" si="8"/>
        <v>8</v>
      </c>
      <c r="F97" s="60">
        <f t="shared" si="11"/>
        <v>5.63</v>
      </c>
      <c r="G97" s="61">
        <f>IF(D97=D96,"",_xlfn.IFNA(VLOOKUP(D97,'인원 입력 기능(국수)'!$F$5:$I$103,4,FALSE),0))</f>
        <v>3996</v>
      </c>
      <c r="H97" s="62">
        <f t="shared" si="12"/>
        <v>1.1280583338273529E-2</v>
      </c>
      <c r="I97" s="75">
        <f>SUM($G$7:G97)</f>
        <v>336303</v>
      </c>
      <c r="J97" s="64">
        <f t="shared" si="13"/>
        <v>0.94937287748033095</v>
      </c>
      <c r="K97" s="31"/>
      <c r="L97" s="20" t="str">
        <f t="shared" si="10"/>
        <v/>
      </c>
      <c r="N97" s="1"/>
    </row>
    <row r="98" spans="1:14" ht="25" customHeight="1" x14ac:dyDescent="0.45">
      <c r="A98" s="5"/>
      <c r="B98" s="30"/>
      <c r="C98" s="73">
        <v>9</v>
      </c>
      <c r="D98" s="74">
        <f t="shared" si="9"/>
        <v>75</v>
      </c>
      <c r="E98" s="74">
        <f t="shared" si="8"/>
        <v>8</v>
      </c>
      <c r="F98" s="60">
        <f t="shared" si="11"/>
        <v>4.6500000000000004</v>
      </c>
      <c r="G98" s="61">
        <f>IF(D98=D97,"",_xlfn.IFNA(VLOOKUP(D98,'인원 입력 기능(국수)'!$F$5:$I$103,4,FALSE),0))</f>
        <v>2945</v>
      </c>
      <c r="H98" s="62">
        <f t="shared" si="12"/>
        <v>8.313643125929816E-3</v>
      </c>
      <c r="I98" s="75">
        <f>SUM($G$7:G98)</f>
        <v>339248</v>
      </c>
      <c r="J98" s="64">
        <f t="shared" si="13"/>
        <v>0.9576865206062608</v>
      </c>
      <c r="K98" s="31"/>
      <c r="L98" s="20" t="str">
        <f t="shared" si="10"/>
        <v/>
      </c>
      <c r="N98" s="1"/>
    </row>
    <row r="99" spans="1:14" ht="25" customHeight="1" x14ac:dyDescent="0.45">
      <c r="A99" s="5"/>
      <c r="B99" s="30"/>
      <c r="C99" s="73">
        <v>8</v>
      </c>
      <c r="D99" s="74">
        <f t="shared" si="9"/>
        <v>74</v>
      </c>
      <c r="E99" s="74">
        <f t="shared" si="8"/>
        <v>8</v>
      </c>
      <c r="F99" s="60">
        <f t="shared" si="11"/>
        <v>3.93</v>
      </c>
      <c r="G99" s="61">
        <f>IF(D99=D98,"",_xlfn.IFNA(VLOOKUP(D99,'인원 입력 기능(국수)'!$F$5:$I$103,4,FALSE),0))</f>
        <v>2161</v>
      </c>
      <c r="H99" s="62">
        <f t="shared" si="12"/>
        <v>6.1004355840863604E-3</v>
      </c>
      <c r="I99" s="75">
        <f>SUM($G$7:G99)</f>
        <v>341409</v>
      </c>
      <c r="J99" s="64">
        <f t="shared" si="13"/>
        <v>0.96378695619034715</v>
      </c>
      <c r="K99" s="31"/>
      <c r="L99" s="20" t="str">
        <f t="shared" si="10"/>
        <v/>
      </c>
      <c r="N99" s="1"/>
    </row>
    <row r="100" spans="1:14" ht="25" customHeight="1" x14ac:dyDescent="0.45">
      <c r="A100" s="5"/>
      <c r="B100" s="30"/>
      <c r="C100" s="73">
        <v>7</v>
      </c>
      <c r="D100" s="74">
        <f t="shared" si="9"/>
        <v>73</v>
      </c>
      <c r="E100" s="74">
        <f t="shared" si="8"/>
        <v>9</v>
      </c>
      <c r="F100" s="60">
        <f t="shared" si="11"/>
        <v>3.25</v>
      </c>
      <c r="G100" s="61">
        <f>IF(D100=D99,"",_xlfn.IFNA(VLOOKUP(D100,'인원 입력 기능(국수)'!$F$5:$I$103,4,FALSE),0))</f>
        <v>2630</v>
      </c>
      <c r="H100" s="62">
        <f t="shared" si="12"/>
        <v>7.4244079528677127E-3</v>
      </c>
      <c r="I100" s="75">
        <f>SUM($G$7:G100)</f>
        <v>344039</v>
      </c>
      <c r="J100" s="64">
        <f t="shared" si="13"/>
        <v>0.97121136414321485</v>
      </c>
      <c r="K100" s="31"/>
      <c r="L100" s="20" t="str">
        <f t="shared" si="10"/>
        <v/>
      </c>
      <c r="N100" s="1"/>
    </row>
    <row r="101" spans="1:14" ht="25" customHeight="1" x14ac:dyDescent="0.45">
      <c r="A101" s="5"/>
      <c r="B101" s="30"/>
      <c r="C101" s="65">
        <v>6</v>
      </c>
      <c r="D101" s="59">
        <f t="shared" si="9"/>
        <v>72</v>
      </c>
      <c r="E101" s="74">
        <f t="shared" si="8"/>
        <v>9</v>
      </c>
      <c r="F101" s="60">
        <f t="shared" si="11"/>
        <v>2.6</v>
      </c>
      <c r="G101" s="61">
        <f>IF(D101=D100,"",_xlfn.IFNA(VLOOKUP(D101,'인원 입력 기능(국수)'!$F$5:$I$103,4,FALSE),0))</f>
        <v>1963</v>
      </c>
      <c r="H101" s="62">
        <f t="shared" si="12"/>
        <v>5.5414877610187527E-3</v>
      </c>
      <c r="I101" s="72">
        <f>SUM($G$7:G101)</f>
        <v>346002</v>
      </c>
      <c r="J101" s="64">
        <f t="shared" si="13"/>
        <v>0.97675285190423355</v>
      </c>
      <c r="K101" s="31"/>
      <c r="L101" s="20" t="str">
        <f t="shared" si="10"/>
        <v/>
      </c>
      <c r="N101" s="1"/>
    </row>
    <row r="102" spans="1:14" ht="25" customHeight="1" x14ac:dyDescent="0.45">
      <c r="A102" s="5"/>
      <c r="B102" s="30"/>
      <c r="C102" s="65">
        <v>5</v>
      </c>
      <c r="D102" s="59">
        <f t="shared" si="9"/>
        <v>71</v>
      </c>
      <c r="E102" s="74">
        <f t="shared" si="8"/>
        <v>9</v>
      </c>
      <c r="F102" s="60">
        <f t="shared" si="11"/>
        <v>1.86</v>
      </c>
      <c r="G102" s="61">
        <f>IF(D102=D101,"",_xlfn.IFNA(VLOOKUP(D102,'인원 입력 기능(국수)'!$F$5:$I$103,4,FALSE),0))</f>
        <v>3257</v>
      </c>
      <c r="H102" s="62">
        <f t="shared" si="12"/>
        <v>9.1944093925818027E-3</v>
      </c>
      <c r="I102" s="72">
        <f>SUM($G$7:G102)</f>
        <v>349259</v>
      </c>
      <c r="J102" s="64">
        <f t="shared" si="13"/>
        <v>0.98594726129681542</v>
      </c>
      <c r="K102" s="31"/>
      <c r="L102" s="20" t="str">
        <f t="shared" si="10"/>
        <v/>
      </c>
      <c r="N102" s="1"/>
    </row>
    <row r="103" spans="1:14" ht="25" customHeight="1" x14ac:dyDescent="0.45">
      <c r="A103" s="5"/>
      <c r="B103" s="30"/>
      <c r="C103" s="65">
        <v>4</v>
      </c>
      <c r="D103" s="237">
        <f t="shared" si="9"/>
        <v>70</v>
      </c>
      <c r="E103" s="257">
        <f t="shared" si="8"/>
        <v>9</v>
      </c>
      <c r="F103" s="247">
        <f t="shared" si="11"/>
        <v>1.1000000000000001</v>
      </c>
      <c r="G103" s="249">
        <f>IF(D103=D102,"",_xlfn.IFNA(VLOOKUP(D103,'인원 입력 기능(국수)'!$F$5:$I$103,4,FALSE),0))</f>
        <v>2193</v>
      </c>
      <c r="H103" s="250">
        <f t="shared" si="12"/>
        <v>6.1907705857942568E-3</v>
      </c>
      <c r="I103" s="252">
        <f>SUM($G$7:G103)</f>
        <v>351452</v>
      </c>
      <c r="J103" s="254">
        <f t="shared" si="13"/>
        <v>0.99213803188260963</v>
      </c>
      <c r="K103" s="31"/>
      <c r="L103" s="20" t="str">
        <f t="shared" si="10"/>
        <v/>
      </c>
      <c r="N103" s="1"/>
    </row>
    <row r="104" spans="1:14" ht="25" customHeight="1" x14ac:dyDescent="0.45">
      <c r="A104" s="5"/>
      <c r="B104" s="30"/>
      <c r="C104" s="65">
        <v>3</v>
      </c>
      <c r="D104" s="238"/>
      <c r="E104" s="256"/>
      <c r="F104" s="246"/>
      <c r="G104" s="248"/>
      <c r="H104" s="251"/>
      <c r="I104" s="253"/>
      <c r="J104" s="255"/>
      <c r="K104" s="31"/>
      <c r="L104" s="20" t="str">
        <f t="shared" si="10"/>
        <v>경고</v>
      </c>
      <c r="N104" s="1"/>
    </row>
    <row r="105" spans="1:14" ht="25" customHeight="1" x14ac:dyDescent="0.45">
      <c r="A105" s="5"/>
      <c r="B105" s="30"/>
      <c r="C105" s="65">
        <v>2</v>
      </c>
      <c r="D105" s="59">
        <f t="shared" ref="D105" si="14">ROUND(20*(C105-$H$3)/$H$4+100,0)</f>
        <v>69</v>
      </c>
      <c r="E105" s="59">
        <f t="shared" si="8"/>
        <v>9</v>
      </c>
      <c r="F105" s="60">
        <f t="shared" si="11"/>
        <v>0.74</v>
      </c>
      <c r="G105" s="61">
        <f>IF(D105=D104,"",_xlfn.IFNA(VLOOKUP(D105,'인원 입력 기능(국수)'!$F$5:$I$103,4,FALSE),0))</f>
        <v>314</v>
      </c>
      <c r="H105" s="62">
        <f t="shared" si="12"/>
        <v>8.8641220425873075E-4</v>
      </c>
      <c r="I105" s="72">
        <f>SUM($G$7:G105)</f>
        <v>351766</v>
      </c>
      <c r="J105" s="64">
        <f t="shared" si="13"/>
        <v>0.99302444408686841</v>
      </c>
      <c r="K105" s="31"/>
      <c r="L105" s="20" t="str">
        <f t="shared" si="10"/>
        <v/>
      </c>
      <c r="N105" s="1"/>
    </row>
    <row r="106" spans="1:14" ht="25" customHeight="1" x14ac:dyDescent="0.45">
      <c r="A106" s="5"/>
      <c r="B106" s="30"/>
      <c r="C106" s="65">
        <v>1</v>
      </c>
      <c r="D106" s="66" t="s">
        <v>56</v>
      </c>
      <c r="E106" s="66"/>
      <c r="F106" s="67"/>
      <c r="G106" s="68"/>
      <c r="H106" s="69"/>
      <c r="I106" s="76"/>
      <c r="J106" s="71"/>
      <c r="K106" s="31"/>
      <c r="L106" s="20"/>
    </row>
    <row r="107" spans="1:14" ht="25" customHeight="1" thickBot="1" x14ac:dyDescent="0.5">
      <c r="A107" s="5"/>
      <c r="B107" s="30"/>
      <c r="C107" s="77">
        <v>0</v>
      </c>
      <c r="D107" s="78">
        <f>ROUND(20*(C107-$H$3)/$H$4+100,0)</f>
        <v>67</v>
      </c>
      <c r="E107" s="78">
        <f>IF(ROUND(D107,0)&gt;=$Q$7,1,IF(ROUND(D107,0)&gt;=$Q$8,2,IF(ROUND(D107,0)&gt;=$Q$9,3,IF(ROUND(D107,0)&gt;=$Q$10,4,IF(ROUND(D107,0)&gt;=$Q$11,5,IF(ROUND(D107,0)&gt;=$Q$12,6,IF(ROUND(D107,0)&gt;=$Q$13,7,IF(ROUND(D107,0)&gt;=$Q$14,8,9))))))))</f>
        <v>9</v>
      </c>
      <c r="F107" s="79">
        <f>IF(I105=0,ROUND(100*(1-(I104+I107)/2/$J$3),2),ROUND(100*(1-(I105+I107)/2/$J$3),2))</f>
        <v>0.35</v>
      </c>
      <c r="G107" s="80">
        <f>_xlfn.IFNA(VLOOKUP(D107,'인원 입력 기능(국수)'!$F$5:$I$103,4,FALSE),0)</f>
        <v>2471</v>
      </c>
      <c r="H107" s="81">
        <f>G107/$J$3</f>
        <v>6.9755559131316038E-3</v>
      </c>
      <c r="I107" s="82">
        <f>SUM($G$7:G107)</f>
        <v>354237</v>
      </c>
      <c r="J107" s="83">
        <f>I107/$J$3</f>
        <v>1</v>
      </c>
      <c r="K107" s="31"/>
      <c r="L107" s="20" t="str">
        <f>IF(ABS((C107-$H$3)/$H$4*20+100-D107)&gt;0.49, "경고", "")</f>
        <v/>
      </c>
    </row>
    <row r="108" spans="1:14" s="5" customFormat="1" ht="6" customHeight="1" x14ac:dyDescent="0.45">
      <c r="B108" s="32"/>
      <c r="C108" s="33"/>
      <c r="D108" s="33"/>
      <c r="E108" s="33"/>
      <c r="F108" s="33"/>
      <c r="G108" s="33"/>
      <c r="H108" s="33"/>
      <c r="I108" s="33"/>
      <c r="J108" s="33"/>
      <c r="K108" s="34"/>
    </row>
    <row r="109" spans="1:14" ht="17" customHeight="1" x14ac:dyDescent="0.45">
      <c r="A109" s="5"/>
      <c r="C109" s="5"/>
      <c r="D109" s="5"/>
      <c r="E109" s="5"/>
      <c r="F109" s="5"/>
      <c r="G109" s="5"/>
      <c r="H109" s="5"/>
      <c r="I109" s="5"/>
      <c r="J109" s="5"/>
      <c r="L109" s="5"/>
    </row>
  </sheetData>
  <mergeCells count="52">
    <mergeCell ref="I89:I90"/>
    <mergeCell ref="J89:J90"/>
    <mergeCell ref="D103:D104"/>
    <mergeCell ref="E103:E104"/>
    <mergeCell ref="F103:F104"/>
    <mergeCell ref="G103:G104"/>
    <mergeCell ref="H103:H104"/>
    <mergeCell ref="I103:I104"/>
    <mergeCell ref="J103:J104"/>
    <mergeCell ref="D89:D90"/>
    <mergeCell ref="E89:E90"/>
    <mergeCell ref="F89:F90"/>
    <mergeCell ref="G89:G90"/>
    <mergeCell ref="H89:H90"/>
    <mergeCell ref="I61:I62"/>
    <mergeCell ref="J61:J62"/>
    <mergeCell ref="D75:D76"/>
    <mergeCell ref="E75:E76"/>
    <mergeCell ref="F75:F76"/>
    <mergeCell ref="G75:G76"/>
    <mergeCell ref="H75:H76"/>
    <mergeCell ref="I75:I76"/>
    <mergeCell ref="J75:J76"/>
    <mergeCell ref="D61:D62"/>
    <mergeCell ref="E61:E62"/>
    <mergeCell ref="F61:F62"/>
    <mergeCell ref="G61:G62"/>
    <mergeCell ref="H61:H62"/>
    <mergeCell ref="I34:I35"/>
    <mergeCell ref="J34:J35"/>
    <mergeCell ref="D48:D49"/>
    <mergeCell ref="E48:E49"/>
    <mergeCell ref="F48:F49"/>
    <mergeCell ref="G48:G49"/>
    <mergeCell ref="H48:H49"/>
    <mergeCell ref="I48:I49"/>
    <mergeCell ref="J48:J49"/>
    <mergeCell ref="D34:D35"/>
    <mergeCell ref="E34:E35"/>
    <mergeCell ref="F34:F35"/>
    <mergeCell ref="G34:G35"/>
    <mergeCell ref="H34:H35"/>
    <mergeCell ref="D3:F3"/>
    <mergeCell ref="D4:F4"/>
    <mergeCell ref="I4:J5"/>
    <mergeCell ref="D20:D21"/>
    <mergeCell ref="E20:E21"/>
    <mergeCell ref="F20:F21"/>
    <mergeCell ref="G20:G21"/>
    <mergeCell ref="H20:H21"/>
    <mergeCell ref="I20:I21"/>
    <mergeCell ref="J20:J21"/>
  </mergeCells>
  <phoneticPr fontId="1" type="noConversion"/>
  <conditionalFormatting sqref="D7:G20 I7:J20 D22:G34 I22:J34 D36:G48 I36:J48 D50:G61 I50:J61 D63:G75 I63:J75 D77:G89 I77:J89 D91:G103 I91:J103 D105:G107 I105:J107">
    <cfRule type="expression" dxfId="56" priority="4">
      <formula>OR($D7=$Q$7:$Q$14)</formula>
    </cfRule>
  </conditionalFormatting>
  <conditionalFormatting sqref="C7:C106">
    <cfRule type="expression" dxfId="55" priority="3">
      <formula>OR(AND($D7=0,OR($D6=$Q$7:$Q$14)),AND($D8&gt;0,OR($D7=$Q$7:$Q$14)))</formula>
    </cfRule>
  </conditionalFormatting>
  <conditionalFormatting sqref="D7:D20 D22:D34 D36:D48 D50:D61 D63:D75 D77:D89 D91:D103 D105:D106">
    <cfRule type="expression" dxfId="54" priority="2">
      <formula>$D7=$D8</formula>
    </cfRule>
  </conditionalFormatting>
  <conditionalFormatting sqref="H7:H20 H22:H34 H36:H48 H50:H61 H63:H75 H77:H89 H91:H103 H105:H107">
    <cfRule type="expression" dxfId="53" priority="1">
      <formula>OR($D7=$Q$7:$Q$14)</formula>
    </cfRule>
  </conditionalFormatting>
  <conditionalFormatting sqref="C107">
    <cfRule type="expression" dxfId="52" priority="11">
      <formula>OR(AND($D107=0,OR($D106=$Q$7:$Q$14)),AND($D109&gt;0,OR($D107=$Q$7:$Q$14)))</formula>
    </cfRule>
  </conditionalFormatting>
  <conditionalFormatting sqref="D107">
    <cfRule type="expression" dxfId="51" priority="13">
      <formula>$D107=$D109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C9F68-5CFB-48ED-A130-AE73DC06040C}">
  <sheetPr codeName="Sheet8"/>
  <dimension ref="A1:L16"/>
  <sheetViews>
    <sheetView zoomScale="70" zoomScaleNormal="70" workbookViewId="0">
      <selection activeCell="B2" sqref="B2:K16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customWidth="1"/>
  </cols>
  <sheetData>
    <row r="1" spans="1:12" x14ac:dyDescent="0.45">
      <c r="A1" s="152" t="s">
        <v>132</v>
      </c>
      <c r="B1" s="157"/>
      <c r="C1" s="33"/>
      <c r="D1" s="5"/>
      <c r="E1" s="5"/>
      <c r="F1" s="5"/>
      <c r="G1" s="5"/>
      <c r="H1" s="5"/>
      <c r="I1" s="5"/>
      <c r="J1" s="5"/>
      <c r="K1" s="5"/>
    </row>
    <row r="2" spans="1:12" s="5" customFormat="1" ht="6" customHeight="1" thickBot="1" x14ac:dyDescent="0.5">
      <c r="A2" s="158"/>
      <c r="B2" s="152"/>
      <c r="D2" s="28"/>
      <c r="E2" s="28"/>
      <c r="F2" s="28"/>
      <c r="G2" s="28"/>
      <c r="H2" s="28"/>
      <c r="I2" s="28"/>
      <c r="J2" s="28"/>
      <c r="K2" s="29"/>
    </row>
    <row r="3" spans="1:12" ht="25" customHeight="1" thickBot="1" x14ac:dyDescent="0.5">
      <c r="A3" s="5"/>
      <c r="B3" s="156"/>
      <c r="C3" s="48" t="s">
        <v>68</v>
      </c>
      <c r="D3" s="163" t="s">
        <v>134</v>
      </c>
      <c r="E3" s="164"/>
      <c r="F3" s="165"/>
      <c r="G3" s="48" t="s">
        <v>69</v>
      </c>
      <c r="H3" s="49" t="str">
        <f>'통계 및 응시자 수 입력 기능'!D6</f>
        <v>59.03</v>
      </c>
      <c r="I3" s="21" t="s">
        <v>70</v>
      </c>
      <c r="J3" s="50">
        <f>'통계 및 응시자 수 입력 기능'!C6</f>
        <v>351307</v>
      </c>
      <c r="K3" s="31"/>
    </row>
    <row r="4" spans="1:12" ht="25" customHeight="1" thickBot="1" x14ac:dyDescent="0.5">
      <c r="A4" s="5"/>
      <c r="B4" s="30"/>
      <c r="C4" s="51" t="s">
        <v>71</v>
      </c>
      <c r="D4" s="166" t="s">
        <v>83</v>
      </c>
      <c r="E4" s="167"/>
      <c r="F4" s="168"/>
      <c r="G4" s="52" t="s">
        <v>73</v>
      </c>
      <c r="H4" s="53" t="str">
        <f>'통계 및 응시자 수 입력 기능'!E6</f>
        <v>23.69</v>
      </c>
      <c r="I4" s="169"/>
      <c r="J4" s="170"/>
      <c r="K4" s="31"/>
    </row>
    <row r="5" spans="1:12" ht="25" customHeight="1" thickBot="1" x14ac:dyDescent="0.5">
      <c r="A5" s="5"/>
      <c r="B5" s="30"/>
      <c r="C5" s="20"/>
      <c r="D5" s="20"/>
      <c r="E5" s="20"/>
      <c r="F5" s="20"/>
      <c r="G5" s="20"/>
      <c r="H5" s="20"/>
      <c r="I5" s="172"/>
      <c r="J5" s="172"/>
      <c r="K5" s="31"/>
    </row>
    <row r="6" spans="1:12" ht="25" customHeight="1" thickBot="1" x14ac:dyDescent="0.5">
      <c r="A6" s="5"/>
      <c r="B6" s="30"/>
      <c r="C6" s="54" t="s">
        <v>85</v>
      </c>
      <c r="D6" s="84" t="s">
        <v>86</v>
      </c>
      <c r="E6" s="85" t="s">
        <v>87</v>
      </c>
      <c r="F6" s="55" t="s">
        <v>88</v>
      </c>
      <c r="G6" s="55" t="s">
        <v>89</v>
      </c>
      <c r="H6" s="57" t="s">
        <v>90</v>
      </c>
      <c r="I6" s="20"/>
      <c r="J6" s="20"/>
      <c r="K6" s="31"/>
      <c r="L6" s="5"/>
    </row>
    <row r="7" spans="1:12" ht="25" customHeight="1" x14ac:dyDescent="0.45">
      <c r="A7" s="5"/>
      <c r="B7" s="30"/>
      <c r="C7" s="159">
        <v>1</v>
      </c>
      <c r="D7" s="86">
        <v>90</v>
      </c>
      <c r="E7" s="87">
        <f>'표점등급&amp;절평인원 입력 기능'!D22</f>
        <v>37643</v>
      </c>
      <c r="F7" s="88">
        <f>E7/$J$3</f>
        <v>0.10715129502116383</v>
      </c>
      <c r="G7" s="89">
        <f>SUM($E$7:E7)</f>
        <v>37643</v>
      </c>
      <c r="H7" s="90">
        <f>G7/$J$3</f>
        <v>0.10715129502116383</v>
      </c>
      <c r="I7" s="20"/>
      <c r="J7" s="20"/>
      <c r="K7" s="31"/>
      <c r="L7" s="5"/>
    </row>
    <row r="8" spans="1:12" ht="25" customHeight="1" x14ac:dyDescent="0.45">
      <c r="A8" s="5"/>
      <c r="B8" s="30"/>
      <c r="C8" s="154">
        <v>2</v>
      </c>
      <c r="D8" s="92">
        <v>80</v>
      </c>
      <c r="E8" s="93">
        <f>'표점등급&amp;절평인원 입력 기능'!D23</f>
        <v>40907</v>
      </c>
      <c r="F8" s="94">
        <f t="shared" ref="F8:F15" si="0">E8/$J$3</f>
        <v>0.11644231398748103</v>
      </c>
      <c r="G8" s="95">
        <f>SUM($E$7:E8)</f>
        <v>78550</v>
      </c>
      <c r="H8" s="96">
        <f t="shared" ref="H8:H15" si="1">G8/$J$3</f>
        <v>0.22359360900864486</v>
      </c>
      <c r="I8" s="20"/>
      <c r="J8" s="20"/>
      <c r="K8" s="31"/>
      <c r="L8" s="5"/>
    </row>
    <row r="9" spans="1:12" ht="25" customHeight="1" x14ac:dyDescent="0.45">
      <c r="A9" s="5"/>
      <c r="B9" s="30"/>
      <c r="C9" s="91">
        <v>3</v>
      </c>
      <c r="D9" s="92">
        <v>70</v>
      </c>
      <c r="E9" s="93">
        <f>'표점등급&amp;절평인원 입력 기능'!D24</f>
        <v>53664</v>
      </c>
      <c r="F9" s="94">
        <f t="shared" si="0"/>
        <v>0.15275528241680353</v>
      </c>
      <c r="G9" s="95">
        <f>SUM($E$7:E9)</f>
        <v>132214</v>
      </c>
      <c r="H9" s="96">
        <f t="shared" si="1"/>
        <v>0.37634889142544842</v>
      </c>
      <c r="I9" s="20"/>
      <c r="J9" s="20"/>
      <c r="K9" s="31"/>
      <c r="L9" s="5"/>
    </row>
    <row r="10" spans="1:12" ht="25" customHeight="1" x14ac:dyDescent="0.45">
      <c r="A10" s="5"/>
      <c r="B10" s="30"/>
      <c r="C10" s="91">
        <v>4</v>
      </c>
      <c r="D10" s="92">
        <v>60</v>
      </c>
      <c r="E10" s="93">
        <f>'표점등급&amp;절평인원 입력 기능'!D25</f>
        <v>53820</v>
      </c>
      <c r="F10" s="94">
        <f t="shared" si="0"/>
        <v>0.15319933847034076</v>
      </c>
      <c r="G10" s="95">
        <f>SUM($E$7:E10)</f>
        <v>186034</v>
      </c>
      <c r="H10" s="96">
        <f t="shared" si="1"/>
        <v>0.5295482298957892</v>
      </c>
      <c r="I10" s="20"/>
      <c r="J10" s="20"/>
      <c r="K10" s="31"/>
      <c r="L10" s="5"/>
    </row>
    <row r="11" spans="1:12" ht="25" customHeight="1" x14ac:dyDescent="0.45">
      <c r="A11" s="5"/>
      <c r="B11" s="30"/>
      <c r="C11" s="91">
        <v>5</v>
      </c>
      <c r="D11" s="92">
        <v>50</v>
      </c>
      <c r="E11" s="93">
        <f>'표점등급&amp;절평인원 입력 기능'!D26</f>
        <v>43312</v>
      </c>
      <c r="F11" s="94">
        <f t="shared" si="0"/>
        <v>0.12328817814617983</v>
      </c>
      <c r="G11" s="95">
        <f>SUM($E$7:E11)</f>
        <v>229346</v>
      </c>
      <c r="H11" s="96">
        <f t="shared" si="1"/>
        <v>0.65283640804196896</v>
      </c>
      <c r="I11" s="20"/>
      <c r="J11" s="20"/>
      <c r="K11" s="31"/>
      <c r="L11" s="5"/>
    </row>
    <row r="12" spans="1:12" ht="25" customHeight="1" x14ac:dyDescent="0.45">
      <c r="A12" s="5"/>
      <c r="B12" s="30"/>
      <c r="C12" s="91">
        <v>6</v>
      </c>
      <c r="D12" s="92">
        <v>40</v>
      </c>
      <c r="E12" s="93">
        <f>'표점등급&amp;절평인원 입력 기능'!D27</f>
        <v>36897</v>
      </c>
      <c r="F12" s="94">
        <f t="shared" si="0"/>
        <v>0.10502779620104354</v>
      </c>
      <c r="G12" s="95">
        <f>SUM($E$7:E12)</f>
        <v>266243</v>
      </c>
      <c r="H12" s="96">
        <f t="shared" si="1"/>
        <v>0.75786420424301248</v>
      </c>
      <c r="I12" s="20"/>
      <c r="J12" s="20"/>
      <c r="K12" s="31"/>
      <c r="L12" s="5"/>
    </row>
    <row r="13" spans="1:12" ht="25" customHeight="1" x14ac:dyDescent="0.45">
      <c r="A13" s="5"/>
      <c r="B13" s="30"/>
      <c r="C13" s="91">
        <v>7</v>
      </c>
      <c r="D13" s="92">
        <v>30</v>
      </c>
      <c r="E13" s="93">
        <f>'표점등급&amp;절평인원 입력 기능'!D28</f>
        <v>31939</v>
      </c>
      <c r="F13" s="94">
        <f t="shared" si="0"/>
        <v>9.0914783935418311E-2</v>
      </c>
      <c r="G13" s="95">
        <f>SUM($E$7:E13)</f>
        <v>298182</v>
      </c>
      <c r="H13" s="96">
        <f t="shared" si="1"/>
        <v>0.84877898817843078</v>
      </c>
      <c r="I13" s="20"/>
      <c r="J13" s="20"/>
      <c r="K13" s="31"/>
      <c r="L13" s="5"/>
    </row>
    <row r="14" spans="1:12" ht="25" customHeight="1" x14ac:dyDescent="0.45">
      <c r="A14" s="5"/>
      <c r="B14" s="30"/>
      <c r="C14" s="91">
        <v>8</v>
      </c>
      <c r="D14" s="92">
        <v>20</v>
      </c>
      <c r="E14" s="93">
        <f>'표점등급&amp;절평인원 입력 기능'!D29</f>
        <v>38658</v>
      </c>
      <c r="F14" s="94">
        <f t="shared" si="0"/>
        <v>0.11004050588231945</v>
      </c>
      <c r="G14" s="95">
        <f>SUM($E$7:E14)</f>
        <v>336840</v>
      </c>
      <c r="H14" s="96">
        <f t="shared" si="1"/>
        <v>0.95881949406075029</v>
      </c>
      <c r="I14" s="20"/>
      <c r="J14" s="20"/>
      <c r="K14" s="31"/>
      <c r="L14" s="5"/>
    </row>
    <row r="15" spans="1:12" ht="25" customHeight="1" thickBot="1" x14ac:dyDescent="0.5">
      <c r="A15" s="5"/>
      <c r="B15" s="30"/>
      <c r="C15" s="97">
        <v>9</v>
      </c>
      <c r="D15" s="98">
        <v>0</v>
      </c>
      <c r="E15" s="99">
        <f>'표점등급&amp;절평인원 입력 기능'!D30</f>
        <v>14467</v>
      </c>
      <c r="F15" s="100">
        <f t="shared" si="0"/>
        <v>4.1180505939249719E-2</v>
      </c>
      <c r="G15" s="101">
        <f>SUM($E$7:E15)</f>
        <v>351307</v>
      </c>
      <c r="H15" s="102">
        <f t="shared" si="1"/>
        <v>1</v>
      </c>
      <c r="I15" s="20"/>
      <c r="J15" s="20"/>
      <c r="K15" s="31"/>
      <c r="L15" s="5"/>
    </row>
    <row r="16" spans="1:12" ht="6" customHeight="1" x14ac:dyDescent="0.45">
      <c r="A16" s="5"/>
      <c r="B16" s="32"/>
      <c r="C16" s="33"/>
      <c r="D16" s="33"/>
      <c r="E16" s="33"/>
      <c r="F16" s="33"/>
      <c r="G16" s="33"/>
      <c r="H16" s="33"/>
      <c r="I16" s="33"/>
      <c r="J16" s="33"/>
      <c r="K16" s="34"/>
    </row>
  </sheetData>
  <mergeCells count="3">
    <mergeCell ref="D3:F3"/>
    <mergeCell ref="D4:F4"/>
    <mergeCell ref="I4:J5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AB635-F5A9-449C-B5D9-16CA419300D1}">
  <sheetPr codeName="Sheet9"/>
  <dimension ref="A1:L16"/>
  <sheetViews>
    <sheetView zoomScale="70" zoomScaleNormal="70" workbookViewId="0">
      <selection activeCell="B2" sqref="B2:K16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customWidth="1"/>
  </cols>
  <sheetData>
    <row r="1" spans="1:12" x14ac:dyDescent="0.45">
      <c r="A1" s="152" t="s">
        <v>132</v>
      </c>
      <c r="B1" s="157"/>
      <c r="C1" s="33"/>
      <c r="D1" s="5"/>
      <c r="E1" s="5"/>
      <c r="F1" s="5"/>
      <c r="G1" s="5"/>
      <c r="H1" s="5"/>
      <c r="I1" s="5"/>
      <c r="J1" s="5"/>
      <c r="K1" s="5"/>
    </row>
    <row r="2" spans="1:12" s="5" customFormat="1" ht="6" customHeight="1" thickBot="1" x14ac:dyDescent="0.5">
      <c r="A2" s="158"/>
      <c r="B2" s="152"/>
      <c r="D2" s="28"/>
      <c r="E2" s="28"/>
      <c r="F2" s="28"/>
      <c r="G2" s="28"/>
      <c r="H2" s="28"/>
      <c r="I2" s="28"/>
      <c r="J2" s="28"/>
      <c r="K2" s="29"/>
    </row>
    <row r="3" spans="1:12" ht="25" customHeight="1" thickBot="1" x14ac:dyDescent="0.5">
      <c r="A3" s="5"/>
      <c r="B3" s="156"/>
      <c r="C3" s="48" t="s">
        <v>68</v>
      </c>
      <c r="D3" s="163" t="s">
        <v>134</v>
      </c>
      <c r="E3" s="164"/>
      <c r="F3" s="165"/>
      <c r="G3" s="48" t="s">
        <v>69</v>
      </c>
      <c r="H3" s="49" t="str">
        <f>'통계 및 응시자 수 입력 기능'!D7</f>
        <v>25.37</v>
      </c>
      <c r="I3" s="21" t="s">
        <v>70</v>
      </c>
      <c r="J3" s="50">
        <f>'통계 및 응시자 수 입력 기능'!C7</f>
        <v>349846</v>
      </c>
      <c r="K3" s="31"/>
    </row>
    <row r="4" spans="1:12" ht="25" customHeight="1" thickBot="1" x14ac:dyDescent="0.5">
      <c r="A4" s="5"/>
      <c r="B4" s="30"/>
      <c r="C4" s="51" t="s">
        <v>71</v>
      </c>
      <c r="D4" s="166" t="s">
        <v>84</v>
      </c>
      <c r="E4" s="167"/>
      <c r="F4" s="168"/>
      <c r="G4" s="52" t="s">
        <v>73</v>
      </c>
      <c r="H4" s="53" t="str">
        <f>'통계 및 응시자 수 입력 기능'!E7</f>
        <v>12.12</v>
      </c>
      <c r="I4" s="169"/>
      <c r="J4" s="170"/>
      <c r="K4" s="31"/>
    </row>
    <row r="5" spans="1:12" ht="25" customHeight="1" thickBot="1" x14ac:dyDescent="0.5">
      <c r="A5" s="5"/>
      <c r="B5" s="30"/>
      <c r="C5" s="20"/>
      <c r="D5" s="20"/>
      <c r="E5" s="20"/>
      <c r="F5" s="20"/>
      <c r="G5" s="20"/>
      <c r="H5" s="20"/>
      <c r="I5" s="172"/>
      <c r="J5" s="172"/>
      <c r="K5" s="31"/>
    </row>
    <row r="6" spans="1:12" ht="25" customHeight="1" thickBot="1" x14ac:dyDescent="0.5">
      <c r="A6" s="5"/>
      <c r="B6" s="30"/>
      <c r="C6" s="54" t="s">
        <v>85</v>
      </c>
      <c r="D6" s="84" t="s">
        <v>86</v>
      </c>
      <c r="E6" s="85" t="s">
        <v>87</v>
      </c>
      <c r="F6" s="55" t="s">
        <v>88</v>
      </c>
      <c r="G6" s="55" t="s">
        <v>89</v>
      </c>
      <c r="H6" s="57" t="s">
        <v>90</v>
      </c>
      <c r="I6" s="20"/>
      <c r="J6" s="20"/>
      <c r="K6" s="31"/>
      <c r="L6" s="5"/>
    </row>
    <row r="7" spans="1:12" ht="25" customHeight="1" x14ac:dyDescent="0.45">
      <c r="A7" s="5"/>
      <c r="B7" s="30"/>
      <c r="C7" s="161">
        <v>1</v>
      </c>
      <c r="D7" s="103">
        <v>40</v>
      </c>
      <c r="E7" s="87">
        <f>'표점등급&amp;절평인원 입력 기능'!D31</f>
        <v>55715</v>
      </c>
      <c r="F7" s="88">
        <f>E7/$J$3</f>
        <v>0.15925578683192032</v>
      </c>
      <c r="G7" s="89">
        <f>SUM($E$7:E7)</f>
        <v>55715</v>
      </c>
      <c r="H7" s="90">
        <f>G7/$J$3</f>
        <v>0.15925578683192032</v>
      </c>
      <c r="I7" s="20"/>
      <c r="J7" s="20"/>
      <c r="K7" s="31"/>
      <c r="L7" s="5"/>
    </row>
    <row r="8" spans="1:12" ht="25" customHeight="1" x14ac:dyDescent="0.45">
      <c r="A8" s="5"/>
      <c r="B8" s="30"/>
      <c r="C8" s="153">
        <v>2</v>
      </c>
      <c r="D8" s="105">
        <v>35</v>
      </c>
      <c r="E8" s="93">
        <f>'표점등급&amp;절평인원 입력 기능'!D32</f>
        <v>37620</v>
      </c>
      <c r="F8" s="94">
        <f t="shared" ref="F8:F15" si="0">E8/$J$3</f>
        <v>0.10753302881839438</v>
      </c>
      <c r="G8" s="95">
        <f>SUM($E$7:E8)</f>
        <v>93335</v>
      </c>
      <c r="H8" s="96">
        <f t="shared" ref="H8:H15" si="1">G8/$J$3</f>
        <v>0.2667888156503147</v>
      </c>
      <c r="I8" s="20"/>
      <c r="J8" s="20"/>
      <c r="K8" s="31"/>
      <c r="L8" s="5"/>
    </row>
    <row r="9" spans="1:12" ht="25" customHeight="1" x14ac:dyDescent="0.45">
      <c r="A9" s="5"/>
      <c r="B9" s="30"/>
      <c r="C9" s="104">
        <v>3</v>
      </c>
      <c r="D9" s="105">
        <v>30</v>
      </c>
      <c r="E9" s="93">
        <f>'표점등급&amp;절평인원 입력 기능'!D33</f>
        <v>41836</v>
      </c>
      <c r="F9" s="94">
        <f t="shared" si="0"/>
        <v>0.11958404555147122</v>
      </c>
      <c r="G9" s="95">
        <f>SUM($E$7:E9)</f>
        <v>135171</v>
      </c>
      <c r="H9" s="96">
        <f t="shared" si="1"/>
        <v>0.38637286120178593</v>
      </c>
      <c r="I9" s="20"/>
      <c r="J9" s="20"/>
      <c r="K9" s="31"/>
      <c r="L9" s="5"/>
    </row>
    <row r="10" spans="1:12" ht="25" customHeight="1" x14ac:dyDescent="0.45">
      <c r="A10" s="5"/>
      <c r="B10" s="30"/>
      <c r="C10" s="104">
        <v>4</v>
      </c>
      <c r="D10" s="105">
        <v>25</v>
      </c>
      <c r="E10" s="93">
        <f>'표점등급&amp;절평인원 입력 기능'!D34</f>
        <v>43733</v>
      </c>
      <c r="F10" s="94">
        <f t="shared" si="0"/>
        <v>0.12500643140124512</v>
      </c>
      <c r="G10" s="95">
        <f>SUM($E$7:E10)</f>
        <v>178904</v>
      </c>
      <c r="H10" s="96">
        <f t="shared" si="1"/>
        <v>0.51137929260303105</v>
      </c>
      <c r="I10" s="20"/>
      <c r="J10" s="20"/>
      <c r="K10" s="31"/>
      <c r="L10" s="5"/>
    </row>
    <row r="11" spans="1:12" ht="25" customHeight="1" x14ac:dyDescent="0.45">
      <c r="A11" s="5"/>
      <c r="B11" s="30"/>
      <c r="C11" s="104">
        <v>5</v>
      </c>
      <c r="D11" s="105">
        <v>20</v>
      </c>
      <c r="E11" s="93">
        <f>'표점등급&amp;절평인원 입력 기능'!D35</f>
        <v>42400</v>
      </c>
      <c r="F11" s="94">
        <f t="shared" si="0"/>
        <v>0.12119618346358112</v>
      </c>
      <c r="G11" s="95">
        <f>SUM($E$7:E11)</f>
        <v>221304</v>
      </c>
      <c r="H11" s="96">
        <f t="shared" si="1"/>
        <v>0.63257547606661213</v>
      </c>
      <c r="I11" s="20"/>
      <c r="J11" s="20"/>
      <c r="K11" s="31"/>
      <c r="L11" s="5"/>
    </row>
    <row r="12" spans="1:12" ht="25" customHeight="1" x14ac:dyDescent="0.45">
      <c r="A12" s="5"/>
      <c r="B12" s="30"/>
      <c r="C12" s="104">
        <v>6</v>
      </c>
      <c r="D12" s="105">
        <v>15</v>
      </c>
      <c r="E12" s="93">
        <f>'표점등급&amp;절평인원 입력 기능'!D36</f>
        <v>41320</v>
      </c>
      <c r="F12" s="94">
        <f t="shared" si="0"/>
        <v>0.11810911086592386</v>
      </c>
      <c r="G12" s="95">
        <f>SUM($E$7:E12)</f>
        <v>262624</v>
      </c>
      <c r="H12" s="96">
        <f t="shared" si="1"/>
        <v>0.75068458693253604</v>
      </c>
      <c r="I12" s="20"/>
      <c r="J12" s="20"/>
      <c r="K12" s="31"/>
      <c r="L12" s="5"/>
    </row>
    <row r="13" spans="1:12" ht="25" customHeight="1" x14ac:dyDescent="0.45">
      <c r="A13" s="5"/>
      <c r="B13" s="30"/>
      <c r="C13" s="104">
        <v>7</v>
      </c>
      <c r="D13" s="105">
        <v>10</v>
      </c>
      <c r="E13" s="93">
        <f>'표점등급&amp;절평인원 입력 기능'!D37</f>
        <v>60650</v>
      </c>
      <c r="F13" s="94">
        <f t="shared" si="0"/>
        <v>0.17336199356288196</v>
      </c>
      <c r="G13" s="95">
        <f>SUM($E$7:E13)</f>
        <v>323274</v>
      </c>
      <c r="H13" s="96">
        <f t="shared" si="1"/>
        <v>0.92404658049541799</v>
      </c>
      <c r="I13" s="20"/>
      <c r="J13" s="20"/>
      <c r="K13" s="31"/>
      <c r="L13" s="5"/>
    </row>
    <row r="14" spans="1:12" ht="25" customHeight="1" x14ac:dyDescent="0.45">
      <c r="A14" s="5"/>
      <c r="B14" s="30"/>
      <c r="C14" s="104">
        <v>8</v>
      </c>
      <c r="D14" s="105">
        <v>5</v>
      </c>
      <c r="E14" s="93">
        <f>'표점등급&amp;절평인원 입력 기능'!D38</f>
        <v>21875</v>
      </c>
      <c r="F14" s="94">
        <f t="shared" si="0"/>
        <v>6.2527512105326338E-2</v>
      </c>
      <c r="G14" s="95">
        <f>SUM($E$7:E14)</f>
        <v>345149</v>
      </c>
      <c r="H14" s="96">
        <f t="shared" si="1"/>
        <v>0.98657409260074436</v>
      </c>
      <c r="I14" s="20"/>
      <c r="J14" s="20"/>
      <c r="K14" s="31"/>
      <c r="L14" s="5"/>
    </row>
    <row r="15" spans="1:12" ht="25" customHeight="1" thickBot="1" x14ac:dyDescent="0.5">
      <c r="A15" s="5"/>
      <c r="B15" s="30"/>
      <c r="C15" s="106">
        <v>9</v>
      </c>
      <c r="D15" s="107">
        <v>0</v>
      </c>
      <c r="E15" s="99">
        <f>'표점등급&amp;절평인원 입력 기능'!D39</f>
        <v>4697</v>
      </c>
      <c r="F15" s="100">
        <f t="shared" si="0"/>
        <v>1.3425907399255673E-2</v>
      </c>
      <c r="G15" s="101">
        <f>SUM($E$7:E15)</f>
        <v>349846</v>
      </c>
      <c r="H15" s="102">
        <f t="shared" si="1"/>
        <v>1</v>
      </c>
      <c r="I15" s="20"/>
      <c r="J15" s="20"/>
      <c r="K15" s="31"/>
      <c r="L15" s="5"/>
    </row>
    <row r="16" spans="1:12" ht="6" customHeight="1" x14ac:dyDescent="0.45">
      <c r="A16" s="5"/>
      <c r="B16" s="32"/>
      <c r="C16" s="33"/>
      <c r="D16" s="33"/>
      <c r="E16" s="33"/>
      <c r="F16" s="33"/>
      <c r="G16" s="33"/>
      <c r="H16" s="33"/>
      <c r="I16" s="33"/>
      <c r="J16" s="33"/>
      <c r="K16" s="34"/>
    </row>
  </sheetData>
  <mergeCells count="3">
    <mergeCell ref="D3:F3"/>
    <mergeCell ref="D4:F4"/>
    <mergeCell ref="I4:J5"/>
  </mergeCells>
  <phoneticPr fontId="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58F2E-2945-4475-AB2E-3ED4D0C21331}">
  <sheetPr codeName="Sheet10"/>
  <dimension ref="A1:Q105"/>
  <sheetViews>
    <sheetView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152" t="s">
        <v>133</v>
      </c>
      <c r="B1" s="157"/>
      <c r="C1" s="33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8"/>
      <c r="B2" s="152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155"/>
      <c r="C3" s="48" t="s">
        <v>68</v>
      </c>
      <c r="D3" s="163" t="s">
        <v>134</v>
      </c>
      <c r="E3" s="164"/>
      <c r="F3" s="165"/>
      <c r="G3" s="48" t="s">
        <v>69</v>
      </c>
      <c r="H3" s="49" t="str">
        <f>'통계 및 응시자 수 입력 기능'!D8</f>
        <v>22.54</v>
      </c>
      <c r="I3" s="21" t="s">
        <v>70</v>
      </c>
      <c r="J3" s="50">
        <f>'통계 및 응시자 수 입력 기능'!C8</f>
        <v>85127</v>
      </c>
      <c r="K3" s="36"/>
      <c r="L3" s="20"/>
    </row>
    <row r="4" spans="1:17" s="22" customFormat="1" ht="25" customHeight="1" thickBot="1" x14ac:dyDescent="0.5">
      <c r="A4" s="20"/>
      <c r="B4" s="35"/>
      <c r="C4" s="51" t="s">
        <v>71</v>
      </c>
      <c r="D4" s="166" t="s">
        <v>91</v>
      </c>
      <c r="E4" s="167"/>
      <c r="F4" s="168"/>
      <c r="G4" s="52" t="s">
        <v>73</v>
      </c>
      <c r="H4" s="53" t="str">
        <f>'통계 및 응시자 수 입력 기능'!E8</f>
        <v>10.21</v>
      </c>
      <c r="I4" s="169"/>
      <c r="J4" s="170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171"/>
      <c r="J5" s="171"/>
      <c r="K5" s="36"/>
      <c r="L5" s="20"/>
    </row>
    <row r="6" spans="1:17" s="22" customFormat="1" ht="25" customHeight="1" thickBot="1" x14ac:dyDescent="0.5">
      <c r="A6" s="20"/>
      <c r="B6" s="35"/>
      <c r="C6" s="54" t="s">
        <v>75</v>
      </c>
      <c r="D6" s="55" t="s">
        <v>76</v>
      </c>
      <c r="E6" s="55" t="s">
        <v>77</v>
      </c>
      <c r="F6" s="55" t="s">
        <v>78</v>
      </c>
      <c r="G6" s="55" t="s">
        <v>79</v>
      </c>
      <c r="H6" s="55" t="s">
        <v>80</v>
      </c>
      <c r="I6" s="56" t="s">
        <v>81</v>
      </c>
      <c r="J6" s="57" t="s">
        <v>82</v>
      </c>
      <c r="K6" s="36"/>
      <c r="L6" s="19" t="s">
        <v>64</v>
      </c>
      <c r="M6" s="19"/>
      <c r="N6" s="23"/>
    </row>
    <row r="7" spans="1:17" s="22" customFormat="1" ht="25" customHeight="1" x14ac:dyDescent="0.45">
      <c r="A7" s="20"/>
      <c r="B7" s="35"/>
      <c r="C7" s="160">
        <v>50</v>
      </c>
      <c r="D7" s="59">
        <f>ROUND(10*(C7-$H$3)/$H$4+50,0)</f>
        <v>77</v>
      </c>
      <c r="E7" s="59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60">
        <f>ROUND(100*(1-(0+I7)/2/$J$3),2)</f>
        <v>99.73</v>
      </c>
      <c r="G7" s="61">
        <f>_xlfn.IFNA(VLOOKUP(D7,'인원 입력 기능(사과탐)'!$A$5:$D$59,4,FALSE),0)</f>
        <v>453</v>
      </c>
      <c r="H7" s="62">
        <f>G7/$J$3</f>
        <v>5.3214608761027642E-3</v>
      </c>
      <c r="I7" s="63">
        <f>G7</f>
        <v>453</v>
      </c>
      <c r="J7" s="64">
        <f>I7/$J$3</f>
        <v>5.3214608761027642E-3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기능'!C40</f>
        <v>69</v>
      </c>
    </row>
    <row r="8" spans="1:17" s="22" customFormat="1" ht="25" customHeight="1" x14ac:dyDescent="0.45">
      <c r="A8" s="20"/>
      <c r="B8" s="35"/>
      <c r="C8" s="58">
        <v>49</v>
      </c>
      <c r="D8" s="66" t="s">
        <v>56</v>
      </c>
      <c r="E8" s="66"/>
      <c r="F8" s="67"/>
      <c r="G8" s="68"/>
      <c r="H8" s="108"/>
      <c r="I8" s="70"/>
      <c r="J8" s="71"/>
      <c r="K8" s="36"/>
      <c r="L8" s="20"/>
      <c r="N8" s="24"/>
      <c r="P8" s="24">
        <v>2</v>
      </c>
      <c r="Q8" s="24">
        <f>'표점등급&amp;절평인원 입력 기능'!C41</f>
        <v>63</v>
      </c>
    </row>
    <row r="9" spans="1:17" s="22" customFormat="1" ht="25" customHeight="1" x14ac:dyDescent="0.45">
      <c r="A9" s="20"/>
      <c r="B9" s="35"/>
      <c r="C9" s="58">
        <v>48</v>
      </c>
      <c r="D9" s="59">
        <f>ROUND(10*(C9-$H$3)/$H$4+50,0)</f>
        <v>75</v>
      </c>
      <c r="E9" s="59">
        <f t="shared" si="0"/>
        <v>1</v>
      </c>
      <c r="F9" s="60">
        <f>IF(I8=0,ROUND(100*(1-(I7+I9)/2/$J$3),2),ROUND(100*(1-(I8+I9)/2/$J$3),2))</f>
        <v>99.26</v>
      </c>
      <c r="G9" s="61">
        <f>_xlfn.IFNA(VLOOKUP(D9,'인원 입력 기능(사과탐)'!$A$5:$D$59,4,FALSE),0)</f>
        <v>360</v>
      </c>
      <c r="H9" s="62">
        <f t="shared" ref="H9:H55" si="1">G9/$J$3</f>
        <v>4.228975530677693E-3</v>
      </c>
      <c r="I9" s="72">
        <f>SUM($G$7:G9)</f>
        <v>813</v>
      </c>
      <c r="J9" s="64">
        <f>I9/$J$3</f>
        <v>9.5504364067804572E-3</v>
      </c>
      <c r="K9" s="36"/>
      <c r="L9" s="20" t="str">
        <f t="shared" ref="L9:L55" si="2">IF(ABS((C9-$H$3)/$H$4*10+50-D9)&gt;0.49, "경고", "")</f>
        <v/>
      </c>
      <c r="N9" s="24"/>
      <c r="P9" s="24">
        <v>3</v>
      </c>
      <c r="Q9" s="24">
        <f>'표점등급&amp;절평인원 입력 기능'!C42</f>
        <v>57</v>
      </c>
    </row>
    <row r="10" spans="1:17" s="22" customFormat="1" ht="25" customHeight="1" x14ac:dyDescent="0.45">
      <c r="A10" s="20"/>
      <c r="B10" s="35"/>
      <c r="C10" s="65">
        <v>47</v>
      </c>
      <c r="D10" s="59">
        <f t="shared" ref="D10:D55" si="3">ROUND(10*(C10-$H$3)/$H$4+50,0)</f>
        <v>74</v>
      </c>
      <c r="E10" s="59">
        <f t="shared" si="0"/>
        <v>1</v>
      </c>
      <c r="F10" s="60">
        <f t="shared" ref="F10:F55" si="4">IF(I9=0,ROUND(100*(1-(I8+I10)/2/$J$3),2),ROUND(100*(1-(I9+I10)/2/$J$3),2))</f>
        <v>98.76</v>
      </c>
      <c r="G10" s="61">
        <f>IF(D10=D9,"",_xlfn.IFNA(VLOOKUP(D10,'인원 입력 기능(사과탐)'!$A$5:$D$59,4,FALSE),0))</f>
        <v>493</v>
      </c>
      <c r="H10" s="62">
        <f t="shared" si="1"/>
        <v>5.7913470461780636E-3</v>
      </c>
      <c r="I10" s="72">
        <f>SUM($G$7:G10)</f>
        <v>1306</v>
      </c>
      <c r="J10" s="64">
        <f t="shared" ref="J10:J55" si="5">I10/$J$3</f>
        <v>1.5341783452958521E-2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기능'!C43</f>
        <v>52</v>
      </c>
    </row>
    <row r="11" spans="1:17" s="22" customFormat="1" ht="25" customHeight="1" x14ac:dyDescent="0.45">
      <c r="A11" s="20"/>
      <c r="B11" s="35"/>
      <c r="C11" s="58">
        <v>46</v>
      </c>
      <c r="D11" s="59">
        <f t="shared" si="3"/>
        <v>73</v>
      </c>
      <c r="E11" s="59">
        <f t="shared" si="0"/>
        <v>1</v>
      </c>
      <c r="F11" s="60">
        <f t="shared" si="4"/>
        <v>98.38</v>
      </c>
      <c r="G11" s="61">
        <f>IF(D11=D10,"",_xlfn.IFNA(VLOOKUP(D11,'인원 입력 기능(사과탐)'!$A$5:$D$59,4,FALSE),0))</f>
        <v>149</v>
      </c>
      <c r="H11" s="62">
        <f t="shared" si="1"/>
        <v>1.7503259835304897E-3</v>
      </c>
      <c r="I11" s="72">
        <f>SUM($G$7:G11)</f>
        <v>1455</v>
      </c>
      <c r="J11" s="64">
        <f t="shared" si="5"/>
        <v>1.7092109436489009E-2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기능'!C44</f>
        <v>47</v>
      </c>
    </row>
    <row r="12" spans="1:17" s="22" customFormat="1" ht="25" customHeight="1" x14ac:dyDescent="0.45">
      <c r="A12" s="20"/>
      <c r="B12" s="35"/>
      <c r="C12" s="65">
        <v>45</v>
      </c>
      <c r="D12" s="59">
        <f t="shared" si="3"/>
        <v>72</v>
      </c>
      <c r="E12" s="59">
        <f t="shared" si="0"/>
        <v>1</v>
      </c>
      <c r="F12" s="60">
        <f t="shared" si="4"/>
        <v>97.95</v>
      </c>
      <c r="G12" s="61">
        <f>IF(D12=D11,"",_xlfn.IFNA(VLOOKUP(D12,'인원 입력 기능(사과탐)'!$A$5:$D$59,4,FALSE),0))</f>
        <v>584</v>
      </c>
      <c r="H12" s="62">
        <f t="shared" si="1"/>
        <v>6.8603380830993691E-3</v>
      </c>
      <c r="I12" s="72">
        <f>SUM($G$7:G12)</f>
        <v>2039</v>
      </c>
      <c r="J12" s="64">
        <f t="shared" si="5"/>
        <v>2.3952447519588381E-2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기능'!C45</f>
        <v>41</v>
      </c>
    </row>
    <row r="13" spans="1:17" s="22" customFormat="1" ht="25" customHeight="1" x14ac:dyDescent="0.45">
      <c r="A13" s="20"/>
      <c r="B13" s="35"/>
      <c r="C13" s="58">
        <v>44</v>
      </c>
      <c r="D13" s="59">
        <f t="shared" si="3"/>
        <v>71</v>
      </c>
      <c r="E13" s="59">
        <f t="shared" si="0"/>
        <v>1</v>
      </c>
      <c r="F13" s="60">
        <f t="shared" si="4"/>
        <v>97.26</v>
      </c>
      <c r="G13" s="61">
        <f>IF(D13=D12,"",_xlfn.IFNA(VLOOKUP(D13,'인원 입력 기능(사과탐)'!$A$5:$D$59,4,FALSE),0))</f>
        <v>583</v>
      </c>
      <c r="H13" s="62">
        <f t="shared" si="1"/>
        <v>6.8485909288474867E-3</v>
      </c>
      <c r="I13" s="72">
        <f>SUM($G$7:G13)</f>
        <v>2622</v>
      </c>
      <c r="J13" s="64">
        <f t="shared" si="5"/>
        <v>3.0801038448435868E-2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기능'!C46</f>
        <v>38</v>
      </c>
    </row>
    <row r="14" spans="1:17" s="22" customFormat="1" ht="25" customHeight="1" x14ac:dyDescent="0.45">
      <c r="A14" s="20"/>
      <c r="B14" s="35"/>
      <c r="C14" s="65">
        <v>43</v>
      </c>
      <c r="D14" s="59">
        <f t="shared" si="3"/>
        <v>70</v>
      </c>
      <c r="E14" s="59">
        <f t="shared" si="0"/>
        <v>1</v>
      </c>
      <c r="F14" s="60">
        <f t="shared" si="4"/>
        <v>96.67</v>
      </c>
      <c r="G14" s="61">
        <f>IF(D14=D13,"",_xlfn.IFNA(VLOOKUP(D14,'인원 입력 기능(사과탐)'!$A$5:$D$59,4,FALSE),0))</f>
        <v>422</v>
      </c>
      <c r="H14" s="62">
        <f t="shared" si="1"/>
        <v>4.9572990942944074E-3</v>
      </c>
      <c r="I14" s="72">
        <f>SUM($G$7:G14)</f>
        <v>3044</v>
      </c>
      <c r="J14" s="64">
        <f t="shared" si="5"/>
        <v>3.5758337542730272E-2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기능'!C47</f>
        <v>35</v>
      </c>
    </row>
    <row r="15" spans="1:17" s="22" customFormat="1" ht="25" customHeight="1" x14ac:dyDescent="0.45">
      <c r="A15" s="20"/>
      <c r="B15" s="35"/>
      <c r="C15" s="58">
        <v>42</v>
      </c>
      <c r="D15" s="59">
        <f t="shared" si="3"/>
        <v>69</v>
      </c>
      <c r="E15" s="59">
        <f t="shared" si="0"/>
        <v>1</v>
      </c>
      <c r="F15" s="60">
        <f t="shared" si="4"/>
        <v>95.93</v>
      </c>
      <c r="G15" s="61">
        <f>IF(D15=D14,"",_xlfn.IFNA(VLOOKUP(D15,'인원 입력 기능(사과탐)'!$A$5:$D$59,4,FALSE),0))</f>
        <v>833</v>
      </c>
      <c r="H15" s="62">
        <f t="shared" si="1"/>
        <v>9.7853794918181074E-3</v>
      </c>
      <c r="I15" s="72">
        <f>SUM($G$7:G15)</f>
        <v>3877</v>
      </c>
      <c r="J15" s="64">
        <f t="shared" si="5"/>
        <v>4.5543717034548382E-2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5">
        <v>41</v>
      </c>
      <c r="D16" s="59">
        <f t="shared" si="3"/>
        <v>68</v>
      </c>
      <c r="E16" s="59">
        <f t="shared" si="0"/>
        <v>2</v>
      </c>
      <c r="F16" s="60">
        <f t="shared" si="4"/>
        <v>95.08</v>
      </c>
      <c r="G16" s="61">
        <f>IF(D16=D15,"",_xlfn.IFNA(VLOOKUP(D16,'인원 입력 기능(사과탐)'!$A$5:$D$59,4,FALSE),0))</f>
        <v>631</v>
      </c>
      <c r="H16" s="62">
        <f t="shared" si="1"/>
        <v>7.4124543329378454E-3</v>
      </c>
      <c r="I16" s="72">
        <f>SUM($G$7:G16)</f>
        <v>4508</v>
      </c>
      <c r="J16" s="64">
        <f t="shared" si="5"/>
        <v>5.2956171367486225E-2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58">
        <v>40</v>
      </c>
      <c r="D17" s="59">
        <f t="shared" si="3"/>
        <v>67</v>
      </c>
      <c r="E17" s="59">
        <f t="shared" si="0"/>
        <v>2</v>
      </c>
      <c r="F17" s="60">
        <f t="shared" si="4"/>
        <v>94.25</v>
      </c>
      <c r="G17" s="61">
        <f>IF(D17=D16,"",_xlfn.IFNA(VLOOKUP(D17,'인원 입력 기능(사과탐)'!$A$5:$D$59,4,FALSE),0))</f>
        <v>775</v>
      </c>
      <c r="H17" s="62">
        <f t="shared" si="1"/>
        <v>9.1040445452089235E-3</v>
      </c>
      <c r="I17" s="72">
        <f>SUM($G$7:G17)</f>
        <v>5283</v>
      </c>
      <c r="J17" s="64">
        <f t="shared" si="5"/>
        <v>6.2060215912695151E-2</v>
      </c>
      <c r="K17" s="36"/>
      <c r="L17" s="20" t="str">
        <f t="shared" si="2"/>
        <v/>
      </c>
      <c r="N17" s="24"/>
      <c r="Q17" s="24">
        <f>Q7*H3*H4*J3*IFERROR(IF(J57=1, 1, 0), 0)</f>
        <v>1351749049.9842</v>
      </c>
    </row>
    <row r="18" spans="1:17" s="22" customFormat="1" ht="25" customHeight="1" x14ac:dyDescent="0.45">
      <c r="A18" s="20"/>
      <c r="B18" s="35"/>
      <c r="C18" s="65">
        <v>39</v>
      </c>
      <c r="D18" s="59">
        <f t="shared" si="3"/>
        <v>66</v>
      </c>
      <c r="E18" s="59">
        <f t="shared" si="0"/>
        <v>2</v>
      </c>
      <c r="F18" s="60">
        <f t="shared" si="4"/>
        <v>93.14</v>
      </c>
      <c r="G18" s="61">
        <f>IF(D18=D17,"",_xlfn.IFNA(VLOOKUP(D18,'인원 입력 기능(사과탐)'!$A$5:$D$59,4,FALSE),0))</f>
        <v>1113</v>
      </c>
      <c r="H18" s="62">
        <f t="shared" si="1"/>
        <v>1.3074582682345202E-2</v>
      </c>
      <c r="I18" s="72">
        <f>SUM($G$7:G18)</f>
        <v>6396</v>
      </c>
      <c r="J18" s="64">
        <f t="shared" si="5"/>
        <v>7.5134798595040353E-2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58">
        <v>38</v>
      </c>
      <c r="D19" s="59">
        <f t="shared" si="3"/>
        <v>65</v>
      </c>
      <c r="E19" s="59">
        <f t="shared" si="0"/>
        <v>2</v>
      </c>
      <c r="F19" s="60">
        <f t="shared" si="4"/>
        <v>91.97</v>
      </c>
      <c r="G19" s="61">
        <f>IF(D19=D18,"",_xlfn.IFNA(VLOOKUP(D19,'인원 입력 기능(사과탐)'!$A$5:$D$59,4,FALSE),0))</f>
        <v>871</v>
      </c>
      <c r="H19" s="62">
        <f t="shared" si="1"/>
        <v>1.0231771353389641E-2</v>
      </c>
      <c r="I19" s="72">
        <f>SUM($G$7:G19)</f>
        <v>7267</v>
      </c>
      <c r="J19" s="64">
        <f t="shared" si="5"/>
        <v>8.5366569948429991E-2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65">
        <v>37</v>
      </c>
      <c r="D20" s="59">
        <f t="shared" si="3"/>
        <v>64</v>
      </c>
      <c r="E20" s="59">
        <f t="shared" si="0"/>
        <v>2</v>
      </c>
      <c r="F20" s="60">
        <f t="shared" si="4"/>
        <v>90.73</v>
      </c>
      <c r="G20" s="61">
        <f>IF(D20=D19,"",_xlfn.IFNA(VLOOKUP(D20,'인원 입력 기능(사과탐)'!$A$5:$D$59,4,FALSE),0))</f>
        <v>1252</v>
      </c>
      <c r="H20" s="62">
        <f t="shared" si="1"/>
        <v>1.4707437123356867E-2</v>
      </c>
      <c r="I20" s="72">
        <f>SUM($G$7:G20)</f>
        <v>8519</v>
      </c>
      <c r="J20" s="64">
        <f t="shared" si="5"/>
        <v>0.10007400707178686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09">
        <v>36</v>
      </c>
      <c r="D21" s="74">
        <f t="shared" si="3"/>
        <v>63</v>
      </c>
      <c r="E21" s="74">
        <f t="shared" si="0"/>
        <v>2</v>
      </c>
      <c r="F21" s="60">
        <f t="shared" si="4"/>
        <v>89.12</v>
      </c>
      <c r="G21" s="61">
        <f>IF(D21=D20,"",_xlfn.IFNA(VLOOKUP(D21,'인원 입력 기능(사과탐)'!$A$5:$D$59,4,FALSE),0))</f>
        <v>1493</v>
      </c>
      <c r="H21" s="62">
        <f t="shared" si="1"/>
        <v>1.7538501298060546E-2</v>
      </c>
      <c r="I21" s="72">
        <f>SUM($G$7:G21)</f>
        <v>10012</v>
      </c>
      <c r="J21" s="64">
        <f t="shared" si="5"/>
        <v>0.11761250836984741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73">
        <v>35</v>
      </c>
      <c r="D22" s="74">
        <f t="shared" si="3"/>
        <v>62</v>
      </c>
      <c r="E22" s="74">
        <f t="shared" si="0"/>
        <v>3</v>
      </c>
      <c r="F22" s="60">
        <f t="shared" si="4"/>
        <v>87.46</v>
      </c>
      <c r="G22" s="61">
        <f>IF(D22=D21,"",_xlfn.IFNA(VLOOKUP(D22,'인원 입력 기능(사과탐)'!$A$5:$D$59,4,FALSE),0))</f>
        <v>1318</v>
      </c>
      <c r="H22" s="62">
        <f t="shared" si="1"/>
        <v>1.548274930398111E-2</v>
      </c>
      <c r="I22" s="72">
        <f>SUM($G$7:G22)</f>
        <v>11330</v>
      </c>
      <c r="J22" s="64">
        <f t="shared" si="5"/>
        <v>0.13309525767382852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09">
        <v>34</v>
      </c>
      <c r="D23" s="74">
        <f t="shared" si="3"/>
        <v>61</v>
      </c>
      <c r="E23" s="74">
        <f t="shared" si="0"/>
        <v>3</v>
      </c>
      <c r="F23" s="60">
        <f t="shared" si="4"/>
        <v>85.58</v>
      </c>
      <c r="G23" s="61">
        <f>IF(D23=D22,"",_xlfn.IFNA(VLOOKUP(D23,'인원 입력 기능(사과탐)'!$A$5:$D$59,4,FALSE),0))</f>
        <v>1897</v>
      </c>
      <c r="H23" s="62">
        <f t="shared" si="1"/>
        <v>2.2284351615821069E-2</v>
      </c>
      <c r="I23" s="72">
        <f>SUM($G$7:G23)</f>
        <v>13227</v>
      </c>
      <c r="J23" s="64">
        <f t="shared" si="5"/>
        <v>0.15537960928964958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73">
        <v>33</v>
      </c>
      <c r="D24" s="74">
        <f t="shared" si="3"/>
        <v>60</v>
      </c>
      <c r="E24" s="74">
        <f t="shared" si="0"/>
        <v>3</v>
      </c>
      <c r="F24" s="60">
        <f t="shared" si="4"/>
        <v>83.43</v>
      </c>
      <c r="G24" s="61">
        <f>IF(D24=D23,"",_xlfn.IFNA(VLOOKUP(D24,'인원 입력 기능(사과탐)'!$A$5:$D$59,4,FALSE),0))</f>
        <v>1750</v>
      </c>
      <c r="H24" s="62">
        <f t="shared" si="1"/>
        <v>2.0557519940794342E-2</v>
      </c>
      <c r="I24" s="72">
        <f>SUM($G$7:G24)</f>
        <v>14977</v>
      </c>
      <c r="J24" s="64">
        <f t="shared" si="5"/>
        <v>0.17593712923044391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09">
        <v>32</v>
      </c>
      <c r="D25" s="74">
        <f t="shared" si="3"/>
        <v>59</v>
      </c>
      <c r="E25" s="74">
        <f t="shared" si="0"/>
        <v>3</v>
      </c>
      <c r="F25" s="60">
        <f t="shared" si="4"/>
        <v>81.23</v>
      </c>
      <c r="G25" s="61">
        <f>IF(D25=D24,"",_xlfn.IFNA(VLOOKUP(D25,'인원 입력 기능(사과탐)'!$A$5:$D$59,4,FALSE),0))</f>
        <v>2006</v>
      </c>
      <c r="H25" s="62">
        <f t="shared" si="1"/>
        <v>2.3564791429276258E-2</v>
      </c>
      <c r="I25" s="72">
        <f>SUM($G$7:G25)</f>
        <v>16983</v>
      </c>
      <c r="J25" s="64">
        <f t="shared" si="5"/>
        <v>0.19950192065972019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73">
        <v>31</v>
      </c>
      <c r="D26" s="74">
        <f t="shared" si="3"/>
        <v>58</v>
      </c>
      <c r="E26" s="74">
        <f t="shared" si="0"/>
        <v>3</v>
      </c>
      <c r="F26" s="60">
        <f t="shared" si="4"/>
        <v>78.739999999999995</v>
      </c>
      <c r="G26" s="61">
        <f>IF(D26=D25,"",_xlfn.IFNA(VLOOKUP(D26,'인원 입력 기능(사과탐)'!$A$5:$D$59,4,FALSE),0))</f>
        <v>2236</v>
      </c>
      <c r="H26" s="62">
        <f t="shared" si="1"/>
        <v>2.6266636907209227E-2</v>
      </c>
      <c r="I26" s="72">
        <f>SUM($G$7:G26)</f>
        <v>19219</v>
      </c>
      <c r="J26" s="64">
        <f t="shared" si="5"/>
        <v>0.2257685575669294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09">
        <v>30</v>
      </c>
      <c r="D27" s="74">
        <f t="shared" si="3"/>
        <v>57</v>
      </c>
      <c r="E27" s="74">
        <f t="shared" si="0"/>
        <v>3</v>
      </c>
      <c r="F27" s="60">
        <f t="shared" si="4"/>
        <v>76.12</v>
      </c>
      <c r="G27" s="61">
        <f>IF(D27=D26,"",_xlfn.IFNA(VLOOKUP(D27,'인원 입력 기능(사과탐)'!$A$5:$D$59,4,FALSE),0))</f>
        <v>2213</v>
      </c>
      <c r="H27" s="62">
        <f t="shared" si="1"/>
        <v>2.5996452359415931E-2</v>
      </c>
      <c r="I27" s="72">
        <f>SUM($G$7:G27)</f>
        <v>21432</v>
      </c>
      <c r="J27" s="64">
        <f t="shared" si="5"/>
        <v>0.25176500992634532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73">
        <v>29</v>
      </c>
      <c r="D28" s="74">
        <f t="shared" si="3"/>
        <v>56</v>
      </c>
      <c r="E28" s="74">
        <f t="shared" si="0"/>
        <v>4</v>
      </c>
      <c r="F28" s="60">
        <f t="shared" si="4"/>
        <v>73.239999999999995</v>
      </c>
      <c r="G28" s="61">
        <f>IF(D28=D27,"",_xlfn.IFNA(VLOOKUP(D28,'인원 입력 기능(사과탐)'!$A$5:$D$59,4,FALSE),0))</f>
        <v>2701</v>
      </c>
      <c r="H28" s="62">
        <f t="shared" si="1"/>
        <v>3.172906363433458E-2</v>
      </c>
      <c r="I28" s="72">
        <f>SUM($G$7:G28)</f>
        <v>24133</v>
      </c>
      <c r="J28" s="64">
        <f t="shared" si="5"/>
        <v>0.2834940735606799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09">
        <v>28</v>
      </c>
      <c r="D29" s="74">
        <f t="shared" si="3"/>
        <v>55</v>
      </c>
      <c r="E29" s="74">
        <f t="shared" si="0"/>
        <v>4</v>
      </c>
      <c r="F29" s="60">
        <f t="shared" si="4"/>
        <v>70.11</v>
      </c>
      <c r="G29" s="61">
        <f>IF(D29=D28,"",_xlfn.IFNA(VLOOKUP(D29,'인원 입력 기능(사과탐)'!$A$5:$D$59,4,FALSE),0))</f>
        <v>2629</v>
      </c>
      <c r="H29" s="62">
        <f t="shared" si="1"/>
        <v>3.0883268528199045E-2</v>
      </c>
      <c r="I29" s="72">
        <f>SUM($G$7:G29)</f>
        <v>26762</v>
      </c>
      <c r="J29" s="64">
        <f t="shared" si="5"/>
        <v>0.31437734208887896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73">
        <v>27</v>
      </c>
      <c r="D30" s="74">
        <f t="shared" si="3"/>
        <v>54</v>
      </c>
      <c r="E30" s="74">
        <f t="shared" si="0"/>
        <v>4</v>
      </c>
      <c r="F30" s="60">
        <f t="shared" si="4"/>
        <v>66.930000000000007</v>
      </c>
      <c r="G30" s="61">
        <f>IF(D30=D29,"",_xlfn.IFNA(VLOOKUP(D30,'인원 입력 기능(사과탐)'!$A$5:$D$59,4,FALSE),0))</f>
        <v>2772</v>
      </c>
      <c r="H30" s="62">
        <f t="shared" si="1"/>
        <v>3.2563111586218239E-2</v>
      </c>
      <c r="I30" s="72">
        <f>SUM($G$7:G30)</f>
        <v>29534</v>
      </c>
      <c r="J30" s="64">
        <f t="shared" si="5"/>
        <v>0.34694045367509718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09">
        <v>26</v>
      </c>
      <c r="D31" s="74">
        <f t="shared" si="3"/>
        <v>53</v>
      </c>
      <c r="E31" s="74">
        <f t="shared" si="0"/>
        <v>4</v>
      </c>
      <c r="F31" s="60">
        <f t="shared" si="4"/>
        <v>63.57</v>
      </c>
      <c r="G31" s="61">
        <f>IF(D31=D30,"",_xlfn.IFNA(VLOOKUP(D31,'인원 입력 기능(사과탐)'!$A$5:$D$59,4,FALSE),0))</f>
        <v>2954</v>
      </c>
      <c r="H31" s="62">
        <f t="shared" si="1"/>
        <v>3.4701093660060849E-2</v>
      </c>
      <c r="I31" s="72">
        <f>SUM($G$7:G31)</f>
        <v>32488</v>
      </c>
      <c r="J31" s="64">
        <f t="shared" si="5"/>
        <v>0.38164154733515804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73">
        <v>25</v>
      </c>
      <c r="D32" s="74">
        <f t="shared" si="3"/>
        <v>52</v>
      </c>
      <c r="E32" s="74">
        <f t="shared" si="0"/>
        <v>4</v>
      </c>
      <c r="F32" s="60">
        <f t="shared" si="4"/>
        <v>60.25</v>
      </c>
      <c r="G32" s="61">
        <f>IF(D32=D31,"",_xlfn.IFNA(VLOOKUP(D32,'인원 입력 기능(사과탐)'!$A$5:$D$59,4,FALSE),0))</f>
        <v>2707</v>
      </c>
      <c r="H32" s="62">
        <f t="shared" si="1"/>
        <v>3.1799546559845876E-2</v>
      </c>
      <c r="I32" s="72">
        <f>SUM($G$7:G32)</f>
        <v>35195</v>
      </c>
      <c r="J32" s="64">
        <f t="shared" si="5"/>
        <v>0.41344109389500394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09">
        <v>24</v>
      </c>
      <c r="D33" s="74">
        <f t="shared" si="3"/>
        <v>51</v>
      </c>
      <c r="E33" s="74">
        <f t="shared" si="0"/>
        <v>5</v>
      </c>
      <c r="F33" s="60">
        <f t="shared" si="4"/>
        <v>56.85</v>
      </c>
      <c r="G33" s="61">
        <f>IF(D33=D32,"",_xlfn.IFNA(VLOOKUP(D33,'인원 입력 기능(사과탐)'!$A$5:$D$59,4,FALSE),0))</f>
        <v>3069</v>
      </c>
      <c r="H33" s="62">
        <f t="shared" si="1"/>
        <v>3.6052016399027338E-2</v>
      </c>
      <c r="I33" s="72">
        <f>SUM($G$7:G33)</f>
        <v>38264</v>
      </c>
      <c r="J33" s="64">
        <f t="shared" si="5"/>
        <v>0.44949311029403127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73">
        <v>23</v>
      </c>
      <c r="D34" s="74">
        <f t="shared" si="3"/>
        <v>50</v>
      </c>
      <c r="E34" s="74">
        <f t="shared" si="0"/>
        <v>5</v>
      </c>
      <c r="F34" s="60">
        <f t="shared" si="4"/>
        <v>53.4</v>
      </c>
      <c r="G34" s="61">
        <f>IF(D34=D33,"",_xlfn.IFNA(VLOOKUP(D34,'인원 입력 기능(사과탐)'!$A$5:$D$59,4,FALSE),0))</f>
        <v>2814</v>
      </c>
      <c r="H34" s="62">
        <f t="shared" si="1"/>
        <v>3.3056492064797306E-2</v>
      </c>
      <c r="I34" s="72">
        <f>SUM($G$7:G34)</f>
        <v>41078</v>
      </c>
      <c r="J34" s="64">
        <f t="shared" si="5"/>
        <v>0.4825496023588286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09">
        <v>22</v>
      </c>
      <c r="D35" s="74">
        <f t="shared" si="3"/>
        <v>49</v>
      </c>
      <c r="E35" s="74">
        <f t="shared" si="0"/>
        <v>5</v>
      </c>
      <c r="F35" s="60">
        <f t="shared" si="4"/>
        <v>50</v>
      </c>
      <c r="G35" s="61">
        <f>IF(D35=D34,"",_xlfn.IFNA(VLOOKUP(D35,'인원 입력 기능(사과탐)'!$A$5:$D$59,4,FALSE),0))</f>
        <v>2975</v>
      </c>
      <c r="H35" s="62">
        <f t="shared" si="1"/>
        <v>3.4947783899350382E-2</v>
      </c>
      <c r="I35" s="72">
        <f>SUM($G$7:G35)</f>
        <v>44053</v>
      </c>
      <c r="J35" s="64">
        <f t="shared" si="5"/>
        <v>0.51749738625817898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73">
        <v>21</v>
      </c>
      <c r="D36" s="257">
        <f t="shared" si="3"/>
        <v>48</v>
      </c>
      <c r="E36" s="257">
        <f t="shared" si="0"/>
        <v>5</v>
      </c>
      <c r="F36" s="247">
        <f t="shared" si="4"/>
        <v>45.07</v>
      </c>
      <c r="G36" s="249">
        <f>IF(D36=D35,"",_xlfn.IFNA(VLOOKUP(D36,'인원 입력 기능(사과탐)'!$A$5:$D$59,4,FALSE),0))</f>
        <v>5420</v>
      </c>
      <c r="H36" s="250">
        <f t="shared" si="1"/>
        <v>6.3669576045203055E-2</v>
      </c>
      <c r="I36" s="252">
        <f>SUM($G$7:G36)</f>
        <v>49473</v>
      </c>
      <c r="J36" s="254">
        <f t="shared" si="5"/>
        <v>0.58116696230338205</v>
      </c>
      <c r="K36" s="36"/>
      <c r="L36" s="20" t="str">
        <f t="shared" si="2"/>
        <v>경고</v>
      </c>
      <c r="N36" s="24"/>
    </row>
    <row r="37" spans="1:14" s="22" customFormat="1" ht="25" customHeight="1" x14ac:dyDescent="0.45">
      <c r="A37" s="20"/>
      <c r="B37" s="35"/>
      <c r="C37" s="109">
        <v>20</v>
      </c>
      <c r="D37" s="256"/>
      <c r="E37" s="256"/>
      <c r="F37" s="246"/>
      <c r="G37" s="248"/>
      <c r="H37" s="251"/>
      <c r="I37" s="253"/>
      <c r="J37" s="255"/>
      <c r="K37" s="36"/>
      <c r="L37" s="20" t="str">
        <f t="shared" si="2"/>
        <v>경고</v>
      </c>
      <c r="N37" s="24"/>
    </row>
    <row r="38" spans="1:14" s="22" customFormat="1" ht="25" customHeight="1" x14ac:dyDescent="0.45">
      <c r="A38" s="20"/>
      <c r="B38" s="35"/>
      <c r="C38" s="73">
        <v>19</v>
      </c>
      <c r="D38" s="74">
        <f t="shared" si="3"/>
        <v>47</v>
      </c>
      <c r="E38" s="74">
        <f t="shared" si="0"/>
        <v>5</v>
      </c>
      <c r="F38" s="60">
        <f t="shared" si="4"/>
        <v>40.21</v>
      </c>
      <c r="G38" s="61">
        <f>IF(D38=D37,"",_xlfn.IFNA(VLOOKUP(D38,'인원 입력 기능(사과탐)'!$A$5:$D$59,4,FALSE),0))</f>
        <v>2841</v>
      </c>
      <c r="H38" s="62">
        <f t="shared" si="1"/>
        <v>3.3373665229598129E-2</v>
      </c>
      <c r="I38" s="72">
        <f>SUM($G$7:G38)</f>
        <v>52314</v>
      </c>
      <c r="J38" s="64">
        <f t="shared" si="5"/>
        <v>0.61454062753298011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09">
        <v>18</v>
      </c>
      <c r="D39" s="74">
        <f t="shared" si="3"/>
        <v>46</v>
      </c>
      <c r="E39" s="74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6</v>
      </c>
      <c r="F39" s="60">
        <f t="shared" si="4"/>
        <v>37.159999999999997</v>
      </c>
      <c r="G39" s="61">
        <f>IF(D39=D38,"",_xlfn.IFNA(VLOOKUP(D39,'인원 입력 기능(사과탐)'!$A$5:$D$59,4,FALSE),0))</f>
        <v>2366</v>
      </c>
      <c r="H39" s="62">
        <f t="shared" si="1"/>
        <v>2.7793766959953951E-2</v>
      </c>
      <c r="I39" s="72">
        <f>SUM($G$7:G39)</f>
        <v>54680</v>
      </c>
      <c r="J39" s="64">
        <f t="shared" si="5"/>
        <v>0.64233439449293406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73">
        <v>17</v>
      </c>
      <c r="D40" s="74">
        <f t="shared" si="3"/>
        <v>45</v>
      </c>
      <c r="E40" s="74">
        <f t="shared" si="6"/>
        <v>6</v>
      </c>
      <c r="F40" s="60">
        <f t="shared" si="4"/>
        <v>34.21</v>
      </c>
      <c r="G40" s="61">
        <f>IF(D40=D39,"",_xlfn.IFNA(VLOOKUP(D40,'인원 입력 기능(사과탐)'!$A$5:$D$59,4,FALSE),0))</f>
        <v>2655</v>
      </c>
      <c r="H40" s="62">
        <f t="shared" si="1"/>
        <v>3.1188694538747987E-2</v>
      </c>
      <c r="I40" s="72">
        <f>SUM($G$7:G40)</f>
        <v>57335</v>
      </c>
      <c r="J40" s="64">
        <f t="shared" si="5"/>
        <v>0.67352308903168212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09">
        <v>16</v>
      </c>
      <c r="D41" s="74">
        <f t="shared" si="3"/>
        <v>44</v>
      </c>
      <c r="E41" s="74">
        <f t="shared" si="6"/>
        <v>6</v>
      </c>
      <c r="F41" s="60">
        <f t="shared" si="4"/>
        <v>31.33</v>
      </c>
      <c r="G41" s="61">
        <f>IF(D41=D40,"",_xlfn.IFNA(VLOOKUP(D41,'인원 입력 기능(사과탐)'!$A$5:$D$59,4,FALSE),0))</f>
        <v>2247</v>
      </c>
      <c r="H41" s="62">
        <f t="shared" si="1"/>
        <v>2.6395855603979935E-2</v>
      </c>
      <c r="I41" s="72">
        <f>SUM($G$7:G41)</f>
        <v>59582</v>
      </c>
      <c r="J41" s="64">
        <f t="shared" si="5"/>
        <v>0.69991894463566207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73">
        <v>15</v>
      </c>
      <c r="D42" s="74">
        <f t="shared" si="3"/>
        <v>43</v>
      </c>
      <c r="E42" s="74">
        <f t="shared" si="6"/>
        <v>6</v>
      </c>
      <c r="F42" s="60">
        <f t="shared" si="4"/>
        <v>28.62</v>
      </c>
      <c r="G42" s="61">
        <f>IF(D42=D41,"",_xlfn.IFNA(VLOOKUP(D42,'인원 입력 기능(사과탐)'!$A$5:$D$59,4,FALSE),0))</f>
        <v>2365</v>
      </c>
      <c r="H42" s="62">
        <f t="shared" si="1"/>
        <v>2.7782019805702069E-2</v>
      </c>
      <c r="I42" s="72">
        <f>SUM($G$7:G42)</f>
        <v>61947</v>
      </c>
      <c r="J42" s="64">
        <f t="shared" si="5"/>
        <v>0.72770096444136412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09">
        <v>14</v>
      </c>
      <c r="D43" s="74">
        <f t="shared" si="3"/>
        <v>42</v>
      </c>
      <c r="E43" s="74">
        <f t="shared" si="6"/>
        <v>6</v>
      </c>
      <c r="F43" s="60">
        <f t="shared" si="4"/>
        <v>25.81</v>
      </c>
      <c r="G43" s="61">
        <f>IF(D43=D42,"",_xlfn.IFNA(VLOOKUP(D43,'인원 입력 기능(사과탐)'!$A$5:$D$59,4,FALSE),0))</f>
        <v>2425</v>
      </c>
      <c r="H43" s="62">
        <f t="shared" si="1"/>
        <v>2.8486849060815018E-2</v>
      </c>
      <c r="I43" s="72">
        <f>SUM($G$7:G43)</f>
        <v>64372</v>
      </c>
      <c r="J43" s="64">
        <f t="shared" si="5"/>
        <v>0.75618781350217912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73">
        <v>13</v>
      </c>
      <c r="D44" s="74">
        <f t="shared" si="3"/>
        <v>41</v>
      </c>
      <c r="E44" s="74">
        <f t="shared" si="6"/>
        <v>6</v>
      </c>
      <c r="F44" s="60">
        <f t="shared" si="4"/>
        <v>23.25</v>
      </c>
      <c r="G44" s="61">
        <f>IF(D44=D43,"",_xlfn.IFNA(VLOOKUP(D44,'인원 입력 기능(사과탐)'!$A$5:$D$59,4,FALSE),0))</f>
        <v>1927</v>
      </c>
      <c r="H44" s="62">
        <f t="shared" si="1"/>
        <v>2.2636766243377543E-2</v>
      </c>
      <c r="I44" s="72">
        <f>SUM($G$7:G44)</f>
        <v>66299</v>
      </c>
      <c r="J44" s="64">
        <f t="shared" si="5"/>
        <v>0.77882457974555663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09">
        <v>12</v>
      </c>
      <c r="D45" s="74">
        <f t="shared" si="3"/>
        <v>40</v>
      </c>
      <c r="E45" s="74">
        <f t="shared" si="6"/>
        <v>7</v>
      </c>
      <c r="F45" s="60">
        <f t="shared" si="4"/>
        <v>18.5</v>
      </c>
      <c r="G45" s="61">
        <f>IF(D45=D44,"",_xlfn.IFNA(VLOOKUP(D45,'인원 입력 기능(사과탐)'!$A$5:$D$59,4,FALSE),0))</f>
        <v>6161</v>
      </c>
      <c r="H45" s="62">
        <f t="shared" si="1"/>
        <v>7.2374217345847966E-2</v>
      </c>
      <c r="I45" s="72">
        <f>SUM($G$7:G45)</f>
        <v>72460</v>
      </c>
      <c r="J45" s="64">
        <f t="shared" si="5"/>
        <v>0.85119879709140456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73">
        <v>11</v>
      </c>
      <c r="D46" s="74">
        <f t="shared" si="3"/>
        <v>39</v>
      </c>
      <c r="E46" s="74">
        <f t="shared" si="6"/>
        <v>7</v>
      </c>
      <c r="F46" s="60">
        <f t="shared" si="4"/>
        <v>13.58</v>
      </c>
      <c r="G46" s="61">
        <f>IF(D46=D45,"",_xlfn.IFNA(VLOOKUP(D46,'인원 입력 기능(사과탐)'!$A$5:$D$59,4,FALSE),0))</f>
        <v>2219</v>
      </c>
      <c r="H46" s="62">
        <f t="shared" si="1"/>
        <v>2.6066935284927227E-2</v>
      </c>
      <c r="I46" s="72">
        <f>SUM($G$7:G46)</f>
        <v>74679</v>
      </c>
      <c r="J46" s="64">
        <f t="shared" si="5"/>
        <v>0.87726573237633187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09">
        <v>10</v>
      </c>
      <c r="D47" s="74">
        <f t="shared" si="3"/>
        <v>38</v>
      </c>
      <c r="E47" s="74">
        <f t="shared" si="6"/>
        <v>7</v>
      </c>
      <c r="F47" s="60">
        <f t="shared" si="4"/>
        <v>9.73</v>
      </c>
      <c r="G47" s="61">
        <f>IF(D47=D46,"",_xlfn.IFNA(VLOOKUP(D47,'인원 입력 기능(사과탐)'!$A$5:$D$59,4,FALSE),0))</f>
        <v>4333</v>
      </c>
      <c r="H47" s="62">
        <f t="shared" si="1"/>
        <v>5.0900419373406794E-2</v>
      </c>
      <c r="I47" s="72">
        <f>SUM($G$7:G47)</f>
        <v>79012</v>
      </c>
      <c r="J47" s="64">
        <f t="shared" si="5"/>
        <v>0.9281661517497386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73">
        <v>9</v>
      </c>
      <c r="D48" s="74">
        <f t="shared" si="3"/>
        <v>37</v>
      </c>
      <c r="E48" s="74">
        <f t="shared" si="6"/>
        <v>8</v>
      </c>
      <c r="F48" s="60">
        <f t="shared" si="4"/>
        <v>6.41</v>
      </c>
      <c r="G48" s="61">
        <f>IF(D48=D47,"",_xlfn.IFNA(VLOOKUP(D48,'인원 입력 기능(사과탐)'!$A$5:$D$59,4,FALSE),0))</f>
        <v>1320</v>
      </c>
      <c r="H48" s="62">
        <f t="shared" si="1"/>
        <v>1.5506243612484875E-2</v>
      </c>
      <c r="I48" s="72">
        <f>SUM($G$7:G48)</f>
        <v>80332</v>
      </c>
      <c r="J48" s="64">
        <f t="shared" si="5"/>
        <v>0.94367239536222347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09">
        <v>8</v>
      </c>
      <c r="D49" s="74">
        <f t="shared" si="3"/>
        <v>36</v>
      </c>
      <c r="E49" s="74">
        <f t="shared" si="6"/>
        <v>8</v>
      </c>
      <c r="F49" s="60">
        <f t="shared" si="4"/>
        <v>4.96</v>
      </c>
      <c r="G49" s="61">
        <f>IF(D49=D48,"",_xlfn.IFNA(VLOOKUP(D49,'인원 입력 기능(사과탐)'!$A$5:$D$59,4,FALSE),0))</f>
        <v>1151</v>
      </c>
      <c r="H49" s="62">
        <f t="shared" si="1"/>
        <v>1.3520974543916736E-2</v>
      </c>
      <c r="I49" s="72">
        <f>SUM($G$7:G49)</f>
        <v>81483</v>
      </c>
      <c r="J49" s="64">
        <f t="shared" si="5"/>
        <v>0.95719336990614023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73">
        <v>7</v>
      </c>
      <c r="D50" s="74">
        <f t="shared" si="3"/>
        <v>35</v>
      </c>
      <c r="E50" s="74">
        <f t="shared" si="6"/>
        <v>8</v>
      </c>
      <c r="F50" s="60">
        <f t="shared" si="4"/>
        <v>3.28</v>
      </c>
      <c r="G50" s="61">
        <f>IF(D50=D49,"",_xlfn.IFNA(VLOOKUP(D50,'인원 입력 기능(사과탐)'!$A$5:$D$59,4,FALSE),0))</f>
        <v>1701</v>
      </c>
      <c r="H50" s="62">
        <f t="shared" si="1"/>
        <v>1.99819093824521E-2</v>
      </c>
      <c r="I50" s="72">
        <f>SUM($G$7:G50)</f>
        <v>83184</v>
      </c>
      <c r="J50" s="64">
        <f t="shared" si="5"/>
        <v>0.97717527928859238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09">
        <v>6</v>
      </c>
      <c r="D51" s="74">
        <f t="shared" si="3"/>
        <v>34</v>
      </c>
      <c r="E51" s="74">
        <f t="shared" si="6"/>
        <v>9</v>
      </c>
      <c r="F51" s="60">
        <f t="shared" si="4"/>
        <v>1.94</v>
      </c>
      <c r="G51" s="61">
        <f>IF(D51=D50,"",_xlfn.IFNA(VLOOKUP(D51,'인원 입력 기능(사과탐)'!$A$5:$D$59,4,FALSE),0))</f>
        <v>576</v>
      </c>
      <c r="H51" s="62">
        <f t="shared" si="1"/>
        <v>6.7663608490843097E-3</v>
      </c>
      <c r="I51" s="72">
        <f>SUM($G$7:G51)</f>
        <v>83760</v>
      </c>
      <c r="J51" s="64">
        <f t="shared" si="5"/>
        <v>0.9839416401376766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73">
        <v>5</v>
      </c>
      <c r="D52" s="74">
        <f t="shared" si="3"/>
        <v>33</v>
      </c>
      <c r="E52" s="74">
        <f t="shared" si="6"/>
        <v>9</v>
      </c>
      <c r="F52" s="60">
        <f t="shared" si="4"/>
        <v>1.22</v>
      </c>
      <c r="G52" s="61">
        <f>IF(D52=D51,"",_xlfn.IFNA(VLOOKUP(D52,'인원 입력 기능(사과탐)'!$A$5:$D$59,4,FALSE),0))</f>
        <v>651</v>
      </c>
      <c r="H52" s="62">
        <f t="shared" si="1"/>
        <v>7.6473974179754956E-3</v>
      </c>
      <c r="I52" s="72">
        <f>SUM($G$7:G52)</f>
        <v>84411</v>
      </c>
      <c r="J52" s="64">
        <f t="shared" si="5"/>
        <v>0.9915890375556522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58">
        <v>4</v>
      </c>
      <c r="D53" s="59">
        <f t="shared" si="3"/>
        <v>32</v>
      </c>
      <c r="E53" s="59">
        <f t="shared" si="6"/>
        <v>9</v>
      </c>
      <c r="F53" s="60">
        <f t="shared" si="4"/>
        <v>0.67</v>
      </c>
      <c r="G53" s="61">
        <f>IF(D53=D52,"",_xlfn.IFNA(VLOOKUP(D53,'인원 입력 기능(사과탐)'!$A$5:$D$59,4,FALSE),0))</f>
        <v>289</v>
      </c>
      <c r="H53" s="62">
        <f t="shared" si="1"/>
        <v>3.3949275787940373E-3</v>
      </c>
      <c r="I53" s="72">
        <f>SUM($G$7:G53)</f>
        <v>84700</v>
      </c>
      <c r="J53" s="64">
        <f t="shared" si="5"/>
        <v>0.9949839651344462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65">
        <v>3</v>
      </c>
      <c r="D54" s="59">
        <f t="shared" si="3"/>
        <v>31</v>
      </c>
      <c r="E54" s="59">
        <f t="shared" si="6"/>
        <v>9</v>
      </c>
      <c r="F54" s="60">
        <f t="shared" si="4"/>
        <v>0.4</v>
      </c>
      <c r="G54" s="61">
        <f>IF(D54=D53,"",_xlfn.IFNA(VLOOKUP(D54,'인원 입력 기능(사과탐)'!$A$5:$D$59,4,FALSE),0))</f>
        <v>168</v>
      </c>
      <c r="H54" s="62">
        <f t="shared" si="1"/>
        <v>1.973521914316257E-3</v>
      </c>
      <c r="I54" s="72">
        <f>SUM($G$7:G54)</f>
        <v>84868</v>
      </c>
      <c r="J54" s="64">
        <f t="shared" si="5"/>
        <v>0.99695748704876241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58">
        <v>2</v>
      </c>
      <c r="D55" s="59">
        <f t="shared" si="3"/>
        <v>30</v>
      </c>
      <c r="E55" s="59">
        <f t="shared" si="6"/>
        <v>9</v>
      </c>
      <c r="F55" s="60">
        <f t="shared" si="4"/>
        <v>0.19</v>
      </c>
      <c r="G55" s="61">
        <f>IF(D55=D54,"",_xlfn.IFNA(VLOOKUP(D55,'인원 입력 기능(사과탐)'!$A$5:$D$59,4,FALSE),0))</f>
        <v>189</v>
      </c>
      <c r="H55" s="62">
        <f t="shared" si="1"/>
        <v>2.2202121536057892E-3</v>
      </c>
      <c r="I55" s="72">
        <f>SUM($G$7:G55)</f>
        <v>85057</v>
      </c>
      <c r="J55" s="64">
        <f t="shared" si="5"/>
        <v>0.99917769920236821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5">
        <v>1</v>
      </c>
      <c r="D56" s="66" t="s">
        <v>56</v>
      </c>
      <c r="E56" s="66"/>
      <c r="F56" s="67"/>
      <c r="G56" s="110"/>
      <c r="H56" s="108"/>
      <c r="I56" s="76"/>
      <c r="J56" s="71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11">
        <v>0</v>
      </c>
      <c r="D57" s="78">
        <f>ROUND(10*(C57-$H$3)/$H$4+50,0)</f>
        <v>28</v>
      </c>
      <c r="E57" s="112">
        <f t="shared" si="6"/>
        <v>9</v>
      </c>
      <c r="F57" s="79">
        <f>IF(I55=0,ROUND(100*(1-(I54+I57)/2/$J$3),2),ROUND(100*(1-(I55+I57)/2/$J$3),2))</f>
        <v>0.04</v>
      </c>
      <c r="G57" s="113">
        <f>_xlfn.IFNA(VLOOKUP(D57,'인원 입력 기능(사과탐)'!$A$5:$D$59,4,FALSE),0)</f>
        <v>70</v>
      </c>
      <c r="H57" s="81">
        <f>G57/$J$3</f>
        <v>8.2230079763177366E-4</v>
      </c>
      <c r="I57" s="82">
        <f>SUM($G$7:G57)</f>
        <v>85127</v>
      </c>
      <c r="J57" s="114">
        <f>I57/$J$3</f>
        <v>1</v>
      </c>
      <c r="K57" s="36"/>
      <c r="L57" s="20" t="str">
        <f>IF(ABS((C57-$H$3)/$H$4*10+50-D57)&gt;0.49, "경고", "")</f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10">
    <mergeCell ref="D3:F3"/>
    <mergeCell ref="D4:F4"/>
    <mergeCell ref="I4:J5"/>
    <mergeCell ref="D36:D37"/>
    <mergeCell ref="E36:E37"/>
    <mergeCell ref="F36:F37"/>
    <mergeCell ref="G36:G37"/>
    <mergeCell ref="H36:H37"/>
    <mergeCell ref="I36:I37"/>
    <mergeCell ref="J36:J37"/>
  </mergeCells>
  <phoneticPr fontId="1" type="noConversion"/>
  <conditionalFormatting sqref="D7:J36 D38:J57">
    <cfRule type="expression" dxfId="50" priority="3">
      <formula>OR($D7=$Q$7:$Q$14)</formula>
    </cfRule>
  </conditionalFormatting>
  <conditionalFormatting sqref="C7:C57">
    <cfRule type="expression" dxfId="49" priority="2">
      <formula>OR(AND($D7=0,OR($D6=$Q$7:$Q$14)),AND($D8&gt;0,OR($D7=$Q$7:$Q$14)))</formula>
    </cfRule>
  </conditionalFormatting>
  <conditionalFormatting sqref="D7:D36 D38:D57">
    <cfRule type="expression" dxfId="48" priority="1">
      <formula>$D7=$D8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C077F-33A8-4B1F-8311-5093F7F331C9}">
  <sheetPr codeName="Sheet11"/>
  <dimension ref="A1:Q105"/>
  <sheetViews>
    <sheetView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152" t="s">
        <v>133</v>
      </c>
      <c r="B1" s="157"/>
      <c r="C1" s="33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8"/>
      <c r="B2" s="152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155"/>
      <c r="C3" s="48" t="s">
        <v>68</v>
      </c>
      <c r="D3" s="163" t="s">
        <v>134</v>
      </c>
      <c r="E3" s="164"/>
      <c r="F3" s="165"/>
      <c r="G3" s="48" t="s">
        <v>69</v>
      </c>
      <c r="H3" s="49" t="str">
        <f>'통계 및 응시자 수 입력 기능'!D9</f>
        <v>20.33</v>
      </c>
      <c r="I3" s="21" t="s">
        <v>70</v>
      </c>
      <c r="J3" s="50">
        <f>'통계 및 응시자 수 입력 기능'!C9</f>
        <v>50518</v>
      </c>
      <c r="K3" s="36"/>
      <c r="L3" s="20"/>
    </row>
    <row r="4" spans="1:17" s="22" customFormat="1" ht="25" customHeight="1" thickBot="1" x14ac:dyDescent="0.5">
      <c r="A4" s="20"/>
      <c r="B4" s="35"/>
      <c r="C4" s="51" t="s">
        <v>71</v>
      </c>
      <c r="D4" s="166" t="s">
        <v>103</v>
      </c>
      <c r="E4" s="167"/>
      <c r="F4" s="168"/>
      <c r="G4" s="52" t="s">
        <v>73</v>
      </c>
      <c r="H4" s="53" t="str">
        <f>'통계 및 응시자 수 입력 기능'!E9</f>
        <v xml:space="preserve"> 9.85</v>
      </c>
      <c r="I4" s="169"/>
      <c r="J4" s="170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171"/>
      <c r="J5" s="171"/>
      <c r="K5" s="36"/>
      <c r="L5" s="20"/>
    </row>
    <row r="6" spans="1:17" s="22" customFormat="1" ht="25" customHeight="1" thickBot="1" x14ac:dyDescent="0.5">
      <c r="A6" s="20"/>
      <c r="B6" s="35"/>
      <c r="C6" s="54" t="s">
        <v>75</v>
      </c>
      <c r="D6" s="55" t="s">
        <v>76</v>
      </c>
      <c r="E6" s="55" t="s">
        <v>77</v>
      </c>
      <c r="F6" s="55" t="s">
        <v>78</v>
      </c>
      <c r="G6" s="55" t="s">
        <v>79</v>
      </c>
      <c r="H6" s="55" t="s">
        <v>80</v>
      </c>
      <c r="I6" s="56" t="s">
        <v>81</v>
      </c>
      <c r="J6" s="57" t="s">
        <v>82</v>
      </c>
      <c r="K6" s="36"/>
      <c r="L6" s="19" t="s">
        <v>64</v>
      </c>
      <c r="M6" s="19"/>
      <c r="N6" s="23"/>
    </row>
    <row r="7" spans="1:17" s="22" customFormat="1" ht="25" customHeight="1" x14ac:dyDescent="0.45">
      <c r="A7" s="20"/>
      <c r="B7" s="35"/>
      <c r="C7" s="160">
        <v>50</v>
      </c>
      <c r="D7" s="59">
        <f>ROUND(10*(C7-$H$3)/$H$4+50,0)</f>
        <v>80</v>
      </c>
      <c r="E7" s="59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60">
        <f>ROUND(100*(1-(0+I7)/2/$J$3),2)</f>
        <v>99.79</v>
      </c>
      <c r="G7" s="61">
        <f>_xlfn.IFNA(VLOOKUP(D7,'인원 입력 기능(사과탐)'!$F$5:$I$59,4,FALSE),0)</f>
        <v>215</v>
      </c>
      <c r="H7" s="62">
        <f>G7/$J$3</f>
        <v>4.2559087849875291E-3</v>
      </c>
      <c r="I7" s="63">
        <f>G7</f>
        <v>215</v>
      </c>
      <c r="J7" s="64">
        <f>I7/$J$3</f>
        <v>4.2559087849875291E-3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기능'!C49</f>
        <v>70</v>
      </c>
    </row>
    <row r="8" spans="1:17" s="22" customFormat="1" ht="25" customHeight="1" x14ac:dyDescent="0.45">
      <c r="A8" s="20"/>
      <c r="B8" s="35"/>
      <c r="C8" s="58">
        <v>49</v>
      </c>
      <c r="D8" s="66" t="s">
        <v>56</v>
      </c>
      <c r="E8" s="66"/>
      <c r="F8" s="67"/>
      <c r="G8" s="68"/>
      <c r="H8" s="108"/>
      <c r="I8" s="70"/>
      <c r="J8" s="71"/>
      <c r="K8" s="36"/>
      <c r="L8" s="20"/>
      <c r="N8" s="24"/>
      <c r="P8" s="24">
        <v>2</v>
      </c>
      <c r="Q8" s="24">
        <f>'표점등급&amp;절평인원 입력 기능'!C50</f>
        <v>64</v>
      </c>
    </row>
    <row r="9" spans="1:17" s="22" customFormat="1" ht="25" customHeight="1" x14ac:dyDescent="0.45">
      <c r="A9" s="20"/>
      <c r="B9" s="35"/>
      <c r="C9" s="58">
        <v>48</v>
      </c>
      <c r="D9" s="59">
        <f>ROUND(10*(C9-$H$3)/$H$4+50,0)</f>
        <v>78</v>
      </c>
      <c r="E9" s="59">
        <f t="shared" si="0"/>
        <v>1</v>
      </c>
      <c r="F9" s="60">
        <f>IF(I8=0,ROUND(100*(1-(I7+I9)/2/$J$3),2),ROUND(100*(1-(I8+I9)/2/$J$3),2))</f>
        <v>99.51</v>
      </c>
      <c r="G9" s="61">
        <f>_xlfn.IFNA(VLOOKUP(D9,'인원 입력 기능(사과탐)'!$F$5:$I$59,4,FALSE),0)</f>
        <v>63</v>
      </c>
      <c r="H9" s="62">
        <f t="shared" ref="H9:H55" si="1">G9/$J$3</f>
        <v>1.2470802486242527E-3</v>
      </c>
      <c r="I9" s="72">
        <f>SUM($G$7:G9)</f>
        <v>278</v>
      </c>
      <c r="J9" s="64">
        <f>I9/$J$3</f>
        <v>5.5029890336117816E-3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기능'!C51</f>
        <v>58</v>
      </c>
    </row>
    <row r="10" spans="1:17" s="22" customFormat="1" ht="25" customHeight="1" x14ac:dyDescent="0.45">
      <c r="A10" s="20"/>
      <c r="B10" s="35"/>
      <c r="C10" s="65">
        <v>47</v>
      </c>
      <c r="D10" s="59">
        <f t="shared" ref="D10:D55" si="3">ROUND(10*(C10-$H$3)/$H$4+50,0)</f>
        <v>77</v>
      </c>
      <c r="E10" s="59">
        <f t="shared" si="0"/>
        <v>1</v>
      </c>
      <c r="F10" s="60">
        <f t="shared" ref="F10:F55" si="4">IF(I9=0,ROUND(100*(1-(I8+I10)/2/$J$3),2),ROUND(100*(1-(I9+I10)/2/$J$3),2))</f>
        <v>99.14</v>
      </c>
      <c r="G10" s="61">
        <f>IF(D10=D9,"",_xlfn.IFNA(VLOOKUP(D10,'인원 입력 기능(사과탐)'!$F$5:$I$59,4,FALSE),0))</f>
        <v>310</v>
      </c>
      <c r="H10" s="62">
        <f t="shared" si="1"/>
        <v>6.1364266202145771E-3</v>
      </c>
      <c r="I10" s="72">
        <f>SUM($G$7:G10)</f>
        <v>588</v>
      </c>
      <c r="J10" s="64">
        <f t="shared" ref="J10:J55" si="5">I10/$J$3</f>
        <v>1.163941565382636E-2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기능'!C52</f>
        <v>52</v>
      </c>
    </row>
    <row r="11" spans="1:17" s="22" customFormat="1" ht="25" customHeight="1" x14ac:dyDescent="0.45">
      <c r="A11" s="20"/>
      <c r="B11" s="35"/>
      <c r="C11" s="58">
        <v>46</v>
      </c>
      <c r="D11" s="59">
        <f t="shared" si="3"/>
        <v>76</v>
      </c>
      <c r="E11" s="59">
        <f t="shared" si="0"/>
        <v>1</v>
      </c>
      <c r="F11" s="60">
        <f t="shared" si="4"/>
        <v>98.81</v>
      </c>
      <c r="G11" s="61">
        <f>IF(D11=D10,"",_xlfn.IFNA(VLOOKUP(D11,'인원 입력 기능(사과탐)'!$F$5:$I$59,4,FALSE),0))</f>
        <v>31</v>
      </c>
      <c r="H11" s="62">
        <f t="shared" si="1"/>
        <v>6.1364266202145769E-4</v>
      </c>
      <c r="I11" s="72">
        <f>SUM($G$7:G11)</f>
        <v>619</v>
      </c>
      <c r="J11" s="64">
        <f t="shared" si="5"/>
        <v>1.2253058315847817E-2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기능'!C53</f>
        <v>46</v>
      </c>
    </row>
    <row r="12" spans="1:17" s="22" customFormat="1" ht="25" customHeight="1" x14ac:dyDescent="0.45">
      <c r="A12" s="20"/>
      <c r="B12" s="35"/>
      <c r="C12" s="65">
        <v>45</v>
      </c>
      <c r="D12" s="59">
        <f t="shared" si="3"/>
        <v>75</v>
      </c>
      <c r="E12" s="59">
        <f t="shared" si="0"/>
        <v>1</v>
      </c>
      <c r="F12" s="60">
        <f t="shared" si="4"/>
        <v>98.59</v>
      </c>
      <c r="G12" s="61">
        <f>IF(D12=D11,"",_xlfn.IFNA(VLOOKUP(D12,'인원 입력 기능(사과탐)'!$F$5:$I$59,4,FALSE),0))</f>
        <v>190</v>
      </c>
      <c r="H12" s="62">
        <f t="shared" si="1"/>
        <v>3.7610356704540957E-3</v>
      </c>
      <c r="I12" s="72">
        <f>SUM($G$7:G12)</f>
        <v>809</v>
      </c>
      <c r="J12" s="64">
        <f t="shared" si="5"/>
        <v>1.6014093986301912E-2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기능'!C54</f>
        <v>43</v>
      </c>
    </row>
    <row r="13" spans="1:17" s="22" customFormat="1" ht="25" customHeight="1" x14ac:dyDescent="0.45">
      <c r="A13" s="20"/>
      <c r="B13" s="35"/>
      <c r="C13" s="58">
        <v>44</v>
      </c>
      <c r="D13" s="59">
        <f t="shared" si="3"/>
        <v>74</v>
      </c>
      <c r="E13" s="59">
        <f t="shared" si="0"/>
        <v>1</v>
      </c>
      <c r="F13" s="60">
        <f t="shared" si="4"/>
        <v>98.09</v>
      </c>
      <c r="G13" s="61">
        <f>IF(D13=D12,"",_xlfn.IFNA(VLOOKUP(D13,'인원 입력 기능(사과탐)'!$F$5:$I$59,4,FALSE),0))</f>
        <v>315</v>
      </c>
      <c r="H13" s="62">
        <f t="shared" si="1"/>
        <v>6.2354012431212634E-3</v>
      </c>
      <c r="I13" s="72">
        <f>SUM($G$7:G13)</f>
        <v>1124</v>
      </c>
      <c r="J13" s="64">
        <f t="shared" si="5"/>
        <v>2.2249495229423176E-2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기능'!C55</f>
        <v>39</v>
      </c>
    </row>
    <row r="14" spans="1:17" s="22" customFormat="1" ht="25" customHeight="1" x14ac:dyDescent="0.45">
      <c r="A14" s="20"/>
      <c r="B14" s="35"/>
      <c r="C14" s="65">
        <v>43</v>
      </c>
      <c r="D14" s="59">
        <f t="shared" si="3"/>
        <v>73</v>
      </c>
      <c r="E14" s="59">
        <f t="shared" si="0"/>
        <v>1</v>
      </c>
      <c r="F14" s="60">
        <f t="shared" si="4"/>
        <v>97.65</v>
      </c>
      <c r="G14" s="61">
        <f>IF(D14=D13,"",_xlfn.IFNA(VLOOKUP(D14,'인원 입력 기능(사과탐)'!$F$5:$I$59,4,FALSE),0))</f>
        <v>126</v>
      </c>
      <c r="H14" s="62">
        <f t="shared" si="1"/>
        <v>2.4941604972485054E-3</v>
      </c>
      <c r="I14" s="72">
        <f>SUM($G$7:G14)</f>
        <v>1250</v>
      </c>
      <c r="J14" s="64">
        <f t="shared" si="5"/>
        <v>2.4743655726671681E-2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기능'!C56</f>
        <v>36</v>
      </c>
    </row>
    <row r="15" spans="1:17" s="22" customFormat="1" ht="25" customHeight="1" x14ac:dyDescent="0.45">
      <c r="A15" s="20"/>
      <c r="B15" s="35"/>
      <c r="C15" s="58">
        <v>42</v>
      </c>
      <c r="D15" s="59">
        <f t="shared" si="3"/>
        <v>72</v>
      </c>
      <c r="E15" s="59">
        <f t="shared" si="0"/>
        <v>1</v>
      </c>
      <c r="F15" s="60">
        <f t="shared" si="4"/>
        <v>97.14</v>
      </c>
      <c r="G15" s="61">
        <f>IF(D15=D14,"",_xlfn.IFNA(VLOOKUP(D15,'인원 입력 기능(사과탐)'!$F$5:$I$59,4,FALSE),0))</f>
        <v>387</v>
      </c>
      <c r="H15" s="62">
        <f t="shared" si="1"/>
        <v>7.6606358129775523E-3</v>
      </c>
      <c r="I15" s="72">
        <f>SUM($G$7:G15)</f>
        <v>1637</v>
      </c>
      <c r="J15" s="64">
        <f t="shared" si="5"/>
        <v>3.2404291539649237E-2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5">
        <v>41</v>
      </c>
      <c r="D16" s="59">
        <f t="shared" si="3"/>
        <v>71</v>
      </c>
      <c r="E16" s="59">
        <f t="shared" si="0"/>
        <v>1</v>
      </c>
      <c r="F16" s="60">
        <f t="shared" si="4"/>
        <v>96.39</v>
      </c>
      <c r="G16" s="61">
        <f>IF(D16=D15,"",_xlfn.IFNA(VLOOKUP(D16,'인원 입력 기능(사과탐)'!$F$5:$I$59,4,FALSE),0))</f>
        <v>371</v>
      </c>
      <c r="H16" s="62">
        <f t="shared" si="1"/>
        <v>7.343917019676155E-3</v>
      </c>
      <c r="I16" s="72">
        <f>SUM($G$7:G16)</f>
        <v>2008</v>
      </c>
      <c r="J16" s="64">
        <f t="shared" si="5"/>
        <v>3.9748208559325392E-2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58">
        <v>40</v>
      </c>
      <c r="D17" s="59">
        <f t="shared" si="3"/>
        <v>70</v>
      </c>
      <c r="E17" s="59">
        <f t="shared" si="0"/>
        <v>1</v>
      </c>
      <c r="F17" s="60">
        <f t="shared" si="4"/>
        <v>95.76</v>
      </c>
      <c r="G17" s="61">
        <f>IF(D17=D16,"",_xlfn.IFNA(VLOOKUP(D17,'인원 입력 기능(사과탐)'!$F$5:$I$59,4,FALSE),0))</f>
        <v>272</v>
      </c>
      <c r="H17" s="62">
        <f t="shared" si="1"/>
        <v>5.3842194861237576E-3</v>
      </c>
      <c r="I17" s="72">
        <f>SUM($G$7:G17)</f>
        <v>2280</v>
      </c>
      <c r="J17" s="64">
        <f t="shared" si="5"/>
        <v>4.5132428045449147E-2</v>
      </c>
      <c r="K17" s="36"/>
      <c r="L17" s="20" t="str">
        <f t="shared" si="2"/>
        <v/>
      </c>
      <c r="N17" s="24"/>
      <c r="Q17" s="24">
        <f>Q7*H3*H4*J3*IFERROR(IF(J57=1, 1, 0), 0)</f>
        <v>708137833.12999988</v>
      </c>
    </row>
    <row r="18" spans="1:17" s="22" customFormat="1" ht="25" customHeight="1" x14ac:dyDescent="0.45">
      <c r="A18" s="20"/>
      <c r="B18" s="35"/>
      <c r="C18" s="65">
        <v>39</v>
      </c>
      <c r="D18" s="59">
        <f t="shared" si="3"/>
        <v>69</v>
      </c>
      <c r="E18" s="59">
        <f t="shared" si="0"/>
        <v>2</v>
      </c>
      <c r="F18" s="60">
        <f t="shared" si="4"/>
        <v>94.96</v>
      </c>
      <c r="G18" s="61">
        <f>IF(D18=D17,"",_xlfn.IFNA(VLOOKUP(D18,'인원 입력 기능(사과탐)'!$F$5:$I$59,4,FALSE),0))</f>
        <v>529</v>
      </c>
      <c r="H18" s="62">
        <f t="shared" si="1"/>
        <v>1.0471515103527456E-2</v>
      </c>
      <c r="I18" s="72">
        <f>SUM($G$7:G18)</f>
        <v>2809</v>
      </c>
      <c r="J18" s="64">
        <f t="shared" si="5"/>
        <v>5.5603943148976605E-2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58">
        <v>38</v>
      </c>
      <c r="D19" s="59">
        <f t="shared" si="3"/>
        <v>68</v>
      </c>
      <c r="E19" s="59">
        <f t="shared" si="0"/>
        <v>2</v>
      </c>
      <c r="F19" s="60">
        <f t="shared" si="4"/>
        <v>94.05</v>
      </c>
      <c r="G19" s="61">
        <f>IF(D19=D18,"",_xlfn.IFNA(VLOOKUP(D19,'인원 입력 기능(사과탐)'!$F$5:$I$59,4,FALSE),0))</f>
        <v>390</v>
      </c>
      <c r="H19" s="62">
        <f t="shared" si="1"/>
        <v>7.7200205867215647E-3</v>
      </c>
      <c r="I19" s="72">
        <f>SUM($G$7:G19)</f>
        <v>3199</v>
      </c>
      <c r="J19" s="64">
        <f t="shared" si="5"/>
        <v>6.3323963735698166E-2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65">
        <v>37</v>
      </c>
      <c r="D20" s="59">
        <f t="shared" si="3"/>
        <v>67</v>
      </c>
      <c r="E20" s="59">
        <f t="shared" si="0"/>
        <v>2</v>
      </c>
      <c r="F20" s="60">
        <f t="shared" si="4"/>
        <v>93.13</v>
      </c>
      <c r="G20" s="61">
        <f>IF(D20=D19,"",_xlfn.IFNA(VLOOKUP(D20,'인원 입력 기능(사과탐)'!$F$5:$I$59,4,FALSE),0))</f>
        <v>539</v>
      </c>
      <c r="H20" s="62">
        <f t="shared" si="1"/>
        <v>1.0669464349340829E-2</v>
      </c>
      <c r="I20" s="72">
        <f>SUM($G$7:G20)</f>
        <v>3738</v>
      </c>
      <c r="J20" s="64">
        <f t="shared" si="5"/>
        <v>7.399342808503899E-2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09">
        <v>36</v>
      </c>
      <c r="D21" s="74">
        <f t="shared" si="3"/>
        <v>66</v>
      </c>
      <c r="E21" s="74">
        <f t="shared" si="0"/>
        <v>2</v>
      </c>
      <c r="F21" s="60">
        <f t="shared" si="4"/>
        <v>91.95</v>
      </c>
      <c r="G21" s="61">
        <f>IF(D21=D20,"",_xlfn.IFNA(VLOOKUP(D21,'인원 입력 기능(사과탐)'!$F$5:$I$59,4,FALSE),0))</f>
        <v>659</v>
      </c>
      <c r="H21" s="62">
        <f t="shared" si="1"/>
        <v>1.3044855299101311E-2</v>
      </c>
      <c r="I21" s="72">
        <f>SUM($G$7:G21)</f>
        <v>4397</v>
      </c>
      <c r="J21" s="64">
        <f t="shared" si="5"/>
        <v>8.7038283384140311E-2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73">
        <v>35</v>
      </c>
      <c r="D22" s="74">
        <f t="shared" si="3"/>
        <v>65</v>
      </c>
      <c r="E22" s="74">
        <f t="shared" si="0"/>
        <v>2</v>
      </c>
      <c r="F22" s="60">
        <f t="shared" si="4"/>
        <v>90.67</v>
      </c>
      <c r="G22" s="61">
        <f>IF(D22=D21,"",_xlfn.IFNA(VLOOKUP(D22,'인원 입력 기능(사과탐)'!$F$5:$I$59,4,FALSE),0))</f>
        <v>632</v>
      </c>
      <c r="H22" s="62">
        <f t="shared" si="1"/>
        <v>1.2510392335405202E-2</v>
      </c>
      <c r="I22" s="72">
        <f>SUM($G$7:G22)</f>
        <v>5029</v>
      </c>
      <c r="J22" s="64">
        <f t="shared" si="5"/>
        <v>9.954867571954551E-2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09">
        <v>34</v>
      </c>
      <c r="D23" s="74">
        <f t="shared" si="3"/>
        <v>64</v>
      </c>
      <c r="E23" s="74">
        <f t="shared" si="0"/>
        <v>2</v>
      </c>
      <c r="F23" s="60">
        <f t="shared" si="4"/>
        <v>89.29</v>
      </c>
      <c r="G23" s="61">
        <f>IF(D23=D22,"",_xlfn.IFNA(VLOOKUP(D23,'인원 입력 기능(사과탐)'!$F$5:$I$59,4,FALSE),0))</f>
        <v>759</v>
      </c>
      <c r="H23" s="62">
        <f t="shared" si="1"/>
        <v>1.5024347757235044E-2</v>
      </c>
      <c r="I23" s="72">
        <f>SUM($G$7:G23)</f>
        <v>5788</v>
      </c>
      <c r="J23" s="64">
        <f t="shared" si="5"/>
        <v>0.11457302347678056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73">
        <v>33</v>
      </c>
      <c r="D24" s="74">
        <f t="shared" si="3"/>
        <v>63</v>
      </c>
      <c r="E24" s="74">
        <f t="shared" si="0"/>
        <v>3</v>
      </c>
      <c r="F24" s="60">
        <f t="shared" si="4"/>
        <v>87.78</v>
      </c>
      <c r="G24" s="61">
        <f>IF(D24=D23,"",_xlfn.IFNA(VLOOKUP(D24,'인원 입력 기능(사과탐)'!$F$5:$I$59,4,FALSE),0))</f>
        <v>768</v>
      </c>
      <c r="H24" s="62">
        <f t="shared" si="1"/>
        <v>1.5202502078467081E-2</v>
      </c>
      <c r="I24" s="72">
        <f>SUM($G$7:G24)</f>
        <v>6556</v>
      </c>
      <c r="J24" s="64">
        <f t="shared" si="5"/>
        <v>0.12977552555524763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09">
        <v>32</v>
      </c>
      <c r="D25" s="74">
        <f t="shared" si="3"/>
        <v>62</v>
      </c>
      <c r="E25" s="74">
        <f t="shared" si="0"/>
        <v>3</v>
      </c>
      <c r="F25" s="60">
        <f t="shared" si="4"/>
        <v>86.16</v>
      </c>
      <c r="G25" s="61">
        <f>IF(D25=D24,"",_xlfn.IFNA(VLOOKUP(D25,'인원 입력 기능(사과탐)'!$F$5:$I$59,4,FALSE),0))</f>
        <v>872</v>
      </c>
      <c r="H25" s="62">
        <f t="shared" si="1"/>
        <v>1.7261174234926166E-2</v>
      </c>
      <c r="I25" s="72">
        <f>SUM($G$7:G25)</f>
        <v>7428</v>
      </c>
      <c r="J25" s="64">
        <f t="shared" si="5"/>
        <v>0.14703669979017381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73">
        <v>31</v>
      </c>
      <c r="D26" s="74">
        <f t="shared" si="3"/>
        <v>61</v>
      </c>
      <c r="E26" s="74">
        <f t="shared" si="0"/>
        <v>3</v>
      </c>
      <c r="F26" s="60">
        <f t="shared" si="4"/>
        <v>84.34</v>
      </c>
      <c r="G26" s="61">
        <f>IF(D26=D25,"",_xlfn.IFNA(VLOOKUP(D26,'인원 입력 기능(사과탐)'!$F$5:$I$59,4,FALSE),0))</f>
        <v>964</v>
      </c>
      <c r="H26" s="62">
        <f t="shared" si="1"/>
        <v>1.9082307296409199E-2</v>
      </c>
      <c r="I26" s="72">
        <f>SUM($G$7:G26)</f>
        <v>8392</v>
      </c>
      <c r="J26" s="64">
        <f t="shared" si="5"/>
        <v>0.166119007086583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09">
        <v>30</v>
      </c>
      <c r="D27" s="74">
        <f t="shared" si="3"/>
        <v>60</v>
      </c>
      <c r="E27" s="74">
        <f t="shared" si="0"/>
        <v>3</v>
      </c>
      <c r="F27" s="60">
        <f t="shared" si="4"/>
        <v>82.41</v>
      </c>
      <c r="G27" s="61">
        <f>IF(D27=D26,"",_xlfn.IFNA(VLOOKUP(D27,'인원 입력 기능(사과탐)'!$F$5:$I$59,4,FALSE),0))</f>
        <v>988</v>
      </c>
      <c r="H27" s="62">
        <f t="shared" si="1"/>
        <v>1.9557385486361299E-2</v>
      </c>
      <c r="I27" s="72">
        <f>SUM($G$7:G27)</f>
        <v>9380</v>
      </c>
      <c r="J27" s="64">
        <f t="shared" si="5"/>
        <v>0.1856763925729443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73">
        <v>29</v>
      </c>
      <c r="D28" s="74">
        <f t="shared" si="3"/>
        <v>59</v>
      </c>
      <c r="E28" s="74">
        <f t="shared" si="0"/>
        <v>3</v>
      </c>
      <c r="F28" s="60">
        <f t="shared" si="4"/>
        <v>80.239999999999995</v>
      </c>
      <c r="G28" s="61">
        <f>IF(D28=D27,"",_xlfn.IFNA(VLOOKUP(D28,'인원 입력 기능(사과탐)'!$F$5:$I$59,4,FALSE),0))</f>
        <v>1205</v>
      </c>
      <c r="H28" s="62">
        <f t="shared" si="1"/>
        <v>2.3852884120511501E-2</v>
      </c>
      <c r="I28" s="72">
        <f>SUM($G$7:G28)</f>
        <v>10585</v>
      </c>
      <c r="J28" s="64">
        <f t="shared" si="5"/>
        <v>0.20952927669345581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09">
        <v>28</v>
      </c>
      <c r="D29" s="74">
        <f t="shared" si="3"/>
        <v>58</v>
      </c>
      <c r="E29" s="74">
        <f t="shared" si="0"/>
        <v>3</v>
      </c>
      <c r="F29" s="60">
        <f t="shared" si="4"/>
        <v>77.930000000000007</v>
      </c>
      <c r="G29" s="61">
        <f>IF(D29=D28,"",_xlfn.IFNA(VLOOKUP(D29,'인원 입력 기능(사과탐)'!$F$5:$I$59,4,FALSE),0))</f>
        <v>1127</v>
      </c>
      <c r="H29" s="62">
        <f t="shared" si="1"/>
        <v>2.2308880003167188E-2</v>
      </c>
      <c r="I29" s="72">
        <f>SUM($G$7:G29)</f>
        <v>11712</v>
      </c>
      <c r="J29" s="64">
        <f t="shared" si="5"/>
        <v>0.231838156696623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73">
        <v>27</v>
      </c>
      <c r="D30" s="74">
        <f t="shared" si="3"/>
        <v>57</v>
      </c>
      <c r="E30" s="74">
        <f t="shared" si="0"/>
        <v>4</v>
      </c>
      <c r="F30" s="60">
        <f t="shared" si="4"/>
        <v>75.53</v>
      </c>
      <c r="G30" s="61">
        <f>IF(D30=D29,"",_xlfn.IFNA(VLOOKUP(D30,'인원 입력 기능(사과탐)'!$F$5:$I$59,4,FALSE),0))</f>
        <v>1296</v>
      </c>
      <c r="H30" s="62">
        <f t="shared" si="1"/>
        <v>2.5654222257413199E-2</v>
      </c>
      <c r="I30" s="72">
        <f>SUM($G$7:G30)</f>
        <v>13008</v>
      </c>
      <c r="J30" s="64">
        <f t="shared" si="5"/>
        <v>0.25749237895403621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09">
        <v>26</v>
      </c>
      <c r="D31" s="74">
        <f t="shared" si="3"/>
        <v>56</v>
      </c>
      <c r="E31" s="74">
        <f t="shared" si="0"/>
        <v>4</v>
      </c>
      <c r="F31" s="60">
        <f t="shared" si="4"/>
        <v>72.91</v>
      </c>
      <c r="G31" s="61">
        <f>IF(D31=D30,"",_xlfn.IFNA(VLOOKUP(D31,'인원 입력 기능(사과탐)'!$F$5:$I$59,4,FALSE),0))</f>
        <v>1350</v>
      </c>
      <c r="H31" s="62">
        <f t="shared" si="1"/>
        <v>2.6723148184805416E-2</v>
      </c>
      <c r="I31" s="72">
        <f>SUM($G$7:G31)</f>
        <v>14358</v>
      </c>
      <c r="J31" s="64">
        <f t="shared" si="5"/>
        <v>0.28421552713884163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73">
        <v>25</v>
      </c>
      <c r="D32" s="74">
        <f t="shared" si="3"/>
        <v>55</v>
      </c>
      <c r="E32" s="74">
        <f t="shared" si="0"/>
        <v>4</v>
      </c>
      <c r="F32" s="60">
        <f t="shared" si="4"/>
        <v>70.290000000000006</v>
      </c>
      <c r="G32" s="61">
        <f>IF(D32=D31,"",_xlfn.IFNA(VLOOKUP(D32,'인원 입력 기능(사과탐)'!$F$5:$I$59,4,FALSE),0))</f>
        <v>1301</v>
      </c>
      <c r="H32" s="62">
        <f t="shared" si="1"/>
        <v>2.5753196880319885E-2</v>
      </c>
      <c r="I32" s="72">
        <f>SUM($G$7:G32)</f>
        <v>15659</v>
      </c>
      <c r="J32" s="64">
        <f t="shared" si="5"/>
        <v>0.30996872401916148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09">
        <v>24</v>
      </c>
      <c r="D33" s="74">
        <f t="shared" si="3"/>
        <v>54</v>
      </c>
      <c r="E33" s="74">
        <f t="shared" si="0"/>
        <v>4</v>
      </c>
      <c r="F33" s="60">
        <f t="shared" si="4"/>
        <v>67.48</v>
      </c>
      <c r="G33" s="61">
        <f>IF(D33=D32,"",_xlfn.IFNA(VLOOKUP(D33,'인원 입력 기능(사과탐)'!$F$5:$I$59,4,FALSE),0))</f>
        <v>1534</v>
      </c>
      <c r="H33" s="62">
        <f t="shared" si="1"/>
        <v>3.0365414307771486E-2</v>
      </c>
      <c r="I33" s="72">
        <f>SUM($G$7:G33)</f>
        <v>17193</v>
      </c>
      <c r="J33" s="64">
        <f t="shared" si="5"/>
        <v>0.34033413832693299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73">
        <v>23</v>
      </c>
      <c r="D34" s="74">
        <f t="shared" si="3"/>
        <v>53</v>
      </c>
      <c r="E34" s="74">
        <f t="shared" si="0"/>
        <v>4</v>
      </c>
      <c r="F34" s="60">
        <f t="shared" si="4"/>
        <v>64.510000000000005</v>
      </c>
      <c r="G34" s="61">
        <f>IF(D34=D33,"",_xlfn.IFNA(VLOOKUP(D34,'인원 입력 기능(사과탐)'!$F$5:$I$59,4,FALSE),0))</f>
        <v>1469</v>
      </c>
      <c r="H34" s="62">
        <f t="shared" si="1"/>
        <v>2.9078744209984561E-2</v>
      </c>
      <c r="I34" s="72">
        <f>SUM($G$7:G34)</f>
        <v>18662</v>
      </c>
      <c r="J34" s="64">
        <f t="shared" si="5"/>
        <v>0.36941288253691751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09">
        <v>22</v>
      </c>
      <c r="D35" s="74">
        <f t="shared" si="3"/>
        <v>52</v>
      </c>
      <c r="E35" s="74">
        <f t="shared" si="0"/>
        <v>4</v>
      </c>
      <c r="F35" s="60">
        <f t="shared" si="4"/>
        <v>61.46</v>
      </c>
      <c r="G35" s="61">
        <f>IF(D35=D34,"",_xlfn.IFNA(VLOOKUP(D35,'인원 입력 기능(사과탐)'!$F$5:$I$59,4,FALSE),0))</f>
        <v>1618</v>
      </c>
      <c r="H35" s="62">
        <f t="shared" si="1"/>
        <v>3.2028187972603823E-2</v>
      </c>
      <c r="I35" s="72">
        <f>SUM($G$7:G35)</f>
        <v>20280</v>
      </c>
      <c r="J35" s="64">
        <f t="shared" si="5"/>
        <v>0.40144107050952138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73">
        <v>21</v>
      </c>
      <c r="D36" s="74">
        <f t="shared" si="3"/>
        <v>51</v>
      </c>
      <c r="E36" s="74">
        <f t="shared" si="0"/>
        <v>5</v>
      </c>
      <c r="F36" s="60">
        <f t="shared" si="4"/>
        <v>58.18</v>
      </c>
      <c r="G36" s="61">
        <f>IF(D36=D35,"",_xlfn.IFNA(VLOOKUP(D36,'인원 입력 기능(사과탐)'!$F$5:$I$59,4,FALSE),0))</f>
        <v>1697</v>
      </c>
      <c r="H36" s="62">
        <f t="shared" si="1"/>
        <v>3.3591987014529472E-2</v>
      </c>
      <c r="I36" s="72">
        <f>SUM($G$7:G36)</f>
        <v>21977</v>
      </c>
      <c r="J36" s="64">
        <f t="shared" si="5"/>
        <v>0.43503305752405086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09">
        <v>20</v>
      </c>
      <c r="D37" s="74">
        <f t="shared" si="3"/>
        <v>50</v>
      </c>
      <c r="E37" s="74">
        <f t="shared" si="0"/>
        <v>5</v>
      </c>
      <c r="F37" s="60">
        <f t="shared" si="4"/>
        <v>54.9</v>
      </c>
      <c r="G37" s="61">
        <f>IF(D37=D36,"",_xlfn.IFNA(VLOOKUP(D37,'인원 입력 기능(사과탐)'!$F$5:$I$59,4,FALSE),0))</f>
        <v>1615</v>
      </c>
      <c r="H37" s="62">
        <f t="shared" si="1"/>
        <v>3.1968803198859815E-2</v>
      </c>
      <c r="I37" s="72">
        <f>SUM($G$7:G37)</f>
        <v>23592</v>
      </c>
      <c r="J37" s="64">
        <f t="shared" si="5"/>
        <v>0.46700186072291067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73">
        <v>19</v>
      </c>
      <c r="D38" s="74">
        <f t="shared" si="3"/>
        <v>49</v>
      </c>
      <c r="E38" s="74">
        <f t="shared" si="0"/>
        <v>5</v>
      </c>
      <c r="F38" s="60">
        <f t="shared" si="4"/>
        <v>51.49</v>
      </c>
      <c r="G38" s="61">
        <f>IF(D38=D37,"",_xlfn.IFNA(VLOOKUP(D38,'인원 입력 기능(사과탐)'!$F$5:$I$59,4,FALSE),0))</f>
        <v>1826</v>
      </c>
      <c r="H38" s="62">
        <f t="shared" si="1"/>
        <v>3.6145532285521989E-2</v>
      </c>
      <c r="I38" s="72">
        <f>SUM($G$7:G38)</f>
        <v>25418</v>
      </c>
      <c r="J38" s="64">
        <f t="shared" si="5"/>
        <v>0.50314739300843259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09">
        <v>18</v>
      </c>
      <c r="D39" s="74">
        <f t="shared" si="3"/>
        <v>48</v>
      </c>
      <c r="E39" s="74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5</v>
      </c>
      <c r="F39" s="60">
        <f t="shared" si="4"/>
        <v>48.07</v>
      </c>
      <c r="G39" s="61">
        <f>IF(D39=D38,"",_xlfn.IFNA(VLOOKUP(D39,'인원 입력 기능(사과탐)'!$F$5:$I$59,4,FALSE),0))</f>
        <v>1637</v>
      </c>
      <c r="H39" s="62">
        <f t="shared" si="1"/>
        <v>3.2404291539649237E-2</v>
      </c>
      <c r="I39" s="72">
        <f>SUM($G$7:G39)</f>
        <v>27055</v>
      </c>
      <c r="J39" s="64">
        <f t="shared" si="5"/>
        <v>0.53555168454808189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73">
        <v>17</v>
      </c>
      <c r="D40" s="74">
        <f t="shared" si="3"/>
        <v>47</v>
      </c>
      <c r="E40" s="74">
        <f t="shared" si="6"/>
        <v>5</v>
      </c>
      <c r="F40" s="60">
        <f t="shared" si="4"/>
        <v>44.81</v>
      </c>
      <c r="G40" s="61">
        <f>IF(D40=D39,"",_xlfn.IFNA(VLOOKUP(D40,'인원 입력 기능(사과탐)'!$F$5:$I$59,4,FALSE),0))</f>
        <v>1649</v>
      </c>
      <c r="H40" s="62">
        <f t="shared" si="1"/>
        <v>3.264183063462528E-2</v>
      </c>
      <c r="I40" s="72">
        <f>SUM($G$7:G40)</f>
        <v>28704</v>
      </c>
      <c r="J40" s="64">
        <f t="shared" si="5"/>
        <v>0.56819351518270711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09">
        <v>16</v>
      </c>
      <c r="D41" s="74">
        <f t="shared" si="3"/>
        <v>46</v>
      </c>
      <c r="E41" s="74">
        <f t="shared" si="6"/>
        <v>5</v>
      </c>
      <c r="F41" s="60">
        <f t="shared" si="4"/>
        <v>41.2</v>
      </c>
      <c r="G41" s="61">
        <f>IF(D41=D40,"",_xlfn.IFNA(VLOOKUP(D41,'인원 입력 기능(사과탐)'!$F$5:$I$59,4,FALSE),0))</f>
        <v>1997</v>
      </c>
      <c r="H41" s="62">
        <f t="shared" si="1"/>
        <v>3.9530464388930681E-2</v>
      </c>
      <c r="I41" s="72">
        <f>SUM($G$7:G41)</f>
        <v>30701</v>
      </c>
      <c r="J41" s="64">
        <f t="shared" si="5"/>
        <v>0.60772397957163782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73">
        <v>15</v>
      </c>
      <c r="D42" s="74">
        <f t="shared" si="3"/>
        <v>45</v>
      </c>
      <c r="E42" s="74">
        <f t="shared" si="6"/>
        <v>6</v>
      </c>
      <c r="F42" s="60">
        <f t="shared" si="4"/>
        <v>37.5</v>
      </c>
      <c r="G42" s="61">
        <f>IF(D42=D41,"",_xlfn.IFNA(VLOOKUP(D42,'인원 입력 기능(사과탐)'!$F$5:$I$59,4,FALSE),0))</f>
        <v>1745</v>
      </c>
      <c r="H42" s="62">
        <f t="shared" si="1"/>
        <v>3.4542143394433671E-2</v>
      </c>
      <c r="I42" s="72">
        <f>SUM($G$7:G42)</f>
        <v>32446</v>
      </c>
      <c r="J42" s="64">
        <f t="shared" si="5"/>
        <v>0.64226612296607155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09">
        <v>14</v>
      </c>
      <c r="D43" s="74">
        <f t="shared" si="3"/>
        <v>44</v>
      </c>
      <c r="E43" s="74">
        <f t="shared" si="6"/>
        <v>6</v>
      </c>
      <c r="F43" s="60">
        <f t="shared" si="4"/>
        <v>32.619999999999997</v>
      </c>
      <c r="G43" s="61">
        <f>IF(D43=D42,"",_xlfn.IFNA(VLOOKUP(D43,'인원 입력 기능(사과탐)'!$F$5:$I$59,4,FALSE),0))</f>
        <v>3184</v>
      </c>
      <c r="H43" s="62">
        <f t="shared" si="1"/>
        <v>6.3027039866978107E-2</v>
      </c>
      <c r="I43" s="72">
        <f>SUM($G$7:G43)</f>
        <v>35630</v>
      </c>
      <c r="J43" s="64">
        <f t="shared" si="5"/>
        <v>0.70529316283304966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73">
        <v>13</v>
      </c>
      <c r="D44" s="74">
        <f t="shared" si="3"/>
        <v>43</v>
      </c>
      <c r="E44" s="74">
        <f t="shared" si="6"/>
        <v>6</v>
      </c>
      <c r="F44" s="60">
        <f t="shared" si="4"/>
        <v>24.86</v>
      </c>
      <c r="G44" s="61">
        <f>IF(D44=D43,"",_xlfn.IFNA(VLOOKUP(D44,'인원 입력 기능(사과탐)'!$F$5:$I$59,4,FALSE),0))</f>
        <v>4656</v>
      </c>
      <c r="H44" s="62">
        <f t="shared" si="1"/>
        <v>9.2165168850706677E-2</v>
      </c>
      <c r="I44" s="72">
        <f>SUM($G$7:G44)</f>
        <v>40286</v>
      </c>
      <c r="J44" s="64">
        <f t="shared" si="5"/>
        <v>0.79745833168375624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09">
        <v>12</v>
      </c>
      <c r="D45" s="74">
        <f t="shared" si="3"/>
        <v>42</v>
      </c>
      <c r="E45" s="74">
        <f t="shared" si="6"/>
        <v>7</v>
      </c>
      <c r="F45" s="60">
        <f t="shared" si="4"/>
        <v>18.809999999999999</v>
      </c>
      <c r="G45" s="61">
        <f>IF(D45=D44,"",_xlfn.IFNA(VLOOKUP(D45,'인원 입력 기능(사과탐)'!$F$5:$I$59,4,FALSE),0))</f>
        <v>1462</v>
      </c>
      <c r="H45" s="62">
        <f t="shared" si="1"/>
        <v>2.8940179737915198E-2</v>
      </c>
      <c r="I45" s="72">
        <f>SUM($G$7:G45)</f>
        <v>41748</v>
      </c>
      <c r="J45" s="64">
        <f t="shared" si="5"/>
        <v>0.82639851142167153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73">
        <v>11</v>
      </c>
      <c r="D46" s="74">
        <f t="shared" si="3"/>
        <v>41</v>
      </c>
      <c r="E46" s="74">
        <f t="shared" si="6"/>
        <v>7</v>
      </c>
      <c r="F46" s="60">
        <f t="shared" si="4"/>
        <v>15.84</v>
      </c>
      <c r="G46" s="61">
        <f>IF(D46=D45,"",_xlfn.IFNA(VLOOKUP(D46,'인원 입력 기능(사과탐)'!$F$5:$I$59,4,FALSE),0))</f>
        <v>1539</v>
      </c>
      <c r="H46" s="62">
        <f t="shared" si="1"/>
        <v>3.0464388930678175E-2</v>
      </c>
      <c r="I46" s="72">
        <f>SUM($G$7:G46)</f>
        <v>43287</v>
      </c>
      <c r="J46" s="64">
        <f t="shared" si="5"/>
        <v>0.85686290035234969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09">
        <v>10</v>
      </c>
      <c r="D47" s="74">
        <f t="shared" si="3"/>
        <v>40</v>
      </c>
      <c r="E47" s="74">
        <f t="shared" si="6"/>
        <v>7</v>
      </c>
      <c r="F47" s="60">
        <f t="shared" si="4"/>
        <v>12.95</v>
      </c>
      <c r="G47" s="61">
        <f>IF(D47=D46,"",_xlfn.IFNA(VLOOKUP(D47,'인원 입력 기능(사과탐)'!$F$5:$I$59,4,FALSE),0))</f>
        <v>1377</v>
      </c>
      <c r="H47" s="62">
        <f t="shared" si="1"/>
        <v>2.7257611148501525E-2</v>
      </c>
      <c r="I47" s="72">
        <f>SUM($G$7:G47)</f>
        <v>44664</v>
      </c>
      <c r="J47" s="64">
        <f t="shared" si="5"/>
        <v>0.88412051150085114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73">
        <v>9</v>
      </c>
      <c r="D48" s="74">
        <v>39</v>
      </c>
      <c r="E48" s="74">
        <f t="shared" si="6"/>
        <v>7</v>
      </c>
      <c r="F48" s="60">
        <f t="shared" si="4"/>
        <v>10.050000000000001</v>
      </c>
      <c r="G48" s="61">
        <f>IF(D48=D47,"",_xlfn.IFNA(VLOOKUP(D48,'인원 입력 기능(사과탐)'!$F$5:$I$59,4,FALSE),0))</f>
        <v>1558</v>
      </c>
      <c r="H48" s="62">
        <f t="shared" si="1"/>
        <v>3.0840492497723585E-2</v>
      </c>
      <c r="I48" s="72">
        <f>SUM($G$7:G48)</f>
        <v>46222</v>
      </c>
      <c r="J48" s="64">
        <f t="shared" si="5"/>
        <v>0.91496100399857472</v>
      </c>
      <c r="K48" s="36"/>
      <c r="L48" s="20" t="str">
        <f t="shared" si="2"/>
        <v>경고</v>
      </c>
      <c r="N48" s="24"/>
    </row>
    <row r="49" spans="1:14" s="22" customFormat="1" ht="25" customHeight="1" x14ac:dyDescent="0.45">
      <c r="A49" s="20"/>
      <c r="B49" s="35"/>
      <c r="C49" s="109">
        <v>8</v>
      </c>
      <c r="D49" s="74">
        <f t="shared" si="3"/>
        <v>37</v>
      </c>
      <c r="E49" s="74">
        <f t="shared" si="6"/>
        <v>8</v>
      </c>
      <c r="F49" s="60">
        <f t="shared" si="4"/>
        <v>7.7</v>
      </c>
      <c r="G49" s="61">
        <f>IF(D49=D48,"",_xlfn.IFNA(VLOOKUP(D49,'인원 입력 기능(사과탐)'!$F$5:$I$59,4,FALSE),0))</f>
        <v>813</v>
      </c>
      <c r="H49" s="62">
        <f t="shared" si="1"/>
        <v>1.6093273684627263E-2</v>
      </c>
      <c r="I49" s="72">
        <f>SUM($G$7:G49)</f>
        <v>47035</v>
      </c>
      <c r="J49" s="64">
        <f t="shared" si="5"/>
        <v>0.93105427768320204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73">
        <v>7</v>
      </c>
      <c r="D50" s="74">
        <f t="shared" si="3"/>
        <v>36</v>
      </c>
      <c r="E50" s="74">
        <f t="shared" si="6"/>
        <v>8</v>
      </c>
      <c r="F50" s="60">
        <f t="shared" si="4"/>
        <v>5.16</v>
      </c>
      <c r="G50" s="61">
        <f>IF(D50=D49,"",_xlfn.IFNA(VLOOKUP(D50,'인원 입력 기능(사과탐)'!$F$5:$I$59,4,FALSE),0))</f>
        <v>1748</v>
      </c>
      <c r="H50" s="62">
        <f t="shared" si="1"/>
        <v>3.460152816817768E-2</v>
      </c>
      <c r="I50" s="72">
        <f>SUM($G$7:G50)</f>
        <v>48783</v>
      </c>
      <c r="J50" s="64">
        <f t="shared" si="5"/>
        <v>0.96565580585137967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09">
        <v>6</v>
      </c>
      <c r="D51" s="74">
        <f t="shared" si="3"/>
        <v>35</v>
      </c>
      <c r="E51" s="74">
        <f t="shared" si="6"/>
        <v>9</v>
      </c>
      <c r="F51" s="60">
        <f t="shared" si="4"/>
        <v>2.98</v>
      </c>
      <c r="G51" s="61">
        <f>IF(D51=D50,"",_xlfn.IFNA(VLOOKUP(D51,'인원 입력 기능(사과탐)'!$F$5:$I$59,4,FALSE),0))</f>
        <v>460</v>
      </c>
      <c r="H51" s="62">
        <f t="shared" si="1"/>
        <v>9.105665307415179E-3</v>
      </c>
      <c r="I51" s="72">
        <f>SUM($G$7:G51)</f>
        <v>49243</v>
      </c>
      <c r="J51" s="64">
        <f t="shared" si="5"/>
        <v>0.97476147115879486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73">
        <v>5</v>
      </c>
      <c r="D52" s="74">
        <f t="shared" si="3"/>
        <v>34</v>
      </c>
      <c r="E52" s="74">
        <f t="shared" si="6"/>
        <v>9</v>
      </c>
      <c r="F52" s="60">
        <f t="shared" si="4"/>
        <v>1.98</v>
      </c>
      <c r="G52" s="61">
        <f>IF(D52=D51,"",_xlfn.IFNA(VLOOKUP(D52,'인원 입력 기능(사과탐)'!$F$5:$I$59,4,FALSE),0))</f>
        <v>546</v>
      </c>
      <c r="H52" s="62">
        <f t="shared" si="1"/>
        <v>1.0808028821410191E-2</v>
      </c>
      <c r="I52" s="72">
        <f>SUM($G$7:G52)</f>
        <v>49789</v>
      </c>
      <c r="J52" s="64">
        <f t="shared" si="5"/>
        <v>0.98556949998020504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58">
        <v>4</v>
      </c>
      <c r="D53" s="59">
        <f t="shared" si="3"/>
        <v>33</v>
      </c>
      <c r="E53" s="59">
        <f t="shared" si="6"/>
        <v>9</v>
      </c>
      <c r="F53" s="60">
        <f t="shared" si="4"/>
        <v>1.1599999999999999</v>
      </c>
      <c r="G53" s="61">
        <f>IF(D53=D52,"",_xlfn.IFNA(VLOOKUP(D53,'인원 입력 기능(사과탐)'!$F$5:$I$59,4,FALSE),0))</f>
        <v>288</v>
      </c>
      <c r="H53" s="62">
        <f t="shared" si="1"/>
        <v>5.7009382794251558E-3</v>
      </c>
      <c r="I53" s="72">
        <f>SUM($G$7:G53)</f>
        <v>50077</v>
      </c>
      <c r="J53" s="64">
        <f t="shared" si="5"/>
        <v>0.99127043825963024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65">
        <v>3</v>
      </c>
      <c r="D54" s="59">
        <f t="shared" si="3"/>
        <v>32</v>
      </c>
      <c r="E54" s="59">
        <f t="shared" si="6"/>
        <v>9</v>
      </c>
      <c r="F54" s="60">
        <f t="shared" si="4"/>
        <v>0.72</v>
      </c>
      <c r="G54" s="61">
        <f>IF(D54=D53,"",_xlfn.IFNA(VLOOKUP(D54,'인원 입력 기능(사과탐)'!$F$5:$I$59,4,FALSE),0))</f>
        <v>158</v>
      </c>
      <c r="H54" s="62">
        <f t="shared" si="1"/>
        <v>3.1275980838513006E-3</v>
      </c>
      <c r="I54" s="72">
        <f>SUM($G$7:G54)</f>
        <v>50235</v>
      </c>
      <c r="J54" s="64">
        <f t="shared" si="5"/>
        <v>0.99439803634348156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58">
        <v>2</v>
      </c>
      <c r="D55" s="59">
        <f t="shared" si="3"/>
        <v>31</v>
      </c>
      <c r="E55" s="59">
        <f t="shared" si="6"/>
        <v>9</v>
      </c>
      <c r="F55" s="60">
        <f t="shared" si="4"/>
        <v>0.35</v>
      </c>
      <c r="G55" s="61">
        <f>IF(D55=D54,"",_xlfn.IFNA(VLOOKUP(D55,'인원 입력 기능(사과탐)'!$F$5:$I$59,4,FALSE),0))</f>
        <v>211</v>
      </c>
      <c r="H55" s="62">
        <f t="shared" si="1"/>
        <v>4.1767290866621797E-3</v>
      </c>
      <c r="I55" s="72">
        <f>SUM($G$7:G55)</f>
        <v>50446</v>
      </c>
      <c r="J55" s="64">
        <f t="shared" si="5"/>
        <v>0.99857476543014367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5">
        <v>1</v>
      </c>
      <c r="D56" s="66" t="s">
        <v>56</v>
      </c>
      <c r="E56" s="66"/>
      <c r="F56" s="67"/>
      <c r="G56" s="110"/>
      <c r="H56" s="108"/>
      <c r="I56" s="76"/>
      <c r="J56" s="71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11">
        <v>0</v>
      </c>
      <c r="D57" s="78">
        <f>ROUND(10*(C57-$H$3)/$H$4+50,0)</f>
        <v>29</v>
      </c>
      <c r="E57" s="112">
        <f t="shared" si="6"/>
        <v>9</v>
      </c>
      <c r="F57" s="79">
        <f>IF(I55=0,ROUND(100*(1-(I54+I57)/2/$J$3),2),ROUND(100*(1-(I55+I57)/2/$J$3),2))</f>
        <v>7.0000000000000007E-2</v>
      </c>
      <c r="G57" s="113">
        <f>_xlfn.IFNA(VLOOKUP(D57,'인원 입력 기능(사과탐)'!$F$5:$I$59,4,FALSE),0)</f>
        <v>72</v>
      </c>
      <c r="H57" s="81">
        <f>G57/$J$3</f>
        <v>1.4252345698562889E-3</v>
      </c>
      <c r="I57" s="82">
        <f>SUM($G$7:G57)</f>
        <v>50518</v>
      </c>
      <c r="J57" s="114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3">
    <mergeCell ref="D3:F3"/>
    <mergeCell ref="D4:F4"/>
    <mergeCell ref="I4:J5"/>
  </mergeCells>
  <phoneticPr fontId="1" type="noConversion"/>
  <conditionalFormatting sqref="D7:G57 I7:J57">
    <cfRule type="expression" dxfId="47" priority="4">
      <formula>OR($D7=$Q$7:$Q$14)</formula>
    </cfRule>
  </conditionalFormatting>
  <conditionalFormatting sqref="C7:C57">
    <cfRule type="expression" dxfId="46" priority="3">
      <formula>OR(AND($D7=0,OR($D6=$Q$7:$Q$14)),AND($D8&gt;0,OR($D7=$Q$7:$Q$14)))</formula>
    </cfRule>
  </conditionalFormatting>
  <conditionalFormatting sqref="D7:D57">
    <cfRule type="expression" dxfId="45" priority="2">
      <formula>$D7=$D8</formula>
    </cfRule>
  </conditionalFormatting>
  <conditionalFormatting sqref="H7:H57">
    <cfRule type="expression" dxfId="44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BCCE87-7659-4AFA-9575-51790801DEFC}">
  <sheetPr codeName="Sheet12"/>
  <dimension ref="A1:Q105"/>
  <sheetViews>
    <sheetView zoomScale="98" zoomScaleNormal="98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152" t="s">
        <v>133</v>
      </c>
      <c r="B1" s="157"/>
      <c r="C1" s="33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8"/>
      <c r="B2" s="152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155"/>
      <c r="C3" s="48" t="s">
        <v>68</v>
      </c>
      <c r="D3" s="163" t="s">
        <v>134</v>
      </c>
      <c r="E3" s="164"/>
      <c r="F3" s="165"/>
      <c r="G3" s="48" t="s">
        <v>69</v>
      </c>
      <c r="H3" s="49" t="str">
        <f>'통계 및 응시자 수 입력 기능'!D10</f>
        <v>24.92</v>
      </c>
      <c r="I3" s="21" t="s">
        <v>70</v>
      </c>
      <c r="J3" s="50">
        <f>'통계 및 응시자 수 입력 기능'!C10</f>
        <v>32444</v>
      </c>
      <c r="K3" s="36"/>
      <c r="L3" s="20"/>
    </row>
    <row r="4" spans="1:17" s="22" customFormat="1" ht="25" customHeight="1" thickBot="1" x14ac:dyDescent="0.5">
      <c r="A4" s="20"/>
      <c r="B4" s="35"/>
      <c r="C4" s="51" t="s">
        <v>71</v>
      </c>
      <c r="D4" s="166" t="s">
        <v>102</v>
      </c>
      <c r="E4" s="167"/>
      <c r="F4" s="168"/>
      <c r="G4" s="52" t="s">
        <v>73</v>
      </c>
      <c r="H4" s="53" t="str">
        <f>'통계 및 응시자 수 입력 기능'!E10</f>
        <v>11.81</v>
      </c>
      <c r="I4" s="169"/>
      <c r="J4" s="170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171"/>
      <c r="J5" s="171"/>
      <c r="K5" s="36"/>
      <c r="L5" s="20"/>
    </row>
    <row r="6" spans="1:17" s="22" customFormat="1" ht="25" customHeight="1" thickBot="1" x14ac:dyDescent="0.5">
      <c r="A6" s="20"/>
      <c r="B6" s="35"/>
      <c r="C6" s="54" t="s">
        <v>75</v>
      </c>
      <c r="D6" s="55" t="s">
        <v>76</v>
      </c>
      <c r="E6" s="55" t="s">
        <v>77</v>
      </c>
      <c r="F6" s="55" t="s">
        <v>78</v>
      </c>
      <c r="G6" s="55" t="s">
        <v>79</v>
      </c>
      <c r="H6" s="55" t="s">
        <v>80</v>
      </c>
      <c r="I6" s="56" t="s">
        <v>81</v>
      </c>
      <c r="J6" s="57" t="s">
        <v>82</v>
      </c>
      <c r="K6" s="36"/>
      <c r="L6" s="19" t="s">
        <v>64</v>
      </c>
      <c r="M6" s="19"/>
      <c r="N6" s="23"/>
    </row>
    <row r="7" spans="1:17" s="22" customFormat="1" ht="25" customHeight="1" x14ac:dyDescent="0.45">
      <c r="A7" s="20"/>
      <c r="B7" s="35"/>
      <c r="C7" s="160">
        <v>50</v>
      </c>
      <c r="D7" s="59">
        <f>ROUND(10*(C7-$H$3)/$H$4+50,0)</f>
        <v>71</v>
      </c>
      <c r="E7" s="59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60">
        <f>ROUND(100*(1-(0+I7)/2/$J$3),2)</f>
        <v>99.47</v>
      </c>
      <c r="G7" s="61">
        <f>_xlfn.IFNA(VLOOKUP(D7,'인원 입력 기능(사과탐)'!$K$5:$N$59,4,FALSE),0)</f>
        <v>343</v>
      </c>
      <c r="H7" s="62">
        <f>G7/$J$3</f>
        <v>1.0572062630994946E-2</v>
      </c>
      <c r="I7" s="63">
        <f>G7</f>
        <v>343</v>
      </c>
      <c r="J7" s="64">
        <f>I7/$J$3</f>
        <v>1.0572062630994946E-2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기능'!C58</f>
        <v>67</v>
      </c>
    </row>
    <row r="8" spans="1:17" s="22" customFormat="1" ht="25" customHeight="1" x14ac:dyDescent="0.45">
      <c r="A8" s="20"/>
      <c r="B8" s="35"/>
      <c r="C8" s="58">
        <v>49</v>
      </c>
      <c r="D8" s="66" t="s">
        <v>56</v>
      </c>
      <c r="E8" s="66"/>
      <c r="F8" s="67"/>
      <c r="G8" s="68"/>
      <c r="H8" s="108"/>
      <c r="I8" s="70"/>
      <c r="J8" s="71"/>
      <c r="K8" s="36"/>
      <c r="L8" s="20"/>
      <c r="N8" s="24"/>
      <c r="P8" s="24">
        <v>2</v>
      </c>
      <c r="Q8" s="24">
        <f>'표점등급&amp;절평인원 입력 기능'!C59</f>
        <v>64</v>
      </c>
    </row>
    <row r="9" spans="1:17" s="22" customFormat="1" ht="25" customHeight="1" x14ac:dyDescent="0.45">
      <c r="A9" s="20"/>
      <c r="B9" s="35"/>
      <c r="C9" s="58">
        <v>48</v>
      </c>
      <c r="D9" s="59">
        <f>ROUND(10*(C9-$H$3)/$H$4+50,0)</f>
        <v>70</v>
      </c>
      <c r="E9" s="59">
        <f t="shared" si="0"/>
        <v>1</v>
      </c>
      <c r="F9" s="60">
        <f>IF(I8=0,ROUND(100*(1-(I7+I9)/2/$J$3),2),ROUND(100*(1-(I8+I9)/2/$J$3),2))</f>
        <v>98.85</v>
      </c>
      <c r="G9" s="61">
        <f>_xlfn.IFNA(VLOOKUP(D9,'인원 입력 기능(사과탐)'!$K$5:$N$59,4,FALSE),0)</f>
        <v>60</v>
      </c>
      <c r="H9" s="62">
        <f t="shared" ref="H9:H55" si="1">G9/$J$3</f>
        <v>1.849340401923314E-3</v>
      </c>
      <c r="I9" s="72">
        <f>SUM($G$7:G9)</f>
        <v>403</v>
      </c>
      <c r="J9" s="64">
        <f>I9/$J$3</f>
        <v>1.2421403032918259E-2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기능'!C60</f>
        <v>59</v>
      </c>
    </row>
    <row r="10" spans="1:17" s="22" customFormat="1" ht="25" customHeight="1" x14ac:dyDescent="0.45">
      <c r="A10" s="20"/>
      <c r="B10" s="35"/>
      <c r="C10" s="65">
        <v>47</v>
      </c>
      <c r="D10" s="59">
        <f t="shared" ref="D10:D55" si="3">ROUND(10*(C10-$H$3)/$H$4+50,0)</f>
        <v>69</v>
      </c>
      <c r="E10" s="59">
        <f t="shared" si="0"/>
        <v>1</v>
      </c>
      <c r="F10" s="60">
        <f t="shared" ref="F10:F55" si="4">IF(I9=0,ROUND(100*(1-(I8+I10)/2/$J$3),2),ROUND(100*(1-(I9+I10)/2/$J$3),2))</f>
        <v>97.62</v>
      </c>
      <c r="G10" s="61">
        <f>IF(D10=D9,"",_xlfn.IFNA(VLOOKUP(D10,'인원 입력 기능(사과탐)'!$K$5:$N$59,4,FALSE),0))</f>
        <v>740</v>
      </c>
      <c r="H10" s="62">
        <f t="shared" si="1"/>
        <v>2.2808531623720874E-2</v>
      </c>
      <c r="I10" s="72">
        <f>SUM($G$7:G10)</f>
        <v>1143</v>
      </c>
      <c r="J10" s="64">
        <f t="shared" ref="J10:J55" si="5">I10/$J$3</f>
        <v>3.5229934656639129E-2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기능'!C61</f>
        <v>53</v>
      </c>
    </row>
    <row r="11" spans="1:17" s="22" customFormat="1" ht="25" customHeight="1" x14ac:dyDescent="0.45">
      <c r="A11" s="20"/>
      <c r="B11" s="35"/>
      <c r="C11" s="58">
        <v>46</v>
      </c>
      <c r="D11" s="59">
        <f t="shared" si="3"/>
        <v>68</v>
      </c>
      <c r="E11" s="59">
        <f t="shared" si="0"/>
        <v>1</v>
      </c>
      <c r="F11" s="60">
        <f t="shared" si="4"/>
        <v>96.46</v>
      </c>
      <c r="G11" s="61">
        <f>IF(D11=D10,"",_xlfn.IFNA(VLOOKUP(D11,'인원 입력 기능(사과탐)'!$K$5:$N$59,4,FALSE),0))</f>
        <v>12</v>
      </c>
      <c r="H11" s="62">
        <f t="shared" si="1"/>
        <v>3.6986808038466282E-4</v>
      </c>
      <c r="I11" s="72">
        <f>SUM($G$7:G11)</f>
        <v>1155</v>
      </c>
      <c r="J11" s="64">
        <f t="shared" si="5"/>
        <v>3.5599802737023796E-2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기능'!C62</f>
        <v>47</v>
      </c>
    </row>
    <row r="12" spans="1:17" s="22" customFormat="1" ht="25" customHeight="1" x14ac:dyDescent="0.45">
      <c r="A12" s="20"/>
      <c r="B12" s="35"/>
      <c r="C12" s="65">
        <v>45</v>
      </c>
      <c r="D12" s="59">
        <f t="shared" si="3"/>
        <v>67</v>
      </c>
      <c r="E12" s="59">
        <f t="shared" si="0"/>
        <v>1</v>
      </c>
      <c r="F12" s="60">
        <f t="shared" si="4"/>
        <v>96.12</v>
      </c>
      <c r="G12" s="61">
        <f>IF(D12=D11,"",_xlfn.IFNA(VLOOKUP(D12,'인원 입력 기능(사과탐)'!$K$5:$N$59,4,FALSE),0))</f>
        <v>210</v>
      </c>
      <c r="H12" s="62">
        <f t="shared" si="1"/>
        <v>6.472691406731599E-3</v>
      </c>
      <c r="I12" s="72">
        <f>SUM($G$7:G12)</f>
        <v>1365</v>
      </c>
      <c r="J12" s="64">
        <f t="shared" si="5"/>
        <v>4.2072494143755391E-2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기능'!C63</f>
        <v>41</v>
      </c>
    </row>
    <row r="13" spans="1:17" s="22" customFormat="1" ht="25" customHeight="1" x14ac:dyDescent="0.45">
      <c r="A13" s="20"/>
      <c r="B13" s="35"/>
      <c r="C13" s="58">
        <v>44</v>
      </c>
      <c r="D13" s="59">
        <f t="shared" si="3"/>
        <v>66</v>
      </c>
      <c r="E13" s="59">
        <f t="shared" si="0"/>
        <v>2</v>
      </c>
      <c r="F13" s="60">
        <f t="shared" si="4"/>
        <v>94.32</v>
      </c>
      <c r="G13" s="61">
        <f>IF(D13=D12,"",_xlfn.IFNA(VLOOKUP(D13,'인원 입력 기능(사과탐)'!$K$5:$N$59,4,FALSE),0))</f>
        <v>953</v>
      </c>
      <c r="H13" s="62">
        <f t="shared" si="1"/>
        <v>2.9373690050548639E-2</v>
      </c>
      <c r="I13" s="72">
        <f>SUM($G$7:G13)</f>
        <v>2318</v>
      </c>
      <c r="J13" s="64">
        <f t="shared" si="5"/>
        <v>7.1446184194304027E-2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기능'!C64</f>
        <v>37</v>
      </c>
    </row>
    <row r="14" spans="1:17" s="22" customFormat="1" ht="25" customHeight="1" x14ac:dyDescent="0.45">
      <c r="A14" s="20"/>
      <c r="B14" s="35"/>
      <c r="C14" s="65">
        <v>43</v>
      </c>
      <c r="D14" s="59">
        <f t="shared" si="3"/>
        <v>65</v>
      </c>
      <c r="E14" s="59">
        <f t="shared" si="0"/>
        <v>2</v>
      </c>
      <c r="F14" s="60">
        <f t="shared" si="4"/>
        <v>92.75</v>
      </c>
      <c r="G14" s="61">
        <f>IF(D14=D13,"",_xlfn.IFNA(VLOOKUP(D14,'인원 입력 기능(사과탐)'!$K$5:$N$59,4,FALSE),0))</f>
        <v>67</v>
      </c>
      <c r="H14" s="62">
        <f t="shared" si="1"/>
        <v>2.0650967821477005E-3</v>
      </c>
      <c r="I14" s="72">
        <f>SUM($G$7:G14)</f>
        <v>2385</v>
      </c>
      <c r="J14" s="64">
        <f t="shared" si="5"/>
        <v>7.3511280976451737E-2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기능'!C65</f>
        <v>35</v>
      </c>
    </row>
    <row r="15" spans="1:17" s="22" customFormat="1" ht="25" customHeight="1" x14ac:dyDescent="0.45">
      <c r="A15" s="20"/>
      <c r="B15" s="35"/>
      <c r="C15" s="58">
        <v>42</v>
      </c>
      <c r="D15" s="237">
        <f t="shared" si="3"/>
        <v>64</v>
      </c>
      <c r="E15" s="237">
        <f t="shared" si="0"/>
        <v>2</v>
      </c>
      <c r="F15" s="247">
        <f t="shared" si="4"/>
        <v>90.4</v>
      </c>
      <c r="G15" s="249">
        <f>IF(D15=D14,"",_xlfn.IFNA(VLOOKUP(D15,'인원 입력 기능(사과탐)'!$K$5:$N$59,4,FALSE),0))</f>
        <v>1460</v>
      </c>
      <c r="H15" s="250">
        <f t="shared" si="1"/>
        <v>4.5000616446800638E-2</v>
      </c>
      <c r="I15" s="252">
        <f>SUM($G$7:G15)</f>
        <v>3845</v>
      </c>
      <c r="J15" s="254">
        <f t="shared" si="5"/>
        <v>0.11851189742325237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5">
        <v>41</v>
      </c>
      <c r="D16" s="238"/>
      <c r="E16" s="238"/>
      <c r="F16" s="246"/>
      <c r="G16" s="248"/>
      <c r="H16" s="251"/>
      <c r="I16" s="253"/>
      <c r="J16" s="255"/>
      <c r="K16" s="36"/>
      <c r="L16" s="20" t="str">
        <f t="shared" si="2"/>
        <v>경고</v>
      </c>
      <c r="N16" s="24"/>
    </row>
    <row r="17" spans="1:17" s="22" customFormat="1" ht="25" customHeight="1" x14ac:dyDescent="0.45">
      <c r="A17" s="20"/>
      <c r="B17" s="35"/>
      <c r="C17" s="58">
        <v>40</v>
      </c>
      <c r="D17" s="59">
        <f t="shared" si="3"/>
        <v>63</v>
      </c>
      <c r="E17" s="59">
        <f t="shared" si="0"/>
        <v>3</v>
      </c>
      <c r="F17" s="60">
        <f t="shared" si="4"/>
        <v>87.81</v>
      </c>
      <c r="G17" s="61">
        <f>IF(D17=D16,"",_xlfn.IFNA(VLOOKUP(D17,'인원 입력 기능(사과탐)'!$K$5:$N$59,4,FALSE),0))</f>
        <v>220</v>
      </c>
      <c r="H17" s="62">
        <f t="shared" si="1"/>
        <v>6.7809148070521515E-3</v>
      </c>
      <c r="I17" s="72">
        <f>SUM($G$7:G17)</f>
        <v>4065</v>
      </c>
      <c r="J17" s="64">
        <f t="shared" si="5"/>
        <v>0.12529281223030453</v>
      </c>
      <c r="K17" s="36"/>
      <c r="L17" s="20" t="str">
        <f t="shared" si="2"/>
        <v/>
      </c>
      <c r="N17" s="24"/>
      <c r="Q17" s="24">
        <f>Q7*H3*H4*J3*IFERROR(IF(J57=1, 1, 0), 0)</f>
        <v>639745339.88960004</v>
      </c>
    </row>
    <row r="18" spans="1:17" s="22" customFormat="1" ht="25" customHeight="1" x14ac:dyDescent="0.45">
      <c r="A18" s="20"/>
      <c r="B18" s="35"/>
      <c r="C18" s="65">
        <v>39</v>
      </c>
      <c r="D18" s="59">
        <f t="shared" si="3"/>
        <v>62</v>
      </c>
      <c r="E18" s="59">
        <f t="shared" si="0"/>
        <v>3</v>
      </c>
      <c r="F18" s="60">
        <f t="shared" si="4"/>
        <v>86.25</v>
      </c>
      <c r="G18" s="61">
        <f>IF(D18=D17,"",_xlfn.IFNA(VLOOKUP(D18,'인원 입력 기능(사과탐)'!$K$5:$N$59,4,FALSE),0))</f>
        <v>792</v>
      </c>
      <c r="H18" s="62">
        <f t="shared" si="1"/>
        <v>2.4411293305387743E-2</v>
      </c>
      <c r="I18" s="72">
        <f>SUM($G$7:G18)</f>
        <v>4857</v>
      </c>
      <c r="J18" s="64">
        <f t="shared" si="5"/>
        <v>0.14970410553569227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58">
        <v>38</v>
      </c>
      <c r="D19" s="59">
        <f t="shared" si="3"/>
        <v>61</v>
      </c>
      <c r="E19" s="59">
        <f t="shared" si="0"/>
        <v>3</v>
      </c>
      <c r="F19" s="60">
        <f t="shared" si="4"/>
        <v>83.72</v>
      </c>
      <c r="G19" s="61">
        <f>IF(D19=D18,"",_xlfn.IFNA(VLOOKUP(D19,'인원 입력 기능(사과탐)'!$K$5:$N$59,4,FALSE),0))</f>
        <v>850</v>
      </c>
      <c r="H19" s="62">
        <f t="shared" si="1"/>
        <v>2.619898902724695E-2</v>
      </c>
      <c r="I19" s="72">
        <f>SUM($G$7:G19)</f>
        <v>5707</v>
      </c>
      <c r="J19" s="64">
        <f t="shared" si="5"/>
        <v>0.17590309456293921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65">
        <v>37</v>
      </c>
      <c r="D20" s="59">
        <f t="shared" si="3"/>
        <v>60</v>
      </c>
      <c r="E20" s="59">
        <f t="shared" si="0"/>
        <v>3</v>
      </c>
      <c r="F20" s="60">
        <f t="shared" si="4"/>
        <v>81.7</v>
      </c>
      <c r="G20" s="61">
        <f>IF(D20=D19,"",_xlfn.IFNA(VLOOKUP(D20,'인원 입력 기능(사과탐)'!$K$5:$N$59,4,FALSE),0))</f>
        <v>461</v>
      </c>
      <c r="H20" s="62">
        <f t="shared" si="1"/>
        <v>1.4209098754777463E-2</v>
      </c>
      <c r="I20" s="72">
        <f>SUM($G$7:G20)</f>
        <v>6168</v>
      </c>
      <c r="J20" s="64">
        <f t="shared" si="5"/>
        <v>0.19011219331771667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09">
        <v>36</v>
      </c>
      <c r="D21" s="257">
        <f t="shared" si="3"/>
        <v>59</v>
      </c>
      <c r="E21" s="257">
        <f t="shared" si="0"/>
        <v>3</v>
      </c>
      <c r="F21" s="247">
        <f t="shared" si="4"/>
        <v>78.28</v>
      </c>
      <c r="G21" s="249">
        <f>IF(D21=D20,"",_xlfn.IFNA(VLOOKUP(D21,'인원 입력 기능(사과탐)'!$K$5:$N$59,4,FALSE),0))</f>
        <v>1760</v>
      </c>
      <c r="H21" s="250">
        <f t="shared" si="1"/>
        <v>5.4247318456417212E-2</v>
      </c>
      <c r="I21" s="252">
        <f>SUM($G$7:G21)</f>
        <v>7928</v>
      </c>
      <c r="J21" s="254">
        <f t="shared" si="5"/>
        <v>0.2443595117741339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73">
        <v>35</v>
      </c>
      <c r="D22" s="256"/>
      <c r="E22" s="256"/>
      <c r="F22" s="246"/>
      <c r="G22" s="248"/>
      <c r="H22" s="251"/>
      <c r="I22" s="253"/>
      <c r="J22" s="255"/>
      <c r="K22" s="36"/>
      <c r="L22" s="20" t="str">
        <f t="shared" si="2"/>
        <v>경고</v>
      </c>
      <c r="N22" s="24"/>
    </row>
    <row r="23" spans="1:17" s="22" customFormat="1" ht="25" customHeight="1" x14ac:dyDescent="0.45">
      <c r="A23" s="20"/>
      <c r="B23" s="35"/>
      <c r="C23" s="109">
        <v>34</v>
      </c>
      <c r="D23" s="74">
        <f t="shared" si="3"/>
        <v>58</v>
      </c>
      <c r="E23" s="74">
        <f t="shared" si="0"/>
        <v>4</v>
      </c>
      <c r="F23" s="60">
        <f t="shared" si="4"/>
        <v>74.42</v>
      </c>
      <c r="G23" s="61">
        <f>IF(D23=D22,"",_xlfn.IFNA(VLOOKUP(D23,'인원 입력 기능(사과탐)'!$K$5:$N$59,4,FALSE),0))</f>
        <v>744</v>
      </c>
      <c r="H23" s="62">
        <f t="shared" si="1"/>
        <v>2.2931820983849095E-2</v>
      </c>
      <c r="I23" s="72">
        <f>SUM($G$7:G23)</f>
        <v>8672</v>
      </c>
      <c r="J23" s="64">
        <f t="shared" si="5"/>
        <v>0.267291332757983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73">
        <v>33</v>
      </c>
      <c r="D24" s="74">
        <f t="shared" si="3"/>
        <v>57</v>
      </c>
      <c r="E24" s="74">
        <f t="shared" si="0"/>
        <v>4</v>
      </c>
      <c r="F24" s="60">
        <f t="shared" si="4"/>
        <v>71.72</v>
      </c>
      <c r="G24" s="61">
        <f>IF(D24=D23,"",_xlfn.IFNA(VLOOKUP(D24,'인원 입력 기능(사과탐)'!$K$5:$N$59,4,FALSE),0))</f>
        <v>1007</v>
      </c>
      <c r="H24" s="62">
        <f t="shared" si="1"/>
        <v>3.1038096412279621E-2</v>
      </c>
      <c r="I24" s="72">
        <f>SUM($G$7:G24)</f>
        <v>9679</v>
      </c>
      <c r="J24" s="64">
        <f t="shared" si="5"/>
        <v>0.29832942917026262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09">
        <v>32</v>
      </c>
      <c r="D25" s="74">
        <f t="shared" si="3"/>
        <v>56</v>
      </c>
      <c r="E25" s="74">
        <f t="shared" si="0"/>
        <v>4</v>
      </c>
      <c r="F25" s="60">
        <f t="shared" si="4"/>
        <v>69.069999999999993</v>
      </c>
      <c r="G25" s="61">
        <f>IF(D25=D24,"",_xlfn.IFNA(VLOOKUP(D25,'인원 입력 기능(사과탐)'!$K$5:$N$59,4,FALSE),0))</f>
        <v>715</v>
      </c>
      <c r="H25" s="62">
        <f t="shared" si="1"/>
        <v>2.2037973122919493E-2</v>
      </c>
      <c r="I25" s="72">
        <f>SUM($G$7:G25)</f>
        <v>10394</v>
      </c>
      <c r="J25" s="64">
        <f t="shared" si="5"/>
        <v>0.32036740229318211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73">
        <v>31</v>
      </c>
      <c r="D26" s="74">
        <f t="shared" si="3"/>
        <v>55</v>
      </c>
      <c r="E26" s="74">
        <f t="shared" si="0"/>
        <v>4</v>
      </c>
      <c r="F26" s="60">
        <f t="shared" si="4"/>
        <v>66.489999999999995</v>
      </c>
      <c r="G26" s="61">
        <f>IF(D26=D25,"",_xlfn.IFNA(VLOOKUP(D26,'인원 입력 기능(사과탐)'!$K$5:$N$59,4,FALSE),0))</f>
        <v>957</v>
      </c>
      <c r="H26" s="62">
        <f t="shared" si="1"/>
        <v>2.949697941067686E-2</v>
      </c>
      <c r="I26" s="72">
        <f>SUM($G$7:G26)</f>
        <v>11351</v>
      </c>
      <c r="J26" s="64">
        <f t="shared" si="5"/>
        <v>0.34986438170385897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09">
        <v>30</v>
      </c>
      <c r="D27" s="74">
        <f t="shared" si="3"/>
        <v>54</v>
      </c>
      <c r="E27" s="74">
        <f t="shared" si="0"/>
        <v>4</v>
      </c>
      <c r="F27" s="60">
        <f t="shared" si="4"/>
        <v>63.66</v>
      </c>
      <c r="G27" s="61">
        <f>IF(D27=D26,"",_xlfn.IFNA(VLOOKUP(D27,'인원 입력 기능(사과탐)'!$K$5:$N$59,4,FALSE),0))</f>
        <v>879</v>
      </c>
      <c r="H27" s="62">
        <f t="shared" si="1"/>
        <v>2.7092836888176552E-2</v>
      </c>
      <c r="I27" s="72">
        <f>SUM($G$7:G27)</f>
        <v>12230</v>
      </c>
      <c r="J27" s="64">
        <f t="shared" si="5"/>
        <v>0.37695721859203551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73">
        <v>29</v>
      </c>
      <c r="D28" s="257">
        <f t="shared" si="3"/>
        <v>53</v>
      </c>
      <c r="E28" s="257">
        <f t="shared" si="0"/>
        <v>4</v>
      </c>
      <c r="F28" s="247">
        <f t="shared" si="4"/>
        <v>59.47</v>
      </c>
      <c r="G28" s="249">
        <f>IF(D28=D27,"",_xlfn.IFNA(VLOOKUP(D28,'인원 입력 기능(사과탐)'!$K$5:$N$59,4,FALSE),0))</f>
        <v>1839</v>
      </c>
      <c r="H28" s="250">
        <f t="shared" si="1"/>
        <v>5.6682283318949575E-2</v>
      </c>
      <c r="I28" s="252">
        <f>SUM($G$7:G28)</f>
        <v>14069</v>
      </c>
      <c r="J28" s="254">
        <f t="shared" si="5"/>
        <v>0.4336395019109851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09">
        <v>28</v>
      </c>
      <c r="D29" s="256"/>
      <c r="E29" s="256"/>
      <c r="F29" s="246"/>
      <c r="G29" s="248"/>
      <c r="H29" s="251"/>
      <c r="I29" s="253"/>
      <c r="J29" s="255"/>
      <c r="K29" s="36"/>
      <c r="L29" s="20" t="str">
        <f t="shared" si="2"/>
        <v>경고</v>
      </c>
      <c r="N29" s="24"/>
    </row>
    <row r="30" spans="1:17" s="22" customFormat="1" ht="25" customHeight="1" x14ac:dyDescent="0.45">
      <c r="A30" s="20"/>
      <c r="B30" s="35"/>
      <c r="C30" s="73">
        <v>27</v>
      </c>
      <c r="D30" s="74">
        <f t="shared" si="3"/>
        <v>52</v>
      </c>
      <c r="E30" s="74">
        <f t="shared" si="0"/>
        <v>5</v>
      </c>
      <c r="F30" s="60">
        <f t="shared" si="4"/>
        <v>55.38</v>
      </c>
      <c r="G30" s="61">
        <f>IF(D30=D29,"",_xlfn.IFNA(VLOOKUP(D30,'인원 입력 기능(사과탐)'!$K$5:$N$59,4,FALSE),0))</f>
        <v>813</v>
      </c>
      <c r="H30" s="62">
        <f t="shared" si="1"/>
        <v>2.5058562446060906E-2</v>
      </c>
      <c r="I30" s="72">
        <f>SUM($G$7:G30)</f>
        <v>14882</v>
      </c>
      <c r="J30" s="64">
        <f t="shared" si="5"/>
        <v>0.45869806435704596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09">
        <v>26</v>
      </c>
      <c r="D31" s="74">
        <f t="shared" si="3"/>
        <v>51</v>
      </c>
      <c r="E31" s="74">
        <f t="shared" si="0"/>
        <v>5</v>
      </c>
      <c r="F31" s="60">
        <f t="shared" si="4"/>
        <v>52.73</v>
      </c>
      <c r="G31" s="61">
        <f>IF(D31=D30,"",_xlfn.IFNA(VLOOKUP(D31,'인원 입력 기능(사과탐)'!$K$5:$N$59,4,FALSE),0))</f>
        <v>907</v>
      </c>
      <c r="H31" s="62">
        <f t="shared" si="1"/>
        <v>2.7955862409074096E-2</v>
      </c>
      <c r="I31" s="72">
        <f>SUM($G$7:G31)</f>
        <v>15789</v>
      </c>
      <c r="J31" s="64">
        <f t="shared" si="5"/>
        <v>0.48665392676612007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73">
        <v>25</v>
      </c>
      <c r="D32" s="74">
        <f t="shared" si="3"/>
        <v>50</v>
      </c>
      <c r="E32" s="74">
        <f t="shared" si="0"/>
        <v>5</v>
      </c>
      <c r="F32" s="60">
        <f t="shared" si="4"/>
        <v>50.01</v>
      </c>
      <c r="G32" s="61">
        <f>IF(D32=D31,"",_xlfn.IFNA(VLOOKUP(D32,'인원 입력 기능(사과탐)'!$K$5:$N$59,4,FALSE),0))</f>
        <v>861</v>
      </c>
      <c r="H32" s="62">
        <f t="shared" si="1"/>
        <v>2.6538034767599555E-2</v>
      </c>
      <c r="I32" s="72">
        <f>SUM($G$7:G32)</f>
        <v>16650</v>
      </c>
      <c r="J32" s="64">
        <f t="shared" si="5"/>
        <v>0.5131919615337196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09">
        <v>24</v>
      </c>
      <c r="D33" s="74">
        <f t="shared" si="3"/>
        <v>49</v>
      </c>
      <c r="E33" s="74">
        <f t="shared" si="0"/>
        <v>5</v>
      </c>
      <c r="F33" s="60">
        <f t="shared" si="4"/>
        <v>47.5</v>
      </c>
      <c r="G33" s="61">
        <f>IF(D33=D32,"",_xlfn.IFNA(VLOOKUP(D33,'인원 입력 기능(사과탐)'!$K$5:$N$59,4,FALSE),0))</f>
        <v>764</v>
      </c>
      <c r="H33" s="62">
        <f t="shared" si="1"/>
        <v>2.35482677844902E-2</v>
      </c>
      <c r="I33" s="72">
        <f>SUM($G$7:G33)</f>
        <v>17414</v>
      </c>
      <c r="J33" s="64">
        <f t="shared" si="5"/>
        <v>0.53674022931820986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73">
        <v>23</v>
      </c>
      <c r="D34" s="257">
        <f t="shared" si="3"/>
        <v>48</v>
      </c>
      <c r="E34" s="257">
        <f t="shared" si="0"/>
        <v>5</v>
      </c>
      <c r="F34" s="247">
        <f t="shared" si="4"/>
        <v>43.73</v>
      </c>
      <c r="G34" s="249">
        <f>IF(D34=D33,"",_xlfn.IFNA(VLOOKUP(D34,'인원 입력 기능(사과탐)'!$K$5:$N$59,4,FALSE),0))</f>
        <v>1684</v>
      </c>
      <c r="H34" s="250">
        <f t="shared" si="1"/>
        <v>5.1904820613981016E-2</v>
      </c>
      <c r="I34" s="252">
        <f>SUM($G$7:G34)</f>
        <v>19098</v>
      </c>
      <c r="J34" s="254">
        <f t="shared" si="5"/>
        <v>0.5886450499321908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09">
        <v>22</v>
      </c>
      <c r="D35" s="256"/>
      <c r="E35" s="256"/>
      <c r="F35" s="246"/>
      <c r="G35" s="248"/>
      <c r="H35" s="251"/>
      <c r="I35" s="253"/>
      <c r="J35" s="255"/>
      <c r="K35" s="36"/>
      <c r="L35" s="20" t="str">
        <f t="shared" si="2"/>
        <v>경고</v>
      </c>
      <c r="N35" s="24"/>
    </row>
    <row r="36" spans="1:14" s="22" customFormat="1" ht="25" customHeight="1" x14ac:dyDescent="0.45">
      <c r="A36" s="20"/>
      <c r="B36" s="35"/>
      <c r="C36" s="73">
        <v>21</v>
      </c>
      <c r="D36" s="74">
        <f t="shared" si="3"/>
        <v>47</v>
      </c>
      <c r="E36" s="74">
        <f t="shared" si="0"/>
        <v>5</v>
      </c>
      <c r="F36" s="60">
        <f t="shared" si="4"/>
        <v>40</v>
      </c>
      <c r="G36" s="61">
        <f>IF(D36=D35,"",_xlfn.IFNA(VLOOKUP(D36,'인원 입력 기능(사과탐)'!$K$5:$N$59,4,FALSE),0))</f>
        <v>737</v>
      </c>
      <c r="H36" s="62">
        <f t="shared" si="1"/>
        <v>2.2716064603624707E-2</v>
      </c>
      <c r="I36" s="72">
        <f>SUM($G$7:G36)</f>
        <v>19835</v>
      </c>
      <c r="J36" s="64">
        <f t="shared" si="5"/>
        <v>0.61136111453581554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09">
        <v>20</v>
      </c>
      <c r="D37" s="74">
        <f t="shared" si="3"/>
        <v>46</v>
      </c>
      <c r="E37" s="74">
        <f t="shared" si="0"/>
        <v>6</v>
      </c>
      <c r="F37" s="60">
        <f t="shared" si="4"/>
        <v>37.630000000000003</v>
      </c>
      <c r="G37" s="61">
        <f>IF(D37=D36,"",_xlfn.IFNA(VLOOKUP(D37,'인원 입력 기능(사과탐)'!$K$5:$N$59,4,FALSE),0))</f>
        <v>802</v>
      </c>
      <c r="H37" s="62">
        <f t="shared" si="1"/>
        <v>2.4719516705708298E-2</v>
      </c>
      <c r="I37" s="72">
        <f>SUM($G$7:G37)</f>
        <v>20637</v>
      </c>
      <c r="J37" s="64">
        <f t="shared" si="5"/>
        <v>0.63608063124152381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73">
        <v>19</v>
      </c>
      <c r="D38" s="74">
        <f t="shared" si="3"/>
        <v>45</v>
      </c>
      <c r="E38" s="74">
        <f t="shared" si="0"/>
        <v>6</v>
      </c>
      <c r="F38" s="60">
        <f t="shared" si="4"/>
        <v>35.369999999999997</v>
      </c>
      <c r="G38" s="61">
        <f>IF(D38=D37,"",_xlfn.IFNA(VLOOKUP(D38,'인원 입력 기능(사과탐)'!$K$5:$N$59,4,FALSE),0))</f>
        <v>662</v>
      </c>
      <c r="H38" s="62">
        <f t="shared" si="1"/>
        <v>2.0404389101220565E-2</v>
      </c>
      <c r="I38" s="72">
        <f>SUM($G$7:G38)</f>
        <v>21299</v>
      </c>
      <c r="J38" s="64">
        <f t="shared" si="5"/>
        <v>0.65648502034274447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09">
        <v>18</v>
      </c>
      <c r="D39" s="74">
        <f t="shared" si="3"/>
        <v>44</v>
      </c>
      <c r="E39" s="74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6</v>
      </c>
      <c r="F39" s="60">
        <f t="shared" si="4"/>
        <v>33.06</v>
      </c>
      <c r="G39" s="61">
        <f>IF(D39=D38,"",_xlfn.IFNA(VLOOKUP(D39,'인원 입력 기능(사과탐)'!$K$5:$N$59,4,FALSE),0))</f>
        <v>837</v>
      </c>
      <c r="H39" s="62">
        <f t="shared" si="1"/>
        <v>2.5798298606830229E-2</v>
      </c>
      <c r="I39" s="72">
        <f>SUM($G$7:G39)</f>
        <v>22136</v>
      </c>
      <c r="J39" s="64">
        <f t="shared" si="5"/>
        <v>0.68228331894957461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73">
        <v>17</v>
      </c>
      <c r="D40" s="74">
        <f t="shared" si="3"/>
        <v>43</v>
      </c>
      <c r="E40" s="74">
        <f t="shared" si="6"/>
        <v>6</v>
      </c>
      <c r="F40" s="60">
        <f t="shared" si="4"/>
        <v>30.7</v>
      </c>
      <c r="G40" s="61">
        <f>IF(D40=D39,"",_xlfn.IFNA(VLOOKUP(D40,'인원 입력 기능(사과탐)'!$K$5:$N$59,4,FALSE),0))</f>
        <v>694</v>
      </c>
      <c r="H40" s="62">
        <f t="shared" si="1"/>
        <v>2.1390703982246333E-2</v>
      </c>
      <c r="I40" s="72">
        <f>SUM($G$7:G40)</f>
        <v>22830</v>
      </c>
      <c r="J40" s="64">
        <f t="shared" si="5"/>
        <v>0.70367402293182102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09">
        <v>16</v>
      </c>
      <c r="D41" s="257">
        <f t="shared" si="3"/>
        <v>42</v>
      </c>
      <c r="E41" s="257">
        <f t="shared" si="6"/>
        <v>6</v>
      </c>
      <c r="F41" s="247">
        <f t="shared" si="4"/>
        <v>27.34</v>
      </c>
      <c r="G41" s="249">
        <f>IF(D41=D40,"",_xlfn.IFNA(VLOOKUP(D41,'인원 입력 기능(사과탐)'!$K$5:$N$59,4,FALSE),0))</f>
        <v>1486</v>
      </c>
      <c r="H41" s="250">
        <f t="shared" si="1"/>
        <v>4.580199728763408E-2</v>
      </c>
      <c r="I41" s="252">
        <f>SUM($G$7:G41)</f>
        <v>24316</v>
      </c>
      <c r="J41" s="254">
        <f t="shared" si="5"/>
        <v>0.74947602021945503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73">
        <v>15</v>
      </c>
      <c r="D42" s="256"/>
      <c r="E42" s="256"/>
      <c r="F42" s="246"/>
      <c r="G42" s="248"/>
      <c r="H42" s="251"/>
      <c r="I42" s="253"/>
      <c r="J42" s="255"/>
      <c r="K42" s="36"/>
      <c r="L42" s="20" t="str">
        <f t="shared" si="2"/>
        <v>경고</v>
      </c>
      <c r="N42" s="24"/>
    </row>
    <row r="43" spans="1:14" s="22" customFormat="1" ht="25" customHeight="1" x14ac:dyDescent="0.45">
      <c r="A43" s="20"/>
      <c r="B43" s="35"/>
      <c r="C43" s="109">
        <v>14</v>
      </c>
      <c r="D43" s="74">
        <f t="shared" si="3"/>
        <v>41</v>
      </c>
      <c r="E43" s="74">
        <f t="shared" si="6"/>
        <v>6</v>
      </c>
      <c r="F43" s="60">
        <f t="shared" si="4"/>
        <v>24.02</v>
      </c>
      <c r="G43" s="61">
        <f>IF(D43=D42,"",_xlfn.IFNA(VLOOKUP(D43,'인원 입력 기능(사과탐)'!$K$5:$N$59,4,FALSE),0))</f>
        <v>670</v>
      </c>
      <c r="H43" s="62">
        <f t="shared" si="1"/>
        <v>2.0650967821477007E-2</v>
      </c>
      <c r="I43" s="72">
        <f>SUM($G$7:G43)</f>
        <v>24986</v>
      </c>
      <c r="J43" s="64">
        <f t="shared" si="5"/>
        <v>0.77012698804093205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73">
        <v>13</v>
      </c>
      <c r="D44" s="74">
        <f t="shared" si="3"/>
        <v>40</v>
      </c>
      <c r="E44" s="74">
        <f t="shared" si="6"/>
        <v>7</v>
      </c>
      <c r="F44" s="60">
        <f t="shared" si="4"/>
        <v>21.53</v>
      </c>
      <c r="G44" s="61">
        <f>IF(D44=D43,"",_xlfn.IFNA(VLOOKUP(D44,'인원 입력 기능(사과탐)'!$K$5:$N$59,4,FALSE),0))</f>
        <v>944</v>
      </c>
      <c r="H44" s="62">
        <f t="shared" si="1"/>
        <v>2.9096288990260139E-2</v>
      </c>
      <c r="I44" s="72">
        <f>SUM($G$7:G44)</f>
        <v>25930</v>
      </c>
      <c r="J44" s="64">
        <f t="shared" si="5"/>
        <v>0.79922327703119223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09">
        <v>12</v>
      </c>
      <c r="D45" s="74">
        <f t="shared" si="3"/>
        <v>39</v>
      </c>
      <c r="E45" s="74">
        <f t="shared" si="6"/>
        <v>7</v>
      </c>
      <c r="F45" s="60">
        <f t="shared" si="4"/>
        <v>19.14</v>
      </c>
      <c r="G45" s="61">
        <f>IF(D45=D44,"",_xlfn.IFNA(VLOOKUP(D45,'인원 입력 기능(사과탐)'!$K$5:$N$59,4,FALSE),0))</f>
        <v>608</v>
      </c>
      <c r="H45" s="62">
        <f t="shared" si="1"/>
        <v>1.8739982739489583E-2</v>
      </c>
      <c r="I45" s="72">
        <f>SUM($G$7:G45)</f>
        <v>26538</v>
      </c>
      <c r="J45" s="64">
        <f t="shared" si="5"/>
        <v>0.81796325977068174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73">
        <v>11</v>
      </c>
      <c r="D46" s="74">
        <f t="shared" si="3"/>
        <v>38</v>
      </c>
      <c r="E46" s="74">
        <f t="shared" si="6"/>
        <v>7</v>
      </c>
      <c r="F46" s="60">
        <f t="shared" si="4"/>
        <v>16.02</v>
      </c>
      <c r="G46" s="61">
        <f>IF(D46=D45,"",_xlfn.IFNA(VLOOKUP(D46,'인원 입력 기능(사과탐)'!$K$5:$N$59,4,FALSE),0))</f>
        <v>1417</v>
      </c>
      <c r="H46" s="62">
        <f t="shared" si="1"/>
        <v>4.3675255825422268E-2</v>
      </c>
      <c r="I46" s="72">
        <f>SUM($G$7:G46)</f>
        <v>27955</v>
      </c>
      <c r="J46" s="64">
        <f t="shared" si="5"/>
        <v>0.86163851559610405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09">
        <v>10</v>
      </c>
      <c r="D47" s="257">
        <f t="shared" si="3"/>
        <v>37</v>
      </c>
      <c r="E47" s="257">
        <f t="shared" si="6"/>
        <v>7</v>
      </c>
      <c r="F47" s="247">
        <f t="shared" si="4"/>
        <v>9.9</v>
      </c>
      <c r="G47" s="249">
        <f>IF(D47=D46,"",_xlfn.IFNA(VLOOKUP(D47,'인원 입력 기능(사과탐)'!$K$5:$N$59,4,FALSE),0))</f>
        <v>2553</v>
      </c>
      <c r="H47" s="250">
        <f t="shared" si="1"/>
        <v>7.8689434101837014E-2</v>
      </c>
      <c r="I47" s="252">
        <f>SUM($G$7:G47)</f>
        <v>30508</v>
      </c>
      <c r="J47" s="254">
        <f t="shared" si="5"/>
        <v>0.94032794969794109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73">
        <v>9</v>
      </c>
      <c r="D48" s="256"/>
      <c r="E48" s="256"/>
      <c r="F48" s="246"/>
      <c r="G48" s="248"/>
      <c r="H48" s="251"/>
      <c r="I48" s="253"/>
      <c r="J48" s="255"/>
      <c r="K48" s="36"/>
      <c r="L48" s="20" t="str">
        <f t="shared" si="2"/>
        <v>경고</v>
      </c>
      <c r="N48" s="24"/>
    </row>
    <row r="49" spans="1:14" s="22" customFormat="1" ht="25" customHeight="1" x14ac:dyDescent="0.45">
      <c r="A49" s="20"/>
      <c r="B49" s="35"/>
      <c r="C49" s="109">
        <v>8</v>
      </c>
      <c r="D49" s="74">
        <f t="shared" si="3"/>
        <v>36</v>
      </c>
      <c r="E49" s="74">
        <f t="shared" si="6"/>
        <v>8</v>
      </c>
      <c r="F49" s="60">
        <f t="shared" si="4"/>
        <v>5.38</v>
      </c>
      <c r="G49" s="61">
        <f>IF(D49=D48,"",_xlfn.IFNA(VLOOKUP(D49,'인원 입력 기능(사과탐)'!$K$5:$N$59,4,FALSE),0))</f>
        <v>384</v>
      </c>
      <c r="H49" s="62">
        <f t="shared" si="1"/>
        <v>1.183577857230921E-2</v>
      </c>
      <c r="I49" s="72">
        <f>SUM($G$7:G49)</f>
        <v>30892</v>
      </c>
      <c r="J49" s="64">
        <f t="shared" si="5"/>
        <v>0.95216372827025031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73">
        <v>7</v>
      </c>
      <c r="D50" s="74">
        <f t="shared" si="3"/>
        <v>35</v>
      </c>
      <c r="E50" s="74">
        <f t="shared" si="6"/>
        <v>8</v>
      </c>
      <c r="F50" s="60">
        <f t="shared" si="4"/>
        <v>3.77</v>
      </c>
      <c r="G50" s="61">
        <f>IF(D50=D49,"",_xlfn.IFNA(VLOOKUP(D50,'인원 입력 기능(사과탐)'!$K$5:$N$59,4,FALSE),0))</f>
        <v>655</v>
      </c>
      <c r="H50" s="62">
        <f t="shared" si="1"/>
        <v>2.0188632720996177E-2</v>
      </c>
      <c r="I50" s="72">
        <f>SUM($G$7:G50)</f>
        <v>31547</v>
      </c>
      <c r="J50" s="64">
        <f t="shared" si="5"/>
        <v>0.97235236099124644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09">
        <v>6</v>
      </c>
      <c r="D51" s="74">
        <f t="shared" si="3"/>
        <v>34</v>
      </c>
      <c r="E51" s="74">
        <f t="shared" si="6"/>
        <v>9</v>
      </c>
      <c r="F51" s="60">
        <f t="shared" si="4"/>
        <v>2.39</v>
      </c>
      <c r="G51" s="61">
        <f>IF(D51=D50,"",_xlfn.IFNA(VLOOKUP(D51,'인원 입력 기능(사과탐)'!$K$5:$N$59,4,FALSE),0))</f>
        <v>245</v>
      </c>
      <c r="H51" s="62">
        <f t="shared" si="1"/>
        <v>7.5514733078535321E-3</v>
      </c>
      <c r="I51" s="72">
        <f>SUM($G$7:G51)</f>
        <v>31792</v>
      </c>
      <c r="J51" s="64">
        <f t="shared" si="5"/>
        <v>0.9799038342991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73">
        <v>5</v>
      </c>
      <c r="D52" s="74">
        <f t="shared" si="3"/>
        <v>33</v>
      </c>
      <c r="E52" s="74">
        <f t="shared" si="6"/>
        <v>9</v>
      </c>
      <c r="F52" s="60">
        <f t="shared" si="4"/>
        <v>1.57</v>
      </c>
      <c r="G52" s="61">
        <f>IF(D52=D51,"",_xlfn.IFNA(VLOOKUP(D52,'인원 입력 기능(사과탐)'!$K$5:$N$59,4,FALSE),0))</f>
        <v>287</v>
      </c>
      <c r="H52" s="62">
        <f t="shared" si="1"/>
        <v>8.8460115891998512E-3</v>
      </c>
      <c r="I52" s="72">
        <f>SUM($G$7:G52)</f>
        <v>32079</v>
      </c>
      <c r="J52" s="64">
        <f t="shared" si="5"/>
        <v>0.98874984588829984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58">
        <v>4</v>
      </c>
      <c r="D53" s="59">
        <f t="shared" si="3"/>
        <v>32</v>
      </c>
      <c r="E53" s="59">
        <f t="shared" si="6"/>
        <v>9</v>
      </c>
      <c r="F53" s="60">
        <f t="shared" si="4"/>
        <v>0.95</v>
      </c>
      <c r="G53" s="61">
        <f>IF(D53=D52,"",_xlfn.IFNA(VLOOKUP(D53,'인원 입력 기능(사과탐)'!$K$5:$N$59,4,FALSE),0))</f>
        <v>116</v>
      </c>
      <c r="H53" s="62">
        <f t="shared" si="1"/>
        <v>3.5753914437184073E-3</v>
      </c>
      <c r="I53" s="72">
        <f>SUM($G$7:G53)</f>
        <v>32195</v>
      </c>
      <c r="J53" s="64">
        <f t="shared" si="5"/>
        <v>0.99232523733201827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65">
        <v>3</v>
      </c>
      <c r="D54" s="237">
        <f t="shared" si="3"/>
        <v>31</v>
      </c>
      <c r="E54" s="237">
        <f t="shared" si="6"/>
        <v>9</v>
      </c>
      <c r="F54" s="247">
        <f t="shared" si="4"/>
        <v>0.44</v>
      </c>
      <c r="G54" s="249">
        <f>IF(D54=D53,"",_xlfn.IFNA(VLOOKUP(D54,'인원 입력 기능(사과탐)'!$K$5:$N$59,4,FALSE),0))</f>
        <v>212</v>
      </c>
      <c r="H54" s="250">
        <f t="shared" si="1"/>
        <v>6.5343360867957095E-3</v>
      </c>
      <c r="I54" s="252">
        <f>SUM($G$7:G54)</f>
        <v>32407</v>
      </c>
      <c r="J54" s="254">
        <f t="shared" si="5"/>
        <v>0.99885957341881393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58">
        <v>2</v>
      </c>
      <c r="D55" s="238"/>
      <c r="E55" s="238"/>
      <c r="F55" s="246"/>
      <c r="G55" s="248"/>
      <c r="H55" s="251"/>
      <c r="I55" s="253"/>
      <c r="J55" s="255"/>
      <c r="K55" s="36"/>
      <c r="L55" s="20" t="str">
        <f t="shared" si="2"/>
        <v>경고</v>
      </c>
      <c r="N55" s="24"/>
    </row>
    <row r="56" spans="1:14" s="22" customFormat="1" ht="25" customHeight="1" x14ac:dyDescent="0.45">
      <c r="A56" s="20"/>
      <c r="B56" s="35"/>
      <c r="C56" s="65">
        <v>1</v>
      </c>
      <c r="D56" s="66" t="s">
        <v>56</v>
      </c>
      <c r="E56" s="66"/>
      <c r="F56" s="67"/>
      <c r="G56" s="110"/>
      <c r="H56" s="108"/>
      <c r="I56" s="76"/>
      <c r="J56" s="71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11">
        <v>0</v>
      </c>
      <c r="D57" s="78">
        <f>ROUND(10*(C57-$H$3)/$H$4+50,0)</f>
        <v>29</v>
      </c>
      <c r="E57" s="112">
        <f t="shared" si="6"/>
        <v>9</v>
      </c>
      <c r="F57" s="79">
        <f>IF(I55=0,ROUND(100*(1-(I54+I57)/2/$J$3),2),ROUND(100*(1-(I55+I57)/2/$J$3),2))</f>
        <v>0.06</v>
      </c>
      <c r="G57" s="113">
        <f>_xlfn.IFNA(VLOOKUP(D57,'인원 입력 기능(사과탐)'!$K$5:$N$59,4,FALSE),0)</f>
        <v>37</v>
      </c>
      <c r="H57" s="81">
        <f>G57/$J$3</f>
        <v>1.1404265811860437E-3</v>
      </c>
      <c r="I57" s="82">
        <f>SUM($G$7:G57)</f>
        <v>32444</v>
      </c>
      <c r="J57" s="114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52">
    <mergeCell ref="I47:I48"/>
    <mergeCell ref="J47:J48"/>
    <mergeCell ref="D54:D55"/>
    <mergeCell ref="E54:E55"/>
    <mergeCell ref="F54:F55"/>
    <mergeCell ref="G54:G55"/>
    <mergeCell ref="H54:H55"/>
    <mergeCell ref="I54:I55"/>
    <mergeCell ref="J54:J55"/>
    <mergeCell ref="D47:D48"/>
    <mergeCell ref="E47:E48"/>
    <mergeCell ref="F47:F48"/>
    <mergeCell ref="G47:G48"/>
    <mergeCell ref="H47:H48"/>
    <mergeCell ref="I34:I35"/>
    <mergeCell ref="J34:J35"/>
    <mergeCell ref="D41:D42"/>
    <mergeCell ref="E41:E42"/>
    <mergeCell ref="F41:F42"/>
    <mergeCell ref="G41:G42"/>
    <mergeCell ref="H41:H42"/>
    <mergeCell ref="I41:I42"/>
    <mergeCell ref="J41:J42"/>
    <mergeCell ref="D34:D35"/>
    <mergeCell ref="E34:E35"/>
    <mergeCell ref="F34:F35"/>
    <mergeCell ref="G34:G35"/>
    <mergeCell ref="H34:H35"/>
    <mergeCell ref="I21:I22"/>
    <mergeCell ref="J21:J22"/>
    <mergeCell ref="D28:D29"/>
    <mergeCell ref="E28:E29"/>
    <mergeCell ref="F28:F29"/>
    <mergeCell ref="G28:G29"/>
    <mergeCell ref="H28:H29"/>
    <mergeCell ref="I28:I29"/>
    <mergeCell ref="J28:J29"/>
    <mergeCell ref="D21:D22"/>
    <mergeCell ref="E21:E22"/>
    <mergeCell ref="F21:F22"/>
    <mergeCell ref="G21:G22"/>
    <mergeCell ref="H21:H22"/>
    <mergeCell ref="D3:F3"/>
    <mergeCell ref="D4:F4"/>
    <mergeCell ref="I4:J5"/>
    <mergeCell ref="D15:D16"/>
    <mergeCell ref="E15:E16"/>
    <mergeCell ref="F15:F16"/>
    <mergeCell ref="G15:G16"/>
    <mergeCell ref="H15:H16"/>
    <mergeCell ref="I15:I16"/>
    <mergeCell ref="J15:J16"/>
  </mergeCells>
  <phoneticPr fontId="1" type="noConversion"/>
  <conditionalFormatting sqref="D7:G15 I7:J15 D17:G21 I17:J21 D23:G28 I23:J28 D30:G34 I30:J34 D36:G41 I36:J41 D43:G47 I43:J47 D49:G54 I49:J54 D56:G57 I56:J57">
    <cfRule type="expression" dxfId="43" priority="4">
      <formula>OR($D7=$Q$7:$Q$14)</formula>
    </cfRule>
  </conditionalFormatting>
  <conditionalFormatting sqref="C7:C57">
    <cfRule type="expression" dxfId="42" priority="3">
      <formula>OR(AND($D7=0,OR($D6=$Q$7:$Q$14)),AND($D8&gt;0,OR($D7=$Q$7:$Q$14)))</formula>
    </cfRule>
  </conditionalFormatting>
  <conditionalFormatting sqref="D7:D15 D17:D21 D23:D28 D30:D34 D36:D41 D43:D47 D49:D54 D56:D57">
    <cfRule type="expression" dxfId="41" priority="2">
      <formula>$D7=$D8</formula>
    </cfRule>
  </conditionalFormatting>
  <conditionalFormatting sqref="H7:H15 H17:H21 H23:H28 H30:H34 H36:H41 H43:H47 H49:H54 H56:H57">
    <cfRule type="expression" dxfId="40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2889C-B507-4A3B-8C3B-31827C1F3AD5}">
  <sheetPr codeName="Sheet13"/>
  <dimension ref="A1:Q105"/>
  <sheetViews>
    <sheetView zoomScale="98" zoomScaleNormal="98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152" t="s">
        <v>133</v>
      </c>
      <c r="B1" s="157"/>
      <c r="C1" s="33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8"/>
      <c r="B2" s="152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155"/>
      <c r="C3" s="48" t="s">
        <v>68</v>
      </c>
      <c r="D3" s="163" t="s">
        <v>134</v>
      </c>
      <c r="E3" s="164"/>
      <c r="F3" s="165"/>
      <c r="G3" s="48" t="s">
        <v>69</v>
      </c>
      <c r="H3" s="49" t="str">
        <f>'통계 및 응시자 수 입력 기능'!D11</f>
        <v>24.22</v>
      </c>
      <c r="I3" s="21" t="s">
        <v>70</v>
      </c>
      <c r="J3" s="50">
        <f>'통계 및 응시자 수 입력 기능'!C11</f>
        <v>29939</v>
      </c>
      <c r="K3" s="36"/>
      <c r="L3" s="20"/>
    </row>
    <row r="4" spans="1:17" s="22" customFormat="1" ht="25" customHeight="1" thickBot="1" x14ac:dyDescent="0.5">
      <c r="A4" s="20"/>
      <c r="B4" s="35"/>
      <c r="C4" s="51" t="s">
        <v>71</v>
      </c>
      <c r="D4" s="166" t="s">
        <v>101</v>
      </c>
      <c r="E4" s="167"/>
      <c r="F4" s="168"/>
      <c r="G4" s="52" t="s">
        <v>73</v>
      </c>
      <c r="H4" s="53" t="str">
        <f>'통계 및 응시자 수 입력 기능'!E11</f>
        <v>11.79</v>
      </c>
      <c r="I4" s="169"/>
      <c r="J4" s="170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171"/>
      <c r="J5" s="171"/>
      <c r="K5" s="36"/>
      <c r="L5" s="20"/>
    </row>
    <row r="6" spans="1:17" s="22" customFormat="1" ht="25" customHeight="1" thickBot="1" x14ac:dyDescent="0.5">
      <c r="A6" s="20"/>
      <c r="B6" s="35"/>
      <c r="C6" s="54" t="s">
        <v>75</v>
      </c>
      <c r="D6" s="55" t="s">
        <v>76</v>
      </c>
      <c r="E6" s="55" t="s">
        <v>77</v>
      </c>
      <c r="F6" s="55" t="s">
        <v>78</v>
      </c>
      <c r="G6" s="55" t="s">
        <v>79</v>
      </c>
      <c r="H6" s="55" t="s">
        <v>80</v>
      </c>
      <c r="I6" s="56" t="s">
        <v>81</v>
      </c>
      <c r="J6" s="57" t="s">
        <v>82</v>
      </c>
      <c r="K6" s="36"/>
      <c r="L6" s="19" t="s">
        <v>64</v>
      </c>
      <c r="M6" s="19"/>
      <c r="N6" s="23"/>
    </row>
    <row r="7" spans="1:17" s="22" customFormat="1" ht="25" customHeight="1" x14ac:dyDescent="0.45">
      <c r="A7" s="20"/>
      <c r="B7" s="35"/>
      <c r="C7" s="160">
        <v>50</v>
      </c>
      <c r="D7" s="59">
        <f>ROUND(10*(C7-$H$3)/$H$4+50,0)</f>
        <v>72</v>
      </c>
      <c r="E7" s="59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60">
        <f>ROUND(100*(1-(0+I7)/2/$J$3),2)</f>
        <v>99.33</v>
      </c>
      <c r="G7" s="61">
        <f>_xlfn.IFNA(VLOOKUP(D7,'인원 입력 기능(사과탐)'!$P$5:$S$59,4,FALSE),0)</f>
        <v>402</v>
      </c>
      <c r="H7" s="62">
        <f>G7/$J$3</f>
        <v>1.3427302181101573E-2</v>
      </c>
      <c r="I7" s="63">
        <f>G7</f>
        <v>402</v>
      </c>
      <c r="J7" s="64">
        <f>I7/$J$3</f>
        <v>1.3427302181101573E-2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기능'!C67</f>
        <v>68</v>
      </c>
    </row>
    <row r="8" spans="1:17" s="22" customFormat="1" ht="25" customHeight="1" x14ac:dyDescent="0.45">
      <c r="A8" s="20"/>
      <c r="B8" s="35"/>
      <c r="C8" s="58">
        <v>49</v>
      </c>
      <c r="D8" s="66" t="s">
        <v>56</v>
      </c>
      <c r="E8" s="66"/>
      <c r="F8" s="67"/>
      <c r="G8" s="68"/>
      <c r="H8" s="108"/>
      <c r="I8" s="70"/>
      <c r="J8" s="71"/>
      <c r="K8" s="36"/>
      <c r="L8" s="20"/>
      <c r="N8" s="24"/>
      <c r="P8" s="24">
        <v>2</v>
      </c>
      <c r="Q8" s="24">
        <f>'표점등급&amp;절평인원 입력 기능'!C68</f>
        <v>63</v>
      </c>
    </row>
    <row r="9" spans="1:17" s="22" customFormat="1" ht="25" customHeight="1" x14ac:dyDescent="0.45">
      <c r="A9" s="20"/>
      <c r="B9" s="35"/>
      <c r="C9" s="58">
        <v>48</v>
      </c>
      <c r="D9" s="59">
        <f>ROUND(10*(C9-$H$3)/$H$4+50,0)</f>
        <v>70</v>
      </c>
      <c r="E9" s="59">
        <f t="shared" si="0"/>
        <v>1</v>
      </c>
      <c r="F9" s="60">
        <f>IF(I8=0,ROUND(100*(1-(I7+I9)/2/$J$3),2),ROUND(100*(1-(I8+I9)/2/$J$3),2))</f>
        <v>98.02</v>
      </c>
      <c r="G9" s="61">
        <f>_xlfn.IFNA(VLOOKUP(D9,'인원 입력 기능(사과탐)'!$P$5:$S$59,4,FALSE),0)</f>
        <v>381</v>
      </c>
      <c r="H9" s="62">
        <f t="shared" ref="H9:H55" si="1">G9/$J$3</f>
        <v>1.2725875947760446E-2</v>
      </c>
      <c r="I9" s="72">
        <f>SUM($G$7:G9)</f>
        <v>783</v>
      </c>
      <c r="J9" s="64">
        <f>I9/$J$3</f>
        <v>2.6153178128862021E-2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기능'!C69</f>
        <v>58</v>
      </c>
    </row>
    <row r="10" spans="1:17" s="22" customFormat="1" ht="25" customHeight="1" x14ac:dyDescent="0.45">
      <c r="A10" s="20"/>
      <c r="B10" s="35"/>
      <c r="C10" s="65">
        <v>47</v>
      </c>
      <c r="D10" s="59">
        <f t="shared" ref="D10:D55" si="3">ROUND(10*(C10-$H$3)/$H$4+50,0)</f>
        <v>69</v>
      </c>
      <c r="E10" s="59">
        <f t="shared" si="0"/>
        <v>1</v>
      </c>
      <c r="F10" s="60">
        <f t="shared" ref="F10:F55" si="4">IF(I9=0,ROUND(100*(1-(I8+I10)/2/$J$3),2),ROUND(100*(1-(I9+I10)/2/$J$3),2))</f>
        <v>96.92</v>
      </c>
      <c r="G10" s="61">
        <f>IF(D10=D9,"",_xlfn.IFNA(VLOOKUP(D10,'인원 입력 기능(사과탐)'!$P$5:$S$59,4,FALSE),0))</f>
        <v>276</v>
      </c>
      <c r="H10" s="62">
        <f t="shared" si="1"/>
        <v>9.218744781054812E-3</v>
      </c>
      <c r="I10" s="72">
        <f>SUM($G$7:G10)</f>
        <v>1059</v>
      </c>
      <c r="J10" s="64">
        <f t="shared" ref="J10:J55" si="5">I10/$J$3</f>
        <v>3.5371922909916829E-2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기능'!C70</f>
        <v>52</v>
      </c>
    </row>
    <row r="11" spans="1:17" s="22" customFormat="1" ht="25" customHeight="1" x14ac:dyDescent="0.45">
      <c r="A11" s="20"/>
      <c r="B11" s="35"/>
      <c r="C11" s="58">
        <v>46</v>
      </c>
      <c r="D11" s="237">
        <f t="shared" si="3"/>
        <v>68</v>
      </c>
      <c r="E11" s="237">
        <f t="shared" si="0"/>
        <v>1</v>
      </c>
      <c r="F11" s="247">
        <f t="shared" si="4"/>
        <v>95.21</v>
      </c>
      <c r="G11" s="249">
        <f>IF(D11=D10,"",_xlfn.IFNA(VLOOKUP(D11,'인원 입력 기능(사과탐)'!$P$5:$S$59,4,FALSE),0))</f>
        <v>750</v>
      </c>
      <c r="H11" s="250">
        <f t="shared" si="1"/>
        <v>2.5050936905040247E-2</v>
      </c>
      <c r="I11" s="252">
        <f>SUM($G$7:G11)</f>
        <v>1809</v>
      </c>
      <c r="J11" s="254">
        <f t="shared" si="5"/>
        <v>6.0422859814957076E-2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기능'!C71</f>
        <v>46</v>
      </c>
    </row>
    <row r="12" spans="1:17" s="22" customFormat="1" ht="25" customHeight="1" x14ac:dyDescent="0.45">
      <c r="A12" s="20"/>
      <c r="B12" s="35"/>
      <c r="C12" s="65">
        <v>45</v>
      </c>
      <c r="D12" s="238"/>
      <c r="E12" s="238"/>
      <c r="F12" s="246"/>
      <c r="G12" s="248"/>
      <c r="H12" s="251"/>
      <c r="I12" s="253"/>
      <c r="J12" s="255"/>
      <c r="K12" s="36"/>
      <c r="L12" s="20" t="str">
        <f t="shared" si="2"/>
        <v>경고</v>
      </c>
      <c r="N12" s="24"/>
      <c r="P12" s="24">
        <v>6</v>
      </c>
      <c r="Q12" s="24">
        <f>'표점등급&amp;절평인원 입력 기능'!C72</f>
        <v>40</v>
      </c>
    </row>
    <row r="13" spans="1:17" s="22" customFormat="1" ht="25" customHeight="1" x14ac:dyDescent="0.45">
      <c r="A13" s="20"/>
      <c r="B13" s="35"/>
      <c r="C13" s="58">
        <v>44</v>
      </c>
      <c r="D13" s="59">
        <f t="shared" si="3"/>
        <v>67</v>
      </c>
      <c r="E13" s="59">
        <f t="shared" si="0"/>
        <v>2</v>
      </c>
      <c r="F13" s="60">
        <f t="shared" si="4"/>
        <v>93.52</v>
      </c>
      <c r="G13" s="61">
        <f>IF(D13=D12,"",_xlfn.IFNA(VLOOKUP(D13,'인원 입력 기능(사과탐)'!$P$5:$S$59,4,FALSE),0))</f>
        <v>260</v>
      </c>
      <c r="H13" s="62">
        <f t="shared" si="1"/>
        <v>8.6843247937472869E-3</v>
      </c>
      <c r="I13" s="72">
        <f>SUM($G$7:G13)</f>
        <v>2069</v>
      </c>
      <c r="J13" s="64">
        <f t="shared" si="5"/>
        <v>6.9107184608704367E-2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기능'!C73</f>
        <v>38</v>
      </c>
    </row>
    <row r="14" spans="1:17" s="22" customFormat="1" ht="25" customHeight="1" x14ac:dyDescent="0.45">
      <c r="A14" s="20"/>
      <c r="B14" s="35"/>
      <c r="C14" s="65">
        <v>43</v>
      </c>
      <c r="D14" s="59">
        <f t="shared" si="3"/>
        <v>66</v>
      </c>
      <c r="E14" s="59">
        <f t="shared" si="0"/>
        <v>2</v>
      </c>
      <c r="F14" s="60">
        <f t="shared" si="4"/>
        <v>92.39</v>
      </c>
      <c r="G14" s="61">
        <f>IF(D14=D13,"",_xlfn.IFNA(VLOOKUP(D14,'인원 입력 기능(사과탐)'!$P$5:$S$59,4,FALSE),0))</f>
        <v>416</v>
      </c>
      <c r="H14" s="62">
        <f t="shared" si="1"/>
        <v>1.3894919669995658E-2</v>
      </c>
      <c r="I14" s="72">
        <f>SUM($G$7:G14)</f>
        <v>2485</v>
      </c>
      <c r="J14" s="64">
        <f t="shared" si="5"/>
        <v>8.3002104278700028E-2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기능'!C74</f>
        <v>35</v>
      </c>
    </row>
    <row r="15" spans="1:17" s="22" customFormat="1" ht="25" customHeight="1" x14ac:dyDescent="0.45">
      <c r="A15" s="20"/>
      <c r="B15" s="35"/>
      <c r="C15" s="58">
        <v>42</v>
      </c>
      <c r="D15" s="59">
        <f t="shared" si="3"/>
        <v>65</v>
      </c>
      <c r="E15" s="59">
        <f t="shared" si="0"/>
        <v>2</v>
      </c>
      <c r="F15" s="60">
        <f t="shared" si="4"/>
        <v>90.98</v>
      </c>
      <c r="G15" s="61">
        <f>IF(D15=D14,"",_xlfn.IFNA(VLOOKUP(D15,'인원 입력 기능(사과탐)'!$P$5:$S$59,4,FALSE),0))</f>
        <v>433</v>
      </c>
      <c r="H15" s="62">
        <f t="shared" si="1"/>
        <v>1.4462740906509904E-2</v>
      </c>
      <c r="I15" s="72">
        <f>SUM($G$7:G15)</f>
        <v>2918</v>
      </c>
      <c r="J15" s="64">
        <f t="shared" si="5"/>
        <v>9.7464845185209925E-2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5">
        <v>41</v>
      </c>
      <c r="D16" s="59">
        <f t="shared" si="3"/>
        <v>64</v>
      </c>
      <c r="E16" s="59">
        <f t="shared" si="0"/>
        <v>2</v>
      </c>
      <c r="F16" s="60">
        <f t="shared" si="4"/>
        <v>89.7</v>
      </c>
      <c r="G16" s="61">
        <f>IF(D16=D15,"",_xlfn.IFNA(VLOOKUP(D16,'인원 입력 기능(사과탐)'!$P$5:$S$59,4,FALSE),0))</f>
        <v>332</v>
      </c>
      <c r="H16" s="62">
        <f t="shared" si="1"/>
        <v>1.108921473663115E-2</v>
      </c>
      <c r="I16" s="72">
        <f>SUM($G$7:G16)</f>
        <v>3250</v>
      </c>
      <c r="J16" s="64">
        <f t="shared" si="5"/>
        <v>0.10855405992184107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58">
        <v>40</v>
      </c>
      <c r="D17" s="237">
        <f t="shared" si="3"/>
        <v>63</v>
      </c>
      <c r="E17" s="237">
        <f t="shared" si="0"/>
        <v>2</v>
      </c>
      <c r="F17" s="247">
        <f t="shared" si="4"/>
        <v>87.45</v>
      </c>
      <c r="G17" s="249">
        <f>IF(D17=D16,"",_xlfn.IFNA(VLOOKUP(D17,'인원 입력 기능(사과탐)'!$P$5:$S$59,4,FALSE),0))</f>
        <v>1016</v>
      </c>
      <c r="H17" s="250">
        <f t="shared" si="1"/>
        <v>3.3935669194027858E-2</v>
      </c>
      <c r="I17" s="252">
        <f>SUM($G$7:G17)</f>
        <v>4266</v>
      </c>
      <c r="J17" s="254">
        <f t="shared" si="5"/>
        <v>0.14248972911586893</v>
      </c>
      <c r="K17" s="36"/>
      <c r="L17" s="20" t="str">
        <f t="shared" si="2"/>
        <v/>
      </c>
      <c r="N17" s="24"/>
      <c r="Q17" s="24">
        <f>Q7*H3*H4*J3*IFERROR(IF(J57=1, 1, 0), 0)</f>
        <v>581345274.83759999</v>
      </c>
    </row>
    <row r="18" spans="1:17" s="22" customFormat="1" ht="25" customHeight="1" x14ac:dyDescent="0.45">
      <c r="A18" s="20"/>
      <c r="B18" s="35"/>
      <c r="C18" s="65">
        <v>39</v>
      </c>
      <c r="D18" s="238"/>
      <c r="E18" s="238"/>
      <c r="F18" s="246"/>
      <c r="G18" s="248"/>
      <c r="H18" s="251"/>
      <c r="I18" s="253"/>
      <c r="J18" s="255"/>
      <c r="K18" s="36"/>
      <c r="L18" s="20" t="str">
        <f t="shared" si="2"/>
        <v>경고</v>
      </c>
      <c r="N18" s="24"/>
    </row>
    <row r="19" spans="1:17" s="22" customFormat="1" ht="25" customHeight="1" x14ac:dyDescent="0.45">
      <c r="A19" s="20"/>
      <c r="B19" s="35"/>
      <c r="C19" s="58">
        <v>38</v>
      </c>
      <c r="D19" s="59">
        <f t="shared" si="3"/>
        <v>62</v>
      </c>
      <c r="E19" s="59">
        <f t="shared" si="0"/>
        <v>3</v>
      </c>
      <c r="F19" s="60">
        <f t="shared" si="4"/>
        <v>84.9</v>
      </c>
      <c r="G19" s="61">
        <f>IF(D19=D18,"",_xlfn.IFNA(VLOOKUP(D19,'인원 입력 기능(사과탐)'!$P$5:$S$59,4,FALSE),0))</f>
        <v>510</v>
      </c>
      <c r="H19" s="62">
        <f t="shared" si="1"/>
        <v>1.7034637095427369E-2</v>
      </c>
      <c r="I19" s="72">
        <f>SUM($G$7:G19)</f>
        <v>4776</v>
      </c>
      <c r="J19" s="64">
        <f t="shared" si="5"/>
        <v>0.15952436621129631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65">
        <v>37</v>
      </c>
      <c r="D20" s="59">
        <f t="shared" si="3"/>
        <v>61</v>
      </c>
      <c r="E20" s="59">
        <f t="shared" si="0"/>
        <v>3</v>
      </c>
      <c r="F20" s="60">
        <f t="shared" si="4"/>
        <v>83.12</v>
      </c>
      <c r="G20" s="61">
        <f>IF(D20=D19,"",_xlfn.IFNA(VLOOKUP(D20,'인원 입력 기능(사과탐)'!$P$5:$S$59,4,FALSE),0))</f>
        <v>555</v>
      </c>
      <c r="H20" s="62">
        <f t="shared" si="1"/>
        <v>1.8537693309729784E-2</v>
      </c>
      <c r="I20" s="72">
        <f>SUM($G$7:G20)</f>
        <v>5331</v>
      </c>
      <c r="J20" s="64">
        <f t="shared" si="5"/>
        <v>0.17806205952102608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09">
        <v>36</v>
      </c>
      <c r="D21" s="74">
        <f t="shared" si="3"/>
        <v>60</v>
      </c>
      <c r="E21" s="74">
        <f t="shared" si="0"/>
        <v>3</v>
      </c>
      <c r="F21" s="60">
        <f t="shared" si="4"/>
        <v>81.27</v>
      </c>
      <c r="G21" s="61">
        <f>IF(D21=D20,"",_xlfn.IFNA(VLOOKUP(D21,'인원 입력 기능(사과탐)'!$P$5:$S$59,4,FALSE),0))</f>
        <v>552</v>
      </c>
      <c r="H21" s="62">
        <f t="shared" si="1"/>
        <v>1.8437489562109624E-2</v>
      </c>
      <c r="I21" s="72">
        <f>SUM($G$7:G21)</f>
        <v>5883</v>
      </c>
      <c r="J21" s="64">
        <f t="shared" si="5"/>
        <v>0.19649954908313572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73">
        <v>35</v>
      </c>
      <c r="D22" s="74">
        <f t="shared" si="3"/>
        <v>59</v>
      </c>
      <c r="E22" s="74">
        <f t="shared" si="0"/>
        <v>3</v>
      </c>
      <c r="F22" s="60">
        <f t="shared" si="4"/>
        <v>79.22</v>
      </c>
      <c r="G22" s="61">
        <f>IF(D22=D21,"",_xlfn.IFNA(VLOOKUP(D22,'인원 입력 기능(사과탐)'!$P$5:$S$59,4,FALSE),0))</f>
        <v>674</v>
      </c>
      <c r="H22" s="62">
        <f t="shared" si="1"/>
        <v>2.2512441965329505E-2</v>
      </c>
      <c r="I22" s="72">
        <f>SUM($G$7:G22)</f>
        <v>6557</v>
      </c>
      <c r="J22" s="64">
        <f t="shared" si="5"/>
        <v>0.21901199104846522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09">
        <v>34</v>
      </c>
      <c r="D23" s="74">
        <f t="shared" si="3"/>
        <v>58</v>
      </c>
      <c r="E23" s="74">
        <f t="shared" si="0"/>
        <v>3</v>
      </c>
      <c r="F23" s="60">
        <f t="shared" si="4"/>
        <v>77.010000000000005</v>
      </c>
      <c r="G23" s="61">
        <f>IF(D23=D22,"",_xlfn.IFNA(VLOOKUP(D23,'인원 입력 기능(사과탐)'!$P$5:$S$59,4,FALSE),0))</f>
        <v>653</v>
      </c>
      <c r="H23" s="62">
        <f t="shared" si="1"/>
        <v>2.1811015731988376E-2</v>
      </c>
      <c r="I23" s="72">
        <f>SUM($G$7:G23)</f>
        <v>7210</v>
      </c>
      <c r="J23" s="64">
        <f t="shared" si="5"/>
        <v>0.2408230067804536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73">
        <v>33</v>
      </c>
      <c r="D24" s="257">
        <f t="shared" si="3"/>
        <v>57</v>
      </c>
      <c r="E24" s="257">
        <f t="shared" si="0"/>
        <v>4</v>
      </c>
      <c r="F24" s="247">
        <f t="shared" si="4"/>
        <v>73.790000000000006</v>
      </c>
      <c r="G24" s="249">
        <f>IF(D24=D23,"",_xlfn.IFNA(VLOOKUP(D24,'인원 입력 기능(사과탐)'!$P$5:$S$59,4,FALSE),0))</f>
        <v>1274</v>
      </c>
      <c r="H24" s="250">
        <f t="shared" si="1"/>
        <v>4.2553191489361701E-2</v>
      </c>
      <c r="I24" s="252">
        <f>SUM($G$7:G24)</f>
        <v>8484</v>
      </c>
      <c r="J24" s="254">
        <f t="shared" si="5"/>
        <v>0.2833761982698153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09">
        <v>32</v>
      </c>
      <c r="D25" s="256"/>
      <c r="E25" s="256"/>
      <c r="F25" s="246"/>
      <c r="G25" s="248"/>
      <c r="H25" s="251"/>
      <c r="I25" s="253"/>
      <c r="J25" s="255"/>
      <c r="K25" s="36"/>
      <c r="L25" s="20" t="str">
        <f t="shared" si="2"/>
        <v>경고</v>
      </c>
      <c r="N25" s="24"/>
    </row>
    <row r="26" spans="1:17" s="22" customFormat="1" ht="25" customHeight="1" x14ac:dyDescent="0.45">
      <c r="A26" s="20"/>
      <c r="B26" s="35"/>
      <c r="C26" s="73">
        <v>31</v>
      </c>
      <c r="D26" s="74">
        <f t="shared" si="3"/>
        <v>56</v>
      </c>
      <c r="E26" s="74">
        <f t="shared" si="0"/>
        <v>4</v>
      </c>
      <c r="F26" s="60">
        <f t="shared" si="4"/>
        <v>70.59</v>
      </c>
      <c r="G26" s="61">
        <f>IF(D26=D25,"",_xlfn.IFNA(VLOOKUP(D26,'인원 입력 기능(사과탐)'!$P$5:$S$59,4,FALSE),0))</f>
        <v>643</v>
      </c>
      <c r="H26" s="62">
        <f t="shared" si="1"/>
        <v>2.1477003239921175E-2</v>
      </c>
      <c r="I26" s="72">
        <f>SUM($G$7:G26)</f>
        <v>9127</v>
      </c>
      <c r="J26" s="64">
        <f t="shared" si="5"/>
        <v>0.30485320150973644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09">
        <v>30</v>
      </c>
      <c r="D27" s="74">
        <f t="shared" si="3"/>
        <v>55</v>
      </c>
      <c r="E27" s="74">
        <f t="shared" si="0"/>
        <v>4</v>
      </c>
      <c r="F27" s="60">
        <f t="shared" si="4"/>
        <v>68.14</v>
      </c>
      <c r="G27" s="61">
        <f>IF(D27=D26,"",_xlfn.IFNA(VLOOKUP(D27,'인원 입력 기능(사과탐)'!$P$5:$S$59,4,FALSE),0))</f>
        <v>822</v>
      </c>
      <c r="H27" s="62">
        <f t="shared" si="1"/>
        <v>2.7455826847924112E-2</v>
      </c>
      <c r="I27" s="72">
        <f>SUM($G$7:G27)</f>
        <v>9949</v>
      </c>
      <c r="J27" s="64">
        <f t="shared" si="5"/>
        <v>0.33230902835766057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73">
        <v>29</v>
      </c>
      <c r="D28" s="74">
        <f t="shared" si="3"/>
        <v>54</v>
      </c>
      <c r="E28" s="74">
        <f t="shared" si="0"/>
        <v>4</v>
      </c>
      <c r="F28" s="60">
        <f t="shared" si="4"/>
        <v>65.510000000000005</v>
      </c>
      <c r="G28" s="61">
        <f>IF(D28=D27,"",_xlfn.IFNA(VLOOKUP(D28,'인원 입력 기능(사과탐)'!$P$5:$S$59,4,FALSE),0))</f>
        <v>755</v>
      </c>
      <c r="H28" s="62">
        <f t="shared" si="1"/>
        <v>2.5217943151073851E-2</v>
      </c>
      <c r="I28" s="72">
        <f>SUM($G$7:G28)</f>
        <v>10704</v>
      </c>
      <c r="J28" s="64">
        <f t="shared" si="5"/>
        <v>0.35752697150873441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09">
        <v>28</v>
      </c>
      <c r="D29" s="74">
        <f t="shared" si="3"/>
        <v>53</v>
      </c>
      <c r="E29" s="74">
        <f t="shared" si="0"/>
        <v>4</v>
      </c>
      <c r="F29" s="60">
        <f t="shared" si="4"/>
        <v>62.89</v>
      </c>
      <c r="G29" s="61">
        <f>IF(D29=D28,"",_xlfn.IFNA(VLOOKUP(D29,'인원 입력 기능(사과탐)'!$P$5:$S$59,4,FALSE),0))</f>
        <v>813</v>
      </c>
      <c r="H29" s="62">
        <f t="shared" si="1"/>
        <v>2.7155215605063631E-2</v>
      </c>
      <c r="I29" s="72">
        <f>SUM($G$7:G29)</f>
        <v>11517</v>
      </c>
      <c r="J29" s="64">
        <f t="shared" si="5"/>
        <v>0.38468218711379804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73">
        <v>27</v>
      </c>
      <c r="D30" s="257">
        <f t="shared" si="3"/>
        <v>52</v>
      </c>
      <c r="E30" s="257">
        <f t="shared" si="0"/>
        <v>4</v>
      </c>
      <c r="F30" s="247">
        <f t="shared" si="4"/>
        <v>58.72</v>
      </c>
      <c r="G30" s="249">
        <f>IF(D30=D29,"",_xlfn.IFNA(VLOOKUP(D30,'인원 입력 기능(사과탐)'!$P$5:$S$59,4,FALSE),0))</f>
        <v>1684</v>
      </c>
      <c r="H30" s="250">
        <f t="shared" si="1"/>
        <v>5.6247703664117035E-2</v>
      </c>
      <c r="I30" s="252">
        <f>SUM($G$7:G30)</f>
        <v>13201</v>
      </c>
      <c r="J30" s="254">
        <f t="shared" si="5"/>
        <v>0.44092989077791511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09">
        <v>26</v>
      </c>
      <c r="D31" s="256"/>
      <c r="E31" s="256"/>
      <c r="F31" s="246"/>
      <c r="G31" s="248"/>
      <c r="H31" s="251"/>
      <c r="I31" s="253"/>
      <c r="J31" s="255"/>
      <c r="K31" s="36"/>
      <c r="L31" s="20" t="str">
        <f t="shared" si="2"/>
        <v>경고</v>
      </c>
      <c r="N31" s="24"/>
    </row>
    <row r="32" spans="1:17" s="22" customFormat="1" ht="25" customHeight="1" x14ac:dyDescent="0.45">
      <c r="A32" s="20"/>
      <c r="B32" s="35"/>
      <c r="C32" s="73">
        <v>25</v>
      </c>
      <c r="D32" s="74">
        <f t="shared" si="3"/>
        <v>51</v>
      </c>
      <c r="E32" s="74">
        <f t="shared" si="0"/>
        <v>5</v>
      </c>
      <c r="F32" s="60">
        <f t="shared" si="4"/>
        <v>54.42</v>
      </c>
      <c r="G32" s="61">
        <f>IF(D32=D31,"",_xlfn.IFNA(VLOOKUP(D32,'인원 입력 기능(사과탐)'!$P$5:$S$59,4,FALSE),0))</f>
        <v>890</v>
      </c>
      <c r="H32" s="62">
        <f t="shared" si="1"/>
        <v>2.9727111793981093E-2</v>
      </c>
      <c r="I32" s="72">
        <f>SUM($G$7:G32)</f>
        <v>14091</v>
      </c>
      <c r="J32" s="64">
        <f t="shared" si="5"/>
        <v>0.47065700257189619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09">
        <v>24</v>
      </c>
      <c r="D33" s="74">
        <f t="shared" si="3"/>
        <v>50</v>
      </c>
      <c r="E33" s="74">
        <f t="shared" si="0"/>
        <v>5</v>
      </c>
      <c r="F33" s="60">
        <f t="shared" si="4"/>
        <v>51.51</v>
      </c>
      <c r="G33" s="61">
        <f>IF(D33=D32,"",_xlfn.IFNA(VLOOKUP(D33,'인원 입력 기능(사과탐)'!$P$5:$S$59,4,FALSE),0))</f>
        <v>852</v>
      </c>
      <c r="H33" s="62">
        <f t="shared" si="1"/>
        <v>2.8457864324125722E-2</v>
      </c>
      <c r="I33" s="72">
        <f>SUM($G$7:G33)</f>
        <v>14943</v>
      </c>
      <c r="J33" s="64">
        <f t="shared" si="5"/>
        <v>0.49911486689602191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73">
        <v>23</v>
      </c>
      <c r="D34" s="74">
        <f t="shared" si="3"/>
        <v>49</v>
      </c>
      <c r="E34" s="74">
        <f t="shared" si="0"/>
        <v>5</v>
      </c>
      <c r="F34" s="60">
        <f t="shared" si="4"/>
        <v>48.71</v>
      </c>
      <c r="G34" s="61">
        <f>IF(D34=D33,"",_xlfn.IFNA(VLOOKUP(D34,'인원 입력 기능(사과탐)'!$P$5:$S$59,4,FALSE),0))</f>
        <v>828</v>
      </c>
      <c r="H34" s="62">
        <f t="shared" si="1"/>
        <v>2.7656234343164433E-2</v>
      </c>
      <c r="I34" s="72">
        <f>SUM($G$7:G34)</f>
        <v>15771</v>
      </c>
      <c r="J34" s="64">
        <f t="shared" si="5"/>
        <v>0.52677110123918636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09">
        <v>22</v>
      </c>
      <c r="D35" s="74">
        <f t="shared" si="3"/>
        <v>48</v>
      </c>
      <c r="E35" s="74">
        <f t="shared" si="0"/>
        <v>5</v>
      </c>
      <c r="F35" s="60">
        <f t="shared" si="4"/>
        <v>45.86</v>
      </c>
      <c r="G35" s="61">
        <f>IF(D35=D34,"",_xlfn.IFNA(VLOOKUP(D35,'인원 입력 기능(사과탐)'!$P$5:$S$59,4,FALSE),0))</f>
        <v>878</v>
      </c>
      <c r="H35" s="62">
        <f t="shared" si="1"/>
        <v>2.9326296803500452E-2</v>
      </c>
      <c r="I35" s="72">
        <f>SUM($G$7:G35)</f>
        <v>16649</v>
      </c>
      <c r="J35" s="64">
        <f t="shared" si="5"/>
        <v>0.55609739804268676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73">
        <v>21</v>
      </c>
      <c r="D36" s="74">
        <f t="shared" si="3"/>
        <v>47</v>
      </c>
      <c r="E36" s="74">
        <f t="shared" si="0"/>
        <v>5</v>
      </c>
      <c r="F36" s="60">
        <f t="shared" si="4"/>
        <v>43.12</v>
      </c>
      <c r="G36" s="61">
        <f>IF(D36=D35,"",_xlfn.IFNA(VLOOKUP(D36,'인원 입력 기능(사과탐)'!$P$5:$S$59,4,FALSE),0))</f>
        <v>762</v>
      </c>
      <c r="H36" s="62">
        <f t="shared" si="1"/>
        <v>2.5451751895520892E-2</v>
      </c>
      <c r="I36" s="72">
        <f>SUM($G$7:G36)</f>
        <v>17411</v>
      </c>
      <c r="J36" s="64">
        <f t="shared" si="5"/>
        <v>0.58154914993820772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09">
        <v>20</v>
      </c>
      <c r="D37" s="257">
        <f t="shared" si="3"/>
        <v>46</v>
      </c>
      <c r="E37" s="257">
        <f t="shared" si="0"/>
        <v>5</v>
      </c>
      <c r="F37" s="247">
        <f t="shared" si="4"/>
        <v>38.93</v>
      </c>
      <c r="G37" s="249">
        <f>IF(D37=D36,"",_xlfn.IFNA(VLOOKUP(D37,'인원 입력 기능(사과탐)'!$P$5:$S$59,4,FALSE),0))</f>
        <v>1747</v>
      </c>
      <c r="H37" s="250">
        <f t="shared" si="1"/>
        <v>5.8351982364140416E-2</v>
      </c>
      <c r="I37" s="252">
        <f>SUM($G$7:G37)</f>
        <v>19158</v>
      </c>
      <c r="J37" s="254">
        <f t="shared" si="5"/>
        <v>0.63990113230234813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73">
        <v>19</v>
      </c>
      <c r="D38" s="256"/>
      <c r="E38" s="256"/>
      <c r="F38" s="246"/>
      <c r="G38" s="248"/>
      <c r="H38" s="251"/>
      <c r="I38" s="253"/>
      <c r="J38" s="255"/>
      <c r="K38" s="36"/>
      <c r="L38" s="20" t="str">
        <f t="shared" si="2"/>
        <v>경고</v>
      </c>
      <c r="N38" s="24"/>
    </row>
    <row r="39" spans="1:14" s="22" customFormat="1" ht="25" customHeight="1" x14ac:dyDescent="0.45">
      <c r="A39" s="20"/>
      <c r="B39" s="35"/>
      <c r="C39" s="109">
        <v>18</v>
      </c>
      <c r="D39" s="74">
        <f t="shared" si="3"/>
        <v>45</v>
      </c>
      <c r="E39" s="74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6</v>
      </c>
      <c r="F39" s="60">
        <f t="shared" si="4"/>
        <v>34.72</v>
      </c>
      <c r="G39" s="61">
        <f>IF(D39=D38,"",_xlfn.IFNA(VLOOKUP(D39,'인원 입력 기능(사과탐)'!$P$5:$S$59,4,FALSE),0))</f>
        <v>772</v>
      </c>
      <c r="H39" s="62">
        <f t="shared" si="1"/>
        <v>2.5785764387588096E-2</v>
      </c>
      <c r="I39" s="72">
        <f>SUM($G$7:G39)</f>
        <v>19930</v>
      </c>
      <c r="J39" s="64">
        <f t="shared" si="5"/>
        <v>0.66568689668993619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73">
        <v>17</v>
      </c>
      <c r="D40" s="74">
        <f t="shared" si="3"/>
        <v>44</v>
      </c>
      <c r="E40" s="74">
        <f t="shared" si="6"/>
        <v>6</v>
      </c>
      <c r="F40" s="60">
        <f t="shared" si="4"/>
        <v>32.1</v>
      </c>
      <c r="G40" s="61">
        <f>IF(D40=D39,"",_xlfn.IFNA(VLOOKUP(D40,'인원 입력 기능(사과탐)'!$P$5:$S$59,4,FALSE),0))</f>
        <v>796</v>
      </c>
      <c r="H40" s="62">
        <f t="shared" si="1"/>
        <v>2.6587394368549382E-2</v>
      </c>
      <c r="I40" s="72">
        <f>SUM($G$7:G40)</f>
        <v>20726</v>
      </c>
      <c r="J40" s="64">
        <f t="shared" si="5"/>
        <v>0.69227429105848559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09">
        <v>16</v>
      </c>
      <c r="D41" s="74">
        <f t="shared" si="3"/>
        <v>43</v>
      </c>
      <c r="E41" s="74">
        <f t="shared" si="6"/>
        <v>6</v>
      </c>
      <c r="F41" s="60">
        <f t="shared" si="4"/>
        <v>29.49</v>
      </c>
      <c r="G41" s="61">
        <f>IF(D41=D40,"",_xlfn.IFNA(VLOOKUP(D41,'인원 입력 기능(사과탐)'!$P$5:$S$59,4,FALSE),0))</f>
        <v>767</v>
      </c>
      <c r="H41" s="62">
        <f t="shared" si="1"/>
        <v>2.5618758141554496E-2</v>
      </c>
      <c r="I41" s="72">
        <f>SUM($G$7:G41)</f>
        <v>21493</v>
      </c>
      <c r="J41" s="64">
        <f t="shared" si="5"/>
        <v>0.71789304920004005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73">
        <v>15</v>
      </c>
      <c r="D42" s="74">
        <f t="shared" si="3"/>
        <v>42</v>
      </c>
      <c r="E42" s="74">
        <f t="shared" si="6"/>
        <v>6</v>
      </c>
      <c r="F42" s="60">
        <f t="shared" si="4"/>
        <v>26.87</v>
      </c>
      <c r="G42" s="61">
        <f>IF(D42=D41,"",_xlfn.IFNA(VLOOKUP(D42,'인원 입력 기능(사과탐)'!$P$5:$S$59,4,FALSE),0))</f>
        <v>801</v>
      </c>
      <c r="H42" s="62">
        <f t="shared" si="1"/>
        <v>2.6754400614582986E-2</v>
      </c>
      <c r="I42" s="72">
        <f>SUM($G$7:G42)</f>
        <v>22294</v>
      </c>
      <c r="J42" s="64">
        <f t="shared" si="5"/>
        <v>0.74464744981462305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09">
        <v>14</v>
      </c>
      <c r="D43" s="74">
        <f t="shared" si="3"/>
        <v>41</v>
      </c>
      <c r="E43" s="74">
        <f t="shared" si="6"/>
        <v>6</v>
      </c>
      <c r="F43" s="60">
        <f t="shared" si="4"/>
        <v>24.39</v>
      </c>
      <c r="G43" s="61">
        <f>IF(D43=D42,"",_xlfn.IFNA(VLOOKUP(D43,'인원 입력 기능(사과탐)'!$P$5:$S$59,4,FALSE),0))</f>
        <v>684</v>
      </c>
      <c r="H43" s="62">
        <f t="shared" si="1"/>
        <v>2.2846454457396706E-2</v>
      </c>
      <c r="I43" s="72">
        <f>SUM($G$7:G43)</f>
        <v>22978</v>
      </c>
      <c r="J43" s="64">
        <f t="shared" si="5"/>
        <v>0.7674939042720198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73">
        <v>13</v>
      </c>
      <c r="D44" s="257">
        <f t="shared" si="3"/>
        <v>40</v>
      </c>
      <c r="E44" s="257">
        <f t="shared" si="6"/>
        <v>6</v>
      </c>
      <c r="F44" s="247">
        <f t="shared" si="4"/>
        <v>20.74</v>
      </c>
      <c r="G44" s="249">
        <f>IF(D44=D43,"",_xlfn.IFNA(VLOOKUP(D44,'인원 입력 기능(사과탐)'!$P$5:$S$59,4,FALSE),0))</f>
        <v>1503</v>
      </c>
      <c r="H44" s="250">
        <f t="shared" si="1"/>
        <v>5.0202077557700661E-2</v>
      </c>
      <c r="I44" s="252">
        <f>SUM($G$7:G44)</f>
        <v>24481</v>
      </c>
      <c r="J44" s="254">
        <f t="shared" si="5"/>
        <v>0.81769598182972048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09">
        <v>12</v>
      </c>
      <c r="D45" s="256"/>
      <c r="E45" s="256"/>
      <c r="F45" s="246"/>
      <c r="G45" s="248"/>
      <c r="H45" s="251"/>
      <c r="I45" s="253"/>
      <c r="J45" s="255"/>
      <c r="K45" s="36"/>
      <c r="L45" s="20" t="str">
        <f t="shared" si="2"/>
        <v>경고</v>
      </c>
      <c r="N45" s="24"/>
    </row>
    <row r="46" spans="1:14" s="22" customFormat="1" ht="25" customHeight="1" x14ac:dyDescent="0.45">
      <c r="A46" s="20"/>
      <c r="B46" s="35"/>
      <c r="C46" s="73">
        <v>11</v>
      </c>
      <c r="D46" s="74">
        <f t="shared" si="3"/>
        <v>39</v>
      </c>
      <c r="E46" s="74">
        <f t="shared" si="6"/>
        <v>7</v>
      </c>
      <c r="F46" s="60">
        <f t="shared" si="4"/>
        <v>17.3</v>
      </c>
      <c r="G46" s="61">
        <f>IF(D46=D45,"",_xlfn.IFNA(VLOOKUP(D46,'인원 입력 기능(사과탐)'!$P$5:$S$59,4,FALSE),0))</f>
        <v>556</v>
      </c>
      <c r="H46" s="62">
        <f t="shared" si="1"/>
        <v>1.8571094558936505E-2</v>
      </c>
      <c r="I46" s="72">
        <f>SUM($G$7:G46)</f>
        <v>25037</v>
      </c>
      <c r="J46" s="64">
        <f t="shared" si="5"/>
        <v>0.83626707638865694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09">
        <v>10</v>
      </c>
      <c r="D47" s="74">
        <f t="shared" si="3"/>
        <v>38</v>
      </c>
      <c r="E47" s="74">
        <f t="shared" si="6"/>
        <v>7</v>
      </c>
      <c r="F47" s="60">
        <f t="shared" si="4"/>
        <v>13.31</v>
      </c>
      <c r="G47" s="61">
        <f>IF(D47=D46,"",_xlfn.IFNA(VLOOKUP(D47,'인원 입력 기능(사과탐)'!$P$5:$S$59,4,FALSE),0))</f>
        <v>1834</v>
      </c>
      <c r="H47" s="62">
        <f t="shared" si="1"/>
        <v>6.1257891045125086E-2</v>
      </c>
      <c r="I47" s="72">
        <f>SUM($G$7:G47)</f>
        <v>26871</v>
      </c>
      <c r="J47" s="64">
        <f t="shared" si="5"/>
        <v>0.89752496743378207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73">
        <v>9</v>
      </c>
      <c r="D48" s="74">
        <f t="shared" si="3"/>
        <v>37</v>
      </c>
      <c r="E48" s="74">
        <f t="shared" si="6"/>
        <v>8</v>
      </c>
      <c r="F48" s="60">
        <f t="shared" si="4"/>
        <v>8.0500000000000007</v>
      </c>
      <c r="G48" s="61">
        <f>IF(D48=D47,"",_xlfn.IFNA(VLOOKUP(D48,'인원 입력 기능(사과탐)'!$P$5:$S$59,4,FALSE),0))</f>
        <v>1315</v>
      </c>
      <c r="H48" s="62">
        <f t="shared" si="1"/>
        <v>4.3922642706837232E-2</v>
      </c>
      <c r="I48" s="72">
        <f>SUM($G$7:G48)</f>
        <v>28186</v>
      </c>
      <c r="J48" s="64">
        <f t="shared" si="5"/>
        <v>0.94144761014061928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09">
        <v>8</v>
      </c>
      <c r="D49" s="74">
        <f t="shared" si="3"/>
        <v>36</v>
      </c>
      <c r="E49" s="74">
        <f t="shared" si="6"/>
        <v>8</v>
      </c>
      <c r="F49" s="60">
        <f t="shared" si="4"/>
        <v>5.17</v>
      </c>
      <c r="G49" s="61">
        <f>IF(D49=D48,"",_xlfn.IFNA(VLOOKUP(D49,'인원 입력 기능(사과탐)'!$P$5:$S$59,4,FALSE),0))</f>
        <v>409</v>
      </c>
      <c r="H49" s="62">
        <f t="shared" si="1"/>
        <v>1.3661110925548616E-2</v>
      </c>
      <c r="I49" s="72">
        <f>SUM($G$7:G49)</f>
        <v>28595</v>
      </c>
      <c r="J49" s="64">
        <f t="shared" si="5"/>
        <v>0.95510872106616784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73">
        <v>7</v>
      </c>
      <c r="D50" s="257">
        <f t="shared" si="3"/>
        <v>35</v>
      </c>
      <c r="E50" s="257">
        <f t="shared" si="6"/>
        <v>8</v>
      </c>
      <c r="F50" s="247">
        <f t="shared" si="4"/>
        <v>3.38</v>
      </c>
      <c r="G50" s="249">
        <f>IF(D50=D49,"",_xlfn.IFNA(VLOOKUP(D50,'인원 입력 기능(사과탐)'!$P$5:$S$59,4,FALSE),0))</f>
        <v>667</v>
      </c>
      <c r="H50" s="250">
        <f t="shared" si="1"/>
        <v>2.2278633220882461E-2</v>
      </c>
      <c r="I50" s="252">
        <f>SUM($G$7:G50)</f>
        <v>29262</v>
      </c>
      <c r="J50" s="254">
        <f t="shared" si="5"/>
        <v>0.97738735428705037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09">
        <v>6</v>
      </c>
      <c r="D51" s="256"/>
      <c r="E51" s="256"/>
      <c r="F51" s="246"/>
      <c r="G51" s="248"/>
      <c r="H51" s="251"/>
      <c r="I51" s="253"/>
      <c r="J51" s="255"/>
      <c r="K51" s="36"/>
      <c r="L51" s="20" t="str">
        <f t="shared" si="2"/>
        <v>경고</v>
      </c>
      <c r="N51" s="24"/>
    </row>
    <row r="52" spans="1:14" s="22" customFormat="1" ht="25" customHeight="1" x14ac:dyDescent="0.45">
      <c r="A52" s="20"/>
      <c r="B52" s="35"/>
      <c r="C52" s="73">
        <v>5</v>
      </c>
      <c r="D52" s="74">
        <f t="shared" si="3"/>
        <v>34</v>
      </c>
      <c r="E52" s="74">
        <f t="shared" si="6"/>
        <v>9</v>
      </c>
      <c r="F52" s="60">
        <f t="shared" si="4"/>
        <v>1.8</v>
      </c>
      <c r="G52" s="61">
        <f>IF(D52=D51,"",_xlfn.IFNA(VLOOKUP(D52,'인원 입력 기능(사과탐)'!$P$5:$S$59,4,FALSE),0))</f>
        <v>277</v>
      </c>
      <c r="H52" s="62">
        <f t="shared" si="1"/>
        <v>9.2521460302615322E-3</v>
      </c>
      <c r="I52" s="72">
        <f>SUM($G$7:G52)</f>
        <v>29539</v>
      </c>
      <c r="J52" s="64">
        <f t="shared" si="5"/>
        <v>0.98663950031731185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58">
        <v>4</v>
      </c>
      <c r="D53" s="59">
        <f t="shared" si="3"/>
        <v>33</v>
      </c>
      <c r="E53" s="59">
        <f t="shared" si="6"/>
        <v>9</v>
      </c>
      <c r="F53" s="60">
        <f t="shared" si="4"/>
        <v>1.0900000000000001</v>
      </c>
      <c r="G53" s="61">
        <f>IF(D53=D52,"",_xlfn.IFNA(VLOOKUP(D53,'인원 입력 기능(사과탐)'!$P$5:$S$59,4,FALSE),0))</f>
        <v>147</v>
      </c>
      <c r="H53" s="62">
        <f t="shared" si="1"/>
        <v>4.9099836333878887E-3</v>
      </c>
      <c r="I53" s="72">
        <f>SUM($G$7:G53)</f>
        <v>29686</v>
      </c>
      <c r="J53" s="64">
        <f t="shared" si="5"/>
        <v>0.99154948395069975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65">
        <v>3</v>
      </c>
      <c r="D54" s="59">
        <f t="shared" si="3"/>
        <v>32</v>
      </c>
      <c r="E54" s="59">
        <f t="shared" si="6"/>
        <v>9</v>
      </c>
      <c r="F54" s="60">
        <f t="shared" si="4"/>
        <v>0.71</v>
      </c>
      <c r="G54" s="61">
        <f>IF(D54=D53,"",_xlfn.IFNA(VLOOKUP(D54,'인원 입력 기능(사과탐)'!$P$5:$S$59,4,FALSE),0))</f>
        <v>81</v>
      </c>
      <c r="H54" s="62">
        <f t="shared" si="1"/>
        <v>2.7055011857443469E-3</v>
      </c>
      <c r="I54" s="72">
        <f>SUM($G$7:G54)</f>
        <v>29767</v>
      </c>
      <c r="J54" s="64">
        <f t="shared" si="5"/>
        <v>0.99425498513644406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58">
        <v>2</v>
      </c>
      <c r="D55" s="59">
        <f t="shared" si="3"/>
        <v>31</v>
      </c>
      <c r="E55" s="59">
        <f t="shared" si="6"/>
        <v>9</v>
      </c>
      <c r="F55" s="60">
        <f t="shared" si="4"/>
        <v>0.36</v>
      </c>
      <c r="G55" s="61">
        <f>IF(D55=D54,"",_xlfn.IFNA(VLOOKUP(D55,'인원 입력 기능(사과탐)'!$P$5:$S$59,4,FALSE),0))</f>
        <v>127</v>
      </c>
      <c r="H55" s="62">
        <f t="shared" si="1"/>
        <v>4.2419586492534822E-3</v>
      </c>
      <c r="I55" s="72">
        <f>SUM($G$7:G55)</f>
        <v>29894</v>
      </c>
      <c r="J55" s="64">
        <f t="shared" si="5"/>
        <v>0.99849694378569753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5">
        <v>1</v>
      </c>
      <c r="D56" s="66" t="s">
        <v>56</v>
      </c>
      <c r="E56" s="66"/>
      <c r="F56" s="67"/>
      <c r="G56" s="110"/>
      <c r="H56" s="108"/>
      <c r="I56" s="76"/>
      <c r="J56" s="71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11">
        <v>0</v>
      </c>
      <c r="D57" s="78">
        <f>ROUND(10*(C57-$H$3)/$H$4+50,0)</f>
        <v>29</v>
      </c>
      <c r="E57" s="112">
        <f t="shared" si="6"/>
        <v>9</v>
      </c>
      <c r="F57" s="79">
        <f>IF(I55=0,ROUND(100*(1-(I54+I57)/2/$J$3),2),ROUND(100*(1-(I55+I57)/2/$J$3),2))</f>
        <v>0.08</v>
      </c>
      <c r="G57" s="113">
        <f>_xlfn.IFNA(VLOOKUP(D57,'인원 입력 기능(사과탐)'!$P$5:$S$59,4,FALSE),0)</f>
        <v>45</v>
      </c>
      <c r="H57" s="81">
        <f>G57/$J$3</f>
        <v>1.503056214302415E-3</v>
      </c>
      <c r="I57" s="82">
        <f>SUM($G$7:G57)</f>
        <v>29939</v>
      </c>
      <c r="J57" s="114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52">
    <mergeCell ref="I44:I45"/>
    <mergeCell ref="J44:J45"/>
    <mergeCell ref="D50:D51"/>
    <mergeCell ref="E50:E51"/>
    <mergeCell ref="F50:F51"/>
    <mergeCell ref="G50:G51"/>
    <mergeCell ref="H50:H51"/>
    <mergeCell ref="I50:I51"/>
    <mergeCell ref="J50:J51"/>
    <mergeCell ref="D44:D45"/>
    <mergeCell ref="E44:E45"/>
    <mergeCell ref="F44:F45"/>
    <mergeCell ref="G44:G45"/>
    <mergeCell ref="H44:H45"/>
    <mergeCell ref="I30:I31"/>
    <mergeCell ref="J30:J31"/>
    <mergeCell ref="D37:D38"/>
    <mergeCell ref="E37:E38"/>
    <mergeCell ref="F37:F38"/>
    <mergeCell ref="G37:G38"/>
    <mergeCell ref="H37:H38"/>
    <mergeCell ref="I37:I38"/>
    <mergeCell ref="J37:J38"/>
    <mergeCell ref="D30:D31"/>
    <mergeCell ref="E30:E31"/>
    <mergeCell ref="F30:F31"/>
    <mergeCell ref="G30:G31"/>
    <mergeCell ref="H30:H31"/>
    <mergeCell ref="I17:I18"/>
    <mergeCell ref="J17:J18"/>
    <mergeCell ref="D24:D25"/>
    <mergeCell ref="E24:E25"/>
    <mergeCell ref="F24:F25"/>
    <mergeCell ref="G24:G25"/>
    <mergeCell ref="H24:H25"/>
    <mergeCell ref="I24:I25"/>
    <mergeCell ref="J24:J25"/>
    <mergeCell ref="D17:D18"/>
    <mergeCell ref="E17:E18"/>
    <mergeCell ref="F17:F18"/>
    <mergeCell ref="G17:G18"/>
    <mergeCell ref="H17:H18"/>
    <mergeCell ref="D3:F3"/>
    <mergeCell ref="D4:F4"/>
    <mergeCell ref="I4:J5"/>
    <mergeCell ref="D11:D12"/>
    <mergeCell ref="E11:E12"/>
    <mergeCell ref="F11:F12"/>
    <mergeCell ref="G11:G12"/>
    <mergeCell ref="H11:H12"/>
    <mergeCell ref="I11:I12"/>
    <mergeCell ref="J11:J12"/>
  </mergeCells>
  <phoneticPr fontId="1" type="noConversion"/>
  <conditionalFormatting sqref="D7:G11 I7:J11 D13:G17 I13:J17 D19:G24 I19:J24 D26:G30 I26:J30 D32:G37 I32:J37 D39:G44 I39:J44 D46:G50 I46:J50 D52:G57 I52:J57">
    <cfRule type="expression" dxfId="39" priority="4">
      <formula>OR($D7=$Q$7:$Q$14)</formula>
    </cfRule>
  </conditionalFormatting>
  <conditionalFormatting sqref="C7:C57">
    <cfRule type="expression" dxfId="38" priority="3">
      <formula>OR(AND($D7=0,OR($D6=$Q$7:$Q$14)),AND($D8&gt;0,OR($D7=$Q$7:$Q$14)))</formula>
    </cfRule>
  </conditionalFormatting>
  <conditionalFormatting sqref="D7:D11 D13:D17 D19:D24 D26:D30 D32:D37 D39:D44 D46:D50 D52:D57">
    <cfRule type="expression" dxfId="37" priority="2">
      <formula>$D7=$D8</formula>
    </cfRule>
  </conditionalFormatting>
  <conditionalFormatting sqref="H7:H11 H13:H17 H19:H24 H26:H30 H32:H37 H39:H44 H46:H50 H52:H57">
    <cfRule type="expression" dxfId="36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9ABD9-E74C-4687-9C80-5E784D6F62E9}">
  <sheetPr codeName="Sheet14"/>
  <dimension ref="A1:Q105"/>
  <sheetViews>
    <sheetView zoomScale="98" zoomScaleNormal="98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152" t="s">
        <v>133</v>
      </c>
      <c r="B1" s="157"/>
      <c r="C1" s="33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8"/>
      <c r="B2" s="152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155"/>
      <c r="C3" s="48" t="s">
        <v>68</v>
      </c>
      <c r="D3" s="163" t="s">
        <v>134</v>
      </c>
      <c r="E3" s="164"/>
      <c r="F3" s="165"/>
      <c r="G3" s="48" t="s">
        <v>69</v>
      </c>
      <c r="H3" s="49" t="str">
        <f>'통계 및 응시자 수 입력 기능'!D12</f>
        <v>19.61</v>
      </c>
      <c r="I3" s="21" t="s">
        <v>70</v>
      </c>
      <c r="J3" s="50">
        <f>'통계 및 응시자 수 입력 기능'!C12</f>
        <v>12990</v>
      </c>
      <c r="K3" s="36"/>
      <c r="L3" s="20"/>
    </row>
    <row r="4" spans="1:17" s="22" customFormat="1" ht="25" customHeight="1" thickBot="1" x14ac:dyDescent="0.5">
      <c r="A4" s="20"/>
      <c r="B4" s="35"/>
      <c r="C4" s="51" t="s">
        <v>71</v>
      </c>
      <c r="D4" s="166" t="s">
        <v>100</v>
      </c>
      <c r="E4" s="167"/>
      <c r="F4" s="168"/>
      <c r="G4" s="52" t="s">
        <v>73</v>
      </c>
      <c r="H4" s="53" t="str">
        <f>'통계 및 응시자 수 입력 기능'!E12</f>
        <v>11.04</v>
      </c>
      <c r="I4" s="169"/>
      <c r="J4" s="170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171"/>
      <c r="J5" s="171"/>
      <c r="K5" s="36"/>
      <c r="L5" s="20"/>
    </row>
    <row r="6" spans="1:17" s="22" customFormat="1" ht="25" customHeight="1" thickBot="1" x14ac:dyDescent="0.5">
      <c r="A6" s="20"/>
      <c r="B6" s="35"/>
      <c r="C6" s="54" t="s">
        <v>75</v>
      </c>
      <c r="D6" s="55" t="s">
        <v>76</v>
      </c>
      <c r="E6" s="55" t="s">
        <v>77</v>
      </c>
      <c r="F6" s="55" t="s">
        <v>78</v>
      </c>
      <c r="G6" s="55" t="s">
        <v>79</v>
      </c>
      <c r="H6" s="55" t="s">
        <v>80</v>
      </c>
      <c r="I6" s="56" t="s">
        <v>81</v>
      </c>
      <c r="J6" s="57" t="s">
        <v>82</v>
      </c>
      <c r="K6" s="36"/>
      <c r="L6" s="19" t="s">
        <v>64</v>
      </c>
      <c r="M6" s="19"/>
      <c r="N6" s="23"/>
    </row>
    <row r="7" spans="1:17" s="22" customFormat="1" ht="25" customHeight="1" x14ac:dyDescent="0.45">
      <c r="A7" s="20"/>
      <c r="B7" s="35"/>
      <c r="C7" s="160">
        <v>50</v>
      </c>
      <c r="D7" s="59">
        <f>ROUND(10*(C7-$H$3)/$H$4+50,0)</f>
        <v>78</v>
      </c>
      <c r="E7" s="59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60">
        <f>ROUND(100*(1-(0+I7)/2/$J$3),2)</f>
        <v>99.46</v>
      </c>
      <c r="G7" s="61">
        <f>_xlfn.IFNA(VLOOKUP(D7,'인원 입력 기능(사과탐)'!$A$64:$D$116,4,FALSE),0)</f>
        <v>139</v>
      </c>
      <c r="H7" s="62">
        <f>G7/$J$3</f>
        <v>1.0700538876058506E-2</v>
      </c>
      <c r="I7" s="63">
        <f>G7</f>
        <v>139</v>
      </c>
      <c r="J7" s="64">
        <f>I7/$J$3</f>
        <v>1.0700538876058506E-2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기능'!C76</f>
        <v>72</v>
      </c>
    </row>
    <row r="8" spans="1:17" s="22" customFormat="1" ht="25" customHeight="1" x14ac:dyDescent="0.45">
      <c r="A8" s="20"/>
      <c r="B8" s="35"/>
      <c r="C8" s="58">
        <v>49</v>
      </c>
      <c r="D8" s="66" t="s">
        <v>56</v>
      </c>
      <c r="E8" s="66"/>
      <c r="F8" s="67"/>
      <c r="G8" s="68"/>
      <c r="H8" s="108"/>
      <c r="I8" s="70"/>
      <c r="J8" s="71"/>
      <c r="K8" s="36"/>
      <c r="L8" s="20"/>
      <c r="N8" s="24"/>
      <c r="P8" s="24">
        <v>2</v>
      </c>
      <c r="Q8" s="24">
        <f>'표점등급&amp;절평인원 입력 기능'!C77</f>
        <v>65</v>
      </c>
    </row>
    <row r="9" spans="1:17" s="22" customFormat="1" ht="25" customHeight="1" x14ac:dyDescent="0.45">
      <c r="A9" s="20"/>
      <c r="B9" s="35"/>
      <c r="C9" s="58">
        <v>48</v>
      </c>
      <c r="D9" s="59">
        <f>ROUND(10*(C9-$H$3)/$H$4+50,0)</f>
        <v>76</v>
      </c>
      <c r="E9" s="59">
        <f t="shared" si="0"/>
        <v>1</v>
      </c>
      <c r="F9" s="60">
        <f>IF(I8=0,ROUND(100*(1-(I7+I9)/2/$J$3),2),ROUND(100*(1-(I8+I9)/2/$J$3),2))</f>
        <v>98.71</v>
      </c>
      <c r="G9" s="61">
        <f>_xlfn.IFNA(VLOOKUP(D9,'인원 입력 기능(사과탐)'!$A$64:$D$116,4,FALSE),0)</f>
        <v>58</v>
      </c>
      <c r="H9" s="62">
        <f t="shared" ref="H9:H55" si="1">G9/$J$3</f>
        <v>4.4649730561970745E-3</v>
      </c>
      <c r="I9" s="72">
        <f>SUM($G$7:G9)</f>
        <v>197</v>
      </c>
      <c r="J9" s="64">
        <f>I9/$J$3</f>
        <v>1.5165511932255581E-2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기능'!C78</f>
        <v>57</v>
      </c>
    </row>
    <row r="10" spans="1:17" s="22" customFormat="1" ht="25" customHeight="1" x14ac:dyDescent="0.45">
      <c r="A10" s="20"/>
      <c r="B10" s="35"/>
      <c r="C10" s="65">
        <v>47</v>
      </c>
      <c r="D10" s="59">
        <f t="shared" ref="D10:D55" si="3">ROUND(10*(C10-$H$3)/$H$4+50,0)</f>
        <v>75</v>
      </c>
      <c r="E10" s="59">
        <f t="shared" si="0"/>
        <v>1</v>
      </c>
      <c r="F10" s="60">
        <f t="shared" ref="F10:F55" si="4">IF(I9=0,ROUND(100*(1-(I8+I10)/2/$J$3),2),ROUND(100*(1-(I9+I10)/2/$J$3),2))</f>
        <v>97.99</v>
      </c>
      <c r="G10" s="61">
        <f>IF(D10=D9,"",_xlfn.IFNA(VLOOKUP(D10,'인원 입력 기능(사과탐)'!$A$64:$D$116,4,FALSE),0))</f>
        <v>127</v>
      </c>
      <c r="H10" s="62">
        <f t="shared" si="1"/>
        <v>9.7767513471901466E-3</v>
      </c>
      <c r="I10" s="72">
        <f>SUM($G$7:G10)</f>
        <v>324</v>
      </c>
      <c r="J10" s="64">
        <f t="shared" ref="J10:J55" si="5">I10/$J$3</f>
        <v>2.4942263279445726E-2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기능'!C79</f>
        <v>50</v>
      </c>
    </row>
    <row r="11" spans="1:17" s="22" customFormat="1" ht="25" customHeight="1" x14ac:dyDescent="0.45">
      <c r="A11" s="20"/>
      <c r="B11" s="35"/>
      <c r="C11" s="58">
        <v>46</v>
      </c>
      <c r="D11" s="59">
        <f t="shared" si="3"/>
        <v>74</v>
      </c>
      <c r="E11" s="59">
        <f t="shared" si="0"/>
        <v>1</v>
      </c>
      <c r="F11" s="60">
        <f t="shared" si="4"/>
        <v>97.4</v>
      </c>
      <c r="G11" s="61">
        <f>IF(D11=D10,"",_xlfn.IFNA(VLOOKUP(D11,'인원 입력 기능(사과탐)'!$A$64:$D$116,4,FALSE),0))</f>
        <v>27</v>
      </c>
      <c r="H11" s="62">
        <f t="shared" si="1"/>
        <v>2.0785219399538108E-3</v>
      </c>
      <c r="I11" s="72">
        <f>SUM($G$7:G11)</f>
        <v>351</v>
      </c>
      <c r="J11" s="64">
        <f t="shared" si="5"/>
        <v>2.7020785219399539E-2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기능'!C80</f>
        <v>45</v>
      </c>
    </row>
    <row r="12" spans="1:17" s="22" customFormat="1" ht="25" customHeight="1" x14ac:dyDescent="0.45">
      <c r="A12" s="20"/>
      <c r="B12" s="35"/>
      <c r="C12" s="65">
        <v>45</v>
      </c>
      <c r="D12" s="59">
        <f t="shared" si="3"/>
        <v>73</v>
      </c>
      <c r="E12" s="59">
        <f t="shared" si="0"/>
        <v>1</v>
      </c>
      <c r="F12" s="60">
        <f t="shared" si="4"/>
        <v>96.85</v>
      </c>
      <c r="G12" s="61">
        <f>IF(D12=D11,"",_xlfn.IFNA(VLOOKUP(D12,'인원 입력 기능(사과탐)'!$A$64:$D$116,4,FALSE),0))</f>
        <v>116</v>
      </c>
      <c r="H12" s="62">
        <f t="shared" si="1"/>
        <v>8.9299461123941489E-3</v>
      </c>
      <c r="I12" s="72">
        <f>SUM($G$7:G12)</f>
        <v>467</v>
      </c>
      <c r="J12" s="64">
        <f t="shared" si="5"/>
        <v>3.5950731331793689E-2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기능'!C81</f>
        <v>42</v>
      </c>
    </row>
    <row r="13" spans="1:17" s="22" customFormat="1" ht="25" customHeight="1" x14ac:dyDescent="0.45">
      <c r="A13" s="20"/>
      <c r="B13" s="35"/>
      <c r="C13" s="58">
        <v>44</v>
      </c>
      <c r="D13" s="59">
        <f t="shared" si="3"/>
        <v>72</v>
      </c>
      <c r="E13" s="59">
        <f t="shared" si="0"/>
        <v>1</v>
      </c>
      <c r="F13" s="60">
        <f t="shared" si="4"/>
        <v>96.06</v>
      </c>
      <c r="G13" s="61">
        <f>IF(D13=D12,"",_xlfn.IFNA(VLOOKUP(D13,'인원 입력 기능(사과탐)'!$A$64:$D$116,4,FALSE),0))</f>
        <v>90</v>
      </c>
      <c r="H13" s="62">
        <f t="shared" si="1"/>
        <v>6.9284064665127024E-3</v>
      </c>
      <c r="I13" s="72">
        <f>SUM($G$7:G13)</f>
        <v>557</v>
      </c>
      <c r="J13" s="64">
        <f t="shared" si="5"/>
        <v>4.2879137798306391E-2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기능'!C82</f>
        <v>40</v>
      </c>
    </row>
    <row r="14" spans="1:17" s="22" customFormat="1" ht="25" customHeight="1" x14ac:dyDescent="0.45">
      <c r="A14" s="20"/>
      <c r="B14" s="35"/>
      <c r="C14" s="65">
        <v>43</v>
      </c>
      <c r="D14" s="59">
        <f t="shared" si="3"/>
        <v>71</v>
      </c>
      <c r="E14" s="59">
        <f t="shared" si="0"/>
        <v>2</v>
      </c>
      <c r="F14" s="60">
        <f t="shared" si="4"/>
        <v>95.44</v>
      </c>
      <c r="G14" s="61">
        <f>IF(D14=D13,"",_xlfn.IFNA(VLOOKUP(D14,'인원 입력 기능(사과탐)'!$A$64:$D$116,4,FALSE),0))</f>
        <v>71</v>
      </c>
      <c r="H14" s="62">
        <f t="shared" si="1"/>
        <v>5.4657428791377981E-3</v>
      </c>
      <c r="I14" s="72">
        <f>SUM($G$7:G14)</f>
        <v>628</v>
      </c>
      <c r="J14" s="64">
        <f t="shared" si="5"/>
        <v>4.8344880677444191E-2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기능'!C83</f>
        <v>38</v>
      </c>
    </row>
    <row r="15" spans="1:17" s="22" customFormat="1" ht="25" customHeight="1" x14ac:dyDescent="0.45">
      <c r="A15" s="20"/>
      <c r="B15" s="35"/>
      <c r="C15" s="58">
        <v>42</v>
      </c>
      <c r="D15" s="59">
        <f t="shared" si="3"/>
        <v>70</v>
      </c>
      <c r="E15" s="59">
        <f t="shared" si="0"/>
        <v>2</v>
      </c>
      <c r="F15" s="60">
        <f t="shared" si="4"/>
        <v>94.72</v>
      </c>
      <c r="G15" s="61">
        <f>IF(D15=D14,"",_xlfn.IFNA(VLOOKUP(D15,'인원 입력 기능(사과탐)'!$A$64:$D$116,4,FALSE),0))</f>
        <v>116</v>
      </c>
      <c r="H15" s="62">
        <f t="shared" si="1"/>
        <v>8.9299461123941489E-3</v>
      </c>
      <c r="I15" s="72">
        <f>SUM($G$7:G15)</f>
        <v>744</v>
      </c>
      <c r="J15" s="64">
        <f t="shared" si="5"/>
        <v>5.7274826789838335E-2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5">
        <v>41</v>
      </c>
      <c r="D16" s="59">
        <f t="shared" si="3"/>
        <v>69</v>
      </c>
      <c r="E16" s="59">
        <f t="shared" si="0"/>
        <v>2</v>
      </c>
      <c r="F16" s="60">
        <f t="shared" si="4"/>
        <v>93.96</v>
      </c>
      <c r="G16" s="61">
        <f>IF(D16=D15,"",_xlfn.IFNA(VLOOKUP(D16,'인원 입력 기능(사과탐)'!$A$64:$D$116,4,FALSE),0))</f>
        <v>81</v>
      </c>
      <c r="H16" s="62">
        <f t="shared" si="1"/>
        <v>6.2355658198614316E-3</v>
      </c>
      <c r="I16" s="72">
        <f>SUM($G$7:G16)</f>
        <v>825</v>
      </c>
      <c r="J16" s="64">
        <f t="shared" si="5"/>
        <v>6.3510392609699776E-2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58">
        <v>40</v>
      </c>
      <c r="D17" s="237">
        <f t="shared" si="3"/>
        <v>68</v>
      </c>
      <c r="E17" s="237">
        <f t="shared" si="0"/>
        <v>2</v>
      </c>
      <c r="F17" s="247">
        <f t="shared" si="4"/>
        <v>92.69</v>
      </c>
      <c r="G17" s="249">
        <f>IF(D17=D16,"",_xlfn.IFNA(VLOOKUP(D17,'인원 입력 기능(사과탐)'!$A$64:$D$116,4,FALSE),0))</f>
        <v>250</v>
      </c>
      <c r="H17" s="250">
        <f t="shared" si="1"/>
        <v>1.924557351809084E-2</v>
      </c>
      <c r="I17" s="252">
        <f>SUM($G$7:G17)</f>
        <v>1075</v>
      </c>
      <c r="J17" s="254">
        <f t="shared" si="5"/>
        <v>8.2755966127790612E-2</v>
      </c>
      <c r="K17" s="36"/>
      <c r="L17" s="20" t="str">
        <f t="shared" si="2"/>
        <v/>
      </c>
      <c r="N17" s="24"/>
      <c r="Q17" s="24">
        <f>Q7*H3*H4*J3*IFERROR(IF(J57=1, 1, 0), 0)</f>
        <v>202482882.43199998</v>
      </c>
    </row>
    <row r="18" spans="1:17" s="22" customFormat="1" ht="25" customHeight="1" x14ac:dyDescent="0.45">
      <c r="A18" s="20"/>
      <c r="B18" s="35"/>
      <c r="C18" s="65">
        <v>39</v>
      </c>
      <c r="D18" s="238"/>
      <c r="E18" s="238"/>
      <c r="F18" s="246"/>
      <c r="G18" s="248"/>
      <c r="H18" s="251"/>
      <c r="I18" s="253"/>
      <c r="J18" s="255"/>
      <c r="K18" s="36"/>
      <c r="L18" s="20" t="str">
        <f t="shared" si="2"/>
        <v>경고</v>
      </c>
      <c r="N18" s="24"/>
    </row>
    <row r="19" spans="1:17" s="22" customFormat="1" ht="25" customHeight="1" x14ac:dyDescent="0.45">
      <c r="A19" s="20"/>
      <c r="B19" s="35"/>
      <c r="C19" s="58">
        <v>38</v>
      </c>
      <c r="D19" s="59">
        <f t="shared" si="3"/>
        <v>67</v>
      </c>
      <c r="E19" s="59">
        <f t="shared" si="0"/>
        <v>2</v>
      </c>
      <c r="F19" s="60">
        <f t="shared" si="4"/>
        <v>91.25</v>
      </c>
      <c r="G19" s="61">
        <f>IF(D19=D18,"",_xlfn.IFNA(VLOOKUP(D19,'인원 입력 기능(사과탐)'!$A$64:$D$116,4,FALSE),0))</f>
        <v>124</v>
      </c>
      <c r="H19" s="62">
        <f t="shared" si="1"/>
        <v>9.5458044649730563E-3</v>
      </c>
      <c r="I19" s="72">
        <f>SUM($G$7:G19)</f>
        <v>1199</v>
      </c>
      <c r="J19" s="64">
        <f t="shared" si="5"/>
        <v>9.2301770592763663E-2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65">
        <v>37</v>
      </c>
      <c r="D20" s="59">
        <f t="shared" si="3"/>
        <v>66</v>
      </c>
      <c r="E20" s="59">
        <f t="shared" si="0"/>
        <v>2</v>
      </c>
      <c r="F20" s="60">
        <f t="shared" si="4"/>
        <v>90.14</v>
      </c>
      <c r="G20" s="61">
        <f>IF(D20=D19,"",_xlfn.IFNA(VLOOKUP(D20,'인원 입력 기능(사과탐)'!$A$64:$D$116,4,FALSE),0))</f>
        <v>164</v>
      </c>
      <c r="H20" s="62">
        <f t="shared" si="1"/>
        <v>1.262509622786759E-2</v>
      </c>
      <c r="I20" s="72">
        <f>SUM($G$7:G20)</f>
        <v>1363</v>
      </c>
      <c r="J20" s="64">
        <f t="shared" si="5"/>
        <v>0.10492686682063125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09">
        <v>36</v>
      </c>
      <c r="D21" s="74">
        <f t="shared" si="3"/>
        <v>65</v>
      </c>
      <c r="E21" s="74">
        <f t="shared" si="0"/>
        <v>2</v>
      </c>
      <c r="F21" s="60">
        <f t="shared" si="4"/>
        <v>89.01</v>
      </c>
      <c r="G21" s="61">
        <f>IF(D21=D20,"",_xlfn.IFNA(VLOOKUP(D21,'인원 입력 기능(사과탐)'!$A$64:$D$116,4,FALSE),0))</f>
        <v>128</v>
      </c>
      <c r="H21" s="62">
        <f t="shared" si="1"/>
        <v>9.85373364126251E-3</v>
      </c>
      <c r="I21" s="72">
        <f>SUM($G$7:G21)</f>
        <v>1491</v>
      </c>
      <c r="J21" s="64">
        <f t="shared" si="5"/>
        <v>0.11478060046189377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73">
        <v>35</v>
      </c>
      <c r="D22" s="74">
        <f t="shared" si="3"/>
        <v>64</v>
      </c>
      <c r="E22" s="74">
        <f t="shared" si="0"/>
        <v>3</v>
      </c>
      <c r="F22" s="60">
        <f t="shared" si="4"/>
        <v>87.93</v>
      </c>
      <c r="G22" s="61">
        <f>IF(D22=D21,"",_xlfn.IFNA(VLOOKUP(D22,'인원 입력 기능(사과탐)'!$A$64:$D$116,4,FALSE),0))</f>
        <v>155</v>
      </c>
      <c r="H22" s="62">
        <f t="shared" si="1"/>
        <v>1.1932255581216321E-2</v>
      </c>
      <c r="I22" s="72">
        <f>SUM($G$7:G22)</f>
        <v>1646</v>
      </c>
      <c r="J22" s="64">
        <f t="shared" si="5"/>
        <v>0.12671285604311008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09">
        <v>34</v>
      </c>
      <c r="D23" s="74">
        <f t="shared" si="3"/>
        <v>63</v>
      </c>
      <c r="E23" s="74">
        <f t="shared" si="0"/>
        <v>3</v>
      </c>
      <c r="F23" s="60">
        <f t="shared" si="4"/>
        <v>86.65</v>
      </c>
      <c r="G23" s="61">
        <f>IF(D23=D22,"",_xlfn.IFNA(VLOOKUP(D23,'인원 입력 기능(사과탐)'!$A$64:$D$116,4,FALSE),0))</f>
        <v>177</v>
      </c>
      <c r="H23" s="62">
        <f t="shared" si="1"/>
        <v>1.3625866050808315E-2</v>
      </c>
      <c r="I23" s="72">
        <f>SUM($G$7:G23)</f>
        <v>1823</v>
      </c>
      <c r="J23" s="64">
        <f t="shared" si="5"/>
        <v>0.1403387220939184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73">
        <v>33</v>
      </c>
      <c r="D24" s="74">
        <f t="shared" si="3"/>
        <v>62</v>
      </c>
      <c r="E24" s="74">
        <f t="shared" si="0"/>
        <v>3</v>
      </c>
      <c r="F24" s="60">
        <f t="shared" si="4"/>
        <v>85.41</v>
      </c>
      <c r="G24" s="61">
        <f>IF(D24=D23,"",_xlfn.IFNA(VLOOKUP(D24,'인원 입력 기능(사과탐)'!$A$64:$D$116,4,FALSE),0))</f>
        <v>145</v>
      </c>
      <c r="H24" s="62">
        <f t="shared" si="1"/>
        <v>1.1162432640492687E-2</v>
      </c>
      <c r="I24" s="72">
        <f>SUM($G$7:G24)</f>
        <v>1968</v>
      </c>
      <c r="J24" s="64">
        <f t="shared" si="5"/>
        <v>0.15150115473441109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09">
        <v>32</v>
      </c>
      <c r="D25" s="74">
        <f t="shared" si="3"/>
        <v>61</v>
      </c>
      <c r="E25" s="74">
        <f t="shared" si="0"/>
        <v>3</v>
      </c>
      <c r="F25" s="60">
        <f t="shared" si="4"/>
        <v>84.16</v>
      </c>
      <c r="G25" s="61">
        <f>IF(D25=D24,"",_xlfn.IFNA(VLOOKUP(D25,'인원 입력 기능(사과탐)'!$A$64:$D$116,4,FALSE),0))</f>
        <v>178</v>
      </c>
      <c r="H25" s="62">
        <f t="shared" si="1"/>
        <v>1.3702848344880678E-2</v>
      </c>
      <c r="I25" s="72">
        <f>SUM($G$7:G25)</f>
        <v>2146</v>
      </c>
      <c r="J25" s="64">
        <f t="shared" si="5"/>
        <v>0.16520400307929176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73">
        <v>31</v>
      </c>
      <c r="D26" s="74">
        <f t="shared" si="3"/>
        <v>60</v>
      </c>
      <c r="E26" s="74">
        <f t="shared" si="0"/>
        <v>3</v>
      </c>
      <c r="F26" s="60">
        <f t="shared" si="4"/>
        <v>82.78</v>
      </c>
      <c r="G26" s="61">
        <f>IF(D26=D25,"",_xlfn.IFNA(VLOOKUP(D26,'인원 입력 기능(사과탐)'!$A$64:$D$116,4,FALSE),0))</f>
        <v>182</v>
      </c>
      <c r="H26" s="62">
        <f t="shared" si="1"/>
        <v>1.4010777521170132E-2</v>
      </c>
      <c r="I26" s="72">
        <f>SUM($G$7:G26)</f>
        <v>2328</v>
      </c>
      <c r="J26" s="64">
        <f t="shared" si="5"/>
        <v>0.17921478060046189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09">
        <v>30</v>
      </c>
      <c r="D27" s="257">
        <f t="shared" si="3"/>
        <v>59</v>
      </c>
      <c r="E27" s="257">
        <f t="shared" si="0"/>
        <v>3</v>
      </c>
      <c r="F27" s="247">
        <f t="shared" si="4"/>
        <v>80.58</v>
      </c>
      <c r="G27" s="249">
        <f>IF(D27=D26,"",_xlfn.IFNA(VLOOKUP(D27,'인원 입력 기능(사과탐)'!$A$64:$D$116,4,FALSE),0))</f>
        <v>389</v>
      </c>
      <c r="H27" s="250">
        <f t="shared" si="1"/>
        <v>2.9946112394149346E-2</v>
      </c>
      <c r="I27" s="252">
        <f>SUM($G$7:G27)</f>
        <v>2717</v>
      </c>
      <c r="J27" s="254">
        <f t="shared" si="5"/>
        <v>0.20916089299461124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73">
        <v>29</v>
      </c>
      <c r="D28" s="256"/>
      <c r="E28" s="256"/>
      <c r="F28" s="246"/>
      <c r="G28" s="248"/>
      <c r="H28" s="251"/>
      <c r="I28" s="253"/>
      <c r="J28" s="255"/>
      <c r="K28" s="36"/>
      <c r="L28" s="20" t="str">
        <f t="shared" si="2"/>
        <v>경고</v>
      </c>
      <c r="N28" s="24"/>
    </row>
    <row r="29" spans="1:17" s="22" customFormat="1" ht="25" customHeight="1" x14ac:dyDescent="0.45">
      <c r="A29" s="20"/>
      <c r="B29" s="35"/>
      <c r="C29" s="109">
        <v>28</v>
      </c>
      <c r="D29" s="74">
        <f t="shared" si="3"/>
        <v>58</v>
      </c>
      <c r="E29" s="74">
        <f t="shared" si="0"/>
        <v>3</v>
      </c>
      <c r="F29" s="60">
        <f t="shared" si="4"/>
        <v>78.28</v>
      </c>
      <c r="G29" s="61">
        <f>IF(D29=D28,"",_xlfn.IFNA(VLOOKUP(D29,'인원 입력 기능(사과탐)'!$A$64:$D$116,4,FALSE),0))</f>
        <v>209</v>
      </c>
      <c r="H29" s="62">
        <f t="shared" si="1"/>
        <v>1.6089299461123942E-2</v>
      </c>
      <c r="I29" s="72">
        <f>SUM($G$7:G29)</f>
        <v>2926</v>
      </c>
      <c r="J29" s="64">
        <f t="shared" si="5"/>
        <v>0.22525019245573519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73">
        <v>27</v>
      </c>
      <c r="D30" s="74">
        <f t="shared" si="3"/>
        <v>57</v>
      </c>
      <c r="E30" s="74">
        <f t="shared" si="0"/>
        <v>3</v>
      </c>
      <c r="F30" s="60">
        <f t="shared" si="4"/>
        <v>76.53</v>
      </c>
      <c r="G30" s="61">
        <f>IF(D30=D29,"",_xlfn.IFNA(VLOOKUP(D30,'인원 입력 기능(사과탐)'!$A$64:$D$116,4,FALSE),0))</f>
        <v>246</v>
      </c>
      <c r="H30" s="62">
        <f t="shared" si="1"/>
        <v>1.8937644341801386E-2</v>
      </c>
      <c r="I30" s="72">
        <f>SUM($G$7:G30)</f>
        <v>3172</v>
      </c>
      <c r="J30" s="64">
        <f t="shared" si="5"/>
        <v>0.24418783679753656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09">
        <v>26</v>
      </c>
      <c r="D31" s="74">
        <f t="shared" si="3"/>
        <v>56</v>
      </c>
      <c r="E31" s="74">
        <f t="shared" si="0"/>
        <v>4</v>
      </c>
      <c r="F31" s="60">
        <f t="shared" si="4"/>
        <v>74.75</v>
      </c>
      <c r="G31" s="61">
        <f>IF(D31=D30,"",_xlfn.IFNA(VLOOKUP(D31,'인원 입력 기능(사과탐)'!$A$64:$D$116,4,FALSE),0))</f>
        <v>215</v>
      </c>
      <c r="H31" s="62">
        <f t="shared" si="1"/>
        <v>1.6551193225558123E-2</v>
      </c>
      <c r="I31" s="72">
        <f>SUM($G$7:G31)</f>
        <v>3387</v>
      </c>
      <c r="J31" s="64">
        <f t="shared" si="5"/>
        <v>0.26073903002309468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73">
        <v>25</v>
      </c>
      <c r="D32" s="74">
        <f t="shared" si="3"/>
        <v>55</v>
      </c>
      <c r="E32" s="74">
        <f t="shared" si="0"/>
        <v>4</v>
      </c>
      <c r="F32" s="60">
        <f t="shared" si="4"/>
        <v>72.900000000000006</v>
      </c>
      <c r="G32" s="61">
        <f>IF(D32=D31,"",_xlfn.IFNA(VLOOKUP(D32,'인원 입력 기능(사과탐)'!$A$64:$D$116,4,FALSE),0))</f>
        <v>266</v>
      </c>
      <c r="H32" s="62">
        <f t="shared" si="1"/>
        <v>2.0477290223248654E-2</v>
      </c>
      <c r="I32" s="72">
        <f>SUM($G$7:G32)</f>
        <v>3653</v>
      </c>
      <c r="J32" s="64">
        <f t="shared" si="5"/>
        <v>0.28121632024634335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09">
        <v>24</v>
      </c>
      <c r="D33" s="74">
        <f t="shared" si="3"/>
        <v>54</v>
      </c>
      <c r="E33" s="74">
        <f t="shared" si="0"/>
        <v>4</v>
      </c>
      <c r="F33" s="60">
        <f t="shared" si="4"/>
        <v>70.790000000000006</v>
      </c>
      <c r="G33" s="61">
        <f>IF(D33=D32,"",_xlfn.IFNA(VLOOKUP(D33,'인원 입력 기능(사과탐)'!$A$64:$D$116,4,FALSE),0))</f>
        <v>284</v>
      </c>
      <c r="H33" s="62">
        <f t="shared" si="1"/>
        <v>2.1862971516551193E-2</v>
      </c>
      <c r="I33" s="72">
        <f>SUM($G$7:G33)</f>
        <v>3937</v>
      </c>
      <c r="J33" s="64">
        <f t="shared" si="5"/>
        <v>0.30307929176289455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73">
        <v>23</v>
      </c>
      <c r="D34" s="74">
        <f t="shared" si="3"/>
        <v>53</v>
      </c>
      <c r="E34" s="74">
        <f t="shared" si="0"/>
        <v>4</v>
      </c>
      <c r="F34" s="60">
        <f t="shared" si="4"/>
        <v>68.510000000000005</v>
      </c>
      <c r="G34" s="61">
        <f>IF(D34=D33,"",_xlfn.IFNA(VLOOKUP(D34,'인원 입력 기능(사과탐)'!$A$64:$D$116,4,FALSE),0))</f>
        <v>307</v>
      </c>
      <c r="H34" s="62">
        <f t="shared" si="1"/>
        <v>2.3633564280215551E-2</v>
      </c>
      <c r="I34" s="72">
        <f>SUM($G$7:G34)</f>
        <v>4244</v>
      </c>
      <c r="J34" s="64">
        <f t="shared" si="5"/>
        <v>0.32671285604311007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09">
        <v>22</v>
      </c>
      <c r="D35" s="74">
        <f t="shared" si="3"/>
        <v>52</v>
      </c>
      <c r="E35" s="74">
        <f t="shared" si="0"/>
        <v>4</v>
      </c>
      <c r="F35" s="60">
        <f t="shared" si="4"/>
        <v>66.05</v>
      </c>
      <c r="G35" s="61">
        <f>IF(D35=D34,"",_xlfn.IFNA(VLOOKUP(D35,'인원 입력 기능(사과탐)'!$A$64:$D$116,4,FALSE),0))</f>
        <v>332</v>
      </c>
      <c r="H35" s="62">
        <f t="shared" si="1"/>
        <v>2.5558121632024634E-2</v>
      </c>
      <c r="I35" s="72">
        <f>SUM($G$7:G35)</f>
        <v>4576</v>
      </c>
      <c r="J35" s="64">
        <f t="shared" si="5"/>
        <v>0.35227097767513471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73">
        <v>21</v>
      </c>
      <c r="D36" s="74">
        <f t="shared" si="3"/>
        <v>51</v>
      </c>
      <c r="E36" s="74">
        <f t="shared" si="0"/>
        <v>4</v>
      </c>
      <c r="F36" s="60">
        <f t="shared" si="4"/>
        <v>63.4</v>
      </c>
      <c r="G36" s="61">
        <f>IF(D36=D35,"",_xlfn.IFNA(VLOOKUP(D36,'인원 입력 기능(사과탐)'!$A$64:$D$116,4,FALSE),0))</f>
        <v>356</v>
      </c>
      <c r="H36" s="62">
        <f t="shared" si="1"/>
        <v>2.7405696689761356E-2</v>
      </c>
      <c r="I36" s="72">
        <f>SUM($G$7:G36)</f>
        <v>4932</v>
      </c>
      <c r="J36" s="64">
        <f t="shared" si="5"/>
        <v>0.37967667436489605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09">
        <v>20</v>
      </c>
      <c r="D37" s="74">
        <f t="shared" si="3"/>
        <v>50</v>
      </c>
      <c r="E37" s="74">
        <f t="shared" si="0"/>
        <v>4</v>
      </c>
      <c r="F37" s="60">
        <f t="shared" si="4"/>
        <v>60.64</v>
      </c>
      <c r="G37" s="61">
        <f>IF(D37=D36,"",_xlfn.IFNA(VLOOKUP(D37,'인원 입력 기능(사과탐)'!$A$64:$D$116,4,FALSE),0))</f>
        <v>361</v>
      </c>
      <c r="H37" s="62">
        <f t="shared" si="1"/>
        <v>2.7790608160123173E-2</v>
      </c>
      <c r="I37" s="72">
        <f>SUM($G$7:G37)</f>
        <v>5293</v>
      </c>
      <c r="J37" s="64">
        <f t="shared" si="5"/>
        <v>0.40746728252501924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73">
        <v>19</v>
      </c>
      <c r="D38" s="257">
        <f t="shared" si="3"/>
        <v>49</v>
      </c>
      <c r="E38" s="257">
        <f t="shared" si="0"/>
        <v>5</v>
      </c>
      <c r="F38" s="247">
        <f t="shared" si="4"/>
        <v>56.41</v>
      </c>
      <c r="G38" s="249">
        <f>IF(D38=D37,"",_xlfn.IFNA(VLOOKUP(D38,'인원 입력 기능(사과탐)'!$A$64:$D$116,4,FALSE),0))</f>
        <v>739</v>
      </c>
      <c r="H38" s="250">
        <f t="shared" si="1"/>
        <v>5.6889915319476521E-2</v>
      </c>
      <c r="I38" s="252">
        <f>SUM($G$7:G38)</f>
        <v>6032</v>
      </c>
      <c r="J38" s="254">
        <f t="shared" si="5"/>
        <v>0.46435719784449575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09">
        <v>18</v>
      </c>
      <c r="D39" s="256"/>
      <c r="E39" s="256"/>
      <c r="F39" s="246"/>
      <c r="G39" s="248"/>
      <c r="H39" s="251"/>
      <c r="I39" s="253"/>
      <c r="J39" s="255"/>
      <c r="K39" s="36"/>
      <c r="L39" s="20" t="str">
        <f t="shared" si="2"/>
        <v>경고</v>
      </c>
      <c r="N39" s="24"/>
    </row>
    <row r="40" spans="1:14" s="22" customFormat="1" ht="25" customHeight="1" x14ac:dyDescent="0.45">
      <c r="A40" s="20"/>
      <c r="B40" s="35"/>
      <c r="C40" s="73">
        <v>17</v>
      </c>
      <c r="D40" s="74">
        <f t="shared" si="3"/>
        <v>48</v>
      </c>
      <c r="E40" s="74">
        <f t="shared" ref="E39:E57" si="6">IF(ROUND(D40,0)&gt;=$Q$7,1,IF(ROUND(D40,0)&gt;=$Q$8,2,IF(ROUND(D40,0)&gt;=$Q$9,3,IF(ROUND(D40,0)&gt;=$Q$10,4,IF(ROUND(D40,0)&gt;=$Q$11,5,IF(ROUND(D40,0)&gt;=$Q$12,6,IF(ROUND(D40,0)&gt;=$Q$13,7,IF(ROUND(D40,0)&gt;=$Q$14,8,9))))))))</f>
        <v>5</v>
      </c>
      <c r="F40" s="60">
        <f t="shared" si="4"/>
        <v>51.69</v>
      </c>
      <c r="G40" s="61">
        <f>IF(D40=D39,"",_xlfn.IFNA(VLOOKUP(D40,'인원 입력 기능(사과탐)'!$A$64:$D$116,4,FALSE),0))</f>
        <v>487</v>
      </c>
      <c r="H40" s="62">
        <f t="shared" si="1"/>
        <v>3.7490377213240958E-2</v>
      </c>
      <c r="I40" s="72">
        <f>SUM($G$7:G40)</f>
        <v>6519</v>
      </c>
      <c r="J40" s="64">
        <f t="shared" si="5"/>
        <v>0.50184757505773669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09">
        <v>16</v>
      </c>
      <c r="D41" s="74">
        <f t="shared" si="3"/>
        <v>47</v>
      </c>
      <c r="E41" s="74">
        <f t="shared" si="6"/>
        <v>5</v>
      </c>
      <c r="F41" s="60">
        <f t="shared" si="4"/>
        <v>48.11</v>
      </c>
      <c r="G41" s="61">
        <f>IF(D41=D40,"",_xlfn.IFNA(VLOOKUP(D41,'인원 입력 기능(사과탐)'!$A$64:$D$116,4,FALSE),0))</f>
        <v>442</v>
      </c>
      <c r="H41" s="62">
        <f t="shared" si="1"/>
        <v>3.40261739799846E-2</v>
      </c>
      <c r="I41" s="72">
        <f>SUM($G$7:G41)</f>
        <v>6961</v>
      </c>
      <c r="J41" s="64">
        <f t="shared" si="5"/>
        <v>0.53587374903772134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73">
        <v>15</v>
      </c>
      <c r="D42" s="74">
        <f t="shared" si="3"/>
        <v>46</v>
      </c>
      <c r="E42" s="74">
        <f t="shared" si="6"/>
        <v>5</v>
      </c>
      <c r="F42" s="60">
        <f t="shared" si="4"/>
        <v>44.44</v>
      </c>
      <c r="G42" s="61">
        <f>IF(D42=D41,"",_xlfn.IFNA(VLOOKUP(D42,'인원 입력 기능(사과탐)'!$A$64:$D$116,4,FALSE),0))</f>
        <v>513</v>
      </c>
      <c r="H42" s="62">
        <f t="shared" si="1"/>
        <v>3.94919168591224E-2</v>
      </c>
      <c r="I42" s="72">
        <f>SUM($G$7:G42)</f>
        <v>7474</v>
      </c>
      <c r="J42" s="64">
        <f t="shared" si="5"/>
        <v>0.57536566589684368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09">
        <v>14</v>
      </c>
      <c r="D43" s="74">
        <f t="shared" si="3"/>
        <v>45</v>
      </c>
      <c r="E43" s="74">
        <f t="shared" si="6"/>
        <v>5</v>
      </c>
      <c r="F43" s="60">
        <f t="shared" si="4"/>
        <v>40.49</v>
      </c>
      <c r="G43" s="61">
        <f>IF(D43=D42,"",_xlfn.IFNA(VLOOKUP(D43,'인원 입력 기능(사과탐)'!$A$64:$D$116,4,FALSE),0))</f>
        <v>513</v>
      </c>
      <c r="H43" s="62">
        <f t="shared" si="1"/>
        <v>3.94919168591224E-2</v>
      </c>
      <c r="I43" s="72">
        <f>SUM($G$7:G43)</f>
        <v>7987</v>
      </c>
      <c r="J43" s="64">
        <f t="shared" si="5"/>
        <v>0.61485758275596614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73">
        <v>13</v>
      </c>
      <c r="D44" s="74">
        <f t="shared" si="3"/>
        <v>44</v>
      </c>
      <c r="E44" s="74">
        <f t="shared" si="6"/>
        <v>6</v>
      </c>
      <c r="F44" s="60">
        <f t="shared" si="4"/>
        <v>36.35</v>
      </c>
      <c r="G44" s="61">
        <f>IF(D44=D43,"",_xlfn.IFNA(VLOOKUP(D44,'인원 입력 기능(사과탐)'!$A$64:$D$116,4,FALSE),0))</f>
        <v>561</v>
      </c>
      <c r="H44" s="62">
        <f t="shared" si="1"/>
        <v>4.3187066974595845E-2</v>
      </c>
      <c r="I44" s="72">
        <f>SUM($G$7:G44)</f>
        <v>8548</v>
      </c>
      <c r="J44" s="64">
        <f t="shared" si="5"/>
        <v>0.65804464973056198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09">
        <v>12</v>
      </c>
      <c r="D45" s="74">
        <f t="shared" si="3"/>
        <v>43</v>
      </c>
      <c r="E45" s="74">
        <f t="shared" si="6"/>
        <v>6</v>
      </c>
      <c r="F45" s="60">
        <f t="shared" si="4"/>
        <v>31.86</v>
      </c>
      <c r="G45" s="61">
        <f>IF(D45=D44,"",_xlfn.IFNA(VLOOKUP(D45,'인원 입력 기능(사과탐)'!$A$64:$D$116,4,FALSE),0))</f>
        <v>608</v>
      </c>
      <c r="H45" s="62">
        <f t="shared" si="1"/>
        <v>4.6805234795996922E-2</v>
      </c>
      <c r="I45" s="72">
        <f>SUM($G$7:G45)</f>
        <v>9156</v>
      </c>
      <c r="J45" s="64">
        <f t="shared" si="5"/>
        <v>0.70484988452655895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73">
        <v>11</v>
      </c>
      <c r="D46" s="74">
        <f t="shared" si="3"/>
        <v>42</v>
      </c>
      <c r="E46" s="74">
        <f t="shared" si="6"/>
        <v>6</v>
      </c>
      <c r="F46" s="60">
        <f t="shared" si="4"/>
        <v>23.74</v>
      </c>
      <c r="G46" s="61">
        <f>IF(D46=D45,"",_xlfn.IFNA(VLOOKUP(D46,'인원 입력 기능(사과탐)'!$A$64:$D$116,4,FALSE),0))</f>
        <v>1500</v>
      </c>
      <c r="H46" s="62">
        <f t="shared" si="1"/>
        <v>0.11547344110854503</v>
      </c>
      <c r="I46" s="72">
        <f>SUM($G$7:G46)</f>
        <v>10656</v>
      </c>
      <c r="J46" s="64">
        <f t="shared" si="5"/>
        <v>0.82032332563510391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09">
        <v>10</v>
      </c>
      <c r="D47" s="74">
        <f t="shared" si="3"/>
        <v>41</v>
      </c>
      <c r="E47" s="74">
        <f t="shared" si="6"/>
        <v>7</v>
      </c>
      <c r="F47" s="60">
        <f t="shared" si="4"/>
        <v>15.64</v>
      </c>
      <c r="G47" s="61">
        <f>IF(D47=D46,"",_xlfn.IFNA(VLOOKUP(D47,'인원 입력 기능(사과탐)'!$A$64:$D$116,4,FALSE),0))</f>
        <v>604</v>
      </c>
      <c r="H47" s="62">
        <f t="shared" si="1"/>
        <v>4.6497305619707469E-2</v>
      </c>
      <c r="I47" s="72">
        <f>SUM($G$7:G47)</f>
        <v>11260</v>
      </c>
      <c r="J47" s="64">
        <f t="shared" si="5"/>
        <v>0.86682063125481135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73">
        <v>9</v>
      </c>
      <c r="D48" s="74">
        <f t="shared" si="3"/>
        <v>40</v>
      </c>
      <c r="E48" s="74">
        <f t="shared" si="6"/>
        <v>7</v>
      </c>
      <c r="F48" s="60">
        <f t="shared" si="4"/>
        <v>11.99</v>
      </c>
      <c r="G48" s="61">
        <f>IF(D48=D47,"",_xlfn.IFNA(VLOOKUP(D48,'인원 입력 기능(사과탐)'!$A$64:$D$116,4,FALSE),0))</f>
        <v>345</v>
      </c>
      <c r="H48" s="62">
        <f t="shared" si="1"/>
        <v>2.6558891454965358E-2</v>
      </c>
      <c r="I48" s="72">
        <f>SUM($G$7:G48)</f>
        <v>11605</v>
      </c>
      <c r="J48" s="64">
        <f t="shared" si="5"/>
        <v>0.89337952270977672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09">
        <v>8</v>
      </c>
      <c r="D49" s="257">
        <f t="shared" si="3"/>
        <v>39</v>
      </c>
      <c r="E49" s="257">
        <f t="shared" si="6"/>
        <v>8</v>
      </c>
      <c r="F49" s="247">
        <f t="shared" si="4"/>
        <v>8.0299999999999994</v>
      </c>
      <c r="G49" s="249">
        <f>IF(D49=D48,"",_xlfn.IFNA(VLOOKUP(D49,'인원 입력 기능(사과탐)'!$A$64:$D$116,4,FALSE),0))</f>
        <v>684</v>
      </c>
      <c r="H49" s="250">
        <f t="shared" si="1"/>
        <v>5.2655889145496536E-2</v>
      </c>
      <c r="I49" s="252">
        <f>SUM($G$7:G49)</f>
        <v>12289</v>
      </c>
      <c r="J49" s="254">
        <f t="shared" si="5"/>
        <v>0.94603541185527329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73">
        <v>7</v>
      </c>
      <c r="D50" s="256"/>
      <c r="E50" s="256"/>
      <c r="F50" s="246"/>
      <c r="G50" s="248"/>
      <c r="H50" s="251"/>
      <c r="I50" s="253"/>
      <c r="J50" s="255"/>
      <c r="K50" s="36"/>
      <c r="L50" s="20" t="str">
        <f t="shared" si="2"/>
        <v>경고</v>
      </c>
      <c r="N50" s="24"/>
    </row>
    <row r="51" spans="1:14" s="22" customFormat="1" ht="25" customHeight="1" x14ac:dyDescent="0.45">
      <c r="A51" s="20"/>
      <c r="B51" s="35"/>
      <c r="C51" s="109">
        <v>6</v>
      </c>
      <c r="D51" s="74">
        <f t="shared" si="3"/>
        <v>38</v>
      </c>
      <c r="E51" s="74">
        <f t="shared" si="6"/>
        <v>8</v>
      </c>
      <c r="F51" s="60">
        <f t="shared" si="4"/>
        <v>4.42</v>
      </c>
      <c r="G51" s="61">
        <f>IF(D51=D50,"",_xlfn.IFNA(VLOOKUP(D51,'인원 입력 기능(사과탐)'!$A$64:$D$116,4,FALSE),0))</f>
        <v>254</v>
      </c>
      <c r="H51" s="62">
        <f t="shared" si="1"/>
        <v>1.9553502694380293E-2</v>
      </c>
      <c r="I51" s="72">
        <f>SUM($G$7:G51)</f>
        <v>12543</v>
      </c>
      <c r="J51" s="64">
        <f t="shared" si="5"/>
        <v>0.96558891454965357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73">
        <v>5</v>
      </c>
      <c r="D52" s="74">
        <f t="shared" si="3"/>
        <v>37</v>
      </c>
      <c r="E52" s="74">
        <f t="shared" si="6"/>
        <v>9</v>
      </c>
      <c r="F52" s="60">
        <f t="shared" si="4"/>
        <v>2.62</v>
      </c>
      <c r="G52" s="61">
        <f>IF(D52=D51,"",_xlfn.IFNA(VLOOKUP(D52,'인원 입력 기능(사과탐)'!$A$64:$D$116,4,FALSE),0))</f>
        <v>213</v>
      </c>
      <c r="H52" s="62">
        <f t="shared" si="1"/>
        <v>1.6397228637413396E-2</v>
      </c>
      <c r="I52" s="72">
        <f>SUM($G$7:G52)</f>
        <v>12756</v>
      </c>
      <c r="J52" s="64">
        <f t="shared" si="5"/>
        <v>0.98198614318706701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58">
        <v>4</v>
      </c>
      <c r="D53" s="59">
        <f t="shared" si="3"/>
        <v>36</v>
      </c>
      <c r="E53" s="59">
        <f t="shared" si="6"/>
        <v>9</v>
      </c>
      <c r="F53" s="60">
        <f t="shared" si="4"/>
        <v>1.45</v>
      </c>
      <c r="G53" s="61">
        <f>IF(D53=D52,"",_xlfn.IFNA(VLOOKUP(D53,'인원 입력 기능(사과탐)'!$A$64:$D$116,4,FALSE),0))</f>
        <v>91</v>
      </c>
      <c r="H53" s="62">
        <f t="shared" si="1"/>
        <v>7.0053887605850658E-3</v>
      </c>
      <c r="I53" s="72">
        <f>SUM($G$7:G53)</f>
        <v>12847</v>
      </c>
      <c r="J53" s="64">
        <f t="shared" si="5"/>
        <v>0.98899153194765199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65">
        <v>3</v>
      </c>
      <c r="D54" s="59">
        <f t="shared" si="3"/>
        <v>35</v>
      </c>
      <c r="E54" s="59">
        <f t="shared" si="6"/>
        <v>9</v>
      </c>
      <c r="F54" s="60">
        <f t="shared" si="4"/>
        <v>0.85</v>
      </c>
      <c r="G54" s="61">
        <f>IF(D54=D53,"",_xlfn.IFNA(VLOOKUP(D54,'인원 입력 기능(사과탐)'!$A$64:$D$116,4,FALSE),0))</f>
        <v>65</v>
      </c>
      <c r="H54" s="62">
        <f t="shared" si="1"/>
        <v>5.0038491147036184E-3</v>
      </c>
      <c r="I54" s="72">
        <f>SUM($G$7:G54)</f>
        <v>12912</v>
      </c>
      <c r="J54" s="64">
        <f t="shared" si="5"/>
        <v>0.99399538106235563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58">
        <v>2</v>
      </c>
      <c r="D55" s="59">
        <f t="shared" si="3"/>
        <v>34</v>
      </c>
      <c r="E55" s="59">
        <f t="shared" si="6"/>
        <v>9</v>
      </c>
      <c r="F55" s="60">
        <f t="shared" si="4"/>
        <v>0.4</v>
      </c>
      <c r="G55" s="61">
        <f>IF(D55=D54,"",_xlfn.IFNA(VLOOKUP(D55,'인원 입력 기능(사과탐)'!$A$64:$D$116,4,FALSE),0))</f>
        <v>51</v>
      </c>
      <c r="H55" s="62">
        <f t="shared" si="1"/>
        <v>3.9260969976905313E-3</v>
      </c>
      <c r="I55" s="72">
        <f>SUM($G$7:G55)</f>
        <v>12963</v>
      </c>
      <c r="J55" s="64">
        <f t="shared" si="5"/>
        <v>0.99792147806004616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5">
        <v>1</v>
      </c>
      <c r="D56" s="66" t="s">
        <v>56</v>
      </c>
      <c r="E56" s="66"/>
      <c r="F56" s="67"/>
      <c r="G56" s="110"/>
      <c r="H56" s="108"/>
      <c r="I56" s="76"/>
      <c r="J56" s="71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11">
        <v>0</v>
      </c>
      <c r="D57" s="78">
        <f>ROUND(10*(C57-$H$3)/$H$4+50,0)</f>
        <v>32</v>
      </c>
      <c r="E57" s="112">
        <f t="shared" si="6"/>
        <v>9</v>
      </c>
      <c r="F57" s="79">
        <f>IF(I55=0,ROUND(100*(1-(I54+I57)/2/$J$3),2),ROUND(100*(1-(I55+I57)/2/$J$3),2))</f>
        <v>0.1</v>
      </c>
      <c r="G57" s="113">
        <f>_xlfn.IFNA(VLOOKUP(D57,'인원 입력 기능(사과탐)'!$A$64:$D$116,4,FALSE),0)</f>
        <v>27</v>
      </c>
      <c r="H57" s="81">
        <f>G57/$J$3</f>
        <v>2.0785219399538108E-3</v>
      </c>
      <c r="I57" s="82">
        <f>SUM($G$7:G57)</f>
        <v>12990</v>
      </c>
      <c r="J57" s="114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31">
    <mergeCell ref="I49:I50"/>
    <mergeCell ref="J49:J50"/>
    <mergeCell ref="D49:D50"/>
    <mergeCell ref="E49:E50"/>
    <mergeCell ref="F49:F50"/>
    <mergeCell ref="G49:G50"/>
    <mergeCell ref="H49:H50"/>
    <mergeCell ref="I27:I28"/>
    <mergeCell ref="J27:J28"/>
    <mergeCell ref="D38:D39"/>
    <mergeCell ref="E38:E39"/>
    <mergeCell ref="F38:F39"/>
    <mergeCell ref="G38:G39"/>
    <mergeCell ref="H38:H39"/>
    <mergeCell ref="I38:I39"/>
    <mergeCell ref="J38:J39"/>
    <mergeCell ref="D27:D28"/>
    <mergeCell ref="E27:E28"/>
    <mergeCell ref="F27:F28"/>
    <mergeCell ref="G27:G28"/>
    <mergeCell ref="H27:H28"/>
    <mergeCell ref="D3:F3"/>
    <mergeCell ref="D4:F4"/>
    <mergeCell ref="I4:J5"/>
    <mergeCell ref="D17:D18"/>
    <mergeCell ref="E17:E18"/>
    <mergeCell ref="F17:F18"/>
    <mergeCell ref="G17:G18"/>
    <mergeCell ref="H17:H18"/>
    <mergeCell ref="I17:I18"/>
    <mergeCell ref="J17:J18"/>
  </mergeCells>
  <phoneticPr fontId="1" type="noConversion"/>
  <conditionalFormatting sqref="D7:G17 I7:J17 D19:G27 I19:J27 D29:G38 I29:J38 D40:G49 I40:J49 D51:G57 I51:J57">
    <cfRule type="expression" dxfId="35" priority="4">
      <formula>OR($D7=$Q$7:$Q$14)</formula>
    </cfRule>
  </conditionalFormatting>
  <conditionalFormatting sqref="C7:C57">
    <cfRule type="expression" dxfId="34" priority="3">
      <formula>OR(AND($D7=0,OR($D6=$Q$7:$Q$14)),AND($D8&gt;0,OR($D7=$Q$7:$Q$14)))</formula>
    </cfRule>
  </conditionalFormatting>
  <conditionalFormatting sqref="D7:D17 D19:D27 D29:D38 D40:D49 D51:D57">
    <cfRule type="expression" dxfId="33" priority="2">
      <formula>$D7=$D8</formula>
    </cfRule>
  </conditionalFormatting>
  <conditionalFormatting sqref="H7:H17 H19:H27 H29:H38 H40:H49 H51:H57">
    <cfRule type="expression" dxfId="32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EDF1D-98F8-4FEC-A704-989E46CB810A}">
  <sheetPr codeName="Sheet15"/>
  <dimension ref="A1:Q105"/>
  <sheetViews>
    <sheetView zoomScale="98" zoomScaleNormal="98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152" t="s">
        <v>133</v>
      </c>
      <c r="B1" s="157"/>
      <c r="C1" s="33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8"/>
      <c r="B2" s="152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155"/>
      <c r="C3" s="48" t="s">
        <v>68</v>
      </c>
      <c r="D3" s="163" t="s">
        <v>134</v>
      </c>
      <c r="E3" s="164"/>
      <c r="F3" s="165"/>
      <c r="G3" s="48" t="s">
        <v>69</v>
      </c>
      <c r="H3" s="49" t="str">
        <f>'통계 및 응시자 수 입력 기능'!D13</f>
        <v>20.68</v>
      </c>
      <c r="I3" s="21" t="s">
        <v>70</v>
      </c>
      <c r="J3" s="50">
        <f>'통계 및 응시자 수 입력 기능'!C13</f>
        <v>24244</v>
      </c>
      <c r="K3" s="36"/>
      <c r="L3" s="20"/>
    </row>
    <row r="4" spans="1:17" s="22" customFormat="1" ht="25" customHeight="1" thickBot="1" x14ac:dyDescent="0.5">
      <c r="A4" s="20"/>
      <c r="B4" s="35"/>
      <c r="C4" s="51" t="s">
        <v>71</v>
      </c>
      <c r="D4" s="166" t="s">
        <v>99</v>
      </c>
      <c r="E4" s="167"/>
      <c r="F4" s="168"/>
      <c r="G4" s="52" t="s">
        <v>73</v>
      </c>
      <c r="H4" s="53" t="str">
        <f>'통계 및 응시자 수 입력 기능'!E13</f>
        <v>11.30</v>
      </c>
      <c r="I4" s="169"/>
      <c r="J4" s="170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171"/>
      <c r="J5" s="171"/>
      <c r="K5" s="36"/>
      <c r="L5" s="20"/>
    </row>
    <row r="6" spans="1:17" s="22" customFormat="1" ht="25" customHeight="1" thickBot="1" x14ac:dyDescent="0.5">
      <c r="A6" s="20"/>
      <c r="B6" s="35"/>
      <c r="C6" s="54" t="s">
        <v>75</v>
      </c>
      <c r="D6" s="55" t="s">
        <v>76</v>
      </c>
      <c r="E6" s="55" t="s">
        <v>77</v>
      </c>
      <c r="F6" s="55" t="s">
        <v>78</v>
      </c>
      <c r="G6" s="55" t="s">
        <v>79</v>
      </c>
      <c r="H6" s="55" t="s">
        <v>80</v>
      </c>
      <c r="I6" s="56" t="s">
        <v>81</v>
      </c>
      <c r="J6" s="57" t="s">
        <v>82</v>
      </c>
      <c r="K6" s="36"/>
      <c r="L6" s="19" t="s">
        <v>64</v>
      </c>
      <c r="M6" s="19"/>
      <c r="N6" s="23"/>
    </row>
    <row r="7" spans="1:17" s="22" customFormat="1" ht="25" customHeight="1" x14ac:dyDescent="0.45">
      <c r="A7" s="20"/>
      <c r="B7" s="35"/>
      <c r="C7" s="160">
        <v>50</v>
      </c>
      <c r="D7" s="59">
        <f>ROUND(10*(C7-$H$3)/$H$4+50,0)</f>
        <v>76</v>
      </c>
      <c r="E7" s="59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60">
        <f>ROUND(100*(1-(0+I7)/2/$J$3),2)</f>
        <v>99.33</v>
      </c>
      <c r="G7" s="61">
        <f>_xlfn.IFNA(VLOOKUP(D7,'인원 입력 기능(사과탐)'!$F$64:$I$116,4,FALSE),0)</f>
        <v>324</v>
      </c>
      <c r="H7" s="62">
        <f>G7/$J$3</f>
        <v>1.3364131331463455E-2</v>
      </c>
      <c r="I7" s="63">
        <f>G7</f>
        <v>324</v>
      </c>
      <c r="J7" s="64">
        <f>I7/$J$3</f>
        <v>1.3364131331463455E-2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기능'!C85</f>
        <v>72</v>
      </c>
    </row>
    <row r="8" spans="1:17" s="22" customFormat="1" ht="25" customHeight="1" x14ac:dyDescent="0.45">
      <c r="A8" s="20"/>
      <c r="B8" s="35"/>
      <c r="C8" s="58">
        <v>49</v>
      </c>
      <c r="D8" s="66" t="s">
        <v>56</v>
      </c>
      <c r="E8" s="66"/>
      <c r="F8" s="67"/>
      <c r="G8" s="68"/>
      <c r="H8" s="108"/>
      <c r="I8" s="70"/>
      <c r="J8" s="71"/>
      <c r="K8" s="36"/>
      <c r="L8" s="20"/>
      <c r="N8" s="24"/>
      <c r="P8" s="24">
        <v>2</v>
      </c>
      <c r="Q8" s="24">
        <f>'표점등급&amp;절평인원 입력 기능'!C86</f>
        <v>64</v>
      </c>
    </row>
    <row r="9" spans="1:17" s="22" customFormat="1" ht="25" customHeight="1" x14ac:dyDescent="0.45">
      <c r="A9" s="20"/>
      <c r="B9" s="35"/>
      <c r="C9" s="58">
        <v>48</v>
      </c>
      <c r="D9" s="59">
        <f>ROUND(10*(C9-$H$3)/$H$4+50,0)</f>
        <v>74</v>
      </c>
      <c r="E9" s="59">
        <f t="shared" si="0"/>
        <v>1</v>
      </c>
      <c r="F9" s="60">
        <f>IF(I8=0,ROUND(100*(1-(I7+I9)/2/$J$3),2),ROUND(100*(1-(I8+I9)/2/$J$3),2))</f>
        <v>98.27</v>
      </c>
      <c r="G9" s="61">
        <f>_xlfn.IFNA(VLOOKUP(D9,'인원 입력 기능(사과탐)'!$F$64:$I$116,4,FALSE),0)</f>
        <v>191</v>
      </c>
      <c r="H9" s="62">
        <f t="shared" ref="H9:H55" si="1">G9/$J$3</f>
        <v>7.8782379145355547E-3</v>
      </c>
      <c r="I9" s="72">
        <f>SUM($G$7:G9)</f>
        <v>515</v>
      </c>
      <c r="J9" s="64">
        <f>I9/$J$3</f>
        <v>2.124236924599901E-2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기능'!C87</f>
        <v>57</v>
      </c>
    </row>
    <row r="10" spans="1:17" s="22" customFormat="1" ht="25" customHeight="1" x14ac:dyDescent="0.45">
      <c r="A10" s="20"/>
      <c r="B10" s="35"/>
      <c r="C10" s="65">
        <v>47</v>
      </c>
      <c r="D10" s="59">
        <f t="shared" ref="D10:D55" si="3">ROUND(10*(C10-$H$3)/$H$4+50,0)</f>
        <v>73</v>
      </c>
      <c r="E10" s="59">
        <f t="shared" si="0"/>
        <v>1</v>
      </c>
      <c r="F10" s="60">
        <f t="shared" ref="F10:F55" si="4">IF(I9=0,ROUND(100*(1-(I8+I10)/2/$J$3),2),ROUND(100*(1-(I9+I10)/2/$J$3),2))</f>
        <v>97.36</v>
      </c>
      <c r="G10" s="61">
        <f>IF(D10=D9,"",_xlfn.IFNA(VLOOKUP(D10,'인원 입력 기능(사과탐)'!$F$64:$I$116,4,FALSE),0))</f>
        <v>250</v>
      </c>
      <c r="H10" s="62">
        <f t="shared" si="1"/>
        <v>1.0311829731067481E-2</v>
      </c>
      <c r="I10" s="72">
        <f>SUM($G$7:G10)</f>
        <v>765</v>
      </c>
      <c r="J10" s="64">
        <f t="shared" ref="J10:J55" si="5">I10/$J$3</f>
        <v>3.1554198977066489E-2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기능'!C88</f>
        <v>50</v>
      </c>
    </row>
    <row r="11" spans="1:17" s="22" customFormat="1" ht="25" customHeight="1" x14ac:dyDescent="0.45">
      <c r="A11" s="20"/>
      <c r="B11" s="35"/>
      <c r="C11" s="58">
        <v>46</v>
      </c>
      <c r="D11" s="237">
        <f t="shared" si="3"/>
        <v>72</v>
      </c>
      <c r="E11" s="237">
        <f t="shared" si="0"/>
        <v>1</v>
      </c>
      <c r="F11" s="247">
        <f t="shared" si="4"/>
        <v>96.09</v>
      </c>
      <c r="G11" s="249">
        <f>IF(D11=D10,"",_xlfn.IFNA(VLOOKUP(D11,'인원 입력 기능(사과탐)'!$F$64:$I$116,4,FALSE),0))</f>
        <v>364</v>
      </c>
      <c r="H11" s="250">
        <f t="shared" si="1"/>
        <v>1.5014024088434252E-2</v>
      </c>
      <c r="I11" s="252">
        <f>SUM($G$7:G11)</f>
        <v>1129</v>
      </c>
      <c r="J11" s="254">
        <f t="shared" si="5"/>
        <v>4.6568223065500743E-2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기능'!C89</f>
        <v>45</v>
      </c>
    </row>
    <row r="12" spans="1:17" s="22" customFormat="1" ht="25" customHeight="1" x14ac:dyDescent="0.45">
      <c r="A12" s="20"/>
      <c r="B12" s="35"/>
      <c r="C12" s="65">
        <v>45</v>
      </c>
      <c r="D12" s="238"/>
      <c r="E12" s="238"/>
      <c r="F12" s="246"/>
      <c r="G12" s="248"/>
      <c r="H12" s="251"/>
      <c r="I12" s="253"/>
      <c r="J12" s="255"/>
      <c r="K12" s="36"/>
      <c r="L12" s="20" t="str">
        <f t="shared" si="2"/>
        <v>경고</v>
      </c>
      <c r="N12" s="24"/>
      <c r="P12" s="24">
        <v>6</v>
      </c>
      <c r="Q12" s="24">
        <f>'표점등급&amp;절평인원 입력 기능'!C90</f>
        <v>42</v>
      </c>
    </row>
    <row r="13" spans="1:17" s="22" customFormat="1" ht="25" customHeight="1" x14ac:dyDescent="0.45">
      <c r="A13" s="20"/>
      <c r="B13" s="35"/>
      <c r="C13" s="58">
        <v>44</v>
      </c>
      <c r="D13" s="59">
        <f t="shared" si="3"/>
        <v>71</v>
      </c>
      <c r="E13" s="59">
        <f t="shared" si="0"/>
        <v>2</v>
      </c>
      <c r="F13" s="60">
        <f t="shared" si="4"/>
        <v>95.03</v>
      </c>
      <c r="G13" s="61">
        <f>IF(D13=D12,"",_xlfn.IFNA(VLOOKUP(D13,'인원 입력 기능(사과탐)'!$F$64:$I$116,4,FALSE),0))</f>
        <v>150</v>
      </c>
      <c r="H13" s="62">
        <f t="shared" si="1"/>
        <v>6.1870978386404886E-3</v>
      </c>
      <c r="I13" s="72">
        <f>SUM($G$7:G13)</f>
        <v>1279</v>
      </c>
      <c r="J13" s="64">
        <f t="shared" si="5"/>
        <v>5.2755320904141229E-2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기능'!C91</f>
        <v>39</v>
      </c>
    </row>
    <row r="14" spans="1:17" s="22" customFormat="1" ht="25" customHeight="1" x14ac:dyDescent="0.45">
      <c r="A14" s="20"/>
      <c r="B14" s="35"/>
      <c r="C14" s="65">
        <v>43</v>
      </c>
      <c r="D14" s="59">
        <f t="shared" si="3"/>
        <v>70</v>
      </c>
      <c r="E14" s="59">
        <f t="shared" si="0"/>
        <v>2</v>
      </c>
      <c r="F14" s="60">
        <f t="shared" si="4"/>
        <v>94.26</v>
      </c>
      <c r="G14" s="61">
        <f>IF(D14=D13,"",_xlfn.IFNA(VLOOKUP(D14,'인원 입력 기능(사과탐)'!$F$64:$I$116,4,FALSE),0))</f>
        <v>226</v>
      </c>
      <c r="H14" s="62">
        <f t="shared" si="1"/>
        <v>9.3218940768850025E-3</v>
      </c>
      <c r="I14" s="72">
        <f>SUM($G$7:G14)</f>
        <v>1505</v>
      </c>
      <c r="J14" s="64">
        <f t="shared" si="5"/>
        <v>6.2077214981026231E-2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기능'!C92</f>
        <v>37</v>
      </c>
    </row>
    <row r="15" spans="1:17" s="22" customFormat="1" ht="25" customHeight="1" x14ac:dyDescent="0.45">
      <c r="A15" s="20"/>
      <c r="B15" s="35"/>
      <c r="C15" s="58">
        <v>42</v>
      </c>
      <c r="D15" s="59">
        <f t="shared" si="3"/>
        <v>69</v>
      </c>
      <c r="E15" s="59">
        <f t="shared" si="0"/>
        <v>2</v>
      </c>
      <c r="F15" s="60">
        <f t="shared" si="4"/>
        <v>93.31</v>
      </c>
      <c r="G15" s="61">
        <f>IF(D15=D14,"",_xlfn.IFNA(VLOOKUP(D15,'인원 입력 기능(사과탐)'!$F$64:$I$116,4,FALSE),0))</f>
        <v>233</v>
      </c>
      <c r="H15" s="62">
        <f t="shared" si="1"/>
        <v>9.6106253093548918E-3</v>
      </c>
      <c r="I15" s="72">
        <f>SUM($G$7:G15)</f>
        <v>1738</v>
      </c>
      <c r="J15" s="64">
        <f t="shared" si="5"/>
        <v>7.1687840290381125E-2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5">
        <v>41</v>
      </c>
      <c r="D16" s="59">
        <f t="shared" si="3"/>
        <v>68</v>
      </c>
      <c r="E16" s="59">
        <f t="shared" si="0"/>
        <v>2</v>
      </c>
      <c r="F16" s="60">
        <f t="shared" si="4"/>
        <v>92.49</v>
      </c>
      <c r="G16" s="61">
        <f>IF(D16=D15,"",_xlfn.IFNA(VLOOKUP(D16,'인원 입력 기능(사과탐)'!$F$64:$I$116,4,FALSE),0))</f>
        <v>164</v>
      </c>
      <c r="H16" s="62">
        <f t="shared" si="1"/>
        <v>6.764560303580267E-3</v>
      </c>
      <c r="I16" s="72">
        <f>SUM($G$7:G16)</f>
        <v>1902</v>
      </c>
      <c r="J16" s="64">
        <f t="shared" si="5"/>
        <v>7.8452400593961399E-2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58">
        <v>40</v>
      </c>
      <c r="D17" s="59">
        <f t="shared" si="3"/>
        <v>67</v>
      </c>
      <c r="E17" s="59">
        <f t="shared" si="0"/>
        <v>2</v>
      </c>
      <c r="F17" s="60">
        <f t="shared" si="4"/>
        <v>91.58</v>
      </c>
      <c r="G17" s="61">
        <f>IF(D17=D16,"",_xlfn.IFNA(VLOOKUP(D17,'인원 입력 기능(사과탐)'!$F$64:$I$116,4,FALSE),0))</f>
        <v>279</v>
      </c>
      <c r="H17" s="62">
        <f t="shared" si="1"/>
        <v>1.1508001979871308E-2</v>
      </c>
      <c r="I17" s="72">
        <f>SUM($G$7:G17)</f>
        <v>2181</v>
      </c>
      <c r="J17" s="64">
        <f t="shared" si="5"/>
        <v>8.9960402573832698E-2</v>
      </c>
      <c r="K17" s="36"/>
      <c r="L17" s="20" t="str">
        <f t="shared" si="2"/>
        <v/>
      </c>
      <c r="N17" s="24"/>
      <c r="Q17" s="24">
        <f>Q7*H3*H4*J3*IFERROR(IF(J57=1, 1, 0), 0)</f>
        <v>407911312.51200008</v>
      </c>
    </row>
    <row r="18" spans="1:17" s="22" customFormat="1" ht="25" customHeight="1" x14ac:dyDescent="0.45">
      <c r="A18" s="20"/>
      <c r="B18" s="35"/>
      <c r="C18" s="65">
        <v>39</v>
      </c>
      <c r="D18" s="59">
        <f t="shared" si="3"/>
        <v>66</v>
      </c>
      <c r="E18" s="59">
        <f t="shared" si="0"/>
        <v>2</v>
      </c>
      <c r="F18" s="60">
        <f t="shared" si="4"/>
        <v>90.59</v>
      </c>
      <c r="G18" s="61">
        <f>IF(D18=D17,"",_xlfn.IFNA(VLOOKUP(D18,'인원 입력 기능(사과탐)'!$F$64:$I$116,4,FALSE),0))</f>
        <v>200</v>
      </c>
      <c r="H18" s="62">
        <f t="shared" si="1"/>
        <v>8.2494637848539842E-3</v>
      </c>
      <c r="I18" s="72">
        <f>SUM($G$7:G18)</f>
        <v>2381</v>
      </c>
      <c r="J18" s="64">
        <f t="shared" si="5"/>
        <v>9.8209866358686684E-2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58">
        <v>38</v>
      </c>
      <c r="D19" s="59">
        <f t="shared" si="3"/>
        <v>65</v>
      </c>
      <c r="E19" s="59">
        <f t="shared" si="0"/>
        <v>2</v>
      </c>
      <c r="F19" s="60">
        <f t="shared" si="4"/>
        <v>89.65</v>
      </c>
      <c r="G19" s="61">
        <f>IF(D19=D18,"",_xlfn.IFNA(VLOOKUP(D19,'인원 입력 기능(사과탐)'!$F$64:$I$116,4,FALSE),0))</f>
        <v>256</v>
      </c>
      <c r="H19" s="62">
        <f t="shared" si="1"/>
        <v>1.05593136446131E-2</v>
      </c>
      <c r="I19" s="72">
        <f>SUM($G$7:G19)</f>
        <v>2637</v>
      </c>
      <c r="J19" s="64">
        <f t="shared" si="5"/>
        <v>0.10876918000329978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65">
        <v>37</v>
      </c>
      <c r="D20" s="237">
        <f t="shared" si="3"/>
        <v>64</v>
      </c>
      <c r="E20" s="237">
        <f t="shared" si="0"/>
        <v>2</v>
      </c>
      <c r="F20" s="247">
        <f t="shared" si="4"/>
        <v>87.96</v>
      </c>
      <c r="G20" s="249">
        <f>IF(D20=D19,"",_xlfn.IFNA(VLOOKUP(D20,'인원 입력 기능(사과탐)'!$F$64:$I$116,4,FALSE),0))</f>
        <v>563</v>
      </c>
      <c r="H20" s="250">
        <f t="shared" si="1"/>
        <v>2.3222240554363966E-2</v>
      </c>
      <c r="I20" s="252">
        <f>SUM($G$7:G20)</f>
        <v>3200</v>
      </c>
      <c r="J20" s="254">
        <f t="shared" si="5"/>
        <v>0.13199142055766375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09">
        <v>36</v>
      </c>
      <c r="D21" s="238"/>
      <c r="E21" s="238"/>
      <c r="F21" s="246"/>
      <c r="G21" s="248"/>
      <c r="H21" s="251"/>
      <c r="I21" s="253"/>
      <c r="J21" s="255"/>
      <c r="K21" s="36"/>
      <c r="L21" s="20" t="str">
        <f t="shared" si="2"/>
        <v>경고</v>
      </c>
      <c r="N21" s="24"/>
    </row>
    <row r="22" spans="1:17" s="22" customFormat="1" ht="25" customHeight="1" x14ac:dyDescent="0.45">
      <c r="A22" s="20"/>
      <c r="B22" s="35"/>
      <c r="C22" s="73">
        <v>35</v>
      </c>
      <c r="D22" s="74">
        <f t="shared" si="3"/>
        <v>63</v>
      </c>
      <c r="E22" s="74">
        <f t="shared" si="0"/>
        <v>3</v>
      </c>
      <c r="F22" s="60">
        <f t="shared" si="4"/>
        <v>86.17</v>
      </c>
      <c r="G22" s="61">
        <f>IF(D22=D21,"",_xlfn.IFNA(VLOOKUP(D22,'인원 입력 기능(사과탐)'!$F$64:$I$116,4,FALSE),0))</f>
        <v>304</v>
      </c>
      <c r="H22" s="62">
        <f t="shared" si="1"/>
        <v>1.2539184952978056E-2</v>
      </c>
      <c r="I22" s="72">
        <f>SUM($G$7:G22)</f>
        <v>3504</v>
      </c>
      <c r="J22" s="64">
        <f t="shared" si="5"/>
        <v>0.14453060551064181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09">
        <v>34</v>
      </c>
      <c r="D23" s="74">
        <f t="shared" si="3"/>
        <v>62</v>
      </c>
      <c r="E23" s="74">
        <f t="shared" si="0"/>
        <v>3</v>
      </c>
      <c r="F23" s="60">
        <f t="shared" si="4"/>
        <v>84.99</v>
      </c>
      <c r="G23" s="61">
        <f>IF(D23=D22,"",_xlfn.IFNA(VLOOKUP(D23,'인원 입력 기능(사과탐)'!$F$64:$I$116,4,FALSE),0))</f>
        <v>270</v>
      </c>
      <c r="H23" s="62">
        <f t="shared" si="1"/>
        <v>1.113677610955288E-2</v>
      </c>
      <c r="I23" s="72">
        <f>SUM($G$7:G23)</f>
        <v>3774</v>
      </c>
      <c r="J23" s="64">
        <f t="shared" si="5"/>
        <v>0.15566738162019469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73">
        <v>33</v>
      </c>
      <c r="D24" s="74">
        <f t="shared" si="3"/>
        <v>61</v>
      </c>
      <c r="E24" s="74">
        <f t="shared" si="0"/>
        <v>3</v>
      </c>
      <c r="F24" s="60">
        <f t="shared" si="4"/>
        <v>83.8</v>
      </c>
      <c r="G24" s="61">
        <f>IF(D24=D23,"",_xlfn.IFNA(VLOOKUP(D24,'인원 입력 기능(사과탐)'!$F$64:$I$116,4,FALSE),0))</f>
        <v>308</v>
      </c>
      <c r="H24" s="62">
        <f t="shared" si="1"/>
        <v>1.2704174228675136E-2</v>
      </c>
      <c r="I24" s="72">
        <f>SUM($G$7:G24)</f>
        <v>4082</v>
      </c>
      <c r="J24" s="64">
        <f t="shared" si="5"/>
        <v>0.16837155584886981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09">
        <v>32</v>
      </c>
      <c r="D25" s="74">
        <f t="shared" si="3"/>
        <v>60</v>
      </c>
      <c r="E25" s="74">
        <f t="shared" si="0"/>
        <v>3</v>
      </c>
      <c r="F25" s="60">
        <f t="shared" si="4"/>
        <v>82.39</v>
      </c>
      <c r="G25" s="61">
        <f>IF(D25=D24,"",_xlfn.IFNA(VLOOKUP(D25,'인원 입력 기능(사과탐)'!$F$64:$I$116,4,FALSE),0))</f>
        <v>376</v>
      </c>
      <c r="H25" s="62">
        <f t="shared" si="1"/>
        <v>1.550899191552549E-2</v>
      </c>
      <c r="I25" s="72">
        <f>SUM($G$7:G25)</f>
        <v>4458</v>
      </c>
      <c r="J25" s="64">
        <f t="shared" si="5"/>
        <v>0.1838805477643953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73">
        <v>31</v>
      </c>
      <c r="D26" s="74">
        <f t="shared" si="3"/>
        <v>59</v>
      </c>
      <c r="E26" s="74">
        <f t="shared" si="0"/>
        <v>3</v>
      </c>
      <c r="F26" s="60">
        <f t="shared" si="4"/>
        <v>80.959999999999994</v>
      </c>
      <c r="G26" s="61">
        <f>IF(D26=D25,"",_xlfn.IFNA(VLOOKUP(D26,'인원 입력 기능(사과탐)'!$F$64:$I$116,4,FALSE),0))</f>
        <v>316</v>
      </c>
      <c r="H26" s="62">
        <f t="shared" si="1"/>
        <v>1.3034152780069296E-2</v>
      </c>
      <c r="I26" s="72">
        <f>SUM($G$7:G26)</f>
        <v>4774</v>
      </c>
      <c r="J26" s="64">
        <f t="shared" si="5"/>
        <v>0.19691470054446461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09">
        <v>30</v>
      </c>
      <c r="D27" s="74">
        <f t="shared" si="3"/>
        <v>58</v>
      </c>
      <c r="E27" s="74">
        <f t="shared" si="0"/>
        <v>3</v>
      </c>
      <c r="F27" s="60">
        <f t="shared" si="4"/>
        <v>79.42</v>
      </c>
      <c r="G27" s="61">
        <f>IF(D27=D26,"",_xlfn.IFNA(VLOOKUP(D27,'인원 입력 기능(사과탐)'!$F$64:$I$116,4,FALSE),0))</f>
        <v>433</v>
      </c>
      <c r="H27" s="62">
        <f t="shared" si="1"/>
        <v>1.7860089094208876E-2</v>
      </c>
      <c r="I27" s="72">
        <f>SUM($G$7:G27)</f>
        <v>5207</v>
      </c>
      <c r="J27" s="64">
        <f t="shared" si="5"/>
        <v>0.2147747896386735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73">
        <v>29</v>
      </c>
      <c r="D28" s="74">
        <f t="shared" si="3"/>
        <v>57</v>
      </c>
      <c r="E28" s="74">
        <f t="shared" si="0"/>
        <v>3</v>
      </c>
      <c r="F28" s="60">
        <f t="shared" si="4"/>
        <v>77.69</v>
      </c>
      <c r="G28" s="61">
        <f>IF(D28=D27,"",_xlfn.IFNA(VLOOKUP(D28,'인원 입력 기능(사과탐)'!$F$64:$I$116,4,FALSE),0))</f>
        <v>402</v>
      </c>
      <c r="H28" s="62">
        <f t="shared" si="1"/>
        <v>1.6581422207556509E-2</v>
      </c>
      <c r="I28" s="72">
        <f>SUM($G$7:G28)</f>
        <v>5609</v>
      </c>
      <c r="J28" s="64">
        <f t="shared" si="5"/>
        <v>0.23135621184623001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09">
        <v>28</v>
      </c>
      <c r="D29" s="257">
        <f t="shared" si="3"/>
        <v>56</v>
      </c>
      <c r="E29" s="257">
        <f t="shared" si="0"/>
        <v>4</v>
      </c>
      <c r="F29" s="247">
        <f t="shared" si="4"/>
        <v>75.06</v>
      </c>
      <c r="G29" s="249">
        <f>IF(D29=D28,"",_xlfn.IFNA(VLOOKUP(D29,'인원 입력 기능(사과탐)'!$F$64:$I$116,4,FALSE),0))</f>
        <v>873</v>
      </c>
      <c r="H29" s="250">
        <f t="shared" si="1"/>
        <v>3.6008909420887643E-2</v>
      </c>
      <c r="I29" s="252">
        <f>SUM($G$7:G29)</f>
        <v>6482</v>
      </c>
      <c r="J29" s="254">
        <f t="shared" si="5"/>
        <v>0.26736512126711764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73">
        <v>27</v>
      </c>
      <c r="D30" s="256"/>
      <c r="E30" s="256"/>
      <c r="F30" s="246"/>
      <c r="G30" s="248"/>
      <c r="H30" s="251"/>
      <c r="I30" s="253"/>
      <c r="J30" s="255"/>
      <c r="K30" s="36"/>
      <c r="L30" s="20" t="str">
        <f t="shared" si="2"/>
        <v>경고</v>
      </c>
      <c r="N30" s="24"/>
    </row>
    <row r="31" spans="1:17" s="22" customFormat="1" ht="25" customHeight="1" x14ac:dyDescent="0.45">
      <c r="A31" s="20"/>
      <c r="B31" s="35"/>
      <c r="C31" s="109">
        <v>26</v>
      </c>
      <c r="D31" s="74">
        <f t="shared" si="3"/>
        <v>55</v>
      </c>
      <c r="E31" s="74">
        <f t="shared" si="0"/>
        <v>4</v>
      </c>
      <c r="F31" s="60">
        <f t="shared" si="4"/>
        <v>72.31</v>
      </c>
      <c r="G31" s="61">
        <f>IF(D31=D30,"",_xlfn.IFNA(VLOOKUP(D31,'인원 입력 기능(사과탐)'!$F$64:$I$116,4,FALSE),0))</f>
        <v>462</v>
      </c>
      <c r="H31" s="62">
        <f t="shared" si="1"/>
        <v>1.9056261343012703E-2</v>
      </c>
      <c r="I31" s="72">
        <f>SUM($G$7:G31)</f>
        <v>6944</v>
      </c>
      <c r="J31" s="64">
        <f t="shared" si="5"/>
        <v>0.28642138261013034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73">
        <v>25</v>
      </c>
      <c r="D32" s="74">
        <f t="shared" si="3"/>
        <v>54</v>
      </c>
      <c r="E32" s="74">
        <f t="shared" si="0"/>
        <v>4</v>
      </c>
      <c r="F32" s="60">
        <f t="shared" si="4"/>
        <v>70.239999999999995</v>
      </c>
      <c r="G32" s="61">
        <f>IF(D32=D31,"",_xlfn.IFNA(VLOOKUP(D32,'인원 입력 기능(사과탐)'!$F$64:$I$116,4,FALSE),0))</f>
        <v>544</v>
      </c>
      <c r="H32" s="62">
        <f t="shared" si="1"/>
        <v>2.2438541494802837E-2</v>
      </c>
      <c r="I32" s="72">
        <f>SUM($G$7:G32)</f>
        <v>7488</v>
      </c>
      <c r="J32" s="64">
        <f t="shared" si="5"/>
        <v>0.30885992410493318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09">
        <v>24</v>
      </c>
      <c r="D33" s="74">
        <f t="shared" si="3"/>
        <v>53</v>
      </c>
      <c r="E33" s="74">
        <f t="shared" si="0"/>
        <v>4</v>
      </c>
      <c r="F33" s="60">
        <f t="shared" si="4"/>
        <v>67.87</v>
      </c>
      <c r="G33" s="61">
        <f>IF(D33=D32,"",_xlfn.IFNA(VLOOKUP(D33,'인원 입력 기능(사과탐)'!$F$64:$I$116,4,FALSE),0))</f>
        <v>601</v>
      </c>
      <c r="H33" s="62">
        <f t="shared" si="1"/>
        <v>2.4789638673486224E-2</v>
      </c>
      <c r="I33" s="72">
        <f>SUM($G$7:G33)</f>
        <v>8089</v>
      </c>
      <c r="J33" s="64">
        <f t="shared" si="5"/>
        <v>0.3336495627784194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73">
        <v>23</v>
      </c>
      <c r="D34" s="74">
        <f t="shared" si="3"/>
        <v>52</v>
      </c>
      <c r="E34" s="74">
        <f t="shared" si="0"/>
        <v>4</v>
      </c>
      <c r="F34" s="60">
        <f t="shared" si="4"/>
        <v>65.53</v>
      </c>
      <c r="G34" s="61">
        <f>IF(D34=D33,"",_xlfn.IFNA(VLOOKUP(D34,'인원 입력 기능(사과탐)'!$F$64:$I$116,4,FALSE),0))</f>
        <v>537</v>
      </c>
      <c r="H34" s="62">
        <f t="shared" si="1"/>
        <v>2.2149810262332949E-2</v>
      </c>
      <c r="I34" s="72">
        <f>SUM($G$7:G34)</f>
        <v>8626</v>
      </c>
      <c r="J34" s="64">
        <f t="shared" si="5"/>
        <v>0.35579937304075238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09">
        <v>22</v>
      </c>
      <c r="D35" s="74">
        <f t="shared" si="3"/>
        <v>51</v>
      </c>
      <c r="E35" s="74">
        <f t="shared" si="0"/>
        <v>4</v>
      </c>
      <c r="F35" s="60">
        <f t="shared" si="4"/>
        <v>63.01</v>
      </c>
      <c r="G35" s="61">
        <f>IF(D35=D34,"",_xlfn.IFNA(VLOOKUP(D35,'인원 입력 기능(사과탐)'!$F$64:$I$116,4,FALSE),0))</f>
        <v>685</v>
      </c>
      <c r="H35" s="62">
        <f t="shared" si="1"/>
        <v>2.8254413463124899E-2</v>
      </c>
      <c r="I35" s="72">
        <f>SUM($G$7:G35)</f>
        <v>9311</v>
      </c>
      <c r="J35" s="64">
        <f t="shared" si="5"/>
        <v>0.38405378650387723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73">
        <v>21</v>
      </c>
      <c r="D36" s="74">
        <f t="shared" si="3"/>
        <v>50</v>
      </c>
      <c r="E36" s="74">
        <f t="shared" si="0"/>
        <v>4</v>
      </c>
      <c r="F36" s="60">
        <f t="shared" si="4"/>
        <v>60.15</v>
      </c>
      <c r="G36" s="61">
        <f>IF(D36=D35,"",_xlfn.IFNA(VLOOKUP(D36,'인원 입력 기능(사과탐)'!$F$64:$I$116,4,FALSE),0))</f>
        <v>700</v>
      </c>
      <c r="H36" s="62">
        <f t="shared" si="1"/>
        <v>2.8873123246988947E-2</v>
      </c>
      <c r="I36" s="72">
        <f>SUM($G$7:G36)</f>
        <v>10011</v>
      </c>
      <c r="J36" s="64">
        <f t="shared" si="5"/>
        <v>0.41292690975086621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09">
        <v>20</v>
      </c>
      <c r="D37" s="257">
        <f t="shared" si="3"/>
        <v>49</v>
      </c>
      <c r="E37" s="257">
        <f t="shared" si="0"/>
        <v>5</v>
      </c>
      <c r="F37" s="247">
        <f t="shared" si="4"/>
        <v>55.28</v>
      </c>
      <c r="G37" s="249">
        <f>IF(D37=D36,"",_xlfn.IFNA(VLOOKUP(D37,'인원 입력 기능(사과탐)'!$F$64:$I$116,4,FALSE),0))</f>
        <v>1661</v>
      </c>
      <c r="H37" s="250">
        <f t="shared" si="1"/>
        <v>6.8511796733212338E-2</v>
      </c>
      <c r="I37" s="252">
        <f>SUM($G$7:G37)</f>
        <v>11672</v>
      </c>
      <c r="J37" s="254">
        <f t="shared" si="5"/>
        <v>0.48143870648407855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73">
        <v>19</v>
      </c>
      <c r="D38" s="256"/>
      <c r="E38" s="256"/>
      <c r="F38" s="246"/>
      <c r="G38" s="248"/>
      <c r="H38" s="251"/>
      <c r="I38" s="253"/>
      <c r="J38" s="255"/>
      <c r="K38" s="36"/>
      <c r="L38" s="20" t="str">
        <f t="shared" si="2"/>
        <v>경고</v>
      </c>
      <c r="N38" s="24"/>
    </row>
    <row r="39" spans="1:14" s="22" customFormat="1" ht="25" customHeight="1" x14ac:dyDescent="0.45">
      <c r="A39" s="20"/>
      <c r="B39" s="35"/>
      <c r="C39" s="109">
        <v>18</v>
      </c>
      <c r="D39" s="74">
        <f t="shared" si="3"/>
        <v>48</v>
      </c>
      <c r="E39" s="74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5</v>
      </c>
      <c r="F39" s="60">
        <f t="shared" si="4"/>
        <v>50.18</v>
      </c>
      <c r="G39" s="61">
        <f>IF(D39=D38,"",_xlfn.IFNA(VLOOKUP(D39,'인원 입력 기능(사과탐)'!$F$64:$I$116,4,FALSE),0))</f>
        <v>811</v>
      </c>
      <c r="H39" s="62">
        <f t="shared" si="1"/>
        <v>3.3451575647582908E-2</v>
      </c>
      <c r="I39" s="72">
        <f>SUM($G$7:G39)</f>
        <v>12483</v>
      </c>
      <c r="J39" s="64">
        <f t="shared" si="5"/>
        <v>0.51489028213166144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73">
        <v>17</v>
      </c>
      <c r="D40" s="74">
        <f t="shared" si="3"/>
        <v>47</v>
      </c>
      <c r="E40" s="74">
        <f t="shared" si="6"/>
        <v>5</v>
      </c>
      <c r="F40" s="60">
        <f t="shared" si="4"/>
        <v>46.52</v>
      </c>
      <c r="G40" s="61">
        <f>IF(D40=D39,"",_xlfn.IFNA(VLOOKUP(D40,'인원 입력 기능(사과탐)'!$F$64:$I$116,4,FALSE),0))</f>
        <v>964</v>
      </c>
      <c r="H40" s="62">
        <f t="shared" si="1"/>
        <v>3.9762415442996205E-2</v>
      </c>
      <c r="I40" s="72">
        <f>SUM($G$7:G40)</f>
        <v>13447</v>
      </c>
      <c r="J40" s="64">
        <f t="shared" si="5"/>
        <v>0.55465269757465763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09">
        <v>16</v>
      </c>
      <c r="D41" s="74">
        <f t="shared" si="3"/>
        <v>46</v>
      </c>
      <c r="E41" s="74">
        <f t="shared" si="6"/>
        <v>5</v>
      </c>
      <c r="F41" s="60">
        <f t="shared" si="4"/>
        <v>42.62</v>
      </c>
      <c r="G41" s="61">
        <f>IF(D41=D40,"",_xlfn.IFNA(VLOOKUP(D41,'인원 입력 기능(사과탐)'!$F$64:$I$116,4,FALSE),0))</f>
        <v>930</v>
      </c>
      <c r="H41" s="62">
        <f t="shared" si="1"/>
        <v>3.8360006599571027E-2</v>
      </c>
      <c r="I41" s="72">
        <f>SUM($G$7:G41)</f>
        <v>14377</v>
      </c>
      <c r="J41" s="64">
        <f t="shared" si="5"/>
        <v>0.59301270417422869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73">
        <v>15</v>
      </c>
      <c r="D42" s="74">
        <f t="shared" si="3"/>
        <v>45</v>
      </c>
      <c r="E42" s="74">
        <f t="shared" si="6"/>
        <v>5</v>
      </c>
      <c r="F42" s="60">
        <f t="shared" si="4"/>
        <v>37.56</v>
      </c>
      <c r="G42" s="61">
        <f>IF(D42=D41,"",_xlfn.IFNA(VLOOKUP(D42,'인원 입력 기능(사과탐)'!$F$64:$I$116,4,FALSE),0))</f>
        <v>1521</v>
      </c>
      <c r="H42" s="62">
        <f t="shared" si="1"/>
        <v>6.2737172083814546E-2</v>
      </c>
      <c r="I42" s="72">
        <f>SUM($G$7:G42)</f>
        <v>15898</v>
      </c>
      <c r="J42" s="64">
        <f t="shared" si="5"/>
        <v>0.65574987625804326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09">
        <v>14</v>
      </c>
      <c r="D43" s="74">
        <f t="shared" si="3"/>
        <v>44</v>
      </c>
      <c r="E43" s="74">
        <f t="shared" si="6"/>
        <v>6</v>
      </c>
      <c r="F43" s="60">
        <f t="shared" si="4"/>
        <v>32.33</v>
      </c>
      <c r="G43" s="61">
        <f>IF(D43=D42,"",_xlfn.IFNA(VLOOKUP(D43,'인원 입력 기능(사과탐)'!$F$64:$I$116,4,FALSE),0))</f>
        <v>1018</v>
      </c>
      <c r="H43" s="62">
        <f t="shared" si="1"/>
        <v>4.1989770664906778E-2</v>
      </c>
      <c r="I43" s="72">
        <f>SUM($G$7:G43)</f>
        <v>16916</v>
      </c>
      <c r="J43" s="64">
        <f t="shared" si="5"/>
        <v>0.69773964692294999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73">
        <v>13</v>
      </c>
      <c r="D44" s="74">
        <f t="shared" si="3"/>
        <v>43</v>
      </c>
      <c r="E44" s="74">
        <f t="shared" si="6"/>
        <v>6</v>
      </c>
      <c r="F44" s="60">
        <f t="shared" si="4"/>
        <v>27.98</v>
      </c>
      <c r="G44" s="61">
        <f>IF(D44=D43,"",_xlfn.IFNA(VLOOKUP(D44,'인원 입력 기능(사과탐)'!$F$64:$I$116,4,FALSE),0))</f>
        <v>1088</v>
      </c>
      <c r="H44" s="62">
        <f t="shared" si="1"/>
        <v>4.4877082989605674E-2</v>
      </c>
      <c r="I44" s="72">
        <f>SUM($G$7:G44)</f>
        <v>18004</v>
      </c>
      <c r="J44" s="64">
        <f t="shared" si="5"/>
        <v>0.74261672991255567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09">
        <v>12</v>
      </c>
      <c r="D45" s="74">
        <f t="shared" si="3"/>
        <v>42</v>
      </c>
      <c r="E45" s="74">
        <f t="shared" si="6"/>
        <v>6</v>
      </c>
      <c r="F45" s="60">
        <f t="shared" si="4"/>
        <v>23.87</v>
      </c>
      <c r="G45" s="61">
        <f>IF(D45=D44,"",_xlfn.IFNA(VLOOKUP(D45,'인원 입력 기능(사과탐)'!$F$64:$I$116,4,FALSE),0))</f>
        <v>904</v>
      </c>
      <c r="H45" s="62">
        <f t="shared" si="1"/>
        <v>3.728757630754001E-2</v>
      </c>
      <c r="I45" s="72">
        <f>SUM($G$7:G45)</f>
        <v>18908</v>
      </c>
      <c r="J45" s="64">
        <f t="shared" si="5"/>
        <v>0.77990430622009566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73">
        <v>11</v>
      </c>
      <c r="D46" s="257">
        <f t="shared" si="3"/>
        <v>41</v>
      </c>
      <c r="E46" s="257">
        <f t="shared" si="6"/>
        <v>7</v>
      </c>
      <c r="F46" s="247">
        <f t="shared" si="4"/>
        <v>18.86</v>
      </c>
      <c r="G46" s="249">
        <f>IF(D46=D45,"",_xlfn.IFNA(VLOOKUP(D46,'인원 입력 기능(사과탐)'!$F$64:$I$116,4,FALSE),0))</f>
        <v>1528</v>
      </c>
      <c r="H46" s="250">
        <f t="shared" si="1"/>
        <v>6.3025903316284437E-2</v>
      </c>
      <c r="I46" s="252">
        <f>SUM($G$7:G46)</f>
        <v>20436</v>
      </c>
      <c r="J46" s="254">
        <f t="shared" si="5"/>
        <v>0.84293020953638009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09">
        <v>10</v>
      </c>
      <c r="D47" s="256"/>
      <c r="E47" s="256"/>
      <c r="F47" s="246"/>
      <c r="G47" s="248"/>
      <c r="H47" s="251"/>
      <c r="I47" s="253"/>
      <c r="J47" s="255"/>
      <c r="K47" s="36"/>
      <c r="L47" s="20" t="str">
        <f t="shared" si="2"/>
        <v>경고</v>
      </c>
      <c r="N47" s="24"/>
    </row>
    <row r="48" spans="1:14" s="22" customFormat="1" ht="25" customHeight="1" x14ac:dyDescent="0.45">
      <c r="A48" s="20"/>
      <c r="B48" s="35"/>
      <c r="C48" s="73">
        <v>9</v>
      </c>
      <c r="D48" s="74">
        <f t="shared" si="3"/>
        <v>40</v>
      </c>
      <c r="E48" s="74">
        <f t="shared" si="6"/>
        <v>7</v>
      </c>
      <c r="F48" s="60">
        <f t="shared" si="4"/>
        <v>13.82</v>
      </c>
      <c r="G48" s="61">
        <f>IF(D48=D47,"",_xlfn.IFNA(VLOOKUP(D48,'인원 입력 기능(사과탐)'!$F$64:$I$116,4,FALSE),0))</f>
        <v>914</v>
      </c>
      <c r="H48" s="62">
        <f t="shared" si="1"/>
        <v>3.7700049496782712E-2</v>
      </c>
      <c r="I48" s="72">
        <f>SUM($G$7:G48)</f>
        <v>21350</v>
      </c>
      <c r="J48" s="64">
        <f t="shared" si="5"/>
        <v>0.88063025903316283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09">
        <v>8</v>
      </c>
      <c r="D49" s="74">
        <f t="shared" si="3"/>
        <v>39</v>
      </c>
      <c r="E49" s="74">
        <f t="shared" si="6"/>
        <v>7</v>
      </c>
      <c r="F49" s="60">
        <f t="shared" si="4"/>
        <v>11.05</v>
      </c>
      <c r="G49" s="61">
        <f>IF(D49=D48,"",_xlfn.IFNA(VLOOKUP(D49,'인원 입력 기능(사과탐)'!$F$64:$I$116,4,FALSE),0))</f>
        <v>432</v>
      </c>
      <c r="H49" s="62">
        <f t="shared" si="1"/>
        <v>1.7818841775284606E-2</v>
      </c>
      <c r="I49" s="72">
        <f>SUM($G$7:G49)</f>
        <v>21782</v>
      </c>
      <c r="J49" s="64">
        <f t="shared" si="5"/>
        <v>0.89844910080844742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73">
        <v>7</v>
      </c>
      <c r="D50" s="74">
        <f t="shared" si="3"/>
        <v>38</v>
      </c>
      <c r="E50" s="74">
        <f t="shared" si="6"/>
        <v>8</v>
      </c>
      <c r="F50" s="60">
        <f t="shared" si="4"/>
        <v>7.12</v>
      </c>
      <c r="G50" s="61">
        <f>IF(D50=D49,"",_xlfn.IFNA(VLOOKUP(D50,'인원 입력 기능(사과탐)'!$F$64:$I$116,4,FALSE),0))</f>
        <v>1473</v>
      </c>
      <c r="H50" s="62">
        <f t="shared" si="1"/>
        <v>6.0757300775449594E-2</v>
      </c>
      <c r="I50" s="72">
        <f>SUM($G$7:G50)</f>
        <v>23255</v>
      </c>
      <c r="J50" s="64">
        <f t="shared" si="5"/>
        <v>0.95920640158389703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09">
        <v>6</v>
      </c>
      <c r="D51" s="74">
        <f t="shared" si="3"/>
        <v>37</v>
      </c>
      <c r="E51" s="74">
        <f t="shared" si="6"/>
        <v>8</v>
      </c>
      <c r="F51" s="60">
        <f t="shared" si="4"/>
        <v>3.2</v>
      </c>
      <c r="G51" s="61">
        <f>IF(D51=D50,"",_xlfn.IFNA(VLOOKUP(D51,'인원 입력 기능(사과탐)'!$F$64:$I$116,4,FALSE),0))</f>
        <v>427</v>
      </c>
      <c r="H51" s="62">
        <f t="shared" si="1"/>
        <v>1.7612605180663259E-2</v>
      </c>
      <c r="I51" s="72">
        <f>SUM($G$7:G51)</f>
        <v>23682</v>
      </c>
      <c r="J51" s="64">
        <f t="shared" si="5"/>
        <v>0.97681900676456035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73">
        <v>5</v>
      </c>
      <c r="D52" s="74">
        <f t="shared" si="3"/>
        <v>36</v>
      </c>
      <c r="E52" s="74">
        <f t="shared" si="6"/>
        <v>9</v>
      </c>
      <c r="F52" s="60">
        <f t="shared" si="4"/>
        <v>1.82</v>
      </c>
      <c r="G52" s="61">
        <f>IF(D52=D51,"",_xlfn.IFNA(VLOOKUP(D52,'인원 입력 기능(사과탐)'!$F$64:$I$116,4,FALSE),0))</f>
        <v>242</v>
      </c>
      <c r="H52" s="62">
        <f t="shared" si="1"/>
        <v>9.9818511796733213E-3</v>
      </c>
      <c r="I52" s="72">
        <f>SUM($G$7:G52)</f>
        <v>23924</v>
      </c>
      <c r="J52" s="64">
        <f t="shared" si="5"/>
        <v>0.98680085794423367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58">
        <v>4</v>
      </c>
      <c r="D53" s="59">
        <f t="shared" si="3"/>
        <v>35</v>
      </c>
      <c r="E53" s="59">
        <f t="shared" si="6"/>
        <v>9</v>
      </c>
      <c r="F53" s="60">
        <f t="shared" si="4"/>
        <v>1.04</v>
      </c>
      <c r="G53" s="61">
        <f>IF(D53=D52,"",_xlfn.IFNA(VLOOKUP(D53,'인원 입력 기능(사과탐)'!$F$64:$I$116,4,FALSE),0))</f>
        <v>134</v>
      </c>
      <c r="H53" s="62">
        <f t="shared" si="1"/>
        <v>5.5271407358521698E-3</v>
      </c>
      <c r="I53" s="72">
        <f>SUM($G$7:G53)</f>
        <v>24058</v>
      </c>
      <c r="J53" s="64">
        <f t="shared" si="5"/>
        <v>0.99232799868008581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65">
        <v>3</v>
      </c>
      <c r="D54" s="59">
        <f t="shared" si="3"/>
        <v>34</v>
      </c>
      <c r="E54" s="59">
        <f t="shared" si="6"/>
        <v>9</v>
      </c>
      <c r="F54" s="60">
        <f t="shared" si="4"/>
        <v>0.63</v>
      </c>
      <c r="G54" s="61">
        <f>IF(D54=D53,"",_xlfn.IFNA(VLOOKUP(D54,'인원 입력 기능(사과탐)'!$F$64:$I$116,4,FALSE),0))</f>
        <v>68</v>
      </c>
      <c r="H54" s="62">
        <f t="shared" si="1"/>
        <v>2.8048176868503546E-3</v>
      </c>
      <c r="I54" s="72">
        <f>SUM($G$7:G54)</f>
        <v>24126</v>
      </c>
      <c r="J54" s="64">
        <f t="shared" si="5"/>
        <v>0.99513281636693618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58">
        <v>2</v>
      </c>
      <c r="D55" s="59">
        <f t="shared" si="3"/>
        <v>33</v>
      </c>
      <c r="E55" s="59">
        <f t="shared" si="6"/>
        <v>9</v>
      </c>
      <c r="F55" s="60">
        <f t="shared" si="4"/>
        <v>0.31</v>
      </c>
      <c r="G55" s="61">
        <f>IF(D55=D54,"",_xlfn.IFNA(VLOOKUP(D55,'인원 입력 기능(사과탐)'!$F$64:$I$116,4,FALSE),0))</f>
        <v>88</v>
      </c>
      <c r="H55" s="62">
        <f t="shared" si="1"/>
        <v>3.629764065335753E-3</v>
      </c>
      <c r="I55" s="72">
        <f>SUM($G$7:G55)</f>
        <v>24214</v>
      </c>
      <c r="J55" s="64">
        <f t="shared" si="5"/>
        <v>0.99876258043227195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5">
        <v>1</v>
      </c>
      <c r="D56" s="66" t="s">
        <v>56</v>
      </c>
      <c r="E56" s="66"/>
      <c r="F56" s="67"/>
      <c r="G56" s="110"/>
      <c r="H56" s="108"/>
      <c r="I56" s="76"/>
      <c r="J56" s="71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11">
        <v>0</v>
      </c>
      <c r="D57" s="78">
        <f>ROUND(10*(C57-$H$3)/$H$4+50,0)</f>
        <v>32</v>
      </c>
      <c r="E57" s="112">
        <f t="shared" si="6"/>
        <v>9</v>
      </c>
      <c r="F57" s="79">
        <f>IF(I55=0,ROUND(100*(1-(I54+I57)/2/$J$3),2),ROUND(100*(1-(I55+I57)/2/$J$3),2))</f>
        <v>0.06</v>
      </c>
      <c r="G57" s="113">
        <f>_xlfn.IFNA(VLOOKUP(D57,'인원 입력 기능(사과탐)'!$F$64:$I$116,4,FALSE),0)</f>
        <v>30</v>
      </c>
      <c r="H57" s="81">
        <f>G57/$J$3</f>
        <v>1.2374195677280976E-3</v>
      </c>
      <c r="I57" s="82">
        <f>SUM($G$7:G57)</f>
        <v>24244</v>
      </c>
      <c r="J57" s="114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38">
    <mergeCell ref="I37:I38"/>
    <mergeCell ref="J37:J38"/>
    <mergeCell ref="D46:D47"/>
    <mergeCell ref="E46:E47"/>
    <mergeCell ref="F46:F47"/>
    <mergeCell ref="G46:G47"/>
    <mergeCell ref="H46:H47"/>
    <mergeCell ref="I46:I47"/>
    <mergeCell ref="J46:J47"/>
    <mergeCell ref="D37:D38"/>
    <mergeCell ref="E37:E38"/>
    <mergeCell ref="F37:F38"/>
    <mergeCell ref="G37:G38"/>
    <mergeCell ref="H37:H38"/>
    <mergeCell ref="I20:I21"/>
    <mergeCell ref="J20:J21"/>
    <mergeCell ref="D29:D30"/>
    <mergeCell ref="E29:E30"/>
    <mergeCell ref="F29:F30"/>
    <mergeCell ref="G29:G30"/>
    <mergeCell ref="H29:H30"/>
    <mergeCell ref="I29:I30"/>
    <mergeCell ref="J29:J30"/>
    <mergeCell ref="D20:D21"/>
    <mergeCell ref="E20:E21"/>
    <mergeCell ref="F20:F21"/>
    <mergeCell ref="G20:G21"/>
    <mergeCell ref="H20:H21"/>
    <mergeCell ref="D3:F3"/>
    <mergeCell ref="D4:F4"/>
    <mergeCell ref="I4:J5"/>
    <mergeCell ref="D11:D12"/>
    <mergeCell ref="E11:E12"/>
    <mergeCell ref="F11:F12"/>
    <mergeCell ref="G11:G12"/>
    <mergeCell ref="H11:H12"/>
    <mergeCell ref="I11:I12"/>
    <mergeCell ref="J11:J12"/>
  </mergeCells>
  <phoneticPr fontId="1" type="noConversion"/>
  <conditionalFormatting sqref="D7:G11 I7:J11 D13:G20 I13:J20 D22:G29 I22:J29 D31:G37 I31:J37 D39:G46 I39:J46 D48:G57 I48:J57">
    <cfRule type="expression" dxfId="31" priority="4">
      <formula>OR($D7=$Q$7:$Q$14)</formula>
    </cfRule>
  </conditionalFormatting>
  <conditionalFormatting sqref="C7:C57">
    <cfRule type="expression" dxfId="30" priority="3">
      <formula>OR(AND($D7=0,OR($D6=$Q$7:$Q$14)),AND($D8&gt;0,OR($D7=$Q$7:$Q$14)))</formula>
    </cfRule>
  </conditionalFormatting>
  <conditionalFormatting sqref="D7:D11 D13:D20 D22:D29 D31:D37 D39:D46 D48:D57">
    <cfRule type="expression" dxfId="29" priority="2">
      <formula>$D7=$D8</formula>
    </cfRule>
  </conditionalFormatting>
  <conditionalFormatting sqref="H7:H11 H13:H20 H22:H29 H31:H37 H39:H46 H48:H57">
    <cfRule type="expression" dxfId="28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40D9E-C049-4545-ADCA-5E5EBB94A528}">
  <sheetPr codeName="Sheet16"/>
  <dimension ref="A1:Q105"/>
  <sheetViews>
    <sheetView zoomScale="98" zoomScaleNormal="98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152" t="s">
        <v>133</v>
      </c>
      <c r="B1" s="157"/>
      <c r="C1" s="33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8"/>
      <c r="B2" s="152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155"/>
      <c r="C3" s="48" t="s">
        <v>68</v>
      </c>
      <c r="D3" s="163" t="s">
        <v>134</v>
      </c>
      <c r="E3" s="164"/>
      <c r="F3" s="165"/>
      <c r="G3" s="48" t="s">
        <v>69</v>
      </c>
      <c r="H3" s="49" t="str">
        <f>'통계 및 응시자 수 입력 기능'!D14</f>
        <v>17.53</v>
      </c>
      <c r="I3" s="21" t="s">
        <v>70</v>
      </c>
      <c r="J3" s="50">
        <f>'통계 및 응시자 수 입력 기능'!C14</f>
        <v>16261</v>
      </c>
      <c r="K3" s="36"/>
      <c r="L3" s="20"/>
    </row>
    <row r="4" spans="1:17" s="22" customFormat="1" ht="25" customHeight="1" thickBot="1" x14ac:dyDescent="0.5">
      <c r="A4" s="20"/>
      <c r="B4" s="35"/>
      <c r="C4" s="51" t="s">
        <v>71</v>
      </c>
      <c r="D4" s="166" t="s">
        <v>98</v>
      </c>
      <c r="E4" s="167"/>
      <c r="F4" s="168"/>
      <c r="G4" s="52" t="s">
        <v>73</v>
      </c>
      <c r="H4" s="53" t="str">
        <f>'통계 및 응시자 수 입력 기능'!E14</f>
        <v>10.47</v>
      </c>
      <c r="I4" s="169"/>
      <c r="J4" s="170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171"/>
      <c r="J5" s="171"/>
      <c r="K5" s="36"/>
      <c r="L5" s="20"/>
    </row>
    <row r="6" spans="1:17" s="22" customFormat="1" ht="25" customHeight="1" thickBot="1" x14ac:dyDescent="0.5">
      <c r="A6" s="20"/>
      <c r="B6" s="35"/>
      <c r="C6" s="54" t="s">
        <v>75</v>
      </c>
      <c r="D6" s="55" t="s">
        <v>76</v>
      </c>
      <c r="E6" s="55" t="s">
        <v>77</v>
      </c>
      <c r="F6" s="55" t="s">
        <v>78</v>
      </c>
      <c r="G6" s="55" t="s">
        <v>79</v>
      </c>
      <c r="H6" s="55" t="s">
        <v>80</v>
      </c>
      <c r="I6" s="56" t="s">
        <v>81</v>
      </c>
      <c r="J6" s="57" t="s">
        <v>82</v>
      </c>
      <c r="K6" s="36"/>
      <c r="L6" s="19" t="s">
        <v>64</v>
      </c>
      <c r="M6" s="19"/>
      <c r="N6" s="23"/>
    </row>
    <row r="7" spans="1:17" s="22" customFormat="1" ht="25" customHeight="1" x14ac:dyDescent="0.45">
      <c r="A7" s="20"/>
      <c r="B7" s="35"/>
      <c r="C7" s="160">
        <v>50</v>
      </c>
      <c r="D7" s="59">
        <f>ROUND(10*(C7-$H$3)/$H$4+50,0)</f>
        <v>81</v>
      </c>
      <c r="E7" s="59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60">
        <f>ROUND(100*(1-(0+I7)/2/$J$3),2)</f>
        <v>99.71</v>
      </c>
      <c r="G7" s="61">
        <f>_xlfn.IFNA(VLOOKUP(D7,'인원 입력 기능(사과탐)'!$K$64:$N$116,4,FALSE),0)</f>
        <v>95</v>
      </c>
      <c r="H7" s="62">
        <f>G7/$J$3</f>
        <v>5.8421991267449723E-3</v>
      </c>
      <c r="I7" s="63">
        <f>G7</f>
        <v>95</v>
      </c>
      <c r="J7" s="64">
        <f>I7/$J$3</f>
        <v>5.8421991267449723E-3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기능'!C94</f>
        <v>72</v>
      </c>
    </row>
    <row r="8" spans="1:17" s="22" customFormat="1" ht="25" customHeight="1" x14ac:dyDescent="0.45">
      <c r="A8" s="20"/>
      <c r="B8" s="35"/>
      <c r="C8" s="58">
        <v>49</v>
      </c>
      <c r="D8" s="66" t="s">
        <v>56</v>
      </c>
      <c r="E8" s="66"/>
      <c r="F8" s="67"/>
      <c r="G8" s="68"/>
      <c r="H8" s="108"/>
      <c r="I8" s="70"/>
      <c r="J8" s="71"/>
      <c r="K8" s="36"/>
      <c r="L8" s="20"/>
      <c r="N8" s="24"/>
      <c r="P8" s="24">
        <v>2</v>
      </c>
      <c r="Q8" s="24">
        <f>'표점등급&amp;절평인원 입력 기능'!C95</f>
        <v>65</v>
      </c>
    </row>
    <row r="9" spans="1:17" s="22" customFormat="1" ht="25" customHeight="1" x14ac:dyDescent="0.45">
      <c r="A9" s="20"/>
      <c r="B9" s="35"/>
      <c r="C9" s="58">
        <v>48</v>
      </c>
      <c r="D9" s="59">
        <f>ROUND(10*(C9-$H$3)/$H$4+50,0)</f>
        <v>79</v>
      </c>
      <c r="E9" s="59">
        <f t="shared" si="0"/>
        <v>1</v>
      </c>
      <c r="F9" s="60">
        <f>IF(I8=0,ROUND(100*(1-(I7+I9)/2/$J$3),2),ROUND(100*(1-(I8+I9)/2/$J$3),2))</f>
        <v>99.33</v>
      </c>
      <c r="G9" s="61">
        <f>_xlfn.IFNA(VLOOKUP(D9,'인원 입력 기능(사과탐)'!$K$64:$N$116,4,FALSE),0)</f>
        <v>28</v>
      </c>
      <c r="H9" s="62">
        <f t="shared" ref="H9:H55" si="1">G9/$J$3</f>
        <v>1.7219113215669393E-3</v>
      </c>
      <c r="I9" s="72">
        <f>SUM($G$7:G9)</f>
        <v>123</v>
      </c>
      <c r="J9" s="64">
        <f>I9/$J$3</f>
        <v>7.5641104483119117E-3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기능'!C96</f>
        <v>57</v>
      </c>
    </row>
    <row r="10" spans="1:17" s="22" customFormat="1" ht="25" customHeight="1" x14ac:dyDescent="0.45">
      <c r="A10" s="20"/>
      <c r="B10" s="35"/>
      <c r="C10" s="65">
        <v>47</v>
      </c>
      <c r="D10" s="59">
        <f t="shared" ref="D10:D55" si="3">ROUND(10*(C10-$H$3)/$H$4+50,0)</f>
        <v>78</v>
      </c>
      <c r="E10" s="59">
        <f t="shared" si="0"/>
        <v>1</v>
      </c>
      <c r="F10" s="60">
        <f t="shared" ref="F10:F55" si="4">IF(I9=0,ROUND(100*(1-(I8+I10)/2/$J$3),2),ROUND(100*(1-(I9+I10)/2/$J$3),2))</f>
        <v>98.91</v>
      </c>
      <c r="G10" s="61">
        <f>IF(D10=D9,"",_xlfn.IFNA(VLOOKUP(D10,'인원 입력 기능(사과탐)'!$K$64:$N$116,4,FALSE),0))</f>
        <v>109</v>
      </c>
      <c r="H10" s="62">
        <f t="shared" si="1"/>
        <v>6.703154787528442E-3</v>
      </c>
      <c r="I10" s="72">
        <f>SUM($G$7:G10)</f>
        <v>232</v>
      </c>
      <c r="J10" s="64">
        <f t="shared" ref="J10:J55" si="5">I10/$J$3</f>
        <v>1.4267265235840354E-2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기능'!C97</f>
        <v>49</v>
      </c>
    </row>
    <row r="11" spans="1:17" s="22" customFormat="1" ht="25" customHeight="1" x14ac:dyDescent="0.45">
      <c r="A11" s="20"/>
      <c r="B11" s="35"/>
      <c r="C11" s="58">
        <v>46</v>
      </c>
      <c r="D11" s="59">
        <f t="shared" si="3"/>
        <v>77</v>
      </c>
      <c r="E11" s="59">
        <f t="shared" si="0"/>
        <v>1</v>
      </c>
      <c r="F11" s="60">
        <f t="shared" si="4"/>
        <v>98.56</v>
      </c>
      <c r="G11" s="61">
        <f>IF(D11=D10,"",_xlfn.IFNA(VLOOKUP(D11,'인원 입력 기능(사과탐)'!$K$64:$N$116,4,FALSE),0))</f>
        <v>3</v>
      </c>
      <c r="H11" s="62">
        <f t="shared" si="1"/>
        <v>1.8449049873931492E-4</v>
      </c>
      <c r="I11" s="72">
        <f>SUM($G$7:G11)</f>
        <v>235</v>
      </c>
      <c r="J11" s="64">
        <f t="shared" si="5"/>
        <v>1.445175573457967E-2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기능'!C98</f>
        <v>45</v>
      </c>
    </row>
    <row r="12" spans="1:17" s="22" customFormat="1" ht="25" customHeight="1" x14ac:dyDescent="0.45">
      <c r="A12" s="20"/>
      <c r="B12" s="35"/>
      <c r="C12" s="65">
        <v>45</v>
      </c>
      <c r="D12" s="59">
        <f t="shared" si="3"/>
        <v>76</v>
      </c>
      <c r="E12" s="59">
        <f t="shared" si="0"/>
        <v>1</v>
      </c>
      <c r="F12" s="60">
        <f t="shared" si="4"/>
        <v>98.36</v>
      </c>
      <c r="G12" s="61">
        <f>IF(D12=D11,"",_xlfn.IFNA(VLOOKUP(D12,'인원 입력 기능(사과탐)'!$K$64:$N$116,4,FALSE),0))</f>
        <v>63</v>
      </c>
      <c r="H12" s="62">
        <f t="shared" si="1"/>
        <v>3.8743004735256135E-3</v>
      </c>
      <c r="I12" s="72">
        <f>SUM($G$7:G12)</f>
        <v>298</v>
      </c>
      <c r="J12" s="64">
        <f t="shared" si="5"/>
        <v>1.8326056208105283E-2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기능'!C99</f>
        <v>42</v>
      </c>
    </row>
    <row r="13" spans="1:17" s="22" customFormat="1" ht="25" customHeight="1" x14ac:dyDescent="0.45">
      <c r="A13" s="20"/>
      <c r="B13" s="35"/>
      <c r="C13" s="58">
        <v>44</v>
      </c>
      <c r="D13" s="59">
        <f t="shared" si="3"/>
        <v>75</v>
      </c>
      <c r="E13" s="59">
        <f t="shared" si="0"/>
        <v>1</v>
      </c>
      <c r="F13" s="60">
        <f t="shared" si="4"/>
        <v>97.79</v>
      </c>
      <c r="G13" s="61">
        <f>IF(D13=D12,"",_xlfn.IFNA(VLOOKUP(D13,'인원 입력 기능(사과탐)'!$K$64:$N$116,4,FALSE),0))</f>
        <v>123</v>
      </c>
      <c r="H13" s="62">
        <f t="shared" si="1"/>
        <v>7.5641104483119117E-3</v>
      </c>
      <c r="I13" s="72">
        <f>SUM($G$7:G13)</f>
        <v>421</v>
      </c>
      <c r="J13" s="64">
        <f t="shared" si="5"/>
        <v>2.5890166656417194E-2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기능'!C100</f>
        <v>41</v>
      </c>
    </row>
    <row r="14" spans="1:17" s="22" customFormat="1" ht="25" customHeight="1" x14ac:dyDescent="0.45">
      <c r="A14" s="20"/>
      <c r="B14" s="35"/>
      <c r="C14" s="65">
        <v>43</v>
      </c>
      <c r="D14" s="59">
        <f t="shared" si="3"/>
        <v>74</v>
      </c>
      <c r="E14" s="59">
        <f t="shared" si="0"/>
        <v>1</v>
      </c>
      <c r="F14" s="60">
        <f t="shared" si="4"/>
        <v>97.29</v>
      </c>
      <c r="G14" s="61">
        <f>IF(D14=D13,"",_xlfn.IFNA(VLOOKUP(D14,'인원 입력 기능(사과탐)'!$K$64:$N$116,4,FALSE),0))</f>
        <v>39</v>
      </c>
      <c r="H14" s="62">
        <f t="shared" si="1"/>
        <v>2.3983764836110941E-3</v>
      </c>
      <c r="I14" s="72">
        <f>SUM($G$7:G14)</f>
        <v>460</v>
      </c>
      <c r="J14" s="64">
        <f t="shared" si="5"/>
        <v>2.8288543140028287E-2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기능'!C101</f>
        <v>38</v>
      </c>
    </row>
    <row r="15" spans="1:17" s="22" customFormat="1" ht="25" customHeight="1" x14ac:dyDescent="0.45">
      <c r="A15" s="20"/>
      <c r="B15" s="35"/>
      <c r="C15" s="58">
        <v>42</v>
      </c>
      <c r="D15" s="59">
        <f t="shared" si="3"/>
        <v>73</v>
      </c>
      <c r="E15" s="59">
        <f t="shared" si="0"/>
        <v>1</v>
      </c>
      <c r="F15" s="60">
        <f t="shared" si="4"/>
        <v>96.78</v>
      </c>
      <c r="G15" s="61">
        <f>IF(D15=D14,"",_xlfn.IFNA(VLOOKUP(D15,'인원 입력 기능(사과탐)'!$K$64:$N$116,4,FALSE),0))</f>
        <v>127</v>
      </c>
      <c r="H15" s="62">
        <f t="shared" si="1"/>
        <v>7.8100977799643321E-3</v>
      </c>
      <c r="I15" s="72">
        <f>SUM($G$7:G15)</f>
        <v>587</v>
      </c>
      <c r="J15" s="64">
        <f t="shared" si="5"/>
        <v>3.6098640919992618E-2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5">
        <v>41</v>
      </c>
      <c r="D16" s="59">
        <f t="shared" si="3"/>
        <v>72</v>
      </c>
      <c r="E16" s="59">
        <f t="shared" si="0"/>
        <v>1</v>
      </c>
      <c r="F16" s="60">
        <f t="shared" si="4"/>
        <v>96.08</v>
      </c>
      <c r="G16" s="61">
        <f>IF(D16=D15,"",_xlfn.IFNA(VLOOKUP(D16,'인원 입력 기능(사과탐)'!$K$64:$N$116,4,FALSE),0))</f>
        <v>100</v>
      </c>
      <c r="H16" s="62">
        <f t="shared" si="1"/>
        <v>6.1496832913104978E-3</v>
      </c>
      <c r="I16" s="72">
        <f>SUM($G$7:G16)</f>
        <v>687</v>
      </c>
      <c r="J16" s="64">
        <f t="shared" si="5"/>
        <v>4.2248324211303118E-2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58">
        <v>40</v>
      </c>
      <c r="D17" s="237">
        <f t="shared" si="3"/>
        <v>71</v>
      </c>
      <c r="E17" s="237">
        <f t="shared" si="0"/>
        <v>2</v>
      </c>
      <c r="F17" s="247">
        <f t="shared" si="4"/>
        <v>95.06</v>
      </c>
      <c r="G17" s="249">
        <f>IF(D17=D16,"",_xlfn.IFNA(VLOOKUP(D17,'인원 입력 기능(사과탐)'!$K$64:$N$116,4,FALSE),0))</f>
        <v>232</v>
      </c>
      <c r="H17" s="250">
        <f t="shared" si="1"/>
        <v>1.4267265235840354E-2</v>
      </c>
      <c r="I17" s="252">
        <f>SUM($G$7:G17)</f>
        <v>919</v>
      </c>
      <c r="J17" s="254">
        <f t="shared" si="5"/>
        <v>5.6515589447143473E-2</v>
      </c>
      <c r="K17" s="36"/>
      <c r="L17" s="20" t="str">
        <f t="shared" si="2"/>
        <v/>
      </c>
      <c r="N17" s="24"/>
      <c r="Q17" s="24">
        <f>Q7*H3*H4*J3*IFERROR(IF(J57=1, 1, 0), 0)</f>
        <v>214886109.96720001</v>
      </c>
    </row>
    <row r="18" spans="1:17" s="22" customFormat="1" ht="25" customHeight="1" x14ac:dyDescent="0.45">
      <c r="A18" s="20"/>
      <c r="B18" s="35"/>
      <c r="C18" s="65">
        <v>39</v>
      </c>
      <c r="D18" s="238"/>
      <c r="E18" s="238"/>
      <c r="F18" s="246"/>
      <c r="G18" s="248"/>
      <c r="H18" s="251"/>
      <c r="I18" s="253"/>
      <c r="J18" s="255"/>
      <c r="K18" s="36"/>
      <c r="L18" s="20" t="str">
        <f t="shared" si="2"/>
        <v>경고</v>
      </c>
      <c r="N18" s="24"/>
    </row>
    <row r="19" spans="1:17" s="22" customFormat="1" ht="25" customHeight="1" x14ac:dyDescent="0.45">
      <c r="A19" s="20"/>
      <c r="B19" s="35"/>
      <c r="C19" s="58">
        <v>38</v>
      </c>
      <c r="D19" s="59">
        <f t="shared" si="3"/>
        <v>70</v>
      </c>
      <c r="E19" s="59">
        <f t="shared" si="0"/>
        <v>2</v>
      </c>
      <c r="F19" s="60">
        <f t="shared" si="4"/>
        <v>93.99</v>
      </c>
      <c r="G19" s="61">
        <f>IF(D19=D18,"",_xlfn.IFNA(VLOOKUP(D19,'인원 입력 기능(사과탐)'!$K$64:$N$116,4,FALSE),0))</f>
        <v>115</v>
      </c>
      <c r="H19" s="62">
        <f t="shared" si="1"/>
        <v>7.0721357850070717E-3</v>
      </c>
      <c r="I19" s="72">
        <f>SUM($G$7:G19)</f>
        <v>1034</v>
      </c>
      <c r="J19" s="64">
        <f t="shared" si="5"/>
        <v>6.3587725232150547E-2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65">
        <v>37</v>
      </c>
      <c r="D20" s="59">
        <f t="shared" si="3"/>
        <v>69</v>
      </c>
      <c r="E20" s="59">
        <f t="shared" si="0"/>
        <v>2</v>
      </c>
      <c r="F20" s="60">
        <f t="shared" si="4"/>
        <v>93.26</v>
      </c>
      <c r="G20" s="61">
        <f>IF(D20=D19,"",_xlfn.IFNA(VLOOKUP(D20,'인원 입력 기능(사과탐)'!$K$64:$N$116,4,FALSE),0))</f>
        <v>125</v>
      </c>
      <c r="H20" s="62">
        <f t="shared" si="1"/>
        <v>7.6871041141381219E-3</v>
      </c>
      <c r="I20" s="72">
        <f>SUM($G$7:G20)</f>
        <v>1159</v>
      </c>
      <c r="J20" s="64">
        <f t="shared" si="5"/>
        <v>7.1274829346288662E-2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09">
        <v>36</v>
      </c>
      <c r="D21" s="74">
        <f t="shared" si="3"/>
        <v>68</v>
      </c>
      <c r="E21" s="74">
        <f t="shared" si="0"/>
        <v>2</v>
      </c>
      <c r="F21" s="60">
        <f t="shared" si="4"/>
        <v>92.31</v>
      </c>
      <c r="G21" s="61">
        <f>IF(D21=D20,"",_xlfn.IFNA(VLOOKUP(D21,'인원 입력 기능(사과탐)'!$K$64:$N$116,4,FALSE),0))</f>
        <v>182</v>
      </c>
      <c r="H21" s="62">
        <f t="shared" si="1"/>
        <v>1.1192423590185106E-2</v>
      </c>
      <c r="I21" s="72">
        <f>SUM($G$7:G21)</f>
        <v>1341</v>
      </c>
      <c r="J21" s="64">
        <f t="shared" si="5"/>
        <v>8.2467252936473778E-2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73">
        <v>35</v>
      </c>
      <c r="D22" s="74">
        <f t="shared" si="3"/>
        <v>67</v>
      </c>
      <c r="E22" s="74">
        <f t="shared" si="0"/>
        <v>2</v>
      </c>
      <c r="F22" s="60">
        <f t="shared" si="4"/>
        <v>91.36</v>
      </c>
      <c r="G22" s="61">
        <f>IF(D22=D21,"",_xlfn.IFNA(VLOOKUP(D22,'인원 입력 기능(사과탐)'!$K$64:$N$116,4,FALSE),0))</f>
        <v>127</v>
      </c>
      <c r="H22" s="62">
        <f t="shared" si="1"/>
        <v>7.8100977799643321E-3</v>
      </c>
      <c r="I22" s="72">
        <f>SUM($G$7:G22)</f>
        <v>1468</v>
      </c>
      <c r="J22" s="64">
        <f t="shared" si="5"/>
        <v>9.0277350716438109E-2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09">
        <v>34</v>
      </c>
      <c r="D23" s="74">
        <f t="shared" si="3"/>
        <v>66</v>
      </c>
      <c r="E23" s="74">
        <f t="shared" si="0"/>
        <v>2</v>
      </c>
      <c r="F23" s="60">
        <f t="shared" si="4"/>
        <v>90.38</v>
      </c>
      <c r="G23" s="61">
        <f>IF(D23=D22,"",_xlfn.IFNA(VLOOKUP(D23,'인원 입력 기능(사과탐)'!$K$64:$N$116,4,FALSE),0))</f>
        <v>191</v>
      </c>
      <c r="H23" s="62">
        <f t="shared" si="1"/>
        <v>1.1745895086403051E-2</v>
      </c>
      <c r="I23" s="72">
        <f>SUM($G$7:G23)</f>
        <v>1659</v>
      </c>
      <c r="J23" s="64">
        <f t="shared" si="5"/>
        <v>0.10202324580284115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73">
        <v>33</v>
      </c>
      <c r="D24" s="74">
        <f t="shared" si="3"/>
        <v>65</v>
      </c>
      <c r="E24" s="74">
        <f t="shared" si="0"/>
        <v>2</v>
      </c>
      <c r="F24" s="60">
        <f t="shared" si="4"/>
        <v>89.27</v>
      </c>
      <c r="G24" s="61">
        <f>IF(D24=D23,"",_xlfn.IFNA(VLOOKUP(D24,'인원 입력 기능(사과탐)'!$K$64:$N$116,4,FALSE),0))</f>
        <v>172</v>
      </c>
      <c r="H24" s="62">
        <f t="shared" si="1"/>
        <v>1.0577455261054056E-2</v>
      </c>
      <c r="I24" s="72">
        <f>SUM($G$7:G24)</f>
        <v>1831</v>
      </c>
      <c r="J24" s="64">
        <f t="shared" si="5"/>
        <v>0.11260070106389521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09">
        <v>32</v>
      </c>
      <c r="D25" s="74">
        <f t="shared" si="3"/>
        <v>64</v>
      </c>
      <c r="E25" s="74">
        <f t="shared" si="0"/>
        <v>3</v>
      </c>
      <c r="F25" s="60">
        <f t="shared" si="4"/>
        <v>88.12</v>
      </c>
      <c r="G25" s="61">
        <f>IF(D25=D24,"",_xlfn.IFNA(VLOOKUP(D25,'인원 입력 기능(사과탐)'!$K$64:$N$116,4,FALSE),0))</f>
        <v>203</v>
      </c>
      <c r="H25" s="62">
        <f t="shared" si="1"/>
        <v>1.248385708136031E-2</v>
      </c>
      <c r="I25" s="72">
        <f>SUM($G$7:G25)</f>
        <v>2034</v>
      </c>
      <c r="J25" s="64">
        <f t="shared" si="5"/>
        <v>0.12508455814525551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73">
        <v>31</v>
      </c>
      <c r="D26" s="74">
        <f t="shared" si="3"/>
        <v>63</v>
      </c>
      <c r="E26" s="74">
        <f t="shared" si="0"/>
        <v>3</v>
      </c>
      <c r="F26" s="60">
        <f t="shared" si="4"/>
        <v>86.75</v>
      </c>
      <c r="G26" s="61">
        <f>IF(D26=D25,"",_xlfn.IFNA(VLOOKUP(D26,'인원 입력 기능(사과탐)'!$K$64:$N$116,4,FALSE),0))</f>
        <v>240</v>
      </c>
      <c r="H26" s="62">
        <f t="shared" si="1"/>
        <v>1.4759239899145194E-2</v>
      </c>
      <c r="I26" s="72">
        <f>SUM($G$7:G26)</f>
        <v>2274</v>
      </c>
      <c r="J26" s="64">
        <f t="shared" si="5"/>
        <v>0.13984379804440072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09">
        <v>30</v>
      </c>
      <c r="D27" s="74">
        <f t="shared" si="3"/>
        <v>62</v>
      </c>
      <c r="E27" s="74">
        <f t="shared" si="0"/>
        <v>3</v>
      </c>
      <c r="F27" s="60">
        <f t="shared" si="4"/>
        <v>85.35</v>
      </c>
      <c r="G27" s="61">
        <f>IF(D27=D26,"",_xlfn.IFNA(VLOOKUP(D27,'인원 입력 기능(사과탐)'!$K$64:$N$116,4,FALSE),0))</f>
        <v>215</v>
      </c>
      <c r="H27" s="62">
        <f t="shared" si="1"/>
        <v>1.322181907631757E-2</v>
      </c>
      <c r="I27" s="72">
        <f>SUM($G$7:G27)</f>
        <v>2489</v>
      </c>
      <c r="J27" s="64">
        <f t="shared" si="5"/>
        <v>0.15306561712071828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73">
        <v>29</v>
      </c>
      <c r="D28" s="74">
        <f t="shared" si="3"/>
        <v>61</v>
      </c>
      <c r="E28" s="74">
        <f t="shared" si="0"/>
        <v>3</v>
      </c>
      <c r="F28" s="60">
        <f t="shared" si="4"/>
        <v>83.99</v>
      </c>
      <c r="G28" s="61">
        <f>IF(D28=D27,"",_xlfn.IFNA(VLOOKUP(D28,'인원 입력 기능(사과탐)'!$K$64:$N$116,4,FALSE),0))</f>
        <v>229</v>
      </c>
      <c r="H28" s="62">
        <f t="shared" si="1"/>
        <v>1.4082774737101039E-2</v>
      </c>
      <c r="I28" s="72">
        <f>SUM($G$7:G28)</f>
        <v>2718</v>
      </c>
      <c r="J28" s="64">
        <f t="shared" si="5"/>
        <v>0.16714839185781932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09">
        <v>28</v>
      </c>
      <c r="D29" s="74">
        <f t="shared" si="3"/>
        <v>60</v>
      </c>
      <c r="E29" s="74">
        <f t="shared" si="0"/>
        <v>3</v>
      </c>
      <c r="F29" s="60">
        <f t="shared" si="4"/>
        <v>82.56</v>
      </c>
      <c r="G29" s="61">
        <f>IF(D29=D28,"",_xlfn.IFNA(VLOOKUP(D29,'인원 입력 기능(사과탐)'!$K$64:$N$116,4,FALSE),0))</f>
        <v>235</v>
      </c>
      <c r="H29" s="62">
        <f t="shared" si="1"/>
        <v>1.445175573457967E-2</v>
      </c>
      <c r="I29" s="72">
        <f>SUM($G$7:G29)</f>
        <v>2953</v>
      </c>
      <c r="J29" s="64">
        <f t="shared" si="5"/>
        <v>0.18160014759239898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73">
        <v>27</v>
      </c>
      <c r="D30" s="74">
        <f t="shared" si="3"/>
        <v>59</v>
      </c>
      <c r="E30" s="74">
        <f t="shared" si="0"/>
        <v>3</v>
      </c>
      <c r="F30" s="60">
        <f t="shared" si="4"/>
        <v>81.069999999999993</v>
      </c>
      <c r="G30" s="61">
        <f>IF(D30=D29,"",_xlfn.IFNA(VLOOKUP(D30,'인원 입력 기능(사과탐)'!$K$64:$N$116,4,FALSE),0))</f>
        <v>249</v>
      </c>
      <c r="H30" s="62">
        <f t="shared" si="1"/>
        <v>1.5312711395363139E-2</v>
      </c>
      <c r="I30" s="72">
        <f>SUM($G$7:G30)</f>
        <v>3202</v>
      </c>
      <c r="J30" s="64">
        <f t="shared" si="5"/>
        <v>0.19691285898776212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09">
        <v>26</v>
      </c>
      <c r="D31" s="74">
        <f t="shared" si="3"/>
        <v>58</v>
      </c>
      <c r="E31" s="74">
        <f t="shared" si="0"/>
        <v>3</v>
      </c>
      <c r="F31" s="60">
        <f t="shared" si="4"/>
        <v>79.430000000000007</v>
      </c>
      <c r="G31" s="61">
        <f>IF(D31=D30,"",_xlfn.IFNA(VLOOKUP(D31,'인원 입력 기능(사과탐)'!$K$64:$N$116,4,FALSE),0))</f>
        <v>286</v>
      </c>
      <c r="H31" s="62">
        <f t="shared" si="1"/>
        <v>1.7588094213148022E-2</v>
      </c>
      <c r="I31" s="72">
        <f>SUM($G$7:G31)</f>
        <v>3488</v>
      </c>
      <c r="J31" s="64">
        <f t="shared" si="5"/>
        <v>0.21450095320091014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73">
        <v>25</v>
      </c>
      <c r="D32" s="74">
        <f t="shared" si="3"/>
        <v>57</v>
      </c>
      <c r="E32" s="74">
        <f t="shared" si="0"/>
        <v>3</v>
      </c>
      <c r="F32" s="60">
        <f t="shared" si="4"/>
        <v>77.75</v>
      </c>
      <c r="G32" s="61">
        <f>IF(D32=D31,"",_xlfn.IFNA(VLOOKUP(D32,'인원 입력 기능(사과탐)'!$K$64:$N$116,4,FALSE),0))</f>
        <v>261</v>
      </c>
      <c r="H32" s="62">
        <f t="shared" si="1"/>
        <v>1.6050673390320399E-2</v>
      </c>
      <c r="I32" s="72">
        <f>SUM($G$7:G32)</f>
        <v>3749</v>
      </c>
      <c r="J32" s="64">
        <f t="shared" si="5"/>
        <v>0.23055162659123055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09">
        <v>24</v>
      </c>
      <c r="D33" s="74">
        <f t="shared" si="3"/>
        <v>56</v>
      </c>
      <c r="E33" s="74">
        <f t="shared" si="0"/>
        <v>4</v>
      </c>
      <c r="F33" s="60">
        <f t="shared" si="4"/>
        <v>76.02</v>
      </c>
      <c r="G33" s="61">
        <f>IF(D33=D32,"",_xlfn.IFNA(VLOOKUP(D33,'인원 입력 기능(사과탐)'!$K$64:$N$116,4,FALSE),0))</f>
        <v>302</v>
      </c>
      <c r="H33" s="62">
        <f t="shared" si="1"/>
        <v>1.8572043539757704E-2</v>
      </c>
      <c r="I33" s="72">
        <f>SUM($G$7:G33)</f>
        <v>4051</v>
      </c>
      <c r="J33" s="64">
        <f t="shared" si="5"/>
        <v>0.24912367013098827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73">
        <v>23</v>
      </c>
      <c r="D34" s="74">
        <f t="shared" si="3"/>
        <v>55</v>
      </c>
      <c r="E34" s="74">
        <f t="shared" si="0"/>
        <v>4</v>
      </c>
      <c r="F34" s="60">
        <f t="shared" si="4"/>
        <v>74.099999999999994</v>
      </c>
      <c r="G34" s="61">
        <f>IF(D34=D33,"",_xlfn.IFNA(VLOOKUP(D34,'인원 입력 기능(사과탐)'!$K$64:$N$116,4,FALSE),0))</f>
        <v>321</v>
      </c>
      <c r="H34" s="62">
        <f t="shared" si="1"/>
        <v>1.9740483365106698E-2</v>
      </c>
      <c r="I34" s="72">
        <f>SUM($G$7:G34)</f>
        <v>4372</v>
      </c>
      <c r="J34" s="64">
        <f t="shared" si="5"/>
        <v>0.26886415349609494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09">
        <v>22</v>
      </c>
      <c r="D35" s="74">
        <f t="shared" si="3"/>
        <v>54</v>
      </c>
      <c r="E35" s="74">
        <f t="shared" si="0"/>
        <v>4</v>
      </c>
      <c r="F35" s="60">
        <f t="shared" si="4"/>
        <v>72.25</v>
      </c>
      <c r="G35" s="61">
        <f>IF(D35=D34,"",_xlfn.IFNA(VLOOKUP(D35,'인원 입력 기능(사과탐)'!$K$64:$N$116,4,FALSE),0))</f>
        <v>281</v>
      </c>
      <c r="H35" s="62">
        <f t="shared" si="1"/>
        <v>1.7280610048582497E-2</v>
      </c>
      <c r="I35" s="72">
        <f>SUM($G$7:G35)</f>
        <v>4653</v>
      </c>
      <c r="J35" s="64">
        <f t="shared" si="5"/>
        <v>0.28614476354467744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73">
        <v>21</v>
      </c>
      <c r="D36" s="74">
        <f t="shared" si="3"/>
        <v>53</v>
      </c>
      <c r="E36" s="74">
        <f t="shared" si="0"/>
        <v>4</v>
      </c>
      <c r="F36" s="60">
        <f t="shared" si="4"/>
        <v>70.260000000000005</v>
      </c>
      <c r="G36" s="61">
        <f>IF(D36=D35,"",_xlfn.IFNA(VLOOKUP(D36,'인원 입력 기능(사과탐)'!$K$64:$N$116,4,FALSE),0))</f>
        <v>365</v>
      </c>
      <c r="H36" s="62">
        <f t="shared" si="1"/>
        <v>2.2446344013283315E-2</v>
      </c>
      <c r="I36" s="72">
        <f>SUM($G$7:G36)</f>
        <v>5018</v>
      </c>
      <c r="J36" s="64">
        <f t="shared" si="5"/>
        <v>0.30859110755796076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09">
        <v>20</v>
      </c>
      <c r="D37" s="74">
        <f t="shared" si="3"/>
        <v>52</v>
      </c>
      <c r="E37" s="74">
        <f t="shared" si="0"/>
        <v>4</v>
      </c>
      <c r="F37" s="60">
        <f t="shared" si="4"/>
        <v>67.94</v>
      </c>
      <c r="G37" s="61">
        <f>IF(D37=D36,"",_xlfn.IFNA(VLOOKUP(D37,'인원 입력 기능(사과탐)'!$K$64:$N$116,4,FALSE),0))</f>
        <v>390</v>
      </c>
      <c r="H37" s="62">
        <f t="shared" si="1"/>
        <v>2.3983764836110939E-2</v>
      </c>
      <c r="I37" s="72">
        <f>SUM($G$7:G37)</f>
        <v>5408</v>
      </c>
      <c r="J37" s="64">
        <f t="shared" si="5"/>
        <v>0.33257487239407169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73">
        <v>19</v>
      </c>
      <c r="D38" s="74">
        <f t="shared" si="3"/>
        <v>51</v>
      </c>
      <c r="E38" s="74">
        <f t="shared" si="0"/>
        <v>4</v>
      </c>
      <c r="F38" s="60">
        <f t="shared" si="4"/>
        <v>65.37</v>
      </c>
      <c r="G38" s="61">
        <f>IF(D38=D37,"",_xlfn.IFNA(VLOOKUP(D38,'인원 입력 기능(사과탐)'!$K$64:$N$116,4,FALSE),0))</f>
        <v>446</v>
      </c>
      <c r="H38" s="62">
        <f t="shared" si="1"/>
        <v>2.7427587479244817E-2</v>
      </c>
      <c r="I38" s="72">
        <f>SUM($G$7:G38)</f>
        <v>5854</v>
      </c>
      <c r="J38" s="64">
        <f t="shared" si="5"/>
        <v>0.36000245987331653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09">
        <v>18</v>
      </c>
      <c r="D39" s="74">
        <f t="shared" si="3"/>
        <v>50</v>
      </c>
      <c r="E39" s="74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4</v>
      </c>
      <c r="F39" s="60">
        <f t="shared" si="4"/>
        <v>62.46</v>
      </c>
      <c r="G39" s="61">
        <f>IF(D39=D38,"",_xlfn.IFNA(VLOOKUP(D39,'인원 입력 기능(사과탐)'!$K$64:$N$116,4,FALSE),0))</f>
        <v>500</v>
      </c>
      <c r="H39" s="62">
        <f t="shared" si="1"/>
        <v>3.0748416456552487E-2</v>
      </c>
      <c r="I39" s="72">
        <f>SUM($G$7:G39)</f>
        <v>6354</v>
      </c>
      <c r="J39" s="64">
        <f t="shared" si="5"/>
        <v>0.39075087632986899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73">
        <v>17</v>
      </c>
      <c r="D40" s="257">
        <f t="shared" si="3"/>
        <v>49</v>
      </c>
      <c r="E40" s="257">
        <f t="shared" si="6"/>
        <v>4</v>
      </c>
      <c r="F40" s="247">
        <f t="shared" si="4"/>
        <v>57.69</v>
      </c>
      <c r="G40" s="249">
        <f>IF(D40=D39,"",_xlfn.IFNA(VLOOKUP(D40,'인원 입력 기능(사과탐)'!$K$64:$N$116,4,FALSE),0))</f>
        <v>1051</v>
      </c>
      <c r="H40" s="250">
        <f t="shared" si="1"/>
        <v>6.4633171391673322E-2</v>
      </c>
      <c r="I40" s="252">
        <f>SUM($G$7:G40)</f>
        <v>7405</v>
      </c>
      <c r="J40" s="254">
        <f t="shared" si="5"/>
        <v>0.45538404772154234</v>
      </c>
      <c r="K40" s="36"/>
      <c r="L40" s="20" t="str">
        <f t="shared" si="2"/>
        <v>경고</v>
      </c>
      <c r="N40" s="24"/>
    </row>
    <row r="41" spans="1:14" s="22" customFormat="1" ht="25" customHeight="1" x14ac:dyDescent="0.45">
      <c r="A41" s="20"/>
      <c r="B41" s="35"/>
      <c r="C41" s="109">
        <v>16</v>
      </c>
      <c r="D41" s="256"/>
      <c r="E41" s="256"/>
      <c r="F41" s="246"/>
      <c r="G41" s="248"/>
      <c r="H41" s="251"/>
      <c r="I41" s="253"/>
      <c r="J41" s="255"/>
      <c r="K41" s="36"/>
      <c r="L41" s="20" t="str">
        <f t="shared" si="2"/>
        <v>경고</v>
      </c>
      <c r="N41" s="24"/>
    </row>
    <row r="42" spans="1:14" s="22" customFormat="1" ht="25" customHeight="1" x14ac:dyDescent="0.45">
      <c r="A42" s="20"/>
      <c r="B42" s="35"/>
      <c r="C42" s="73">
        <v>15</v>
      </c>
      <c r="D42" s="74">
        <f t="shared" si="3"/>
        <v>48</v>
      </c>
      <c r="E42" s="74">
        <f t="shared" si="6"/>
        <v>5</v>
      </c>
      <c r="F42" s="60">
        <f t="shared" si="4"/>
        <v>52.52</v>
      </c>
      <c r="G42" s="61">
        <f>IF(D42=D41,"",_xlfn.IFNA(VLOOKUP(D42,'인원 입력 기능(사과탐)'!$K$64:$N$116,4,FALSE),0))</f>
        <v>631</v>
      </c>
      <c r="H42" s="62">
        <f t="shared" si="1"/>
        <v>3.8804501568169239E-2</v>
      </c>
      <c r="I42" s="72">
        <f>SUM($G$7:G42)</f>
        <v>8036</v>
      </c>
      <c r="J42" s="64">
        <f t="shared" si="5"/>
        <v>0.49418854928971157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09">
        <v>14</v>
      </c>
      <c r="D43" s="74">
        <f t="shared" si="3"/>
        <v>47</v>
      </c>
      <c r="E43" s="74">
        <f t="shared" si="6"/>
        <v>5</v>
      </c>
      <c r="F43" s="60">
        <f t="shared" si="4"/>
        <v>48.69</v>
      </c>
      <c r="G43" s="61">
        <f>IF(D43=D42,"",_xlfn.IFNA(VLOOKUP(D43,'인원 입력 기능(사과탐)'!$K$64:$N$116,4,FALSE),0))</f>
        <v>614</v>
      </c>
      <c r="H43" s="62">
        <f t="shared" si="1"/>
        <v>3.7759055408646457E-2</v>
      </c>
      <c r="I43" s="72">
        <f>SUM($G$7:G43)</f>
        <v>8650</v>
      </c>
      <c r="J43" s="64">
        <f t="shared" si="5"/>
        <v>0.531947604698358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73">
        <v>13</v>
      </c>
      <c r="D44" s="74">
        <f t="shared" si="3"/>
        <v>46</v>
      </c>
      <c r="E44" s="74">
        <f t="shared" si="6"/>
        <v>5</v>
      </c>
      <c r="F44" s="60">
        <f t="shared" si="4"/>
        <v>44.23</v>
      </c>
      <c r="G44" s="61">
        <f>IF(D44=D43,"",_xlfn.IFNA(VLOOKUP(D44,'인원 입력 기능(사과탐)'!$K$64:$N$116,4,FALSE),0))</f>
        <v>839</v>
      </c>
      <c r="H44" s="62">
        <f t="shared" si="1"/>
        <v>5.1595842814095072E-2</v>
      </c>
      <c r="I44" s="72">
        <f>SUM($G$7:G44)</f>
        <v>9489</v>
      </c>
      <c r="J44" s="64">
        <f t="shared" si="5"/>
        <v>0.58354344751245313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09">
        <v>12</v>
      </c>
      <c r="D45" s="74">
        <f t="shared" si="3"/>
        <v>45</v>
      </c>
      <c r="E45" s="74">
        <f t="shared" si="6"/>
        <v>5</v>
      </c>
      <c r="F45" s="60">
        <f t="shared" si="4"/>
        <v>39.32</v>
      </c>
      <c r="G45" s="61">
        <f>IF(D45=D44,"",_xlfn.IFNA(VLOOKUP(D45,'인원 입력 기능(사과탐)'!$K$64:$N$116,4,FALSE),0))</f>
        <v>756</v>
      </c>
      <c r="H45" s="62">
        <f t="shared" si="1"/>
        <v>4.6491605682307362E-2</v>
      </c>
      <c r="I45" s="72">
        <f>SUM($G$7:G45)</f>
        <v>10245</v>
      </c>
      <c r="J45" s="64">
        <f t="shared" si="5"/>
        <v>0.6300350531947605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73">
        <v>11</v>
      </c>
      <c r="D46" s="74">
        <f t="shared" si="3"/>
        <v>44</v>
      </c>
      <c r="E46" s="74">
        <f t="shared" si="6"/>
        <v>6</v>
      </c>
      <c r="F46" s="60">
        <f t="shared" si="4"/>
        <v>34.31</v>
      </c>
      <c r="G46" s="61">
        <f>IF(D46=D45,"",_xlfn.IFNA(VLOOKUP(D46,'인원 입력 기능(사과탐)'!$K$64:$N$116,4,FALSE),0))</f>
        <v>875</v>
      </c>
      <c r="H46" s="62">
        <f t="shared" si="1"/>
        <v>5.3809728798966852E-2</v>
      </c>
      <c r="I46" s="72">
        <f>SUM($G$7:G46)</f>
        <v>11120</v>
      </c>
      <c r="J46" s="64">
        <f t="shared" si="5"/>
        <v>0.68384478199372734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09">
        <v>10</v>
      </c>
      <c r="D47" s="74">
        <f t="shared" si="3"/>
        <v>43</v>
      </c>
      <c r="E47" s="74">
        <f t="shared" si="6"/>
        <v>6</v>
      </c>
      <c r="F47" s="60">
        <f t="shared" si="4"/>
        <v>29.71</v>
      </c>
      <c r="G47" s="61">
        <f>IF(D47=D46,"",_xlfn.IFNA(VLOOKUP(D47,'인원 입력 기능(사과탐)'!$K$64:$N$116,4,FALSE),0))</f>
        <v>620</v>
      </c>
      <c r="H47" s="62">
        <f t="shared" si="1"/>
        <v>3.8128036406125082E-2</v>
      </c>
      <c r="I47" s="72">
        <f>SUM($G$7:G47)</f>
        <v>11740</v>
      </c>
      <c r="J47" s="64">
        <f t="shared" si="5"/>
        <v>0.72197281839985239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73">
        <v>9</v>
      </c>
      <c r="D48" s="74">
        <f t="shared" si="3"/>
        <v>42</v>
      </c>
      <c r="E48" s="74">
        <f t="shared" si="6"/>
        <v>6</v>
      </c>
      <c r="F48" s="60">
        <f t="shared" si="4"/>
        <v>20.94</v>
      </c>
      <c r="G48" s="61">
        <f>IF(D48=D47,"",_xlfn.IFNA(VLOOKUP(D48,'인원 입력 기능(사과탐)'!$K$64:$N$116,4,FALSE),0))</f>
        <v>2233</v>
      </c>
      <c r="H48" s="62">
        <f t="shared" si="1"/>
        <v>0.13732242789496341</v>
      </c>
      <c r="I48" s="72">
        <f>SUM($G$7:G48)</f>
        <v>13973</v>
      </c>
      <c r="J48" s="64">
        <f t="shared" si="5"/>
        <v>0.8592952462948158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09">
        <v>8</v>
      </c>
      <c r="D49" s="74">
        <f t="shared" si="3"/>
        <v>41</v>
      </c>
      <c r="E49" s="74">
        <f t="shared" si="6"/>
        <v>7</v>
      </c>
      <c r="F49" s="60">
        <f t="shared" si="4"/>
        <v>12.15</v>
      </c>
      <c r="G49" s="61">
        <f>IF(D49=D48,"",_xlfn.IFNA(VLOOKUP(D49,'인원 입력 기능(사과탐)'!$K$64:$N$116,4,FALSE),0))</f>
        <v>623</v>
      </c>
      <c r="H49" s="62">
        <f t="shared" si="1"/>
        <v>3.8312526904864398E-2</v>
      </c>
      <c r="I49" s="72">
        <f>SUM($G$7:G49)</f>
        <v>14596</v>
      </c>
      <c r="J49" s="64">
        <f t="shared" si="5"/>
        <v>0.89760777319968021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73">
        <v>7</v>
      </c>
      <c r="D50" s="74">
        <f t="shared" si="3"/>
        <v>40</v>
      </c>
      <c r="E50" s="74">
        <f t="shared" si="6"/>
        <v>8</v>
      </c>
      <c r="F50" s="60">
        <f t="shared" si="4"/>
        <v>8.43</v>
      </c>
      <c r="G50" s="61">
        <f>IF(D50=D49,"",_xlfn.IFNA(VLOOKUP(D50,'인원 입력 기능(사과탐)'!$K$64:$N$116,4,FALSE),0))</f>
        <v>587</v>
      </c>
      <c r="H50" s="62">
        <f t="shared" si="1"/>
        <v>3.6098640919992618E-2</v>
      </c>
      <c r="I50" s="72">
        <f>SUM($G$7:G50)</f>
        <v>15183</v>
      </c>
      <c r="J50" s="64">
        <f t="shared" si="5"/>
        <v>0.93370641411967281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09">
        <v>6</v>
      </c>
      <c r="D51" s="74">
        <f t="shared" si="3"/>
        <v>39</v>
      </c>
      <c r="E51" s="74">
        <f t="shared" si="6"/>
        <v>8</v>
      </c>
      <c r="F51" s="60">
        <f t="shared" si="4"/>
        <v>5.81</v>
      </c>
      <c r="G51" s="61">
        <f>IF(D51=D50,"",_xlfn.IFNA(VLOOKUP(D51,'인원 입력 기능(사과탐)'!$K$64:$N$116,4,FALSE),0))</f>
        <v>267</v>
      </c>
      <c r="H51" s="62">
        <f t="shared" si="1"/>
        <v>1.6419654387799028E-2</v>
      </c>
      <c r="I51" s="72">
        <f>SUM($G$7:G51)</f>
        <v>15450</v>
      </c>
      <c r="J51" s="64">
        <f t="shared" si="5"/>
        <v>0.95012606850747183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73">
        <v>5</v>
      </c>
      <c r="D52" s="74">
        <f t="shared" si="3"/>
        <v>38</v>
      </c>
      <c r="E52" s="74">
        <f t="shared" si="6"/>
        <v>8</v>
      </c>
      <c r="F52" s="60">
        <f t="shared" si="4"/>
        <v>3.92</v>
      </c>
      <c r="G52" s="61">
        <f>IF(D52=D51,"",_xlfn.IFNA(VLOOKUP(D52,'인원 입력 기능(사과탐)'!$K$64:$N$116,4,FALSE),0))</f>
        <v>348</v>
      </c>
      <c r="H52" s="62">
        <f t="shared" si="1"/>
        <v>2.140089785376053E-2</v>
      </c>
      <c r="I52" s="72">
        <f>SUM($G$7:G52)</f>
        <v>15798</v>
      </c>
      <c r="J52" s="64">
        <f t="shared" si="5"/>
        <v>0.97152696636123237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58">
        <v>4</v>
      </c>
      <c r="D53" s="59">
        <f t="shared" si="3"/>
        <v>37</v>
      </c>
      <c r="E53" s="59">
        <f t="shared" si="6"/>
        <v>9</v>
      </c>
      <c r="F53" s="60">
        <f t="shared" si="4"/>
        <v>2.2599999999999998</v>
      </c>
      <c r="G53" s="61">
        <f>IF(D53=D52,"",_xlfn.IFNA(VLOOKUP(D53,'인원 입력 기능(사과탐)'!$K$64:$N$116,4,FALSE),0))</f>
        <v>190</v>
      </c>
      <c r="H53" s="62">
        <f t="shared" si="1"/>
        <v>1.1684398253489945E-2</v>
      </c>
      <c r="I53" s="72">
        <f>SUM($G$7:G53)</f>
        <v>15988</v>
      </c>
      <c r="J53" s="64">
        <f t="shared" si="5"/>
        <v>0.98321136461472236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65">
        <v>3</v>
      </c>
      <c r="D54" s="59">
        <f t="shared" si="3"/>
        <v>36</v>
      </c>
      <c r="E54" s="59">
        <f t="shared" si="6"/>
        <v>9</v>
      </c>
      <c r="F54" s="60">
        <f t="shared" si="4"/>
        <v>1.37</v>
      </c>
      <c r="G54" s="61">
        <f>IF(D54=D53,"",_xlfn.IFNA(VLOOKUP(D54,'인원 입력 기능(사과탐)'!$K$64:$N$116,4,FALSE),0))</f>
        <v>102</v>
      </c>
      <c r="H54" s="62">
        <f t="shared" si="1"/>
        <v>6.2726769571367072E-3</v>
      </c>
      <c r="I54" s="72">
        <f>SUM($G$7:G54)</f>
        <v>16090</v>
      </c>
      <c r="J54" s="64">
        <f t="shared" si="5"/>
        <v>0.9894840415718591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58">
        <v>2</v>
      </c>
      <c r="D55" s="59">
        <f t="shared" si="3"/>
        <v>35</v>
      </c>
      <c r="E55" s="59">
        <f t="shared" si="6"/>
        <v>9</v>
      </c>
      <c r="F55" s="60">
        <f t="shared" si="4"/>
        <v>0.65</v>
      </c>
      <c r="G55" s="61">
        <f>IF(D55=D54,"",_xlfn.IFNA(VLOOKUP(D55,'인원 입력 기능(사과탐)'!$K$64:$N$116,4,FALSE),0))</f>
        <v>132</v>
      </c>
      <c r="H55" s="62">
        <f t="shared" si="1"/>
        <v>8.1175819445298576E-3</v>
      </c>
      <c r="I55" s="72">
        <f>SUM($G$7:G55)</f>
        <v>16222</v>
      </c>
      <c r="J55" s="64">
        <f t="shared" si="5"/>
        <v>0.99760162351638892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5">
        <v>1</v>
      </c>
      <c r="D56" s="66" t="s">
        <v>56</v>
      </c>
      <c r="E56" s="66"/>
      <c r="F56" s="67"/>
      <c r="G56" s="110"/>
      <c r="H56" s="108"/>
      <c r="I56" s="76"/>
      <c r="J56" s="71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11">
        <v>0</v>
      </c>
      <c r="D57" s="78">
        <f>ROUND(10*(C57-$H$3)/$H$4+50,0)</f>
        <v>33</v>
      </c>
      <c r="E57" s="112">
        <f t="shared" si="6"/>
        <v>9</v>
      </c>
      <c r="F57" s="79">
        <f>IF(I55=0,ROUND(100*(1-(I54+I57)/2/$J$3),2),ROUND(100*(1-(I55+I57)/2/$J$3),2))</f>
        <v>0.12</v>
      </c>
      <c r="G57" s="113">
        <f>_xlfn.IFNA(VLOOKUP(D57,'인원 입력 기능(사과탐)'!$K$64:$N$116,4,FALSE),0)</f>
        <v>39</v>
      </c>
      <c r="H57" s="81">
        <f>G57/$J$3</f>
        <v>2.3983764836110941E-3</v>
      </c>
      <c r="I57" s="82">
        <f>SUM($G$7:G57)</f>
        <v>16261</v>
      </c>
      <c r="J57" s="114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17">
    <mergeCell ref="I40:I41"/>
    <mergeCell ref="J40:J41"/>
    <mergeCell ref="D40:D41"/>
    <mergeCell ref="E40:E41"/>
    <mergeCell ref="F40:F41"/>
    <mergeCell ref="G40:G41"/>
    <mergeCell ref="H40:H41"/>
    <mergeCell ref="D3:F3"/>
    <mergeCell ref="D4:F4"/>
    <mergeCell ref="I4:J5"/>
    <mergeCell ref="D17:D18"/>
    <mergeCell ref="E17:E18"/>
    <mergeCell ref="F17:F18"/>
    <mergeCell ref="G17:G18"/>
    <mergeCell ref="H17:H18"/>
    <mergeCell ref="I17:I18"/>
    <mergeCell ref="J17:J18"/>
  </mergeCells>
  <phoneticPr fontId="1" type="noConversion"/>
  <conditionalFormatting sqref="D7:G17 I7:J17 D19:G40 I19:J40 D42:G57 I42:J57">
    <cfRule type="expression" dxfId="27" priority="4">
      <formula>OR($D7=$Q$7:$Q$14)</formula>
    </cfRule>
  </conditionalFormatting>
  <conditionalFormatting sqref="C7:C57">
    <cfRule type="expression" dxfId="26" priority="3">
      <formula>OR(AND($D7=0,OR($D6=$Q$7:$Q$14)),AND($D8&gt;0,OR($D7=$Q$7:$Q$14)))</formula>
    </cfRule>
  </conditionalFormatting>
  <conditionalFormatting sqref="D7:D17 D19:D40 D42:D57">
    <cfRule type="expression" dxfId="25" priority="2">
      <formula>$D7=$D8</formula>
    </cfRule>
  </conditionalFormatting>
  <conditionalFormatting sqref="H7:H17 H19:H40 H42:H57">
    <cfRule type="expression" dxfId="24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C704-F3B3-4F9F-B31F-7545B24CEF85}">
  <sheetPr codeName="Sheet17"/>
  <dimension ref="A1:Q105"/>
  <sheetViews>
    <sheetView zoomScale="98" zoomScaleNormal="98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152" t="s">
        <v>133</v>
      </c>
      <c r="B1" s="157"/>
      <c r="C1" s="33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8"/>
      <c r="B2" s="152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155"/>
      <c r="C3" s="48" t="s">
        <v>68</v>
      </c>
      <c r="D3" s="163" t="s">
        <v>134</v>
      </c>
      <c r="E3" s="164"/>
      <c r="F3" s="165"/>
      <c r="G3" s="48" t="s">
        <v>69</v>
      </c>
      <c r="H3" s="49" t="str">
        <f>'통계 및 응시자 수 입력 기능'!D15</f>
        <v>21.52</v>
      </c>
      <c r="I3" s="21" t="s">
        <v>70</v>
      </c>
      <c r="J3" s="50">
        <f>'통계 및 응시자 수 입력 기능'!C15</f>
        <v>37524</v>
      </c>
      <c r="K3" s="36"/>
      <c r="L3" s="20"/>
    </row>
    <row r="4" spans="1:17" s="22" customFormat="1" ht="25" customHeight="1" thickBot="1" x14ac:dyDescent="0.5">
      <c r="A4" s="20"/>
      <c r="B4" s="35"/>
      <c r="C4" s="51" t="s">
        <v>71</v>
      </c>
      <c r="D4" s="166" t="s">
        <v>97</v>
      </c>
      <c r="E4" s="167"/>
      <c r="F4" s="168"/>
      <c r="G4" s="52" t="s">
        <v>73</v>
      </c>
      <c r="H4" s="53" t="str">
        <f>'통계 및 응시자 수 입력 기능'!E15</f>
        <v>11.77</v>
      </c>
      <c r="I4" s="169"/>
      <c r="J4" s="170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171"/>
      <c r="J5" s="171"/>
      <c r="K5" s="36"/>
      <c r="L5" s="20"/>
    </row>
    <row r="6" spans="1:17" s="22" customFormat="1" ht="25" customHeight="1" thickBot="1" x14ac:dyDescent="0.5">
      <c r="A6" s="20"/>
      <c r="B6" s="35"/>
      <c r="C6" s="54" t="s">
        <v>75</v>
      </c>
      <c r="D6" s="55" t="s">
        <v>76</v>
      </c>
      <c r="E6" s="55" t="s">
        <v>77</v>
      </c>
      <c r="F6" s="55" t="s">
        <v>78</v>
      </c>
      <c r="G6" s="55" t="s">
        <v>79</v>
      </c>
      <c r="H6" s="55" t="s">
        <v>80</v>
      </c>
      <c r="I6" s="56" t="s">
        <v>81</v>
      </c>
      <c r="J6" s="57" t="s">
        <v>82</v>
      </c>
      <c r="K6" s="36"/>
      <c r="L6" s="19" t="s">
        <v>64</v>
      </c>
      <c r="M6" s="19"/>
      <c r="N6" s="23"/>
    </row>
    <row r="7" spans="1:17" s="22" customFormat="1" ht="25" customHeight="1" x14ac:dyDescent="0.45">
      <c r="A7" s="20"/>
      <c r="B7" s="35"/>
      <c r="C7" s="160">
        <v>50</v>
      </c>
      <c r="D7" s="59">
        <f>ROUND(10*(C7-$H$3)/$H$4+50,0)</f>
        <v>74</v>
      </c>
      <c r="E7" s="59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60">
        <f>ROUND(100*(1-(0+I7)/2/$J$3),2)</f>
        <v>99.52</v>
      </c>
      <c r="G7" s="61">
        <f>_xlfn.IFNA(VLOOKUP(D7,'인원 입력 기능(사과탐)'!$P$64:$S$116,4,FALSE),0)</f>
        <v>358</v>
      </c>
      <c r="H7" s="62">
        <f>G7/$J$3</f>
        <v>9.5405607078136653E-3</v>
      </c>
      <c r="I7" s="63">
        <f>G7</f>
        <v>358</v>
      </c>
      <c r="J7" s="64">
        <f>I7/$J$3</f>
        <v>9.5405607078136653E-3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기능'!C103</f>
        <v>70</v>
      </c>
    </row>
    <row r="8" spans="1:17" s="22" customFormat="1" ht="25" customHeight="1" x14ac:dyDescent="0.45">
      <c r="A8" s="20"/>
      <c r="B8" s="35"/>
      <c r="C8" s="58">
        <v>49</v>
      </c>
      <c r="D8" s="66" t="s">
        <v>56</v>
      </c>
      <c r="E8" s="66"/>
      <c r="F8" s="67"/>
      <c r="G8" s="68"/>
      <c r="H8" s="108"/>
      <c r="I8" s="70"/>
      <c r="J8" s="71"/>
      <c r="K8" s="36"/>
      <c r="L8" s="20"/>
      <c r="N8" s="24"/>
      <c r="P8" s="24">
        <v>2</v>
      </c>
      <c r="Q8" s="24">
        <f>'표점등급&amp;절평인원 입력 기능'!C104</f>
        <v>65</v>
      </c>
    </row>
    <row r="9" spans="1:17" s="22" customFormat="1" ht="25" customHeight="1" x14ac:dyDescent="0.45">
      <c r="A9" s="20"/>
      <c r="B9" s="35"/>
      <c r="C9" s="58">
        <v>48</v>
      </c>
      <c r="D9" s="59">
        <v>73</v>
      </c>
      <c r="E9" s="59">
        <f t="shared" si="0"/>
        <v>1</v>
      </c>
      <c r="F9" s="60">
        <f>IF(I8=0,ROUND(100*(1-(I7+I9)/2/$J$3),2),ROUND(100*(1-(I8+I9)/2/$J$3),2))</f>
        <v>98.79</v>
      </c>
      <c r="G9" s="61">
        <f>_xlfn.IFNA(VLOOKUP(D9,'인원 입력 기능(사과탐)'!$P$64:$S$116,4,FALSE),0)</f>
        <v>193</v>
      </c>
      <c r="H9" s="62">
        <f t="shared" ref="H9:H55" si="1">G9/$J$3</f>
        <v>5.1433749067263616E-3</v>
      </c>
      <c r="I9" s="72">
        <f>SUM($G$7:G9)</f>
        <v>551</v>
      </c>
      <c r="J9" s="64">
        <f>I9/$J$3</f>
        <v>1.4683935614540027E-2</v>
      </c>
      <c r="K9" s="36"/>
      <c r="L9" s="20" t="str">
        <f t="shared" ref="L9:L57" si="2">IF(ABS((C9-$H$3)/$H$4*10+50-D9)&gt;0.49, "경고", "")</f>
        <v>경고</v>
      </c>
      <c r="N9" s="24"/>
      <c r="P9" s="24">
        <v>3</v>
      </c>
      <c r="Q9" s="24">
        <f>'표점등급&amp;절평인원 입력 기능'!C105</f>
        <v>58</v>
      </c>
    </row>
    <row r="10" spans="1:17" s="22" customFormat="1" ht="25" customHeight="1" x14ac:dyDescent="0.45">
      <c r="A10" s="20"/>
      <c r="B10" s="35"/>
      <c r="C10" s="65">
        <v>47</v>
      </c>
      <c r="D10" s="59">
        <f t="shared" ref="D10:D55" si="3">ROUND(10*(C10-$H$3)/$H$4+50,0)</f>
        <v>72</v>
      </c>
      <c r="E10" s="59">
        <f t="shared" si="0"/>
        <v>1</v>
      </c>
      <c r="F10" s="60">
        <f t="shared" ref="F10:F55" si="4">IF(I9=0,ROUND(100*(1-(I8+I10)/2/$J$3),2),ROUND(100*(1-(I9+I10)/2/$J$3),2))</f>
        <v>97.9</v>
      </c>
      <c r="G10" s="61">
        <f>IF(D10=D9,"",_xlfn.IFNA(VLOOKUP(D10,'인원 입력 기능(사과탐)'!$P$64:$S$116,4,FALSE),0))</f>
        <v>474</v>
      </c>
      <c r="H10" s="62">
        <f t="shared" si="1"/>
        <v>1.2631915574032619E-2</v>
      </c>
      <c r="I10" s="72">
        <f>SUM($G$7:G10)</f>
        <v>1025</v>
      </c>
      <c r="J10" s="64">
        <f t="shared" ref="J10:J55" si="5">I10/$J$3</f>
        <v>2.7315851188572646E-2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기능'!C106</f>
        <v>51</v>
      </c>
    </row>
    <row r="11" spans="1:17" s="22" customFormat="1" ht="25" customHeight="1" x14ac:dyDescent="0.45">
      <c r="A11" s="20"/>
      <c r="B11" s="35"/>
      <c r="C11" s="58">
        <v>46</v>
      </c>
      <c r="D11" s="59">
        <f t="shared" si="3"/>
        <v>71</v>
      </c>
      <c r="E11" s="59">
        <f t="shared" si="0"/>
        <v>1</v>
      </c>
      <c r="F11" s="60">
        <f t="shared" si="4"/>
        <v>97.18</v>
      </c>
      <c r="G11" s="61">
        <f>IF(D11=D10,"",_xlfn.IFNA(VLOOKUP(D11,'인원 입력 기능(사과탐)'!$P$64:$S$116,4,FALSE),0))</f>
        <v>64</v>
      </c>
      <c r="H11" s="62">
        <f t="shared" si="1"/>
        <v>1.7055750986035604E-3</v>
      </c>
      <c r="I11" s="72">
        <f>SUM($G$7:G11)</f>
        <v>1089</v>
      </c>
      <c r="J11" s="64">
        <f t="shared" si="5"/>
        <v>2.9021426287176206E-2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기능'!C107</f>
        <v>44</v>
      </c>
    </row>
    <row r="12" spans="1:17" s="22" customFormat="1" ht="25" customHeight="1" x14ac:dyDescent="0.45">
      <c r="A12" s="20"/>
      <c r="B12" s="35"/>
      <c r="C12" s="65">
        <v>45</v>
      </c>
      <c r="D12" s="59">
        <f t="shared" si="3"/>
        <v>70</v>
      </c>
      <c r="E12" s="59">
        <f t="shared" si="0"/>
        <v>1</v>
      </c>
      <c r="F12" s="60">
        <f t="shared" si="4"/>
        <v>96.5</v>
      </c>
      <c r="G12" s="61">
        <f>IF(D12=D11,"",_xlfn.IFNA(VLOOKUP(D12,'인원 입력 기능(사과탐)'!$P$64:$S$116,4,FALSE),0))</f>
        <v>446</v>
      </c>
      <c r="H12" s="62">
        <f t="shared" si="1"/>
        <v>1.1885726468393561E-2</v>
      </c>
      <c r="I12" s="72">
        <f>SUM($G$7:G12)</f>
        <v>1535</v>
      </c>
      <c r="J12" s="64">
        <f t="shared" si="5"/>
        <v>4.0907152755569769E-2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기능'!C108</f>
        <v>42</v>
      </c>
    </row>
    <row r="13" spans="1:17" s="22" customFormat="1" ht="25" customHeight="1" x14ac:dyDescent="0.45">
      <c r="A13" s="20"/>
      <c r="B13" s="35"/>
      <c r="C13" s="58">
        <v>44</v>
      </c>
      <c r="D13" s="59">
        <f t="shared" si="3"/>
        <v>69</v>
      </c>
      <c r="E13" s="59">
        <f t="shared" si="0"/>
        <v>2</v>
      </c>
      <c r="F13" s="60">
        <f t="shared" si="4"/>
        <v>95.32</v>
      </c>
      <c r="G13" s="61">
        <f>IF(D13=D12,"",_xlfn.IFNA(VLOOKUP(D13,'인원 입력 기능(사과탐)'!$P$64:$S$116,4,FALSE),0))</f>
        <v>440</v>
      </c>
      <c r="H13" s="62">
        <f t="shared" si="1"/>
        <v>1.1725828802899478E-2</v>
      </c>
      <c r="I13" s="72">
        <f>SUM($G$7:G13)</f>
        <v>1975</v>
      </c>
      <c r="J13" s="64">
        <f t="shared" si="5"/>
        <v>5.2632981558469245E-2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기능'!C109</f>
        <v>39</v>
      </c>
    </row>
    <row r="14" spans="1:17" s="22" customFormat="1" ht="25" customHeight="1" x14ac:dyDescent="0.45">
      <c r="A14" s="20"/>
      <c r="B14" s="35"/>
      <c r="C14" s="65">
        <v>43</v>
      </c>
      <c r="D14" s="59">
        <f t="shared" si="3"/>
        <v>68</v>
      </c>
      <c r="E14" s="59">
        <f t="shared" si="0"/>
        <v>2</v>
      </c>
      <c r="F14" s="60">
        <f t="shared" si="4"/>
        <v>94.43</v>
      </c>
      <c r="G14" s="61">
        <f>IF(D14=D13,"",_xlfn.IFNA(VLOOKUP(D14,'인원 입력 기능(사과탐)'!$P$64:$S$116,4,FALSE),0))</f>
        <v>233</v>
      </c>
      <c r="H14" s="62">
        <f t="shared" si="1"/>
        <v>6.2093593433535871E-3</v>
      </c>
      <c r="I14" s="72">
        <f>SUM($G$7:G14)</f>
        <v>2208</v>
      </c>
      <c r="J14" s="64">
        <f t="shared" si="5"/>
        <v>5.8842340901822832E-2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기능'!C110</f>
        <v>37</v>
      </c>
    </row>
    <row r="15" spans="1:17" s="22" customFormat="1" ht="25" customHeight="1" x14ac:dyDescent="0.45">
      <c r="A15" s="20"/>
      <c r="B15" s="35"/>
      <c r="C15" s="58">
        <v>42</v>
      </c>
      <c r="D15" s="237">
        <f t="shared" si="3"/>
        <v>67</v>
      </c>
      <c r="E15" s="237">
        <f t="shared" si="0"/>
        <v>2</v>
      </c>
      <c r="F15" s="247">
        <f t="shared" si="4"/>
        <v>92.77</v>
      </c>
      <c r="G15" s="249">
        <f>IF(D15=D14,"",_xlfn.IFNA(VLOOKUP(D15,'인원 입력 기능(사과탐)'!$P$64:$S$116,4,FALSE),0))</f>
        <v>1012</v>
      </c>
      <c r="H15" s="250">
        <f t="shared" si="1"/>
        <v>2.6969406246668798E-2</v>
      </c>
      <c r="I15" s="252">
        <f>SUM($G$7:G15)</f>
        <v>3220</v>
      </c>
      <c r="J15" s="254">
        <f t="shared" si="5"/>
        <v>8.5811747148491629E-2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5">
        <v>41</v>
      </c>
      <c r="D16" s="238"/>
      <c r="E16" s="238"/>
      <c r="F16" s="246"/>
      <c r="G16" s="248"/>
      <c r="H16" s="251"/>
      <c r="I16" s="253"/>
      <c r="J16" s="255"/>
      <c r="K16" s="36"/>
      <c r="L16" s="20" t="str">
        <f t="shared" si="2"/>
        <v>경고</v>
      </c>
      <c r="N16" s="24"/>
    </row>
    <row r="17" spans="1:17" s="22" customFormat="1" ht="25" customHeight="1" x14ac:dyDescent="0.45">
      <c r="A17" s="20"/>
      <c r="B17" s="35"/>
      <c r="C17" s="58">
        <v>40</v>
      </c>
      <c r="D17" s="59">
        <f t="shared" si="3"/>
        <v>66</v>
      </c>
      <c r="E17" s="59">
        <f t="shared" si="0"/>
        <v>2</v>
      </c>
      <c r="F17" s="60">
        <f t="shared" si="4"/>
        <v>90.8</v>
      </c>
      <c r="G17" s="61">
        <f>IF(D17=D16,"",_xlfn.IFNA(VLOOKUP(D17,'인원 입력 기능(사과탐)'!$P$64:$S$116,4,FALSE),0))</f>
        <v>465</v>
      </c>
      <c r="H17" s="62">
        <f t="shared" si="1"/>
        <v>1.2392069075791493E-2</v>
      </c>
      <c r="I17" s="72">
        <f>SUM($G$7:G17)</f>
        <v>3685</v>
      </c>
      <c r="J17" s="64">
        <f t="shared" si="5"/>
        <v>9.8203816224283119E-2</v>
      </c>
      <c r="K17" s="36"/>
      <c r="L17" s="20" t="str">
        <f t="shared" si="2"/>
        <v/>
      </c>
      <c r="N17" s="24"/>
      <c r="Q17" s="24">
        <f>Q7*H3*H4*J3*IFERROR(IF(J57=1, 1, 0), 0)</f>
        <v>665312827.87199986</v>
      </c>
    </row>
    <row r="18" spans="1:17" s="22" customFormat="1" ht="25" customHeight="1" x14ac:dyDescent="0.45">
      <c r="A18" s="20"/>
      <c r="B18" s="35"/>
      <c r="C18" s="65">
        <v>39</v>
      </c>
      <c r="D18" s="59">
        <f t="shared" si="3"/>
        <v>65</v>
      </c>
      <c r="E18" s="59">
        <f t="shared" si="0"/>
        <v>2</v>
      </c>
      <c r="F18" s="60">
        <f t="shared" si="4"/>
        <v>89.34</v>
      </c>
      <c r="G18" s="61">
        <f>IF(D18=D17,"",_xlfn.IFNA(VLOOKUP(D18,'인원 입력 기능(사과탐)'!$P$64:$S$116,4,FALSE),0))</f>
        <v>631</v>
      </c>
      <c r="H18" s="62">
        <f t="shared" si="1"/>
        <v>1.6815904487794478E-2</v>
      </c>
      <c r="I18" s="72">
        <f>SUM($G$7:G18)</f>
        <v>4316</v>
      </c>
      <c r="J18" s="64">
        <f t="shared" si="5"/>
        <v>0.1150197207120776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58">
        <v>38</v>
      </c>
      <c r="D19" s="59">
        <f t="shared" si="3"/>
        <v>64</v>
      </c>
      <c r="E19" s="59">
        <f t="shared" si="0"/>
        <v>3</v>
      </c>
      <c r="F19" s="60">
        <f t="shared" si="4"/>
        <v>87.93</v>
      </c>
      <c r="G19" s="61">
        <f>IF(D19=D18,"",_xlfn.IFNA(VLOOKUP(D19,'인원 입력 기능(사과탐)'!$P$64:$S$116,4,FALSE),0))</f>
        <v>429</v>
      </c>
      <c r="H19" s="62">
        <f t="shared" si="1"/>
        <v>1.1432683082826991E-2</v>
      </c>
      <c r="I19" s="72">
        <f>SUM($G$7:G19)</f>
        <v>4745</v>
      </c>
      <c r="J19" s="64">
        <f t="shared" si="5"/>
        <v>0.12645240379490461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65">
        <v>37</v>
      </c>
      <c r="D20" s="59">
        <f t="shared" si="3"/>
        <v>63</v>
      </c>
      <c r="E20" s="59">
        <f t="shared" si="0"/>
        <v>3</v>
      </c>
      <c r="F20" s="60">
        <f t="shared" si="4"/>
        <v>86.47</v>
      </c>
      <c r="G20" s="61">
        <f>IF(D20=D19,"",_xlfn.IFNA(VLOOKUP(D20,'인원 입력 기능(사과탐)'!$P$64:$S$116,4,FALSE),0))</f>
        <v>664</v>
      </c>
      <c r="H20" s="62">
        <f t="shared" si="1"/>
        <v>1.7695341648011939E-2</v>
      </c>
      <c r="I20" s="72">
        <f>SUM($G$7:G20)</f>
        <v>5409</v>
      </c>
      <c r="J20" s="64">
        <f t="shared" si="5"/>
        <v>0.14414774544291653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09">
        <v>36</v>
      </c>
      <c r="D21" s="74">
        <f t="shared" si="3"/>
        <v>62</v>
      </c>
      <c r="E21" s="74">
        <f t="shared" si="0"/>
        <v>3</v>
      </c>
      <c r="F21" s="60">
        <f t="shared" si="4"/>
        <v>84.87</v>
      </c>
      <c r="G21" s="61">
        <f>IF(D21=D20,"",_xlfn.IFNA(VLOOKUP(D21,'인원 입력 기능(사과탐)'!$P$64:$S$116,4,FALSE),0))</f>
        <v>534</v>
      </c>
      <c r="H21" s="62">
        <f t="shared" si="1"/>
        <v>1.4230892228973457E-2</v>
      </c>
      <c r="I21" s="72">
        <f>SUM($G$7:G21)</f>
        <v>5943</v>
      </c>
      <c r="J21" s="64">
        <f t="shared" si="5"/>
        <v>0.15837863767188998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73">
        <v>35</v>
      </c>
      <c r="D22" s="257">
        <f t="shared" si="3"/>
        <v>61</v>
      </c>
      <c r="E22" s="257">
        <f t="shared" si="0"/>
        <v>3</v>
      </c>
      <c r="F22" s="247">
        <f t="shared" si="4"/>
        <v>82.36</v>
      </c>
      <c r="G22" s="249">
        <f>IF(D22=D21,"",_xlfn.IFNA(VLOOKUP(D22,'인원 입력 기능(사과탐)'!$P$64:$S$116,4,FALSE),0))</f>
        <v>1349</v>
      </c>
      <c r="H22" s="250">
        <f t="shared" si="1"/>
        <v>3.5950325125253174E-2</v>
      </c>
      <c r="I22" s="252">
        <f>SUM($G$7:G22)</f>
        <v>7292</v>
      </c>
      <c r="J22" s="254">
        <f t="shared" si="5"/>
        <v>0.19432896279714315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09">
        <v>34</v>
      </c>
      <c r="D23" s="256"/>
      <c r="E23" s="256"/>
      <c r="F23" s="246"/>
      <c r="G23" s="248"/>
      <c r="H23" s="251"/>
      <c r="I23" s="253"/>
      <c r="J23" s="255"/>
      <c r="K23" s="36"/>
      <c r="L23" s="20" t="str">
        <f t="shared" si="2"/>
        <v>경고</v>
      </c>
      <c r="N23" s="24"/>
    </row>
    <row r="24" spans="1:17" s="22" customFormat="1" ht="25" customHeight="1" x14ac:dyDescent="0.45">
      <c r="A24" s="20"/>
      <c r="B24" s="35"/>
      <c r="C24" s="73">
        <v>33</v>
      </c>
      <c r="D24" s="74">
        <f t="shared" si="3"/>
        <v>60</v>
      </c>
      <c r="E24" s="74">
        <f t="shared" si="0"/>
        <v>3</v>
      </c>
      <c r="F24" s="60">
        <f t="shared" si="4"/>
        <v>79.790000000000006</v>
      </c>
      <c r="G24" s="61">
        <f>IF(D24=D23,"",_xlfn.IFNA(VLOOKUP(D24,'인원 입력 기능(사과탐)'!$P$64:$S$116,4,FALSE),0))</f>
        <v>585</v>
      </c>
      <c r="H24" s="62">
        <f t="shared" si="1"/>
        <v>1.5590022385673169E-2</v>
      </c>
      <c r="I24" s="72">
        <f>SUM($G$7:G24)</f>
        <v>7877</v>
      </c>
      <c r="J24" s="64">
        <f t="shared" si="5"/>
        <v>0.20991898518281632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09">
        <v>32</v>
      </c>
      <c r="D25" s="74">
        <f t="shared" si="3"/>
        <v>59</v>
      </c>
      <c r="E25" s="74">
        <f t="shared" si="0"/>
        <v>3</v>
      </c>
      <c r="F25" s="60">
        <f t="shared" si="4"/>
        <v>78.02</v>
      </c>
      <c r="G25" s="61">
        <f>IF(D25=D24,"",_xlfn.IFNA(VLOOKUP(D25,'인원 입력 기능(사과탐)'!$P$64:$S$116,4,FALSE),0))</f>
        <v>738</v>
      </c>
      <c r="H25" s="62">
        <f t="shared" si="1"/>
        <v>1.9667412855772306E-2</v>
      </c>
      <c r="I25" s="72">
        <f>SUM($G$7:G25)</f>
        <v>8615</v>
      </c>
      <c r="J25" s="64">
        <f t="shared" si="5"/>
        <v>0.22958639803858863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73">
        <v>31</v>
      </c>
      <c r="D26" s="74">
        <f t="shared" si="3"/>
        <v>58</v>
      </c>
      <c r="E26" s="74">
        <f t="shared" si="0"/>
        <v>3</v>
      </c>
      <c r="F26" s="60">
        <f t="shared" si="4"/>
        <v>76.150000000000006</v>
      </c>
      <c r="G26" s="61">
        <f>IF(D26=D25,"",_xlfn.IFNA(VLOOKUP(D26,'인원 입력 기능(사과탐)'!$P$64:$S$116,4,FALSE),0))</f>
        <v>666</v>
      </c>
      <c r="H26" s="62">
        <f t="shared" si="1"/>
        <v>1.7748640869843301E-2</v>
      </c>
      <c r="I26" s="72">
        <f>SUM($G$7:G26)</f>
        <v>9281</v>
      </c>
      <c r="J26" s="64">
        <f t="shared" si="5"/>
        <v>0.24733503890843195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09">
        <v>30</v>
      </c>
      <c r="D27" s="74">
        <f t="shared" si="3"/>
        <v>57</v>
      </c>
      <c r="E27" s="74">
        <f t="shared" si="0"/>
        <v>4</v>
      </c>
      <c r="F27" s="60">
        <f t="shared" si="4"/>
        <v>74.36</v>
      </c>
      <c r="G27" s="61">
        <f>IF(D27=D26,"",_xlfn.IFNA(VLOOKUP(D27,'인원 입력 기능(사과탐)'!$P$64:$S$116,4,FALSE),0))</f>
        <v>681</v>
      </c>
      <c r="H27" s="62">
        <f t="shared" si="1"/>
        <v>1.8148385033578511E-2</v>
      </c>
      <c r="I27" s="72">
        <f>SUM($G$7:G27)</f>
        <v>9962</v>
      </c>
      <c r="J27" s="64">
        <f t="shared" si="5"/>
        <v>0.26548342394201047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73">
        <v>29</v>
      </c>
      <c r="D28" s="257">
        <f t="shared" si="3"/>
        <v>56</v>
      </c>
      <c r="E28" s="257">
        <f t="shared" si="0"/>
        <v>4</v>
      </c>
      <c r="F28" s="247">
        <f t="shared" si="4"/>
        <v>71.430000000000007</v>
      </c>
      <c r="G28" s="249">
        <f>IF(D28=D27,"",_xlfn.IFNA(VLOOKUP(D28,'인원 입력 기능(사과탐)'!$P$64:$S$116,4,FALSE),0))</f>
        <v>1514</v>
      </c>
      <c r="H28" s="250">
        <f t="shared" si="1"/>
        <v>4.0347510926340473E-2</v>
      </c>
      <c r="I28" s="252">
        <f>SUM($G$7:G28)</f>
        <v>11476</v>
      </c>
      <c r="J28" s="254">
        <f t="shared" si="5"/>
        <v>0.30583093486835095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09">
        <v>28</v>
      </c>
      <c r="D29" s="256"/>
      <c r="E29" s="256"/>
      <c r="F29" s="246"/>
      <c r="G29" s="248"/>
      <c r="H29" s="251"/>
      <c r="I29" s="253"/>
      <c r="J29" s="255"/>
      <c r="K29" s="36"/>
      <c r="L29" s="20" t="str">
        <f t="shared" si="2"/>
        <v>경고</v>
      </c>
      <c r="N29" s="24"/>
    </row>
    <row r="30" spans="1:17" s="22" customFormat="1" ht="25" customHeight="1" x14ac:dyDescent="0.45">
      <c r="A30" s="20"/>
      <c r="B30" s="35"/>
      <c r="C30" s="73">
        <v>27</v>
      </c>
      <c r="D30" s="74">
        <f t="shared" si="3"/>
        <v>55</v>
      </c>
      <c r="E30" s="74">
        <f t="shared" si="0"/>
        <v>4</v>
      </c>
      <c r="F30" s="60">
        <f t="shared" si="4"/>
        <v>68.36</v>
      </c>
      <c r="G30" s="61">
        <f>IF(D30=D29,"",_xlfn.IFNA(VLOOKUP(D30,'인원 입력 기능(사과탐)'!$P$64:$S$116,4,FALSE),0))</f>
        <v>796</v>
      </c>
      <c r="H30" s="62">
        <f t="shared" si="1"/>
        <v>2.1213090288881783E-2</v>
      </c>
      <c r="I30" s="72">
        <f>SUM($G$7:G30)</f>
        <v>12272</v>
      </c>
      <c r="J30" s="64">
        <f t="shared" si="5"/>
        <v>0.32704402515723269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09">
        <v>26</v>
      </c>
      <c r="D31" s="74">
        <f t="shared" si="3"/>
        <v>54</v>
      </c>
      <c r="E31" s="74">
        <f t="shared" si="0"/>
        <v>4</v>
      </c>
      <c r="F31" s="60">
        <f t="shared" si="4"/>
        <v>66.260000000000005</v>
      </c>
      <c r="G31" s="61">
        <f>IF(D31=D30,"",_xlfn.IFNA(VLOOKUP(D31,'인원 입력 기능(사과탐)'!$P$64:$S$116,4,FALSE),0))</f>
        <v>780</v>
      </c>
      <c r="H31" s="62">
        <f t="shared" si="1"/>
        <v>2.0786696514230891E-2</v>
      </c>
      <c r="I31" s="72">
        <f>SUM($G$7:G31)</f>
        <v>13052</v>
      </c>
      <c r="J31" s="64">
        <f t="shared" si="5"/>
        <v>0.34783072167146362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73">
        <v>25</v>
      </c>
      <c r="D32" s="74">
        <f t="shared" si="3"/>
        <v>53</v>
      </c>
      <c r="E32" s="74">
        <f t="shared" si="0"/>
        <v>4</v>
      </c>
      <c r="F32" s="60">
        <f t="shared" si="4"/>
        <v>64.33</v>
      </c>
      <c r="G32" s="61">
        <f>IF(D32=D31,"",_xlfn.IFNA(VLOOKUP(D32,'인원 입력 기능(사과탐)'!$P$64:$S$116,4,FALSE),0))</f>
        <v>668</v>
      </c>
      <c r="H32" s="62">
        <f t="shared" si="1"/>
        <v>1.7801940091674663E-2</v>
      </c>
      <c r="I32" s="72">
        <f>SUM($G$7:G32)</f>
        <v>13720</v>
      </c>
      <c r="J32" s="64">
        <f t="shared" si="5"/>
        <v>0.36563266176313824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09">
        <v>24</v>
      </c>
      <c r="D33" s="74">
        <f t="shared" si="3"/>
        <v>52</v>
      </c>
      <c r="E33" s="74">
        <f t="shared" si="0"/>
        <v>4</v>
      </c>
      <c r="F33" s="60">
        <f t="shared" si="4"/>
        <v>62.25</v>
      </c>
      <c r="G33" s="61">
        <f>IF(D33=D32,"",_xlfn.IFNA(VLOOKUP(D33,'인원 입력 기능(사과탐)'!$P$64:$S$116,4,FALSE),0))</f>
        <v>892</v>
      </c>
      <c r="H33" s="62">
        <f t="shared" si="1"/>
        <v>2.3771452936787122E-2</v>
      </c>
      <c r="I33" s="72">
        <f>SUM($G$7:G33)</f>
        <v>14612</v>
      </c>
      <c r="J33" s="64">
        <f t="shared" si="5"/>
        <v>0.38940411469992536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73">
        <v>23</v>
      </c>
      <c r="D34" s="74">
        <f t="shared" si="3"/>
        <v>51</v>
      </c>
      <c r="E34" s="74">
        <f t="shared" si="0"/>
        <v>4</v>
      </c>
      <c r="F34" s="60">
        <f t="shared" si="4"/>
        <v>60.04</v>
      </c>
      <c r="G34" s="61">
        <f>IF(D34=D33,"",_xlfn.IFNA(VLOOKUP(D34,'인원 입력 기능(사과탐)'!$P$64:$S$116,4,FALSE),0))</f>
        <v>764</v>
      </c>
      <c r="H34" s="62">
        <f t="shared" si="1"/>
        <v>2.0360302739580002E-2</v>
      </c>
      <c r="I34" s="72">
        <f>SUM($G$7:G34)</f>
        <v>15376</v>
      </c>
      <c r="J34" s="64">
        <f t="shared" si="5"/>
        <v>0.40976441743950537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09">
        <v>22</v>
      </c>
      <c r="D35" s="257">
        <f t="shared" si="3"/>
        <v>50</v>
      </c>
      <c r="E35" s="257">
        <f t="shared" si="0"/>
        <v>5</v>
      </c>
      <c r="F35" s="247">
        <f t="shared" si="4"/>
        <v>56.72</v>
      </c>
      <c r="G35" s="249">
        <f>IF(D35=D34,"",_xlfn.IFNA(VLOOKUP(D35,'인원 입력 기능(사과탐)'!$P$64:$S$116,4,FALSE),0))</f>
        <v>1728</v>
      </c>
      <c r="H35" s="250">
        <f t="shared" si="1"/>
        <v>4.6050527662296128E-2</v>
      </c>
      <c r="I35" s="252">
        <f>SUM($G$7:G35)</f>
        <v>17104</v>
      </c>
      <c r="J35" s="254">
        <f t="shared" si="5"/>
        <v>0.45581494510180154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73">
        <v>21</v>
      </c>
      <c r="D36" s="256"/>
      <c r="E36" s="256"/>
      <c r="F36" s="246"/>
      <c r="G36" s="248"/>
      <c r="H36" s="251"/>
      <c r="I36" s="253"/>
      <c r="J36" s="255"/>
      <c r="K36" s="36"/>
      <c r="L36" s="20" t="str">
        <f t="shared" si="2"/>
        <v>경고</v>
      </c>
      <c r="N36" s="24"/>
    </row>
    <row r="37" spans="1:14" s="22" customFormat="1" ht="25" customHeight="1" x14ac:dyDescent="0.45">
      <c r="A37" s="20"/>
      <c r="B37" s="35"/>
      <c r="C37" s="109">
        <v>20</v>
      </c>
      <c r="D37" s="74">
        <f t="shared" si="3"/>
        <v>49</v>
      </c>
      <c r="E37" s="74">
        <f t="shared" si="0"/>
        <v>5</v>
      </c>
      <c r="F37" s="60">
        <f t="shared" si="4"/>
        <v>53.33</v>
      </c>
      <c r="G37" s="61">
        <f>IF(D37=D36,"",_xlfn.IFNA(VLOOKUP(D37,'인원 입력 기능(사과탐)'!$P$64:$S$116,4,FALSE),0))</f>
        <v>818</v>
      </c>
      <c r="H37" s="62">
        <f t="shared" si="1"/>
        <v>2.1799381729026755E-2</v>
      </c>
      <c r="I37" s="72">
        <f>SUM($G$7:G37)</f>
        <v>17922</v>
      </c>
      <c r="J37" s="64">
        <f t="shared" si="5"/>
        <v>0.47761432683082827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73">
        <v>19</v>
      </c>
      <c r="D38" s="74">
        <f t="shared" si="3"/>
        <v>48</v>
      </c>
      <c r="E38" s="74">
        <f t="shared" si="0"/>
        <v>5</v>
      </c>
      <c r="F38" s="60">
        <f t="shared" si="4"/>
        <v>50.85</v>
      </c>
      <c r="G38" s="61">
        <f>IF(D38=D37,"",_xlfn.IFNA(VLOOKUP(D38,'인원 입력 기능(사과탐)'!$P$64:$S$116,4,FALSE),0))</f>
        <v>1040</v>
      </c>
      <c r="H38" s="62">
        <f t="shared" si="1"/>
        <v>2.7715595352307856E-2</v>
      </c>
      <c r="I38" s="72">
        <f>SUM($G$7:G38)</f>
        <v>18962</v>
      </c>
      <c r="J38" s="64">
        <f t="shared" si="5"/>
        <v>0.5053299221831361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09">
        <v>18</v>
      </c>
      <c r="D39" s="74">
        <f t="shared" si="3"/>
        <v>47</v>
      </c>
      <c r="E39" s="74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5</v>
      </c>
      <c r="F39" s="60">
        <f t="shared" si="4"/>
        <v>48.14</v>
      </c>
      <c r="G39" s="61">
        <f>IF(D39=D38,"",_xlfn.IFNA(VLOOKUP(D39,'인원 입력 기능(사과탐)'!$P$64:$S$116,4,FALSE),0))</f>
        <v>997</v>
      </c>
      <c r="H39" s="62">
        <f t="shared" si="1"/>
        <v>2.6569662082933588E-2</v>
      </c>
      <c r="I39" s="72">
        <f>SUM($G$7:G39)</f>
        <v>19959</v>
      </c>
      <c r="J39" s="64">
        <f t="shared" si="5"/>
        <v>0.53189958426606976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73">
        <v>17</v>
      </c>
      <c r="D40" s="74">
        <f t="shared" si="3"/>
        <v>46</v>
      </c>
      <c r="E40" s="74">
        <f t="shared" si="6"/>
        <v>5</v>
      </c>
      <c r="F40" s="60">
        <f t="shared" si="4"/>
        <v>45.32</v>
      </c>
      <c r="G40" s="61">
        <f>IF(D40=D39,"",_xlfn.IFNA(VLOOKUP(D40,'인원 입력 기능(사과탐)'!$P$64:$S$116,4,FALSE),0))</f>
        <v>1115</v>
      </c>
      <c r="H40" s="62">
        <f t="shared" si="1"/>
        <v>2.9714316170983905E-2</v>
      </c>
      <c r="I40" s="72">
        <f>SUM($G$7:G40)</f>
        <v>21074</v>
      </c>
      <c r="J40" s="64">
        <f t="shared" si="5"/>
        <v>0.56161390043705361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09">
        <v>16</v>
      </c>
      <c r="D41" s="74">
        <f t="shared" si="3"/>
        <v>45</v>
      </c>
      <c r="E41" s="74">
        <f t="shared" si="6"/>
        <v>5</v>
      </c>
      <c r="F41" s="60">
        <f t="shared" si="4"/>
        <v>42.38</v>
      </c>
      <c r="G41" s="61">
        <f>IF(D41=D40,"",_xlfn.IFNA(VLOOKUP(D41,'인원 입력 기능(사과탐)'!$P$64:$S$116,4,FALSE),0))</f>
        <v>1092</v>
      </c>
      <c r="H41" s="62">
        <f t="shared" si="1"/>
        <v>2.9101375119923251E-2</v>
      </c>
      <c r="I41" s="72">
        <f>SUM($G$7:G41)</f>
        <v>22166</v>
      </c>
      <c r="J41" s="64">
        <f t="shared" si="5"/>
        <v>0.59071527555697689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73">
        <v>15</v>
      </c>
      <c r="D42" s="257">
        <f t="shared" si="3"/>
        <v>44</v>
      </c>
      <c r="E42" s="257">
        <f t="shared" si="6"/>
        <v>5</v>
      </c>
      <c r="F42" s="247">
        <f t="shared" si="4"/>
        <v>37.54</v>
      </c>
      <c r="G42" s="249">
        <f>IF(D42=D41,"",_xlfn.IFNA(VLOOKUP(D42,'인원 입력 기능(사과탐)'!$P$64:$S$116,4,FALSE),0))</f>
        <v>2541</v>
      </c>
      <c r="H42" s="250">
        <f t="shared" si="1"/>
        <v>6.7716661336744477E-2</v>
      </c>
      <c r="I42" s="252">
        <f>SUM($G$7:G42)</f>
        <v>24707</v>
      </c>
      <c r="J42" s="254">
        <f t="shared" si="5"/>
        <v>0.65843193689372137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09">
        <v>14</v>
      </c>
      <c r="D43" s="256"/>
      <c r="E43" s="256"/>
      <c r="F43" s="246"/>
      <c r="G43" s="248"/>
      <c r="H43" s="251"/>
      <c r="I43" s="253"/>
      <c r="J43" s="255"/>
      <c r="K43" s="36"/>
      <c r="L43" s="20" t="str">
        <f t="shared" si="2"/>
        <v>경고</v>
      </c>
      <c r="N43" s="24"/>
    </row>
    <row r="44" spans="1:14" s="22" customFormat="1" ht="25" customHeight="1" x14ac:dyDescent="0.45">
      <c r="A44" s="20"/>
      <c r="B44" s="35"/>
      <c r="C44" s="73">
        <v>13</v>
      </c>
      <c r="D44" s="74">
        <f t="shared" si="3"/>
        <v>43</v>
      </c>
      <c r="E44" s="74">
        <f t="shared" si="6"/>
        <v>6</v>
      </c>
      <c r="F44" s="60">
        <f t="shared" si="4"/>
        <v>32.520000000000003</v>
      </c>
      <c r="G44" s="61">
        <f>IF(D44=D43,"",_xlfn.IFNA(VLOOKUP(D44,'인원 입력 기능(사과탐)'!$P$64:$S$116,4,FALSE),0))</f>
        <v>1226</v>
      </c>
      <c r="H44" s="62">
        <f t="shared" si="1"/>
        <v>3.2672422982624454E-2</v>
      </c>
      <c r="I44" s="72">
        <f>SUM($G$7:G44)</f>
        <v>25933</v>
      </c>
      <c r="J44" s="64">
        <f t="shared" si="5"/>
        <v>0.69110435987634578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09">
        <v>12</v>
      </c>
      <c r="D45" s="74">
        <f t="shared" si="3"/>
        <v>42</v>
      </c>
      <c r="E45" s="74">
        <f t="shared" si="6"/>
        <v>6</v>
      </c>
      <c r="F45" s="60">
        <f t="shared" si="4"/>
        <v>26.72</v>
      </c>
      <c r="G45" s="61">
        <f>IF(D45=D44,"",_xlfn.IFNA(VLOOKUP(D45,'인원 입력 기능(사과탐)'!$P$64:$S$116,4,FALSE),0))</f>
        <v>3126</v>
      </c>
      <c r="H45" s="62">
        <f t="shared" si="1"/>
        <v>8.3306683722417646E-2</v>
      </c>
      <c r="I45" s="72">
        <f>SUM($G$7:G45)</f>
        <v>29059</v>
      </c>
      <c r="J45" s="64">
        <f t="shared" si="5"/>
        <v>0.77441104359876345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73">
        <v>11</v>
      </c>
      <c r="D46" s="74">
        <f t="shared" si="3"/>
        <v>41</v>
      </c>
      <c r="E46" s="74">
        <f t="shared" si="6"/>
        <v>7</v>
      </c>
      <c r="F46" s="60">
        <f t="shared" si="4"/>
        <v>20.85</v>
      </c>
      <c r="G46" s="61">
        <f>IF(D46=D45,"",_xlfn.IFNA(VLOOKUP(D46,'인원 입력 기능(사과탐)'!$P$64:$S$116,4,FALSE),0))</f>
        <v>1279</v>
      </c>
      <c r="H46" s="62">
        <f t="shared" si="1"/>
        <v>3.4084852361155528E-2</v>
      </c>
      <c r="I46" s="72">
        <f>SUM($G$7:G46)</f>
        <v>30338</v>
      </c>
      <c r="J46" s="64">
        <f t="shared" si="5"/>
        <v>0.808495895959919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09">
        <v>10</v>
      </c>
      <c r="D47" s="74">
        <f t="shared" si="3"/>
        <v>40</v>
      </c>
      <c r="E47" s="74">
        <f t="shared" si="6"/>
        <v>7</v>
      </c>
      <c r="F47" s="60">
        <f t="shared" si="4"/>
        <v>16</v>
      </c>
      <c r="G47" s="61">
        <f>IF(D47=D46,"",_xlfn.IFNA(VLOOKUP(D47,'인원 입력 기능(사과탐)'!$P$64:$S$116,4,FALSE),0))</f>
        <v>2364</v>
      </c>
      <c r="H47" s="62">
        <f t="shared" si="1"/>
        <v>6.2999680204669006E-2</v>
      </c>
      <c r="I47" s="72">
        <f>SUM($G$7:G47)</f>
        <v>32702</v>
      </c>
      <c r="J47" s="64">
        <f t="shared" si="5"/>
        <v>0.87149557616458795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73">
        <v>9</v>
      </c>
      <c r="D48" s="257">
        <f t="shared" si="3"/>
        <v>39</v>
      </c>
      <c r="E48" s="257">
        <f t="shared" si="6"/>
        <v>7</v>
      </c>
      <c r="F48" s="247">
        <f t="shared" si="4"/>
        <v>9.52</v>
      </c>
      <c r="G48" s="249">
        <f>IF(D48=D47,"",_xlfn.IFNA(VLOOKUP(D48,'인원 입력 기능(사과탐)'!$P$64:$S$116,4,FALSE),0))</f>
        <v>2502</v>
      </c>
      <c r="H48" s="250">
        <f t="shared" si="1"/>
        <v>6.6677326511032933E-2</v>
      </c>
      <c r="I48" s="252">
        <f>SUM($G$7:G48)</f>
        <v>35204</v>
      </c>
      <c r="J48" s="254">
        <f t="shared" si="5"/>
        <v>0.93817290267562092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09">
        <v>8</v>
      </c>
      <c r="D49" s="256"/>
      <c r="E49" s="256"/>
      <c r="F49" s="246"/>
      <c r="G49" s="248"/>
      <c r="H49" s="251"/>
      <c r="I49" s="253"/>
      <c r="J49" s="255"/>
      <c r="K49" s="36"/>
      <c r="L49" s="20" t="str">
        <f t="shared" si="2"/>
        <v>경고</v>
      </c>
      <c r="N49" s="24"/>
    </row>
    <row r="50" spans="1:14" s="22" customFormat="1" ht="25" customHeight="1" x14ac:dyDescent="0.45">
      <c r="A50" s="20"/>
      <c r="B50" s="35"/>
      <c r="C50" s="73">
        <v>7</v>
      </c>
      <c r="D50" s="74">
        <f t="shared" si="3"/>
        <v>38</v>
      </c>
      <c r="E50" s="74">
        <f t="shared" si="6"/>
        <v>8</v>
      </c>
      <c r="F50" s="60">
        <f t="shared" si="4"/>
        <v>5.18</v>
      </c>
      <c r="G50" s="61">
        <f>IF(D50=D49,"",_xlfn.IFNA(VLOOKUP(D50,'인원 입력 기능(사과탐)'!$P$64:$S$116,4,FALSE),0))</f>
        <v>756</v>
      </c>
      <c r="H50" s="62">
        <f t="shared" si="1"/>
        <v>2.0147105852254557E-2</v>
      </c>
      <c r="I50" s="72">
        <f>SUM($G$7:G50)</f>
        <v>35960</v>
      </c>
      <c r="J50" s="64">
        <f t="shared" si="5"/>
        <v>0.95832000852787547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09">
        <v>6</v>
      </c>
      <c r="D51" s="74">
        <f t="shared" si="3"/>
        <v>37</v>
      </c>
      <c r="E51" s="74">
        <f t="shared" si="6"/>
        <v>8</v>
      </c>
      <c r="F51" s="60">
        <f t="shared" si="4"/>
        <v>3.61</v>
      </c>
      <c r="G51" s="61">
        <f>IF(D51=D50,"",_xlfn.IFNA(VLOOKUP(D51,'인원 입력 기능(사과탐)'!$P$64:$S$116,4,FALSE),0))</f>
        <v>422</v>
      </c>
      <c r="H51" s="62">
        <f t="shared" si="1"/>
        <v>1.1246135806417226E-2</v>
      </c>
      <c r="I51" s="72">
        <f>SUM($G$7:G51)</f>
        <v>36382</v>
      </c>
      <c r="J51" s="64">
        <f t="shared" si="5"/>
        <v>0.96956614433429267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73">
        <v>5</v>
      </c>
      <c r="D52" s="74">
        <f t="shared" si="3"/>
        <v>36</v>
      </c>
      <c r="E52" s="74">
        <f t="shared" si="6"/>
        <v>9</v>
      </c>
      <c r="F52" s="60">
        <f t="shared" si="4"/>
        <v>2.37</v>
      </c>
      <c r="G52" s="61">
        <f>IF(D52=D51,"",_xlfn.IFNA(VLOOKUP(D52,'인원 입력 기능(사과탐)'!$P$64:$S$116,4,FALSE),0))</f>
        <v>504</v>
      </c>
      <c r="H52" s="62">
        <f t="shared" si="1"/>
        <v>1.3431403901503039E-2</v>
      </c>
      <c r="I52" s="72">
        <f>SUM($G$7:G52)</f>
        <v>36886</v>
      </c>
      <c r="J52" s="64">
        <f t="shared" si="5"/>
        <v>0.98299754823579577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58">
        <v>4</v>
      </c>
      <c r="D53" s="59">
        <f t="shared" si="3"/>
        <v>35</v>
      </c>
      <c r="E53" s="59">
        <f t="shared" si="6"/>
        <v>9</v>
      </c>
      <c r="F53" s="60">
        <f t="shared" si="4"/>
        <v>1.37</v>
      </c>
      <c r="G53" s="61">
        <f>IF(D53=D52,"",_xlfn.IFNA(VLOOKUP(D53,'인원 입력 기능(사과탐)'!$P$64:$S$116,4,FALSE),0))</f>
        <v>245</v>
      </c>
      <c r="H53" s="62">
        <f t="shared" si="1"/>
        <v>6.5291546743417549E-3</v>
      </c>
      <c r="I53" s="72">
        <f>SUM($G$7:G53)</f>
        <v>37131</v>
      </c>
      <c r="J53" s="64">
        <f t="shared" si="5"/>
        <v>0.98952670291013756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65">
        <v>3</v>
      </c>
      <c r="D54" s="59">
        <f t="shared" si="3"/>
        <v>34</v>
      </c>
      <c r="E54" s="59">
        <f t="shared" si="6"/>
        <v>9</v>
      </c>
      <c r="F54" s="60">
        <f t="shared" si="4"/>
        <v>0.82</v>
      </c>
      <c r="G54" s="61">
        <f>IF(D54=D53,"",_xlfn.IFNA(VLOOKUP(D54,'인원 입력 기능(사과탐)'!$P$64:$S$116,4,FALSE),0))</f>
        <v>168</v>
      </c>
      <c r="H54" s="62">
        <f t="shared" si="1"/>
        <v>4.4771346338343459E-3</v>
      </c>
      <c r="I54" s="72">
        <f>SUM($G$7:G54)</f>
        <v>37299</v>
      </c>
      <c r="J54" s="64">
        <f t="shared" si="5"/>
        <v>0.99400383754397181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58">
        <v>2</v>
      </c>
      <c r="D55" s="59">
        <f t="shared" si="3"/>
        <v>33</v>
      </c>
      <c r="E55" s="59">
        <f t="shared" si="6"/>
        <v>9</v>
      </c>
      <c r="F55" s="60">
        <f t="shared" si="4"/>
        <v>0.4</v>
      </c>
      <c r="G55" s="61">
        <f>IF(D55=D54,"",_xlfn.IFNA(VLOOKUP(D55,'인원 입력 기능(사과탐)'!$P$64:$S$116,4,FALSE),0))</f>
        <v>152</v>
      </c>
      <c r="H55" s="62">
        <f t="shared" si="1"/>
        <v>4.0507408591834559E-3</v>
      </c>
      <c r="I55" s="72">
        <f>SUM($G$7:G55)</f>
        <v>37451</v>
      </c>
      <c r="J55" s="64">
        <f t="shared" si="5"/>
        <v>0.99805457840315537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5">
        <v>1</v>
      </c>
      <c r="D56" s="66" t="s">
        <v>56</v>
      </c>
      <c r="E56" s="66"/>
      <c r="F56" s="67"/>
      <c r="G56" s="110"/>
      <c r="H56" s="108"/>
      <c r="I56" s="76"/>
      <c r="J56" s="71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11">
        <v>0</v>
      </c>
      <c r="D57" s="78">
        <f>ROUND(10*(C57-$H$3)/$H$4+50,0)</f>
        <v>32</v>
      </c>
      <c r="E57" s="112">
        <f t="shared" si="6"/>
        <v>9</v>
      </c>
      <c r="F57" s="79">
        <f>IF(I55=0,ROUND(100*(1-(I54+I57)/2/$J$3),2),ROUND(100*(1-(I55+I57)/2/$J$3),2))</f>
        <v>0.1</v>
      </c>
      <c r="G57" s="113">
        <f>_xlfn.IFNA(VLOOKUP(D57,'인원 입력 기능(사과탐)'!$P$64:$S$116,4,FALSE),0)</f>
        <v>73</v>
      </c>
      <c r="H57" s="81">
        <f>G57/$J$3</f>
        <v>1.945421596844686E-3</v>
      </c>
      <c r="I57" s="82">
        <f>SUM($G$7:G57)</f>
        <v>37524</v>
      </c>
      <c r="J57" s="114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45">
    <mergeCell ref="I48:I49"/>
    <mergeCell ref="J48:J49"/>
    <mergeCell ref="D48:D49"/>
    <mergeCell ref="E48:E49"/>
    <mergeCell ref="F48:F49"/>
    <mergeCell ref="G48:G49"/>
    <mergeCell ref="H48:H49"/>
    <mergeCell ref="I35:I36"/>
    <mergeCell ref="J35:J36"/>
    <mergeCell ref="D42:D43"/>
    <mergeCell ref="E42:E43"/>
    <mergeCell ref="F42:F43"/>
    <mergeCell ref="G42:G43"/>
    <mergeCell ref="H42:H43"/>
    <mergeCell ref="I42:I43"/>
    <mergeCell ref="J42:J43"/>
    <mergeCell ref="D35:D36"/>
    <mergeCell ref="E35:E36"/>
    <mergeCell ref="F35:F36"/>
    <mergeCell ref="G35:G36"/>
    <mergeCell ref="H35:H36"/>
    <mergeCell ref="I22:I23"/>
    <mergeCell ref="J22:J23"/>
    <mergeCell ref="D28:D29"/>
    <mergeCell ref="E28:E29"/>
    <mergeCell ref="F28:F29"/>
    <mergeCell ref="G28:G29"/>
    <mergeCell ref="H28:H29"/>
    <mergeCell ref="I28:I29"/>
    <mergeCell ref="J28:J29"/>
    <mergeCell ref="D22:D23"/>
    <mergeCell ref="E22:E23"/>
    <mergeCell ref="F22:F23"/>
    <mergeCell ref="G22:G23"/>
    <mergeCell ref="H22:H23"/>
    <mergeCell ref="D3:F3"/>
    <mergeCell ref="D4:F4"/>
    <mergeCell ref="I4:J5"/>
    <mergeCell ref="D15:D16"/>
    <mergeCell ref="E15:E16"/>
    <mergeCell ref="F15:F16"/>
    <mergeCell ref="G15:G16"/>
    <mergeCell ref="H15:H16"/>
    <mergeCell ref="I15:I16"/>
    <mergeCell ref="J15:J16"/>
  </mergeCells>
  <phoneticPr fontId="1" type="noConversion"/>
  <conditionalFormatting sqref="D7:G15 I7:J15 D17:G22 I17:J22 D24:G28 I24:J28 D30:G35 I30:J35 D37:G42 I37:J42 D44:G48 I44:J48 D50:G57 I50:J57">
    <cfRule type="expression" dxfId="23" priority="4">
      <formula>OR($D7=$Q$7:$Q$14)</formula>
    </cfRule>
  </conditionalFormatting>
  <conditionalFormatting sqref="C7:C57">
    <cfRule type="expression" dxfId="22" priority="3">
      <formula>OR(AND($D7=0,OR($D6=$Q$7:$Q$14)),AND($D8&gt;0,OR($D7=$Q$7:$Q$14)))</formula>
    </cfRule>
  </conditionalFormatting>
  <conditionalFormatting sqref="D7:D15 D17:D22 D24:D28 D30:D35 D37:D42 D44:D48 D50:D57">
    <cfRule type="expression" dxfId="21" priority="2">
      <formula>$D7=$D8</formula>
    </cfRule>
  </conditionalFormatting>
  <conditionalFormatting sqref="H7:H15 H17:H22 H24:H28 H30:H35 H37:H42 H44:H48 H50:H57">
    <cfRule type="expression" dxfId="20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ED3DB-AFEE-440A-A9DD-88DC15649F11}">
  <sheetPr codeName="Sheet18"/>
  <dimension ref="A1:Q105"/>
  <sheetViews>
    <sheetView zoomScale="98" zoomScaleNormal="98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152" t="s">
        <v>133</v>
      </c>
      <c r="B1" s="157"/>
      <c r="C1" s="33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8"/>
      <c r="B2" s="152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155"/>
      <c r="C3" s="48" t="s">
        <v>68</v>
      </c>
      <c r="D3" s="163" t="s">
        <v>134</v>
      </c>
      <c r="E3" s="164"/>
      <c r="F3" s="165"/>
      <c r="G3" s="48" t="s">
        <v>69</v>
      </c>
      <c r="H3" s="49" t="str">
        <f>'통계 및 응시자 수 입력 기능'!D16</f>
        <v>21.53</v>
      </c>
      <c r="I3" s="21" t="s">
        <v>70</v>
      </c>
      <c r="J3" s="50">
        <f>'통계 및 응시자 수 입력 기능'!C16</f>
        <v>71348</v>
      </c>
      <c r="K3" s="36"/>
      <c r="L3" s="20"/>
    </row>
    <row r="4" spans="1:17" s="22" customFormat="1" ht="25" customHeight="1" thickBot="1" x14ac:dyDescent="0.5">
      <c r="A4" s="20"/>
      <c r="B4" s="35"/>
      <c r="C4" s="51" t="s">
        <v>71</v>
      </c>
      <c r="D4" s="166" t="s">
        <v>96</v>
      </c>
      <c r="E4" s="167"/>
      <c r="F4" s="168"/>
      <c r="G4" s="52" t="s">
        <v>73</v>
      </c>
      <c r="H4" s="53" t="str">
        <f>'통계 및 응시자 수 입력 기능'!E16</f>
        <v>11.35</v>
      </c>
      <c r="I4" s="169"/>
      <c r="J4" s="170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171"/>
      <c r="J5" s="171"/>
      <c r="K5" s="36"/>
      <c r="L5" s="20"/>
    </row>
    <row r="6" spans="1:17" s="22" customFormat="1" ht="25" customHeight="1" thickBot="1" x14ac:dyDescent="0.5">
      <c r="A6" s="20"/>
      <c r="B6" s="35"/>
      <c r="C6" s="54" t="s">
        <v>75</v>
      </c>
      <c r="D6" s="55" t="s">
        <v>76</v>
      </c>
      <c r="E6" s="55" t="s">
        <v>77</v>
      </c>
      <c r="F6" s="55" t="s">
        <v>78</v>
      </c>
      <c r="G6" s="55" t="s">
        <v>79</v>
      </c>
      <c r="H6" s="55" t="s">
        <v>80</v>
      </c>
      <c r="I6" s="56" t="s">
        <v>81</v>
      </c>
      <c r="J6" s="57" t="s">
        <v>82</v>
      </c>
      <c r="K6" s="36"/>
      <c r="L6" s="19" t="s">
        <v>64</v>
      </c>
      <c r="M6" s="19"/>
      <c r="N6" s="23"/>
    </row>
    <row r="7" spans="1:17" s="22" customFormat="1" ht="25" customHeight="1" x14ac:dyDescent="0.45">
      <c r="A7" s="20"/>
      <c r="B7" s="35"/>
      <c r="C7" s="160">
        <v>50</v>
      </c>
      <c r="D7" s="59">
        <f>ROUND(10*(C7-$H$3)/$H$4+50,0)</f>
        <v>75</v>
      </c>
      <c r="E7" s="59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60">
        <f>ROUND(100*(1-(0+I7)/2/$J$3),2)</f>
        <v>99.5</v>
      </c>
      <c r="G7" s="61">
        <f>_xlfn.IFNA(VLOOKUP(D7,'인원 입력 기능(사과탐)'!$A$121:$D$172,4,FALSE),0)</f>
        <v>717</v>
      </c>
      <c r="H7" s="62">
        <f>G7/$J$3</f>
        <v>1.0049335650613892E-2</v>
      </c>
      <c r="I7" s="63">
        <f>G7</f>
        <v>717</v>
      </c>
      <c r="J7" s="64">
        <f>I7/$J$3</f>
        <v>1.0049335650613892E-2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기능'!C112</f>
        <v>71</v>
      </c>
    </row>
    <row r="8" spans="1:17" s="22" customFormat="1" ht="25" customHeight="1" x14ac:dyDescent="0.45">
      <c r="A8" s="20"/>
      <c r="B8" s="35"/>
      <c r="C8" s="58">
        <v>49</v>
      </c>
      <c r="D8" s="66" t="s">
        <v>56</v>
      </c>
      <c r="E8" s="66"/>
      <c r="F8" s="67"/>
      <c r="G8" s="68"/>
      <c r="H8" s="108"/>
      <c r="I8" s="70"/>
      <c r="J8" s="71"/>
      <c r="K8" s="36"/>
      <c r="L8" s="20"/>
      <c r="N8" s="24"/>
      <c r="P8" s="24">
        <v>2</v>
      </c>
      <c r="Q8" s="24">
        <f>'표점등급&amp;절평인원 입력 기능'!C113</f>
        <v>65</v>
      </c>
    </row>
    <row r="9" spans="1:17" s="22" customFormat="1" ht="25" customHeight="1" x14ac:dyDescent="0.45">
      <c r="A9" s="20"/>
      <c r="B9" s="35"/>
      <c r="C9" s="58">
        <v>48</v>
      </c>
      <c r="D9" s="59">
        <f>ROUND(10*(C9-$H$3)/$H$4+50,0)</f>
        <v>73</v>
      </c>
      <c r="E9" s="59">
        <f t="shared" si="0"/>
        <v>1</v>
      </c>
      <c r="F9" s="60">
        <f>IF(I8=0,ROUND(100*(1-(I7+I9)/2/$J$3),2),ROUND(100*(1-(I8+I9)/2/$J$3),2))</f>
        <v>98.75</v>
      </c>
      <c r="G9" s="61">
        <f>_xlfn.IFNA(VLOOKUP(D9,'인원 입력 기능(사과탐)'!$A$121:$D$172,4,FALSE),0)</f>
        <v>345</v>
      </c>
      <c r="H9" s="62">
        <f t="shared" ref="H9:H55" si="1">G9/$J$3</f>
        <v>4.8354543925548015E-3</v>
      </c>
      <c r="I9" s="72">
        <f>SUM($G$7:G9)</f>
        <v>1062</v>
      </c>
      <c r="J9" s="64">
        <f>I9/$J$3</f>
        <v>1.4884790043168694E-2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기능'!C114</f>
        <v>57</v>
      </c>
    </row>
    <row r="10" spans="1:17" s="22" customFormat="1" ht="25" customHeight="1" x14ac:dyDescent="0.45">
      <c r="A10" s="20"/>
      <c r="B10" s="35"/>
      <c r="C10" s="65">
        <v>47</v>
      </c>
      <c r="D10" s="237">
        <f t="shared" ref="D10:D55" si="3">ROUND(10*(C10-$H$3)/$H$4+50,0)</f>
        <v>72</v>
      </c>
      <c r="E10" s="237">
        <f t="shared" si="0"/>
        <v>1</v>
      </c>
      <c r="F10" s="247">
        <f t="shared" ref="F10:F55" si="4">IF(I9=0,ROUND(100*(1-(I8+I10)/2/$J$3),2),ROUND(100*(1-(I9+I10)/2/$J$3),2))</f>
        <v>97.51</v>
      </c>
      <c r="G10" s="249">
        <f>IF(D10=D9,"",_xlfn.IFNA(VLOOKUP(D10,'인원 입력 기능(사과탐)'!$A$121:$D$172,4,FALSE),0))</f>
        <v>1432</v>
      </c>
      <c r="H10" s="250">
        <f t="shared" si="1"/>
        <v>2.0070639681560802E-2</v>
      </c>
      <c r="I10" s="252">
        <f>SUM($G$7:G10)</f>
        <v>2494</v>
      </c>
      <c r="J10" s="254">
        <f t="shared" ref="J10:J55" si="5">I10/$J$3</f>
        <v>3.4955429724729495E-2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기능'!C115</f>
        <v>50</v>
      </c>
    </row>
    <row r="11" spans="1:17" s="22" customFormat="1" ht="25" customHeight="1" x14ac:dyDescent="0.45">
      <c r="A11" s="20"/>
      <c r="B11" s="35"/>
      <c r="C11" s="58">
        <v>46</v>
      </c>
      <c r="D11" s="238"/>
      <c r="E11" s="238"/>
      <c r="F11" s="246"/>
      <c r="G11" s="248"/>
      <c r="H11" s="251"/>
      <c r="I11" s="253"/>
      <c r="J11" s="255"/>
      <c r="K11" s="36"/>
      <c r="L11" s="20" t="str">
        <f t="shared" si="2"/>
        <v>경고</v>
      </c>
      <c r="N11" s="24"/>
      <c r="P11" s="24">
        <v>5</v>
      </c>
      <c r="Q11" s="24">
        <f>'표점등급&amp;절평인원 입력 기능'!C116</f>
        <v>45</v>
      </c>
    </row>
    <row r="12" spans="1:17" s="22" customFormat="1" ht="25" customHeight="1" x14ac:dyDescent="0.45">
      <c r="A12" s="20"/>
      <c r="B12" s="35"/>
      <c r="C12" s="65">
        <v>45</v>
      </c>
      <c r="D12" s="59">
        <f t="shared" si="3"/>
        <v>71</v>
      </c>
      <c r="E12" s="59">
        <f t="shared" si="0"/>
        <v>1</v>
      </c>
      <c r="F12" s="60">
        <f t="shared" si="4"/>
        <v>95.84</v>
      </c>
      <c r="G12" s="61">
        <f>IF(D12=D11,"",_xlfn.IFNA(VLOOKUP(D12,'인원 입력 기능(사과탐)'!$A$121:$D$172,4,FALSE),0))</f>
        <v>953</v>
      </c>
      <c r="H12" s="62">
        <f t="shared" si="1"/>
        <v>1.3357066771318047E-2</v>
      </c>
      <c r="I12" s="72">
        <f>SUM($G$7:G12)</f>
        <v>3447</v>
      </c>
      <c r="J12" s="64">
        <f t="shared" si="5"/>
        <v>4.831249649604754E-2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기능'!C117</f>
        <v>42</v>
      </c>
    </row>
    <row r="13" spans="1:17" s="22" customFormat="1" ht="25" customHeight="1" x14ac:dyDescent="0.45">
      <c r="A13" s="20"/>
      <c r="B13" s="35"/>
      <c r="C13" s="58">
        <v>44</v>
      </c>
      <c r="D13" s="59">
        <f t="shared" si="3"/>
        <v>70</v>
      </c>
      <c r="E13" s="59">
        <f t="shared" si="0"/>
        <v>2</v>
      </c>
      <c r="F13" s="60">
        <f t="shared" si="4"/>
        <v>94.57</v>
      </c>
      <c r="G13" s="61">
        <f>IF(D13=D12,"",_xlfn.IFNA(VLOOKUP(D13,'인원 입력 기능(사과탐)'!$A$121:$D$172,4,FALSE),0))</f>
        <v>861</v>
      </c>
      <c r="H13" s="62">
        <f t="shared" si="1"/>
        <v>1.2067612266636767E-2</v>
      </c>
      <c r="I13" s="72">
        <f>SUM($G$7:G13)</f>
        <v>4308</v>
      </c>
      <c r="J13" s="64">
        <f t="shared" si="5"/>
        <v>6.0380108762684306E-2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기능'!C118</f>
        <v>39</v>
      </c>
    </row>
    <row r="14" spans="1:17" s="22" customFormat="1" ht="25" customHeight="1" x14ac:dyDescent="0.45">
      <c r="A14" s="20"/>
      <c r="B14" s="35"/>
      <c r="C14" s="65">
        <v>43</v>
      </c>
      <c r="D14" s="59">
        <f t="shared" si="3"/>
        <v>69</v>
      </c>
      <c r="E14" s="59">
        <f t="shared" si="0"/>
        <v>2</v>
      </c>
      <c r="F14" s="60">
        <f t="shared" si="4"/>
        <v>93.64</v>
      </c>
      <c r="G14" s="61">
        <f>IF(D14=D13,"",_xlfn.IFNA(VLOOKUP(D14,'인원 입력 기능(사과탐)'!$A$121:$D$172,4,FALSE),0))</f>
        <v>453</v>
      </c>
      <c r="H14" s="62">
        <f t="shared" si="1"/>
        <v>6.3491618545719573E-3</v>
      </c>
      <c r="I14" s="72">
        <f>SUM($G$7:G14)</f>
        <v>4761</v>
      </c>
      <c r="J14" s="64">
        <f t="shared" si="5"/>
        <v>6.6729270617256267E-2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기능'!C119</f>
        <v>37</v>
      </c>
    </row>
    <row r="15" spans="1:17" s="22" customFormat="1" ht="25" customHeight="1" x14ac:dyDescent="0.45">
      <c r="A15" s="20"/>
      <c r="B15" s="35"/>
      <c r="C15" s="58">
        <v>42</v>
      </c>
      <c r="D15" s="59">
        <f t="shared" si="3"/>
        <v>68</v>
      </c>
      <c r="E15" s="59">
        <f t="shared" si="0"/>
        <v>2</v>
      </c>
      <c r="F15" s="60">
        <f t="shared" si="4"/>
        <v>92.57</v>
      </c>
      <c r="G15" s="61">
        <f>IF(D15=D14,"",_xlfn.IFNA(VLOOKUP(D15,'인원 입력 기능(사과탐)'!$A$121:$D$172,4,FALSE),0))</f>
        <v>1081</v>
      </c>
      <c r="H15" s="62">
        <f t="shared" si="1"/>
        <v>1.5151090430005046E-2</v>
      </c>
      <c r="I15" s="72">
        <f>SUM($G$7:G15)</f>
        <v>5842</v>
      </c>
      <c r="J15" s="64">
        <f t="shared" si="5"/>
        <v>8.1880361047261305E-2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5">
        <v>41</v>
      </c>
      <c r="D16" s="59">
        <f t="shared" si="3"/>
        <v>67</v>
      </c>
      <c r="E16" s="59">
        <f t="shared" si="0"/>
        <v>2</v>
      </c>
      <c r="F16" s="60">
        <f t="shared" si="4"/>
        <v>91.37</v>
      </c>
      <c r="G16" s="61">
        <f>IF(D16=D15,"",_xlfn.IFNA(VLOOKUP(D16,'인원 입력 기능(사과탐)'!$A$121:$D$172,4,FALSE),0))</f>
        <v>626</v>
      </c>
      <c r="H16" s="62">
        <f t="shared" si="1"/>
        <v>8.7738969557661049E-3</v>
      </c>
      <c r="I16" s="72">
        <f>SUM($G$7:G16)</f>
        <v>6468</v>
      </c>
      <c r="J16" s="64">
        <f t="shared" si="5"/>
        <v>9.0654258003027413E-2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58">
        <v>40</v>
      </c>
      <c r="D17" s="59">
        <f t="shared" si="3"/>
        <v>66</v>
      </c>
      <c r="E17" s="59">
        <f t="shared" si="0"/>
        <v>2</v>
      </c>
      <c r="F17" s="60">
        <f t="shared" si="4"/>
        <v>90.38</v>
      </c>
      <c r="G17" s="61">
        <f>IF(D17=D16,"",_xlfn.IFNA(VLOOKUP(D17,'인원 입력 기능(사과탐)'!$A$121:$D$172,4,FALSE),0))</f>
        <v>787</v>
      </c>
      <c r="H17" s="62">
        <f t="shared" si="1"/>
        <v>1.1030442338958345E-2</v>
      </c>
      <c r="I17" s="72">
        <f>SUM($G$7:G17)</f>
        <v>7255</v>
      </c>
      <c r="J17" s="64">
        <f t="shared" si="5"/>
        <v>0.10168470034198576</v>
      </c>
      <c r="K17" s="36"/>
      <c r="L17" s="20" t="str">
        <f t="shared" si="2"/>
        <v/>
      </c>
      <c r="N17" s="24"/>
      <c r="Q17" s="24">
        <f>Q7*H3*H4*J3*IFERROR(IF(J57=1, 1, 0), 0)</f>
        <v>1237884268.2739999</v>
      </c>
    </row>
    <row r="18" spans="1:17" s="22" customFormat="1" ht="25" customHeight="1" x14ac:dyDescent="0.45">
      <c r="A18" s="20"/>
      <c r="B18" s="35"/>
      <c r="C18" s="65">
        <v>39</v>
      </c>
      <c r="D18" s="237">
        <f t="shared" si="3"/>
        <v>65</v>
      </c>
      <c r="E18" s="237">
        <f t="shared" si="0"/>
        <v>2</v>
      </c>
      <c r="F18" s="247">
        <f t="shared" si="4"/>
        <v>88.73</v>
      </c>
      <c r="G18" s="249">
        <f>IF(D18=D17,"",_xlfn.IFNA(VLOOKUP(D18,'인원 입력 기능(사과탐)'!$A$121:$D$172,4,FALSE),0))</f>
        <v>1576</v>
      </c>
      <c r="H18" s="250">
        <f t="shared" si="1"/>
        <v>2.2088916297583673E-2</v>
      </c>
      <c r="I18" s="252">
        <f>SUM($G$7:G18)</f>
        <v>8831</v>
      </c>
      <c r="J18" s="254">
        <f t="shared" si="5"/>
        <v>0.12377361663956943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58">
        <v>38</v>
      </c>
      <c r="D19" s="238"/>
      <c r="E19" s="238"/>
      <c r="F19" s="246"/>
      <c r="G19" s="248"/>
      <c r="H19" s="251"/>
      <c r="I19" s="253"/>
      <c r="J19" s="255"/>
      <c r="K19" s="36"/>
      <c r="L19" s="20" t="str">
        <f t="shared" si="2"/>
        <v>경고</v>
      </c>
      <c r="N19" s="24"/>
    </row>
    <row r="20" spans="1:17" s="22" customFormat="1" ht="25" customHeight="1" x14ac:dyDescent="0.45">
      <c r="A20" s="20"/>
      <c r="B20" s="35"/>
      <c r="C20" s="65">
        <v>37</v>
      </c>
      <c r="D20" s="59">
        <f t="shared" si="3"/>
        <v>64</v>
      </c>
      <c r="E20" s="59">
        <f t="shared" si="0"/>
        <v>3</v>
      </c>
      <c r="F20" s="60">
        <f t="shared" si="4"/>
        <v>86.95</v>
      </c>
      <c r="G20" s="61">
        <f>IF(D20=D19,"",_xlfn.IFNA(VLOOKUP(D20,'인원 입력 기능(사과탐)'!$A$121:$D$172,4,FALSE),0))</f>
        <v>965</v>
      </c>
      <c r="H20" s="62">
        <f t="shared" si="1"/>
        <v>1.3525256489319954E-2</v>
      </c>
      <c r="I20" s="72">
        <f>SUM($G$7:G20)</f>
        <v>9796</v>
      </c>
      <c r="J20" s="64">
        <f t="shared" si="5"/>
        <v>0.13729887312888939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09">
        <v>36</v>
      </c>
      <c r="D21" s="74">
        <f t="shared" si="3"/>
        <v>63</v>
      </c>
      <c r="E21" s="74">
        <f t="shared" si="0"/>
        <v>3</v>
      </c>
      <c r="F21" s="60">
        <f t="shared" si="4"/>
        <v>85.7</v>
      </c>
      <c r="G21" s="61">
        <f>IF(D21=D20,"",_xlfn.IFNA(VLOOKUP(D21,'인원 입력 기능(사과탐)'!$A$121:$D$172,4,FALSE),0))</f>
        <v>814</v>
      </c>
      <c r="H21" s="62">
        <f t="shared" si="1"/>
        <v>1.1408869204462635E-2</v>
      </c>
      <c r="I21" s="72">
        <f>SUM($G$7:G21)</f>
        <v>10610</v>
      </c>
      <c r="J21" s="64">
        <f t="shared" si="5"/>
        <v>0.14870774233335202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73">
        <v>35</v>
      </c>
      <c r="D22" s="74">
        <f t="shared" si="3"/>
        <v>62</v>
      </c>
      <c r="E22" s="74">
        <f t="shared" si="0"/>
        <v>3</v>
      </c>
      <c r="F22" s="60">
        <f t="shared" si="4"/>
        <v>84.53</v>
      </c>
      <c r="G22" s="61">
        <f>IF(D22=D21,"",_xlfn.IFNA(VLOOKUP(D22,'인원 입력 기능(사과탐)'!$A$121:$D$172,4,FALSE),0))</f>
        <v>851</v>
      </c>
      <c r="H22" s="62">
        <f t="shared" si="1"/>
        <v>1.1927454168301845E-2</v>
      </c>
      <c r="I22" s="72">
        <f>SUM($G$7:G22)</f>
        <v>11461</v>
      </c>
      <c r="J22" s="64">
        <f t="shared" si="5"/>
        <v>0.16063519650165387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09">
        <v>34</v>
      </c>
      <c r="D23" s="74">
        <f t="shared" si="3"/>
        <v>61</v>
      </c>
      <c r="E23" s="74">
        <f t="shared" si="0"/>
        <v>3</v>
      </c>
      <c r="F23" s="60">
        <f t="shared" si="4"/>
        <v>83.26</v>
      </c>
      <c r="G23" s="61">
        <f>IF(D23=D22,"",_xlfn.IFNA(VLOOKUP(D23,'인원 입력 기능(사과탐)'!$A$121:$D$172,4,FALSE),0))</f>
        <v>971</v>
      </c>
      <c r="H23" s="62">
        <f t="shared" si="1"/>
        <v>1.3609351348320906E-2</v>
      </c>
      <c r="I23" s="72">
        <f>SUM($G$7:G23)</f>
        <v>12432</v>
      </c>
      <c r="J23" s="64">
        <f t="shared" si="5"/>
        <v>0.17424454784997478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73">
        <v>33</v>
      </c>
      <c r="D24" s="74">
        <f t="shared" si="3"/>
        <v>60</v>
      </c>
      <c r="E24" s="74">
        <f t="shared" si="0"/>
        <v>3</v>
      </c>
      <c r="F24" s="60">
        <f t="shared" si="4"/>
        <v>81.94</v>
      </c>
      <c r="G24" s="61">
        <f>IF(D24=D23,"",_xlfn.IFNA(VLOOKUP(D24,'인원 입력 기능(사과탐)'!$A$121:$D$172,4,FALSE),0))</f>
        <v>902</v>
      </c>
      <c r="H24" s="62">
        <f t="shared" si="1"/>
        <v>1.2642260469809945E-2</v>
      </c>
      <c r="I24" s="72">
        <f>SUM($G$7:G24)</f>
        <v>13334</v>
      </c>
      <c r="J24" s="64">
        <f t="shared" si="5"/>
        <v>0.18688680831978471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09">
        <v>32</v>
      </c>
      <c r="D25" s="74">
        <f t="shared" si="3"/>
        <v>59</v>
      </c>
      <c r="E25" s="74">
        <f t="shared" si="0"/>
        <v>3</v>
      </c>
      <c r="F25" s="60">
        <f t="shared" si="4"/>
        <v>80.5</v>
      </c>
      <c r="G25" s="61">
        <f>IF(D25=D24,"",_xlfn.IFNA(VLOOKUP(D25,'인원 입력 기능(사과탐)'!$A$121:$D$172,4,FALSE),0))</f>
        <v>1154</v>
      </c>
      <c r="H25" s="62">
        <f t="shared" si="1"/>
        <v>1.6174244547849975E-2</v>
      </c>
      <c r="I25" s="72">
        <f>SUM($G$7:G25)</f>
        <v>14488</v>
      </c>
      <c r="J25" s="64">
        <f t="shared" si="5"/>
        <v>0.20306105286763468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73">
        <v>31</v>
      </c>
      <c r="D26" s="74">
        <f t="shared" si="3"/>
        <v>58</v>
      </c>
      <c r="E26" s="74">
        <f t="shared" si="0"/>
        <v>3</v>
      </c>
      <c r="F26" s="60">
        <f t="shared" si="4"/>
        <v>78.930000000000007</v>
      </c>
      <c r="G26" s="61">
        <f>IF(D26=D25,"",_xlfn.IFNA(VLOOKUP(D26,'인원 입력 기능(사과탐)'!$A$121:$D$172,4,FALSE),0))</f>
        <v>1094</v>
      </c>
      <c r="H26" s="62">
        <f t="shared" si="1"/>
        <v>1.5333295957840444E-2</v>
      </c>
      <c r="I26" s="72">
        <f>SUM($G$7:G26)</f>
        <v>15582</v>
      </c>
      <c r="J26" s="64">
        <f t="shared" si="5"/>
        <v>0.21839434882547515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09">
        <v>30</v>
      </c>
      <c r="D27" s="257">
        <f t="shared" si="3"/>
        <v>57</v>
      </c>
      <c r="E27" s="257">
        <f t="shared" si="0"/>
        <v>3</v>
      </c>
      <c r="F27" s="247">
        <f t="shared" si="4"/>
        <v>76.37</v>
      </c>
      <c r="G27" s="249">
        <f>IF(D27=D26,"",_xlfn.IFNA(VLOOKUP(D27,'인원 입력 기능(사과탐)'!$A$121:$D$172,4,FALSE),0))</f>
        <v>2560</v>
      </c>
      <c r="H27" s="250">
        <f t="shared" si="1"/>
        <v>3.5880473173739977E-2</v>
      </c>
      <c r="I27" s="252">
        <f>SUM($G$7:G27)</f>
        <v>18142</v>
      </c>
      <c r="J27" s="254">
        <f t="shared" si="5"/>
        <v>0.25427482199921514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73">
        <v>29</v>
      </c>
      <c r="D28" s="256"/>
      <c r="E28" s="256"/>
      <c r="F28" s="246"/>
      <c r="G28" s="248"/>
      <c r="H28" s="251"/>
      <c r="I28" s="253"/>
      <c r="J28" s="255"/>
      <c r="K28" s="36"/>
      <c r="L28" s="20" t="str">
        <f t="shared" si="2"/>
        <v>경고</v>
      </c>
      <c r="N28" s="24"/>
    </row>
    <row r="29" spans="1:17" s="22" customFormat="1" ht="25" customHeight="1" x14ac:dyDescent="0.45">
      <c r="A29" s="20"/>
      <c r="B29" s="35"/>
      <c r="C29" s="109">
        <v>28</v>
      </c>
      <c r="D29" s="74">
        <f t="shared" si="3"/>
        <v>56</v>
      </c>
      <c r="E29" s="74">
        <f t="shared" si="0"/>
        <v>4</v>
      </c>
      <c r="F29" s="60">
        <f t="shared" si="4"/>
        <v>73.709999999999994</v>
      </c>
      <c r="G29" s="61">
        <f>IF(D29=D28,"",_xlfn.IFNA(VLOOKUP(D29,'인원 입력 기능(사과탐)'!$A$121:$D$172,4,FALSE),0))</f>
        <v>1226</v>
      </c>
      <c r="H29" s="62">
        <f t="shared" si="1"/>
        <v>1.718338285586141E-2</v>
      </c>
      <c r="I29" s="72">
        <f>SUM($G$7:G29)</f>
        <v>19368</v>
      </c>
      <c r="J29" s="64">
        <f t="shared" si="5"/>
        <v>0.27145820485507655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73">
        <v>27</v>
      </c>
      <c r="D30" s="74">
        <f t="shared" si="3"/>
        <v>55</v>
      </c>
      <c r="E30" s="74">
        <f t="shared" si="0"/>
        <v>4</v>
      </c>
      <c r="F30" s="60">
        <f t="shared" si="4"/>
        <v>71.790000000000006</v>
      </c>
      <c r="G30" s="61">
        <f>IF(D30=D29,"",_xlfn.IFNA(VLOOKUP(D30,'인원 입력 기능(사과탐)'!$A$121:$D$172,4,FALSE),0))</f>
        <v>1514</v>
      </c>
      <c r="H30" s="62">
        <f t="shared" si="1"/>
        <v>2.1219936087907159E-2</v>
      </c>
      <c r="I30" s="72">
        <f>SUM($G$7:G30)</f>
        <v>20882</v>
      </c>
      <c r="J30" s="64">
        <f t="shared" si="5"/>
        <v>0.29267814094298367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09">
        <v>26</v>
      </c>
      <c r="D31" s="74">
        <f t="shared" si="3"/>
        <v>54</v>
      </c>
      <c r="E31" s="74">
        <f t="shared" si="0"/>
        <v>4</v>
      </c>
      <c r="F31" s="60">
        <f t="shared" si="4"/>
        <v>69.680000000000007</v>
      </c>
      <c r="G31" s="61">
        <f>IF(D31=D30,"",_xlfn.IFNA(VLOOKUP(D31,'인원 입력 기능(사과탐)'!$A$121:$D$172,4,FALSE),0))</f>
        <v>1504</v>
      </c>
      <c r="H31" s="62">
        <f t="shared" si="1"/>
        <v>2.1079777989572238E-2</v>
      </c>
      <c r="I31" s="72">
        <f>SUM($G$7:G31)</f>
        <v>22386</v>
      </c>
      <c r="J31" s="64">
        <f t="shared" si="5"/>
        <v>0.31375791893255595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73">
        <v>25</v>
      </c>
      <c r="D32" s="74">
        <f t="shared" si="3"/>
        <v>53</v>
      </c>
      <c r="E32" s="74">
        <f t="shared" si="0"/>
        <v>4</v>
      </c>
      <c r="F32" s="60">
        <f t="shared" si="4"/>
        <v>67.489999999999995</v>
      </c>
      <c r="G32" s="61">
        <f>IF(D32=D31,"",_xlfn.IFNA(VLOOKUP(D32,'인원 입력 기능(사과탐)'!$A$121:$D$172,4,FALSE),0))</f>
        <v>1624</v>
      </c>
      <c r="H32" s="62">
        <f t="shared" si="1"/>
        <v>2.2761675169591298E-2</v>
      </c>
      <c r="I32" s="72">
        <f>SUM($G$7:G32)</f>
        <v>24010</v>
      </c>
      <c r="J32" s="64">
        <f t="shared" si="5"/>
        <v>0.33651959410214721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09">
        <v>24</v>
      </c>
      <c r="D33" s="74">
        <f t="shared" si="3"/>
        <v>52</v>
      </c>
      <c r="E33" s="74">
        <f t="shared" si="0"/>
        <v>4</v>
      </c>
      <c r="F33" s="60">
        <f t="shared" si="4"/>
        <v>65.02</v>
      </c>
      <c r="G33" s="61">
        <f>IF(D33=D32,"",_xlfn.IFNA(VLOOKUP(D33,'인원 입력 기능(사과탐)'!$A$121:$D$172,4,FALSE),0))</f>
        <v>1888</v>
      </c>
      <c r="H33" s="62">
        <f t="shared" si="1"/>
        <v>2.6461848965633233E-2</v>
      </c>
      <c r="I33" s="72">
        <f>SUM($G$7:G33)</f>
        <v>25898</v>
      </c>
      <c r="J33" s="64">
        <f t="shared" si="5"/>
        <v>0.36298144306778046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73">
        <v>23</v>
      </c>
      <c r="D34" s="74">
        <f t="shared" si="3"/>
        <v>51</v>
      </c>
      <c r="E34" s="74">
        <f t="shared" si="0"/>
        <v>4</v>
      </c>
      <c r="F34" s="60">
        <f t="shared" si="4"/>
        <v>62.43</v>
      </c>
      <c r="G34" s="61">
        <f>IF(D34=D33,"",_xlfn.IFNA(VLOOKUP(D34,'인원 입력 기능(사과탐)'!$A$121:$D$172,4,FALSE),0))</f>
        <v>1818</v>
      </c>
      <c r="H34" s="62">
        <f t="shared" si="1"/>
        <v>2.5480742277288783E-2</v>
      </c>
      <c r="I34" s="72">
        <f>SUM($G$7:G34)</f>
        <v>27716</v>
      </c>
      <c r="J34" s="64">
        <f t="shared" si="5"/>
        <v>0.38846218534506921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09">
        <v>22</v>
      </c>
      <c r="D35" s="257">
        <f t="shared" si="3"/>
        <v>50</v>
      </c>
      <c r="E35" s="257">
        <f t="shared" si="0"/>
        <v>4</v>
      </c>
      <c r="F35" s="247">
        <f t="shared" si="4"/>
        <v>58.14</v>
      </c>
      <c r="G35" s="249">
        <f>IF(D35=D34,"",_xlfn.IFNA(VLOOKUP(D35,'인원 입력 기능(사과탐)'!$A$121:$D$172,4,FALSE),0))</f>
        <v>4303</v>
      </c>
      <c r="H35" s="250">
        <f t="shared" si="1"/>
        <v>6.0310029713516844E-2</v>
      </c>
      <c r="I35" s="252">
        <f>SUM($G$7:G35)</f>
        <v>32019</v>
      </c>
      <c r="J35" s="254">
        <f t="shared" si="5"/>
        <v>0.44877221505858611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73">
        <v>21</v>
      </c>
      <c r="D36" s="256"/>
      <c r="E36" s="256"/>
      <c r="F36" s="246"/>
      <c r="G36" s="248"/>
      <c r="H36" s="251"/>
      <c r="I36" s="253"/>
      <c r="J36" s="255"/>
      <c r="K36" s="36"/>
      <c r="L36" s="20" t="str">
        <f t="shared" si="2"/>
        <v>경고</v>
      </c>
      <c r="N36" s="24"/>
    </row>
    <row r="37" spans="1:14" s="22" customFormat="1" ht="25" customHeight="1" x14ac:dyDescent="0.45">
      <c r="A37" s="20"/>
      <c r="B37" s="35"/>
      <c r="C37" s="109">
        <v>20</v>
      </c>
      <c r="D37" s="74">
        <f t="shared" si="3"/>
        <v>49</v>
      </c>
      <c r="E37" s="74">
        <f t="shared" si="0"/>
        <v>5</v>
      </c>
      <c r="F37" s="60">
        <f t="shared" si="4"/>
        <v>53.63</v>
      </c>
      <c r="G37" s="61">
        <f>IF(D37=D36,"",_xlfn.IFNA(VLOOKUP(D37,'인원 입력 기능(사과탐)'!$A$121:$D$172,4,FALSE),0))</f>
        <v>2129</v>
      </c>
      <c r="H37" s="62">
        <f t="shared" si="1"/>
        <v>2.9839659135504848E-2</v>
      </c>
      <c r="I37" s="72">
        <f>SUM($G$7:G37)</f>
        <v>34148</v>
      </c>
      <c r="J37" s="64">
        <f t="shared" si="5"/>
        <v>0.47861187419409096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73">
        <v>19</v>
      </c>
      <c r="D38" s="74">
        <f t="shared" si="3"/>
        <v>48</v>
      </c>
      <c r="E38" s="74">
        <f t="shared" si="0"/>
        <v>5</v>
      </c>
      <c r="F38" s="60">
        <f t="shared" si="4"/>
        <v>50.36</v>
      </c>
      <c r="G38" s="61">
        <f>IF(D38=D37,"",_xlfn.IFNA(VLOOKUP(D38,'인원 입력 기능(사과탐)'!$A$121:$D$172,4,FALSE),0))</f>
        <v>2541</v>
      </c>
      <c r="H38" s="62">
        <f t="shared" si="1"/>
        <v>3.5614172786903625E-2</v>
      </c>
      <c r="I38" s="72">
        <f>SUM($G$7:G38)</f>
        <v>36689</v>
      </c>
      <c r="J38" s="64">
        <f t="shared" si="5"/>
        <v>0.51422604698099461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09">
        <v>18</v>
      </c>
      <c r="D39" s="74">
        <f t="shared" si="3"/>
        <v>47</v>
      </c>
      <c r="E39" s="74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5</v>
      </c>
      <c r="F39" s="60">
        <f t="shared" si="4"/>
        <v>46.97</v>
      </c>
      <c r="G39" s="61">
        <f>IF(D39=D38,"",_xlfn.IFNA(VLOOKUP(D39,'인원 입력 기능(사과탐)'!$A$121:$D$172,4,FALSE),0))</f>
        <v>2287</v>
      </c>
      <c r="H39" s="62">
        <f t="shared" si="1"/>
        <v>3.2054157089196615E-2</v>
      </c>
      <c r="I39" s="72">
        <f>SUM($G$7:G39)</f>
        <v>38976</v>
      </c>
      <c r="J39" s="64">
        <f t="shared" si="5"/>
        <v>0.54628020407019118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73">
        <v>17</v>
      </c>
      <c r="D40" s="74">
        <f t="shared" si="3"/>
        <v>46</v>
      </c>
      <c r="E40" s="74">
        <f t="shared" si="6"/>
        <v>5</v>
      </c>
      <c r="F40" s="60">
        <f t="shared" si="4"/>
        <v>43.58</v>
      </c>
      <c r="G40" s="61">
        <f>IF(D40=D39,"",_xlfn.IFNA(VLOOKUP(D40,'인원 입력 기능(사과탐)'!$A$121:$D$172,4,FALSE),0))</f>
        <v>2553</v>
      </c>
      <c r="H40" s="62">
        <f t="shared" si="1"/>
        <v>3.5782362504905532E-2</v>
      </c>
      <c r="I40" s="72">
        <f>SUM($G$7:G40)</f>
        <v>41529</v>
      </c>
      <c r="J40" s="64">
        <f t="shared" si="5"/>
        <v>0.5820625665750967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09">
        <v>16</v>
      </c>
      <c r="D41" s="74">
        <f t="shared" si="3"/>
        <v>45</v>
      </c>
      <c r="E41" s="74">
        <f t="shared" si="6"/>
        <v>5</v>
      </c>
      <c r="F41" s="60">
        <f t="shared" si="4"/>
        <v>39.99</v>
      </c>
      <c r="G41" s="61">
        <f>IF(D41=D40,"",_xlfn.IFNA(VLOOKUP(D41,'인원 입력 기능(사과탐)'!$A$121:$D$172,4,FALSE),0))</f>
        <v>2569</v>
      </c>
      <c r="H41" s="62">
        <f t="shared" si="1"/>
        <v>3.6006615462241411E-2</v>
      </c>
      <c r="I41" s="72">
        <f>SUM($G$7:G41)</f>
        <v>44098</v>
      </c>
      <c r="J41" s="64">
        <f t="shared" si="5"/>
        <v>0.61806918203733807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73">
        <v>15</v>
      </c>
      <c r="D42" s="74">
        <f t="shared" si="3"/>
        <v>44</v>
      </c>
      <c r="E42" s="74">
        <f t="shared" si="6"/>
        <v>6</v>
      </c>
      <c r="F42" s="60">
        <f t="shared" si="4"/>
        <v>36.409999999999997</v>
      </c>
      <c r="G42" s="61">
        <f>IF(D42=D41,"",_xlfn.IFNA(VLOOKUP(D42,'인원 입력 기능(사과탐)'!$A$121:$D$172,4,FALSE),0))</f>
        <v>2547</v>
      </c>
      <c r="H42" s="62">
        <f t="shared" si="1"/>
        <v>3.5698267645904579E-2</v>
      </c>
      <c r="I42" s="72">
        <f>SUM($G$7:G42)</f>
        <v>46645</v>
      </c>
      <c r="J42" s="64">
        <f t="shared" si="5"/>
        <v>0.65376744968324274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09">
        <v>14</v>
      </c>
      <c r="D43" s="74">
        <f t="shared" si="3"/>
        <v>43</v>
      </c>
      <c r="E43" s="74">
        <f t="shared" si="6"/>
        <v>6</v>
      </c>
      <c r="F43" s="60">
        <f t="shared" si="4"/>
        <v>32.729999999999997</v>
      </c>
      <c r="G43" s="61">
        <f>IF(D43=D42,"",_xlfn.IFNA(VLOOKUP(D43,'인원 입력 기능(사과탐)'!$A$121:$D$172,4,FALSE),0))</f>
        <v>2701</v>
      </c>
      <c r="H43" s="62">
        <f t="shared" si="1"/>
        <v>3.7856702360262375E-2</v>
      </c>
      <c r="I43" s="72">
        <f>SUM($G$7:G43)</f>
        <v>49346</v>
      </c>
      <c r="J43" s="64">
        <f t="shared" si="5"/>
        <v>0.69162415204350502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73">
        <v>13</v>
      </c>
      <c r="D44" s="257">
        <f t="shared" si="3"/>
        <v>42</v>
      </c>
      <c r="E44" s="257">
        <f t="shared" si="6"/>
        <v>6</v>
      </c>
      <c r="F44" s="247">
        <f t="shared" si="4"/>
        <v>23.93</v>
      </c>
      <c r="G44" s="249">
        <f>IF(D44=D43,"",_xlfn.IFNA(VLOOKUP(D44,'인원 입력 기능(사과탐)'!$A$121:$D$172,4,FALSE),0))</f>
        <v>9854</v>
      </c>
      <c r="H44" s="250">
        <f t="shared" si="1"/>
        <v>0.13811179009923194</v>
      </c>
      <c r="I44" s="252">
        <f>SUM($G$7:G44)</f>
        <v>59200</v>
      </c>
      <c r="J44" s="254">
        <f t="shared" si="5"/>
        <v>0.82973594214273705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09">
        <v>12</v>
      </c>
      <c r="D45" s="256"/>
      <c r="E45" s="256"/>
      <c r="F45" s="246"/>
      <c r="G45" s="248"/>
      <c r="H45" s="251"/>
      <c r="I45" s="253"/>
      <c r="J45" s="255"/>
      <c r="K45" s="36"/>
      <c r="L45" s="20" t="str">
        <f t="shared" si="2"/>
        <v>경고</v>
      </c>
      <c r="N45" s="24"/>
    </row>
    <row r="46" spans="1:14" s="22" customFormat="1" ht="25" customHeight="1" x14ac:dyDescent="0.45">
      <c r="A46" s="20"/>
      <c r="B46" s="35"/>
      <c r="C46" s="73">
        <v>11</v>
      </c>
      <c r="D46" s="74">
        <f t="shared" si="3"/>
        <v>41</v>
      </c>
      <c r="E46" s="74">
        <f t="shared" si="6"/>
        <v>7</v>
      </c>
      <c r="F46" s="60">
        <f t="shared" si="4"/>
        <v>15.51</v>
      </c>
      <c r="G46" s="61">
        <f>IF(D46=D45,"",_xlfn.IFNA(VLOOKUP(D46,'인원 입력 기능(사과탐)'!$A$121:$D$172,4,FALSE),0))</f>
        <v>2170</v>
      </c>
      <c r="H46" s="62">
        <f t="shared" si="1"/>
        <v>3.0414307338678028E-2</v>
      </c>
      <c r="I46" s="72">
        <f>SUM($G$7:G46)</f>
        <v>61370</v>
      </c>
      <c r="J46" s="64">
        <f t="shared" si="5"/>
        <v>0.86015024948141505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09">
        <v>10</v>
      </c>
      <c r="D47" s="74">
        <f t="shared" si="3"/>
        <v>40</v>
      </c>
      <c r="E47" s="74">
        <f t="shared" si="6"/>
        <v>7</v>
      </c>
      <c r="F47" s="60">
        <f t="shared" si="4"/>
        <v>12.73</v>
      </c>
      <c r="G47" s="61">
        <f>IF(D47=D46,"",_xlfn.IFNA(VLOOKUP(D47,'인원 입력 기능(사과탐)'!$A$121:$D$172,4,FALSE),0))</f>
        <v>1795</v>
      </c>
      <c r="H47" s="62">
        <f t="shared" si="1"/>
        <v>2.5158378651118463E-2</v>
      </c>
      <c r="I47" s="72">
        <f>SUM($G$7:G47)</f>
        <v>63165</v>
      </c>
      <c r="J47" s="64">
        <f t="shared" si="5"/>
        <v>0.88530862813253353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73">
        <v>9</v>
      </c>
      <c r="D48" s="74">
        <f t="shared" si="3"/>
        <v>39</v>
      </c>
      <c r="E48" s="74">
        <f t="shared" si="6"/>
        <v>7</v>
      </c>
      <c r="F48" s="60">
        <f t="shared" si="4"/>
        <v>9.89</v>
      </c>
      <c r="G48" s="61">
        <f>IF(D48=D47,"",_xlfn.IFNA(VLOOKUP(D48,'인원 입력 기능(사과탐)'!$A$121:$D$172,4,FALSE),0))</f>
        <v>2260</v>
      </c>
      <c r="H48" s="62">
        <f t="shared" si="1"/>
        <v>3.1675730223692328E-2</v>
      </c>
      <c r="I48" s="72">
        <f>SUM($G$7:G48)</f>
        <v>65425</v>
      </c>
      <c r="J48" s="64">
        <f t="shared" si="5"/>
        <v>0.91698435835622583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09">
        <v>8</v>
      </c>
      <c r="D49" s="74">
        <f t="shared" si="3"/>
        <v>38</v>
      </c>
      <c r="E49" s="74">
        <f t="shared" si="6"/>
        <v>8</v>
      </c>
      <c r="F49" s="60">
        <f t="shared" si="4"/>
        <v>6.72</v>
      </c>
      <c r="G49" s="61">
        <f>IF(D49=D48,"",_xlfn.IFNA(VLOOKUP(D49,'인원 입력 기능(사과탐)'!$A$121:$D$172,4,FALSE),0))</f>
        <v>2258</v>
      </c>
      <c r="H49" s="62">
        <f t="shared" si="1"/>
        <v>3.1647698604025339E-2</v>
      </c>
      <c r="I49" s="72">
        <f>SUM($G$7:G49)</f>
        <v>67683</v>
      </c>
      <c r="J49" s="64">
        <f t="shared" si="5"/>
        <v>0.94863205696025121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73">
        <v>7</v>
      </c>
      <c r="D50" s="74">
        <f t="shared" si="3"/>
        <v>37</v>
      </c>
      <c r="E50" s="74">
        <f t="shared" si="6"/>
        <v>8</v>
      </c>
      <c r="F50" s="60">
        <f t="shared" si="4"/>
        <v>4.34</v>
      </c>
      <c r="G50" s="61">
        <f>IF(D50=D49,"",_xlfn.IFNA(VLOOKUP(D50,'인원 입력 기능(사과탐)'!$A$121:$D$172,4,FALSE),0))</f>
        <v>1132</v>
      </c>
      <c r="H50" s="62">
        <f t="shared" si="1"/>
        <v>1.5865896731513146E-2</v>
      </c>
      <c r="I50" s="72">
        <f>SUM($G$7:G50)</f>
        <v>68815</v>
      </c>
      <c r="J50" s="64">
        <f t="shared" si="5"/>
        <v>0.96449795369176428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09">
        <v>6</v>
      </c>
      <c r="D51" s="74">
        <f t="shared" si="3"/>
        <v>36</v>
      </c>
      <c r="E51" s="74">
        <f t="shared" si="6"/>
        <v>9</v>
      </c>
      <c r="F51" s="60">
        <f t="shared" si="4"/>
        <v>3.04</v>
      </c>
      <c r="G51" s="61">
        <f>IF(D51=D50,"",_xlfn.IFNA(VLOOKUP(D51,'인원 입력 기능(사과탐)'!$A$121:$D$172,4,FALSE),0))</f>
        <v>727</v>
      </c>
      <c r="H51" s="62">
        <f t="shared" si="1"/>
        <v>1.0189493748948814E-2</v>
      </c>
      <c r="I51" s="72">
        <f>SUM($G$7:G51)</f>
        <v>69542</v>
      </c>
      <c r="J51" s="64">
        <f t="shared" si="5"/>
        <v>0.97468744744071312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73">
        <v>5</v>
      </c>
      <c r="D52" s="257">
        <f t="shared" si="3"/>
        <v>35</v>
      </c>
      <c r="E52" s="257">
        <f t="shared" si="6"/>
        <v>9</v>
      </c>
      <c r="F52" s="247">
        <f t="shared" si="4"/>
        <v>1.69</v>
      </c>
      <c r="G52" s="249">
        <f>IF(D52=D51,"",_xlfn.IFNA(VLOOKUP(D52,'인원 입력 기능(사과탐)'!$A$121:$D$172,4,FALSE),0))</f>
        <v>1203</v>
      </c>
      <c r="H52" s="250">
        <f t="shared" si="1"/>
        <v>1.686101922969109E-2</v>
      </c>
      <c r="I52" s="252">
        <f>SUM($G$7:G52)</f>
        <v>70745</v>
      </c>
      <c r="J52" s="254">
        <f t="shared" si="5"/>
        <v>0.99154846667040419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58">
        <v>4</v>
      </c>
      <c r="D53" s="256"/>
      <c r="E53" s="256"/>
      <c r="F53" s="246"/>
      <c r="G53" s="248"/>
      <c r="H53" s="251"/>
      <c r="I53" s="253"/>
      <c r="J53" s="255"/>
      <c r="K53" s="36"/>
      <c r="L53" s="20" t="str">
        <f t="shared" si="2"/>
        <v>경고</v>
      </c>
      <c r="N53" s="24"/>
    </row>
    <row r="54" spans="1:14" s="22" customFormat="1" ht="25" customHeight="1" x14ac:dyDescent="0.45">
      <c r="A54" s="20"/>
      <c r="B54" s="35"/>
      <c r="C54" s="65">
        <v>3</v>
      </c>
      <c r="D54" s="59">
        <f t="shared" si="3"/>
        <v>34</v>
      </c>
      <c r="E54" s="59">
        <f t="shared" si="6"/>
        <v>9</v>
      </c>
      <c r="F54" s="60">
        <f t="shared" si="4"/>
        <v>0.7</v>
      </c>
      <c r="G54" s="61">
        <f>IF(D54=D53,"",_xlfn.IFNA(VLOOKUP(D54,'인원 입력 기능(사과탐)'!$A$121:$D$172,4,FALSE),0))</f>
        <v>211</v>
      </c>
      <c r="H54" s="62">
        <f t="shared" si="1"/>
        <v>2.9573358748668497E-3</v>
      </c>
      <c r="I54" s="72">
        <f>SUM($G$7:G54)</f>
        <v>70956</v>
      </c>
      <c r="J54" s="64">
        <f t="shared" si="5"/>
        <v>0.9945058025452711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58">
        <v>2</v>
      </c>
      <c r="D55" s="59">
        <f t="shared" si="3"/>
        <v>33</v>
      </c>
      <c r="E55" s="59">
        <f t="shared" si="6"/>
        <v>9</v>
      </c>
      <c r="F55" s="60">
        <f t="shared" si="4"/>
        <v>0.34</v>
      </c>
      <c r="G55" s="61">
        <f>IF(D55=D54,"",_xlfn.IFNA(VLOOKUP(D55,'인원 입력 기능(사과탐)'!$A$121:$D$172,4,FALSE),0))</f>
        <v>298</v>
      </c>
      <c r="H55" s="62">
        <f t="shared" si="1"/>
        <v>4.1767113303806695E-3</v>
      </c>
      <c r="I55" s="72">
        <f>SUM($G$7:G55)</f>
        <v>71254</v>
      </c>
      <c r="J55" s="64">
        <f t="shared" si="5"/>
        <v>0.99868251387565177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5">
        <v>1</v>
      </c>
      <c r="D56" s="66" t="s">
        <v>56</v>
      </c>
      <c r="E56" s="66"/>
      <c r="F56" s="67"/>
      <c r="G56" s="110"/>
      <c r="H56" s="108"/>
      <c r="I56" s="76"/>
      <c r="J56" s="71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11">
        <v>0</v>
      </c>
      <c r="D57" s="78">
        <f>ROUND(10*(C57-$H$3)/$H$4+50,0)</f>
        <v>31</v>
      </c>
      <c r="E57" s="112">
        <f t="shared" si="6"/>
        <v>9</v>
      </c>
      <c r="F57" s="79">
        <f>IF(I55=0,ROUND(100*(1-(I54+I57)/2/$J$3),2),ROUND(100*(1-(I55+I57)/2/$J$3),2))</f>
        <v>7.0000000000000007E-2</v>
      </c>
      <c r="G57" s="113">
        <f>_xlfn.IFNA(VLOOKUP(D57,'인원 입력 기능(사과탐)'!$A$121:$D$172,4,FALSE),0)</f>
        <v>94</v>
      </c>
      <c r="H57" s="81">
        <f>G57/$J$3</f>
        <v>1.3174861243482648E-3</v>
      </c>
      <c r="I57" s="82">
        <f>SUM($G$7:G57)</f>
        <v>71348</v>
      </c>
      <c r="J57" s="114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45">
    <mergeCell ref="I52:I53"/>
    <mergeCell ref="J52:J53"/>
    <mergeCell ref="D52:D53"/>
    <mergeCell ref="E52:E53"/>
    <mergeCell ref="F52:F53"/>
    <mergeCell ref="G52:G53"/>
    <mergeCell ref="H52:H53"/>
    <mergeCell ref="I35:I36"/>
    <mergeCell ref="J35:J36"/>
    <mergeCell ref="D44:D45"/>
    <mergeCell ref="E44:E45"/>
    <mergeCell ref="F44:F45"/>
    <mergeCell ref="G44:G45"/>
    <mergeCell ref="H44:H45"/>
    <mergeCell ref="I44:I45"/>
    <mergeCell ref="J44:J45"/>
    <mergeCell ref="D35:D36"/>
    <mergeCell ref="E35:E36"/>
    <mergeCell ref="F35:F36"/>
    <mergeCell ref="G35:G36"/>
    <mergeCell ref="H35:H36"/>
    <mergeCell ref="I18:I19"/>
    <mergeCell ref="J18:J19"/>
    <mergeCell ref="D27:D28"/>
    <mergeCell ref="E27:E28"/>
    <mergeCell ref="F27:F28"/>
    <mergeCell ref="G27:G28"/>
    <mergeCell ref="H27:H28"/>
    <mergeCell ref="I27:I28"/>
    <mergeCell ref="J27:J28"/>
    <mergeCell ref="D18:D19"/>
    <mergeCell ref="E18:E19"/>
    <mergeCell ref="F18:F19"/>
    <mergeCell ref="G18:G19"/>
    <mergeCell ref="H18:H19"/>
    <mergeCell ref="D3:F3"/>
    <mergeCell ref="D4:F4"/>
    <mergeCell ref="I4:J5"/>
    <mergeCell ref="D10:D11"/>
    <mergeCell ref="E10:E11"/>
    <mergeCell ref="F10:F11"/>
    <mergeCell ref="G10:G11"/>
    <mergeCell ref="H10:H11"/>
    <mergeCell ref="I10:I11"/>
    <mergeCell ref="J10:J11"/>
  </mergeCells>
  <phoneticPr fontId="1" type="noConversion"/>
  <conditionalFormatting sqref="D7:G10 I7:J10 D12:G18 I12:J18 D20:G27 I20:J27 D29:G35 I29:J35 D37:G44 I37:J44 D46:G52 I46:J52 D54:G57 I54:J57">
    <cfRule type="expression" dxfId="19" priority="4">
      <formula>OR($D7=$Q$7:$Q$14)</formula>
    </cfRule>
  </conditionalFormatting>
  <conditionalFormatting sqref="C7:C57">
    <cfRule type="expression" dxfId="18" priority="3">
      <formula>OR(AND($D7=0,OR($D6=$Q$7:$Q$14)),AND($D8&gt;0,OR($D7=$Q$7:$Q$14)))</formula>
    </cfRule>
  </conditionalFormatting>
  <conditionalFormatting sqref="D7:D10 D12:D18 D20:D27 D29:D35 D37:D44 D46:D52 D54:D57">
    <cfRule type="expression" dxfId="17" priority="2">
      <formula>$D7=$D8</formula>
    </cfRule>
  </conditionalFormatting>
  <conditionalFormatting sqref="H7:H10 H12:H18 H20:H27 H29:H35 H37:H44 H46:H52 H54:H57">
    <cfRule type="expression" dxfId="16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30A4B-4E11-46F3-A11B-285051ABE31F}">
  <sheetPr codeName="Sheet19"/>
  <dimension ref="A1:Q105"/>
  <sheetViews>
    <sheetView zoomScale="98" zoomScaleNormal="98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152" t="s">
        <v>133</v>
      </c>
      <c r="B1" s="157"/>
      <c r="C1" s="33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8"/>
      <c r="B2" s="152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155"/>
      <c r="C3" s="48" t="s">
        <v>68</v>
      </c>
      <c r="D3" s="163" t="s">
        <v>134</v>
      </c>
      <c r="E3" s="164"/>
      <c r="F3" s="165"/>
      <c r="G3" s="48" t="s">
        <v>69</v>
      </c>
      <c r="H3" s="49" t="str">
        <f>'통계 및 응시자 수 입력 기능'!D17</f>
        <v>19.71</v>
      </c>
      <c r="I3" s="21" t="s">
        <v>70</v>
      </c>
      <c r="J3" s="50">
        <f>'통계 및 응시자 수 입력 기능'!C17</f>
        <v>58538</v>
      </c>
      <c r="K3" s="36"/>
      <c r="L3" s="20"/>
    </row>
    <row r="4" spans="1:17" s="22" customFormat="1" ht="25" customHeight="1" thickBot="1" x14ac:dyDescent="0.5">
      <c r="A4" s="20"/>
      <c r="B4" s="35"/>
      <c r="C4" s="51" t="s">
        <v>71</v>
      </c>
      <c r="D4" s="166" t="s">
        <v>95</v>
      </c>
      <c r="E4" s="167"/>
      <c r="F4" s="168"/>
      <c r="G4" s="52" t="s">
        <v>73</v>
      </c>
      <c r="H4" s="53" t="str">
        <f>'통계 및 응시자 수 입력 기능'!E17</f>
        <v>10.30</v>
      </c>
      <c r="I4" s="169"/>
      <c r="J4" s="170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171"/>
      <c r="J5" s="171"/>
      <c r="K5" s="36"/>
      <c r="L5" s="20"/>
    </row>
    <row r="6" spans="1:17" s="22" customFormat="1" ht="25" customHeight="1" thickBot="1" x14ac:dyDescent="0.5">
      <c r="A6" s="20"/>
      <c r="B6" s="35"/>
      <c r="C6" s="54" t="s">
        <v>75</v>
      </c>
      <c r="D6" s="55" t="s">
        <v>76</v>
      </c>
      <c r="E6" s="55" t="s">
        <v>77</v>
      </c>
      <c r="F6" s="55" t="s">
        <v>78</v>
      </c>
      <c r="G6" s="55" t="s">
        <v>79</v>
      </c>
      <c r="H6" s="55" t="s">
        <v>80</v>
      </c>
      <c r="I6" s="56" t="s">
        <v>81</v>
      </c>
      <c r="J6" s="57" t="s">
        <v>82</v>
      </c>
      <c r="K6" s="36"/>
      <c r="L6" s="19" t="s">
        <v>64</v>
      </c>
      <c r="M6" s="19"/>
      <c r="N6" s="23"/>
    </row>
    <row r="7" spans="1:17" s="22" customFormat="1" ht="25" customHeight="1" x14ac:dyDescent="0.45">
      <c r="A7" s="20"/>
      <c r="B7" s="35"/>
      <c r="C7" s="160">
        <v>50</v>
      </c>
      <c r="D7" s="59">
        <f>ROUND(10*(C7-$H$3)/$H$4+50,0)</f>
        <v>79</v>
      </c>
      <c r="E7" s="59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60">
        <f>ROUND(100*(1-(0+I7)/2/$J$3),2)</f>
        <v>99.78</v>
      </c>
      <c r="G7" s="61">
        <f>_xlfn.IFNA(VLOOKUP(D7,'인원 입력 기능(사과탐)'!$A$177:$D$231,4,FALSE),0)</f>
        <v>252</v>
      </c>
      <c r="H7" s="62">
        <f>G7/$J$3</f>
        <v>4.3048959650141792E-3</v>
      </c>
      <c r="I7" s="63">
        <f>G7</f>
        <v>252</v>
      </c>
      <c r="J7" s="64">
        <f>I7/$J$3</f>
        <v>4.3048959650141792E-3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기능'!C121</f>
        <v>72</v>
      </c>
    </row>
    <row r="8" spans="1:17" s="22" customFormat="1" ht="25" customHeight="1" x14ac:dyDescent="0.45">
      <c r="A8" s="20"/>
      <c r="B8" s="35"/>
      <c r="C8" s="58">
        <v>49</v>
      </c>
      <c r="D8" s="66" t="s">
        <v>56</v>
      </c>
      <c r="E8" s="66"/>
      <c r="F8" s="67"/>
      <c r="G8" s="68"/>
      <c r="H8" s="108"/>
      <c r="I8" s="70"/>
      <c r="J8" s="71"/>
      <c r="K8" s="36"/>
      <c r="L8" s="20"/>
      <c r="N8" s="24"/>
      <c r="P8" s="24">
        <v>2</v>
      </c>
      <c r="Q8" s="24">
        <f>'표점등급&amp;절평인원 입력 기능'!C122</f>
        <v>64</v>
      </c>
    </row>
    <row r="9" spans="1:17" s="22" customFormat="1" ht="25" customHeight="1" x14ac:dyDescent="0.45">
      <c r="A9" s="20"/>
      <c r="B9" s="35"/>
      <c r="C9" s="58">
        <v>48</v>
      </c>
      <c r="D9" s="59">
        <f>ROUND(10*(C9-$H$3)/$H$4+50,0)</f>
        <v>77</v>
      </c>
      <c r="E9" s="59">
        <f t="shared" si="0"/>
        <v>1</v>
      </c>
      <c r="F9" s="60">
        <f>IF(I8=0,ROUND(100*(1-(I7+I9)/2/$J$3),2),ROUND(100*(1-(I8+I9)/2/$J$3),2))</f>
        <v>99.34</v>
      </c>
      <c r="G9" s="61">
        <f>_xlfn.IFNA(VLOOKUP(D9,'인원 입력 기능(사과탐)'!$A$177:$D$231,4,FALSE),0)</f>
        <v>274</v>
      </c>
      <c r="H9" s="62">
        <f t="shared" ref="H9:H55" si="1">G9/$J$3</f>
        <v>4.680720215928115E-3</v>
      </c>
      <c r="I9" s="72">
        <f>SUM($G$7:G9)</f>
        <v>526</v>
      </c>
      <c r="J9" s="64">
        <f>I9/$J$3</f>
        <v>8.9856161809422942E-3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기능'!C123</f>
        <v>57</v>
      </c>
    </row>
    <row r="10" spans="1:17" s="22" customFormat="1" ht="25" customHeight="1" x14ac:dyDescent="0.45">
      <c r="A10" s="20"/>
      <c r="B10" s="35"/>
      <c r="C10" s="65">
        <v>47</v>
      </c>
      <c r="D10" s="237">
        <f t="shared" ref="D10:D55" si="3">ROUND(10*(C10-$H$3)/$H$4+50,0)</f>
        <v>76</v>
      </c>
      <c r="E10" s="237">
        <f t="shared" si="0"/>
        <v>1</v>
      </c>
      <c r="F10" s="247">
        <f t="shared" ref="F10:F55" si="4">IF(I9=0,ROUND(100*(1-(I8+I10)/2/$J$3),2),ROUND(100*(1-(I9+I10)/2/$J$3),2))</f>
        <v>98.78</v>
      </c>
      <c r="G10" s="249">
        <f>IF(D10=D9,"",_xlfn.IFNA(VLOOKUP(D10,'인원 입력 기능(사과탐)'!$A$177:$D$231,4,FALSE),0))</f>
        <v>374</v>
      </c>
      <c r="H10" s="250">
        <f t="shared" si="1"/>
        <v>6.3890122655369166E-3</v>
      </c>
      <c r="I10" s="252">
        <f>SUM($G$7:G10)</f>
        <v>900</v>
      </c>
      <c r="J10" s="254">
        <f t="shared" ref="J10:J55" si="5">I10/$J$3</f>
        <v>1.5374628446479211E-2</v>
      </c>
      <c r="K10" s="36"/>
      <c r="L10" s="20" t="str">
        <f t="shared" si="2"/>
        <v>경고</v>
      </c>
      <c r="N10" s="24"/>
      <c r="P10" s="24">
        <v>4</v>
      </c>
      <c r="Q10" s="24">
        <f>'표점등급&amp;절평인원 입력 기능'!C124</f>
        <v>50</v>
      </c>
    </row>
    <row r="11" spans="1:17" s="22" customFormat="1" ht="25" customHeight="1" x14ac:dyDescent="0.45">
      <c r="A11" s="20"/>
      <c r="B11" s="35"/>
      <c r="C11" s="58">
        <v>46</v>
      </c>
      <c r="D11" s="238"/>
      <c r="E11" s="238"/>
      <c r="F11" s="246"/>
      <c r="G11" s="248"/>
      <c r="H11" s="251"/>
      <c r="I11" s="253"/>
      <c r="J11" s="255"/>
      <c r="K11" s="36"/>
      <c r="L11" s="20" t="str">
        <f t="shared" si="2"/>
        <v>경고</v>
      </c>
      <c r="N11" s="24"/>
      <c r="P11" s="24">
        <v>5</v>
      </c>
      <c r="Q11" s="24">
        <f>'표점등급&amp;절평인원 입력 기능'!C125</f>
        <v>45</v>
      </c>
    </row>
    <row r="12" spans="1:17" s="22" customFormat="1" ht="25" customHeight="1" x14ac:dyDescent="0.45">
      <c r="A12" s="20"/>
      <c r="B12" s="35"/>
      <c r="C12" s="65">
        <v>45</v>
      </c>
      <c r="D12" s="59">
        <f t="shared" si="3"/>
        <v>75</v>
      </c>
      <c r="E12" s="59">
        <f t="shared" si="0"/>
        <v>1</v>
      </c>
      <c r="F12" s="60">
        <f t="shared" si="4"/>
        <v>98.03</v>
      </c>
      <c r="G12" s="61">
        <f>IF(D12=D11,"",_xlfn.IFNA(VLOOKUP(D12,'인원 입력 기능(사과탐)'!$A$177:$D$231,4,FALSE),0))</f>
        <v>511</v>
      </c>
      <c r="H12" s="62">
        <f t="shared" si="1"/>
        <v>8.7293723735009741E-3</v>
      </c>
      <c r="I12" s="72">
        <f>SUM($G$7:G12)</f>
        <v>1411</v>
      </c>
      <c r="J12" s="64">
        <f t="shared" si="5"/>
        <v>2.4104000819980185E-2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기능'!C126</f>
        <v>43</v>
      </c>
    </row>
    <row r="13" spans="1:17" s="22" customFormat="1" ht="25" customHeight="1" x14ac:dyDescent="0.45">
      <c r="A13" s="20"/>
      <c r="B13" s="35"/>
      <c r="C13" s="58">
        <v>44</v>
      </c>
      <c r="D13" s="59">
        <f t="shared" si="3"/>
        <v>74</v>
      </c>
      <c r="E13" s="59">
        <f t="shared" si="0"/>
        <v>1</v>
      </c>
      <c r="F13" s="60">
        <f t="shared" si="4"/>
        <v>97.39</v>
      </c>
      <c r="G13" s="61">
        <f>IF(D13=D12,"",_xlfn.IFNA(VLOOKUP(D13,'인원 입력 기능(사과탐)'!$A$177:$D$231,4,FALSE),0))</f>
        <v>230</v>
      </c>
      <c r="H13" s="62">
        <f t="shared" si="1"/>
        <v>3.9290717141002426E-3</v>
      </c>
      <c r="I13" s="72">
        <f>SUM($G$7:G13)</f>
        <v>1641</v>
      </c>
      <c r="J13" s="64">
        <f t="shared" si="5"/>
        <v>2.8033072534080425E-2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기능'!C127</f>
        <v>40</v>
      </c>
    </row>
    <row r="14" spans="1:17" s="22" customFormat="1" ht="25" customHeight="1" x14ac:dyDescent="0.45">
      <c r="A14" s="20"/>
      <c r="B14" s="35"/>
      <c r="C14" s="73">
        <v>43</v>
      </c>
      <c r="D14" s="115">
        <f t="shared" si="3"/>
        <v>73</v>
      </c>
      <c r="E14" s="115">
        <f t="shared" si="0"/>
        <v>1</v>
      </c>
      <c r="F14" s="60">
        <f t="shared" si="4"/>
        <v>96.9</v>
      </c>
      <c r="G14" s="61">
        <f>IF(D14=D13,"",_xlfn.IFNA(VLOOKUP(D14,'인원 입력 기능(사과탐)'!$A$177:$D$231,4,FALSE),0))</f>
        <v>349</v>
      </c>
      <c r="H14" s="62">
        <f t="shared" si="1"/>
        <v>5.9619392531347157E-3</v>
      </c>
      <c r="I14" s="72">
        <f>SUM($G$7:G14)</f>
        <v>1990</v>
      </c>
      <c r="J14" s="64">
        <f t="shared" si="5"/>
        <v>3.3995011787215139E-2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기능'!C128</f>
        <v>37</v>
      </c>
    </row>
    <row r="15" spans="1:17" s="22" customFormat="1" ht="25" customHeight="1" x14ac:dyDescent="0.45">
      <c r="A15" s="20"/>
      <c r="B15" s="35"/>
      <c r="C15" s="58">
        <v>42</v>
      </c>
      <c r="D15" s="115">
        <f t="shared" ref="D15" si="6">ROUND(10*(C15-$H$3)/$H$4+50,0)</f>
        <v>72</v>
      </c>
      <c r="E15" s="115">
        <f t="shared" si="0"/>
        <v>1</v>
      </c>
      <c r="F15" s="60">
        <f t="shared" si="4"/>
        <v>96.05</v>
      </c>
      <c r="G15" s="61">
        <f>IF(D15=D14,"",_xlfn.IFNA(VLOOKUP(D15,'인원 입력 기능(사과탐)'!$A$177:$D$231,4,FALSE),0))</f>
        <v>640</v>
      </c>
      <c r="H15" s="62">
        <f t="shared" si="1"/>
        <v>1.0933069117496327E-2</v>
      </c>
      <c r="I15" s="72">
        <f>SUM($G$7:G15)</f>
        <v>2630</v>
      </c>
      <c r="J15" s="64">
        <f t="shared" si="5"/>
        <v>4.4928080904711468E-2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5">
        <v>41</v>
      </c>
      <c r="D16" s="59">
        <f t="shared" si="3"/>
        <v>71</v>
      </c>
      <c r="E16" s="59">
        <f t="shared" si="0"/>
        <v>2</v>
      </c>
      <c r="F16" s="60">
        <f t="shared" si="4"/>
        <v>95.29</v>
      </c>
      <c r="G16" s="61">
        <f>IF(D16=D15,"",_xlfn.IFNA(VLOOKUP(D16,'인원 입력 기능(사과탐)'!$A$177:$D$231,4,FALSE),0))</f>
        <v>256</v>
      </c>
      <c r="H16" s="62">
        <f t="shared" si="1"/>
        <v>4.3732276469985306E-3</v>
      </c>
      <c r="I16" s="72">
        <f>SUM($G$7:G16)</f>
        <v>2886</v>
      </c>
      <c r="J16" s="64">
        <f t="shared" si="5"/>
        <v>4.9301308551709999E-2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58">
        <v>40</v>
      </c>
      <c r="D17" s="59">
        <f t="shared" si="3"/>
        <v>70</v>
      </c>
      <c r="E17" s="59">
        <f t="shared" si="0"/>
        <v>2</v>
      </c>
      <c r="F17" s="60">
        <f t="shared" si="4"/>
        <v>94.56</v>
      </c>
      <c r="G17" s="61">
        <f>IF(D17=D16,"",_xlfn.IFNA(VLOOKUP(D17,'인원 입력 기능(사과탐)'!$A$177:$D$231,4,FALSE),0))</f>
        <v>597</v>
      </c>
      <c r="H17" s="62">
        <f t="shared" si="1"/>
        <v>1.0198503536164543E-2</v>
      </c>
      <c r="I17" s="72">
        <f>SUM($G$7:G17)</f>
        <v>3483</v>
      </c>
      <c r="J17" s="64">
        <f t="shared" si="5"/>
        <v>5.949981208787454E-2</v>
      </c>
      <c r="K17" s="36"/>
      <c r="L17" s="20" t="str">
        <f t="shared" si="2"/>
        <v/>
      </c>
      <c r="N17" s="24"/>
      <c r="Q17" s="24">
        <f>Q7*H3*H4*J3*IFERROR(IF(J57=1, 1, 0), 0)</f>
        <v>855646199.56800008</v>
      </c>
    </row>
    <row r="18" spans="1:17" s="22" customFormat="1" ht="25" customHeight="1" x14ac:dyDescent="0.45">
      <c r="A18" s="20"/>
      <c r="B18" s="35"/>
      <c r="C18" s="65">
        <v>39</v>
      </c>
      <c r="D18" s="59">
        <f t="shared" si="3"/>
        <v>69</v>
      </c>
      <c r="E18" s="59">
        <f t="shared" si="0"/>
        <v>2</v>
      </c>
      <c r="F18" s="60">
        <f t="shared" si="4"/>
        <v>93.56</v>
      </c>
      <c r="G18" s="61">
        <f>IF(D18=D17,"",_xlfn.IFNA(VLOOKUP(D18,'인원 입력 기능(사과탐)'!$A$177:$D$231,4,FALSE),0))</f>
        <v>569</v>
      </c>
      <c r="H18" s="62">
        <f t="shared" si="1"/>
        <v>9.7201817622740785E-3</v>
      </c>
      <c r="I18" s="72">
        <f>SUM($G$7:G18)</f>
        <v>4052</v>
      </c>
      <c r="J18" s="64">
        <f t="shared" si="5"/>
        <v>6.9219993850148626E-2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58">
        <v>38</v>
      </c>
      <c r="D19" s="59">
        <f t="shared" si="3"/>
        <v>68</v>
      </c>
      <c r="E19" s="59">
        <f t="shared" si="0"/>
        <v>2</v>
      </c>
      <c r="F19" s="60">
        <f t="shared" si="4"/>
        <v>92.73</v>
      </c>
      <c r="G19" s="61">
        <f>IF(D19=D18,"",_xlfn.IFNA(VLOOKUP(D19,'인원 입력 기능(사과탐)'!$A$177:$D$231,4,FALSE),0))</f>
        <v>406</v>
      </c>
      <c r="H19" s="62">
        <f t="shared" si="1"/>
        <v>6.9356657214117321E-3</v>
      </c>
      <c r="I19" s="72">
        <f>SUM($G$7:G19)</f>
        <v>4458</v>
      </c>
      <c r="J19" s="64">
        <f t="shared" si="5"/>
        <v>7.6155659571560355E-2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65">
        <v>37</v>
      </c>
      <c r="D20" s="59">
        <f t="shared" si="3"/>
        <v>67</v>
      </c>
      <c r="E20" s="59">
        <f t="shared" si="0"/>
        <v>2</v>
      </c>
      <c r="F20" s="60">
        <f t="shared" si="4"/>
        <v>91.77</v>
      </c>
      <c r="G20" s="61">
        <f>IF(D20=D19,"",_xlfn.IFNA(VLOOKUP(D20,'인원 입력 기능(사과탐)'!$A$177:$D$231,4,FALSE),0))</f>
        <v>714</v>
      </c>
      <c r="H20" s="62">
        <f t="shared" si="1"/>
        <v>1.2197205234206841E-2</v>
      </c>
      <c r="I20" s="72">
        <f>SUM($G$7:G20)</f>
        <v>5172</v>
      </c>
      <c r="J20" s="64">
        <f t="shared" si="5"/>
        <v>8.8352864805767192E-2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09">
        <v>36</v>
      </c>
      <c r="D21" s="74">
        <f t="shared" si="3"/>
        <v>66</v>
      </c>
      <c r="E21" s="74">
        <f t="shared" si="0"/>
        <v>2</v>
      </c>
      <c r="F21" s="60">
        <f t="shared" si="4"/>
        <v>90.66</v>
      </c>
      <c r="G21" s="61">
        <f>IF(D21=D20,"",_xlfn.IFNA(VLOOKUP(D21,'인원 입력 기능(사과탐)'!$A$177:$D$231,4,FALSE),0))</f>
        <v>589</v>
      </c>
      <c r="H21" s="62">
        <f t="shared" si="1"/>
        <v>1.0061840172195838E-2</v>
      </c>
      <c r="I21" s="72">
        <f>SUM($G$7:G21)</f>
        <v>5761</v>
      </c>
      <c r="J21" s="64">
        <f t="shared" si="5"/>
        <v>9.8414704977963036E-2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73">
        <v>35</v>
      </c>
      <c r="D22" s="74">
        <f t="shared" si="3"/>
        <v>65</v>
      </c>
      <c r="E22" s="74">
        <f t="shared" si="0"/>
        <v>2</v>
      </c>
      <c r="F22" s="60">
        <f t="shared" si="4"/>
        <v>89.63</v>
      </c>
      <c r="G22" s="61">
        <f>IF(D22=D21,"",_xlfn.IFNA(VLOOKUP(D22,'인원 입력 기능(사과탐)'!$A$177:$D$231,4,FALSE),0))</f>
        <v>620</v>
      </c>
      <c r="H22" s="62">
        <f t="shared" si="1"/>
        <v>1.0591410707574567E-2</v>
      </c>
      <c r="I22" s="72">
        <f>SUM($G$7:G22)</f>
        <v>6381</v>
      </c>
      <c r="J22" s="64">
        <f t="shared" si="5"/>
        <v>0.1090061156855376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09">
        <v>34</v>
      </c>
      <c r="D23" s="74">
        <f t="shared" si="3"/>
        <v>64</v>
      </c>
      <c r="E23" s="74">
        <f t="shared" si="0"/>
        <v>2</v>
      </c>
      <c r="F23" s="60">
        <f t="shared" si="4"/>
        <v>88.39</v>
      </c>
      <c r="G23" s="61">
        <f>IF(D23=D22,"",_xlfn.IFNA(VLOOKUP(D23,'인원 입력 기능(사과탐)'!$A$177:$D$231,4,FALSE),0))</f>
        <v>825</v>
      </c>
      <c r="H23" s="62">
        <f t="shared" si="1"/>
        <v>1.409340940927261E-2</v>
      </c>
      <c r="I23" s="72">
        <f>SUM($G$7:G23)</f>
        <v>7206</v>
      </c>
      <c r="J23" s="64">
        <f t="shared" si="5"/>
        <v>0.1230995250948102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73">
        <v>33</v>
      </c>
      <c r="D24" s="74">
        <f t="shared" si="3"/>
        <v>63</v>
      </c>
      <c r="E24" s="74">
        <f t="shared" si="0"/>
        <v>3</v>
      </c>
      <c r="F24" s="60">
        <f t="shared" si="4"/>
        <v>87.14</v>
      </c>
      <c r="G24" s="61">
        <f>IF(D24=D23,"",_xlfn.IFNA(VLOOKUP(D24,'인원 입력 기능(사과탐)'!$A$177:$D$231,4,FALSE),0))</f>
        <v>644</v>
      </c>
      <c r="H24" s="62">
        <f t="shared" si="1"/>
        <v>1.1001400799480679E-2</v>
      </c>
      <c r="I24" s="72">
        <f>SUM($G$7:G24)</f>
        <v>7850</v>
      </c>
      <c r="J24" s="64">
        <f t="shared" si="5"/>
        <v>0.1341009258942909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09">
        <v>32</v>
      </c>
      <c r="D25" s="74">
        <f t="shared" si="3"/>
        <v>62</v>
      </c>
      <c r="E25" s="74">
        <f t="shared" si="0"/>
        <v>3</v>
      </c>
      <c r="F25" s="60">
        <f t="shared" si="4"/>
        <v>85.85</v>
      </c>
      <c r="G25" s="61">
        <f>IF(D25=D24,"",_xlfn.IFNA(VLOOKUP(D25,'인원 입력 기능(사과탐)'!$A$177:$D$231,4,FALSE),0))</f>
        <v>862</v>
      </c>
      <c r="H25" s="62">
        <f t="shared" si="1"/>
        <v>1.4725477467627866E-2</v>
      </c>
      <c r="I25" s="72">
        <f>SUM($G$7:G25)</f>
        <v>8712</v>
      </c>
      <c r="J25" s="64">
        <f t="shared" si="5"/>
        <v>0.14882640336191874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73">
        <v>31</v>
      </c>
      <c r="D26" s="74">
        <f t="shared" si="3"/>
        <v>61</v>
      </c>
      <c r="E26" s="74">
        <f t="shared" si="0"/>
        <v>3</v>
      </c>
      <c r="F26" s="60">
        <f t="shared" si="4"/>
        <v>84.39</v>
      </c>
      <c r="G26" s="61">
        <f>IF(D26=D25,"",_xlfn.IFNA(VLOOKUP(D26,'인원 입력 기능(사과탐)'!$A$177:$D$231,4,FALSE),0))</f>
        <v>856</v>
      </c>
      <c r="H26" s="62">
        <f t="shared" si="1"/>
        <v>1.4622979944651338E-2</v>
      </c>
      <c r="I26" s="72">
        <f>SUM($G$7:G26)</f>
        <v>9568</v>
      </c>
      <c r="J26" s="64">
        <f t="shared" si="5"/>
        <v>0.16344938330657008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09">
        <v>30</v>
      </c>
      <c r="D27" s="74">
        <f t="shared" si="3"/>
        <v>60</v>
      </c>
      <c r="E27" s="74">
        <f t="shared" si="0"/>
        <v>3</v>
      </c>
      <c r="F27" s="60">
        <f t="shared" si="4"/>
        <v>82.93</v>
      </c>
      <c r="G27" s="61">
        <f>IF(D27=D26,"",_xlfn.IFNA(VLOOKUP(D27,'인원 입력 기능(사과탐)'!$A$177:$D$231,4,FALSE),0))</f>
        <v>853</v>
      </c>
      <c r="H27" s="62">
        <f t="shared" si="1"/>
        <v>1.4571731183163074E-2</v>
      </c>
      <c r="I27" s="72">
        <f>SUM($G$7:G27)</f>
        <v>10421</v>
      </c>
      <c r="J27" s="64">
        <f t="shared" si="5"/>
        <v>0.17802111448973315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73">
        <v>29</v>
      </c>
      <c r="D28" s="74">
        <f t="shared" si="3"/>
        <v>59</v>
      </c>
      <c r="E28" s="74">
        <f t="shared" si="0"/>
        <v>3</v>
      </c>
      <c r="F28" s="60">
        <f t="shared" si="4"/>
        <v>81.28</v>
      </c>
      <c r="G28" s="61">
        <f>IF(D28=D27,"",_xlfn.IFNA(VLOOKUP(D28,'인원 입력 기능(사과탐)'!$A$177:$D$231,4,FALSE),0))</f>
        <v>1072</v>
      </c>
      <c r="H28" s="62">
        <f t="shared" si="1"/>
        <v>1.8312890771806346E-2</v>
      </c>
      <c r="I28" s="72">
        <f>SUM($G$7:G28)</f>
        <v>11493</v>
      </c>
      <c r="J28" s="64">
        <f t="shared" si="5"/>
        <v>0.19633400526153952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09">
        <v>28</v>
      </c>
      <c r="D29" s="74">
        <f t="shared" si="3"/>
        <v>58</v>
      </c>
      <c r="E29" s="74">
        <f t="shared" si="0"/>
        <v>3</v>
      </c>
      <c r="F29" s="60">
        <f t="shared" si="4"/>
        <v>79.53</v>
      </c>
      <c r="G29" s="61">
        <f>IF(D29=D28,"",_xlfn.IFNA(VLOOKUP(D29,'인원 입력 기능(사과탐)'!$A$177:$D$231,4,FALSE),0))</f>
        <v>979</v>
      </c>
      <c r="H29" s="62">
        <f t="shared" si="1"/>
        <v>1.6724179165670164E-2</v>
      </c>
      <c r="I29" s="72">
        <f>SUM($G$7:G29)</f>
        <v>12472</v>
      </c>
      <c r="J29" s="64">
        <f t="shared" si="5"/>
        <v>0.21305818442720967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73">
        <v>27</v>
      </c>
      <c r="D30" s="74">
        <f t="shared" si="3"/>
        <v>57</v>
      </c>
      <c r="E30" s="74">
        <f t="shared" si="0"/>
        <v>3</v>
      </c>
      <c r="F30" s="60">
        <f t="shared" si="4"/>
        <v>77.680000000000007</v>
      </c>
      <c r="G30" s="61">
        <f>IF(D30=D29,"",_xlfn.IFNA(VLOOKUP(D30,'인원 입력 기능(사과탐)'!$A$177:$D$231,4,FALSE),0))</f>
        <v>1190</v>
      </c>
      <c r="H30" s="62">
        <f t="shared" si="1"/>
        <v>2.0328675390344733E-2</v>
      </c>
      <c r="I30" s="72">
        <f>SUM($G$7:G30)</f>
        <v>13662</v>
      </c>
      <c r="J30" s="64">
        <f t="shared" si="5"/>
        <v>0.23338685981755442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09">
        <v>26</v>
      </c>
      <c r="D31" s="74">
        <f t="shared" si="3"/>
        <v>56</v>
      </c>
      <c r="E31" s="74">
        <f t="shared" si="0"/>
        <v>4</v>
      </c>
      <c r="F31" s="60">
        <f t="shared" si="4"/>
        <v>75.53</v>
      </c>
      <c r="G31" s="61">
        <f>IF(D31=D30,"",_xlfn.IFNA(VLOOKUP(D31,'인원 입력 기능(사과탐)'!$A$177:$D$231,4,FALSE),0))</f>
        <v>1324</v>
      </c>
      <c r="H31" s="62">
        <f t="shared" si="1"/>
        <v>2.2617786736820526E-2</v>
      </c>
      <c r="I31" s="72">
        <f>SUM($G$7:G31)</f>
        <v>14986</v>
      </c>
      <c r="J31" s="64">
        <f t="shared" si="5"/>
        <v>0.25600464655437494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73">
        <v>25</v>
      </c>
      <c r="D32" s="74">
        <f t="shared" si="3"/>
        <v>55</v>
      </c>
      <c r="E32" s="74">
        <f t="shared" si="0"/>
        <v>4</v>
      </c>
      <c r="F32" s="60">
        <f t="shared" si="4"/>
        <v>73.33</v>
      </c>
      <c r="G32" s="61">
        <f>IF(D32=D31,"",_xlfn.IFNA(VLOOKUP(D32,'인원 입력 기능(사과탐)'!$A$177:$D$231,4,FALSE),0))</f>
        <v>1257</v>
      </c>
      <c r="H32" s="62">
        <f t="shared" si="1"/>
        <v>2.1473231063582631E-2</v>
      </c>
      <c r="I32" s="72">
        <f>SUM($G$7:G32)</f>
        <v>16243</v>
      </c>
      <c r="J32" s="64">
        <f t="shared" si="5"/>
        <v>0.27747787761795756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09">
        <v>24</v>
      </c>
      <c r="D33" s="74">
        <f t="shared" si="3"/>
        <v>54</v>
      </c>
      <c r="E33" s="74">
        <f t="shared" si="0"/>
        <v>4</v>
      </c>
      <c r="F33" s="60">
        <f t="shared" si="4"/>
        <v>71.02</v>
      </c>
      <c r="G33" s="61">
        <f>IF(D33=D32,"",_xlfn.IFNA(VLOOKUP(D33,'인원 입력 기능(사과탐)'!$A$177:$D$231,4,FALSE),0))</f>
        <v>1442</v>
      </c>
      <c r="H33" s="62">
        <f t="shared" si="1"/>
        <v>2.4633571355358912E-2</v>
      </c>
      <c r="I33" s="72">
        <f>SUM($G$7:G33)</f>
        <v>17685</v>
      </c>
      <c r="J33" s="64">
        <f t="shared" si="5"/>
        <v>0.30211144897331649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73">
        <v>23</v>
      </c>
      <c r="D34" s="74">
        <f t="shared" si="3"/>
        <v>53</v>
      </c>
      <c r="E34" s="74">
        <f t="shared" si="0"/>
        <v>4</v>
      </c>
      <c r="F34" s="60">
        <f t="shared" si="4"/>
        <v>68.540000000000006</v>
      </c>
      <c r="G34" s="61">
        <f>IF(D34=D33,"",_xlfn.IFNA(VLOOKUP(D34,'인원 입력 기능(사과탐)'!$A$177:$D$231,4,FALSE),0))</f>
        <v>1463</v>
      </c>
      <c r="H34" s="62">
        <f t="shared" si="1"/>
        <v>2.4992312685776761E-2</v>
      </c>
      <c r="I34" s="72">
        <f>SUM($G$7:G34)</f>
        <v>19148</v>
      </c>
      <c r="J34" s="64">
        <f t="shared" si="5"/>
        <v>0.32710376165909322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09">
        <v>22</v>
      </c>
      <c r="D35" s="74">
        <f t="shared" si="3"/>
        <v>52</v>
      </c>
      <c r="E35" s="74">
        <f t="shared" si="0"/>
        <v>4</v>
      </c>
      <c r="F35" s="60">
        <f t="shared" si="4"/>
        <v>65.84</v>
      </c>
      <c r="G35" s="61">
        <f>IF(D35=D34,"",_xlfn.IFNA(VLOOKUP(D35,'인원 입력 기능(사과탐)'!$A$177:$D$231,4,FALSE),0))</f>
        <v>1697</v>
      </c>
      <c r="H35" s="62">
        <f t="shared" si="1"/>
        <v>2.8989716081861357E-2</v>
      </c>
      <c r="I35" s="72">
        <f>SUM($G$7:G35)</f>
        <v>20845</v>
      </c>
      <c r="J35" s="64">
        <f t="shared" si="5"/>
        <v>0.35609347774095457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73">
        <v>21</v>
      </c>
      <c r="D36" s="74">
        <f t="shared" si="3"/>
        <v>51</v>
      </c>
      <c r="E36" s="74">
        <f t="shared" si="0"/>
        <v>4</v>
      </c>
      <c r="F36" s="60">
        <f t="shared" si="4"/>
        <v>62.8</v>
      </c>
      <c r="G36" s="61">
        <f>IF(D36=D35,"",_xlfn.IFNA(VLOOKUP(D36,'인원 입력 기능(사과탐)'!$A$177:$D$231,4,FALSE),0))</f>
        <v>1860</v>
      </c>
      <c r="H36" s="62">
        <f t="shared" si="1"/>
        <v>3.1774232122723699E-2</v>
      </c>
      <c r="I36" s="72">
        <f>SUM($G$7:G36)</f>
        <v>22705</v>
      </c>
      <c r="J36" s="64">
        <f t="shared" si="5"/>
        <v>0.3878677098636783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09">
        <v>20</v>
      </c>
      <c r="D37" s="74">
        <f t="shared" si="3"/>
        <v>50</v>
      </c>
      <c r="E37" s="74">
        <f t="shared" si="0"/>
        <v>4</v>
      </c>
      <c r="F37" s="60">
        <f t="shared" si="4"/>
        <v>59.62</v>
      </c>
      <c r="G37" s="61">
        <f>IF(D37=D36,"",_xlfn.IFNA(VLOOKUP(D37,'인원 입력 기능(사과탐)'!$A$177:$D$231,4,FALSE),0))</f>
        <v>1871</v>
      </c>
      <c r="H37" s="62">
        <f t="shared" si="1"/>
        <v>3.1962144248180668E-2</v>
      </c>
      <c r="I37" s="72">
        <f>SUM($G$7:G37)</f>
        <v>24576</v>
      </c>
      <c r="J37" s="64">
        <f t="shared" si="5"/>
        <v>0.41982985411185897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73">
        <v>19</v>
      </c>
      <c r="D38" s="74">
        <f t="shared" si="3"/>
        <v>49</v>
      </c>
      <c r="E38" s="74">
        <f t="shared" si="0"/>
        <v>5</v>
      </c>
      <c r="F38" s="60">
        <f t="shared" si="4"/>
        <v>56.19</v>
      </c>
      <c r="G38" s="61">
        <f>IF(D38=D37,"",_xlfn.IFNA(VLOOKUP(D38,'인원 입력 기능(사과탐)'!$A$177:$D$231,4,FALSE),0))</f>
        <v>2142</v>
      </c>
      <c r="H38" s="62">
        <f t="shared" si="1"/>
        <v>3.6591615702620518E-2</v>
      </c>
      <c r="I38" s="72">
        <f>SUM($G$7:G38)</f>
        <v>26718</v>
      </c>
      <c r="J38" s="64">
        <f t="shared" si="5"/>
        <v>0.45642146981447951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09">
        <v>18</v>
      </c>
      <c r="D39" s="74">
        <f t="shared" si="3"/>
        <v>48</v>
      </c>
      <c r="E39" s="74">
        <f t="shared" ref="E39:E57" si="7">IF(ROUND(D39,0)&gt;=$Q$7,1,IF(ROUND(D39,0)&gt;=$Q$8,2,IF(ROUND(D39,0)&gt;=$Q$9,3,IF(ROUND(D39,0)&gt;=$Q$10,4,IF(ROUND(D39,0)&gt;=$Q$11,5,IF(ROUND(D39,0)&gt;=$Q$12,6,IF(ROUND(D39,0)&gt;=$Q$13,7,IF(ROUND(D39,0)&gt;=$Q$14,8,9))))))))</f>
        <v>5</v>
      </c>
      <c r="F39" s="60">
        <f t="shared" si="4"/>
        <v>52.57</v>
      </c>
      <c r="G39" s="61">
        <f>IF(D39=D38,"",_xlfn.IFNA(VLOOKUP(D39,'인원 입력 기능(사과탐)'!$A$177:$D$231,4,FALSE),0))</f>
        <v>2094</v>
      </c>
      <c r="H39" s="62">
        <f t="shared" si="1"/>
        <v>3.5771635518808298E-2</v>
      </c>
      <c r="I39" s="72">
        <f>SUM($G$7:G39)</f>
        <v>28812</v>
      </c>
      <c r="J39" s="64">
        <f t="shared" si="5"/>
        <v>0.49219310533328781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73">
        <v>17</v>
      </c>
      <c r="D40" s="74">
        <f t="shared" si="3"/>
        <v>47</v>
      </c>
      <c r="E40" s="74">
        <f t="shared" si="7"/>
        <v>5</v>
      </c>
      <c r="F40" s="60">
        <f t="shared" si="4"/>
        <v>48.69</v>
      </c>
      <c r="G40" s="61">
        <f>IF(D40=D39,"",_xlfn.IFNA(VLOOKUP(D40,'인원 입력 기능(사과탐)'!$A$177:$D$231,4,FALSE),0))</f>
        <v>2452</v>
      </c>
      <c r="H40" s="62">
        <f t="shared" si="1"/>
        <v>4.18873210564078E-2</v>
      </c>
      <c r="I40" s="72">
        <f>SUM($G$7:G40)</f>
        <v>31264</v>
      </c>
      <c r="J40" s="64">
        <f t="shared" si="5"/>
        <v>0.53408042638969555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09">
        <v>16</v>
      </c>
      <c r="D41" s="74">
        <f t="shared" si="3"/>
        <v>46</v>
      </c>
      <c r="E41" s="74">
        <f t="shared" si="7"/>
        <v>5</v>
      </c>
      <c r="F41" s="60">
        <f t="shared" si="4"/>
        <v>44.56</v>
      </c>
      <c r="G41" s="61">
        <f>IF(D41=D40,"",_xlfn.IFNA(VLOOKUP(D41,'인원 입력 기능(사과탐)'!$A$177:$D$231,4,FALSE),0))</f>
        <v>2374</v>
      </c>
      <c r="H41" s="62">
        <f t="shared" si="1"/>
        <v>4.0554853257712936E-2</v>
      </c>
      <c r="I41" s="72">
        <f>SUM($G$7:G41)</f>
        <v>33638</v>
      </c>
      <c r="J41" s="64">
        <f t="shared" si="5"/>
        <v>0.57463527964740857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73">
        <v>15</v>
      </c>
      <c r="D42" s="74">
        <f t="shared" si="3"/>
        <v>45</v>
      </c>
      <c r="E42" s="74">
        <f t="shared" si="7"/>
        <v>5</v>
      </c>
      <c r="F42" s="60">
        <f t="shared" si="4"/>
        <v>39.14</v>
      </c>
      <c r="G42" s="61">
        <f>IF(D42=D41,"",_xlfn.IFNA(VLOOKUP(D42,'인원 입력 기능(사과탐)'!$A$177:$D$231,4,FALSE),0))</f>
        <v>3978</v>
      </c>
      <c r="H42" s="62">
        <f t="shared" si="1"/>
        <v>6.795585773343811E-2</v>
      </c>
      <c r="I42" s="72">
        <f>SUM($G$7:G42)</f>
        <v>37616</v>
      </c>
      <c r="J42" s="64">
        <f t="shared" si="5"/>
        <v>0.64259113738084661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09">
        <v>14</v>
      </c>
      <c r="D43" s="74">
        <f t="shared" si="3"/>
        <v>44</v>
      </c>
      <c r="E43" s="74">
        <f t="shared" si="7"/>
        <v>6</v>
      </c>
      <c r="F43" s="60">
        <f t="shared" si="4"/>
        <v>33.58</v>
      </c>
      <c r="G43" s="61">
        <f>IF(D43=D42,"",_xlfn.IFNA(VLOOKUP(D43,'인원 입력 기능(사과탐)'!$A$177:$D$231,4,FALSE),0))</f>
        <v>2528</v>
      </c>
      <c r="H43" s="62">
        <f t="shared" si="1"/>
        <v>4.318562301411049E-2</v>
      </c>
      <c r="I43" s="72">
        <f>SUM($G$7:G43)</f>
        <v>40144</v>
      </c>
      <c r="J43" s="64">
        <f t="shared" si="5"/>
        <v>0.68577676039495716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73">
        <v>13</v>
      </c>
      <c r="D44" s="257">
        <f t="shared" si="3"/>
        <v>43</v>
      </c>
      <c r="E44" s="257">
        <f t="shared" si="7"/>
        <v>6</v>
      </c>
      <c r="F44" s="247">
        <f t="shared" si="4"/>
        <v>27.09</v>
      </c>
      <c r="G44" s="249">
        <f>IF(D44=D43,"",_xlfn.IFNA(VLOOKUP(D44,'인원 입력 기능(사과탐)'!$A$177:$D$231,4,FALSE),0))</f>
        <v>5075</v>
      </c>
      <c r="H44" s="250">
        <f t="shared" si="1"/>
        <v>8.6695821517646654E-2</v>
      </c>
      <c r="I44" s="252">
        <f>SUM($G$7:G44)</f>
        <v>45219</v>
      </c>
      <c r="J44" s="254">
        <f t="shared" si="5"/>
        <v>0.77247258191260382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09">
        <v>12</v>
      </c>
      <c r="D45" s="256"/>
      <c r="E45" s="256"/>
      <c r="F45" s="246"/>
      <c r="G45" s="248"/>
      <c r="H45" s="251"/>
      <c r="I45" s="253"/>
      <c r="J45" s="255"/>
      <c r="K45" s="36"/>
      <c r="L45" s="20" t="str">
        <f t="shared" si="2"/>
        <v>경고</v>
      </c>
      <c r="N45" s="24"/>
    </row>
    <row r="46" spans="1:14" s="22" customFormat="1" ht="25" customHeight="1" x14ac:dyDescent="0.45">
      <c r="A46" s="20"/>
      <c r="B46" s="35"/>
      <c r="C46" s="73">
        <v>11</v>
      </c>
      <c r="D46" s="74">
        <f t="shared" si="3"/>
        <v>42</v>
      </c>
      <c r="E46" s="74">
        <f t="shared" si="7"/>
        <v>7</v>
      </c>
      <c r="F46" s="60">
        <f t="shared" si="4"/>
        <v>20.67</v>
      </c>
      <c r="G46" s="61">
        <f>IF(D46=D45,"",_xlfn.IFNA(VLOOKUP(D46,'인원 입력 기능(사과탐)'!$A$177:$D$231,4,FALSE),0))</f>
        <v>2443</v>
      </c>
      <c r="H46" s="62">
        <f t="shared" si="1"/>
        <v>4.1733574771943012E-2</v>
      </c>
      <c r="I46" s="72">
        <f>SUM($G$7:G46)</f>
        <v>47662</v>
      </c>
      <c r="J46" s="64">
        <f t="shared" si="5"/>
        <v>0.81420615668454677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09">
        <v>10</v>
      </c>
      <c r="D47" s="74">
        <f t="shared" si="3"/>
        <v>41</v>
      </c>
      <c r="E47" s="74">
        <f t="shared" si="7"/>
        <v>7</v>
      </c>
      <c r="F47" s="60">
        <f t="shared" si="4"/>
        <v>15.88</v>
      </c>
      <c r="G47" s="61">
        <f>IF(D47=D46,"",_xlfn.IFNA(VLOOKUP(D47,'인원 입력 기능(사과탐)'!$A$177:$D$231,4,FALSE),0))</f>
        <v>3161</v>
      </c>
      <c r="H47" s="62">
        <f t="shared" si="1"/>
        <v>5.3999111688134205E-2</v>
      </c>
      <c r="I47" s="72">
        <f>SUM($G$7:G47)</f>
        <v>50823</v>
      </c>
      <c r="J47" s="64">
        <f t="shared" si="5"/>
        <v>0.86820526837268097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73">
        <v>9</v>
      </c>
      <c r="D48" s="74">
        <f t="shared" si="3"/>
        <v>40</v>
      </c>
      <c r="E48" s="74">
        <f t="shared" si="7"/>
        <v>7</v>
      </c>
      <c r="F48" s="60">
        <f t="shared" si="4"/>
        <v>11.7</v>
      </c>
      <c r="G48" s="61">
        <f>IF(D48=D47,"",_xlfn.IFNA(VLOOKUP(D48,'인원 입력 기능(사과탐)'!$A$177:$D$231,4,FALSE),0))</f>
        <v>1730</v>
      </c>
      <c r="H48" s="62">
        <f t="shared" si="1"/>
        <v>2.9553452458232259E-2</v>
      </c>
      <c r="I48" s="72">
        <f>SUM($G$7:G48)</f>
        <v>52553</v>
      </c>
      <c r="J48" s="64">
        <f t="shared" si="5"/>
        <v>0.89775872083091324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09">
        <v>8</v>
      </c>
      <c r="D49" s="74">
        <f t="shared" si="3"/>
        <v>39</v>
      </c>
      <c r="E49" s="74">
        <f t="shared" si="7"/>
        <v>8</v>
      </c>
      <c r="F49" s="60">
        <f t="shared" si="4"/>
        <v>8.7100000000000009</v>
      </c>
      <c r="G49" s="61">
        <f>IF(D49=D48,"",_xlfn.IFNA(VLOOKUP(D49,'인원 입력 기능(사과탐)'!$A$177:$D$231,4,FALSE),0))</f>
        <v>1771</v>
      </c>
      <c r="H49" s="62">
        <f t="shared" si="1"/>
        <v>3.0253852198571868E-2</v>
      </c>
      <c r="I49" s="72">
        <f>SUM($G$7:G49)</f>
        <v>54324</v>
      </c>
      <c r="J49" s="64">
        <f t="shared" si="5"/>
        <v>0.92801257302948514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73">
        <v>7</v>
      </c>
      <c r="D50" s="74">
        <f t="shared" si="3"/>
        <v>38</v>
      </c>
      <c r="E50" s="74">
        <f t="shared" si="7"/>
        <v>8</v>
      </c>
      <c r="F50" s="60">
        <f t="shared" si="4"/>
        <v>6.09</v>
      </c>
      <c r="G50" s="61">
        <f>IF(D50=D49,"",_xlfn.IFNA(VLOOKUP(D50,'인원 입력 기능(사과탐)'!$A$177:$D$231,4,FALSE),0))</f>
        <v>1294</v>
      </c>
      <c r="H50" s="62">
        <f t="shared" si="1"/>
        <v>2.2105299121937885E-2</v>
      </c>
      <c r="I50" s="72">
        <f>SUM($G$7:G50)</f>
        <v>55618</v>
      </c>
      <c r="J50" s="64">
        <f t="shared" si="5"/>
        <v>0.95011787215142296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09">
        <v>6</v>
      </c>
      <c r="D51" s="74">
        <f t="shared" si="3"/>
        <v>37</v>
      </c>
      <c r="E51" s="74">
        <f t="shared" si="7"/>
        <v>8</v>
      </c>
      <c r="F51" s="60">
        <f t="shared" si="4"/>
        <v>4.16</v>
      </c>
      <c r="G51" s="61">
        <f>IF(D51=D50,"",_xlfn.IFNA(VLOOKUP(D51,'인원 입력 기능(사과탐)'!$A$177:$D$231,4,FALSE),0))</f>
        <v>965</v>
      </c>
      <c r="H51" s="62">
        <f t="shared" si="1"/>
        <v>1.6485018278724929E-2</v>
      </c>
      <c r="I51" s="72">
        <f>SUM($G$7:G51)</f>
        <v>56583</v>
      </c>
      <c r="J51" s="64">
        <f t="shared" si="5"/>
        <v>0.96660289043014791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73">
        <v>5</v>
      </c>
      <c r="D52" s="74">
        <f t="shared" si="3"/>
        <v>36</v>
      </c>
      <c r="E52" s="74">
        <f t="shared" si="7"/>
        <v>9</v>
      </c>
      <c r="F52" s="60">
        <f t="shared" si="4"/>
        <v>2.67</v>
      </c>
      <c r="G52" s="61">
        <f>IF(D52=D51,"",_xlfn.IFNA(VLOOKUP(D52,'인원 입력 기능(사과탐)'!$A$177:$D$231,4,FALSE),0))</f>
        <v>780</v>
      </c>
      <c r="H52" s="62">
        <f t="shared" si="1"/>
        <v>1.332467798694865E-2</v>
      </c>
      <c r="I52" s="72">
        <f>SUM($G$7:G52)</f>
        <v>57363</v>
      </c>
      <c r="J52" s="64">
        <f t="shared" si="5"/>
        <v>0.97992756841709661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109">
        <v>4</v>
      </c>
      <c r="D53" s="59">
        <f t="shared" si="3"/>
        <v>35</v>
      </c>
      <c r="E53" s="59">
        <f t="shared" si="7"/>
        <v>9</v>
      </c>
      <c r="F53" s="60">
        <f t="shared" si="4"/>
        <v>1.61</v>
      </c>
      <c r="G53" s="61">
        <f>IF(D53=D52,"",_xlfn.IFNA(VLOOKUP(D53,'인원 입력 기능(사과탐)'!$A$177:$D$231,4,FALSE),0))</f>
        <v>469</v>
      </c>
      <c r="H53" s="62">
        <f t="shared" si="1"/>
        <v>8.011889712665277E-3</v>
      </c>
      <c r="I53" s="72">
        <f>SUM($G$7:G53)</f>
        <v>57832</v>
      </c>
      <c r="J53" s="64">
        <f t="shared" si="5"/>
        <v>0.98793945812976192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65">
        <v>3</v>
      </c>
      <c r="D54" s="59">
        <f t="shared" si="3"/>
        <v>34</v>
      </c>
      <c r="E54" s="59">
        <f t="shared" si="7"/>
        <v>9</v>
      </c>
      <c r="F54" s="60">
        <f t="shared" si="4"/>
        <v>1</v>
      </c>
      <c r="G54" s="61">
        <f>IF(D54=D53,"",_xlfn.IFNA(VLOOKUP(D54,'인원 입력 기능(사과탐)'!$A$177:$D$231,4,FALSE),0))</f>
        <v>247</v>
      </c>
      <c r="H54" s="62">
        <f t="shared" si="1"/>
        <v>4.2194813625337389E-3</v>
      </c>
      <c r="I54" s="72">
        <f>SUM($G$7:G54)</f>
        <v>58079</v>
      </c>
      <c r="J54" s="64">
        <f t="shared" si="5"/>
        <v>0.99215893949229561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58">
        <v>2</v>
      </c>
      <c r="D55" s="59">
        <f t="shared" si="3"/>
        <v>33</v>
      </c>
      <c r="E55" s="59">
        <f t="shared" si="7"/>
        <v>9</v>
      </c>
      <c r="F55" s="60">
        <f t="shared" si="4"/>
        <v>0.5</v>
      </c>
      <c r="G55" s="61">
        <f>IF(D55=D54,"",_xlfn.IFNA(VLOOKUP(D55,'인원 입력 기능(사과탐)'!$A$177:$D$231,4,FALSE),0))</f>
        <v>335</v>
      </c>
      <c r="H55" s="62">
        <f t="shared" si="1"/>
        <v>5.7227783661894837E-3</v>
      </c>
      <c r="I55" s="72">
        <f>SUM($G$7:G55)</f>
        <v>58414</v>
      </c>
      <c r="J55" s="64">
        <f t="shared" si="5"/>
        <v>0.99788171785848512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5">
        <v>1</v>
      </c>
      <c r="D56" s="66" t="s">
        <v>56</v>
      </c>
      <c r="E56" s="66"/>
      <c r="F56" s="67"/>
      <c r="G56" s="110"/>
      <c r="H56" s="108"/>
      <c r="I56" s="76"/>
      <c r="J56" s="71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11">
        <v>0</v>
      </c>
      <c r="D57" s="78">
        <f>ROUND(10*(C57-$H$3)/$H$4+50,0)</f>
        <v>31</v>
      </c>
      <c r="E57" s="112">
        <f t="shared" si="7"/>
        <v>9</v>
      </c>
      <c r="F57" s="79">
        <f>IF(I55=0,ROUND(100*(1-(I54+I57)/2/$J$3),2),ROUND(100*(1-(I55+I57)/2/$J$3),2))</f>
        <v>0.11</v>
      </c>
      <c r="G57" s="113">
        <f>_xlfn.IFNA(VLOOKUP(D57,'인원 입력 기능(사과탐)'!$A$177:$D$231,4,FALSE),0)</f>
        <v>124</v>
      </c>
      <c r="H57" s="81">
        <f>G57/$J$3</f>
        <v>2.1182821415149135E-3</v>
      </c>
      <c r="I57" s="82">
        <f>SUM($G$7:G57)</f>
        <v>58538</v>
      </c>
      <c r="J57" s="114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17">
    <mergeCell ref="I44:I45"/>
    <mergeCell ref="J44:J45"/>
    <mergeCell ref="D44:D45"/>
    <mergeCell ref="E44:E45"/>
    <mergeCell ref="F44:F45"/>
    <mergeCell ref="G44:G45"/>
    <mergeCell ref="H44:H45"/>
    <mergeCell ref="D3:F3"/>
    <mergeCell ref="D4:F4"/>
    <mergeCell ref="I4:J5"/>
    <mergeCell ref="D10:D11"/>
    <mergeCell ref="E10:E11"/>
    <mergeCell ref="F10:F11"/>
    <mergeCell ref="G10:G11"/>
    <mergeCell ref="H10:H11"/>
    <mergeCell ref="I10:I11"/>
    <mergeCell ref="J10:J11"/>
  </mergeCells>
  <phoneticPr fontId="1" type="noConversion"/>
  <conditionalFormatting sqref="D7:G10 I7:J10 D12:G44 I12:J44 D46:G57 I46:J57">
    <cfRule type="expression" dxfId="15" priority="4">
      <formula>OR($D7=$Q$7:$Q$14)</formula>
    </cfRule>
  </conditionalFormatting>
  <conditionalFormatting sqref="C7:C57">
    <cfRule type="expression" dxfId="14" priority="3">
      <formula>OR(AND($D7=0,OR($D6=$Q$7:$Q$14)),AND($D8&gt;0,OR($D7=$Q$7:$Q$14)))</formula>
    </cfRule>
  </conditionalFormatting>
  <conditionalFormatting sqref="D7:D10 D12:D44 D46:D57">
    <cfRule type="expression" dxfId="13" priority="2">
      <formula>$D7=$D8</formula>
    </cfRule>
  </conditionalFormatting>
  <conditionalFormatting sqref="H7:H10 H12:H44 H46:H57">
    <cfRule type="expression" dxfId="12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68BF7-AFD5-474A-95FA-3D74AEB9D3B3}">
  <sheetPr codeName="Sheet20"/>
  <dimension ref="A1:Q105"/>
  <sheetViews>
    <sheetView zoomScale="98" zoomScaleNormal="98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152" t="s">
        <v>133</v>
      </c>
      <c r="B1" s="157"/>
      <c r="C1" s="33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8"/>
      <c r="B2" s="152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155"/>
      <c r="C3" s="48" t="s">
        <v>68</v>
      </c>
      <c r="D3" s="163" t="s">
        <v>134</v>
      </c>
      <c r="E3" s="164"/>
      <c r="F3" s="165"/>
      <c r="G3" s="48" t="s">
        <v>69</v>
      </c>
      <c r="H3" s="49" t="str">
        <f>'통계 및 응시자 수 입력 기능'!D18</f>
        <v>21.08</v>
      </c>
      <c r="I3" s="21" t="s">
        <v>70</v>
      </c>
      <c r="J3" s="50">
        <f>'통계 및 응시자 수 입력 기능'!C18</f>
        <v>72699</v>
      </c>
      <c r="K3" s="36"/>
      <c r="L3" s="20"/>
    </row>
    <row r="4" spans="1:17" s="22" customFormat="1" ht="25" customHeight="1" thickBot="1" x14ac:dyDescent="0.5">
      <c r="A4" s="20"/>
      <c r="B4" s="35"/>
      <c r="C4" s="51" t="s">
        <v>71</v>
      </c>
      <c r="D4" s="166" t="s">
        <v>94</v>
      </c>
      <c r="E4" s="167"/>
      <c r="F4" s="168"/>
      <c r="G4" s="52" t="s">
        <v>73</v>
      </c>
      <c r="H4" s="53" t="str">
        <f>'통계 및 응시자 수 입력 기능'!E18</f>
        <v>10.86</v>
      </c>
      <c r="I4" s="169"/>
      <c r="J4" s="170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171"/>
      <c r="J5" s="171"/>
      <c r="K5" s="36"/>
      <c r="L5" s="20"/>
    </row>
    <row r="6" spans="1:17" s="22" customFormat="1" ht="25" customHeight="1" thickBot="1" x14ac:dyDescent="0.5">
      <c r="A6" s="20"/>
      <c r="B6" s="35"/>
      <c r="C6" s="54" t="s">
        <v>75</v>
      </c>
      <c r="D6" s="55" t="s">
        <v>76</v>
      </c>
      <c r="E6" s="55" t="s">
        <v>77</v>
      </c>
      <c r="F6" s="55" t="s">
        <v>78</v>
      </c>
      <c r="G6" s="55" t="s">
        <v>79</v>
      </c>
      <c r="H6" s="55" t="s">
        <v>80</v>
      </c>
      <c r="I6" s="56" t="s">
        <v>81</v>
      </c>
      <c r="J6" s="57" t="s">
        <v>82</v>
      </c>
      <c r="K6" s="36"/>
      <c r="L6" s="19" t="s">
        <v>64</v>
      </c>
      <c r="M6" s="19"/>
      <c r="N6" s="23"/>
    </row>
    <row r="7" spans="1:17" s="22" customFormat="1" ht="25" customHeight="1" x14ac:dyDescent="0.45">
      <c r="A7" s="20"/>
      <c r="B7" s="35"/>
      <c r="C7" s="160">
        <v>50</v>
      </c>
      <c r="D7" s="59">
        <f>ROUND(10*(C7-$H$3)/$H$4+50,0)</f>
        <v>77</v>
      </c>
      <c r="E7" s="59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60">
        <f>ROUND(100*(1-(0+I7)/2/$J$3),2)</f>
        <v>99.64</v>
      </c>
      <c r="G7" s="61">
        <f>_xlfn.IFNA(VLOOKUP(D7,'인원 입력 기능(사과탐)'!$F$177:$I$231,4,FALSE),0)</f>
        <v>518</v>
      </c>
      <c r="H7" s="62">
        <f>G7/$J$3</f>
        <v>7.1252699486925542E-3</v>
      </c>
      <c r="I7" s="63">
        <f>G7</f>
        <v>518</v>
      </c>
      <c r="J7" s="64">
        <f>I7/$J$3</f>
        <v>7.1252699486925542E-3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기능'!C130</f>
        <v>71</v>
      </c>
    </row>
    <row r="8" spans="1:17" s="22" customFormat="1" ht="25" customHeight="1" x14ac:dyDescent="0.45">
      <c r="A8" s="20"/>
      <c r="B8" s="35"/>
      <c r="C8" s="58">
        <v>49</v>
      </c>
      <c r="D8" s="66" t="s">
        <v>56</v>
      </c>
      <c r="E8" s="66"/>
      <c r="F8" s="67"/>
      <c r="G8" s="68"/>
      <c r="H8" s="108"/>
      <c r="I8" s="70"/>
      <c r="J8" s="71"/>
      <c r="K8" s="36"/>
      <c r="L8" s="20"/>
      <c r="N8" s="24"/>
      <c r="P8" s="24">
        <v>2</v>
      </c>
      <c r="Q8" s="24">
        <f>'표점등급&amp;절평인원 입력 기능'!C131</f>
        <v>65</v>
      </c>
    </row>
    <row r="9" spans="1:17" s="22" customFormat="1" ht="25" customHeight="1" x14ac:dyDescent="0.45">
      <c r="A9" s="20"/>
      <c r="B9" s="35"/>
      <c r="C9" s="58">
        <v>48</v>
      </c>
      <c r="D9" s="59">
        <f>ROUND(10*(C9-$H$3)/$H$4+50,0)</f>
        <v>75</v>
      </c>
      <c r="E9" s="59">
        <f t="shared" si="0"/>
        <v>1</v>
      </c>
      <c r="F9" s="60">
        <f>IF(I8=0,ROUND(100*(1-(I7+I9)/2/$J$3),2),ROUND(100*(1-(I8+I9)/2/$J$3),2))</f>
        <v>99.09</v>
      </c>
      <c r="G9" s="61">
        <f>_xlfn.IFNA(VLOOKUP(D9,'인원 입력 기능(사과탐)'!$F$177:$I$231,4,FALSE),0)</f>
        <v>280</v>
      </c>
      <c r="H9" s="62">
        <f t="shared" ref="H9:H55" si="1">G9/$J$3</f>
        <v>3.8514972695635427E-3</v>
      </c>
      <c r="I9" s="72">
        <f>SUM($G$7:G9)</f>
        <v>798</v>
      </c>
      <c r="J9" s="64">
        <f>I9/$J$3</f>
        <v>1.0976767218256097E-2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기능'!C132</f>
        <v>57</v>
      </c>
    </row>
    <row r="10" spans="1:17" s="22" customFormat="1" ht="25" customHeight="1" x14ac:dyDescent="0.45">
      <c r="A10" s="20"/>
      <c r="B10" s="35"/>
      <c r="C10" s="65">
        <v>47</v>
      </c>
      <c r="D10" s="59">
        <f t="shared" ref="D10:D55" si="3">ROUND(10*(C10-$H$3)/$H$4+50,0)</f>
        <v>74</v>
      </c>
      <c r="E10" s="59">
        <f t="shared" si="0"/>
        <v>1</v>
      </c>
      <c r="F10" s="60">
        <f t="shared" ref="F10:F55" si="4">IF(I9=0,ROUND(100*(1-(I8+I10)/2/$J$3),2),ROUND(100*(1-(I9+I10)/2/$J$3),2))</f>
        <v>98.41</v>
      </c>
      <c r="G10" s="61">
        <f>IF(D10=D9,"",_xlfn.IFNA(VLOOKUP(D10,'인원 입력 기능(사과탐)'!$F$177:$I$231,4,FALSE),0))</f>
        <v>717</v>
      </c>
      <c r="H10" s="62">
        <f t="shared" si="1"/>
        <v>9.8625840795609297E-3</v>
      </c>
      <c r="I10" s="72">
        <f>SUM($G$7:G10)</f>
        <v>1515</v>
      </c>
      <c r="J10" s="64">
        <f t="shared" ref="J10:J55" si="5">I10/$J$3</f>
        <v>2.0839351297817027E-2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기능'!C133</f>
        <v>51</v>
      </c>
    </row>
    <row r="11" spans="1:17" s="22" customFormat="1" ht="25" customHeight="1" x14ac:dyDescent="0.45">
      <c r="A11" s="20"/>
      <c r="B11" s="35"/>
      <c r="C11" s="58">
        <v>46</v>
      </c>
      <c r="D11" s="59">
        <f t="shared" si="3"/>
        <v>73</v>
      </c>
      <c r="E11" s="59">
        <f t="shared" si="0"/>
        <v>1</v>
      </c>
      <c r="F11" s="60">
        <f t="shared" si="4"/>
        <v>97.84</v>
      </c>
      <c r="G11" s="61">
        <f>IF(D11=D10,"",_xlfn.IFNA(VLOOKUP(D11,'인원 입력 기능(사과탐)'!$F$177:$I$231,4,FALSE),0))</f>
        <v>104</v>
      </c>
      <c r="H11" s="62">
        <f t="shared" si="1"/>
        <v>1.4305561286950303E-3</v>
      </c>
      <c r="I11" s="72">
        <f>SUM($G$7:G11)</f>
        <v>1619</v>
      </c>
      <c r="J11" s="64">
        <f t="shared" si="5"/>
        <v>2.2269907426512057E-2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기능'!C134</f>
        <v>45</v>
      </c>
    </row>
    <row r="12" spans="1:17" s="22" customFormat="1" ht="25" customHeight="1" x14ac:dyDescent="0.45">
      <c r="A12" s="20"/>
      <c r="B12" s="35"/>
      <c r="C12" s="65">
        <v>45</v>
      </c>
      <c r="D12" s="59">
        <f t="shared" si="3"/>
        <v>72</v>
      </c>
      <c r="E12" s="59">
        <f t="shared" si="0"/>
        <v>1</v>
      </c>
      <c r="F12" s="60">
        <f t="shared" si="4"/>
        <v>97.38</v>
      </c>
      <c r="G12" s="61">
        <f>IF(D12=D11,"",_xlfn.IFNA(VLOOKUP(D12,'인원 입력 기능(사과탐)'!$F$177:$I$231,4,FALSE),0))</f>
        <v>569</v>
      </c>
      <c r="H12" s="62">
        <f t="shared" si="1"/>
        <v>7.8267926656487713E-3</v>
      </c>
      <c r="I12" s="72">
        <f>SUM($G$7:G12)</f>
        <v>2188</v>
      </c>
      <c r="J12" s="64">
        <f t="shared" si="5"/>
        <v>3.0096700092160828E-2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기능'!C135</f>
        <v>42</v>
      </c>
    </row>
    <row r="13" spans="1:17" s="22" customFormat="1" ht="25" customHeight="1" x14ac:dyDescent="0.45">
      <c r="A13" s="20"/>
      <c r="B13" s="35"/>
      <c r="C13" s="58">
        <v>44</v>
      </c>
      <c r="D13" s="59">
        <f t="shared" si="3"/>
        <v>71</v>
      </c>
      <c r="E13" s="59">
        <f t="shared" si="0"/>
        <v>1</v>
      </c>
      <c r="F13" s="60">
        <f t="shared" si="4"/>
        <v>96.45</v>
      </c>
      <c r="G13" s="61">
        <f>IF(D13=D12,"",_xlfn.IFNA(VLOOKUP(D13,'인원 입력 기능(사과탐)'!$F$177:$I$231,4,FALSE),0))</f>
        <v>780</v>
      </c>
      <c r="H13" s="62">
        <f t="shared" si="1"/>
        <v>1.0729170965212727E-2</v>
      </c>
      <c r="I13" s="72">
        <f>SUM($G$7:G13)</f>
        <v>2968</v>
      </c>
      <c r="J13" s="64">
        <f t="shared" si="5"/>
        <v>4.0825871057373557E-2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기능'!C136</f>
        <v>39</v>
      </c>
    </row>
    <row r="14" spans="1:17" s="22" customFormat="1" ht="25" customHeight="1" x14ac:dyDescent="0.45">
      <c r="A14" s="20"/>
      <c r="B14" s="35"/>
      <c r="C14" s="65">
        <v>43</v>
      </c>
      <c r="D14" s="59">
        <f t="shared" si="3"/>
        <v>70</v>
      </c>
      <c r="E14" s="59">
        <f t="shared" si="0"/>
        <v>2</v>
      </c>
      <c r="F14" s="60">
        <f t="shared" si="4"/>
        <v>95.71</v>
      </c>
      <c r="G14" s="61">
        <f>IF(D14=D13,"",_xlfn.IFNA(VLOOKUP(D14,'인원 입력 기능(사과탐)'!$F$177:$I$231,4,FALSE),0))</f>
        <v>301</v>
      </c>
      <c r="H14" s="62">
        <f t="shared" si="1"/>
        <v>4.1403595647808086E-3</v>
      </c>
      <c r="I14" s="72">
        <f>SUM($G$7:G14)</f>
        <v>3269</v>
      </c>
      <c r="J14" s="64">
        <f t="shared" si="5"/>
        <v>4.4966230622154366E-2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기능'!C137</f>
        <v>37</v>
      </c>
    </row>
    <row r="15" spans="1:17" s="22" customFormat="1" ht="25" customHeight="1" x14ac:dyDescent="0.45">
      <c r="A15" s="20"/>
      <c r="B15" s="35"/>
      <c r="C15" s="58">
        <v>42</v>
      </c>
      <c r="D15" s="59">
        <f t="shared" si="3"/>
        <v>69</v>
      </c>
      <c r="E15" s="59">
        <f t="shared" si="0"/>
        <v>2</v>
      </c>
      <c r="F15" s="60">
        <f t="shared" si="4"/>
        <v>94.95</v>
      </c>
      <c r="G15" s="61">
        <f>IF(D15=D14,"",_xlfn.IFNA(VLOOKUP(D15,'인원 입력 기능(사과탐)'!$F$177:$I$231,4,FALSE),0))</f>
        <v>808</v>
      </c>
      <c r="H15" s="62">
        <f t="shared" si="1"/>
        <v>1.1114320692169081E-2</v>
      </c>
      <c r="I15" s="72">
        <f>SUM($G$7:G15)</f>
        <v>4077</v>
      </c>
      <c r="J15" s="64">
        <f t="shared" si="5"/>
        <v>5.6080551314323442E-2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5">
        <v>41</v>
      </c>
      <c r="D16" s="59">
        <f t="shared" si="3"/>
        <v>68</v>
      </c>
      <c r="E16" s="59">
        <f t="shared" si="0"/>
        <v>2</v>
      </c>
      <c r="F16" s="60">
        <f t="shared" si="4"/>
        <v>93.83</v>
      </c>
      <c r="G16" s="61">
        <f>IF(D16=D15,"",_xlfn.IFNA(VLOOKUP(D16,'인원 입력 기능(사과탐)'!$F$177:$I$231,4,FALSE),0))</f>
        <v>811</v>
      </c>
      <c r="H16" s="62">
        <f t="shared" si="1"/>
        <v>1.1155586734342976E-2</v>
      </c>
      <c r="I16" s="72">
        <f>SUM($G$7:G16)</f>
        <v>4888</v>
      </c>
      <c r="J16" s="64">
        <f t="shared" si="5"/>
        <v>6.7236138048666419E-2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58">
        <v>40</v>
      </c>
      <c r="D17" s="237">
        <f t="shared" si="3"/>
        <v>67</v>
      </c>
      <c r="E17" s="237">
        <f t="shared" si="0"/>
        <v>2</v>
      </c>
      <c r="F17" s="247">
        <f t="shared" si="4"/>
        <v>92.18</v>
      </c>
      <c r="G17" s="249">
        <f>IF(D17=D16,"",_xlfn.IFNA(VLOOKUP(D17,'인원 입력 기능(사과탐)'!$F$177:$I$231,4,FALSE),0))</f>
        <v>1599</v>
      </c>
      <c r="H17" s="250">
        <f t="shared" si="1"/>
        <v>2.1994800478686089E-2</v>
      </c>
      <c r="I17" s="252">
        <f>SUM($G$7:G17)</f>
        <v>6487</v>
      </c>
      <c r="J17" s="254">
        <f t="shared" si="5"/>
        <v>8.9230938527352505E-2</v>
      </c>
      <c r="K17" s="36"/>
      <c r="L17" s="20" t="str">
        <f t="shared" si="2"/>
        <v/>
      </c>
      <c r="N17" s="24"/>
      <c r="Q17" s="24">
        <f>Q7*H3*H4*J3*IFERROR(IF(J57=1, 1, 0), 0)</f>
        <v>1181645533.0151999</v>
      </c>
    </row>
    <row r="18" spans="1:17" s="22" customFormat="1" ht="25" customHeight="1" x14ac:dyDescent="0.45">
      <c r="A18" s="20"/>
      <c r="B18" s="35"/>
      <c r="C18" s="65">
        <v>39</v>
      </c>
      <c r="D18" s="238"/>
      <c r="E18" s="238"/>
      <c r="F18" s="246"/>
      <c r="G18" s="248"/>
      <c r="H18" s="251"/>
      <c r="I18" s="253"/>
      <c r="J18" s="255"/>
      <c r="K18" s="36"/>
      <c r="L18" s="20" t="str">
        <f t="shared" si="2"/>
        <v>경고</v>
      </c>
      <c r="N18" s="24"/>
    </row>
    <row r="19" spans="1:17" s="22" customFormat="1" ht="25" customHeight="1" x14ac:dyDescent="0.45">
      <c r="A19" s="20"/>
      <c r="B19" s="35"/>
      <c r="C19" s="58">
        <v>38</v>
      </c>
      <c r="D19" s="59">
        <f t="shared" si="3"/>
        <v>66</v>
      </c>
      <c r="E19" s="59">
        <f t="shared" si="0"/>
        <v>2</v>
      </c>
      <c r="F19" s="60">
        <f t="shared" si="4"/>
        <v>90.53</v>
      </c>
      <c r="G19" s="61">
        <f>IF(D19=D18,"",_xlfn.IFNA(VLOOKUP(D19,'인원 입력 기능(사과탐)'!$F$177:$I$231,4,FALSE),0))</f>
        <v>792</v>
      </c>
      <c r="H19" s="62">
        <f t="shared" si="1"/>
        <v>1.0894235133908307E-2</v>
      </c>
      <c r="I19" s="72">
        <f>SUM($G$7:G19)</f>
        <v>7279</v>
      </c>
      <c r="J19" s="64">
        <f t="shared" si="5"/>
        <v>0.10012517366126082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65">
        <v>37</v>
      </c>
      <c r="D20" s="59">
        <f t="shared" si="3"/>
        <v>65</v>
      </c>
      <c r="E20" s="59">
        <f t="shared" si="0"/>
        <v>2</v>
      </c>
      <c r="F20" s="60">
        <f t="shared" si="4"/>
        <v>89.34</v>
      </c>
      <c r="G20" s="61">
        <f>IF(D20=D19,"",_xlfn.IFNA(VLOOKUP(D20,'인원 입력 기능(사과탐)'!$F$177:$I$231,4,FALSE),0))</f>
        <v>945</v>
      </c>
      <c r="H20" s="62">
        <f t="shared" si="1"/>
        <v>1.2998803284776957E-2</v>
      </c>
      <c r="I20" s="72">
        <f>SUM($G$7:G20)</f>
        <v>8224</v>
      </c>
      <c r="J20" s="64">
        <f t="shared" si="5"/>
        <v>0.11312397694603778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09">
        <v>36</v>
      </c>
      <c r="D21" s="74">
        <f t="shared" si="3"/>
        <v>64</v>
      </c>
      <c r="E21" s="74">
        <f t="shared" si="0"/>
        <v>3</v>
      </c>
      <c r="F21" s="60">
        <f t="shared" si="4"/>
        <v>87.91</v>
      </c>
      <c r="G21" s="61">
        <f>IF(D21=D20,"",_xlfn.IFNA(VLOOKUP(D21,'인원 입력 기능(사과탐)'!$F$177:$I$231,4,FALSE),0))</f>
        <v>1134</v>
      </c>
      <c r="H21" s="62">
        <f t="shared" si="1"/>
        <v>1.5598563941732348E-2</v>
      </c>
      <c r="I21" s="72">
        <f>SUM($G$7:G21)</f>
        <v>9358</v>
      </c>
      <c r="J21" s="64">
        <f t="shared" si="5"/>
        <v>0.12872254088777013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73">
        <v>35</v>
      </c>
      <c r="D22" s="74">
        <f t="shared" si="3"/>
        <v>63</v>
      </c>
      <c r="E22" s="74">
        <f t="shared" si="0"/>
        <v>3</v>
      </c>
      <c r="F22" s="60">
        <f t="shared" si="4"/>
        <v>86.49</v>
      </c>
      <c r="G22" s="61">
        <f>IF(D22=D21,"",_xlfn.IFNA(VLOOKUP(D22,'인원 입력 기능(사과탐)'!$F$177:$I$231,4,FALSE),0))</f>
        <v>934</v>
      </c>
      <c r="H22" s="62">
        <f t="shared" si="1"/>
        <v>1.2847494463472674E-2</v>
      </c>
      <c r="I22" s="72">
        <f>SUM($G$7:G22)</f>
        <v>10292</v>
      </c>
      <c r="J22" s="64">
        <f t="shared" si="5"/>
        <v>0.1415700353512428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09">
        <v>34</v>
      </c>
      <c r="D23" s="74">
        <f t="shared" si="3"/>
        <v>62</v>
      </c>
      <c r="E23" s="74">
        <f t="shared" si="0"/>
        <v>3</v>
      </c>
      <c r="F23" s="60">
        <f t="shared" si="4"/>
        <v>85.08</v>
      </c>
      <c r="G23" s="61">
        <f>IF(D23=D22,"",_xlfn.IFNA(VLOOKUP(D23,'인원 입력 기능(사과탐)'!$F$177:$I$231,4,FALSE),0))</f>
        <v>1103</v>
      </c>
      <c r="H23" s="62">
        <f t="shared" si="1"/>
        <v>1.5172148172602099E-2</v>
      </c>
      <c r="I23" s="72">
        <f>SUM($G$7:G23)</f>
        <v>11395</v>
      </c>
      <c r="J23" s="64">
        <f t="shared" si="5"/>
        <v>0.15674218352384489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73">
        <v>33</v>
      </c>
      <c r="D24" s="74">
        <f t="shared" si="3"/>
        <v>61</v>
      </c>
      <c r="E24" s="74">
        <f t="shared" si="0"/>
        <v>3</v>
      </c>
      <c r="F24" s="60">
        <f t="shared" si="4"/>
        <v>83.49</v>
      </c>
      <c r="G24" s="61">
        <f>IF(D24=D23,"",_xlfn.IFNA(VLOOKUP(D24,'인원 입력 기능(사과탐)'!$F$177:$I$231,4,FALSE),0))</f>
        <v>1217</v>
      </c>
      <c r="H24" s="62">
        <f t="shared" si="1"/>
        <v>1.6740257775210113E-2</v>
      </c>
      <c r="I24" s="72">
        <f>SUM($G$7:G24)</f>
        <v>12612</v>
      </c>
      <c r="J24" s="64">
        <f t="shared" si="5"/>
        <v>0.17348244129905502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09">
        <v>32</v>
      </c>
      <c r="D25" s="74">
        <f t="shared" si="3"/>
        <v>60</v>
      </c>
      <c r="E25" s="74">
        <f t="shared" si="0"/>
        <v>3</v>
      </c>
      <c r="F25" s="60">
        <f t="shared" si="4"/>
        <v>81.89</v>
      </c>
      <c r="G25" s="61">
        <f>IF(D25=D24,"",_xlfn.IFNA(VLOOKUP(D25,'인원 입력 기능(사과탐)'!$F$177:$I$231,4,FALSE),0))</f>
        <v>1114</v>
      </c>
      <c r="H25" s="62">
        <f t="shared" si="1"/>
        <v>1.5323456993906382E-2</v>
      </c>
      <c r="I25" s="72">
        <f>SUM($G$7:G25)</f>
        <v>13726</v>
      </c>
      <c r="J25" s="64">
        <f t="shared" si="5"/>
        <v>0.18880589829296138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73">
        <v>31</v>
      </c>
      <c r="D26" s="74">
        <f t="shared" si="3"/>
        <v>59</v>
      </c>
      <c r="E26" s="74">
        <f t="shared" si="0"/>
        <v>3</v>
      </c>
      <c r="F26" s="60">
        <f t="shared" si="4"/>
        <v>80.22</v>
      </c>
      <c r="G26" s="61">
        <f>IF(D26=D25,"",_xlfn.IFNA(VLOOKUP(D26,'인원 입력 기능(사과탐)'!$F$177:$I$231,4,FALSE),0))</f>
        <v>1310</v>
      </c>
      <c r="H26" s="62">
        <f t="shared" si="1"/>
        <v>1.8019505082600862E-2</v>
      </c>
      <c r="I26" s="72">
        <f>SUM($G$7:G26)</f>
        <v>15036</v>
      </c>
      <c r="J26" s="64">
        <f t="shared" si="5"/>
        <v>0.20682540337556224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09">
        <v>30</v>
      </c>
      <c r="D27" s="74">
        <f t="shared" si="3"/>
        <v>58</v>
      </c>
      <c r="E27" s="74">
        <f t="shared" si="0"/>
        <v>3</v>
      </c>
      <c r="F27" s="60">
        <f t="shared" si="4"/>
        <v>78.45</v>
      </c>
      <c r="G27" s="61">
        <f>IF(D27=D26,"",_xlfn.IFNA(VLOOKUP(D27,'인원 입력 기능(사과탐)'!$F$177:$I$231,4,FALSE),0))</f>
        <v>1260</v>
      </c>
      <c r="H27" s="62">
        <f t="shared" si="1"/>
        <v>1.7331737713035943E-2</v>
      </c>
      <c r="I27" s="72">
        <f>SUM($G$7:G27)</f>
        <v>16296</v>
      </c>
      <c r="J27" s="64">
        <f t="shared" si="5"/>
        <v>0.22415714108859819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73">
        <v>29</v>
      </c>
      <c r="D28" s="74">
        <f t="shared" si="3"/>
        <v>57</v>
      </c>
      <c r="E28" s="74">
        <f t="shared" si="0"/>
        <v>3</v>
      </c>
      <c r="F28" s="60">
        <f t="shared" si="4"/>
        <v>76.599999999999994</v>
      </c>
      <c r="G28" s="61">
        <f>IF(D28=D27,"",_xlfn.IFNA(VLOOKUP(D28,'인원 입력 기능(사과탐)'!$F$177:$I$231,4,FALSE),0))</f>
        <v>1432</v>
      </c>
      <c r="H28" s="62">
        <f t="shared" si="1"/>
        <v>1.9697657464339262E-2</v>
      </c>
      <c r="I28" s="72">
        <f>SUM($G$7:G28)</f>
        <v>17728</v>
      </c>
      <c r="J28" s="64">
        <f t="shared" si="5"/>
        <v>0.24385479855293746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09">
        <v>28</v>
      </c>
      <c r="D29" s="74">
        <f t="shared" si="3"/>
        <v>56</v>
      </c>
      <c r="E29" s="74">
        <f t="shared" si="0"/>
        <v>4</v>
      </c>
      <c r="F29" s="60">
        <f t="shared" si="4"/>
        <v>74.55</v>
      </c>
      <c r="G29" s="61">
        <f>IF(D29=D28,"",_xlfn.IFNA(VLOOKUP(D29,'인원 입력 기능(사과탐)'!$F$177:$I$231,4,FALSE),0))</f>
        <v>1546</v>
      </c>
      <c r="H29" s="62">
        <f t="shared" si="1"/>
        <v>2.1265767066947276E-2</v>
      </c>
      <c r="I29" s="72">
        <f>SUM($G$7:G29)</f>
        <v>19274</v>
      </c>
      <c r="J29" s="64">
        <f t="shared" si="5"/>
        <v>0.26512056561988473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73">
        <v>27</v>
      </c>
      <c r="D30" s="257">
        <f t="shared" si="3"/>
        <v>55</v>
      </c>
      <c r="E30" s="257">
        <f t="shared" si="0"/>
        <v>4</v>
      </c>
      <c r="F30" s="247">
        <f t="shared" si="4"/>
        <v>71.349999999999994</v>
      </c>
      <c r="G30" s="249">
        <f>IF(D30=D29,"",_xlfn.IFNA(VLOOKUP(D30,'인원 입력 기능(사과탐)'!$F$177:$I$231,4,FALSE),0))</f>
        <v>3115</v>
      </c>
      <c r="H30" s="250">
        <f t="shared" si="1"/>
        <v>4.2847907123894413E-2</v>
      </c>
      <c r="I30" s="252">
        <f>SUM($G$7:G30)</f>
        <v>22389</v>
      </c>
      <c r="J30" s="254">
        <f t="shared" si="5"/>
        <v>0.30796847274377914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09">
        <v>26</v>
      </c>
      <c r="D31" s="256"/>
      <c r="E31" s="256"/>
      <c r="F31" s="246"/>
      <c r="G31" s="248"/>
      <c r="H31" s="251"/>
      <c r="I31" s="253"/>
      <c r="J31" s="255"/>
      <c r="K31" s="36"/>
      <c r="L31" s="20" t="str">
        <f t="shared" si="2"/>
        <v>경고</v>
      </c>
      <c r="N31" s="24"/>
    </row>
    <row r="32" spans="1:17" s="22" customFormat="1" ht="25" customHeight="1" x14ac:dyDescent="0.45">
      <c r="A32" s="20"/>
      <c r="B32" s="35"/>
      <c r="C32" s="73">
        <v>25</v>
      </c>
      <c r="D32" s="74">
        <f t="shared" si="3"/>
        <v>54</v>
      </c>
      <c r="E32" s="74">
        <f t="shared" si="0"/>
        <v>4</v>
      </c>
      <c r="F32" s="60">
        <f t="shared" si="4"/>
        <v>67.959999999999994</v>
      </c>
      <c r="G32" s="61">
        <f>IF(D32=D31,"",_xlfn.IFNA(VLOOKUP(D32,'인원 입력 기능(사과탐)'!$F$177:$I$231,4,FALSE),0))</f>
        <v>1806</v>
      </c>
      <c r="H32" s="62">
        <f t="shared" si="1"/>
        <v>2.4842157388684852E-2</v>
      </c>
      <c r="I32" s="72">
        <f>SUM($G$7:G32)</f>
        <v>24195</v>
      </c>
      <c r="J32" s="64">
        <f t="shared" si="5"/>
        <v>0.33281063013246398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09">
        <v>24</v>
      </c>
      <c r="D33" s="74">
        <f t="shared" si="3"/>
        <v>53</v>
      </c>
      <c r="E33" s="74">
        <f t="shared" si="0"/>
        <v>4</v>
      </c>
      <c r="F33" s="60">
        <f t="shared" si="4"/>
        <v>65.44</v>
      </c>
      <c r="G33" s="61">
        <f>IF(D33=D32,"",_xlfn.IFNA(VLOOKUP(D33,'인원 입력 기능(사과탐)'!$F$177:$I$231,4,FALSE),0))</f>
        <v>1855</v>
      </c>
      <c r="H33" s="62">
        <f t="shared" si="1"/>
        <v>2.5516169410858471E-2</v>
      </c>
      <c r="I33" s="72">
        <f>SUM($G$7:G33)</f>
        <v>26050</v>
      </c>
      <c r="J33" s="64">
        <f t="shared" si="5"/>
        <v>0.35832679954332247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73">
        <v>23</v>
      </c>
      <c r="D34" s="74">
        <f t="shared" si="3"/>
        <v>52</v>
      </c>
      <c r="E34" s="74">
        <f t="shared" si="0"/>
        <v>4</v>
      </c>
      <c r="F34" s="60">
        <f t="shared" si="4"/>
        <v>62.84</v>
      </c>
      <c r="G34" s="61">
        <f>IF(D34=D33,"",_xlfn.IFNA(VLOOKUP(D34,'인원 입력 기능(사과탐)'!$F$177:$I$231,4,FALSE),0))</f>
        <v>1929</v>
      </c>
      <c r="H34" s="62">
        <f t="shared" si="1"/>
        <v>2.6534065117814549E-2</v>
      </c>
      <c r="I34" s="72">
        <f>SUM($G$7:G34)</f>
        <v>27979</v>
      </c>
      <c r="J34" s="64">
        <f t="shared" si="5"/>
        <v>0.384860864661137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09">
        <v>22</v>
      </c>
      <c r="D35" s="74">
        <f t="shared" si="3"/>
        <v>51</v>
      </c>
      <c r="E35" s="74">
        <f t="shared" si="0"/>
        <v>4</v>
      </c>
      <c r="F35" s="60">
        <f t="shared" si="4"/>
        <v>60.14</v>
      </c>
      <c r="G35" s="61">
        <f>IF(D35=D34,"",_xlfn.IFNA(VLOOKUP(D35,'인원 입력 기능(사과탐)'!$F$177:$I$231,4,FALSE),0))</f>
        <v>2003</v>
      </c>
      <c r="H35" s="62">
        <f t="shared" si="1"/>
        <v>2.7551960824770631E-2</v>
      </c>
      <c r="I35" s="72">
        <f>SUM($G$7:G35)</f>
        <v>29982</v>
      </c>
      <c r="J35" s="64">
        <f t="shared" si="5"/>
        <v>0.41241282548590763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73">
        <v>21</v>
      </c>
      <c r="D36" s="74">
        <f t="shared" si="3"/>
        <v>50</v>
      </c>
      <c r="E36" s="74">
        <f t="shared" si="0"/>
        <v>5</v>
      </c>
      <c r="F36" s="60">
        <f t="shared" si="4"/>
        <v>57.1</v>
      </c>
      <c r="G36" s="61">
        <f>IF(D36=D35,"",_xlfn.IFNA(VLOOKUP(D36,'인원 입력 기능(사과탐)'!$F$177:$I$231,4,FALSE),0))</f>
        <v>2412</v>
      </c>
      <c r="H36" s="62">
        <f t="shared" si="1"/>
        <v>3.3177897907811664E-2</v>
      </c>
      <c r="I36" s="72">
        <f>SUM($G$7:G36)</f>
        <v>32394</v>
      </c>
      <c r="J36" s="64">
        <f t="shared" si="5"/>
        <v>0.4455907233937193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09">
        <v>20</v>
      </c>
      <c r="D37" s="74">
        <f t="shared" si="3"/>
        <v>49</v>
      </c>
      <c r="E37" s="74">
        <f t="shared" si="0"/>
        <v>5</v>
      </c>
      <c r="F37" s="60">
        <f t="shared" si="4"/>
        <v>53.79</v>
      </c>
      <c r="G37" s="61">
        <f>IF(D37=D36,"",_xlfn.IFNA(VLOOKUP(D37,'인원 입력 기능(사과탐)'!$F$177:$I$231,4,FALSE),0))</f>
        <v>2398</v>
      </c>
      <c r="H37" s="62">
        <f t="shared" si="1"/>
        <v>3.2985323044333485E-2</v>
      </c>
      <c r="I37" s="72">
        <f>SUM($G$7:G37)</f>
        <v>34792</v>
      </c>
      <c r="J37" s="64">
        <f t="shared" si="5"/>
        <v>0.47857604643805279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73">
        <v>19</v>
      </c>
      <c r="D38" s="74">
        <f t="shared" si="3"/>
        <v>48</v>
      </c>
      <c r="E38" s="74">
        <f t="shared" si="0"/>
        <v>5</v>
      </c>
      <c r="F38" s="60">
        <f t="shared" si="4"/>
        <v>50.42</v>
      </c>
      <c r="G38" s="61">
        <f>IF(D38=D37,"",_xlfn.IFNA(VLOOKUP(D38,'인원 입력 기능(사과탐)'!$F$177:$I$231,4,FALSE),0))</f>
        <v>2511</v>
      </c>
      <c r="H38" s="62">
        <f t="shared" si="1"/>
        <v>3.4539677299550202E-2</v>
      </c>
      <c r="I38" s="72">
        <f>SUM($G$7:G38)</f>
        <v>37303</v>
      </c>
      <c r="J38" s="64">
        <f t="shared" si="5"/>
        <v>0.51311572373760295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09">
        <v>18</v>
      </c>
      <c r="D39" s="74">
        <f t="shared" si="3"/>
        <v>47</v>
      </c>
      <c r="E39" s="74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5</v>
      </c>
      <c r="F39" s="60">
        <f t="shared" si="4"/>
        <v>46.84</v>
      </c>
      <c r="G39" s="61">
        <f>IF(D39=D38,"",_xlfn.IFNA(VLOOKUP(D39,'인원 입력 기능(사과탐)'!$F$177:$I$231,4,FALSE),0))</f>
        <v>2681</v>
      </c>
      <c r="H39" s="62">
        <f t="shared" si="1"/>
        <v>3.687808635607092E-2</v>
      </c>
      <c r="I39" s="72">
        <f>SUM($G$7:G39)</f>
        <v>39984</v>
      </c>
      <c r="J39" s="64">
        <f t="shared" si="5"/>
        <v>0.54999381009367387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73">
        <v>17</v>
      </c>
      <c r="D40" s="74">
        <f t="shared" si="3"/>
        <v>46</v>
      </c>
      <c r="E40" s="74">
        <f t="shared" si="6"/>
        <v>5</v>
      </c>
      <c r="F40" s="60">
        <f t="shared" si="4"/>
        <v>43.09</v>
      </c>
      <c r="G40" s="61">
        <f>IF(D40=D39,"",_xlfn.IFNA(VLOOKUP(D40,'인원 입력 기능(사과탐)'!$F$177:$I$231,4,FALSE),0))</f>
        <v>2776</v>
      </c>
      <c r="H40" s="62">
        <f t="shared" si="1"/>
        <v>3.818484435824427E-2</v>
      </c>
      <c r="I40" s="72">
        <f>SUM($G$7:G40)</f>
        <v>42760</v>
      </c>
      <c r="J40" s="64">
        <f t="shared" si="5"/>
        <v>0.58817865445191819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09">
        <v>16</v>
      </c>
      <c r="D41" s="74">
        <f t="shared" si="3"/>
        <v>45</v>
      </c>
      <c r="E41" s="74">
        <f t="shared" si="6"/>
        <v>5</v>
      </c>
      <c r="F41" s="60">
        <f t="shared" si="4"/>
        <v>39.049999999999997</v>
      </c>
      <c r="G41" s="61">
        <f>IF(D41=D40,"",_xlfn.IFNA(VLOOKUP(D41,'인원 입력 기능(사과탐)'!$F$177:$I$231,4,FALSE),0))</f>
        <v>3096</v>
      </c>
      <c r="H41" s="62">
        <f t="shared" si="1"/>
        <v>4.2586555523459746E-2</v>
      </c>
      <c r="I41" s="72">
        <f>SUM($G$7:G41)</f>
        <v>45856</v>
      </c>
      <c r="J41" s="64">
        <f t="shared" si="5"/>
        <v>0.63076520997537788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73">
        <v>15</v>
      </c>
      <c r="D42" s="74">
        <f t="shared" si="3"/>
        <v>44</v>
      </c>
      <c r="E42" s="74">
        <f t="shared" si="6"/>
        <v>6</v>
      </c>
      <c r="F42" s="60">
        <f t="shared" si="4"/>
        <v>34.99</v>
      </c>
      <c r="G42" s="61">
        <f>IF(D42=D41,"",_xlfn.IFNA(VLOOKUP(D42,'인원 입력 기능(사과탐)'!$F$177:$I$231,4,FALSE),0))</f>
        <v>2805</v>
      </c>
      <c r="H42" s="62">
        <f t="shared" si="1"/>
        <v>3.8583749432591921E-2</v>
      </c>
      <c r="I42" s="72">
        <f>SUM($G$7:G42)</f>
        <v>48661</v>
      </c>
      <c r="J42" s="64">
        <f t="shared" si="5"/>
        <v>0.6693489594079699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09">
        <v>14</v>
      </c>
      <c r="D43" s="257">
        <f t="shared" si="3"/>
        <v>43</v>
      </c>
      <c r="E43" s="257">
        <f t="shared" si="6"/>
        <v>6</v>
      </c>
      <c r="F43" s="247">
        <f t="shared" si="4"/>
        <v>28.9</v>
      </c>
      <c r="G43" s="249">
        <f>IF(D43=D42,"",_xlfn.IFNA(VLOOKUP(D43,'인원 입력 기능(사과탐)'!$F$177:$I$231,4,FALSE),0))</f>
        <v>6053</v>
      </c>
      <c r="H43" s="250">
        <f t="shared" si="1"/>
        <v>8.3261117759529019E-2</v>
      </c>
      <c r="I43" s="252">
        <f>SUM($G$7:G43)</f>
        <v>54714</v>
      </c>
      <c r="J43" s="254">
        <f t="shared" si="5"/>
        <v>0.75261007716749884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73">
        <v>13</v>
      </c>
      <c r="D44" s="256"/>
      <c r="E44" s="256"/>
      <c r="F44" s="246"/>
      <c r="G44" s="248"/>
      <c r="H44" s="251"/>
      <c r="I44" s="253"/>
      <c r="J44" s="255"/>
      <c r="K44" s="36"/>
      <c r="L44" s="20" t="str">
        <f t="shared" si="2"/>
        <v>경고</v>
      </c>
      <c r="N44" s="24"/>
    </row>
    <row r="45" spans="1:14" s="22" customFormat="1" ht="25" customHeight="1" x14ac:dyDescent="0.45">
      <c r="A45" s="20"/>
      <c r="B45" s="35"/>
      <c r="C45" s="109">
        <v>12</v>
      </c>
      <c r="D45" s="74">
        <f t="shared" si="3"/>
        <v>42</v>
      </c>
      <c r="E45" s="74">
        <f t="shared" si="6"/>
        <v>6</v>
      </c>
      <c r="F45" s="60">
        <f t="shared" si="4"/>
        <v>22.74</v>
      </c>
      <c r="G45" s="61">
        <f>IF(D45=D44,"",_xlfn.IFNA(VLOOKUP(D45,'인원 입력 기능(사과탐)'!$F$177:$I$231,4,FALSE),0))</f>
        <v>2910</v>
      </c>
      <c r="H45" s="62">
        <f t="shared" si="1"/>
        <v>4.0028060908678248E-2</v>
      </c>
      <c r="I45" s="72">
        <f>SUM($G$7:G45)</f>
        <v>57624</v>
      </c>
      <c r="J45" s="64">
        <f t="shared" si="5"/>
        <v>0.79263813807617711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73">
        <v>11</v>
      </c>
      <c r="D46" s="74">
        <f t="shared" si="3"/>
        <v>41</v>
      </c>
      <c r="E46" s="74">
        <f t="shared" si="6"/>
        <v>7</v>
      </c>
      <c r="F46" s="60">
        <f t="shared" si="4"/>
        <v>18.95</v>
      </c>
      <c r="G46" s="61">
        <f>IF(D46=D45,"",_xlfn.IFNA(VLOOKUP(D46,'인원 입력 기능(사과탐)'!$F$177:$I$231,4,FALSE),0))</f>
        <v>2593</v>
      </c>
      <c r="H46" s="62">
        <f t="shared" si="1"/>
        <v>3.5667615785636667E-2</v>
      </c>
      <c r="I46" s="72">
        <f>SUM($G$7:G46)</f>
        <v>60217</v>
      </c>
      <c r="J46" s="64">
        <f t="shared" si="5"/>
        <v>0.82830575386181382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09">
        <v>10</v>
      </c>
      <c r="D47" s="74">
        <f t="shared" si="3"/>
        <v>40</v>
      </c>
      <c r="E47" s="74">
        <f t="shared" si="6"/>
        <v>7</v>
      </c>
      <c r="F47" s="60">
        <f t="shared" si="4"/>
        <v>14.76</v>
      </c>
      <c r="G47" s="61">
        <f>IF(D47=D46,"",_xlfn.IFNA(VLOOKUP(D47,'인원 입력 기능(사과탐)'!$F$177:$I$231,4,FALSE),0))</f>
        <v>3500</v>
      </c>
      <c r="H47" s="62">
        <f t="shared" si="1"/>
        <v>4.8143715869544287E-2</v>
      </c>
      <c r="I47" s="72">
        <f>SUM($G$7:G47)</f>
        <v>63717</v>
      </c>
      <c r="J47" s="64">
        <f t="shared" si="5"/>
        <v>0.87644946973135807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73">
        <v>9</v>
      </c>
      <c r="D48" s="74">
        <f t="shared" si="3"/>
        <v>39</v>
      </c>
      <c r="E48" s="74">
        <f t="shared" si="6"/>
        <v>7</v>
      </c>
      <c r="F48" s="60">
        <f t="shared" si="4"/>
        <v>10.78</v>
      </c>
      <c r="G48" s="61">
        <f>IF(D48=D47,"",_xlfn.IFNA(VLOOKUP(D48,'인원 입력 기능(사과탐)'!$F$177:$I$231,4,FALSE),0))</f>
        <v>2295</v>
      </c>
      <c r="H48" s="62">
        <f t="shared" si="1"/>
        <v>3.1568522263029752E-2</v>
      </c>
      <c r="I48" s="72">
        <f>SUM($G$7:G48)</f>
        <v>66012</v>
      </c>
      <c r="J48" s="64">
        <f t="shared" si="5"/>
        <v>0.90801799199438782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09">
        <v>8</v>
      </c>
      <c r="D49" s="74">
        <f t="shared" si="3"/>
        <v>38</v>
      </c>
      <c r="E49" s="74">
        <f t="shared" si="6"/>
        <v>8</v>
      </c>
      <c r="F49" s="60">
        <f t="shared" si="4"/>
        <v>8.25</v>
      </c>
      <c r="G49" s="61">
        <f>IF(D49=D48,"",_xlfn.IFNA(VLOOKUP(D49,'인원 입력 기능(사과탐)'!$F$177:$I$231,4,FALSE),0))</f>
        <v>1378</v>
      </c>
      <c r="H49" s="62">
        <f t="shared" si="1"/>
        <v>1.8954868705209151E-2</v>
      </c>
      <c r="I49" s="72">
        <f>SUM($G$7:G49)</f>
        <v>67390</v>
      </c>
      <c r="J49" s="64">
        <f t="shared" si="5"/>
        <v>0.92697286069959695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73">
        <v>7</v>
      </c>
      <c r="D50" s="74">
        <f t="shared" si="3"/>
        <v>37</v>
      </c>
      <c r="E50" s="74">
        <f t="shared" si="6"/>
        <v>8</v>
      </c>
      <c r="F50" s="60">
        <f t="shared" si="4"/>
        <v>5.38</v>
      </c>
      <c r="G50" s="61">
        <f>IF(D50=D49,"",_xlfn.IFNA(VLOOKUP(D50,'인원 입력 기능(사과탐)'!$F$177:$I$231,4,FALSE),0))</f>
        <v>2799</v>
      </c>
      <c r="H50" s="62">
        <f t="shared" si="1"/>
        <v>3.8501217348244132E-2</v>
      </c>
      <c r="I50" s="72">
        <f>SUM($G$7:G50)</f>
        <v>70189</v>
      </c>
      <c r="J50" s="64">
        <f t="shared" si="5"/>
        <v>0.96547407804784113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09">
        <v>6</v>
      </c>
      <c r="D51" s="74">
        <f t="shared" si="3"/>
        <v>36</v>
      </c>
      <c r="E51" s="74">
        <f t="shared" si="6"/>
        <v>9</v>
      </c>
      <c r="F51" s="60">
        <f t="shared" si="4"/>
        <v>2.88</v>
      </c>
      <c r="G51" s="61">
        <f>IF(D51=D50,"",_xlfn.IFNA(VLOOKUP(D51,'인원 입력 기능(사과탐)'!$F$177:$I$231,4,FALSE),0))</f>
        <v>830</v>
      </c>
      <c r="H51" s="62">
        <f t="shared" si="1"/>
        <v>1.1416938334777645E-2</v>
      </c>
      <c r="I51" s="72">
        <f>SUM($G$7:G51)</f>
        <v>71019</v>
      </c>
      <c r="J51" s="64">
        <f t="shared" si="5"/>
        <v>0.97689101638261877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73">
        <v>5</v>
      </c>
      <c r="D52" s="74">
        <f t="shared" si="3"/>
        <v>35</v>
      </c>
      <c r="E52" s="74">
        <f t="shared" si="6"/>
        <v>9</v>
      </c>
      <c r="F52" s="60">
        <f t="shared" si="4"/>
        <v>1.83</v>
      </c>
      <c r="G52" s="61">
        <f>IF(D52=D51,"",_xlfn.IFNA(VLOOKUP(D52,'인원 입력 기능(사과탐)'!$F$177:$I$231,4,FALSE),0))</f>
        <v>698</v>
      </c>
      <c r="H52" s="62">
        <f t="shared" si="1"/>
        <v>9.6012324791262607E-3</v>
      </c>
      <c r="I52" s="72">
        <f>SUM($G$7:G52)</f>
        <v>71717</v>
      </c>
      <c r="J52" s="64">
        <f t="shared" si="5"/>
        <v>0.98649224886174502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58">
        <v>4</v>
      </c>
      <c r="D53" s="59">
        <f t="shared" si="3"/>
        <v>34</v>
      </c>
      <c r="E53" s="59">
        <f t="shared" si="6"/>
        <v>9</v>
      </c>
      <c r="F53" s="60">
        <f t="shared" si="4"/>
        <v>1.05</v>
      </c>
      <c r="G53" s="61">
        <f>IF(D53=D52,"",_xlfn.IFNA(VLOOKUP(D53,'인원 입력 기능(사과탐)'!$F$177:$I$231,4,FALSE),0))</f>
        <v>443</v>
      </c>
      <c r="H53" s="62">
        <f t="shared" si="1"/>
        <v>6.0936188943451763E-3</v>
      </c>
      <c r="I53" s="72">
        <f>SUM($G$7:G53)</f>
        <v>72160</v>
      </c>
      <c r="J53" s="64">
        <f t="shared" si="5"/>
        <v>0.99258586775609015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65">
        <v>3</v>
      </c>
      <c r="D54" s="59">
        <f t="shared" si="3"/>
        <v>33</v>
      </c>
      <c r="E54" s="59">
        <f t="shared" si="6"/>
        <v>9</v>
      </c>
      <c r="F54" s="60">
        <f t="shared" si="4"/>
        <v>0.62</v>
      </c>
      <c r="G54" s="61">
        <f>IF(D54=D53,"",_xlfn.IFNA(VLOOKUP(D54,'인원 입력 기능(사과탐)'!$F$177:$I$231,4,FALSE),0))</f>
        <v>179</v>
      </c>
      <c r="H54" s="62">
        <f t="shared" si="1"/>
        <v>2.4622071830424077E-3</v>
      </c>
      <c r="I54" s="72">
        <f>SUM($G$7:G54)</f>
        <v>72339</v>
      </c>
      <c r="J54" s="64">
        <f t="shared" si="5"/>
        <v>0.99504807493913261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58">
        <v>2</v>
      </c>
      <c r="D55" s="59">
        <f t="shared" si="3"/>
        <v>32</v>
      </c>
      <c r="E55" s="59">
        <f t="shared" si="6"/>
        <v>9</v>
      </c>
      <c r="F55" s="60">
        <f t="shared" si="4"/>
        <v>0.31</v>
      </c>
      <c r="G55" s="61">
        <f>IF(D55=D54,"",_xlfn.IFNA(VLOOKUP(D55,'인원 입력 기능(사과탐)'!$F$177:$I$231,4,FALSE),0))</f>
        <v>266</v>
      </c>
      <c r="H55" s="62">
        <f t="shared" si="1"/>
        <v>3.6589224060853656E-3</v>
      </c>
      <c r="I55" s="72">
        <f>SUM($G$7:G55)</f>
        <v>72605</v>
      </c>
      <c r="J55" s="64">
        <f t="shared" si="5"/>
        <v>0.99870699734521795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5">
        <v>1</v>
      </c>
      <c r="D56" s="66" t="s">
        <v>56</v>
      </c>
      <c r="E56" s="66"/>
      <c r="F56" s="67"/>
      <c r="G56" s="110"/>
      <c r="H56" s="108"/>
      <c r="I56" s="76"/>
      <c r="J56" s="71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11">
        <v>0</v>
      </c>
      <c r="D57" s="78">
        <f>ROUND(10*(C57-$H$3)/$H$4+50,0)</f>
        <v>31</v>
      </c>
      <c r="E57" s="112">
        <f t="shared" si="6"/>
        <v>9</v>
      </c>
      <c r="F57" s="79">
        <f>IF(I55=0,ROUND(100*(1-(I54+I57)/2/$J$3),2),ROUND(100*(1-(I55+I57)/2/$J$3),2))</f>
        <v>0.06</v>
      </c>
      <c r="G57" s="113">
        <f>_xlfn.IFNA(VLOOKUP(D57,'인원 입력 기능(사과탐)'!$F$177:$I$231,4,FALSE),0)</f>
        <v>94</v>
      </c>
      <c r="H57" s="81">
        <f>G57/$J$3</f>
        <v>1.2930026547820464E-3</v>
      </c>
      <c r="I57" s="82">
        <f>SUM($G$7:G57)</f>
        <v>72699</v>
      </c>
      <c r="J57" s="114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24">
    <mergeCell ref="I30:I31"/>
    <mergeCell ref="J30:J31"/>
    <mergeCell ref="D43:D44"/>
    <mergeCell ref="E43:E44"/>
    <mergeCell ref="F43:F44"/>
    <mergeCell ref="G43:G44"/>
    <mergeCell ref="H43:H44"/>
    <mergeCell ref="I43:I44"/>
    <mergeCell ref="J43:J44"/>
    <mergeCell ref="D30:D31"/>
    <mergeCell ref="E30:E31"/>
    <mergeCell ref="F30:F31"/>
    <mergeCell ref="G30:G31"/>
    <mergeCell ref="H30:H31"/>
    <mergeCell ref="D3:F3"/>
    <mergeCell ref="D4:F4"/>
    <mergeCell ref="I4:J5"/>
    <mergeCell ref="D17:D18"/>
    <mergeCell ref="E17:E18"/>
    <mergeCell ref="F17:F18"/>
    <mergeCell ref="G17:G18"/>
    <mergeCell ref="H17:H18"/>
    <mergeCell ref="I17:I18"/>
    <mergeCell ref="J17:J18"/>
  </mergeCells>
  <phoneticPr fontId="1" type="noConversion"/>
  <conditionalFormatting sqref="D7:G17 I7:J17 D19:G30 I19:J30 D32:G43 I32:J43 D45:G57 I45:J57">
    <cfRule type="expression" dxfId="11" priority="4">
      <formula>OR($D7=$Q$7:$Q$14)</formula>
    </cfRule>
  </conditionalFormatting>
  <conditionalFormatting sqref="C7:C57">
    <cfRule type="expression" dxfId="10" priority="3">
      <formula>OR(AND($D7=0,OR($D6=$Q$7:$Q$14)),AND($D8&gt;0,OR($D7=$Q$7:$Q$14)))</formula>
    </cfRule>
  </conditionalFormatting>
  <conditionalFormatting sqref="D7:D17 D19:D30 D32:D43 D45:D57">
    <cfRule type="expression" dxfId="9" priority="2">
      <formula>$D7=$D8</formula>
    </cfRule>
  </conditionalFormatting>
  <conditionalFormatting sqref="H7:H17 H19:H30 H32:H43 H45:H57">
    <cfRule type="expression" dxfId="8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0621C-2B94-40D9-B1DB-0AF1E77398CC}">
  <sheetPr codeName="Sheet21"/>
  <dimension ref="A1:Q105"/>
  <sheetViews>
    <sheetView zoomScale="98" zoomScaleNormal="98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152" t="s">
        <v>133</v>
      </c>
      <c r="B1" s="157"/>
      <c r="C1" s="33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8"/>
      <c r="B2" s="152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155"/>
      <c r="C3" s="48" t="s">
        <v>68</v>
      </c>
      <c r="D3" s="163" t="s">
        <v>134</v>
      </c>
      <c r="E3" s="164"/>
      <c r="F3" s="165"/>
      <c r="G3" s="48" t="s">
        <v>69</v>
      </c>
      <c r="H3" s="49" t="str">
        <f>'통계 및 응시자 수 입력 기능'!D19</f>
        <v>23.14</v>
      </c>
      <c r="I3" s="21" t="s">
        <v>70</v>
      </c>
      <c r="J3" s="50">
        <f>'통계 및 응시자 수 입력 기능'!C19</f>
        <v>114924</v>
      </c>
      <c r="K3" s="36"/>
      <c r="L3" s="20"/>
    </row>
    <row r="4" spans="1:17" s="22" customFormat="1" ht="25" customHeight="1" thickBot="1" x14ac:dyDescent="0.5">
      <c r="A4" s="20"/>
      <c r="B4" s="35"/>
      <c r="C4" s="51" t="s">
        <v>71</v>
      </c>
      <c r="D4" s="166" t="s">
        <v>93</v>
      </c>
      <c r="E4" s="167"/>
      <c r="F4" s="168"/>
      <c r="G4" s="52" t="s">
        <v>73</v>
      </c>
      <c r="H4" s="53" t="str">
        <f>'통계 및 응시자 수 입력 기능'!E19</f>
        <v>10.21</v>
      </c>
      <c r="I4" s="169"/>
      <c r="J4" s="170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171"/>
      <c r="J5" s="171"/>
      <c r="K5" s="36"/>
      <c r="L5" s="20"/>
    </row>
    <row r="6" spans="1:17" s="22" customFormat="1" ht="25" customHeight="1" thickBot="1" x14ac:dyDescent="0.5">
      <c r="A6" s="20"/>
      <c r="B6" s="35"/>
      <c r="C6" s="54" t="s">
        <v>75</v>
      </c>
      <c r="D6" s="55" t="s">
        <v>76</v>
      </c>
      <c r="E6" s="55" t="s">
        <v>77</v>
      </c>
      <c r="F6" s="55" t="s">
        <v>78</v>
      </c>
      <c r="G6" s="55" t="s">
        <v>79</v>
      </c>
      <c r="H6" s="55" t="s">
        <v>80</v>
      </c>
      <c r="I6" s="56" t="s">
        <v>81</v>
      </c>
      <c r="J6" s="57" t="s">
        <v>82</v>
      </c>
      <c r="K6" s="36"/>
      <c r="L6" s="19" t="s">
        <v>64</v>
      </c>
      <c r="M6" s="19"/>
      <c r="N6" s="23"/>
    </row>
    <row r="7" spans="1:17" s="22" customFormat="1" ht="25" customHeight="1" x14ac:dyDescent="0.45">
      <c r="A7" s="20"/>
      <c r="B7" s="35"/>
      <c r="C7" s="160">
        <v>50</v>
      </c>
      <c r="D7" s="59">
        <f>ROUND(10*(C7-$H$3)/$H$4+50,0)</f>
        <v>76</v>
      </c>
      <c r="E7" s="59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60">
        <f>ROUND(100*(1-(0+I7)/2/$J$3),2)</f>
        <v>99.82</v>
      </c>
      <c r="G7" s="61">
        <f>_xlfn.IFNA(VLOOKUP(D7,'인원 입력 기능(사과탐)'!$K$177:$N$231,4,FALSE),0)</f>
        <v>407</v>
      </c>
      <c r="H7" s="62">
        <f>G7/$J$3</f>
        <v>3.541470885106679E-3</v>
      </c>
      <c r="I7" s="63">
        <f>G7</f>
        <v>407</v>
      </c>
      <c r="J7" s="64">
        <f>I7/$J$3</f>
        <v>3.541470885106679E-3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기능'!C139</f>
        <v>69</v>
      </c>
    </row>
    <row r="8" spans="1:17" s="22" customFormat="1" ht="25" customHeight="1" x14ac:dyDescent="0.45">
      <c r="A8" s="20"/>
      <c r="B8" s="35"/>
      <c r="C8" s="58">
        <v>49</v>
      </c>
      <c r="D8" s="66" t="s">
        <v>56</v>
      </c>
      <c r="E8" s="66"/>
      <c r="F8" s="67"/>
      <c r="G8" s="68"/>
      <c r="H8" s="108"/>
      <c r="I8" s="70"/>
      <c r="J8" s="71"/>
      <c r="K8" s="36"/>
      <c r="L8" s="20"/>
      <c r="N8" s="24"/>
      <c r="P8" s="24">
        <v>2</v>
      </c>
      <c r="Q8" s="24">
        <f>'표점등급&amp;절평인원 입력 기능'!C140</f>
        <v>64</v>
      </c>
    </row>
    <row r="9" spans="1:17" s="22" customFormat="1" ht="25" customHeight="1" x14ac:dyDescent="0.45">
      <c r="A9" s="20"/>
      <c r="B9" s="35"/>
      <c r="C9" s="58">
        <v>48</v>
      </c>
      <c r="D9" s="59">
        <f>ROUND(10*(C9-$H$3)/$H$4+50,0)</f>
        <v>74</v>
      </c>
      <c r="E9" s="59">
        <f t="shared" si="0"/>
        <v>1</v>
      </c>
      <c r="F9" s="60">
        <f>IF(I8=0,ROUND(100*(1-(I7+I9)/2/$J$3),2),ROUND(100*(1-(I8+I9)/2/$J$3),2))</f>
        <v>99.55</v>
      </c>
      <c r="G9" s="61">
        <f>_xlfn.IFNA(VLOOKUP(D9,'인원 입력 기능(사과탐)'!$K$177:$N$231,4,FALSE),0)</f>
        <v>226</v>
      </c>
      <c r="H9" s="62">
        <f t="shared" ref="H9:H55" si="1">G9/$J$3</f>
        <v>1.9665170025408097E-3</v>
      </c>
      <c r="I9" s="72">
        <f>SUM($G$7:G9)</f>
        <v>633</v>
      </c>
      <c r="J9" s="64">
        <f>I9/$J$3</f>
        <v>5.5079878876474891E-3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기능'!C141</f>
        <v>58</v>
      </c>
    </row>
    <row r="10" spans="1:17" s="22" customFormat="1" ht="25" customHeight="1" x14ac:dyDescent="0.45">
      <c r="A10" s="20"/>
      <c r="B10" s="35"/>
      <c r="C10" s="65">
        <v>47</v>
      </c>
      <c r="D10" s="59">
        <f t="shared" ref="D10:D55" si="3">ROUND(10*(C10-$H$3)/$H$4+50,0)</f>
        <v>73</v>
      </c>
      <c r="E10" s="59">
        <f t="shared" si="0"/>
        <v>1</v>
      </c>
      <c r="F10" s="60">
        <f t="shared" ref="F10:F55" si="4">IF(I9=0,ROUND(100*(1-(I8+I10)/2/$J$3),2),ROUND(100*(1-(I9+I10)/2/$J$3),2))</f>
        <v>98.91</v>
      </c>
      <c r="G10" s="61">
        <f>IF(D10=D9,"",_xlfn.IFNA(VLOOKUP(D10,'인원 입력 기능(사과탐)'!$K$177:$N$231,4,FALSE),0))</f>
        <v>1249</v>
      </c>
      <c r="H10" s="62">
        <f t="shared" si="1"/>
        <v>1.0868051929971111E-2</v>
      </c>
      <c r="I10" s="72">
        <f>SUM($G$7:G10)</f>
        <v>1882</v>
      </c>
      <c r="J10" s="64">
        <f t="shared" ref="J10:J55" si="5">I10/$J$3</f>
        <v>1.63760398176186E-2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기능'!C142</f>
        <v>52</v>
      </c>
    </row>
    <row r="11" spans="1:17" s="22" customFormat="1" ht="25" customHeight="1" x14ac:dyDescent="0.45">
      <c r="A11" s="20"/>
      <c r="B11" s="35"/>
      <c r="C11" s="58">
        <v>46</v>
      </c>
      <c r="D11" s="59">
        <f t="shared" si="3"/>
        <v>72</v>
      </c>
      <c r="E11" s="59">
        <f t="shared" si="0"/>
        <v>1</v>
      </c>
      <c r="F11" s="60">
        <f t="shared" si="4"/>
        <v>98.32</v>
      </c>
      <c r="G11" s="61">
        <f>IF(D11=D10,"",_xlfn.IFNA(VLOOKUP(D11,'인원 입력 기능(사과탐)'!$K$177:$N$231,4,FALSE),0))</f>
        <v>97</v>
      </c>
      <c r="H11" s="62">
        <f t="shared" si="1"/>
        <v>8.4403605861264831E-4</v>
      </c>
      <c r="I11" s="72">
        <f>SUM($G$7:G11)</f>
        <v>1979</v>
      </c>
      <c r="J11" s="64">
        <f t="shared" si="5"/>
        <v>1.7220075876231249E-2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기능'!C143</f>
        <v>46</v>
      </c>
    </row>
    <row r="12" spans="1:17" s="22" customFormat="1" ht="25" customHeight="1" x14ac:dyDescent="0.45">
      <c r="A12" s="20"/>
      <c r="B12" s="35"/>
      <c r="C12" s="65">
        <v>45</v>
      </c>
      <c r="D12" s="59">
        <f t="shared" si="3"/>
        <v>71</v>
      </c>
      <c r="E12" s="59">
        <f t="shared" si="0"/>
        <v>1</v>
      </c>
      <c r="F12" s="60">
        <f t="shared" si="4"/>
        <v>97.85</v>
      </c>
      <c r="G12" s="61">
        <f>IF(D12=D11,"",_xlfn.IFNA(VLOOKUP(D12,'인원 입력 기능(사과탐)'!$K$177:$N$231,4,FALSE),0))</f>
        <v>987</v>
      </c>
      <c r="H12" s="62">
        <f t="shared" si="1"/>
        <v>8.5882844314503493E-3</v>
      </c>
      <c r="I12" s="72">
        <f>SUM($G$7:G12)</f>
        <v>2966</v>
      </c>
      <c r="J12" s="64">
        <f t="shared" si="5"/>
        <v>2.5808360307681598E-2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기능'!C144</f>
        <v>42</v>
      </c>
    </row>
    <row r="13" spans="1:17" s="22" customFormat="1" ht="25" customHeight="1" x14ac:dyDescent="0.45">
      <c r="A13" s="20"/>
      <c r="B13" s="35"/>
      <c r="C13" s="58">
        <v>44</v>
      </c>
      <c r="D13" s="59">
        <f t="shared" si="3"/>
        <v>70</v>
      </c>
      <c r="E13" s="59">
        <f t="shared" si="0"/>
        <v>1</v>
      </c>
      <c r="F13" s="60">
        <f t="shared" si="4"/>
        <v>96.89</v>
      </c>
      <c r="G13" s="61">
        <f>IF(D13=D12,"",_xlfn.IFNA(VLOOKUP(D13,'인원 입력 기능(사과탐)'!$K$177:$N$231,4,FALSE),0))</f>
        <v>1226</v>
      </c>
      <c r="H13" s="62">
        <f t="shared" si="1"/>
        <v>1.0667919668650586E-2</v>
      </c>
      <c r="I13" s="72">
        <f>SUM($G$7:G13)</f>
        <v>4192</v>
      </c>
      <c r="J13" s="64">
        <f t="shared" si="5"/>
        <v>3.6476279976332182E-2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기능'!C145</f>
        <v>38</v>
      </c>
    </row>
    <row r="14" spans="1:17" s="22" customFormat="1" ht="25" customHeight="1" x14ac:dyDescent="0.45">
      <c r="A14" s="20"/>
      <c r="B14" s="35"/>
      <c r="C14" s="65">
        <v>43</v>
      </c>
      <c r="D14" s="59">
        <f t="shared" si="3"/>
        <v>69</v>
      </c>
      <c r="E14" s="59">
        <f t="shared" si="0"/>
        <v>1</v>
      </c>
      <c r="F14" s="60">
        <f t="shared" si="4"/>
        <v>96.14</v>
      </c>
      <c r="G14" s="61">
        <f>IF(D14=D13,"",_xlfn.IFNA(VLOOKUP(D14,'인원 입력 기능(사과탐)'!$K$177:$N$231,4,FALSE),0))</f>
        <v>492</v>
      </c>
      <c r="H14" s="62">
        <f t="shared" si="1"/>
        <v>4.2810901117260099E-3</v>
      </c>
      <c r="I14" s="72">
        <f>SUM($G$7:G14)</f>
        <v>4684</v>
      </c>
      <c r="J14" s="64">
        <f t="shared" si="5"/>
        <v>4.0757370088058194E-2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기능'!C146</f>
        <v>35</v>
      </c>
    </row>
    <row r="15" spans="1:17" s="22" customFormat="1" ht="25" customHeight="1" x14ac:dyDescent="0.45">
      <c r="A15" s="20"/>
      <c r="B15" s="35"/>
      <c r="C15" s="58">
        <v>42</v>
      </c>
      <c r="D15" s="59">
        <f t="shared" si="3"/>
        <v>68</v>
      </c>
      <c r="E15" s="59">
        <f t="shared" si="0"/>
        <v>2</v>
      </c>
      <c r="F15" s="60">
        <f t="shared" si="4"/>
        <v>95.24</v>
      </c>
      <c r="G15" s="61">
        <f>IF(D15=D14,"",_xlfn.IFNA(VLOOKUP(D15,'인원 입력 기능(사과탐)'!$K$177:$N$231,4,FALSE),0))</f>
        <v>1567</v>
      </c>
      <c r="H15" s="62">
        <f t="shared" si="1"/>
        <v>1.363509797779402E-2</v>
      </c>
      <c r="I15" s="72">
        <f>SUM($G$7:G15)</f>
        <v>6251</v>
      </c>
      <c r="J15" s="64">
        <f t="shared" si="5"/>
        <v>5.4392468065852212E-2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5">
        <v>41</v>
      </c>
      <c r="D16" s="237">
        <f t="shared" si="3"/>
        <v>67</v>
      </c>
      <c r="E16" s="237">
        <f t="shared" si="0"/>
        <v>2</v>
      </c>
      <c r="F16" s="247">
        <f t="shared" si="4"/>
        <v>93.52</v>
      </c>
      <c r="G16" s="249">
        <f>IF(D16=D15,"",_xlfn.IFNA(VLOOKUP(D16,'인원 입력 기능(사과탐)'!$K$177:$N$231,4,FALSE),0))</f>
        <v>2402</v>
      </c>
      <c r="H16" s="250">
        <f t="shared" si="1"/>
        <v>2.0900769203995685E-2</v>
      </c>
      <c r="I16" s="252">
        <f>SUM($G$7:G16)</f>
        <v>8653</v>
      </c>
      <c r="J16" s="254">
        <f t="shared" si="5"/>
        <v>7.5293237269847893E-2</v>
      </c>
      <c r="K16" s="36"/>
      <c r="L16" s="20" t="str">
        <f t="shared" si="2"/>
        <v>경고</v>
      </c>
      <c r="N16" s="24"/>
    </row>
    <row r="17" spans="1:17" s="22" customFormat="1" ht="25" customHeight="1" x14ac:dyDescent="0.45">
      <c r="A17" s="20"/>
      <c r="B17" s="35"/>
      <c r="C17" s="58">
        <v>40</v>
      </c>
      <c r="D17" s="238"/>
      <c r="E17" s="238"/>
      <c r="F17" s="246"/>
      <c r="G17" s="248"/>
      <c r="H17" s="251"/>
      <c r="I17" s="253"/>
      <c r="J17" s="255"/>
      <c r="K17" s="36"/>
      <c r="L17" s="20" t="str">
        <f t="shared" si="2"/>
        <v>경고</v>
      </c>
      <c r="N17" s="24"/>
      <c r="Q17" s="24">
        <f>Q7*H3*H4*J3*IFERROR(IF(J57=1, 1, 0), 0)</f>
        <v>1873479394.7064002</v>
      </c>
    </row>
    <row r="18" spans="1:17" s="22" customFormat="1" ht="25" customHeight="1" x14ac:dyDescent="0.45">
      <c r="A18" s="20"/>
      <c r="B18" s="35"/>
      <c r="C18" s="65">
        <v>39</v>
      </c>
      <c r="D18" s="59">
        <f t="shared" si="3"/>
        <v>66</v>
      </c>
      <c r="E18" s="59">
        <f t="shared" si="0"/>
        <v>2</v>
      </c>
      <c r="F18" s="60">
        <f t="shared" si="4"/>
        <v>91.71</v>
      </c>
      <c r="G18" s="61">
        <f>IF(D18=D17,"",_xlfn.IFNA(VLOOKUP(D18,'인원 입력 기능(사과탐)'!$K$177:$N$231,4,FALSE),0))</f>
        <v>1748</v>
      </c>
      <c r="H18" s="62">
        <f t="shared" si="1"/>
        <v>1.521005186035989E-2</v>
      </c>
      <c r="I18" s="72">
        <f>SUM($G$7:G18)</f>
        <v>10401</v>
      </c>
      <c r="J18" s="64">
        <f t="shared" si="5"/>
        <v>9.050328913020779E-2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58">
        <v>38</v>
      </c>
      <c r="D19" s="59">
        <f t="shared" si="3"/>
        <v>65</v>
      </c>
      <c r="E19" s="59">
        <f t="shared" si="0"/>
        <v>2</v>
      </c>
      <c r="F19" s="60">
        <f t="shared" si="4"/>
        <v>90.36</v>
      </c>
      <c r="G19" s="61">
        <f>IF(D19=D18,"",_xlfn.IFNA(VLOOKUP(D19,'인원 입력 기능(사과탐)'!$K$177:$N$231,4,FALSE),0))</f>
        <v>1355</v>
      </c>
      <c r="H19" s="62">
        <f t="shared" si="1"/>
        <v>1.1790400612578748E-2</v>
      </c>
      <c r="I19" s="72">
        <f>SUM($G$7:G19)</f>
        <v>11756</v>
      </c>
      <c r="J19" s="64">
        <f t="shared" si="5"/>
        <v>0.10229368974278653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65">
        <v>37</v>
      </c>
      <c r="D20" s="59">
        <f t="shared" si="3"/>
        <v>64</v>
      </c>
      <c r="E20" s="59">
        <f t="shared" si="0"/>
        <v>2</v>
      </c>
      <c r="F20" s="60">
        <f t="shared" si="4"/>
        <v>88.86</v>
      </c>
      <c r="G20" s="61">
        <f>IF(D20=D19,"",_xlfn.IFNA(VLOOKUP(D20,'인원 입력 기능(사과탐)'!$K$177:$N$231,4,FALSE),0))</f>
        <v>2094</v>
      </c>
      <c r="H20" s="62">
        <f t="shared" si="1"/>
        <v>1.8220737182833874E-2</v>
      </c>
      <c r="I20" s="72">
        <f>SUM($G$7:G20)</f>
        <v>13850</v>
      </c>
      <c r="J20" s="64">
        <f t="shared" si="5"/>
        <v>0.12051442692562041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09">
        <v>36</v>
      </c>
      <c r="D21" s="74">
        <f t="shared" si="3"/>
        <v>63</v>
      </c>
      <c r="E21" s="74">
        <f t="shared" si="0"/>
        <v>3</v>
      </c>
      <c r="F21" s="60">
        <f t="shared" si="4"/>
        <v>87.19</v>
      </c>
      <c r="G21" s="61">
        <f>IF(D21=D20,"",_xlfn.IFNA(VLOOKUP(D21,'인원 입력 기능(사과탐)'!$K$177:$N$231,4,FALSE),0))</f>
        <v>1738</v>
      </c>
      <c r="H21" s="62">
        <f t="shared" si="1"/>
        <v>1.5123037833698793E-2</v>
      </c>
      <c r="I21" s="72">
        <f>SUM($G$7:G21)</f>
        <v>15588</v>
      </c>
      <c r="J21" s="64">
        <f t="shared" si="5"/>
        <v>0.1356374647593192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73">
        <v>35</v>
      </c>
      <c r="D22" s="74">
        <f t="shared" si="3"/>
        <v>62</v>
      </c>
      <c r="E22" s="74">
        <f t="shared" si="0"/>
        <v>3</v>
      </c>
      <c r="F22" s="60">
        <f t="shared" si="4"/>
        <v>85.55</v>
      </c>
      <c r="G22" s="61">
        <f>IF(D22=D21,"",_xlfn.IFNA(VLOOKUP(D22,'인원 입력 기능(사과탐)'!$K$177:$N$231,4,FALSE),0))</f>
        <v>2042</v>
      </c>
      <c r="H22" s="62">
        <f t="shared" si="1"/>
        <v>1.7768264244196166E-2</v>
      </c>
      <c r="I22" s="72">
        <f>SUM($G$7:G22)</f>
        <v>17630</v>
      </c>
      <c r="J22" s="64">
        <f t="shared" si="5"/>
        <v>0.15340572900351537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09">
        <v>34</v>
      </c>
      <c r="D23" s="74">
        <f t="shared" si="3"/>
        <v>61</v>
      </c>
      <c r="E23" s="74">
        <f t="shared" si="0"/>
        <v>3</v>
      </c>
      <c r="F23" s="60">
        <f t="shared" si="4"/>
        <v>83.57</v>
      </c>
      <c r="G23" s="61">
        <f>IF(D23=D22,"",_xlfn.IFNA(VLOOKUP(D23,'인원 입력 기능(사과탐)'!$K$177:$N$231,4,FALSE),0))</f>
        <v>2510</v>
      </c>
      <c r="H23" s="62">
        <f t="shared" si="1"/>
        <v>2.1840520691935539E-2</v>
      </c>
      <c r="I23" s="72">
        <f>SUM($G$7:G23)</f>
        <v>20140</v>
      </c>
      <c r="J23" s="64">
        <f t="shared" si="5"/>
        <v>0.17524624969545091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73">
        <v>33</v>
      </c>
      <c r="D24" s="74">
        <f t="shared" si="3"/>
        <v>60</v>
      </c>
      <c r="E24" s="74">
        <f t="shared" si="0"/>
        <v>3</v>
      </c>
      <c r="F24" s="60">
        <f t="shared" si="4"/>
        <v>81.540000000000006</v>
      </c>
      <c r="G24" s="61">
        <f>IF(D24=D23,"",_xlfn.IFNA(VLOOKUP(D24,'인원 입력 기능(사과탐)'!$K$177:$N$231,4,FALSE),0))</f>
        <v>2158</v>
      </c>
      <c r="H24" s="62">
        <f t="shared" si="1"/>
        <v>1.8777626953464899E-2</v>
      </c>
      <c r="I24" s="72">
        <f>SUM($G$7:G24)</f>
        <v>22298</v>
      </c>
      <c r="J24" s="64">
        <f t="shared" si="5"/>
        <v>0.19402387664891579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09">
        <v>32</v>
      </c>
      <c r="D25" s="74">
        <f t="shared" si="3"/>
        <v>59</v>
      </c>
      <c r="E25" s="74">
        <f t="shared" si="0"/>
        <v>3</v>
      </c>
      <c r="F25" s="60">
        <f t="shared" si="4"/>
        <v>79.319999999999993</v>
      </c>
      <c r="G25" s="61">
        <f>IF(D25=D24,"",_xlfn.IFNA(VLOOKUP(D25,'인원 입력 기능(사과탐)'!$K$177:$N$231,4,FALSE),0))</f>
        <v>2930</v>
      </c>
      <c r="H25" s="62">
        <f t="shared" si="1"/>
        <v>2.5495109811701645E-2</v>
      </c>
      <c r="I25" s="72">
        <f>SUM($G$7:G25)</f>
        <v>25228</v>
      </c>
      <c r="J25" s="64">
        <f t="shared" si="5"/>
        <v>0.21951898646061746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73">
        <v>31</v>
      </c>
      <c r="D26" s="74">
        <f t="shared" si="3"/>
        <v>58</v>
      </c>
      <c r="E26" s="74">
        <f t="shared" si="0"/>
        <v>3</v>
      </c>
      <c r="F26" s="60">
        <f t="shared" si="4"/>
        <v>76.94</v>
      </c>
      <c r="G26" s="61">
        <f>IF(D26=D25,"",_xlfn.IFNA(VLOOKUP(D26,'인원 입력 기능(사과탐)'!$K$177:$N$231,4,FALSE),0))</f>
        <v>2544</v>
      </c>
      <c r="H26" s="62">
        <f t="shared" si="1"/>
        <v>2.2136368382583274E-2</v>
      </c>
      <c r="I26" s="72">
        <f>SUM($G$7:G26)</f>
        <v>27772</v>
      </c>
      <c r="J26" s="64">
        <f t="shared" si="5"/>
        <v>0.24165535484320072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09">
        <v>30</v>
      </c>
      <c r="D27" s="74">
        <f t="shared" si="3"/>
        <v>57</v>
      </c>
      <c r="E27" s="74">
        <f t="shared" si="0"/>
        <v>4</v>
      </c>
      <c r="F27" s="60">
        <f t="shared" si="4"/>
        <v>74.52</v>
      </c>
      <c r="G27" s="61">
        <f>IF(D27=D26,"",_xlfn.IFNA(VLOOKUP(D27,'인원 입력 기능(사과탐)'!$K$177:$N$231,4,FALSE),0))</f>
        <v>3022</v>
      </c>
      <c r="H27" s="62">
        <f t="shared" si="1"/>
        <v>2.6295638856983748E-2</v>
      </c>
      <c r="I27" s="72">
        <f>SUM($G$7:G27)</f>
        <v>30794</v>
      </c>
      <c r="J27" s="64">
        <f t="shared" si="5"/>
        <v>0.26795099370018449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73">
        <v>29</v>
      </c>
      <c r="D28" s="74">
        <f t="shared" si="3"/>
        <v>56</v>
      </c>
      <c r="E28" s="74">
        <f t="shared" si="0"/>
        <v>4</v>
      </c>
      <c r="F28" s="60">
        <f t="shared" si="4"/>
        <v>71.8</v>
      </c>
      <c r="G28" s="61">
        <f>IF(D28=D27,"",_xlfn.IFNA(VLOOKUP(D28,'인원 입력 기능(사과탐)'!$K$177:$N$231,4,FALSE),0))</f>
        <v>3221</v>
      </c>
      <c r="H28" s="62">
        <f t="shared" si="1"/>
        <v>2.8027217987539592E-2</v>
      </c>
      <c r="I28" s="72">
        <f>SUM($G$7:G28)</f>
        <v>34015</v>
      </c>
      <c r="J28" s="64">
        <f t="shared" si="5"/>
        <v>0.29597821168772404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09">
        <v>28</v>
      </c>
      <c r="D29" s="74">
        <f t="shared" si="3"/>
        <v>55</v>
      </c>
      <c r="E29" s="74">
        <f t="shared" si="0"/>
        <v>4</v>
      </c>
      <c r="F29" s="60">
        <f t="shared" si="4"/>
        <v>69.06</v>
      </c>
      <c r="G29" s="61">
        <f>IF(D29=D28,"",_xlfn.IFNA(VLOOKUP(D29,'인원 입력 기능(사과탐)'!$K$177:$N$231,4,FALSE),0))</f>
        <v>3081</v>
      </c>
      <c r="H29" s="62">
        <f t="shared" si="1"/>
        <v>2.6809021614284223E-2</v>
      </c>
      <c r="I29" s="72">
        <f>SUM($G$7:G29)</f>
        <v>37096</v>
      </c>
      <c r="J29" s="64">
        <f t="shared" si="5"/>
        <v>0.32278723330200826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73">
        <v>27</v>
      </c>
      <c r="D30" s="74">
        <f t="shared" si="3"/>
        <v>54</v>
      </c>
      <c r="E30" s="74">
        <f t="shared" si="0"/>
        <v>4</v>
      </c>
      <c r="F30" s="60">
        <f t="shared" si="4"/>
        <v>66.12</v>
      </c>
      <c r="G30" s="61">
        <f>IF(D30=D29,"",_xlfn.IFNA(VLOOKUP(D30,'인원 입력 기능(사과탐)'!$K$177:$N$231,4,FALSE),0))</f>
        <v>3676</v>
      </c>
      <c r="H30" s="62">
        <f t="shared" si="1"/>
        <v>3.1986356200619542E-2</v>
      </c>
      <c r="I30" s="72">
        <f>SUM($G$7:G30)</f>
        <v>40772</v>
      </c>
      <c r="J30" s="64">
        <f t="shared" si="5"/>
        <v>0.35477358950262783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09">
        <v>26</v>
      </c>
      <c r="D31" s="74">
        <f t="shared" si="3"/>
        <v>53</v>
      </c>
      <c r="E31" s="74">
        <f t="shared" si="0"/>
        <v>4</v>
      </c>
      <c r="F31" s="60">
        <f t="shared" si="4"/>
        <v>63.04</v>
      </c>
      <c r="G31" s="61">
        <f>IF(D31=D30,"",_xlfn.IFNA(VLOOKUP(D31,'인원 입력 기능(사과탐)'!$K$177:$N$231,4,FALSE),0))</f>
        <v>3418</v>
      </c>
      <c r="H31" s="62">
        <f t="shared" si="1"/>
        <v>2.9741394312763219E-2</v>
      </c>
      <c r="I31" s="72">
        <f>SUM($G$7:G31)</f>
        <v>44190</v>
      </c>
      <c r="J31" s="64">
        <f t="shared" si="5"/>
        <v>0.38451498381539106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73">
        <v>25</v>
      </c>
      <c r="D32" s="74">
        <f t="shared" si="3"/>
        <v>52</v>
      </c>
      <c r="E32" s="74">
        <f t="shared" si="0"/>
        <v>4</v>
      </c>
      <c r="F32" s="60">
        <f t="shared" si="4"/>
        <v>59.89</v>
      </c>
      <c r="G32" s="61">
        <f>IF(D32=D31,"",_xlfn.IFNA(VLOOKUP(D32,'인원 입력 기능(사과탐)'!$K$177:$N$231,4,FALSE),0))</f>
        <v>3817</v>
      </c>
      <c r="H32" s="62">
        <f t="shared" si="1"/>
        <v>3.321325397654102E-2</v>
      </c>
      <c r="I32" s="72">
        <f>SUM($G$7:G32)</f>
        <v>48007</v>
      </c>
      <c r="J32" s="64">
        <f t="shared" si="5"/>
        <v>0.41772823779193208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09">
        <v>24</v>
      </c>
      <c r="D33" s="74">
        <f t="shared" si="3"/>
        <v>51</v>
      </c>
      <c r="E33" s="74">
        <f t="shared" si="0"/>
        <v>5</v>
      </c>
      <c r="F33" s="60">
        <f t="shared" si="4"/>
        <v>56.53</v>
      </c>
      <c r="G33" s="61">
        <f>IF(D33=D32,"",_xlfn.IFNA(VLOOKUP(D33,'인원 입력 기능(사과탐)'!$K$177:$N$231,4,FALSE),0))</f>
        <v>3890</v>
      </c>
      <c r="H33" s="62">
        <f t="shared" si="1"/>
        <v>3.3848456371167034E-2</v>
      </c>
      <c r="I33" s="72">
        <f>SUM($G$7:G33)</f>
        <v>51897</v>
      </c>
      <c r="J33" s="64">
        <f t="shared" si="5"/>
        <v>0.45157669416309909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73">
        <v>23</v>
      </c>
      <c r="D34" s="74">
        <f t="shared" si="3"/>
        <v>50</v>
      </c>
      <c r="E34" s="74">
        <f t="shared" si="0"/>
        <v>5</v>
      </c>
      <c r="F34" s="60">
        <f t="shared" si="4"/>
        <v>53.21</v>
      </c>
      <c r="G34" s="61">
        <f>IF(D34=D33,"",_xlfn.IFNA(VLOOKUP(D34,'인원 입력 기능(사과탐)'!$K$177:$N$231,4,FALSE),0))</f>
        <v>3747</v>
      </c>
      <c r="H34" s="62">
        <f t="shared" si="1"/>
        <v>3.2604155789913332E-2</v>
      </c>
      <c r="I34" s="72">
        <f>SUM($G$7:G34)</f>
        <v>55644</v>
      </c>
      <c r="J34" s="64">
        <f t="shared" si="5"/>
        <v>0.48418084995301242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09">
        <v>22</v>
      </c>
      <c r="D35" s="74">
        <f t="shared" si="3"/>
        <v>49</v>
      </c>
      <c r="E35" s="74">
        <f t="shared" si="0"/>
        <v>5</v>
      </c>
      <c r="F35" s="60">
        <f t="shared" si="4"/>
        <v>49.65</v>
      </c>
      <c r="G35" s="61">
        <f>IF(D35=D34,"",_xlfn.IFNA(VLOOKUP(D35,'인원 입력 기능(사과탐)'!$K$177:$N$231,4,FALSE),0))</f>
        <v>4429</v>
      </c>
      <c r="H35" s="62">
        <f t="shared" si="1"/>
        <v>3.85385124082002E-2</v>
      </c>
      <c r="I35" s="72">
        <f>SUM($G$7:G35)</f>
        <v>60073</v>
      </c>
      <c r="J35" s="64">
        <f t="shared" si="5"/>
        <v>0.52271936236121264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73">
        <v>21</v>
      </c>
      <c r="D36" s="74">
        <f t="shared" si="3"/>
        <v>48</v>
      </c>
      <c r="E36" s="74">
        <f t="shared" si="0"/>
        <v>5</v>
      </c>
      <c r="F36" s="60">
        <f t="shared" si="4"/>
        <v>46.05</v>
      </c>
      <c r="G36" s="61">
        <f>IF(D36=D35,"",_xlfn.IFNA(VLOOKUP(D36,'인원 입력 기능(사과탐)'!$K$177:$N$231,4,FALSE),0))</f>
        <v>3848</v>
      </c>
      <c r="H36" s="62">
        <f t="shared" si="1"/>
        <v>3.3482997459190422E-2</v>
      </c>
      <c r="I36" s="72">
        <f>SUM($G$7:G36)</f>
        <v>63921</v>
      </c>
      <c r="J36" s="64">
        <f t="shared" si="5"/>
        <v>0.556202359820403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09">
        <v>20</v>
      </c>
      <c r="D37" s="74">
        <f t="shared" si="3"/>
        <v>47</v>
      </c>
      <c r="E37" s="74">
        <f t="shared" si="0"/>
        <v>5</v>
      </c>
      <c r="F37" s="60">
        <f t="shared" si="4"/>
        <v>42.45</v>
      </c>
      <c r="G37" s="61">
        <f>IF(D37=D36,"",_xlfn.IFNA(VLOOKUP(D37,'인원 입력 기능(사과탐)'!$K$177:$N$231,4,FALSE),0))</f>
        <v>4433</v>
      </c>
      <c r="H37" s="62">
        <f t="shared" si="1"/>
        <v>3.8573318018864641E-2</v>
      </c>
      <c r="I37" s="72">
        <f>SUM($G$7:G37)</f>
        <v>68354</v>
      </c>
      <c r="J37" s="64">
        <f t="shared" si="5"/>
        <v>0.59477567783926766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73">
        <v>19</v>
      </c>
      <c r="D38" s="74">
        <f t="shared" si="3"/>
        <v>46</v>
      </c>
      <c r="E38" s="74">
        <f t="shared" si="0"/>
        <v>5</v>
      </c>
      <c r="F38" s="60">
        <f t="shared" si="4"/>
        <v>38.67</v>
      </c>
      <c r="G38" s="61">
        <f>IF(D38=D37,"",_xlfn.IFNA(VLOOKUP(D38,'인원 입력 기능(사과탐)'!$K$177:$N$231,4,FALSE),0))</f>
        <v>4251</v>
      </c>
      <c r="H38" s="62">
        <f t="shared" si="1"/>
        <v>3.6989662733632661E-2</v>
      </c>
      <c r="I38" s="72">
        <f>SUM($G$7:G38)</f>
        <v>72605</v>
      </c>
      <c r="J38" s="64">
        <f t="shared" si="5"/>
        <v>0.63176534057290035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09">
        <v>18</v>
      </c>
      <c r="D39" s="74">
        <f t="shared" si="3"/>
        <v>45</v>
      </c>
      <c r="E39" s="74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6</v>
      </c>
      <c r="F39" s="60">
        <f t="shared" si="4"/>
        <v>35.130000000000003</v>
      </c>
      <c r="G39" s="61">
        <f>IF(D39=D38,"",_xlfn.IFNA(VLOOKUP(D39,'인원 입력 기능(사과탐)'!$K$177:$N$231,4,FALSE),0))</f>
        <v>3882</v>
      </c>
      <c r="H39" s="62">
        <f t="shared" si="1"/>
        <v>3.3778845149838151E-2</v>
      </c>
      <c r="I39" s="72">
        <f>SUM($G$7:G39)</f>
        <v>76487</v>
      </c>
      <c r="J39" s="64">
        <f t="shared" si="5"/>
        <v>0.66554418572273855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73">
        <v>17</v>
      </c>
      <c r="D40" s="74">
        <f t="shared" si="3"/>
        <v>44</v>
      </c>
      <c r="E40" s="74">
        <f t="shared" si="6"/>
        <v>6</v>
      </c>
      <c r="F40" s="60">
        <f t="shared" si="4"/>
        <v>31.5</v>
      </c>
      <c r="G40" s="61">
        <f>IF(D40=D39,"",_xlfn.IFNA(VLOOKUP(D40,'인원 입력 기능(사과탐)'!$K$177:$N$231,4,FALSE),0))</f>
        <v>4471</v>
      </c>
      <c r="H40" s="62">
        <f t="shared" si="1"/>
        <v>3.8903971320176811E-2</v>
      </c>
      <c r="I40" s="72">
        <f>SUM($G$7:G40)</f>
        <v>80958</v>
      </c>
      <c r="J40" s="64">
        <f t="shared" si="5"/>
        <v>0.7044481570429153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09">
        <v>16</v>
      </c>
      <c r="D41" s="74">
        <f t="shared" si="3"/>
        <v>43</v>
      </c>
      <c r="E41" s="74">
        <f t="shared" si="6"/>
        <v>6</v>
      </c>
      <c r="F41" s="60">
        <f t="shared" si="4"/>
        <v>28.01</v>
      </c>
      <c r="G41" s="61">
        <f>IF(D41=D40,"",_xlfn.IFNA(VLOOKUP(D41,'인원 입력 기능(사과탐)'!$K$177:$N$231,4,FALSE),0))</f>
        <v>3562</v>
      </c>
      <c r="H41" s="62">
        <f t="shared" si="1"/>
        <v>3.0994396296683026E-2</v>
      </c>
      <c r="I41" s="72">
        <f>SUM($G$7:G41)</f>
        <v>84520</v>
      </c>
      <c r="J41" s="64">
        <f t="shared" si="5"/>
        <v>0.73544255333959829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73">
        <v>15</v>
      </c>
      <c r="D42" s="74">
        <f t="shared" si="3"/>
        <v>42</v>
      </c>
      <c r="E42" s="74">
        <f t="shared" si="6"/>
        <v>6</v>
      </c>
      <c r="F42" s="60">
        <f t="shared" si="4"/>
        <v>24.59</v>
      </c>
      <c r="G42" s="61">
        <f>IF(D42=D41,"",_xlfn.IFNA(VLOOKUP(D42,'인원 입력 기능(사과탐)'!$K$177:$N$231,4,FALSE),0))</f>
        <v>4280</v>
      </c>
      <c r="H42" s="62">
        <f t="shared" si="1"/>
        <v>3.7242003410949846E-2</v>
      </c>
      <c r="I42" s="72">
        <f>SUM($G$7:G42)</f>
        <v>88800</v>
      </c>
      <c r="J42" s="64">
        <f t="shared" si="5"/>
        <v>0.77268455675054815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09">
        <v>14</v>
      </c>
      <c r="D43" s="74">
        <f t="shared" si="3"/>
        <v>41</v>
      </c>
      <c r="E43" s="74">
        <f t="shared" si="6"/>
        <v>7</v>
      </c>
      <c r="F43" s="60">
        <f t="shared" si="4"/>
        <v>21.25</v>
      </c>
      <c r="G43" s="61">
        <f>IF(D43=D42,"",_xlfn.IFNA(VLOOKUP(D43,'인원 입력 기능(사과탐)'!$K$177:$N$231,4,FALSE),0))</f>
        <v>3410</v>
      </c>
      <c r="H43" s="62">
        <f t="shared" si="1"/>
        <v>2.9671783091434339E-2</v>
      </c>
      <c r="I43" s="72">
        <f>SUM($G$7:G43)</f>
        <v>92210</v>
      </c>
      <c r="J43" s="64">
        <f t="shared" si="5"/>
        <v>0.80235633984198251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73">
        <v>13</v>
      </c>
      <c r="D44" s="74">
        <f t="shared" si="3"/>
        <v>40</v>
      </c>
      <c r="E44" s="74">
        <f t="shared" si="6"/>
        <v>7</v>
      </c>
      <c r="F44" s="60">
        <f t="shared" si="4"/>
        <v>17.52</v>
      </c>
      <c r="G44" s="61">
        <f>IF(D44=D43,"",_xlfn.IFNA(VLOOKUP(D44,'인원 입력 기능(사과탐)'!$K$177:$N$231,4,FALSE),0))</f>
        <v>5163</v>
      </c>
      <c r="H44" s="62">
        <f t="shared" si="1"/>
        <v>4.4925341965124779E-2</v>
      </c>
      <c r="I44" s="72">
        <f>SUM($G$7:G44)</f>
        <v>97373</v>
      </c>
      <c r="J44" s="64">
        <f t="shared" si="5"/>
        <v>0.84728168180710728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09">
        <v>12</v>
      </c>
      <c r="D45" s="74">
        <f t="shared" si="3"/>
        <v>39</v>
      </c>
      <c r="E45" s="74">
        <f t="shared" si="6"/>
        <v>7</v>
      </c>
      <c r="F45" s="60">
        <f t="shared" si="4"/>
        <v>13.94</v>
      </c>
      <c r="G45" s="61">
        <f>IF(D45=D44,"",_xlfn.IFNA(VLOOKUP(D45,'인원 입력 기능(사과탐)'!$K$177:$N$231,4,FALSE),0))</f>
        <v>3071</v>
      </c>
      <c r="H45" s="62">
        <f t="shared" si="1"/>
        <v>2.6722007587623126E-2</v>
      </c>
      <c r="I45" s="72">
        <f>SUM($G$7:G45)</f>
        <v>100444</v>
      </c>
      <c r="J45" s="64">
        <f t="shared" si="5"/>
        <v>0.87400368939473039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73">
        <v>11</v>
      </c>
      <c r="D46" s="74">
        <f t="shared" si="3"/>
        <v>38</v>
      </c>
      <c r="E46" s="74">
        <f t="shared" si="6"/>
        <v>7</v>
      </c>
      <c r="F46" s="60">
        <f t="shared" si="4"/>
        <v>11.61</v>
      </c>
      <c r="G46" s="61">
        <f>IF(D46=D45,"",_xlfn.IFNA(VLOOKUP(D46,'인원 입력 기능(사과탐)'!$K$177:$N$231,4,FALSE),0))</f>
        <v>2272</v>
      </c>
      <c r="H46" s="62">
        <f t="shared" si="1"/>
        <v>1.9769586857401412E-2</v>
      </c>
      <c r="I46" s="72">
        <f>SUM($G$7:G46)</f>
        <v>102716</v>
      </c>
      <c r="J46" s="64">
        <f t="shared" si="5"/>
        <v>0.89377327625213188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09">
        <v>10</v>
      </c>
      <c r="D47" s="74">
        <f t="shared" si="3"/>
        <v>37</v>
      </c>
      <c r="E47" s="74">
        <f t="shared" si="6"/>
        <v>8</v>
      </c>
      <c r="F47" s="60">
        <f t="shared" si="4"/>
        <v>8.7899999999999991</v>
      </c>
      <c r="G47" s="61">
        <f>IF(D47=D46,"",_xlfn.IFNA(VLOOKUP(D47,'인원 입력 기능(사과탐)'!$K$177:$N$231,4,FALSE),0))</f>
        <v>4216</v>
      </c>
      <c r="H47" s="62">
        <f t="shared" si="1"/>
        <v>3.6685113640318817E-2</v>
      </c>
      <c r="I47" s="72">
        <f>SUM($G$7:G47)</f>
        <v>106932</v>
      </c>
      <c r="J47" s="64">
        <f t="shared" si="5"/>
        <v>0.93045838989245067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73">
        <v>9</v>
      </c>
      <c r="D48" s="74">
        <f t="shared" si="3"/>
        <v>36</v>
      </c>
      <c r="E48" s="74">
        <f t="shared" si="6"/>
        <v>8</v>
      </c>
      <c r="F48" s="60">
        <f t="shared" si="4"/>
        <v>6.02</v>
      </c>
      <c r="G48" s="61">
        <f>IF(D48=D47,"",_xlfn.IFNA(VLOOKUP(D48,'인원 입력 기능(사과탐)'!$K$177:$N$231,4,FALSE),0))</f>
        <v>2150</v>
      </c>
      <c r="H48" s="62">
        <f t="shared" si="1"/>
        <v>1.870801573213602E-2</v>
      </c>
      <c r="I48" s="72">
        <f>SUM($G$7:G48)</f>
        <v>109082</v>
      </c>
      <c r="J48" s="64">
        <f t="shared" si="5"/>
        <v>0.94916640562458665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09">
        <v>8</v>
      </c>
      <c r="D49" s="74">
        <f t="shared" si="3"/>
        <v>35</v>
      </c>
      <c r="E49" s="74">
        <f t="shared" si="6"/>
        <v>8</v>
      </c>
      <c r="F49" s="60">
        <f t="shared" si="4"/>
        <v>4.22</v>
      </c>
      <c r="G49" s="61">
        <f>IF(D49=D48,"",_xlfn.IFNA(VLOOKUP(D49,'인원 입력 기능(사과탐)'!$K$177:$N$231,4,FALSE),0))</f>
        <v>1979</v>
      </c>
      <c r="H49" s="62">
        <f t="shared" si="1"/>
        <v>1.7220075876231249E-2</v>
      </c>
      <c r="I49" s="72">
        <f>SUM($G$7:G49)</f>
        <v>111061</v>
      </c>
      <c r="J49" s="64">
        <f t="shared" si="5"/>
        <v>0.96638648150081796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73">
        <v>7</v>
      </c>
      <c r="D50" s="74">
        <f t="shared" si="3"/>
        <v>34</v>
      </c>
      <c r="E50" s="74">
        <f t="shared" si="6"/>
        <v>9</v>
      </c>
      <c r="F50" s="60">
        <f t="shared" si="4"/>
        <v>2.8</v>
      </c>
      <c r="G50" s="61">
        <f>IF(D50=D49,"",_xlfn.IFNA(VLOOKUP(D50,'인원 입력 기능(사과탐)'!$K$177:$N$231,4,FALSE),0))</f>
        <v>1293</v>
      </c>
      <c r="H50" s="62">
        <f t="shared" si="1"/>
        <v>1.1250913647279941E-2</v>
      </c>
      <c r="I50" s="72">
        <f>SUM($G$7:G50)</f>
        <v>112354</v>
      </c>
      <c r="J50" s="64">
        <f t="shared" si="5"/>
        <v>0.97763739514809789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09">
        <v>6</v>
      </c>
      <c r="D51" s="74">
        <f t="shared" si="3"/>
        <v>33</v>
      </c>
      <c r="E51" s="74">
        <f t="shared" si="6"/>
        <v>9</v>
      </c>
      <c r="F51" s="60">
        <f t="shared" si="4"/>
        <v>1.89</v>
      </c>
      <c r="G51" s="61">
        <f>IF(D51=D50,"",_xlfn.IFNA(VLOOKUP(D51,'인원 입력 기능(사과탐)'!$K$177:$N$231,4,FALSE),0))</f>
        <v>792</v>
      </c>
      <c r="H51" s="62">
        <f t="shared" si="1"/>
        <v>6.8915109115589429E-3</v>
      </c>
      <c r="I51" s="72">
        <f>SUM($G$7:G51)</f>
        <v>113146</v>
      </c>
      <c r="J51" s="64">
        <f t="shared" si="5"/>
        <v>0.98452890605965682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73">
        <v>5</v>
      </c>
      <c r="D52" s="74">
        <f t="shared" si="3"/>
        <v>32</v>
      </c>
      <c r="E52" s="74">
        <f t="shared" si="6"/>
        <v>9</v>
      </c>
      <c r="F52" s="60">
        <f t="shared" si="4"/>
        <v>1.21</v>
      </c>
      <c r="G52" s="61">
        <f>IF(D52=D51,"",_xlfn.IFNA(VLOOKUP(D52,'인원 입력 기능(사과탐)'!$K$177:$N$231,4,FALSE),0))</f>
        <v>772</v>
      </c>
      <c r="H52" s="62">
        <f t="shared" si="1"/>
        <v>6.7174828582367476E-3</v>
      </c>
      <c r="I52" s="72">
        <f>SUM($G$7:G52)</f>
        <v>113918</v>
      </c>
      <c r="J52" s="64">
        <f t="shared" si="5"/>
        <v>0.99124638891789352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58">
        <v>4</v>
      </c>
      <c r="D53" s="59">
        <f t="shared" si="3"/>
        <v>31</v>
      </c>
      <c r="E53" s="59">
        <f t="shared" si="6"/>
        <v>9</v>
      </c>
      <c r="F53" s="60">
        <f t="shared" si="4"/>
        <v>0.71</v>
      </c>
      <c r="G53" s="61">
        <f>IF(D53=D52,"",_xlfn.IFNA(VLOOKUP(D53,'인원 입력 기능(사과탐)'!$K$177:$N$231,4,FALSE),0))</f>
        <v>374</v>
      </c>
      <c r="H53" s="62">
        <f t="shared" si="1"/>
        <v>3.2543245971250567E-3</v>
      </c>
      <c r="I53" s="72">
        <f>SUM($G$7:G53)</f>
        <v>114292</v>
      </c>
      <c r="J53" s="64">
        <f t="shared" si="5"/>
        <v>0.99450071351501868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65">
        <v>3</v>
      </c>
      <c r="D54" s="59">
        <f t="shared" si="3"/>
        <v>30</v>
      </c>
      <c r="E54" s="59">
        <f t="shared" si="6"/>
        <v>9</v>
      </c>
      <c r="F54" s="60">
        <f t="shared" si="4"/>
        <v>0.44</v>
      </c>
      <c r="G54" s="61">
        <f>IF(D54=D53,"",_xlfn.IFNA(VLOOKUP(D54,'인원 입력 기능(사과탐)'!$K$177:$N$231,4,FALSE),0))</f>
        <v>258</v>
      </c>
      <c r="H54" s="62">
        <f t="shared" si="1"/>
        <v>2.2449618878563225E-3</v>
      </c>
      <c r="I54" s="72">
        <f>SUM($G$7:G54)</f>
        <v>114550</v>
      </c>
      <c r="J54" s="64">
        <f t="shared" si="5"/>
        <v>0.99674567540287495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58">
        <v>2</v>
      </c>
      <c r="D55" s="59">
        <f t="shared" si="3"/>
        <v>29</v>
      </c>
      <c r="E55" s="59">
        <f t="shared" si="6"/>
        <v>9</v>
      </c>
      <c r="F55" s="60">
        <f t="shared" si="4"/>
        <v>0.22</v>
      </c>
      <c r="G55" s="61">
        <f>IF(D55=D54,"",_xlfn.IFNA(VLOOKUP(D55,'인원 입력 기능(사과탐)'!$K$177:$N$231,4,FALSE),0))</f>
        <v>252</v>
      </c>
      <c r="H55" s="62">
        <f t="shared" si="1"/>
        <v>2.1927534718596637E-3</v>
      </c>
      <c r="I55" s="72">
        <f>SUM($G$7:G55)</f>
        <v>114802</v>
      </c>
      <c r="J55" s="64">
        <f t="shared" si="5"/>
        <v>0.99893842887473461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5">
        <v>1</v>
      </c>
      <c r="D56" s="66" t="s">
        <v>56</v>
      </c>
      <c r="E56" s="66"/>
      <c r="F56" s="67"/>
      <c r="G56" s="110"/>
      <c r="H56" s="108"/>
      <c r="I56" s="76"/>
      <c r="J56" s="71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11">
        <v>0</v>
      </c>
      <c r="D57" s="78">
        <f>ROUND(10*(C57-$H$3)/$H$4+50,0)</f>
        <v>27</v>
      </c>
      <c r="E57" s="112">
        <f t="shared" si="6"/>
        <v>9</v>
      </c>
      <c r="F57" s="79">
        <f>IF(I55=0,ROUND(100*(1-(I54+I57)/2/$J$3),2),ROUND(100*(1-(I55+I57)/2/$J$3),2))</f>
        <v>0.05</v>
      </c>
      <c r="G57" s="113">
        <f>_xlfn.IFNA(VLOOKUP(D57,'인원 입력 기능(사과탐)'!$K$177:$N$231,4,FALSE),0)</f>
        <v>122</v>
      </c>
      <c r="H57" s="81">
        <f>G57/$J$3</f>
        <v>1.0615711252653928E-3</v>
      </c>
      <c r="I57" s="82">
        <f>SUM($G$7:G57)</f>
        <v>114924</v>
      </c>
      <c r="J57" s="114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10">
    <mergeCell ref="D3:F3"/>
    <mergeCell ref="D4:F4"/>
    <mergeCell ref="I4:J5"/>
    <mergeCell ref="D16:D17"/>
    <mergeCell ref="E16:E17"/>
    <mergeCell ref="F16:F17"/>
    <mergeCell ref="G16:G17"/>
    <mergeCell ref="H16:H17"/>
    <mergeCell ref="I16:I17"/>
    <mergeCell ref="J16:J17"/>
  </mergeCells>
  <phoneticPr fontId="1" type="noConversion"/>
  <conditionalFormatting sqref="D7:G16 I7:J16 D18:G57 I18:J57">
    <cfRule type="expression" dxfId="7" priority="5">
      <formula>OR($D7=$Q$7:$Q$14)</formula>
    </cfRule>
  </conditionalFormatting>
  <conditionalFormatting sqref="C7:C57">
    <cfRule type="expression" dxfId="6" priority="4">
      <formula>OR(AND($D7=0,OR($D6=$Q$7:$Q$14)),AND($D8&gt;0,OR($D7=$Q$7:$Q$14)))</formula>
    </cfRule>
  </conditionalFormatting>
  <conditionalFormatting sqref="D7:D16 D18:D57">
    <cfRule type="expression" dxfId="5" priority="2">
      <formula>$D7=$D8</formula>
    </cfRule>
  </conditionalFormatting>
  <conditionalFormatting sqref="H7:H16 H18:H57">
    <cfRule type="expression" dxfId="4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ADD5B-C474-4501-A149-318FD835DF8F}">
  <sheetPr codeName="Sheet22"/>
  <dimension ref="A1:Q105"/>
  <sheetViews>
    <sheetView zoomScale="98" zoomScaleNormal="98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152" t="s">
        <v>133</v>
      </c>
      <c r="B1" s="157"/>
      <c r="C1" s="33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8"/>
      <c r="B2" s="152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155"/>
      <c r="C3" s="48" t="s">
        <v>68</v>
      </c>
      <c r="D3" s="163" t="s">
        <v>134</v>
      </c>
      <c r="E3" s="164"/>
      <c r="F3" s="165"/>
      <c r="G3" s="48" t="s">
        <v>69</v>
      </c>
      <c r="H3" s="49" t="str">
        <f>'통계 및 응시자 수 입력 기능'!D20</f>
        <v>22.80</v>
      </c>
      <c r="I3" s="21" t="s">
        <v>70</v>
      </c>
      <c r="J3" s="50">
        <f>'통계 및 응시자 수 입력 기능'!C20</f>
        <v>86430</v>
      </c>
      <c r="K3" s="36"/>
      <c r="L3" s="20"/>
    </row>
    <row r="4" spans="1:17" s="22" customFormat="1" ht="25" customHeight="1" thickBot="1" x14ac:dyDescent="0.5">
      <c r="A4" s="20"/>
      <c r="B4" s="35"/>
      <c r="C4" s="51" t="s">
        <v>71</v>
      </c>
      <c r="D4" s="166" t="s">
        <v>92</v>
      </c>
      <c r="E4" s="167"/>
      <c r="F4" s="168"/>
      <c r="G4" s="52" t="s">
        <v>73</v>
      </c>
      <c r="H4" s="53" t="str">
        <f>'통계 및 응시자 수 입력 기능'!E20</f>
        <v>10.49</v>
      </c>
      <c r="I4" s="169"/>
      <c r="J4" s="170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171"/>
      <c r="J5" s="171"/>
      <c r="K5" s="36"/>
      <c r="L5" s="20"/>
    </row>
    <row r="6" spans="1:17" s="22" customFormat="1" ht="25" customHeight="1" thickBot="1" x14ac:dyDescent="0.5">
      <c r="A6" s="20"/>
      <c r="B6" s="35"/>
      <c r="C6" s="54" t="s">
        <v>75</v>
      </c>
      <c r="D6" s="55" t="s">
        <v>76</v>
      </c>
      <c r="E6" s="55" t="s">
        <v>77</v>
      </c>
      <c r="F6" s="55" t="s">
        <v>78</v>
      </c>
      <c r="G6" s="55" t="s">
        <v>79</v>
      </c>
      <c r="H6" s="55" t="s">
        <v>80</v>
      </c>
      <c r="I6" s="56" t="s">
        <v>81</v>
      </c>
      <c r="J6" s="57" t="s">
        <v>82</v>
      </c>
      <c r="K6" s="36"/>
      <c r="L6" s="19" t="s">
        <v>64</v>
      </c>
      <c r="M6" s="19"/>
      <c r="N6" s="23"/>
    </row>
    <row r="7" spans="1:17" s="22" customFormat="1" ht="25" customHeight="1" x14ac:dyDescent="0.45">
      <c r="A7" s="20"/>
      <c r="B7" s="35"/>
      <c r="C7" s="160">
        <v>50</v>
      </c>
      <c r="D7" s="59">
        <f>ROUND(10*(C7-$H$3)/$H$4+50,0)</f>
        <v>76</v>
      </c>
      <c r="E7" s="59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60">
        <f>ROUND(100*(1-(0+I7)/2/$J$3),2)</f>
        <v>99.71</v>
      </c>
      <c r="G7" s="61">
        <f>_xlfn.IFNA(VLOOKUP(D7,'인원 입력 기능(사과탐)'!$P$177:$S$231,4,FALSE),0)</f>
        <v>507</v>
      </c>
      <c r="H7" s="62">
        <f>G7/$J$3</f>
        <v>5.8660187434918434E-3</v>
      </c>
      <c r="I7" s="63">
        <f>G7</f>
        <v>507</v>
      </c>
      <c r="J7" s="64">
        <f>I7/$J$3</f>
        <v>5.8660187434918434E-3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기능'!C148</f>
        <v>70</v>
      </c>
    </row>
    <row r="8" spans="1:17" s="22" customFormat="1" ht="25" customHeight="1" x14ac:dyDescent="0.45">
      <c r="A8" s="20"/>
      <c r="B8" s="35"/>
      <c r="C8" s="58">
        <v>49</v>
      </c>
      <c r="D8" s="66" t="s">
        <v>56</v>
      </c>
      <c r="E8" s="66"/>
      <c r="F8" s="67"/>
      <c r="G8" s="68"/>
      <c r="H8" s="108"/>
      <c r="I8" s="70"/>
      <c r="J8" s="71"/>
      <c r="K8" s="36"/>
      <c r="L8" s="20"/>
      <c r="N8" s="24"/>
      <c r="P8" s="24">
        <v>2</v>
      </c>
      <c r="Q8" s="24">
        <f>'표점등급&amp;절평인원 입력 기능'!C149</f>
        <v>64</v>
      </c>
    </row>
    <row r="9" spans="1:17" s="22" customFormat="1" ht="25" customHeight="1" x14ac:dyDescent="0.45">
      <c r="A9" s="20"/>
      <c r="B9" s="35"/>
      <c r="C9" s="58">
        <v>48</v>
      </c>
      <c r="D9" s="59">
        <f>ROUND(10*(C9-$H$3)/$H$4+50,0)</f>
        <v>74</v>
      </c>
      <c r="E9" s="59">
        <f t="shared" si="0"/>
        <v>1</v>
      </c>
      <c r="F9" s="60">
        <f>IF(I8=0,ROUND(100*(1-(I7+I9)/2/$J$3),2),ROUND(100*(1-(I8+I9)/2/$J$3),2))</f>
        <v>99.21</v>
      </c>
      <c r="G9" s="61">
        <f>_xlfn.IFNA(VLOOKUP(D9,'인원 입력 기능(사과탐)'!$P$177:$S$231,4,FALSE),0)</f>
        <v>356</v>
      </c>
      <c r="H9" s="62">
        <f t="shared" ref="H9:H55" si="1">G9/$J$3</f>
        <v>4.1189401828068961E-3</v>
      </c>
      <c r="I9" s="72">
        <f>SUM($G$7:G9)</f>
        <v>863</v>
      </c>
      <c r="J9" s="64">
        <f>I9/$J$3</f>
        <v>9.9849589262987395E-3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기능'!C150</f>
        <v>58</v>
      </c>
    </row>
    <row r="10" spans="1:17" s="22" customFormat="1" ht="25" customHeight="1" x14ac:dyDescent="0.45">
      <c r="A10" s="20"/>
      <c r="B10" s="35"/>
      <c r="C10" s="65">
        <v>47</v>
      </c>
      <c r="D10" s="59">
        <f t="shared" ref="D10:D55" si="3">ROUND(10*(C10-$H$3)/$H$4+50,0)</f>
        <v>73</v>
      </c>
      <c r="E10" s="59">
        <f t="shared" si="0"/>
        <v>1</v>
      </c>
      <c r="F10" s="60">
        <f t="shared" ref="F10:F55" si="4">IF(I9=0,ROUND(100*(1-(I8+I10)/2/$J$3),2),ROUND(100*(1-(I9+I10)/2/$J$3),2))</f>
        <v>98.52</v>
      </c>
      <c r="G10" s="61">
        <f>IF(D10=D9,"",_xlfn.IFNA(VLOOKUP(D10,'인원 입력 기능(사과탐)'!$P$177:$S$231,4,FALSE),0))</f>
        <v>840</v>
      </c>
      <c r="H10" s="62">
        <f t="shared" si="1"/>
        <v>9.7188476223533504E-3</v>
      </c>
      <c r="I10" s="72">
        <f>SUM($G$7:G10)</f>
        <v>1703</v>
      </c>
      <c r="J10" s="64">
        <f t="shared" ref="J10:J55" si="5">I10/$J$3</f>
        <v>1.970380654865209E-2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기능'!C151</f>
        <v>52</v>
      </c>
    </row>
    <row r="11" spans="1:17" s="22" customFormat="1" ht="25" customHeight="1" x14ac:dyDescent="0.45">
      <c r="A11" s="20"/>
      <c r="B11" s="35"/>
      <c r="C11" s="58">
        <v>46</v>
      </c>
      <c r="D11" s="59">
        <f t="shared" si="3"/>
        <v>72</v>
      </c>
      <c r="E11" s="59">
        <f t="shared" si="0"/>
        <v>1</v>
      </c>
      <c r="F11" s="60">
        <f t="shared" si="4"/>
        <v>97.96</v>
      </c>
      <c r="G11" s="61">
        <f>IF(D11=D10,"",_xlfn.IFNA(VLOOKUP(D11,'인원 입력 기능(사과탐)'!$P$177:$S$231,4,FALSE),0))</f>
        <v>116</v>
      </c>
      <c r="H11" s="62">
        <f t="shared" si="1"/>
        <v>1.3421265764202244E-3</v>
      </c>
      <c r="I11" s="72">
        <f>SUM($G$7:G11)</f>
        <v>1819</v>
      </c>
      <c r="J11" s="64">
        <f t="shared" si="5"/>
        <v>2.1045933125072313E-2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기능'!C152</f>
        <v>46</v>
      </c>
    </row>
    <row r="12" spans="1:17" s="22" customFormat="1" ht="25" customHeight="1" x14ac:dyDescent="0.45">
      <c r="A12" s="20"/>
      <c r="B12" s="35"/>
      <c r="C12" s="65">
        <v>45</v>
      </c>
      <c r="D12" s="59">
        <f t="shared" si="3"/>
        <v>71</v>
      </c>
      <c r="E12" s="59">
        <f t="shared" si="0"/>
        <v>1</v>
      </c>
      <c r="F12" s="60">
        <f t="shared" si="4"/>
        <v>97.42</v>
      </c>
      <c r="G12" s="61">
        <f>IF(D12=D11,"",_xlfn.IFNA(VLOOKUP(D12,'인원 입력 기능(사과탐)'!$P$177:$S$231,4,FALSE),0))</f>
        <v>818</v>
      </c>
      <c r="H12" s="62">
        <f t="shared" si="1"/>
        <v>9.4643063751012387E-3</v>
      </c>
      <c r="I12" s="72">
        <f>SUM($G$7:G12)</f>
        <v>2637</v>
      </c>
      <c r="J12" s="64">
        <f t="shared" si="5"/>
        <v>3.051023950017355E-2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기능'!C153</f>
        <v>42</v>
      </c>
    </row>
    <row r="13" spans="1:17" s="22" customFormat="1" ht="25" customHeight="1" x14ac:dyDescent="0.45">
      <c r="A13" s="20"/>
      <c r="B13" s="35"/>
      <c r="C13" s="58">
        <v>44</v>
      </c>
      <c r="D13" s="59">
        <f t="shared" si="3"/>
        <v>70</v>
      </c>
      <c r="E13" s="59">
        <f t="shared" si="0"/>
        <v>1</v>
      </c>
      <c r="F13" s="60">
        <f t="shared" si="4"/>
        <v>96.46</v>
      </c>
      <c r="G13" s="61">
        <f>IF(D13=D12,"",_xlfn.IFNA(VLOOKUP(D13,'인원 입력 기능(사과탐)'!$P$177:$S$231,4,FALSE),0))</f>
        <v>844</v>
      </c>
      <c r="H13" s="62">
        <f t="shared" si="1"/>
        <v>9.7651278491264603E-3</v>
      </c>
      <c r="I13" s="72">
        <f>SUM($G$7:G13)</f>
        <v>3481</v>
      </c>
      <c r="J13" s="64">
        <f t="shared" si="5"/>
        <v>4.0275367349300012E-2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기능'!C154</f>
        <v>39</v>
      </c>
    </row>
    <row r="14" spans="1:17" s="22" customFormat="1" ht="25" customHeight="1" x14ac:dyDescent="0.45">
      <c r="A14" s="20"/>
      <c r="B14" s="35"/>
      <c r="C14" s="65">
        <v>43</v>
      </c>
      <c r="D14" s="59">
        <f t="shared" si="3"/>
        <v>69</v>
      </c>
      <c r="E14" s="59">
        <f t="shared" si="0"/>
        <v>2</v>
      </c>
      <c r="F14" s="60">
        <f t="shared" si="4"/>
        <v>95.73</v>
      </c>
      <c r="G14" s="61">
        <f>IF(D14=D13,"",_xlfn.IFNA(VLOOKUP(D14,'인원 입력 기능(사과탐)'!$P$177:$S$231,4,FALSE),0))</f>
        <v>427</v>
      </c>
      <c r="H14" s="62">
        <f t="shared" si="1"/>
        <v>4.9404142080296193E-3</v>
      </c>
      <c r="I14" s="72">
        <f>SUM($G$7:G14)</f>
        <v>3908</v>
      </c>
      <c r="J14" s="64">
        <f t="shared" si="5"/>
        <v>4.521578155732963E-2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기능'!C155</f>
        <v>35</v>
      </c>
    </row>
    <row r="15" spans="1:17" s="22" customFormat="1" ht="25" customHeight="1" x14ac:dyDescent="0.45">
      <c r="A15" s="20"/>
      <c r="B15" s="35"/>
      <c r="C15" s="58">
        <v>42</v>
      </c>
      <c r="D15" s="59">
        <f t="shared" si="3"/>
        <v>68</v>
      </c>
      <c r="E15" s="59">
        <f t="shared" si="0"/>
        <v>2</v>
      </c>
      <c r="F15" s="60">
        <f t="shared" si="4"/>
        <v>94.79</v>
      </c>
      <c r="G15" s="61">
        <f>IF(D15=D14,"",_xlfn.IFNA(VLOOKUP(D15,'인원 입력 기능(사과탐)'!$P$177:$S$231,4,FALSE),0))</f>
        <v>1184</v>
      </c>
      <c r="H15" s="62">
        <f t="shared" si="1"/>
        <v>1.3698947124840911E-2</v>
      </c>
      <c r="I15" s="72">
        <f>SUM($G$7:G15)</f>
        <v>5092</v>
      </c>
      <c r="J15" s="64">
        <f t="shared" si="5"/>
        <v>5.8914728682170542E-2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5">
        <v>41</v>
      </c>
      <c r="D16" s="59">
        <f t="shared" si="3"/>
        <v>67</v>
      </c>
      <c r="E16" s="59">
        <f t="shared" si="0"/>
        <v>2</v>
      </c>
      <c r="F16" s="60">
        <f t="shared" si="4"/>
        <v>93.59</v>
      </c>
      <c r="G16" s="61">
        <f>IF(D16=D15,"",_xlfn.IFNA(VLOOKUP(D16,'인원 입력 기능(사과탐)'!$P$177:$S$231,4,FALSE),0))</f>
        <v>893</v>
      </c>
      <c r="H16" s="62">
        <f t="shared" si="1"/>
        <v>1.0332060627097073E-2</v>
      </c>
      <c r="I16" s="72">
        <f>SUM($G$7:G16)</f>
        <v>5985</v>
      </c>
      <c r="J16" s="64">
        <f t="shared" si="5"/>
        <v>6.9246789309267615E-2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58">
        <v>40</v>
      </c>
      <c r="D17" s="59">
        <f t="shared" si="3"/>
        <v>66</v>
      </c>
      <c r="E17" s="59">
        <f t="shared" si="0"/>
        <v>2</v>
      </c>
      <c r="F17" s="60">
        <f t="shared" si="4"/>
        <v>92.58</v>
      </c>
      <c r="G17" s="61">
        <f>IF(D17=D16,"",_xlfn.IFNA(VLOOKUP(D17,'인원 입력 기능(사과탐)'!$P$177:$S$231,4,FALSE),0))</f>
        <v>848</v>
      </c>
      <c r="H17" s="62">
        <f t="shared" si="1"/>
        <v>9.811408075899572E-3</v>
      </c>
      <c r="I17" s="72">
        <f>SUM($G$7:G17)</f>
        <v>6833</v>
      </c>
      <c r="J17" s="64">
        <f t="shared" si="5"/>
        <v>7.9058197385167187E-2</v>
      </c>
      <c r="K17" s="36"/>
      <c r="L17" s="20" t="str">
        <f t="shared" si="2"/>
        <v/>
      </c>
      <c r="N17" s="24"/>
      <c r="Q17" s="24">
        <f>Q7*H3*H4*J3*IFERROR(IF(J57=1, 1, 0), 0)</f>
        <v>1447014517.2</v>
      </c>
    </row>
    <row r="18" spans="1:17" s="22" customFormat="1" ht="25" customHeight="1" x14ac:dyDescent="0.45">
      <c r="A18" s="20"/>
      <c r="B18" s="35"/>
      <c r="C18" s="65">
        <v>39</v>
      </c>
      <c r="D18" s="59">
        <f t="shared" si="3"/>
        <v>65</v>
      </c>
      <c r="E18" s="59">
        <f t="shared" si="0"/>
        <v>2</v>
      </c>
      <c r="F18" s="60">
        <f t="shared" si="4"/>
        <v>91.31</v>
      </c>
      <c r="G18" s="61">
        <f>IF(D18=D17,"",_xlfn.IFNA(VLOOKUP(D18,'인원 입력 기능(사과탐)'!$P$177:$S$231,4,FALSE),0))</f>
        <v>1352</v>
      </c>
      <c r="H18" s="62">
        <f t="shared" si="1"/>
        <v>1.5642716649311581E-2</v>
      </c>
      <c r="I18" s="72">
        <f>SUM($G$7:G18)</f>
        <v>8185</v>
      </c>
      <c r="J18" s="64">
        <f t="shared" si="5"/>
        <v>9.4700914034478764E-2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58">
        <v>38</v>
      </c>
      <c r="D19" s="237">
        <f t="shared" si="3"/>
        <v>64</v>
      </c>
      <c r="E19" s="237">
        <f t="shared" si="0"/>
        <v>2</v>
      </c>
      <c r="F19" s="247">
        <f t="shared" si="4"/>
        <v>89.2</v>
      </c>
      <c r="G19" s="249">
        <f>IF(D19=D18,"",_xlfn.IFNA(VLOOKUP(D19,'인원 입력 기능(사과탐)'!$P$177:$S$231,4,FALSE),0))</f>
        <v>2307</v>
      </c>
      <c r="H19" s="250">
        <f t="shared" si="1"/>
        <v>2.6692120791391879E-2</v>
      </c>
      <c r="I19" s="252">
        <f>SUM($G$7:G19)</f>
        <v>10492</v>
      </c>
      <c r="J19" s="254">
        <f t="shared" si="5"/>
        <v>0.12139303482587065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65">
        <v>37</v>
      </c>
      <c r="D20" s="238"/>
      <c r="E20" s="238"/>
      <c r="F20" s="246"/>
      <c r="G20" s="248"/>
      <c r="H20" s="251"/>
      <c r="I20" s="253"/>
      <c r="J20" s="255"/>
      <c r="K20" s="36"/>
      <c r="L20" s="20" t="str">
        <f t="shared" si="2"/>
        <v>경고</v>
      </c>
      <c r="N20" s="24"/>
    </row>
    <row r="21" spans="1:17" s="22" customFormat="1" ht="25" customHeight="1" x14ac:dyDescent="0.45">
      <c r="A21" s="20"/>
      <c r="B21" s="35"/>
      <c r="C21" s="109">
        <v>36</v>
      </c>
      <c r="D21" s="74">
        <f t="shared" si="3"/>
        <v>63</v>
      </c>
      <c r="E21" s="74">
        <f t="shared" si="0"/>
        <v>3</v>
      </c>
      <c r="F21" s="60">
        <f t="shared" si="4"/>
        <v>86.98</v>
      </c>
      <c r="G21" s="61">
        <f>IF(D21=D20,"",_xlfn.IFNA(VLOOKUP(D21,'인원 입력 기능(사과탐)'!$P$177:$S$231,4,FALSE),0))</f>
        <v>1525</v>
      </c>
      <c r="H21" s="62">
        <f t="shared" si="1"/>
        <v>1.7644336457248642E-2</v>
      </c>
      <c r="I21" s="72">
        <f>SUM($G$7:G21)</f>
        <v>12017</v>
      </c>
      <c r="J21" s="64">
        <f t="shared" si="5"/>
        <v>0.1390373712831193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73">
        <v>35</v>
      </c>
      <c r="D22" s="74">
        <f t="shared" si="3"/>
        <v>62</v>
      </c>
      <c r="E22" s="74">
        <f t="shared" si="0"/>
        <v>3</v>
      </c>
      <c r="F22" s="60">
        <f t="shared" si="4"/>
        <v>85.35</v>
      </c>
      <c r="G22" s="61">
        <f>IF(D22=D21,"",_xlfn.IFNA(VLOOKUP(D22,'인원 입력 기능(사과탐)'!$P$177:$S$231,4,FALSE),0))</f>
        <v>1286</v>
      </c>
      <c r="H22" s="62">
        <f t="shared" si="1"/>
        <v>1.4879092907555246E-2</v>
      </c>
      <c r="I22" s="72">
        <f>SUM($G$7:G22)</f>
        <v>13303</v>
      </c>
      <c r="J22" s="64">
        <f t="shared" si="5"/>
        <v>0.15391646419067453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09">
        <v>34</v>
      </c>
      <c r="D23" s="74">
        <f t="shared" si="3"/>
        <v>61</v>
      </c>
      <c r="E23" s="74">
        <f t="shared" si="0"/>
        <v>3</v>
      </c>
      <c r="F23" s="60">
        <f t="shared" si="4"/>
        <v>83.56</v>
      </c>
      <c r="G23" s="61">
        <f>IF(D23=D22,"",_xlfn.IFNA(VLOOKUP(D23,'인원 입력 기능(사과탐)'!$P$177:$S$231,4,FALSE),0))</f>
        <v>1812</v>
      </c>
      <c r="H23" s="62">
        <f t="shared" si="1"/>
        <v>2.0964942728219367E-2</v>
      </c>
      <c r="I23" s="72">
        <f>SUM($G$7:G23)</f>
        <v>15115</v>
      </c>
      <c r="J23" s="64">
        <f t="shared" si="5"/>
        <v>0.17488140691889389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73">
        <v>33</v>
      </c>
      <c r="D24" s="74">
        <f t="shared" si="3"/>
        <v>60</v>
      </c>
      <c r="E24" s="74">
        <f t="shared" si="0"/>
        <v>3</v>
      </c>
      <c r="F24" s="60">
        <f t="shared" si="4"/>
        <v>81.540000000000006</v>
      </c>
      <c r="G24" s="61">
        <f>IF(D24=D23,"",_xlfn.IFNA(VLOOKUP(D24,'인원 입력 기능(사과탐)'!$P$177:$S$231,4,FALSE),0))</f>
        <v>1677</v>
      </c>
      <c r="H24" s="62">
        <f t="shared" si="1"/>
        <v>1.9402985074626865E-2</v>
      </c>
      <c r="I24" s="72">
        <f>SUM($G$7:G24)</f>
        <v>16792</v>
      </c>
      <c r="J24" s="64">
        <f t="shared" si="5"/>
        <v>0.19428439199352077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09">
        <v>32</v>
      </c>
      <c r="D25" s="74">
        <f t="shared" si="3"/>
        <v>59</v>
      </c>
      <c r="E25" s="74">
        <f t="shared" si="0"/>
        <v>3</v>
      </c>
      <c r="F25" s="60">
        <f t="shared" si="4"/>
        <v>79.58</v>
      </c>
      <c r="G25" s="61">
        <f>IF(D25=D24,"",_xlfn.IFNA(VLOOKUP(D25,'인원 입력 기능(사과탐)'!$P$177:$S$231,4,FALSE),0))</f>
        <v>1716</v>
      </c>
      <c r="H25" s="62">
        <f t="shared" si="1"/>
        <v>1.9854217285664701E-2</v>
      </c>
      <c r="I25" s="72">
        <f>SUM($G$7:G25)</f>
        <v>18508</v>
      </c>
      <c r="J25" s="64">
        <f t="shared" si="5"/>
        <v>0.21413860927918546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73">
        <v>31</v>
      </c>
      <c r="D26" s="74">
        <f t="shared" si="3"/>
        <v>58</v>
      </c>
      <c r="E26" s="74">
        <f t="shared" si="0"/>
        <v>3</v>
      </c>
      <c r="F26" s="60">
        <f t="shared" si="4"/>
        <v>77.36</v>
      </c>
      <c r="G26" s="61">
        <f>IF(D26=D25,"",_xlfn.IFNA(VLOOKUP(D26,'인원 입력 기능(사과탐)'!$P$177:$S$231,4,FALSE),0))</f>
        <v>2121</v>
      </c>
      <c r="H26" s="62">
        <f t="shared" si="1"/>
        <v>2.4540090246442207E-2</v>
      </c>
      <c r="I26" s="72">
        <f>SUM($G$7:G26)</f>
        <v>20629</v>
      </c>
      <c r="J26" s="64">
        <f t="shared" si="5"/>
        <v>0.23867869952562767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09">
        <v>30</v>
      </c>
      <c r="D27" s="74">
        <f t="shared" si="3"/>
        <v>57</v>
      </c>
      <c r="E27" s="74">
        <f t="shared" si="0"/>
        <v>4</v>
      </c>
      <c r="F27" s="60">
        <f t="shared" si="4"/>
        <v>75.03</v>
      </c>
      <c r="G27" s="61">
        <f>IF(D27=D26,"",_xlfn.IFNA(VLOOKUP(D27,'인원 입력 기능(사과탐)'!$P$177:$S$231,4,FALSE),0))</f>
        <v>1901</v>
      </c>
      <c r="H27" s="62">
        <f t="shared" si="1"/>
        <v>2.1994677773921091E-2</v>
      </c>
      <c r="I27" s="72">
        <f>SUM($G$7:G27)</f>
        <v>22530</v>
      </c>
      <c r="J27" s="64">
        <f t="shared" si="5"/>
        <v>0.26067337729954876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73">
        <v>29</v>
      </c>
      <c r="D28" s="74">
        <f t="shared" si="3"/>
        <v>56</v>
      </c>
      <c r="E28" s="74">
        <f t="shared" si="0"/>
        <v>4</v>
      </c>
      <c r="F28" s="60">
        <f t="shared" si="4"/>
        <v>72.61</v>
      </c>
      <c r="G28" s="61">
        <f>IF(D28=D27,"",_xlfn.IFNA(VLOOKUP(D28,'인원 입력 기능(사과탐)'!$P$177:$S$231,4,FALSE),0))</f>
        <v>2278</v>
      </c>
      <c r="H28" s="62">
        <f t="shared" si="1"/>
        <v>2.6356589147286821E-2</v>
      </c>
      <c r="I28" s="72">
        <f>SUM($G$7:G28)</f>
        <v>24808</v>
      </c>
      <c r="J28" s="64">
        <f t="shared" si="5"/>
        <v>0.28702996644683559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09">
        <v>28</v>
      </c>
      <c r="D29" s="74">
        <f t="shared" si="3"/>
        <v>55</v>
      </c>
      <c r="E29" s="74">
        <f t="shared" si="0"/>
        <v>4</v>
      </c>
      <c r="F29" s="60">
        <f t="shared" si="4"/>
        <v>69.959999999999994</v>
      </c>
      <c r="G29" s="61">
        <f>IF(D29=D28,"",_xlfn.IFNA(VLOOKUP(D29,'인원 입력 기능(사과탐)'!$P$177:$S$231,4,FALSE),0))</f>
        <v>2304</v>
      </c>
      <c r="H29" s="62">
        <f t="shared" si="1"/>
        <v>2.6657410621312043E-2</v>
      </c>
      <c r="I29" s="72">
        <f>SUM($G$7:G29)</f>
        <v>27112</v>
      </c>
      <c r="J29" s="64">
        <f t="shared" si="5"/>
        <v>0.31368737706814764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73">
        <v>27</v>
      </c>
      <c r="D30" s="74">
        <f t="shared" si="3"/>
        <v>54</v>
      </c>
      <c r="E30" s="74">
        <f t="shared" si="0"/>
        <v>4</v>
      </c>
      <c r="F30" s="60">
        <f t="shared" si="4"/>
        <v>67.23</v>
      </c>
      <c r="G30" s="61">
        <f>IF(D30=D29,"",_xlfn.IFNA(VLOOKUP(D30,'인원 입력 기능(사과탐)'!$P$177:$S$231,4,FALSE),0))</f>
        <v>2418</v>
      </c>
      <c r="H30" s="62">
        <f t="shared" si="1"/>
        <v>2.7976397084345715E-2</v>
      </c>
      <c r="I30" s="72">
        <f>SUM($G$7:G30)</f>
        <v>29530</v>
      </c>
      <c r="J30" s="64">
        <f t="shared" si="5"/>
        <v>0.34166377415249333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09">
        <v>26</v>
      </c>
      <c r="D31" s="74">
        <f t="shared" si="3"/>
        <v>53</v>
      </c>
      <c r="E31" s="74">
        <f t="shared" si="0"/>
        <v>4</v>
      </c>
      <c r="F31" s="60">
        <f t="shared" si="4"/>
        <v>64.27</v>
      </c>
      <c r="G31" s="61">
        <f>IF(D31=D30,"",_xlfn.IFNA(VLOOKUP(D31,'인원 입력 기능(사과탐)'!$P$177:$S$231,4,FALSE),0))</f>
        <v>2704</v>
      </c>
      <c r="H31" s="62">
        <f t="shared" si="1"/>
        <v>3.1285433298623162E-2</v>
      </c>
      <c r="I31" s="72">
        <f>SUM($G$7:G31)</f>
        <v>32234</v>
      </c>
      <c r="J31" s="64">
        <f t="shared" si="5"/>
        <v>0.37294920745111654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73">
        <v>25</v>
      </c>
      <c r="D32" s="74">
        <f t="shared" si="3"/>
        <v>52</v>
      </c>
      <c r="E32" s="74">
        <f t="shared" si="0"/>
        <v>4</v>
      </c>
      <c r="F32" s="60">
        <f t="shared" si="4"/>
        <v>61.26</v>
      </c>
      <c r="G32" s="61">
        <f>IF(D32=D31,"",_xlfn.IFNA(VLOOKUP(D32,'인원 입력 기능(사과탐)'!$P$177:$S$231,4,FALSE),0))</f>
        <v>2491</v>
      </c>
      <c r="H32" s="62">
        <f t="shared" si="1"/>
        <v>2.8821011222954992E-2</v>
      </c>
      <c r="I32" s="72">
        <f>SUM($G$7:G32)</f>
        <v>34725</v>
      </c>
      <c r="J32" s="64">
        <f t="shared" si="5"/>
        <v>0.40177021867407148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09">
        <v>24</v>
      </c>
      <c r="D33" s="74">
        <f t="shared" si="3"/>
        <v>51</v>
      </c>
      <c r="E33" s="74">
        <f t="shared" si="0"/>
        <v>5</v>
      </c>
      <c r="F33" s="60">
        <f t="shared" si="4"/>
        <v>58.16</v>
      </c>
      <c r="G33" s="61">
        <f>IF(D33=D32,"",_xlfn.IFNA(VLOOKUP(D33,'인원 입력 기능(사과탐)'!$P$177:$S$231,4,FALSE),0))</f>
        <v>2883</v>
      </c>
      <c r="H33" s="62">
        <f t="shared" si="1"/>
        <v>3.3356473446719888E-2</v>
      </c>
      <c r="I33" s="72">
        <f>SUM($G$7:G33)</f>
        <v>37608</v>
      </c>
      <c r="J33" s="64">
        <f t="shared" si="5"/>
        <v>0.43512669212079141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73">
        <v>23</v>
      </c>
      <c r="D34" s="74">
        <f t="shared" si="3"/>
        <v>50</v>
      </c>
      <c r="E34" s="74">
        <f t="shared" si="0"/>
        <v>5</v>
      </c>
      <c r="F34" s="60">
        <f t="shared" si="4"/>
        <v>54.83</v>
      </c>
      <c r="G34" s="61">
        <f>IF(D34=D33,"",_xlfn.IFNA(VLOOKUP(D34,'인원 입력 기능(사과탐)'!$P$177:$S$231,4,FALSE),0))</f>
        <v>2872</v>
      </c>
      <c r="H34" s="62">
        <f t="shared" si="1"/>
        <v>3.3229202823093835E-2</v>
      </c>
      <c r="I34" s="72">
        <f>SUM($G$7:G34)</f>
        <v>40480</v>
      </c>
      <c r="J34" s="64">
        <f t="shared" si="5"/>
        <v>0.46835589494388524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09">
        <v>22</v>
      </c>
      <c r="D35" s="74">
        <f t="shared" si="3"/>
        <v>49</v>
      </c>
      <c r="E35" s="74">
        <f t="shared" si="0"/>
        <v>5</v>
      </c>
      <c r="F35" s="60">
        <f t="shared" si="4"/>
        <v>51.51</v>
      </c>
      <c r="G35" s="61">
        <f>IF(D35=D34,"",_xlfn.IFNA(VLOOKUP(D35,'인원 입력 기능(사과탐)'!$P$177:$S$231,4,FALSE),0))</f>
        <v>2868</v>
      </c>
      <c r="H35" s="62">
        <f t="shared" si="1"/>
        <v>3.3182922596320719E-2</v>
      </c>
      <c r="I35" s="72">
        <f>SUM($G$7:G35)</f>
        <v>43348</v>
      </c>
      <c r="J35" s="64">
        <f t="shared" si="5"/>
        <v>0.50153881754020591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73">
        <v>21</v>
      </c>
      <c r="D36" s="74">
        <f t="shared" si="3"/>
        <v>48</v>
      </c>
      <c r="E36" s="74">
        <f t="shared" si="0"/>
        <v>5</v>
      </c>
      <c r="F36" s="60">
        <f t="shared" si="4"/>
        <v>48.09</v>
      </c>
      <c r="G36" s="61">
        <f>IF(D36=D35,"",_xlfn.IFNA(VLOOKUP(D36,'인원 입력 기능(사과탐)'!$P$177:$S$231,4,FALSE),0))</f>
        <v>3038</v>
      </c>
      <c r="H36" s="62">
        <f t="shared" si="1"/>
        <v>3.5149832234177947E-2</v>
      </c>
      <c r="I36" s="72">
        <f>SUM($G$7:G36)</f>
        <v>46386</v>
      </c>
      <c r="J36" s="64">
        <f t="shared" si="5"/>
        <v>0.53668864977438391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09">
        <v>20</v>
      </c>
      <c r="D37" s="74">
        <f t="shared" si="3"/>
        <v>47</v>
      </c>
      <c r="E37" s="74">
        <f t="shared" si="0"/>
        <v>5</v>
      </c>
      <c r="F37" s="60">
        <f t="shared" si="4"/>
        <v>44.61</v>
      </c>
      <c r="G37" s="61">
        <f>IF(D37=D36,"",_xlfn.IFNA(VLOOKUP(D37,'인원 입력 기능(사과탐)'!$P$177:$S$231,4,FALSE),0))</f>
        <v>2981</v>
      </c>
      <c r="H37" s="62">
        <f t="shared" si="1"/>
        <v>3.4490339002661116E-2</v>
      </c>
      <c r="I37" s="72">
        <f>SUM($G$7:G37)</f>
        <v>49367</v>
      </c>
      <c r="J37" s="64">
        <f t="shared" si="5"/>
        <v>0.57117898877704498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73">
        <v>19</v>
      </c>
      <c r="D38" s="74">
        <f t="shared" si="3"/>
        <v>46</v>
      </c>
      <c r="E38" s="74">
        <f t="shared" si="0"/>
        <v>5</v>
      </c>
      <c r="F38" s="60">
        <f t="shared" si="4"/>
        <v>41.07</v>
      </c>
      <c r="G38" s="61">
        <f>IF(D38=D37,"",_xlfn.IFNA(VLOOKUP(D38,'인원 입력 기능(사과탐)'!$P$177:$S$231,4,FALSE),0))</f>
        <v>3125</v>
      </c>
      <c r="H38" s="62">
        <f t="shared" si="1"/>
        <v>3.6156427166493116E-2</v>
      </c>
      <c r="I38" s="72">
        <f>SUM($G$7:G38)</f>
        <v>52492</v>
      </c>
      <c r="J38" s="64">
        <f t="shared" si="5"/>
        <v>0.60733541594353813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09">
        <v>18</v>
      </c>
      <c r="D39" s="74">
        <f t="shared" si="3"/>
        <v>45</v>
      </c>
      <c r="E39" s="74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6</v>
      </c>
      <c r="F39" s="60">
        <f t="shared" si="4"/>
        <v>37.53</v>
      </c>
      <c r="G39" s="61">
        <f>IF(D39=D38,"",_xlfn.IFNA(VLOOKUP(D39,'인원 입력 기능(사과탐)'!$P$177:$S$231,4,FALSE),0))</f>
        <v>3009</v>
      </c>
      <c r="H39" s="62">
        <f t="shared" si="1"/>
        <v>3.4814300590072893E-2</v>
      </c>
      <c r="I39" s="72">
        <f>SUM($G$7:G39)</f>
        <v>55501</v>
      </c>
      <c r="J39" s="64">
        <f t="shared" si="5"/>
        <v>0.64214971653361097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73">
        <v>17</v>
      </c>
      <c r="D40" s="257">
        <f t="shared" si="3"/>
        <v>44</v>
      </c>
      <c r="E40" s="257">
        <f t="shared" si="6"/>
        <v>6</v>
      </c>
      <c r="F40" s="247">
        <f t="shared" si="4"/>
        <v>32.26</v>
      </c>
      <c r="G40" s="249">
        <f>IF(D40=D39,"",_xlfn.IFNA(VLOOKUP(D40,'인원 입력 기능(사과탐)'!$P$177:$S$231,4,FALSE),0))</f>
        <v>6088</v>
      </c>
      <c r="H40" s="250">
        <f t="shared" si="1"/>
        <v>7.0438505148675223E-2</v>
      </c>
      <c r="I40" s="252">
        <f>SUM($G$7:G40)</f>
        <v>61589</v>
      </c>
      <c r="J40" s="254">
        <f t="shared" si="5"/>
        <v>0.71258822168228619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09">
        <v>16</v>
      </c>
      <c r="D41" s="256"/>
      <c r="E41" s="256"/>
      <c r="F41" s="246"/>
      <c r="G41" s="248"/>
      <c r="H41" s="251"/>
      <c r="I41" s="253"/>
      <c r="J41" s="255"/>
      <c r="K41" s="36"/>
      <c r="L41" s="20" t="str">
        <f t="shared" si="2"/>
        <v>경고</v>
      </c>
      <c r="N41" s="24"/>
    </row>
    <row r="42" spans="1:14" s="22" customFormat="1" ht="25" customHeight="1" x14ac:dyDescent="0.45">
      <c r="A42" s="20"/>
      <c r="B42" s="35"/>
      <c r="C42" s="73">
        <v>15</v>
      </c>
      <c r="D42" s="74">
        <f t="shared" si="3"/>
        <v>43</v>
      </c>
      <c r="E42" s="74">
        <f t="shared" si="6"/>
        <v>6</v>
      </c>
      <c r="F42" s="60">
        <f t="shared" si="4"/>
        <v>27.21</v>
      </c>
      <c r="G42" s="61">
        <f>IF(D42=D41,"",_xlfn.IFNA(VLOOKUP(D42,'인원 입력 기능(사과탐)'!$P$177:$S$231,4,FALSE),0))</f>
        <v>2647</v>
      </c>
      <c r="H42" s="62">
        <f t="shared" si="1"/>
        <v>3.0625940067106328E-2</v>
      </c>
      <c r="I42" s="72">
        <f>SUM($G$7:G42)</f>
        <v>64236</v>
      </c>
      <c r="J42" s="64">
        <f t="shared" si="5"/>
        <v>0.74321416174939259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09">
        <v>14</v>
      </c>
      <c r="D43" s="74">
        <f t="shared" si="3"/>
        <v>42</v>
      </c>
      <c r="E43" s="74">
        <f t="shared" si="6"/>
        <v>6</v>
      </c>
      <c r="F43" s="60">
        <f t="shared" si="4"/>
        <v>23.95</v>
      </c>
      <c r="G43" s="61">
        <f>IF(D43=D42,"",_xlfn.IFNA(VLOOKUP(D43,'인원 입력 기능(사과탐)'!$P$177:$S$231,4,FALSE),0))</f>
        <v>2985</v>
      </c>
      <c r="H43" s="62">
        <f t="shared" si="1"/>
        <v>3.4536619229434226E-2</v>
      </c>
      <c r="I43" s="72">
        <f>SUM($G$7:G43)</f>
        <v>67221</v>
      </c>
      <c r="J43" s="64">
        <f t="shared" si="5"/>
        <v>0.77775078097882677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73">
        <v>13</v>
      </c>
      <c r="D44" s="74">
        <f t="shared" si="3"/>
        <v>41</v>
      </c>
      <c r="E44" s="74">
        <f t="shared" si="6"/>
        <v>7</v>
      </c>
      <c r="F44" s="60">
        <f t="shared" si="4"/>
        <v>20.87</v>
      </c>
      <c r="G44" s="61">
        <f>IF(D44=D43,"",_xlfn.IFNA(VLOOKUP(D44,'인원 입력 기능(사과탐)'!$P$177:$S$231,4,FALSE),0))</f>
        <v>2341</v>
      </c>
      <c r="H44" s="62">
        <f t="shared" si="1"/>
        <v>2.7085502718963324E-2</v>
      </c>
      <c r="I44" s="72">
        <f>SUM($G$7:G44)</f>
        <v>69562</v>
      </c>
      <c r="J44" s="64">
        <f t="shared" si="5"/>
        <v>0.80483628369779014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09">
        <v>12</v>
      </c>
      <c r="D45" s="74">
        <f t="shared" si="3"/>
        <v>40</v>
      </c>
      <c r="E45" s="74">
        <f t="shared" si="6"/>
        <v>7</v>
      </c>
      <c r="F45" s="60">
        <f t="shared" si="4"/>
        <v>15.97</v>
      </c>
      <c r="G45" s="61">
        <f>IF(D45=D44,"",_xlfn.IFNA(VLOOKUP(D45,'인원 입력 기능(사과탐)'!$P$177:$S$231,4,FALSE),0))</f>
        <v>6138</v>
      </c>
      <c r="H45" s="62">
        <f t="shared" si="1"/>
        <v>7.1017007983339112E-2</v>
      </c>
      <c r="I45" s="72">
        <f>SUM($G$7:G45)</f>
        <v>75700</v>
      </c>
      <c r="J45" s="64">
        <f t="shared" si="5"/>
        <v>0.87585329168112924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73">
        <v>11</v>
      </c>
      <c r="D46" s="74">
        <f t="shared" si="3"/>
        <v>39</v>
      </c>
      <c r="E46" s="74">
        <f t="shared" si="6"/>
        <v>7</v>
      </c>
      <c r="F46" s="60">
        <f t="shared" si="4"/>
        <v>11.29</v>
      </c>
      <c r="G46" s="61">
        <f>IF(D46=D45,"",_xlfn.IFNA(VLOOKUP(D46,'인원 입력 기능(사과탐)'!$P$177:$S$231,4,FALSE),0))</f>
        <v>1941</v>
      </c>
      <c r="H46" s="62">
        <f t="shared" si="1"/>
        <v>2.2457480041652204E-2</v>
      </c>
      <c r="I46" s="72">
        <f>SUM($G$7:G46)</f>
        <v>77641</v>
      </c>
      <c r="J46" s="64">
        <f t="shared" si="5"/>
        <v>0.8983107717227814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09">
        <v>10</v>
      </c>
      <c r="D47" s="74">
        <f t="shared" si="3"/>
        <v>38</v>
      </c>
      <c r="E47" s="74">
        <f t="shared" si="6"/>
        <v>8</v>
      </c>
      <c r="F47" s="60">
        <f t="shared" si="4"/>
        <v>8.94</v>
      </c>
      <c r="G47" s="61">
        <f>IF(D47=D46,"",_xlfn.IFNA(VLOOKUP(D47,'인원 입력 기능(사과탐)'!$P$177:$S$231,4,FALSE),0))</f>
        <v>2117</v>
      </c>
      <c r="H47" s="62">
        <f t="shared" si="1"/>
        <v>2.4493810019669097E-2</v>
      </c>
      <c r="I47" s="72">
        <f>SUM($G$7:G47)</f>
        <v>79758</v>
      </c>
      <c r="J47" s="64">
        <f t="shared" si="5"/>
        <v>0.9228045817424505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73">
        <v>9</v>
      </c>
      <c r="D48" s="74">
        <f t="shared" si="3"/>
        <v>37</v>
      </c>
      <c r="E48" s="74">
        <f t="shared" si="6"/>
        <v>8</v>
      </c>
      <c r="F48" s="60">
        <f t="shared" si="4"/>
        <v>6.78</v>
      </c>
      <c r="G48" s="61">
        <f>IF(D48=D47,"",_xlfn.IFNA(VLOOKUP(D48,'인원 입력 기능(사과탐)'!$P$177:$S$231,4,FALSE),0))</f>
        <v>1627</v>
      </c>
      <c r="H48" s="62">
        <f t="shared" si="1"/>
        <v>1.8824482239962977E-2</v>
      </c>
      <c r="I48" s="72">
        <f>SUM($G$7:G48)</f>
        <v>81385</v>
      </c>
      <c r="J48" s="64">
        <f t="shared" si="5"/>
        <v>0.94162906398241353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09">
        <v>8</v>
      </c>
      <c r="D49" s="74">
        <f t="shared" si="3"/>
        <v>36</v>
      </c>
      <c r="E49" s="74">
        <f t="shared" si="6"/>
        <v>8</v>
      </c>
      <c r="F49" s="60">
        <f t="shared" si="4"/>
        <v>5.15</v>
      </c>
      <c r="G49" s="61">
        <f>IF(D49=D48,"",_xlfn.IFNA(VLOOKUP(D49,'인원 입력 기능(사과탐)'!$P$177:$S$231,4,FALSE),0))</f>
        <v>1189</v>
      </c>
      <c r="H49" s="62">
        <f t="shared" si="1"/>
        <v>1.3756797408307301E-2</v>
      </c>
      <c r="I49" s="72">
        <f>SUM($G$7:G49)</f>
        <v>82574</v>
      </c>
      <c r="J49" s="64">
        <f t="shared" si="5"/>
        <v>0.95538586139072079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73">
        <v>7</v>
      </c>
      <c r="D50" s="74">
        <f t="shared" si="3"/>
        <v>35</v>
      </c>
      <c r="E50" s="74">
        <f t="shared" si="6"/>
        <v>8</v>
      </c>
      <c r="F50" s="60">
        <f t="shared" si="4"/>
        <v>3.53</v>
      </c>
      <c r="G50" s="61">
        <f>IF(D50=D49,"",_xlfn.IFNA(VLOOKUP(D50,'인원 입력 기능(사과탐)'!$P$177:$S$231,4,FALSE),0))</f>
        <v>1613</v>
      </c>
      <c r="H50" s="62">
        <f t="shared" si="1"/>
        <v>1.8662501446257088E-2</v>
      </c>
      <c r="I50" s="72">
        <f>SUM($G$7:G50)</f>
        <v>84187</v>
      </c>
      <c r="J50" s="64">
        <f t="shared" si="5"/>
        <v>0.97404836283697793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09">
        <v>6</v>
      </c>
      <c r="D51" s="74">
        <f t="shared" si="3"/>
        <v>34</v>
      </c>
      <c r="E51" s="74">
        <f t="shared" si="6"/>
        <v>9</v>
      </c>
      <c r="F51" s="60">
        <f t="shared" si="4"/>
        <v>2.25</v>
      </c>
      <c r="G51" s="61">
        <f>IF(D51=D50,"",_xlfn.IFNA(VLOOKUP(D51,'인원 입력 기능(사과탐)'!$P$177:$S$231,4,FALSE),0))</f>
        <v>603</v>
      </c>
      <c r="H51" s="62">
        <f t="shared" si="1"/>
        <v>6.9767441860465115E-3</v>
      </c>
      <c r="I51" s="72">
        <f>SUM($G$7:G51)</f>
        <v>84790</v>
      </c>
      <c r="J51" s="64">
        <f t="shared" si="5"/>
        <v>0.98102510702302437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73">
        <v>5</v>
      </c>
      <c r="D52" s="74">
        <f t="shared" si="3"/>
        <v>33</v>
      </c>
      <c r="E52" s="74">
        <f t="shared" si="6"/>
        <v>9</v>
      </c>
      <c r="F52" s="60">
        <f t="shared" si="4"/>
        <v>1.5</v>
      </c>
      <c r="G52" s="61">
        <f>IF(D52=D51,"",_xlfn.IFNA(VLOOKUP(D52,'인원 입력 기능(사과탐)'!$P$177:$S$231,4,FALSE),0))</f>
        <v>693</v>
      </c>
      <c r="H52" s="62">
        <f t="shared" si="1"/>
        <v>8.018049288441513E-3</v>
      </c>
      <c r="I52" s="72">
        <f>SUM($G$7:G52)</f>
        <v>85483</v>
      </c>
      <c r="J52" s="64">
        <f t="shared" si="5"/>
        <v>0.98904315631146589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58">
        <v>4</v>
      </c>
      <c r="D53" s="59">
        <f t="shared" si="3"/>
        <v>32</v>
      </c>
      <c r="E53" s="59">
        <f t="shared" si="6"/>
        <v>9</v>
      </c>
      <c r="F53" s="60">
        <f t="shared" si="4"/>
        <v>0.91</v>
      </c>
      <c r="G53" s="61">
        <f>IF(D53=D52,"",_xlfn.IFNA(VLOOKUP(D53,'인원 입력 기능(사과탐)'!$P$177:$S$231,4,FALSE),0))</f>
        <v>322</v>
      </c>
      <c r="H53" s="62">
        <f t="shared" si="1"/>
        <v>3.7255582552354507E-3</v>
      </c>
      <c r="I53" s="72">
        <f>SUM($G$7:G53)</f>
        <v>85805</v>
      </c>
      <c r="J53" s="64">
        <f t="shared" si="5"/>
        <v>0.99276871456670135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65">
        <v>3</v>
      </c>
      <c r="D54" s="59">
        <f t="shared" si="3"/>
        <v>31</v>
      </c>
      <c r="E54" s="59">
        <f t="shared" si="6"/>
        <v>9</v>
      </c>
      <c r="F54" s="60">
        <f t="shared" si="4"/>
        <v>0.57999999999999996</v>
      </c>
      <c r="G54" s="61">
        <f>IF(D54=D53,"",_xlfn.IFNA(VLOOKUP(D54,'인원 입력 기능(사과탐)'!$P$177:$S$231,4,FALSE),0))</f>
        <v>244</v>
      </c>
      <c r="H54" s="62">
        <f t="shared" si="1"/>
        <v>2.8230938331597825E-3</v>
      </c>
      <c r="I54" s="72">
        <f>SUM($G$7:G54)</f>
        <v>86049</v>
      </c>
      <c r="J54" s="64">
        <f t="shared" si="5"/>
        <v>0.99559180839986117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58">
        <v>2</v>
      </c>
      <c r="D55" s="59">
        <f t="shared" si="3"/>
        <v>30</v>
      </c>
      <c r="E55" s="59">
        <f t="shared" si="6"/>
        <v>9</v>
      </c>
      <c r="F55" s="60">
        <f t="shared" si="4"/>
        <v>0.28000000000000003</v>
      </c>
      <c r="G55" s="61">
        <f>IF(D55=D54,"",_xlfn.IFNA(VLOOKUP(D55,'인원 입력 기능(사과탐)'!$P$177:$S$231,4,FALSE),0))</f>
        <v>284</v>
      </c>
      <c r="H55" s="62">
        <f t="shared" si="1"/>
        <v>3.2858961008908946E-3</v>
      </c>
      <c r="I55" s="72">
        <f>SUM($G$7:G55)</f>
        <v>86333</v>
      </c>
      <c r="J55" s="64">
        <f t="shared" si="5"/>
        <v>0.99887770450075208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5">
        <v>1</v>
      </c>
      <c r="D56" s="66" t="s">
        <v>56</v>
      </c>
      <c r="E56" s="66"/>
      <c r="F56" s="67"/>
      <c r="G56" s="110"/>
      <c r="H56" s="108"/>
      <c r="I56" s="76"/>
      <c r="J56" s="71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11">
        <v>0</v>
      </c>
      <c r="D57" s="78">
        <f>ROUND(10*(C57-$H$3)/$H$4+50,0)</f>
        <v>28</v>
      </c>
      <c r="E57" s="112">
        <f t="shared" si="6"/>
        <v>9</v>
      </c>
      <c r="F57" s="79">
        <f>IF(I55=0,ROUND(100*(1-(I54+I57)/2/$J$3),2),ROUND(100*(1-(I55+I57)/2/$J$3),2))</f>
        <v>0.06</v>
      </c>
      <c r="G57" s="113">
        <f>_xlfn.IFNA(VLOOKUP(D57,'인원 입력 기능(사과탐)'!$P$177:$S$231,4,FALSE),0)</f>
        <v>97</v>
      </c>
      <c r="H57" s="81">
        <f>G57/$J$3</f>
        <v>1.1222954992479463E-3</v>
      </c>
      <c r="I57" s="82">
        <f>SUM($G$7:G57)</f>
        <v>86430</v>
      </c>
      <c r="J57" s="114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17">
    <mergeCell ref="I40:I41"/>
    <mergeCell ref="J40:J41"/>
    <mergeCell ref="D40:D41"/>
    <mergeCell ref="E40:E41"/>
    <mergeCell ref="F40:F41"/>
    <mergeCell ref="G40:G41"/>
    <mergeCell ref="H40:H41"/>
    <mergeCell ref="D3:F3"/>
    <mergeCell ref="D4:F4"/>
    <mergeCell ref="I4:J5"/>
    <mergeCell ref="D19:D20"/>
    <mergeCell ref="E19:E20"/>
    <mergeCell ref="F19:F20"/>
    <mergeCell ref="G19:G20"/>
    <mergeCell ref="H19:H20"/>
    <mergeCell ref="I19:I20"/>
    <mergeCell ref="J19:J20"/>
  </mergeCells>
  <phoneticPr fontId="1" type="noConversion"/>
  <conditionalFormatting sqref="D7:G19 I7:J19 D21:G40 I21:J40 D42:G57 I42:J57">
    <cfRule type="expression" dxfId="3" priority="4">
      <formula>OR($D7=$Q$7:$Q$14)</formula>
    </cfRule>
  </conditionalFormatting>
  <conditionalFormatting sqref="C7:C57">
    <cfRule type="expression" dxfId="2" priority="3">
      <formula>OR(AND($D7=0,OR($D6=$Q$7:$Q$14)),AND($D8&gt;0,OR($D7=$Q$7:$Q$14)))</formula>
    </cfRule>
  </conditionalFormatting>
  <conditionalFormatting sqref="D7:D19 D21:D40 D42:D57">
    <cfRule type="expression" dxfId="1" priority="2">
      <formula>$D7=$D8</formula>
    </cfRule>
  </conditionalFormatting>
  <conditionalFormatting sqref="H7:H19 H21:H40 H42:H57">
    <cfRule type="expression" dxfId="0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C053E8-AF8B-41CE-8FC2-7AB369CF160E}">
  <sheetPr codeName="Sheet29">
    <tabColor rgb="FF00B050"/>
    <pageSetUpPr fitToPage="1"/>
  </sheetPr>
  <dimension ref="A1:M40"/>
  <sheetViews>
    <sheetView zoomScale="85" zoomScaleNormal="85" workbookViewId="0">
      <selection activeCell="B3" sqref="B3:M39"/>
    </sheetView>
  </sheetViews>
  <sheetFormatPr defaultRowHeight="17" x14ac:dyDescent="0.45"/>
  <cols>
    <col min="1" max="1" width="8.6640625" style="5"/>
    <col min="2" max="2" width="1" customWidth="1"/>
    <col min="3" max="3" width="11.4140625" style="18" customWidth="1"/>
    <col min="4" max="11" width="12.4140625" style="1" customWidth="1"/>
    <col min="12" max="12" width="12.4140625" customWidth="1"/>
    <col min="13" max="13" width="1" customWidth="1"/>
  </cols>
  <sheetData>
    <row r="1" spans="1:13" s="5" customFormat="1" x14ac:dyDescent="0.45">
      <c r="A1" s="5" t="s">
        <v>67</v>
      </c>
      <c r="C1" s="17"/>
      <c r="D1" s="3"/>
      <c r="E1" s="3"/>
      <c r="F1" s="3"/>
      <c r="G1" s="3"/>
      <c r="H1" s="3"/>
      <c r="I1" s="3"/>
      <c r="J1" s="3"/>
      <c r="K1" s="3"/>
    </row>
    <row r="2" spans="1:13" x14ac:dyDescent="0.45">
      <c r="B2" s="5"/>
      <c r="C2" s="17"/>
      <c r="D2" s="3"/>
      <c r="E2" s="3"/>
      <c r="F2" s="3"/>
      <c r="G2" s="3"/>
      <c r="H2" s="3"/>
      <c r="I2" s="3"/>
      <c r="J2" s="3"/>
      <c r="K2" s="3"/>
      <c r="L2" s="5"/>
      <c r="M2" s="5"/>
    </row>
    <row r="3" spans="1:13" ht="6" customHeight="1" thickBot="1" x14ac:dyDescent="0.5">
      <c r="B3" s="27"/>
      <c r="C3" s="39"/>
      <c r="D3" s="40"/>
      <c r="E3" s="40"/>
      <c r="F3" s="40"/>
      <c r="G3" s="40"/>
      <c r="H3" s="40"/>
      <c r="I3" s="40"/>
      <c r="J3" s="40"/>
      <c r="K3" s="40"/>
      <c r="L3" s="28"/>
      <c r="M3" s="29"/>
    </row>
    <row r="4" spans="1:13" s="119" customFormat="1" ht="25" customHeight="1" x14ac:dyDescent="0.45">
      <c r="A4" s="116"/>
      <c r="B4" s="117"/>
      <c r="C4" s="48" t="s">
        <v>68</v>
      </c>
      <c r="D4" s="173" t="s">
        <v>134</v>
      </c>
      <c r="E4" s="173"/>
      <c r="F4" s="173"/>
      <c r="G4" s="174"/>
      <c r="H4" s="37"/>
      <c r="I4" s="37"/>
      <c r="J4" s="37"/>
      <c r="K4" s="37"/>
      <c r="L4" s="38"/>
      <c r="M4" s="118"/>
    </row>
    <row r="5" spans="1:13" s="119" customFormat="1" ht="25" customHeight="1" thickBot="1" x14ac:dyDescent="0.5">
      <c r="A5" s="116"/>
      <c r="B5" s="117"/>
      <c r="C5" s="51" t="s">
        <v>104</v>
      </c>
      <c r="D5" s="175" t="s">
        <v>105</v>
      </c>
      <c r="E5" s="175"/>
      <c r="F5" s="175"/>
      <c r="G5" s="176"/>
      <c r="H5" s="37"/>
      <c r="I5" s="37"/>
      <c r="J5" s="37"/>
      <c r="K5" s="37"/>
      <c r="L5" s="38"/>
      <c r="M5" s="118"/>
    </row>
    <row r="6" spans="1:13" ht="25" customHeight="1" x14ac:dyDescent="0.45">
      <c r="B6" s="30"/>
      <c r="C6" s="19"/>
      <c r="D6" s="19"/>
      <c r="E6" s="19"/>
      <c r="F6" s="19"/>
      <c r="G6" s="19"/>
      <c r="H6" s="19"/>
      <c r="I6" s="19"/>
      <c r="J6" s="19"/>
      <c r="K6" s="19"/>
      <c r="L6" s="20"/>
      <c r="M6" s="31"/>
    </row>
    <row r="7" spans="1:13" ht="25" customHeight="1" thickBot="1" x14ac:dyDescent="0.5">
      <c r="B7" s="30"/>
      <c r="C7" s="19"/>
      <c r="D7" s="19"/>
      <c r="E7" s="19"/>
      <c r="F7" s="19"/>
      <c r="G7" s="19"/>
      <c r="H7" s="19"/>
      <c r="I7" s="19"/>
      <c r="J7" s="19"/>
      <c r="K7" s="19"/>
      <c r="L7" s="20"/>
      <c r="M7" s="31"/>
    </row>
    <row r="8" spans="1:13" s="128" customFormat="1" ht="25" customHeight="1" thickBot="1" x14ac:dyDescent="0.5">
      <c r="A8" s="120"/>
      <c r="B8" s="121"/>
      <c r="C8" s="122" t="s">
        <v>106</v>
      </c>
      <c r="D8" s="123" t="s">
        <v>107</v>
      </c>
      <c r="E8" s="124" t="s">
        <v>108</v>
      </c>
      <c r="F8" s="125"/>
      <c r="G8" s="126"/>
      <c r="H8" s="126"/>
      <c r="I8" s="126"/>
      <c r="J8" s="126"/>
      <c r="K8" s="126"/>
      <c r="L8" s="126"/>
      <c r="M8" s="127"/>
    </row>
    <row r="9" spans="1:13" s="128" customFormat="1" ht="25" customHeight="1" x14ac:dyDescent="0.45">
      <c r="A9" s="120"/>
      <c r="B9" s="121"/>
      <c r="C9" s="129" t="s">
        <v>109</v>
      </c>
      <c r="D9" s="130">
        <f>ROUNDUP((국어!$Q7-0.5-100)/20*국어!$H$4+국어!$H$3, 0)</f>
        <v>89</v>
      </c>
      <c r="E9" s="131">
        <f>ROUNDUP((수학!$Q7-0.5-100)/20*수학!$H$4+수학!$H$3, 0)</f>
        <v>80</v>
      </c>
      <c r="F9" s="125"/>
      <c r="G9" s="126"/>
      <c r="H9" s="126"/>
      <c r="I9" s="126"/>
      <c r="J9" s="126"/>
      <c r="K9" s="126"/>
      <c r="L9" s="126"/>
      <c r="M9" s="127"/>
    </row>
    <row r="10" spans="1:13" s="128" customFormat="1" ht="25" customHeight="1" x14ac:dyDescent="0.45">
      <c r="A10" s="120"/>
      <c r="B10" s="121"/>
      <c r="C10" s="132" t="s">
        <v>110</v>
      </c>
      <c r="D10" s="109">
        <f>ROUNDUP((국어!$Q8-0.5-100)/20*국어!$H$4+국어!$H$3, 0)</f>
        <v>81</v>
      </c>
      <c r="E10" s="133">
        <f>ROUNDUP((수학!$Q8-0.5-100)/20*수학!$H$4+수학!$H$3, 0)</f>
        <v>68</v>
      </c>
      <c r="F10" s="125"/>
      <c r="G10" s="126"/>
      <c r="H10" s="126"/>
      <c r="I10" s="126"/>
      <c r="J10" s="126"/>
      <c r="K10" s="126"/>
      <c r="L10" s="126"/>
      <c r="M10" s="127"/>
    </row>
    <row r="11" spans="1:13" s="128" customFormat="1" ht="25" customHeight="1" x14ac:dyDescent="0.45">
      <c r="A11" s="120"/>
      <c r="B11" s="121"/>
      <c r="C11" s="132" t="s">
        <v>111</v>
      </c>
      <c r="D11" s="109">
        <f>ROUNDUP((국어!$Q9-0.5-100)/20*국어!$H$4+국어!$H$3, 0)</f>
        <v>70</v>
      </c>
      <c r="E11" s="133">
        <f>ROUNDUP((수학!$Q9-0.5-100)/20*수학!$H$4+수학!$H$3, 0)</f>
        <v>54</v>
      </c>
      <c r="F11" s="125"/>
      <c r="G11" s="126"/>
      <c r="H11" s="126"/>
      <c r="I11" s="126"/>
      <c r="J11" s="126"/>
      <c r="K11" s="126"/>
      <c r="L11" s="126"/>
      <c r="M11" s="127"/>
    </row>
    <row r="12" spans="1:13" s="128" customFormat="1" ht="25" customHeight="1" x14ac:dyDescent="0.45">
      <c r="A12" s="120"/>
      <c r="B12" s="121"/>
      <c r="C12" s="132" t="s">
        <v>112</v>
      </c>
      <c r="D12" s="109">
        <f>ROUNDUP((국어!$Q10-0.5-100)/20*국어!$H$4+국어!$H$3, 0)</f>
        <v>59</v>
      </c>
      <c r="E12" s="133">
        <f>ROUNDUP((수학!$Q10-0.5-100)/20*수학!$H$4+수학!$H$3, 0)</f>
        <v>37</v>
      </c>
      <c r="F12" s="125"/>
      <c r="G12" s="125"/>
      <c r="H12" s="125"/>
      <c r="I12" s="125"/>
      <c r="J12" s="125"/>
      <c r="K12" s="125"/>
      <c r="L12" s="126"/>
      <c r="M12" s="127"/>
    </row>
    <row r="13" spans="1:13" s="128" customFormat="1" ht="25" customHeight="1" x14ac:dyDescent="0.45">
      <c r="A13" s="120"/>
      <c r="B13" s="121"/>
      <c r="C13" s="132" t="s">
        <v>113</v>
      </c>
      <c r="D13" s="109">
        <f>ROUNDUP((국어!$Q11-0.5-100)/20*국어!$H$4+국어!$H$3, 0)</f>
        <v>45</v>
      </c>
      <c r="E13" s="133">
        <f>ROUNDUP((수학!$Q11-0.5-100)/20*수학!$H$4+수학!$H$3, 0)</f>
        <v>24</v>
      </c>
      <c r="F13" s="125"/>
      <c r="G13" s="125"/>
      <c r="H13" s="125"/>
      <c r="I13" s="125"/>
      <c r="J13" s="125"/>
      <c r="K13" s="125"/>
      <c r="L13" s="126"/>
      <c r="M13" s="127"/>
    </row>
    <row r="14" spans="1:13" s="128" customFormat="1" ht="25" customHeight="1" x14ac:dyDescent="0.45">
      <c r="A14" s="120"/>
      <c r="B14" s="121"/>
      <c r="C14" s="132" t="s">
        <v>114</v>
      </c>
      <c r="D14" s="109">
        <f>ROUNDUP((국어!$Q12-0.5-100)/20*국어!$H$4+국어!$H$3, 0)</f>
        <v>32</v>
      </c>
      <c r="E14" s="133">
        <f>ROUNDUP((수학!$Q12-0.5-100)/20*수학!$H$4+수학!$H$3, 0)</f>
        <v>19</v>
      </c>
      <c r="F14" s="125"/>
      <c r="G14" s="125"/>
      <c r="H14" s="125"/>
      <c r="I14" s="125"/>
      <c r="J14" s="125"/>
      <c r="K14" s="125"/>
      <c r="L14" s="126"/>
      <c r="M14" s="127"/>
    </row>
    <row r="15" spans="1:13" s="128" customFormat="1" ht="25" customHeight="1" x14ac:dyDescent="0.45">
      <c r="A15" s="120"/>
      <c r="B15" s="121"/>
      <c r="C15" s="132" t="s">
        <v>115</v>
      </c>
      <c r="D15" s="109">
        <f>ROUNDUP((국어!$Q13-0.5-100)/20*국어!$H$4+국어!$H$3, 0)</f>
        <v>23</v>
      </c>
      <c r="E15" s="133">
        <f>ROUNDUP((수학!$Q13-0.5-100)/20*수학!$H$4+수학!$H$3, 0)</f>
        <v>14</v>
      </c>
      <c r="F15" s="125"/>
      <c r="G15" s="125"/>
      <c r="H15" s="125"/>
      <c r="I15" s="125"/>
      <c r="J15" s="125"/>
      <c r="K15" s="125"/>
      <c r="L15" s="126"/>
      <c r="M15" s="127"/>
    </row>
    <row r="16" spans="1:13" s="128" customFormat="1" ht="25" customHeight="1" thickBot="1" x14ac:dyDescent="0.5">
      <c r="A16" s="120"/>
      <c r="B16" s="121"/>
      <c r="C16" s="134" t="s">
        <v>116</v>
      </c>
      <c r="D16" s="135">
        <f>ROUNDUP((국어!$Q14-0.5-100)/20*국어!$H$4+국어!$H$3, 0)</f>
        <v>17</v>
      </c>
      <c r="E16" s="136">
        <f>ROUNDUP((수학!$Q14-0.5-100)/20*수학!$H$4+수학!$H$3, 0)</f>
        <v>8</v>
      </c>
      <c r="F16" s="125"/>
      <c r="G16" s="125"/>
      <c r="H16" s="125"/>
      <c r="I16" s="125"/>
      <c r="J16" s="125"/>
      <c r="K16" s="125"/>
      <c r="L16" s="126"/>
      <c r="M16" s="127"/>
    </row>
    <row r="17" spans="1:13" s="128" customFormat="1" ht="25" customHeight="1" x14ac:dyDescent="0.45">
      <c r="A17" s="120"/>
      <c r="B17" s="121"/>
      <c r="C17" s="125"/>
      <c r="D17" s="125"/>
      <c r="E17" s="125"/>
      <c r="F17" s="125"/>
      <c r="G17" s="125"/>
      <c r="H17" s="125"/>
      <c r="I17" s="125"/>
      <c r="J17" s="125"/>
      <c r="K17" s="125"/>
      <c r="L17" s="126"/>
      <c r="M17" s="127"/>
    </row>
    <row r="18" spans="1:13" s="128" customFormat="1" ht="25" customHeight="1" thickBot="1" x14ac:dyDescent="0.5">
      <c r="A18" s="120"/>
      <c r="B18" s="121"/>
      <c r="C18" s="125"/>
      <c r="D18" s="125"/>
      <c r="E18" s="125"/>
      <c r="F18" s="125"/>
      <c r="G18" s="125"/>
      <c r="H18" s="125"/>
      <c r="I18" s="125"/>
      <c r="J18" s="125"/>
      <c r="K18" s="125"/>
      <c r="L18" s="126"/>
      <c r="M18" s="127"/>
    </row>
    <row r="19" spans="1:13" s="128" customFormat="1" ht="25" customHeight="1" thickBot="1" x14ac:dyDescent="0.5">
      <c r="A19" s="120"/>
      <c r="B19" s="121"/>
      <c r="C19" s="137" t="s">
        <v>117</v>
      </c>
      <c r="D19" s="138" t="s">
        <v>118</v>
      </c>
      <c r="E19" s="139" t="s">
        <v>119</v>
      </c>
      <c r="F19" s="139" t="s">
        <v>120</v>
      </c>
      <c r="G19" s="139" t="s">
        <v>121</v>
      </c>
      <c r="H19" s="139" t="s">
        <v>122</v>
      </c>
      <c r="I19" s="139" t="s">
        <v>123</v>
      </c>
      <c r="J19" s="139" t="s">
        <v>124</v>
      </c>
      <c r="K19" s="139" t="s">
        <v>125</v>
      </c>
      <c r="L19" s="124" t="s">
        <v>126</v>
      </c>
      <c r="M19" s="127"/>
    </row>
    <row r="20" spans="1:13" s="128" customFormat="1" ht="25" customHeight="1" x14ac:dyDescent="0.45">
      <c r="A20" s="120"/>
      <c r="B20" s="121"/>
      <c r="C20" s="140" t="s">
        <v>109</v>
      </c>
      <c r="D20" s="109">
        <f>ROUNDUP(('생활과 윤리'!$Q7-0.5-50)/10*'생활과 윤리'!$H$4+'생활과 윤리'!$H$3, 0)</f>
        <v>42</v>
      </c>
      <c r="E20" s="74">
        <f>ROUNDUP(('윤리와 사상'!$Q7-0.5-50)/10*'윤리와 사상'!$H$4+'윤리와 사상'!$H$3, 0)</f>
        <v>40</v>
      </c>
      <c r="F20" s="74">
        <f>ROUNDUP((한국지리!$Q7-0.5-50)/10*한국지리!$H$4+한국지리!$H$3, 0)</f>
        <v>45</v>
      </c>
      <c r="G20" s="74">
        <f>ROUNDUP((세계지리!$Q7-0.5-50)/10*세계지리!$H$4+세계지리!$H$3, 0)</f>
        <v>45</v>
      </c>
      <c r="H20" s="74">
        <f>ROUNDUP((동아시아사!$Q7-0.5-50)/10*동아시아사!$H$4+동아시아사!$H$3, 0)</f>
        <v>44</v>
      </c>
      <c r="I20" s="74">
        <f>ROUNDUP((세계사!$Q7-0.5-50)/10*세계사!$H$4+세계사!$H$3, 0)</f>
        <v>45</v>
      </c>
      <c r="J20" s="74">
        <f>ROUNDUP((경제!$Q7-0.5-50)/10*경제!$H$4+경제!$H$3, 0)</f>
        <v>41</v>
      </c>
      <c r="K20" s="74">
        <f>ROUNDUP(('정치와 법'!$Q7-0.5-50)/10*'정치와 법'!$H$4+'정치와 법'!$H$3, 0)</f>
        <v>45</v>
      </c>
      <c r="L20" s="141">
        <f>ROUNDUP((사회∙문화!$Q7-0.5-50)/10*사회∙문화!$H$4+사회∙문화!$H$3, 0)</f>
        <v>45</v>
      </c>
      <c r="M20" s="127"/>
    </row>
    <row r="21" spans="1:13" s="128" customFormat="1" ht="25" customHeight="1" x14ac:dyDescent="0.45">
      <c r="A21" s="120"/>
      <c r="B21" s="121"/>
      <c r="C21" s="142" t="s">
        <v>110</v>
      </c>
      <c r="D21" s="73">
        <f>ROUNDUP(('생활과 윤리'!$Q8-0.5-50)/10*'생활과 윤리'!$H$4+'생활과 윤리'!$H$3, 0)</f>
        <v>36</v>
      </c>
      <c r="E21" s="143">
        <f>ROUNDUP(('윤리와 사상'!$Q8-0.5-50)/10*'윤리와 사상'!$H$4+'윤리와 사상'!$H$3, 0)</f>
        <v>34</v>
      </c>
      <c r="F21" s="143">
        <f>ROUNDUP((한국지리!$Q8-0.5-50)/10*한국지리!$H$4+한국지리!$H$3, 0)</f>
        <v>41</v>
      </c>
      <c r="G21" s="143">
        <f>ROUNDUP((세계지리!$Q8-0.5-50)/10*세계지리!$H$4+세계지리!$H$3, 0)</f>
        <v>39</v>
      </c>
      <c r="H21" s="143">
        <f>ROUNDUP((동아시아사!$Q8-0.5-50)/10*동아시아사!$H$4+동아시아사!$H$3, 0)</f>
        <v>36</v>
      </c>
      <c r="I21" s="143">
        <f>ROUNDUP((세계사!$Q8-0.5-50)/10*세계사!$H$4+세계사!$H$3, 0)</f>
        <v>36</v>
      </c>
      <c r="J21" s="143">
        <f>ROUNDUP((경제!$Q8-0.5-50)/10*경제!$H$4+경제!$H$3, 0)</f>
        <v>33</v>
      </c>
      <c r="K21" s="143">
        <f>ROUNDUP(('정치와 법'!$Q8-0.5-50)/10*'정치와 법'!$H$4+'정치와 법'!$H$3, 0)</f>
        <v>39</v>
      </c>
      <c r="L21" s="144">
        <f>ROUNDUP((사회∙문화!$Q8-0.5-50)/10*사회∙문화!$H$4+사회∙문화!$H$3, 0)</f>
        <v>38</v>
      </c>
      <c r="M21" s="127"/>
    </row>
    <row r="22" spans="1:13" s="128" customFormat="1" ht="25" customHeight="1" x14ac:dyDescent="0.45">
      <c r="A22" s="120"/>
      <c r="B22" s="121"/>
      <c r="C22" s="142" t="s">
        <v>111</v>
      </c>
      <c r="D22" s="73">
        <f>ROUNDUP(('생활과 윤리'!$Q9-0.5-50)/10*'생활과 윤리'!$H$4+'생활과 윤리'!$H$3, 0)</f>
        <v>30</v>
      </c>
      <c r="E22" s="143">
        <f>ROUNDUP(('윤리와 사상'!$Q9-0.5-50)/10*'윤리와 사상'!$H$4+'윤리와 사상'!$H$3, 0)</f>
        <v>28</v>
      </c>
      <c r="F22" s="143">
        <f>ROUNDUP((한국지리!$Q9-0.5-50)/10*한국지리!$H$4+한국지리!$H$3, 0)</f>
        <v>35</v>
      </c>
      <c r="G22" s="143">
        <f>ROUNDUP((세계지리!$Q9-0.5-50)/10*세계지리!$H$4+세계지리!$H$3, 0)</f>
        <v>34</v>
      </c>
      <c r="H22" s="143">
        <f>ROUNDUP((동아시아사!$Q9-0.5-50)/10*동아시아사!$H$4+동아시아사!$H$3, 0)</f>
        <v>27</v>
      </c>
      <c r="I22" s="143">
        <f>ROUNDUP((세계사!$Q9-0.5-50)/10*세계사!$H$4+세계사!$H$3, 0)</f>
        <v>29</v>
      </c>
      <c r="J22" s="143">
        <f>ROUNDUP((경제!$Q9-0.5-50)/10*경제!$H$4+경제!$H$3, 0)</f>
        <v>25</v>
      </c>
      <c r="K22" s="143">
        <f>ROUNDUP(('정치와 법'!$Q9-0.5-50)/10*'정치와 법'!$H$4+'정치와 법'!$H$3, 0)</f>
        <v>31</v>
      </c>
      <c r="L22" s="144">
        <f>ROUNDUP((사회∙문화!$Q9-0.5-50)/10*사회∙문화!$H$4+사회∙문화!$H$3, 0)</f>
        <v>29</v>
      </c>
      <c r="M22" s="127"/>
    </row>
    <row r="23" spans="1:13" s="128" customFormat="1" ht="25" customHeight="1" x14ac:dyDescent="0.45">
      <c r="A23" s="120"/>
      <c r="B23" s="121"/>
      <c r="C23" s="142" t="s">
        <v>112</v>
      </c>
      <c r="D23" s="73">
        <f>ROUNDUP(('생활과 윤리'!$Q10-0.5-50)/10*'생활과 윤리'!$H$4+'생활과 윤리'!$H$3, 0)</f>
        <v>25</v>
      </c>
      <c r="E23" s="143">
        <f>ROUNDUP(('윤리와 사상'!$Q10-0.5-50)/10*'윤리와 사상'!$H$4+'윤리와 사상'!$H$3, 0)</f>
        <v>22</v>
      </c>
      <c r="F23" s="143">
        <f>ROUNDUP((한국지리!$Q10-0.5-50)/10*한국지리!$H$4+한국지리!$H$3, 0)</f>
        <v>28</v>
      </c>
      <c r="G23" s="143">
        <f>ROUNDUP((세계지리!$Q10-0.5-50)/10*세계지리!$H$4+세계지리!$H$3, 0)</f>
        <v>26</v>
      </c>
      <c r="H23" s="143">
        <f>ROUNDUP((동아시아사!$Q10-0.5-50)/10*동아시아사!$H$4+동아시아사!$H$3, 0)</f>
        <v>20</v>
      </c>
      <c r="I23" s="143">
        <f>ROUNDUP((세계사!$Q10-0.5-50)/10*세계사!$H$4+세계사!$H$3, 0)</f>
        <v>21</v>
      </c>
      <c r="J23" s="143">
        <f>ROUNDUP((경제!$Q10-0.5-50)/10*경제!$H$4+경제!$H$3, 0)</f>
        <v>16</v>
      </c>
      <c r="K23" s="143">
        <f>ROUNDUP(('정치와 법'!$Q10-0.5-50)/10*'정치와 법'!$H$4+'정치와 법'!$H$3, 0)</f>
        <v>23</v>
      </c>
      <c r="L23" s="144">
        <f>ROUNDUP((사회∙문화!$Q10-0.5-50)/10*사회∙문화!$H$4+사회∙문화!$H$3, 0)</f>
        <v>21</v>
      </c>
      <c r="M23" s="127"/>
    </row>
    <row r="24" spans="1:13" s="128" customFormat="1" ht="25" customHeight="1" x14ac:dyDescent="0.45">
      <c r="A24" s="120"/>
      <c r="B24" s="121"/>
      <c r="C24" s="142" t="s">
        <v>113</v>
      </c>
      <c r="D24" s="73">
        <f>ROUNDUP(('생활과 윤리'!$Q11-0.5-50)/10*'생활과 윤리'!$H$4+'생활과 윤리'!$H$3, 0)</f>
        <v>19</v>
      </c>
      <c r="E24" s="143">
        <f>ROUNDUP(('윤리와 사상'!$Q11-0.5-50)/10*'윤리와 사상'!$H$4+'윤리와 사상'!$H$3, 0)</f>
        <v>16</v>
      </c>
      <c r="F24" s="143">
        <f>ROUNDUP((한국지리!$Q11-0.5-50)/10*한국지리!$H$4+한국지리!$H$3, 0)</f>
        <v>21</v>
      </c>
      <c r="G24" s="143">
        <f>ROUNDUP((세계지리!$Q11-0.5-50)/10*세계지리!$H$4+세계지리!$H$3, 0)</f>
        <v>19</v>
      </c>
      <c r="H24" s="143">
        <f>ROUNDUP((동아시아사!$Q11-0.5-50)/10*동아시아사!$H$4+동아시아사!$H$3, 0)</f>
        <v>14</v>
      </c>
      <c r="I24" s="143">
        <f>ROUNDUP((세계사!$Q11-0.5-50)/10*세계사!$H$4+세계사!$H$3, 0)</f>
        <v>15</v>
      </c>
      <c r="J24" s="143">
        <f>ROUNDUP((경제!$Q11-0.5-50)/10*경제!$H$4+경제!$H$3, 0)</f>
        <v>12</v>
      </c>
      <c r="K24" s="143">
        <f>ROUNDUP(('정치와 법'!$Q11-0.5-50)/10*'정치와 법'!$H$4+'정치와 법'!$H$3, 0)</f>
        <v>14</v>
      </c>
      <c r="L24" s="144">
        <f>ROUNDUP((사회∙문화!$Q11-0.5-50)/10*사회∙문화!$H$4+사회∙문화!$H$3, 0)</f>
        <v>16</v>
      </c>
      <c r="M24" s="127"/>
    </row>
    <row r="25" spans="1:13" s="128" customFormat="1" ht="25" customHeight="1" x14ac:dyDescent="0.45">
      <c r="A25" s="120"/>
      <c r="B25" s="121"/>
      <c r="C25" s="142" t="s">
        <v>114</v>
      </c>
      <c r="D25" s="73">
        <f>ROUNDUP(('생활과 윤리'!$Q12-0.5-50)/10*'생활과 윤리'!$H$4+'생활과 윤리'!$H$3, 0)</f>
        <v>13</v>
      </c>
      <c r="E25" s="143">
        <f>ROUNDUP(('윤리와 사상'!$Q12-0.5-50)/10*'윤리와 사상'!$H$4+'윤리와 사상'!$H$3, 0)</f>
        <v>13</v>
      </c>
      <c r="F25" s="143">
        <f>ROUNDUP((한국지리!$Q12-0.5-50)/10*한국지리!$H$4+한국지리!$H$3, 0)</f>
        <v>14</v>
      </c>
      <c r="G25" s="143">
        <f>ROUNDUP((세계지리!$Q12-0.5-50)/10*세계지리!$H$4+세계지리!$H$3, 0)</f>
        <v>12</v>
      </c>
      <c r="H25" s="143">
        <f>ROUNDUP((동아시아사!$Q12-0.5-50)/10*동아시아사!$H$4+동아시아사!$H$3, 0)</f>
        <v>11</v>
      </c>
      <c r="I25" s="143">
        <f>ROUNDUP((세계사!$Q12-0.5-50)/10*세계사!$H$4+세계사!$H$3, 0)</f>
        <v>12</v>
      </c>
      <c r="J25" s="143">
        <f>ROUNDUP((경제!$Q12-0.5-50)/10*경제!$H$4+경제!$H$3, 0)</f>
        <v>9</v>
      </c>
      <c r="K25" s="143">
        <f>ROUNDUP(('정치와 법'!$Q12-0.5-50)/10*'정치와 법'!$H$4+'정치와 법'!$H$3, 0)</f>
        <v>12</v>
      </c>
      <c r="L25" s="144">
        <f>ROUNDUP((사회∙문화!$Q12-0.5-50)/10*사회∙문화!$H$4+사회∙문화!$H$3, 0)</f>
        <v>12</v>
      </c>
      <c r="M25" s="127"/>
    </row>
    <row r="26" spans="1:13" s="128" customFormat="1" ht="25" customHeight="1" x14ac:dyDescent="0.45">
      <c r="A26" s="120"/>
      <c r="B26" s="121"/>
      <c r="C26" s="142" t="s">
        <v>115</v>
      </c>
      <c r="D26" s="73">
        <f>ROUNDUP(('생활과 윤리'!$Q13-0.5-50)/10*'생활과 윤리'!$H$4+'생활과 윤리'!$H$3, 0)</f>
        <v>10</v>
      </c>
      <c r="E26" s="143">
        <v>9</v>
      </c>
      <c r="F26" s="143">
        <f>ROUNDUP((한국지리!$Q13-0.5-50)/10*한국지리!$H$4+한국지리!$H$3, 0)</f>
        <v>9</v>
      </c>
      <c r="G26" s="143">
        <f>ROUNDUP((세계지리!$Q13-0.5-50)/10*세계지리!$H$4+세계지리!$H$3, 0)</f>
        <v>10</v>
      </c>
      <c r="H26" s="143">
        <f>ROUNDUP((동아시아사!$Q13-0.5-50)/10*동아시아사!$H$4+동아시아사!$H$3, 0)</f>
        <v>9</v>
      </c>
      <c r="I26" s="143">
        <f>ROUNDUP((세계사!$Q13-0.5-50)/10*세계사!$H$4+세계사!$H$3, 0)</f>
        <v>8</v>
      </c>
      <c r="J26" s="143">
        <f>ROUNDUP((경제!$Q13-0.5-50)/10*경제!$H$4+경제!$H$3, 0)</f>
        <v>8</v>
      </c>
      <c r="K26" s="143">
        <f>ROUNDUP(('정치와 법'!$Q13-0.5-50)/10*'정치와 법'!$H$4+'정치와 법'!$H$3, 0)</f>
        <v>8</v>
      </c>
      <c r="L26" s="144">
        <f>ROUNDUP((사회∙문화!$Q13-0.5-50)/10*사회∙문화!$H$4+사회∙문화!$H$3, 0)</f>
        <v>9</v>
      </c>
      <c r="M26" s="127"/>
    </row>
    <row r="27" spans="1:13" s="128" customFormat="1" ht="25" customHeight="1" thickBot="1" x14ac:dyDescent="0.5">
      <c r="A27" s="120"/>
      <c r="B27" s="121"/>
      <c r="C27" s="145" t="s">
        <v>116</v>
      </c>
      <c r="D27" s="146">
        <f>ROUNDUP(('생활과 윤리'!$Q14-0.5-50)/10*'생활과 윤리'!$H$4+'생활과 윤리'!$H$3, 0)</f>
        <v>7</v>
      </c>
      <c r="E27" s="147">
        <f>ROUNDUP(('윤리와 사상'!$Q14-0.5-50)/10*'윤리와 사상'!$H$4+'윤리와 사상'!$H$3, 0)</f>
        <v>7</v>
      </c>
      <c r="F27" s="147">
        <f>ROUNDUP((한국지리!$Q14-0.5-50)/10*한국지리!$H$4+한국지리!$H$3, 0)</f>
        <v>7</v>
      </c>
      <c r="G27" s="147">
        <f>ROUNDUP((세계지리!$Q14-0.5-50)/10*세계지리!$H$4+세계지리!$H$3, 0)</f>
        <v>6</v>
      </c>
      <c r="H27" s="147">
        <f>ROUNDUP((동아시아사!$Q14-0.5-50)/10*동아시아사!$H$4+동아시아사!$H$3, 0)</f>
        <v>6</v>
      </c>
      <c r="I27" s="147">
        <f>ROUNDUP((세계사!$Q14-0.5-50)/10*세계사!$H$4+세계사!$H$3, 0)</f>
        <v>6</v>
      </c>
      <c r="J27" s="147">
        <f>ROUNDUP((경제!$Q14-0.5-50)/10*경제!$H$4+경제!$H$3, 0)</f>
        <v>5</v>
      </c>
      <c r="K27" s="147">
        <f>ROUNDUP(('정치와 법'!$Q14-0.5-50)/10*'정치와 법'!$H$4+'정치와 법'!$H$3, 0)</f>
        <v>6</v>
      </c>
      <c r="L27" s="148">
        <f>ROUNDUP((사회∙문화!$Q14-0.5-50)/10*사회∙문화!$H$4+사회∙문화!$H$3, 0)</f>
        <v>7</v>
      </c>
      <c r="M27" s="127"/>
    </row>
    <row r="28" spans="1:13" s="128" customFormat="1" ht="25" customHeight="1" x14ac:dyDescent="0.45">
      <c r="A28" s="120"/>
      <c r="B28" s="121"/>
      <c r="C28" s="125"/>
      <c r="D28" s="125"/>
      <c r="E28" s="125"/>
      <c r="F28" s="125"/>
      <c r="G28" s="125"/>
      <c r="H28" s="125"/>
      <c r="I28" s="125"/>
      <c r="J28" s="125"/>
      <c r="K28" s="125"/>
      <c r="L28" s="126"/>
      <c r="M28" s="127"/>
    </row>
    <row r="29" spans="1:13" s="128" customFormat="1" ht="25" customHeight="1" thickBot="1" x14ac:dyDescent="0.5">
      <c r="A29" s="120"/>
      <c r="B29" s="121"/>
      <c r="C29" s="125"/>
      <c r="D29" s="125"/>
      <c r="E29" s="125"/>
      <c r="F29" s="125"/>
      <c r="G29" s="125"/>
      <c r="H29" s="125"/>
      <c r="I29" s="125"/>
      <c r="J29" s="125"/>
      <c r="K29" s="125"/>
      <c r="L29" s="126"/>
      <c r="M29" s="127"/>
    </row>
    <row r="30" spans="1:13" s="128" customFormat="1" ht="25" customHeight="1" thickBot="1" x14ac:dyDescent="0.5">
      <c r="A30" s="120"/>
      <c r="B30" s="121"/>
      <c r="C30" s="122" t="s">
        <v>127</v>
      </c>
      <c r="D30" s="123" t="s">
        <v>128</v>
      </c>
      <c r="E30" s="139" t="s">
        <v>129</v>
      </c>
      <c r="F30" s="123" t="s">
        <v>130</v>
      </c>
      <c r="G30" s="124" t="s">
        <v>131</v>
      </c>
      <c r="H30" s="125"/>
      <c r="I30" s="125"/>
      <c r="J30" s="126"/>
      <c r="K30" s="126"/>
      <c r="L30" s="126"/>
      <c r="M30" s="127"/>
    </row>
    <row r="31" spans="1:13" s="128" customFormat="1" ht="25" customHeight="1" x14ac:dyDescent="0.45">
      <c r="A31" s="120"/>
      <c r="B31" s="121"/>
      <c r="C31" s="129" t="s">
        <v>109</v>
      </c>
      <c r="D31" s="149">
        <f>ROUNDUP((물리학Ⅰ!$Q7-0.5-50)/10*물리학Ⅰ!$H$4+물리학Ⅰ!$H$3, 0)</f>
        <v>42</v>
      </c>
      <c r="E31" s="149">
        <f>ROUNDUP((화학Ⅰ!$Q7-0.5-50)/10*화학Ⅰ!$H$4+화학Ⅰ!$H$3, 0)</f>
        <v>44</v>
      </c>
      <c r="F31" s="149">
        <f>ROUNDUP((생명과학Ⅰ!$Q7-0.5-50)/10*생명과학Ⅰ!$H$4+생명과학Ⅰ!$H$3, 0)</f>
        <v>43</v>
      </c>
      <c r="G31" s="131">
        <f>ROUNDUP((지구과학Ⅰ!$Q7-0.5-50)/10*지구과학Ⅰ!$H$4+지구과학Ⅰ!$H$3, 0)</f>
        <v>44</v>
      </c>
      <c r="H31" s="125"/>
      <c r="I31" s="125"/>
      <c r="J31" s="126"/>
      <c r="K31" s="126"/>
      <c r="L31" s="126"/>
      <c r="M31" s="127"/>
    </row>
    <row r="32" spans="1:13" s="128" customFormat="1" ht="25" customHeight="1" x14ac:dyDescent="0.45">
      <c r="A32" s="120"/>
      <c r="B32" s="121"/>
      <c r="C32" s="132" t="s">
        <v>110</v>
      </c>
      <c r="D32" s="150">
        <f>ROUNDUP((물리학Ⅰ!$Q8-0.5-50)/10*물리학Ⅰ!$H$4+물리학Ⅰ!$H$3, 0)</f>
        <v>34</v>
      </c>
      <c r="E32" s="150">
        <f>ROUNDUP((화학Ⅰ!$Q8-0.5-50)/10*화학Ⅰ!$H$4+화학Ⅰ!$H$3, 0)</f>
        <v>37</v>
      </c>
      <c r="F32" s="150">
        <f>ROUNDUP((생명과학Ⅰ!$Q8-0.5-50)/10*생명과학Ⅰ!$H$4+생명과학Ⅰ!$H$3, 0)</f>
        <v>37</v>
      </c>
      <c r="G32" s="133">
        <f>ROUNDUP((지구과학Ⅰ!$Q8-0.5-50)/10*지구과학Ⅰ!$H$4+지구과학Ⅰ!$H$3, 0)</f>
        <v>37</v>
      </c>
      <c r="H32" s="125"/>
      <c r="I32" s="125"/>
      <c r="J32" s="126"/>
      <c r="K32" s="126"/>
      <c r="L32" s="126"/>
      <c r="M32" s="127"/>
    </row>
    <row r="33" spans="1:13" s="128" customFormat="1" ht="25" customHeight="1" x14ac:dyDescent="0.45">
      <c r="A33" s="120"/>
      <c r="B33" s="121"/>
      <c r="C33" s="132" t="s">
        <v>111</v>
      </c>
      <c r="D33" s="150">
        <f>ROUNDUP((물리학Ⅰ!$Q9-0.5-50)/10*물리학Ⅰ!$H$4+물리학Ⅰ!$H$3, 0)</f>
        <v>27</v>
      </c>
      <c r="E33" s="150">
        <f>ROUNDUP((화학Ⅰ!$Q9-0.5-50)/10*화학Ⅰ!$H$4+화학Ⅰ!$H$3, 0)</f>
        <v>29</v>
      </c>
      <c r="F33" s="150">
        <f>ROUNDUP((생명과학Ⅰ!$Q9-0.5-50)/10*생명과학Ⅰ!$H$4+생명과학Ⅰ!$H$3, 0)</f>
        <v>31</v>
      </c>
      <c r="G33" s="133">
        <f>ROUNDUP((지구과학Ⅰ!$Q9-0.5-50)/10*지구과학Ⅰ!$H$4+지구과학Ⅰ!$H$3, 0)</f>
        <v>31</v>
      </c>
      <c r="H33" s="125"/>
      <c r="I33" s="125"/>
      <c r="J33" s="126"/>
      <c r="K33" s="126"/>
      <c r="L33" s="126"/>
      <c r="M33" s="127"/>
    </row>
    <row r="34" spans="1:13" s="128" customFormat="1" ht="25" customHeight="1" x14ac:dyDescent="0.45">
      <c r="A34" s="120"/>
      <c r="B34" s="121"/>
      <c r="C34" s="132" t="s">
        <v>112</v>
      </c>
      <c r="D34" s="150">
        <f>ROUNDUP((물리학Ⅰ!$Q10-0.5-50)/10*물리학Ⅰ!$H$4+물리학Ⅰ!$H$3, 0)</f>
        <v>20</v>
      </c>
      <c r="E34" s="150">
        <f>ROUNDUP((화학Ⅰ!$Q10-0.5-50)/10*화학Ⅰ!$H$4+화학Ⅰ!$H$3, 0)</f>
        <v>22</v>
      </c>
      <c r="F34" s="150">
        <f>ROUNDUP((생명과학Ⅰ!$Q10-0.5-50)/10*생명과학Ⅰ!$H$4+생명과학Ⅰ!$H$3, 0)</f>
        <v>25</v>
      </c>
      <c r="G34" s="133">
        <f>ROUNDUP((지구과학Ⅰ!$Q10-0.5-50)/10*지구과학Ⅰ!$H$4+지구과학Ⅰ!$H$3, 0)</f>
        <v>25</v>
      </c>
      <c r="H34" s="125"/>
      <c r="I34" s="125"/>
      <c r="J34" s="126"/>
      <c r="K34" s="126"/>
      <c r="L34" s="126"/>
      <c r="M34" s="127"/>
    </row>
    <row r="35" spans="1:13" s="128" customFormat="1" ht="25" customHeight="1" x14ac:dyDescent="0.45">
      <c r="A35" s="120"/>
      <c r="B35" s="121"/>
      <c r="C35" s="132" t="s">
        <v>113</v>
      </c>
      <c r="D35" s="150">
        <f>ROUNDUP((물리학Ⅰ!$Q11-0.5-50)/10*물리학Ⅰ!$H$4+물리학Ⅰ!$H$3, 0)</f>
        <v>15</v>
      </c>
      <c r="E35" s="150">
        <f>ROUNDUP((화학Ⅰ!$Q11-0.5-50)/10*화학Ⅰ!$H$4+화학Ⅰ!$H$3, 0)</f>
        <v>16</v>
      </c>
      <c r="F35" s="150">
        <f>ROUNDUP((생명과학Ⅰ!$Q11-0.5-50)/10*생명과학Ⅰ!$H$4+생명과학Ⅰ!$H$3, 0)</f>
        <v>19</v>
      </c>
      <c r="G35" s="133">
        <f>ROUNDUP((지구과학Ⅰ!$Q11-0.5-50)/10*지구과학Ⅰ!$H$4+지구과학Ⅰ!$H$3, 0)</f>
        <v>19</v>
      </c>
      <c r="H35" s="125"/>
      <c r="I35" s="125"/>
      <c r="J35" s="126"/>
      <c r="K35" s="126"/>
      <c r="L35" s="126"/>
      <c r="M35" s="127"/>
    </row>
    <row r="36" spans="1:13" s="128" customFormat="1" ht="25" customHeight="1" x14ac:dyDescent="0.45">
      <c r="A36" s="120"/>
      <c r="B36" s="121"/>
      <c r="C36" s="132" t="s">
        <v>114</v>
      </c>
      <c r="D36" s="150">
        <f>ROUNDUP((물리학Ⅰ!$Q12-0.5-50)/10*물리학Ⅰ!$H$4+물리학Ⅰ!$H$3, 0)</f>
        <v>12</v>
      </c>
      <c r="E36" s="150">
        <f>ROUNDUP((화학Ⅰ!$Q12-0.5-50)/10*화학Ⅰ!$H$4+화학Ⅰ!$H$3, 0)</f>
        <v>12</v>
      </c>
      <c r="F36" s="150">
        <f>ROUNDUP((생명과학Ⅰ!$Q12-0.5-50)/10*생명과학Ⅰ!$H$4+생명과학Ⅰ!$H$3, 0)</f>
        <v>15</v>
      </c>
      <c r="G36" s="133">
        <f>ROUNDUP((지구과학Ⅰ!$Q12-0.5-50)/10*지구과학Ⅰ!$H$4+지구과학Ⅰ!$H$3, 0)</f>
        <v>14</v>
      </c>
      <c r="H36" s="125"/>
      <c r="I36" s="125"/>
      <c r="J36" s="126"/>
      <c r="K36" s="126"/>
      <c r="L36" s="126"/>
      <c r="M36" s="127"/>
    </row>
    <row r="37" spans="1:13" s="128" customFormat="1" ht="25" customHeight="1" x14ac:dyDescent="0.45">
      <c r="A37" s="120"/>
      <c r="B37" s="121"/>
      <c r="C37" s="132" t="s">
        <v>115</v>
      </c>
      <c r="D37" s="150">
        <f>ROUNDUP((물리학Ⅰ!$Q13-0.5-50)/10*물리학Ⅰ!$H$4+물리학Ⅰ!$H$3, 0)</f>
        <v>9</v>
      </c>
      <c r="E37" s="150">
        <f>ROUNDUP((화학Ⅰ!$Q13-0.5-50)/10*화학Ⅰ!$H$4+화학Ⅰ!$H$3, 0)</f>
        <v>9</v>
      </c>
      <c r="F37" s="150">
        <f>ROUNDUP((생명과학Ⅰ!$Q13-0.5-50)/10*생명과학Ⅰ!$H$4+생명과학Ⅰ!$H$3, 0)</f>
        <v>11</v>
      </c>
      <c r="G37" s="133">
        <f>ROUNDUP((지구과학Ⅰ!$Q13-0.5-50)/10*지구과학Ⅰ!$H$4+지구과학Ⅰ!$H$3, 0)</f>
        <v>11</v>
      </c>
      <c r="H37" s="125"/>
      <c r="I37" s="125"/>
      <c r="J37" s="126"/>
      <c r="K37" s="126"/>
      <c r="L37" s="126"/>
      <c r="M37" s="127"/>
    </row>
    <row r="38" spans="1:13" s="128" customFormat="1" ht="25" customHeight="1" thickBot="1" x14ac:dyDescent="0.5">
      <c r="A38" s="120"/>
      <c r="B38" s="121"/>
      <c r="C38" s="134" t="s">
        <v>116</v>
      </c>
      <c r="D38" s="151">
        <f>ROUNDUP((물리학Ⅰ!$Q14-0.5-50)/10*물리학Ⅰ!$H$4+물리학Ⅰ!$H$3, 0)</f>
        <v>6</v>
      </c>
      <c r="E38" s="151">
        <f>ROUNDUP((화학Ⅰ!$Q14-0.5-50)/10*화학Ⅰ!$H$4+화학Ⅰ!$H$3, 0)</f>
        <v>7</v>
      </c>
      <c r="F38" s="151">
        <f>ROUNDUP((생명과학Ⅰ!$Q14-0.5-50)/10*생명과학Ⅰ!$H$4+생명과학Ⅰ!$H$3, 0)</f>
        <v>8</v>
      </c>
      <c r="G38" s="136">
        <f>ROUNDUP((지구과학Ⅰ!$Q14-0.5-50)/10*지구과학Ⅰ!$H$4+지구과학Ⅰ!$H$3, 0)</f>
        <v>7</v>
      </c>
      <c r="H38" s="125"/>
      <c r="I38" s="125"/>
      <c r="J38" s="126"/>
      <c r="K38" s="126"/>
      <c r="L38" s="126"/>
      <c r="M38" s="127"/>
    </row>
    <row r="39" spans="1:13" s="26" customFormat="1" ht="6" customHeight="1" x14ac:dyDescent="0.45">
      <c r="A39" s="25"/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3"/>
      <c r="M39" s="44"/>
    </row>
    <row r="40" spans="1:13" x14ac:dyDescent="0.45">
      <c r="B40" s="5"/>
      <c r="C40" s="17"/>
      <c r="D40" s="3"/>
      <c r="E40" s="3"/>
      <c r="F40" s="3"/>
      <c r="G40" s="3"/>
      <c r="H40" s="3"/>
      <c r="I40" s="3"/>
      <c r="J40" s="3"/>
      <c r="K40" s="3"/>
      <c r="L40" s="5"/>
      <c r="M40" s="5"/>
    </row>
  </sheetData>
  <mergeCells count="2">
    <mergeCell ref="D4:G4"/>
    <mergeCell ref="D5:G5"/>
  </mergeCells>
  <phoneticPr fontId="1" type="noConversion"/>
  <pageMargins left="0.7" right="0.7" top="0.75" bottom="0.75" header="0.3" footer="0.3"/>
  <pageSetup paperSize="9" scale="72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22</vt:i4>
      </vt:variant>
    </vt:vector>
  </HeadingPairs>
  <TitlesOfParts>
    <vt:vector size="22" baseType="lpstr">
      <vt:lpstr>통계 및 응시자 수 입력 기능</vt:lpstr>
      <vt:lpstr>표점등급&amp;절평인원 입력 기능</vt:lpstr>
      <vt:lpstr>인원 입력 기능(국수)</vt:lpstr>
      <vt:lpstr>인원 입력 기능(사과탐)</vt:lpstr>
      <vt:lpstr>국어</vt:lpstr>
      <vt:lpstr>수학</vt:lpstr>
      <vt:lpstr>영어</vt:lpstr>
      <vt:lpstr>한국사</vt:lpstr>
      <vt:lpstr>생활과 윤리</vt:lpstr>
      <vt:lpstr>윤리와 사상</vt:lpstr>
      <vt:lpstr>한국지리</vt:lpstr>
      <vt:lpstr>세계지리</vt:lpstr>
      <vt:lpstr>동아시아사</vt:lpstr>
      <vt:lpstr>세계사</vt:lpstr>
      <vt:lpstr>경제</vt:lpstr>
      <vt:lpstr>정치와 법</vt:lpstr>
      <vt:lpstr>사회∙문화</vt:lpstr>
      <vt:lpstr>물리학Ⅰ</vt:lpstr>
      <vt:lpstr>화학Ⅰ</vt:lpstr>
      <vt:lpstr>생명과학Ⅰ</vt:lpstr>
      <vt:lpstr>지구과학Ⅰ</vt:lpstr>
      <vt:lpstr>등급컷 모아보기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윤승혁</dc:creator>
  <cp:lastModifiedBy>윤승혁</cp:lastModifiedBy>
  <dcterms:created xsi:type="dcterms:W3CDTF">2018-04-21T04:34:05Z</dcterms:created>
  <dcterms:modified xsi:type="dcterms:W3CDTF">2024-09-25T02:02:37Z</dcterms:modified>
</cp:coreProperties>
</file>