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00000000-0000-0000-0000-0000000000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윤승혁\OneDrive - 홍익대학교\바탕 화면\모의고사&amp;수능 관련\2024\고3\영한탐(외)\"/>
    </mc:Choice>
  </mc:AlternateContent>
  <xr:revisionPtr revIDLastSave="0" documentId="13_ncr:1_{53E1270A-7866-415D-B7CC-0AD91BFAD456}" xr6:coauthVersionLast="47" xr6:coauthVersionMax="47" xr10:uidLastSave="{00000000-0000-0000-0000-000000000000}"/>
  <bookViews>
    <workbookView xWindow="-110" yWindow="-110" windowWidth="19420" windowHeight="11620" firstSheet="31" activeTab="36" xr2:uid="{AB9EE284-95EA-49B1-8133-EE4E7651E7F1}"/>
  </bookViews>
  <sheets>
    <sheet name="통계 및 응시자 수 입력 기능" sheetId="67" r:id="rId1"/>
    <sheet name="인원 입력 기능 (사과탐)" sheetId="64" r:id="rId2"/>
    <sheet name="인원 입력 기능 (직탐)" sheetId="70" r:id="rId3"/>
    <sheet name="표준점수 등급컷 입력기능" sheetId="66" r:id="rId4"/>
    <sheet name="영어" sheetId="6" r:id="rId5"/>
    <sheet name="한국사" sheetId="25" r:id="rId6"/>
    <sheet name="생활과 윤리" sheetId="3" r:id="rId7"/>
    <sheet name="윤리와 사상" sheetId="26" r:id="rId8"/>
    <sheet name="한국지리" sheetId="27" r:id="rId9"/>
    <sheet name="세계지리" sheetId="28" r:id="rId10"/>
    <sheet name="동아시아사" sheetId="29" r:id="rId11"/>
    <sheet name="세계사" sheetId="30" r:id="rId12"/>
    <sheet name="경제" sheetId="31" r:id="rId13"/>
    <sheet name="정치와 법" sheetId="32" r:id="rId14"/>
    <sheet name="사회∙문화" sheetId="33" r:id="rId15"/>
    <sheet name="물리학Ⅰ" sheetId="34" r:id="rId16"/>
    <sheet name="화학Ⅰ" sheetId="35" r:id="rId17"/>
    <sheet name="생명과학Ⅰ" sheetId="36" r:id="rId18"/>
    <sheet name="지구과학Ⅰ" sheetId="37" r:id="rId19"/>
    <sheet name="물리학Ⅱ" sheetId="38" r:id="rId20"/>
    <sheet name="화학Ⅱ" sheetId="39" r:id="rId21"/>
    <sheet name="생명과학Ⅱ" sheetId="40" r:id="rId22"/>
    <sheet name="지구과학Ⅱ" sheetId="41" r:id="rId23"/>
    <sheet name="성공적인 직업생활" sheetId="71" r:id="rId24"/>
    <sheet name="농업 기초 기술" sheetId="72" r:id="rId25"/>
    <sheet name="공업 일반" sheetId="73" r:id="rId26"/>
    <sheet name="상업 경제" sheetId="74" r:id="rId27"/>
    <sheet name="수산∙해운 산업 기초" sheetId="75" r:id="rId28"/>
    <sheet name="인간 발달" sheetId="76" r:id="rId29"/>
    <sheet name="등급컷 모아보기" sheetId="69" r:id="rId30"/>
    <sheet name="독일어Ⅰ" sheetId="77" r:id="rId31"/>
    <sheet name="프랑스어Ⅰ" sheetId="81" r:id="rId32"/>
    <sheet name="스페인어Ⅰ" sheetId="82" r:id="rId33"/>
    <sheet name="중국어Ⅰ" sheetId="83" r:id="rId34"/>
    <sheet name="일본어Ⅰ" sheetId="84" r:id="rId35"/>
    <sheet name="러시아어Ⅰ" sheetId="85" r:id="rId36"/>
    <sheet name="한문Ⅰ" sheetId="86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41" l="1"/>
  <c r="E14" i="41" s="1"/>
  <c r="G14" i="41"/>
  <c r="D15" i="41"/>
  <c r="E15" i="41" s="1"/>
  <c r="D16" i="41"/>
  <c r="G17" i="41" s="1"/>
  <c r="H17" i="41" s="1"/>
  <c r="E16" i="41"/>
  <c r="D17" i="41"/>
  <c r="E17" i="41"/>
  <c r="E18" i="41"/>
  <c r="G18" i="41"/>
  <c r="H18" i="41" s="1"/>
  <c r="Q8" i="76"/>
  <c r="Q9" i="76"/>
  <c r="Q10" i="76"/>
  <c r="Q11" i="76"/>
  <c r="Q12" i="76"/>
  <c r="Q13" i="76"/>
  <c r="Q14" i="76"/>
  <c r="Q7" i="76"/>
  <c r="Q8" i="75"/>
  <c r="Q9" i="75"/>
  <c r="Q10" i="75"/>
  <c r="Q11" i="75"/>
  <c r="Q12" i="75"/>
  <c r="Q13" i="75"/>
  <c r="Q14" i="75"/>
  <c r="Q7" i="75"/>
  <c r="Q8" i="74"/>
  <c r="Q9" i="74"/>
  <c r="Q10" i="74"/>
  <c r="Q11" i="74"/>
  <c r="Q12" i="74"/>
  <c r="Q13" i="74"/>
  <c r="Q14" i="74"/>
  <c r="Q7" i="74"/>
  <c r="Q8" i="73"/>
  <c r="Q9" i="73"/>
  <c r="Q10" i="73"/>
  <c r="Q11" i="73"/>
  <c r="Q12" i="73"/>
  <c r="Q13" i="73"/>
  <c r="Q14" i="73"/>
  <c r="Q7" i="73"/>
  <c r="Q8" i="72"/>
  <c r="Q9" i="72"/>
  <c r="Q10" i="72"/>
  <c r="Q11" i="72"/>
  <c r="Q12" i="72"/>
  <c r="Q13" i="72"/>
  <c r="Q14" i="72"/>
  <c r="Q7" i="72"/>
  <c r="Q8" i="71"/>
  <c r="Q9" i="71"/>
  <c r="Q10" i="71"/>
  <c r="Q11" i="71"/>
  <c r="Q12" i="71"/>
  <c r="Q13" i="71"/>
  <c r="Q14" i="71"/>
  <c r="Q7" i="71"/>
  <c r="J3" i="76"/>
  <c r="H4" i="76"/>
  <c r="H3" i="76"/>
  <c r="J3" i="75"/>
  <c r="H4" i="75"/>
  <c r="H3" i="75"/>
  <c r="J3" i="74"/>
  <c r="H4" i="74"/>
  <c r="H3" i="74"/>
  <c r="J3" i="73"/>
  <c r="H4" i="73"/>
  <c r="H3" i="73"/>
  <c r="J3" i="72"/>
  <c r="H4" i="72"/>
  <c r="H3" i="72"/>
  <c r="J3" i="71"/>
  <c r="H4" i="71"/>
  <c r="H3" i="71"/>
  <c r="E8" i="86"/>
  <c r="E9" i="86"/>
  <c r="E10" i="86"/>
  <c r="E11" i="86"/>
  <c r="E12" i="86"/>
  <c r="E13" i="86"/>
  <c r="F13" i="86" s="1"/>
  <c r="E14" i="86"/>
  <c r="E15" i="86"/>
  <c r="E7" i="86"/>
  <c r="H4" i="86"/>
  <c r="H3" i="86"/>
  <c r="J3" i="86"/>
  <c r="H4" i="85"/>
  <c r="H3" i="85"/>
  <c r="J3" i="85"/>
  <c r="E8" i="85"/>
  <c r="E9" i="85"/>
  <c r="E10" i="85"/>
  <c r="E11" i="85"/>
  <c r="E12" i="85"/>
  <c r="E13" i="85"/>
  <c r="E14" i="85"/>
  <c r="E15" i="85"/>
  <c r="E7" i="85"/>
  <c r="J3" i="84"/>
  <c r="F15" i="84" s="1"/>
  <c r="H4" i="84"/>
  <c r="H3" i="84"/>
  <c r="H4" i="83"/>
  <c r="H3" i="83"/>
  <c r="J3" i="83"/>
  <c r="F15" i="83" s="1"/>
  <c r="H4" i="82"/>
  <c r="J3" i="82"/>
  <c r="H3" i="82"/>
  <c r="J3" i="81"/>
  <c r="H4" i="81"/>
  <c r="H3" i="81"/>
  <c r="E8" i="84"/>
  <c r="E9" i="84"/>
  <c r="E10" i="84"/>
  <c r="E11" i="84"/>
  <c r="E12" i="84"/>
  <c r="E13" i="84"/>
  <c r="E14" i="84"/>
  <c r="E15" i="84"/>
  <c r="E7" i="84"/>
  <c r="E8" i="83"/>
  <c r="E9" i="83"/>
  <c r="E10" i="83"/>
  <c r="E11" i="83"/>
  <c r="E12" i="83"/>
  <c r="E13" i="83"/>
  <c r="E14" i="83"/>
  <c r="E15" i="83"/>
  <c r="F14" i="83"/>
  <c r="E7" i="83"/>
  <c r="E8" i="82"/>
  <c r="E9" i="82"/>
  <c r="E10" i="82"/>
  <c r="E11" i="82"/>
  <c r="E12" i="82"/>
  <c r="E13" i="82"/>
  <c r="E14" i="82"/>
  <c r="E15" i="82"/>
  <c r="E7" i="82"/>
  <c r="E8" i="81"/>
  <c r="E9" i="81"/>
  <c r="F9" i="81" s="1"/>
  <c r="E10" i="81"/>
  <c r="E11" i="81"/>
  <c r="E12" i="81"/>
  <c r="E13" i="81"/>
  <c r="E14" i="81"/>
  <c r="E15" i="81"/>
  <c r="E7" i="81"/>
  <c r="E8" i="77"/>
  <c r="E9" i="77"/>
  <c r="E10" i="77"/>
  <c r="E11" i="77"/>
  <c r="E12" i="77"/>
  <c r="E13" i="77"/>
  <c r="E14" i="77"/>
  <c r="E15" i="77"/>
  <c r="E7" i="77"/>
  <c r="J3" i="77"/>
  <c r="H4" i="77"/>
  <c r="H3" i="77"/>
  <c r="I14" i="41" l="1"/>
  <c r="G15" i="41"/>
  <c r="H15" i="41" s="1"/>
  <c r="G16" i="41"/>
  <c r="H16" i="41" s="1"/>
  <c r="I15" i="41"/>
  <c r="H14" i="41"/>
  <c r="F11" i="85"/>
  <c r="F12" i="77"/>
  <c r="G15" i="86"/>
  <c r="H15" i="86" s="1"/>
  <c r="F9" i="86"/>
  <c r="F9" i="82"/>
  <c r="G9" i="85"/>
  <c r="F11" i="77"/>
  <c r="F15" i="77"/>
  <c r="F8" i="77"/>
  <c r="F14" i="77"/>
  <c r="F9" i="83"/>
  <c r="F9" i="77"/>
  <c r="F13" i="77"/>
  <c r="G11" i="84"/>
  <c r="H11" i="84" s="1"/>
  <c r="F14" i="81"/>
  <c r="G13" i="85"/>
  <c r="H13" i="85" s="1"/>
  <c r="G15" i="77"/>
  <c r="H15" i="77" s="1"/>
  <c r="F10" i="86"/>
  <c r="F14" i="86"/>
  <c r="F11" i="86"/>
  <c r="F15" i="86"/>
  <c r="F8" i="86"/>
  <c r="F12" i="86"/>
  <c r="F9" i="85"/>
  <c r="F13" i="85"/>
  <c r="F14" i="85"/>
  <c r="F15" i="85"/>
  <c r="H9" i="85"/>
  <c r="F8" i="85"/>
  <c r="F12" i="85"/>
  <c r="F10" i="85"/>
  <c r="G14" i="85"/>
  <c r="H14" i="85" s="1"/>
  <c r="G7" i="85"/>
  <c r="H7" i="85" s="1"/>
  <c r="G11" i="85"/>
  <c r="H11" i="85" s="1"/>
  <c r="G15" i="85"/>
  <c r="H15" i="85" s="1"/>
  <c r="F7" i="85"/>
  <c r="G8" i="85"/>
  <c r="H8" i="85" s="1"/>
  <c r="G12" i="85"/>
  <c r="H12" i="85" s="1"/>
  <c r="G10" i="85"/>
  <c r="H10" i="85" s="1"/>
  <c r="F12" i="83"/>
  <c r="F11" i="83"/>
  <c r="F13" i="83"/>
  <c r="F10" i="83"/>
  <c r="F8" i="83"/>
  <c r="F12" i="82"/>
  <c r="F8" i="82"/>
  <c r="F14" i="82"/>
  <c r="F15" i="82"/>
  <c r="F11" i="82"/>
  <c r="F13" i="82"/>
  <c r="F10" i="82"/>
  <c r="F13" i="81"/>
  <c r="F10" i="81"/>
  <c r="F12" i="81"/>
  <c r="F15" i="81"/>
  <c r="F11" i="81"/>
  <c r="F8" i="81"/>
  <c r="G14" i="84"/>
  <c r="H14" i="84" s="1"/>
  <c r="G9" i="84"/>
  <c r="H9" i="84" s="1"/>
  <c r="G7" i="84"/>
  <c r="H7" i="84" s="1"/>
  <c r="G15" i="84"/>
  <c r="H15" i="84" s="1"/>
  <c r="G13" i="84"/>
  <c r="H13" i="84" s="1"/>
  <c r="G8" i="84"/>
  <c r="H8" i="84" s="1"/>
  <c r="G10" i="84"/>
  <c r="H10" i="84" s="1"/>
  <c r="G12" i="84"/>
  <c r="H12" i="84" s="1"/>
  <c r="G15" i="83"/>
  <c r="H15" i="83" s="1"/>
  <c r="G15" i="82"/>
  <c r="H15" i="82" s="1"/>
  <c r="G15" i="81"/>
  <c r="H15" i="81" s="1"/>
  <c r="F7" i="86"/>
  <c r="G7" i="86"/>
  <c r="H7" i="86" s="1"/>
  <c r="G8" i="86"/>
  <c r="H8" i="86" s="1"/>
  <c r="G9" i="86"/>
  <c r="H9" i="86" s="1"/>
  <c r="G10" i="86"/>
  <c r="H10" i="86" s="1"/>
  <c r="G11" i="86"/>
  <c r="H11" i="86" s="1"/>
  <c r="G12" i="86"/>
  <c r="H12" i="86" s="1"/>
  <c r="G13" i="86"/>
  <c r="H13" i="86" s="1"/>
  <c r="G14" i="86"/>
  <c r="H14" i="86" s="1"/>
  <c r="F7" i="84"/>
  <c r="F8" i="84"/>
  <c r="F9" i="84"/>
  <c r="F10" i="84"/>
  <c r="F11" i="84"/>
  <c r="F12" i="84"/>
  <c r="F13" i="84"/>
  <c r="F14" i="84"/>
  <c r="F7" i="83"/>
  <c r="F7" i="82"/>
  <c r="G7" i="83"/>
  <c r="H7" i="83" s="1"/>
  <c r="G8" i="83"/>
  <c r="H8" i="83" s="1"/>
  <c r="G9" i="83"/>
  <c r="H9" i="83" s="1"/>
  <c r="G10" i="83"/>
  <c r="H10" i="83" s="1"/>
  <c r="G11" i="83"/>
  <c r="H11" i="83" s="1"/>
  <c r="G12" i="83"/>
  <c r="H12" i="83" s="1"/>
  <c r="G13" i="83"/>
  <c r="H13" i="83" s="1"/>
  <c r="G14" i="83"/>
  <c r="H14" i="83" s="1"/>
  <c r="G7" i="82"/>
  <c r="H7" i="82" s="1"/>
  <c r="G8" i="82"/>
  <c r="H8" i="82" s="1"/>
  <c r="G9" i="82"/>
  <c r="H9" i="82" s="1"/>
  <c r="G10" i="82"/>
  <c r="H10" i="82" s="1"/>
  <c r="G11" i="82"/>
  <c r="H11" i="82" s="1"/>
  <c r="G12" i="82"/>
  <c r="H12" i="82" s="1"/>
  <c r="G13" i="82"/>
  <c r="H13" i="82" s="1"/>
  <c r="G14" i="82"/>
  <c r="H14" i="82" s="1"/>
  <c r="F7" i="81"/>
  <c r="G7" i="81"/>
  <c r="H7" i="81" s="1"/>
  <c r="G8" i="81"/>
  <c r="H8" i="81" s="1"/>
  <c r="G9" i="81"/>
  <c r="H9" i="81" s="1"/>
  <c r="G10" i="81"/>
  <c r="H10" i="81" s="1"/>
  <c r="G11" i="81"/>
  <c r="H11" i="81" s="1"/>
  <c r="G12" i="81"/>
  <c r="H12" i="81" s="1"/>
  <c r="G13" i="81"/>
  <c r="H13" i="81" s="1"/>
  <c r="G14" i="81"/>
  <c r="H14" i="81" s="1"/>
  <c r="F10" i="77"/>
  <c r="F7" i="77"/>
  <c r="G7" i="77"/>
  <c r="H7" i="77" s="1"/>
  <c r="G8" i="77"/>
  <c r="H8" i="77" s="1"/>
  <c r="G9" i="77"/>
  <c r="H9" i="77" s="1"/>
  <c r="G10" i="77"/>
  <c r="H10" i="77" s="1"/>
  <c r="G11" i="77"/>
  <c r="H11" i="77" s="1"/>
  <c r="G12" i="77"/>
  <c r="H12" i="77" s="1"/>
  <c r="G13" i="77"/>
  <c r="H13" i="77" s="1"/>
  <c r="G14" i="77"/>
  <c r="H14" i="77" s="1"/>
  <c r="J15" i="41" l="1"/>
  <c r="I18" i="41"/>
  <c r="J18" i="41" s="1"/>
  <c r="I17" i="41"/>
  <c r="F14" i="41"/>
  <c r="F15" i="41"/>
  <c r="J14" i="41"/>
  <c r="I16" i="41"/>
  <c r="H4" i="3"/>
  <c r="H3" i="3"/>
  <c r="H3" i="26"/>
  <c r="J16" i="41" l="1"/>
  <c r="F17" i="41"/>
  <c r="J17" i="41"/>
  <c r="F18" i="41"/>
  <c r="F16" i="41"/>
  <c r="D20" i="74"/>
  <c r="F33" i="69"/>
  <c r="D23" i="72"/>
  <c r="D33" i="69" l="1"/>
  <c r="F37" i="69"/>
  <c r="D51" i="71"/>
  <c r="L51" i="74"/>
  <c r="D53" i="73"/>
  <c r="E53" i="73" s="1"/>
  <c r="D38" i="69"/>
  <c r="D44" i="74"/>
  <c r="E44" i="74" s="1"/>
  <c r="D35" i="69"/>
  <c r="D26" i="71"/>
  <c r="E26" i="71" s="1"/>
  <c r="D46" i="73"/>
  <c r="E46" i="73" s="1"/>
  <c r="E32" i="69"/>
  <c r="D42" i="71"/>
  <c r="L42" i="71" s="1"/>
  <c r="G32" i="69"/>
  <c r="G35" i="69"/>
  <c r="G38" i="69"/>
  <c r="H32" i="69"/>
  <c r="D25" i="76"/>
  <c r="L25" i="76" s="1"/>
  <c r="I36" i="69"/>
  <c r="L10" i="71"/>
  <c r="D36" i="69"/>
  <c r="D15" i="71"/>
  <c r="L15" i="71" s="1"/>
  <c r="D31" i="71"/>
  <c r="E31" i="71" s="1"/>
  <c r="D45" i="71"/>
  <c r="L45" i="71" s="1"/>
  <c r="E33" i="69"/>
  <c r="E37" i="69"/>
  <c r="F34" i="69"/>
  <c r="F38" i="69"/>
  <c r="D50" i="73"/>
  <c r="E50" i="73" s="1"/>
  <c r="D9" i="74"/>
  <c r="G34" i="69"/>
  <c r="D12" i="74"/>
  <c r="L12" i="74" s="1"/>
  <c r="D15" i="74"/>
  <c r="D23" i="74"/>
  <c r="D35" i="74"/>
  <c r="L35" i="74" s="1"/>
  <c r="H33" i="69"/>
  <c r="I33" i="69"/>
  <c r="I37" i="69"/>
  <c r="L23" i="72"/>
  <c r="E36" i="69"/>
  <c r="D20" i="72"/>
  <c r="H36" i="69"/>
  <c r="I32" i="69"/>
  <c r="D31" i="69"/>
  <c r="D34" i="69"/>
  <c r="D37" i="69"/>
  <c r="D18" i="71"/>
  <c r="D34" i="71"/>
  <c r="L34" i="71" s="1"/>
  <c r="E34" i="69"/>
  <c r="E38" i="69"/>
  <c r="D52" i="72"/>
  <c r="E52" i="72" s="1"/>
  <c r="F31" i="69"/>
  <c r="F35" i="69"/>
  <c r="D22" i="73"/>
  <c r="L22" i="73" s="1"/>
  <c r="D7" i="74"/>
  <c r="G7" i="74" s="1"/>
  <c r="D11" i="74"/>
  <c r="G37" i="69"/>
  <c r="D27" i="74"/>
  <c r="E27" i="74" s="1"/>
  <c r="L36" i="74"/>
  <c r="H34" i="69"/>
  <c r="H38" i="69"/>
  <c r="I34" i="69"/>
  <c r="I38" i="69"/>
  <c r="L51" i="71"/>
  <c r="L26" i="71"/>
  <c r="D32" i="69"/>
  <c r="D11" i="71"/>
  <c r="D14" i="71"/>
  <c r="E14" i="71" s="1"/>
  <c r="D23" i="71"/>
  <c r="E23" i="71" s="1"/>
  <c r="D39" i="71"/>
  <c r="E39" i="71" s="1"/>
  <c r="E31" i="69"/>
  <c r="E35" i="69"/>
  <c r="D17" i="72"/>
  <c r="L17" i="72" s="1"/>
  <c r="L46" i="73"/>
  <c r="F32" i="69"/>
  <c r="F36" i="69"/>
  <c r="D38" i="73"/>
  <c r="L38" i="73" s="1"/>
  <c r="L15" i="74"/>
  <c r="L20" i="74"/>
  <c r="L44" i="74"/>
  <c r="G31" i="69"/>
  <c r="G33" i="69"/>
  <c r="G36" i="69"/>
  <c r="D14" i="74"/>
  <c r="L14" i="74" s="1"/>
  <c r="D19" i="74"/>
  <c r="L19" i="74" s="1"/>
  <c r="L28" i="74"/>
  <c r="D52" i="74"/>
  <c r="H31" i="69"/>
  <c r="H35" i="69"/>
  <c r="D49" i="75"/>
  <c r="I31" i="69"/>
  <c r="I35" i="69"/>
  <c r="D21" i="76"/>
  <c r="E21" i="76" s="1"/>
  <c r="E23" i="72"/>
  <c r="E51" i="71"/>
  <c r="D53" i="72"/>
  <c r="D49" i="72"/>
  <c r="L49" i="72" s="1"/>
  <c r="D54" i="72"/>
  <c r="D50" i="72"/>
  <c r="D46" i="72"/>
  <c r="D42" i="72"/>
  <c r="L42" i="72" s="1"/>
  <c r="D38" i="72"/>
  <c r="D34" i="72"/>
  <c r="D30" i="72"/>
  <c r="D26" i="72"/>
  <c r="L26" i="72" s="1"/>
  <c r="D22" i="72"/>
  <c r="D18" i="72"/>
  <c r="D55" i="72"/>
  <c r="D45" i="72"/>
  <c r="L45" i="72" s="1"/>
  <c r="D35" i="72"/>
  <c r="L35" i="72" s="1"/>
  <c r="D32" i="72"/>
  <c r="L32" i="72" s="1"/>
  <c r="D29" i="72"/>
  <c r="D19" i="72"/>
  <c r="L19" i="72" s="1"/>
  <c r="D16" i="72"/>
  <c r="L16" i="72" s="1"/>
  <c r="D7" i="72"/>
  <c r="G7" i="72" s="1"/>
  <c r="D40" i="72"/>
  <c r="D37" i="72"/>
  <c r="D21" i="72"/>
  <c r="D57" i="72"/>
  <c r="G57" i="72" s="1"/>
  <c r="D48" i="72"/>
  <c r="D47" i="72"/>
  <c r="L47" i="72" s="1"/>
  <c r="D44" i="72"/>
  <c r="L44" i="72" s="1"/>
  <c r="D41" i="72"/>
  <c r="D31" i="72"/>
  <c r="D28" i="72"/>
  <c r="L28" i="72" s="1"/>
  <c r="D25" i="72"/>
  <c r="D15" i="72"/>
  <c r="D13" i="72"/>
  <c r="D11" i="72"/>
  <c r="L11" i="72" s="1"/>
  <c r="D9" i="72"/>
  <c r="G9" i="72" s="1"/>
  <c r="D51" i="72"/>
  <c r="G51" i="72" s="1"/>
  <c r="D43" i="72"/>
  <c r="D27" i="72"/>
  <c r="D24" i="72"/>
  <c r="G24" i="72" s="1"/>
  <c r="D10" i="72"/>
  <c r="D33" i="72"/>
  <c r="G33" i="72" s="1"/>
  <c r="D36" i="72"/>
  <c r="D39" i="72"/>
  <c r="E20" i="74"/>
  <c r="D57" i="71"/>
  <c r="G57" i="71" s="1"/>
  <c r="D52" i="71"/>
  <c r="G52" i="71" s="1"/>
  <c r="D48" i="71"/>
  <c r="L48" i="71" s="1"/>
  <c r="D53" i="71"/>
  <c r="L47" i="71"/>
  <c r="D40" i="71"/>
  <c r="D36" i="71"/>
  <c r="L28" i="71"/>
  <c r="D24" i="71"/>
  <c r="D20" i="71"/>
  <c r="L20" i="71" s="1"/>
  <c r="D7" i="71"/>
  <c r="G7" i="71" s="1"/>
  <c r="D49" i="71"/>
  <c r="D46" i="71"/>
  <c r="G46" i="71" s="1"/>
  <c r="D43" i="71"/>
  <c r="D37" i="71"/>
  <c r="D33" i="71"/>
  <c r="D29" i="71"/>
  <c r="L25" i="71"/>
  <c r="D21" i="71"/>
  <c r="D17" i="71"/>
  <c r="D55" i="71"/>
  <c r="D12" i="71"/>
  <c r="D30" i="71"/>
  <c r="L30" i="71" s="1"/>
  <c r="D12" i="72"/>
  <c r="D9" i="71"/>
  <c r="G9" i="71" s="1"/>
  <c r="D27" i="71"/>
  <c r="G27" i="71" s="1"/>
  <c r="L35" i="71"/>
  <c r="D14" i="72"/>
  <c r="L14" i="72" s="1"/>
  <c r="D41" i="73"/>
  <c r="L41" i="73" s="1"/>
  <c r="D25" i="73"/>
  <c r="L25" i="73" s="1"/>
  <c r="D17" i="73"/>
  <c r="D34" i="73"/>
  <c r="D26" i="73"/>
  <c r="D37" i="73"/>
  <c r="L37" i="73" s="1"/>
  <c r="D29" i="73"/>
  <c r="L29" i="73" s="1"/>
  <c r="L21" i="73"/>
  <c r="D41" i="75"/>
  <c r="D25" i="75"/>
  <c r="L25" i="75" s="1"/>
  <c r="D17" i="75"/>
  <c r="L17" i="75" s="1"/>
  <c r="D52" i="75"/>
  <c r="L52" i="75" s="1"/>
  <c r="D36" i="75"/>
  <c r="D18" i="75"/>
  <c r="L18" i="75" s="1"/>
  <c r="D28" i="75"/>
  <c r="D44" i="73"/>
  <c r="L44" i="73" s="1"/>
  <c r="D21" i="75"/>
  <c r="D33" i="75"/>
  <c r="L33" i="75" s="1"/>
  <c r="E7" i="74"/>
  <c r="D22" i="75"/>
  <c r="D44" i="75"/>
  <c r="E25" i="76"/>
  <c r="D7" i="73"/>
  <c r="G7" i="73" s="1"/>
  <c r="D16" i="73"/>
  <c r="D20" i="73"/>
  <c r="D28" i="73"/>
  <c r="L28" i="73" s="1"/>
  <c r="D32" i="73"/>
  <c r="L32" i="73" s="1"/>
  <c r="L36" i="73"/>
  <c r="D40" i="73"/>
  <c r="D53" i="74"/>
  <c r="D49" i="74"/>
  <c r="L49" i="74" s="1"/>
  <c r="D45" i="74"/>
  <c r="D41" i="74"/>
  <c r="D37" i="74"/>
  <c r="D33" i="74"/>
  <c r="D29" i="74"/>
  <c r="D25" i="74"/>
  <c r="D50" i="74"/>
  <c r="D46" i="74"/>
  <c r="L46" i="74" s="1"/>
  <c r="D42" i="74"/>
  <c r="D38" i="74"/>
  <c r="D34" i="74"/>
  <c r="D30" i="74"/>
  <c r="L30" i="74" s="1"/>
  <c r="D26" i="74"/>
  <c r="D22" i="74"/>
  <c r="D18" i="74"/>
  <c r="D16" i="74"/>
  <c r="G16" i="74" s="1"/>
  <c r="L24" i="74"/>
  <c r="D40" i="74"/>
  <c r="D48" i="74"/>
  <c r="D57" i="74"/>
  <c r="G57" i="74" s="1"/>
  <c r="D57" i="75"/>
  <c r="G57" i="75" s="1"/>
  <c r="D13" i="76"/>
  <c r="D55" i="73"/>
  <c r="L55" i="73" s="1"/>
  <c r="D57" i="73"/>
  <c r="G57" i="73" s="1"/>
  <c r="D52" i="73"/>
  <c r="G52" i="73" s="1"/>
  <c r="D9" i="73"/>
  <c r="G9" i="73" s="1"/>
  <c r="D10" i="73"/>
  <c r="D11" i="73"/>
  <c r="G11" i="73" s="1"/>
  <c r="D13" i="73"/>
  <c r="L13" i="73" s="1"/>
  <c r="D14" i="73"/>
  <c r="D19" i="73"/>
  <c r="D23" i="73"/>
  <c r="D31" i="73"/>
  <c r="D35" i="73"/>
  <c r="D43" i="73"/>
  <c r="D47" i="73"/>
  <c r="G47" i="73" s="1"/>
  <c r="D49" i="73"/>
  <c r="G49" i="73" s="1"/>
  <c r="D31" i="74"/>
  <c r="D55" i="74"/>
  <c r="D54" i="76"/>
  <c r="D50" i="76"/>
  <c r="L50" i="76" s="1"/>
  <c r="D46" i="76"/>
  <c r="L42" i="76"/>
  <c r="D34" i="76"/>
  <c r="D30" i="76"/>
  <c r="L30" i="76" s="1"/>
  <c r="D26" i="76"/>
  <c r="L26" i="76" s="1"/>
  <c r="D22" i="76"/>
  <c r="D18" i="76"/>
  <c r="D55" i="76"/>
  <c r="L51" i="76"/>
  <c r="D43" i="76"/>
  <c r="D39" i="76"/>
  <c r="G39" i="76" s="1"/>
  <c r="D35" i="76"/>
  <c r="L35" i="76" s="1"/>
  <c r="D31" i="76"/>
  <c r="L31" i="76" s="1"/>
  <c r="D27" i="76"/>
  <c r="D23" i="76"/>
  <c r="L19" i="76"/>
  <c r="D14" i="76"/>
  <c r="D57" i="76"/>
  <c r="G57" i="76" s="1"/>
  <c r="D52" i="76"/>
  <c r="G52" i="76" s="1"/>
  <c r="D48" i="76"/>
  <c r="D44" i="76"/>
  <c r="D40" i="76"/>
  <c r="D36" i="76"/>
  <c r="D32" i="76"/>
  <c r="D28" i="76"/>
  <c r="D20" i="76"/>
  <c r="G20" i="76" s="1"/>
  <c r="D16" i="76"/>
  <c r="D45" i="76"/>
  <c r="G45" i="76" s="1"/>
  <c r="D12" i="76"/>
  <c r="L10" i="76"/>
  <c r="D7" i="76"/>
  <c r="G7" i="76" s="1"/>
  <c r="D49" i="76"/>
  <c r="D17" i="76"/>
  <c r="G17" i="76" s="1"/>
  <c r="D37" i="76"/>
  <c r="D41" i="76"/>
  <c r="G41" i="76" s="1"/>
  <c r="D11" i="76"/>
  <c r="D9" i="76"/>
  <c r="G9" i="76" s="1"/>
  <c r="D53" i="76"/>
  <c r="D7" i="75"/>
  <c r="G7" i="75" s="1"/>
  <c r="D16" i="75"/>
  <c r="L16" i="75" s="1"/>
  <c r="D20" i="75"/>
  <c r="L20" i="75" s="1"/>
  <c r="D24" i="75"/>
  <c r="D32" i="75"/>
  <c r="D40" i="75"/>
  <c r="D48" i="75"/>
  <c r="D54" i="75"/>
  <c r="D50" i="75"/>
  <c r="D46" i="75"/>
  <c r="L46" i="75" s="1"/>
  <c r="D42" i="75"/>
  <c r="L42" i="75" s="1"/>
  <c r="D38" i="75"/>
  <c r="D34" i="75"/>
  <c r="D30" i="75"/>
  <c r="L30" i="75" s="1"/>
  <c r="D26" i="75"/>
  <c r="D55" i="75"/>
  <c r="G55" i="75" s="1"/>
  <c r="D51" i="75"/>
  <c r="G51" i="75" s="1"/>
  <c r="D47" i="75"/>
  <c r="G47" i="75" s="1"/>
  <c r="D43" i="75"/>
  <c r="D39" i="75"/>
  <c r="D35" i="75"/>
  <c r="G35" i="75" s="1"/>
  <c r="D31" i="75"/>
  <c r="G31" i="75" s="1"/>
  <c r="D27" i="75"/>
  <c r="G27" i="75" s="1"/>
  <c r="D23" i="75"/>
  <c r="D9" i="75"/>
  <c r="G9" i="75" s="1"/>
  <c r="D10" i="75"/>
  <c r="L10" i="75" s="1"/>
  <c r="D11" i="75"/>
  <c r="D12" i="75"/>
  <c r="D13" i="75"/>
  <c r="D14" i="75"/>
  <c r="D15" i="75"/>
  <c r="D19" i="75"/>
  <c r="D29" i="75"/>
  <c r="D37" i="75"/>
  <c r="D45" i="75"/>
  <c r="L45" i="75" s="1"/>
  <c r="D53" i="75"/>
  <c r="J3" i="3"/>
  <c r="J3" i="41"/>
  <c r="J3" i="40"/>
  <c r="J3" i="39"/>
  <c r="J3" i="38"/>
  <c r="J3" i="37"/>
  <c r="J3" i="36"/>
  <c r="J3" i="35"/>
  <c r="J3" i="34"/>
  <c r="J3" i="33"/>
  <c r="J3" i="32"/>
  <c r="J3" i="31"/>
  <c r="J3" i="30"/>
  <c r="J3" i="29"/>
  <c r="J3" i="28"/>
  <c r="J3" i="27"/>
  <c r="J3" i="26"/>
  <c r="J3" i="6"/>
  <c r="J3" i="25"/>
  <c r="E7" i="6"/>
  <c r="F7" i="6" s="1"/>
  <c r="E7" i="25"/>
  <c r="E15" i="25"/>
  <c r="E14" i="25"/>
  <c r="E9" i="25"/>
  <c r="E10" i="25"/>
  <c r="E11" i="25"/>
  <c r="E12" i="25"/>
  <c r="E13" i="25"/>
  <c r="F13" i="25" s="1"/>
  <c r="E8" i="25"/>
  <c r="E15" i="6"/>
  <c r="E9" i="6"/>
  <c r="E10" i="6"/>
  <c r="E11" i="6"/>
  <c r="E12" i="6"/>
  <c r="F12" i="6" s="1"/>
  <c r="E13" i="6"/>
  <c r="F13" i="6" s="1"/>
  <c r="E14" i="6"/>
  <c r="E8" i="6"/>
  <c r="F8" i="6" s="1"/>
  <c r="G23" i="75" l="1"/>
  <c r="G32" i="76"/>
  <c r="G39" i="75"/>
  <c r="G43" i="75"/>
  <c r="G49" i="76"/>
  <c r="G19" i="73"/>
  <c r="G26" i="75"/>
  <c r="G50" i="75"/>
  <c r="E19" i="74"/>
  <c r="G52" i="74"/>
  <c r="H52" i="74" s="1"/>
  <c r="L7" i="74"/>
  <c r="G37" i="74"/>
  <c r="H37" i="74" s="1"/>
  <c r="G18" i="74"/>
  <c r="H18" i="74" s="1"/>
  <c r="G50" i="74"/>
  <c r="H50" i="74" s="1"/>
  <c r="E38" i="73"/>
  <c r="G34" i="73"/>
  <c r="G39" i="72"/>
  <c r="G40" i="71"/>
  <c r="E45" i="71"/>
  <c r="G29" i="75"/>
  <c r="H29" i="75" s="1"/>
  <c r="G28" i="76"/>
  <c r="H28" i="76" s="1"/>
  <c r="E22" i="73"/>
  <c r="G23" i="73"/>
  <c r="H23" i="73" s="1"/>
  <c r="G53" i="74"/>
  <c r="H53" i="74" s="1"/>
  <c r="E52" i="74"/>
  <c r="G27" i="72"/>
  <c r="H27" i="72" s="1"/>
  <c r="G23" i="76"/>
  <c r="H23" i="76" s="1"/>
  <c r="G55" i="76"/>
  <c r="G31" i="72"/>
  <c r="G29" i="74"/>
  <c r="H29" i="74" s="1"/>
  <c r="G18" i="72"/>
  <c r="E17" i="72"/>
  <c r="L31" i="71"/>
  <c r="G22" i="76"/>
  <c r="H22" i="76" s="1"/>
  <c r="G19" i="75"/>
  <c r="H19" i="75" s="1"/>
  <c r="G53" i="75"/>
  <c r="H53" i="75" s="1"/>
  <c r="G24" i="71"/>
  <c r="L27" i="74"/>
  <c r="L53" i="73"/>
  <c r="G11" i="71"/>
  <c r="H11" i="71" s="1"/>
  <c r="G43" i="72"/>
  <c r="H43" i="72" s="1"/>
  <c r="L50" i="73"/>
  <c r="F9" i="25"/>
  <c r="G34" i="75"/>
  <c r="G40" i="76"/>
  <c r="H40" i="76" s="1"/>
  <c r="G34" i="74"/>
  <c r="H34" i="74" s="1"/>
  <c r="G42" i="71"/>
  <c r="H42" i="71" s="1"/>
  <c r="G53" i="72"/>
  <c r="H53" i="72" s="1"/>
  <c r="G35" i="73"/>
  <c r="H35" i="73" s="1"/>
  <c r="G36" i="76"/>
  <c r="F9" i="6"/>
  <c r="G12" i="75"/>
  <c r="H12" i="75" s="1"/>
  <c r="G44" i="76"/>
  <c r="H44" i="76" s="1"/>
  <c r="G18" i="76"/>
  <c r="G43" i="71"/>
  <c r="H43" i="71" s="1"/>
  <c r="E42" i="71"/>
  <c r="L10" i="74"/>
  <c r="L13" i="74"/>
  <c r="G16" i="76"/>
  <c r="H16" i="76" s="1"/>
  <c r="G48" i="76"/>
  <c r="H48" i="76" s="1"/>
  <c r="G22" i="75"/>
  <c r="G26" i="73"/>
  <c r="H26" i="73" s="1"/>
  <c r="G12" i="72"/>
  <c r="H12" i="72" s="1"/>
  <c r="G36" i="71"/>
  <c r="H36" i="71" s="1"/>
  <c r="G12" i="71"/>
  <c r="H12" i="71" s="1"/>
  <c r="G37" i="76"/>
  <c r="H37" i="76" s="1"/>
  <c r="G27" i="76"/>
  <c r="H27" i="76" s="1"/>
  <c r="G43" i="76"/>
  <c r="H43" i="76" s="1"/>
  <c r="G22" i="74"/>
  <c r="H22" i="74" s="1"/>
  <c r="G38" i="74"/>
  <c r="H38" i="74" s="1"/>
  <c r="G45" i="74"/>
  <c r="H45" i="74" s="1"/>
  <c r="E11" i="71"/>
  <c r="G48" i="72"/>
  <c r="H48" i="72" s="1"/>
  <c r="G46" i="72"/>
  <c r="H46" i="72" s="1"/>
  <c r="G53" i="76"/>
  <c r="E35" i="74"/>
  <c r="G55" i="71"/>
  <c r="H55" i="71" s="1"/>
  <c r="G50" i="72"/>
  <c r="H50" i="72" s="1"/>
  <c r="G34" i="76"/>
  <c r="H34" i="76" s="1"/>
  <c r="G15" i="75"/>
  <c r="G11" i="75"/>
  <c r="H11" i="75" s="1"/>
  <c r="G48" i="75"/>
  <c r="G31" i="74"/>
  <c r="H31" i="74" s="1"/>
  <c r="G14" i="73"/>
  <c r="H14" i="73" s="1"/>
  <c r="G10" i="73"/>
  <c r="H10" i="73" s="1"/>
  <c r="G29" i="71"/>
  <c r="H29" i="71" s="1"/>
  <c r="G10" i="72"/>
  <c r="G15" i="72"/>
  <c r="L52" i="73"/>
  <c r="L14" i="73"/>
  <c r="L36" i="71"/>
  <c r="L7" i="72"/>
  <c r="L9" i="76"/>
  <c r="G41" i="75"/>
  <c r="H41" i="75" s="1"/>
  <c r="L17" i="74"/>
  <c r="L7" i="71"/>
  <c r="L13" i="71"/>
  <c r="L19" i="71"/>
  <c r="L19" i="75"/>
  <c r="G13" i="75"/>
  <c r="H13" i="75" s="1"/>
  <c r="G32" i="75"/>
  <c r="H32" i="75" s="1"/>
  <c r="G46" i="76"/>
  <c r="G13" i="76"/>
  <c r="H13" i="76" s="1"/>
  <c r="G40" i="74"/>
  <c r="H40" i="74" s="1"/>
  <c r="G25" i="74"/>
  <c r="H25" i="74" s="1"/>
  <c r="G40" i="73"/>
  <c r="H40" i="73" s="1"/>
  <c r="G17" i="73"/>
  <c r="G49" i="71"/>
  <c r="H49" i="71" s="1"/>
  <c r="G36" i="72"/>
  <c r="H36" i="72" s="1"/>
  <c r="G49" i="75"/>
  <c r="H49" i="75" s="1"/>
  <c r="L21" i="74"/>
  <c r="L39" i="73"/>
  <c r="G14" i="71"/>
  <c r="H14" i="71" s="1"/>
  <c r="G20" i="72"/>
  <c r="H20" i="72" s="1"/>
  <c r="L43" i="76"/>
  <c r="L27" i="76"/>
  <c r="G38" i="75"/>
  <c r="H38" i="75" s="1"/>
  <c r="G44" i="75"/>
  <c r="H44" i="75" s="1"/>
  <c r="G13" i="72"/>
  <c r="G40" i="72"/>
  <c r="H40" i="72" s="1"/>
  <c r="G29" i="72"/>
  <c r="G55" i="72"/>
  <c r="H55" i="72" s="1"/>
  <c r="L52" i="74"/>
  <c r="L23" i="73"/>
  <c r="G26" i="71"/>
  <c r="H26" i="71" s="1"/>
  <c r="L25" i="74"/>
  <c r="L50" i="74"/>
  <c r="L35" i="75"/>
  <c r="L33" i="72"/>
  <c r="L48" i="72"/>
  <c r="E9" i="74"/>
  <c r="G9" i="74"/>
  <c r="H9" i="74" s="1"/>
  <c r="G25" i="76"/>
  <c r="H25" i="76" s="1"/>
  <c r="G44" i="74"/>
  <c r="H44" i="74" s="1"/>
  <c r="G30" i="72"/>
  <c r="H30" i="72" s="1"/>
  <c r="L18" i="74"/>
  <c r="L30" i="73"/>
  <c r="E34" i="71"/>
  <c r="G34" i="71"/>
  <c r="H34" i="71" s="1"/>
  <c r="L30" i="72"/>
  <c r="L41" i="76"/>
  <c r="E15" i="71"/>
  <c r="G17" i="71"/>
  <c r="H17" i="71" s="1"/>
  <c r="G33" i="71"/>
  <c r="H33" i="71" s="1"/>
  <c r="G20" i="71"/>
  <c r="H20" i="71" s="1"/>
  <c r="G53" i="71"/>
  <c r="H53" i="71" s="1"/>
  <c r="G41" i="72"/>
  <c r="H41" i="72" s="1"/>
  <c r="G32" i="72"/>
  <c r="H32" i="72" s="1"/>
  <c r="G34" i="72"/>
  <c r="E20" i="72"/>
  <c r="G21" i="76"/>
  <c r="H21" i="76" s="1"/>
  <c r="L9" i="74"/>
  <c r="L40" i="74"/>
  <c r="L53" i="74"/>
  <c r="L47" i="74"/>
  <c r="L31" i="74"/>
  <c r="L51" i="73"/>
  <c r="L35" i="73"/>
  <c r="L19" i="73"/>
  <c r="L7" i="73"/>
  <c r="L42" i="73"/>
  <c r="L26" i="73"/>
  <c r="L10" i="73"/>
  <c r="L9" i="73"/>
  <c r="L50" i="71"/>
  <c r="L14" i="71"/>
  <c r="L41" i="71"/>
  <c r="L9" i="71"/>
  <c r="L32" i="71"/>
  <c r="L16" i="71"/>
  <c r="G52" i="72"/>
  <c r="H52" i="72" s="1"/>
  <c r="E18" i="71"/>
  <c r="G18" i="71"/>
  <c r="H18" i="71" s="1"/>
  <c r="L22" i="75"/>
  <c r="L29" i="75"/>
  <c r="L13" i="75"/>
  <c r="L34" i="75"/>
  <c r="L48" i="75"/>
  <c r="L32" i="75"/>
  <c r="L47" i="75"/>
  <c r="L31" i="75"/>
  <c r="L15" i="75"/>
  <c r="L55" i="72"/>
  <c r="L10" i="72"/>
  <c r="L27" i="72"/>
  <c r="L29" i="72"/>
  <c r="L13" i="72"/>
  <c r="L12" i="72"/>
  <c r="E15" i="74"/>
  <c r="G15" i="74"/>
  <c r="H15" i="74" s="1"/>
  <c r="G50" i="73"/>
  <c r="H50" i="73" s="1"/>
  <c r="L22" i="76"/>
  <c r="L7" i="76"/>
  <c r="L53" i="76"/>
  <c r="L37" i="76"/>
  <c r="L21" i="76"/>
  <c r="L52" i="76"/>
  <c r="L36" i="76"/>
  <c r="L20" i="76"/>
  <c r="G53" i="73"/>
  <c r="H53" i="73" s="1"/>
  <c r="G41" i="74"/>
  <c r="H41" i="74" s="1"/>
  <c r="G41" i="73"/>
  <c r="L45" i="73"/>
  <c r="L52" i="71"/>
  <c r="E11" i="74"/>
  <c r="G11" i="74"/>
  <c r="H11" i="74" s="1"/>
  <c r="L49" i="75"/>
  <c r="L51" i="75"/>
  <c r="L46" i="72"/>
  <c r="E23" i="74"/>
  <c r="G23" i="74"/>
  <c r="H23" i="74" s="1"/>
  <c r="G15" i="71"/>
  <c r="H15" i="71" s="1"/>
  <c r="L40" i="76"/>
  <c r="G54" i="75"/>
  <c r="H54" i="75" s="1"/>
  <c r="G14" i="76"/>
  <c r="H14" i="76" s="1"/>
  <c r="G31" i="73"/>
  <c r="H31" i="73" s="1"/>
  <c r="G20" i="73"/>
  <c r="H20" i="73" s="1"/>
  <c r="G33" i="75"/>
  <c r="H33" i="75" s="1"/>
  <c r="G52" i="75"/>
  <c r="H52" i="75" s="1"/>
  <c r="G45" i="75"/>
  <c r="H45" i="75" s="1"/>
  <c r="G42" i="75"/>
  <c r="H42" i="75" s="1"/>
  <c r="G20" i="75"/>
  <c r="H20" i="75" s="1"/>
  <c r="G31" i="76"/>
  <c r="H31" i="76" s="1"/>
  <c r="G54" i="76"/>
  <c r="H54" i="76" s="1"/>
  <c r="G43" i="73"/>
  <c r="H43" i="73" s="1"/>
  <c r="G26" i="74"/>
  <c r="H26" i="74" s="1"/>
  <c r="G42" i="74"/>
  <c r="H42" i="74" s="1"/>
  <c r="G33" i="74"/>
  <c r="H33" i="74" s="1"/>
  <c r="G49" i="74"/>
  <c r="H49" i="74" s="1"/>
  <c r="G32" i="73"/>
  <c r="H32" i="73" s="1"/>
  <c r="G16" i="73"/>
  <c r="H16" i="73" s="1"/>
  <c r="G21" i="75"/>
  <c r="H21" i="75" s="1"/>
  <c r="G28" i="75"/>
  <c r="H28" i="75" s="1"/>
  <c r="G17" i="75"/>
  <c r="H17" i="75" s="1"/>
  <c r="G29" i="73"/>
  <c r="H29" i="73" s="1"/>
  <c r="G25" i="73"/>
  <c r="H25" i="73" s="1"/>
  <c r="G14" i="72"/>
  <c r="H14" i="72" s="1"/>
  <c r="G30" i="71"/>
  <c r="H30" i="71" s="1"/>
  <c r="G21" i="71"/>
  <c r="H21" i="71" s="1"/>
  <c r="G37" i="71"/>
  <c r="H37" i="71" s="1"/>
  <c r="G25" i="72"/>
  <c r="H25" i="72" s="1"/>
  <c r="G44" i="72"/>
  <c r="H44" i="72" s="1"/>
  <c r="G21" i="72"/>
  <c r="H21" i="72" s="1"/>
  <c r="G16" i="72"/>
  <c r="H16" i="72" s="1"/>
  <c r="G35" i="72"/>
  <c r="G22" i="72"/>
  <c r="H22" i="72" s="1"/>
  <c r="G38" i="72"/>
  <c r="H38" i="72" s="1"/>
  <c r="G54" i="72"/>
  <c r="H54" i="72" s="1"/>
  <c r="E49" i="75"/>
  <c r="G19" i="74"/>
  <c r="H19" i="74" s="1"/>
  <c r="L37" i="74"/>
  <c r="L41" i="74"/>
  <c r="L43" i="74"/>
  <c r="L11" i="74"/>
  <c r="L42" i="74"/>
  <c r="L26" i="74"/>
  <c r="L24" i="73"/>
  <c r="L47" i="73"/>
  <c r="L31" i="73"/>
  <c r="L15" i="73"/>
  <c r="L54" i="73"/>
  <c r="G17" i="72"/>
  <c r="H17" i="72" s="1"/>
  <c r="G39" i="71"/>
  <c r="H39" i="71" s="1"/>
  <c r="L53" i="71"/>
  <c r="L37" i="71"/>
  <c r="L21" i="71"/>
  <c r="L54" i="71"/>
  <c r="L18" i="71"/>
  <c r="L44" i="71"/>
  <c r="L12" i="71"/>
  <c r="L43" i="71"/>
  <c r="L27" i="71"/>
  <c r="L11" i="71"/>
  <c r="G27" i="74"/>
  <c r="H27" i="74" s="1"/>
  <c r="G22" i="73"/>
  <c r="H22" i="73" s="1"/>
  <c r="L50" i="75"/>
  <c r="L41" i="75"/>
  <c r="L9" i="75"/>
  <c r="L26" i="75"/>
  <c r="L44" i="75"/>
  <c r="L28" i="75"/>
  <c r="L12" i="75"/>
  <c r="L43" i="75"/>
  <c r="L27" i="75"/>
  <c r="L11" i="75"/>
  <c r="L39" i="72"/>
  <c r="L54" i="72"/>
  <c r="L38" i="72"/>
  <c r="L22" i="72"/>
  <c r="L51" i="72"/>
  <c r="L41" i="72"/>
  <c r="L25" i="72"/>
  <c r="L9" i="72"/>
  <c r="L40" i="72"/>
  <c r="L24" i="72"/>
  <c r="E12" i="74"/>
  <c r="G12" i="74"/>
  <c r="H12" i="74" s="1"/>
  <c r="G45" i="71"/>
  <c r="H45" i="71" s="1"/>
  <c r="L15" i="76"/>
  <c r="L23" i="76"/>
  <c r="L38" i="76"/>
  <c r="L18" i="76"/>
  <c r="L54" i="76"/>
  <c r="L49" i="76"/>
  <c r="L33" i="76"/>
  <c r="L17" i="76"/>
  <c r="L48" i="76"/>
  <c r="L32" i="76"/>
  <c r="L16" i="76"/>
  <c r="G46" i="73"/>
  <c r="H46" i="73" s="1"/>
  <c r="G20" i="74"/>
  <c r="H20" i="74" s="1"/>
  <c r="G30" i="76"/>
  <c r="H30" i="76" s="1"/>
  <c r="G36" i="75"/>
  <c r="H36" i="75" s="1"/>
  <c r="L34" i="74"/>
  <c r="L40" i="73"/>
  <c r="L12" i="73"/>
  <c r="L29" i="71"/>
  <c r="L36" i="75"/>
  <c r="L55" i="76"/>
  <c r="L24" i="76"/>
  <c r="G24" i="75"/>
  <c r="H24" i="75" s="1"/>
  <c r="G50" i="76"/>
  <c r="H50" i="76" s="1"/>
  <c r="G37" i="75"/>
  <c r="H37" i="75" s="1"/>
  <c r="G14" i="75"/>
  <c r="H14" i="75" s="1"/>
  <c r="G10" i="75"/>
  <c r="H10" i="75" s="1"/>
  <c r="G30" i="75"/>
  <c r="H30" i="75" s="1"/>
  <c r="G46" i="75"/>
  <c r="H46" i="75" s="1"/>
  <c r="G40" i="75"/>
  <c r="H40" i="75" s="1"/>
  <c r="G16" i="75"/>
  <c r="H16" i="75" s="1"/>
  <c r="G11" i="76"/>
  <c r="H11" i="76" s="1"/>
  <c r="G12" i="76"/>
  <c r="H12" i="76" s="1"/>
  <c r="G35" i="76"/>
  <c r="G26" i="76"/>
  <c r="H26" i="76" s="1"/>
  <c r="G55" i="74"/>
  <c r="H55" i="74" s="1"/>
  <c r="G13" i="73"/>
  <c r="H13" i="73" s="1"/>
  <c r="G55" i="73"/>
  <c r="H55" i="73" s="1"/>
  <c r="G48" i="74"/>
  <c r="H48" i="74" s="1"/>
  <c r="G30" i="74"/>
  <c r="H30" i="74" s="1"/>
  <c r="G46" i="74"/>
  <c r="H46" i="74" s="1"/>
  <c r="G28" i="73"/>
  <c r="H28" i="73" s="1"/>
  <c r="G44" i="73"/>
  <c r="H44" i="73" s="1"/>
  <c r="G18" i="75"/>
  <c r="H18" i="75" s="1"/>
  <c r="G25" i="75"/>
  <c r="H25" i="75" s="1"/>
  <c r="G37" i="73"/>
  <c r="H37" i="73" s="1"/>
  <c r="G48" i="71"/>
  <c r="G11" i="72"/>
  <c r="H11" i="72" s="1"/>
  <c r="G28" i="72"/>
  <c r="H28" i="72" s="1"/>
  <c r="G47" i="72"/>
  <c r="H47" i="72" s="1"/>
  <c r="G37" i="72"/>
  <c r="H37" i="72" s="1"/>
  <c r="G19" i="72"/>
  <c r="H19" i="72" s="1"/>
  <c r="G45" i="72"/>
  <c r="H45" i="72" s="1"/>
  <c r="G26" i="72"/>
  <c r="H26" i="72" s="1"/>
  <c r="G42" i="72"/>
  <c r="H42" i="72" s="1"/>
  <c r="G49" i="72"/>
  <c r="H49" i="72" s="1"/>
  <c r="E14" i="74"/>
  <c r="G14" i="74"/>
  <c r="H14" i="74" s="1"/>
  <c r="L45" i="74"/>
  <c r="L29" i="74"/>
  <c r="L48" i="74"/>
  <c r="L32" i="74"/>
  <c r="L16" i="74"/>
  <c r="L33" i="74"/>
  <c r="L55" i="74"/>
  <c r="L39" i="74"/>
  <c r="L23" i="74"/>
  <c r="L54" i="74"/>
  <c r="L38" i="74"/>
  <c r="L22" i="74"/>
  <c r="G38" i="73"/>
  <c r="H38" i="73" s="1"/>
  <c r="L48" i="73"/>
  <c r="L16" i="73"/>
  <c r="L43" i="73"/>
  <c r="L27" i="73"/>
  <c r="L11" i="73"/>
  <c r="L20" i="73"/>
  <c r="L34" i="73"/>
  <c r="L18" i="73"/>
  <c r="L49" i="73"/>
  <c r="L33" i="73"/>
  <c r="L17" i="73"/>
  <c r="G23" i="71"/>
  <c r="H23" i="71" s="1"/>
  <c r="L22" i="71"/>
  <c r="L38" i="71"/>
  <c r="L49" i="71"/>
  <c r="L33" i="71"/>
  <c r="L17" i="71"/>
  <c r="L46" i="71"/>
  <c r="L40" i="71"/>
  <c r="L24" i="71"/>
  <c r="L55" i="71"/>
  <c r="L39" i="71"/>
  <c r="L23" i="71"/>
  <c r="L7" i="75"/>
  <c r="L38" i="75"/>
  <c r="L53" i="75"/>
  <c r="L37" i="75"/>
  <c r="L21" i="75"/>
  <c r="L54" i="75"/>
  <c r="L14" i="75"/>
  <c r="L40" i="75"/>
  <c r="L24" i="75"/>
  <c r="L55" i="75"/>
  <c r="L39" i="75"/>
  <c r="L23" i="75"/>
  <c r="L15" i="72"/>
  <c r="L31" i="72"/>
  <c r="L50" i="72"/>
  <c r="L34" i="72"/>
  <c r="L18" i="72"/>
  <c r="L43" i="72"/>
  <c r="L53" i="72"/>
  <c r="L37" i="72"/>
  <c r="L21" i="72"/>
  <c r="L52" i="72"/>
  <c r="L36" i="72"/>
  <c r="L20" i="72"/>
  <c r="G35" i="74"/>
  <c r="H35" i="74" s="1"/>
  <c r="G31" i="71"/>
  <c r="H31" i="71" s="1"/>
  <c r="L47" i="76"/>
  <c r="L11" i="76"/>
  <c r="L34" i="76"/>
  <c r="L14" i="76"/>
  <c r="L39" i="76"/>
  <c r="L46" i="76"/>
  <c r="L45" i="76"/>
  <c r="L29" i="76"/>
  <c r="L13" i="76"/>
  <c r="L44" i="76"/>
  <c r="L28" i="76"/>
  <c r="L12" i="76"/>
  <c r="G23" i="72"/>
  <c r="H23" i="72" s="1"/>
  <c r="G51" i="71"/>
  <c r="H51" i="71" s="1"/>
  <c r="E29" i="75"/>
  <c r="E13" i="75"/>
  <c r="H9" i="75"/>
  <c r="E9" i="75"/>
  <c r="E35" i="75"/>
  <c r="H35" i="75"/>
  <c r="E51" i="75"/>
  <c r="H51" i="75"/>
  <c r="H34" i="75"/>
  <c r="E34" i="75"/>
  <c r="H50" i="75"/>
  <c r="E50" i="75"/>
  <c r="E32" i="75"/>
  <c r="E7" i="75"/>
  <c r="H41" i="76"/>
  <c r="E41" i="76"/>
  <c r="H49" i="76"/>
  <c r="E49" i="76"/>
  <c r="E40" i="76"/>
  <c r="E57" i="76"/>
  <c r="H57" i="76"/>
  <c r="E23" i="76"/>
  <c r="E39" i="76"/>
  <c r="H39" i="76"/>
  <c r="E55" i="76"/>
  <c r="H55" i="76"/>
  <c r="E30" i="76"/>
  <c r="H46" i="76"/>
  <c r="E46" i="76"/>
  <c r="E49" i="73"/>
  <c r="H49" i="73"/>
  <c r="E35" i="73"/>
  <c r="H19" i="73"/>
  <c r="E19" i="73"/>
  <c r="E13" i="76"/>
  <c r="E40" i="74"/>
  <c r="E18" i="74"/>
  <c r="E34" i="74"/>
  <c r="E50" i="74"/>
  <c r="E25" i="74"/>
  <c r="E41" i="74"/>
  <c r="E40" i="73"/>
  <c r="E33" i="75"/>
  <c r="E44" i="73"/>
  <c r="E18" i="75"/>
  <c r="E25" i="75"/>
  <c r="E29" i="73"/>
  <c r="E26" i="73"/>
  <c r="E25" i="73"/>
  <c r="E14" i="72"/>
  <c r="E55" i="71"/>
  <c r="E29" i="71"/>
  <c r="E43" i="71"/>
  <c r="E52" i="71"/>
  <c r="H52" i="71"/>
  <c r="E39" i="72"/>
  <c r="H39" i="72"/>
  <c r="H24" i="72"/>
  <c r="E24" i="72"/>
  <c r="E9" i="72"/>
  <c r="H9" i="72"/>
  <c r="E25" i="72"/>
  <c r="E44" i="72"/>
  <c r="E21" i="72"/>
  <c r="E16" i="72"/>
  <c r="E35" i="72"/>
  <c r="H35" i="72"/>
  <c r="E22" i="72"/>
  <c r="E38" i="72"/>
  <c r="E54" i="72"/>
  <c r="E53" i="75"/>
  <c r="E19" i="75"/>
  <c r="E12" i="75"/>
  <c r="E23" i="75"/>
  <c r="H23" i="75"/>
  <c r="E39" i="75"/>
  <c r="H39" i="75"/>
  <c r="E55" i="75"/>
  <c r="H55" i="75"/>
  <c r="E38" i="75"/>
  <c r="E54" i="75"/>
  <c r="E24" i="75"/>
  <c r="H53" i="76"/>
  <c r="E53" i="76"/>
  <c r="E37" i="76"/>
  <c r="E7" i="76"/>
  <c r="H45" i="76"/>
  <c r="E45" i="76"/>
  <c r="E28" i="76"/>
  <c r="E44" i="76"/>
  <c r="E14" i="76"/>
  <c r="E27" i="76"/>
  <c r="E43" i="76"/>
  <c r="H18" i="76"/>
  <c r="E18" i="76"/>
  <c r="E34" i="76"/>
  <c r="E50" i="76"/>
  <c r="H47" i="73"/>
  <c r="E47" i="73"/>
  <c r="E31" i="73"/>
  <c r="H11" i="73"/>
  <c r="E11" i="73"/>
  <c r="E52" i="73"/>
  <c r="H52" i="73"/>
  <c r="E57" i="75"/>
  <c r="H57" i="75"/>
  <c r="E22" i="74"/>
  <c r="E38" i="74"/>
  <c r="E29" i="74"/>
  <c r="E45" i="74"/>
  <c r="E20" i="73"/>
  <c r="E21" i="75"/>
  <c r="E36" i="75"/>
  <c r="E41" i="75"/>
  <c r="E37" i="73"/>
  <c r="H34" i="73"/>
  <c r="E34" i="73"/>
  <c r="H9" i="71"/>
  <c r="E9" i="71"/>
  <c r="E17" i="71"/>
  <c r="E33" i="71"/>
  <c r="E46" i="71"/>
  <c r="H46" i="71"/>
  <c r="E20" i="71"/>
  <c r="E36" i="71"/>
  <c r="E53" i="71"/>
  <c r="E57" i="71"/>
  <c r="H57" i="71"/>
  <c r="E36" i="72"/>
  <c r="E27" i="72"/>
  <c r="E11" i="72"/>
  <c r="E28" i="72"/>
  <c r="E47" i="72"/>
  <c r="E37" i="72"/>
  <c r="E19" i="72"/>
  <c r="E45" i="72"/>
  <c r="E26" i="72"/>
  <c r="E42" i="72"/>
  <c r="E49" i="72"/>
  <c r="E45" i="75"/>
  <c r="H15" i="75"/>
  <c r="E15" i="75"/>
  <c r="E11" i="75"/>
  <c r="E27" i="75"/>
  <c r="H27" i="75"/>
  <c r="E43" i="75"/>
  <c r="H43" i="75"/>
  <c r="H26" i="75"/>
  <c r="E26" i="75"/>
  <c r="E42" i="75"/>
  <c r="E48" i="75"/>
  <c r="H48" i="75"/>
  <c r="E20" i="75"/>
  <c r="H9" i="76"/>
  <c r="E9" i="76"/>
  <c r="H17" i="76"/>
  <c r="E17" i="76"/>
  <c r="E16" i="76"/>
  <c r="E32" i="76"/>
  <c r="H32" i="76"/>
  <c r="E48" i="76"/>
  <c r="E31" i="76"/>
  <c r="E22" i="76"/>
  <c r="E54" i="76"/>
  <c r="E31" i="74"/>
  <c r="E43" i="73"/>
  <c r="E14" i="73"/>
  <c r="E10" i="73"/>
  <c r="E57" i="73"/>
  <c r="H57" i="73"/>
  <c r="H57" i="74"/>
  <c r="E57" i="74"/>
  <c r="E26" i="74"/>
  <c r="E42" i="74"/>
  <c r="E33" i="74"/>
  <c r="E49" i="74"/>
  <c r="E32" i="73"/>
  <c r="E16" i="73"/>
  <c r="E44" i="75"/>
  <c r="E52" i="75"/>
  <c r="E41" i="73"/>
  <c r="H41" i="73"/>
  <c r="H27" i="71"/>
  <c r="E27" i="71"/>
  <c r="E12" i="72"/>
  <c r="E30" i="71"/>
  <c r="E12" i="71"/>
  <c r="E21" i="71"/>
  <c r="E37" i="71"/>
  <c r="E49" i="71"/>
  <c r="H24" i="71"/>
  <c r="E24" i="71"/>
  <c r="H40" i="71"/>
  <c r="E40" i="71"/>
  <c r="H33" i="72"/>
  <c r="E33" i="72"/>
  <c r="E43" i="72"/>
  <c r="E13" i="72"/>
  <c r="H13" i="72"/>
  <c r="E31" i="72"/>
  <c r="H31" i="72"/>
  <c r="E48" i="72"/>
  <c r="E40" i="72"/>
  <c r="H29" i="72"/>
  <c r="E29" i="72"/>
  <c r="E55" i="72"/>
  <c r="E30" i="72"/>
  <c r="E46" i="72"/>
  <c r="E53" i="72"/>
  <c r="E37" i="75"/>
  <c r="E14" i="75"/>
  <c r="E10" i="75"/>
  <c r="E31" i="75"/>
  <c r="H31" i="75"/>
  <c r="E47" i="75"/>
  <c r="H47" i="75"/>
  <c r="E30" i="75"/>
  <c r="E46" i="75"/>
  <c r="E40" i="75"/>
  <c r="E16" i="75"/>
  <c r="E11" i="76"/>
  <c r="E12" i="76"/>
  <c r="E20" i="76"/>
  <c r="H20" i="76"/>
  <c r="E36" i="76"/>
  <c r="H36" i="76"/>
  <c r="E52" i="76"/>
  <c r="H52" i="76"/>
  <c r="E35" i="76"/>
  <c r="H35" i="76"/>
  <c r="E26" i="76"/>
  <c r="E55" i="74"/>
  <c r="E23" i="73"/>
  <c r="E13" i="73"/>
  <c r="H9" i="73"/>
  <c r="E9" i="73"/>
  <c r="E55" i="73"/>
  <c r="E48" i="74"/>
  <c r="H16" i="74"/>
  <c r="E16" i="74"/>
  <c r="E30" i="74"/>
  <c r="E46" i="74"/>
  <c r="E37" i="74"/>
  <c r="E53" i="74"/>
  <c r="E28" i="73"/>
  <c r="E7" i="73"/>
  <c r="H22" i="75"/>
  <c r="E22" i="75"/>
  <c r="I9" i="74"/>
  <c r="H7" i="74"/>
  <c r="I7" i="74"/>
  <c r="E28" i="75"/>
  <c r="E17" i="75"/>
  <c r="E17" i="73"/>
  <c r="H17" i="73"/>
  <c r="E7" i="71"/>
  <c r="H48" i="71"/>
  <c r="E48" i="71"/>
  <c r="E10" i="72"/>
  <c r="H10" i="72"/>
  <c r="E51" i="72"/>
  <c r="H51" i="72"/>
  <c r="E15" i="72"/>
  <c r="H15" i="72"/>
  <c r="E41" i="72"/>
  <c r="H57" i="72"/>
  <c r="E57" i="72"/>
  <c r="E7" i="72"/>
  <c r="E32" i="72"/>
  <c r="E18" i="72"/>
  <c r="H18" i="72"/>
  <c r="E34" i="72"/>
  <c r="H34" i="72"/>
  <c r="E50" i="72"/>
  <c r="F8" i="25"/>
  <c r="F10" i="6"/>
  <c r="F12" i="25"/>
  <c r="F15" i="6"/>
  <c r="F11" i="6"/>
  <c r="F15" i="25"/>
  <c r="F11" i="25"/>
  <c r="F14" i="6"/>
  <c r="F14" i="25"/>
  <c r="F10" i="25"/>
  <c r="F7" i="25"/>
  <c r="Q8" i="26"/>
  <c r="Q9" i="26"/>
  <c r="Q10" i="26"/>
  <c r="Q11" i="26"/>
  <c r="Q12" i="26"/>
  <c r="Q13" i="26"/>
  <c r="Q14" i="26"/>
  <c r="Q8" i="27"/>
  <c r="Q9" i="27"/>
  <c r="Q10" i="27"/>
  <c r="Q11" i="27"/>
  <c r="Q12" i="27"/>
  <c r="Q13" i="27"/>
  <c r="Q14" i="27"/>
  <c r="Q8" i="28"/>
  <c r="Q9" i="28"/>
  <c r="Q10" i="28"/>
  <c r="Q11" i="28"/>
  <c r="Q12" i="28"/>
  <c r="Q13" i="28"/>
  <c r="Q14" i="28"/>
  <c r="Q8" i="29"/>
  <c r="Q9" i="29"/>
  <c r="Q10" i="29"/>
  <c r="Q11" i="29"/>
  <c r="Q12" i="29"/>
  <c r="Q13" i="29"/>
  <c r="Q14" i="29"/>
  <c r="Q8" i="30"/>
  <c r="Q9" i="30"/>
  <c r="Q10" i="30"/>
  <c r="Q11" i="30"/>
  <c r="Q12" i="30"/>
  <c r="Q13" i="30"/>
  <c r="Q14" i="30"/>
  <c r="Q8" i="31"/>
  <c r="Q9" i="31"/>
  <c r="Q10" i="31"/>
  <c r="Q11" i="31"/>
  <c r="Q12" i="31"/>
  <c r="Q13" i="31"/>
  <c r="Q14" i="31"/>
  <c r="Q8" i="32"/>
  <c r="Q9" i="32"/>
  <c r="Q10" i="32"/>
  <c r="Q11" i="32"/>
  <c r="Q12" i="32"/>
  <c r="Q13" i="32"/>
  <c r="Q14" i="32"/>
  <c r="Q8" i="33"/>
  <c r="Q9" i="33"/>
  <c r="Q10" i="33"/>
  <c r="Q11" i="33"/>
  <c r="Q12" i="33"/>
  <c r="Q13" i="33"/>
  <c r="Q14" i="33"/>
  <c r="Q8" i="34"/>
  <c r="Q9" i="34"/>
  <c r="Q10" i="34"/>
  <c r="Q11" i="34"/>
  <c r="Q12" i="34"/>
  <c r="Q13" i="34"/>
  <c r="Q14" i="34"/>
  <c r="Q8" i="35"/>
  <c r="Q9" i="35"/>
  <c r="Q10" i="35"/>
  <c r="Q11" i="35"/>
  <c r="Q12" i="35"/>
  <c r="Q13" i="35"/>
  <c r="Q14" i="35"/>
  <c r="Q8" i="36"/>
  <c r="Q9" i="36"/>
  <c r="Q10" i="36"/>
  <c r="Q11" i="36"/>
  <c r="Q12" i="36"/>
  <c r="Q13" i="36"/>
  <c r="Q14" i="36"/>
  <c r="Q8" i="37"/>
  <c r="Q9" i="37"/>
  <c r="Q10" i="37"/>
  <c r="Q11" i="37"/>
  <c r="Q12" i="37"/>
  <c r="Q13" i="37"/>
  <c r="Q14" i="37"/>
  <c r="Q8" i="38"/>
  <c r="Q9" i="38"/>
  <c r="Q10" i="38"/>
  <c r="Q11" i="38"/>
  <c r="Q12" i="38"/>
  <c r="Q13" i="38"/>
  <c r="Q14" i="38"/>
  <c r="Q8" i="39"/>
  <c r="Q9" i="39"/>
  <c r="Q10" i="39"/>
  <c r="Q11" i="39"/>
  <c r="Q12" i="39"/>
  <c r="Q13" i="39"/>
  <c r="Q14" i="39"/>
  <c r="Q8" i="40"/>
  <c r="Q9" i="40"/>
  <c r="Q10" i="40"/>
  <c r="Q11" i="40"/>
  <c r="Q12" i="40"/>
  <c r="Q13" i="40"/>
  <c r="Q14" i="40"/>
  <c r="Q8" i="41"/>
  <c r="Q9" i="41"/>
  <c r="Q10" i="41"/>
  <c r="Q11" i="41"/>
  <c r="Q12" i="41"/>
  <c r="Q13" i="41"/>
  <c r="Q14" i="41"/>
  <c r="Q8" i="3"/>
  <c r="D10" i="69" s="1"/>
  <c r="Q9" i="3"/>
  <c r="D11" i="69" s="1"/>
  <c r="Q10" i="3"/>
  <c r="D12" i="69" s="1"/>
  <c r="Q11" i="3"/>
  <c r="D13" i="69" s="1"/>
  <c r="Q12" i="3"/>
  <c r="D14" i="69" s="1"/>
  <c r="Q13" i="3"/>
  <c r="D15" i="69" s="1"/>
  <c r="Q14" i="3"/>
  <c r="D16" i="69" s="1"/>
  <c r="Q7" i="41"/>
  <c r="Q7" i="40"/>
  <c r="Q7" i="39"/>
  <c r="Q7" i="38"/>
  <c r="Q7" i="37"/>
  <c r="Q7" i="36"/>
  <c r="Q7" i="35"/>
  <c r="Q7" i="34"/>
  <c r="Q7" i="33"/>
  <c r="Q7" i="32"/>
  <c r="Q7" i="31"/>
  <c r="Q7" i="30"/>
  <c r="Q7" i="29"/>
  <c r="Q7" i="28"/>
  <c r="Q7" i="27"/>
  <c r="Q7" i="26"/>
  <c r="Q7" i="3"/>
  <c r="H4" i="41"/>
  <c r="H4" i="40"/>
  <c r="H4" i="39"/>
  <c r="H4" i="38"/>
  <c r="H4" i="37"/>
  <c r="H4" i="36"/>
  <c r="H4" i="35"/>
  <c r="H4" i="34"/>
  <c r="H4" i="33"/>
  <c r="H4" i="32"/>
  <c r="H4" i="31"/>
  <c r="H4" i="30"/>
  <c r="H4" i="29"/>
  <c r="H4" i="28"/>
  <c r="H4" i="27"/>
  <c r="H4" i="26"/>
  <c r="H4" i="25"/>
  <c r="H4" i="6"/>
  <c r="H3" i="41"/>
  <c r="H3" i="40"/>
  <c r="H3" i="39"/>
  <c r="H3" i="38"/>
  <c r="H3" i="37"/>
  <c r="H3" i="36"/>
  <c r="H3" i="35"/>
  <c r="H3" i="34"/>
  <c r="H3" i="33"/>
  <c r="H3" i="32"/>
  <c r="H3" i="31"/>
  <c r="H3" i="30"/>
  <c r="H3" i="29"/>
  <c r="H3" i="28"/>
  <c r="H3" i="27"/>
  <c r="H3" i="25"/>
  <c r="H3" i="6"/>
  <c r="I14" i="74" l="1"/>
  <c r="I33" i="74"/>
  <c r="I34" i="74"/>
  <c r="J34" i="74" s="1"/>
  <c r="I15" i="74"/>
  <c r="I37" i="74"/>
  <c r="J37" i="74" s="1"/>
  <c r="I52" i="74"/>
  <c r="J52" i="74" s="1"/>
  <c r="I19" i="74"/>
  <c r="J19" i="74" s="1"/>
  <c r="I42" i="74"/>
  <c r="I49" i="74"/>
  <c r="J49" i="74" s="1"/>
  <c r="I38" i="74"/>
  <c r="J38" i="74" s="1"/>
  <c r="I40" i="74"/>
  <c r="J40" i="74" s="1"/>
  <c r="I53" i="74"/>
  <c r="J53" i="74" s="1"/>
  <c r="I48" i="74"/>
  <c r="J48" i="74" s="1"/>
  <c r="I16" i="74"/>
  <c r="I11" i="74"/>
  <c r="J11" i="74" s="1"/>
  <c r="I31" i="74"/>
  <c r="J31" i="74" s="1"/>
  <c r="I22" i="74"/>
  <c r="F22" i="74" s="1"/>
  <c r="I44" i="74"/>
  <c r="J44" i="74" s="1"/>
  <c r="I45" i="74"/>
  <c r="J45" i="74" s="1"/>
  <c r="I55" i="74"/>
  <c r="J55" i="74" s="1"/>
  <c r="I46" i="74"/>
  <c r="J46" i="74" s="1"/>
  <c r="I57" i="74"/>
  <c r="J57" i="74" s="1"/>
  <c r="P17" i="74" s="1"/>
  <c r="I27" i="74"/>
  <c r="J27" i="74" s="1"/>
  <c r="I18" i="74"/>
  <c r="J18" i="74" s="1"/>
  <c r="I25" i="74"/>
  <c r="J25" i="74" s="1"/>
  <c r="I20" i="74"/>
  <c r="I12" i="74"/>
  <c r="I35" i="74"/>
  <c r="J35" i="74" s="1"/>
  <c r="I26" i="74"/>
  <c r="J26" i="74" s="1"/>
  <c r="I29" i="74"/>
  <c r="J29" i="74" s="1"/>
  <c r="I23" i="74"/>
  <c r="I50" i="74"/>
  <c r="J50" i="74" s="1"/>
  <c r="I41" i="74"/>
  <c r="J41" i="74" s="1"/>
  <c r="I30" i="74"/>
  <c r="J30" i="74" s="1"/>
  <c r="D9" i="69"/>
  <c r="H9" i="69"/>
  <c r="G20" i="69"/>
  <c r="K20" i="69"/>
  <c r="K27" i="69"/>
  <c r="K23" i="69"/>
  <c r="I25" i="69"/>
  <c r="I21" i="69"/>
  <c r="G27" i="69"/>
  <c r="G23" i="69"/>
  <c r="E25" i="69"/>
  <c r="E21" i="69"/>
  <c r="L16" i="69"/>
  <c r="L12" i="69"/>
  <c r="J14" i="69"/>
  <c r="J10" i="69"/>
  <c r="H16" i="69"/>
  <c r="H12" i="69"/>
  <c r="F14" i="69"/>
  <c r="F10" i="69"/>
  <c r="F9" i="69"/>
  <c r="J9" i="69"/>
  <c r="I20" i="69"/>
  <c r="K25" i="69"/>
  <c r="K21" i="69"/>
  <c r="I27" i="69"/>
  <c r="I23" i="69"/>
  <c r="G25" i="69"/>
  <c r="G21" i="69"/>
  <c r="E27" i="69"/>
  <c r="E23" i="69"/>
  <c r="L14" i="69"/>
  <c r="L10" i="69"/>
  <c r="J16" i="69"/>
  <c r="J12" i="69"/>
  <c r="H14" i="69"/>
  <c r="H10" i="69"/>
  <c r="F16" i="69"/>
  <c r="F12" i="69"/>
  <c r="D22" i="69"/>
  <c r="I11" i="69"/>
  <c r="J26" i="69"/>
  <c r="J22" i="69"/>
  <c r="H24" i="69"/>
  <c r="F22" i="69"/>
  <c r="D24" i="69"/>
  <c r="K15" i="69"/>
  <c r="K11" i="69"/>
  <c r="G15" i="69"/>
  <c r="G11" i="69"/>
  <c r="D20" i="69"/>
  <c r="H20" i="69"/>
  <c r="K22" i="69"/>
  <c r="J25" i="69"/>
  <c r="J21" i="69"/>
  <c r="I24" i="69"/>
  <c r="H27" i="69"/>
  <c r="H23" i="69"/>
  <c r="G26" i="69"/>
  <c r="G22" i="69"/>
  <c r="F25" i="69"/>
  <c r="F21" i="69"/>
  <c r="E24" i="69"/>
  <c r="D27" i="69"/>
  <c r="D23" i="69"/>
  <c r="L15" i="69"/>
  <c r="L11" i="69"/>
  <c r="K14" i="69"/>
  <c r="K10" i="69"/>
  <c r="J13" i="69"/>
  <c r="I16" i="69"/>
  <c r="I12" i="69"/>
  <c r="H15" i="69"/>
  <c r="H11" i="69"/>
  <c r="G14" i="69"/>
  <c r="G10" i="69"/>
  <c r="F13" i="69"/>
  <c r="D26" i="69"/>
  <c r="J24" i="69"/>
  <c r="H22" i="69"/>
  <c r="F24" i="69"/>
  <c r="K13" i="69"/>
  <c r="G13" i="69"/>
  <c r="G9" i="69"/>
  <c r="K9" i="69"/>
  <c r="F20" i="69"/>
  <c r="J20" i="69"/>
  <c r="K24" i="69"/>
  <c r="J27" i="69"/>
  <c r="J23" i="69"/>
  <c r="I26" i="69"/>
  <c r="I22" i="69"/>
  <c r="H25" i="69"/>
  <c r="H21" i="69"/>
  <c r="G24" i="69"/>
  <c r="F27" i="69"/>
  <c r="F23" i="69"/>
  <c r="E26" i="69"/>
  <c r="E22" i="69"/>
  <c r="D25" i="69"/>
  <c r="D21" i="69"/>
  <c r="L13" i="69"/>
  <c r="K16" i="69"/>
  <c r="K12" i="69"/>
  <c r="J15" i="69"/>
  <c r="J11" i="69"/>
  <c r="I14" i="69"/>
  <c r="I10" i="69"/>
  <c r="H13" i="69"/>
  <c r="G16" i="69"/>
  <c r="G12" i="69"/>
  <c r="F15" i="69"/>
  <c r="F11" i="69"/>
  <c r="H26" i="69"/>
  <c r="I15" i="69"/>
  <c r="F26" i="69"/>
  <c r="I13" i="69"/>
  <c r="J9" i="74"/>
  <c r="I53" i="71"/>
  <c r="I49" i="71"/>
  <c r="I45" i="71"/>
  <c r="I37" i="71"/>
  <c r="I33" i="71"/>
  <c r="I29" i="71"/>
  <c r="I21" i="71"/>
  <c r="I17" i="71"/>
  <c r="H7" i="71"/>
  <c r="I55" i="71"/>
  <c r="I57" i="71"/>
  <c r="J57" i="71" s="1"/>
  <c r="P17" i="71" s="1"/>
  <c r="I46" i="71"/>
  <c r="I43" i="71"/>
  <c r="I34" i="71"/>
  <c r="I30" i="71"/>
  <c r="I26" i="71"/>
  <c r="I18" i="71"/>
  <c r="I52" i="71"/>
  <c r="I40" i="71"/>
  <c r="I24" i="71"/>
  <c r="I14" i="71"/>
  <c r="I7" i="71"/>
  <c r="I51" i="71"/>
  <c r="I42" i="71"/>
  <c r="I27" i="71"/>
  <c r="I9" i="71"/>
  <c r="I48" i="71"/>
  <c r="I36" i="71"/>
  <c r="I20" i="71"/>
  <c r="I12" i="71"/>
  <c r="I39" i="71"/>
  <c r="I31" i="71"/>
  <c r="I23" i="71"/>
  <c r="I11" i="71"/>
  <c r="I15" i="71"/>
  <c r="F9" i="74"/>
  <c r="J7" i="74"/>
  <c r="F7" i="74"/>
  <c r="I57" i="73"/>
  <c r="J57" i="73" s="1"/>
  <c r="P17" i="73" s="1"/>
  <c r="I53" i="73"/>
  <c r="I49" i="73"/>
  <c r="I44" i="73"/>
  <c r="I40" i="73"/>
  <c r="I32" i="73"/>
  <c r="I28" i="73"/>
  <c r="I20" i="73"/>
  <c r="I16" i="73"/>
  <c r="I7" i="73"/>
  <c r="I52" i="73"/>
  <c r="I41" i="73"/>
  <c r="I37" i="73"/>
  <c r="I29" i="73"/>
  <c r="I25" i="73"/>
  <c r="I17" i="73"/>
  <c r="H7" i="73"/>
  <c r="I46" i="73"/>
  <c r="I38" i="73"/>
  <c r="I22" i="73"/>
  <c r="I26" i="73"/>
  <c r="I50" i="73"/>
  <c r="I47" i="73"/>
  <c r="I31" i="73"/>
  <c r="I23" i="73"/>
  <c r="I11" i="73"/>
  <c r="I55" i="73"/>
  <c r="I34" i="73"/>
  <c r="I14" i="73"/>
  <c r="I10" i="73"/>
  <c r="I43" i="73"/>
  <c r="I19" i="73"/>
  <c r="I13" i="73"/>
  <c r="I9" i="73"/>
  <c r="I35" i="73"/>
  <c r="I55" i="76"/>
  <c r="I43" i="76"/>
  <c r="I39" i="76"/>
  <c r="I35" i="76"/>
  <c r="I31" i="76"/>
  <c r="I27" i="76"/>
  <c r="I23" i="76"/>
  <c r="I14" i="76"/>
  <c r="I13" i="76"/>
  <c r="I12" i="76"/>
  <c r="I11" i="76"/>
  <c r="I9" i="76"/>
  <c r="I57" i="76"/>
  <c r="J57" i="76" s="1"/>
  <c r="P17" i="76" s="1"/>
  <c r="I52" i="76"/>
  <c r="I48" i="76"/>
  <c r="I44" i="76"/>
  <c r="I40" i="76"/>
  <c r="I36" i="76"/>
  <c r="I32" i="76"/>
  <c r="I28" i="76"/>
  <c r="I20" i="76"/>
  <c r="I16" i="76"/>
  <c r="I53" i="76"/>
  <c r="I49" i="76"/>
  <c r="I45" i="76"/>
  <c r="I41" i="76"/>
  <c r="I37" i="76"/>
  <c r="I25" i="76"/>
  <c r="I21" i="76"/>
  <c r="I17" i="76"/>
  <c r="I26" i="76"/>
  <c r="H7" i="76"/>
  <c r="I46" i="76"/>
  <c r="I30" i="76"/>
  <c r="I50" i="76"/>
  <c r="I18" i="76"/>
  <c r="I54" i="76"/>
  <c r="I22" i="76"/>
  <c r="I7" i="76"/>
  <c r="I34" i="76"/>
  <c r="I54" i="72"/>
  <c r="I50" i="72"/>
  <c r="I55" i="72"/>
  <c r="I51" i="72"/>
  <c r="I47" i="72"/>
  <c r="I43" i="72"/>
  <c r="I39" i="72"/>
  <c r="I35" i="72"/>
  <c r="I31" i="72"/>
  <c r="I27" i="72"/>
  <c r="I23" i="72"/>
  <c r="I19" i="72"/>
  <c r="I15" i="72"/>
  <c r="I14" i="72"/>
  <c r="I13" i="72"/>
  <c r="I12" i="72"/>
  <c r="I11" i="72"/>
  <c r="I10" i="72"/>
  <c r="I9" i="72"/>
  <c r="I52" i="72"/>
  <c r="I45" i="72"/>
  <c r="I42" i="72"/>
  <c r="I32" i="72"/>
  <c r="I29" i="72"/>
  <c r="I26" i="72"/>
  <c r="I16" i="72"/>
  <c r="I7" i="72"/>
  <c r="I24" i="72"/>
  <c r="I53" i="72"/>
  <c r="I44" i="72"/>
  <c r="I41" i="72"/>
  <c r="I38" i="72"/>
  <c r="I28" i="72"/>
  <c r="I25" i="72"/>
  <c r="I22" i="72"/>
  <c r="H7" i="72"/>
  <c r="I57" i="72"/>
  <c r="J57" i="72" s="1"/>
  <c r="P17" i="72" s="1"/>
  <c r="I48" i="72"/>
  <c r="I40" i="72"/>
  <c r="I37" i="72"/>
  <c r="I34" i="72"/>
  <c r="I21" i="72"/>
  <c r="I18" i="72"/>
  <c r="I46" i="72"/>
  <c r="I49" i="72"/>
  <c r="I36" i="72"/>
  <c r="I33" i="72"/>
  <c r="I30" i="72"/>
  <c r="I20" i="72"/>
  <c r="I17" i="72"/>
  <c r="J16" i="74"/>
  <c r="I55" i="75"/>
  <c r="I51" i="75"/>
  <c r="I47" i="75"/>
  <c r="I43" i="75"/>
  <c r="I39" i="75"/>
  <c r="I35" i="75"/>
  <c r="I31" i="75"/>
  <c r="I27" i="75"/>
  <c r="I23" i="75"/>
  <c r="I57" i="75"/>
  <c r="J57" i="75" s="1"/>
  <c r="P17" i="75" s="1"/>
  <c r="I52" i="75"/>
  <c r="I48" i="75"/>
  <c r="I44" i="75"/>
  <c r="I40" i="75"/>
  <c r="I36" i="75"/>
  <c r="I32" i="75"/>
  <c r="I28" i="75"/>
  <c r="I24" i="75"/>
  <c r="I50" i="75"/>
  <c r="I42" i="75"/>
  <c r="I34" i="75"/>
  <c r="I26" i="75"/>
  <c r="I20" i="75"/>
  <c r="I16" i="75"/>
  <c r="I7" i="75"/>
  <c r="I53" i="75"/>
  <c r="I45" i="75"/>
  <c r="I37" i="75"/>
  <c r="I29" i="75"/>
  <c r="I21" i="75"/>
  <c r="I17" i="75"/>
  <c r="H7" i="75"/>
  <c r="I54" i="75"/>
  <c r="I38" i="75"/>
  <c r="I12" i="75"/>
  <c r="I49" i="75"/>
  <c r="I33" i="75"/>
  <c r="I22" i="75"/>
  <c r="I15" i="75"/>
  <c r="I11" i="75"/>
  <c r="I25" i="75"/>
  <c r="I19" i="75"/>
  <c r="I46" i="75"/>
  <c r="I18" i="75"/>
  <c r="I41" i="75"/>
  <c r="I14" i="75"/>
  <c r="I13" i="75"/>
  <c r="I10" i="75"/>
  <c r="I9" i="75"/>
  <c r="I30" i="75"/>
  <c r="J20" i="74"/>
  <c r="L15" i="34"/>
  <c r="F55" i="74" l="1"/>
  <c r="F42" i="74"/>
  <c r="F37" i="74"/>
  <c r="F25" i="74"/>
  <c r="F16" i="74"/>
  <c r="J42" i="74"/>
  <c r="F20" i="74"/>
  <c r="F29" i="74"/>
  <c r="F45" i="74"/>
  <c r="J15" i="74"/>
  <c r="F31" i="74"/>
  <c r="F30" i="74"/>
  <c r="J23" i="74"/>
  <c r="F23" i="74"/>
  <c r="F19" i="74"/>
  <c r="F48" i="74"/>
  <c r="F33" i="74"/>
  <c r="F35" i="74"/>
  <c r="F50" i="74"/>
  <c r="F53" i="74"/>
  <c r="F15" i="74"/>
  <c r="F38" i="74"/>
  <c r="F49" i="74"/>
  <c r="F18" i="74"/>
  <c r="F12" i="74"/>
  <c r="F27" i="74"/>
  <c r="F26" i="74"/>
  <c r="F52" i="74"/>
  <c r="J33" i="74"/>
  <c r="F57" i="74"/>
  <c r="F11" i="74"/>
  <c r="F34" i="74"/>
  <c r="J22" i="74"/>
  <c r="F44" i="74"/>
  <c r="F14" i="74"/>
  <c r="J12" i="74"/>
  <c r="J14" i="74"/>
  <c r="F46" i="74"/>
  <c r="F40" i="74"/>
  <c r="F41" i="74"/>
  <c r="F47" i="75"/>
  <c r="J46" i="75"/>
  <c r="F13" i="75"/>
  <c r="J12" i="75"/>
  <c r="J45" i="75"/>
  <c r="F46" i="75"/>
  <c r="F51" i="75"/>
  <c r="J50" i="75"/>
  <c r="J52" i="75"/>
  <c r="F53" i="75"/>
  <c r="F48" i="75"/>
  <c r="J47" i="75"/>
  <c r="J49" i="72"/>
  <c r="F50" i="72"/>
  <c r="J34" i="72"/>
  <c r="F35" i="72"/>
  <c r="J28" i="72"/>
  <c r="F29" i="72"/>
  <c r="F27" i="72"/>
  <c r="J26" i="72"/>
  <c r="F46" i="72"/>
  <c r="J45" i="72"/>
  <c r="F16" i="72"/>
  <c r="J15" i="72"/>
  <c r="J47" i="72"/>
  <c r="F48" i="72"/>
  <c r="J22" i="76"/>
  <c r="F23" i="76"/>
  <c r="F43" i="76"/>
  <c r="J45" i="76"/>
  <c r="F46" i="76"/>
  <c r="J36" i="76"/>
  <c r="F37" i="76"/>
  <c r="F12" i="76"/>
  <c r="J11" i="76"/>
  <c r="F32" i="76"/>
  <c r="J31" i="76"/>
  <c r="F28" i="73"/>
  <c r="J34" i="73"/>
  <c r="F35" i="73"/>
  <c r="J31" i="73"/>
  <c r="F32" i="73"/>
  <c r="F22" i="73"/>
  <c r="F55" i="73"/>
  <c r="F21" i="71"/>
  <c r="J20" i="71"/>
  <c r="F9" i="71"/>
  <c r="F7" i="71"/>
  <c r="J7" i="71"/>
  <c r="J37" i="71"/>
  <c r="F27" i="75"/>
  <c r="J26" i="75"/>
  <c r="J24" i="75"/>
  <c r="F25" i="75"/>
  <c r="J40" i="75"/>
  <c r="F41" i="75"/>
  <c r="F36" i="75"/>
  <c r="J35" i="75"/>
  <c r="F31" i="72"/>
  <c r="J30" i="72"/>
  <c r="J24" i="72"/>
  <c r="F25" i="72"/>
  <c r="F30" i="72"/>
  <c r="J29" i="72"/>
  <c r="F20" i="72"/>
  <c r="J19" i="72"/>
  <c r="F36" i="72"/>
  <c r="J35" i="72"/>
  <c r="F39" i="76"/>
  <c r="J46" i="76"/>
  <c r="F34" i="76"/>
  <c r="F25" i="76"/>
  <c r="J40" i="76"/>
  <c r="F41" i="76"/>
  <c r="J12" i="76"/>
  <c r="F13" i="76"/>
  <c r="F36" i="76"/>
  <c r="J35" i="76"/>
  <c r="J9" i="73"/>
  <c r="F10" i="73"/>
  <c r="F43" i="73"/>
  <c r="F40" i="73"/>
  <c r="J46" i="73"/>
  <c r="F47" i="73"/>
  <c r="J41" i="73"/>
  <c r="F29" i="73"/>
  <c r="J28" i="73"/>
  <c r="F29" i="71"/>
  <c r="J42" i="71"/>
  <c r="F43" i="71"/>
  <c r="F33" i="71"/>
  <c r="F39" i="71"/>
  <c r="J55" i="71"/>
  <c r="F57" i="71"/>
  <c r="F46" i="71"/>
  <c r="J45" i="71"/>
  <c r="J9" i="75"/>
  <c r="F10" i="75"/>
  <c r="J25" i="75"/>
  <c r="F26" i="75"/>
  <c r="F55" i="75"/>
  <c r="J54" i="75"/>
  <c r="F9" i="75"/>
  <c r="J7" i="75"/>
  <c r="F7" i="75"/>
  <c r="J28" i="75"/>
  <c r="F29" i="75"/>
  <c r="F24" i="75"/>
  <c r="J23" i="75"/>
  <c r="F57" i="75"/>
  <c r="J55" i="75"/>
  <c r="F34" i="72"/>
  <c r="J33" i="72"/>
  <c r="J18" i="72"/>
  <c r="F19" i="72"/>
  <c r="J40" i="72"/>
  <c r="F41" i="72"/>
  <c r="J22" i="72"/>
  <c r="F23" i="72"/>
  <c r="J41" i="72"/>
  <c r="F42" i="72"/>
  <c r="J7" i="72"/>
  <c r="F7" i="72"/>
  <c r="F9" i="72"/>
  <c r="J32" i="72"/>
  <c r="F33" i="72"/>
  <c r="J9" i="72"/>
  <c r="F10" i="72"/>
  <c r="J13" i="72"/>
  <c r="F14" i="72"/>
  <c r="F24" i="72"/>
  <c r="J23" i="72"/>
  <c r="F40" i="72"/>
  <c r="J39" i="72"/>
  <c r="J55" i="72"/>
  <c r="F57" i="72"/>
  <c r="J34" i="76"/>
  <c r="F35" i="76"/>
  <c r="J18" i="76"/>
  <c r="J21" i="76"/>
  <c r="F22" i="76"/>
  <c r="J37" i="76"/>
  <c r="J53" i="76"/>
  <c r="F54" i="76"/>
  <c r="J28" i="76"/>
  <c r="J44" i="76"/>
  <c r="F45" i="76"/>
  <c r="J9" i="76"/>
  <c r="F14" i="76"/>
  <c r="J13" i="76"/>
  <c r="J23" i="76"/>
  <c r="F40" i="76"/>
  <c r="J39" i="76"/>
  <c r="F57" i="76"/>
  <c r="J55" i="76"/>
  <c r="J13" i="73"/>
  <c r="F14" i="73"/>
  <c r="J14" i="73"/>
  <c r="F49" i="73"/>
  <c r="F16" i="73"/>
  <c r="J47" i="73"/>
  <c r="J22" i="73"/>
  <c r="F23" i="73"/>
  <c r="J29" i="73"/>
  <c r="F46" i="73"/>
  <c r="F17" i="73"/>
  <c r="J16" i="73"/>
  <c r="J32" i="73"/>
  <c r="F50" i="73"/>
  <c r="J49" i="73"/>
  <c r="J15" i="71"/>
  <c r="J39" i="71"/>
  <c r="F40" i="71"/>
  <c r="F37" i="71"/>
  <c r="J36" i="71"/>
  <c r="F20" i="71"/>
  <c r="F52" i="71"/>
  <c r="J51" i="71"/>
  <c r="F15" i="71"/>
  <c r="J14" i="71"/>
  <c r="J40" i="71"/>
  <c r="J26" i="71"/>
  <c r="F27" i="71"/>
  <c r="J43" i="71"/>
  <c r="F30" i="71"/>
  <c r="J29" i="71"/>
  <c r="F45" i="71"/>
  <c r="J49" i="71"/>
  <c r="J13" i="75"/>
  <c r="F14" i="75"/>
  <c r="J15" i="75"/>
  <c r="F16" i="75"/>
  <c r="J17" i="75"/>
  <c r="F18" i="75"/>
  <c r="F21" i="75"/>
  <c r="J20" i="75"/>
  <c r="J36" i="75"/>
  <c r="F37" i="75"/>
  <c r="F32" i="75"/>
  <c r="J31" i="75"/>
  <c r="J20" i="72"/>
  <c r="F21" i="72"/>
  <c r="J53" i="72"/>
  <c r="F54" i="72"/>
  <c r="F12" i="72"/>
  <c r="J11" i="72"/>
  <c r="F32" i="72"/>
  <c r="J31" i="72"/>
  <c r="F55" i="72"/>
  <c r="J54" i="72"/>
  <c r="J30" i="76"/>
  <c r="F31" i="76"/>
  <c r="F30" i="76"/>
  <c r="J20" i="76"/>
  <c r="F21" i="76"/>
  <c r="J52" i="76"/>
  <c r="F53" i="76"/>
  <c r="F16" i="76"/>
  <c r="F48" i="76"/>
  <c r="F44" i="73"/>
  <c r="J43" i="73"/>
  <c r="F57" i="73"/>
  <c r="J55" i="73"/>
  <c r="J26" i="73"/>
  <c r="J38" i="73"/>
  <c r="J37" i="73"/>
  <c r="F38" i="73"/>
  <c r="F25" i="73"/>
  <c r="F41" i="73"/>
  <c r="J40" i="73"/>
  <c r="J23" i="71"/>
  <c r="F24" i="71"/>
  <c r="J9" i="71"/>
  <c r="F36" i="71"/>
  <c r="J24" i="71"/>
  <c r="J18" i="71"/>
  <c r="J34" i="71"/>
  <c r="J21" i="71"/>
  <c r="F51" i="71"/>
  <c r="F31" i="75"/>
  <c r="J30" i="75"/>
  <c r="J14" i="75"/>
  <c r="F15" i="75"/>
  <c r="F20" i="75"/>
  <c r="J19" i="75"/>
  <c r="F23" i="75"/>
  <c r="J22" i="75"/>
  <c r="F39" i="75"/>
  <c r="J38" i="75"/>
  <c r="J21" i="75"/>
  <c r="F22" i="75"/>
  <c r="J53" i="75"/>
  <c r="F54" i="75"/>
  <c r="F52" i="75"/>
  <c r="J51" i="75"/>
  <c r="F47" i="72"/>
  <c r="J46" i="72"/>
  <c r="J37" i="72"/>
  <c r="F38" i="72"/>
  <c r="J38" i="72"/>
  <c r="F39" i="72"/>
  <c r="J52" i="72"/>
  <c r="F53" i="72"/>
  <c r="F13" i="72"/>
  <c r="J12" i="72"/>
  <c r="J51" i="72"/>
  <c r="F52" i="72"/>
  <c r="J54" i="76"/>
  <c r="F55" i="76"/>
  <c r="J17" i="76"/>
  <c r="F18" i="76"/>
  <c r="J49" i="76"/>
  <c r="F50" i="76"/>
  <c r="F20" i="76"/>
  <c r="F52" i="76"/>
  <c r="J10" i="73"/>
  <c r="F11" i="73"/>
  <c r="J11" i="73"/>
  <c r="F13" i="73"/>
  <c r="J25" i="73"/>
  <c r="F26" i="73"/>
  <c r="F9" i="73"/>
  <c r="J7" i="73"/>
  <c r="F7" i="73"/>
  <c r="J44" i="73"/>
  <c r="J31" i="71"/>
  <c r="F14" i="71"/>
  <c r="F11" i="71"/>
  <c r="F23" i="71"/>
  <c r="F26" i="71"/>
  <c r="F42" i="71"/>
  <c r="J41" i="75"/>
  <c r="F42" i="75"/>
  <c r="J33" i="75"/>
  <c r="F34" i="75"/>
  <c r="J29" i="75"/>
  <c r="F30" i="75"/>
  <c r="J34" i="75"/>
  <c r="F35" i="75"/>
  <c r="J44" i="75"/>
  <c r="F45" i="75"/>
  <c r="F40" i="75"/>
  <c r="J39" i="75"/>
  <c r="J10" i="75"/>
  <c r="F11" i="75"/>
  <c r="J18" i="75"/>
  <c r="F19" i="75"/>
  <c r="J11" i="75"/>
  <c r="F12" i="75"/>
  <c r="J49" i="75"/>
  <c r="F50" i="75"/>
  <c r="J37" i="75"/>
  <c r="F38" i="75"/>
  <c r="F17" i="75"/>
  <c r="J16" i="75"/>
  <c r="F43" i="75"/>
  <c r="J42" i="75"/>
  <c r="J32" i="75"/>
  <c r="F33" i="75"/>
  <c r="J48" i="75"/>
  <c r="F49" i="75"/>
  <c r="F28" i="75"/>
  <c r="J27" i="75"/>
  <c r="F44" i="75"/>
  <c r="J43" i="75"/>
  <c r="F18" i="72"/>
  <c r="J17" i="72"/>
  <c r="J36" i="72"/>
  <c r="F37" i="72"/>
  <c r="J21" i="72"/>
  <c r="F22" i="72"/>
  <c r="J48" i="72"/>
  <c r="F49" i="72"/>
  <c r="J25" i="72"/>
  <c r="F26" i="72"/>
  <c r="J44" i="72"/>
  <c r="F45" i="72"/>
  <c r="J16" i="72"/>
  <c r="F17" i="72"/>
  <c r="F43" i="72"/>
  <c r="J42" i="72"/>
  <c r="F11" i="72"/>
  <c r="J10" i="72"/>
  <c r="F15" i="72"/>
  <c r="J14" i="72"/>
  <c r="F28" i="72"/>
  <c r="J27" i="72"/>
  <c r="F44" i="72"/>
  <c r="J43" i="72"/>
  <c r="F51" i="72"/>
  <c r="J50" i="72"/>
  <c r="F9" i="76"/>
  <c r="J7" i="76"/>
  <c r="F7" i="76"/>
  <c r="J50" i="76"/>
  <c r="J26" i="76"/>
  <c r="F27" i="76"/>
  <c r="J25" i="76"/>
  <c r="F26" i="76"/>
  <c r="J41" i="76"/>
  <c r="J16" i="76"/>
  <c r="F17" i="76"/>
  <c r="J32" i="76"/>
  <c r="J48" i="76"/>
  <c r="F49" i="76"/>
  <c r="F11" i="76"/>
  <c r="J14" i="76"/>
  <c r="F28" i="76"/>
  <c r="J27" i="76"/>
  <c r="F44" i="76"/>
  <c r="J43" i="76"/>
  <c r="J35" i="73"/>
  <c r="F20" i="73"/>
  <c r="J19" i="73"/>
  <c r="F19" i="73"/>
  <c r="F52" i="73"/>
  <c r="J23" i="73"/>
  <c r="J50" i="73"/>
  <c r="F31" i="73"/>
  <c r="J17" i="73"/>
  <c r="F34" i="73"/>
  <c r="F53" i="73"/>
  <c r="J52" i="73"/>
  <c r="J20" i="73"/>
  <c r="F37" i="73"/>
  <c r="J53" i="73"/>
  <c r="F12" i="71"/>
  <c r="J11" i="71"/>
  <c r="J12" i="71"/>
  <c r="F49" i="71"/>
  <c r="J48" i="71"/>
  <c r="J27" i="71"/>
  <c r="F55" i="71"/>
  <c r="F17" i="71"/>
  <c r="J52" i="71"/>
  <c r="F53" i="71"/>
  <c r="J30" i="71"/>
  <c r="F31" i="71"/>
  <c r="J46" i="71"/>
  <c r="F18" i="71"/>
  <c r="J17" i="71"/>
  <c r="F34" i="71"/>
  <c r="J33" i="71"/>
  <c r="F48" i="71"/>
  <c r="J53" i="71"/>
  <c r="D13" i="28" l="1"/>
  <c r="L13" i="28" s="1"/>
  <c r="D15" i="28"/>
  <c r="D16" i="28"/>
  <c r="D17" i="28"/>
  <c r="L17" i="28" s="1"/>
  <c r="D19" i="28"/>
  <c r="D20" i="28"/>
  <c r="L21" i="28"/>
  <c r="D22" i="28"/>
  <c r="D23" i="28"/>
  <c r="D24" i="28"/>
  <c r="L25" i="28"/>
  <c r="D26" i="28"/>
  <c r="D27" i="28"/>
  <c r="D29" i="28"/>
  <c r="L29" i="28" s="1"/>
  <c r="D30" i="28"/>
  <c r="D31" i="28"/>
  <c r="D33" i="28"/>
  <c r="L33" i="28" s="1"/>
  <c r="D34" i="28"/>
  <c r="D35" i="28"/>
  <c r="D37" i="28"/>
  <c r="L37" i="28" s="1"/>
  <c r="D38" i="28"/>
  <c r="D40" i="28"/>
  <c r="D41" i="28"/>
  <c r="L41" i="28" s="1"/>
  <c r="D42" i="28"/>
  <c r="D44" i="28"/>
  <c r="D45" i="28"/>
  <c r="L45" i="28" s="1"/>
  <c r="D47" i="28"/>
  <c r="D48" i="28"/>
  <c r="D49" i="28"/>
  <c r="L49" i="28" s="1"/>
  <c r="D51" i="28"/>
  <c r="D52" i="28"/>
  <c r="L53" i="28"/>
  <c r="D54" i="28"/>
  <c r="D55" i="28"/>
  <c r="D57" i="28"/>
  <c r="G57" i="28" l="1"/>
  <c r="H57" i="28" s="1"/>
  <c r="L57" i="28"/>
  <c r="G52" i="28"/>
  <c r="H52" i="28" s="1"/>
  <c r="L52" i="28"/>
  <c r="G48" i="28"/>
  <c r="H48" i="28" s="1"/>
  <c r="L48" i="28"/>
  <c r="G44" i="28"/>
  <c r="H44" i="28" s="1"/>
  <c r="L44" i="28"/>
  <c r="G40" i="28"/>
  <c r="H40" i="28" s="1"/>
  <c r="L40" i="28"/>
  <c r="L36" i="28"/>
  <c r="L32" i="28"/>
  <c r="L28" i="28"/>
  <c r="G24" i="28"/>
  <c r="H24" i="28" s="1"/>
  <c r="L24" i="28"/>
  <c r="G20" i="28"/>
  <c r="H20" i="28" s="1"/>
  <c r="L20" i="28"/>
  <c r="G16" i="28"/>
  <c r="H16" i="28" s="1"/>
  <c r="L16" i="28"/>
  <c r="G55" i="28"/>
  <c r="H55" i="28" s="1"/>
  <c r="L55" i="28"/>
  <c r="G47" i="28"/>
  <c r="H47" i="28" s="1"/>
  <c r="L47" i="28"/>
  <c r="L39" i="28"/>
  <c r="G35" i="28"/>
  <c r="H35" i="28" s="1"/>
  <c r="L35" i="28"/>
  <c r="G31" i="28"/>
  <c r="H31" i="28" s="1"/>
  <c r="L31" i="28"/>
  <c r="G27" i="28"/>
  <c r="H27" i="28" s="1"/>
  <c r="L27" i="28"/>
  <c r="G23" i="28"/>
  <c r="H23" i="28" s="1"/>
  <c r="L23" i="28"/>
  <c r="G19" i="28"/>
  <c r="H19" i="28" s="1"/>
  <c r="L19" i="28"/>
  <c r="G15" i="28"/>
  <c r="H15" i="28" s="1"/>
  <c r="L15" i="28"/>
  <c r="G51" i="28"/>
  <c r="H51" i="28" s="1"/>
  <c r="L51" i="28"/>
  <c r="L43" i="28"/>
  <c r="G54" i="28"/>
  <c r="H54" i="28" s="1"/>
  <c r="L54" i="28"/>
  <c r="L50" i="28"/>
  <c r="L46" i="28"/>
  <c r="G42" i="28"/>
  <c r="H42" i="28" s="1"/>
  <c r="L42" i="28"/>
  <c r="G38" i="28"/>
  <c r="H38" i="28" s="1"/>
  <c r="L38" i="28"/>
  <c r="G34" i="28"/>
  <c r="H34" i="28" s="1"/>
  <c r="L34" i="28"/>
  <c r="G30" i="28"/>
  <c r="H30" i="28" s="1"/>
  <c r="L30" i="28"/>
  <c r="G26" i="28"/>
  <c r="H26" i="28" s="1"/>
  <c r="L26" i="28"/>
  <c r="G22" i="28"/>
  <c r="H22" i="28" s="1"/>
  <c r="L22" i="28"/>
  <c r="L18" i="28"/>
  <c r="L14" i="28"/>
  <c r="G49" i="28"/>
  <c r="H49" i="28" s="1"/>
  <c r="G45" i="28"/>
  <c r="H45" i="28" s="1"/>
  <c r="G41" i="28"/>
  <c r="H41" i="28" s="1"/>
  <c r="G37" i="28"/>
  <c r="H37" i="28" s="1"/>
  <c r="G33" i="28"/>
  <c r="H33" i="28" s="1"/>
  <c r="G29" i="28"/>
  <c r="H29" i="28" s="1"/>
  <c r="G17" i="28"/>
  <c r="H17" i="28" s="1"/>
  <c r="D57" i="41"/>
  <c r="D55" i="41"/>
  <c r="L55" i="41" s="1"/>
  <c r="D54" i="41"/>
  <c r="L54" i="41" s="1"/>
  <c r="D53" i="41"/>
  <c r="L53" i="41" s="1"/>
  <c r="D52" i="41"/>
  <c r="L52" i="41" s="1"/>
  <c r="D51" i="41"/>
  <c r="L51" i="41" s="1"/>
  <c r="D50" i="41"/>
  <c r="L50" i="41" s="1"/>
  <c r="D49" i="41"/>
  <c r="L49" i="41" s="1"/>
  <c r="D48" i="41"/>
  <c r="L48" i="41" s="1"/>
  <c r="D47" i="41"/>
  <c r="L47" i="41" s="1"/>
  <c r="D46" i="41"/>
  <c r="L46" i="41" s="1"/>
  <c r="D45" i="41"/>
  <c r="L45" i="41" s="1"/>
  <c r="D44" i="41"/>
  <c r="L44" i="41" s="1"/>
  <c r="D43" i="41"/>
  <c r="L43" i="41" s="1"/>
  <c r="L42" i="41"/>
  <c r="D41" i="41"/>
  <c r="L41" i="41" s="1"/>
  <c r="D40" i="41"/>
  <c r="L40" i="41" s="1"/>
  <c r="D39" i="41"/>
  <c r="L39" i="41" s="1"/>
  <c r="D38" i="41"/>
  <c r="L38" i="41" s="1"/>
  <c r="D37" i="41"/>
  <c r="L37" i="41" s="1"/>
  <c r="D36" i="41"/>
  <c r="L36" i="41" s="1"/>
  <c r="D35" i="41"/>
  <c r="L35" i="41" s="1"/>
  <c r="D34" i="41"/>
  <c r="L34" i="41" s="1"/>
  <c r="D33" i="41"/>
  <c r="L33" i="41" s="1"/>
  <c r="D32" i="41"/>
  <c r="L32" i="41" s="1"/>
  <c r="D31" i="41"/>
  <c r="L31" i="41" s="1"/>
  <c r="D30" i="41"/>
  <c r="L30" i="41" s="1"/>
  <c r="D29" i="41"/>
  <c r="L29" i="41" s="1"/>
  <c r="D28" i="41"/>
  <c r="L28" i="41" s="1"/>
  <c r="D27" i="41"/>
  <c r="L27" i="41" s="1"/>
  <c r="D26" i="41"/>
  <c r="L26" i="41" s="1"/>
  <c r="D25" i="41"/>
  <c r="L25" i="41" s="1"/>
  <c r="D24" i="41"/>
  <c r="L24" i="41" s="1"/>
  <c r="D23" i="41"/>
  <c r="L23" i="41" s="1"/>
  <c r="D22" i="41"/>
  <c r="L22" i="41" s="1"/>
  <c r="D21" i="41"/>
  <c r="L21" i="41" s="1"/>
  <c r="D20" i="41"/>
  <c r="L20" i="41" s="1"/>
  <c r="L19" i="41"/>
  <c r="L18" i="41"/>
  <c r="L17" i="41"/>
  <c r="L16" i="41"/>
  <c r="L15" i="41"/>
  <c r="L14" i="41"/>
  <c r="D13" i="41"/>
  <c r="L13" i="41" s="1"/>
  <c r="D12" i="41"/>
  <c r="L12" i="41" s="1"/>
  <c r="D11" i="41"/>
  <c r="L11" i="41" s="1"/>
  <c r="D10" i="41"/>
  <c r="L10" i="41" s="1"/>
  <c r="D9" i="41"/>
  <c r="D7" i="41"/>
  <c r="D57" i="40"/>
  <c r="D55" i="40"/>
  <c r="L55" i="40" s="1"/>
  <c r="D54" i="40"/>
  <c r="L54" i="40" s="1"/>
  <c r="D53" i="40"/>
  <c r="L53" i="40" s="1"/>
  <c r="D52" i="40"/>
  <c r="L52" i="40" s="1"/>
  <c r="D51" i="40"/>
  <c r="L51" i="40" s="1"/>
  <c r="D50" i="40"/>
  <c r="L50" i="40" s="1"/>
  <c r="D49" i="40"/>
  <c r="L49" i="40" s="1"/>
  <c r="L48" i="40"/>
  <c r="D47" i="40"/>
  <c r="L47" i="40" s="1"/>
  <c r="D46" i="40"/>
  <c r="L46" i="40" s="1"/>
  <c r="D45" i="40"/>
  <c r="L45" i="40" s="1"/>
  <c r="D44" i="40"/>
  <c r="L44" i="40" s="1"/>
  <c r="D43" i="40"/>
  <c r="L43" i="40" s="1"/>
  <c r="D42" i="40"/>
  <c r="L42" i="40" s="1"/>
  <c r="D41" i="40"/>
  <c r="L41" i="40" s="1"/>
  <c r="D40" i="40"/>
  <c r="L40" i="40" s="1"/>
  <c r="L39" i="40"/>
  <c r="D38" i="40"/>
  <c r="L38" i="40" s="1"/>
  <c r="D37" i="40"/>
  <c r="L37" i="40" s="1"/>
  <c r="D36" i="40"/>
  <c r="L36" i="40" s="1"/>
  <c r="D35" i="40"/>
  <c r="L35" i="40" s="1"/>
  <c r="D34" i="40"/>
  <c r="L34" i="40" s="1"/>
  <c r="D33" i="40"/>
  <c r="L33" i="40" s="1"/>
  <c r="D32" i="40"/>
  <c r="L32" i="40" s="1"/>
  <c r="D31" i="40"/>
  <c r="L31" i="40" s="1"/>
  <c r="L30" i="40"/>
  <c r="D29" i="40"/>
  <c r="L29" i="40" s="1"/>
  <c r="D28" i="40"/>
  <c r="L28" i="40" s="1"/>
  <c r="D27" i="40"/>
  <c r="L27" i="40" s="1"/>
  <c r="D26" i="40"/>
  <c r="L26" i="40" s="1"/>
  <c r="D25" i="40"/>
  <c r="L25" i="40" s="1"/>
  <c r="D24" i="40"/>
  <c r="L24" i="40" s="1"/>
  <c r="D23" i="40"/>
  <c r="L23" i="40" s="1"/>
  <c r="D22" i="40"/>
  <c r="L22" i="40" s="1"/>
  <c r="L21" i="40"/>
  <c r="D20" i="40"/>
  <c r="L20" i="40" s="1"/>
  <c r="D19" i="40"/>
  <c r="L19" i="40" s="1"/>
  <c r="D18" i="40"/>
  <c r="L18" i="40" s="1"/>
  <c r="D17" i="40"/>
  <c r="L17" i="40" s="1"/>
  <c r="D16" i="40"/>
  <c r="L16" i="40" s="1"/>
  <c r="D15" i="40"/>
  <c r="L15" i="40" s="1"/>
  <c r="D14" i="40"/>
  <c r="L14" i="40" s="1"/>
  <c r="D13" i="40"/>
  <c r="L13" i="40" s="1"/>
  <c r="L12" i="40"/>
  <c r="D11" i="40"/>
  <c r="L11" i="40" s="1"/>
  <c r="D10" i="40"/>
  <c r="L10" i="40" s="1"/>
  <c r="D9" i="40"/>
  <c r="D7" i="40"/>
  <c r="D57" i="39"/>
  <c r="L55" i="39"/>
  <c r="D54" i="39"/>
  <c r="L54" i="39" s="1"/>
  <c r="D53" i="39"/>
  <c r="L53" i="39" s="1"/>
  <c r="D52" i="39"/>
  <c r="L52" i="39" s="1"/>
  <c r="D51" i="39"/>
  <c r="L51" i="39" s="1"/>
  <c r="L50" i="39"/>
  <c r="D49" i="39"/>
  <c r="L49" i="39" s="1"/>
  <c r="D48" i="39"/>
  <c r="L48" i="39" s="1"/>
  <c r="D47" i="39"/>
  <c r="L47" i="39" s="1"/>
  <c r="D46" i="39"/>
  <c r="L46" i="39" s="1"/>
  <c r="D45" i="39"/>
  <c r="L45" i="39" s="1"/>
  <c r="L44" i="39"/>
  <c r="D43" i="39"/>
  <c r="L43" i="39" s="1"/>
  <c r="D42" i="39"/>
  <c r="L42" i="39" s="1"/>
  <c r="D41" i="39"/>
  <c r="L41" i="39" s="1"/>
  <c r="D40" i="39"/>
  <c r="L40" i="39" s="1"/>
  <c r="D39" i="39"/>
  <c r="L39" i="39" s="1"/>
  <c r="L38" i="39"/>
  <c r="D37" i="39"/>
  <c r="L37" i="39" s="1"/>
  <c r="D36" i="39"/>
  <c r="L36" i="39" s="1"/>
  <c r="D35" i="39"/>
  <c r="L35" i="39" s="1"/>
  <c r="D34" i="39"/>
  <c r="L34" i="39" s="1"/>
  <c r="D33" i="39"/>
  <c r="L33" i="39" s="1"/>
  <c r="L32" i="39"/>
  <c r="D31" i="39"/>
  <c r="L31" i="39" s="1"/>
  <c r="D30" i="39"/>
  <c r="L30" i="39" s="1"/>
  <c r="D29" i="39"/>
  <c r="L29" i="39" s="1"/>
  <c r="D28" i="39"/>
  <c r="L28" i="39" s="1"/>
  <c r="D27" i="39"/>
  <c r="L27" i="39" s="1"/>
  <c r="L26" i="39"/>
  <c r="D25" i="39"/>
  <c r="L25" i="39" s="1"/>
  <c r="D24" i="39"/>
  <c r="L24" i="39" s="1"/>
  <c r="D23" i="39"/>
  <c r="L23" i="39" s="1"/>
  <c r="D22" i="39"/>
  <c r="L22" i="39" s="1"/>
  <c r="D21" i="39"/>
  <c r="L21" i="39" s="1"/>
  <c r="L20" i="39"/>
  <c r="D19" i="39"/>
  <c r="L19" i="39" s="1"/>
  <c r="D18" i="39"/>
  <c r="L18" i="39" s="1"/>
  <c r="D17" i="39"/>
  <c r="L17" i="39" s="1"/>
  <c r="D16" i="39"/>
  <c r="L16" i="39" s="1"/>
  <c r="D15" i="39"/>
  <c r="L15" i="39" s="1"/>
  <c r="L14" i="39"/>
  <c r="D13" i="39"/>
  <c r="L13" i="39" s="1"/>
  <c r="D12" i="39"/>
  <c r="L12" i="39" s="1"/>
  <c r="D11" i="39"/>
  <c r="L11" i="39" s="1"/>
  <c r="D10" i="39"/>
  <c r="L10" i="39" s="1"/>
  <c r="D9" i="39"/>
  <c r="D7" i="39"/>
  <c r="D57" i="38"/>
  <c r="D55" i="38"/>
  <c r="L55" i="38" s="1"/>
  <c r="D54" i="38"/>
  <c r="L54" i="38" s="1"/>
  <c r="D53" i="38"/>
  <c r="L53" i="38" s="1"/>
  <c r="D52" i="38"/>
  <c r="L52" i="38" s="1"/>
  <c r="D51" i="38"/>
  <c r="L51" i="38" s="1"/>
  <c r="D50" i="38"/>
  <c r="L50" i="38" s="1"/>
  <c r="D49" i="38"/>
  <c r="L49" i="38" s="1"/>
  <c r="D48" i="38"/>
  <c r="L48" i="38" s="1"/>
  <c r="D47" i="38"/>
  <c r="L47" i="38" s="1"/>
  <c r="D46" i="38"/>
  <c r="L46" i="38" s="1"/>
  <c r="D45" i="38"/>
  <c r="L45" i="38" s="1"/>
  <c r="D44" i="38"/>
  <c r="L44" i="38" s="1"/>
  <c r="D43" i="38"/>
  <c r="L43" i="38" s="1"/>
  <c r="D42" i="38"/>
  <c r="L42" i="38" s="1"/>
  <c r="D41" i="38"/>
  <c r="L41" i="38" s="1"/>
  <c r="D40" i="38"/>
  <c r="L40" i="38" s="1"/>
  <c r="D39" i="38"/>
  <c r="L39" i="38" s="1"/>
  <c r="D38" i="38"/>
  <c r="L38" i="38" s="1"/>
  <c r="D37" i="38"/>
  <c r="L37" i="38" s="1"/>
  <c r="D36" i="38"/>
  <c r="L36" i="38" s="1"/>
  <c r="D35" i="38"/>
  <c r="L35" i="38" s="1"/>
  <c r="D34" i="38"/>
  <c r="L34" i="38" s="1"/>
  <c r="D33" i="38"/>
  <c r="L33" i="38" s="1"/>
  <c r="D32" i="38"/>
  <c r="L32" i="38" s="1"/>
  <c r="D31" i="38"/>
  <c r="L31" i="38" s="1"/>
  <c r="D30" i="38"/>
  <c r="L30" i="38" s="1"/>
  <c r="D29" i="38"/>
  <c r="L29" i="38" s="1"/>
  <c r="D28" i="38"/>
  <c r="L28" i="38" s="1"/>
  <c r="D27" i="38"/>
  <c r="L27" i="38" s="1"/>
  <c r="D26" i="38"/>
  <c r="L26" i="38" s="1"/>
  <c r="D25" i="38"/>
  <c r="L25" i="38" s="1"/>
  <c r="D24" i="38"/>
  <c r="L24" i="38" s="1"/>
  <c r="D23" i="38"/>
  <c r="L23" i="38" s="1"/>
  <c r="D22" i="38"/>
  <c r="L22" i="38" s="1"/>
  <c r="D21" i="38"/>
  <c r="L21" i="38" s="1"/>
  <c r="D20" i="38"/>
  <c r="L20" i="38" s="1"/>
  <c r="D19" i="38"/>
  <c r="L19" i="38" s="1"/>
  <c r="D18" i="38"/>
  <c r="L18" i="38" s="1"/>
  <c r="D17" i="38"/>
  <c r="L17" i="38" s="1"/>
  <c r="D16" i="38"/>
  <c r="L16" i="38" s="1"/>
  <c r="D15" i="38"/>
  <c r="L15" i="38" s="1"/>
  <c r="D14" i="38"/>
  <c r="L14" i="38" s="1"/>
  <c r="D13" i="38"/>
  <c r="L13" i="38" s="1"/>
  <c r="D12" i="38"/>
  <c r="L12" i="38" s="1"/>
  <c r="D11" i="38"/>
  <c r="L11" i="38" s="1"/>
  <c r="D10" i="38"/>
  <c r="L10" i="38" s="1"/>
  <c r="D9" i="38"/>
  <c r="D7" i="38"/>
  <c r="D57" i="37"/>
  <c r="D55" i="37"/>
  <c r="L55" i="37" s="1"/>
  <c r="D54" i="37"/>
  <c r="L54" i="37" s="1"/>
  <c r="D53" i="37"/>
  <c r="L53" i="37" s="1"/>
  <c r="L52" i="37"/>
  <c r="D51" i="37"/>
  <c r="L51" i="37" s="1"/>
  <c r="D50" i="37"/>
  <c r="L50" i="37" s="1"/>
  <c r="D49" i="37"/>
  <c r="L49" i="37" s="1"/>
  <c r="D48" i="37"/>
  <c r="L48" i="37" s="1"/>
  <c r="L47" i="37"/>
  <c r="D46" i="37"/>
  <c r="L46" i="37" s="1"/>
  <c r="D45" i="37"/>
  <c r="L45" i="37" s="1"/>
  <c r="D44" i="37"/>
  <c r="L44" i="37" s="1"/>
  <c r="L43" i="37"/>
  <c r="D42" i="37"/>
  <c r="L42" i="37" s="1"/>
  <c r="D41" i="37"/>
  <c r="L41" i="37" s="1"/>
  <c r="D40" i="37"/>
  <c r="L40" i="37" s="1"/>
  <c r="D39" i="37"/>
  <c r="L39" i="37" s="1"/>
  <c r="L38" i="37"/>
  <c r="D37" i="37"/>
  <c r="L37" i="37" s="1"/>
  <c r="D36" i="37"/>
  <c r="L36" i="37" s="1"/>
  <c r="D35" i="37"/>
  <c r="L35" i="37" s="1"/>
  <c r="L34" i="37"/>
  <c r="D33" i="37"/>
  <c r="L33" i="37" s="1"/>
  <c r="D32" i="37"/>
  <c r="L32" i="37" s="1"/>
  <c r="D31" i="37"/>
  <c r="L31" i="37" s="1"/>
  <c r="D30" i="37"/>
  <c r="L30" i="37" s="1"/>
  <c r="L29" i="37"/>
  <c r="D28" i="37"/>
  <c r="L28" i="37" s="1"/>
  <c r="D27" i="37"/>
  <c r="L27" i="37" s="1"/>
  <c r="D26" i="37"/>
  <c r="L26" i="37" s="1"/>
  <c r="D25" i="37"/>
  <c r="L25" i="37" s="1"/>
  <c r="L24" i="37"/>
  <c r="D23" i="37"/>
  <c r="L23" i="37" s="1"/>
  <c r="D22" i="37"/>
  <c r="L22" i="37" s="1"/>
  <c r="D21" i="37"/>
  <c r="L21" i="37" s="1"/>
  <c r="L20" i="37"/>
  <c r="D19" i="37"/>
  <c r="L19" i="37" s="1"/>
  <c r="D18" i="37"/>
  <c r="L18" i="37" s="1"/>
  <c r="D17" i="37"/>
  <c r="L17" i="37" s="1"/>
  <c r="D16" i="37"/>
  <c r="L16" i="37" s="1"/>
  <c r="L15" i="37"/>
  <c r="D14" i="37"/>
  <c r="L14" i="37" s="1"/>
  <c r="D13" i="37"/>
  <c r="L13" i="37" s="1"/>
  <c r="D12" i="37"/>
  <c r="L12" i="37" s="1"/>
  <c r="L11" i="37"/>
  <c r="D10" i="37"/>
  <c r="L10" i="37" s="1"/>
  <c r="D9" i="37"/>
  <c r="D7" i="37"/>
  <c r="D57" i="36"/>
  <c r="D55" i="36"/>
  <c r="L55" i="36" s="1"/>
  <c r="L54" i="36"/>
  <c r="D53" i="36"/>
  <c r="L53" i="36" s="1"/>
  <c r="D52" i="36"/>
  <c r="L52" i="36" s="1"/>
  <c r="D51" i="36"/>
  <c r="L51" i="36" s="1"/>
  <c r="D50" i="36"/>
  <c r="L50" i="36" s="1"/>
  <c r="D49" i="36"/>
  <c r="L49" i="36" s="1"/>
  <c r="D48" i="36"/>
  <c r="L48" i="36" s="1"/>
  <c r="D47" i="36"/>
  <c r="L47" i="36" s="1"/>
  <c r="D46" i="36"/>
  <c r="L46" i="36" s="1"/>
  <c r="D45" i="36"/>
  <c r="L45" i="36" s="1"/>
  <c r="L44" i="36"/>
  <c r="D43" i="36"/>
  <c r="L43" i="36" s="1"/>
  <c r="D42" i="36"/>
  <c r="L42" i="36" s="1"/>
  <c r="D41" i="36"/>
  <c r="L41" i="36" s="1"/>
  <c r="D40" i="36"/>
  <c r="L40" i="36" s="1"/>
  <c r="D39" i="36"/>
  <c r="L39" i="36" s="1"/>
  <c r="D38" i="36"/>
  <c r="L38" i="36" s="1"/>
  <c r="D37" i="36"/>
  <c r="L37" i="36" s="1"/>
  <c r="D36" i="36"/>
  <c r="L36" i="36" s="1"/>
  <c r="L35" i="36"/>
  <c r="D34" i="36"/>
  <c r="L34" i="36" s="1"/>
  <c r="D33" i="36"/>
  <c r="L33" i="36" s="1"/>
  <c r="D32" i="36"/>
  <c r="L32" i="36" s="1"/>
  <c r="D31" i="36"/>
  <c r="L31" i="36" s="1"/>
  <c r="D30" i="36"/>
  <c r="L30" i="36" s="1"/>
  <c r="D29" i="36"/>
  <c r="L29" i="36" s="1"/>
  <c r="D28" i="36"/>
  <c r="L28" i="36" s="1"/>
  <c r="D27" i="36"/>
  <c r="L27" i="36" s="1"/>
  <c r="D26" i="36"/>
  <c r="L26" i="36" s="1"/>
  <c r="L25" i="36"/>
  <c r="D24" i="36"/>
  <c r="L24" i="36" s="1"/>
  <c r="D23" i="36"/>
  <c r="L23" i="36" s="1"/>
  <c r="D22" i="36"/>
  <c r="L22" i="36" s="1"/>
  <c r="D21" i="36"/>
  <c r="L21" i="36" s="1"/>
  <c r="D20" i="36"/>
  <c r="L20" i="36" s="1"/>
  <c r="D19" i="36"/>
  <c r="L19" i="36" s="1"/>
  <c r="D18" i="36"/>
  <c r="L18" i="36" s="1"/>
  <c r="D17" i="36"/>
  <c r="L17" i="36" s="1"/>
  <c r="L16" i="36"/>
  <c r="D15" i="36"/>
  <c r="L15" i="36" s="1"/>
  <c r="D14" i="36"/>
  <c r="L14" i="36" s="1"/>
  <c r="D13" i="36"/>
  <c r="L13" i="36" s="1"/>
  <c r="D12" i="36"/>
  <c r="L12" i="36" s="1"/>
  <c r="D11" i="36"/>
  <c r="L11" i="36" s="1"/>
  <c r="D10" i="36"/>
  <c r="L10" i="36" s="1"/>
  <c r="D9" i="36"/>
  <c r="D7" i="36"/>
  <c r="D57" i="35"/>
  <c r="D55" i="35"/>
  <c r="L55" i="35" s="1"/>
  <c r="L54" i="35"/>
  <c r="D53" i="35"/>
  <c r="L53" i="35" s="1"/>
  <c r="D52" i="35"/>
  <c r="L52" i="35" s="1"/>
  <c r="L51" i="35"/>
  <c r="D50" i="35"/>
  <c r="L50" i="35" s="1"/>
  <c r="D49" i="35"/>
  <c r="L49" i="35" s="1"/>
  <c r="L48" i="35"/>
  <c r="D47" i="35"/>
  <c r="L47" i="35" s="1"/>
  <c r="D46" i="35"/>
  <c r="L46" i="35" s="1"/>
  <c r="L45" i="35"/>
  <c r="D44" i="35"/>
  <c r="L44" i="35" s="1"/>
  <c r="D43" i="35"/>
  <c r="L43" i="35" s="1"/>
  <c r="L42" i="35"/>
  <c r="D41" i="35"/>
  <c r="L41" i="35" s="1"/>
  <c r="D40" i="35"/>
  <c r="L40" i="35" s="1"/>
  <c r="L39" i="35"/>
  <c r="D38" i="35"/>
  <c r="L38" i="35" s="1"/>
  <c r="D37" i="35"/>
  <c r="L37" i="35" s="1"/>
  <c r="L36" i="35"/>
  <c r="D35" i="35"/>
  <c r="L35" i="35" s="1"/>
  <c r="D34" i="35"/>
  <c r="L34" i="35" s="1"/>
  <c r="L33" i="35"/>
  <c r="D32" i="35"/>
  <c r="L32" i="35" s="1"/>
  <c r="D31" i="35"/>
  <c r="L31" i="35" s="1"/>
  <c r="L30" i="35"/>
  <c r="D29" i="35"/>
  <c r="L29" i="35" s="1"/>
  <c r="D28" i="35"/>
  <c r="L28" i="35" s="1"/>
  <c r="L27" i="35"/>
  <c r="D26" i="35"/>
  <c r="L26" i="35" s="1"/>
  <c r="D25" i="35"/>
  <c r="L25" i="35" s="1"/>
  <c r="L24" i="35"/>
  <c r="D23" i="35"/>
  <c r="L23" i="35" s="1"/>
  <c r="D22" i="35"/>
  <c r="L22" i="35" s="1"/>
  <c r="D21" i="35"/>
  <c r="L21" i="35" s="1"/>
  <c r="L20" i="35"/>
  <c r="D19" i="35"/>
  <c r="L19" i="35" s="1"/>
  <c r="D18" i="35"/>
  <c r="L18" i="35" s="1"/>
  <c r="L17" i="35"/>
  <c r="D16" i="35"/>
  <c r="L16" i="35" s="1"/>
  <c r="D15" i="35"/>
  <c r="L15" i="35" s="1"/>
  <c r="L14" i="35"/>
  <c r="D13" i="35"/>
  <c r="L13" i="35" s="1"/>
  <c r="D12" i="35"/>
  <c r="L12" i="35" s="1"/>
  <c r="L11" i="35"/>
  <c r="D10" i="35"/>
  <c r="L10" i="35" s="1"/>
  <c r="D9" i="35"/>
  <c r="D7" i="35"/>
  <c r="D57" i="34"/>
  <c r="L55" i="34"/>
  <c r="D54" i="34"/>
  <c r="L54" i="34" s="1"/>
  <c r="D53" i="34"/>
  <c r="L53" i="34" s="1"/>
  <c r="D52" i="34"/>
  <c r="L52" i="34" s="1"/>
  <c r="L51" i="34"/>
  <c r="D50" i="34"/>
  <c r="L50" i="34" s="1"/>
  <c r="D49" i="34"/>
  <c r="L49" i="34" s="1"/>
  <c r="D48" i="34"/>
  <c r="L48" i="34" s="1"/>
  <c r="D47" i="34"/>
  <c r="L47" i="34" s="1"/>
  <c r="L46" i="34"/>
  <c r="D45" i="34"/>
  <c r="L45" i="34" s="1"/>
  <c r="D44" i="34"/>
  <c r="L44" i="34" s="1"/>
  <c r="D43" i="34"/>
  <c r="L43" i="34" s="1"/>
  <c r="L42" i="34"/>
  <c r="D41" i="34"/>
  <c r="L41" i="34" s="1"/>
  <c r="D40" i="34"/>
  <c r="L40" i="34" s="1"/>
  <c r="D39" i="34"/>
  <c r="L39" i="34" s="1"/>
  <c r="D38" i="34"/>
  <c r="L38" i="34" s="1"/>
  <c r="L37" i="34"/>
  <c r="D36" i="34"/>
  <c r="L36" i="34" s="1"/>
  <c r="D35" i="34"/>
  <c r="L35" i="34" s="1"/>
  <c r="D34" i="34"/>
  <c r="L34" i="34" s="1"/>
  <c r="L33" i="34"/>
  <c r="D32" i="34"/>
  <c r="L32" i="34" s="1"/>
  <c r="D31" i="34"/>
  <c r="L31" i="34" s="1"/>
  <c r="D30" i="34"/>
  <c r="L30" i="34" s="1"/>
  <c r="D29" i="34"/>
  <c r="L29" i="34" s="1"/>
  <c r="L28" i="34"/>
  <c r="D27" i="34"/>
  <c r="L27" i="34" s="1"/>
  <c r="D26" i="34"/>
  <c r="L26" i="34" s="1"/>
  <c r="D25" i="34"/>
  <c r="L25" i="34" s="1"/>
  <c r="L24" i="34"/>
  <c r="D23" i="34"/>
  <c r="L23" i="34" s="1"/>
  <c r="D22" i="34"/>
  <c r="L22" i="34" s="1"/>
  <c r="D21" i="34"/>
  <c r="L21" i="34" s="1"/>
  <c r="D20" i="34"/>
  <c r="L20" i="34" s="1"/>
  <c r="L19" i="34"/>
  <c r="D18" i="34"/>
  <c r="L18" i="34" s="1"/>
  <c r="D17" i="34"/>
  <c r="L17" i="34" s="1"/>
  <c r="D16" i="34"/>
  <c r="D14" i="34"/>
  <c r="L14" i="34" s="1"/>
  <c r="D13" i="34"/>
  <c r="L13" i="34" s="1"/>
  <c r="D12" i="34"/>
  <c r="L12" i="34" s="1"/>
  <c r="D11" i="34"/>
  <c r="L11" i="34" s="1"/>
  <c r="L10" i="34"/>
  <c r="D9" i="34"/>
  <c r="D7" i="34"/>
  <c r="D57" i="33"/>
  <c r="D55" i="33"/>
  <c r="L55" i="33" s="1"/>
  <c r="L54" i="33"/>
  <c r="D53" i="33"/>
  <c r="L53" i="33" s="1"/>
  <c r="D52" i="33"/>
  <c r="L52" i="33" s="1"/>
  <c r="D51" i="33"/>
  <c r="L51" i="33" s="1"/>
  <c r="L50" i="33"/>
  <c r="D49" i="33"/>
  <c r="L49" i="33" s="1"/>
  <c r="D48" i="33"/>
  <c r="L48" i="33" s="1"/>
  <c r="L47" i="33"/>
  <c r="D46" i="33"/>
  <c r="L46" i="33" s="1"/>
  <c r="D45" i="33"/>
  <c r="L45" i="33" s="1"/>
  <c r="D44" i="33"/>
  <c r="L44" i="33" s="1"/>
  <c r="L43" i="33"/>
  <c r="D42" i="33"/>
  <c r="L42" i="33" s="1"/>
  <c r="D41" i="33"/>
  <c r="L41" i="33" s="1"/>
  <c r="D40" i="33"/>
  <c r="L40" i="33" s="1"/>
  <c r="L39" i="33"/>
  <c r="D38" i="33"/>
  <c r="L38" i="33" s="1"/>
  <c r="D37" i="33"/>
  <c r="L37" i="33" s="1"/>
  <c r="D36" i="33"/>
  <c r="L36" i="33" s="1"/>
  <c r="L35" i="33"/>
  <c r="D34" i="33"/>
  <c r="L34" i="33" s="1"/>
  <c r="D33" i="33"/>
  <c r="L33" i="33" s="1"/>
  <c r="D32" i="33"/>
  <c r="L32" i="33" s="1"/>
  <c r="L31" i="33"/>
  <c r="D30" i="33"/>
  <c r="L30" i="33" s="1"/>
  <c r="D29" i="33"/>
  <c r="L29" i="33" s="1"/>
  <c r="D28" i="33"/>
  <c r="L28" i="33" s="1"/>
  <c r="L27" i="33"/>
  <c r="D26" i="33"/>
  <c r="L26" i="33" s="1"/>
  <c r="D25" i="33"/>
  <c r="L25" i="33" s="1"/>
  <c r="D24" i="33"/>
  <c r="L24" i="33" s="1"/>
  <c r="L23" i="33"/>
  <c r="D22" i="33"/>
  <c r="L22" i="33" s="1"/>
  <c r="D21" i="33"/>
  <c r="L21" i="33" s="1"/>
  <c r="L20" i="33"/>
  <c r="D19" i="33"/>
  <c r="L19" i="33" s="1"/>
  <c r="D18" i="33"/>
  <c r="L18" i="33" s="1"/>
  <c r="D17" i="33"/>
  <c r="L17" i="33" s="1"/>
  <c r="L16" i="33"/>
  <c r="D15" i="33"/>
  <c r="L15" i="33" s="1"/>
  <c r="D14" i="33"/>
  <c r="L14" i="33" s="1"/>
  <c r="D13" i="33"/>
  <c r="L13" i="33" s="1"/>
  <c r="L12" i="33"/>
  <c r="D11" i="33"/>
  <c r="L11" i="33" s="1"/>
  <c r="D10" i="33"/>
  <c r="L10" i="33" s="1"/>
  <c r="D9" i="33"/>
  <c r="D7" i="33"/>
  <c r="D57" i="32"/>
  <c r="D55" i="32"/>
  <c r="L55" i="32" s="1"/>
  <c r="L54" i="32"/>
  <c r="D53" i="32"/>
  <c r="L53" i="32" s="1"/>
  <c r="D52" i="32"/>
  <c r="L52" i="32" s="1"/>
  <c r="L51" i="32"/>
  <c r="D50" i="32"/>
  <c r="L50" i="32" s="1"/>
  <c r="D49" i="32"/>
  <c r="L49" i="32" s="1"/>
  <c r="L48" i="32"/>
  <c r="D47" i="32"/>
  <c r="L47" i="32" s="1"/>
  <c r="D46" i="32"/>
  <c r="L46" i="32" s="1"/>
  <c r="D45" i="32"/>
  <c r="L45" i="32" s="1"/>
  <c r="L44" i="32"/>
  <c r="D43" i="32"/>
  <c r="L43" i="32" s="1"/>
  <c r="D42" i="32"/>
  <c r="L42" i="32" s="1"/>
  <c r="L41" i="32"/>
  <c r="D40" i="32"/>
  <c r="L40" i="32" s="1"/>
  <c r="D39" i="32"/>
  <c r="L39" i="32" s="1"/>
  <c r="L38" i="32"/>
  <c r="D37" i="32"/>
  <c r="L37" i="32" s="1"/>
  <c r="D36" i="32"/>
  <c r="L36" i="32" s="1"/>
  <c r="L35" i="32"/>
  <c r="D34" i="32"/>
  <c r="L34" i="32" s="1"/>
  <c r="D33" i="32"/>
  <c r="L33" i="32" s="1"/>
  <c r="L32" i="32"/>
  <c r="D31" i="32"/>
  <c r="L31" i="32" s="1"/>
  <c r="D30" i="32"/>
  <c r="L30" i="32" s="1"/>
  <c r="L29" i="32"/>
  <c r="D28" i="32"/>
  <c r="L28" i="32" s="1"/>
  <c r="D27" i="32"/>
  <c r="L27" i="32" s="1"/>
  <c r="D26" i="32"/>
  <c r="L26" i="32" s="1"/>
  <c r="L25" i="32"/>
  <c r="D24" i="32"/>
  <c r="L24" i="32" s="1"/>
  <c r="D23" i="32"/>
  <c r="L23" i="32" s="1"/>
  <c r="L22" i="32"/>
  <c r="D21" i="32"/>
  <c r="L21" i="32" s="1"/>
  <c r="D20" i="32"/>
  <c r="L20" i="32" s="1"/>
  <c r="L19" i="32"/>
  <c r="D18" i="32"/>
  <c r="L18" i="32" s="1"/>
  <c r="D17" i="32"/>
  <c r="L17" i="32" s="1"/>
  <c r="L16" i="32"/>
  <c r="D15" i="32"/>
  <c r="L15" i="32" s="1"/>
  <c r="D14" i="32"/>
  <c r="L14" i="32" s="1"/>
  <c r="L13" i="32"/>
  <c r="D12" i="32"/>
  <c r="L12" i="32" s="1"/>
  <c r="D11" i="32"/>
  <c r="L11" i="32" s="1"/>
  <c r="L10" i="32"/>
  <c r="D9" i="32"/>
  <c r="D7" i="32"/>
  <c r="D57" i="31"/>
  <c r="D55" i="31"/>
  <c r="L55" i="31" s="1"/>
  <c r="D54" i="31"/>
  <c r="L54" i="31" s="1"/>
  <c r="L53" i="31"/>
  <c r="D52" i="31"/>
  <c r="L52" i="31" s="1"/>
  <c r="D51" i="31"/>
  <c r="L51" i="31" s="1"/>
  <c r="D50" i="31"/>
  <c r="L50" i="31" s="1"/>
  <c r="L49" i="31"/>
  <c r="D48" i="31"/>
  <c r="L48" i="31" s="1"/>
  <c r="D47" i="31"/>
  <c r="L47" i="31" s="1"/>
  <c r="L46" i="31"/>
  <c r="D45" i="31"/>
  <c r="L45" i="31" s="1"/>
  <c r="D44" i="31"/>
  <c r="L44" i="31" s="1"/>
  <c r="L43" i="31"/>
  <c r="D42" i="31"/>
  <c r="L42" i="31" s="1"/>
  <c r="D41" i="31"/>
  <c r="L41" i="31" s="1"/>
  <c r="D40" i="31"/>
  <c r="L40" i="31" s="1"/>
  <c r="L39" i="31"/>
  <c r="D38" i="31"/>
  <c r="L38" i="31" s="1"/>
  <c r="D37" i="31"/>
  <c r="L37" i="31" s="1"/>
  <c r="L36" i="31"/>
  <c r="D35" i="31"/>
  <c r="L35" i="31" s="1"/>
  <c r="D34" i="31"/>
  <c r="L34" i="31" s="1"/>
  <c r="L33" i="31"/>
  <c r="D32" i="31"/>
  <c r="L32" i="31" s="1"/>
  <c r="D31" i="31"/>
  <c r="L31" i="31" s="1"/>
  <c r="D30" i="31"/>
  <c r="L30" i="31" s="1"/>
  <c r="L29" i="31"/>
  <c r="D28" i="31"/>
  <c r="L28" i="31" s="1"/>
  <c r="D27" i="31"/>
  <c r="L27" i="31" s="1"/>
  <c r="L26" i="31"/>
  <c r="D25" i="31"/>
  <c r="L25" i="31" s="1"/>
  <c r="D24" i="31"/>
  <c r="L24" i="31" s="1"/>
  <c r="L23" i="31"/>
  <c r="D22" i="31"/>
  <c r="L22" i="31" s="1"/>
  <c r="D21" i="31"/>
  <c r="L21" i="31" s="1"/>
  <c r="D20" i="31"/>
  <c r="L20" i="31" s="1"/>
  <c r="L19" i="31"/>
  <c r="D18" i="31"/>
  <c r="L18" i="31" s="1"/>
  <c r="D17" i="31"/>
  <c r="L17" i="31" s="1"/>
  <c r="L16" i="31"/>
  <c r="D15" i="31"/>
  <c r="L15" i="31" s="1"/>
  <c r="D14" i="31"/>
  <c r="L14" i="31" s="1"/>
  <c r="L13" i="31"/>
  <c r="D12" i="31"/>
  <c r="L12" i="31" s="1"/>
  <c r="D11" i="31"/>
  <c r="L11" i="31" s="1"/>
  <c r="L10" i="31"/>
  <c r="D9" i="31"/>
  <c r="D7" i="31"/>
  <c r="D57" i="30"/>
  <c r="D55" i="30"/>
  <c r="L55" i="30" s="1"/>
  <c r="L54" i="30"/>
  <c r="D53" i="30"/>
  <c r="L53" i="30" s="1"/>
  <c r="D52" i="30"/>
  <c r="L52" i="30" s="1"/>
  <c r="L51" i="30"/>
  <c r="D50" i="30"/>
  <c r="L50" i="30" s="1"/>
  <c r="D49" i="30"/>
  <c r="L49" i="30" s="1"/>
  <c r="L48" i="30"/>
  <c r="D47" i="30"/>
  <c r="L47" i="30" s="1"/>
  <c r="D46" i="30"/>
  <c r="L46" i="30" s="1"/>
  <c r="L45" i="30"/>
  <c r="D44" i="30"/>
  <c r="L44" i="30" s="1"/>
  <c r="D43" i="30"/>
  <c r="L43" i="30" s="1"/>
  <c r="L42" i="30"/>
  <c r="D41" i="30"/>
  <c r="L41" i="30" s="1"/>
  <c r="D40" i="30"/>
  <c r="L40" i="30" s="1"/>
  <c r="L39" i="30"/>
  <c r="D38" i="30"/>
  <c r="L38" i="30" s="1"/>
  <c r="D37" i="30"/>
  <c r="L37" i="30" s="1"/>
  <c r="L36" i="30"/>
  <c r="D35" i="30"/>
  <c r="L35" i="30" s="1"/>
  <c r="D34" i="30"/>
  <c r="L34" i="30" s="1"/>
  <c r="L33" i="30"/>
  <c r="D32" i="30"/>
  <c r="L32" i="30" s="1"/>
  <c r="D31" i="30"/>
  <c r="L31" i="30" s="1"/>
  <c r="L30" i="30"/>
  <c r="D29" i="30"/>
  <c r="L29" i="30" s="1"/>
  <c r="D28" i="30"/>
  <c r="L28" i="30" s="1"/>
  <c r="L27" i="30"/>
  <c r="D26" i="30"/>
  <c r="L26" i="30" s="1"/>
  <c r="D25" i="30"/>
  <c r="L25" i="30" s="1"/>
  <c r="D24" i="30"/>
  <c r="L24" i="30" s="1"/>
  <c r="L23" i="30"/>
  <c r="D22" i="30"/>
  <c r="L22" i="30" s="1"/>
  <c r="D21" i="30"/>
  <c r="L21" i="30" s="1"/>
  <c r="L20" i="30"/>
  <c r="D19" i="30"/>
  <c r="L19" i="30" s="1"/>
  <c r="D18" i="30"/>
  <c r="L18" i="30" s="1"/>
  <c r="L17" i="30"/>
  <c r="D16" i="30"/>
  <c r="L16" i="30" s="1"/>
  <c r="D15" i="30"/>
  <c r="L15" i="30" s="1"/>
  <c r="L14" i="30"/>
  <c r="D13" i="30"/>
  <c r="L13" i="30" s="1"/>
  <c r="D12" i="30"/>
  <c r="L12" i="30" s="1"/>
  <c r="L11" i="30"/>
  <c r="D10" i="30"/>
  <c r="L10" i="30" s="1"/>
  <c r="D9" i="30"/>
  <c r="D7" i="30"/>
  <c r="D57" i="29"/>
  <c r="L55" i="29"/>
  <c r="D54" i="29"/>
  <c r="L54" i="29" s="1"/>
  <c r="D53" i="29"/>
  <c r="L53" i="29" s="1"/>
  <c r="L52" i="29"/>
  <c r="D51" i="29"/>
  <c r="L51" i="29" s="1"/>
  <c r="D50" i="29"/>
  <c r="L50" i="29" s="1"/>
  <c r="L49" i="29"/>
  <c r="D48" i="29"/>
  <c r="L48" i="29" s="1"/>
  <c r="D47" i="29"/>
  <c r="L47" i="29" s="1"/>
  <c r="D46" i="29"/>
  <c r="L46" i="29" s="1"/>
  <c r="L45" i="29"/>
  <c r="D44" i="29"/>
  <c r="L44" i="29" s="1"/>
  <c r="D43" i="29"/>
  <c r="L43" i="29" s="1"/>
  <c r="L42" i="29"/>
  <c r="D41" i="29"/>
  <c r="L41" i="29" s="1"/>
  <c r="D40" i="29"/>
  <c r="L40" i="29" s="1"/>
  <c r="L39" i="29"/>
  <c r="D38" i="29"/>
  <c r="L38" i="29" s="1"/>
  <c r="D37" i="29"/>
  <c r="L37" i="29" s="1"/>
  <c r="L36" i="29"/>
  <c r="D35" i="29"/>
  <c r="L35" i="29" s="1"/>
  <c r="D34" i="29"/>
  <c r="L34" i="29" s="1"/>
  <c r="D33" i="29"/>
  <c r="L33" i="29" s="1"/>
  <c r="L32" i="29"/>
  <c r="D31" i="29"/>
  <c r="L31" i="29" s="1"/>
  <c r="D30" i="29"/>
  <c r="L30" i="29" s="1"/>
  <c r="L29" i="29"/>
  <c r="D28" i="29"/>
  <c r="L28" i="29" s="1"/>
  <c r="D27" i="29"/>
  <c r="L27" i="29" s="1"/>
  <c r="L26" i="29"/>
  <c r="D25" i="29"/>
  <c r="L25" i="29" s="1"/>
  <c r="D24" i="29"/>
  <c r="L24" i="29" s="1"/>
  <c r="L23" i="29"/>
  <c r="D22" i="29"/>
  <c r="L22" i="29" s="1"/>
  <c r="D21" i="29"/>
  <c r="L21" i="29" s="1"/>
  <c r="L20" i="29"/>
  <c r="D19" i="29"/>
  <c r="L19" i="29" s="1"/>
  <c r="D18" i="29"/>
  <c r="L18" i="29" s="1"/>
  <c r="D17" i="29"/>
  <c r="L17" i="29" s="1"/>
  <c r="L16" i="29"/>
  <c r="D15" i="29"/>
  <c r="L15" i="29" s="1"/>
  <c r="D14" i="29"/>
  <c r="L14" i="29" s="1"/>
  <c r="L13" i="29"/>
  <c r="D12" i="29"/>
  <c r="L12" i="29" s="1"/>
  <c r="D11" i="29"/>
  <c r="L11" i="29" s="1"/>
  <c r="L10" i="29"/>
  <c r="D9" i="29"/>
  <c r="D7" i="29"/>
  <c r="E57" i="28"/>
  <c r="E55" i="28"/>
  <c r="E54" i="28"/>
  <c r="E52" i="28"/>
  <c r="E51" i="28"/>
  <c r="E49" i="28"/>
  <c r="E48" i="28"/>
  <c r="E47" i="28"/>
  <c r="E45" i="28"/>
  <c r="E44" i="28"/>
  <c r="E42" i="28"/>
  <c r="E41" i="28"/>
  <c r="E40" i="28"/>
  <c r="E38" i="28"/>
  <c r="E37" i="28"/>
  <c r="E35" i="28"/>
  <c r="E34" i="28"/>
  <c r="E33" i="28"/>
  <c r="E31" i="28"/>
  <c r="E30" i="28"/>
  <c r="E29" i="28"/>
  <c r="E27" i="28"/>
  <c r="E26" i="28"/>
  <c r="E24" i="28"/>
  <c r="E23" i="28"/>
  <c r="E22" i="28"/>
  <c r="E20" i="28"/>
  <c r="E19" i="28"/>
  <c r="E17" i="28"/>
  <c r="E16" i="28"/>
  <c r="E15" i="28"/>
  <c r="E13" i="28"/>
  <c r="D12" i="28"/>
  <c r="L12" i="28" s="1"/>
  <c r="D11" i="28"/>
  <c r="L11" i="28" s="1"/>
  <c r="L10" i="28"/>
  <c r="D9" i="28"/>
  <c r="D7" i="28"/>
  <c r="D57" i="27"/>
  <c r="L55" i="27"/>
  <c r="D54" i="27"/>
  <c r="L54" i="27" s="1"/>
  <c r="D53" i="27"/>
  <c r="L53" i="27" s="1"/>
  <c r="D52" i="27"/>
  <c r="L52" i="27" s="1"/>
  <c r="L51" i="27"/>
  <c r="D50" i="27"/>
  <c r="L50" i="27" s="1"/>
  <c r="D49" i="27"/>
  <c r="L49" i="27" s="1"/>
  <c r="D48" i="27"/>
  <c r="L48" i="27" s="1"/>
  <c r="D47" i="27"/>
  <c r="L47" i="27" s="1"/>
  <c r="L46" i="27"/>
  <c r="D45" i="27"/>
  <c r="L45" i="27" s="1"/>
  <c r="D44" i="27"/>
  <c r="L44" i="27" s="1"/>
  <c r="D43" i="27"/>
  <c r="L43" i="27" s="1"/>
  <c r="D42" i="27"/>
  <c r="L42" i="27" s="1"/>
  <c r="L41" i="27"/>
  <c r="D40" i="27"/>
  <c r="L40" i="27" s="1"/>
  <c r="D39" i="27"/>
  <c r="L39" i="27" s="1"/>
  <c r="D38" i="27"/>
  <c r="L38" i="27" s="1"/>
  <c r="L37" i="27"/>
  <c r="D36" i="27"/>
  <c r="L36" i="27" s="1"/>
  <c r="D35" i="27"/>
  <c r="L35" i="27" s="1"/>
  <c r="D34" i="27"/>
  <c r="L34" i="27" s="1"/>
  <c r="D33" i="27"/>
  <c r="L33" i="27" s="1"/>
  <c r="L32" i="27"/>
  <c r="D31" i="27"/>
  <c r="L31" i="27" s="1"/>
  <c r="D30" i="27"/>
  <c r="L30" i="27" s="1"/>
  <c r="D29" i="27"/>
  <c r="L29" i="27" s="1"/>
  <c r="L28" i="27"/>
  <c r="D27" i="27"/>
  <c r="L27" i="27" s="1"/>
  <c r="D26" i="27"/>
  <c r="L26" i="27" s="1"/>
  <c r="D25" i="27"/>
  <c r="L25" i="27" s="1"/>
  <c r="D24" i="27"/>
  <c r="L24" i="27" s="1"/>
  <c r="L23" i="27"/>
  <c r="D22" i="27"/>
  <c r="L22" i="27" s="1"/>
  <c r="D21" i="27"/>
  <c r="L21" i="27" s="1"/>
  <c r="D20" i="27"/>
  <c r="L20" i="27" s="1"/>
  <c r="L19" i="27"/>
  <c r="D18" i="27"/>
  <c r="L18" i="27" s="1"/>
  <c r="D17" i="27"/>
  <c r="L17" i="27" s="1"/>
  <c r="D16" i="27"/>
  <c r="L16" i="27" s="1"/>
  <c r="D15" i="27"/>
  <c r="L15" i="27" s="1"/>
  <c r="L14" i="27"/>
  <c r="D13" i="27"/>
  <c r="L13" i="27" s="1"/>
  <c r="D12" i="27"/>
  <c r="L12" i="27" s="1"/>
  <c r="D11" i="27"/>
  <c r="L11" i="27" s="1"/>
  <c r="L10" i="27"/>
  <c r="D9" i="27"/>
  <c r="D7" i="27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7" i="27" l="1"/>
  <c r="H7" i="27" s="1"/>
  <c r="L7" i="27"/>
  <c r="G9" i="34"/>
  <c r="H9" i="34" s="1"/>
  <c r="L9" i="34"/>
  <c r="G9" i="27"/>
  <c r="H9" i="27" s="1"/>
  <c r="L9" i="27"/>
  <c r="G7" i="28"/>
  <c r="H7" i="28" s="1"/>
  <c r="L7" i="28"/>
  <c r="G9" i="28"/>
  <c r="H9" i="28" s="1"/>
  <c r="L9" i="28"/>
  <c r="G57" i="29"/>
  <c r="H57" i="29" s="1"/>
  <c r="L57" i="29"/>
  <c r="G9" i="32"/>
  <c r="H9" i="32" s="1"/>
  <c r="L9" i="32"/>
  <c r="G7" i="33"/>
  <c r="H7" i="33" s="1"/>
  <c r="L7" i="33"/>
  <c r="G57" i="33"/>
  <c r="H57" i="33" s="1"/>
  <c r="L57" i="33"/>
  <c r="G16" i="34"/>
  <c r="H16" i="34" s="1"/>
  <c r="L16" i="34"/>
  <c r="G57" i="34"/>
  <c r="H57" i="34" s="1"/>
  <c r="L57" i="34"/>
  <c r="G9" i="37"/>
  <c r="H9" i="37" s="1"/>
  <c r="L9" i="37"/>
  <c r="G7" i="38"/>
  <c r="H7" i="38" s="1"/>
  <c r="L7" i="38"/>
  <c r="G57" i="38"/>
  <c r="H57" i="38" s="1"/>
  <c r="L57" i="38"/>
  <c r="G9" i="41"/>
  <c r="H9" i="41" s="1"/>
  <c r="L9" i="41"/>
  <c r="G57" i="31"/>
  <c r="H57" i="31" s="1"/>
  <c r="L57" i="31"/>
  <c r="G7" i="29"/>
  <c r="H7" i="29" s="1"/>
  <c r="L7" i="29"/>
  <c r="G9" i="29"/>
  <c r="H9" i="29" s="1"/>
  <c r="L9" i="29"/>
  <c r="G7" i="30"/>
  <c r="H7" i="30" s="1"/>
  <c r="L7" i="30"/>
  <c r="G57" i="30"/>
  <c r="H57" i="30" s="1"/>
  <c r="L57" i="30"/>
  <c r="G9" i="33"/>
  <c r="H9" i="33" s="1"/>
  <c r="L9" i="33"/>
  <c r="G7" i="34"/>
  <c r="H7" i="34" s="1"/>
  <c r="L7" i="34"/>
  <c r="G7" i="35"/>
  <c r="H7" i="35" s="1"/>
  <c r="L7" i="35"/>
  <c r="G57" i="35"/>
  <c r="H57" i="35" s="1"/>
  <c r="L57" i="35"/>
  <c r="G9" i="38"/>
  <c r="H9" i="38" s="1"/>
  <c r="L9" i="38"/>
  <c r="G7" i="39"/>
  <c r="H7" i="39" s="1"/>
  <c r="L7" i="39"/>
  <c r="G57" i="39"/>
  <c r="H57" i="39" s="1"/>
  <c r="L57" i="39"/>
  <c r="G7" i="31"/>
  <c r="H7" i="31" s="1"/>
  <c r="L7" i="31"/>
  <c r="G9" i="35"/>
  <c r="H9" i="35" s="1"/>
  <c r="L9" i="35"/>
  <c r="G7" i="36"/>
  <c r="H7" i="36" s="1"/>
  <c r="L7" i="36"/>
  <c r="G57" i="36"/>
  <c r="H57" i="36" s="1"/>
  <c r="L57" i="36"/>
  <c r="G9" i="39"/>
  <c r="H9" i="39" s="1"/>
  <c r="L9" i="39"/>
  <c r="G7" i="40"/>
  <c r="H7" i="40" s="1"/>
  <c r="L7" i="40"/>
  <c r="G57" i="40"/>
  <c r="H57" i="40" s="1"/>
  <c r="L57" i="40"/>
  <c r="G57" i="27"/>
  <c r="H57" i="27" s="1"/>
  <c r="L57" i="27"/>
  <c r="G9" i="30"/>
  <c r="H9" i="30" s="1"/>
  <c r="L9" i="30"/>
  <c r="G9" i="31"/>
  <c r="H9" i="31" s="1"/>
  <c r="L9" i="31"/>
  <c r="G7" i="32"/>
  <c r="H7" i="32" s="1"/>
  <c r="L7" i="32"/>
  <c r="G57" i="32"/>
  <c r="H57" i="32" s="1"/>
  <c r="L57" i="32"/>
  <c r="G9" i="36"/>
  <c r="H9" i="36" s="1"/>
  <c r="L9" i="36"/>
  <c r="G7" i="37"/>
  <c r="H7" i="37" s="1"/>
  <c r="L7" i="37"/>
  <c r="G57" i="37"/>
  <c r="H57" i="37" s="1"/>
  <c r="L57" i="37"/>
  <c r="G9" i="40"/>
  <c r="H9" i="40" s="1"/>
  <c r="L9" i="40"/>
  <c r="G7" i="41"/>
  <c r="H7" i="41" s="1"/>
  <c r="L7" i="41"/>
  <c r="G57" i="41"/>
  <c r="H57" i="41" s="1"/>
  <c r="L57" i="41"/>
  <c r="G14" i="36"/>
  <c r="H14" i="36" s="1"/>
  <c r="G18" i="27"/>
  <c r="H18" i="27" s="1"/>
  <c r="G22" i="27"/>
  <c r="H22" i="27" s="1"/>
  <c r="G26" i="27"/>
  <c r="H26" i="27" s="1"/>
  <c r="G30" i="27"/>
  <c r="H30" i="27" s="1"/>
  <c r="G34" i="27"/>
  <c r="H34" i="27" s="1"/>
  <c r="G38" i="27"/>
  <c r="H38" i="27" s="1"/>
  <c r="G42" i="27"/>
  <c r="H42" i="27" s="1"/>
  <c r="G54" i="27"/>
  <c r="H54" i="27" s="1"/>
  <c r="G12" i="29"/>
  <c r="H12" i="29" s="1"/>
  <c r="G28" i="29"/>
  <c r="H28" i="29" s="1"/>
  <c r="G44" i="29"/>
  <c r="H44" i="29" s="1"/>
  <c r="G19" i="30"/>
  <c r="H19" i="30" s="1"/>
  <c r="G35" i="30"/>
  <c r="H35" i="30" s="1"/>
  <c r="G43" i="30"/>
  <c r="H43" i="30" s="1"/>
  <c r="G14" i="31"/>
  <c r="H14" i="31" s="1"/>
  <c r="G22" i="31"/>
  <c r="H22" i="31" s="1"/>
  <c r="G30" i="31"/>
  <c r="H30" i="31" s="1"/>
  <c r="G38" i="31"/>
  <c r="H38" i="31" s="1"/>
  <c r="G54" i="31"/>
  <c r="H54" i="31" s="1"/>
  <c r="G21" i="32"/>
  <c r="H21" i="32" s="1"/>
  <c r="G37" i="32"/>
  <c r="H37" i="32" s="1"/>
  <c r="G45" i="32"/>
  <c r="H45" i="32" s="1"/>
  <c r="G53" i="32"/>
  <c r="H53" i="32" s="1"/>
  <c r="G28" i="33"/>
  <c r="H28" i="33" s="1"/>
  <c r="G36" i="33"/>
  <c r="H36" i="33" s="1"/>
  <c r="G44" i="33"/>
  <c r="H44" i="33" s="1"/>
  <c r="G32" i="34"/>
  <c r="H32" i="34" s="1"/>
  <c r="G40" i="34"/>
  <c r="H40" i="34" s="1"/>
  <c r="G15" i="35"/>
  <c r="H15" i="35" s="1"/>
  <c r="G23" i="35"/>
  <c r="H23" i="35" s="1"/>
  <c r="G35" i="35"/>
  <c r="H35" i="35" s="1"/>
  <c r="G18" i="36"/>
  <c r="H18" i="36" s="1"/>
  <c r="G50" i="27"/>
  <c r="H50" i="27" s="1"/>
  <c r="G24" i="29"/>
  <c r="H24" i="29" s="1"/>
  <c r="G40" i="29"/>
  <c r="H40" i="29" s="1"/>
  <c r="G48" i="29"/>
  <c r="H48" i="29" s="1"/>
  <c r="G15" i="30"/>
  <c r="H15" i="30" s="1"/>
  <c r="G31" i="30"/>
  <c r="H31" i="30" s="1"/>
  <c r="G47" i="30"/>
  <c r="H47" i="30" s="1"/>
  <c r="G55" i="30"/>
  <c r="H55" i="30" s="1"/>
  <c r="G18" i="31"/>
  <c r="H18" i="31" s="1"/>
  <c r="G34" i="31"/>
  <c r="H34" i="31" s="1"/>
  <c r="G42" i="31"/>
  <c r="H42" i="31" s="1"/>
  <c r="G50" i="31"/>
  <c r="H50" i="31" s="1"/>
  <c r="G17" i="32"/>
  <c r="H17" i="32" s="1"/>
  <c r="G33" i="32"/>
  <c r="H33" i="32" s="1"/>
  <c r="G49" i="32"/>
  <c r="H49" i="32" s="1"/>
  <c r="G24" i="33"/>
  <c r="H24" i="33" s="1"/>
  <c r="G32" i="33"/>
  <c r="H32" i="33" s="1"/>
  <c r="G40" i="33"/>
  <c r="H40" i="33" s="1"/>
  <c r="G48" i="33"/>
  <c r="H48" i="33" s="1"/>
  <c r="G52" i="33"/>
  <c r="H52" i="33" s="1"/>
  <c r="G11" i="34"/>
  <c r="H11" i="34" s="1"/>
  <c r="G20" i="34"/>
  <c r="H20" i="34" s="1"/>
  <c r="G36" i="34"/>
  <c r="H36" i="34" s="1"/>
  <c r="G44" i="34"/>
  <c r="H44" i="34" s="1"/>
  <c r="G48" i="34"/>
  <c r="H48" i="34" s="1"/>
  <c r="G52" i="34"/>
  <c r="H52" i="34" s="1"/>
  <c r="G19" i="35"/>
  <c r="H19" i="35" s="1"/>
  <c r="G31" i="35"/>
  <c r="H31" i="35" s="1"/>
  <c r="G43" i="35"/>
  <c r="H43" i="35" s="1"/>
  <c r="G47" i="35"/>
  <c r="H47" i="35" s="1"/>
  <c r="G55" i="35"/>
  <c r="H55" i="35" s="1"/>
  <c r="G10" i="36"/>
  <c r="H10" i="36" s="1"/>
  <c r="G22" i="36"/>
  <c r="H22" i="36" s="1"/>
  <c r="G30" i="36"/>
  <c r="H30" i="36" s="1"/>
  <c r="G38" i="36"/>
  <c r="H38" i="36" s="1"/>
  <c r="G46" i="36"/>
  <c r="H46" i="36" s="1"/>
  <c r="G13" i="37"/>
  <c r="H13" i="37" s="1"/>
  <c r="G21" i="37"/>
  <c r="H21" i="37" s="1"/>
  <c r="G37" i="37"/>
  <c r="H37" i="37" s="1"/>
  <c r="G45" i="37"/>
  <c r="H45" i="37" s="1"/>
  <c r="G53" i="37"/>
  <c r="H53" i="37" s="1"/>
  <c r="G12" i="38"/>
  <c r="H12" i="38" s="1"/>
  <c r="G20" i="38"/>
  <c r="H20" i="38" s="1"/>
  <c r="G28" i="38"/>
  <c r="H28" i="38" s="1"/>
  <c r="G36" i="38"/>
  <c r="H36" i="38" s="1"/>
  <c r="G44" i="38"/>
  <c r="H44" i="38" s="1"/>
  <c r="G15" i="39"/>
  <c r="H15" i="39" s="1"/>
  <c r="G19" i="39"/>
  <c r="H19" i="39" s="1"/>
  <c r="G27" i="39"/>
  <c r="H27" i="39" s="1"/>
  <c r="G35" i="39"/>
  <c r="H35" i="39" s="1"/>
  <c r="G43" i="39"/>
  <c r="H43" i="39" s="1"/>
  <c r="G51" i="39"/>
  <c r="H51" i="39" s="1"/>
  <c r="G10" i="40"/>
  <c r="H10" i="40" s="1"/>
  <c r="G18" i="40"/>
  <c r="H18" i="40" s="1"/>
  <c r="G26" i="40"/>
  <c r="H26" i="40" s="1"/>
  <c r="G34" i="40"/>
  <c r="H34" i="40" s="1"/>
  <c r="G42" i="40"/>
  <c r="H42" i="40" s="1"/>
  <c r="G50" i="40"/>
  <c r="H50" i="40" s="1"/>
  <c r="G26" i="36"/>
  <c r="H26" i="36" s="1"/>
  <c r="G34" i="36"/>
  <c r="H34" i="36" s="1"/>
  <c r="G42" i="36"/>
  <c r="H42" i="36" s="1"/>
  <c r="G50" i="36"/>
  <c r="H50" i="36" s="1"/>
  <c r="G17" i="37"/>
  <c r="H17" i="37" s="1"/>
  <c r="G25" i="37"/>
  <c r="H25" i="37" s="1"/>
  <c r="G33" i="37"/>
  <c r="H33" i="37" s="1"/>
  <c r="G41" i="37"/>
  <c r="H41" i="37" s="1"/>
  <c r="G49" i="37"/>
  <c r="H49" i="37" s="1"/>
  <c r="G16" i="38"/>
  <c r="H16" i="38" s="1"/>
  <c r="G24" i="38"/>
  <c r="H24" i="38" s="1"/>
  <c r="G32" i="38"/>
  <c r="H32" i="38" s="1"/>
  <c r="G40" i="38"/>
  <c r="H40" i="38" s="1"/>
  <c r="G48" i="38"/>
  <c r="H48" i="38" s="1"/>
  <c r="G52" i="38"/>
  <c r="H52" i="38" s="1"/>
  <c r="G11" i="39"/>
  <c r="H11" i="39" s="1"/>
  <c r="G23" i="39"/>
  <c r="H23" i="39" s="1"/>
  <c r="G31" i="39"/>
  <c r="H31" i="39" s="1"/>
  <c r="G39" i="39"/>
  <c r="H39" i="39" s="1"/>
  <c r="G47" i="39"/>
  <c r="H47" i="39" s="1"/>
  <c r="G55" i="39"/>
  <c r="H55" i="39" s="1"/>
  <c r="G14" i="40"/>
  <c r="H14" i="40" s="1"/>
  <c r="G22" i="40"/>
  <c r="H22" i="40" s="1"/>
  <c r="G38" i="40"/>
  <c r="H38" i="40" s="1"/>
  <c r="G46" i="40"/>
  <c r="H46" i="40" s="1"/>
  <c r="G54" i="40"/>
  <c r="H54" i="40" s="1"/>
  <c r="G16" i="27"/>
  <c r="H16" i="27" s="1"/>
  <c r="G40" i="27"/>
  <c r="H40" i="27" s="1"/>
  <c r="G22" i="29"/>
  <c r="H22" i="29" s="1"/>
  <c r="G54" i="29"/>
  <c r="H54" i="29" s="1"/>
  <c r="G21" i="30"/>
  <c r="H21" i="30" s="1"/>
  <c r="G28" i="31"/>
  <c r="H28" i="31" s="1"/>
  <c r="G52" i="31"/>
  <c r="H52" i="31" s="1"/>
  <c r="G47" i="32"/>
  <c r="H47" i="32" s="1"/>
  <c r="G10" i="33"/>
  <c r="H10" i="33" s="1"/>
  <c r="G34" i="33"/>
  <c r="H34" i="33" s="1"/>
  <c r="G26" i="34"/>
  <c r="H26" i="34" s="1"/>
  <c r="G50" i="34"/>
  <c r="H50" i="34" s="1"/>
  <c r="G29" i="35"/>
  <c r="H29" i="35" s="1"/>
  <c r="G48" i="36"/>
  <c r="H48" i="36" s="1"/>
  <c r="G39" i="37"/>
  <c r="H39" i="37" s="1"/>
  <c r="G18" i="38"/>
  <c r="H18" i="38" s="1"/>
  <c r="G26" i="38"/>
  <c r="H26" i="38" s="1"/>
  <c r="G46" i="38"/>
  <c r="H46" i="38" s="1"/>
  <c r="G12" i="27"/>
  <c r="H12" i="27" s="1"/>
  <c r="G24" i="27"/>
  <c r="H24" i="27" s="1"/>
  <c r="G36" i="27"/>
  <c r="H36" i="27" s="1"/>
  <c r="G48" i="27"/>
  <c r="H48" i="27" s="1"/>
  <c r="G18" i="29"/>
  <c r="H18" i="29" s="1"/>
  <c r="G34" i="29"/>
  <c r="H34" i="29" s="1"/>
  <c r="G38" i="29"/>
  <c r="H38" i="29" s="1"/>
  <c r="G46" i="29"/>
  <c r="H46" i="29" s="1"/>
  <c r="G50" i="29"/>
  <c r="H50" i="29" s="1"/>
  <c r="G29" i="30"/>
  <c r="H29" i="30" s="1"/>
  <c r="G37" i="30"/>
  <c r="H37" i="30" s="1"/>
  <c r="G49" i="30"/>
  <c r="H49" i="30" s="1"/>
  <c r="G24" i="31"/>
  <c r="H24" i="31" s="1"/>
  <c r="G32" i="31"/>
  <c r="H32" i="31" s="1"/>
  <c r="G40" i="31"/>
  <c r="H40" i="31" s="1"/>
  <c r="G48" i="31"/>
  <c r="H48" i="31" s="1"/>
  <c r="G15" i="32"/>
  <c r="H15" i="32" s="1"/>
  <c r="G27" i="32"/>
  <c r="H27" i="32" s="1"/>
  <c r="G39" i="32"/>
  <c r="H39" i="32" s="1"/>
  <c r="G18" i="33"/>
  <c r="H18" i="33" s="1"/>
  <c r="G26" i="33"/>
  <c r="H26" i="33" s="1"/>
  <c r="G38" i="33"/>
  <c r="H38" i="33" s="1"/>
  <c r="G46" i="33"/>
  <c r="H46" i="33" s="1"/>
  <c r="G18" i="34"/>
  <c r="H18" i="34" s="1"/>
  <c r="G34" i="34"/>
  <c r="H34" i="34" s="1"/>
  <c r="G13" i="35"/>
  <c r="H13" i="35" s="1"/>
  <c r="G25" i="35"/>
  <c r="H25" i="35" s="1"/>
  <c r="G37" i="35"/>
  <c r="H37" i="35" s="1"/>
  <c r="G41" i="35"/>
  <c r="H41" i="35" s="1"/>
  <c r="G53" i="35"/>
  <c r="H53" i="35" s="1"/>
  <c r="G12" i="36"/>
  <c r="H12" i="36" s="1"/>
  <c r="G24" i="36"/>
  <c r="H24" i="36" s="1"/>
  <c r="G32" i="36"/>
  <c r="H32" i="36" s="1"/>
  <c r="G40" i="36"/>
  <c r="H40" i="36" s="1"/>
  <c r="G19" i="37"/>
  <c r="H19" i="37" s="1"/>
  <c r="G27" i="37"/>
  <c r="H27" i="37" s="1"/>
  <c r="G35" i="37"/>
  <c r="H35" i="37" s="1"/>
  <c r="G55" i="37"/>
  <c r="H55" i="37" s="1"/>
  <c r="G10" i="38"/>
  <c r="H10" i="38" s="1"/>
  <c r="G14" i="38"/>
  <c r="H14" i="38" s="1"/>
  <c r="G22" i="38"/>
  <c r="H22" i="38" s="1"/>
  <c r="G30" i="38"/>
  <c r="H30" i="38" s="1"/>
  <c r="G34" i="38"/>
  <c r="H34" i="38" s="1"/>
  <c r="G42" i="38"/>
  <c r="H42" i="38" s="1"/>
  <c r="G50" i="38"/>
  <c r="H50" i="38" s="1"/>
  <c r="G54" i="38"/>
  <c r="H54" i="38" s="1"/>
  <c r="G13" i="27"/>
  <c r="H13" i="27" s="1"/>
  <c r="G17" i="27"/>
  <c r="H17" i="27" s="1"/>
  <c r="G21" i="27"/>
  <c r="H21" i="27" s="1"/>
  <c r="G25" i="27"/>
  <c r="H25" i="27" s="1"/>
  <c r="G29" i="27"/>
  <c r="H29" i="27" s="1"/>
  <c r="G33" i="27"/>
  <c r="H33" i="27" s="1"/>
  <c r="G45" i="27"/>
  <c r="H45" i="27" s="1"/>
  <c r="G49" i="27"/>
  <c r="H49" i="27" s="1"/>
  <c r="G53" i="27"/>
  <c r="H53" i="27" s="1"/>
  <c r="G11" i="29"/>
  <c r="H11" i="29" s="1"/>
  <c r="G15" i="29"/>
  <c r="H15" i="29" s="1"/>
  <c r="G19" i="29"/>
  <c r="H19" i="29" s="1"/>
  <c r="G27" i="29"/>
  <c r="H27" i="29" s="1"/>
  <c r="G31" i="29"/>
  <c r="H31" i="29" s="1"/>
  <c r="G35" i="29"/>
  <c r="H35" i="29" s="1"/>
  <c r="G43" i="29"/>
  <c r="H43" i="29" s="1"/>
  <c r="G47" i="29"/>
  <c r="H47" i="29" s="1"/>
  <c r="G51" i="29"/>
  <c r="H51" i="29" s="1"/>
  <c r="G10" i="30"/>
  <c r="H10" i="30" s="1"/>
  <c r="G18" i="30"/>
  <c r="H18" i="30" s="1"/>
  <c r="G22" i="30"/>
  <c r="H22" i="30" s="1"/>
  <c r="G26" i="30"/>
  <c r="H26" i="30" s="1"/>
  <c r="G34" i="30"/>
  <c r="H34" i="30" s="1"/>
  <c r="G38" i="30"/>
  <c r="H38" i="30" s="1"/>
  <c r="G46" i="30"/>
  <c r="H46" i="30" s="1"/>
  <c r="G50" i="30"/>
  <c r="H50" i="30" s="1"/>
  <c r="G17" i="31"/>
  <c r="H17" i="31" s="1"/>
  <c r="G21" i="31"/>
  <c r="H21" i="31" s="1"/>
  <c r="G25" i="31"/>
  <c r="H25" i="31" s="1"/>
  <c r="G37" i="31"/>
  <c r="H37" i="31" s="1"/>
  <c r="G41" i="31"/>
  <c r="H41" i="31" s="1"/>
  <c r="G45" i="31"/>
  <c r="H45" i="31" s="1"/>
  <c r="G12" i="32"/>
  <c r="H12" i="32" s="1"/>
  <c r="G20" i="32"/>
  <c r="H20" i="32" s="1"/>
  <c r="G24" i="32"/>
  <c r="H24" i="32" s="1"/>
  <c r="G28" i="32"/>
  <c r="H28" i="32" s="1"/>
  <c r="G36" i="32"/>
  <c r="H36" i="32" s="1"/>
  <c r="G40" i="32"/>
  <c r="H40" i="32" s="1"/>
  <c r="G52" i="32"/>
  <c r="H52" i="32" s="1"/>
  <c r="G11" i="33"/>
  <c r="H11" i="33" s="1"/>
  <c r="G15" i="33"/>
  <c r="H15" i="33" s="1"/>
  <c r="G19" i="33"/>
  <c r="H19" i="33" s="1"/>
  <c r="G51" i="33"/>
  <c r="H51" i="33" s="1"/>
  <c r="G55" i="33"/>
  <c r="H55" i="33" s="1"/>
  <c r="G23" i="34"/>
  <c r="H23" i="34" s="1"/>
  <c r="G27" i="34"/>
  <c r="H27" i="34" s="1"/>
  <c r="G31" i="34"/>
  <c r="H31" i="34" s="1"/>
  <c r="G35" i="34"/>
  <c r="H35" i="34" s="1"/>
  <c r="G20" i="27"/>
  <c r="H20" i="27" s="1"/>
  <c r="G44" i="27"/>
  <c r="H44" i="27" s="1"/>
  <c r="G52" i="27"/>
  <c r="H52" i="27" s="1"/>
  <c r="G11" i="28"/>
  <c r="H11" i="28" s="1"/>
  <c r="G14" i="29"/>
  <c r="H14" i="29" s="1"/>
  <c r="G30" i="29"/>
  <c r="H30" i="29" s="1"/>
  <c r="G13" i="30"/>
  <c r="H13" i="30" s="1"/>
  <c r="G25" i="30"/>
  <c r="H25" i="30" s="1"/>
  <c r="G41" i="30"/>
  <c r="H41" i="30" s="1"/>
  <c r="G53" i="30"/>
  <c r="H53" i="30" s="1"/>
  <c r="G12" i="31"/>
  <c r="H12" i="31" s="1"/>
  <c r="G20" i="31"/>
  <c r="H20" i="31" s="1"/>
  <c r="G44" i="31"/>
  <c r="H44" i="31" s="1"/>
  <c r="G11" i="32"/>
  <c r="H11" i="32" s="1"/>
  <c r="G23" i="32"/>
  <c r="H23" i="32" s="1"/>
  <c r="G31" i="32"/>
  <c r="H31" i="32" s="1"/>
  <c r="G43" i="32"/>
  <c r="H43" i="32" s="1"/>
  <c r="G55" i="32"/>
  <c r="H55" i="32" s="1"/>
  <c r="G14" i="33"/>
  <c r="H14" i="33" s="1"/>
  <c r="G22" i="33"/>
  <c r="H22" i="33" s="1"/>
  <c r="G30" i="33"/>
  <c r="H30" i="33" s="1"/>
  <c r="G42" i="33"/>
  <c r="H42" i="33" s="1"/>
  <c r="G13" i="34"/>
  <c r="H13" i="34" s="1"/>
  <c r="G22" i="34"/>
  <c r="H22" i="34" s="1"/>
  <c r="G30" i="34"/>
  <c r="H30" i="34" s="1"/>
  <c r="G38" i="34"/>
  <c r="H38" i="34" s="1"/>
  <c r="G54" i="34"/>
  <c r="H54" i="34" s="1"/>
  <c r="G21" i="35"/>
  <c r="H21" i="35" s="1"/>
  <c r="G49" i="35"/>
  <c r="H49" i="35" s="1"/>
  <c r="G20" i="36"/>
  <c r="H20" i="36" s="1"/>
  <c r="G28" i="36"/>
  <c r="H28" i="36" s="1"/>
  <c r="G36" i="36"/>
  <c r="H36" i="36" s="1"/>
  <c r="G52" i="36"/>
  <c r="H52" i="36" s="1"/>
  <c r="G23" i="37"/>
  <c r="H23" i="37" s="1"/>
  <c r="G31" i="37"/>
  <c r="H31" i="37" s="1"/>
  <c r="G51" i="37"/>
  <c r="H51" i="37" s="1"/>
  <c r="G38" i="38"/>
  <c r="H38" i="38" s="1"/>
  <c r="G39" i="34"/>
  <c r="H39" i="34" s="1"/>
  <c r="G43" i="34"/>
  <c r="H43" i="34" s="1"/>
  <c r="G47" i="34"/>
  <c r="H47" i="34" s="1"/>
  <c r="G10" i="35"/>
  <c r="H10" i="35" s="1"/>
  <c r="G18" i="35"/>
  <c r="H18" i="35" s="1"/>
  <c r="G22" i="35"/>
  <c r="H22" i="35" s="1"/>
  <c r="G26" i="35"/>
  <c r="H26" i="35" s="1"/>
  <c r="G34" i="35"/>
  <c r="H34" i="35" s="1"/>
  <c r="G38" i="35"/>
  <c r="H38" i="35" s="1"/>
  <c r="G46" i="35"/>
  <c r="H46" i="35" s="1"/>
  <c r="G50" i="35"/>
  <c r="H50" i="35" s="1"/>
  <c r="G13" i="36"/>
  <c r="H13" i="36" s="1"/>
  <c r="G17" i="36"/>
  <c r="H17" i="36" s="1"/>
  <c r="G21" i="36"/>
  <c r="H21" i="36" s="1"/>
  <c r="G29" i="36"/>
  <c r="H29" i="36" s="1"/>
  <c r="G33" i="36"/>
  <c r="H33" i="36" s="1"/>
  <c r="G37" i="36"/>
  <c r="H37" i="36" s="1"/>
  <c r="G41" i="36"/>
  <c r="H41" i="36" s="1"/>
  <c r="G45" i="36"/>
  <c r="H45" i="36" s="1"/>
  <c r="G49" i="36"/>
  <c r="H49" i="36" s="1"/>
  <c r="G53" i="36"/>
  <c r="H53" i="36" s="1"/>
  <c r="G12" i="37"/>
  <c r="H12" i="37" s="1"/>
  <c r="G16" i="37"/>
  <c r="H16" i="37" s="1"/>
  <c r="G28" i="37"/>
  <c r="H28" i="37" s="1"/>
  <c r="G32" i="37"/>
  <c r="H32" i="37" s="1"/>
  <c r="G36" i="37"/>
  <c r="H36" i="37" s="1"/>
  <c r="G40" i="37"/>
  <c r="H40" i="37" s="1"/>
  <c r="G44" i="37"/>
  <c r="H44" i="37" s="1"/>
  <c r="G48" i="37"/>
  <c r="H48" i="37" s="1"/>
  <c r="G11" i="38"/>
  <c r="H11" i="38" s="1"/>
  <c r="G15" i="38"/>
  <c r="H15" i="38" s="1"/>
  <c r="G19" i="38"/>
  <c r="H19" i="38" s="1"/>
  <c r="G23" i="38"/>
  <c r="H23" i="38" s="1"/>
  <c r="G27" i="38"/>
  <c r="H27" i="38" s="1"/>
  <c r="G31" i="38"/>
  <c r="H31" i="38" s="1"/>
  <c r="G35" i="38"/>
  <c r="H35" i="38" s="1"/>
  <c r="G39" i="38"/>
  <c r="H39" i="38" s="1"/>
  <c r="G43" i="38"/>
  <c r="H43" i="38" s="1"/>
  <c r="G47" i="38"/>
  <c r="H47" i="38" s="1"/>
  <c r="G51" i="38"/>
  <c r="H51" i="38" s="1"/>
  <c r="G55" i="38"/>
  <c r="H55" i="38" s="1"/>
  <c r="G10" i="39"/>
  <c r="H10" i="39" s="1"/>
  <c r="G18" i="39"/>
  <c r="H18" i="39" s="1"/>
  <c r="G22" i="39"/>
  <c r="H22" i="39" s="1"/>
  <c r="G30" i="39"/>
  <c r="H30" i="39" s="1"/>
  <c r="G34" i="39"/>
  <c r="H34" i="39" s="1"/>
  <c r="G42" i="39"/>
  <c r="H42" i="39" s="1"/>
  <c r="G46" i="39"/>
  <c r="H46" i="39" s="1"/>
  <c r="G54" i="39"/>
  <c r="H54" i="39" s="1"/>
  <c r="G13" i="40"/>
  <c r="H13" i="40" s="1"/>
  <c r="G17" i="40"/>
  <c r="H17" i="40" s="1"/>
  <c r="G25" i="40"/>
  <c r="H25" i="40" s="1"/>
  <c r="G29" i="40"/>
  <c r="H29" i="40" s="1"/>
  <c r="G33" i="40"/>
  <c r="H33" i="40" s="1"/>
  <c r="G37" i="40"/>
  <c r="H37" i="40" s="1"/>
  <c r="G41" i="40"/>
  <c r="H41" i="40" s="1"/>
  <c r="G45" i="40"/>
  <c r="H45" i="40" s="1"/>
  <c r="G49" i="40"/>
  <c r="H49" i="40" s="1"/>
  <c r="G53" i="40"/>
  <c r="H53" i="40" s="1"/>
  <c r="G12" i="41"/>
  <c r="H12" i="41" s="1"/>
  <c r="G20" i="41"/>
  <c r="H20" i="41" s="1"/>
  <c r="G24" i="41"/>
  <c r="H24" i="41" s="1"/>
  <c r="G28" i="41"/>
  <c r="H28" i="41" s="1"/>
  <c r="G32" i="41"/>
  <c r="H32" i="41" s="1"/>
  <c r="G36" i="41"/>
  <c r="H36" i="41" s="1"/>
  <c r="G40" i="41"/>
  <c r="H40" i="41" s="1"/>
  <c r="G44" i="41"/>
  <c r="H44" i="41" s="1"/>
  <c r="G48" i="41"/>
  <c r="H48" i="41" s="1"/>
  <c r="G52" i="41"/>
  <c r="H52" i="41" s="1"/>
  <c r="G13" i="41"/>
  <c r="H13" i="41" s="1"/>
  <c r="G21" i="41"/>
  <c r="H21" i="41" s="1"/>
  <c r="G25" i="41"/>
  <c r="H25" i="41" s="1"/>
  <c r="G29" i="41"/>
  <c r="H29" i="41" s="1"/>
  <c r="G33" i="41"/>
  <c r="H33" i="41" s="1"/>
  <c r="G37" i="41"/>
  <c r="H37" i="41" s="1"/>
  <c r="G41" i="41"/>
  <c r="H41" i="41" s="1"/>
  <c r="G45" i="41"/>
  <c r="H45" i="41" s="1"/>
  <c r="G49" i="41"/>
  <c r="H49" i="41" s="1"/>
  <c r="G53" i="41"/>
  <c r="H53" i="41" s="1"/>
  <c r="G12" i="28"/>
  <c r="H12" i="28" s="1"/>
  <c r="G13" i="28"/>
  <c r="H13" i="28" s="1"/>
  <c r="G11" i="27"/>
  <c r="H11" i="27" s="1"/>
  <c r="G15" i="27"/>
  <c r="H15" i="27" s="1"/>
  <c r="G27" i="27"/>
  <c r="H27" i="27" s="1"/>
  <c r="G31" i="27"/>
  <c r="H31" i="27" s="1"/>
  <c r="G35" i="27"/>
  <c r="H35" i="27" s="1"/>
  <c r="G39" i="27"/>
  <c r="H39" i="27" s="1"/>
  <c r="G43" i="27"/>
  <c r="H43" i="27" s="1"/>
  <c r="G47" i="27"/>
  <c r="H47" i="27" s="1"/>
  <c r="G17" i="29"/>
  <c r="H17" i="29" s="1"/>
  <c r="G21" i="29"/>
  <c r="H21" i="29" s="1"/>
  <c r="G25" i="29"/>
  <c r="H25" i="29" s="1"/>
  <c r="G33" i="29"/>
  <c r="H33" i="29" s="1"/>
  <c r="G37" i="29"/>
  <c r="H37" i="29" s="1"/>
  <c r="G41" i="29"/>
  <c r="H41" i="29" s="1"/>
  <c r="G53" i="29"/>
  <c r="H53" i="29" s="1"/>
  <c r="G12" i="30"/>
  <c r="H12" i="30" s="1"/>
  <c r="G16" i="30"/>
  <c r="H16" i="30" s="1"/>
  <c r="G24" i="30"/>
  <c r="H24" i="30" s="1"/>
  <c r="G28" i="30"/>
  <c r="H28" i="30" s="1"/>
  <c r="G32" i="30"/>
  <c r="H32" i="30" s="1"/>
  <c r="G40" i="30"/>
  <c r="H40" i="30" s="1"/>
  <c r="G44" i="30"/>
  <c r="H44" i="30" s="1"/>
  <c r="G52" i="30"/>
  <c r="H52" i="30" s="1"/>
  <c r="G11" i="31"/>
  <c r="H11" i="31" s="1"/>
  <c r="G15" i="31"/>
  <c r="H15" i="31" s="1"/>
  <c r="G27" i="31"/>
  <c r="H27" i="31" s="1"/>
  <c r="G31" i="31"/>
  <c r="H31" i="31" s="1"/>
  <c r="G35" i="31"/>
  <c r="H35" i="31" s="1"/>
  <c r="G47" i="31"/>
  <c r="H47" i="31" s="1"/>
  <c r="G51" i="31"/>
  <c r="H51" i="31" s="1"/>
  <c r="G55" i="31"/>
  <c r="H55" i="31" s="1"/>
  <c r="G14" i="32"/>
  <c r="H14" i="32" s="1"/>
  <c r="G18" i="32"/>
  <c r="H18" i="32" s="1"/>
  <c r="G26" i="32"/>
  <c r="H26" i="32" s="1"/>
  <c r="G30" i="32"/>
  <c r="H30" i="32" s="1"/>
  <c r="G34" i="32"/>
  <c r="H34" i="32" s="1"/>
  <c r="G42" i="32"/>
  <c r="H42" i="32" s="1"/>
  <c r="G46" i="32"/>
  <c r="H46" i="32" s="1"/>
  <c r="G50" i="32"/>
  <c r="H50" i="32" s="1"/>
  <c r="G13" i="33"/>
  <c r="H13" i="33" s="1"/>
  <c r="G17" i="33"/>
  <c r="H17" i="33" s="1"/>
  <c r="G21" i="33"/>
  <c r="H21" i="33" s="1"/>
  <c r="G25" i="33"/>
  <c r="H25" i="33" s="1"/>
  <c r="G29" i="33"/>
  <c r="H29" i="33" s="1"/>
  <c r="G33" i="33"/>
  <c r="H33" i="33" s="1"/>
  <c r="G37" i="33"/>
  <c r="H37" i="33" s="1"/>
  <c r="G41" i="33"/>
  <c r="H41" i="33" s="1"/>
  <c r="G45" i="33"/>
  <c r="H45" i="33" s="1"/>
  <c r="G49" i="33"/>
  <c r="H49" i="33" s="1"/>
  <c r="G53" i="33"/>
  <c r="H53" i="33" s="1"/>
  <c r="G12" i="34"/>
  <c r="H12" i="34" s="1"/>
  <c r="G17" i="34"/>
  <c r="H17" i="34" s="1"/>
  <c r="G21" i="34"/>
  <c r="H21" i="34" s="1"/>
  <c r="G25" i="34"/>
  <c r="H25" i="34" s="1"/>
  <c r="G29" i="34"/>
  <c r="H29" i="34" s="1"/>
  <c r="G41" i="34"/>
  <c r="H41" i="34" s="1"/>
  <c r="G45" i="34"/>
  <c r="H45" i="34" s="1"/>
  <c r="G49" i="34"/>
  <c r="H49" i="34" s="1"/>
  <c r="G53" i="34"/>
  <c r="H53" i="34" s="1"/>
  <c r="G12" i="35"/>
  <c r="H12" i="35" s="1"/>
  <c r="G16" i="35"/>
  <c r="H16" i="35" s="1"/>
  <c r="G28" i="35"/>
  <c r="H28" i="35" s="1"/>
  <c r="G32" i="35"/>
  <c r="H32" i="35" s="1"/>
  <c r="G40" i="35"/>
  <c r="H40" i="35" s="1"/>
  <c r="G44" i="35"/>
  <c r="H44" i="35" s="1"/>
  <c r="G52" i="35"/>
  <c r="H52" i="35" s="1"/>
  <c r="G11" i="36"/>
  <c r="H11" i="36" s="1"/>
  <c r="G15" i="36"/>
  <c r="H15" i="36" s="1"/>
  <c r="G19" i="36"/>
  <c r="H19" i="36" s="1"/>
  <c r="G23" i="36"/>
  <c r="H23" i="36" s="1"/>
  <c r="G27" i="36"/>
  <c r="H27" i="36" s="1"/>
  <c r="G31" i="36"/>
  <c r="H31" i="36" s="1"/>
  <c r="G39" i="36"/>
  <c r="H39" i="36" s="1"/>
  <c r="G43" i="36"/>
  <c r="H43" i="36" s="1"/>
  <c r="G47" i="36"/>
  <c r="H47" i="36" s="1"/>
  <c r="G51" i="36"/>
  <c r="H51" i="36" s="1"/>
  <c r="G55" i="36"/>
  <c r="H55" i="36" s="1"/>
  <c r="G10" i="37"/>
  <c r="H10" i="37" s="1"/>
  <c r="G14" i="37"/>
  <c r="H14" i="37" s="1"/>
  <c r="G18" i="37"/>
  <c r="H18" i="37" s="1"/>
  <c r="G22" i="37"/>
  <c r="H22" i="37" s="1"/>
  <c r="G26" i="37"/>
  <c r="H26" i="37" s="1"/>
  <c r="G30" i="37"/>
  <c r="H30" i="37" s="1"/>
  <c r="G42" i="37"/>
  <c r="H42" i="37" s="1"/>
  <c r="G46" i="37"/>
  <c r="H46" i="37" s="1"/>
  <c r="G50" i="37"/>
  <c r="H50" i="37" s="1"/>
  <c r="G54" i="37"/>
  <c r="H54" i="37" s="1"/>
  <c r="G13" i="38"/>
  <c r="H13" i="38" s="1"/>
  <c r="G17" i="38"/>
  <c r="H17" i="38" s="1"/>
  <c r="G21" i="38"/>
  <c r="H21" i="38" s="1"/>
  <c r="G25" i="38"/>
  <c r="H25" i="38" s="1"/>
  <c r="G29" i="38"/>
  <c r="H29" i="38" s="1"/>
  <c r="G33" i="38"/>
  <c r="H33" i="38" s="1"/>
  <c r="G37" i="38"/>
  <c r="H37" i="38" s="1"/>
  <c r="G41" i="38"/>
  <c r="H41" i="38" s="1"/>
  <c r="G45" i="38"/>
  <c r="H45" i="38" s="1"/>
  <c r="G49" i="38"/>
  <c r="H49" i="38" s="1"/>
  <c r="G53" i="38"/>
  <c r="H53" i="38" s="1"/>
  <c r="G12" i="39"/>
  <c r="H12" i="39" s="1"/>
  <c r="G16" i="39"/>
  <c r="H16" i="39" s="1"/>
  <c r="G24" i="39"/>
  <c r="H24" i="39" s="1"/>
  <c r="G28" i="39"/>
  <c r="H28" i="39" s="1"/>
  <c r="G36" i="39"/>
  <c r="H36" i="39" s="1"/>
  <c r="G40" i="39"/>
  <c r="H40" i="39" s="1"/>
  <c r="G48" i="39"/>
  <c r="H48" i="39" s="1"/>
  <c r="G52" i="39"/>
  <c r="H52" i="39" s="1"/>
  <c r="G11" i="40"/>
  <c r="H11" i="40" s="1"/>
  <c r="G15" i="40"/>
  <c r="H15" i="40" s="1"/>
  <c r="G19" i="40"/>
  <c r="H19" i="40" s="1"/>
  <c r="G23" i="40"/>
  <c r="H23" i="40" s="1"/>
  <c r="G27" i="40"/>
  <c r="H27" i="40" s="1"/>
  <c r="G31" i="40"/>
  <c r="H31" i="40" s="1"/>
  <c r="G35" i="40"/>
  <c r="H35" i="40" s="1"/>
  <c r="G43" i="40"/>
  <c r="H43" i="40" s="1"/>
  <c r="G47" i="40"/>
  <c r="H47" i="40" s="1"/>
  <c r="G51" i="40"/>
  <c r="H51" i="40" s="1"/>
  <c r="G55" i="40"/>
  <c r="H55" i="40" s="1"/>
  <c r="G10" i="41"/>
  <c r="H10" i="41" s="1"/>
  <c r="G22" i="41"/>
  <c r="H22" i="41" s="1"/>
  <c r="G26" i="41"/>
  <c r="H26" i="41" s="1"/>
  <c r="G30" i="41"/>
  <c r="H30" i="41" s="1"/>
  <c r="G34" i="41"/>
  <c r="H34" i="41" s="1"/>
  <c r="G38" i="41"/>
  <c r="H38" i="41" s="1"/>
  <c r="G46" i="41"/>
  <c r="H46" i="41" s="1"/>
  <c r="G50" i="41"/>
  <c r="H50" i="41" s="1"/>
  <c r="G54" i="41"/>
  <c r="H54" i="41" s="1"/>
  <c r="G13" i="39"/>
  <c r="H13" i="39" s="1"/>
  <c r="G17" i="39"/>
  <c r="H17" i="39" s="1"/>
  <c r="G21" i="39"/>
  <c r="H21" i="39" s="1"/>
  <c r="G25" i="39"/>
  <c r="H25" i="39" s="1"/>
  <c r="G29" i="39"/>
  <c r="H29" i="39" s="1"/>
  <c r="G33" i="39"/>
  <c r="H33" i="39" s="1"/>
  <c r="G37" i="39"/>
  <c r="H37" i="39" s="1"/>
  <c r="G41" i="39"/>
  <c r="H41" i="39" s="1"/>
  <c r="G45" i="39"/>
  <c r="H45" i="39" s="1"/>
  <c r="G49" i="39"/>
  <c r="H49" i="39" s="1"/>
  <c r="G53" i="39"/>
  <c r="H53" i="39" s="1"/>
  <c r="G16" i="40"/>
  <c r="H16" i="40" s="1"/>
  <c r="G20" i="40"/>
  <c r="H20" i="40" s="1"/>
  <c r="G24" i="40"/>
  <c r="H24" i="40" s="1"/>
  <c r="G28" i="40"/>
  <c r="H28" i="40" s="1"/>
  <c r="G32" i="40"/>
  <c r="H32" i="40" s="1"/>
  <c r="G36" i="40"/>
  <c r="H36" i="40" s="1"/>
  <c r="G40" i="40"/>
  <c r="H40" i="40" s="1"/>
  <c r="G44" i="40"/>
  <c r="H44" i="40" s="1"/>
  <c r="G52" i="40"/>
  <c r="H52" i="40" s="1"/>
  <c r="G11" i="41"/>
  <c r="H11" i="41" s="1"/>
  <c r="G23" i="41"/>
  <c r="H23" i="41" s="1"/>
  <c r="G27" i="41"/>
  <c r="H27" i="41" s="1"/>
  <c r="G31" i="41"/>
  <c r="H31" i="41" s="1"/>
  <c r="G35" i="41"/>
  <c r="H35" i="41" s="1"/>
  <c r="G39" i="41"/>
  <c r="H39" i="41" s="1"/>
  <c r="G43" i="41"/>
  <c r="H43" i="41" s="1"/>
  <c r="G47" i="41"/>
  <c r="H47" i="41" s="1"/>
  <c r="G51" i="41"/>
  <c r="H51" i="41" s="1"/>
  <c r="G55" i="41"/>
  <c r="H55" i="41" s="1"/>
  <c r="G14" i="34"/>
  <c r="H14" i="34" s="1"/>
  <c r="E10" i="38"/>
  <c r="E42" i="38"/>
  <c r="E53" i="39"/>
  <c r="E55" i="32"/>
  <c r="E26" i="38"/>
  <c r="E17" i="27"/>
  <c r="E21" i="27"/>
  <c r="E33" i="27"/>
  <c r="E49" i="27"/>
  <c r="E43" i="29"/>
  <c r="E23" i="32"/>
  <c r="E39" i="32"/>
  <c r="E34" i="38"/>
  <c r="E32" i="33"/>
  <c r="E19" i="35"/>
  <c r="E21" i="37"/>
  <c r="E37" i="37"/>
  <c r="E53" i="37"/>
  <c r="E11" i="39"/>
  <c r="E18" i="38"/>
  <c r="E19" i="40"/>
  <c r="E35" i="40"/>
  <c r="E51" i="40"/>
  <c r="E22" i="41"/>
  <c r="E30" i="41"/>
  <c r="E38" i="41"/>
  <c r="E46" i="41"/>
  <c r="E57" i="39"/>
  <c r="E31" i="31"/>
  <c r="E35" i="31"/>
  <c r="E47" i="31"/>
  <c r="E51" i="31"/>
  <c r="E7" i="32"/>
  <c r="E15" i="32"/>
  <c r="E45" i="32"/>
  <c r="E10" i="33"/>
  <c r="E34" i="33"/>
  <c r="E53" i="36"/>
  <c r="E42" i="37"/>
  <c r="E16" i="38"/>
  <c r="E33" i="38"/>
  <c r="E44" i="40"/>
  <c r="E50" i="41"/>
  <c r="E7" i="31"/>
  <c r="E14" i="31"/>
  <c r="E18" i="31"/>
  <c r="E22" i="31"/>
  <c r="E30" i="31"/>
  <c r="E34" i="31"/>
  <c r="E38" i="31"/>
  <c r="E42" i="31"/>
  <c r="E50" i="31"/>
  <c r="E54" i="31"/>
  <c r="E57" i="31"/>
  <c r="E9" i="32"/>
  <c r="E14" i="32"/>
  <c r="E20" i="32"/>
  <c r="E34" i="32"/>
  <c r="E36" i="32"/>
  <c r="E47" i="32"/>
  <c r="E49" i="32"/>
  <c r="E53" i="32"/>
  <c r="E9" i="33"/>
  <c r="E14" i="33"/>
  <c r="E19" i="33"/>
  <c r="E24" i="33"/>
  <c r="E28" i="33"/>
  <c r="E33" i="33"/>
  <c r="E36" i="33"/>
  <c r="E40" i="33"/>
  <c r="E46" i="33"/>
  <c r="E53" i="33"/>
  <c r="E16" i="34"/>
  <c r="E21" i="34"/>
  <c r="E9" i="35"/>
  <c r="E28" i="35"/>
  <c r="E37" i="35"/>
  <c r="E11" i="36"/>
  <c r="E34" i="36"/>
  <c r="E39" i="36"/>
  <c r="E48" i="36"/>
  <c r="E25" i="37"/>
  <c r="E25" i="38"/>
  <c r="E40" i="38"/>
  <c r="E47" i="38"/>
  <c r="E13" i="39"/>
  <c r="E18" i="39"/>
  <c r="E34" i="39"/>
  <c r="E55" i="39"/>
  <c r="E34" i="40"/>
  <c r="E53" i="40"/>
  <c r="E24" i="41"/>
  <c r="E29" i="41"/>
  <c r="E34" i="41"/>
  <c r="E27" i="31"/>
  <c r="E24" i="32"/>
  <c r="E28" i="32"/>
  <c r="E30" i="32"/>
  <c r="E43" i="32"/>
  <c r="E7" i="33"/>
  <c r="E15" i="33"/>
  <c r="E44" i="33"/>
  <c r="E30" i="36"/>
  <c r="E9" i="37"/>
  <c r="E52" i="38"/>
  <c r="E46" i="39"/>
  <c r="E25" i="40"/>
  <c r="E45" i="41"/>
  <c r="E9" i="31"/>
  <c r="E17" i="31"/>
  <c r="E21" i="31"/>
  <c r="E25" i="31"/>
  <c r="E37" i="31"/>
  <c r="E41" i="31"/>
  <c r="E45" i="31"/>
  <c r="E12" i="32"/>
  <c r="E27" i="32"/>
  <c r="E40" i="32"/>
  <c r="E42" i="32"/>
  <c r="E46" i="32"/>
  <c r="E57" i="32"/>
  <c r="E13" i="33"/>
  <c r="E18" i="33"/>
  <c r="E22" i="33"/>
  <c r="E42" i="33"/>
  <c r="E45" i="33"/>
  <c r="E49" i="33"/>
  <c r="E55" i="33"/>
  <c r="E7" i="34"/>
  <c r="E11" i="34"/>
  <c r="E14" i="34"/>
  <c r="E25" i="34"/>
  <c r="E41" i="34"/>
  <c r="E50" i="34"/>
  <c r="E57" i="34"/>
  <c r="E18" i="35"/>
  <c r="E23" i="35"/>
  <c r="E32" i="35"/>
  <c r="E41" i="35"/>
  <c r="E46" i="35"/>
  <c r="E43" i="36"/>
  <c r="E10" i="37"/>
  <c r="E31" i="37"/>
  <c r="E36" i="37"/>
  <c r="E41" i="37"/>
  <c r="E17" i="38"/>
  <c r="E32" i="38"/>
  <c r="E22" i="39"/>
  <c r="E43" i="40"/>
  <c r="E51" i="41"/>
  <c r="E11" i="31"/>
  <c r="E15" i="31"/>
  <c r="E55" i="31"/>
  <c r="E21" i="32"/>
  <c r="E26" i="32"/>
  <c r="E25" i="33"/>
  <c r="E29" i="33"/>
  <c r="E37" i="33"/>
  <c r="E30" i="39"/>
  <c r="E11" i="40"/>
  <c r="E12" i="31"/>
  <c r="E20" i="31"/>
  <c r="E24" i="31"/>
  <c r="E28" i="31"/>
  <c r="E32" i="31"/>
  <c r="E40" i="31"/>
  <c r="E44" i="31"/>
  <c r="E48" i="31"/>
  <c r="E52" i="31"/>
  <c r="E11" i="32"/>
  <c r="E17" i="32"/>
  <c r="E18" i="32"/>
  <c r="E31" i="32"/>
  <c r="E33" i="32"/>
  <c r="E37" i="32"/>
  <c r="E50" i="32"/>
  <c r="E52" i="32"/>
  <c r="E11" i="33"/>
  <c r="E17" i="33"/>
  <c r="E21" i="33"/>
  <c r="E26" i="33"/>
  <c r="E30" i="33"/>
  <c r="E41" i="33"/>
  <c r="E48" i="33"/>
  <c r="E51" i="33"/>
  <c r="E17" i="34"/>
  <c r="E29" i="34"/>
  <c r="E54" i="34"/>
  <c r="E50" i="35"/>
  <c r="E55" i="35"/>
  <c r="E12" i="36"/>
  <c r="E21" i="36"/>
  <c r="E26" i="37"/>
  <c r="E9" i="38"/>
  <c r="E24" i="38"/>
  <c r="E41" i="38"/>
  <c r="E46" i="38"/>
  <c r="E42" i="39"/>
  <c r="E16" i="40"/>
  <c r="E13" i="41"/>
  <c r="E35" i="41"/>
  <c r="E40" i="41"/>
  <c r="E20" i="34"/>
  <c r="E32" i="34"/>
  <c r="E36" i="34"/>
  <c r="E40" i="34"/>
  <c r="E45" i="34"/>
  <c r="E49" i="34"/>
  <c r="E53" i="34"/>
  <c r="E13" i="35"/>
  <c r="E22" i="35"/>
  <c r="E26" i="35"/>
  <c r="E31" i="35"/>
  <c r="E40" i="35"/>
  <c r="E49" i="35"/>
  <c r="E7" i="36"/>
  <c r="E10" i="36"/>
  <c r="E15" i="36"/>
  <c r="E20" i="36"/>
  <c r="E24" i="36"/>
  <c r="E29" i="36"/>
  <c r="E33" i="36"/>
  <c r="E38" i="36"/>
  <c r="E42" i="36"/>
  <c r="E47" i="36"/>
  <c r="E52" i="36"/>
  <c r="E14" i="37"/>
  <c r="E19" i="37"/>
  <c r="E30" i="37"/>
  <c r="E35" i="37"/>
  <c r="E40" i="37"/>
  <c r="E46" i="37"/>
  <c r="E51" i="37"/>
  <c r="E15" i="38"/>
  <c r="E23" i="38"/>
  <c r="E31" i="38"/>
  <c r="E39" i="38"/>
  <c r="E45" i="38"/>
  <c r="E51" i="38"/>
  <c r="E12" i="39"/>
  <c r="E17" i="39"/>
  <c r="E21" i="39"/>
  <c r="E25" i="39"/>
  <c r="E29" i="39"/>
  <c r="E33" i="39"/>
  <c r="E37" i="39"/>
  <c r="E41" i="39"/>
  <c r="E45" i="39"/>
  <c r="E49" i="39"/>
  <c r="E54" i="39"/>
  <c r="E7" i="40"/>
  <c r="E10" i="40"/>
  <c r="E15" i="40"/>
  <c r="E20" i="40"/>
  <c r="E24" i="40"/>
  <c r="E29" i="40"/>
  <c r="E33" i="40"/>
  <c r="E38" i="40"/>
  <c r="E42" i="40"/>
  <c r="E47" i="40"/>
  <c r="E52" i="40"/>
  <c r="E12" i="41"/>
  <c r="E23" i="41"/>
  <c r="E28" i="41"/>
  <c r="E33" i="41"/>
  <c r="E39" i="41"/>
  <c r="E44" i="41"/>
  <c r="E49" i="41"/>
  <c r="E55" i="41"/>
  <c r="E57" i="33"/>
  <c r="E9" i="34"/>
  <c r="E13" i="34"/>
  <c r="E23" i="34"/>
  <c r="E27" i="34"/>
  <c r="E31" i="34"/>
  <c r="E35" i="34"/>
  <c r="E39" i="34"/>
  <c r="E44" i="34"/>
  <c r="E48" i="34"/>
  <c r="E52" i="34"/>
  <c r="E12" i="35"/>
  <c r="E16" i="35"/>
  <c r="E21" i="35"/>
  <c r="E25" i="35"/>
  <c r="E34" i="35"/>
  <c r="E35" i="35"/>
  <c r="E44" i="35"/>
  <c r="E53" i="35"/>
  <c r="E57" i="35"/>
  <c r="E9" i="36"/>
  <c r="E14" i="36"/>
  <c r="E18" i="36"/>
  <c r="E19" i="36"/>
  <c r="E23" i="36"/>
  <c r="E28" i="36"/>
  <c r="E32" i="36"/>
  <c r="E37" i="36"/>
  <c r="E41" i="36"/>
  <c r="E46" i="36"/>
  <c r="E50" i="36"/>
  <c r="E51" i="36"/>
  <c r="E55" i="36"/>
  <c r="E7" i="37"/>
  <c r="E12" i="37"/>
  <c r="E13" i="37"/>
  <c r="E18" i="37"/>
  <c r="E23" i="37"/>
  <c r="E28" i="37"/>
  <c r="E39" i="37"/>
  <c r="E44" i="37"/>
  <c r="E45" i="37"/>
  <c r="E50" i="37"/>
  <c r="E55" i="37"/>
  <c r="E7" i="38"/>
  <c r="E13" i="38"/>
  <c r="E14" i="38"/>
  <c r="E21" i="38"/>
  <c r="E22" i="38"/>
  <c r="E29" i="38"/>
  <c r="E30" i="38"/>
  <c r="E37" i="38"/>
  <c r="E38" i="38"/>
  <c r="E44" i="38"/>
  <c r="E49" i="38"/>
  <c r="E50" i="38"/>
  <c r="E55" i="38"/>
  <c r="E7" i="39"/>
  <c r="E10" i="39"/>
  <c r="E16" i="39"/>
  <c r="E24" i="39"/>
  <c r="E28" i="39"/>
  <c r="E36" i="39"/>
  <c r="E40" i="39"/>
  <c r="E48" i="39"/>
  <c r="E52" i="39"/>
  <c r="E9" i="40"/>
  <c r="E14" i="40"/>
  <c r="E18" i="40"/>
  <c r="E23" i="40"/>
  <c r="E28" i="40"/>
  <c r="E32" i="40"/>
  <c r="E37" i="40"/>
  <c r="E41" i="40"/>
  <c r="E46" i="40"/>
  <c r="E50" i="40"/>
  <c r="E55" i="40"/>
  <c r="E7" i="41"/>
  <c r="E11" i="41"/>
  <c r="E21" i="41"/>
  <c r="E27" i="41"/>
  <c r="E32" i="41"/>
  <c r="E37" i="41"/>
  <c r="E43" i="41"/>
  <c r="E48" i="41"/>
  <c r="E53" i="41"/>
  <c r="E54" i="41"/>
  <c r="E57" i="41"/>
  <c r="E38" i="33"/>
  <c r="E52" i="33"/>
  <c r="E12" i="34"/>
  <c r="E18" i="34"/>
  <c r="E22" i="34"/>
  <c r="E26" i="34"/>
  <c r="E30" i="34"/>
  <c r="E34" i="34"/>
  <c r="E38" i="34"/>
  <c r="E43" i="34"/>
  <c r="E47" i="34"/>
  <c r="E7" i="35"/>
  <c r="E10" i="35"/>
  <c r="E15" i="35"/>
  <c r="E29" i="35"/>
  <c r="E38" i="35"/>
  <c r="E43" i="35"/>
  <c r="E47" i="35"/>
  <c r="E52" i="35"/>
  <c r="E13" i="36"/>
  <c r="E17" i="36"/>
  <c r="E22" i="36"/>
  <c r="E26" i="36"/>
  <c r="E27" i="36"/>
  <c r="E31" i="36"/>
  <c r="E36" i="36"/>
  <c r="E40" i="36"/>
  <c r="E45" i="36"/>
  <c r="E49" i="36"/>
  <c r="E57" i="36"/>
  <c r="E16" i="37"/>
  <c r="E17" i="37"/>
  <c r="E22" i="37"/>
  <c r="E27" i="37"/>
  <c r="E32" i="37"/>
  <c r="E33" i="37"/>
  <c r="E48" i="37"/>
  <c r="E49" i="37"/>
  <c r="E54" i="37"/>
  <c r="E57" i="37"/>
  <c r="E11" i="38"/>
  <c r="E12" i="38"/>
  <c r="E19" i="38"/>
  <c r="E20" i="38"/>
  <c r="E27" i="38"/>
  <c r="E28" i="38"/>
  <c r="E35" i="38"/>
  <c r="E36" i="38"/>
  <c r="E43" i="38"/>
  <c r="E48" i="38"/>
  <c r="E53" i="38"/>
  <c r="E54" i="38"/>
  <c r="E57" i="38"/>
  <c r="E9" i="39"/>
  <c r="E15" i="39"/>
  <c r="E19" i="39"/>
  <c r="E23" i="39"/>
  <c r="E27" i="39"/>
  <c r="E31" i="39"/>
  <c r="E35" i="39"/>
  <c r="E39" i="39"/>
  <c r="E43" i="39"/>
  <c r="E47" i="39"/>
  <c r="E51" i="39"/>
  <c r="E13" i="40"/>
  <c r="E17" i="40"/>
  <c r="E22" i="40"/>
  <c r="E26" i="40"/>
  <c r="E27" i="40"/>
  <c r="E31" i="40"/>
  <c r="E36" i="40"/>
  <c r="E40" i="40"/>
  <c r="E45" i="40"/>
  <c r="E49" i="40"/>
  <c r="E54" i="40"/>
  <c r="E57" i="40"/>
  <c r="E9" i="41"/>
  <c r="E10" i="41"/>
  <c r="E20" i="41"/>
  <c r="E25" i="41"/>
  <c r="E26" i="41"/>
  <c r="E31" i="41"/>
  <c r="E36" i="41"/>
  <c r="E41" i="41"/>
  <c r="E47" i="41"/>
  <c r="E52" i="41"/>
  <c r="E15" i="27"/>
  <c r="E14" i="29"/>
  <c r="E22" i="29"/>
  <c r="E30" i="29"/>
  <c r="E38" i="29"/>
  <c r="E47" i="29"/>
  <c r="E7" i="30"/>
  <c r="E18" i="30"/>
  <c r="E50" i="30"/>
  <c r="E24" i="27"/>
  <c r="E35" i="27"/>
  <c r="E40" i="27"/>
  <c r="E17" i="29"/>
  <c r="E21" i="29"/>
  <c r="E25" i="29"/>
  <c r="E33" i="29"/>
  <c r="E37" i="29"/>
  <c r="E41" i="29"/>
  <c r="E46" i="29"/>
  <c r="E50" i="29"/>
  <c r="E54" i="29"/>
  <c r="E57" i="29"/>
  <c r="E9" i="30"/>
  <c r="E25" i="30"/>
  <c r="E41" i="30"/>
  <c r="E49" i="30"/>
  <c r="E53" i="30"/>
  <c r="E7" i="27"/>
  <c r="E12" i="27"/>
  <c r="E13" i="27"/>
  <c r="E18" i="27"/>
  <c r="E29" i="27"/>
  <c r="E34" i="27"/>
  <c r="E39" i="27"/>
  <c r="E44" i="27"/>
  <c r="E45" i="27"/>
  <c r="E50" i="27"/>
  <c r="E54" i="27"/>
  <c r="E57" i="27"/>
  <c r="E9" i="28"/>
  <c r="E12" i="29"/>
  <c r="E24" i="29"/>
  <c r="E28" i="29"/>
  <c r="E40" i="29"/>
  <c r="E53" i="29"/>
  <c r="E12" i="30"/>
  <c r="E16" i="30"/>
  <c r="E24" i="30"/>
  <c r="E28" i="30"/>
  <c r="E32" i="30"/>
  <c r="E40" i="30"/>
  <c r="E44" i="30"/>
  <c r="E52" i="30"/>
  <c r="E20" i="27"/>
  <c r="E26" i="27"/>
  <c r="E31" i="27"/>
  <c r="E36" i="27"/>
  <c r="E42" i="27"/>
  <c r="E47" i="27"/>
  <c r="E52" i="27"/>
  <c r="E12" i="28"/>
  <c r="E9" i="29"/>
  <c r="E18" i="29"/>
  <c r="E34" i="29"/>
  <c r="E51" i="29"/>
  <c r="E10" i="30"/>
  <c r="E22" i="30"/>
  <c r="E26" i="30"/>
  <c r="E34" i="30"/>
  <c r="E38" i="30"/>
  <c r="E46" i="30"/>
  <c r="E57" i="30"/>
  <c r="E9" i="27"/>
  <c r="E25" i="27"/>
  <c r="E30" i="27"/>
  <c r="E7" i="28"/>
  <c r="E11" i="28"/>
  <c r="E13" i="30"/>
  <c r="E21" i="30"/>
  <c r="E29" i="30"/>
  <c r="E37" i="30"/>
  <c r="E11" i="27"/>
  <c r="E16" i="27"/>
  <c r="E22" i="27"/>
  <c r="E27" i="27"/>
  <c r="E38" i="27"/>
  <c r="E43" i="27"/>
  <c r="E48" i="27"/>
  <c r="E53" i="27"/>
  <c r="E7" i="29"/>
  <c r="E11" i="29"/>
  <c r="E15" i="29"/>
  <c r="E19" i="29"/>
  <c r="E27" i="29"/>
  <c r="E31" i="29"/>
  <c r="E35" i="29"/>
  <c r="E44" i="29"/>
  <c r="E48" i="29"/>
  <c r="E15" i="30"/>
  <c r="E19" i="30"/>
  <c r="E31" i="30"/>
  <c r="E35" i="30"/>
  <c r="E43" i="30"/>
  <c r="E47" i="30"/>
  <c r="E55" i="30"/>
  <c r="I38" i="29" l="1"/>
  <c r="J38" i="29" s="1"/>
  <c r="I35" i="29"/>
  <c r="I48" i="29"/>
  <c r="I54" i="29"/>
  <c r="I9" i="29"/>
  <c r="I12" i="29"/>
  <c r="I18" i="29"/>
  <c r="I7" i="29"/>
  <c r="J7" i="29" s="1"/>
  <c r="I24" i="29"/>
  <c r="I33" i="29"/>
  <c r="I25" i="29"/>
  <c r="I51" i="29"/>
  <c r="I47" i="29"/>
  <c r="I37" i="29"/>
  <c r="I43" i="29"/>
  <c r="I44" i="29"/>
  <c r="I28" i="29"/>
  <c r="I50" i="29"/>
  <c r="I31" i="29"/>
  <c r="I34" i="29"/>
  <c r="I27" i="29"/>
  <c r="I22" i="29"/>
  <c r="I57" i="29"/>
  <c r="J57" i="29" s="1"/>
  <c r="P17" i="29" s="1"/>
  <c r="I41" i="29"/>
  <c r="I21" i="29"/>
  <c r="I15" i="29"/>
  <c r="I11" i="29"/>
  <c r="I53" i="29"/>
  <c r="I40" i="29"/>
  <c r="I46" i="29"/>
  <c r="I17" i="29"/>
  <c r="I19" i="29"/>
  <c r="I30" i="29"/>
  <c r="I14" i="29"/>
  <c r="J14" i="29" s="1"/>
  <c r="I57" i="35"/>
  <c r="J57" i="35" s="1"/>
  <c r="P17" i="35" s="1"/>
  <c r="I53" i="35"/>
  <c r="I44" i="35"/>
  <c r="I35" i="35"/>
  <c r="I34" i="35"/>
  <c r="I25" i="35"/>
  <c r="I21" i="35"/>
  <c r="I16" i="35"/>
  <c r="I12" i="35"/>
  <c r="I49" i="35"/>
  <c r="I40" i="35"/>
  <c r="I31" i="35"/>
  <c r="I26" i="35"/>
  <c r="I22" i="35"/>
  <c r="I13" i="35"/>
  <c r="I55" i="35"/>
  <c r="I50" i="35"/>
  <c r="I46" i="35"/>
  <c r="I41" i="35"/>
  <c r="I37" i="35"/>
  <c r="I32" i="35"/>
  <c r="I28" i="35"/>
  <c r="I23" i="35"/>
  <c r="I19" i="35"/>
  <c r="I18" i="35"/>
  <c r="I9" i="35"/>
  <c r="I52" i="35"/>
  <c r="I47" i="35"/>
  <c r="I7" i="35"/>
  <c r="J7" i="35" s="1"/>
  <c r="I43" i="35"/>
  <c r="I38" i="35"/>
  <c r="I29" i="35"/>
  <c r="I15" i="35"/>
  <c r="I10" i="35"/>
  <c r="I57" i="39"/>
  <c r="J57" i="39" s="1"/>
  <c r="P17" i="39" s="1"/>
  <c r="I53" i="39"/>
  <c r="I52" i="39"/>
  <c r="I48" i="39"/>
  <c r="I40" i="39"/>
  <c r="I36" i="39"/>
  <c r="I28" i="39"/>
  <c r="I24" i="39"/>
  <c r="I16" i="39"/>
  <c r="I11" i="39"/>
  <c r="I10" i="39"/>
  <c r="I7" i="39"/>
  <c r="J7" i="39" s="1"/>
  <c r="I54" i="39"/>
  <c r="I49" i="39"/>
  <c r="I45" i="39"/>
  <c r="I41" i="39"/>
  <c r="I37" i="39"/>
  <c r="I33" i="39"/>
  <c r="I29" i="39"/>
  <c r="I25" i="39"/>
  <c r="I21" i="39"/>
  <c r="I17" i="39"/>
  <c r="I12" i="39"/>
  <c r="I55" i="39"/>
  <c r="I46" i="39"/>
  <c r="I42" i="39"/>
  <c r="I34" i="39"/>
  <c r="I30" i="39"/>
  <c r="I22" i="39"/>
  <c r="I18" i="39"/>
  <c r="I13" i="39"/>
  <c r="I47" i="39"/>
  <c r="I31" i="39"/>
  <c r="I15" i="39"/>
  <c r="I9" i="39"/>
  <c r="I43" i="39"/>
  <c r="I27" i="39"/>
  <c r="I35" i="39"/>
  <c r="I39" i="39"/>
  <c r="I23" i="39"/>
  <c r="I51" i="39"/>
  <c r="I19" i="39"/>
  <c r="I55" i="37"/>
  <c r="I50" i="37"/>
  <c r="I45" i="37"/>
  <c r="I44" i="37"/>
  <c r="I39" i="37"/>
  <c r="I28" i="37"/>
  <c r="I23" i="37"/>
  <c r="I18" i="37"/>
  <c r="I13" i="37"/>
  <c r="I12" i="37"/>
  <c r="I7" i="37"/>
  <c r="J7" i="37" s="1"/>
  <c r="I51" i="37"/>
  <c r="I46" i="37"/>
  <c r="I41" i="37"/>
  <c r="I40" i="37"/>
  <c r="I35" i="37"/>
  <c r="I30" i="37"/>
  <c r="I25" i="37"/>
  <c r="I19" i="37"/>
  <c r="I14" i="37"/>
  <c r="I9" i="37"/>
  <c r="I53" i="37"/>
  <c r="I42" i="37"/>
  <c r="I37" i="37"/>
  <c r="I36" i="37"/>
  <c r="I31" i="37"/>
  <c r="I26" i="37"/>
  <c r="I21" i="37"/>
  <c r="I10" i="37"/>
  <c r="I22" i="37"/>
  <c r="I17" i="37"/>
  <c r="I48" i="37"/>
  <c r="I27" i="37"/>
  <c r="I57" i="37"/>
  <c r="J57" i="37" s="1"/>
  <c r="P17" i="37" s="1"/>
  <c r="I33" i="37"/>
  <c r="I16" i="37"/>
  <c r="I54" i="37"/>
  <c r="I49" i="37"/>
  <c r="I32" i="37"/>
  <c r="I45" i="31"/>
  <c r="I41" i="31"/>
  <c r="I37" i="31"/>
  <c r="I25" i="31"/>
  <c r="I21" i="31"/>
  <c r="I17" i="31"/>
  <c r="I9" i="31"/>
  <c r="I24" i="31"/>
  <c r="I20" i="31"/>
  <c r="I12" i="31"/>
  <c r="I57" i="31"/>
  <c r="J57" i="31" s="1"/>
  <c r="P17" i="31" s="1"/>
  <c r="I54" i="31"/>
  <c r="I50" i="31"/>
  <c r="I42" i="31"/>
  <c r="I38" i="31"/>
  <c r="I34" i="31"/>
  <c r="I30" i="31"/>
  <c r="I22" i="31"/>
  <c r="I18" i="31"/>
  <c r="I14" i="31"/>
  <c r="I7" i="31"/>
  <c r="J7" i="31" s="1"/>
  <c r="I28" i="31"/>
  <c r="I55" i="31"/>
  <c r="I51" i="31"/>
  <c r="I47" i="31"/>
  <c r="I35" i="31"/>
  <c r="I31" i="31"/>
  <c r="I27" i="31"/>
  <c r="I15" i="31"/>
  <c r="I11" i="31"/>
  <c r="I52" i="31"/>
  <c r="I48" i="31"/>
  <c r="I44" i="31"/>
  <c r="I40" i="31"/>
  <c r="I32" i="31"/>
  <c r="I55" i="38"/>
  <c r="I50" i="38"/>
  <c r="I49" i="38"/>
  <c r="I44" i="38"/>
  <c r="I38" i="38"/>
  <c r="I37" i="38"/>
  <c r="I30" i="38"/>
  <c r="I29" i="38"/>
  <c r="I22" i="38"/>
  <c r="I21" i="38"/>
  <c r="I14" i="38"/>
  <c r="I13" i="38"/>
  <c r="I7" i="38"/>
  <c r="J7" i="38" s="1"/>
  <c r="I51" i="38"/>
  <c r="I46" i="38"/>
  <c r="I45" i="38"/>
  <c r="I40" i="38"/>
  <c r="I39" i="38"/>
  <c r="I32" i="38"/>
  <c r="I31" i="38"/>
  <c r="I24" i="38"/>
  <c r="I23" i="38"/>
  <c r="I16" i="38"/>
  <c r="I15" i="38"/>
  <c r="I52" i="38"/>
  <c r="I47" i="38"/>
  <c r="I42" i="38"/>
  <c r="I41" i="38"/>
  <c r="I34" i="38"/>
  <c r="I33" i="38"/>
  <c r="I26" i="38"/>
  <c r="I25" i="38"/>
  <c r="I18" i="38"/>
  <c r="I17" i="38"/>
  <c r="I10" i="38"/>
  <c r="I9" i="38"/>
  <c r="I53" i="38"/>
  <c r="I27" i="38"/>
  <c r="I20" i="38"/>
  <c r="I48" i="38"/>
  <c r="I54" i="38"/>
  <c r="I35" i="38"/>
  <c r="I28" i="38"/>
  <c r="I19" i="38"/>
  <c r="I12" i="38"/>
  <c r="I57" i="38"/>
  <c r="J57" i="38" s="1"/>
  <c r="P17" i="38" s="1"/>
  <c r="I43" i="38"/>
  <c r="I36" i="38"/>
  <c r="I11" i="38"/>
  <c r="I55" i="36"/>
  <c r="I51" i="36"/>
  <c r="I50" i="36"/>
  <c r="I46" i="36"/>
  <c r="I41" i="36"/>
  <c r="I37" i="36"/>
  <c r="I32" i="36"/>
  <c r="I28" i="36"/>
  <c r="I23" i="36"/>
  <c r="I19" i="36"/>
  <c r="I18" i="36"/>
  <c r="I14" i="36"/>
  <c r="I9" i="36"/>
  <c r="I52" i="36"/>
  <c r="I47" i="36"/>
  <c r="I43" i="36"/>
  <c r="I42" i="36"/>
  <c r="I38" i="36"/>
  <c r="I33" i="36"/>
  <c r="I29" i="36"/>
  <c r="I24" i="36"/>
  <c r="I20" i="36"/>
  <c r="I15" i="36"/>
  <c r="I11" i="36"/>
  <c r="I10" i="36"/>
  <c r="I7" i="36"/>
  <c r="J7" i="36" s="1"/>
  <c r="I53" i="36"/>
  <c r="I48" i="36"/>
  <c r="I39" i="36"/>
  <c r="I34" i="36"/>
  <c r="I30" i="36"/>
  <c r="I21" i="36"/>
  <c r="I12" i="36"/>
  <c r="I45" i="36"/>
  <c r="I36" i="36"/>
  <c r="I31" i="36"/>
  <c r="I26" i="36"/>
  <c r="I17" i="36"/>
  <c r="I57" i="36"/>
  <c r="J57" i="36" s="1"/>
  <c r="P17" i="36" s="1"/>
  <c r="I27" i="36"/>
  <c r="I22" i="36"/>
  <c r="I13" i="36"/>
  <c r="I49" i="36"/>
  <c r="I40" i="36"/>
  <c r="I12" i="32"/>
  <c r="I18" i="32"/>
  <c r="I17" i="32"/>
  <c r="I20" i="32"/>
  <c r="I14" i="32"/>
  <c r="I9" i="32"/>
  <c r="I15" i="32"/>
  <c r="I7" i="32"/>
  <c r="J7" i="32" s="1"/>
  <c r="I11" i="32"/>
  <c r="I55" i="40"/>
  <c r="I51" i="40"/>
  <c r="I50" i="40"/>
  <c r="I46" i="40"/>
  <c r="I41" i="40"/>
  <c r="I37" i="40"/>
  <c r="I32" i="40"/>
  <c r="I28" i="40"/>
  <c r="I23" i="40"/>
  <c r="I19" i="40"/>
  <c r="I18" i="40"/>
  <c r="I14" i="40"/>
  <c r="I9" i="40"/>
  <c r="I52" i="40"/>
  <c r="I47" i="40"/>
  <c r="I43" i="40"/>
  <c r="I42" i="40"/>
  <c r="I38" i="40"/>
  <c r="I33" i="40"/>
  <c r="I29" i="40"/>
  <c r="I24" i="40"/>
  <c r="I20" i="40"/>
  <c r="I15" i="40"/>
  <c r="I11" i="40"/>
  <c r="I10" i="40"/>
  <c r="I7" i="40"/>
  <c r="J7" i="40" s="1"/>
  <c r="I53" i="40"/>
  <c r="I44" i="40"/>
  <c r="I35" i="40"/>
  <c r="I34" i="40"/>
  <c r="I25" i="40"/>
  <c r="I16" i="40"/>
  <c r="I57" i="40"/>
  <c r="J57" i="40" s="1"/>
  <c r="P17" i="40" s="1"/>
  <c r="I45" i="40"/>
  <c r="I36" i="40"/>
  <c r="I31" i="40"/>
  <c r="I26" i="40"/>
  <c r="I27" i="40"/>
  <c r="I22" i="40"/>
  <c r="I17" i="40"/>
  <c r="I49" i="40"/>
  <c r="I40" i="40"/>
  <c r="I13" i="40"/>
  <c r="I54" i="40"/>
  <c r="I52" i="34"/>
  <c r="I48" i="34"/>
  <c r="I44" i="34"/>
  <c r="I39" i="34"/>
  <c r="I35" i="34"/>
  <c r="I31" i="34"/>
  <c r="I27" i="34"/>
  <c r="I23" i="34"/>
  <c r="I13" i="34"/>
  <c r="I9" i="34"/>
  <c r="I53" i="34"/>
  <c r="I49" i="34"/>
  <c r="I45" i="34"/>
  <c r="I41" i="34"/>
  <c r="I40" i="34"/>
  <c r="I36" i="34"/>
  <c r="I32" i="34"/>
  <c r="I20" i="34"/>
  <c r="I16" i="34"/>
  <c r="I14" i="34"/>
  <c r="I7" i="34"/>
  <c r="J7" i="34" s="1"/>
  <c r="I57" i="34"/>
  <c r="J57" i="34" s="1"/>
  <c r="P17" i="34" s="1"/>
  <c r="I54" i="34"/>
  <c r="I50" i="34"/>
  <c r="I29" i="34"/>
  <c r="I25" i="34"/>
  <c r="I21" i="34"/>
  <c r="I43" i="34"/>
  <c r="I34" i="34"/>
  <c r="I18" i="34"/>
  <c r="I11" i="34"/>
  <c r="I17" i="34"/>
  <c r="I30" i="34"/>
  <c r="I12" i="34"/>
  <c r="I47" i="34"/>
  <c r="I38" i="34"/>
  <c r="I22" i="34"/>
  <c r="I26" i="34"/>
  <c r="I57" i="33"/>
  <c r="J57" i="33" s="1"/>
  <c r="P17" i="33" s="1"/>
  <c r="I53" i="33"/>
  <c r="I49" i="33"/>
  <c r="I44" i="33"/>
  <c r="I40" i="33"/>
  <c r="I55" i="33"/>
  <c r="I52" i="33"/>
  <c r="I45" i="33"/>
  <c r="I42" i="33"/>
  <c r="I32" i="33"/>
  <c r="I22" i="33"/>
  <c r="I18" i="33"/>
  <c r="I13" i="33"/>
  <c r="I41" i="33"/>
  <c r="I38" i="33"/>
  <c r="I30" i="33"/>
  <c r="I46" i="33"/>
  <c r="I36" i="33"/>
  <c r="I33" i="33"/>
  <c r="I28" i="33"/>
  <c r="I24" i="33"/>
  <c r="I19" i="33"/>
  <c r="I14" i="33"/>
  <c r="I9" i="33"/>
  <c r="I48" i="33"/>
  <c r="I21" i="33"/>
  <c r="I17" i="33"/>
  <c r="I11" i="33"/>
  <c r="I37" i="33"/>
  <c r="I34" i="33"/>
  <c r="I29" i="33"/>
  <c r="I25" i="33"/>
  <c r="I15" i="33"/>
  <c r="I10" i="33"/>
  <c r="I7" i="33"/>
  <c r="J7" i="33" s="1"/>
  <c r="I51" i="33"/>
  <c r="I26" i="33"/>
  <c r="I57" i="41"/>
  <c r="J57" i="41" s="1"/>
  <c r="P17" i="41" s="1"/>
  <c r="I54" i="41"/>
  <c r="I53" i="41"/>
  <c r="I48" i="41"/>
  <c r="I43" i="41"/>
  <c r="I38" i="41"/>
  <c r="I37" i="41"/>
  <c r="I32" i="41"/>
  <c r="I27" i="41"/>
  <c r="I22" i="41"/>
  <c r="I21" i="41"/>
  <c r="I11" i="41"/>
  <c r="I7" i="41"/>
  <c r="J7" i="41" s="1"/>
  <c r="I55" i="41"/>
  <c r="I50" i="41"/>
  <c r="I49" i="41"/>
  <c r="I44" i="41"/>
  <c r="I39" i="41"/>
  <c r="I34" i="41"/>
  <c r="I33" i="41"/>
  <c r="I28" i="41"/>
  <c r="I23" i="41"/>
  <c r="I12" i="41"/>
  <c r="I51" i="41"/>
  <c r="I46" i="41"/>
  <c r="I45" i="41"/>
  <c r="I40" i="41"/>
  <c r="I35" i="41"/>
  <c r="I30" i="41"/>
  <c r="I29" i="41"/>
  <c r="I24" i="41"/>
  <c r="I13" i="41"/>
  <c r="I31" i="41"/>
  <c r="I26" i="41"/>
  <c r="I47" i="41"/>
  <c r="I41" i="41"/>
  <c r="I36" i="41"/>
  <c r="I9" i="41"/>
  <c r="I52" i="41"/>
  <c r="I10" i="41"/>
  <c r="I25" i="41"/>
  <c r="I20" i="41"/>
  <c r="I52" i="30"/>
  <c r="I44" i="30"/>
  <c r="I40" i="30"/>
  <c r="I32" i="30"/>
  <c r="I28" i="30"/>
  <c r="I24" i="30"/>
  <c r="I16" i="30"/>
  <c r="I12" i="30"/>
  <c r="I46" i="30"/>
  <c r="I38" i="30"/>
  <c r="I22" i="30"/>
  <c r="I47" i="30"/>
  <c r="I43" i="30"/>
  <c r="I35" i="30"/>
  <c r="I31" i="30"/>
  <c r="I53" i="30"/>
  <c r="I49" i="30"/>
  <c r="I41" i="30"/>
  <c r="I37" i="30"/>
  <c r="I29" i="30"/>
  <c r="I25" i="30"/>
  <c r="I21" i="30"/>
  <c r="I13" i="30"/>
  <c r="I9" i="30"/>
  <c r="I57" i="30"/>
  <c r="J57" i="30" s="1"/>
  <c r="P17" i="30" s="1"/>
  <c r="I50" i="30"/>
  <c r="I34" i="30"/>
  <c r="I26" i="30"/>
  <c r="I18" i="30"/>
  <c r="I10" i="30"/>
  <c r="I7" i="30"/>
  <c r="J7" i="30" s="1"/>
  <c r="I55" i="30"/>
  <c r="I19" i="30"/>
  <c r="I15" i="30"/>
  <c r="I55" i="28"/>
  <c r="I42" i="28"/>
  <c r="I38" i="28"/>
  <c r="I34" i="28"/>
  <c r="I30" i="28"/>
  <c r="I26" i="28"/>
  <c r="I22" i="28"/>
  <c r="I9" i="28"/>
  <c r="I24" i="28"/>
  <c r="I20" i="28"/>
  <c r="I12" i="28"/>
  <c r="I45" i="28"/>
  <c r="I37" i="28"/>
  <c r="I29" i="28"/>
  <c r="I13" i="28"/>
  <c r="I52" i="28"/>
  <c r="I51" i="28"/>
  <c r="I47" i="28"/>
  <c r="I35" i="28"/>
  <c r="I31" i="28"/>
  <c r="I27" i="28"/>
  <c r="I23" i="28"/>
  <c r="I19" i="28"/>
  <c r="I15" i="28"/>
  <c r="I11" i="28"/>
  <c r="I7" i="28"/>
  <c r="J7" i="28" s="1"/>
  <c r="I48" i="28"/>
  <c r="I44" i="28"/>
  <c r="I40" i="28"/>
  <c r="I16" i="28"/>
  <c r="I57" i="28"/>
  <c r="J57" i="28" s="1"/>
  <c r="P17" i="28" s="1"/>
  <c r="I54" i="28"/>
  <c r="I49" i="28"/>
  <c r="I41" i="28"/>
  <c r="I33" i="28"/>
  <c r="I17" i="28"/>
  <c r="I57" i="27"/>
  <c r="J57" i="27" s="1"/>
  <c r="P17" i="27" s="1"/>
  <c r="I54" i="27"/>
  <c r="I50" i="27"/>
  <c r="I45" i="27"/>
  <c r="I44" i="27"/>
  <c r="I39" i="27"/>
  <c r="I34" i="27"/>
  <c r="I29" i="27"/>
  <c r="I18" i="27"/>
  <c r="I13" i="27"/>
  <c r="I12" i="27"/>
  <c r="I7" i="27"/>
  <c r="J7" i="27" s="1"/>
  <c r="I42" i="27"/>
  <c r="I31" i="27"/>
  <c r="I15" i="27"/>
  <c r="I53" i="27"/>
  <c r="I49" i="27"/>
  <c r="I48" i="27"/>
  <c r="I43" i="27"/>
  <c r="I38" i="27"/>
  <c r="I33" i="27"/>
  <c r="I27" i="27"/>
  <c r="I22" i="27"/>
  <c r="I11" i="27"/>
  <c r="I40" i="27"/>
  <c r="I35" i="27"/>
  <c r="I30" i="27"/>
  <c r="I25" i="27"/>
  <c r="I24" i="27"/>
  <c r="I9" i="27"/>
  <c r="I52" i="27"/>
  <c r="I47" i="27"/>
  <c r="I36" i="27"/>
  <c r="I26" i="27"/>
  <c r="I21" i="27"/>
  <c r="I20" i="27"/>
  <c r="I17" i="27"/>
  <c r="I16" i="27"/>
  <c r="F25" i="27" l="1"/>
  <c r="J24" i="27"/>
  <c r="F13" i="27"/>
  <c r="J12" i="27"/>
  <c r="F42" i="28"/>
  <c r="J41" i="28"/>
  <c r="F24" i="28"/>
  <c r="J23" i="28"/>
  <c r="F51" i="28"/>
  <c r="J29" i="30"/>
  <c r="F13" i="30"/>
  <c r="J12" i="30"/>
  <c r="J15" i="33"/>
  <c r="F34" i="33"/>
  <c r="J33" i="33"/>
  <c r="F53" i="33"/>
  <c r="J52" i="33"/>
  <c r="F39" i="34"/>
  <c r="J38" i="34"/>
  <c r="F47" i="34"/>
  <c r="F36" i="34"/>
  <c r="J35" i="34"/>
  <c r="F36" i="40"/>
  <c r="J35" i="40"/>
  <c r="F19" i="40"/>
  <c r="J18" i="40"/>
  <c r="J9" i="32"/>
  <c r="F13" i="36"/>
  <c r="J12" i="36"/>
  <c r="F43" i="36"/>
  <c r="J42" i="36"/>
  <c r="F57" i="36"/>
  <c r="J55" i="36"/>
  <c r="F34" i="38"/>
  <c r="J33" i="38"/>
  <c r="F22" i="38"/>
  <c r="J21" i="38"/>
  <c r="F12" i="31"/>
  <c r="J11" i="31"/>
  <c r="F35" i="31"/>
  <c r="J34" i="31"/>
  <c r="J45" i="31"/>
  <c r="F27" i="37"/>
  <c r="J26" i="37"/>
  <c r="F13" i="37"/>
  <c r="J12" i="37"/>
  <c r="F10" i="39"/>
  <c r="J9" i="39"/>
  <c r="F34" i="39"/>
  <c r="J33" i="39"/>
  <c r="J29" i="35"/>
  <c r="F34" i="27"/>
  <c r="J33" i="27"/>
  <c r="J27" i="28"/>
  <c r="F18" i="30"/>
  <c r="F11" i="41"/>
  <c r="J10" i="41"/>
  <c r="F22" i="41"/>
  <c r="J21" i="41"/>
  <c r="F49" i="33"/>
  <c r="J48" i="33"/>
  <c r="F45" i="33"/>
  <c r="J44" i="33"/>
  <c r="J50" i="34"/>
  <c r="F16" i="34"/>
  <c r="F40" i="40"/>
  <c r="F52" i="40"/>
  <c r="J51" i="40"/>
  <c r="F17" i="36"/>
  <c r="F12" i="36"/>
  <c r="J11" i="36"/>
  <c r="F29" i="36"/>
  <c r="J28" i="36"/>
  <c r="F13" i="38"/>
  <c r="J12" i="38"/>
  <c r="F19" i="38"/>
  <c r="J18" i="38"/>
  <c r="F53" i="38"/>
  <c r="J52" i="38"/>
  <c r="F41" i="38"/>
  <c r="J40" i="38"/>
  <c r="F39" i="38"/>
  <c r="J38" i="38"/>
  <c r="F45" i="31"/>
  <c r="J44" i="31"/>
  <c r="F48" i="31"/>
  <c r="J47" i="31"/>
  <c r="J22" i="31"/>
  <c r="F18" i="31"/>
  <c r="J17" i="31"/>
  <c r="F50" i="37"/>
  <c r="J49" i="37"/>
  <c r="F32" i="37"/>
  <c r="J31" i="37"/>
  <c r="F31" i="37"/>
  <c r="J30" i="37"/>
  <c r="F30" i="37"/>
  <c r="F36" i="39"/>
  <c r="J35" i="39"/>
  <c r="F51" i="39"/>
  <c r="F17" i="39"/>
  <c r="J16" i="39"/>
  <c r="J38" i="35"/>
  <c r="F23" i="35"/>
  <c r="J22" i="35"/>
  <c r="J15" i="29"/>
  <c r="F17" i="27"/>
  <c r="J16" i="27"/>
  <c r="F53" i="27"/>
  <c r="J52" i="27"/>
  <c r="F57" i="27"/>
  <c r="F49" i="27"/>
  <c r="J48" i="27"/>
  <c r="J52" i="28"/>
  <c r="J24" i="28"/>
  <c r="F35" i="28"/>
  <c r="J34" i="28"/>
  <c r="F19" i="30"/>
  <c r="J18" i="30"/>
  <c r="J13" i="30"/>
  <c r="F24" i="30"/>
  <c r="J22" i="30"/>
  <c r="J44" i="30"/>
  <c r="F10" i="41"/>
  <c r="J9" i="41"/>
  <c r="F31" i="41"/>
  <c r="J30" i="41"/>
  <c r="F51" i="41"/>
  <c r="J50" i="41"/>
  <c r="F49" i="41"/>
  <c r="J48" i="41"/>
  <c r="F30" i="33"/>
  <c r="J29" i="33"/>
  <c r="F22" i="33"/>
  <c r="J21" i="33"/>
  <c r="J30" i="33"/>
  <c r="F32" i="33"/>
  <c r="F41" i="33"/>
  <c r="J40" i="33"/>
  <c r="F57" i="34"/>
  <c r="J36" i="34"/>
  <c r="F20" i="34"/>
  <c r="F41" i="40"/>
  <c r="J40" i="40"/>
  <c r="F46" i="40"/>
  <c r="J45" i="40"/>
  <c r="F54" i="40"/>
  <c r="J53" i="40"/>
  <c r="J47" i="40"/>
  <c r="F41" i="36"/>
  <c r="J40" i="36"/>
  <c r="F32" i="36"/>
  <c r="J31" i="36"/>
  <c r="F45" i="36"/>
  <c r="J24" i="36"/>
  <c r="F24" i="36"/>
  <c r="J23" i="36"/>
  <c r="F42" i="36"/>
  <c r="J41" i="36"/>
  <c r="F36" i="38"/>
  <c r="J35" i="38"/>
  <c r="F18" i="38"/>
  <c r="J17" i="38"/>
  <c r="F24" i="38"/>
  <c r="J23" i="38"/>
  <c r="F52" i="38"/>
  <c r="J51" i="38"/>
  <c r="F51" i="38"/>
  <c r="J50" i="38"/>
  <c r="F28" i="31"/>
  <c r="J27" i="31"/>
  <c r="J28" i="31"/>
  <c r="F51" i="31"/>
  <c r="J50" i="31"/>
  <c r="F30" i="31"/>
  <c r="J33" i="37"/>
  <c r="J10" i="37"/>
  <c r="F10" i="37"/>
  <c r="J9" i="37"/>
  <c r="F42" i="37"/>
  <c r="J41" i="37"/>
  <c r="J28" i="37"/>
  <c r="F15" i="39"/>
  <c r="F31" i="39"/>
  <c r="J30" i="39"/>
  <c r="F18" i="39"/>
  <c r="J17" i="39"/>
  <c r="F12" i="39"/>
  <c r="J11" i="39"/>
  <c r="F29" i="39"/>
  <c r="J28" i="39"/>
  <c r="F45" i="39"/>
  <c r="F53" i="35"/>
  <c r="J52" i="35"/>
  <c r="J32" i="35"/>
  <c r="F18" i="35"/>
  <c r="F50" i="35"/>
  <c r="J49" i="35"/>
  <c r="J35" i="35"/>
  <c r="J19" i="29"/>
  <c r="F41" i="29"/>
  <c r="J40" i="29"/>
  <c r="J28" i="29"/>
  <c r="F44" i="29"/>
  <c r="J43" i="29"/>
  <c r="J48" i="29"/>
  <c r="F18" i="27"/>
  <c r="J17" i="27"/>
  <c r="J9" i="27"/>
  <c r="F42" i="27"/>
  <c r="F50" i="27"/>
  <c r="J49" i="27"/>
  <c r="J13" i="27"/>
  <c r="J45" i="27"/>
  <c r="J49" i="28"/>
  <c r="F45" i="28"/>
  <c r="J44" i="28"/>
  <c r="F44" i="28"/>
  <c r="J45" i="28"/>
  <c r="F23" i="28"/>
  <c r="J22" i="28"/>
  <c r="F57" i="28"/>
  <c r="J55" i="28"/>
  <c r="J26" i="30"/>
  <c r="F34" i="30"/>
  <c r="F28" i="30"/>
  <c r="F31" i="30"/>
  <c r="J32" i="30"/>
  <c r="F27" i="41"/>
  <c r="J26" i="41"/>
  <c r="F36" i="41"/>
  <c r="J35" i="41"/>
  <c r="F24" i="41"/>
  <c r="J23" i="41"/>
  <c r="F57" i="41"/>
  <c r="J55" i="41"/>
  <c r="F54" i="41"/>
  <c r="J53" i="41"/>
  <c r="F17" i="33"/>
  <c r="J11" i="33"/>
  <c r="F37" i="33"/>
  <c r="J36" i="33"/>
  <c r="F19" i="33"/>
  <c r="J18" i="33"/>
  <c r="F57" i="33"/>
  <c r="J55" i="33"/>
  <c r="F48" i="34"/>
  <c r="J47" i="34"/>
  <c r="F44" i="34"/>
  <c r="J43" i="34"/>
  <c r="F11" i="34"/>
  <c r="F54" i="34"/>
  <c r="J53" i="34"/>
  <c r="F40" i="34"/>
  <c r="J39" i="34"/>
  <c r="F50" i="40"/>
  <c r="J49" i="40"/>
  <c r="F27" i="40"/>
  <c r="J26" i="40"/>
  <c r="F26" i="40"/>
  <c r="J25" i="40"/>
  <c r="J20" i="40"/>
  <c r="F53" i="40"/>
  <c r="J52" i="40"/>
  <c r="F38" i="40"/>
  <c r="J37" i="40"/>
  <c r="F11" i="32"/>
  <c r="F15" i="32"/>
  <c r="J14" i="32"/>
  <c r="J12" i="32"/>
  <c r="F50" i="36"/>
  <c r="J49" i="36"/>
  <c r="F37" i="36"/>
  <c r="J36" i="36"/>
  <c r="J34" i="36"/>
  <c r="F49" i="36"/>
  <c r="J48" i="36"/>
  <c r="F30" i="36"/>
  <c r="J29" i="36"/>
  <c r="J43" i="36"/>
  <c r="F47" i="36"/>
  <c r="J46" i="36"/>
  <c r="F12" i="38"/>
  <c r="J11" i="38"/>
  <c r="F55" i="38"/>
  <c r="J54" i="38"/>
  <c r="F54" i="38"/>
  <c r="J53" i="38"/>
  <c r="F35" i="38"/>
  <c r="J34" i="38"/>
  <c r="F25" i="38"/>
  <c r="J24" i="38"/>
  <c r="F23" i="38"/>
  <c r="J22" i="38"/>
  <c r="F57" i="38"/>
  <c r="J55" i="38"/>
  <c r="J15" i="31"/>
  <c r="F32" i="31"/>
  <c r="J31" i="31"/>
  <c r="J38" i="31"/>
  <c r="F55" i="31"/>
  <c r="J54" i="31"/>
  <c r="F21" i="31"/>
  <c r="J20" i="31"/>
  <c r="F34" i="31"/>
  <c r="F50" i="31"/>
  <c r="F39" i="37"/>
  <c r="F18" i="37"/>
  <c r="J17" i="37"/>
  <c r="F16" i="37"/>
  <c r="F48" i="37"/>
  <c r="J14" i="37"/>
  <c r="J46" i="37"/>
  <c r="F14" i="37"/>
  <c r="J13" i="37"/>
  <c r="F46" i="37"/>
  <c r="J45" i="37"/>
  <c r="J19" i="39"/>
  <c r="F16" i="39"/>
  <c r="J15" i="39"/>
  <c r="F19" i="39"/>
  <c r="J18" i="39"/>
  <c r="F35" i="39"/>
  <c r="J34" i="39"/>
  <c r="F22" i="39"/>
  <c r="J21" i="39"/>
  <c r="J37" i="39"/>
  <c r="F55" i="39"/>
  <c r="J54" i="39"/>
  <c r="F33" i="39"/>
  <c r="F49" i="39"/>
  <c r="J48" i="39"/>
  <c r="J10" i="35"/>
  <c r="F34" i="35"/>
  <c r="F12" i="35"/>
  <c r="J19" i="35"/>
  <c r="F38" i="35"/>
  <c r="J37" i="35"/>
  <c r="F52" i="35"/>
  <c r="F37" i="35"/>
  <c r="F55" i="35"/>
  <c r="F26" i="35"/>
  <c r="J25" i="35"/>
  <c r="F40" i="35"/>
  <c r="F53" i="29"/>
  <c r="F18" i="29"/>
  <c r="J17" i="29"/>
  <c r="F54" i="29"/>
  <c r="J53" i="29"/>
  <c r="F50" i="29"/>
  <c r="J31" i="29"/>
  <c r="F37" i="29"/>
  <c r="F38" i="29"/>
  <c r="J37" i="29"/>
  <c r="F34" i="29"/>
  <c r="J33" i="29"/>
  <c r="F21" i="29"/>
  <c r="F40" i="29"/>
  <c r="J35" i="29"/>
  <c r="F21" i="27"/>
  <c r="J20" i="27"/>
  <c r="F38" i="27"/>
  <c r="F15" i="27"/>
  <c r="F31" i="27"/>
  <c r="J30" i="27"/>
  <c r="F47" i="27"/>
  <c r="J22" i="27"/>
  <c r="F39" i="27"/>
  <c r="J38" i="27"/>
  <c r="F54" i="27"/>
  <c r="J53" i="27"/>
  <c r="F43" i="27"/>
  <c r="J42" i="27"/>
  <c r="J18" i="27"/>
  <c r="F35" i="27"/>
  <c r="J34" i="27"/>
  <c r="J50" i="27"/>
  <c r="F26" i="28"/>
  <c r="F55" i="28"/>
  <c r="J54" i="28"/>
  <c r="F33" i="28"/>
  <c r="F49" i="28"/>
  <c r="J48" i="28"/>
  <c r="F16" i="28"/>
  <c r="J15" i="28"/>
  <c r="J31" i="28"/>
  <c r="F48" i="28"/>
  <c r="J47" i="28"/>
  <c r="F22" i="28"/>
  <c r="F13" i="28"/>
  <c r="J12" i="28"/>
  <c r="F11" i="28"/>
  <c r="F27" i="28"/>
  <c r="J26" i="28"/>
  <c r="J42" i="28"/>
  <c r="F16" i="30"/>
  <c r="J15" i="30"/>
  <c r="F35" i="30"/>
  <c r="J34" i="30"/>
  <c r="F22" i="30"/>
  <c r="J21" i="30"/>
  <c r="F38" i="30"/>
  <c r="J37" i="30"/>
  <c r="J53" i="30"/>
  <c r="F32" i="30"/>
  <c r="J31" i="30"/>
  <c r="J47" i="30"/>
  <c r="J38" i="30"/>
  <c r="F21" i="30"/>
  <c r="F37" i="30"/>
  <c r="F53" i="30"/>
  <c r="J52" i="30"/>
  <c r="J41" i="41"/>
  <c r="F32" i="41"/>
  <c r="J31" i="41"/>
  <c r="F25" i="41"/>
  <c r="J24" i="41"/>
  <c r="F41" i="41"/>
  <c r="J40" i="41"/>
  <c r="F13" i="41"/>
  <c r="J12" i="41"/>
  <c r="F29" i="41"/>
  <c r="J28" i="41"/>
  <c r="F45" i="41"/>
  <c r="J44" i="41"/>
  <c r="F23" i="41"/>
  <c r="J22" i="41"/>
  <c r="F39" i="41"/>
  <c r="J38" i="41"/>
  <c r="F55" i="41"/>
  <c r="J54" i="41"/>
  <c r="F21" i="33"/>
  <c r="F38" i="33"/>
  <c r="J37" i="33"/>
  <c r="F13" i="33"/>
  <c r="F10" i="33"/>
  <c r="J9" i="33"/>
  <c r="F25" i="33"/>
  <c r="J24" i="33"/>
  <c r="F44" i="33"/>
  <c r="F42" i="33"/>
  <c r="J41" i="33"/>
  <c r="J22" i="33"/>
  <c r="J42" i="33"/>
  <c r="F36" i="33"/>
  <c r="J49" i="33"/>
  <c r="F52" i="34"/>
  <c r="F13" i="34"/>
  <c r="J12" i="34"/>
  <c r="F12" i="34"/>
  <c r="J11" i="34"/>
  <c r="F22" i="34"/>
  <c r="J21" i="34"/>
  <c r="F38" i="34"/>
  <c r="J54" i="34"/>
  <c r="J14" i="34"/>
  <c r="F29" i="34"/>
  <c r="J41" i="34"/>
  <c r="J9" i="34"/>
  <c r="J27" i="34"/>
  <c r="F45" i="34"/>
  <c r="J44" i="34"/>
  <c r="F55" i="40"/>
  <c r="J54" i="40"/>
  <c r="F18" i="40"/>
  <c r="J17" i="40"/>
  <c r="F32" i="40"/>
  <c r="J31" i="40"/>
  <c r="F13" i="40"/>
  <c r="F31" i="40"/>
  <c r="F45" i="40"/>
  <c r="J44" i="40"/>
  <c r="F11" i="40"/>
  <c r="J10" i="40"/>
  <c r="F25" i="40"/>
  <c r="J24" i="40"/>
  <c r="F43" i="40"/>
  <c r="J42" i="40"/>
  <c r="F10" i="40"/>
  <c r="J9" i="40"/>
  <c r="F24" i="40"/>
  <c r="J23" i="40"/>
  <c r="F42" i="40"/>
  <c r="J41" i="40"/>
  <c r="F57" i="40"/>
  <c r="J55" i="40"/>
  <c r="J15" i="32"/>
  <c r="J20" i="32"/>
  <c r="F14" i="32"/>
  <c r="F14" i="36"/>
  <c r="J13" i="36"/>
  <c r="F18" i="36"/>
  <c r="J17" i="36"/>
  <c r="F46" i="36"/>
  <c r="J45" i="36"/>
  <c r="F22" i="36"/>
  <c r="J21" i="36"/>
  <c r="F36" i="36"/>
  <c r="J53" i="36"/>
  <c r="J15" i="36"/>
  <c r="F34" i="36"/>
  <c r="J33" i="36"/>
  <c r="F48" i="36"/>
  <c r="J47" i="36"/>
  <c r="F19" i="36"/>
  <c r="J18" i="36"/>
  <c r="F33" i="36"/>
  <c r="J32" i="36"/>
  <c r="F51" i="36"/>
  <c r="J50" i="36"/>
  <c r="F37" i="38"/>
  <c r="J36" i="38"/>
  <c r="F20" i="38"/>
  <c r="J19" i="38"/>
  <c r="F49" i="38"/>
  <c r="J48" i="38"/>
  <c r="F10" i="38"/>
  <c r="J9" i="38"/>
  <c r="F26" i="38"/>
  <c r="J25" i="38"/>
  <c r="F42" i="38"/>
  <c r="J41" i="38"/>
  <c r="F16" i="38"/>
  <c r="J15" i="38"/>
  <c r="F32" i="38"/>
  <c r="J31" i="38"/>
  <c r="F46" i="38"/>
  <c r="J45" i="38"/>
  <c r="F14" i="38"/>
  <c r="J13" i="38"/>
  <c r="F30" i="38"/>
  <c r="J29" i="38"/>
  <c r="F45" i="38"/>
  <c r="J44" i="38"/>
  <c r="J32" i="31"/>
  <c r="J48" i="31"/>
  <c r="F20" i="31"/>
  <c r="J35" i="31"/>
  <c r="F52" i="31"/>
  <c r="J51" i="31"/>
  <c r="F11" i="31"/>
  <c r="F27" i="31"/>
  <c r="J42" i="31"/>
  <c r="F25" i="31"/>
  <c r="J24" i="31"/>
  <c r="F22" i="31"/>
  <c r="J21" i="31"/>
  <c r="F38" i="31"/>
  <c r="J37" i="31"/>
  <c r="F54" i="31"/>
  <c r="F55" i="37"/>
  <c r="J54" i="37"/>
  <c r="F23" i="37"/>
  <c r="J22" i="37"/>
  <c r="F21" i="37"/>
  <c r="F37" i="37"/>
  <c r="J36" i="37"/>
  <c r="F53" i="37"/>
  <c r="J19" i="37"/>
  <c r="F36" i="37"/>
  <c r="J35" i="37"/>
  <c r="J51" i="37"/>
  <c r="F19" i="37"/>
  <c r="J18" i="37"/>
  <c r="F35" i="37"/>
  <c r="F51" i="37"/>
  <c r="J50" i="37"/>
  <c r="F52" i="39"/>
  <c r="J51" i="39"/>
  <c r="F28" i="39"/>
  <c r="J27" i="39"/>
  <c r="J31" i="39"/>
  <c r="F23" i="39"/>
  <c r="J22" i="39"/>
  <c r="F39" i="39"/>
  <c r="F57" i="39"/>
  <c r="J55" i="39"/>
  <c r="J25" i="39"/>
  <c r="F42" i="39"/>
  <c r="J41" i="39"/>
  <c r="F21" i="39"/>
  <c r="F37" i="39"/>
  <c r="J36" i="39"/>
  <c r="F53" i="39"/>
  <c r="J52" i="39"/>
  <c r="F16" i="35"/>
  <c r="J15" i="35"/>
  <c r="F44" i="35"/>
  <c r="J43" i="35"/>
  <c r="F43" i="35"/>
  <c r="F10" i="35"/>
  <c r="J9" i="35"/>
  <c r="J23" i="35"/>
  <c r="J41" i="35"/>
  <c r="F57" i="35"/>
  <c r="J55" i="35"/>
  <c r="J26" i="35"/>
  <c r="F41" i="35"/>
  <c r="J40" i="35"/>
  <c r="F13" i="35"/>
  <c r="J12" i="35"/>
  <c r="F31" i="35"/>
  <c r="J44" i="35"/>
  <c r="F11" i="29"/>
  <c r="F30" i="29"/>
  <c r="F22" i="29"/>
  <c r="J21" i="29"/>
  <c r="J22" i="29"/>
  <c r="F51" i="29"/>
  <c r="J50" i="29"/>
  <c r="F46" i="29"/>
  <c r="F48" i="29"/>
  <c r="J47" i="29"/>
  <c r="F25" i="29"/>
  <c r="J24" i="29"/>
  <c r="F19" i="29"/>
  <c r="J18" i="29"/>
  <c r="F14" i="29"/>
  <c r="F27" i="27"/>
  <c r="J26" i="27"/>
  <c r="J40" i="27"/>
  <c r="F33" i="27"/>
  <c r="F16" i="27"/>
  <c r="J15" i="27"/>
  <c r="F29" i="27"/>
  <c r="F45" i="27"/>
  <c r="J44" i="27"/>
  <c r="F17" i="28"/>
  <c r="J16" i="28"/>
  <c r="F41" i="28"/>
  <c r="J40" i="28"/>
  <c r="F40" i="28"/>
  <c r="F38" i="28"/>
  <c r="J37" i="28"/>
  <c r="F19" i="28"/>
  <c r="F52" i="30"/>
  <c r="J50" i="30"/>
  <c r="F46" i="30"/>
  <c r="F40" i="30"/>
  <c r="F29" i="30"/>
  <c r="J28" i="30"/>
  <c r="F26" i="41"/>
  <c r="J25" i="41"/>
  <c r="F48" i="41"/>
  <c r="J47" i="41"/>
  <c r="F47" i="41"/>
  <c r="J46" i="41"/>
  <c r="F35" i="41"/>
  <c r="J34" i="41"/>
  <c r="F33" i="41"/>
  <c r="J32" i="41"/>
  <c r="J26" i="33"/>
  <c r="F51" i="33"/>
  <c r="J19" i="33"/>
  <c r="F14" i="33"/>
  <c r="J13" i="33"/>
  <c r="F35" i="34"/>
  <c r="J34" i="34"/>
  <c r="F30" i="34"/>
  <c r="J29" i="34"/>
  <c r="F21" i="34"/>
  <c r="J20" i="34"/>
  <c r="F50" i="34"/>
  <c r="J49" i="34"/>
  <c r="F53" i="34"/>
  <c r="J52" i="34"/>
  <c r="F28" i="40"/>
  <c r="J27" i="40"/>
  <c r="F22" i="40"/>
  <c r="F16" i="40"/>
  <c r="J15" i="40"/>
  <c r="F34" i="40"/>
  <c r="J33" i="40"/>
  <c r="F33" i="40"/>
  <c r="J32" i="40"/>
  <c r="F51" i="40"/>
  <c r="J50" i="40"/>
  <c r="J18" i="32"/>
  <c r="F28" i="36"/>
  <c r="J27" i="36"/>
  <c r="F31" i="36"/>
  <c r="J30" i="36"/>
  <c r="F11" i="36"/>
  <c r="J10" i="36"/>
  <c r="F10" i="36"/>
  <c r="J9" i="36"/>
  <c r="F28" i="38"/>
  <c r="J27" i="38"/>
  <c r="F48" i="38"/>
  <c r="J47" i="38"/>
  <c r="F40" i="38"/>
  <c r="J39" i="38"/>
  <c r="F38" i="38"/>
  <c r="J37" i="38"/>
  <c r="F41" i="31"/>
  <c r="J40" i="31"/>
  <c r="F44" i="31"/>
  <c r="J18" i="31"/>
  <c r="F17" i="31"/>
  <c r="F14" i="31"/>
  <c r="F33" i="37"/>
  <c r="J32" i="37"/>
  <c r="F49" i="37"/>
  <c r="J48" i="37"/>
  <c r="J42" i="37"/>
  <c r="F26" i="37"/>
  <c r="J25" i="37"/>
  <c r="F45" i="37"/>
  <c r="J44" i="37"/>
  <c r="F40" i="39"/>
  <c r="J39" i="39"/>
  <c r="J13" i="39"/>
  <c r="F47" i="39"/>
  <c r="J46" i="39"/>
  <c r="J49" i="39"/>
  <c r="F25" i="35"/>
  <c r="F19" i="35"/>
  <c r="J18" i="35"/>
  <c r="J50" i="35"/>
  <c r="F32" i="35"/>
  <c r="J31" i="35"/>
  <c r="F22" i="35"/>
  <c r="J21" i="35"/>
  <c r="J53" i="35"/>
  <c r="F24" i="29"/>
  <c r="F35" i="29"/>
  <c r="J34" i="29"/>
  <c r="J25" i="29"/>
  <c r="J9" i="29"/>
  <c r="J36" i="27"/>
  <c r="F26" i="27"/>
  <c r="J25" i="27"/>
  <c r="F12" i="27"/>
  <c r="J11" i="27"/>
  <c r="J31" i="27"/>
  <c r="F30" i="27"/>
  <c r="J29" i="27"/>
  <c r="J17" i="28"/>
  <c r="F29" i="28"/>
  <c r="F12" i="28"/>
  <c r="J11" i="28"/>
  <c r="J13" i="28"/>
  <c r="J9" i="28"/>
  <c r="J38" i="28"/>
  <c r="F57" i="30"/>
  <c r="J55" i="30"/>
  <c r="F55" i="30"/>
  <c r="F50" i="30"/>
  <c r="J49" i="30"/>
  <c r="F44" i="30"/>
  <c r="J43" i="30"/>
  <c r="J16" i="30"/>
  <c r="F49" i="30"/>
  <c r="F37" i="41"/>
  <c r="J36" i="41"/>
  <c r="F20" i="41"/>
  <c r="F52" i="41"/>
  <c r="J51" i="41"/>
  <c r="F40" i="41"/>
  <c r="J39" i="41"/>
  <c r="F38" i="41"/>
  <c r="J37" i="41"/>
  <c r="F52" i="33"/>
  <c r="J51" i="33"/>
  <c r="J34" i="33"/>
  <c r="F24" i="33"/>
  <c r="J38" i="33"/>
  <c r="F33" i="33"/>
  <c r="J32" i="33"/>
  <c r="F27" i="34"/>
  <c r="J26" i="34"/>
  <c r="F18" i="34"/>
  <c r="J17" i="34"/>
  <c r="F34" i="34"/>
  <c r="F25" i="34"/>
  <c r="F41" i="34"/>
  <c r="J40" i="34"/>
  <c r="J23" i="34"/>
  <c r="J38" i="40"/>
  <c r="F20" i="40"/>
  <c r="J19" i="40"/>
  <c r="F15" i="36"/>
  <c r="J14" i="36"/>
  <c r="F22" i="27"/>
  <c r="J21" i="27"/>
  <c r="F48" i="27"/>
  <c r="J47" i="27"/>
  <c r="F20" i="27"/>
  <c r="F36" i="27"/>
  <c r="J35" i="27"/>
  <c r="F52" i="27"/>
  <c r="J27" i="27"/>
  <c r="F44" i="27"/>
  <c r="J43" i="27"/>
  <c r="F11" i="27"/>
  <c r="F24" i="27"/>
  <c r="F40" i="27"/>
  <c r="J39" i="27"/>
  <c r="J54" i="27"/>
  <c r="F34" i="28"/>
  <c r="J33" i="28"/>
  <c r="F37" i="28"/>
  <c r="F54" i="28"/>
  <c r="F20" i="28"/>
  <c r="J19" i="28"/>
  <c r="J35" i="28"/>
  <c r="F52" i="28"/>
  <c r="J51" i="28"/>
  <c r="F30" i="28"/>
  <c r="J29" i="28"/>
  <c r="J20" i="28"/>
  <c r="F15" i="28"/>
  <c r="F31" i="28"/>
  <c r="J30" i="28"/>
  <c r="F47" i="28"/>
  <c r="J19" i="30"/>
  <c r="J10" i="30"/>
  <c r="F43" i="30"/>
  <c r="F10" i="30"/>
  <c r="J9" i="30"/>
  <c r="F26" i="30"/>
  <c r="J25" i="30"/>
  <c r="J41" i="30"/>
  <c r="F12" i="30"/>
  <c r="J35" i="30"/>
  <c r="F15" i="30"/>
  <c r="F47" i="30"/>
  <c r="J46" i="30"/>
  <c r="F25" i="30"/>
  <c r="J24" i="30"/>
  <c r="F41" i="30"/>
  <c r="J40" i="30"/>
  <c r="F21" i="41"/>
  <c r="J20" i="41"/>
  <c r="F53" i="41"/>
  <c r="J52" i="41"/>
  <c r="F43" i="41"/>
  <c r="J13" i="41"/>
  <c r="F30" i="41"/>
  <c r="J29" i="41"/>
  <c r="F46" i="41"/>
  <c r="J45" i="41"/>
  <c r="F34" i="41"/>
  <c r="J33" i="41"/>
  <c r="F50" i="41"/>
  <c r="J49" i="41"/>
  <c r="F12" i="41"/>
  <c r="J11" i="41"/>
  <c r="F28" i="41"/>
  <c r="J27" i="41"/>
  <c r="F44" i="41"/>
  <c r="J43" i="41"/>
  <c r="F11" i="33"/>
  <c r="J10" i="33"/>
  <c r="F26" i="33"/>
  <c r="J25" i="33"/>
  <c r="F48" i="33"/>
  <c r="F18" i="33"/>
  <c r="J17" i="33"/>
  <c r="F15" i="33"/>
  <c r="J14" i="33"/>
  <c r="F29" i="33"/>
  <c r="J28" i="33"/>
  <c r="J46" i="33"/>
  <c r="F55" i="33"/>
  <c r="F28" i="33"/>
  <c r="F46" i="33"/>
  <c r="J45" i="33"/>
  <c r="F40" i="33"/>
  <c r="J53" i="33"/>
  <c r="F23" i="34"/>
  <c r="J22" i="34"/>
  <c r="F31" i="34"/>
  <c r="J30" i="34"/>
  <c r="J18" i="34"/>
  <c r="F26" i="34"/>
  <c r="J25" i="34"/>
  <c r="F43" i="34"/>
  <c r="F17" i="34"/>
  <c r="J16" i="34"/>
  <c r="J32" i="34"/>
  <c r="J45" i="34"/>
  <c r="F14" i="34"/>
  <c r="J13" i="34"/>
  <c r="F32" i="34"/>
  <c r="J31" i="34"/>
  <c r="F49" i="34"/>
  <c r="J48" i="34"/>
  <c r="F14" i="40"/>
  <c r="J13" i="40"/>
  <c r="F23" i="40"/>
  <c r="J22" i="40"/>
  <c r="F37" i="40"/>
  <c r="J36" i="40"/>
  <c r="F17" i="40"/>
  <c r="J16" i="40"/>
  <c r="F35" i="40"/>
  <c r="J34" i="40"/>
  <c r="F49" i="40"/>
  <c r="J11" i="40"/>
  <c r="J29" i="40"/>
  <c r="F44" i="40"/>
  <c r="J43" i="40"/>
  <c r="F15" i="40"/>
  <c r="J14" i="40"/>
  <c r="F29" i="40"/>
  <c r="J28" i="40"/>
  <c r="F47" i="40"/>
  <c r="J46" i="40"/>
  <c r="F12" i="32"/>
  <c r="J11" i="32"/>
  <c r="F17" i="32"/>
  <c r="F18" i="32"/>
  <c r="J17" i="32"/>
  <c r="F20" i="32"/>
  <c r="F23" i="36"/>
  <c r="J22" i="36"/>
  <c r="F27" i="36"/>
  <c r="J26" i="36"/>
  <c r="F55" i="36"/>
  <c r="F26" i="36"/>
  <c r="F40" i="36"/>
  <c r="J39" i="36"/>
  <c r="F21" i="36"/>
  <c r="J20" i="36"/>
  <c r="F39" i="36"/>
  <c r="J38" i="36"/>
  <c r="F53" i="36"/>
  <c r="J52" i="36"/>
  <c r="F20" i="36"/>
  <c r="J19" i="36"/>
  <c r="F38" i="36"/>
  <c r="J37" i="36"/>
  <c r="F52" i="36"/>
  <c r="J51" i="36"/>
  <c r="F44" i="38"/>
  <c r="J43" i="38"/>
  <c r="F29" i="38"/>
  <c r="J28" i="38"/>
  <c r="F21" i="38"/>
  <c r="J20" i="38"/>
  <c r="F11" i="38"/>
  <c r="J10" i="38"/>
  <c r="F27" i="38"/>
  <c r="J26" i="38"/>
  <c r="F43" i="38"/>
  <c r="J42" i="38"/>
  <c r="F17" i="38"/>
  <c r="J16" i="38"/>
  <c r="F33" i="38"/>
  <c r="J32" i="38"/>
  <c r="F47" i="38"/>
  <c r="J46" i="38"/>
  <c r="F15" i="38"/>
  <c r="J14" i="38"/>
  <c r="F31" i="38"/>
  <c r="J30" i="38"/>
  <c r="F50" i="38"/>
  <c r="J49" i="38"/>
  <c r="F37" i="31"/>
  <c r="J52" i="31"/>
  <c r="F24" i="31"/>
  <c r="F40" i="31"/>
  <c r="F57" i="31"/>
  <c r="J55" i="31"/>
  <c r="F15" i="31"/>
  <c r="J14" i="31"/>
  <c r="F31" i="31"/>
  <c r="J30" i="31"/>
  <c r="F47" i="31"/>
  <c r="J12" i="31"/>
  <c r="J9" i="31"/>
  <c r="J25" i="31"/>
  <c r="F42" i="31"/>
  <c r="J41" i="31"/>
  <c r="F12" i="37"/>
  <c r="F17" i="37"/>
  <c r="J16" i="37"/>
  <c r="F28" i="37"/>
  <c r="J27" i="37"/>
  <c r="F44" i="37"/>
  <c r="F22" i="37"/>
  <c r="J21" i="37"/>
  <c r="J37" i="37"/>
  <c r="F54" i="37"/>
  <c r="J53" i="37"/>
  <c r="F25" i="37"/>
  <c r="F41" i="37"/>
  <c r="J40" i="37"/>
  <c r="J23" i="37"/>
  <c r="F40" i="37"/>
  <c r="J39" i="37"/>
  <c r="F57" i="37"/>
  <c r="J55" i="37"/>
  <c r="F24" i="39"/>
  <c r="J23" i="39"/>
  <c r="J43" i="39"/>
  <c r="F48" i="39"/>
  <c r="J47" i="39"/>
  <c r="F27" i="39"/>
  <c r="F43" i="39"/>
  <c r="J42" i="39"/>
  <c r="F13" i="39"/>
  <c r="J12" i="39"/>
  <c r="F30" i="39"/>
  <c r="J29" i="39"/>
  <c r="F46" i="39"/>
  <c r="J45" i="39"/>
  <c r="F11" i="39"/>
  <c r="J10" i="39"/>
  <c r="F25" i="39"/>
  <c r="J24" i="39"/>
  <c r="F41" i="39"/>
  <c r="J40" i="39"/>
  <c r="F54" i="39"/>
  <c r="J53" i="39"/>
  <c r="F21" i="35"/>
  <c r="J47" i="35"/>
  <c r="F15" i="35"/>
  <c r="F29" i="35"/>
  <c r="J28" i="35"/>
  <c r="F47" i="35"/>
  <c r="J46" i="35"/>
  <c r="J13" i="35"/>
  <c r="F28" i="35"/>
  <c r="F46" i="35"/>
  <c r="J16" i="35"/>
  <c r="F35" i="35"/>
  <c r="J34" i="35"/>
  <c r="F49" i="35"/>
  <c r="F31" i="29"/>
  <c r="J30" i="29"/>
  <c r="F43" i="29"/>
  <c r="F47" i="29"/>
  <c r="J46" i="29"/>
  <c r="F12" i="29"/>
  <c r="J11" i="29"/>
  <c r="J41" i="29"/>
  <c r="F28" i="29"/>
  <c r="J27" i="29"/>
  <c r="F17" i="29"/>
  <c r="J44" i="29"/>
  <c r="J51" i="29"/>
  <c r="F33" i="29"/>
  <c r="J12" i="29"/>
  <c r="J54" i="29"/>
  <c r="F9" i="29"/>
  <c r="F7" i="29"/>
  <c r="F27" i="29"/>
  <c r="F15" i="29"/>
  <c r="F57" i="29"/>
  <c r="F9" i="33"/>
  <c r="F7" i="33"/>
  <c r="F9" i="38"/>
  <c r="F7" i="38"/>
  <c r="F9" i="37"/>
  <c r="F7" i="37"/>
  <c r="F9" i="39"/>
  <c r="F7" i="39"/>
  <c r="F9" i="27"/>
  <c r="F7" i="27"/>
  <c r="F9" i="41"/>
  <c r="F7" i="41"/>
  <c r="F9" i="28"/>
  <c r="F7" i="28"/>
  <c r="F7" i="40"/>
  <c r="F9" i="40"/>
  <c r="F9" i="32"/>
  <c r="F7" i="32"/>
  <c r="F7" i="36"/>
  <c r="F9" i="36"/>
  <c r="F9" i="31"/>
  <c r="F7" i="31"/>
  <c r="F7" i="34"/>
  <c r="F9" i="34"/>
  <c r="F7" i="30"/>
  <c r="F9" i="30"/>
  <c r="F9" i="35"/>
  <c r="F7" i="35"/>
  <c r="D57" i="3" l="1"/>
  <c r="L10" i="3"/>
  <c r="D11" i="3"/>
  <c r="L11" i="3" s="1"/>
  <c r="D12" i="3"/>
  <c r="L12" i="3" s="1"/>
  <c r="D13" i="3"/>
  <c r="L13" i="3" s="1"/>
  <c r="L14" i="3"/>
  <c r="D15" i="3"/>
  <c r="L15" i="3" s="1"/>
  <c r="D16" i="3"/>
  <c r="L16" i="3" s="1"/>
  <c r="D17" i="3"/>
  <c r="L17" i="3" s="1"/>
  <c r="L18" i="3"/>
  <c r="D19" i="3"/>
  <c r="L19" i="3" s="1"/>
  <c r="D20" i="3"/>
  <c r="L20" i="3" s="1"/>
  <c r="L21" i="3"/>
  <c r="D22" i="3"/>
  <c r="L22" i="3" s="1"/>
  <c r="D23" i="3"/>
  <c r="L23" i="3" s="1"/>
  <c r="D24" i="3"/>
  <c r="L24" i="3" s="1"/>
  <c r="L25" i="3"/>
  <c r="D26" i="3"/>
  <c r="L26" i="3" s="1"/>
  <c r="D27" i="3"/>
  <c r="L27" i="3" s="1"/>
  <c r="D28" i="3"/>
  <c r="L28" i="3" s="1"/>
  <c r="L29" i="3"/>
  <c r="D30" i="3"/>
  <c r="L30" i="3" s="1"/>
  <c r="D31" i="3"/>
  <c r="L31" i="3" s="1"/>
  <c r="D32" i="3"/>
  <c r="L32" i="3" s="1"/>
  <c r="L33" i="3"/>
  <c r="D34" i="3"/>
  <c r="L34" i="3" s="1"/>
  <c r="D35" i="3"/>
  <c r="L35" i="3" s="1"/>
  <c r="L36" i="3"/>
  <c r="D37" i="3"/>
  <c r="L37" i="3" s="1"/>
  <c r="D38" i="3"/>
  <c r="L38" i="3" s="1"/>
  <c r="D39" i="3"/>
  <c r="L39" i="3" s="1"/>
  <c r="L40" i="3"/>
  <c r="D41" i="3"/>
  <c r="L41" i="3" s="1"/>
  <c r="D42" i="3"/>
  <c r="L42" i="3" s="1"/>
  <c r="D43" i="3"/>
  <c r="L43" i="3" s="1"/>
  <c r="L44" i="3"/>
  <c r="D45" i="3"/>
  <c r="L45" i="3" s="1"/>
  <c r="D46" i="3"/>
  <c r="L46" i="3" s="1"/>
  <c r="D47" i="3"/>
  <c r="L47" i="3" s="1"/>
  <c r="L48" i="3"/>
  <c r="D49" i="3"/>
  <c r="L49" i="3" s="1"/>
  <c r="D50" i="3"/>
  <c r="L50" i="3" s="1"/>
  <c r="L51" i="3"/>
  <c r="D52" i="3"/>
  <c r="L52" i="3" s="1"/>
  <c r="D53" i="3"/>
  <c r="L53" i="3" s="1"/>
  <c r="D54" i="3"/>
  <c r="L54" i="3" s="1"/>
  <c r="L55" i="3"/>
  <c r="D9" i="3"/>
  <c r="L9" i="3" s="1"/>
  <c r="D7" i="3"/>
  <c r="L7" i="3" s="1"/>
  <c r="G52" i="3" l="1"/>
  <c r="H52" i="3" s="1"/>
  <c r="G32" i="3"/>
  <c r="H32" i="3" s="1"/>
  <c r="G28" i="3"/>
  <c r="H28" i="3" s="1"/>
  <c r="G24" i="3"/>
  <c r="H24" i="3" s="1"/>
  <c r="G20" i="3"/>
  <c r="H20" i="3" s="1"/>
  <c r="G16" i="3"/>
  <c r="H16" i="3" s="1"/>
  <c r="G12" i="3"/>
  <c r="H12" i="3" s="1"/>
  <c r="G47" i="3"/>
  <c r="H47" i="3" s="1"/>
  <c r="G43" i="3"/>
  <c r="H43" i="3" s="1"/>
  <c r="G39" i="3"/>
  <c r="H39" i="3" s="1"/>
  <c r="G35" i="3"/>
  <c r="H35" i="3" s="1"/>
  <c r="G31" i="3"/>
  <c r="H31" i="3" s="1"/>
  <c r="G27" i="3"/>
  <c r="H27" i="3" s="1"/>
  <c r="G23" i="3"/>
  <c r="H23" i="3" s="1"/>
  <c r="G19" i="3"/>
  <c r="H19" i="3" s="1"/>
  <c r="G15" i="3"/>
  <c r="H15" i="3" s="1"/>
  <c r="G11" i="3"/>
  <c r="H11" i="3" s="1"/>
  <c r="G7" i="3"/>
  <c r="H7" i="3" s="1"/>
  <c r="G9" i="3"/>
  <c r="H9" i="3" s="1"/>
  <c r="G54" i="3"/>
  <c r="H54" i="3" s="1"/>
  <c r="G50" i="3"/>
  <c r="H50" i="3" s="1"/>
  <c r="G46" i="3"/>
  <c r="H46" i="3" s="1"/>
  <c r="G42" i="3"/>
  <c r="H42" i="3" s="1"/>
  <c r="G57" i="3"/>
  <c r="H57" i="3" s="1"/>
  <c r="L57" i="3"/>
  <c r="G38" i="3"/>
  <c r="H38" i="3" s="1"/>
  <c r="G34" i="3"/>
  <c r="H34" i="3" s="1"/>
  <c r="G30" i="3"/>
  <c r="H30" i="3" s="1"/>
  <c r="G26" i="3"/>
  <c r="H26" i="3" s="1"/>
  <c r="G22" i="3"/>
  <c r="H22" i="3" s="1"/>
  <c r="G53" i="3"/>
  <c r="H53" i="3" s="1"/>
  <c r="G49" i="3"/>
  <c r="H49" i="3" s="1"/>
  <c r="G45" i="3"/>
  <c r="H45" i="3" s="1"/>
  <c r="G41" i="3"/>
  <c r="H41" i="3" s="1"/>
  <c r="G37" i="3"/>
  <c r="H37" i="3" s="1"/>
  <c r="G17" i="3"/>
  <c r="H17" i="3" s="1"/>
  <c r="G13" i="3"/>
  <c r="H13" i="3" s="1"/>
  <c r="I49" i="3" l="1"/>
  <c r="J49" i="3" s="1"/>
  <c r="I17" i="3"/>
  <c r="J17" i="3" s="1"/>
  <c r="I39" i="3"/>
  <c r="J39" i="3" s="1"/>
  <c r="I53" i="3"/>
  <c r="I32" i="3"/>
  <c r="J32" i="3" s="1"/>
  <c r="I16" i="3"/>
  <c r="I35" i="3"/>
  <c r="J35" i="3" s="1"/>
  <c r="I54" i="3"/>
  <c r="J54" i="3" s="1"/>
  <c r="I38" i="3"/>
  <c r="J38" i="3" s="1"/>
  <c r="I22" i="3"/>
  <c r="J22" i="3" s="1"/>
  <c r="I41" i="3"/>
  <c r="J41" i="3" s="1"/>
  <c r="I57" i="3"/>
  <c r="J57" i="3" s="1"/>
  <c r="P17" i="3" s="1"/>
  <c r="I31" i="3"/>
  <c r="J31" i="3" s="1"/>
  <c r="I45" i="3"/>
  <c r="I13" i="3"/>
  <c r="J13" i="3" s="1"/>
  <c r="I28" i="3"/>
  <c r="J28" i="3" s="1"/>
  <c r="I12" i="3"/>
  <c r="I27" i="3"/>
  <c r="J27" i="3" s="1"/>
  <c r="I50" i="3"/>
  <c r="J50" i="3" s="1"/>
  <c r="I34" i="3"/>
  <c r="J34" i="3" s="1"/>
  <c r="I23" i="3"/>
  <c r="J23" i="3" s="1"/>
  <c r="I37" i="3"/>
  <c r="I9" i="3"/>
  <c r="J9" i="3" s="1"/>
  <c r="I24" i="3"/>
  <c r="J24" i="3" s="1"/>
  <c r="I19" i="3"/>
  <c r="J19" i="3" s="1"/>
  <c r="I46" i="3"/>
  <c r="J46" i="3" s="1"/>
  <c r="I30" i="3"/>
  <c r="J30" i="3" s="1"/>
  <c r="I7" i="3"/>
  <c r="J7" i="3" s="1"/>
  <c r="I47" i="3"/>
  <c r="I15" i="3"/>
  <c r="J15" i="3" s="1"/>
  <c r="I52" i="3"/>
  <c r="J52" i="3" s="1"/>
  <c r="I20" i="3"/>
  <c r="J20" i="3" s="1"/>
  <c r="I43" i="3"/>
  <c r="J43" i="3" s="1"/>
  <c r="I11" i="3"/>
  <c r="J11" i="3" s="1"/>
  <c r="I42" i="3"/>
  <c r="J42" i="3" s="1"/>
  <c r="I26" i="3"/>
  <c r="J26" i="3" s="1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F38" i="3" l="1"/>
  <c r="F20" i="3"/>
  <c r="F24" i="3"/>
  <c r="F11" i="3"/>
  <c r="F34" i="3"/>
  <c r="F30" i="3"/>
  <c r="F50" i="3"/>
  <c r="F57" i="3"/>
  <c r="F35" i="3"/>
  <c r="F9" i="3"/>
  <c r="F28" i="3"/>
  <c r="F53" i="3"/>
  <c r="F31" i="3"/>
  <c r="F32" i="3"/>
  <c r="F26" i="3"/>
  <c r="F39" i="3"/>
  <c r="F22" i="3"/>
  <c r="F15" i="3"/>
  <c r="F13" i="3"/>
  <c r="F46" i="3"/>
  <c r="F54" i="3"/>
  <c r="F7" i="3"/>
  <c r="F43" i="3"/>
  <c r="F27" i="3"/>
  <c r="J47" i="3"/>
  <c r="F37" i="3"/>
  <c r="J37" i="3"/>
  <c r="J12" i="3"/>
  <c r="J45" i="3"/>
  <c r="J16" i="3"/>
  <c r="J53" i="3"/>
  <c r="F47" i="3"/>
  <c r="F52" i="3"/>
  <c r="F41" i="3"/>
  <c r="F12" i="3"/>
  <c r="F19" i="3"/>
  <c r="F45" i="3"/>
  <c r="F42" i="3"/>
  <c r="F16" i="3"/>
  <c r="F23" i="3"/>
  <c r="F17" i="3"/>
  <c r="F49" i="3"/>
  <c r="E7" i="3"/>
  <c r="E9" i="3"/>
  <c r="E11" i="3"/>
  <c r="E12" i="3"/>
  <c r="E13" i="3"/>
  <c r="E15" i="3"/>
  <c r="E16" i="3"/>
  <c r="E17" i="3"/>
  <c r="E19" i="3"/>
  <c r="E20" i="3"/>
  <c r="E22" i="3"/>
  <c r="E23" i="3"/>
  <c r="E24" i="3"/>
  <c r="E26" i="3"/>
  <c r="E27" i="3"/>
  <c r="E28" i="3"/>
  <c r="E30" i="3"/>
  <c r="E31" i="3"/>
  <c r="E32" i="3"/>
  <c r="E34" i="3"/>
  <c r="E35" i="3"/>
  <c r="E37" i="3"/>
  <c r="E38" i="3"/>
  <c r="E39" i="3"/>
  <c r="E41" i="3"/>
  <c r="E42" i="3"/>
  <c r="E43" i="3"/>
  <c r="E45" i="3"/>
  <c r="E46" i="3"/>
  <c r="E47" i="3"/>
  <c r="E49" i="3"/>
  <c r="E50" i="3"/>
  <c r="E52" i="3"/>
  <c r="E53" i="3"/>
  <c r="E54" i="3"/>
  <c r="E57" i="3"/>
  <c r="I52" i="32" l="1"/>
  <c r="I46" i="32"/>
  <c r="I42" i="32"/>
  <c r="I34" i="32"/>
  <c r="I30" i="32"/>
  <c r="I26" i="32"/>
  <c r="I43" i="32"/>
  <c r="I33" i="32"/>
  <c r="I39" i="32"/>
  <c r="I50" i="32"/>
  <c r="I40" i="32"/>
  <c r="I36" i="32"/>
  <c r="I28" i="32"/>
  <c r="I24" i="32"/>
  <c r="I57" i="32"/>
  <c r="J57" i="32" s="1"/>
  <c r="P17" i="32" s="1"/>
  <c r="I31" i="32"/>
  <c r="I27" i="32"/>
  <c r="I55" i="32"/>
  <c r="I49" i="32"/>
  <c r="I37" i="32"/>
  <c r="I23" i="32"/>
  <c r="I45" i="32"/>
  <c r="I53" i="32"/>
  <c r="I47" i="32"/>
  <c r="I21" i="32"/>
  <c r="F21" i="32" s="1"/>
  <c r="F42" i="32" l="1"/>
  <c r="F52" i="32"/>
  <c r="F46" i="32"/>
  <c r="J45" i="32"/>
  <c r="F37" i="32"/>
  <c r="J36" i="32"/>
  <c r="F27" i="32"/>
  <c r="J26" i="32"/>
  <c r="F43" i="32"/>
  <c r="J42" i="32"/>
  <c r="F26" i="32"/>
  <c r="F33" i="32"/>
  <c r="F30" i="32"/>
  <c r="J47" i="32"/>
  <c r="F24" i="32"/>
  <c r="J23" i="32"/>
  <c r="F28" i="32"/>
  <c r="J27" i="32"/>
  <c r="J24" i="32"/>
  <c r="J40" i="32"/>
  <c r="J50" i="32"/>
  <c r="F34" i="32"/>
  <c r="J33" i="32"/>
  <c r="F31" i="32"/>
  <c r="J30" i="32"/>
  <c r="F47" i="32"/>
  <c r="J46" i="32"/>
  <c r="F36" i="32"/>
  <c r="F50" i="32"/>
  <c r="J49" i="32"/>
  <c r="F49" i="32"/>
  <c r="F23" i="32"/>
  <c r="F39" i="32"/>
  <c r="J21" i="32"/>
  <c r="F57" i="32"/>
  <c r="J55" i="32"/>
  <c r="F55" i="32"/>
  <c r="J53" i="32"/>
  <c r="J37" i="32"/>
  <c r="J31" i="32"/>
  <c r="J28" i="32"/>
  <c r="F45" i="32"/>
  <c r="F40" i="32"/>
  <c r="J39" i="32"/>
  <c r="J43" i="32"/>
  <c r="J34" i="32"/>
  <c r="F53" i="32"/>
  <c r="J52" i="32"/>
  <c r="D46" i="26" l="1"/>
  <c r="E46" i="26" s="1"/>
  <c r="D47" i="26"/>
  <c r="D51" i="26"/>
  <c r="E51" i="26" s="1"/>
  <c r="D12" i="26"/>
  <c r="E12" i="26" s="1"/>
  <c r="D36" i="26"/>
  <c r="E36" i="26" s="1"/>
  <c r="D15" i="26"/>
  <c r="E15" i="26" s="1"/>
  <c r="D9" i="26"/>
  <c r="E9" i="26" s="1"/>
  <c r="D53" i="26"/>
  <c r="D48" i="26"/>
  <c r="E48" i="26" s="1"/>
  <c r="D32" i="26"/>
  <c r="E32" i="26" s="1"/>
  <c r="D25" i="26"/>
  <c r="E25" i="26" s="1"/>
  <c r="D24" i="26"/>
  <c r="E24" i="26" s="1"/>
  <c r="D41" i="26"/>
  <c r="E41" i="26" s="1"/>
  <c r="D45" i="26"/>
  <c r="E45" i="26" s="1"/>
  <c r="D43" i="26"/>
  <c r="E43" i="26" s="1"/>
  <c r="D11" i="26"/>
  <c r="E11" i="26" s="1"/>
  <c r="D26" i="26"/>
  <c r="E26" i="26" s="1"/>
  <c r="D14" i="26"/>
  <c r="L14" i="26" s="1"/>
  <c r="D16" i="26"/>
  <c r="D29" i="26"/>
  <c r="L29" i="26" s="1"/>
  <c r="D35" i="26"/>
  <c r="E35" i="26" s="1"/>
  <c r="D42" i="26"/>
  <c r="D57" i="26"/>
  <c r="E57" i="26" s="1"/>
  <c r="D27" i="26"/>
  <c r="G27" i="26" s="1"/>
  <c r="H27" i="26" s="1"/>
  <c r="D30" i="26"/>
  <c r="E30" i="26" s="1"/>
  <c r="D52" i="26"/>
  <c r="G52" i="26" s="1"/>
  <c r="H52" i="26" s="1"/>
  <c r="D31" i="26"/>
  <c r="D10" i="26"/>
  <c r="D19" i="26"/>
  <c r="L19" i="26" s="1"/>
  <c r="E19" i="26"/>
  <c r="D17" i="26"/>
  <c r="E17" i="26" s="1"/>
  <c r="D50" i="26"/>
  <c r="D34" i="26"/>
  <c r="E34" i="26" s="1"/>
  <c r="D40" i="26"/>
  <c r="E40" i="26" s="1"/>
  <c r="D21" i="26"/>
  <c r="E21" i="26" s="1"/>
  <c r="D20" i="26"/>
  <c r="E20" i="26" s="1"/>
  <c r="D22" i="26"/>
  <c r="E22" i="26" s="1"/>
  <c r="D37" i="26"/>
  <c r="E37" i="26" s="1"/>
  <c r="D55" i="26"/>
  <c r="E55" i="26" s="1"/>
  <c r="D39" i="26"/>
  <c r="E39" i="26" s="1"/>
  <c r="E14" i="69"/>
  <c r="E13" i="69"/>
  <c r="E10" i="69"/>
  <c r="E11" i="69"/>
  <c r="E15" i="69"/>
  <c r="E9" i="69"/>
  <c r="E12" i="69"/>
  <c r="E16" i="69"/>
  <c r="L51" i="26"/>
  <c r="D7" i="26"/>
  <c r="E7" i="26" s="1"/>
  <c r="L20" i="26" l="1"/>
  <c r="L45" i="26"/>
  <c r="L46" i="26"/>
  <c r="L15" i="26"/>
  <c r="L22" i="26"/>
  <c r="L12" i="26"/>
  <c r="L26" i="26"/>
  <c r="L48" i="26"/>
  <c r="L17" i="26"/>
  <c r="L57" i="26"/>
  <c r="L28" i="26"/>
  <c r="L9" i="26"/>
  <c r="L44" i="26"/>
  <c r="L30" i="26"/>
  <c r="L35" i="26"/>
  <c r="G16" i="26"/>
  <c r="H16" i="26" s="1"/>
  <c r="G31" i="26"/>
  <c r="H31" i="26" s="1"/>
  <c r="G57" i="26"/>
  <c r="H57" i="26" s="1"/>
  <c r="G47" i="26"/>
  <c r="H47" i="26" s="1"/>
  <c r="G35" i="26"/>
  <c r="H35" i="26" s="1"/>
  <c r="L36" i="26"/>
  <c r="L34" i="26"/>
  <c r="G50" i="26"/>
  <c r="H50" i="26" s="1"/>
  <c r="L25" i="26"/>
  <c r="L43" i="26"/>
  <c r="G26" i="26"/>
  <c r="H26" i="26" s="1"/>
  <c r="G48" i="26"/>
  <c r="H48" i="26" s="1"/>
  <c r="L16" i="26"/>
  <c r="L40" i="26"/>
  <c r="L13" i="26"/>
  <c r="L41" i="26"/>
  <c r="L54" i="26"/>
  <c r="L27" i="26"/>
  <c r="L47" i="26"/>
  <c r="G14" i="26"/>
  <c r="H14" i="26" s="1"/>
  <c r="L11" i="26"/>
  <c r="L31" i="26"/>
  <c r="G20" i="26"/>
  <c r="H20" i="26" s="1"/>
  <c r="G17" i="26"/>
  <c r="H17" i="26" s="1"/>
  <c r="G10" i="26"/>
  <c r="H10" i="26" s="1"/>
  <c r="G29" i="26"/>
  <c r="H29" i="26" s="1"/>
  <c r="G55" i="26"/>
  <c r="H55" i="26" s="1"/>
  <c r="E31" i="26"/>
  <c r="G42" i="26"/>
  <c r="H42" i="26" s="1"/>
  <c r="E16" i="26"/>
  <c r="G41" i="26"/>
  <c r="H41" i="26" s="1"/>
  <c r="G9" i="26"/>
  <c r="H9" i="26" s="1"/>
  <c r="E47" i="26"/>
  <c r="G53" i="26"/>
  <c r="H53" i="26" s="1"/>
  <c r="G15" i="26"/>
  <c r="H15" i="26" s="1"/>
  <c r="G12" i="26"/>
  <c r="H12" i="26" s="1"/>
  <c r="G51" i="26"/>
  <c r="H51" i="26" s="1"/>
  <c r="L32" i="26"/>
  <c r="L33" i="26"/>
  <c r="L49" i="26"/>
  <c r="L18" i="26"/>
  <c r="L50" i="26"/>
  <c r="G22" i="26"/>
  <c r="H22" i="26" s="1"/>
  <c r="L37" i="26"/>
  <c r="G40" i="26"/>
  <c r="H40" i="26" s="1"/>
  <c r="G34" i="26"/>
  <c r="H34" i="26" s="1"/>
  <c r="G19" i="26"/>
  <c r="H19" i="26" s="1"/>
  <c r="G30" i="26"/>
  <c r="H30" i="26" s="1"/>
  <c r="G36" i="26"/>
  <c r="H36" i="26" s="1"/>
  <c r="G43" i="26"/>
  <c r="H43" i="26" s="1"/>
  <c r="G25" i="26"/>
  <c r="H25" i="26" s="1"/>
  <c r="L52" i="26"/>
  <c r="L21" i="26"/>
  <c r="L53" i="26"/>
  <c r="L38" i="26"/>
  <c r="G7" i="26"/>
  <c r="L24" i="26"/>
  <c r="L10" i="26"/>
  <c r="L42" i="26"/>
  <c r="L7" i="26"/>
  <c r="L23" i="26"/>
  <c r="L39" i="26"/>
  <c r="L55" i="26"/>
  <c r="G39" i="26"/>
  <c r="H39" i="26" s="1"/>
  <c r="G37" i="26"/>
  <c r="H37" i="26" s="1"/>
  <c r="G21" i="26"/>
  <c r="H21" i="26" s="1"/>
  <c r="E50" i="26"/>
  <c r="E10" i="26"/>
  <c r="E52" i="26"/>
  <c r="E27" i="26"/>
  <c r="E42" i="26"/>
  <c r="E29" i="26"/>
  <c r="E14" i="26"/>
  <c r="G11" i="26"/>
  <c r="H11" i="26" s="1"/>
  <c r="G45" i="26"/>
  <c r="H45" i="26" s="1"/>
  <c r="G24" i="26"/>
  <c r="H24" i="26" s="1"/>
  <c r="G32" i="26"/>
  <c r="H32" i="26" s="1"/>
  <c r="E53" i="26"/>
  <c r="G46" i="26"/>
  <c r="H46" i="26" s="1"/>
  <c r="I50" i="26" l="1"/>
  <c r="I34" i="26"/>
  <c r="I15" i="26"/>
  <c r="I53" i="26"/>
  <c r="I16" i="26"/>
  <c r="I42" i="26"/>
  <c r="I10" i="26"/>
  <c r="I48" i="26"/>
  <c r="I22" i="26"/>
  <c r="I37" i="26"/>
  <c r="I30" i="26"/>
  <c r="I41" i="26"/>
  <c r="I24" i="26"/>
  <c r="I21" i="26"/>
  <c r="I47" i="26"/>
  <c r="I32" i="26"/>
  <c r="I27" i="26"/>
  <c r="I25" i="26"/>
  <c r="I36" i="26"/>
  <c r="I40" i="26"/>
  <c r="I20" i="26"/>
  <c r="I11" i="26"/>
  <c r="I19" i="26"/>
  <c r="I55" i="26"/>
  <c r="I31" i="26"/>
  <c r="I35" i="26"/>
  <c r="I12" i="26"/>
  <c r="I14" i="26"/>
  <c r="I39" i="26"/>
  <c r="I51" i="26"/>
  <c r="I57" i="26"/>
  <c r="J57" i="26" s="1"/>
  <c r="P17" i="26" s="1"/>
  <c r="I45" i="26"/>
  <c r="I52" i="26"/>
  <c r="I17" i="26"/>
  <c r="I46" i="26"/>
  <c r="I7" i="26"/>
  <c r="I43" i="26"/>
  <c r="I9" i="26"/>
  <c r="H7" i="26"/>
  <c r="I29" i="26"/>
  <c r="I26" i="26"/>
  <c r="F9" i="26" l="1"/>
  <c r="J7" i="26"/>
  <c r="F7" i="26"/>
  <c r="F19" i="26"/>
  <c r="F32" i="26"/>
  <c r="J31" i="26"/>
  <c r="J25" i="26"/>
  <c r="F26" i="26"/>
  <c r="F11" i="26"/>
  <c r="J10" i="26"/>
  <c r="F47" i="26"/>
  <c r="J46" i="26"/>
  <c r="J51" i="26"/>
  <c r="F52" i="26"/>
  <c r="J12" i="26"/>
  <c r="F57" i="26"/>
  <c r="J55" i="26"/>
  <c r="J40" i="26"/>
  <c r="F41" i="26"/>
  <c r="J27" i="26"/>
  <c r="F25" i="26"/>
  <c r="J24" i="26"/>
  <c r="J37" i="26"/>
  <c r="F43" i="26"/>
  <c r="J42" i="26"/>
  <c r="J34" i="26"/>
  <c r="F35" i="26"/>
  <c r="J20" i="26"/>
  <c r="F21" i="26"/>
  <c r="F22" i="26"/>
  <c r="J21" i="26"/>
  <c r="F31" i="26"/>
  <c r="J30" i="26"/>
  <c r="F45" i="26"/>
  <c r="F10" i="26"/>
  <c r="J9" i="26"/>
  <c r="F46" i="26"/>
  <c r="J45" i="26"/>
  <c r="F34" i="26"/>
  <c r="F55" i="26"/>
  <c r="J32" i="26"/>
  <c r="F29" i="26"/>
  <c r="J22" i="26"/>
  <c r="F17" i="26"/>
  <c r="J16" i="26"/>
  <c r="F50" i="26"/>
  <c r="F14" i="26"/>
  <c r="F16" i="26"/>
  <c r="J15" i="26"/>
  <c r="F53" i="26"/>
  <c r="J52" i="26"/>
  <c r="F27" i="26"/>
  <c r="J26" i="26"/>
  <c r="J17" i="26"/>
  <c r="J39" i="26"/>
  <c r="F40" i="26"/>
  <c r="J19" i="26"/>
  <c r="F20" i="26"/>
  <c r="J29" i="26"/>
  <c r="F30" i="26"/>
  <c r="J43" i="26"/>
  <c r="F24" i="26"/>
  <c r="F39" i="26"/>
  <c r="J14" i="26"/>
  <c r="F15" i="26"/>
  <c r="J35" i="26"/>
  <c r="F36" i="26"/>
  <c r="J11" i="26"/>
  <c r="F12" i="26"/>
  <c r="J36" i="26"/>
  <c r="F37" i="26"/>
  <c r="J47" i="26"/>
  <c r="F48" i="26"/>
  <c r="J41" i="26"/>
  <c r="F42" i="26"/>
  <c r="J48" i="26"/>
  <c r="J53" i="26"/>
  <c r="F51" i="26"/>
  <c r="J50" i="26"/>
</calcChain>
</file>

<file path=xl/sharedStrings.xml><?xml version="1.0" encoding="utf-8"?>
<sst xmlns="http://schemas.openxmlformats.org/spreadsheetml/2006/main" count="1147" uniqueCount="250">
  <si>
    <t>인원</t>
    <phoneticPr fontId="1" type="noConversion"/>
  </si>
  <si>
    <t>표준점수</t>
    <phoneticPr fontId="1" type="noConversion"/>
  </si>
  <si>
    <t>표준편차</t>
    <phoneticPr fontId="1" type="noConversion"/>
  </si>
  <si>
    <t>응시자 수</t>
    <phoneticPr fontId="1" type="noConversion"/>
  </si>
  <si>
    <t>평균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</si>
  <si>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</si>
  <si>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</si>
  <si>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</si>
  <si>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</si>
  <si>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</si>
  <si>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</si>
  <si>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</si>
  <si>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</si>
  <si>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</si>
  <si>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</si>
  <si>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</si>
  <si>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</si>
  <si>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</si>
  <si>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물리Ⅰ</t>
    <phoneticPr fontId="1" type="noConversion"/>
  </si>
  <si>
    <t>생명과학Ⅰ</t>
    <phoneticPr fontId="1" type="noConversion"/>
  </si>
  <si>
    <t>지구과학Ⅰ</t>
    <phoneticPr fontId="1" type="noConversion"/>
  </si>
  <si>
    <t>물리Ⅱ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</si>
  <si>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</si>
  <si>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</si>
  <si>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</si>
  <si>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</si>
  <si>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물리Ⅱ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</si>
  <si>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</si>
  <si>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</si>
  <si>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</si>
  <si>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</si>
  <si>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</si>
  <si>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</si>
  <si>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</si>
  <si>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</si>
  <si>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</si>
  <si>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</si>
  <si>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</si>
  <si>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</si>
  <si>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</si>
  <si>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</si>
  <si>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</si>
  <si>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</si>
  <si>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</si>
  <si>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</si>
  <si>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생</t>
    <phoneticPr fontId="1" type="noConversion"/>
  </si>
  <si>
    <t>윤</t>
    <phoneticPr fontId="1" type="noConversion"/>
  </si>
  <si>
    <t>한</t>
    <phoneticPr fontId="1" type="noConversion"/>
  </si>
  <si>
    <t>세</t>
    <phoneticPr fontId="1" type="noConversion"/>
  </si>
  <si>
    <t>동</t>
    <phoneticPr fontId="1" type="noConversion"/>
  </si>
  <si>
    <t>경</t>
    <phoneticPr fontId="1" type="noConversion"/>
  </si>
  <si>
    <t>사</t>
    <phoneticPr fontId="1" type="noConversion"/>
  </si>
  <si>
    <t>물1</t>
    <phoneticPr fontId="1" type="noConversion"/>
  </si>
  <si>
    <t>화1</t>
    <phoneticPr fontId="1" type="noConversion"/>
  </si>
  <si>
    <t>생1</t>
    <phoneticPr fontId="1" type="noConversion"/>
  </si>
  <si>
    <t>지1</t>
    <phoneticPr fontId="1" type="noConversion"/>
  </si>
  <si>
    <t>물2</t>
    <phoneticPr fontId="1" type="noConversion"/>
  </si>
  <si>
    <t>화2</t>
    <phoneticPr fontId="1" type="noConversion"/>
  </si>
  <si>
    <t>생2</t>
    <phoneticPr fontId="1" type="noConversion"/>
  </si>
  <si>
    <t>지2</t>
    <phoneticPr fontId="1" type="noConversion"/>
  </si>
  <si>
    <t>이 아래로 붙여넣기</t>
    <phoneticPr fontId="1" type="noConversion"/>
  </si>
  <si>
    <t>.</t>
    <phoneticPr fontId="1" type="noConversion"/>
  </si>
  <si>
    <t>정치와 법</t>
    <phoneticPr fontId="1" type="noConversion"/>
  </si>
  <si>
    <t>물리학Ⅰ</t>
    <phoneticPr fontId="1" type="noConversion"/>
  </si>
  <si>
    <t>물리학Ⅱ</t>
    <phoneticPr fontId="1" type="noConversion"/>
  </si>
  <si>
    <t>정</t>
    <phoneticPr fontId="1" type="noConversion"/>
  </si>
  <si>
    <t>영</t>
    <phoneticPr fontId="1" type="noConversion"/>
  </si>
  <si>
    <t>한</t>
    <phoneticPr fontId="1" type="noConversion"/>
  </si>
  <si>
    <t>공업 일반</t>
    <phoneticPr fontId="1" type="noConversion"/>
  </si>
  <si>
    <t>상업 경제</t>
    <phoneticPr fontId="1" type="noConversion"/>
  </si>
  <si>
    <t>인간 발달</t>
    <phoneticPr fontId="1" type="noConversion"/>
  </si>
  <si>
    <t>오차 경고</t>
    <phoneticPr fontId="1" type="noConversion"/>
  </si>
  <si>
    <t>성공적인 직업생활</t>
    <phoneticPr fontId="1" type="noConversion"/>
  </si>
  <si>
    <t>농업 기초 기술</t>
    <phoneticPr fontId="1" type="noConversion"/>
  </si>
  <si>
    <t>수산∙해운 산업 기초</t>
    <phoneticPr fontId="1" type="noConversion"/>
  </si>
  <si>
    <t>B2:K58</t>
    <phoneticPr fontId="1" type="noConversion"/>
  </si>
  <si>
    <t>B2:K16</t>
    <phoneticPr fontId="1" type="noConversion"/>
  </si>
  <si>
    <t>독일어Ⅰ</t>
  </si>
  <si>
    <t>프랑스어Ⅰ</t>
  </si>
  <si>
    <t>스페인어Ⅰ</t>
  </si>
  <si>
    <t>중국어Ⅰ</t>
  </si>
  <si>
    <t>일본어Ⅰ</t>
  </si>
  <si>
    <t>러시아어Ⅰ</t>
  </si>
  <si>
    <t>한문Ⅰ</t>
  </si>
  <si>
    <t>제2외국어/한문 (독일어Ⅰ)</t>
    <phoneticPr fontId="1" type="noConversion"/>
  </si>
  <si>
    <t>독</t>
    <phoneticPr fontId="1" type="noConversion"/>
  </si>
  <si>
    <t>프</t>
    <phoneticPr fontId="1" type="noConversion"/>
  </si>
  <si>
    <t>스</t>
    <phoneticPr fontId="1" type="noConversion"/>
  </si>
  <si>
    <t>중</t>
    <phoneticPr fontId="1" type="noConversion"/>
  </si>
  <si>
    <t>일</t>
    <phoneticPr fontId="1" type="noConversion"/>
  </si>
  <si>
    <t>러</t>
    <phoneticPr fontId="1" type="noConversion"/>
  </si>
  <si>
    <t>제2외국어/한문 (프랑스어Ⅰ)</t>
    <phoneticPr fontId="1" type="noConversion"/>
  </si>
  <si>
    <t>제2외국어/한문 (스페인어Ⅰ)</t>
    <phoneticPr fontId="1" type="noConversion"/>
  </si>
  <si>
    <t>제2외국어/한문 (중국어Ⅰ)</t>
    <phoneticPr fontId="1" type="noConversion"/>
  </si>
  <si>
    <t>제2외국어/한문 (일본어Ⅰ)</t>
    <phoneticPr fontId="1" type="noConversion"/>
  </si>
  <si>
    <t>제2외국어/한문 (러시아어Ⅰ)</t>
    <phoneticPr fontId="1" type="noConversion"/>
  </si>
  <si>
    <t>제2외국어/한문 (한문Ⅰ)</t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</si>
  <si>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</si>
  <si>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</si>
  <si>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3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수</t>
    </r>
    <phoneticPr fontId="1" type="noConversion"/>
  </si>
  <si>
    <r>
      <rPr>
        <sz val="12"/>
        <color theme="1"/>
        <rFont val="맑은 고딕"/>
        <family val="3"/>
        <charset val="129"/>
      </rPr>
      <t>과목</t>
    </r>
    <phoneticPr fontId="1" type="noConversion"/>
  </si>
  <si>
    <r>
      <rPr>
        <sz val="12"/>
        <color theme="1"/>
        <rFont val="맑은 고딕"/>
        <family val="3"/>
        <charset val="129"/>
      </rPr>
      <t>한국사</t>
    </r>
    <phoneticPr fontId="1" type="noConversion"/>
  </si>
  <si>
    <r>
      <rPr>
        <sz val="12"/>
        <color theme="1"/>
        <rFont val="맑은 고딕"/>
        <family val="3"/>
        <charset val="129"/>
      </rPr>
      <t>표준편차</t>
    </r>
    <phoneticPr fontId="1" type="noConversion"/>
  </si>
  <si>
    <r>
      <rPr>
        <sz val="12"/>
        <color theme="1"/>
        <rFont val="맑은 고딕"/>
        <family val="3"/>
        <charset val="129"/>
      </rPr>
      <t>영어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</si>
  <si>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</si>
  <si>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등급컷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</si>
  <si>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</si>
  <si>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</si>
  <si>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</si>
  <si>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</si>
  <si>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</si>
  <si>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</si>
  <si>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</si>
  <si>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</si>
  <si>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인간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발달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</si>
  <si>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수산∙해운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산업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기초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</si>
  <si>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상업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</si>
  <si>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공업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일반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</si>
  <si>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농업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기초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기술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</si>
  <si>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성공적인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직업생활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</si>
  <si>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</si>
  <si>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</si>
  <si>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</si>
  <si>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</si>
  <si>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</si>
  <si>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</si>
  <si>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</si>
  <si>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</si>
  <si>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</si>
  <si>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</si>
  <si>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</si>
  <si>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</si>
  <si>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</si>
  <si>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</si>
  <si>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</si>
  <si>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</si>
  <si>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</si>
  <si>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</si>
  <si>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</si>
  <si>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</si>
  <si>
    <r>
      <rPr>
        <b/>
        <sz val="13"/>
        <color theme="1"/>
        <rFont val="맑은 고딕"/>
        <family val="3"/>
        <charset val="129"/>
      </rPr>
      <t>직업탐구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</si>
  <si>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성공적인</t>
    </r>
    <r>
      <rPr>
        <b/>
        <sz val="13"/>
        <color theme="1"/>
        <rFont val="Microsoft Sans Serif"/>
        <family val="2"/>
      </rPr>
      <t xml:space="preserve">    </t>
    </r>
    <r>
      <rPr>
        <b/>
        <sz val="13"/>
        <color theme="1"/>
        <rFont val="맑은 고딕"/>
        <family val="3"/>
        <charset val="129"/>
      </rPr>
      <t>직업생활</t>
    </r>
    <phoneticPr fontId="1" type="noConversion"/>
  </si>
  <si>
    <r>
      <rPr>
        <b/>
        <sz val="13"/>
        <color theme="1"/>
        <rFont val="맑은 고딕"/>
        <family val="3"/>
        <charset val="129"/>
      </rPr>
      <t>농업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기초</t>
    </r>
    <r>
      <rPr>
        <b/>
        <sz val="13"/>
        <color theme="1"/>
        <rFont val="Microsoft Sans Serif"/>
        <family val="2"/>
      </rPr>
      <t xml:space="preserve">   </t>
    </r>
    <r>
      <rPr>
        <b/>
        <sz val="13"/>
        <color theme="1"/>
        <rFont val="맑은 고딕"/>
        <family val="3"/>
        <charset val="129"/>
      </rPr>
      <t>기술</t>
    </r>
    <phoneticPr fontId="1" type="noConversion"/>
  </si>
  <si>
    <r>
      <rPr>
        <b/>
        <sz val="13"/>
        <color theme="1"/>
        <rFont val="맑은 고딕"/>
        <family val="3"/>
        <charset val="129"/>
      </rPr>
      <t>공업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일반</t>
    </r>
    <phoneticPr fontId="1" type="noConversion"/>
  </si>
  <si>
    <r>
      <rPr>
        <b/>
        <sz val="13"/>
        <color theme="1"/>
        <rFont val="맑은 고딕"/>
        <family val="3"/>
        <charset val="129"/>
      </rPr>
      <t>상업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</si>
  <si>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수산∙해운</t>
    </r>
    <r>
      <rPr>
        <b/>
        <sz val="13"/>
        <color theme="1"/>
        <rFont val="Microsoft Sans Serif"/>
        <family val="2"/>
      </rPr>
      <t xml:space="preserve">   </t>
    </r>
    <r>
      <rPr>
        <b/>
        <sz val="13"/>
        <color theme="1"/>
        <rFont val="맑은 고딕"/>
        <family val="3"/>
        <charset val="129"/>
      </rPr>
      <t>산업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기초</t>
    </r>
    <phoneticPr fontId="1" type="noConversion"/>
  </si>
  <si>
    <r>
      <rPr>
        <b/>
        <sz val="13"/>
        <color theme="1"/>
        <rFont val="맑은 고딕"/>
        <family val="3"/>
        <charset val="129"/>
      </rPr>
      <t>인간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발달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</si>
  <si>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</si>
  <si>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</si>
  <si>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</si>
  <si>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</si>
  <si>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</si>
  <si>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</si>
  <si>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</si>
  <si>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</si>
  <si>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</si>
  <si>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사회∙문화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</si>
  <si>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</si>
  <si>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</si>
  <si>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</si>
  <si>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</si>
  <si>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</si>
  <si>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</si>
  <si>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</si>
  <si>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</si>
  <si>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</si>
  <si>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</si>
  <si>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</si>
  <si>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</si>
  <si>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</si>
  <si>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</si>
  <si>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</si>
  <si>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</si>
  <si>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지구과학Ⅱ</t>
    </r>
    <phoneticPr fontId="1" type="noConversion"/>
  </si>
  <si>
    <t>수산</t>
    <phoneticPr fontId="1" type="noConversion"/>
  </si>
  <si>
    <t>성직</t>
    <phoneticPr fontId="1" type="noConversion"/>
  </si>
  <si>
    <t>농업</t>
    <phoneticPr fontId="1" type="noConversion"/>
  </si>
  <si>
    <t>공업</t>
    <phoneticPr fontId="1" type="noConversion"/>
  </si>
  <si>
    <t>상업</t>
    <phoneticPr fontId="1" type="noConversion"/>
  </si>
  <si>
    <t>인간</t>
    <phoneticPr fontId="1" type="noConversion"/>
  </si>
  <si>
    <t>2024학년도 10월 고3 전국연합학력평가</t>
  </si>
  <si>
    <r>
      <t>2024</t>
    </r>
    <r>
      <rPr>
        <sz val="12"/>
        <color theme="1"/>
        <rFont val="맑은 고딕"/>
        <family val="3"/>
        <charset val="129"/>
        <scheme val="major"/>
      </rPr>
      <t>학년도</t>
    </r>
    <r>
      <rPr>
        <sz val="12"/>
        <color theme="1"/>
        <rFont val="Microsoft Sans Serif"/>
        <family val="2"/>
      </rPr>
      <t xml:space="preserve"> 10</t>
    </r>
    <r>
      <rPr>
        <sz val="12"/>
        <color theme="1"/>
        <rFont val="맑은 고딕"/>
        <family val="3"/>
        <charset val="129"/>
        <scheme val="major"/>
      </rPr>
      <t>월 고</t>
    </r>
    <r>
      <rPr>
        <sz val="12"/>
        <color theme="1"/>
        <rFont val="Microsoft Sans Serif"/>
        <family val="2"/>
      </rPr>
      <t xml:space="preserve">3 </t>
    </r>
    <r>
      <rPr>
        <sz val="12"/>
        <color theme="1"/>
        <rFont val="맑은 고딕"/>
        <family val="3"/>
        <charset val="129"/>
        <scheme val="major"/>
      </rPr>
      <t>전국연합학력평가</t>
    </r>
    <phoneticPr fontId="1" type="noConversion"/>
  </si>
  <si>
    <r>
      <t>2024</t>
    </r>
    <r>
      <rPr>
        <sz val="12"/>
        <color theme="1"/>
        <rFont val="맑은 고딕"/>
        <family val="3"/>
        <charset val="129"/>
        <scheme val="major"/>
      </rPr>
      <t>학년도</t>
    </r>
    <r>
      <rPr>
        <sz val="12"/>
        <color theme="1"/>
        <rFont val="Microsoft Sans Serif"/>
        <family val="2"/>
      </rPr>
      <t xml:space="preserve"> 10</t>
    </r>
    <r>
      <rPr>
        <sz val="12"/>
        <color theme="1"/>
        <rFont val="맑은 고딕"/>
        <family val="3"/>
        <charset val="129"/>
        <scheme val="major"/>
      </rPr>
      <t>월 고</t>
    </r>
    <r>
      <rPr>
        <sz val="12"/>
        <color theme="1"/>
        <rFont val="Microsoft Sans Serif"/>
        <family val="2"/>
      </rPr>
      <t>3</t>
    </r>
    <r>
      <rPr>
        <sz val="12"/>
        <color theme="1"/>
        <rFont val="맑은 고딕"/>
        <family val="3"/>
        <charset val="129"/>
        <scheme val="major"/>
      </rPr>
      <t xml:space="preserve"> 전국연합학력평가</t>
    </r>
    <phoneticPr fontId="1" type="noConversion"/>
  </si>
  <si>
    <r>
      <t xml:space="preserve">작성자 : 크럭스 모의고사(수능)자료분석팀장 </t>
    </r>
    <r>
      <rPr>
        <b/>
        <sz val="10"/>
        <color rgb="FF888888"/>
        <rFont val="맑은 고딕"/>
        <family val="3"/>
        <charset val="129"/>
        <scheme val="minor"/>
      </rPr>
      <t>환동</t>
    </r>
    <phoneticPr fontId="1" type="noConversion"/>
  </si>
  <si>
    <r>
      <t xml:space="preserve">작성자 : 크럭스 모의고사(수능)자료분석팀장 </t>
    </r>
    <r>
      <rPr>
        <b/>
        <sz val="16"/>
        <color rgb="FF888888"/>
        <rFont val="맑은 고딕"/>
        <family val="3"/>
        <charset val="129"/>
        <scheme val="minor"/>
      </rPr>
      <t>환동</t>
    </r>
    <phoneticPr fontId="1" type="noConversion"/>
  </si>
  <si>
    <r>
      <t xml:space="preserve"> </t>
    </r>
    <r>
      <rPr>
        <sz val="12"/>
        <color theme="1"/>
        <rFont val="맑은 고딕"/>
        <family val="2"/>
        <charset val="129"/>
      </rPr>
      <t>탐구 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모아보기</t>
    </r>
    <phoneticPr fontId="1" type="noConversion"/>
  </si>
  <si>
    <t>62.15</t>
  </si>
  <si>
    <t>22.94</t>
  </si>
  <si>
    <t>26.62</t>
  </si>
  <si>
    <t>11.51</t>
  </si>
  <si>
    <t>24.39</t>
  </si>
  <si>
    <t>13.66</t>
  </si>
  <si>
    <t>22.12</t>
  </si>
  <si>
    <t>12.49</t>
  </si>
  <si>
    <t>23.03</t>
  </si>
  <si>
    <t>12.81</t>
  </si>
  <si>
    <t>28.26</t>
  </si>
  <si>
    <t>13.88</t>
  </si>
  <si>
    <t>27.13</t>
  </si>
  <si>
    <t>14.50</t>
  </si>
  <si>
    <t>25.85</t>
  </si>
  <si>
    <t>14.76</t>
  </si>
  <si>
    <t>24.37</t>
  </si>
  <si>
    <t>14.34</t>
  </si>
  <si>
    <t>28.33</t>
  </si>
  <si>
    <t>14.66</t>
  </si>
  <si>
    <t>30.60</t>
  </si>
  <si>
    <t>13.48</t>
  </si>
  <si>
    <t>25.72</t>
  </si>
  <si>
    <t>12.87</t>
  </si>
  <si>
    <t>25.80</t>
  </si>
  <si>
    <t>14.93</t>
  </si>
  <si>
    <t>24.71</t>
  </si>
  <si>
    <t>11.17</t>
  </si>
  <si>
    <t>23.37</t>
  </si>
  <si>
    <t>12.84</t>
  </si>
  <si>
    <t>15.34</t>
  </si>
  <si>
    <t xml:space="preserve"> 9.96</t>
  </si>
  <si>
    <t>17.01</t>
  </si>
  <si>
    <t>12.01</t>
  </si>
  <si>
    <t>16.23</t>
  </si>
  <si>
    <t>11.25</t>
  </si>
  <si>
    <t>14.44</t>
  </si>
  <si>
    <t>10.45</t>
  </si>
  <si>
    <t>29.72</t>
  </si>
  <si>
    <t>15.98</t>
  </si>
  <si>
    <t xml:space="preserve"> 9.51</t>
  </si>
  <si>
    <t>30.45</t>
  </si>
  <si>
    <t>15.03</t>
  </si>
  <si>
    <t>28.22</t>
  </si>
  <si>
    <t>13.65</t>
  </si>
  <si>
    <t>15.49</t>
  </si>
  <si>
    <t xml:space="preserve"> 9.40</t>
  </si>
  <si>
    <t>23.26</t>
  </si>
  <si>
    <t>12.82</t>
  </si>
  <si>
    <t>30.82</t>
  </si>
  <si>
    <t>12.59</t>
  </si>
  <si>
    <t>32.44</t>
  </si>
  <si>
    <t>11.57</t>
  </si>
  <si>
    <t>33.50</t>
  </si>
  <si>
    <t>12.14</t>
  </si>
  <si>
    <t>30.20</t>
  </si>
  <si>
    <t>31.59</t>
  </si>
  <si>
    <t>14.07</t>
  </si>
  <si>
    <t>26.19</t>
  </si>
  <si>
    <t>16.31</t>
  </si>
  <si>
    <t>28.78</t>
  </si>
  <si>
    <t xml:space="preserve"> 9.16</t>
  </si>
  <si>
    <t>-</t>
  </si>
  <si>
    <t>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</si>
</sst>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"/>
    <numFmt numFmtId="177" formatCode="0.00_);[Red]\(0.00\)"/>
    <numFmt numFmtId="179" formatCode="_-* #,##0_-;\-* #,##0_-;_-* &quot;-&quot;_-;_-@_-"/>
  </numFmts>
  <fonts count="4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theme="1"/>
      <name val="Microsoft Sans Serif"/>
      <family val="2"/>
    </font>
    <font>
      <sz val="12"/>
      <color theme="1"/>
      <name val="맑은 고딕"/>
      <family val="3"/>
      <charset val="129"/>
    </font>
    <font>
      <sz val="11"/>
      <color theme="1"/>
      <name val="Microsoft Sans Serif"/>
      <family val="2"/>
    </font>
    <font>
      <sz val="11"/>
      <color rgb="FF00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b/>
      <sz val="13"/>
      <color indexed="8"/>
      <name val="Microsoft Sans Serif"/>
      <family val="2"/>
    </font>
    <font>
      <b/>
      <sz val="13"/>
      <color theme="1"/>
      <name val="Microsoft Sans Serif"/>
      <family val="2"/>
    </font>
    <font>
      <sz val="13"/>
      <name val="Microsoft Sans Serif"/>
      <family val="2"/>
    </font>
    <font>
      <b/>
      <sz val="13"/>
      <color theme="1"/>
      <name val="맑은 고딕"/>
      <family val="3"/>
      <charset val="129"/>
    </font>
    <font>
      <sz val="12"/>
      <color theme="1"/>
      <name val="맑은 고딕"/>
      <family val="3"/>
      <charset val="129"/>
      <scheme val="major"/>
    </font>
    <font>
      <sz val="12"/>
      <color theme="1"/>
      <name val="Microsoft Sans Serif"/>
      <family val="2"/>
      <charset val="129"/>
    </font>
    <font>
      <sz val="10"/>
      <color rgb="FF888888"/>
      <name val="맑은 고딕"/>
      <family val="3"/>
      <charset val="129"/>
      <scheme val="minor"/>
    </font>
    <font>
      <b/>
      <sz val="10"/>
      <color rgb="FF888888"/>
      <name val="맑은 고딕"/>
      <family val="3"/>
      <charset val="129"/>
      <scheme val="minor"/>
    </font>
    <font>
      <sz val="16"/>
      <color rgb="FF888888"/>
      <name val="맑은 고딕"/>
      <family val="3"/>
      <charset val="129"/>
      <scheme val="minor"/>
    </font>
    <font>
      <b/>
      <sz val="16"/>
      <color rgb="FF888888"/>
      <name val="맑은 고딕"/>
      <family val="3"/>
      <charset val="129"/>
      <scheme val="minor"/>
    </font>
    <font>
      <sz val="10"/>
      <name val="돋움"/>
      <family val="3"/>
      <charset val="129"/>
    </font>
  </fonts>
  <fills count="4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99FF"/>
        <bgColor indexed="64"/>
      </patternFill>
    </fill>
  </fills>
  <borders count="71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3">
    <xf numFmtId="0" fontId="0" fillId="0" borderId="0">
      <alignment vertical="center"/>
    </xf>
    <xf numFmtId="0" fontId="2" fillId="0" borderId="0"/>
    <xf numFmtId="0" fontId="4" fillId="0" borderId="26" applyNumberFormat="0" applyFill="0" applyAlignment="0" applyProtection="0">
      <alignment vertical="center"/>
    </xf>
    <xf numFmtId="0" fontId="5" fillId="0" borderId="27" applyNumberFormat="0" applyFill="0" applyAlignment="0" applyProtection="0">
      <alignment vertical="center"/>
    </xf>
    <xf numFmtId="0" fontId="6" fillId="0" borderId="28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9" borderId="29" applyNumberFormat="0" applyAlignment="0" applyProtection="0">
      <alignment vertical="center"/>
    </xf>
    <xf numFmtId="0" fontId="10" fillId="10" borderId="30" applyNumberFormat="0" applyAlignment="0" applyProtection="0">
      <alignment vertical="center"/>
    </xf>
    <xf numFmtId="0" fontId="11" fillId="10" borderId="29" applyNumberFormat="0" applyAlignment="0" applyProtection="0">
      <alignment vertical="center"/>
    </xf>
    <xf numFmtId="0" fontId="12" fillId="0" borderId="31" applyNumberFormat="0" applyFill="0" applyAlignment="0" applyProtection="0">
      <alignment vertical="center"/>
    </xf>
    <xf numFmtId="0" fontId="13" fillId="11" borderId="32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34" applyNumberFormat="0" applyFill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8" fillId="0" borderId="0"/>
    <xf numFmtId="0" fontId="19" fillId="0" borderId="0" applyNumberFormat="0" applyFill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12" borderId="33" applyNumberFormat="0" applyFont="0" applyAlignment="0" applyProtection="0">
      <alignment vertical="center"/>
    </xf>
    <xf numFmtId="0" fontId="2" fillId="0" borderId="0"/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18" fillId="0" borderId="0"/>
    <xf numFmtId="0" fontId="18" fillId="0" borderId="0"/>
    <xf numFmtId="9" fontId="3" fillId="0" borderId="0" applyFont="0" applyFill="0" applyBorder="0" applyAlignment="0" applyProtection="0">
      <alignment vertical="center"/>
    </xf>
    <xf numFmtId="179" fontId="2" fillId="0" borderId="0" applyFont="0" applyFill="0" applyBorder="0" applyAlignment="0" applyProtection="0"/>
  </cellStyleXfs>
  <cellXfs count="17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36" xfId="0" applyBorder="1">
      <alignment vertical="center"/>
    </xf>
    <xf numFmtId="0" fontId="0" fillId="0" borderId="40" xfId="0" applyBorder="1">
      <alignment vertical="center"/>
    </xf>
    <xf numFmtId="0" fontId="0" fillId="0" borderId="37" xfId="0" applyBorder="1">
      <alignment vertical="center"/>
    </xf>
    <xf numFmtId="0" fontId="24" fillId="4" borderId="15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0" fillId="5" borderId="58" xfId="0" applyFill="1" applyBorder="1">
      <alignment vertical="center"/>
    </xf>
    <xf numFmtId="0" fontId="0" fillId="5" borderId="60" xfId="0" applyFill="1" applyBorder="1">
      <alignment vertical="center"/>
    </xf>
    <xf numFmtId="0" fontId="0" fillId="5" borderId="61" xfId="0" applyFill="1" applyBorder="1">
      <alignment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>
      <alignment vertical="center"/>
    </xf>
    <xf numFmtId="0" fontId="0" fillId="5" borderId="63" xfId="0" applyFill="1" applyBorder="1">
      <alignment vertical="center"/>
    </xf>
    <xf numFmtId="0" fontId="0" fillId="5" borderId="64" xfId="0" applyFill="1" applyBorder="1">
      <alignment vertical="center"/>
    </xf>
    <xf numFmtId="0" fontId="0" fillId="5" borderId="65" xfId="0" applyFill="1" applyBorder="1">
      <alignment vertical="center"/>
    </xf>
    <xf numFmtId="0" fontId="0" fillId="5" borderId="59" xfId="0" applyFill="1" applyBorder="1">
      <alignment vertical="center"/>
    </xf>
    <xf numFmtId="0" fontId="23" fillId="5" borderId="59" xfId="0" applyFont="1" applyFill="1" applyBorder="1" applyAlignment="1">
      <alignment horizontal="center" vertical="center"/>
    </xf>
    <xf numFmtId="0" fontId="0" fillId="5" borderId="59" xfId="0" applyFill="1" applyBorder="1" applyAlignment="1">
      <alignment horizontal="center" vertical="center"/>
    </xf>
    <xf numFmtId="0" fontId="0" fillId="5" borderId="62" xfId="0" applyFill="1" applyBorder="1">
      <alignment vertical="center"/>
    </xf>
    <xf numFmtId="0" fontId="24" fillId="5" borderId="0" xfId="0" applyFont="1" applyFill="1">
      <alignment vertical="center"/>
    </xf>
    <xf numFmtId="0" fontId="23" fillId="5" borderId="64" xfId="0" applyFont="1" applyFill="1" applyBorder="1" applyAlignment="1">
      <alignment horizontal="center" vertical="center"/>
    </xf>
    <xf numFmtId="0" fontId="0" fillId="5" borderId="64" xfId="0" applyFill="1" applyBorder="1" applyAlignment="1">
      <alignment horizontal="center" vertical="center"/>
    </xf>
    <xf numFmtId="0" fontId="0" fillId="5" borderId="62" xfId="0" quotePrefix="1" applyFill="1" applyBorder="1" applyAlignment="1">
      <alignment horizontal="center" vertical="center"/>
    </xf>
    <xf numFmtId="0" fontId="0" fillId="5" borderId="62" xfId="0" applyFill="1" applyBorder="1" applyAlignment="1">
      <alignment horizontal="center" vertical="center"/>
    </xf>
    <xf numFmtId="0" fontId="0" fillId="5" borderId="65" xfId="0" applyFill="1" applyBorder="1" applyAlignment="1">
      <alignment horizontal="center" vertical="center"/>
    </xf>
    <xf numFmtId="0" fontId="24" fillId="4" borderId="21" xfId="0" applyFont="1" applyFill="1" applyBorder="1" applyAlignment="1">
      <alignment horizontal="center" vertical="center"/>
    </xf>
    <xf numFmtId="2" fontId="24" fillId="0" borderId="20" xfId="0" applyNumberFormat="1" applyFont="1" applyBorder="1" applyAlignment="1">
      <alignment horizontal="center" vertical="center"/>
    </xf>
    <xf numFmtId="3" fontId="24" fillId="0" borderId="19" xfId="0" applyNumberFormat="1" applyFont="1" applyBorder="1" applyAlignment="1">
      <alignment horizontal="center" vertical="center"/>
    </xf>
    <xf numFmtId="0" fontId="24" fillId="4" borderId="4" xfId="0" applyFont="1" applyFill="1" applyBorder="1" applyAlignment="1">
      <alignment horizontal="center" vertical="center"/>
    </xf>
    <xf numFmtId="0" fontId="24" fillId="4" borderId="17" xfId="0" applyFont="1" applyFill="1" applyBorder="1" applyAlignment="1">
      <alignment horizontal="center" vertical="center"/>
    </xf>
    <xf numFmtId="2" fontId="24" fillId="0" borderId="16" xfId="0" applyNumberFormat="1" applyFont="1" applyBorder="1" applyAlignment="1">
      <alignment horizontal="center" vertical="center"/>
    </xf>
    <xf numFmtId="0" fontId="29" fillId="4" borderId="15" xfId="0" applyFont="1" applyFill="1" applyBorder="1" applyAlignment="1">
      <alignment horizontal="center" vertical="center"/>
    </xf>
    <xf numFmtId="0" fontId="29" fillId="4" borderId="19" xfId="0" applyFont="1" applyFill="1" applyBorder="1" applyAlignment="1">
      <alignment horizontal="center" vertical="center"/>
    </xf>
    <xf numFmtId="0" fontId="29" fillId="4" borderId="47" xfId="0" applyFont="1" applyFill="1" applyBorder="1" applyAlignment="1">
      <alignment horizontal="center" vertical="center"/>
    </xf>
    <xf numFmtId="0" fontId="29" fillId="4" borderId="14" xfId="0" applyFont="1" applyFill="1" applyBorder="1" applyAlignment="1">
      <alignment horizontal="center" vertical="center"/>
    </xf>
    <xf numFmtId="0" fontId="29" fillId="4" borderId="12" xfId="0" applyFont="1" applyFill="1" applyBorder="1" applyAlignment="1">
      <alignment horizontal="center" vertical="center"/>
    </xf>
    <xf numFmtId="0" fontId="31" fillId="37" borderId="21" xfId="0" applyFont="1" applyFill="1" applyBorder="1" applyAlignment="1">
      <alignment horizontal="center" vertical="center"/>
    </xf>
    <xf numFmtId="0" fontId="31" fillId="37" borderId="22" xfId="0" applyFont="1" applyFill="1" applyBorder="1" applyAlignment="1">
      <alignment horizontal="center" vertical="center"/>
    </xf>
    <xf numFmtId="3" fontId="29" fillId="0" borderId="48" xfId="0" applyNumberFormat="1" applyFont="1" applyBorder="1" applyAlignment="1">
      <alignment horizontal="center" vertical="center"/>
    </xf>
    <xf numFmtId="10" fontId="29" fillId="0" borderId="10" xfId="51" applyNumberFormat="1" applyFont="1" applyBorder="1" applyAlignment="1">
      <alignment horizontal="center" vertical="center"/>
    </xf>
    <xf numFmtId="3" fontId="29" fillId="0" borderId="10" xfId="0" applyNumberFormat="1" applyFont="1" applyBorder="1" applyAlignment="1">
      <alignment horizontal="center" vertical="center"/>
    </xf>
    <xf numFmtId="10" fontId="29" fillId="0" borderId="45" xfId="51" applyNumberFormat="1" applyFont="1" applyBorder="1" applyAlignment="1">
      <alignment horizontal="center" vertical="center"/>
    </xf>
    <xf numFmtId="0" fontId="31" fillId="37" borderId="9" xfId="0" applyFont="1" applyFill="1" applyBorder="1" applyAlignment="1">
      <alignment horizontal="center" vertical="center"/>
    </xf>
    <xf numFmtId="0" fontId="31" fillId="37" borderId="44" xfId="0" applyFont="1" applyFill="1" applyBorder="1" applyAlignment="1">
      <alignment horizontal="center" vertical="center"/>
    </xf>
    <xf numFmtId="3" fontId="29" fillId="0" borderId="49" xfId="0" applyNumberFormat="1" applyFont="1" applyBorder="1" applyAlignment="1">
      <alignment horizontal="center" vertical="center"/>
    </xf>
    <xf numFmtId="10" fontId="29" fillId="0" borderId="8" xfId="51" applyNumberFormat="1" applyFont="1" applyBorder="1" applyAlignment="1">
      <alignment horizontal="center" vertical="center"/>
    </xf>
    <xf numFmtId="3" fontId="29" fillId="0" borderId="6" xfId="0" applyNumberFormat="1" applyFont="1" applyBorder="1" applyAlignment="1">
      <alignment horizontal="center" vertical="center"/>
    </xf>
    <xf numFmtId="10" fontId="29" fillId="0" borderId="25" xfId="51" applyNumberFormat="1" applyFont="1" applyBorder="1" applyAlignment="1">
      <alignment horizontal="center" vertical="center"/>
    </xf>
    <xf numFmtId="0" fontId="31" fillId="37" borderId="4" xfId="0" applyFont="1" applyFill="1" applyBorder="1" applyAlignment="1">
      <alignment horizontal="center" vertical="center"/>
    </xf>
    <xf numFmtId="0" fontId="31" fillId="37" borderId="1" xfId="0" applyFont="1" applyFill="1" applyBorder="1" applyAlignment="1">
      <alignment horizontal="center" vertical="center"/>
    </xf>
    <xf numFmtId="3" fontId="29" fillId="0" borderId="50" xfId="0" applyNumberFormat="1" applyFont="1" applyBorder="1" applyAlignment="1">
      <alignment horizontal="center" vertical="center"/>
    </xf>
    <xf numFmtId="10" fontId="29" fillId="0" borderId="24" xfId="51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10" fontId="29" fillId="0" borderId="46" xfId="51" applyNumberFormat="1" applyFont="1" applyBorder="1" applyAlignment="1">
      <alignment horizontal="center" vertical="center"/>
    </xf>
    <xf numFmtId="0" fontId="32" fillId="37" borderId="21" xfId="0" applyFont="1" applyFill="1" applyBorder="1" applyAlignment="1">
      <alignment horizontal="center" vertical="center"/>
    </xf>
    <xf numFmtId="0" fontId="32" fillId="37" borderId="22" xfId="0" applyFont="1" applyFill="1" applyBorder="1" applyAlignment="1">
      <alignment horizontal="center" vertical="center"/>
    </xf>
    <xf numFmtId="0" fontId="32" fillId="37" borderId="9" xfId="0" applyFont="1" applyFill="1" applyBorder="1" applyAlignment="1">
      <alignment horizontal="center" vertical="center"/>
    </xf>
    <xf numFmtId="0" fontId="32" fillId="37" borderId="44" xfId="0" applyFon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0" fontId="32" fillId="37" borderId="1" xfId="0" applyFont="1" applyFill="1" applyBorder="1" applyAlignment="1">
      <alignment horizontal="center" vertical="center"/>
    </xf>
    <xf numFmtId="0" fontId="29" fillId="4" borderId="13" xfId="0" applyFont="1" applyFill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177" fontId="29" fillId="0" borderId="8" xfId="0" applyNumberFormat="1" applyFont="1" applyBorder="1" applyAlignment="1">
      <alignment horizontal="center" vertical="center"/>
    </xf>
    <xf numFmtId="176" fontId="33" fillId="0" borderId="8" xfId="1" applyNumberFormat="1" applyFont="1" applyBorder="1" applyAlignment="1">
      <alignment horizontal="center" vertical="center"/>
    </xf>
    <xf numFmtId="10" fontId="33" fillId="0" borderId="7" xfId="51" applyNumberFormat="1" applyFont="1" applyBorder="1" applyAlignment="1">
      <alignment horizontal="center" vertical="center"/>
    </xf>
    <xf numFmtId="176" fontId="29" fillId="0" borderId="10" xfId="0" applyNumberFormat="1" applyFont="1" applyBorder="1" applyAlignment="1">
      <alignment horizontal="center" vertical="center"/>
    </xf>
    <xf numFmtId="10" fontId="33" fillId="0" borderId="5" xfId="51" applyNumberFormat="1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176" fontId="29" fillId="0" borderId="6" xfId="0" applyNumberFormat="1" applyFont="1" applyBorder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2" borderId="17" xfId="0" applyFont="1" applyFill="1" applyBorder="1" applyAlignment="1">
      <alignment horizontal="center" vertical="center"/>
    </xf>
    <xf numFmtId="0" fontId="29" fillId="2" borderId="2" xfId="0" applyFont="1" applyFill="1" applyBorder="1" applyAlignment="1">
      <alignment horizontal="center" vertical="center"/>
    </xf>
    <xf numFmtId="0" fontId="29" fillId="2" borderId="24" xfId="0" applyFont="1" applyFill="1" applyBorder="1" applyAlignment="1">
      <alignment horizontal="center" vertical="center"/>
    </xf>
    <xf numFmtId="177" fontId="29" fillId="2" borderId="2" xfId="0" applyNumberFormat="1" applyFont="1" applyFill="1" applyBorder="1" applyAlignment="1">
      <alignment horizontal="center" vertical="center"/>
    </xf>
    <xf numFmtId="176" fontId="33" fillId="2" borderId="24" xfId="1" applyNumberFormat="1" applyFont="1" applyFill="1" applyBorder="1" applyAlignment="1">
      <alignment horizontal="center" vertical="center"/>
    </xf>
    <xf numFmtId="10" fontId="33" fillId="2" borderId="24" xfId="51" applyNumberFormat="1" applyFont="1" applyFill="1" applyBorder="1" applyAlignment="1">
      <alignment horizontal="center" vertical="center"/>
    </xf>
    <xf numFmtId="176" fontId="29" fillId="2" borderId="2" xfId="0" applyNumberFormat="1" applyFont="1" applyFill="1" applyBorder="1" applyAlignment="1">
      <alignment horizontal="center" vertical="center"/>
    </xf>
    <xf numFmtId="10" fontId="33" fillId="2" borderId="16" xfId="51" applyNumberFormat="1" applyFont="1" applyFill="1" applyBorder="1" applyAlignment="1">
      <alignment horizontal="center" vertical="center"/>
    </xf>
    <xf numFmtId="0" fontId="32" fillId="37" borderId="52" xfId="0" applyFont="1" applyFill="1" applyBorder="1" applyAlignment="1">
      <alignment horizontal="center" vertical="center"/>
    </xf>
    <xf numFmtId="0" fontId="32" fillId="37" borderId="15" xfId="0" applyFont="1" applyFill="1" applyBorder="1" applyAlignment="1">
      <alignment horizontal="center" vertical="center" wrapText="1"/>
    </xf>
    <xf numFmtId="0" fontId="32" fillId="37" borderId="14" xfId="0" applyFont="1" applyFill="1" applyBorder="1" applyAlignment="1">
      <alignment horizontal="center" vertical="center" wrapText="1"/>
    </xf>
    <xf numFmtId="0" fontId="32" fillId="37" borderId="13" xfId="0" applyFont="1" applyFill="1" applyBorder="1" applyAlignment="1">
      <alignment horizontal="center" vertical="center" wrapText="1"/>
    </xf>
    <xf numFmtId="0" fontId="32" fillId="37" borderId="12" xfId="0" applyFont="1" applyFill="1" applyBorder="1" applyAlignment="1">
      <alignment horizontal="center" vertical="center" wrapText="1"/>
    </xf>
    <xf numFmtId="0" fontId="32" fillId="37" borderId="53" xfId="0" applyFont="1" applyFill="1" applyBorder="1" applyAlignment="1">
      <alignment horizontal="center" vertical="center"/>
    </xf>
    <xf numFmtId="0" fontId="32" fillId="37" borderId="15" xfId="0" applyFont="1" applyFill="1" applyBorder="1" applyAlignment="1">
      <alignment horizontal="center" vertical="center"/>
    </xf>
    <xf numFmtId="0" fontId="32" fillId="37" borderId="14" xfId="0" applyFont="1" applyFill="1" applyBorder="1" applyAlignment="1">
      <alignment horizontal="center" vertical="center"/>
    </xf>
    <xf numFmtId="0" fontId="32" fillId="37" borderId="12" xfId="0" applyFont="1" applyFill="1" applyBorder="1" applyAlignment="1">
      <alignment horizontal="center" vertical="center"/>
    </xf>
    <xf numFmtId="0" fontId="32" fillId="37" borderId="54" xfId="0" applyFont="1" applyFill="1" applyBorder="1" applyAlignment="1">
      <alignment horizontal="center" vertical="center"/>
    </xf>
    <xf numFmtId="0" fontId="29" fillId="5" borderId="25" xfId="0" applyFont="1" applyFill="1" applyBorder="1" applyAlignment="1">
      <alignment horizontal="center" vertical="center"/>
    </xf>
    <xf numFmtId="0" fontId="32" fillId="37" borderId="55" xfId="0" applyFont="1" applyFill="1" applyBorder="1" applyAlignment="1">
      <alignment horizontal="center" vertical="center"/>
    </xf>
    <xf numFmtId="0" fontId="29" fillId="5" borderId="6" xfId="0" applyFont="1" applyFill="1" applyBorder="1" applyAlignment="1">
      <alignment horizontal="center" vertical="center"/>
    </xf>
    <xf numFmtId="0" fontId="29" fillId="5" borderId="56" xfId="0" applyFont="1" applyFill="1" applyBorder="1" applyAlignment="1">
      <alignment horizontal="center" vertical="center"/>
    </xf>
    <xf numFmtId="0" fontId="32" fillId="37" borderId="57" xfId="0" applyFont="1" applyFill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5" borderId="2" xfId="0" applyFont="1" applyFill="1" applyBorder="1" applyAlignment="1">
      <alignment horizontal="center" vertical="center"/>
    </xf>
    <xf numFmtId="0" fontId="29" fillId="5" borderId="51" xfId="0" applyFon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0" xfId="0" applyFont="1" applyFill="1">
      <alignment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0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3" xfId="0" applyFont="1" applyFill="1" applyBorder="1" applyAlignment="1">
      <alignment horizontal="center" vertical="center"/>
    </xf>
    <xf numFmtId="0" fontId="24" fillId="5" borderId="18" xfId="0" applyFont="1" applyFill="1" applyBorder="1" applyAlignment="1">
      <alignment horizontal="center" vertical="center"/>
    </xf>
    <xf numFmtId="0" fontId="24" fillId="5" borderId="1" xfId="0" applyFont="1" applyFill="1" applyBorder="1" applyAlignment="1">
      <alignment horizontal="center" vertical="center"/>
    </xf>
    <xf numFmtId="0" fontId="37" fillId="38" borderId="0" xfId="0" applyFont="1" applyFill="1" applyAlignment="1">
      <alignment horizontal="right" vertical="center" wrapText="1"/>
    </xf>
    <xf numFmtId="0" fontId="29" fillId="3" borderId="42" xfId="0" applyFont="1" applyFill="1" applyBorder="1" applyAlignment="1">
      <alignment horizontal="center" vertical="center"/>
    </xf>
    <xf numFmtId="0" fontId="29" fillId="3" borderId="43" xfId="0" applyFont="1" applyFill="1" applyBorder="1" applyAlignment="1">
      <alignment horizontal="center" vertical="center"/>
    </xf>
    <xf numFmtId="0" fontId="29" fillId="3" borderId="44" xfId="0" applyFont="1" applyFill="1" applyBorder="1" applyAlignment="1">
      <alignment horizontal="center" vertical="center"/>
    </xf>
    <xf numFmtId="0" fontId="36" fillId="5" borderId="3" xfId="0" applyFont="1" applyFill="1" applyBorder="1" applyAlignment="1">
      <alignment horizontal="center" vertical="center"/>
    </xf>
    <xf numFmtId="0" fontId="24" fillId="5" borderId="10" xfId="0" applyFont="1" applyFill="1" applyBorder="1" applyAlignment="1">
      <alignment horizontal="center" vertical="center"/>
    </xf>
    <xf numFmtId="0" fontId="24" fillId="5" borderId="45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4" fillId="5" borderId="51" xfId="0" applyFont="1" applyFill="1" applyBorder="1" applyAlignment="1">
      <alignment horizontal="center" vertical="center"/>
    </xf>
    <xf numFmtId="0" fontId="39" fillId="5" borderId="0" xfId="0" applyFont="1" applyFill="1" applyAlignment="1">
      <alignment horizontal="right" vertical="center" wrapText="1"/>
    </xf>
    <xf numFmtId="0" fontId="25" fillId="5" borderId="3" xfId="0" applyFont="1" applyFill="1" applyBorder="1" applyAlignment="1">
      <alignment horizontal="center" vertical="center"/>
    </xf>
    <xf numFmtId="0" fontId="29" fillId="39" borderId="8" xfId="0" applyFont="1" applyFill="1" applyBorder="1" applyAlignment="1">
      <alignment horizontal="center" vertical="center"/>
    </xf>
    <xf numFmtId="0" fontId="29" fillId="39" borderId="9" xfId="0" applyFont="1" applyFill="1" applyBorder="1" applyAlignment="1">
      <alignment horizontal="center" vertical="center"/>
    </xf>
    <xf numFmtId="0" fontId="41" fillId="0" borderId="6" xfId="45" applyFont="1" applyBorder="1" applyAlignment="1">
      <alignment horizontal="center" vertical="center"/>
    </xf>
    <xf numFmtId="176" fontId="41" fillId="0" borderId="6" xfId="45" applyNumberFormat="1" applyFont="1" applyBorder="1" applyAlignment="1">
      <alignment horizontal="center" vertical="center"/>
    </xf>
    <xf numFmtId="0" fontId="41" fillId="0" borderId="66" xfId="45" applyFont="1" applyBorder="1" applyAlignment="1">
      <alignment horizontal="center" vertical="center"/>
    </xf>
    <xf numFmtId="38" fontId="41" fillId="0" borderId="66" xfId="45" applyNumberFormat="1" applyFont="1" applyBorder="1" applyAlignment="1">
      <alignment horizontal="center" vertical="center"/>
    </xf>
    <xf numFmtId="0" fontId="41" fillId="0" borderId="66" xfId="45" applyFont="1" applyBorder="1" applyAlignment="1">
      <alignment horizontal="center" vertical="center"/>
    </xf>
    <xf numFmtId="38" fontId="41" fillId="0" borderId="66" xfId="45" applyNumberFormat="1" applyFont="1" applyBorder="1" applyAlignment="1">
      <alignment horizontal="center" vertical="center"/>
    </xf>
    <xf numFmtId="0" fontId="41" fillId="0" borderId="66" xfId="45" applyFont="1" applyBorder="1" applyAlignment="1">
      <alignment horizontal="center" vertical="center"/>
    </xf>
    <xf numFmtId="38" fontId="41" fillId="0" borderId="66" xfId="45" applyNumberFormat="1" applyFont="1" applyBorder="1" applyAlignment="1">
      <alignment horizontal="center" vertical="center"/>
    </xf>
    <xf numFmtId="0" fontId="41" fillId="0" borderId="68" xfId="45" applyFont="1" applyBorder="1" applyAlignment="1">
      <alignment horizontal="center" vertical="center"/>
    </xf>
    <xf numFmtId="38" fontId="41" fillId="0" borderId="68" xfId="45" applyNumberFormat="1" applyFont="1" applyBorder="1" applyAlignment="1">
      <alignment horizontal="center" vertical="center"/>
    </xf>
    <xf numFmtId="0" fontId="41" fillId="0" borderId="66" xfId="34" applyFont="1" applyBorder="1" applyAlignment="1">
      <alignment horizontal="center" vertical="center"/>
    </xf>
    <xf numFmtId="38" fontId="41" fillId="0" borderId="66" xfId="34" applyNumberFormat="1" applyFont="1" applyBorder="1" applyAlignment="1">
      <alignment horizontal="center" vertical="center"/>
    </xf>
    <xf numFmtId="38" fontId="41" fillId="0" borderId="66" xfId="45" applyNumberFormat="1" applyFont="1" applyBorder="1" applyAlignment="1">
      <alignment horizontal="center" vertical="center" wrapText="1" shrinkToFit="1"/>
    </xf>
    <xf numFmtId="0" fontId="41" fillId="0" borderId="67" xfId="45" applyFont="1" applyBorder="1" applyAlignment="1">
      <alignment horizontal="center" vertical="center"/>
    </xf>
    <xf numFmtId="38" fontId="41" fillId="0" borderId="67" xfId="45" applyNumberFormat="1" applyFont="1" applyBorder="1" applyAlignment="1">
      <alignment horizontal="center" vertical="center"/>
    </xf>
    <xf numFmtId="38" fontId="41" fillId="0" borderId="67" xfId="45" applyNumberFormat="1" applyFont="1" applyBorder="1" applyAlignment="1">
      <alignment horizontal="center" vertical="center" wrapText="1" shrinkToFit="1"/>
    </xf>
    <xf numFmtId="0" fontId="41" fillId="0" borderId="68" xfId="45" applyFont="1" applyBorder="1" applyAlignment="1">
      <alignment horizontal="center" vertical="center"/>
    </xf>
    <xf numFmtId="38" fontId="41" fillId="0" borderId="68" xfId="45" applyNumberFormat="1" applyFont="1" applyBorder="1" applyAlignment="1">
      <alignment horizontal="center" vertical="center"/>
    </xf>
    <xf numFmtId="38" fontId="41" fillId="0" borderId="68" xfId="45" applyNumberFormat="1" applyFont="1" applyBorder="1" applyAlignment="1">
      <alignment horizontal="center" vertical="center" wrapText="1" shrinkToFit="1"/>
    </xf>
    <xf numFmtId="0" fontId="41" fillId="0" borderId="66" xfId="45" applyFont="1" applyBorder="1" applyAlignment="1">
      <alignment horizontal="center" vertical="center"/>
    </xf>
    <xf numFmtId="38" fontId="41" fillId="0" borderId="66" xfId="45" applyNumberFormat="1" applyFont="1" applyBorder="1" applyAlignment="1">
      <alignment horizontal="center" vertical="center"/>
    </xf>
    <xf numFmtId="38" fontId="41" fillId="0" borderId="66" xfId="50" applyNumberFormat="1" applyFont="1" applyBorder="1" applyAlignment="1">
      <alignment horizontal="center" vertical="center"/>
    </xf>
    <xf numFmtId="0" fontId="41" fillId="0" borderId="66" xfId="45" applyFont="1" applyBorder="1" applyAlignment="1">
      <alignment horizontal="center" vertical="center"/>
    </xf>
    <xf numFmtId="38" fontId="41" fillId="0" borderId="66" xfId="45" applyNumberFormat="1" applyFont="1" applyBorder="1" applyAlignment="1">
      <alignment horizontal="center" vertical="center"/>
    </xf>
    <xf numFmtId="38" fontId="41" fillId="0" borderId="6" xfId="45" applyNumberFormat="1" applyFont="1" applyBorder="1" applyAlignment="1">
      <alignment horizontal="center" vertical="center"/>
    </xf>
    <xf numFmtId="0" fontId="41" fillId="0" borderId="6" xfId="45" applyNumberFormat="1" applyFont="1" applyBorder="1" applyAlignment="1">
      <alignment horizontal="center" vertical="center"/>
    </xf>
    <xf numFmtId="177" fontId="29" fillId="39" borderId="8" xfId="0" applyNumberFormat="1" applyFont="1" applyFill="1" applyBorder="1" applyAlignment="1">
      <alignment horizontal="center" vertical="center"/>
    </xf>
    <xf numFmtId="176" fontId="33" fillId="39" borderId="8" xfId="1" applyNumberFormat="1" applyFont="1" applyFill="1" applyBorder="1" applyAlignment="1">
      <alignment horizontal="center" vertical="center"/>
    </xf>
    <xf numFmtId="10" fontId="33" fillId="39" borderId="7" xfId="51" applyNumberFormat="1" applyFont="1" applyFill="1" applyBorder="1" applyAlignment="1">
      <alignment horizontal="center" vertical="center"/>
    </xf>
    <xf numFmtId="176" fontId="29" fillId="39" borderId="6" xfId="0" applyNumberFormat="1" applyFont="1" applyFill="1" applyBorder="1" applyAlignment="1">
      <alignment horizontal="center" vertical="center"/>
    </xf>
    <xf numFmtId="10" fontId="33" fillId="39" borderId="5" xfId="51" applyNumberFormat="1" applyFont="1" applyFill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69" xfId="0" applyFont="1" applyBorder="1" applyAlignment="1">
      <alignment horizontal="center" vertical="center"/>
    </xf>
    <xf numFmtId="177" fontId="29" fillId="0" borderId="8" xfId="0" applyNumberFormat="1" applyFont="1" applyBorder="1" applyAlignment="1">
      <alignment horizontal="center" vertical="center"/>
    </xf>
    <xf numFmtId="177" fontId="29" fillId="0" borderId="69" xfId="0" applyNumberFormat="1" applyFont="1" applyBorder="1" applyAlignment="1">
      <alignment horizontal="center" vertical="center"/>
    </xf>
    <xf numFmtId="176" fontId="33" fillId="0" borderId="8" xfId="1" applyNumberFormat="1" applyFont="1" applyBorder="1" applyAlignment="1">
      <alignment horizontal="center" vertical="center"/>
    </xf>
    <xf numFmtId="176" fontId="33" fillId="0" borderId="69" xfId="1" applyNumberFormat="1" applyFont="1" applyBorder="1" applyAlignment="1">
      <alignment horizontal="center" vertical="center"/>
    </xf>
    <xf numFmtId="10" fontId="33" fillId="0" borderId="69" xfId="51" applyNumberFormat="1" applyFont="1" applyBorder="1" applyAlignment="1">
      <alignment horizontal="center" vertical="center"/>
    </xf>
    <xf numFmtId="10" fontId="33" fillId="0" borderId="8" xfId="51" applyNumberFormat="1" applyFont="1" applyBorder="1" applyAlignment="1">
      <alignment horizontal="center" vertical="center"/>
    </xf>
    <xf numFmtId="176" fontId="29" fillId="0" borderId="69" xfId="0" applyNumberFormat="1" applyFont="1" applyBorder="1" applyAlignment="1">
      <alignment horizontal="center" vertical="center"/>
    </xf>
    <xf numFmtId="176" fontId="29" fillId="0" borderId="8" xfId="0" applyNumberFormat="1" applyFont="1" applyBorder="1" applyAlignment="1">
      <alignment horizontal="center" vertical="center"/>
    </xf>
    <xf numFmtId="10" fontId="33" fillId="0" borderId="70" xfId="51" applyNumberFormat="1" applyFont="1" applyBorder="1" applyAlignment="1">
      <alignment horizontal="center" vertical="center"/>
    </xf>
    <xf numFmtId="10" fontId="33" fillId="0" borderId="25" xfId="51" applyNumberFormat="1" applyFont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69" xfId="0" applyFont="1" applyFill="1" applyBorder="1" applyAlignment="1">
      <alignment horizontal="center" vertical="center"/>
    </xf>
  </cellXfs>
  <cellStyles count="53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백분율" xfId="51" builtinId="5"/>
    <cellStyle name="보통 2" xfId="36" xr:uid="{00000000-0005-0000-0000-000039000000}"/>
    <cellStyle name="설명 텍스트" xfId="14" builtinId="53" customBuiltin="1"/>
    <cellStyle name="셀 확인" xfId="12" builtinId="23" customBuiltin="1"/>
    <cellStyle name="쉼표 [0] 2" xfId="52" xr:uid="{9DD2251A-DE69-423C-AC2E-8560482A176F}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4 3" xfId="50" xr:uid="{7DE1655F-D382-4187-A654-AE792D843963}"/>
    <cellStyle name="표준 5" xfId="48" xr:uid="{00000000-0005-0000-0000-00002F000000}"/>
    <cellStyle name="하이퍼링크 2" xfId="46" xr:uid="{00000000-0005-0000-0000-000030000000}"/>
  </cellStyles>
  <dxfs count="69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99FF"/>
      <color rgb="FFD4D4D4"/>
      <color rgb="FFCCFFCC"/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654050</xdr:colOff>
          <xdr:row>5</xdr:row>
          <xdr:rowOff>0</xdr:rowOff>
        </xdr:from>
        <xdr:to>
          <xdr:col>8</xdr:col>
          <xdr:colOff>0</xdr:colOff>
          <xdr:row>8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B7485BB-2932-4D03-B068-84DB59AA8C87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F04E6EA-F2C3-48C1-A199-0A1E8512514D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DF4DE89-3229-4B4A-869E-183D3BE8B914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18F60EF-B4A4-4AFE-8AE5-BE16449934D3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E6A0903-162F-4C77-92C9-85ECB850D1DC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58F90B5-C9F9-4CBC-8379-02AB761F0D72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E50AF9B-5702-4C41-B062-6930323AD402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80BD78E-6B13-48FA-8170-CCD4B170F54B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C0DD1C8-7123-4A27-B9DD-E7D99BC06C6C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7FFB4E1-E512-4A26-97FB-01D69E9409E6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5631BB8-E422-406D-BDBC-2C8914035B8D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EA600D8-C43B-4B61-A9CC-12F75F0B85E6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718DFAD-88F0-451D-984E-1BFFE6E51BDC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75C9EA8-2D64-4E59-85D1-028A0483CBA8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F16BD0B-93FF-4898-9B41-E821A7BAFCAA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4458A5D-AFCB-41BB-89F7-96AA7FA42E41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7D2A3C0-E753-46C8-B2E0-0DB00E891C76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9DB20EB-FCB9-4707-900F-C5953A18A7C4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0F559BA-78BB-4DC3-86CA-0B3D88EE545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B5AE62D-9188-422F-956F-AECB75665BD9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0027B3C-3794-4519-B78E-B434753A237C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95DF5A1-5D26-44F8-A27F-EE895975D7E3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B00F8A6-3A75-4DAB-940E-B2357477D81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67B0FFA-B149-4514-9393-9FC2DB6DE804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EF6FC04-ACA2-44EB-A6A1-79EBAA445134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70D30FE-065F-41FD-BE70-7E649CE564CE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A3F0359-3A56-4E65-8174-BEED08EC92A4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FE2867D-FDBE-43FF-98B6-1D198C3D37FB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4D8AB2A-F62A-4F3B-B925-3BE8418E2076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5402205-57D9-4920-BFD7-FD9D5987CB68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F033F92-9248-42FE-8844-AC87C5729CFE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101D772-BA66-4159-8BF1-2BDF56755B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C7AD4CA-CE6B-4BF3-8F20-D94F429F84C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7B778B9-8D17-40EF-8001-066A9AA68A48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A636A67-0A37-4370-B19C-170EAA7C4C01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A574691-ADCF-44C3-9B40-DA5E61A07D12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78EC8EC-5657-46A6-AF41-1301BA33A12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C48BB6E-0F47-442E-8BBD-17EA3A93014D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9E71637-8E3E-4C6C-88A8-D0DDA1EAE1FA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AD5BDE5-CBD1-4910-B820-80CD5FA810F8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D239226-93C5-41E5-ABAF-A5DCA8B30223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6A7EF09-9D1B-4B77-AB78-049CA6DEC56A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1A9ED08-D97B-4944-8C0F-A3BECFEACF3A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3539E63-C09D-4F71-B9F5-16D659C77671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8002D60-9594-4EC8-9DA0-E727F45FBD86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684172-CE8D-4595-AF5B-BD3C80B488BB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E03CCED-28C0-435F-9C97-D95F01287C29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64E8E26-1D48-4C4C-9AE8-22908766979C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602EB-E916-462D-811C-C5BD794FF861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9A06684-66BF-4E24-B931-83E1AFEE548D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66B7CFC-422F-4C03-9A08-FF7213EEE51E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5E6C9BC-736B-4309-B65E-8E9DCA33278F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DD9F3B6-E9CF-4708-A7A7-BA092C3DA21E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EBDBBAC-13C2-4CD5-8950-9A0D81E6E518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AF4E6B1-C414-4075-BDB7-716258B90C09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6F91A4E-0A59-46E8-A783-E8868C91182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EABDB66-06E2-4697-846D-7CD0E5F8BE3C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10DE332-6D11-4612-80DB-6F77B6F4E6DB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CDA9A57-F355-4001-82C2-76CC1CCB4AB9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CD5EFE-674D-4E15-8A23-F391105B7B8A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6F519B7-E1D9-4554-9586-CE173CFE27F4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95DED7A-4680-4209-BDF0-0EA6B8E55BBF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C640224-9963-44AC-A64A-A1C8C58C82FF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96611A4-7D7B-40AC-9EF2-BF8B3694061E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DEF05FA-FBA0-41ED-A119-BFC5DF88E3E9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B3E7E8-55FF-4010-85D7-0CD76907EABA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4DF479D-EBE1-4694-8396-AAB4385C39E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DE71C6C-14E6-47AC-B0FA-F12C93105287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656512E-6145-4734-BEBF-C2A1EC455075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7DF30AC-FDAA-471E-AA78-40B09C316D0D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CD320CF-4297-4506-93B3-1F8533A26EBC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8614368-92FF-48EA-BC5F-0A9D9E74E27D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4784802-8F09-443E-B6B5-517FE3309108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702BB5A-C58B-46AA-9E35-16F36CED8AFC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B284A9-1925-422D-AB3E-BC5AE04097D4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3D3EA52-D3EF-4F95-A164-E1E6E8A4C03D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C49FE96-EEB6-4AA7-81AB-C7B32C2B12DE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B3AA691-3B34-4716-98C2-B859C1B5AC08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35"/>
  <sheetViews>
    <sheetView workbookViewId="0">
      <selection activeCell="C4" sqref="C4:E35"/>
    </sheetView>
  </sheetViews>
  <sheetFormatPr defaultRowHeight="17" x14ac:dyDescent="0.45"/>
  <cols>
    <col min="2" max="5" width="12.58203125" style="1" customWidth="1"/>
  </cols>
  <sheetData>
    <row r="3" spans="2:5" x14ac:dyDescent="0.45">
      <c r="C3" s="1" t="s">
        <v>3</v>
      </c>
      <c r="D3" s="1" t="s">
        <v>4</v>
      </c>
      <c r="E3" s="1" t="s">
        <v>2</v>
      </c>
    </row>
    <row r="4" spans="2:5" x14ac:dyDescent="0.45">
      <c r="B4" s="1" t="s">
        <v>5</v>
      </c>
      <c r="C4" s="130">
        <v>253155</v>
      </c>
      <c r="D4" s="129" t="s">
        <v>186</v>
      </c>
      <c r="E4" s="129" t="s">
        <v>187</v>
      </c>
    </row>
    <row r="5" spans="2:5" x14ac:dyDescent="0.45">
      <c r="B5" s="1" t="s">
        <v>6</v>
      </c>
      <c r="C5" s="130">
        <v>253881</v>
      </c>
      <c r="D5" s="129" t="s">
        <v>188</v>
      </c>
      <c r="E5" s="129" t="s">
        <v>189</v>
      </c>
    </row>
    <row r="6" spans="2:5" x14ac:dyDescent="0.45">
      <c r="B6" s="1" t="s">
        <v>9</v>
      </c>
      <c r="C6" s="130">
        <v>88205</v>
      </c>
      <c r="D6" s="129" t="s">
        <v>190</v>
      </c>
      <c r="E6" s="129" t="s">
        <v>191</v>
      </c>
    </row>
    <row r="7" spans="2:5" x14ac:dyDescent="0.45">
      <c r="B7" s="1" t="s">
        <v>10</v>
      </c>
      <c r="C7" s="130">
        <v>21594</v>
      </c>
      <c r="D7" s="129" t="s">
        <v>192</v>
      </c>
      <c r="E7" s="129" t="s">
        <v>193</v>
      </c>
    </row>
    <row r="8" spans="2:5" x14ac:dyDescent="0.45">
      <c r="B8" s="1" t="s">
        <v>11</v>
      </c>
      <c r="C8" s="130">
        <v>19365</v>
      </c>
      <c r="D8" s="129" t="s">
        <v>194</v>
      </c>
      <c r="E8" s="129" t="s">
        <v>195</v>
      </c>
    </row>
    <row r="9" spans="2:5" x14ac:dyDescent="0.45">
      <c r="B9" s="1" t="s">
        <v>12</v>
      </c>
      <c r="C9" s="130">
        <v>17163</v>
      </c>
      <c r="D9" s="129" t="s">
        <v>196</v>
      </c>
      <c r="E9" s="129" t="s">
        <v>197</v>
      </c>
    </row>
    <row r="10" spans="2:5" x14ac:dyDescent="0.45">
      <c r="B10" s="1" t="s">
        <v>13</v>
      </c>
      <c r="C10" s="130">
        <v>9637</v>
      </c>
      <c r="D10" s="129" t="s">
        <v>198</v>
      </c>
      <c r="E10" s="129" t="s">
        <v>199</v>
      </c>
    </row>
    <row r="11" spans="2:5" x14ac:dyDescent="0.45">
      <c r="B11" s="1" t="s">
        <v>14</v>
      </c>
      <c r="C11" s="130">
        <v>8529</v>
      </c>
      <c r="D11" s="129" t="s">
        <v>200</v>
      </c>
      <c r="E11" s="129" t="s">
        <v>201</v>
      </c>
    </row>
    <row r="12" spans="2:5" x14ac:dyDescent="0.45">
      <c r="B12" s="1" t="s">
        <v>15</v>
      </c>
      <c r="C12" s="130">
        <v>3846</v>
      </c>
      <c r="D12" s="129" t="s">
        <v>202</v>
      </c>
      <c r="E12" s="129" t="s">
        <v>203</v>
      </c>
    </row>
    <row r="13" spans="2:5" x14ac:dyDescent="0.45">
      <c r="B13" s="1" t="s">
        <v>62</v>
      </c>
      <c r="C13" s="130">
        <v>16935</v>
      </c>
      <c r="D13" s="129" t="s">
        <v>204</v>
      </c>
      <c r="E13" s="129" t="s">
        <v>205</v>
      </c>
    </row>
    <row r="14" spans="2:5" x14ac:dyDescent="0.45">
      <c r="B14" s="1" t="s">
        <v>16</v>
      </c>
      <c r="C14" s="130">
        <v>94393</v>
      </c>
      <c r="D14" s="129" t="s">
        <v>206</v>
      </c>
      <c r="E14" s="129" t="s">
        <v>207</v>
      </c>
    </row>
    <row r="15" spans="2:5" x14ac:dyDescent="0.45">
      <c r="B15" s="1" t="s">
        <v>63</v>
      </c>
      <c r="C15" s="130">
        <v>33364</v>
      </c>
      <c r="D15" s="129" t="s">
        <v>208</v>
      </c>
      <c r="E15" s="129" t="s">
        <v>209</v>
      </c>
    </row>
    <row r="16" spans="2:5" x14ac:dyDescent="0.45">
      <c r="B16" s="1" t="s">
        <v>17</v>
      </c>
      <c r="C16" s="130">
        <v>24083</v>
      </c>
      <c r="D16" s="129" t="s">
        <v>210</v>
      </c>
      <c r="E16" s="129" t="s">
        <v>211</v>
      </c>
    </row>
    <row r="17" spans="2:5" x14ac:dyDescent="0.45">
      <c r="B17" s="1" t="s">
        <v>19</v>
      </c>
      <c r="C17" s="130">
        <v>72841</v>
      </c>
      <c r="D17" s="129" t="s">
        <v>212</v>
      </c>
      <c r="E17" s="129" t="s">
        <v>213</v>
      </c>
    </row>
    <row r="18" spans="2:5" x14ac:dyDescent="0.45">
      <c r="B18" s="1" t="s">
        <v>20</v>
      </c>
      <c r="C18" s="130">
        <v>74207</v>
      </c>
      <c r="D18" s="129" t="s">
        <v>214</v>
      </c>
      <c r="E18" s="129" t="s">
        <v>215</v>
      </c>
    </row>
    <row r="19" spans="2:5" x14ac:dyDescent="0.45">
      <c r="B19" s="1" t="s">
        <v>64</v>
      </c>
      <c r="C19" s="130">
        <v>3539</v>
      </c>
      <c r="D19" s="129" t="s">
        <v>216</v>
      </c>
      <c r="E19" s="129" t="s">
        <v>217</v>
      </c>
    </row>
    <row r="20" spans="2:5" x14ac:dyDescent="0.45">
      <c r="B20" s="1" t="s">
        <v>22</v>
      </c>
      <c r="C20" s="130">
        <v>3533</v>
      </c>
      <c r="D20" s="129" t="s">
        <v>218</v>
      </c>
      <c r="E20" s="129" t="s">
        <v>219</v>
      </c>
    </row>
    <row r="21" spans="2:5" x14ac:dyDescent="0.45">
      <c r="B21" s="1" t="s">
        <v>23</v>
      </c>
      <c r="C21" s="130">
        <v>5050</v>
      </c>
      <c r="D21" s="129" t="s">
        <v>220</v>
      </c>
      <c r="E21" s="129" t="s">
        <v>221</v>
      </c>
    </row>
    <row r="22" spans="2:5" x14ac:dyDescent="0.45">
      <c r="B22" s="1" t="s">
        <v>24</v>
      </c>
      <c r="C22" s="130">
        <v>3651</v>
      </c>
      <c r="D22" s="129" t="s">
        <v>222</v>
      </c>
      <c r="E22" s="129" t="s">
        <v>223</v>
      </c>
    </row>
    <row r="23" spans="2:5" x14ac:dyDescent="0.45">
      <c r="B23" s="1" t="s">
        <v>72</v>
      </c>
      <c r="C23" s="130">
        <v>1693</v>
      </c>
      <c r="D23" s="129" t="s">
        <v>224</v>
      </c>
      <c r="E23" s="129" t="s">
        <v>205</v>
      </c>
    </row>
    <row r="24" spans="2:5" x14ac:dyDescent="0.45">
      <c r="B24" s="1" t="s">
        <v>73</v>
      </c>
      <c r="C24" s="130">
        <v>198</v>
      </c>
      <c r="D24" s="129" t="s">
        <v>225</v>
      </c>
      <c r="E24" s="129" t="s">
        <v>226</v>
      </c>
    </row>
    <row r="25" spans="2:5" x14ac:dyDescent="0.45">
      <c r="B25" s="1" t="s">
        <v>68</v>
      </c>
      <c r="C25" s="130">
        <v>556</v>
      </c>
      <c r="D25" s="129" t="s">
        <v>227</v>
      </c>
      <c r="E25" s="129" t="s">
        <v>228</v>
      </c>
    </row>
    <row r="26" spans="2:5" x14ac:dyDescent="0.45">
      <c r="B26" s="1" t="s">
        <v>69</v>
      </c>
      <c r="C26" s="130">
        <v>426</v>
      </c>
      <c r="D26" s="129" t="s">
        <v>229</v>
      </c>
      <c r="E26" s="129" t="s">
        <v>230</v>
      </c>
    </row>
    <row r="27" spans="2:5" x14ac:dyDescent="0.45">
      <c r="B27" s="1" t="s">
        <v>74</v>
      </c>
      <c r="C27" s="130">
        <v>37</v>
      </c>
      <c r="D27" s="129" t="s">
        <v>231</v>
      </c>
      <c r="E27" s="129" t="s">
        <v>232</v>
      </c>
    </row>
    <row r="28" spans="2:5" x14ac:dyDescent="0.45">
      <c r="B28" s="1" t="s">
        <v>70</v>
      </c>
      <c r="C28" s="130">
        <v>512</v>
      </c>
      <c r="D28" s="129" t="s">
        <v>233</v>
      </c>
      <c r="E28" s="129" t="s">
        <v>234</v>
      </c>
    </row>
    <row r="29" spans="2:5" x14ac:dyDescent="0.45">
      <c r="B29" s="1" t="s">
        <v>77</v>
      </c>
      <c r="C29" s="130">
        <v>275</v>
      </c>
      <c r="D29" s="129" t="s">
        <v>235</v>
      </c>
      <c r="E29" s="129" t="s">
        <v>236</v>
      </c>
    </row>
    <row r="30" spans="2:5" x14ac:dyDescent="0.45">
      <c r="B30" s="1" t="s">
        <v>78</v>
      </c>
      <c r="C30" s="130">
        <v>442</v>
      </c>
      <c r="D30" s="129" t="s">
        <v>237</v>
      </c>
      <c r="E30" s="129" t="s">
        <v>238</v>
      </c>
    </row>
    <row r="31" spans="2:5" x14ac:dyDescent="0.45">
      <c r="B31" s="1" t="s">
        <v>79</v>
      </c>
      <c r="C31" s="130">
        <v>470</v>
      </c>
      <c r="D31" s="129" t="s">
        <v>239</v>
      </c>
      <c r="E31" s="129" t="s">
        <v>240</v>
      </c>
    </row>
    <row r="32" spans="2:5" x14ac:dyDescent="0.45">
      <c r="B32" s="1" t="s">
        <v>80</v>
      </c>
      <c r="C32" s="130">
        <v>820</v>
      </c>
      <c r="D32" s="129" t="s">
        <v>241</v>
      </c>
      <c r="E32" s="129" t="s">
        <v>234</v>
      </c>
    </row>
    <row r="33" spans="2:5" x14ac:dyDescent="0.45">
      <c r="B33" s="1" t="s">
        <v>81</v>
      </c>
      <c r="C33" s="130">
        <v>666</v>
      </c>
      <c r="D33" s="129" t="s">
        <v>242</v>
      </c>
      <c r="E33" s="129" t="s">
        <v>243</v>
      </c>
    </row>
    <row r="34" spans="2:5" x14ac:dyDescent="0.45">
      <c r="B34" s="1" t="s">
        <v>82</v>
      </c>
      <c r="C34" s="130">
        <v>165</v>
      </c>
      <c r="D34" s="129" t="s">
        <v>244</v>
      </c>
      <c r="E34" s="129" t="s">
        <v>245</v>
      </c>
    </row>
    <row r="35" spans="2:5" x14ac:dyDescent="0.45">
      <c r="B35" s="1" t="s">
        <v>83</v>
      </c>
      <c r="C35" s="130">
        <v>284</v>
      </c>
      <c r="D35" s="129" t="s">
        <v>246</v>
      </c>
      <c r="E35" s="129" t="s">
        <v>247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매크로3">
                <anchor moveWithCells="1" sizeWithCells="1">
                  <from>
                    <xdr:col>5</xdr:col>
                    <xdr:colOff>654050</xdr:colOff>
                    <xdr:row>5</xdr:row>
                    <xdr:rowOff>0</xdr:rowOff>
                  </from>
                  <to>
                    <xdr:col>8</xdr:col>
                    <xdr:colOff>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2"/>
  <dimension ref="A2:T285"/>
  <sheetViews>
    <sheetView topLeftCell="A222" workbookViewId="0">
      <selection activeCell="A236" sqref="A236:T285"/>
    </sheetView>
  </sheetViews>
  <sheetFormatPr defaultRowHeight="17" x14ac:dyDescent="0.45"/>
  <sheetData>
    <row r="2" spans="1:20" ht="17.5" thickBot="1" x14ac:dyDescent="0.5"/>
    <row r="3" spans="1:20" x14ac:dyDescent="0.45">
      <c r="A3" s="11" t="s">
        <v>9</v>
      </c>
      <c r="B3" s="12"/>
      <c r="C3" s="12"/>
      <c r="D3" s="13"/>
      <c r="F3" s="11" t="s">
        <v>10</v>
      </c>
      <c r="G3" s="12"/>
      <c r="H3" s="12"/>
      <c r="I3" s="13"/>
      <c r="K3" s="11" t="s">
        <v>11</v>
      </c>
      <c r="L3" s="12"/>
      <c r="M3" s="12"/>
      <c r="N3" s="13"/>
      <c r="P3" s="11" t="s">
        <v>12</v>
      </c>
      <c r="Q3" s="12"/>
      <c r="R3" s="12"/>
      <c r="S3" s="13"/>
    </row>
    <row r="4" spans="1:20" x14ac:dyDescent="0.45">
      <c r="A4" s="5" t="s">
        <v>7</v>
      </c>
      <c r="B4" s="1"/>
      <c r="C4" s="1"/>
      <c r="D4" s="6" t="s">
        <v>8</v>
      </c>
      <c r="F4" s="5" t="s">
        <v>7</v>
      </c>
      <c r="G4" s="1"/>
      <c r="H4" s="1"/>
      <c r="I4" s="6" t="s">
        <v>8</v>
      </c>
      <c r="K4" s="5" t="s">
        <v>7</v>
      </c>
      <c r="L4" s="1"/>
      <c r="M4" s="1"/>
      <c r="N4" s="6" t="s">
        <v>8</v>
      </c>
      <c r="P4" s="5" t="s">
        <v>7</v>
      </c>
      <c r="Q4" s="1"/>
      <c r="R4" s="1"/>
      <c r="S4" s="6" t="s">
        <v>8</v>
      </c>
    </row>
    <row r="5" spans="1:20" x14ac:dyDescent="0.45">
      <c r="A5" s="131">
        <v>69</v>
      </c>
      <c r="B5" s="132">
        <v>820</v>
      </c>
      <c r="C5" s="132">
        <v>1588</v>
      </c>
      <c r="D5" s="132">
        <v>2408</v>
      </c>
      <c r="E5" s="132">
        <v>2408</v>
      </c>
      <c r="F5" s="131">
        <v>72</v>
      </c>
      <c r="G5" s="132">
        <v>79</v>
      </c>
      <c r="H5" s="132">
        <v>151</v>
      </c>
      <c r="I5" s="132">
        <v>230</v>
      </c>
      <c r="J5" s="132">
        <v>230</v>
      </c>
      <c r="K5" s="131">
        <v>71</v>
      </c>
      <c r="L5" s="132">
        <v>310</v>
      </c>
      <c r="M5" s="132">
        <v>181</v>
      </c>
      <c r="N5" s="132">
        <v>492</v>
      </c>
      <c r="O5" s="132">
        <v>492</v>
      </c>
      <c r="P5" s="131">
        <v>66</v>
      </c>
      <c r="Q5" s="132">
        <v>447</v>
      </c>
      <c r="R5" s="132">
        <v>261</v>
      </c>
      <c r="S5" s="132">
        <v>708</v>
      </c>
      <c r="T5" s="132">
        <v>708</v>
      </c>
    </row>
    <row r="6" spans="1:20" x14ac:dyDescent="0.45">
      <c r="A6" s="131">
        <v>67</v>
      </c>
      <c r="B6" s="132">
        <v>1307</v>
      </c>
      <c r="C6" s="132">
        <v>2704</v>
      </c>
      <c r="D6" s="132">
        <v>4014</v>
      </c>
      <c r="E6" s="132">
        <v>6422</v>
      </c>
      <c r="F6" s="131">
        <v>71</v>
      </c>
      <c r="G6" s="132">
        <v>51</v>
      </c>
      <c r="H6" s="132">
        <v>89</v>
      </c>
      <c r="I6" s="132">
        <v>140</v>
      </c>
      <c r="J6" s="132">
        <v>370</v>
      </c>
      <c r="K6" s="131">
        <v>69</v>
      </c>
      <c r="L6" s="132">
        <v>397</v>
      </c>
      <c r="M6" s="132">
        <v>302</v>
      </c>
      <c r="N6" s="132">
        <v>700</v>
      </c>
      <c r="O6" s="132">
        <v>1192</v>
      </c>
      <c r="P6" s="131">
        <v>64</v>
      </c>
      <c r="Q6" s="132">
        <v>902</v>
      </c>
      <c r="R6" s="132">
        <v>632</v>
      </c>
      <c r="S6" s="132">
        <v>1537</v>
      </c>
      <c r="T6" s="132">
        <v>2245</v>
      </c>
    </row>
    <row r="7" spans="1:20" x14ac:dyDescent="0.45">
      <c r="A7" s="131">
        <v>66</v>
      </c>
      <c r="B7" s="132">
        <v>56</v>
      </c>
      <c r="C7" s="132">
        <v>73</v>
      </c>
      <c r="D7" s="132">
        <v>129</v>
      </c>
      <c r="E7" s="132">
        <v>6551</v>
      </c>
      <c r="F7" s="131">
        <v>70</v>
      </c>
      <c r="G7" s="132">
        <v>128</v>
      </c>
      <c r="H7" s="132">
        <v>259</v>
      </c>
      <c r="I7" s="132">
        <v>387</v>
      </c>
      <c r="J7" s="132">
        <v>757</v>
      </c>
      <c r="K7" s="131">
        <v>68</v>
      </c>
      <c r="L7" s="132">
        <v>44</v>
      </c>
      <c r="M7" s="132">
        <v>33</v>
      </c>
      <c r="N7" s="132">
        <v>77</v>
      </c>
      <c r="O7" s="132">
        <v>1269</v>
      </c>
      <c r="P7" s="131">
        <v>63</v>
      </c>
      <c r="Q7" s="132">
        <v>7</v>
      </c>
      <c r="R7" s="132">
        <v>10</v>
      </c>
      <c r="S7" s="132">
        <v>17</v>
      </c>
      <c r="T7" s="132">
        <v>2262</v>
      </c>
    </row>
    <row r="8" spans="1:20" x14ac:dyDescent="0.45">
      <c r="A8" s="131">
        <v>65</v>
      </c>
      <c r="B8" s="132">
        <v>572</v>
      </c>
      <c r="C8" s="132">
        <v>1090</v>
      </c>
      <c r="D8" s="132">
        <v>1662</v>
      </c>
      <c r="E8" s="132">
        <v>8213</v>
      </c>
      <c r="F8" s="131">
        <v>69</v>
      </c>
      <c r="G8" s="132">
        <v>5</v>
      </c>
      <c r="H8" s="132">
        <v>21</v>
      </c>
      <c r="I8" s="132">
        <v>26</v>
      </c>
      <c r="J8" s="132">
        <v>783</v>
      </c>
      <c r="K8" s="131">
        <v>67</v>
      </c>
      <c r="L8" s="132">
        <v>208</v>
      </c>
      <c r="M8" s="132">
        <v>185</v>
      </c>
      <c r="N8" s="132">
        <v>393</v>
      </c>
      <c r="O8" s="132">
        <v>1662</v>
      </c>
      <c r="P8" s="131">
        <v>62</v>
      </c>
      <c r="Q8" s="132">
        <v>175</v>
      </c>
      <c r="R8" s="132">
        <v>184</v>
      </c>
      <c r="S8" s="132">
        <v>359</v>
      </c>
      <c r="T8" s="132">
        <v>2621</v>
      </c>
    </row>
    <row r="9" spans="1:20" x14ac:dyDescent="0.45">
      <c r="A9" s="131">
        <v>64</v>
      </c>
      <c r="B9" s="132">
        <v>1140</v>
      </c>
      <c r="C9" s="132">
        <v>2210</v>
      </c>
      <c r="D9" s="132">
        <v>3350</v>
      </c>
      <c r="E9" s="132">
        <v>11563</v>
      </c>
      <c r="F9" s="131">
        <v>68</v>
      </c>
      <c r="G9" s="132">
        <v>231</v>
      </c>
      <c r="H9" s="132">
        <v>468</v>
      </c>
      <c r="I9" s="132">
        <v>701</v>
      </c>
      <c r="J9" s="132">
        <v>1484</v>
      </c>
      <c r="K9" s="131">
        <v>66</v>
      </c>
      <c r="L9" s="132">
        <v>264</v>
      </c>
      <c r="M9" s="132">
        <v>222</v>
      </c>
      <c r="N9" s="132">
        <v>486</v>
      </c>
      <c r="O9" s="132">
        <v>2148</v>
      </c>
      <c r="P9" s="131">
        <v>61</v>
      </c>
      <c r="Q9" s="132">
        <v>654</v>
      </c>
      <c r="R9" s="132">
        <v>486</v>
      </c>
      <c r="S9" s="132">
        <v>1142</v>
      </c>
      <c r="T9" s="132">
        <v>3763</v>
      </c>
    </row>
    <row r="10" spans="1:20" x14ac:dyDescent="0.45">
      <c r="A10" s="131">
        <v>63</v>
      </c>
      <c r="B10" s="132">
        <v>784</v>
      </c>
      <c r="C10" s="132">
        <v>1446</v>
      </c>
      <c r="D10" s="132">
        <v>2232</v>
      </c>
      <c r="E10" s="132">
        <v>13795</v>
      </c>
      <c r="F10" s="131">
        <v>67</v>
      </c>
      <c r="G10" s="132">
        <v>29</v>
      </c>
      <c r="H10" s="132">
        <v>69</v>
      </c>
      <c r="I10" s="132">
        <v>98</v>
      </c>
      <c r="J10" s="132">
        <v>1582</v>
      </c>
      <c r="K10" s="131">
        <v>65</v>
      </c>
      <c r="L10" s="132">
        <v>207</v>
      </c>
      <c r="M10" s="132">
        <v>200</v>
      </c>
      <c r="N10" s="132">
        <v>408</v>
      </c>
      <c r="O10" s="132">
        <v>2556</v>
      </c>
      <c r="P10" s="131">
        <v>60</v>
      </c>
      <c r="Q10" s="132">
        <v>260</v>
      </c>
      <c r="R10" s="132">
        <v>233</v>
      </c>
      <c r="S10" s="132">
        <v>494</v>
      </c>
      <c r="T10" s="132">
        <v>4257</v>
      </c>
    </row>
    <row r="11" spans="1:20" x14ac:dyDescent="0.45">
      <c r="A11" s="131">
        <v>62</v>
      </c>
      <c r="B11" s="132">
        <v>693</v>
      </c>
      <c r="C11" s="132">
        <v>1456</v>
      </c>
      <c r="D11" s="132">
        <v>2149</v>
      </c>
      <c r="E11" s="132">
        <v>15944</v>
      </c>
      <c r="F11" s="131">
        <v>66</v>
      </c>
      <c r="G11" s="132">
        <v>159</v>
      </c>
      <c r="H11" s="132">
        <v>290</v>
      </c>
      <c r="I11" s="132">
        <v>449</v>
      </c>
      <c r="J11" s="132">
        <v>2031</v>
      </c>
      <c r="K11" s="131">
        <v>64</v>
      </c>
      <c r="L11" s="132">
        <v>110</v>
      </c>
      <c r="M11" s="132">
        <v>95</v>
      </c>
      <c r="N11" s="132">
        <v>205</v>
      </c>
      <c r="O11" s="132">
        <v>2761</v>
      </c>
      <c r="P11" s="131">
        <v>59</v>
      </c>
      <c r="Q11" s="132">
        <v>356</v>
      </c>
      <c r="R11" s="132">
        <v>254</v>
      </c>
      <c r="S11" s="132">
        <v>610</v>
      </c>
      <c r="T11" s="132">
        <v>4867</v>
      </c>
    </row>
    <row r="12" spans="1:20" x14ac:dyDescent="0.45">
      <c r="A12" s="131">
        <v>61</v>
      </c>
      <c r="B12" s="132">
        <v>1115</v>
      </c>
      <c r="C12" s="132">
        <v>2103</v>
      </c>
      <c r="D12" s="132">
        <v>3223</v>
      </c>
      <c r="E12" s="132">
        <v>19167</v>
      </c>
      <c r="F12" s="131">
        <v>65</v>
      </c>
      <c r="G12" s="132">
        <v>131</v>
      </c>
      <c r="H12" s="132">
        <v>280</v>
      </c>
      <c r="I12" s="132">
        <v>411</v>
      </c>
      <c r="J12" s="132">
        <v>2442</v>
      </c>
      <c r="K12" s="131">
        <v>63</v>
      </c>
      <c r="L12" s="132">
        <v>152</v>
      </c>
      <c r="M12" s="132">
        <v>157</v>
      </c>
      <c r="N12" s="132">
        <v>311</v>
      </c>
      <c r="O12" s="132">
        <v>3072</v>
      </c>
      <c r="P12" s="131">
        <v>58</v>
      </c>
      <c r="Q12" s="132">
        <v>348</v>
      </c>
      <c r="R12" s="132">
        <v>283</v>
      </c>
      <c r="S12" s="132">
        <v>631</v>
      </c>
      <c r="T12" s="132">
        <v>5498</v>
      </c>
    </row>
    <row r="13" spans="1:20" x14ac:dyDescent="0.45">
      <c r="A13" s="131">
        <v>60</v>
      </c>
      <c r="B13" s="132">
        <v>553</v>
      </c>
      <c r="C13" s="132">
        <v>1033</v>
      </c>
      <c r="D13" s="132">
        <v>1589</v>
      </c>
      <c r="E13" s="132">
        <v>20756</v>
      </c>
      <c r="F13" s="131">
        <v>64</v>
      </c>
      <c r="G13" s="132">
        <v>257</v>
      </c>
      <c r="H13" s="132">
        <v>451</v>
      </c>
      <c r="I13" s="132">
        <v>708</v>
      </c>
      <c r="J13" s="132">
        <v>3150</v>
      </c>
      <c r="K13" s="131">
        <v>62</v>
      </c>
      <c r="L13" s="132">
        <v>250</v>
      </c>
      <c r="M13" s="132">
        <v>244</v>
      </c>
      <c r="N13" s="132">
        <v>495</v>
      </c>
      <c r="O13" s="132">
        <v>3567</v>
      </c>
      <c r="P13" s="131">
        <v>57</v>
      </c>
      <c r="Q13" s="132">
        <v>249</v>
      </c>
      <c r="R13" s="132">
        <v>164</v>
      </c>
      <c r="S13" s="132">
        <v>413</v>
      </c>
      <c r="T13" s="132">
        <v>5911</v>
      </c>
    </row>
    <row r="14" spans="1:20" x14ac:dyDescent="0.45">
      <c r="A14" s="131">
        <v>59</v>
      </c>
      <c r="B14" s="132">
        <v>1152</v>
      </c>
      <c r="C14" s="132">
        <v>2203</v>
      </c>
      <c r="D14" s="132">
        <v>3358</v>
      </c>
      <c r="E14" s="132">
        <v>24114</v>
      </c>
      <c r="F14" s="131">
        <v>63</v>
      </c>
      <c r="G14" s="132">
        <v>88</v>
      </c>
      <c r="H14" s="132">
        <v>228</v>
      </c>
      <c r="I14" s="132">
        <v>316</v>
      </c>
      <c r="J14" s="132">
        <v>3466</v>
      </c>
      <c r="K14" s="131">
        <v>61</v>
      </c>
      <c r="L14" s="132">
        <v>174</v>
      </c>
      <c r="M14" s="132">
        <v>184</v>
      </c>
      <c r="N14" s="132">
        <v>358</v>
      </c>
      <c r="O14" s="132">
        <v>3925</v>
      </c>
      <c r="P14" s="131">
        <v>56</v>
      </c>
      <c r="Q14" s="132">
        <v>305</v>
      </c>
      <c r="R14" s="132">
        <v>284</v>
      </c>
      <c r="S14" s="132">
        <v>589</v>
      </c>
      <c r="T14" s="132">
        <v>6500</v>
      </c>
    </row>
    <row r="15" spans="1:20" x14ac:dyDescent="0.45">
      <c r="A15" s="131">
        <v>58</v>
      </c>
      <c r="B15" s="132">
        <v>420</v>
      </c>
      <c r="C15" s="132">
        <v>804</v>
      </c>
      <c r="D15" s="132">
        <v>1224</v>
      </c>
      <c r="E15" s="132">
        <v>25338</v>
      </c>
      <c r="F15" s="131">
        <v>62</v>
      </c>
      <c r="G15" s="132">
        <v>91</v>
      </c>
      <c r="H15" s="132">
        <v>195</v>
      </c>
      <c r="I15" s="132">
        <v>286</v>
      </c>
      <c r="J15" s="132">
        <v>3752</v>
      </c>
      <c r="K15" s="131">
        <v>60</v>
      </c>
      <c r="L15" s="132">
        <v>137</v>
      </c>
      <c r="M15" s="132">
        <v>145</v>
      </c>
      <c r="N15" s="132">
        <v>283</v>
      </c>
      <c r="O15" s="132">
        <v>4208</v>
      </c>
      <c r="P15" s="131">
        <v>55</v>
      </c>
      <c r="Q15" s="132">
        <v>171</v>
      </c>
      <c r="R15" s="132">
        <v>130</v>
      </c>
      <c r="S15" s="132">
        <v>301</v>
      </c>
      <c r="T15" s="132">
        <v>6801</v>
      </c>
    </row>
    <row r="16" spans="1:20" x14ac:dyDescent="0.45">
      <c r="A16" s="131">
        <v>57</v>
      </c>
      <c r="B16" s="132">
        <v>504</v>
      </c>
      <c r="C16" s="132">
        <v>952</v>
      </c>
      <c r="D16" s="132">
        <v>1456</v>
      </c>
      <c r="E16" s="132">
        <v>26794</v>
      </c>
      <c r="F16" s="131">
        <v>61</v>
      </c>
      <c r="G16" s="132">
        <v>145</v>
      </c>
      <c r="H16" s="132">
        <v>281</v>
      </c>
      <c r="I16" s="132">
        <v>426</v>
      </c>
      <c r="J16" s="132">
        <v>4178</v>
      </c>
      <c r="K16" s="131">
        <v>59</v>
      </c>
      <c r="L16" s="132">
        <v>295</v>
      </c>
      <c r="M16" s="132">
        <v>272</v>
      </c>
      <c r="N16" s="132">
        <v>568</v>
      </c>
      <c r="O16" s="132">
        <v>4776</v>
      </c>
      <c r="P16" s="131">
        <v>54</v>
      </c>
      <c r="Q16" s="132">
        <v>116</v>
      </c>
      <c r="R16" s="132">
        <v>115</v>
      </c>
      <c r="S16" s="132">
        <v>231</v>
      </c>
      <c r="T16" s="132">
        <v>7032</v>
      </c>
    </row>
    <row r="17" spans="1:20" x14ac:dyDescent="0.45">
      <c r="A17" s="131">
        <v>56</v>
      </c>
      <c r="B17" s="132">
        <v>1110</v>
      </c>
      <c r="C17" s="132">
        <v>1826</v>
      </c>
      <c r="D17" s="132">
        <v>2937</v>
      </c>
      <c r="E17" s="132">
        <v>29731</v>
      </c>
      <c r="F17" s="131">
        <v>60</v>
      </c>
      <c r="G17" s="132">
        <v>246</v>
      </c>
      <c r="H17" s="132">
        <v>490</v>
      </c>
      <c r="I17" s="132">
        <v>736</v>
      </c>
      <c r="J17" s="132">
        <v>4914</v>
      </c>
      <c r="K17" s="131">
        <v>58</v>
      </c>
      <c r="L17" s="132">
        <v>124</v>
      </c>
      <c r="M17" s="132">
        <v>117</v>
      </c>
      <c r="N17" s="132">
        <v>241</v>
      </c>
      <c r="O17" s="132">
        <v>5017</v>
      </c>
      <c r="P17" s="131">
        <v>53</v>
      </c>
      <c r="Q17" s="132">
        <v>338</v>
      </c>
      <c r="R17" s="132">
        <v>268</v>
      </c>
      <c r="S17" s="132">
        <v>606</v>
      </c>
      <c r="T17" s="132">
        <v>7638</v>
      </c>
    </row>
    <row r="18" spans="1:20" x14ac:dyDescent="0.45">
      <c r="A18" s="131">
        <v>55</v>
      </c>
      <c r="B18" s="132">
        <v>543</v>
      </c>
      <c r="C18" s="132">
        <v>1026</v>
      </c>
      <c r="D18" s="132">
        <v>1569</v>
      </c>
      <c r="E18" s="132">
        <v>31300</v>
      </c>
      <c r="F18" s="131">
        <v>59</v>
      </c>
      <c r="G18" s="132">
        <v>139</v>
      </c>
      <c r="H18" s="132">
        <v>294</v>
      </c>
      <c r="I18" s="132">
        <v>433</v>
      </c>
      <c r="J18" s="132">
        <v>5347</v>
      </c>
      <c r="K18" s="131">
        <v>57</v>
      </c>
      <c r="L18" s="132">
        <v>151</v>
      </c>
      <c r="M18" s="132">
        <v>169</v>
      </c>
      <c r="N18" s="132">
        <v>320</v>
      </c>
      <c r="O18" s="132">
        <v>5337</v>
      </c>
      <c r="P18" s="131">
        <v>52</v>
      </c>
      <c r="Q18" s="132">
        <v>146</v>
      </c>
      <c r="R18" s="132">
        <v>134</v>
      </c>
      <c r="S18" s="132">
        <v>280</v>
      </c>
      <c r="T18" s="132">
        <v>7918</v>
      </c>
    </row>
    <row r="19" spans="1:20" x14ac:dyDescent="0.45">
      <c r="A19" s="131">
        <v>54</v>
      </c>
      <c r="B19" s="132">
        <v>527</v>
      </c>
      <c r="C19" s="132">
        <v>982</v>
      </c>
      <c r="D19" s="132">
        <v>1511</v>
      </c>
      <c r="E19" s="132">
        <v>32811</v>
      </c>
      <c r="F19" s="131">
        <v>58</v>
      </c>
      <c r="G19" s="132">
        <v>112</v>
      </c>
      <c r="H19" s="132">
        <v>203</v>
      </c>
      <c r="I19" s="132">
        <v>315</v>
      </c>
      <c r="J19" s="132">
        <v>5662</v>
      </c>
      <c r="K19" s="131">
        <v>56</v>
      </c>
      <c r="L19" s="132">
        <v>140</v>
      </c>
      <c r="M19" s="132">
        <v>156</v>
      </c>
      <c r="N19" s="132">
        <v>298</v>
      </c>
      <c r="O19" s="132">
        <v>5635</v>
      </c>
      <c r="P19" s="131">
        <v>51</v>
      </c>
      <c r="Q19" s="132">
        <v>312</v>
      </c>
      <c r="R19" s="132">
        <v>257</v>
      </c>
      <c r="S19" s="132">
        <v>569</v>
      </c>
      <c r="T19" s="132">
        <v>8487</v>
      </c>
    </row>
    <row r="20" spans="1:20" x14ac:dyDescent="0.45">
      <c r="A20" s="131">
        <v>53</v>
      </c>
      <c r="B20" s="132">
        <v>1059</v>
      </c>
      <c r="C20" s="132">
        <v>1840</v>
      </c>
      <c r="D20" s="132">
        <v>2903</v>
      </c>
      <c r="E20" s="132">
        <v>35714</v>
      </c>
      <c r="F20" s="131">
        <v>57</v>
      </c>
      <c r="G20" s="132">
        <v>139</v>
      </c>
      <c r="H20" s="132">
        <v>286</v>
      </c>
      <c r="I20" s="132">
        <v>425</v>
      </c>
      <c r="J20" s="132">
        <v>6087</v>
      </c>
      <c r="K20" s="131">
        <v>55</v>
      </c>
      <c r="L20" s="132">
        <v>269</v>
      </c>
      <c r="M20" s="132">
        <v>323</v>
      </c>
      <c r="N20" s="132">
        <v>592</v>
      </c>
      <c r="O20" s="132">
        <v>6227</v>
      </c>
      <c r="P20" s="131">
        <v>50</v>
      </c>
      <c r="Q20" s="132">
        <v>152</v>
      </c>
      <c r="R20" s="132">
        <v>138</v>
      </c>
      <c r="S20" s="132">
        <v>290</v>
      </c>
      <c r="T20" s="132">
        <v>8777</v>
      </c>
    </row>
    <row r="21" spans="1:20" x14ac:dyDescent="0.45">
      <c r="A21" s="131">
        <v>52</v>
      </c>
      <c r="B21" s="132">
        <v>492</v>
      </c>
      <c r="C21" s="132">
        <v>952</v>
      </c>
      <c r="D21" s="132">
        <v>1444</v>
      </c>
      <c r="E21" s="132">
        <v>37158</v>
      </c>
      <c r="F21" s="131">
        <v>56</v>
      </c>
      <c r="G21" s="132">
        <v>239</v>
      </c>
      <c r="H21" s="132">
        <v>493</v>
      </c>
      <c r="I21" s="132">
        <v>733</v>
      </c>
      <c r="J21" s="132">
        <v>6820</v>
      </c>
      <c r="K21" s="131">
        <v>54</v>
      </c>
      <c r="L21" s="132">
        <v>137</v>
      </c>
      <c r="M21" s="132">
        <v>131</v>
      </c>
      <c r="N21" s="132">
        <v>268</v>
      </c>
      <c r="O21" s="132">
        <v>6495</v>
      </c>
      <c r="P21" s="131">
        <v>49</v>
      </c>
      <c r="Q21" s="132">
        <v>178</v>
      </c>
      <c r="R21" s="132">
        <v>130</v>
      </c>
      <c r="S21" s="132">
        <v>309</v>
      </c>
      <c r="T21" s="132">
        <v>9086</v>
      </c>
    </row>
    <row r="22" spans="1:20" x14ac:dyDescent="0.45">
      <c r="A22" s="131">
        <v>51</v>
      </c>
      <c r="B22" s="132">
        <v>555</v>
      </c>
      <c r="C22" s="132">
        <v>979</v>
      </c>
      <c r="D22" s="132">
        <v>1535</v>
      </c>
      <c r="E22" s="132">
        <v>38693</v>
      </c>
      <c r="F22" s="131">
        <v>55</v>
      </c>
      <c r="G22" s="132">
        <v>126</v>
      </c>
      <c r="H22" s="132">
        <v>293</v>
      </c>
      <c r="I22" s="132">
        <v>419</v>
      </c>
      <c r="J22" s="132">
        <v>7239</v>
      </c>
      <c r="K22" s="131">
        <v>53</v>
      </c>
      <c r="L22" s="132">
        <v>163</v>
      </c>
      <c r="M22" s="132">
        <v>162</v>
      </c>
      <c r="N22" s="132">
        <v>326</v>
      </c>
      <c r="O22" s="132">
        <v>6821</v>
      </c>
      <c r="P22" s="131">
        <v>48</v>
      </c>
      <c r="Q22" s="132">
        <v>317</v>
      </c>
      <c r="R22" s="132">
        <v>266</v>
      </c>
      <c r="S22" s="132">
        <v>584</v>
      </c>
      <c r="T22" s="132">
        <v>9670</v>
      </c>
    </row>
    <row r="23" spans="1:20" x14ac:dyDescent="0.45">
      <c r="A23" s="131">
        <v>50</v>
      </c>
      <c r="B23" s="132">
        <v>1123</v>
      </c>
      <c r="C23" s="132">
        <v>1859</v>
      </c>
      <c r="D23" s="132">
        <v>2985</v>
      </c>
      <c r="E23" s="132">
        <v>41678</v>
      </c>
      <c r="F23" s="131">
        <v>54</v>
      </c>
      <c r="G23" s="132">
        <v>138</v>
      </c>
      <c r="H23" s="132">
        <v>274</v>
      </c>
      <c r="I23" s="132">
        <v>414</v>
      </c>
      <c r="J23" s="132">
        <v>7653</v>
      </c>
      <c r="K23" s="131">
        <v>52</v>
      </c>
      <c r="L23" s="132">
        <v>332</v>
      </c>
      <c r="M23" s="132">
        <v>326</v>
      </c>
      <c r="N23" s="132">
        <v>658</v>
      </c>
      <c r="O23" s="132">
        <v>7479</v>
      </c>
      <c r="P23" s="131">
        <v>47</v>
      </c>
      <c r="Q23" s="132">
        <v>162</v>
      </c>
      <c r="R23" s="132">
        <v>145</v>
      </c>
      <c r="S23" s="132">
        <v>307</v>
      </c>
      <c r="T23" s="132">
        <v>9977</v>
      </c>
    </row>
    <row r="24" spans="1:20" x14ac:dyDescent="0.45">
      <c r="A24" s="131">
        <v>49</v>
      </c>
      <c r="B24" s="132">
        <v>660</v>
      </c>
      <c r="C24" s="132">
        <v>1103</v>
      </c>
      <c r="D24" s="132">
        <v>1763</v>
      </c>
      <c r="E24" s="132">
        <v>43441</v>
      </c>
      <c r="F24" s="131">
        <v>53</v>
      </c>
      <c r="G24" s="132">
        <v>136</v>
      </c>
      <c r="H24" s="132">
        <v>284</v>
      </c>
      <c r="I24" s="132">
        <v>421</v>
      </c>
      <c r="J24" s="132">
        <v>8074</v>
      </c>
      <c r="K24" s="131">
        <v>51</v>
      </c>
      <c r="L24" s="132">
        <v>167</v>
      </c>
      <c r="M24" s="132">
        <v>220</v>
      </c>
      <c r="N24" s="132">
        <v>387</v>
      </c>
      <c r="O24" s="132">
        <v>7866</v>
      </c>
      <c r="P24" s="131">
        <v>46</v>
      </c>
      <c r="Q24" s="132">
        <v>167</v>
      </c>
      <c r="R24" s="132">
        <v>139</v>
      </c>
      <c r="S24" s="132">
        <v>306</v>
      </c>
      <c r="T24" s="132">
        <v>10283</v>
      </c>
    </row>
    <row r="25" spans="1:20" x14ac:dyDescent="0.45">
      <c r="A25" s="131">
        <v>48</v>
      </c>
      <c r="B25" s="132">
        <v>1296</v>
      </c>
      <c r="C25" s="132">
        <v>2127</v>
      </c>
      <c r="D25" s="132">
        <v>3428</v>
      </c>
      <c r="E25" s="132">
        <v>46869</v>
      </c>
      <c r="F25" s="131">
        <v>52</v>
      </c>
      <c r="G25" s="132">
        <v>260</v>
      </c>
      <c r="H25" s="132">
        <v>593</v>
      </c>
      <c r="I25" s="132">
        <v>854</v>
      </c>
      <c r="J25" s="132">
        <v>8928</v>
      </c>
      <c r="K25" s="131">
        <v>50</v>
      </c>
      <c r="L25" s="132">
        <v>168</v>
      </c>
      <c r="M25" s="132">
        <v>183</v>
      </c>
      <c r="N25" s="132">
        <v>351</v>
      </c>
      <c r="O25" s="132">
        <v>8217</v>
      </c>
      <c r="P25" s="131">
        <v>45</v>
      </c>
      <c r="Q25" s="132">
        <v>288</v>
      </c>
      <c r="R25" s="132">
        <v>308</v>
      </c>
      <c r="S25" s="132">
        <v>597</v>
      </c>
      <c r="T25" s="132">
        <v>10880</v>
      </c>
    </row>
    <row r="26" spans="1:20" x14ac:dyDescent="0.45">
      <c r="A26" s="131">
        <v>47</v>
      </c>
      <c r="B26" s="132">
        <v>719</v>
      </c>
      <c r="C26" s="132">
        <v>1265</v>
      </c>
      <c r="D26" s="132">
        <v>1984</v>
      </c>
      <c r="E26" s="132">
        <v>48853</v>
      </c>
      <c r="F26" s="131">
        <v>51</v>
      </c>
      <c r="G26" s="132">
        <v>162</v>
      </c>
      <c r="H26" s="132">
        <v>303</v>
      </c>
      <c r="I26" s="132">
        <v>465</v>
      </c>
      <c r="J26" s="132">
        <v>9393</v>
      </c>
      <c r="K26" s="131">
        <v>49</v>
      </c>
      <c r="L26" s="132">
        <v>221</v>
      </c>
      <c r="M26" s="132">
        <v>233</v>
      </c>
      <c r="N26" s="132">
        <v>454</v>
      </c>
      <c r="O26" s="132">
        <v>8671</v>
      </c>
      <c r="P26" s="131">
        <v>44</v>
      </c>
      <c r="Q26" s="132">
        <v>169</v>
      </c>
      <c r="R26" s="132">
        <v>138</v>
      </c>
      <c r="S26" s="132">
        <v>307</v>
      </c>
      <c r="T26" s="132">
        <v>11187</v>
      </c>
    </row>
    <row r="27" spans="1:20" x14ac:dyDescent="0.45">
      <c r="A27" s="131">
        <v>46</v>
      </c>
      <c r="B27" s="132">
        <v>688</v>
      </c>
      <c r="C27" s="132">
        <v>1171</v>
      </c>
      <c r="D27" s="132">
        <v>1859</v>
      </c>
      <c r="E27" s="132">
        <v>50712</v>
      </c>
      <c r="F27" s="131">
        <v>50</v>
      </c>
      <c r="G27" s="132">
        <v>126</v>
      </c>
      <c r="H27" s="132">
        <v>261</v>
      </c>
      <c r="I27" s="132">
        <v>387</v>
      </c>
      <c r="J27" s="132">
        <v>9780</v>
      </c>
      <c r="K27" s="131">
        <v>48</v>
      </c>
      <c r="L27" s="132">
        <v>460</v>
      </c>
      <c r="M27" s="132">
        <v>491</v>
      </c>
      <c r="N27" s="132">
        <v>952</v>
      </c>
      <c r="O27" s="132">
        <v>9623</v>
      </c>
      <c r="P27" s="131">
        <v>43</v>
      </c>
      <c r="Q27" s="132">
        <v>355</v>
      </c>
      <c r="R27" s="132">
        <v>342</v>
      </c>
      <c r="S27" s="132">
        <v>698</v>
      </c>
      <c r="T27" s="132">
        <v>11885</v>
      </c>
    </row>
    <row r="28" spans="1:20" x14ac:dyDescent="0.45">
      <c r="A28" s="131">
        <v>45</v>
      </c>
      <c r="B28" s="132">
        <v>1713</v>
      </c>
      <c r="C28" s="132">
        <v>2614</v>
      </c>
      <c r="D28" s="132">
        <v>4332</v>
      </c>
      <c r="E28" s="132">
        <v>55044</v>
      </c>
      <c r="F28" s="131">
        <v>49</v>
      </c>
      <c r="G28" s="132">
        <v>180</v>
      </c>
      <c r="H28" s="132">
        <v>306</v>
      </c>
      <c r="I28" s="132">
        <v>486</v>
      </c>
      <c r="J28" s="132">
        <v>10266</v>
      </c>
      <c r="K28" s="131">
        <v>47</v>
      </c>
      <c r="L28" s="132">
        <v>258</v>
      </c>
      <c r="M28" s="132">
        <v>281</v>
      </c>
      <c r="N28" s="132">
        <v>540</v>
      </c>
      <c r="O28" s="132">
        <v>10163</v>
      </c>
      <c r="P28" s="131">
        <v>42</v>
      </c>
      <c r="Q28" s="132">
        <v>188</v>
      </c>
      <c r="R28" s="132">
        <v>140</v>
      </c>
      <c r="S28" s="132">
        <v>328</v>
      </c>
      <c r="T28" s="132">
        <v>12213</v>
      </c>
    </row>
    <row r="29" spans="1:20" x14ac:dyDescent="0.45">
      <c r="A29" s="131">
        <v>44</v>
      </c>
      <c r="B29" s="132">
        <v>878</v>
      </c>
      <c r="C29" s="132">
        <v>1381</v>
      </c>
      <c r="D29" s="132">
        <v>2260</v>
      </c>
      <c r="E29" s="132">
        <v>57304</v>
      </c>
      <c r="F29" s="131">
        <v>48</v>
      </c>
      <c r="G29" s="132">
        <v>336</v>
      </c>
      <c r="H29" s="132">
        <v>619</v>
      </c>
      <c r="I29" s="132">
        <v>955</v>
      </c>
      <c r="J29" s="132">
        <v>11221</v>
      </c>
      <c r="K29" s="131">
        <v>46</v>
      </c>
      <c r="L29" s="132">
        <v>279</v>
      </c>
      <c r="M29" s="132">
        <v>257</v>
      </c>
      <c r="N29" s="132">
        <v>537</v>
      </c>
      <c r="O29" s="132">
        <v>10700</v>
      </c>
      <c r="P29" s="131">
        <v>41</v>
      </c>
      <c r="Q29" s="132">
        <v>273</v>
      </c>
      <c r="R29" s="132">
        <v>153</v>
      </c>
      <c r="S29" s="132">
        <v>426</v>
      </c>
      <c r="T29" s="132">
        <v>12639</v>
      </c>
    </row>
    <row r="30" spans="1:20" x14ac:dyDescent="0.45">
      <c r="A30" s="131">
        <v>43</v>
      </c>
      <c r="B30" s="132">
        <v>986</v>
      </c>
      <c r="C30" s="132">
        <v>1398</v>
      </c>
      <c r="D30" s="132">
        <v>2386</v>
      </c>
      <c r="E30" s="132">
        <v>59690</v>
      </c>
      <c r="F30" s="131">
        <v>47</v>
      </c>
      <c r="G30" s="132">
        <v>223</v>
      </c>
      <c r="H30" s="132">
        <v>355</v>
      </c>
      <c r="I30" s="132">
        <v>579</v>
      </c>
      <c r="J30" s="132">
        <v>11800</v>
      </c>
      <c r="K30" s="131">
        <v>45</v>
      </c>
      <c r="L30" s="132">
        <v>619</v>
      </c>
      <c r="M30" s="132">
        <v>621</v>
      </c>
      <c r="N30" s="132">
        <v>1242</v>
      </c>
      <c r="O30" s="132">
        <v>11942</v>
      </c>
      <c r="P30" s="131">
        <v>40</v>
      </c>
      <c r="Q30" s="132">
        <v>469</v>
      </c>
      <c r="R30" s="132">
        <v>339</v>
      </c>
      <c r="S30" s="132">
        <v>809</v>
      </c>
      <c r="T30" s="132">
        <v>13448</v>
      </c>
    </row>
    <row r="31" spans="1:20" x14ac:dyDescent="0.45">
      <c r="A31" s="131">
        <v>42</v>
      </c>
      <c r="B31" s="132">
        <v>2360</v>
      </c>
      <c r="C31" s="132">
        <v>2995</v>
      </c>
      <c r="D31" s="132">
        <v>5366</v>
      </c>
      <c r="E31" s="132">
        <v>65056</v>
      </c>
      <c r="F31" s="131">
        <v>46</v>
      </c>
      <c r="G31" s="132">
        <v>197</v>
      </c>
      <c r="H31" s="132">
        <v>323</v>
      </c>
      <c r="I31" s="132">
        <v>520</v>
      </c>
      <c r="J31" s="132">
        <v>12320</v>
      </c>
      <c r="K31" s="131">
        <v>44</v>
      </c>
      <c r="L31" s="132">
        <v>389</v>
      </c>
      <c r="M31" s="132">
        <v>305</v>
      </c>
      <c r="N31" s="132">
        <v>696</v>
      </c>
      <c r="O31" s="132">
        <v>12638</v>
      </c>
      <c r="P31" s="131">
        <v>39</v>
      </c>
      <c r="Q31" s="132">
        <v>173</v>
      </c>
      <c r="R31" s="132">
        <v>129</v>
      </c>
      <c r="S31" s="132">
        <v>302</v>
      </c>
      <c r="T31" s="132">
        <v>13750</v>
      </c>
    </row>
    <row r="32" spans="1:20" x14ac:dyDescent="0.45">
      <c r="A32" s="131">
        <v>41</v>
      </c>
      <c r="B32" s="132">
        <v>1046</v>
      </c>
      <c r="C32" s="132">
        <v>1332</v>
      </c>
      <c r="D32" s="132">
        <v>2382</v>
      </c>
      <c r="E32" s="132">
        <v>67438</v>
      </c>
      <c r="F32" s="131">
        <v>45</v>
      </c>
      <c r="G32" s="132">
        <v>222</v>
      </c>
      <c r="H32" s="132">
        <v>286</v>
      </c>
      <c r="I32" s="132">
        <v>509</v>
      </c>
      <c r="J32" s="132">
        <v>12829</v>
      </c>
      <c r="K32" s="131">
        <v>43</v>
      </c>
      <c r="L32" s="132">
        <v>380</v>
      </c>
      <c r="M32" s="132">
        <v>339</v>
      </c>
      <c r="N32" s="132">
        <v>720</v>
      </c>
      <c r="O32" s="132">
        <v>13358</v>
      </c>
      <c r="P32" s="131">
        <v>38</v>
      </c>
      <c r="Q32" s="132">
        <v>1255</v>
      </c>
      <c r="R32" s="132">
        <v>504</v>
      </c>
      <c r="S32" s="132">
        <v>1761</v>
      </c>
      <c r="T32" s="132">
        <v>15511</v>
      </c>
    </row>
    <row r="33" spans="1:20" x14ac:dyDescent="0.45">
      <c r="A33" s="131">
        <v>40</v>
      </c>
      <c r="B33" s="132">
        <v>1057</v>
      </c>
      <c r="C33" s="132">
        <v>1341</v>
      </c>
      <c r="D33" s="132">
        <v>2401</v>
      </c>
      <c r="E33" s="132">
        <v>69839</v>
      </c>
      <c r="F33" s="131">
        <v>44</v>
      </c>
      <c r="G33" s="132">
        <v>251</v>
      </c>
      <c r="H33" s="132">
        <v>347</v>
      </c>
      <c r="I33" s="132">
        <v>599</v>
      </c>
      <c r="J33" s="132">
        <v>13428</v>
      </c>
      <c r="K33" s="131">
        <v>42</v>
      </c>
      <c r="L33" s="132">
        <v>444</v>
      </c>
      <c r="M33" s="132">
        <v>371</v>
      </c>
      <c r="N33" s="132">
        <v>817</v>
      </c>
      <c r="O33" s="132">
        <v>14175</v>
      </c>
      <c r="P33" s="131">
        <v>37</v>
      </c>
      <c r="Q33" s="132">
        <v>314</v>
      </c>
      <c r="R33" s="132">
        <v>158</v>
      </c>
      <c r="S33" s="132">
        <v>472</v>
      </c>
      <c r="T33" s="132">
        <v>15983</v>
      </c>
    </row>
    <row r="34" spans="1:20" x14ac:dyDescent="0.45">
      <c r="A34" s="131">
        <v>39</v>
      </c>
      <c r="B34" s="132">
        <v>3914</v>
      </c>
      <c r="C34" s="132">
        <v>3549</v>
      </c>
      <c r="D34" s="132">
        <v>7477</v>
      </c>
      <c r="E34" s="132">
        <v>77316</v>
      </c>
      <c r="F34" s="131">
        <v>43</v>
      </c>
      <c r="G34" s="132">
        <v>636</v>
      </c>
      <c r="H34" s="132">
        <v>731</v>
      </c>
      <c r="I34" s="132">
        <v>1370</v>
      </c>
      <c r="J34" s="132">
        <v>14798</v>
      </c>
      <c r="K34" s="131">
        <v>41</v>
      </c>
      <c r="L34" s="132">
        <v>1355</v>
      </c>
      <c r="M34" s="132">
        <v>925</v>
      </c>
      <c r="N34" s="132">
        <v>2284</v>
      </c>
      <c r="O34" s="132">
        <v>16459</v>
      </c>
      <c r="P34" s="131">
        <v>36</v>
      </c>
      <c r="Q34" s="132">
        <v>141</v>
      </c>
      <c r="R34" s="132">
        <v>88</v>
      </c>
      <c r="S34" s="132">
        <v>229</v>
      </c>
      <c r="T34" s="132">
        <v>16212</v>
      </c>
    </row>
    <row r="35" spans="1:20" x14ac:dyDescent="0.45">
      <c r="A35" s="131">
        <v>38</v>
      </c>
      <c r="B35" s="132">
        <v>747</v>
      </c>
      <c r="C35" s="132">
        <v>823</v>
      </c>
      <c r="D35" s="132">
        <v>1575</v>
      </c>
      <c r="E35" s="132">
        <v>78891</v>
      </c>
      <c r="F35" s="131">
        <v>42</v>
      </c>
      <c r="G35" s="132">
        <v>292</v>
      </c>
      <c r="H35" s="132">
        <v>313</v>
      </c>
      <c r="I35" s="132">
        <v>605</v>
      </c>
      <c r="J35" s="132">
        <v>15403</v>
      </c>
      <c r="K35" s="131">
        <v>40</v>
      </c>
      <c r="L35" s="132">
        <v>678</v>
      </c>
      <c r="M35" s="132">
        <v>364</v>
      </c>
      <c r="N35" s="132">
        <v>1042</v>
      </c>
      <c r="O35" s="132">
        <v>17501</v>
      </c>
      <c r="P35" s="131">
        <v>35</v>
      </c>
      <c r="Q35" s="132">
        <v>275</v>
      </c>
      <c r="R35" s="132">
        <v>145</v>
      </c>
      <c r="S35" s="132">
        <v>421</v>
      </c>
      <c r="T35" s="132">
        <v>16633</v>
      </c>
    </row>
    <row r="36" spans="1:20" x14ac:dyDescent="0.45">
      <c r="A36" s="131">
        <v>37</v>
      </c>
      <c r="B36" s="132">
        <v>4197</v>
      </c>
      <c r="C36" s="132">
        <v>2759</v>
      </c>
      <c r="D36" s="132">
        <v>6973</v>
      </c>
      <c r="E36" s="132">
        <v>85864</v>
      </c>
      <c r="F36" s="131">
        <v>41</v>
      </c>
      <c r="G36" s="132">
        <v>759</v>
      </c>
      <c r="H36" s="132">
        <v>673</v>
      </c>
      <c r="I36" s="132">
        <v>1436</v>
      </c>
      <c r="J36" s="132">
        <v>16839</v>
      </c>
      <c r="K36" s="131">
        <v>39</v>
      </c>
      <c r="L36" s="132">
        <v>315</v>
      </c>
      <c r="M36" s="132">
        <v>252</v>
      </c>
      <c r="N36" s="132">
        <v>567</v>
      </c>
      <c r="O36" s="132">
        <v>18068</v>
      </c>
      <c r="P36" s="131">
        <v>34</v>
      </c>
      <c r="Q36" s="132">
        <v>143</v>
      </c>
      <c r="R36" s="132">
        <v>72</v>
      </c>
      <c r="S36" s="132">
        <v>215</v>
      </c>
      <c r="T36" s="132">
        <v>16848</v>
      </c>
    </row>
    <row r="37" spans="1:20" x14ac:dyDescent="0.45">
      <c r="A37" s="131">
        <v>36</v>
      </c>
      <c r="B37" s="132">
        <v>516</v>
      </c>
      <c r="C37" s="132">
        <v>424</v>
      </c>
      <c r="D37" s="132">
        <v>942</v>
      </c>
      <c r="E37" s="132">
        <v>86806</v>
      </c>
      <c r="F37" s="131">
        <v>40</v>
      </c>
      <c r="G37" s="132">
        <v>241</v>
      </c>
      <c r="H37" s="132">
        <v>255</v>
      </c>
      <c r="I37" s="132">
        <v>498</v>
      </c>
      <c r="J37" s="132">
        <v>17337</v>
      </c>
      <c r="K37" s="131">
        <v>38</v>
      </c>
      <c r="L37" s="132">
        <v>174</v>
      </c>
      <c r="M37" s="132">
        <v>126</v>
      </c>
      <c r="N37" s="132">
        <v>300</v>
      </c>
      <c r="O37" s="132">
        <v>18368</v>
      </c>
      <c r="P37" s="131">
        <v>33</v>
      </c>
      <c r="Q37" s="132">
        <v>137</v>
      </c>
      <c r="R37" s="132">
        <v>75</v>
      </c>
      <c r="S37" s="132">
        <v>212</v>
      </c>
      <c r="T37" s="132">
        <v>17060</v>
      </c>
    </row>
    <row r="38" spans="1:20" x14ac:dyDescent="0.45">
      <c r="A38" s="131">
        <v>35</v>
      </c>
      <c r="B38" s="132">
        <v>293</v>
      </c>
      <c r="C38" s="132">
        <v>297</v>
      </c>
      <c r="D38" s="132">
        <v>590</v>
      </c>
      <c r="E38" s="132">
        <v>87396</v>
      </c>
      <c r="F38" s="131">
        <v>39</v>
      </c>
      <c r="G38" s="132">
        <v>1695</v>
      </c>
      <c r="H38" s="132">
        <v>1096</v>
      </c>
      <c r="I38" s="132">
        <v>2797</v>
      </c>
      <c r="J38" s="132">
        <v>20134</v>
      </c>
      <c r="K38" s="131">
        <v>37</v>
      </c>
      <c r="L38" s="132">
        <v>381</v>
      </c>
      <c r="M38" s="132">
        <v>226</v>
      </c>
      <c r="N38" s="132">
        <v>607</v>
      </c>
      <c r="O38" s="132">
        <v>18975</v>
      </c>
      <c r="P38" s="131">
        <v>32</v>
      </c>
      <c r="Q38" s="132">
        <v>18</v>
      </c>
      <c r="R38" s="132">
        <v>11</v>
      </c>
      <c r="S38" s="132">
        <v>29</v>
      </c>
      <c r="T38" s="132">
        <v>17089</v>
      </c>
    </row>
    <row r="39" spans="1:20" x14ac:dyDescent="0.45">
      <c r="A39" s="131">
        <v>34</v>
      </c>
      <c r="B39" s="132">
        <v>410</v>
      </c>
      <c r="C39" s="132">
        <v>274</v>
      </c>
      <c r="D39" s="132">
        <v>685</v>
      </c>
      <c r="E39" s="132">
        <v>88081</v>
      </c>
      <c r="F39" s="131">
        <v>38</v>
      </c>
      <c r="G39" s="132">
        <v>379</v>
      </c>
      <c r="H39" s="132">
        <v>258</v>
      </c>
      <c r="I39" s="132">
        <v>638</v>
      </c>
      <c r="J39" s="132">
        <v>20772</v>
      </c>
      <c r="K39" s="131">
        <v>36</v>
      </c>
      <c r="L39" s="132">
        <v>93</v>
      </c>
      <c r="M39" s="132">
        <v>69</v>
      </c>
      <c r="N39" s="132">
        <v>162</v>
      </c>
      <c r="O39" s="132">
        <v>19137</v>
      </c>
      <c r="P39" s="131">
        <v>31</v>
      </c>
      <c r="Q39" s="132">
        <v>29</v>
      </c>
      <c r="R39" s="132">
        <v>18</v>
      </c>
      <c r="S39" s="132">
        <v>47</v>
      </c>
      <c r="T39" s="132">
        <v>17136</v>
      </c>
    </row>
    <row r="40" spans="1:20" x14ac:dyDescent="0.45">
      <c r="A40" s="131">
        <v>32</v>
      </c>
      <c r="B40" s="132">
        <v>78</v>
      </c>
      <c r="C40" s="132">
        <v>46</v>
      </c>
      <c r="D40" s="132">
        <v>124</v>
      </c>
      <c r="E40" s="132">
        <v>88205</v>
      </c>
      <c r="F40" s="131">
        <v>37</v>
      </c>
      <c r="G40" s="132">
        <v>124</v>
      </c>
      <c r="H40" s="132">
        <v>100</v>
      </c>
      <c r="I40" s="132">
        <v>227</v>
      </c>
      <c r="J40" s="132">
        <v>20999</v>
      </c>
      <c r="K40" s="131">
        <v>35</v>
      </c>
      <c r="L40" s="132">
        <v>64</v>
      </c>
      <c r="M40" s="132">
        <v>37</v>
      </c>
      <c r="N40" s="132">
        <v>101</v>
      </c>
      <c r="O40" s="132">
        <v>19238</v>
      </c>
      <c r="P40" s="131">
        <v>30</v>
      </c>
      <c r="Q40" s="132">
        <v>23</v>
      </c>
      <c r="R40" s="132">
        <v>4</v>
      </c>
      <c r="S40" s="132">
        <v>27</v>
      </c>
      <c r="T40" s="132">
        <v>17163</v>
      </c>
    </row>
    <row r="41" spans="1:20" x14ac:dyDescent="0.45">
      <c r="A41" s="131"/>
      <c r="B41" s="132"/>
      <c r="C41" s="132"/>
      <c r="D41" s="132"/>
      <c r="E41" s="132"/>
      <c r="F41" s="131">
        <v>36</v>
      </c>
      <c r="G41" s="132">
        <v>150</v>
      </c>
      <c r="H41" s="132">
        <v>105</v>
      </c>
      <c r="I41" s="132">
        <v>257</v>
      </c>
      <c r="J41" s="132">
        <v>21256</v>
      </c>
      <c r="K41" s="131">
        <v>34</v>
      </c>
      <c r="L41" s="132">
        <v>65</v>
      </c>
      <c r="M41" s="132">
        <v>42</v>
      </c>
      <c r="N41" s="132">
        <v>107</v>
      </c>
      <c r="O41" s="132">
        <v>19345</v>
      </c>
      <c r="P41" s="131"/>
      <c r="Q41" s="132"/>
      <c r="R41" s="132"/>
      <c r="S41" s="132"/>
      <c r="T41" s="132"/>
    </row>
    <row r="42" spans="1:20" x14ac:dyDescent="0.45">
      <c r="A42" s="131"/>
      <c r="B42" s="132"/>
      <c r="C42" s="132"/>
      <c r="D42" s="132"/>
      <c r="E42" s="132"/>
      <c r="F42" s="131">
        <v>35</v>
      </c>
      <c r="G42" s="132">
        <v>114</v>
      </c>
      <c r="H42" s="132">
        <v>93</v>
      </c>
      <c r="I42" s="132">
        <v>209</v>
      </c>
      <c r="J42" s="132">
        <v>21465</v>
      </c>
      <c r="K42" s="131">
        <v>32</v>
      </c>
      <c r="L42" s="132">
        <v>15</v>
      </c>
      <c r="M42" s="132">
        <v>5</v>
      </c>
      <c r="N42" s="132">
        <v>20</v>
      </c>
      <c r="O42" s="132">
        <v>19365</v>
      </c>
      <c r="P42" s="131"/>
      <c r="Q42" s="132"/>
      <c r="R42" s="132"/>
      <c r="S42" s="132"/>
      <c r="T42" s="132"/>
    </row>
    <row r="43" spans="1:20" x14ac:dyDescent="0.45">
      <c r="A43" s="131"/>
      <c r="B43" s="132"/>
      <c r="C43" s="132"/>
      <c r="D43" s="132"/>
      <c r="E43" s="132"/>
      <c r="F43" s="131">
        <v>34</v>
      </c>
      <c r="G43" s="132">
        <v>54</v>
      </c>
      <c r="H43" s="132">
        <v>49</v>
      </c>
      <c r="I43" s="132">
        <v>104</v>
      </c>
      <c r="J43" s="132">
        <v>21569</v>
      </c>
      <c r="K43" s="131"/>
      <c r="L43" s="132"/>
      <c r="M43" s="132"/>
      <c r="N43" s="132"/>
      <c r="O43" s="132"/>
      <c r="P43" s="131"/>
      <c r="Q43" s="132"/>
      <c r="R43" s="132"/>
      <c r="S43" s="132"/>
      <c r="T43" s="132"/>
    </row>
    <row r="44" spans="1:20" x14ac:dyDescent="0.45">
      <c r="A44" s="131"/>
      <c r="B44" s="132"/>
      <c r="C44" s="132"/>
      <c r="D44" s="132"/>
      <c r="E44" s="132"/>
      <c r="F44" s="131">
        <v>32</v>
      </c>
      <c r="G44" s="132">
        <v>17</v>
      </c>
      <c r="H44" s="132">
        <v>8</v>
      </c>
      <c r="I44" s="132">
        <v>25</v>
      </c>
      <c r="J44" s="132">
        <v>21594</v>
      </c>
      <c r="K44" s="131"/>
      <c r="L44" s="132"/>
      <c r="M44" s="132"/>
      <c r="N44" s="132"/>
      <c r="O44" s="132"/>
      <c r="P44" s="131"/>
      <c r="Q44" s="132"/>
      <c r="R44" s="132"/>
      <c r="S44" s="132"/>
      <c r="T44" s="132"/>
    </row>
    <row r="45" spans="1:20" x14ac:dyDescent="0.45">
      <c r="A45" s="5"/>
      <c r="B45" s="1"/>
      <c r="C45" s="1"/>
      <c r="D45" s="6"/>
      <c r="F45" s="5"/>
      <c r="G45" s="1"/>
      <c r="H45" s="1"/>
      <c r="I45" s="6"/>
      <c r="K45" s="5"/>
      <c r="L45" s="1"/>
      <c r="M45" s="1"/>
      <c r="N45" s="6"/>
      <c r="P45" s="5"/>
      <c r="Q45" s="1"/>
      <c r="R45" s="1"/>
      <c r="S45" s="6"/>
    </row>
    <row r="46" spans="1:20" x14ac:dyDescent="0.45">
      <c r="A46" s="5"/>
      <c r="B46" s="1"/>
      <c r="C46" s="1"/>
      <c r="D46" s="6"/>
      <c r="F46" s="5"/>
      <c r="G46" s="1"/>
      <c r="H46" s="1"/>
      <c r="I46" s="6"/>
      <c r="K46" s="5"/>
      <c r="L46" s="1"/>
      <c r="M46" s="1"/>
      <c r="N46" s="6"/>
      <c r="P46" s="5"/>
      <c r="Q46" s="1"/>
      <c r="R46" s="1"/>
      <c r="S46" s="6"/>
    </row>
    <row r="47" spans="1:20" x14ac:dyDescent="0.45">
      <c r="A47" s="5"/>
      <c r="B47" s="1"/>
      <c r="C47" s="1"/>
      <c r="D47" s="6"/>
      <c r="F47" s="5"/>
      <c r="G47" s="1"/>
      <c r="H47" s="1"/>
      <c r="I47" s="6"/>
      <c r="K47" s="5"/>
      <c r="L47" s="1"/>
      <c r="M47" s="1"/>
      <c r="N47" s="6"/>
      <c r="P47" s="5"/>
      <c r="Q47" s="1"/>
      <c r="R47" s="1"/>
      <c r="S47" s="6"/>
    </row>
    <row r="48" spans="1:20" x14ac:dyDescent="0.45">
      <c r="A48" s="5"/>
      <c r="B48" s="1"/>
      <c r="C48" s="1"/>
      <c r="D48" s="6"/>
      <c r="F48" s="5"/>
      <c r="G48" s="1"/>
      <c r="H48" s="1"/>
      <c r="I48" s="6"/>
      <c r="K48" s="5"/>
      <c r="L48" s="1"/>
      <c r="M48" s="1"/>
      <c r="N48" s="6"/>
      <c r="P48" s="5"/>
      <c r="Q48" s="1"/>
      <c r="R48" s="1"/>
      <c r="S48" s="6"/>
    </row>
    <row r="49" spans="1:20" x14ac:dyDescent="0.45">
      <c r="A49" s="5"/>
      <c r="B49" s="1"/>
      <c r="C49" s="1"/>
      <c r="D49" s="6"/>
      <c r="F49" s="5"/>
      <c r="G49" s="1"/>
      <c r="H49" s="1"/>
      <c r="I49" s="6"/>
      <c r="K49" s="5"/>
      <c r="L49" s="1"/>
      <c r="M49" s="1"/>
      <c r="N49" s="6"/>
      <c r="P49" s="5"/>
      <c r="Q49" s="1"/>
      <c r="R49" s="1"/>
      <c r="S49" s="6"/>
    </row>
    <row r="50" spans="1:20" x14ac:dyDescent="0.45">
      <c r="A50" s="5"/>
      <c r="B50" s="1"/>
      <c r="C50" s="1"/>
      <c r="D50" s="6"/>
      <c r="F50" s="5"/>
      <c r="G50" s="1"/>
      <c r="H50" s="1"/>
      <c r="I50" s="6"/>
      <c r="K50" s="5"/>
      <c r="L50" s="1"/>
      <c r="M50" s="1"/>
      <c r="N50" s="6"/>
      <c r="P50" s="5"/>
      <c r="Q50" s="1"/>
      <c r="R50" s="1"/>
      <c r="S50" s="6"/>
    </row>
    <row r="51" spans="1:20" x14ac:dyDescent="0.45">
      <c r="A51" s="5"/>
      <c r="B51" s="1"/>
      <c r="C51" s="1"/>
      <c r="D51" s="6"/>
      <c r="F51" s="5"/>
      <c r="G51" s="1"/>
      <c r="H51" s="1"/>
      <c r="I51" s="6"/>
      <c r="K51" s="5"/>
      <c r="L51" s="1"/>
      <c r="M51" s="1"/>
      <c r="N51" s="6"/>
      <c r="P51" s="5"/>
      <c r="Q51" s="1"/>
      <c r="R51" s="1"/>
      <c r="S51" s="6"/>
    </row>
    <row r="52" spans="1:20" ht="17.5" thickBot="1" x14ac:dyDescent="0.5">
      <c r="A52" s="7"/>
      <c r="B52" s="8"/>
      <c r="C52" s="8"/>
      <c r="D52" s="2"/>
      <c r="F52" s="7"/>
      <c r="G52" s="8"/>
      <c r="H52" s="8"/>
      <c r="I52" s="2"/>
      <c r="K52" s="7"/>
      <c r="L52" s="8"/>
      <c r="M52" s="8"/>
      <c r="N52" s="2"/>
      <c r="P52" s="7"/>
      <c r="Q52" s="8"/>
      <c r="R52" s="8"/>
      <c r="S52" s="2"/>
    </row>
    <row r="61" spans="1:20" ht="17.5" thickBot="1" x14ac:dyDescent="0.5"/>
    <row r="62" spans="1:20" x14ac:dyDescent="0.45">
      <c r="A62" s="11" t="s">
        <v>13</v>
      </c>
      <c r="B62" s="12"/>
      <c r="C62" s="12"/>
      <c r="D62" s="13"/>
      <c r="F62" s="11" t="s">
        <v>14</v>
      </c>
      <c r="G62" s="12"/>
      <c r="H62" s="12"/>
      <c r="I62" s="13"/>
      <c r="K62" s="11" t="s">
        <v>15</v>
      </c>
      <c r="L62" s="12"/>
      <c r="M62" s="12"/>
      <c r="N62" s="13"/>
      <c r="P62" s="11" t="s">
        <v>62</v>
      </c>
      <c r="Q62" s="12"/>
      <c r="R62" s="12"/>
      <c r="S62" s="13"/>
    </row>
    <row r="63" spans="1:20" x14ac:dyDescent="0.45">
      <c r="A63" s="5" t="s">
        <v>1</v>
      </c>
      <c r="B63" s="1"/>
      <c r="C63" s="1"/>
      <c r="D63" s="6" t="s">
        <v>0</v>
      </c>
      <c r="F63" s="5" t="s">
        <v>1</v>
      </c>
      <c r="G63" s="1"/>
      <c r="H63" s="1"/>
      <c r="I63" s="6" t="s">
        <v>0</v>
      </c>
      <c r="K63" s="5" t="s">
        <v>1</v>
      </c>
      <c r="L63" s="1"/>
      <c r="M63" s="1"/>
      <c r="N63" s="6" t="s">
        <v>0</v>
      </c>
      <c r="P63" s="5" t="s">
        <v>1</v>
      </c>
      <c r="Q63" s="1"/>
      <c r="R63" s="1"/>
      <c r="S63" s="6" t="s">
        <v>0</v>
      </c>
    </row>
    <row r="64" spans="1:20" x14ac:dyDescent="0.45">
      <c r="A64" s="133">
        <v>66</v>
      </c>
      <c r="B64" s="134">
        <v>325</v>
      </c>
      <c r="C64" s="134">
        <v>184</v>
      </c>
      <c r="D64" s="134">
        <v>509</v>
      </c>
      <c r="E64" s="134">
        <v>509</v>
      </c>
      <c r="F64" s="133">
        <v>66</v>
      </c>
      <c r="G64" s="134">
        <v>436</v>
      </c>
      <c r="H64" s="134">
        <v>220</v>
      </c>
      <c r="I64" s="134">
        <v>658</v>
      </c>
      <c r="J64" s="134">
        <v>658</v>
      </c>
      <c r="K64" s="133">
        <v>68</v>
      </c>
      <c r="L64" s="134">
        <v>142</v>
      </c>
      <c r="M64" s="134">
        <v>42</v>
      </c>
      <c r="N64" s="134">
        <v>184</v>
      </c>
      <c r="O64" s="134">
        <v>184</v>
      </c>
      <c r="P64" s="133">
        <v>65</v>
      </c>
      <c r="Q64" s="134">
        <v>497</v>
      </c>
      <c r="R64" s="134">
        <v>549</v>
      </c>
      <c r="S64" s="134">
        <v>1047</v>
      </c>
      <c r="T64" s="134">
        <v>1047</v>
      </c>
    </row>
    <row r="65" spans="1:20" x14ac:dyDescent="0.45">
      <c r="A65" s="133">
        <v>64</v>
      </c>
      <c r="B65" s="134">
        <v>505</v>
      </c>
      <c r="C65" s="134">
        <v>357</v>
      </c>
      <c r="D65" s="134">
        <v>863</v>
      </c>
      <c r="E65" s="134">
        <v>1372</v>
      </c>
      <c r="F65" s="133">
        <v>65</v>
      </c>
      <c r="G65" s="134">
        <v>97</v>
      </c>
      <c r="H65" s="134">
        <v>46</v>
      </c>
      <c r="I65" s="134">
        <v>143</v>
      </c>
      <c r="J65" s="134">
        <v>801</v>
      </c>
      <c r="K65" s="133">
        <v>66</v>
      </c>
      <c r="L65" s="134">
        <v>186</v>
      </c>
      <c r="M65" s="134">
        <v>49</v>
      </c>
      <c r="N65" s="134">
        <v>235</v>
      </c>
      <c r="O65" s="134">
        <v>419</v>
      </c>
      <c r="P65" s="133">
        <v>63</v>
      </c>
      <c r="Q65" s="134">
        <v>587</v>
      </c>
      <c r="R65" s="134">
        <v>847</v>
      </c>
      <c r="S65" s="134">
        <v>1434</v>
      </c>
      <c r="T65" s="134">
        <v>2481</v>
      </c>
    </row>
    <row r="66" spans="1:20" x14ac:dyDescent="0.45">
      <c r="A66" s="133">
        <v>63</v>
      </c>
      <c r="B66" s="134">
        <v>15</v>
      </c>
      <c r="C66" s="134">
        <v>5</v>
      </c>
      <c r="D66" s="134">
        <v>20</v>
      </c>
      <c r="E66" s="134">
        <v>1392</v>
      </c>
      <c r="F66" s="133">
        <v>64</v>
      </c>
      <c r="G66" s="134">
        <v>310</v>
      </c>
      <c r="H66" s="134">
        <v>175</v>
      </c>
      <c r="I66" s="134">
        <v>487</v>
      </c>
      <c r="J66" s="134">
        <v>1288</v>
      </c>
      <c r="K66" s="133">
        <v>65</v>
      </c>
      <c r="L66" s="134">
        <v>10</v>
      </c>
      <c r="M66" s="134">
        <v>1</v>
      </c>
      <c r="N66" s="134">
        <v>11</v>
      </c>
      <c r="O66" s="134">
        <v>430</v>
      </c>
      <c r="P66" s="133">
        <v>62</v>
      </c>
      <c r="Q66" s="134">
        <v>26</v>
      </c>
      <c r="R66" s="134">
        <v>35</v>
      </c>
      <c r="S66" s="134">
        <v>62</v>
      </c>
      <c r="T66" s="134">
        <v>2543</v>
      </c>
    </row>
    <row r="67" spans="1:20" x14ac:dyDescent="0.45">
      <c r="A67" s="133">
        <v>62</v>
      </c>
      <c r="B67" s="134">
        <v>406</v>
      </c>
      <c r="C67" s="134">
        <v>307</v>
      </c>
      <c r="D67" s="134">
        <v>715</v>
      </c>
      <c r="E67" s="134">
        <v>2107</v>
      </c>
      <c r="F67" s="133">
        <v>63</v>
      </c>
      <c r="G67" s="134">
        <v>151</v>
      </c>
      <c r="H67" s="134">
        <v>61</v>
      </c>
      <c r="I67" s="134">
        <v>213</v>
      </c>
      <c r="J67" s="134">
        <v>1501</v>
      </c>
      <c r="K67" s="133">
        <v>64</v>
      </c>
      <c r="L67" s="134">
        <v>156</v>
      </c>
      <c r="M67" s="134">
        <v>37</v>
      </c>
      <c r="N67" s="134">
        <v>193</v>
      </c>
      <c r="O67" s="134">
        <v>623</v>
      </c>
      <c r="P67" s="133">
        <v>61</v>
      </c>
      <c r="Q67" s="134">
        <v>555</v>
      </c>
      <c r="R67" s="134">
        <v>764</v>
      </c>
      <c r="S67" s="134">
        <v>1319</v>
      </c>
      <c r="T67" s="134">
        <v>3862</v>
      </c>
    </row>
    <row r="68" spans="1:20" x14ac:dyDescent="0.45">
      <c r="A68" s="133">
        <v>61</v>
      </c>
      <c r="B68" s="134">
        <v>35</v>
      </c>
      <c r="C68" s="134">
        <v>20</v>
      </c>
      <c r="D68" s="134">
        <v>55</v>
      </c>
      <c r="E68" s="134">
        <v>2162</v>
      </c>
      <c r="F68" s="133">
        <v>62</v>
      </c>
      <c r="G68" s="134">
        <v>209</v>
      </c>
      <c r="H68" s="134">
        <v>106</v>
      </c>
      <c r="I68" s="134">
        <v>315</v>
      </c>
      <c r="J68" s="134">
        <v>1816</v>
      </c>
      <c r="K68" s="133">
        <v>63</v>
      </c>
      <c r="L68" s="134">
        <v>30</v>
      </c>
      <c r="M68" s="134">
        <v>12</v>
      </c>
      <c r="N68" s="134">
        <v>42</v>
      </c>
      <c r="O68" s="134">
        <v>665</v>
      </c>
      <c r="P68" s="133">
        <v>60</v>
      </c>
      <c r="Q68" s="134">
        <v>69</v>
      </c>
      <c r="R68" s="134">
        <v>90</v>
      </c>
      <c r="S68" s="134">
        <v>159</v>
      </c>
      <c r="T68" s="134">
        <v>4021</v>
      </c>
    </row>
    <row r="69" spans="1:20" x14ac:dyDescent="0.45">
      <c r="A69" s="133">
        <v>60</v>
      </c>
      <c r="B69" s="134">
        <v>295</v>
      </c>
      <c r="C69" s="134">
        <v>196</v>
      </c>
      <c r="D69" s="134">
        <v>492</v>
      </c>
      <c r="E69" s="134">
        <v>2654</v>
      </c>
      <c r="F69" s="133">
        <v>61</v>
      </c>
      <c r="G69" s="134">
        <v>116</v>
      </c>
      <c r="H69" s="134">
        <v>53</v>
      </c>
      <c r="I69" s="134">
        <v>169</v>
      </c>
      <c r="J69" s="134">
        <v>1985</v>
      </c>
      <c r="K69" s="133">
        <v>62</v>
      </c>
      <c r="L69" s="134">
        <v>106</v>
      </c>
      <c r="M69" s="134">
        <v>38</v>
      </c>
      <c r="N69" s="134">
        <v>145</v>
      </c>
      <c r="O69" s="134">
        <v>810</v>
      </c>
      <c r="P69" s="133">
        <v>59</v>
      </c>
      <c r="Q69" s="134">
        <v>439</v>
      </c>
      <c r="R69" s="134">
        <v>645</v>
      </c>
      <c r="S69" s="134">
        <v>1085</v>
      </c>
      <c r="T69" s="134">
        <v>5106</v>
      </c>
    </row>
    <row r="70" spans="1:20" x14ac:dyDescent="0.45">
      <c r="A70" s="133">
        <v>59</v>
      </c>
      <c r="B70" s="134">
        <v>63</v>
      </c>
      <c r="C70" s="134">
        <v>49</v>
      </c>
      <c r="D70" s="134">
        <v>112</v>
      </c>
      <c r="E70" s="134">
        <v>2766</v>
      </c>
      <c r="F70" s="133">
        <v>60</v>
      </c>
      <c r="G70" s="134">
        <v>167</v>
      </c>
      <c r="H70" s="134">
        <v>83</v>
      </c>
      <c r="I70" s="134">
        <v>250</v>
      </c>
      <c r="J70" s="134">
        <v>2235</v>
      </c>
      <c r="K70" s="133">
        <v>61</v>
      </c>
      <c r="L70" s="134">
        <v>38</v>
      </c>
      <c r="M70" s="134">
        <v>12</v>
      </c>
      <c r="N70" s="134">
        <v>50</v>
      </c>
      <c r="O70" s="134">
        <v>860</v>
      </c>
      <c r="P70" s="133">
        <v>58</v>
      </c>
      <c r="Q70" s="134">
        <v>113</v>
      </c>
      <c r="R70" s="134">
        <v>133</v>
      </c>
      <c r="S70" s="134">
        <v>246</v>
      </c>
      <c r="T70" s="134">
        <v>5352</v>
      </c>
    </row>
    <row r="71" spans="1:20" x14ac:dyDescent="0.45">
      <c r="A71" s="133">
        <v>58</v>
      </c>
      <c r="B71" s="134">
        <v>120</v>
      </c>
      <c r="C71" s="134">
        <v>80</v>
      </c>
      <c r="D71" s="134">
        <v>200</v>
      </c>
      <c r="E71" s="134">
        <v>2966</v>
      </c>
      <c r="F71" s="133">
        <v>59</v>
      </c>
      <c r="G71" s="134">
        <v>97</v>
      </c>
      <c r="H71" s="134">
        <v>53</v>
      </c>
      <c r="I71" s="134">
        <v>150</v>
      </c>
      <c r="J71" s="134">
        <v>2385</v>
      </c>
      <c r="K71" s="133">
        <v>60</v>
      </c>
      <c r="L71" s="134">
        <v>82</v>
      </c>
      <c r="M71" s="134">
        <v>32</v>
      </c>
      <c r="N71" s="134">
        <v>115</v>
      </c>
      <c r="O71" s="134">
        <v>975</v>
      </c>
      <c r="P71" s="133">
        <v>57</v>
      </c>
      <c r="Q71" s="134">
        <v>334</v>
      </c>
      <c r="R71" s="134">
        <v>465</v>
      </c>
      <c r="S71" s="134">
        <v>800</v>
      </c>
      <c r="T71" s="134">
        <v>6152</v>
      </c>
    </row>
    <row r="72" spans="1:20" x14ac:dyDescent="0.45">
      <c r="A72" s="133">
        <v>57</v>
      </c>
      <c r="B72" s="134">
        <v>188</v>
      </c>
      <c r="C72" s="134">
        <v>128</v>
      </c>
      <c r="D72" s="134">
        <v>316</v>
      </c>
      <c r="E72" s="134">
        <v>3282</v>
      </c>
      <c r="F72" s="133">
        <v>58</v>
      </c>
      <c r="G72" s="134">
        <v>127</v>
      </c>
      <c r="H72" s="134">
        <v>87</v>
      </c>
      <c r="I72" s="134">
        <v>215</v>
      </c>
      <c r="J72" s="134">
        <v>2600</v>
      </c>
      <c r="K72" s="133">
        <v>59</v>
      </c>
      <c r="L72" s="134">
        <v>40</v>
      </c>
      <c r="M72" s="134">
        <v>14</v>
      </c>
      <c r="N72" s="134">
        <v>54</v>
      </c>
      <c r="O72" s="134">
        <v>1029</v>
      </c>
      <c r="P72" s="133">
        <v>56</v>
      </c>
      <c r="Q72" s="134">
        <v>121</v>
      </c>
      <c r="R72" s="134">
        <v>186</v>
      </c>
      <c r="S72" s="134">
        <v>310</v>
      </c>
      <c r="T72" s="134">
        <v>6462</v>
      </c>
    </row>
    <row r="73" spans="1:20" x14ac:dyDescent="0.45">
      <c r="A73" s="133">
        <v>56</v>
      </c>
      <c r="B73" s="134">
        <v>90</v>
      </c>
      <c r="C73" s="134">
        <v>68</v>
      </c>
      <c r="D73" s="134">
        <v>158</v>
      </c>
      <c r="E73" s="134">
        <v>3440</v>
      </c>
      <c r="F73" s="133">
        <v>57</v>
      </c>
      <c r="G73" s="134">
        <v>81</v>
      </c>
      <c r="H73" s="134">
        <v>30</v>
      </c>
      <c r="I73" s="134">
        <v>111</v>
      </c>
      <c r="J73" s="134">
        <v>2711</v>
      </c>
      <c r="K73" s="133">
        <v>58</v>
      </c>
      <c r="L73" s="134">
        <v>29</v>
      </c>
      <c r="M73" s="134">
        <v>13</v>
      </c>
      <c r="N73" s="134">
        <v>42</v>
      </c>
      <c r="O73" s="134">
        <v>1071</v>
      </c>
      <c r="P73" s="133">
        <v>55</v>
      </c>
      <c r="Q73" s="134">
        <v>230</v>
      </c>
      <c r="R73" s="134">
        <v>355</v>
      </c>
      <c r="S73" s="134">
        <v>585</v>
      </c>
      <c r="T73" s="134">
        <v>7047</v>
      </c>
    </row>
    <row r="74" spans="1:20" x14ac:dyDescent="0.45">
      <c r="A74" s="133">
        <v>55</v>
      </c>
      <c r="B74" s="134">
        <v>150</v>
      </c>
      <c r="C74" s="134">
        <v>111</v>
      </c>
      <c r="D74" s="134">
        <v>263</v>
      </c>
      <c r="E74" s="134">
        <v>3703</v>
      </c>
      <c r="F74" s="133">
        <v>56</v>
      </c>
      <c r="G74" s="134">
        <v>140</v>
      </c>
      <c r="H74" s="134">
        <v>83</v>
      </c>
      <c r="I74" s="134">
        <v>223</v>
      </c>
      <c r="J74" s="134">
        <v>2934</v>
      </c>
      <c r="K74" s="133">
        <v>57</v>
      </c>
      <c r="L74" s="134">
        <v>74</v>
      </c>
      <c r="M74" s="134">
        <v>31</v>
      </c>
      <c r="N74" s="134">
        <v>105</v>
      </c>
      <c r="O74" s="134">
        <v>1176</v>
      </c>
      <c r="P74" s="133">
        <v>54</v>
      </c>
      <c r="Q74" s="134">
        <v>123</v>
      </c>
      <c r="R74" s="134">
        <v>185</v>
      </c>
      <c r="S74" s="134">
        <v>309</v>
      </c>
      <c r="T74" s="134">
        <v>7356</v>
      </c>
    </row>
    <row r="75" spans="1:20" x14ac:dyDescent="0.45">
      <c r="A75" s="133">
        <v>54</v>
      </c>
      <c r="B75" s="134">
        <v>100</v>
      </c>
      <c r="C75" s="134">
        <v>58</v>
      </c>
      <c r="D75" s="134">
        <v>158</v>
      </c>
      <c r="E75" s="134">
        <v>3861</v>
      </c>
      <c r="F75" s="133">
        <v>55</v>
      </c>
      <c r="G75" s="134">
        <v>67</v>
      </c>
      <c r="H75" s="134">
        <v>26</v>
      </c>
      <c r="I75" s="134">
        <v>93</v>
      </c>
      <c r="J75" s="134">
        <v>3027</v>
      </c>
      <c r="K75" s="133">
        <v>56</v>
      </c>
      <c r="L75" s="134">
        <v>33</v>
      </c>
      <c r="M75" s="134">
        <v>14</v>
      </c>
      <c r="N75" s="134">
        <v>47</v>
      </c>
      <c r="O75" s="134">
        <v>1223</v>
      </c>
      <c r="P75" s="133">
        <v>53</v>
      </c>
      <c r="Q75" s="134">
        <v>199</v>
      </c>
      <c r="R75" s="134">
        <v>319</v>
      </c>
      <c r="S75" s="134">
        <v>518</v>
      </c>
      <c r="T75" s="134">
        <v>7874</v>
      </c>
    </row>
    <row r="76" spans="1:20" x14ac:dyDescent="0.45">
      <c r="A76" s="133">
        <v>53</v>
      </c>
      <c r="B76" s="134">
        <v>174</v>
      </c>
      <c r="C76" s="134">
        <v>113</v>
      </c>
      <c r="D76" s="134">
        <v>289</v>
      </c>
      <c r="E76" s="134">
        <v>4150</v>
      </c>
      <c r="F76" s="133">
        <v>54</v>
      </c>
      <c r="G76" s="134">
        <v>70</v>
      </c>
      <c r="H76" s="134">
        <v>41</v>
      </c>
      <c r="I76" s="134">
        <v>111</v>
      </c>
      <c r="J76" s="134">
        <v>3138</v>
      </c>
      <c r="K76" s="133">
        <v>55</v>
      </c>
      <c r="L76" s="134">
        <v>74</v>
      </c>
      <c r="M76" s="134">
        <v>38</v>
      </c>
      <c r="N76" s="134">
        <v>112</v>
      </c>
      <c r="O76" s="134">
        <v>1335</v>
      </c>
      <c r="P76" s="133">
        <v>52</v>
      </c>
      <c r="Q76" s="134">
        <v>109</v>
      </c>
      <c r="R76" s="134">
        <v>164</v>
      </c>
      <c r="S76" s="134">
        <v>273</v>
      </c>
      <c r="T76" s="134">
        <v>8147</v>
      </c>
    </row>
    <row r="77" spans="1:20" x14ac:dyDescent="0.45">
      <c r="A77" s="133">
        <v>52</v>
      </c>
      <c r="B77" s="134">
        <v>63</v>
      </c>
      <c r="C77" s="134">
        <v>49</v>
      </c>
      <c r="D77" s="134">
        <v>112</v>
      </c>
      <c r="E77" s="134">
        <v>4262</v>
      </c>
      <c r="F77" s="133">
        <v>53</v>
      </c>
      <c r="G77" s="134">
        <v>132</v>
      </c>
      <c r="H77" s="134">
        <v>66</v>
      </c>
      <c r="I77" s="134">
        <v>199</v>
      </c>
      <c r="J77" s="134">
        <v>3337</v>
      </c>
      <c r="K77" s="133">
        <v>54</v>
      </c>
      <c r="L77" s="134">
        <v>25</v>
      </c>
      <c r="M77" s="134">
        <v>13</v>
      </c>
      <c r="N77" s="134">
        <v>38</v>
      </c>
      <c r="O77" s="134">
        <v>1373</v>
      </c>
      <c r="P77" s="133">
        <v>51</v>
      </c>
      <c r="Q77" s="134">
        <v>81</v>
      </c>
      <c r="R77" s="134">
        <v>143</v>
      </c>
      <c r="S77" s="134">
        <v>224</v>
      </c>
      <c r="T77" s="134">
        <v>8371</v>
      </c>
    </row>
    <row r="78" spans="1:20" x14ac:dyDescent="0.45">
      <c r="A78" s="133">
        <v>51</v>
      </c>
      <c r="B78" s="134">
        <v>178</v>
      </c>
      <c r="C78" s="134">
        <v>132</v>
      </c>
      <c r="D78" s="134">
        <v>310</v>
      </c>
      <c r="E78" s="134">
        <v>4572</v>
      </c>
      <c r="F78" s="133">
        <v>52</v>
      </c>
      <c r="G78" s="134">
        <v>73</v>
      </c>
      <c r="H78" s="134">
        <v>44</v>
      </c>
      <c r="I78" s="134">
        <v>117</v>
      </c>
      <c r="J78" s="134">
        <v>3454</v>
      </c>
      <c r="K78" s="133">
        <v>53</v>
      </c>
      <c r="L78" s="134">
        <v>90</v>
      </c>
      <c r="M78" s="134">
        <v>38</v>
      </c>
      <c r="N78" s="134">
        <v>128</v>
      </c>
      <c r="O78" s="134">
        <v>1501</v>
      </c>
      <c r="P78" s="133">
        <v>50</v>
      </c>
      <c r="Q78" s="134">
        <v>184</v>
      </c>
      <c r="R78" s="134">
        <v>312</v>
      </c>
      <c r="S78" s="134">
        <v>496</v>
      </c>
      <c r="T78" s="134">
        <v>8867</v>
      </c>
    </row>
    <row r="79" spans="1:20" x14ac:dyDescent="0.45">
      <c r="A79" s="133">
        <v>50</v>
      </c>
      <c r="B79" s="134">
        <v>86</v>
      </c>
      <c r="C79" s="134">
        <v>66</v>
      </c>
      <c r="D79" s="134">
        <v>152</v>
      </c>
      <c r="E79" s="134">
        <v>4724</v>
      </c>
      <c r="F79" s="133">
        <v>51</v>
      </c>
      <c r="G79" s="134">
        <v>170</v>
      </c>
      <c r="H79" s="134">
        <v>85</v>
      </c>
      <c r="I79" s="134">
        <v>255</v>
      </c>
      <c r="J79" s="134">
        <v>3709</v>
      </c>
      <c r="K79" s="133">
        <v>52</v>
      </c>
      <c r="L79" s="134">
        <v>46</v>
      </c>
      <c r="M79" s="134">
        <v>12</v>
      </c>
      <c r="N79" s="134">
        <v>58</v>
      </c>
      <c r="O79" s="134">
        <v>1559</v>
      </c>
      <c r="P79" s="133">
        <v>49</v>
      </c>
      <c r="Q79" s="134">
        <v>101</v>
      </c>
      <c r="R79" s="134">
        <v>155</v>
      </c>
      <c r="S79" s="134">
        <v>256</v>
      </c>
      <c r="T79" s="134">
        <v>9123</v>
      </c>
    </row>
    <row r="80" spans="1:20" x14ac:dyDescent="0.45">
      <c r="A80" s="133">
        <v>49</v>
      </c>
      <c r="B80" s="134">
        <v>144</v>
      </c>
      <c r="C80" s="134">
        <v>132</v>
      </c>
      <c r="D80" s="134">
        <v>276</v>
      </c>
      <c r="E80" s="134">
        <v>5000</v>
      </c>
      <c r="F80" s="133">
        <v>50</v>
      </c>
      <c r="G80" s="134">
        <v>79</v>
      </c>
      <c r="H80" s="134">
        <v>63</v>
      </c>
      <c r="I80" s="134">
        <v>142</v>
      </c>
      <c r="J80" s="134">
        <v>3851</v>
      </c>
      <c r="K80" s="133">
        <v>51</v>
      </c>
      <c r="L80" s="134">
        <v>33</v>
      </c>
      <c r="M80" s="134">
        <v>29</v>
      </c>
      <c r="N80" s="134">
        <v>62</v>
      </c>
      <c r="O80" s="134">
        <v>1621</v>
      </c>
      <c r="P80" s="133">
        <v>48</v>
      </c>
      <c r="Q80" s="134">
        <v>194</v>
      </c>
      <c r="R80" s="134">
        <v>275</v>
      </c>
      <c r="S80" s="134">
        <v>470</v>
      </c>
      <c r="T80" s="134">
        <v>9593</v>
      </c>
    </row>
    <row r="81" spans="1:20" x14ac:dyDescent="0.45">
      <c r="A81" s="133">
        <v>48</v>
      </c>
      <c r="B81" s="134">
        <v>63</v>
      </c>
      <c r="C81" s="134">
        <v>81</v>
      </c>
      <c r="D81" s="134">
        <v>144</v>
      </c>
      <c r="E81" s="134">
        <v>5144</v>
      </c>
      <c r="F81" s="133">
        <v>49</v>
      </c>
      <c r="G81" s="134">
        <v>160</v>
      </c>
      <c r="H81" s="134">
        <v>110</v>
      </c>
      <c r="I81" s="134">
        <v>271</v>
      </c>
      <c r="J81" s="134">
        <v>4122</v>
      </c>
      <c r="K81" s="133">
        <v>50</v>
      </c>
      <c r="L81" s="134">
        <v>70</v>
      </c>
      <c r="M81" s="134">
        <v>45</v>
      </c>
      <c r="N81" s="134">
        <v>115</v>
      </c>
      <c r="O81" s="134">
        <v>1736</v>
      </c>
      <c r="P81" s="133">
        <v>47</v>
      </c>
      <c r="Q81" s="134">
        <v>105</v>
      </c>
      <c r="R81" s="134">
        <v>153</v>
      </c>
      <c r="S81" s="134">
        <v>258</v>
      </c>
      <c r="T81" s="134">
        <v>9851</v>
      </c>
    </row>
    <row r="82" spans="1:20" x14ac:dyDescent="0.45">
      <c r="A82" s="133">
        <v>47</v>
      </c>
      <c r="B82" s="134">
        <v>60</v>
      </c>
      <c r="C82" s="134">
        <v>61</v>
      </c>
      <c r="D82" s="134">
        <v>121</v>
      </c>
      <c r="E82" s="134">
        <v>5265</v>
      </c>
      <c r="F82" s="133">
        <v>48</v>
      </c>
      <c r="G82" s="134">
        <v>81</v>
      </c>
      <c r="H82" s="134">
        <v>49</v>
      </c>
      <c r="I82" s="134">
        <v>131</v>
      </c>
      <c r="J82" s="134">
        <v>4253</v>
      </c>
      <c r="K82" s="133">
        <v>49</v>
      </c>
      <c r="L82" s="134">
        <v>40</v>
      </c>
      <c r="M82" s="134">
        <v>16</v>
      </c>
      <c r="N82" s="134">
        <v>56</v>
      </c>
      <c r="O82" s="134">
        <v>1792</v>
      </c>
      <c r="P82" s="133">
        <v>46</v>
      </c>
      <c r="Q82" s="134">
        <v>204</v>
      </c>
      <c r="R82" s="134">
        <v>283</v>
      </c>
      <c r="S82" s="134">
        <v>487</v>
      </c>
      <c r="T82" s="134">
        <v>10338</v>
      </c>
    </row>
    <row r="83" spans="1:20" x14ac:dyDescent="0.45">
      <c r="A83" s="133">
        <v>46</v>
      </c>
      <c r="B83" s="134">
        <v>162</v>
      </c>
      <c r="C83" s="134">
        <v>162</v>
      </c>
      <c r="D83" s="134">
        <v>324</v>
      </c>
      <c r="E83" s="134">
        <v>5589</v>
      </c>
      <c r="F83" s="133">
        <v>47</v>
      </c>
      <c r="G83" s="134">
        <v>182</v>
      </c>
      <c r="H83" s="134">
        <v>123</v>
      </c>
      <c r="I83" s="134">
        <v>305</v>
      </c>
      <c r="J83" s="134">
        <v>4558</v>
      </c>
      <c r="K83" s="133">
        <v>48</v>
      </c>
      <c r="L83" s="134">
        <v>80</v>
      </c>
      <c r="M83" s="134">
        <v>39</v>
      </c>
      <c r="N83" s="134">
        <v>119</v>
      </c>
      <c r="O83" s="134">
        <v>1911</v>
      </c>
      <c r="P83" s="133">
        <v>45</v>
      </c>
      <c r="Q83" s="134">
        <v>104</v>
      </c>
      <c r="R83" s="134">
        <v>169</v>
      </c>
      <c r="S83" s="134">
        <v>273</v>
      </c>
      <c r="T83" s="134">
        <v>10611</v>
      </c>
    </row>
    <row r="84" spans="1:20" x14ac:dyDescent="0.45">
      <c r="A84" s="133">
        <v>45</v>
      </c>
      <c r="B84" s="134">
        <v>84</v>
      </c>
      <c r="C84" s="134">
        <v>73</v>
      </c>
      <c r="D84" s="134">
        <v>157</v>
      </c>
      <c r="E84" s="134">
        <v>5746</v>
      </c>
      <c r="F84" s="133">
        <v>46</v>
      </c>
      <c r="G84" s="134">
        <v>102</v>
      </c>
      <c r="H84" s="134">
        <v>70</v>
      </c>
      <c r="I84" s="134">
        <v>172</v>
      </c>
      <c r="J84" s="134">
        <v>4730</v>
      </c>
      <c r="K84" s="133">
        <v>47</v>
      </c>
      <c r="L84" s="134">
        <v>50</v>
      </c>
      <c r="M84" s="134">
        <v>16</v>
      </c>
      <c r="N84" s="134">
        <v>66</v>
      </c>
      <c r="O84" s="134">
        <v>1977</v>
      </c>
      <c r="P84" s="133">
        <v>44</v>
      </c>
      <c r="Q84" s="134">
        <v>235</v>
      </c>
      <c r="R84" s="134">
        <v>300</v>
      </c>
      <c r="S84" s="134">
        <v>535</v>
      </c>
      <c r="T84" s="134">
        <v>11146</v>
      </c>
    </row>
    <row r="85" spans="1:20" x14ac:dyDescent="0.45">
      <c r="A85" s="133">
        <v>44</v>
      </c>
      <c r="B85" s="134">
        <v>207</v>
      </c>
      <c r="C85" s="134">
        <v>170</v>
      </c>
      <c r="D85" s="134">
        <v>377</v>
      </c>
      <c r="E85" s="134">
        <v>6123</v>
      </c>
      <c r="F85" s="133">
        <v>45</v>
      </c>
      <c r="G85" s="134">
        <v>197</v>
      </c>
      <c r="H85" s="134">
        <v>177</v>
      </c>
      <c r="I85" s="134">
        <v>374</v>
      </c>
      <c r="J85" s="134">
        <v>5104</v>
      </c>
      <c r="K85" s="133">
        <v>46</v>
      </c>
      <c r="L85" s="134">
        <v>107</v>
      </c>
      <c r="M85" s="134">
        <v>45</v>
      </c>
      <c r="N85" s="134">
        <v>152</v>
      </c>
      <c r="O85" s="134">
        <v>2129</v>
      </c>
      <c r="P85" s="133">
        <v>43</v>
      </c>
      <c r="Q85" s="134">
        <v>126</v>
      </c>
      <c r="R85" s="134">
        <v>154</v>
      </c>
      <c r="S85" s="134">
        <v>281</v>
      </c>
      <c r="T85" s="134">
        <v>11427</v>
      </c>
    </row>
    <row r="86" spans="1:20" x14ac:dyDescent="0.45">
      <c r="A86" s="133">
        <v>43</v>
      </c>
      <c r="B86" s="134">
        <v>113</v>
      </c>
      <c r="C86" s="134">
        <v>107</v>
      </c>
      <c r="D86" s="134">
        <v>220</v>
      </c>
      <c r="E86" s="134">
        <v>6343</v>
      </c>
      <c r="F86" s="133">
        <v>44</v>
      </c>
      <c r="G86" s="134">
        <v>131</v>
      </c>
      <c r="H86" s="134">
        <v>85</v>
      </c>
      <c r="I86" s="134">
        <v>216</v>
      </c>
      <c r="J86" s="134">
        <v>5320</v>
      </c>
      <c r="K86" s="133">
        <v>45</v>
      </c>
      <c r="L86" s="134">
        <v>49</v>
      </c>
      <c r="M86" s="134">
        <v>26</v>
      </c>
      <c r="N86" s="134">
        <v>75</v>
      </c>
      <c r="O86" s="134">
        <v>2204</v>
      </c>
      <c r="P86" s="133">
        <v>42</v>
      </c>
      <c r="Q86" s="134">
        <v>246</v>
      </c>
      <c r="R86" s="134">
        <v>336</v>
      </c>
      <c r="S86" s="134">
        <v>583</v>
      </c>
      <c r="T86" s="134">
        <v>12010</v>
      </c>
    </row>
    <row r="87" spans="1:20" x14ac:dyDescent="0.45">
      <c r="A87" s="133">
        <v>42</v>
      </c>
      <c r="B87" s="134">
        <v>254</v>
      </c>
      <c r="C87" s="134">
        <v>202</v>
      </c>
      <c r="D87" s="134">
        <v>457</v>
      </c>
      <c r="E87" s="134">
        <v>6800</v>
      </c>
      <c r="F87" s="133">
        <v>43</v>
      </c>
      <c r="G87" s="134">
        <v>271</v>
      </c>
      <c r="H87" s="134">
        <v>195</v>
      </c>
      <c r="I87" s="134">
        <v>467</v>
      </c>
      <c r="J87" s="134">
        <v>5787</v>
      </c>
      <c r="K87" s="133">
        <v>44</v>
      </c>
      <c r="L87" s="134">
        <v>72</v>
      </c>
      <c r="M87" s="134">
        <v>27</v>
      </c>
      <c r="N87" s="134">
        <v>99</v>
      </c>
      <c r="O87" s="134">
        <v>2303</v>
      </c>
      <c r="P87" s="133">
        <v>41</v>
      </c>
      <c r="Q87" s="134">
        <v>131</v>
      </c>
      <c r="R87" s="134">
        <v>154</v>
      </c>
      <c r="S87" s="134">
        <v>286</v>
      </c>
      <c r="T87" s="134">
        <v>12296</v>
      </c>
    </row>
    <row r="88" spans="1:20" x14ac:dyDescent="0.45">
      <c r="A88" s="133">
        <v>41</v>
      </c>
      <c r="B88" s="134">
        <v>149</v>
      </c>
      <c r="C88" s="134">
        <v>126</v>
      </c>
      <c r="D88" s="134">
        <v>275</v>
      </c>
      <c r="E88" s="134">
        <v>7075</v>
      </c>
      <c r="F88" s="133">
        <v>42</v>
      </c>
      <c r="G88" s="134">
        <v>134</v>
      </c>
      <c r="H88" s="134">
        <v>94</v>
      </c>
      <c r="I88" s="134">
        <v>228</v>
      </c>
      <c r="J88" s="134">
        <v>6015</v>
      </c>
      <c r="K88" s="133">
        <v>43</v>
      </c>
      <c r="L88" s="134">
        <v>251</v>
      </c>
      <c r="M88" s="134">
        <v>92</v>
      </c>
      <c r="N88" s="134">
        <v>346</v>
      </c>
      <c r="O88" s="134">
        <v>2649</v>
      </c>
      <c r="P88" s="133">
        <v>40</v>
      </c>
      <c r="Q88" s="134">
        <v>363</v>
      </c>
      <c r="R88" s="134">
        <v>388</v>
      </c>
      <c r="S88" s="134">
        <v>751</v>
      </c>
      <c r="T88" s="134">
        <v>13047</v>
      </c>
    </row>
    <row r="89" spans="1:20" x14ac:dyDescent="0.45">
      <c r="A89" s="133">
        <v>40</v>
      </c>
      <c r="B89" s="134">
        <v>743</v>
      </c>
      <c r="C89" s="134">
        <v>380</v>
      </c>
      <c r="D89" s="134">
        <v>1125</v>
      </c>
      <c r="E89" s="134">
        <v>8200</v>
      </c>
      <c r="F89" s="133">
        <v>41</v>
      </c>
      <c r="G89" s="134">
        <v>412</v>
      </c>
      <c r="H89" s="134">
        <v>277</v>
      </c>
      <c r="I89" s="134">
        <v>690</v>
      </c>
      <c r="J89" s="134">
        <v>6705</v>
      </c>
      <c r="K89" s="133">
        <v>42</v>
      </c>
      <c r="L89" s="134">
        <v>77</v>
      </c>
      <c r="M89" s="134">
        <v>34</v>
      </c>
      <c r="N89" s="134">
        <v>111</v>
      </c>
      <c r="O89" s="134">
        <v>2760</v>
      </c>
      <c r="P89" s="133">
        <v>39</v>
      </c>
      <c r="Q89" s="134">
        <v>185</v>
      </c>
      <c r="R89" s="134">
        <v>209</v>
      </c>
      <c r="S89" s="134">
        <v>394</v>
      </c>
      <c r="T89" s="134">
        <v>13441</v>
      </c>
    </row>
    <row r="90" spans="1:20" x14ac:dyDescent="0.45">
      <c r="A90" s="133">
        <v>39</v>
      </c>
      <c r="B90" s="134">
        <v>174</v>
      </c>
      <c r="C90" s="134">
        <v>121</v>
      </c>
      <c r="D90" s="134">
        <v>295</v>
      </c>
      <c r="E90" s="134">
        <v>8495</v>
      </c>
      <c r="F90" s="133">
        <v>40</v>
      </c>
      <c r="G90" s="134">
        <v>176</v>
      </c>
      <c r="H90" s="134">
        <v>104</v>
      </c>
      <c r="I90" s="134">
        <v>280</v>
      </c>
      <c r="J90" s="134">
        <v>6985</v>
      </c>
      <c r="K90" s="133">
        <v>41</v>
      </c>
      <c r="L90" s="134">
        <v>185</v>
      </c>
      <c r="M90" s="134">
        <v>57</v>
      </c>
      <c r="N90" s="134">
        <v>243</v>
      </c>
      <c r="O90" s="134">
        <v>3003</v>
      </c>
      <c r="P90" s="133">
        <v>38</v>
      </c>
      <c r="Q90" s="134">
        <v>156</v>
      </c>
      <c r="R90" s="134">
        <v>175</v>
      </c>
      <c r="S90" s="134">
        <v>331</v>
      </c>
      <c r="T90" s="134">
        <v>13772</v>
      </c>
    </row>
    <row r="91" spans="1:20" x14ac:dyDescent="0.45">
      <c r="A91" s="133">
        <v>38</v>
      </c>
      <c r="B91" s="134">
        <v>256</v>
      </c>
      <c r="C91" s="134">
        <v>163</v>
      </c>
      <c r="D91" s="134">
        <v>419</v>
      </c>
      <c r="E91" s="134">
        <v>8914</v>
      </c>
      <c r="F91" s="133">
        <v>39</v>
      </c>
      <c r="G91" s="134">
        <v>654</v>
      </c>
      <c r="H91" s="134">
        <v>273</v>
      </c>
      <c r="I91" s="134">
        <v>930</v>
      </c>
      <c r="J91" s="134">
        <v>7915</v>
      </c>
      <c r="K91" s="133">
        <v>40</v>
      </c>
      <c r="L91" s="134">
        <v>334</v>
      </c>
      <c r="M91" s="134">
        <v>90</v>
      </c>
      <c r="N91" s="134">
        <v>424</v>
      </c>
      <c r="O91" s="134">
        <v>3427</v>
      </c>
      <c r="P91" s="133">
        <v>37</v>
      </c>
      <c r="Q91" s="134">
        <v>1225</v>
      </c>
      <c r="R91" s="134">
        <v>899</v>
      </c>
      <c r="S91" s="134">
        <v>2125</v>
      </c>
      <c r="T91" s="134">
        <v>15897</v>
      </c>
    </row>
    <row r="92" spans="1:20" x14ac:dyDescent="0.45">
      <c r="A92" s="133">
        <v>37</v>
      </c>
      <c r="B92" s="134">
        <v>123</v>
      </c>
      <c r="C92" s="134">
        <v>85</v>
      </c>
      <c r="D92" s="134">
        <v>209</v>
      </c>
      <c r="E92" s="134">
        <v>9123</v>
      </c>
      <c r="F92" s="133">
        <v>38</v>
      </c>
      <c r="G92" s="134">
        <v>116</v>
      </c>
      <c r="H92" s="134">
        <v>79</v>
      </c>
      <c r="I92" s="134">
        <v>195</v>
      </c>
      <c r="J92" s="134">
        <v>8110</v>
      </c>
      <c r="K92" s="133">
        <v>39</v>
      </c>
      <c r="L92" s="134">
        <v>125</v>
      </c>
      <c r="M92" s="134">
        <v>42</v>
      </c>
      <c r="N92" s="134">
        <v>168</v>
      </c>
      <c r="O92" s="134">
        <v>3595</v>
      </c>
      <c r="P92" s="133">
        <v>36</v>
      </c>
      <c r="Q92" s="134">
        <v>132</v>
      </c>
      <c r="R92" s="134">
        <v>128</v>
      </c>
      <c r="S92" s="134">
        <v>260</v>
      </c>
      <c r="T92" s="134">
        <v>16157</v>
      </c>
    </row>
    <row r="93" spans="1:20" x14ac:dyDescent="0.45">
      <c r="A93" s="133">
        <v>36</v>
      </c>
      <c r="B93" s="134">
        <v>131</v>
      </c>
      <c r="C93" s="134">
        <v>66</v>
      </c>
      <c r="D93" s="134">
        <v>197</v>
      </c>
      <c r="E93" s="134">
        <v>9320</v>
      </c>
      <c r="F93" s="133">
        <v>37</v>
      </c>
      <c r="G93" s="134">
        <v>148</v>
      </c>
      <c r="H93" s="134">
        <v>78</v>
      </c>
      <c r="I93" s="134">
        <v>226</v>
      </c>
      <c r="J93" s="134">
        <v>8336</v>
      </c>
      <c r="K93" s="133">
        <v>38</v>
      </c>
      <c r="L93" s="134">
        <v>47</v>
      </c>
      <c r="M93" s="134">
        <v>17</v>
      </c>
      <c r="N93" s="134">
        <v>65</v>
      </c>
      <c r="O93" s="134">
        <v>3660</v>
      </c>
      <c r="P93" s="133">
        <v>35</v>
      </c>
      <c r="Q93" s="134">
        <v>200</v>
      </c>
      <c r="R93" s="134">
        <v>204</v>
      </c>
      <c r="S93" s="134">
        <v>404</v>
      </c>
      <c r="T93" s="134">
        <v>16561</v>
      </c>
    </row>
    <row r="94" spans="1:20" x14ac:dyDescent="0.45">
      <c r="A94" s="133">
        <v>35</v>
      </c>
      <c r="B94" s="134">
        <v>107</v>
      </c>
      <c r="C94" s="134">
        <v>68</v>
      </c>
      <c r="D94" s="134">
        <v>175</v>
      </c>
      <c r="E94" s="134">
        <v>9495</v>
      </c>
      <c r="F94" s="133">
        <v>36</v>
      </c>
      <c r="G94" s="134">
        <v>59</v>
      </c>
      <c r="H94" s="134">
        <v>32</v>
      </c>
      <c r="I94" s="134">
        <v>91</v>
      </c>
      <c r="J94" s="134">
        <v>8427</v>
      </c>
      <c r="K94" s="133">
        <v>37</v>
      </c>
      <c r="L94" s="134">
        <v>71</v>
      </c>
      <c r="M94" s="134">
        <v>17</v>
      </c>
      <c r="N94" s="134">
        <v>88</v>
      </c>
      <c r="O94" s="134">
        <v>3748</v>
      </c>
      <c r="P94" s="133">
        <v>34</v>
      </c>
      <c r="Q94" s="134">
        <v>89</v>
      </c>
      <c r="R94" s="134">
        <v>82</v>
      </c>
      <c r="S94" s="134">
        <v>171</v>
      </c>
      <c r="T94" s="134">
        <v>16732</v>
      </c>
    </row>
    <row r="95" spans="1:20" x14ac:dyDescent="0.45">
      <c r="A95" s="133">
        <v>34</v>
      </c>
      <c r="B95" s="134">
        <v>31</v>
      </c>
      <c r="C95" s="134">
        <v>22</v>
      </c>
      <c r="D95" s="134">
        <v>53</v>
      </c>
      <c r="E95" s="134">
        <v>9548</v>
      </c>
      <c r="F95" s="133">
        <v>35</v>
      </c>
      <c r="G95" s="134">
        <v>42</v>
      </c>
      <c r="H95" s="134">
        <v>18</v>
      </c>
      <c r="I95" s="134">
        <v>60</v>
      </c>
      <c r="J95" s="134">
        <v>8487</v>
      </c>
      <c r="K95" s="133">
        <v>36</v>
      </c>
      <c r="L95" s="134">
        <v>49</v>
      </c>
      <c r="M95" s="134">
        <v>14</v>
      </c>
      <c r="N95" s="134">
        <v>63</v>
      </c>
      <c r="O95" s="134">
        <v>3811</v>
      </c>
      <c r="P95" s="133">
        <v>33</v>
      </c>
      <c r="Q95" s="134">
        <v>62</v>
      </c>
      <c r="R95" s="134">
        <v>64</v>
      </c>
      <c r="S95" s="134">
        <v>126</v>
      </c>
      <c r="T95" s="134">
        <v>16858</v>
      </c>
    </row>
    <row r="96" spans="1:20" x14ac:dyDescent="0.45">
      <c r="A96" s="133">
        <v>33</v>
      </c>
      <c r="B96" s="134">
        <v>39</v>
      </c>
      <c r="C96" s="134">
        <v>36</v>
      </c>
      <c r="D96" s="134">
        <v>75</v>
      </c>
      <c r="E96" s="134">
        <v>9623</v>
      </c>
      <c r="F96" s="133">
        <v>34</v>
      </c>
      <c r="G96" s="134">
        <v>21</v>
      </c>
      <c r="H96" s="134">
        <v>13</v>
      </c>
      <c r="I96" s="134">
        <v>34</v>
      </c>
      <c r="J96" s="134">
        <v>8521</v>
      </c>
      <c r="K96" s="133">
        <v>35</v>
      </c>
      <c r="L96" s="134">
        <v>7</v>
      </c>
      <c r="M96" s="134">
        <v>5</v>
      </c>
      <c r="N96" s="134">
        <v>12</v>
      </c>
      <c r="O96" s="134">
        <v>3823</v>
      </c>
      <c r="P96" s="133">
        <v>32</v>
      </c>
      <c r="Q96" s="134">
        <v>27</v>
      </c>
      <c r="R96" s="134">
        <v>26</v>
      </c>
      <c r="S96" s="134">
        <v>53</v>
      </c>
      <c r="T96" s="134">
        <v>16911</v>
      </c>
    </row>
    <row r="97" spans="1:20" x14ac:dyDescent="0.45">
      <c r="A97" s="133">
        <v>31</v>
      </c>
      <c r="B97" s="134">
        <v>8</v>
      </c>
      <c r="C97" s="134">
        <v>6</v>
      </c>
      <c r="D97" s="134">
        <v>14</v>
      </c>
      <c r="E97" s="134">
        <v>9637</v>
      </c>
      <c r="F97" s="133">
        <v>32</v>
      </c>
      <c r="G97" s="134">
        <v>3</v>
      </c>
      <c r="H97" s="134">
        <v>5</v>
      </c>
      <c r="I97" s="134">
        <v>8</v>
      </c>
      <c r="J97" s="134">
        <v>8529</v>
      </c>
      <c r="K97" s="133">
        <v>34</v>
      </c>
      <c r="L97" s="134">
        <v>18</v>
      </c>
      <c r="M97" s="134">
        <v>1</v>
      </c>
      <c r="N97" s="134">
        <v>19</v>
      </c>
      <c r="O97" s="134">
        <v>3842</v>
      </c>
      <c r="P97" s="133">
        <v>31</v>
      </c>
      <c r="Q97" s="134">
        <v>16</v>
      </c>
      <c r="R97" s="134">
        <v>8</v>
      </c>
      <c r="S97" s="134">
        <v>24</v>
      </c>
      <c r="T97" s="134">
        <v>16935</v>
      </c>
    </row>
    <row r="98" spans="1:20" x14ac:dyDescent="0.45">
      <c r="A98" s="133"/>
      <c r="B98" s="134"/>
      <c r="C98" s="134"/>
      <c r="D98" s="134"/>
      <c r="E98" s="134"/>
      <c r="F98" s="133"/>
      <c r="G98" s="134"/>
      <c r="H98" s="134"/>
      <c r="I98" s="134"/>
      <c r="J98" s="134"/>
      <c r="K98" s="133">
        <v>33</v>
      </c>
      <c r="L98" s="134">
        <v>3</v>
      </c>
      <c r="M98" s="134">
        <v>1</v>
      </c>
      <c r="N98" s="134">
        <v>4</v>
      </c>
      <c r="O98" s="134">
        <v>3846</v>
      </c>
      <c r="P98" s="133"/>
      <c r="Q98" s="134"/>
      <c r="R98" s="134"/>
      <c r="S98" s="134"/>
      <c r="T98" s="134"/>
    </row>
    <row r="99" spans="1:20" x14ac:dyDescent="0.45">
      <c r="A99" s="5"/>
      <c r="B99" s="1"/>
      <c r="C99" s="1"/>
      <c r="D99" s="6"/>
      <c r="F99" s="5"/>
      <c r="G99" s="1"/>
      <c r="H99" s="1"/>
      <c r="I99" s="6"/>
      <c r="K99" s="5"/>
      <c r="L99" s="1"/>
      <c r="M99" s="1"/>
      <c r="N99" s="6"/>
      <c r="P99" s="5"/>
      <c r="Q99" s="1"/>
      <c r="R99" s="1"/>
      <c r="S99" s="6"/>
    </row>
    <row r="100" spans="1:20" x14ac:dyDescent="0.45">
      <c r="A100" s="5"/>
      <c r="B100" s="1"/>
      <c r="C100" s="1"/>
      <c r="D100" s="6"/>
      <c r="F100" s="5"/>
      <c r="G100" s="1"/>
      <c r="H100" s="1"/>
      <c r="I100" s="6"/>
      <c r="K100" s="5"/>
      <c r="L100" s="1"/>
      <c r="M100" s="1"/>
      <c r="N100" s="6"/>
      <c r="P100" s="5"/>
      <c r="Q100" s="1"/>
      <c r="R100" s="1"/>
      <c r="S100" s="6"/>
    </row>
    <row r="101" spans="1:20" x14ac:dyDescent="0.45">
      <c r="A101" s="5"/>
      <c r="B101" s="1"/>
      <c r="C101" s="1"/>
      <c r="D101" s="6"/>
      <c r="F101" s="5"/>
      <c r="G101" s="1"/>
      <c r="H101" s="1"/>
      <c r="I101" s="6"/>
      <c r="K101" s="5"/>
      <c r="L101" s="1"/>
      <c r="M101" s="1"/>
      <c r="N101" s="6"/>
      <c r="P101" s="5"/>
      <c r="Q101" s="1"/>
      <c r="R101" s="1"/>
      <c r="S101" s="6"/>
    </row>
    <row r="102" spans="1:20" x14ac:dyDescent="0.45">
      <c r="A102" s="5"/>
      <c r="B102" s="1"/>
      <c r="C102" s="1"/>
      <c r="D102" s="6"/>
      <c r="F102" s="5"/>
      <c r="G102" s="1"/>
      <c r="H102" s="1"/>
      <c r="I102" s="6"/>
      <c r="K102" s="5"/>
      <c r="L102" s="1"/>
      <c r="M102" s="1"/>
      <c r="N102" s="6"/>
      <c r="P102" s="5"/>
      <c r="Q102" s="1"/>
      <c r="R102" s="1"/>
      <c r="S102" s="6"/>
    </row>
    <row r="103" spans="1:20" x14ac:dyDescent="0.45">
      <c r="A103" s="5"/>
      <c r="B103" s="1"/>
      <c r="C103" s="1"/>
      <c r="D103" s="6"/>
      <c r="F103" s="5"/>
      <c r="G103" s="1"/>
      <c r="H103" s="1"/>
      <c r="I103" s="6"/>
      <c r="K103" s="5"/>
      <c r="L103" s="1"/>
      <c r="M103" s="1"/>
      <c r="N103" s="6"/>
      <c r="P103" s="5"/>
      <c r="Q103" s="1"/>
      <c r="R103" s="1"/>
      <c r="S103" s="6"/>
    </row>
    <row r="104" spans="1:20" x14ac:dyDescent="0.45">
      <c r="A104" s="5"/>
      <c r="B104" s="1"/>
      <c r="C104" s="1"/>
      <c r="D104" s="6"/>
      <c r="F104" s="5"/>
      <c r="G104" s="1"/>
      <c r="H104" s="1"/>
      <c r="I104" s="6"/>
      <c r="K104" s="5"/>
      <c r="L104" s="1"/>
      <c r="M104" s="1"/>
      <c r="N104" s="6"/>
      <c r="P104" s="5"/>
      <c r="Q104" s="1"/>
      <c r="R104" s="1"/>
      <c r="S104" s="6"/>
    </row>
    <row r="105" spans="1:20" x14ac:dyDescent="0.45">
      <c r="A105" s="5"/>
      <c r="B105" s="1"/>
      <c r="C105" s="1"/>
      <c r="D105" s="6"/>
      <c r="F105" s="5"/>
      <c r="G105" s="1"/>
      <c r="H105" s="1"/>
      <c r="I105" s="6"/>
      <c r="K105" s="5"/>
      <c r="L105" s="1"/>
      <c r="M105" s="1"/>
      <c r="N105" s="6"/>
      <c r="P105" s="5"/>
      <c r="Q105" s="1"/>
      <c r="R105" s="1"/>
      <c r="S105" s="6"/>
    </row>
    <row r="106" spans="1:20" x14ac:dyDescent="0.45">
      <c r="A106" s="5"/>
      <c r="B106" s="1"/>
      <c r="C106" s="1"/>
      <c r="D106" s="6"/>
      <c r="F106" s="5"/>
      <c r="G106" s="1"/>
      <c r="H106" s="1"/>
      <c r="I106" s="6"/>
      <c r="K106" s="5"/>
      <c r="L106" s="1"/>
      <c r="M106" s="1"/>
      <c r="N106" s="6"/>
      <c r="P106" s="5"/>
      <c r="Q106" s="1"/>
      <c r="R106" s="1"/>
      <c r="S106" s="6"/>
    </row>
    <row r="107" spans="1:20" x14ac:dyDescent="0.45">
      <c r="A107" s="5"/>
      <c r="B107" s="1"/>
      <c r="C107" s="1"/>
      <c r="D107" s="6"/>
      <c r="F107" s="5"/>
      <c r="G107" s="1"/>
      <c r="H107" s="1"/>
      <c r="I107" s="6"/>
      <c r="K107" s="5"/>
      <c r="L107" s="1"/>
      <c r="M107" s="1"/>
      <c r="N107" s="6"/>
      <c r="P107" s="5"/>
      <c r="Q107" s="1"/>
      <c r="R107" s="1"/>
      <c r="S107" s="6"/>
    </row>
    <row r="108" spans="1:20" x14ac:dyDescent="0.45">
      <c r="A108" s="5"/>
      <c r="B108" s="1"/>
      <c r="C108" s="1"/>
      <c r="D108" s="6"/>
      <c r="F108" s="5"/>
      <c r="G108" s="1"/>
      <c r="H108" s="1"/>
      <c r="I108" s="6"/>
      <c r="K108" s="5"/>
      <c r="L108" s="1"/>
      <c r="M108" s="1"/>
      <c r="N108" s="6"/>
      <c r="P108" s="5"/>
      <c r="Q108" s="1"/>
      <c r="R108" s="1"/>
      <c r="S108" s="6"/>
    </row>
    <row r="109" spans="1:20" x14ac:dyDescent="0.45">
      <c r="A109" s="5"/>
      <c r="B109" s="1"/>
      <c r="C109" s="1"/>
      <c r="D109" s="6"/>
      <c r="F109" s="5"/>
      <c r="G109" s="1"/>
      <c r="H109" s="1"/>
      <c r="I109" s="6"/>
      <c r="K109" s="5"/>
      <c r="L109" s="1"/>
      <c r="M109" s="1"/>
      <c r="N109" s="6"/>
      <c r="P109" s="5"/>
      <c r="Q109" s="1"/>
      <c r="R109" s="1"/>
      <c r="S109" s="6"/>
    </row>
    <row r="110" spans="1:20" x14ac:dyDescent="0.45">
      <c r="A110" s="5"/>
      <c r="B110" s="1"/>
      <c r="C110" s="1"/>
      <c r="D110" s="6"/>
      <c r="F110" s="5"/>
      <c r="G110" s="1"/>
      <c r="H110" s="1"/>
      <c r="I110" s="6"/>
      <c r="K110" s="5"/>
      <c r="L110" s="1"/>
      <c r="M110" s="1"/>
      <c r="N110" s="6"/>
      <c r="P110" s="5"/>
      <c r="Q110" s="1"/>
      <c r="R110" s="1"/>
      <c r="S110" s="6"/>
    </row>
    <row r="111" spans="1:20" ht="17.5" thickBot="1" x14ac:dyDescent="0.5">
      <c r="A111" s="7"/>
      <c r="B111" s="8"/>
      <c r="C111" s="8"/>
      <c r="D111" s="2"/>
      <c r="F111" s="7"/>
      <c r="G111" s="8"/>
      <c r="H111" s="8"/>
      <c r="I111" s="2"/>
      <c r="K111" s="7"/>
      <c r="L111" s="8"/>
      <c r="M111" s="8"/>
      <c r="N111" s="2"/>
      <c r="P111" s="7"/>
      <c r="Q111" s="8"/>
      <c r="R111" s="8"/>
      <c r="S111" s="2"/>
    </row>
    <row r="118" spans="1:4" ht="17.5" thickBot="1" x14ac:dyDescent="0.5"/>
    <row r="119" spans="1:4" x14ac:dyDescent="0.45">
      <c r="A119" s="11" t="s">
        <v>16</v>
      </c>
      <c r="B119" s="12"/>
      <c r="C119" s="12"/>
      <c r="D119" s="13"/>
    </row>
    <row r="120" spans="1:4" x14ac:dyDescent="0.45">
      <c r="A120" s="5" t="s">
        <v>1</v>
      </c>
      <c r="B120" s="1"/>
      <c r="C120" s="1"/>
      <c r="D120" s="6" t="s">
        <v>0</v>
      </c>
    </row>
    <row r="121" spans="1:4" x14ac:dyDescent="0.45">
      <c r="A121" s="135">
        <v>64</v>
      </c>
      <c r="B121" s="136">
        <v>2495</v>
      </c>
      <c r="C121" s="136">
        <v>3899</v>
      </c>
      <c r="D121" s="136">
        <v>6398</v>
      </c>
    </row>
    <row r="122" spans="1:4" x14ac:dyDescent="0.45">
      <c r="A122" s="135">
        <v>63</v>
      </c>
      <c r="B122" s="136">
        <v>771</v>
      </c>
      <c r="C122" s="136">
        <v>1163</v>
      </c>
      <c r="D122" s="136">
        <v>1935</v>
      </c>
    </row>
    <row r="123" spans="1:4" x14ac:dyDescent="0.45">
      <c r="A123" s="135">
        <v>62</v>
      </c>
      <c r="B123" s="136">
        <v>2026</v>
      </c>
      <c r="C123" s="136">
        <v>3348</v>
      </c>
      <c r="D123" s="136">
        <v>5377</v>
      </c>
    </row>
    <row r="124" spans="1:4" x14ac:dyDescent="0.45">
      <c r="A124" s="135">
        <v>61</v>
      </c>
      <c r="B124" s="136">
        <v>1335</v>
      </c>
      <c r="C124" s="136">
        <v>1960</v>
      </c>
      <c r="D124" s="136">
        <v>3296</v>
      </c>
    </row>
    <row r="125" spans="1:4" x14ac:dyDescent="0.45">
      <c r="A125" s="135">
        <v>60</v>
      </c>
      <c r="B125" s="136">
        <v>1549</v>
      </c>
      <c r="C125" s="136">
        <v>2588</v>
      </c>
      <c r="D125" s="136">
        <v>4140</v>
      </c>
    </row>
    <row r="126" spans="1:4" x14ac:dyDescent="0.45">
      <c r="A126" s="135">
        <v>59</v>
      </c>
      <c r="B126" s="136">
        <v>415</v>
      </c>
      <c r="C126" s="136">
        <v>490</v>
      </c>
      <c r="D126" s="136">
        <v>906</v>
      </c>
    </row>
    <row r="127" spans="1:4" x14ac:dyDescent="0.45">
      <c r="A127" s="135">
        <v>58</v>
      </c>
      <c r="B127" s="136">
        <v>2435</v>
      </c>
      <c r="C127" s="136">
        <v>4035</v>
      </c>
      <c r="D127" s="136">
        <v>6476</v>
      </c>
    </row>
    <row r="128" spans="1:4" x14ac:dyDescent="0.45">
      <c r="A128" s="135">
        <v>57</v>
      </c>
      <c r="B128" s="136">
        <v>690</v>
      </c>
      <c r="C128" s="136">
        <v>996</v>
      </c>
      <c r="D128" s="136">
        <v>1686</v>
      </c>
    </row>
    <row r="129" spans="1:4" x14ac:dyDescent="0.45">
      <c r="A129" s="135">
        <v>56</v>
      </c>
      <c r="B129" s="136">
        <v>1380</v>
      </c>
      <c r="C129" s="136">
        <v>2187</v>
      </c>
      <c r="D129" s="136">
        <v>3567</v>
      </c>
    </row>
    <row r="130" spans="1:4" x14ac:dyDescent="0.45">
      <c r="A130" s="135">
        <v>55</v>
      </c>
      <c r="B130" s="136">
        <v>1855</v>
      </c>
      <c r="C130" s="136">
        <v>2779</v>
      </c>
      <c r="D130" s="136">
        <v>4634</v>
      </c>
    </row>
    <row r="131" spans="1:4" x14ac:dyDescent="0.45">
      <c r="A131" s="135">
        <v>54</v>
      </c>
      <c r="B131" s="136">
        <v>1156</v>
      </c>
      <c r="C131" s="136">
        <v>1835</v>
      </c>
      <c r="D131" s="136">
        <v>2992</v>
      </c>
    </row>
    <row r="132" spans="1:4" x14ac:dyDescent="0.45">
      <c r="A132" s="135">
        <v>53</v>
      </c>
      <c r="B132" s="136">
        <v>1838</v>
      </c>
      <c r="C132" s="136">
        <v>2627</v>
      </c>
      <c r="D132" s="136">
        <v>4466</v>
      </c>
    </row>
    <row r="133" spans="1:4" x14ac:dyDescent="0.45">
      <c r="A133" s="135">
        <v>52</v>
      </c>
      <c r="B133" s="136">
        <v>813</v>
      </c>
      <c r="C133" s="136">
        <v>1316</v>
      </c>
      <c r="D133" s="136">
        <v>2130</v>
      </c>
    </row>
    <row r="134" spans="1:4" x14ac:dyDescent="0.45">
      <c r="A134" s="135">
        <v>51</v>
      </c>
      <c r="B134" s="136">
        <v>834</v>
      </c>
      <c r="C134" s="136">
        <v>1194</v>
      </c>
      <c r="D134" s="136">
        <v>2029</v>
      </c>
    </row>
    <row r="135" spans="1:4" x14ac:dyDescent="0.45">
      <c r="A135" s="135">
        <v>50</v>
      </c>
      <c r="B135" s="136">
        <v>1605</v>
      </c>
      <c r="C135" s="136">
        <v>2288</v>
      </c>
      <c r="D135" s="136">
        <v>3899</v>
      </c>
    </row>
    <row r="136" spans="1:4" x14ac:dyDescent="0.45">
      <c r="A136" s="135">
        <v>49</v>
      </c>
      <c r="B136" s="136">
        <v>864</v>
      </c>
      <c r="C136" s="136">
        <v>1161</v>
      </c>
      <c r="D136" s="136">
        <v>2026</v>
      </c>
    </row>
    <row r="137" spans="1:4" x14ac:dyDescent="0.45">
      <c r="A137" s="135">
        <v>48</v>
      </c>
      <c r="B137" s="136">
        <v>747</v>
      </c>
      <c r="C137" s="136">
        <v>1005</v>
      </c>
      <c r="D137" s="136">
        <v>1754</v>
      </c>
    </row>
    <row r="138" spans="1:4" x14ac:dyDescent="0.45">
      <c r="A138" s="135">
        <v>47</v>
      </c>
      <c r="B138" s="136">
        <v>1472</v>
      </c>
      <c r="C138" s="136">
        <v>1946</v>
      </c>
      <c r="D138" s="136">
        <v>3421</v>
      </c>
    </row>
    <row r="139" spans="1:4" x14ac:dyDescent="0.45">
      <c r="A139" s="135">
        <v>46</v>
      </c>
      <c r="B139" s="136">
        <v>624</v>
      </c>
      <c r="C139" s="136">
        <v>834</v>
      </c>
      <c r="D139" s="136">
        <v>1458</v>
      </c>
    </row>
    <row r="140" spans="1:4" x14ac:dyDescent="0.45">
      <c r="A140" s="135">
        <v>45</v>
      </c>
      <c r="B140" s="136">
        <v>682</v>
      </c>
      <c r="C140" s="136">
        <v>916</v>
      </c>
      <c r="D140" s="136">
        <v>1600</v>
      </c>
    </row>
    <row r="141" spans="1:4" x14ac:dyDescent="0.45">
      <c r="A141" s="135">
        <v>44</v>
      </c>
      <c r="B141" s="136">
        <v>1224</v>
      </c>
      <c r="C141" s="136">
        <v>1633</v>
      </c>
      <c r="D141" s="136">
        <v>2861</v>
      </c>
    </row>
    <row r="142" spans="1:4" x14ac:dyDescent="0.45">
      <c r="A142" s="135">
        <v>43</v>
      </c>
      <c r="B142" s="136">
        <v>618</v>
      </c>
      <c r="C142" s="136">
        <v>790</v>
      </c>
      <c r="D142" s="136">
        <v>1408</v>
      </c>
    </row>
    <row r="143" spans="1:4" x14ac:dyDescent="0.45">
      <c r="A143" s="135">
        <v>42</v>
      </c>
      <c r="B143" s="136">
        <v>496</v>
      </c>
      <c r="C143" s="136">
        <v>689</v>
      </c>
      <c r="D143" s="136">
        <v>1187</v>
      </c>
    </row>
    <row r="144" spans="1:4" x14ac:dyDescent="0.45">
      <c r="A144" s="135">
        <v>41</v>
      </c>
      <c r="B144" s="136">
        <v>1162</v>
      </c>
      <c r="C144" s="136">
        <v>1404</v>
      </c>
      <c r="D144" s="136">
        <v>2568</v>
      </c>
    </row>
    <row r="145" spans="1:4" x14ac:dyDescent="0.45">
      <c r="A145" s="135">
        <v>40</v>
      </c>
      <c r="B145" s="136">
        <v>668</v>
      </c>
      <c r="C145" s="136">
        <v>707</v>
      </c>
      <c r="D145" s="136">
        <v>1375</v>
      </c>
    </row>
    <row r="146" spans="1:4" x14ac:dyDescent="0.45">
      <c r="A146" s="135">
        <v>39</v>
      </c>
      <c r="B146" s="136">
        <v>663</v>
      </c>
      <c r="C146" s="136">
        <v>725</v>
      </c>
      <c r="D146" s="136">
        <v>1388</v>
      </c>
    </row>
    <row r="147" spans="1:4" x14ac:dyDescent="0.45">
      <c r="A147" s="135">
        <v>38</v>
      </c>
      <c r="B147" s="136">
        <v>1306</v>
      </c>
      <c r="C147" s="136">
        <v>1288</v>
      </c>
      <c r="D147" s="136">
        <v>2598</v>
      </c>
    </row>
    <row r="148" spans="1:4" x14ac:dyDescent="0.45">
      <c r="A148" s="135">
        <v>37</v>
      </c>
      <c r="B148" s="136">
        <v>759</v>
      </c>
      <c r="C148" s="136">
        <v>723</v>
      </c>
      <c r="D148" s="136">
        <v>1483</v>
      </c>
    </row>
    <row r="149" spans="1:4" x14ac:dyDescent="0.45">
      <c r="A149" s="135">
        <v>36</v>
      </c>
      <c r="B149" s="136">
        <v>1020</v>
      </c>
      <c r="C149" s="136">
        <v>875</v>
      </c>
      <c r="D149" s="136">
        <v>1901</v>
      </c>
    </row>
    <row r="150" spans="1:4" x14ac:dyDescent="0.45">
      <c r="A150" s="135">
        <v>35</v>
      </c>
      <c r="B150" s="136">
        <v>5341</v>
      </c>
      <c r="C150" s="136">
        <v>3579</v>
      </c>
      <c r="D150" s="136">
        <v>8940</v>
      </c>
    </row>
    <row r="151" spans="1:4" x14ac:dyDescent="0.45">
      <c r="A151" s="135">
        <v>34</v>
      </c>
      <c r="B151" s="136">
        <v>505</v>
      </c>
      <c r="C151" s="136">
        <v>433</v>
      </c>
      <c r="D151" s="136">
        <v>938</v>
      </c>
    </row>
    <row r="152" spans="1:4" x14ac:dyDescent="0.45">
      <c r="A152" s="135">
        <v>33</v>
      </c>
      <c r="B152" s="136">
        <v>865</v>
      </c>
      <c r="C152" s="136">
        <v>686</v>
      </c>
      <c r="D152" s="136">
        <v>1555</v>
      </c>
    </row>
    <row r="153" spans="1:4" x14ac:dyDescent="0.45">
      <c r="A153" s="135">
        <v>32</v>
      </c>
      <c r="B153" s="136">
        <v>395</v>
      </c>
      <c r="C153" s="136">
        <v>289</v>
      </c>
      <c r="D153" s="136">
        <v>687</v>
      </c>
    </row>
    <row r="154" spans="1:4" x14ac:dyDescent="0.45">
      <c r="A154" s="135">
        <v>31</v>
      </c>
      <c r="B154" s="136">
        <v>340</v>
      </c>
      <c r="C154" s="136">
        <v>233</v>
      </c>
      <c r="D154" s="136">
        <v>573</v>
      </c>
    </row>
    <row r="155" spans="1:4" x14ac:dyDescent="0.45">
      <c r="A155" s="135">
        <v>30</v>
      </c>
      <c r="B155" s="136">
        <v>286</v>
      </c>
      <c r="C155" s="136">
        <v>186</v>
      </c>
      <c r="D155" s="136">
        <v>474</v>
      </c>
    </row>
    <row r="156" spans="1:4" x14ac:dyDescent="0.45">
      <c r="A156" s="135">
        <v>29</v>
      </c>
      <c r="B156" s="136">
        <v>97</v>
      </c>
      <c r="C156" s="136">
        <v>73</v>
      </c>
      <c r="D156" s="136">
        <v>170</v>
      </c>
    </row>
    <row r="157" spans="1:4" x14ac:dyDescent="0.45">
      <c r="A157" s="135">
        <v>27</v>
      </c>
      <c r="B157" s="136">
        <v>56</v>
      </c>
      <c r="C157" s="136">
        <v>41</v>
      </c>
      <c r="D157" s="136">
        <v>97</v>
      </c>
    </row>
    <row r="158" spans="1:4" x14ac:dyDescent="0.45">
      <c r="A158" s="135"/>
      <c r="B158" s="136"/>
      <c r="C158" s="136"/>
      <c r="D158" s="136"/>
    </row>
    <row r="159" spans="1:4" x14ac:dyDescent="0.45">
      <c r="A159" s="5"/>
      <c r="B159" s="1"/>
      <c r="C159" s="1"/>
      <c r="D159" s="6"/>
    </row>
    <row r="160" spans="1:4" x14ac:dyDescent="0.45">
      <c r="A160" s="5"/>
      <c r="B160" s="1"/>
      <c r="C160" s="1"/>
      <c r="D160" s="6"/>
    </row>
    <row r="161" spans="1:19" x14ac:dyDescent="0.45">
      <c r="A161" s="5"/>
      <c r="B161" s="1"/>
      <c r="C161" s="1"/>
      <c r="D161" s="6"/>
    </row>
    <row r="162" spans="1:19" x14ac:dyDescent="0.45">
      <c r="A162" s="5"/>
      <c r="B162" s="1"/>
      <c r="C162" s="1"/>
      <c r="D162" s="6"/>
    </row>
    <row r="163" spans="1:19" x14ac:dyDescent="0.45">
      <c r="A163" s="5"/>
      <c r="B163" s="1"/>
      <c r="C163" s="1"/>
      <c r="D163" s="6"/>
    </row>
    <row r="164" spans="1:19" x14ac:dyDescent="0.45">
      <c r="A164" s="5"/>
      <c r="B164" s="1"/>
      <c r="C164" s="1"/>
      <c r="D164" s="6"/>
    </row>
    <row r="165" spans="1:19" x14ac:dyDescent="0.45">
      <c r="A165" s="5"/>
      <c r="B165" s="1"/>
      <c r="C165" s="1"/>
      <c r="D165" s="6"/>
    </row>
    <row r="166" spans="1:19" x14ac:dyDescent="0.45">
      <c r="A166" s="5"/>
      <c r="B166" s="1"/>
      <c r="C166" s="1"/>
      <c r="D166" s="6"/>
    </row>
    <row r="167" spans="1:19" x14ac:dyDescent="0.45">
      <c r="A167" s="5"/>
      <c r="B167" s="1"/>
      <c r="C167" s="1"/>
      <c r="D167" s="6"/>
    </row>
    <row r="168" spans="1:19" ht="17.5" thickBot="1" x14ac:dyDescent="0.5">
      <c r="A168" s="7"/>
      <c r="B168" s="8"/>
      <c r="C168" s="8"/>
      <c r="D168" s="2"/>
    </row>
    <row r="174" spans="1:19" ht="17.5" thickBot="1" x14ac:dyDescent="0.5"/>
    <row r="175" spans="1:19" x14ac:dyDescent="0.45">
      <c r="A175" s="11" t="s">
        <v>18</v>
      </c>
      <c r="B175" s="12"/>
      <c r="C175" s="12"/>
      <c r="D175" s="13"/>
      <c r="F175" s="11" t="s">
        <v>17</v>
      </c>
      <c r="G175" s="12"/>
      <c r="H175" s="12"/>
      <c r="I175" s="13"/>
      <c r="K175" s="11" t="s">
        <v>19</v>
      </c>
      <c r="L175" s="12"/>
      <c r="M175" s="12"/>
      <c r="N175" s="13"/>
      <c r="P175" s="11" t="s">
        <v>20</v>
      </c>
      <c r="Q175" s="12"/>
      <c r="R175" s="12"/>
      <c r="S175" s="13"/>
    </row>
    <row r="176" spans="1:19" x14ac:dyDescent="0.45">
      <c r="A176" s="5" t="s">
        <v>7</v>
      </c>
      <c r="B176" s="1"/>
      <c r="C176" s="1"/>
      <c r="D176" s="6" t="s">
        <v>8</v>
      </c>
      <c r="F176" s="5" t="s">
        <v>7</v>
      </c>
      <c r="G176" s="1"/>
      <c r="H176" s="1"/>
      <c r="I176" s="6" t="s">
        <v>8</v>
      </c>
      <c r="K176" s="5" t="s">
        <v>7</v>
      </c>
      <c r="L176" s="1"/>
      <c r="M176" s="1"/>
      <c r="N176" s="6" t="s">
        <v>8</v>
      </c>
      <c r="P176" s="5" t="s">
        <v>7</v>
      </c>
      <c r="Q176" s="1"/>
      <c r="R176" s="1"/>
      <c r="S176" s="6" t="s">
        <v>8</v>
      </c>
    </row>
    <row r="177" spans="1:20" x14ac:dyDescent="0.45">
      <c r="A177" s="137">
        <v>69</v>
      </c>
      <c r="B177" s="138">
        <v>654</v>
      </c>
      <c r="C177" s="138">
        <v>77</v>
      </c>
      <c r="D177" s="138">
        <v>731</v>
      </c>
      <c r="E177" s="138">
        <v>731</v>
      </c>
      <c r="F177" s="137">
        <v>66</v>
      </c>
      <c r="G177" s="138">
        <v>1345</v>
      </c>
      <c r="H177" s="138">
        <v>610</v>
      </c>
      <c r="I177" s="138">
        <v>1958</v>
      </c>
      <c r="J177" s="138">
        <v>1958</v>
      </c>
      <c r="K177" s="137">
        <v>73</v>
      </c>
      <c r="L177" s="138">
        <v>241</v>
      </c>
      <c r="M177" s="138">
        <v>134</v>
      </c>
      <c r="N177" s="138">
        <v>375</v>
      </c>
      <c r="O177" s="138">
        <v>375</v>
      </c>
      <c r="P177" s="137">
        <v>71</v>
      </c>
      <c r="Q177" s="138">
        <v>418</v>
      </c>
      <c r="R177" s="138">
        <v>122</v>
      </c>
      <c r="S177" s="138">
        <v>540</v>
      </c>
      <c r="T177" s="138">
        <v>540</v>
      </c>
    </row>
    <row r="178" spans="1:20" x14ac:dyDescent="0.45">
      <c r="A178" s="137">
        <v>67</v>
      </c>
      <c r="B178" s="138">
        <v>1185</v>
      </c>
      <c r="C178" s="138">
        <v>231</v>
      </c>
      <c r="D178" s="138">
        <v>1418</v>
      </c>
      <c r="E178" s="138">
        <v>2149</v>
      </c>
      <c r="F178" s="137">
        <v>65</v>
      </c>
      <c r="G178" s="138">
        <v>412</v>
      </c>
      <c r="H178" s="138">
        <v>233</v>
      </c>
      <c r="I178" s="138">
        <v>646</v>
      </c>
      <c r="J178" s="138">
        <v>2604</v>
      </c>
      <c r="K178" s="137">
        <v>71</v>
      </c>
      <c r="L178" s="138">
        <v>110</v>
      </c>
      <c r="M178" s="138">
        <v>51</v>
      </c>
      <c r="N178" s="138">
        <v>161</v>
      </c>
      <c r="O178" s="138">
        <v>536</v>
      </c>
      <c r="P178" s="137">
        <v>69</v>
      </c>
      <c r="Q178" s="138">
        <v>730</v>
      </c>
      <c r="R178" s="138">
        <v>279</v>
      </c>
      <c r="S178" s="138">
        <v>1009</v>
      </c>
      <c r="T178" s="138">
        <v>1549</v>
      </c>
    </row>
    <row r="179" spans="1:20" x14ac:dyDescent="0.45">
      <c r="A179" s="137">
        <v>66</v>
      </c>
      <c r="B179" s="138">
        <v>58</v>
      </c>
      <c r="C179" s="138">
        <v>16</v>
      </c>
      <c r="D179" s="138">
        <v>74</v>
      </c>
      <c r="E179" s="138">
        <v>2223</v>
      </c>
      <c r="F179" s="137">
        <v>64</v>
      </c>
      <c r="G179" s="138">
        <v>691</v>
      </c>
      <c r="H179" s="138">
        <v>373</v>
      </c>
      <c r="I179" s="138">
        <v>1064</v>
      </c>
      <c r="J179" s="138">
        <v>3668</v>
      </c>
      <c r="K179" s="137">
        <v>70</v>
      </c>
      <c r="L179" s="138">
        <v>574</v>
      </c>
      <c r="M179" s="138">
        <v>414</v>
      </c>
      <c r="N179" s="138">
        <v>989</v>
      </c>
      <c r="O179" s="138">
        <v>1525</v>
      </c>
      <c r="P179" s="137">
        <v>68</v>
      </c>
      <c r="Q179" s="138">
        <v>962</v>
      </c>
      <c r="R179" s="138">
        <v>316</v>
      </c>
      <c r="S179" s="138">
        <v>1280</v>
      </c>
      <c r="T179" s="138">
        <v>2829</v>
      </c>
    </row>
    <row r="180" spans="1:20" x14ac:dyDescent="0.45">
      <c r="A180" s="137">
        <v>65</v>
      </c>
      <c r="B180" s="138">
        <v>664</v>
      </c>
      <c r="C180" s="138">
        <v>134</v>
      </c>
      <c r="D180" s="138">
        <v>798</v>
      </c>
      <c r="E180" s="138">
        <v>3021</v>
      </c>
      <c r="F180" s="137">
        <v>63</v>
      </c>
      <c r="G180" s="138">
        <v>396</v>
      </c>
      <c r="H180" s="138">
        <v>260</v>
      </c>
      <c r="I180" s="138">
        <v>656</v>
      </c>
      <c r="J180" s="138">
        <v>4324</v>
      </c>
      <c r="K180" s="137">
        <v>69</v>
      </c>
      <c r="L180" s="138">
        <v>18</v>
      </c>
      <c r="M180" s="138">
        <v>12</v>
      </c>
      <c r="N180" s="138">
        <v>30</v>
      </c>
      <c r="O180" s="138">
        <v>1555</v>
      </c>
      <c r="P180" s="137">
        <v>67</v>
      </c>
      <c r="Q180" s="138">
        <v>1095</v>
      </c>
      <c r="R180" s="138">
        <v>441</v>
      </c>
      <c r="S180" s="138">
        <v>1538</v>
      </c>
      <c r="T180" s="138">
        <v>4367</v>
      </c>
    </row>
    <row r="181" spans="1:20" x14ac:dyDescent="0.45">
      <c r="A181" s="137">
        <v>64</v>
      </c>
      <c r="B181" s="138">
        <v>701</v>
      </c>
      <c r="C181" s="138">
        <v>120</v>
      </c>
      <c r="D181" s="138">
        <v>821</v>
      </c>
      <c r="E181" s="138">
        <v>3842</v>
      </c>
      <c r="F181" s="137">
        <v>62</v>
      </c>
      <c r="G181" s="138">
        <v>500</v>
      </c>
      <c r="H181" s="138">
        <v>309</v>
      </c>
      <c r="I181" s="138">
        <v>809</v>
      </c>
      <c r="J181" s="138">
        <v>5133</v>
      </c>
      <c r="K181" s="137">
        <v>68</v>
      </c>
      <c r="L181" s="138">
        <v>258</v>
      </c>
      <c r="M181" s="138">
        <v>218</v>
      </c>
      <c r="N181" s="138">
        <v>476</v>
      </c>
      <c r="O181" s="138">
        <v>2031</v>
      </c>
      <c r="P181" s="137">
        <v>66</v>
      </c>
      <c r="Q181" s="138">
        <v>455</v>
      </c>
      <c r="R181" s="138">
        <v>180</v>
      </c>
      <c r="S181" s="138">
        <v>635</v>
      </c>
      <c r="T181" s="138">
        <v>5002</v>
      </c>
    </row>
    <row r="182" spans="1:20" x14ac:dyDescent="0.45">
      <c r="A182" s="137">
        <v>63</v>
      </c>
      <c r="B182" s="138">
        <v>1101</v>
      </c>
      <c r="C182" s="138">
        <v>245</v>
      </c>
      <c r="D182" s="138">
        <v>1348</v>
      </c>
      <c r="E182" s="138">
        <v>5190</v>
      </c>
      <c r="F182" s="137">
        <v>61</v>
      </c>
      <c r="G182" s="138">
        <v>346</v>
      </c>
      <c r="H182" s="138">
        <v>221</v>
      </c>
      <c r="I182" s="138">
        <v>567</v>
      </c>
      <c r="J182" s="138">
        <v>5700</v>
      </c>
      <c r="K182" s="137">
        <v>67</v>
      </c>
      <c r="L182" s="138">
        <v>828</v>
      </c>
      <c r="M182" s="138">
        <v>693</v>
      </c>
      <c r="N182" s="138">
        <v>1521</v>
      </c>
      <c r="O182" s="138">
        <v>3552</v>
      </c>
      <c r="P182" s="137">
        <v>65</v>
      </c>
      <c r="Q182" s="138">
        <v>2042</v>
      </c>
      <c r="R182" s="138">
        <v>978</v>
      </c>
      <c r="S182" s="138">
        <v>3023</v>
      </c>
      <c r="T182" s="138">
        <v>8025</v>
      </c>
    </row>
    <row r="183" spans="1:20" x14ac:dyDescent="0.45">
      <c r="A183" s="137">
        <v>62</v>
      </c>
      <c r="B183" s="138">
        <v>495</v>
      </c>
      <c r="C183" s="138">
        <v>94</v>
      </c>
      <c r="D183" s="138">
        <v>590</v>
      </c>
      <c r="E183" s="138">
        <v>5780</v>
      </c>
      <c r="F183" s="137">
        <v>60</v>
      </c>
      <c r="G183" s="138">
        <v>397</v>
      </c>
      <c r="H183" s="138">
        <v>290</v>
      </c>
      <c r="I183" s="138">
        <v>687</v>
      </c>
      <c r="J183" s="138">
        <v>6387</v>
      </c>
      <c r="K183" s="137">
        <v>66</v>
      </c>
      <c r="L183" s="138">
        <v>74</v>
      </c>
      <c r="M183" s="138">
        <v>59</v>
      </c>
      <c r="N183" s="138">
        <v>133</v>
      </c>
      <c r="O183" s="138">
        <v>3685</v>
      </c>
      <c r="P183" s="137">
        <v>64</v>
      </c>
      <c r="Q183" s="138">
        <v>605</v>
      </c>
      <c r="R183" s="138">
        <v>303</v>
      </c>
      <c r="S183" s="138">
        <v>909</v>
      </c>
      <c r="T183" s="138">
        <v>8934</v>
      </c>
    </row>
    <row r="184" spans="1:20" x14ac:dyDescent="0.45">
      <c r="A184" s="137">
        <v>61</v>
      </c>
      <c r="B184" s="138">
        <v>557</v>
      </c>
      <c r="C184" s="138">
        <v>144</v>
      </c>
      <c r="D184" s="138">
        <v>701</v>
      </c>
      <c r="E184" s="138">
        <v>6481</v>
      </c>
      <c r="F184" s="137">
        <v>59</v>
      </c>
      <c r="G184" s="138">
        <v>239</v>
      </c>
      <c r="H184" s="138">
        <v>180</v>
      </c>
      <c r="I184" s="138">
        <v>419</v>
      </c>
      <c r="J184" s="138">
        <v>6806</v>
      </c>
      <c r="K184" s="137">
        <v>65</v>
      </c>
      <c r="L184" s="138">
        <v>1589</v>
      </c>
      <c r="M184" s="138">
        <v>1463</v>
      </c>
      <c r="N184" s="138">
        <v>3052</v>
      </c>
      <c r="O184" s="138">
        <v>6737</v>
      </c>
      <c r="P184" s="137">
        <v>63</v>
      </c>
      <c r="Q184" s="138">
        <v>1381</v>
      </c>
      <c r="R184" s="138">
        <v>786</v>
      </c>
      <c r="S184" s="138">
        <v>2169</v>
      </c>
      <c r="T184" s="138">
        <v>11103</v>
      </c>
    </row>
    <row r="185" spans="1:20" x14ac:dyDescent="0.45">
      <c r="A185" s="137">
        <v>60</v>
      </c>
      <c r="B185" s="138">
        <v>1185</v>
      </c>
      <c r="C185" s="138">
        <v>266</v>
      </c>
      <c r="D185" s="138">
        <v>1453</v>
      </c>
      <c r="E185" s="138">
        <v>7934</v>
      </c>
      <c r="F185" s="137">
        <v>58</v>
      </c>
      <c r="G185" s="138">
        <v>320</v>
      </c>
      <c r="H185" s="138">
        <v>269</v>
      </c>
      <c r="I185" s="138">
        <v>590</v>
      </c>
      <c r="J185" s="138">
        <v>7396</v>
      </c>
      <c r="K185" s="137">
        <v>64</v>
      </c>
      <c r="L185" s="138">
        <v>202</v>
      </c>
      <c r="M185" s="138">
        <v>189</v>
      </c>
      <c r="N185" s="138">
        <v>391</v>
      </c>
      <c r="O185" s="138">
        <v>7128</v>
      </c>
      <c r="P185" s="137">
        <v>62</v>
      </c>
      <c r="Q185" s="138">
        <v>837</v>
      </c>
      <c r="R185" s="138">
        <v>447</v>
      </c>
      <c r="S185" s="138">
        <v>1288</v>
      </c>
      <c r="T185" s="138">
        <v>12391</v>
      </c>
    </row>
    <row r="186" spans="1:20" x14ac:dyDescent="0.45">
      <c r="A186" s="137">
        <v>59</v>
      </c>
      <c r="B186" s="138">
        <v>621</v>
      </c>
      <c r="C186" s="138">
        <v>162</v>
      </c>
      <c r="D186" s="138">
        <v>784</v>
      </c>
      <c r="E186" s="138">
        <v>8718</v>
      </c>
      <c r="F186" s="137">
        <v>57</v>
      </c>
      <c r="G186" s="138">
        <v>191</v>
      </c>
      <c r="H186" s="138">
        <v>146</v>
      </c>
      <c r="I186" s="138">
        <v>337</v>
      </c>
      <c r="J186" s="138">
        <v>7733</v>
      </c>
      <c r="K186" s="137">
        <v>63</v>
      </c>
      <c r="L186" s="138">
        <v>880</v>
      </c>
      <c r="M186" s="138">
        <v>922</v>
      </c>
      <c r="N186" s="138">
        <v>1802</v>
      </c>
      <c r="O186" s="138">
        <v>8930</v>
      </c>
      <c r="P186" s="137">
        <v>61</v>
      </c>
      <c r="Q186" s="138">
        <v>2018</v>
      </c>
      <c r="R186" s="138">
        <v>1261</v>
      </c>
      <c r="S186" s="138">
        <v>3280</v>
      </c>
      <c r="T186" s="138">
        <v>15671</v>
      </c>
    </row>
    <row r="187" spans="1:20" x14ac:dyDescent="0.45">
      <c r="A187" s="137">
        <v>58</v>
      </c>
      <c r="B187" s="138">
        <v>564</v>
      </c>
      <c r="C187" s="138">
        <v>141</v>
      </c>
      <c r="D187" s="138">
        <v>706</v>
      </c>
      <c r="E187" s="138">
        <v>9424</v>
      </c>
      <c r="F187" s="137">
        <v>56</v>
      </c>
      <c r="G187" s="138">
        <v>129</v>
      </c>
      <c r="H187" s="138">
        <v>133</v>
      </c>
      <c r="I187" s="138">
        <v>262</v>
      </c>
      <c r="J187" s="138">
        <v>7995</v>
      </c>
      <c r="K187" s="137">
        <v>62</v>
      </c>
      <c r="L187" s="138">
        <v>1185</v>
      </c>
      <c r="M187" s="138">
        <v>1158</v>
      </c>
      <c r="N187" s="138">
        <v>2344</v>
      </c>
      <c r="O187" s="138">
        <v>11274</v>
      </c>
      <c r="P187" s="137">
        <v>60</v>
      </c>
      <c r="Q187" s="138">
        <v>681</v>
      </c>
      <c r="R187" s="138">
        <v>396</v>
      </c>
      <c r="S187" s="138">
        <v>1080</v>
      </c>
      <c r="T187" s="138">
        <v>16751</v>
      </c>
    </row>
    <row r="188" spans="1:20" x14ac:dyDescent="0.45">
      <c r="A188" s="137">
        <v>57</v>
      </c>
      <c r="B188" s="138">
        <v>521</v>
      </c>
      <c r="C188" s="138">
        <v>137</v>
      </c>
      <c r="D188" s="138">
        <v>658</v>
      </c>
      <c r="E188" s="138">
        <v>10082</v>
      </c>
      <c r="F188" s="137">
        <v>55</v>
      </c>
      <c r="G188" s="138">
        <v>389</v>
      </c>
      <c r="H188" s="138">
        <v>284</v>
      </c>
      <c r="I188" s="138">
        <v>673</v>
      </c>
      <c r="J188" s="138">
        <v>8668</v>
      </c>
      <c r="K188" s="137">
        <v>61</v>
      </c>
      <c r="L188" s="138">
        <v>424</v>
      </c>
      <c r="M188" s="138">
        <v>459</v>
      </c>
      <c r="N188" s="138">
        <v>883</v>
      </c>
      <c r="O188" s="138">
        <v>12157</v>
      </c>
      <c r="P188" s="137">
        <v>59</v>
      </c>
      <c r="Q188" s="138">
        <v>1002</v>
      </c>
      <c r="R188" s="138">
        <v>651</v>
      </c>
      <c r="S188" s="138">
        <v>1653</v>
      </c>
      <c r="T188" s="138">
        <v>18404</v>
      </c>
    </row>
    <row r="189" spans="1:20" x14ac:dyDescent="0.45">
      <c r="A189" s="137">
        <v>56</v>
      </c>
      <c r="B189" s="138">
        <v>1064</v>
      </c>
      <c r="C189" s="138">
        <v>300</v>
      </c>
      <c r="D189" s="138">
        <v>1364</v>
      </c>
      <c r="E189" s="138">
        <v>11446</v>
      </c>
      <c r="F189" s="137">
        <v>54</v>
      </c>
      <c r="G189" s="138">
        <v>148</v>
      </c>
      <c r="H189" s="138">
        <v>116</v>
      </c>
      <c r="I189" s="138">
        <v>266</v>
      </c>
      <c r="J189" s="138">
        <v>8934</v>
      </c>
      <c r="K189" s="137">
        <v>60</v>
      </c>
      <c r="L189" s="138">
        <v>1188</v>
      </c>
      <c r="M189" s="138">
        <v>1281</v>
      </c>
      <c r="N189" s="138">
        <v>2471</v>
      </c>
      <c r="O189" s="138">
        <v>14628</v>
      </c>
      <c r="P189" s="137">
        <v>58</v>
      </c>
      <c r="Q189" s="138">
        <v>1756</v>
      </c>
      <c r="R189" s="138">
        <v>1141</v>
      </c>
      <c r="S189" s="138">
        <v>2899</v>
      </c>
      <c r="T189" s="138">
        <v>21303</v>
      </c>
    </row>
    <row r="190" spans="1:20" x14ac:dyDescent="0.45">
      <c r="A190" s="137">
        <v>55</v>
      </c>
      <c r="B190" s="138">
        <v>512</v>
      </c>
      <c r="C190" s="138">
        <v>155</v>
      </c>
      <c r="D190" s="138">
        <v>667</v>
      </c>
      <c r="E190" s="138">
        <v>12113</v>
      </c>
      <c r="F190" s="137">
        <v>53</v>
      </c>
      <c r="G190" s="138">
        <v>303</v>
      </c>
      <c r="H190" s="138">
        <v>296</v>
      </c>
      <c r="I190" s="138">
        <v>600</v>
      </c>
      <c r="J190" s="138">
        <v>9534</v>
      </c>
      <c r="K190" s="137">
        <v>59</v>
      </c>
      <c r="L190" s="138">
        <v>1026</v>
      </c>
      <c r="M190" s="138">
        <v>1195</v>
      </c>
      <c r="N190" s="138">
        <v>2224</v>
      </c>
      <c r="O190" s="138">
        <v>16852</v>
      </c>
      <c r="P190" s="137">
        <v>57</v>
      </c>
      <c r="Q190" s="138">
        <v>1023</v>
      </c>
      <c r="R190" s="138">
        <v>715</v>
      </c>
      <c r="S190" s="138">
        <v>1739</v>
      </c>
      <c r="T190" s="138">
        <v>23042</v>
      </c>
    </row>
    <row r="191" spans="1:20" x14ac:dyDescent="0.45">
      <c r="A191" s="137">
        <v>54</v>
      </c>
      <c r="B191" s="138">
        <v>500</v>
      </c>
      <c r="C191" s="138">
        <v>166</v>
      </c>
      <c r="D191" s="138">
        <v>667</v>
      </c>
      <c r="E191" s="138">
        <v>12780</v>
      </c>
      <c r="F191" s="137">
        <v>52</v>
      </c>
      <c r="G191" s="138">
        <v>166</v>
      </c>
      <c r="H191" s="138">
        <v>163</v>
      </c>
      <c r="I191" s="138">
        <v>329</v>
      </c>
      <c r="J191" s="138">
        <v>9863</v>
      </c>
      <c r="K191" s="137">
        <v>58</v>
      </c>
      <c r="L191" s="138">
        <v>731</v>
      </c>
      <c r="M191" s="138">
        <v>800</v>
      </c>
      <c r="N191" s="138">
        <v>1533</v>
      </c>
      <c r="O191" s="138">
        <v>18385</v>
      </c>
      <c r="P191" s="137">
        <v>56</v>
      </c>
      <c r="Q191" s="138">
        <v>843</v>
      </c>
      <c r="R191" s="138">
        <v>547</v>
      </c>
      <c r="S191" s="138">
        <v>1391</v>
      </c>
      <c r="T191" s="138">
        <v>24433</v>
      </c>
    </row>
    <row r="192" spans="1:20" x14ac:dyDescent="0.45">
      <c r="A192" s="137">
        <v>53</v>
      </c>
      <c r="B192" s="138">
        <v>1017</v>
      </c>
      <c r="C192" s="138">
        <v>282</v>
      </c>
      <c r="D192" s="138">
        <v>1301</v>
      </c>
      <c r="E192" s="138">
        <v>14081</v>
      </c>
      <c r="F192" s="137">
        <v>51</v>
      </c>
      <c r="G192" s="138">
        <v>359</v>
      </c>
      <c r="H192" s="138">
        <v>294</v>
      </c>
      <c r="I192" s="138">
        <v>653</v>
      </c>
      <c r="J192" s="138">
        <v>10516</v>
      </c>
      <c r="K192" s="137">
        <v>57</v>
      </c>
      <c r="L192" s="138">
        <v>2016</v>
      </c>
      <c r="M192" s="138">
        <v>2431</v>
      </c>
      <c r="N192" s="138">
        <v>4450</v>
      </c>
      <c r="O192" s="138">
        <v>22835</v>
      </c>
      <c r="P192" s="137">
        <v>55</v>
      </c>
      <c r="Q192" s="138">
        <v>820</v>
      </c>
      <c r="R192" s="138">
        <v>526</v>
      </c>
      <c r="S192" s="138">
        <v>1346</v>
      </c>
      <c r="T192" s="138">
        <v>25779</v>
      </c>
    </row>
    <row r="193" spans="1:20" x14ac:dyDescent="0.45">
      <c r="A193" s="137">
        <v>52</v>
      </c>
      <c r="B193" s="138">
        <v>423</v>
      </c>
      <c r="C193" s="138">
        <v>144</v>
      </c>
      <c r="D193" s="138">
        <v>568</v>
      </c>
      <c r="E193" s="138">
        <v>14649</v>
      </c>
      <c r="F193" s="137">
        <v>50</v>
      </c>
      <c r="G193" s="138">
        <v>193</v>
      </c>
      <c r="H193" s="138">
        <v>197</v>
      </c>
      <c r="I193" s="138">
        <v>390</v>
      </c>
      <c r="J193" s="138">
        <v>10906</v>
      </c>
      <c r="K193" s="137">
        <v>56</v>
      </c>
      <c r="L193" s="138">
        <v>891</v>
      </c>
      <c r="M193" s="138">
        <v>1163</v>
      </c>
      <c r="N193" s="138">
        <v>2054</v>
      </c>
      <c r="O193" s="138">
        <v>24889</v>
      </c>
      <c r="P193" s="137">
        <v>54</v>
      </c>
      <c r="Q193" s="138">
        <v>1728</v>
      </c>
      <c r="R193" s="138">
        <v>1237</v>
      </c>
      <c r="S193" s="138">
        <v>2966</v>
      </c>
      <c r="T193" s="138">
        <v>28745</v>
      </c>
    </row>
    <row r="194" spans="1:20" x14ac:dyDescent="0.45">
      <c r="A194" s="137">
        <v>51</v>
      </c>
      <c r="B194" s="138">
        <v>493</v>
      </c>
      <c r="C194" s="138">
        <v>154</v>
      </c>
      <c r="D194" s="138">
        <v>647</v>
      </c>
      <c r="E194" s="138">
        <v>15296</v>
      </c>
      <c r="F194" s="137">
        <v>49</v>
      </c>
      <c r="G194" s="138">
        <v>365</v>
      </c>
      <c r="H194" s="138">
        <v>380</v>
      </c>
      <c r="I194" s="138">
        <v>745</v>
      </c>
      <c r="J194" s="138">
        <v>11651</v>
      </c>
      <c r="K194" s="137">
        <v>55</v>
      </c>
      <c r="L194" s="138">
        <v>982</v>
      </c>
      <c r="M194" s="138">
        <v>1247</v>
      </c>
      <c r="N194" s="138">
        <v>2230</v>
      </c>
      <c r="O194" s="138">
        <v>27119</v>
      </c>
      <c r="P194" s="137">
        <v>53</v>
      </c>
      <c r="Q194" s="138">
        <v>902</v>
      </c>
      <c r="R194" s="138">
        <v>620</v>
      </c>
      <c r="S194" s="138">
        <v>1523</v>
      </c>
      <c r="T194" s="138">
        <v>30268</v>
      </c>
    </row>
    <row r="195" spans="1:20" x14ac:dyDescent="0.45">
      <c r="A195" s="137">
        <v>50</v>
      </c>
      <c r="B195" s="138">
        <v>470</v>
      </c>
      <c r="C195" s="138">
        <v>182</v>
      </c>
      <c r="D195" s="138">
        <v>652</v>
      </c>
      <c r="E195" s="138">
        <v>15948</v>
      </c>
      <c r="F195" s="137">
        <v>48</v>
      </c>
      <c r="G195" s="138">
        <v>195</v>
      </c>
      <c r="H195" s="138">
        <v>209</v>
      </c>
      <c r="I195" s="138">
        <v>404</v>
      </c>
      <c r="J195" s="138">
        <v>12055</v>
      </c>
      <c r="K195" s="137">
        <v>54</v>
      </c>
      <c r="L195" s="138">
        <v>848</v>
      </c>
      <c r="M195" s="138">
        <v>1008</v>
      </c>
      <c r="N195" s="138">
        <v>1856</v>
      </c>
      <c r="O195" s="138">
        <v>28975</v>
      </c>
      <c r="P195" s="137">
        <v>52</v>
      </c>
      <c r="Q195" s="138">
        <v>905</v>
      </c>
      <c r="R195" s="138">
        <v>672</v>
      </c>
      <c r="S195" s="138">
        <v>1577</v>
      </c>
      <c r="T195" s="138">
        <v>31845</v>
      </c>
    </row>
    <row r="196" spans="1:20" x14ac:dyDescent="0.45">
      <c r="A196" s="137">
        <v>49</v>
      </c>
      <c r="B196" s="138">
        <v>974</v>
      </c>
      <c r="C196" s="138">
        <v>338</v>
      </c>
      <c r="D196" s="138">
        <v>1314</v>
      </c>
      <c r="E196" s="138">
        <v>17262</v>
      </c>
      <c r="F196" s="137">
        <v>47</v>
      </c>
      <c r="G196" s="138">
        <v>410</v>
      </c>
      <c r="H196" s="138">
        <v>403</v>
      </c>
      <c r="I196" s="138">
        <v>814</v>
      </c>
      <c r="J196" s="138">
        <v>12869</v>
      </c>
      <c r="K196" s="137">
        <v>53</v>
      </c>
      <c r="L196" s="138">
        <v>993</v>
      </c>
      <c r="M196" s="138">
        <v>1192</v>
      </c>
      <c r="N196" s="138">
        <v>2189</v>
      </c>
      <c r="O196" s="138">
        <v>31164</v>
      </c>
      <c r="P196" s="137">
        <v>51</v>
      </c>
      <c r="Q196" s="138">
        <v>719</v>
      </c>
      <c r="R196" s="138">
        <v>529</v>
      </c>
      <c r="S196" s="138">
        <v>1250</v>
      </c>
      <c r="T196" s="138">
        <v>33095</v>
      </c>
    </row>
    <row r="197" spans="1:20" x14ac:dyDescent="0.45">
      <c r="A197" s="137">
        <v>48</v>
      </c>
      <c r="B197" s="138">
        <v>495</v>
      </c>
      <c r="C197" s="138">
        <v>172</v>
      </c>
      <c r="D197" s="138">
        <v>667</v>
      </c>
      <c r="E197" s="138">
        <v>17929</v>
      </c>
      <c r="F197" s="137">
        <v>46</v>
      </c>
      <c r="G197" s="138">
        <v>197</v>
      </c>
      <c r="H197" s="138">
        <v>172</v>
      </c>
      <c r="I197" s="138">
        <v>369</v>
      </c>
      <c r="J197" s="138">
        <v>13238</v>
      </c>
      <c r="K197" s="137">
        <v>52</v>
      </c>
      <c r="L197" s="138">
        <v>832</v>
      </c>
      <c r="M197" s="138">
        <v>973</v>
      </c>
      <c r="N197" s="138">
        <v>1806</v>
      </c>
      <c r="O197" s="138">
        <v>32970</v>
      </c>
      <c r="P197" s="137">
        <v>50</v>
      </c>
      <c r="Q197" s="138">
        <v>1657</v>
      </c>
      <c r="R197" s="138">
        <v>1306</v>
      </c>
      <c r="S197" s="138">
        <v>2965</v>
      </c>
      <c r="T197" s="138">
        <v>36060</v>
      </c>
    </row>
    <row r="198" spans="1:20" x14ac:dyDescent="0.45">
      <c r="A198" s="137">
        <v>47</v>
      </c>
      <c r="B198" s="138">
        <v>542</v>
      </c>
      <c r="C198" s="138">
        <v>208</v>
      </c>
      <c r="D198" s="138">
        <v>752</v>
      </c>
      <c r="E198" s="138">
        <v>18681</v>
      </c>
      <c r="F198" s="137">
        <v>45</v>
      </c>
      <c r="G198" s="138">
        <v>491</v>
      </c>
      <c r="H198" s="138">
        <v>486</v>
      </c>
      <c r="I198" s="138">
        <v>978</v>
      </c>
      <c r="J198" s="138">
        <v>14216</v>
      </c>
      <c r="K198" s="137">
        <v>51</v>
      </c>
      <c r="L198" s="138">
        <v>913</v>
      </c>
      <c r="M198" s="138">
        <v>1041</v>
      </c>
      <c r="N198" s="138">
        <v>1955</v>
      </c>
      <c r="O198" s="138">
        <v>34925</v>
      </c>
      <c r="P198" s="137">
        <v>49</v>
      </c>
      <c r="Q198" s="138">
        <v>849</v>
      </c>
      <c r="R198" s="138">
        <v>644</v>
      </c>
      <c r="S198" s="138">
        <v>1493</v>
      </c>
      <c r="T198" s="138">
        <v>37553</v>
      </c>
    </row>
    <row r="199" spans="1:20" x14ac:dyDescent="0.45">
      <c r="A199" s="137">
        <v>46</v>
      </c>
      <c r="B199" s="138">
        <v>1078</v>
      </c>
      <c r="C199" s="138">
        <v>409</v>
      </c>
      <c r="D199" s="138">
        <v>1488</v>
      </c>
      <c r="E199" s="138">
        <v>20169</v>
      </c>
      <c r="F199" s="137">
        <v>44</v>
      </c>
      <c r="G199" s="138">
        <v>290</v>
      </c>
      <c r="H199" s="138">
        <v>264</v>
      </c>
      <c r="I199" s="138">
        <v>554</v>
      </c>
      <c r="J199" s="138">
        <v>14770</v>
      </c>
      <c r="K199" s="137">
        <v>50</v>
      </c>
      <c r="L199" s="138">
        <v>812</v>
      </c>
      <c r="M199" s="138">
        <v>1050</v>
      </c>
      <c r="N199" s="138">
        <v>1864</v>
      </c>
      <c r="O199" s="138">
        <v>36789</v>
      </c>
      <c r="P199" s="137">
        <v>48</v>
      </c>
      <c r="Q199" s="138">
        <v>842</v>
      </c>
      <c r="R199" s="138">
        <v>684</v>
      </c>
      <c r="S199" s="138">
        <v>1526</v>
      </c>
      <c r="T199" s="138">
        <v>39079</v>
      </c>
    </row>
    <row r="200" spans="1:20" x14ac:dyDescent="0.45">
      <c r="A200" s="137">
        <v>45</v>
      </c>
      <c r="B200" s="138">
        <v>562</v>
      </c>
      <c r="C200" s="138">
        <v>222</v>
      </c>
      <c r="D200" s="138">
        <v>785</v>
      </c>
      <c r="E200" s="138">
        <v>20954</v>
      </c>
      <c r="F200" s="137">
        <v>43</v>
      </c>
      <c r="G200" s="138">
        <v>688</v>
      </c>
      <c r="H200" s="138">
        <v>554</v>
      </c>
      <c r="I200" s="138">
        <v>1243</v>
      </c>
      <c r="J200" s="138">
        <v>16013</v>
      </c>
      <c r="K200" s="137">
        <v>49</v>
      </c>
      <c r="L200" s="138">
        <v>726</v>
      </c>
      <c r="M200" s="138">
        <v>1062</v>
      </c>
      <c r="N200" s="138">
        <v>1790</v>
      </c>
      <c r="O200" s="138">
        <v>38579</v>
      </c>
      <c r="P200" s="137">
        <v>47</v>
      </c>
      <c r="Q200" s="138">
        <v>1651</v>
      </c>
      <c r="R200" s="138">
        <v>1407</v>
      </c>
      <c r="S200" s="138">
        <v>3059</v>
      </c>
      <c r="T200" s="138">
        <v>42138</v>
      </c>
    </row>
    <row r="201" spans="1:20" x14ac:dyDescent="0.45">
      <c r="A201" s="137">
        <v>44</v>
      </c>
      <c r="B201" s="138">
        <v>632</v>
      </c>
      <c r="C201" s="138">
        <v>212</v>
      </c>
      <c r="D201" s="138">
        <v>845</v>
      </c>
      <c r="E201" s="138">
        <v>21799</v>
      </c>
      <c r="F201" s="137">
        <v>42</v>
      </c>
      <c r="G201" s="138">
        <v>453</v>
      </c>
      <c r="H201" s="138">
        <v>364</v>
      </c>
      <c r="I201" s="138">
        <v>817</v>
      </c>
      <c r="J201" s="138">
        <v>16830</v>
      </c>
      <c r="K201" s="137">
        <v>48</v>
      </c>
      <c r="L201" s="138">
        <v>1593</v>
      </c>
      <c r="M201" s="138">
        <v>2090</v>
      </c>
      <c r="N201" s="138">
        <v>3686</v>
      </c>
      <c r="O201" s="138">
        <v>42265</v>
      </c>
      <c r="P201" s="137">
        <v>46</v>
      </c>
      <c r="Q201" s="138">
        <v>918</v>
      </c>
      <c r="R201" s="138">
        <v>724</v>
      </c>
      <c r="S201" s="138">
        <v>1642</v>
      </c>
      <c r="T201" s="138">
        <v>43780</v>
      </c>
    </row>
    <row r="202" spans="1:20" x14ac:dyDescent="0.45">
      <c r="A202" s="137">
        <v>43</v>
      </c>
      <c r="B202" s="138">
        <v>657</v>
      </c>
      <c r="C202" s="138">
        <v>219</v>
      </c>
      <c r="D202" s="138">
        <v>876</v>
      </c>
      <c r="E202" s="138">
        <v>22675</v>
      </c>
      <c r="F202" s="137">
        <v>41</v>
      </c>
      <c r="G202" s="138">
        <v>1011</v>
      </c>
      <c r="H202" s="138">
        <v>705</v>
      </c>
      <c r="I202" s="138">
        <v>1717</v>
      </c>
      <c r="J202" s="138">
        <v>18547</v>
      </c>
      <c r="K202" s="137">
        <v>47</v>
      </c>
      <c r="L202" s="138">
        <v>823</v>
      </c>
      <c r="M202" s="138">
        <v>1082</v>
      </c>
      <c r="N202" s="138">
        <v>1907</v>
      </c>
      <c r="O202" s="138">
        <v>44172</v>
      </c>
      <c r="P202" s="137">
        <v>45</v>
      </c>
      <c r="Q202" s="138">
        <v>939</v>
      </c>
      <c r="R202" s="138">
        <v>822</v>
      </c>
      <c r="S202" s="138">
        <v>1766</v>
      </c>
      <c r="T202" s="138">
        <v>45546</v>
      </c>
    </row>
    <row r="203" spans="1:20" x14ac:dyDescent="0.45">
      <c r="A203" s="137">
        <v>42</v>
      </c>
      <c r="B203" s="138">
        <v>1365</v>
      </c>
      <c r="C203" s="138">
        <v>450</v>
      </c>
      <c r="D203" s="138">
        <v>1816</v>
      </c>
      <c r="E203" s="138">
        <v>24491</v>
      </c>
      <c r="F203" s="137">
        <v>40</v>
      </c>
      <c r="G203" s="138">
        <v>363</v>
      </c>
      <c r="H203" s="138">
        <v>275</v>
      </c>
      <c r="I203" s="138">
        <v>639</v>
      </c>
      <c r="J203" s="138">
        <v>19186</v>
      </c>
      <c r="K203" s="137">
        <v>46</v>
      </c>
      <c r="L203" s="138">
        <v>772</v>
      </c>
      <c r="M203" s="138">
        <v>1009</v>
      </c>
      <c r="N203" s="138">
        <v>1783</v>
      </c>
      <c r="O203" s="138">
        <v>45955</v>
      </c>
      <c r="P203" s="137">
        <v>44</v>
      </c>
      <c r="Q203" s="138">
        <v>983</v>
      </c>
      <c r="R203" s="138">
        <v>838</v>
      </c>
      <c r="S203" s="138">
        <v>1822</v>
      </c>
      <c r="T203" s="138">
        <v>47368</v>
      </c>
    </row>
    <row r="204" spans="1:20" x14ac:dyDescent="0.45">
      <c r="A204" s="137">
        <v>41</v>
      </c>
      <c r="B204" s="138">
        <v>663</v>
      </c>
      <c r="C204" s="138">
        <v>237</v>
      </c>
      <c r="D204" s="138">
        <v>900</v>
      </c>
      <c r="E204" s="138">
        <v>25391</v>
      </c>
      <c r="F204" s="137">
        <v>39</v>
      </c>
      <c r="G204" s="138">
        <v>1706</v>
      </c>
      <c r="H204" s="138">
        <v>922</v>
      </c>
      <c r="I204" s="138">
        <v>2633</v>
      </c>
      <c r="J204" s="138">
        <v>21819</v>
      </c>
      <c r="K204" s="137">
        <v>45</v>
      </c>
      <c r="L204" s="138">
        <v>899</v>
      </c>
      <c r="M204" s="138">
        <v>1057</v>
      </c>
      <c r="N204" s="138">
        <v>1956</v>
      </c>
      <c r="O204" s="138">
        <v>47911</v>
      </c>
      <c r="P204" s="137">
        <v>43</v>
      </c>
      <c r="Q204" s="138">
        <v>2589</v>
      </c>
      <c r="R204" s="138">
        <v>1970</v>
      </c>
      <c r="S204" s="138">
        <v>4567</v>
      </c>
      <c r="T204" s="138">
        <v>51935</v>
      </c>
    </row>
    <row r="205" spans="1:20" x14ac:dyDescent="0.45">
      <c r="A205" s="137">
        <v>40</v>
      </c>
      <c r="B205" s="138">
        <v>1796</v>
      </c>
      <c r="C205" s="138">
        <v>339</v>
      </c>
      <c r="D205" s="138">
        <v>2137</v>
      </c>
      <c r="E205" s="138">
        <v>27528</v>
      </c>
      <c r="F205" s="137">
        <v>38</v>
      </c>
      <c r="G205" s="138">
        <v>635</v>
      </c>
      <c r="H205" s="138">
        <v>333</v>
      </c>
      <c r="I205" s="138">
        <v>971</v>
      </c>
      <c r="J205" s="138">
        <v>22790</v>
      </c>
      <c r="K205" s="137">
        <v>44</v>
      </c>
      <c r="L205" s="138">
        <v>827</v>
      </c>
      <c r="M205" s="138">
        <v>984</v>
      </c>
      <c r="N205" s="138">
        <v>1812</v>
      </c>
      <c r="O205" s="138">
        <v>49723</v>
      </c>
      <c r="P205" s="137">
        <v>42</v>
      </c>
      <c r="Q205" s="138">
        <v>1135</v>
      </c>
      <c r="R205" s="138">
        <v>850</v>
      </c>
      <c r="S205" s="138">
        <v>1985</v>
      </c>
      <c r="T205" s="138">
        <v>53920</v>
      </c>
    </row>
    <row r="206" spans="1:20" x14ac:dyDescent="0.45">
      <c r="A206" s="137">
        <v>39</v>
      </c>
      <c r="B206" s="138">
        <v>1357</v>
      </c>
      <c r="C206" s="138">
        <v>375</v>
      </c>
      <c r="D206" s="138">
        <v>1735</v>
      </c>
      <c r="E206" s="138">
        <v>29263</v>
      </c>
      <c r="F206" s="137">
        <v>37</v>
      </c>
      <c r="G206" s="138">
        <v>389</v>
      </c>
      <c r="H206" s="138">
        <v>322</v>
      </c>
      <c r="I206" s="138">
        <v>712</v>
      </c>
      <c r="J206" s="138">
        <v>23502</v>
      </c>
      <c r="K206" s="137">
        <v>43</v>
      </c>
      <c r="L206" s="138">
        <v>928</v>
      </c>
      <c r="M206" s="138">
        <v>1199</v>
      </c>
      <c r="N206" s="138">
        <v>2127</v>
      </c>
      <c r="O206" s="138">
        <v>51850</v>
      </c>
      <c r="P206" s="137">
        <v>41</v>
      </c>
      <c r="Q206" s="138">
        <v>1244</v>
      </c>
      <c r="R206" s="138">
        <v>1025</v>
      </c>
      <c r="S206" s="138">
        <v>2270</v>
      </c>
      <c r="T206" s="138">
        <v>56190</v>
      </c>
    </row>
    <row r="207" spans="1:20" x14ac:dyDescent="0.45">
      <c r="A207" s="137">
        <v>38</v>
      </c>
      <c r="B207" s="138">
        <v>1044</v>
      </c>
      <c r="C207" s="138">
        <v>256</v>
      </c>
      <c r="D207" s="138">
        <v>1303</v>
      </c>
      <c r="E207" s="138">
        <v>30566</v>
      </c>
      <c r="F207" s="137">
        <v>36</v>
      </c>
      <c r="G207" s="138">
        <v>152</v>
      </c>
      <c r="H207" s="138">
        <v>94</v>
      </c>
      <c r="I207" s="138">
        <v>247</v>
      </c>
      <c r="J207" s="138">
        <v>23749</v>
      </c>
      <c r="K207" s="137">
        <v>42</v>
      </c>
      <c r="L207" s="138">
        <v>854</v>
      </c>
      <c r="M207" s="138">
        <v>1109</v>
      </c>
      <c r="N207" s="138">
        <v>1964</v>
      </c>
      <c r="O207" s="138">
        <v>53814</v>
      </c>
      <c r="P207" s="137">
        <v>40</v>
      </c>
      <c r="Q207" s="138">
        <v>2715</v>
      </c>
      <c r="R207" s="138">
        <v>1813</v>
      </c>
      <c r="S207" s="138">
        <v>4529</v>
      </c>
      <c r="T207" s="138">
        <v>60719</v>
      </c>
    </row>
    <row r="208" spans="1:20" x14ac:dyDescent="0.45">
      <c r="A208" s="137">
        <v>37</v>
      </c>
      <c r="B208" s="138">
        <v>647</v>
      </c>
      <c r="C208" s="138">
        <v>159</v>
      </c>
      <c r="D208" s="138">
        <v>807</v>
      </c>
      <c r="E208" s="138">
        <v>31373</v>
      </c>
      <c r="F208" s="137">
        <v>35</v>
      </c>
      <c r="G208" s="138">
        <v>136</v>
      </c>
      <c r="H208" s="138">
        <v>77</v>
      </c>
      <c r="I208" s="138">
        <v>213</v>
      </c>
      <c r="J208" s="138">
        <v>23962</v>
      </c>
      <c r="K208" s="137">
        <v>41</v>
      </c>
      <c r="L208" s="138">
        <v>868</v>
      </c>
      <c r="M208" s="138">
        <v>1042</v>
      </c>
      <c r="N208" s="138">
        <v>1912</v>
      </c>
      <c r="O208" s="138">
        <v>55726</v>
      </c>
      <c r="P208" s="137">
        <v>39</v>
      </c>
      <c r="Q208" s="138">
        <v>3228</v>
      </c>
      <c r="R208" s="138">
        <v>1636</v>
      </c>
      <c r="S208" s="138">
        <v>4873</v>
      </c>
      <c r="T208" s="138">
        <v>65592</v>
      </c>
    </row>
    <row r="209" spans="1:20" x14ac:dyDescent="0.45">
      <c r="A209" s="137">
        <v>36</v>
      </c>
      <c r="B209" s="138">
        <v>367</v>
      </c>
      <c r="C209" s="138">
        <v>89</v>
      </c>
      <c r="D209" s="138">
        <v>457</v>
      </c>
      <c r="E209" s="138">
        <v>31830</v>
      </c>
      <c r="F209" s="137">
        <v>34</v>
      </c>
      <c r="G209" s="138">
        <v>56</v>
      </c>
      <c r="H209" s="138">
        <v>32</v>
      </c>
      <c r="I209" s="138">
        <v>88</v>
      </c>
      <c r="J209" s="138">
        <v>24050</v>
      </c>
      <c r="K209" s="137">
        <v>40</v>
      </c>
      <c r="L209" s="138">
        <v>2036</v>
      </c>
      <c r="M209" s="138">
        <v>2086</v>
      </c>
      <c r="N209" s="138">
        <v>4129</v>
      </c>
      <c r="O209" s="138">
        <v>59855</v>
      </c>
      <c r="P209" s="137">
        <v>38</v>
      </c>
      <c r="Q209" s="138">
        <v>820</v>
      </c>
      <c r="R209" s="138">
        <v>609</v>
      </c>
      <c r="S209" s="138">
        <v>1431</v>
      </c>
      <c r="T209" s="138">
        <v>67023</v>
      </c>
    </row>
    <row r="210" spans="1:20" x14ac:dyDescent="0.45">
      <c r="A210" s="137">
        <v>35</v>
      </c>
      <c r="B210" s="138">
        <v>674</v>
      </c>
      <c r="C210" s="138">
        <v>133</v>
      </c>
      <c r="D210" s="138">
        <v>809</v>
      </c>
      <c r="E210" s="138">
        <v>32639</v>
      </c>
      <c r="F210" s="137">
        <v>33</v>
      </c>
      <c r="G210" s="138">
        <v>20</v>
      </c>
      <c r="H210" s="138">
        <v>13</v>
      </c>
      <c r="I210" s="138">
        <v>33</v>
      </c>
      <c r="J210" s="138">
        <v>24083</v>
      </c>
      <c r="K210" s="137">
        <v>39</v>
      </c>
      <c r="L210" s="138">
        <v>985</v>
      </c>
      <c r="M210" s="138">
        <v>990</v>
      </c>
      <c r="N210" s="138">
        <v>1978</v>
      </c>
      <c r="O210" s="138">
        <v>61833</v>
      </c>
      <c r="P210" s="137">
        <v>37</v>
      </c>
      <c r="Q210" s="138">
        <v>2172</v>
      </c>
      <c r="R210" s="138">
        <v>1339</v>
      </c>
      <c r="S210" s="138">
        <v>3513</v>
      </c>
      <c r="T210" s="138">
        <v>70536</v>
      </c>
    </row>
    <row r="211" spans="1:20" x14ac:dyDescent="0.45">
      <c r="A211" s="137">
        <v>34</v>
      </c>
      <c r="B211" s="138">
        <v>219</v>
      </c>
      <c r="C211" s="138">
        <v>43</v>
      </c>
      <c r="D211" s="138">
        <v>263</v>
      </c>
      <c r="E211" s="138">
        <v>32902</v>
      </c>
      <c r="F211" s="137"/>
      <c r="G211" s="138"/>
      <c r="H211" s="138"/>
      <c r="I211" s="138"/>
      <c r="J211" s="138"/>
      <c r="K211" s="137">
        <v>38</v>
      </c>
      <c r="L211" s="138">
        <v>676</v>
      </c>
      <c r="M211" s="138">
        <v>697</v>
      </c>
      <c r="N211" s="138">
        <v>1373</v>
      </c>
      <c r="O211" s="138">
        <v>63206</v>
      </c>
      <c r="P211" s="137">
        <v>36</v>
      </c>
      <c r="Q211" s="138">
        <v>1229</v>
      </c>
      <c r="R211" s="138">
        <v>793</v>
      </c>
      <c r="S211" s="138">
        <v>2025</v>
      </c>
      <c r="T211" s="138">
        <v>72561</v>
      </c>
    </row>
    <row r="212" spans="1:20" x14ac:dyDescent="0.45">
      <c r="A212" s="137">
        <v>33</v>
      </c>
      <c r="B212" s="138">
        <v>176</v>
      </c>
      <c r="C212" s="138">
        <v>26</v>
      </c>
      <c r="D212" s="138">
        <v>202</v>
      </c>
      <c r="E212" s="138">
        <v>33104</v>
      </c>
      <c r="F212" s="137"/>
      <c r="G212" s="138"/>
      <c r="H212" s="138"/>
      <c r="I212" s="138"/>
      <c r="J212" s="138"/>
      <c r="K212" s="137">
        <v>37</v>
      </c>
      <c r="L212" s="138">
        <v>1596</v>
      </c>
      <c r="M212" s="138">
        <v>1238</v>
      </c>
      <c r="N212" s="138">
        <v>2837</v>
      </c>
      <c r="O212" s="138">
        <v>66043</v>
      </c>
      <c r="P212" s="137">
        <v>35</v>
      </c>
      <c r="Q212" s="138">
        <v>431</v>
      </c>
      <c r="R212" s="138">
        <v>273</v>
      </c>
      <c r="S212" s="138">
        <v>704</v>
      </c>
      <c r="T212" s="138">
        <v>73265</v>
      </c>
    </row>
    <row r="213" spans="1:20" x14ac:dyDescent="0.45">
      <c r="A213" s="137">
        <v>32</v>
      </c>
      <c r="B213" s="138">
        <v>183</v>
      </c>
      <c r="C213" s="138">
        <v>33</v>
      </c>
      <c r="D213" s="138">
        <v>216</v>
      </c>
      <c r="E213" s="138">
        <v>33320</v>
      </c>
      <c r="F213" s="137"/>
      <c r="G213" s="138"/>
      <c r="H213" s="138"/>
      <c r="I213" s="138"/>
      <c r="J213" s="138"/>
      <c r="K213" s="137">
        <v>36</v>
      </c>
      <c r="L213" s="138">
        <v>2061</v>
      </c>
      <c r="M213" s="138">
        <v>1248</v>
      </c>
      <c r="N213" s="138">
        <v>3315</v>
      </c>
      <c r="O213" s="138">
        <v>69358</v>
      </c>
      <c r="P213" s="137">
        <v>34</v>
      </c>
      <c r="Q213" s="138">
        <v>271</v>
      </c>
      <c r="R213" s="138">
        <v>148</v>
      </c>
      <c r="S213" s="138">
        <v>419</v>
      </c>
      <c r="T213" s="138">
        <v>73684</v>
      </c>
    </row>
    <row r="214" spans="1:20" x14ac:dyDescent="0.45">
      <c r="A214" s="137">
        <v>30</v>
      </c>
      <c r="B214" s="138">
        <v>43</v>
      </c>
      <c r="C214" s="138">
        <v>1</v>
      </c>
      <c r="D214" s="138">
        <v>44</v>
      </c>
      <c r="E214" s="138">
        <v>33364</v>
      </c>
      <c r="F214" s="137"/>
      <c r="G214" s="138"/>
      <c r="H214" s="138"/>
      <c r="I214" s="138"/>
      <c r="J214" s="138"/>
      <c r="K214" s="137">
        <v>35</v>
      </c>
      <c r="L214" s="138">
        <v>560</v>
      </c>
      <c r="M214" s="138">
        <v>406</v>
      </c>
      <c r="N214" s="138">
        <v>966</v>
      </c>
      <c r="O214" s="138">
        <v>70324</v>
      </c>
      <c r="P214" s="137">
        <v>33</v>
      </c>
      <c r="Q214" s="138">
        <v>247</v>
      </c>
      <c r="R214" s="138">
        <v>153</v>
      </c>
      <c r="S214" s="138">
        <v>401</v>
      </c>
      <c r="T214" s="138">
        <v>74085</v>
      </c>
    </row>
    <row r="215" spans="1:20" x14ac:dyDescent="0.45">
      <c r="A215" s="137"/>
      <c r="B215" s="138"/>
      <c r="C215" s="138"/>
      <c r="D215" s="138"/>
      <c r="E215" s="138"/>
      <c r="F215" s="137"/>
      <c r="G215" s="138"/>
      <c r="H215" s="138"/>
      <c r="I215" s="138"/>
      <c r="J215" s="138"/>
      <c r="K215" s="137">
        <v>34</v>
      </c>
      <c r="L215" s="138">
        <v>614</v>
      </c>
      <c r="M215" s="138">
        <v>468</v>
      </c>
      <c r="N215" s="138">
        <v>1083</v>
      </c>
      <c r="O215" s="138">
        <v>71407</v>
      </c>
      <c r="P215" s="137">
        <v>32</v>
      </c>
      <c r="Q215" s="138">
        <v>76</v>
      </c>
      <c r="R215" s="138">
        <v>46</v>
      </c>
      <c r="S215" s="138">
        <v>122</v>
      </c>
      <c r="T215" s="138">
        <v>74207</v>
      </c>
    </row>
    <row r="216" spans="1:20" x14ac:dyDescent="0.45">
      <c r="A216" s="137"/>
      <c r="B216" s="138"/>
      <c r="C216" s="138"/>
      <c r="D216" s="138"/>
      <c r="E216" s="138"/>
      <c r="F216" s="137"/>
      <c r="G216" s="138"/>
      <c r="H216" s="138"/>
      <c r="I216" s="138"/>
      <c r="J216" s="138"/>
      <c r="K216" s="137">
        <v>33</v>
      </c>
      <c r="L216" s="138">
        <v>225</v>
      </c>
      <c r="M216" s="138">
        <v>143</v>
      </c>
      <c r="N216" s="138">
        <v>369</v>
      </c>
      <c r="O216" s="138">
        <v>71776</v>
      </c>
      <c r="P216" s="137"/>
      <c r="Q216" s="138"/>
      <c r="R216" s="138"/>
      <c r="S216" s="138"/>
      <c r="T216" s="138"/>
    </row>
    <row r="217" spans="1:20" x14ac:dyDescent="0.45">
      <c r="A217" s="137"/>
      <c r="B217" s="138"/>
      <c r="C217" s="138"/>
      <c r="D217" s="138"/>
      <c r="E217" s="138"/>
      <c r="F217" s="137"/>
      <c r="G217" s="138"/>
      <c r="H217" s="138"/>
      <c r="I217" s="138"/>
      <c r="J217" s="138"/>
      <c r="K217" s="137">
        <v>32</v>
      </c>
      <c r="L217" s="138">
        <v>281</v>
      </c>
      <c r="M217" s="138">
        <v>202</v>
      </c>
      <c r="N217" s="138">
        <v>485</v>
      </c>
      <c r="O217" s="138">
        <v>72261</v>
      </c>
      <c r="P217" s="137"/>
      <c r="Q217" s="138"/>
      <c r="R217" s="138"/>
      <c r="S217" s="138"/>
      <c r="T217" s="138"/>
    </row>
    <row r="218" spans="1:20" x14ac:dyDescent="0.45">
      <c r="A218" s="137"/>
      <c r="B218" s="138"/>
      <c r="C218" s="138"/>
      <c r="D218" s="138"/>
      <c r="E218" s="138"/>
      <c r="F218" s="137"/>
      <c r="G218" s="138"/>
      <c r="H218" s="138"/>
      <c r="I218" s="138"/>
      <c r="J218" s="138"/>
      <c r="K218" s="137">
        <v>31</v>
      </c>
      <c r="L218" s="138">
        <v>218</v>
      </c>
      <c r="M218" s="138">
        <v>156</v>
      </c>
      <c r="N218" s="138">
        <v>374</v>
      </c>
      <c r="O218" s="138">
        <v>72635</v>
      </c>
      <c r="P218" s="137"/>
      <c r="Q218" s="138"/>
      <c r="R218" s="138"/>
      <c r="S218" s="138"/>
      <c r="T218" s="138"/>
    </row>
    <row r="219" spans="1:20" x14ac:dyDescent="0.45">
      <c r="A219" s="137"/>
      <c r="B219" s="138"/>
      <c r="C219" s="138"/>
      <c r="D219" s="138"/>
      <c r="E219" s="138"/>
      <c r="F219" s="137"/>
      <c r="G219" s="138"/>
      <c r="H219" s="138"/>
      <c r="I219" s="138"/>
      <c r="J219" s="138"/>
      <c r="K219" s="137">
        <v>30</v>
      </c>
      <c r="L219" s="138">
        <v>87</v>
      </c>
      <c r="M219" s="138">
        <v>65</v>
      </c>
      <c r="N219" s="138">
        <v>152</v>
      </c>
      <c r="O219" s="138">
        <v>72787</v>
      </c>
      <c r="P219" s="137"/>
      <c r="Q219" s="138"/>
      <c r="R219" s="138"/>
      <c r="S219" s="138"/>
      <c r="T219" s="138"/>
    </row>
    <row r="220" spans="1:20" x14ac:dyDescent="0.45">
      <c r="A220" s="137"/>
      <c r="B220" s="138"/>
      <c r="C220" s="138"/>
      <c r="D220" s="138"/>
      <c r="E220" s="138"/>
      <c r="F220" s="137"/>
      <c r="G220" s="138"/>
      <c r="H220" s="138"/>
      <c r="I220" s="138"/>
      <c r="J220" s="138"/>
      <c r="K220" s="137">
        <v>28</v>
      </c>
      <c r="L220" s="138">
        <v>35</v>
      </c>
      <c r="M220" s="138">
        <v>19</v>
      </c>
      <c r="N220" s="138">
        <v>54</v>
      </c>
      <c r="O220" s="138">
        <v>72841</v>
      </c>
      <c r="P220" s="137"/>
      <c r="Q220" s="138"/>
      <c r="R220" s="138"/>
      <c r="S220" s="138"/>
      <c r="T220" s="138"/>
    </row>
    <row r="221" spans="1:20" x14ac:dyDescent="0.45">
      <c r="A221" s="5"/>
      <c r="B221" s="1"/>
      <c r="C221" s="1"/>
      <c r="D221" s="6"/>
      <c r="F221" s="5"/>
      <c r="G221" s="1"/>
      <c r="H221" s="1"/>
      <c r="I221" s="6"/>
      <c r="K221" s="5"/>
      <c r="L221" s="1"/>
      <c r="M221" s="1"/>
      <c r="N221" s="6"/>
      <c r="P221" s="5"/>
      <c r="Q221" s="1"/>
      <c r="R221" s="1"/>
      <c r="S221" s="6"/>
    </row>
    <row r="222" spans="1:20" x14ac:dyDescent="0.45">
      <c r="A222" s="5"/>
      <c r="B222" s="1"/>
      <c r="C222" s="1"/>
      <c r="D222" s="6"/>
      <c r="F222" s="5"/>
      <c r="G222" s="1"/>
      <c r="H222" s="1"/>
      <c r="I222" s="6"/>
      <c r="K222" s="5"/>
      <c r="L222" s="1"/>
      <c r="M222" s="1"/>
      <c r="N222" s="6"/>
      <c r="P222" s="5"/>
      <c r="Q222" s="1"/>
      <c r="R222" s="1"/>
      <c r="S222" s="6"/>
    </row>
    <row r="223" spans="1:20" x14ac:dyDescent="0.45">
      <c r="A223" s="5"/>
      <c r="B223" s="1"/>
      <c r="C223" s="1"/>
      <c r="D223" s="6"/>
      <c r="F223" s="5"/>
      <c r="G223" s="1"/>
      <c r="H223" s="1"/>
      <c r="I223" s="6"/>
      <c r="K223" s="5"/>
      <c r="L223" s="1"/>
      <c r="M223" s="1"/>
      <c r="N223" s="6"/>
      <c r="P223" s="5"/>
      <c r="Q223" s="1"/>
      <c r="R223" s="1"/>
      <c r="S223" s="6"/>
    </row>
    <row r="224" spans="1:20" ht="17.5" thickBot="1" x14ac:dyDescent="0.5">
      <c r="A224" s="7"/>
      <c r="B224" s="8"/>
      <c r="C224" s="8"/>
      <c r="D224" s="2"/>
      <c r="F224" s="7"/>
      <c r="G224" s="8"/>
      <c r="H224" s="8"/>
      <c r="I224" s="2"/>
      <c r="K224" s="7"/>
      <c r="L224" s="8"/>
      <c r="M224" s="8"/>
      <c r="N224" s="2"/>
      <c r="P224" s="7"/>
      <c r="Q224" s="8"/>
      <c r="R224" s="8"/>
      <c r="S224" s="2"/>
    </row>
    <row r="233" spans="1:20" ht="17.5" thickBot="1" x14ac:dyDescent="0.5"/>
    <row r="234" spans="1:20" x14ac:dyDescent="0.45">
      <c r="A234" s="11" t="s">
        <v>21</v>
      </c>
      <c r="B234" s="12"/>
      <c r="C234" s="12"/>
      <c r="D234" s="13"/>
      <c r="F234" s="11" t="s">
        <v>22</v>
      </c>
      <c r="G234" s="12"/>
      <c r="H234" s="12"/>
      <c r="I234" s="13"/>
      <c r="K234" s="11" t="s">
        <v>23</v>
      </c>
      <c r="L234" s="12"/>
      <c r="M234" s="12"/>
      <c r="N234" s="13"/>
      <c r="P234" s="11" t="s">
        <v>24</v>
      </c>
      <c r="Q234" s="12"/>
      <c r="R234" s="12"/>
      <c r="S234" s="13"/>
    </row>
    <row r="235" spans="1:20" x14ac:dyDescent="0.45">
      <c r="A235" s="5" t="s">
        <v>7</v>
      </c>
      <c r="B235" s="1"/>
      <c r="C235" s="1"/>
      <c r="D235" s="6" t="s">
        <v>8</v>
      </c>
      <c r="F235" s="5" t="s">
        <v>7</v>
      </c>
      <c r="G235" s="1"/>
      <c r="H235" s="1"/>
      <c r="I235" s="6" t="s">
        <v>8</v>
      </c>
      <c r="K235" s="5" t="s">
        <v>7</v>
      </c>
      <c r="L235" s="1"/>
      <c r="M235" s="1"/>
      <c r="N235" s="6" t="s">
        <v>8</v>
      </c>
      <c r="P235" s="5" t="s">
        <v>7</v>
      </c>
      <c r="Q235" s="1"/>
      <c r="R235" s="1"/>
      <c r="S235" s="6" t="s">
        <v>8</v>
      </c>
    </row>
    <row r="236" spans="1:20" x14ac:dyDescent="0.45">
      <c r="A236" s="145">
        <v>85</v>
      </c>
      <c r="B236" s="146">
        <v>15</v>
      </c>
      <c r="C236" s="146">
        <v>0</v>
      </c>
      <c r="D236" s="146">
        <v>15</v>
      </c>
      <c r="E236" s="146">
        <v>15</v>
      </c>
      <c r="F236" s="145">
        <v>77</v>
      </c>
      <c r="G236" s="146">
        <v>62</v>
      </c>
      <c r="H236" s="146">
        <v>9</v>
      </c>
      <c r="I236" s="146">
        <v>71</v>
      </c>
      <c r="J236" s="146">
        <v>71</v>
      </c>
      <c r="K236" s="145">
        <v>80</v>
      </c>
      <c r="L236" s="146">
        <v>37</v>
      </c>
      <c r="M236" s="146">
        <v>6</v>
      </c>
      <c r="N236" s="146">
        <v>43</v>
      </c>
      <c r="O236" s="146">
        <v>43</v>
      </c>
      <c r="P236" s="145">
        <v>84</v>
      </c>
      <c r="Q236" s="146">
        <v>39</v>
      </c>
      <c r="R236" s="146">
        <v>7</v>
      </c>
      <c r="S236" s="146">
        <v>46</v>
      </c>
      <c r="T236" s="146">
        <v>46</v>
      </c>
    </row>
    <row r="237" spans="1:20" x14ac:dyDescent="0.45">
      <c r="A237" s="145">
        <v>83</v>
      </c>
      <c r="B237" s="146">
        <v>8</v>
      </c>
      <c r="C237" s="146">
        <v>3</v>
      </c>
      <c r="D237" s="146">
        <v>11</v>
      </c>
      <c r="E237" s="146">
        <v>26</v>
      </c>
      <c r="F237" s="145">
        <v>76</v>
      </c>
      <c r="G237" s="146">
        <v>42</v>
      </c>
      <c r="H237" s="146">
        <v>7</v>
      </c>
      <c r="I237" s="146">
        <v>49</v>
      </c>
      <c r="J237" s="146">
        <v>120</v>
      </c>
      <c r="K237" s="145">
        <v>78</v>
      </c>
      <c r="L237" s="146">
        <v>7</v>
      </c>
      <c r="M237" s="146">
        <v>3</v>
      </c>
      <c r="N237" s="146">
        <v>10</v>
      </c>
      <c r="O237" s="146">
        <v>53</v>
      </c>
      <c r="P237" s="145">
        <v>82</v>
      </c>
      <c r="Q237" s="146">
        <v>25</v>
      </c>
      <c r="R237" s="146">
        <v>3</v>
      </c>
      <c r="S237" s="146">
        <v>28</v>
      </c>
      <c r="T237" s="146">
        <v>74</v>
      </c>
    </row>
    <row r="238" spans="1:20" x14ac:dyDescent="0.45">
      <c r="A238" s="145">
        <v>82</v>
      </c>
      <c r="B238" s="146">
        <v>21</v>
      </c>
      <c r="C238" s="146">
        <v>0</v>
      </c>
      <c r="D238" s="146">
        <v>21</v>
      </c>
      <c r="E238" s="146">
        <v>47</v>
      </c>
      <c r="F238" s="145">
        <v>75</v>
      </c>
      <c r="G238" s="146">
        <v>22</v>
      </c>
      <c r="H238" s="146">
        <v>4</v>
      </c>
      <c r="I238" s="146">
        <v>26</v>
      </c>
      <c r="J238" s="146">
        <v>146</v>
      </c>
      <c r="K238" s="145">
        <v>77</v>
      </c>
      <c r="L238" s="146">
        <v>38</v>
      </c>
      <c r="M238" s="146">
        <v>26</v>
      </c>
      <c r="N238" s="146">
        <v>64</v>
      </c>
      <c r="O238" s="146">
        <v>117</v>
      </c>
      <c r="P238" s="145">
        <v>81</v>
      </c>
      <c r="Q238" s="146">
        <v>24</v>
      </c>
      <c r="R238" s="146">
        <v>2</v>
      </c>
      <c r="S238" s="146">
        <v>26</v>
      </c>
      <c r="T238" s="146">
        <v>100</v>
      </c>
    </row>
    <row r="239" spans="1:20" x14ac:dyDescent="0.45">
      <c r="A239" s="145">
        <v>81</v>
      </c>
      <c r="B239" s="146">
        <v>5</v>
      </c>
      <c r="C239" s="146">
        <v>0</v>
      </c>
      <c r="D239" s="146">
        <v>5</v>
      </c>
      <c r="E239" s="146">
        <v>52</v>
      </c>
      <c r="F239" s="145">
        <v>74</v>
      </c>
      <c r="G239" s="146">
        <v>8</v>
      </c>
      <c r="H239" s="146">
        <v>2</v>
      </c>
      <c r="I239" s="146">
        <v>10</v>
      </c>
      <c r="J239" s="146">
        <v>156</v>
      </c>
      <c r="K239" s="145">
        <v>76</v>
      </c>
      <c r="L239" s="146">
        <v>16</v>
      </c>
      <c r="M239" s="146">
        <v>7</v>
      </c>
      <c r="N239" s="146">
        <v>23</v>
      </c>
      <c r="O239" s="146">
        <v>140</v>
      </c>
      <c r="P239" s="145">
        <v>80</v>
      </c>
      <c r="Q239" s="146">
        <v>3</v>
      </c>
      <c r="R239" s="146">
        <v>1</v>
      </c>
      <c r="S239" s="146">
        <v>4</v>
      </c>
      <c r="T239" s="146">
        <v>104</v>
      </c>
    </row>
    <row r="240" spans="1:20" x14ac:dyDescent="0.45">
      <c r="A240" s="145">
        <v>80</v>
      </c>
      <c r="B240" s="146">
        <v>27</v>
      </c>
      <c r="C240" s="146">
        <v>1</v>
      </c>
      <c r="D240" s="146">
        <v>28</v>
      </c>
      <c r="E240" s="146">
        <v>80</v>
      </c>
      <c r="F240" s="145">
        <v>73</v>
      </c>
      <c r="G240" s="146">
        <v>30</v>
      </c>
      <c r="H240" s="146">
        <v>8</v>
      </c>
      <c r="I240" s="146">
        <v>38</v>
      </c>
      <c r="J240" s="146">
        <v>194</v>
      </c>
      <c r="K240" s="145">
        <v>75</v>
      </c>
      <c r="L240" s="146">
        <v>33</v>
      </c>
      <c r="M240" s="146">
        <v>19</v>
      </c>
      <c r="N240" s="146">
        <v>52</v>
      </c>
      <c r="O240" s="146">
        <v>192</v>
      </c>
      <c r="P240" s="145">
        <v>79</v>
      </c>
      <c r="Q240" s="146">
        <v>25</v>
      </c>
      <c r="R240" s="146">
        <v>4</v>
      </c>
      <c r="S240" s="146">
        <v>29</v>
      </c>
      <c r="T240" s="146">
        <v>133</v>
      </c>
    </row>
    <row r="241" spans="1:20" x14ac:dyDescent="0.45">
      <c r="A241" s="145">
        <v>79</v>
      </c>
      <c r="B241" s="146">
        <v>13</v>
      </c>
      <c r="C241" s="146">
        <v>1</v>
      </c>
      <c r="D241" s="146">
        <v>14</v>
      </c>
      <c r="E241" s="146">
        <v>94</v>
      </c>
      <c r="F241" s="145">
        <v>72</v>
      </c>
      <c r="G241" s="146">
        <v>39</v>
      </c>
      <c r="H241" s="146">
        <v>7</v>
      </c>
      <c r="I241" s="146">
        <v>46</v>
      </c>
      <c r="J241" s="146">
        <v>240</v>
      </c>
      <c r="K241" s="145">
        <v>74</v>
      </c>
      <c r="L241" s="146">
        <v>6</v>
      </c>
      <c r="M241" s="146">
        <v>4</v>
      </c>
      <c r="N241" s="146">
        <v>10</v>
      </c>
      <c r="O241" s="146">
        <v>202</v>
      </c>
      <c r="P241" s="145">
        <v>78</v>
      </c>
      <c r="Q241" s="146">
        <v>9</v>
      </c>
      <c r="R241" s="146">
        <v>1</v>
      </c>
      <c r="S241" s="146">
        <v>10</v>
      </c>
      <c r="T241" s="146">
        <v>143</v>
      </c>
    </row>
    <row r="242" spans="1:20" x14ac:dyDescent="0.45">
      <c r="A242" s="145">
        <v>78</v>
      </c>
      <c r="B242" s="146">
        <v>13</v>
      </c>
      <c r="C242" s="146">
        <v>0</v>
      </c>
      <c r="D242" s="146">
        <v>13</v>
      </c>
      <c r="E242" s="146">
        <v>107</v>
      </c>
      <c r="F242" s="145">
        <v>71</v>
      </c>
      <c r="G242" s="146">
        <v>22</v>
      </c>
      <c r="H242" s="146">
        <v>6</v>
      </c>
      <c r="I242" s="146">
        <v>28</v>
      </c>
      <c r="J242" s="146">
        <v>268</v>
      </c>
      <c r="K242" s="145">
        <v>73</v>
      </c>
      <c r="L242" s="146">
        <v>31</v>
      </c>
      <c r="M242" s="146">
        <v>17</v>
      </c>
      <c r="N242" s="146">
        <v>48</v>
      </c>
      <c r="O242" s="146">
        <v>250</v>
      </c>
      <c r="P242" s="145">
        <v>77</v>
      </c>
      <c r="Q242" s="146">
        <v>11</v>
      </c>
      <c r="R242" s="146">
        <v>3</v>
      </c>
      <c r="S242" s="146">
        <v>14</v>
      </c>
      <c r="T242" s="146">
        <v>157</v>
      </c>
    </row>
    <row r="243" spans="1:20" x14ac:dyDescent="0.45">
      <c r="A243" s="145">
        <v>77</v>
      </c>
      <c r="B243" s="146">
        <v>25</v>
      </c>
      <c r="C243" s="146">
        <v>0</v>
      </c>
      <c r="D243" s="146">
        <v>25</v>
      </c>
      <c r="E243" s="146">
        <v>132</v>
      </c>
      <c r="F243" s="145">
        <v>70</v>
      </c>
      <c r="G243" s="146">
        <v>6</v>
      </c>
      <c r="H243" s="146">
        <v>4</v>
      </c>
      <c r="I243" s="146">
        <v>11</v>
      </c>
      <c r="J243" s="146">
        <v>279</v>
      </c>
      <c r="K243" s="145">
        <v>72</v>
      </c>
      <c r="L243" s="146">
        <v>31</v>
      </c>
      <c r="M243" s="146">
        <v>21</v>
      </c>
      <c r="N243" s="146">
        <v>52</v>
      </c>
      <c r="O243" s="146">
        <v>302</v>
      </c>
      <c r="P243" s="145">
        <v>76</v>
      </c>
      <c r="Q243" s="146">
        <v>19</v>
      </c>
      <c r="R243" s="146">
        <v>5</v>
      </c>
      <c r="S243" s="146">
        <v>24</v>
      </c>
      <c r="T243" s="146">
        <v>181</v>
      </c>
    </row>
    <row r="244" spans="1:20" x14ac:dyDescent="0.45">
      <c r="A244" s="145">
        <v>76</v>
      </c>
      <c r="B244" s="146">
        <v>15</v>
      </c>
      <c r="C244" s="146">
        <v>0</v>
      </c>
      <c r="D244" s="146">
        <v>15</v>
      </c>
      <c r="E244" s="146">
        <v>147</v>
      </c>
      <c r="F244" s="145">
        <v>69</v>
      </c>
      <c r="G244" s="146">
        <v>12</v>
      </c>
      <c r="H244" s="146">
        <v>3</v>
      </c>
      <c r="I244" s="146">
        <v>15</v>
      </c>
      <c r="J244" s="146">
        <v>294</v>
      </c>
      <c r="K244" s="145">
        <v>71</v>
      </c>
      <c r="L244" s="146">
        <v>18</v>
      </c>
      <c r="M244" s="146">
        <v>10</v>
      </c>
      <c r="N244" s="146">
        <v>28</v>
      </c>
      <c r="O244" s="146">
        <v>330</v>
      </c>
      <c r="P244" s="145">
        <v>75</v>
      </c>
      <c r="Q244" s="146">
        <v>11</v>
      </c>
      <c r="R244" s="146">
        <v>3</v>
      </c>
      <c r="S244" s="146">
        <v>14</v>
      </c>
      <c r="T244" s="146">
        <v>195</v>
      </c>
    </row>
    <row r="245" spans="1:20" x14ac:dyDescent="0.45">
      <c r="A245" s="145">
        <v>75</v>
      </c>
      <c r="B245" s="146">
        <v>16</v>
      </c>
      <c r="C245" s="146">
        <v>2</v>
      </c>
      <c r="D245" s="146">
        <v>18</v>
      </c>
      <c r="E245" s="146">
        <v>165</v>
      </c>
      <c r="F245" s="145">
        <v>68</v>
      </c>
      <c r="G245" s="146">
        <v>22</v>
      </c>
      <c r="H245" s="146">
        <v>7</v>
      </c>
      <c r="I245" s="146">
        <v>29</v>
      </c>
      <c r="J245" s="146">
        <v>323</v>
      </c>
      <c r="K245" s="145">
        <v>70</v>
      </c>
      <c r="L245" s="146">
        <v>25</v>
      </c>
      <c r="M245" s="146">
        <v>22</v>
      </c>
      <c r="N245" s="146">
        <v>47</v>
      </c>
      <c r="O245" s="146">
        <v>377</v>
      </c>
      <c r="P245" s="145">
        <v>74</v>
      </c>
      <c r="Q245" s="146">
        <v>14</v>
      </c>
      <c r="R245" s="146">
        <v>3</v>
      </c>
      <c r="S245" s="146">
        <v>17</v>
      </c>
      <c r="T245" s="146">
        <v>212</v>
      </c>
    </row>
    <row r="246" spans="1:20" x14ac:dyDescent="0.45">
      <c r="A246" s="145">
        <v>74</v>
      </c>
      <c r="B246" s="146">
        <v>23</v>
      </c>
      <c r="C246" s="146">
        <v>1</v>
      </c>
      <c r="D246" s="146">
        <v>24</v>
      </c>
      <c r="E246" s="146">
        <v>189</v>
      </c>
      <c r="F246" s="145">
        <v>67</v>
      </c>
      <c r="G246" s="146">
        <v>37</v>
      </c>
      <c r="H246" s="146">
        <v>9</v>
      </c>
      <c r="I246" s="146">
        <v>46</v>
      </c>
      <c r="J246" s="146">
        <v>369</v>
      </c>
      <c r="K246" s="145">
        <v>69</v>
      </c>
      <c r="L246" s="146">
        <v>17</v>
      </c>
      <c r="M246" s="146">
        <v>19</v>
      </c>
      <c r="N246" s="146">
        <v>36</v>
      </c>
      <c r="O246" s="146">
        <v>413</v>
      </c>
      <c r="P246" s="145">
        <v>73</v>
      </c>
      <c r="Q246" s="146">
        <v>18</v>
      </c>
      <c r="R246" s="146">
        <v>4</v>
      </c>
      <c r="S246" s="146">
        <v>22</v>
      </c>
      <c r="T246" s="146">
        <v>234</v>
      </c>
    </row>
    <row r="247" spans="1:20" x14ac:dyDescent="0.45">
      <c r="A247" s="145">
        <v>73</v>
      </c>
      <c r="B247" s="146">
        <v>17</v>
      </c>
      <c r="C247" s="146">
        <v>2</v>
      </c>
      <c r="D247" s="146">
        <v>19</v>
      </c>
      <c r="E247" s="146">
        <v>208</v>
      </c>
      <c r="F247" s="145">
        <v>66</v>
      </c>
      <c r="G247" s="146">
        <v>27</v>
      </c>
      <c r="H247" s="146">
        <v>8</v>
      </c>
      <c r="I247" s="146">
        <v>35</v>
      </c>
      <c r="J247" s="146">
        <v>404</v>
      </c>
      <c r="K247" s="145">
        <v>68</v>
      </c>
      <c r="L247" s="146">
        <v>57</v>
      </c>
      <c r="M247" s="146">
        <v>39</v>
      </c>
      <c r="N247" s="146">
        <v>96</v>
      </c>
      <c r="O247" s="146">
        <v>509</v>
      </c>
      <c r="P247" s="145">
        <v>72</v>
      </c>
      <c r="Q247" s="146">
        <v>15</v>
      </c>
      <c r="R247" s="146">
        <v>3</v>
      </c>
      <c r="S247" s="146">
        <v>18</v>
      </c>
      <c r="T247" s="146">
        <v>252</v>
      </c>
    </row>
    <row r="248" spans="1:20" x14ac:dyDescent="0.45">
      <c r="A248" s="145">
        <v>72</v>
      </c>
      <c r="B248" s="146">
        <v>27</v>
      </c>
      <c r="C248" s="146">
        <v>2</v>
      </c>
      <c r="D248" s="146">
        <v>29</v>
      </c>
      <c r="E248" s="146">
        <v>237</v>
      </c>
      <c r="F248" s="145">
        <v>65</v>
      </c>
      <c r="G248" s="146">
        <v>22</v>
      </c>
      <c r="H248" s="146">
        <v>5</v>
      </c>
      <c r="I248" s="146">
        <v>27</v>
      </c>
      <c r="J248" s="146">
        <v>431</v>
      </c>
      <c r="K248" s="145">
        <v>67</v>
      </c>
      <c r="L248" s="146">
        <v>20</v>
      </c>
      <c r="M248" s="146">
        <v>10</v>
      </c>
      <c r="N248" s="146">
        <v>30</v>
      </c>
      <c r="O248" s="146">
        <v>539</v>
      </c>
      <c r="P248" s="145">
        <v>71</v>
      </c>
      <c r="Q248" s="146">
        <v>13</v>
      </c>
      <c r="R248" s="146">
        <v>3</v>
      </c>
      <c r="S248" s="146">
        <v>16</v>
      </c>
      <c r="T248" s="146">
        <v>268</v>
      </c>
    </row>
    <row r="249" spans="1:20" x14ac:dyDescent="0.45">
      <c r="A249" s="145">
        <v>71</v>
      </c>
      <c r="B249" s="146">
        <v>23</v>
      </c>
      <c r="C249" s="146">
        <v>1</v>
      </c>
      <c r="D249" s="146">
        <v>24</v>
      </c>
      <c r="E249" s="146">
        <v>261</v>
      </c>
      <c r="F249" s="145">
        <v>64</v>
      </c>
      <c r="G249" s="146">
        <v>30</v>
      </c>
      <c r="H249" s="146">
        <v>9</v>
      </c>
      <c r="I249" s="146">
        <v>39</v>
      </c>
      <c r="J249" s="146">
        <v>470</v>
      </c>
      <c r="K249" s="145">
        <v>66</v>
      </c>
      <c r="L249" s="146">
        <v>19</v>
      </c>
      <c r="M249" s="146">
        <v>22</v>
      </c>
      <c r="N249" s="146">
        <v>41</v>
      </c>
      <c r="O249" s="146">
        <v>580</v>
      </c>
      <c r="P249" s="145">
        <v>70</v>
      </c>
      <c r="Q249" s="146">
        <v>8</v>
      </c>
      <c r="R249" s="146">
        <v>0</v>
      </c>
      <c r="S249" s="146">
        <v>8</v>
      </c>
      <c r="T249" s="146">
        <v>276</v>
      </c>
    </row>
    <row r="250" spans="1:20" x14ac:dyDescent="0.45">
      <c r="A250" s="145">
        <v>70</v>
      </c>
      <c r="B250" s="146">
        <v>17</v>
      </c>
      <c r="C250" s="146">
        <v>0</v>
      </c>
      <c r="D250" s="146">
        <v>17</v>
      </c>
      <c r="E250" s="146">
        <v>278</v>
      </c>
      <c r="F250" s="145">
        <v>63</v>
      </c>
      <c r="G250" s="146">
        <v>24</v>
      </c>
      <c r="H250" s="146">
        <v>10</v>
      </c>
      <c r="I250" s="146">
        <v>34</v>
      </c>
      <c r="J250" s="146">
        <v>504</v>
      </c>
      <c r="K250" s="145">
        <v>65</v>
      </c>
      <c r="L250" s="146">
        <v>17</v>
      </c>
      <c r="M250" s="146">
        <v>17</v>
      </c>
      <c r="N250" s="146">
        <v>34</v>
      </c>
      <c r="O250" s="146">
        <v>614</v>
      </c>
      <c r="P250" s="145">
        <v>69</v>
      </c>
      <c r="Q250" s="146">
        <v>16</v>
      </c>
      <c r="R250" s="146">
        <v>6</v>
      </c>
      <c r="S250" s="146">
        <v>22</v>
      </c>
      <c r="T250" s="146">
        <v>298</v>
      </c>
    </row>
    <row r="251" spans="1:20" x14ac:dyDescent="0.45">
      <c r="A251" s="145">
        <v>69</v>
      </c>
      <c r="B251" s="146">
        <v>20</v>
      </c>
      <c r="C251" s="146">
        <v>2</v>
      </c>
      <c r="D251" s="146">
        <v>22</v>
      </c>
      <c r="E251" s="146">
        <v>300</v>
      </c>
      <c r="F251" s="145">
        <v>62</v>
      </c>
      <c r="G251" s="146">
        <v>40</v>
      </c>
      <c r="H251" s="146">
        <v>19</v>
      </c>
      <c r="I251" s="146">
        <v>59</v>
      </c>
      <c r="J251" s="146">
        <v>563</v>
      </c>
      <c r="K251" s="145">
        <v>64</v>
      </c>
      <c r="L251" s="146">
        <v>18</v>
      </c>
      <c r="M251" s="146">
        <v>24</v>
      </c>
      <c r="N251" s="146">
        <v>42</v>
      </c>
      <c r="O251" s="146">
        <v>656</v>
      </c>
      <c r="P251" s="145">
        <v>68</v>
      </c>
      <c r="Q251" s="146">
        <v>12</v>
      </c>
      <c r="R251" s="146">
        <v>3</v>
      </c>
      <c r="S251" s="146">
        <v>15</v>
      </c>
      <c r="T251" s="146">
        <v>313</v>
      </c>
    </row>
    <row r="252" spans="1:20" x14ac:dyDescent="0.45">
      <c r="A252" s="145">
        <v>68</v>
      </c>
      <c r="B252" s="146">
        <v>13</v>
      </c>
      <c r="C252" s="146">
        <v>1</v>
      </c>
      <c r="D252" s="146">
        <v>14</v>
      </c>
      <c r="E252" s="146">
        <v>314</v>
      </c>
      <c r="F252" s="145">
        <v>61</v>
      </c>
      <c r="G252" s="146">
        <v>19</v>
      </c>
      <c r="H252" s="146">
        <v>7</v>
      </c>
      <c r="I252" s="146">
        <v>26</v>
      </c>
      <c r="J252" s="146">
        <v>589</v>
      </c>
      <c r="K252" s="145">
        <v>63</v>
      </c>
      <c r="L252" s="146">
        <v>29</v>
      </c>
      <c r="M252" s="146">
        <v>26</v>
      </c>
      <c r="N252" s="146">
        <v>55</v>
      </c>
      <c r="O252" s="146">
        <v>711</v>
      </c>
      <c r="P252" s="145">
        <v>67</v>
      </c>
      <c r="Q252" s="146">
        <v>5</v>
      </c>
      <c r="R252" s="146">
        <v>4</v>
      </c>
      <c r="S252" s="146">
        <v>9</v>
      </c>
      <c r="T252" s="146">
        <v>322</v>
      </c>
    </row>
    <row r="253" spans="1:20" x14ac:dyDescent="0.45">
      <c r="A253" s="145">
        <v>67</v>
      </c>
      <c r="B253" s="146">
        <v>15</v>
      </c>
      <c r="C253" s="146">
        <v>2</v>
      </c>
      <c r="D253" s="146">
        <v>17</v>
      </c>
      <c r="E253" s="146">
        <v>331</v>
      </c>
      <c r="F253" s="145">
        <v>60</v>
      </c>
      <c r="G253" s="146">
        <v>30</v>
      </c>
      <c r="H253" s="146">
        <v>11</v>
      </c>
      <c r="I253" s="146">
        <v>41</v>
      </c>
      <c r="J253" s="146">
        <v>630</v>
      </c>
      <c r="K253" s="145">
        <v>62</v>
      </c>
      <c r="L253" s="146">
        <v>15</v>
      </c>
      <c r="M253" s="146">
        <v>22</v>
      </c>
      <c r="N253" s="146">
        <v>37</v>
      </c>
      <c r="O253" s="146">
        <v>748</v>
      </c>
      <c r="P253" s="145">
        <v>66</v>
      </c>
      <c r="Q253" s="146">
        <v>12</v>
      </c>
      <c r="R253" s="146">
        <v>4</v>
      </c>
      <c r="S253" s="146">
        <v>16</v>
      </c>
      <c r="T253" s="146">
        <v>338</v>
      </c>
    </row>
    <row r="254" spans="1:20" x14ac:dyDescent="0.45">
      <c r="A254" s="145">
        <v>66</v>
      </c>
      <c r="B254" s="146">
        <v>26</v>
      </c>
      <c r="C254" s="146">
        <v>2</v>
      </c>
      <c r="D254" s="146">
        <v>28</v>
      </c>
      <c r="E254" s="146">
        <v>359</v>
      </c>
      <c r="F254" s="145">
        <v>59</v>
      </c>
      <c r="G254" s="146">
        <v>27</v>
      </c>
      <c r="H254" s="146">
        <v>5</v>
      </c>
      <c r="I254" s="146">
        <v>32</v>
      </c>
      <c r="J254" s="146">
        <v>662</v>
      </c>
      <c r="K254" s="145">
        <v>61</v>
      </c>
      <c r="L254" s="146">
        <v>17</v>
      </c>
      <c r="M254" s="146">
        <v>26</v>
      </c>
      <c r="N254" s="146">
        <v>43</v>
      </c>
      <c r="O254" s="146">
        <v>791</v>
      </c>
      <c r="P254" s="145">
        <v>65</v>
      </c>
      <c r="Q254" s="146">
        <v>7</v>
      </c>
      <c r="R254" s="146">
        <v>8</v>
      </c>
      <c r="S254" s="146">
        <v>15</v>
      </c>
      <c r="T254" s="146">
        <v>353</v>
      </c>
    </row>
    <row r="255" spans="1:20" x14ac:dyDescent="0.45">
      <c r="A255" s="145">
        <v>65</v>
      </c>
      <c r="B255" s="146">
        <v>23</v>
      </c>
      <c r="C255" s="146">
        <v>1</v>
      </c>
      <c r="D255" s="146">
        <v>24</v>
      </c>
      <c r="E255" s="146">
        <v>383</v>
      </c>
      <c r="F255" s="145">
        <v>58</v>
      </c>
      <c r="G255" s="146">
        <v>20</v>
      </c>
      <c r="H255" s="146">
        <v>14</v>
      </c>
      <c r="I255" s="146">
        <v>35</v>
      </c>
      <c r="J255" s="146">
        <v>697</v>
      </c>
      <c r="K255" s="145">
        <v>60</v>
      </c>
      <c r="L255" s="146">
        <v>56</v>
      </c>
      <c r="M255" s="146">
        <v>54</v>
      </c>
      <c r="N255" s="146">
        <v>110</v>
      </c>
      <c r="O255" s="146">
        <v>901</v>
      </c>
      <c r="P255" s="145">
        <v>64</v>
      </c>
      <c r="Q255" s="146">
        <v>11</v>
      </c>
      <c r="R255" s="146">
        <v>9</v>
      </c>
      <c r="S255" s="146">
        <v>20</v>
      </c>
      <c r="T255" s="146">
        <v>373</v>
      </c>
    </row>
    <row r="256" spans="1:20" x14ac:dyDescent="0.45">
      <c r="A256" s="145">
        <v>64</v>
      </c>
      <c r="B256" s="146">
        <v>16</v>
      </c>
      <c r="C256" s="146">
        <v>6</v>
      </c>
      <c r="D256" s="146">
        <v>22</v>
      </c>
      <c r="E256" s="146">
        <v>405</v>
      </c>
      <c r="F256" s="145">
        <v>57</v>
      </c>
      <c r="G256" s="146">
        <v>48</v>
      </c>
      <c r="H256" s="146">
        <v>18</v>
      </c>
      <c r="I256" s="146">
        <v>66</v>
      </c>
      <c r="J256" s="146">
        <v>763</v>
      </c>
      <c r="K256" s="145">
        <v>59</v>
      </c>
      <c r="L256" s="146">
        <v>22</v>
      </c>
      <c r="M256" s="146">
        <v>35</v>
      </c>
      <c r="N256" s="146">
        <v>57</v>
      </c>
      <c r="O256" s="146">
        <v>958</v>
      </c>
      <c r="P256" s="145">
        <v>63</v>
      </c>
      <c r="Q256" s="146">
        <v>17</v>
      </c>
      <c r="R256" s="146">
        <v>13</v>
      </c>
      <c r="S256" s="146">
        <v>30</v>
      </c>
      <c r="T256" s="146">
        <v>403</v>
      </c>
    </row>
    <row r="257" spans="1:20" x14ac:dyDescent="0.45">
      <c r="A257" s="145">
        <v>63</v>
      </c>
      <c r="B257" s="146">
        <v>23</v>
      </c>
      <c r="C257" s="146">
        <v>3</v>
      </c>
      <c r="D257" s="146">
        <v>26</v>
      </c>
      <c r="E257" s="146">
        <v>431</v>
      </c>
      <c r="F257" s="145">
        <v>56</v>
      </c>
      <c r="G257" s="146">
        <v>40</v>
      </c>
      <c r="H257" s="146">
        <v>16</v>
      </c>
      <c r="I257" s="146">
        <v>56</v>
      </c>
      <c r="J257" s="146">
        <v>819</v>
      </c>
      <c r="K257" s="145">
        <v>58</v>
      </c>
      <c r="L257" s="146">
        <v>23</v>
      </c>
      <c r="M257" s="146">
        <v>31</v>
      </c>
      <c r="N257" s="146">
        <v>55</v>
      </c>
      <c r="O257" s="146">
        <v>1013</v>
      </c>
      <c r="P257" s="145">
        <v>62</v>
      </c>
      <c r="Q257" s="146">
        <v>11</v>
      </c>
      <c r="R257" s="146">
        <v>7</v>
      </c>
      <c r="S257" s="146">
        <v>18</v>
      </c>
      <c r="T257" s="146">
        <v>421</v>
      </c>
    </row>
    <row r="258" spans="1:20" x14ac:dyDescent="0.45">
      <c r="A258" s="145">
        <v>62</v>
      </c>
      <c r="B258" s="146">
        <v>18</v>
      </c>
      <c r="C258" s="146">
        <v>5</v>
      </c>
      <c r="D258" s="146">
        <v>23</v>
      </c>
      <c r="E258" s="146">
        <v>454</v>
      </c>
      <c r="F258" s="145">
        <v>55</v>
      </c>
      <c r="G258" s="146">
        <v>24</v>
      </c>
      <c r="H258" s="146">
        <v>11</v>
      </c>
      <c r="I258" s="146">
        <v>35</v>
      </c>
      <c r="J258" s="146">
        <v>854</v>
      </c>
      <c r="K258" s="145">
        <v>57</v>
      </c>
      <c r="L258" s="146">
        <v>23</v>
      </c>
      <c r="M258" s="146">
        <v>43</v>
      </c>
      <c r="N258" s="146">
        <v>66</v>
      </c>
      <c r="O258" s="146">
        <v>1079</v>
      </c>
      <c r="P258" s="145">
        <v>61</v>
      </c>
      <c r="Q258" s="146">
        <v>12</v>
      </c>
      <c r="R258" s="146">
        <v>10</v>
      </c>
      <c r="S258" s="146">
        <v>22</v>
      </c>
      <c r="T258" s="146">
        <v>443</v>
      </c>
    </row>
    <row r="259" spans="1:20" x14ac:dyDescent="0.45">
      <c r="A259" s="145">
        <v>61</v>
      </c>
      <c r="B259" s="146">
        <v>18</v>
      </c>
      <c r="C259" s="146">
        <v>6</v>
      </c>
      <c r="D259" s="146">
        <v>24</v>
      </c>
      <c r="E259" s="146">
        <v>478</v>
      </c>
      <c r="F259" s="145">
        <v>54</v>
      </c>
      <c r="G259" s="146">
        <v>29</v>
      </c>
      <c r="H259" s="146">
        <v>17</v>
      </c>
      <c r="I259" s="146">
        <v>46</v>
      </c>
      <c r="J259" s="146">
        <v>900</v>
      </c>
      <c r="K259" s="145">
        <v>56</v>
      </c>
      <c r="L259" s="146">
        <v>20</v>
      </c>
      <c r="M259" s="146">
        <v>26</v>
      </c>
      <c r="N259" s="146">
        <v>46</v>
      </c>
      <c r="O259" s="146">
        <v>1125</v>
      </c>
      <c r="P259" s="145">
        <v>60</v>
      </c>
      <c r="Q259" s="146">
        <v>21</v>
      </c>
      <c r="R259" s="146">
        <v>8</v>
      </c>
      <c r="S259" s="146">
        <v>29</v>
      </c>
      <c r="T259" s="146">
        <v>472</v>
      </c>
    </row>
    <row r="260" spans="1:20" x14ac:dyDescent="0.45">
      <c r="A260" s="145">
        <v>60</v>
      </c>
      <c r="B260" s="146">
        <v>30</v>
      </c>
      <c r="C260" s="146">
        <v>2</v>
      </c>
      <c r="D260" s="146">
        <v>32</v>
      </c>
      <c r="E260" s="146">
        <v>510</v>
      </c>
      <c r="F260" s="145">
        <v>53</v>
      </c>
      <c r="G260" s="146">
        <v>25</v>
      </c>
      <c r="H260" s="146">
        <v>13</v>
      </c>
      <c r="I260" s="146">
        <v>38</v>
      </c>
      <c r="J260" s="146">
        <v>938</v>
      </c>
      <c r="K260" s="145">
        <v>55</v>
      </c>
      <c r="L260" s="146">
        <v>23</v>
      </c>
      <c r="M260" s="146">
        <v>35</v>
      </c>
      <c r="N260" s="146">
        <v>58</v>
      </c>
      <c r="O260" s="146">
        <v>1183</v>
      </c>
      <c r="P260" s="145">
        <v>59</v>
      </c>
      <c r="Q260" s="146">
        <v>18</v>
      </c>
      <c r="R260" s="146">
        <v>12</v>
      </c>
      <c r="S260" s="146">
        <v>30</v>
      </c>
      <c r="T260" s="146">
        <v>502</v>
      </c>
    </row>
    <row r="261" spans="1:20" x14ac:dyDescent="0.45">
      <c r="A261" s="145">
        <v>59</v>
      </c>
      <c r="B261" s="146">
        <v>32</v>
      </c>
      <c r="C261" s="146">
        <v>7</v>
      </c>
      <c r="D261" s="146">
        <v>39</v>
      </c>
      <c r="E261" s="146">
        <v>549</v>
      </c>
      <c r="F261" s="145">
        <v>52</v>
      </c>
      <c r="G261" s="146">
        <v>71</v>
      </c>
      <c r="H261" s="146">
        <v>57</v>
      </c>
      <c r="I261" s="146">
        <v>128</v>
      </c>
      <c r="J261" s="146">
        <v>1066</v>
      </c>
      <c r="K261" s="145">
        <v>54</v>
      </c>
      <c r="L261" s="146">
        <v>35</v>
      </c>
      <c r="M261" s="146">
        <v>45</v>
      </c>
      <c r="N261" s="146">
        <v>80</v>
      </c>
      <c r="O261" s="146">
        <v>1263</v>
      </c>
      <c r="P261" s="145">
        <v>58</v>
      </c>
      <c r="Q261" s="146">
        <v>28</v>
      </c>
      <c r="R261" s="146">
        <v>10</v>
      </c>
      <c r="S261" s="146">
        <v>38</v>
      </c>
      <c r="T261" s="146">
        <v>540</v>
      </c>
    </row>
    <row r="262" spans="1:20" x14ac:dyDescent="0.45">
      <c r="A262" s="145">
        <v>58</v>
      </c>
      <c r="B262" s="146">
        <v>32</v>
      </c>
      <c r="C262" s="146">
        <v>8</v>
      </c>
      <c r="D262" s="146">
        <v>40</v>
      </c>
      <c r="E262" s="146">
        <v>589</v>
      </c>
      <c r="F262" s="145">
        <v>51</v>
      </c>
      <c r="G262" s="146">
        <v>37</v>
      </c>
      <c r="H262" s="146">
        <v>20</v>
      </c>
      <c r="I262" s="146">
        <v>57</v>
      </c>
      <c r="J262" s="146">
        <v>1123</v>
      </c>
      <c r="K262" s="145">
        <v>53</v>
      </c>
      <c r="L262" s="146">
        <v>37</v>
      </c>
      <c r="M262" s="146">
        <v>36</v>
      </c>
      <c r="N262" s="146">
        <v>73</v>
      </c>
      <c r="O262" s="146">
        <v>1336</v>
      </c>
      <c r="P262" s="145">
        <v>57</v>
      </c>
      <c r="Q262" s="146">
        <v>32</v>
      </c>
      <c r="R262" s="146">
        <v>10</v>
      </c>
      <c r="S262" s="146">
        <v>42</v>
      </c>
      <c r="T262" s="146">
        <v>582</v>
      </c>
    </row>
    <row r="263" spans="1:20" x14ac:dyDescent="0.45">
      <c r="A263" s="145">
        <v>57</v>
      </c>
      <c r="B263" s="146">
        <v>33</v>
      </c>
      <c r="C263" s="146">
        <v>12</v>
      </c>
      <c r="D263" s="146">
        <v>45</v>
      </c>
      <c r="E263" s="146">
        <v>634</v>
      </c>
      <c r="F263" s="145">
        <v>50</v>
      </c>
      <c r="G263" s="146">
        <v>55</v>
      </c>
      <c r="H263" s="146">
        <v>34</v>
      </c>
      <c r="I263" s="146">
        <v>89</v>
      </c>
      <c r="J263" s="146">
        <v>1212</v>
      </c>
      <c r="K263" s="145">
        <v>52</v>
      </c>
      <c r="L263" s="146">
        <v>86</v>
      </c>
      <c r="M263" s="146">
        <v>120</v>
      </c>
      <c r="N263" s="146">
        <v>206</v>
      </c>
      <c r="O263" s="146">
        <v>1542</v>
      </c>
      <c r="P263" s="145">
        <v>56</v>
      </c>
      <c r="Q263" s="146">
        <v>34</v>
      </c>
      <c r="R263" s="146">
        <v>18</v>
      </c>
      <c r="S263" s="146">
        <v>53</v>
      </c>
      <c r="T263" s="146">
        <v>635</v>
      </c>
    </row>
    <row r="264" spans="1:20" x14ac:dyDescent="0.45">
      <c r="A264" s="145">
        <v>56</v>
      </c>
      <c r="B264" s="146">
        <v>52</v>
      </c>
      <c r="C264" s="146">
        <v>7</v>
      </c>
      <c r="D264" s="146">
        <v>59</v>
      </c>
      <c r="E264" s="146">
        <v>693</v>
      </c>
      <c r="F264" s="145">
        <v>49</v>
      </c>
      <c r="G264" s="146">
        <v>63</v>
      </c>
      <c r="H264" s="146">
        <v>24</v>
      </c>
      <c r="I264" s="146">
        <v>87</v>
      </c>
      <c r="J264" s="146">
        <v>1299</v>
      </c>
      <c r="K264" s="145">
        <v>51</v>
      </c>
      <c r="L264" s="146">
        <v>52</v>
      </c>
      <c r="M264" s="146">
        <v>71</v>
      </c>
      <c r="N264" s="146">
        <v>123</v>
      </c>
      <c r="O264" s="146">
        <v>1665</v>
      </c>
      <c r="P264" s="145">
        <v>55</v>
      </c>
      <c r="Q264" s="146">
        <v>37</v>
      </c>
      <c r="R264" s="146">
        <v>20</v>
      </c>
      <c r="S264" s="146">
        <v>57</v>
      </c>
      <c r="T264" s="146">
        <v>692</v>
      </c>
    </row>
    <row r="265" spans="1:20" x14ac:dyDescent="0.45">
      <c r="A265" s="145">
        <v>55</v>
      </c>
      <c r="B265" s="146">
        <v>72</v>
      </c>
      <c r="C265" s="146">
        <v>12</v>
      </c>
      <c r="D265" s="146">
        <v>84</v>
      </c>
      <c r="E265" s="146">
        <v>777</v>
      </c>
      <c r="F265" s="145">
        <v>48</v>
      </c>
      <c r="G265" s="146">
        <v>62</v>
      </c>
      <c r="H265" s="146">
        <v>36</v>
      </c>
      <c r="I265" s="146">
        <v>100</v>
      </c>
      <c r="J265" s="146">
        <v>1399</v>
      </c>
      <c r="K265" s="145">
        <v>50</v>
      </c>
      <c r="L265" s="146">
        <v>76</v>
      </c>
      <c r="M265" s="146">
        <v>81</v>
      </c>
      <c r="N265" s="146">
        <v>157</v>
      </c>
      <c r="O265" s="146">
        <v>1822</v>
      </c>
      <c r="P265" s="145">
        <v>54</v>
      </c>
      <c r="Q265" s="146">
        <v>51</v>
      </c>
      <c r="R265" s="146">
        <v>31</v>
      </c>
      <c r="S265" s="146">
        <v>82</v>
      </c>
      <c r="T265" s="146">
        <v>774</v>
      </c>
    </row>
    <row r="266" spans="1:20" x14ac:dyDescent="0.45">
      <c r="A266" s="145">
        <v>54</v>
      </c>
      <c r="B266" s="146">
        <v>65</v>
      </c>
      <c r="C266" s="146">
        <v>8</v>
      </c>
      <c r="D266" s="146">
        <v>73</v>
      </c>
      <c r="E266" s="146">
        <v>850</v>
      </c>
      <c r="F266" s="145">
        <v>47</v>
      </c>
      <c r="G266" s="146">
        <v>223</v>
      </c>
      <c r="H266" s="146">
        <v>119</v>
      </c>
      <c r="I266" s="146">
        <v>342</v>
      </c>
      <c r="J266" s="146">
        <v>1741</v>
      </c>
      <c r="K266" s="145">
        <v>49</v>
      </c>
      <c r="L266" s="146">
        <v>128</v>
      </c>
      <c r="M266" s="146">
        <v>131</v>
      </c>
      <c r="N266" s="146">
        <v>259</v>
      </c>
      <c r="O266" s="146">
        <v>2081</v>
      </c>
      <c r="P266" s="145">
        <v>53</v>
      </c>
      <c r="Q266" s="146">
        <v>61</v>
      </c>
      <c r="R266" s="146">
        <v>34</v>
      </c>
      <c r="S266" s="146">
        <v>95</v>
      </c>
      <c r="T266" s="146">
        <v>869</v>
      </c>
    </row>
    <row r="267" spans="1:20" x14ac:dyDescent="0.45">
      <c r="A267" s="145">
        <v>53</v>
      </c>
      <c r="B267" s="146">
        <v>65</v>
      </c>
      <c r="C267" s="146">
        <v>20</v>
      </c>
      <c r="D267" s="146">
        <v>85</v>
      </c>
      <c r="E267" s="146">
        <v>935</v>
      </c>
      <c r="F267" s="145">
        <v>46</v>
      </c>
      <c r="G267" s="146">
        <v>77</v>
      </c>
      <c r="H267" s="146">
        <v>53</v>
      </c>
      <c r="I267" s="146">
        <v>130</v>
      </c>
      <c r="J267" s="146">
        <v>1871</v>
      </c>
      <c r="K267" s="145">
        <v>48</v>
      </c>
      <c r="L267" s="146">
        <v>86</v>
      </c>
      <c r="M267" s="146">
        <v>96</v>
      </c>
      <c r="N267" s="146">
        <v>182</v>
      </c>
      <c r="O267" s="146">
        <v>2263</v>
      </c>
      <c r="P267" s="145">
        <v>52</v>
      </c>
      <c r="Q267" s="146">
        <v>72</v>
      </c>
      <c r="R267" s="146">
        <v>36</v>
      </c>
      <c r="S267" s="146">
        <v>108</v>
      </c>
      <c r="T267" s="146">
        <v>977</v>
      </c>
    </row>
    <row r="268" spans="1:20" x14ac:dyDescent="0.45">
      <c r="A268" s="145">
        <v>52</v>
      </c>
      <c r="B268" s="146">
        <v>87</v>
      </c>
      <c r="C268" s="146">
        <v>23</v>
      </c>
      <c r="D268" s="146">
        <v>110</v>
      </c>
      <c r="E268" s="146">
        <v>1045</v>
      </c>
      <c r="F268" s="145">
        <v>45</v>
      </c>
      <c r="G268" s="146">
        <v>108</v>
      </c>
      <c r="H268" s="146">
        <v>48</v>
      </c>
      <c r="I268" s="146">
        <v>156</v>
      </c>
      <c r="J268" s="146">
        <v>2027</v>
      </c>
      <c r="K268" s="145">
        <v>47</v>
      </c>
      <c r="L268" s="146">
        <v>109</v>
      </c>
      <c r="M268" s="146">
        <v>118</v>
      </c>
      <c r="N268" s="146">
        <v>227</v>
      </c>
      <c r="O268" s="146">
        <v>2490</v>
      </c>
      <c r="P268" s="145">
        <v>51</v>
      </c>
      <c r="Q268" s="146">
        <v>180</v>
      </c>
      <c r="R268" s="146">
        <v>60</v>
      </c>
      <c r="S268" s="146">
        <v>240</v>
      </c>
      <c r="T268" s="146">
        <v>1217</v>
      </c>
    </row>
    <row r="269" spans="1:20" x14ac:dyDescent="0.45">
      <c r="A269" s="145">
        <v>51</v>
      </c>
      <c r="B269" s="146">
        <v>88</v>
      </c>
      <c r="C269" s="146">
        <v>26</v>
      </c>
      <c r="D269" s="146">
        <v>114</v>
      </c>
      <c r="E269" s="146">
        <v>1159</v>
      </c>
      <c r="F269" s="145">
        <v>44</v>
      </c>
      <c r="G269" s="146">
        <v>233</v>
      </c>
      <c r="H269" s="146">
        <v>97</v>
      </c>
      <c r="I269" s="146">
        <v>330</v>
      </c>
      <c r="J269" s="146">
        <v>2357</v>
      </c>
      <c r="K269" s="145">
        <v>46</v>
      </c>
      <c r="L269" s="146">
        <v>110</v>
      </c>
      <c r="M269" s="146">
        <v>128</v>
      </c>
      <c r="N269" s="146">
        <v>238</v>
      </c>
      <c r="O269" s="146">
        <v>2728</v>
      </c>
      <c r="P269" s="145">
        <v>50</v>
      </c>
      <c r="Q269" s="146">
        <v>93</v>
      </c>
      <c r="R269" s="146">
        <v>47</v>
      </c>
      <c r="S269" s="146">
        <v>140</v>
      </c>
      <c r="T269" s="146">
        <v>1357</v>
      </c>
    </row>
    <row r="270" spans="1:20" x14ac:dyDescent="0.45">
      <c r="A270" s="145">
        <v>50</v>
      </c>
      <c r="B270" s="146">
        <v>141</v>
      </c>
      <c r="C270" s="146">
        <v>33</v>
      </c>
      <c r="D270" s="146">
        <v>175</v>
      </c>
      <c r="E270" s="146">
        <v>1334</v>
      </c>
      <c r="F270" s="145">
        <v>43</v>
      </c>
      <c r="G270" s="146">
        <v>407</v>
      </c>
      <c r="H270" s="146">
        <v>141</v>
      </c>
      <c r="I270" s="146">
        <v>550</v>
      </c>
      <c r="J270" s="146">
        <v>2907</v>
      </c>
      <c r="K270" s="145">
        <v>45</v>
      </c>
      <c r="L270" s="146">
        <v>143</v>
      </c>
      <c r="M270" s="146">
        <v>121</v>
      </c>
      <c r="N270" s="146">
        <v>265</v>
      </c>
      <c r="O270" s="146">
        <v>2993</v>
      </c>
      <c r="P270" s="145">
        <v>49</v>
      </c>
      <c r="Q270" s="146">
        <v>156</v>
      </c>
      <c r="R270" s="146">
        <v>71</v>
      </c>
      <c r="S270" s="146">
        <v>227</v>
      </c>
      <c r="T270" s="146">
        <v>1584</v>
      </c>
    </row>
    <row r="271" spans="1:20" x14ac:dyDescent="0.45">
      <c r="A271" s="145">
        <v>49</v>
      </c>
      <c r="B271" s="146">
        <v>114</v>
      </c>
      <c r="C271" s="146">
        <v>27</v>
      </c>
      <c r="D271" s="146">
        <v>141</v>
      </c>
      <c r="E271" s="146">
        <v>1475</v>
      </c>
      <c r="F271" s="145">
        <v>42</v>
      </c>
      <c r="G271" s="146">
        <v>203</v>
      </c>
      <c r="H271" s="146">
        <v>103</v>
      </c>
      <c r="I271" s="146">
        <v>307</v>
      </c>
      <c r="J271" s="146">
        <v>3214</v>
      </c>
      <c r="K271" s="145">
        <v>44</v>
      </c>
      <c r="L271" s="146">
        <v>396</v>
      </c>
      <c r="M271" s="146">
        <v>298</v>
      </c>
      <c r="N271" s="146">
        <v>695</v>
      </c>
      <c r="O271" s="146">
        <v>3688</v>
      </c>
      <c r="P271" s="145">
        <v>48</v>
      </c>
      <c r="Q271" s="146">
        <v>167</v>
      </c>
      <c r="R271" s="146">
        <v>59</v>
      </c>
      <c r="S271" s="146">
        <v>226</v>
      </c>
      <c r="T271" s="146">
        <v>1810</v>
      </c>
    </row>
    <row r="272" spans="1:20" x14ac:dyDescent="0.45">
      <c r="A272" s="145">
        <v>48</v>
      </c>
      <c r="B272" s="146">
        <v>395</v>
      </c>
      <c r="C272" s="146">
        <v>71</v>
      </c>
      <c r="D272" s="146">
        <v>466</v>
      </c>
      <c r="E272" s="146">
        <v>1941</v>
      </c>
      <c r="F272" s="145">
        <v>41</v>
      </c>
      <c r="G272" s="146">
        <v>51</v>
      </c>
      <c r="H272" s="146">
        <v>31</v>
      </c>
      <c r="I272" s="146">
        <v>82</v>
      </c>
      <c r="J272" s="146">
        <v>3296</v>
      </c>
      <c r="K272" s="145">
        <v>43</v>
      </c>
      <c r="L272" s="146">
        <v>395</v>
      </c>
      <c r="M272" s="146">
        <v>189</v>
      </c>
      <c r="N272" s="146">
        <v>587</v>
      </c>
      <c r="O272" s="146">
        <v>4275</v>
      </c>
      <c r="P272" s="145">
        <v>47</v>
      </c>
      <c r="Q272" s="146">
        <v>130</v>
      </c>
      <c r="R272" s="146">
        <v>59</v>
      </c>
      <c r="S272" s="146">
        <v>189</v>
      </c>
      <c r="T272" s="146">
        <v>1999</v>
      </c>
    </row>
    <row r="273" spans="1:20" x14ac:dyDescent="0.45">
      <c r="A273" s="145">
        <v>47</v>
      </c>
      <c r="B273" s="146">
        <v>209</v>
      </c>
      <c r="C273" s="146">
        <v>49</v>
      </c>
      <c r="D273" s="146">
        <v>258</v>
      </c>
      <c r="E273" s="146">
        <v>2199</v>
      </c>
      <c r="F273" s="145">
        <v>40</v>
      </c>
      <c r="G273" s="146">
        <v>81</v>
      </c>
      <c r="H273" s="146">
        <v>38</v>
      </c>
      <c r="I273" s="146">
        <v>119</v>
      </c>
      <c r="J273" s="146">
        <v>3415</v>
      </c>
      <c r="K273" s="145">
        <v>42</v>
      </c>
      <c r="L273" s="146">
        <v>127</v>
      </c>
      <c r="M273" s="146">
        <v>110</v>
      </c>
      <c r="N273" s="146">
        <v>237</v>
      </c>
      <c r="O273" s="146">
        <v>4512</v>
      </c>
      <c r="P273" s="145">
        <v>46</v>
      </c>
      <c r="Q273" s="146">
        <v>137</v>
      </c>
      <c r="R273" s="146">
        <v>65</v>
      </c>
      <c r="S273" s="146">
        <v>203</v>
      </c>
      <c r="T273" s="146">
        <v>2202</v>
      </c>
    </row>
    <row r="274" spans="1:20" x14ac:dyDescent="0.45">
      <c r="A274" s="145">
        <v>46</v>
      </c>
      <c r="B274" s="146">
        <v>141</v>
      </c>
      <c r="C274" s="146">
        <v>25</v>
      </c>
      <c r="D274" s="146">
        <v>166</v>
      </c>
      <c r="E274" s="146">
        <v>2365</v>
      </c>
      <c r="F274" s="145">
        <v>39</v>
      </c>
      <c r="G274" s="146">
        <v>39</v>
      </c>
      <c r="H274" s="146">
        <v>15</v>
      </c>
      <c r="I274" s="146">
        <v>54</v>
      </c>
      <c r="J274" s="146">
        <v>3469</v>
      </c>
      <c r="K274" s="145">
        <v>41</v>
      </c>
      <c r="L274" s="146">
        <v>80</v>
      </c>
      <c r="M274" s="146">
        <v>73</v>
      </c>
      <c r="N274" s="146">
        <v>153</v>
      </c>
      <c r="O274" s="146">
        <v>4665</v>
      </c>
      <c r="P274" s="145">
        <v>45</v>
      </c>
      <c r="Q274" s="146">
        <v>125</v>
      </c>
      <c r="R274" s="146">
        <v>48</v>
      </c>
      <c r="S274" s="146">
        <v>174</v>
      </c>
      <c r="T274" s="146">
        <v>2376</v>
      </c>
    </row>
    <row r="275" spans="1:20" x14ac:dyDescent="0.45">
      <c r="A275" s="145">
        <v>45</v>
      </c>
      <c r="B275" s="146">
        <v>135</v>
      </c>
      <c r="C275" s="146">
        <v>46</v>
      </c>
      <c r="D275" s="146">
        <v>181</v>
      </c>
      <c r="E275" s="146">
        <v>2546</v>
      </c>
      <c r="F275" s="145">
        <v>38</v>
      </c>
      <c r="G275" s="146">
        <v>24</v>
      </c>
      <c r="H275" s="146">
        <v>8</v>
      </c>
      <c r="I275" s="146">
        <v>33</v>
      </c>
      <c r="J275" s="146">
        <v>3502</v>
      </c>
      <c r="K275" s="145">
        <v>40</v>
      </c>
      <c r="L275" s="146">
        <v>64</v>
      </c>
      <c r="M275" s="146">
        <v>50</v>
      </c>
      <c r="N275" s="146">
        <v>114</v>
      </c>
      <c r="O275" s="146">
        <v>4779</v>
      </c>
      <c r="P275" s="145">
        <v>44</v>
      </c>
      <c r="Q275" s="146">
        <v>109</v>
      </c>
      <c r="R275" s="146">
        <v>51</v>
      </c>
      <c r="S275" s="146">
        <v>161</v>
      </c>
      <c r="T275" s="146">
        <v>2537</v>
      </c>
    </row>
    <row r="276" spans="1:20" x14ac:dyDescent="0.45">
      <c r="A276" s="145">
        <v>44</v>
      </c>
      <c r="B276" s="146">
        <v>121</v>
      </c>
      <c r="C276" s="146">
        <v>20</v>
      </c>
      <c r="D276" s="146">
        <v>141</v>
      </c>
      <c r="E276" s="146">
        <v>2687</v>
      </c>
      <c r="F276" s="145">
        <v>37</v>
      </c>
      <c r="G276" s="146">
        <v>19</v>
      </c>
      <c r="H276" s="146">
        <v>4</v>
      </c>
      <c r="I276" s="146">
        <v>23</v>
      </c>
      <c r="J276" s="146">
        <v>3525</v>
      </c>
      <c r="K276" s="145">
        <v>39</v>
      </c>
      <c r="L276" s="146">
        <v>63</v>
      </c>
      <c r="M276" s="146">
        <v>52</v>
      </c>
      <c r="N276" s="146">
        <v>115</v>
      </c>
      <c r="O276" s="146">
        <v>4894</v>
      </c>
      <c r="P276" s="145">
        <v>43</v>
      </c>
      <c r="Q276" s="146">
        <v>580</v>
      </c>
      <c r="R276" s="146">
        <v>162</v>
      </c>
      <c r="S276" s="146">
        <v>743</v>
      </c>
      <c r="T276" s="146">
        <v>3280</v>
      </c>
    </row>
    <row r="277" spans="1:20" x14ac:dyDescent="0.45">
      <c r="A277" s="145">
        <v>43</v>
      </c>
      <c r="B277" s="146">
        <v>128</v>
      </c>
      <c r="C277" s="146">
        <v>28</v>
      </c>
      <c r="D277" s="146">
        <v>156</v>
      </c>
      <c r="E277" s="146">
        <v>2843</v>
      </c>
      <c r="F277" s="145">
        <v>36</v>
      </c>
      <c r="G277" s="146">
        <v>5</v>
      </c>
      <c r="H277" s="146">
        <v>3</v>
      </c>
      <c r="I277" s="146">
        <v>8</v>
      </c>
      <c r="J277" s="146">
        <v>3533</v>
      </c>
      <c r="K277" s="145">
        <v>38</v>
      </c>
      <c r="L277" s="146">
        <v>36</v>
      </c>
      <c r="M277" s="146">
        <v>15</v>
      </c>
      <c r="N277" s="146">
        <v>51</v>
      </c>
      <c r="O277" s="146">
        <v>4945</v>
      </c>
      <c r="P277" s="145">
        <v>42</v>
      </c>
      <c r="Q277" s="146">
        <v>79</v>
      </c>
      <c r="R277" s="146">
        <v>36</v>
      </c>
      <c r="S277" s="146">
        <v>115</v>
      </c>
      <c r="T277" s="146">
        <v>3395</v>
      </c>
    </row>
    <row r="278" spans="1:20" x14ac:dyDescent="0.45">
      <c r="A278" s="145">
        <v>42</v>
      </c>
      <c r="B278" s="146">
        <v>109</v>
      </c>
      <c r="C278" s="146">
        <v>27</v>
      </c>
      <c r="D278" s="146">
        <v>136</v>
      </c>
      <c r="E278" s="146">
        <v>2979</v>
      </c>
      <c r="F278" s="145"/>
      <c r="G278" s="146"/>
      <c r="H278" s="146"/>
      <c r="I278" s="146"/>
      <c r="J278" s="146"/>
      <c r="K278" s="145">
        <v>37</v>
      </c>
      <c r="L278" s="146">
        <v>44</v>
      </c>
      <c r="M278" s="146">
        <v>39</v>
      </c>
      <c r="N278" s="146">
        <v>83</v>
      </c>
      <c r="O278" s="146">
        <v>5028</v>
      </c>
      <c r="P278" s="145">
        <v>41</v>
      </c>
      <c r="Q278" s="146">
        <v>83</v>
      </c>
      <c r="R278" s="146">
        <v>23</v>
      </c>
      <c r="S278" s="146">
        <v>106</v>
      </c>
      <c r="T278" s="146">
        <v>3501</v>
      </c>
    </row>
    <row r="279" spans="1:20" x14ac:dyDescent="0.45">
      <c r="A279" s="145">
        <v>41</v>
      </c>
      <c r="B279" s="146">
        <v>252</v>
      </c>
      <c r="C279" s="146">
        <v>67</v>
      </c>
      <c r="D279" s="146">
        <v>320</v>
      </c>
      <c r="E279" s="146">
        <v>3299</v>
      </c>
      <c r="F279" s="145"/>
      <c r="G279" s="146"/>
      <c r="H279" s="146"/>
      <c r="I279" s="146"/>
      <c r="J279" s="146"/>
      <c r="K279" s="145">
        <v>36</v>
      </c>
      <c r="L279" s="146">
        <v>16</v>
      </c>
      <c r="M279" s="146">
        <v>6</v>
      </c>
      <c r="N279" s="146">
        <v>22</v>
      </c>
      <c r="O279" s="146">
        <v>5050</v>
      </c>
      <c r="P279" s="145">
        <v>40</v>
      </c>
      <c r="Q279" s="146">
        <v>49</v>
      </c>
      <c r="R279" s="146">
        <v>15</v>
      </c>
      <c r="S279" s="146">
        <v>65</v>
      </c>
      <c r="T279" s="146">
        <v>3566</v>
      </c>
    </row>
    <row r="280" spans="1:20" x14ac:dyDescent="0.45">
      <c r="A280" s="145">
        <v>40</v>
      </c>
      <c r="B280" s="146">
        <v>74</v>
      </c>
      <c r="C280" s="146">
        <v>17</v>
      </c>
      <c r="D280" s="146">
        <v>91</v>
      </c>
      <c r="E280" s="146">
        <v>3390</v>
      </c>
      <c r="F280" s="145"/>
      <c r="G280" s="146"/>
      <c r="H280" s="146"/>
      <c r="I280" s="146"/>
      <c r="J280" s="146"/>
      <c r="K280" s="145"/>
      <c r="L280" s="146"/>
      <c r="M280" s="146"/>
      <c r="N280" s="146"/>
      <c r="O280" s="146"/>
      <c r="P280" s="145">
        <v>39</v>
      </c>
      <c r="Q280" s="146">
        <v>22</v>
      </c>
      <c r="R280" s="146">
        <v>7</v>
      </c>
      <c r="S280" s="146">
        <v>29</v>
      </c>
      <c r="T280" s="146">
        <v>3595</v>
      </c>
    </row>
    <row r="281" spans="1:20" x14ac:dyDescent="0.45">
      <c r="A281" s="145">
        <v>39</v>
      </c>
      <c r="B281" s="146">
        <v>44</v>
      </c>
      <c r="C281" s="146">
        <v>17</v>
      </c>
      <c r="D281" s="146">
        <v>61</v>
      </c>
      <c r="E281" s="146">
        <v>3451</v>
      </c>
      <c r="F281" s="145"/>
      <c r="G281" s="146"/>
      <c r="H281" s="146"/>
      <c r="I281" s="146"/>
      <c r="J281" s="146"/>
      <c r="K281" s="145"/>
      <c r="L281" s="146"/>
      <c r="M281" s="146"/>
      <c r="N281" s="146"/>
      <c r="O281" s="146"/>
      <c r="P281" s="145">
        <v>38</v>
      </c>
      <c r="Q281" s="146">
        <v>32</v>
      </c>
      <c r="R281" s="146">
        <v>8</v>
      </c>
      <c r="S281" s="146">
        <v>40</v>
      </c>
      <c r="T281" s="146">
        <v>3635</v>
      </c>
    </row>
    <row r="282" spans="1:20" x14ac:dyDescent="0.45">
      <c r="A282" s="145">
        <v>38</v>
      </c>
      <c r="B282" s="146">
        <v>25</v>
      </c>
      <c r="C282" s="146">
        <v>10</v>
      </c>
      <c r="D282" s="146">
        <v>35</v>
      </c>
      <c r="E282" s="146">
        <v>3486</v>
      </c>
      <c r="F282" s="145"/>
      <c r="G282" s="146"/>
      <c r="H282" s="146"/>
      <c r="I282" s="146"/>
      <c r="J282" s="146"/>
      <c r="K282" s="145"/>
      <c r="L282" s="146"/>
      <c r="M282" s="146"/>
      <c r="N282" s="146"/>
      <c r="O282" s="146"/>
      <c r="P282" s="145">
        <v>36</v>
      </c>
      <c r="Q282" s="146">
        <v>11</v>
      </c>
      <c r="R282" s="146">
        <v>5</v>
      </c>
      <c r="S282" s="146">
        <v>16</v>
      </c>
      <c r="T282" s="146">
        <v>3651</v>
      </c>
    </row>
    <row r="283" spans="1:20" x14ac:dyDescent="0.45">
      <c r="A283" s="145">
        <v>37</v>
      </c>
      <c r="B283" s="146">
        <v>33</v>
      </c>
      <c r="C283" s="146">
        <v>5</v>
      </c>
      <c r="D283" s="146">
        <v>38</v>
      </c>
      <c r="E283" s="146">
        <v>3524</v>
      </c>
      <c r="F283" s="147"/>
      <c r="G283" s="147"/>
      <c r="H283" s="147"/>
      <c r="I283" s="147"/>
      <c r="J283" s="147"/>
      <c r="K283" s="145"/>
      <c r="L283" s="146"/>
      <c r="M283" s="146"/>
      <c r="N283" s="146"/>
      <c r="O283" s="146"/>
      <c r="P283" s="145"/>
      <c r="Q283" s="146"/>
      <c r="R283" s="146"/>
      <c r="S283" s="146"/>
      <c r="T283" s="146"/>
    </row>
    <row r="284" spans="1:20" x14ac:dyDescent="0.45">
      <c r="A284" s="142">
        <v>35</v>
      </c>
      <c r="B284" s="143">
        <v>13</v>
      </c>
      <c r="C284" s="143">
        <v>2</v>
      </c>
      <c r="D284" s="143">
        <v>15</v>
      </c>
      <c r="E284" s="143">
        <v>3539</v>
      </c>
      <c r="F284" s="144"/>
      <c r="G284" s="144"/>
      <c r="H284" s="144"/>
      <c r="I284" s="144"/>
      <c r="J284" s="144"/>
      <c r="K284" s="142"/>
      <c r="L284" s="143"/>
      <c r="M284" s="143"/>
      <c r="N284" s="143"/>
      <c r="O284" s="143"/>
      <c r="P284" s="142"/>
      <c r="Q284" s="143"/>
      <c r="R284" s="143"/>
      <c r="S284" s="143"/>
      <c r="T284" s="143"/>
    </row>
    <row r="285" spans="1:20" x14ac:dyDescent="0.4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39"/>
      <c r="L285" s="140"/>
      <c r="M285" s="140"/>
      <c r="N285" s="140"/>
      <c r="O285" s="140"/>
      <c r="P285" s="141"/>
      <c r="Q285" s="141"/>
      <c r="R285" s="141"/>
      <c r="S285" s="141"/>
      <c r="T285" s="14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CD25-199D-455E-A619-78C1BFD1BEA4}">
  <sheetPr codeName="Sheet3"/>
  <dimension ref="A2:T111"/>
  <sheetViews>
    <sheetView topLeftCell="A54" workbookViewId="0">
      <selection activeCell="A64" sqref="A64:J102"/>
    </sheetView>
  </sheetViews>
  <sheetFormatPr defaultRowHeight="17" x14ac:dyDescent="0.45"/>
  <sheetData>
    <row r="2" spans="1:20" ht="17.5" thickBot="1" x14ac:dyDescent="0.5"/>
    <row r="3" spans="1:20" x14ac:dyDescent="0.45">
      <c r="A3" s="11" t="s">
        <v>72</v>
      </c>
      <c r="B3" s="12"/>
      <c r="C3" s="12"/>
      <c r="D3" s="13"/>
      <c r="F3" s="11" t="s">
        <v>73</v>
      </c>
      <c r="G3" s="12"/>
      <c r="H3" s="12"/>
      <c r="I3" s="13"/>
      <c r="K3" s="11" t="s">
        <v>68</v>
      </c>
      <c r="L3" s="12"/>
      <c r="M3" s="12"/>
      <c r="N3" s="13"/>
      <c r="P3" s="11" t="s">
        <v>69</v>
      </c>
      <c r="Q3" s="12"/>
      <c r="R3" s="12"/>
      <c r="S3" s="13"/>
    </row>
    <row r="4" spans="1:20" x14ac:dyDescent="0.45">
      <c r="A4" s="5" t="s">
        <v>1</v>
      </c>
      <c r="B4" s="1"/>
      <c r="C4" s="1"/>
      <c r="D4" s="6" t="s">
        <v>0</v>
      </c>
      <c r="F4" s="5" t="s">
        <v>1</v>
      </c>
      <c r="G4" s="1"/>
      <c r="H4" s="1"/>
      <c r="I4" s="6" t="s">
        <v>0</v>
      </c>
      <c r="K4" s="5" t="s">
        <v>1</v>
      </c>
      <c r="L4" s="1"/>
      <c r="M4" s="1"/>
      <c r="N4" s="6" t="s">
        <v>0</v>
      </c>
      <c r="P4" s="5" t="s">
        <v>1</v>
      </c>
      <c r="Q4" s="1"/>
      <c r="R4" s="1"/>
      <c r="S4" s="6" t="s">
        <v>0</v>
      </c>
    </row>
    <row r="5" spans="1:20" x14ac:dyDescent="0.45">
      <c r="A5" s="148">
        <v>64</v>
      </c>
      <c r="B5" s="149">
        <v>89</v>
      </c>
      <c r="C5" s="149">
        <v>44</v>
      </c>
      <c r="D5" s="149">
        <v>133</v>
      </c>
      <c r="E5" s="149">
        <v>133</v>
      </c>
      <c r="F5" s="148">
        <v>83</v>
      </c>
      <c r="G5" s="149">
        <v>0</v>
      </c>
      <c r="H5" s="149">
        <v>1</v>
      </c>
      <c r="I5" s="149">
        <v>1</v>
      </c>
      <c r="J5" s="149">
        <v>1</v>
      </c>
      <c r="K5" s="148">
        <v>63</v>
      </c>
      <c r="L5" s="149">
        <v>43</v>
      </c>
      <c r="M5" s="149">
        <v>11</v>
      </c>
      <c r="N5" s="149">
        <v>54</v>
      </c>
      <c r="O5" s="149">
        <v>54</v>
      </c>
      <c r="P5" s="148">
        <v>66</v>
      </c>
      <c r="Q5" s="149">
        <v>16</v>
      </c>
      <c r="R5" s="149">
        <v>8</v>
      </c>
      <c r="S5" s="149">
        <v>24</v>
      </c>
      <c r="T5" s="149">
        <v>24</v>
      </c>
    </row>
    <row r="6" spans="1:20" x14ac:dyDescent="0.45">
      <c r="A6" s="148">
        <v>62</v>
      </c>
      <c r="B6" s="149">
        <v>99</v>
      </c>
      <c r="C6" s="149">
        <v>56</v>
      </c>
      <c r="D6" s="149">
        <v>155</v>
      </c>
      <c r="E6" s="149">
        <v>288</v>
      </c>
      <c r="F6" s="148">
        <v>79</v>
      </c>
      <c r="G6" s="149">
        <v>0</v>
      </c>
      <c r="H6" s="149">
        <v>1</v>
      </c>
      <c r="I6" s="149">
        <v>1</v>
      </c>
      <c r="J6" s="149">
        <v>2</v>
      </c>
      <c r="K6" s="148">
        <v>62</v>
      </c>
      <c r="L6" s="149">
        <v>13</v>
      </c>
      <c r="M6" s="149">
        <v>3</v>
      </c>
      <c r="N6" s="149">
        <v>16</v>
      </c>
      <c r="O6" s="149">
        <v>70</v>
      </c>
      <c r="P6" s="148">
        <v>64</v>
      </c>
      <c r="Q6" s="149">
        <v>8</v>
      </c>
      <c r="R6" s="149">
        <v>20</v>
      </c>
      <c r="S6" s="149">
        <v>28</v>
      </c>
      <c r="T6" s="149">
        <v>52</v>
      </c>
    </row>
    <row r="7" spans="1:20" x14ac:dyDescent="0.45">
      <c r="A7" s="148">
        <v>61</v>
      </c>
      <c r="B7" s="149">
        <v>8</v>
      </c>
      <c r="C7" s="149">
        <v>9</v>
      </c>
      <c r="D7" s="149">
        <v>17</v>
      </c>
      <c r="E7" s="149">
        <v>305</v>
      </c>
      <c r="F7" s="148">
        <v>76</v>
      </c>
      <c r="G7" s="149">
        <v>0</v>
      </c>
      <c r="H7" s="149">
        <v>1</v>
      </c>
      <c r="I7" s="149">
        <v>1</v>
      </c>
      <c r="J7" s="149">
        <v>3</v>
      </c>
      <c r="K7" s="148">
        <v>61</v>
      </c>
      <c r="L7" s="149">
        <v>15</v>
      </c>
      <c r="M7" s="149">
        <v>6</v>
      </c>
      <c r="N7" s="149">
        <v>21</v>
      </c>
      <c r="O7" s="149">
        <v>91</v>
      </c>
      <c r="P7" s="148">
        <v>63</v>
      </c>
      <c r="Q7" s="149">
        <v>3</v>
      </c>
      <c r="R7" s="149">
        <v>0</v>
      </c>
      <c r="S7" s="149">
        <v>3</v>
      </c>
      <c r="T7" s="149">
        <v>55</v>
      </c>
    </row>
    <row r="8" spans="1:20" x14ac:dyDescent="0.45">
      <c r="A8" s="148">
        <v>60</v>
      </c>
      <c r="B8" s="149">
        <v>63</v>
      </c>
      <c r="C8" s="149">
        <v>42</v>
      </c>
      <c r="D8" s="149">
        <v>105</v>
      </c>
      <c r="E8" s="149">
        <v>410</v>
      </c>
      <c r="F8" s="148">
        <v>74</v>
      </c>
      <c r="G8" s="149">
        <v>0</v>
      </c>
      <c r="H8" s="149">
        <v>1</v>
      </c>
      <c r="I8" s="149">
        <v>1</v>
      </c>
      <c r="J8" s="149">
        <v>4</v>
      </c>
      <c r="K8" s="148">
        <v>60</v>
      </c>
      <c r="L8" s="149">
        <v>37</v>
      </c>
      <c r="M8" s="149">
        <v>6</v>
      </c>
      <c r="N8" s="149">
        <v>43</v>
      </c>
      <c r="O8" s="149">
        <v>134</v>
      </c>
      <c r="P8" s="148">
        <v>62</v>
      </c>
      <c r="Q8" s="149">
        <v>10</v>
      </c>
      <c r="R8" s="149">
        <v>25</v>
      </c>
      <c r="S8" s="149">
        <v>35</v>
      </c>
      <c r="T8" s="149">
        <v>90</v>
      </c>
    </row>
    <row r="9" spans="1:20" x14ac:dyDescent="0.45">
      <c r="A9" s="148">
        <v>59</v>
      </c>
      <c r="B9" s="149">
        <v>23</v>
      </c>
      <c r="C9" s="149">
        <v>9</v>
      </c>
      <c r="D9" s="149">
        <v>32</v>
      </c>
      <c r="E9" s="149">
        <v>442</v>
      </c>
      <c r="F9" s="148">
        <v>73</v>
      </c>
      <c r="G9" s="149">
        <v>2</v>
      </c>
      <c r="H9" s="149">
        <v>0</v>
      </c>
      <c r="I9" s="149">
        <v>2</v>
      </c>
      <c r="J9" s="149">
        <v>6</v>
      </c>
      <c r="K9" s="148">
        <v>59</v>
      </c>
      <c r="L9" s="149">
        <v>21</v>
      </c>
      <c r="M9" s="149">
        <v>1</v>
      </c>
      <c r="N9" s="149">
        <v>22</v>
      </c>
      <c r="O9" s="149">
        <v>156</v>
      </c>
      <c r="P9" s="148">
        <v>60</v>
      </c>
      <c r="Q9" s="149">
        <v>5</v>
      </c>
      <c r="R9" s="149">
        <v>5</v>
      </c>
      <c r="S9" s="149">
        <v>10</v>
      </c>
      <c r="T9" s="149">
        <v>100</v>
      </c>
    </row>
    <row r="10" spans="1:20" x14ac:dyDescent="0.45">
      <c r="A10" s="148">
        <v>58</v>
      </c>
      <c r="B10" s="149">
        <v>58</v>
      </c>
      <c r="C10" s="149">
        <v>33</v>
      </c>
      <c r="D10" s="149">
        <v>91</v>
      </c>
      <c r="E10" s="149">
        <v>533</v>
      </c>
      <c r="F10" s="148">
        <v>72</v>
      </c>
      <c r="G10" s="149">
        <v>1</v>
      </c>
      <c r="H10" s="149">
        <v>2</v>
      </c>
      <c r="I10" s="149">
        <v>3</v>
      </c>
      <c r="J10" s="149">
        <v>9</v>
      </c>
      <c r="K10" s="148">
        <v>58</v>
      </c>
      <c r="L10" s="149">
        <v>28</v>
      </c>
      <c r="M10" s="149">
        <v>8</v>
      </c>
      <c r="N10" s="149">
        <v>36</v>
      </c>
      <c r="O10" s="149">
        <v>192</v>
      </c>
      <c r="P10" s="148">
        <v>59</v>
      </c>
      <c r="Q10" s="149">
        <v>8</v>
      </c>
      <c r="R10" s="149">
        <v>8</v>
      </c>
      <c r="S10" s="149">
        <v>16</v>
      </c>
      <c r="T10" s="149">
        <v>116</v>
      </c>
    </row>
    <row r="11" spans="1:20" x14ac:dyDescent="0.45">
      <c r="A11" s="148">
        <v>57</v>
      </c>
      <c r="B11" s="149">
        <v>22</v>
      </c>
      <c r="C11" s="149">
        <v>14</v>
      </c>
      <c r="D11" s="149">
        <v>36</v>
      </c>
      <c r="E11" s="149">
        <v>569</v>
      </c>
      <c r="F11" s="148">
        <v>71</v>
      </c>
      <c r="G11" s="149">
        <v>0</v>
      </c>
      <c r="H11" s="149">
        <v>1</v>
      </c>
      <c r="I11" s="149">
        <v>1</v>
      </c>
      <c r="J11" s="149">
        <v>10</v>
      </c>
      <c r="K11" s="148">
        <v>57</v>
      </c>
      <c r="L11" s="149">
        <v>13</v>
      </c>
      <c r="M11" s="149">
        <v>0</v>
      </c>
      <c r="N11" s="149">
        <v>13</v>
      </c>
      <c r="O11" s="149">
        <v>205</v>
      </c>
      <c r="P11" s="148">
        <v>58</v>
      </c>
      <c r="Q11" s="149">
        <v>5</v>
      </c>
      <c r="R11" s="149">
        <v>5</v>
      </c>
      <c r="S11" s="149">
        <v>10</v>
      </c>
      <c r="T11" s="149">
        <v>126</v>
      </c>
    </row>
    <row r="12" spans="1:20" x14ac:dyDescent="0.45">
      <c r="A12" s="148">
        <v>56</v>
      </c>
      <c r="B12" s="149">
        <v>51</v>
      </c>
      <c r="C12" s="149">
        <v>39</v>
      </c>
      <c r="D12" s="149">
        <v>90</v>
      </c>
      <c r="E12" s="149">
        <v>659</v>
      </c>
      <c r="F12" s="148">
        <v>70</v>
      </c>
      <c r="G12" s="149">
        <v>3</v>
      </c>
      <c r="H12" s="149">
        <v>2</v>
      </c>
      <c r="I12" s="149">
        <v>5</v>
      </c>
      <c r="J12" s="149">
        <v>15</v>
      </c>
      <c r="K12" s="148">
        <v>56</v>
      </c>
      <c r="L12" s="149">
        <v>21</v>
      </c>
      <c r="M12" s="149">
        <v>3</v>
      </c>
      <c r="N12" s="149">
        <v>24</v>
      </c>
      <c r="O12" s="149">
        <v>229</v>
      </c>
      <c r="P12" s="148">
        <v>57</v>
      </c>
      <c r="Q12" s="149">
        <v>6</v>
      </c>
      <c r="R12" s="149">
        <v>4</v>
      </c>
      <c r="S12" s="149">
        <v>10</v>
      </c>
      <c r="T12" s="149">
        <v>136</v>
      </c>
    </row>
    <row r="13" spans="1:20" x14ac:dyDescent="0.45">
      <c r="A13" s="148">
        <v>55</v>
      </c>
      <c r="B13" s="149">
        <v>26</v>
      </c>
      <c r="C13" s="149">
        <v>12</v>
      </c>
      <c r="D13" s="149">
        <v>38</v>
      </c>
      <c r="E13" s="149">
        <v>697</v>
      </c>
      <c r="F13" s="148">
        <v>68</v>
      </c>
      <c r="G13" s="149">
        <v>1</v>
      </c>
      <c r="H13" s="149">
        <v>0</v>
      </c>
      <c r="I13" s="149">
        <v>1</v>
      </c>
      <c r="J13" s="149">
        <v>16</v>
      </c>
      <c r="K13" s="148">
        <v>55</v>
      </c>
      <c r="L13" s="149">
        <v>7</v>
      </c>
      <c r="M13" s="149">
        <v>1</v>
      </c>
      <c r="N13" s="149">
        <v>8</v>
      </c>
      <c r="O13" s="149">
        <v>237</v>
      </c>
      <c r="P13" s="148">
        <v>56</v>
      </c>
      <c r="Q13" s="149">
        <v>2</v>
      </c>
      <c r="R13" s="149">
        <v>3</v>
      </c>
      <c r="S13" s="149">
        <v>5</v>
      </c>
      <c r="T13" s="149">
        <v>141</v>
      </c>
    </row>
    <row r="14" spans="1:20" x14ac:dyDescent="0.45">
      <c r="A14" s="148">
        <v>54</v>
      </c>
      <c r="B14" s="149">
        <v>34</v>
      </c>
      <c r="C14" s="149">
        <v>31</v>
      </c>
      <c r="D14" s="149">
        <v>65</v>
      </c>
      <c r="E14" s="149">
        <v>762</v>
      </c>
      <c r="F14" s="148">
        <v>67</v>
      </c>
      <c r="G14" s="149">
        <v>2</v>
      </c>
      <c r="H14" s="149">
        <v>1</v>
      </c>
      <c r="I14" s="149">
        <v>3</v>
      </c>
      <c r="J14" s="149">
        <v>19</v>
      </c>
      <c r="K14" s="148">
        <v>54</v>
      </c>
      <c r="L14" s="149">
        <v>24</v>
      </c>
      <c r="M14" s="149">
        <v>4</v>
      </c>
      <c r="N14" s="149">
        <v>28</v>
      </c>
      <c r="O14" s="149">
        <v>265</v>
      </c>
      <c r="P14" s="148">
        <v>55</v>
      </c>
      <c r="Q14" s="149">
        <v>3</v>
      </c>
      <c r="R14" s="149">
        <v>2</v>
      </c>
      <c r="S14" s="149">
        <v>5</v>
      </c>
      <c r="T14" s="149">
        <v>146</v>
      </c>
    </row>
    <row r="15" spans="1:20" x14ac:dyDescent="0.45">
      <c r="A15" s="148">
        <v>53</v>
      </c>
      <c r="B15" s="149">
        <v>11</v>
      </c>
      <c r="C15" s="149">
        <v>21</v>
      </c>
      <c r="D15" s="149">
        <v>32</v>
      </c>
      <c r="E15" s="149">
        <v>794</v>
      </c>
      <c r="F15" s="148">
        <v>66</v>
      </c>
      <c r="G15" s="149">
        <v>1</v>
      </c>
      <c r="H15" s="149">
        <v>3</v>
      </c>
      <c r="I15" s="149">
        <v>4</v>
      </c>
      <c r="J15" s="149">
        <v>23</v>
      </c>
      <c r="K15" s="148">
        <v>53</v>
      </c>
      <c r="L15" s="149">
        <v>9</v>
      </c>
      <c r="M15" s="149">
        <v>4</v>
      </c>
      <c r="N15" s="149">
        <v>13</v>
      </c>
      <c r="O15" s="149">
        <v>278</v>
      </c>
      <c r="P15" s="148">
        <v>54</v>
      </c>
      <c r="Q15" s="149">
        <v>18</v>
      </c>
      <c r="R15" s="149">
        <v>14</v>
      </c>
      <c r="S15" s="149">
        <v>32</v>
      </c>
      <c r="T15" s="149">
        <v>178</v>
      </c>
    </row>
    <row r="16" spans="1:20" x14ac:dyDescent="0.45">
      <c r="A16" s="148">
        <v>52</v>
      </c>
      <c r="B16" s="149">
        <v>26</v>
      </c>
      <c r="C16" s="149">
        <v>34</v>
      </c>
      <c r="D16" s="149">
        <v>60</v>
      </c>
      <c r="E16" s="149">
        <v>854</v>
      </c>
      <c r="F16" s="148">
        <v>65</v>
      </c>
      <c r="G16" s="149">
        <v>2</v>
      </c>
      <c r="H16" s="149">
        <v>3</v>
      </c>
      <c r="I16" s="149">
        <v>5</v>
      </c>
      <c r="J16" s="149">
        <v>28</v>
      </c>
      <c r="K16" s="148">
        <v>52</v>
      </c>
      <c r="L16" s="149">
        <v>12</v>
      </c>
      <c r="M16" s="149">
        <v>3</v>
      </c>
      <c r="N16" s="149">
        <v>15</v>
      </c>
      <c r="O16" s="149">
        <v>293</v>
      </c>
      <c r="P16" s="148">
        <v>53</v>
      </c>
      <c r="Q16" s="149">
        <v>4</v>
      </c>
      <c r="R16" s="149">
        <v>5</v>
      </c>
      <c r="S16" s="149">
        <v>9</v>
      </c>
      <c r="T16" s="149">
        <v>187</v>
      </c>
    </row>
    <row r="17" spans="1:20" x14ac:dyDescent="0.45">
      <c r="A17" s="148">
        <v>51</v>
      </c>
      <c r="B17" s="149">
        <v>19</v>
      </c>
      <c r="C17" s="149">
        <v>11</v>
      </c>
      <c r="D17" s="149">
        <v>30</v>
      </c>
      <c r="E17" s="149">
        <v>884</v>
      </c>
      <c r="F17" s="148">
        <v>64</v>
      </c>
      <c r="G17" s="149">
        <v>2</v>
      </c>
      <c r="H17" s="149">
        <v>0</v>
      </c>
      <c r="I17" s="149">
        <v>2</v>
      </c>
      <c r="J17" s="149">
        <v>30</v>
      </c>
      <c r="K17" s="148">
        <v>51</v>
      </c>
      <c r="L17" s="149">
        <v>2</v>
      </c>
      <c r="M17" s="149">
        <v>2</v>
      </c>
      <c r="N17" s="149">
        <v>4</v>
      </c>
      <c r="O17" s="149">
        <v>297</v>
      </c>
      <c r="P17" s="148">
        <v>52</v>
      </c>
      <c r="Q17" s="149">
        <v>6</v>
      </c>
      <c r="R17" s="149">
        <v>4</v>
      </c>
      <c r="S17" s="149">
        <v>10</v>
      </c>
      <c r="T17" s="149">
        <v>197</v>
      </c>
    </row>
    <row r="18" spans="1:20" x14ac:dyDescent="0.45">
      <c r="A18" s="148">
        <v>50</v>
      </c>
      <c r="B18" s="149">
        <v>37</v>
      </c>
      <c r="C18" s="149">
        <v>31</v>
      </c>
      <c r="D18" s="149">
        <v>68</v>
      </c>
      <c r="E18" s="149">
        <v>952</v>
      </c>
      <c r="F18" s="148">
        <v>63</v>
      </c>
      <c r="G18" s="149">
        <v>1</v>
      </c>
      <c r="H18" s="149">
        <v>1</v>
      </c>
      <c r="I18" s="149">
        <v>2</v>
      </c>
      <c r="J18" s="149">
        <v>32</v>
      </c>
      <c r="K18" s="148">
        <v>50</v>
      </c>
      <c r="L18" s="149">
        <v>13</v>
      </c>
      <c r="M18" s="149">
        <v>4</v>
      </c>
      <c r="N18" s="149">
        <v>17</v>
      </c>
      <c r="O18" s="149">
        <v>314</v>
      </c>
      <c r="P18" s="148">
        <v>51</v>
      </c>
      <c r="Q18" s="149">
        <v>3</v>
      </c>
      <c r="R18" s="149">
        <v>13</v>
      </c>
      <c r="S18" s="149">
        <v>16</v>
      </c>
      <c r="T18" s="149">
        <v>213</v>
      </c>
    </row>
    <row r="19" spans="1:20" x14ac:dyDescent="0.45">
      <c r="A19" s="148">
        <v>49</v>
      </c>
      <c r="B19" s="149">
        <v>12</v>
      </c>
      <c r="C19" s="149">
        <v>17</v>
      </c>
      <c r="D19" s="149">
        <v>29</v>
      </c>
      <c r="E19" s="149">
        <v>981</v>
      </c>
      <c r="F19" s="148">
        <v>62</v>
      </c>
      <c r="G19" s="149">
        <v>1</v>
      </c>
      <c r="H19" s="149">
        <v>0</v>
      </c>
      <c r="I19" s="149">
        <v>1</v>
      </c>
      <c r="J19" s="149">
        <v>33</v>
      </c>
      <c r="K19" s="148">
        <v>49</v>
      </c>
      <c r="L19" s="149">
        <v>7</v>
      </c>
      <c r="M19" s="149">
        <v>2</v>
      </c>
      <c r="N19" s="149">
        <v>9</v>
      </c>
      <c r="O19" s="149">
        <v>323</v>
      </c>
      <c r="P19" s="148">
        <v>50</v>
      </c>
      <c r="Q19" s="149">
        <v>6</v>
      </c>
      <c r="R19" s="149">
        <v>3</v>
      </c>
      <c r="S19" s="149">
        <v>9</v>
      </c>
      <c r="T19" s="149">
        <v>222</v>
      </c>
    </row>
    <row r="20" spans="1:20" x14ac:dyDescent="0.45">
      <c r="A20" s="148">
        <v>48</v>
      </c>
      <c r="B20" s="149">
        <v>13</v>
      </c>
      <c r="C20" s="149">
        <v>15</v>
      </c>
      <c r="D20" s="149">
        <v>28</v>
      </c>
      <c r="E20" s="149">
        <v>1009</v>
      </c>
      <c r="F20" s="148">
        <v>61</v>
      </c>
      <c r="G20" s="149">
        <v>0</v>
      </c>
      <c r="H20" s="149">
        <v>2</v>
      </c>
      <c r="I20" s="149">
        <v>2</v>
      </c>
      <c r="J20" s="149">
        <v>35</v>
      </c>
      <c r="K20" s="148">
        <v>48</v>
      </c>
      <c r="L20" s="149">
        <v>13</v>
      </c>
      <c r="M20" s="149">
        <v>4</v>
      </c>
      <c r="N20" s="149">
        <v>17</v>
      </c>
      <c r="O20" s="149">
        <v>340</v>
      </c>
      <c r="P20" s="148">
        <v>49</v>
      </c>
      <c r="Q20" s="149">
        <v>3</v>
      </c>
      <c r="R20" s="149">
        <v>2</v>
      </c>
      <c r="S20" s="149">
        <v>5</v>
      </c>
      <c r="T20" s="149">
        <v>227</v>
      </c>
    </row>
    <row r="21" spans="1:20" x14ac:dyDescent="0.45">
      <c r="A21" s="148">
        <v>47</v>
      </c>
      <c r="B21" s="149">
        <v>20</v>
      </c>
      <c r="C21" s="149">
        <v>25</v>
      </c>
      <c r="D21" s="149">
        <v>45</v>
      </c>
      <c r="E21" s="149">
        <v>1054</v>
      </c>
      <c r="F21" s="148">
        <v>59</v>
      </c>
      <c r="G21" s="149">
        <v>2</v>
      </c>
      <c r="H21" s="149">
        <v>1</v>
      </c>
      <c r="I21" s="149">
        <v>3</v>
      </c>
      <c r="J21" s="149">
        <v>38</v>
      </c>
      <c r="K21" s="148">
        <v>47</v>
      </c>
      <c r="L21" s="149">
        <v>6</v>
      </c>
      <c r="M21" s="149">
        <v>3</v>
      </c>
      <c r="N21" s="149">
        <v>9</v>
      </c>
      <c r="O21" s="149">
        <v>349</v>
      </c>
      <c r="P21" s="148">
        <v>48</v>
      </c>
      <c r="Q21" s="149">
        <v>7</v>
      </c>
      <c r="R21" s="149">
        <v>5</v>
      </c>
      <c r="S21" s="149">
        <v>12</v>
      </c>
      <c r="T21" s="149">
        <v>239</v>
      </c>
    </row>
    <row r="22" spans="1:20" x14ac:dyDescent="0.45">
      <c r="A22" s="148">
        <v>46</v>
      </c>
      <c r="B22" s="149">
        <v>14</v>
      </c>
      <c r="C22" s="149">
        <v>11</v>
      </c>
      <c r="D22" s="149">
        <v>25</v>
      </c>
      <c r="E22" s="149">
        <v>1079</v>
      </c>
      <c r="F22" s="148">
        <v>58</v>
      </c>
      <c r="G22" s="149">
        <v>1</v>
      </c>
      <c r="H22" s="149">
        <v>1</v>
      </c>
      <c r="I22" s="149">
        <v>2</v>
      </c>
      <c r="J22" s="149">
        <v>40</v>
      </c>
      <c r="K22" s="148">
        <v>46</v>
      </c>
      <c r="L22" s="149">
        <v>10</v>
      </c>
      <c r="M22" s="149">
        <v>3</v>
      </c>
      <c r="N22" s="149">
        <v>13</v>
      </c>
      <c r="O22" s="149">
        <v>362</v>
      </c>
      <c r="P22" s="148">
        <v>47</v>
      </c>
      <c r="Q22" s="149">
        <v>1</v>
      </c>
      <c r="R22" s="149">
        <v>4</v>
      </c>
      <c r="S22" s="149">
        <v>5</v>
      </c>
      <c r="T22" s="149">
        <v>244</v>
      </c>
    </row>
    <row r="23" spans="1:20" x14ac:dyDescent="0.45">
      <c r="A23" s="148">
        <v>45</v>
      </c>
      <c r="B23" s="149">
        <v>16</v>
      </c>
      <c r="C23" s="149">
        <v>20</v>
      </c>
      <c r="D23" s="149">
        <v>36</v>
      </c>
      <c r="E23" s="149">
        <v>1115</v>
      </c>
      <c r="F23" s="148">
        <v>57</v>
      </c>
      <c r="G23" s="149">
        <v>3</v>
      </c>
      <c r="H23" s="149">
        <v>0</v>
      </c>
      <c r="I23" s="149">
        <v>3</v>
      </c>
      <c r="J23" s="149">
        <v>43</v>
      </c>
      <c r="K23" s="148">
        <v>45</v>
      </c>
      <c r="L23" s="149">
        <v>2</v>
      </c>
      <c r="M23" s="149">
        <v>0</v>
      </c>
      <c r="N23" s="149">
        <v>2</v>
      </c>
      <c r="O23" s="149">
        <v>364</v>
      </c>
      <c r="P23" s="148">
        <v>46</v>
      </c>
      <c r="Q23" s="149">
        <v>4</v>
      </c>
      <c r="R23" s="149">
        <v>10</v>
      </c>
      <c r="S23" s="149">
        <v>14</v>
      </c>
      <c r="T23" s="149">
        <v>258</v>
      </c>
    </row>
    <row r="24" spans="1:20" x14ac:dyDescent="0.45">
      <c r="A24" s="148">
        <v>44</v>
      </c>
      <c r="B24" s="149">
        <v>10</v>
      </c>
      <c r="C24" s="149">
        <v>23</v>
      </c>
      <c r="D24" s="149">
        <v>33</v>
      </c>
      <c r="E24" s="149">
        <v>1148</v>
      </c>
      <c r="F24" s="148">
        <v>56</v>
      </c>
      <c r="G24" s="149">
        <v>2</v>
      </c>
      <c r="H24" s="149">
        <v>0</v>
      </c>
      <c r="I24" s="149">
        <v>2</v>
      </c>
      <c r="J24" s="149">
        <v>45</v>
      </c>
      <c r="K24" s="148">
        <v>44</v>
      </c>
      <c r="L24" s="149">
        <v>12</v>
      </c>
      <c r="M24" s="149">
        <v>0</v>
      </c>
      <c r="N24" s="149">
        <v>12</v>
      </c>
      <c r="O24" s="149">
        <v>376</v>
      </c>
      <c r="P24" s="148">
        <v>45</v>
      </c>
      <c r="Q24" s="149">
        <v>6</v>
      </c>
      <c r="R24" s="149">
        <v>8</v>
      </c>
      <c r="S24" s="149">
        <v>14</v>
      </c>
      <c r="T24" s="149">
        <v>272</v>
      </c>
    </row>
    <row r="25" spans="1:20" x14ac:dyDescent="0.45">
      <c r="A25" s="148">
        <v>43</v>
      </c>
      <c r="B25" s="149">
        <v>16</v>
      </c>
      <c r="C25" s="149">
        <v>23</v>
      </c>
      <c r="D25" s="149">
        <v>39</v>
      </c>
      <c r="E25" s="149">
        <v>1187</v>
      </c>
      <c r="F25" s="148">
        <v>55</v>
      </c>
      <c r="G25" s="149">
        <v>1</v>
      </c>
      <c r="H25" s="149">
        <v>2</v>
      </c>
      <c r="I25" s="149">
        <v>3</v>
      </c>
      <c r="J25" s="149">
        <v>48</v>
      </c>
      <c r="K25" s="148">
        <v>43</v>
      </c>
      <c r="L25" s="149">
        <v>1</v>
      </c>
      <c r="M25" s="149">
        <v>2</v>
      </c>
      <c r="N25" s="149">
        <v>3</v>
      </c>
      <c r="O25" s="149">
        <v>379</v>
      </c>
      <c r="P25" s="148">
        <v>44</v>
      </c>
      <c r="Q25" s="149">
        <v>5</v>
      </c>
      <c r="R25" s="149">
        <v>9</v>
      </c>
      <c r="S25" s="149">
        <v>14</v>
      </c>
      <c r="T25" s="149">
        <v>286</v>
      </c>
    </row>
    <row r="26" spans="1:20" x14ac:dyDescent="0.45">
      <c r="A26" s="148">
        <v>42</v>
      </c>
      <c r="B26" s="149">
        <v>10</v>
      </c>
      <c r="C26" s="149">
        <v>9</v>
      </c>
      <c r="D26" s="149">
        <v>19</v>
      </c>
      <c r="E26" s="149">
        <v>1206</v>
      </c>
      <c r="F26" s="148">
        <v>54</v>
      </c>
      <c r="G26" s="149">
        <v>1</v>
      </c>
      <c r="H26" s="149">
        <v>1</v>
      </c>
      <c r="I26" s="149">
        <v>2</v>
      </c>
      <c r="J26" s="149">
        <v>50</v>
      </c>
      <c r="K26" s="148">
        <v>42</v>
      </c>
      <c r="L26" s="149">
        <v>11</v>
      </c>
      <c r="M26" s="149">
        <v>5</v>
      </c>
      <c r="N26" s="149">
        <v>16</v>
      </c>
      <c r="O26" s="149">
        <v>395</v>
      </c>
      <c r="P26" s="148">
        <v>43</v>
      </c>
      <c r="Q26" s="149">
        <v>12</v>
      </c>
      <c r="R26" s="149">
        <v>11</v>
      </c>
      <c r="S26" s="149">
        <v>23</v>
      </c>
      <c r="T26" s="149">
        <v>309</v>
      </c>
    </row>
    <row r="27" spans="1:20" x14ac:dyDescent="0.45">
      <c r="A27" s="148">
        <v>41</v>
      </c>
      <c r="B27" s="149">
        <v>20</v>
      </c>
      <c r="C27" s="149">
        <v>18</v>
      </c>
      <c r="D27" s="149">
        <v>38</v>
      </c>
      <c r="E27" s="149">
        <v>1244</v>
      </c>
      <c r="F27" s="148">
        <v>53</v>
      </c>
      <c r="G27" s="149">
        <v>5</v>
      </c>
      <c r="H27" s="149">
        <v>2</v>
      </c>
      <c r="I27" s="149">
        <v>7</v>
      </c>
      <c r="J27" s="149">
        <v>57</v>
      </c>
      <c r="K27" s="148">
        <v>41</v>
      </c>
      <c r="L27" s="149">
        <v>3</v>
      </c>
      <c r="M27" s="149">
        <v>4</v>
      </c>
      <c r="N27" s="149">
        <v>7</v>
      </c>
      <c r="O27" s="149">
        <v>402</v>
      </c>
      <c r="P27" s="148">
        <v>42</v>
      </c>
      <c r="Q27" s="149">
        <v>4</v>
      </c>
      <c r="R27" s="149">
        <v>1</v>
      </c>
      <c r="S27" s="149">
        <v>5</v>
      </c>
      <c r="T27" s="149">
        <v>314</v>
      </c>
    </row>
    <row r="28" spans="1:20" x14ac:dyDescent="0.45">
      <c r="A28" s="148">
        <v>40</v>
      </c>
      <c r="B28" s="149">
        <v>16</v>
      </c>
      <c r="C28" s="149">
        <v>12</v>
      </c>
      <c r="D28" s="149">
        <v>28</v>
      </c>
      <c r="E28" s="149">
        <v>1272</v>
      </c>
      <c r="F28" s="148">
        <v>52</v>
      </c>
      <c r="G28" s="149">
        <v>2</v>
      </c>
      <c r="H28" s="149">
        <v>4</v>
      </c>
      <c r="I28" s="149">
        <v>6</v>
      </c>
      <c r="J28" s="149">
        <v>63</v>
      </c>
      <c r="K28" s="148">
        <v>40</v>
      </c>
      <c r="L28" s="149">
        <v>4</v>
      </c>
      <c r="M28" s="149">
        <v>8</v>
      </c>
      <c r="N28" s="149">
        <v>12</v>
      </c>
      <c r="O28" s="149">
        <v>414</v>
      </c>
      <c r="P28" s="148">
        <v>41</v>
      </c>
      <c r="Q28" s="149">
        <v>1</v>
      </c>
      <c r="R28" s="149">
        <v>8</v>
      </c>
      <c r="S28" s="149">
        <v>9</v>
      </c>
      <c r="T28" s="149">
        <v>323</v>
      </c>
    </row>
    <row r="29" spans="1:20" x14ac:dyDescent="0.45">
      <c r="A29" s="148">
        <v>39</v>
      </c>
      <c r="B29" s="149">
        <v>35</v>
      </c>
      <c r="C29" s="149">
        <v>27</v>
      </c>
      <c r="D29" s="149">
        <v>62</v>
      </c>
      <c r="E29" s="149">
        <v>1334</v>
      </c>
      <c r="F29" s="148">
        <v>51</v>
      </c>
      <c r="G29" s="149">
        <v>6</v>
      </c>
      <c r="H29" s="149">
        <v>2</v>
      </c>
      <c r="I29" s="149">
        <v>8</v>
      </c>
      <c r="J29" s="149">
        <v>71</v>
      </c>
      <c r="K29" s="148">
        <v>39</v>
      </c>
      <c r="L29" s="149">
        <v>2</v>
      </c>
      <c r="M29" s="149">
        <v>1</v>
      </c>
      <c r="N29" s="149">
        <v>3</v>
      </c>
      <c r="O29" s="149">
        <v>417</v>
      </c>
      <c r="P29" s="148">
        <v>40</v>
      </c>
      <c r="Q29" s="149">
        <v>7</v>
      </c>
      <c r="R29" s="149">
        <v>12</v>
      </c>
      <c r="S29" s="149">
        <v>19</v>
      </c>
      <c r="T29" s="149">
        <v>342</v>
      </c>
    </row>
    <row r="30" spans="1:20" x14ac:dyDescent="0.45">
      <c r="A30" s="148">
        <v>38</v>
      </c>
      <c r="B30" s="149">
        <v>20</v>
      </c>
      <c r="C30" s="149">
        <v>14</v>
      </c>
      <c r="D30" s="149">
        <v>34</v>
      </c>
      <c r="E30" s="149">
        <v>1368</v>
      </c>
      <c r="F30" s="148">
        <v>50</v>
      </c>
      <c r="G30" s="149">
        <v>2</v>
      </c>
      <c r="H30" s="149">
        <v>2</v>
      </c>
      <c r="I30" s="149">
        <v>4</v>
      </c>
      <c r="J30" s="149">
        <v>75</v>
      </c>
      <c r="K30" s="148">
        <v>38</v>
      </c>
      <c r="L30" s="149">
        <v>22</v>
      </c>
      <c r="M30" s="149">
        <v>4</v>
      </c>
      <c r="N30" s="149">
        <v>26</v>
      </c>
      <c r="O30" s="149">
        <v>443</v>
      </c>
      <c r="P30" s="148">
        <v>39</v>
      </c>
      <c r="Q30" s="149">
        <v>1</v>
      </c>
      <c r="R30" s="149">
        <v>4</v>
      </c>
      <c r="S30" s="149">
        <v>5</v>
      </c>
      <c r="T30" s="149">
        <v>347</v>
      </c>
    </row>
    <row r="31" spans="1:20" x14ac:dyDescent="0.45">
      <c r="A31" s="148">
        <v>37</v>
      </c>
      <c r="B31" s="149">
        <v>98</v>
      </c>
      <c r="C31" s="149">
        <v>71</v>
      </c>
      <c r="D31" s="149">
        <v>169</v>
      </c>
      <c r="E31" s="149">
        <v>1537</v>
      </c>
      <c r="F31" s="148">
        <v>49</v>
      </c>
      <c r="G31" s="149">
        <v>3</v>
      </c>
      <c r="H31" s="149">
        <v>3</v>
      </c>
      <c r="I31" s="149">
        <v>6</v>
      </c>
      <c r="J31" s="149">
        <v>81</v>
      </c>
      <c r="K31" s="148">
        <v>37</v>
      </c>
      <c r="L31" s="149">
        <v>3</v>
      </c>
      <c r="M31" s="149">
        <v>2</v>
      </c>
      <c r="N31" s="149">
        <v>5</v>
      </c>
      <c r="O31" s="149">
        <v>448</v>
      </c>
      <c r="P31" s="148">
        <v>38</v>
      </c>
      <c r="Q31" s="149">
        <v>10</v>
      </c>
      <c r="R31" s="149">
        <v>12</v>
      </c>
      <c r="S31" s="149">
        <v>22</v>
      </c>
      <c r="T31" s="149">
        <v>369</v>
      </c>
    </row>
    <row r="32" spans="1:20" x14ac:dyDescent="0.45">
      <c r="A32" s="148">
        <v>36</v>
      </c>
      <c r="B32" s="149">
        <v>29</v>
      </c>
      <c r="C32" s="149">
        <v>28</v>
      </c>
      <c r="D32" s="149">
        <v>57</v>
      </c>
      <c r="E32" s="149">
        <v>1594</v>
      </c>
      <c r="F32" s="148">
        <v>48</v>
      </c>
      <c r="G32" s="149">
        <v>8</v>
      </c>
      <c r="H32" s="149">
        <v>6</v>
      </c>
      <c r="I32" s="149">
        <v>14</v>
      </c>
      <c r="J32" s="149">
        <v>95</v>
      </c>
      <c r="K32" s="148">
        <v>36</v>
      </c>
      <c r="L32" s="149">
        <v>53</v>
      </c>
      <c r="M32" s="149">
        <v>24</v>
      </c>
      <c r="N32" s="149">
        <v>77</v>
      </c>
      <c r="O32" s="149">
        <v>525</v>
      </c>
      <c r="P32" s="148">
        <v>37</v>
      </c>
      <c r="Q32" s="149">
        <v>11</v>
      </c>
      <c r="R32" s="149">
        <v>17</v>
      </c>
      <c r="S32" s="149">
        <v>28</v>
      </c>
      <c r="T32" s="149">
        <v>397</v>
      </c>
    </row>
    <row r="33" spans="1:20" x14ac:dyDescent="0.45">
      <c r="A33" s="148">
        <v>35</v>
      </c>
      <c r="B33" s="149">
        <v>21</v>
      </c>
      <c r="C33" s="149">
        <v>25</v>
      </c>
      <c r="D33" s="149">
        <v>46</v>
      </c>
      <c r="E33" s="149">
        <v>1640</v>
      </c>
      <c r="F33" s="148">
        <v>47</v>
      </c>
      <c r="G33" s="149">
        <v>2</v>
      </c>
      <c r="H33" s="149">
        <v>2</v>
      </c>
      <c r="I33" s="149">
        <v>4</v>
      </c>
      <c r="J33" s="149">
        <v>99</v>
      </c>
      <c r="K33" s="148">
        <v>35</v>
      </c>
      <c r="L33" s="149">
        <v>8</v>
      </c>
      <c r="M33" s="149">
        <v>6</v>
      </c>
      <c r="N33" s="149">
        <v>14</v>
      </c>
      <c r="O33" s="149">
        <v>539</v>
      </c>
      <c r="P33" s="148">
        <v>36</v>
      </c>
      <c r="Q33" s="149">
        <v>1</v>
      </c>
      <c r="R33" s="149">
        <v>3</v>
      </c>
      <c r="S33" s="149">
        <v>4</v>
      </c>
      <c r="T33" s="149">
        <v>401</v>
      </c>
    </row>
    <row r="34" spans="1:20" x14ac:dyDescent="0.45">
      <c r="A34" s="148">
        <v>34</v>
      </c>
      <c r="B34" s="149">
        <v>4</v>
      </c>
      <c r="C34" s="149">
        <v>3</v>
      </c>
      <c r="D34" s="149">
        <v>7</v>
      </c>
      <c r="E34" s="149">
        <v>1647</v>
      </c>
      <c r="F34" s="148">
        <v>46</v>
      </c>
      <c r="G34" s="149">
        <v>5</v>
      </c>
      <c r="H34" s="149">
        <v>1</v>
      </c>
      <c r="I34" s="149">
        <v>6</v>
      </c>
      <c r="J34" s="149">
        <v>105</v>
      </c>
      <c r="K34" s="148">
        <v>34</v>
      </c>
      <c r="L34" s="149">
        <v>8</v>
      </c>
      <c r="M34" s="149">
        <v>0</v>
      </c>
      <c r="N34" s="149">
        <v>8</v>
      </c>
      <c r="O34" s="149">
        <v>547</v>
      </c>
      <c r="P34" s="148">
        <v>35</v>
      </c>
      <c r="Q34" s="149">
        <v>2</v>
      </c>
      <c r="R34" s="149">
        <v>5</v>
      </c>
      <c r="S34" s="149">
        <v>7</v>
      </c>
      <c r="T34" s="149">
        <v>408</v>
      </c>
    </row>
    <row r="35" spans="1:20" x14ac:dyDescent="0.45">
      <c r="A35" s="148">
        <v>33</v>
      </c>
      <c r="B35" s="149">
        <v>10</v>
      </c>
      <c r="C35" s="149">
        <v>7</v>
      </c>
      <c r="D35" s="149">
        <v>17</v>
      </c>
      <c r="E35" s="149">
        <v>1664</v>
      </c>
      <c r="F35" s="148">
        <v>45</v>
      </c>
      <c r="G35" s="149">
        <v>26</v>
      </c>
      <c r="H35" s="149">
        <v>12</v>
      </c>
      <c r="I35" s="149">
        <v>38</v>
      </c>
      <c r="J35" s="149">
        <v>143</v>
      </c>
      <c r="K35" s="148">
        <v>33</v>
      </c>
      <c r="L35" s="149">
        <v>2</v>
      </c>
      <c r="M35" s="149">
        <v>1</v>
      </c>
      <c r="N35" s="149">
        <v>3</v>
      </c>
      <c r="O35" s="149">
        <v>550</v>
      </c>
      <c r="P35" s="148">
        <v>34</v>
      </c>
      <c r="Q35" s="149">
        <v>3</v>
      </c>
      <c r="R35" s="149">
        <v>7</v>
      </c>
      <c r="S35" s="149">
        <v>10</v>
      </c>
      <c r="T35" s="149">
        <v>418</v>
      </c>
    </row>
    <row r="36" spans="1:20" x14ac:dyDescent="0.45">
      <c r="A36" s="148">
        <v>32</v>
      </c>
      <c r="B36" s="149">
        <v>8</v>
      </c>
      <c r="C36" s="149">
        <v>6</v>
      </c>
      <c r="D36" s="149">
        <v>14</v>
      </c>
      <c r="E36" s="149">
        <v>1678</v>
      </c>
      <c r="F36" s="148">
        <v>44</v>
      </c>
      <c r="G36" s="149">
        <v>5</v>
      </c>
      <c r="H36" s="149">
        <v>1</v>
      </c>
      <c r="I36" s="149">
        <v>6</v>
      </c>
      <c r="J36" s="149">
        <v>149</v>
      </c>
      <c r="K36" s="148">
        <v>32</v>
      </c>
      <c r="L36" s="149">
        <v>4</v>
      </c>
      <c r="M36" s="149">
        <v>1</v>
      </c>
      <c r="N36" s="149">
        <v>5</v>
      </c>
      <c r="O36" s="149">
        <v>555</v>
      </c>
      <c r="P36" s="148">
        <v>33</v>
      </c>
      <c r="Q36" s="149">
        <v>1</v>
      </c>
      <c r="R36" s="149">
        <v>2</v>
      </c>
      <c r="S36" s="149">
        <v>3</v>
      </c>
      <c r="T36" s="149">
        <v>421</v>
      </c>
    </row>
    <row r="37" spans="1:20" x14ac:dyDescent="0.45">
      <c r="A37" s="148">
        <v>31</v>
      </c>
      <c r="B37" s="149">
        <v>7</v>
      </c>
      <c r="C37" s="149">
        <v>3</v>
      </c>
      <c r="D37" s="149">
        <v>10</v>
      </c>
      <c r="E37" s="149">
        <v>1688</v>
      </c>
      <c r="F37" s="148">
        <v>43</v>
      </c>
      <c r="G37" s="149">
        <v>8</v>
      </c>
      <c r="H37" s="149">
        <v>6</v>
      </c>
      <c r="I37" s="149">
        <v>14</v>
      </c>
      <c r="J37" s="149">
        <v>163</v>
      </c>
      <c r="K37" s="148">
        <v>30</v>
      </c>
      <c r="L37" s="149">
        <v>1</v>
      </c>
      <c r="M37" s="149">
        <v>0</v>
      </c>
      <c r="N37" s="149">
        <v>1</v>
      </c>
      <c r="O37" s="149">
        <v>556</v>
      </c>
      <c r="P37" s="148">
        <v>32</v>
      </c>
      <c r="Q37" s="149">
        <v>1</v>
      </c>
      <c r="R37" s="149">
        <v>1</v>
      </c>
      <c r="S37" s="149">
        <v>2</v>
      </c>
      <c r="T37" s="149">
        <v>423</v>
      </c>
    </row>
    <row r="38" spans="1:20" x14ac:dyDescent="0.45">
      <c r="A38" s="148">
        <v>30</v>
      </c>
      <c r="B38" s="149">
        <v>3</v>
      </c>
      <c r="C38" s="149">
        <v>2</v>
      </c>
      <c r="D38" s="149">
        <v>5</v>
      </c>
      <c r="E38" s="149">
        <v>1693</v>
      </c>
      <c r="F38" s="148">
        <v>42</v>
      </c>
      <c r="G38" s="149">
        <v>10</v>
      </c>
      <c r="H38" s="149">
        <v>0</v>
      </c>
      <c r="I38" s="149">
        <v>10</v>
      </c>
      <c r="J38" s="149">
        <v>173</v>
      </c>
      <c r="K38" s="148"/>
      <c r="L38" s="149"/>
      <c r="M38" s="149"/>
      <c r="N38" s="149"/>
      <c r="O38" s="149"/>
      <c r="P38" s="148">
        <v>31</v>
      </c>
      <c r="Q38" s="149">
        <v>1</v>
      </c>
      <c r="R38" s="149">
        <v>1</v>
      </c>
      <c r="S38" s="149">
        <v>2</v>
      </c>
      <c r="T38" s="149">
        <v>425</v>
      </c>
    </row>
    <row r="39" spans="1:20" x14ac:dyDescent="0.45">
      <c r="A39" s="148"/>
      <c r="B39" s="149"/>
      <c r="C39" s="149"/>
      <c r="D39" s="149"/>
      <c r="E39" s="149"/>
      <c r="F39" s="148">
        <v>41</v>
      </c>
      <c r="G39" s="149">
        <v>5</v>
      </c>
      <c r="H39" s="149">
        <v>1</v>
      </c>
      <c r="I39" s="149">
        <v>6</v>
      </c>
      <c r="J39" s="149">
        <v>179</v>
      </c>
      <c r="K39" s="148"/>
      <c r="L39" s="149"/>
      <c r="M39" s="149"/>
      <c r="N39" s="149"/>
      <c r="O39" s="149"/>
      <c r="P39" s="148">
        <v>29</v>
      </c>
      <c r="Q39" s="149">
        <v>0</v>
      </c>
      <c r="R39" s="149">
        <v>1</v>
      </c>
      <c r="S39" s="149">
        <v>1</v>
      </c>
      <c r="T39" s="149">
        <v>426</v>
      </c>
    </row>
    <row r="40" spans="1:20" x14ac:dyDescent="0.45">
      <c r="A40" s="148"/>
      <c r="B40" s="149"/>
      <c r="C40" s="149"/>
      <c r="D40" s="149"/>
      <c r="E40" s="149"/>
      <c r="F40" s="148">
        <v>40</v>
      </c>
      <c r="G40" s="149">
        <v>4</v>
      </c>
      <c r="H40" s="149">
        <v>5</v>
      </c>
      <c r="I40" s="149">
        <v>9</v>
      </c>
      <c r="J40" s="149">
        <v>188</v>
      </c>
      <c r="K40" s="148"/>
      <c r="L40" s="149"/>
      <c r="M40" s="149"/>
      <c r="N40" s="149"/>
      <c r="O40" s="149"/>
      <c r="P40" s="148"/>
      <c r="Q40" s="149"/>
      <c r="R40" s="149"/>
      <c r="S40" s="149"/>
      <c r="T40" s="149"/>
    </row>
    <row r="41" spans="1:20" x14ac:dyDescent="0.45">
      <c r="A41" s="148"/>
      <c r="B41" s="149"/>
      <c r="C41" s="149"/>
      <c r="D41" s="149"/>
      <c r="E41" s="149"/>
      <c r="F41" s="148">
        <v>38</v>
      </c>
      <c r="G41" s="149">
        <v>3</v>
      </c>
      <c r="H41" s="149">
        <v>1</v>
      </c>
      <c r="I41" s="149">
        <v>5</v>
      </c>
      <c r="J41" s="149">
        <v>193</v>
      </c>
      <c r="K41" s="148"/>
      <c r="L41" s="149"/>
      <c r="M41" s="149"/>
      <c r="N41" s="149"/>
      <c r="O41" s="149"/>
      <c r="P41" s="148"/>
      <c r="Q41" s="149"/>
      <c r="R41" s="149"/>
      <c r="S41" s="149"/>
      <c r="T41" s="149"/>
    </row>
    <row r="42" spans="1:20" x14ac:dyDescent="0.45">
      <c r="A42" s="148"/>
      <c r="B42" s="149"/>
      <c r="C42" s="149"/>
      <c r="D42" s="149"/>
      <c r="E42" s="149"/>
      <c r="F42" s="148">
        <v>37</v>
      </c>
      <c r="G42" s="149">
        <v>0</v>
      </c>
      <c r="H42" s="149">
        <v>1</v>
      </c>
      <c r="I42" s="149">
        <v>1</v>
      </c>
      <c r="J42" s="149">
        <v>194</v>
      </c>
      <c r="K42" s="148"/>
      <c r="L42" s="149"/>
      <c r="M42" s="149"/>
      <c r="N42" s="149"/>
      <c r="O42" s="149"/>
      <c r="P42" s="148"/>
      <c r="Q42" s="149"/>
      <c r="R42" s="149"/>
      <c r="S42" s="149"/>
      <c r="T42" s="149"/>
    </row>
    <row r="43" spans="1:20" x14ac:dyDescent="0.45">
      <c r="A43" s="148"/>
      <c r="B43" s="149"/>
      <c r="C43" s="149"/>
      <c r="D43" s="149"/>
      <c r="E43" s="149"/>
      <c r="F43" s="148">
        <v>33</v>
      </c>
      <c r="G43" s="149">
        <v>4</v>
      </c>
      <c r="H43" s="149">
        <v>0</v>
      </c>
      <c r="I43" s="149">
        <v>4</v>
      </c>
      <c r="J43" s="149">
        <v>198</v>
      </c>
      <c r="K43" s="150"/>
      <c r="L43" s="150"/>
      <c r="M43" s="150"/>
      <c r="N43" s="150"/>
      <c r="O43" s="150"/>
      <c r="P43" s="148"/>
      <c r="Q43" s="149"/>
      <c r="R43" s="149"/>
      <c r="S43" s="149"/>
      <c r="T43" s="149"/>
    </row>
    <row r="44" spans="1:20" x14ac:dyDescent="0.45">
      <c r="A44" s="5"/>
      <c r="B44" s="1"/>
      <c r="C44" s="1"/>
      <c r="D44" s="6"/>
      <c r="F44" s="5"/>
      <c r="G44" s="1"/>
      <c r="H44" s="1"/>
      <c r="I44" s="6"/>
      <c r="K44" s="5"/>
      <c r="L44" s="1"/>
      <c r="M44" s="1"/>
      <c r="N44" s="6"/>
      <c r="P44" s="5"/>
      <c r="Q44" s="1"/>
      <c r="R44" s="1"/>
      <c r="S44" s="6"/>
    </row>
    <row r="45" spans="1:20" x14ac:dyDescent="0.45">
      <c r="A45" s="5"/>
      <c r="B45" s="1"/>
      <c r="C45" s="1"/>
      <c r="D45" s="6"/>
      <c r="F45" s="5"/>
      <c r="G45" s="1"/>
      <c r="H45" s="1"/>
      <c r="I45" s="6"/>
      <c r="K45" s="5"/>
      <c r="L45" s="1"/>
      <c r="M45" s="1"/>
      <c r="N45" s="6"/>
      <c r="P45" s="5"/>
      <c r="Q45" s="1"/>
      <c r="R45" s="1"/>
      <c r="S45" s="6"/>
    </row>
    <row r="46" spans="1:20" x14ac:dyDescent="0.45">
      <c r="A46" s="5"/>
      <c r="B46" s="1"/>
      <c r="C46" s="1"/>
      <c r="D46" s="6"/>
      <c r="F46" s="5"/>
      <c r="G46" s="1"/>
      <c r="H46" s="1"/>
      <c r="I46" s="6"/>
      <c r="K46" s="5"/>
      <c r="L46" s="1"/>
      <c r="M46" s="1"/>
      <c r="N46" s="6"/>
      <c r="P46" s="5"/>
      <c r="Q46" s="1"/>
      <c r="R46" s="1"/>
      <c r="S46" s="6"/>
    </row>
    <row r="47" spans="1:20" x14ac:dyDescent="0.45">
      <c r="A47" s="5"/>
      <c r="B47" s="1"/>
      <c r="C47" s="1"/>
      <c r="D47" s="6"/>
      <c r="F47" s="5"/>
      <c r="G47" s="1"/>
      <c r="H47" s="1"/>
      <c r="I47" s="6"/>
      <c r="K47" s="5"/>
      <c r="L47" s="1"/>
      <c r="M47" s="1"/>
      <c r="N47" s="6"/>
      <c r="P47" s="5"/>
      <c r="Q47" s="1"/>
      <c r="R47" s="1"/>
      <c r="S47" s="6"/>
    </row>
    <row r="48" spans="1:20" x14ac:dyDescent="0.45">
      <c r="A48" s="5"/>
      <c r="B48" s="1"/>
      <c r="C48" s="1"/>
      <c r="D48" s="6"/>
      <c r="F48" s="5"/>
      <c r="G48" s="1"/>
      <c r="H48" s="1"/>
      <c r="I48" s="6"/>
      <c r="K48" s="5"/>
      <c r="L48" s="1"/>
      <c r="M48" s="1"/>
      <c r="N48" s="6"/>
      <c r="P48" s="5"/>
      <c r="Q48" s="1"/>
      <c r="R48" s="1"/>
      <c r="S48" s="6"/>
    </row>
    <row r="49" spans="1:19" x14ac:dyDescent="0.45">
      <c r="A49" s="5"/>
      <c r="B49" s="1"/>
      <c r="C49" s="1"/>
      <c r="D49" s="6"/>
      <c r="F49" s="5"/>
      <c r="G49" s="1"/>
      <c r="H49" s="1"/>
      <c r="I49" s="6"/>
      <c r="K49" s="5"/>
      <c r="L49" s="1"/>
      <c r="M49" s="1"/>
      <c r="N49" s="6"/>
      <c r="P49" s="5"/>
      <c r="Q49" s="1"/>
      <c r="R49" s="1"/>
      <c r="S49" s="6"/>
    </row>
    <row r="50" spans="1:19" x14ac:dyDescent="0.45">
      <c r="A50" s="5"/>
      <c r="B50" s="1"/>
      <c r="C50" s="1"/>
      <c r="D50" s="6"/>
      <c r="F50" s="5"/>
      <c r="G50" s="1"/>
      <c r="H50" s="1"/>
      <c r="I50" s="6"/>
      <c r="K50" s="5"/>
      <c r="L50" s="1"/>
      <c r="M50" s="1"/>
      <c r="N50" s="6"/>
      <c r="P50" s="5"/>
      <c r="Q50" s="1"/>
      <c r="R50" s="1"/>
      <c r="S50" s="6"/>
    </row>
    <row r="51" spans="1:19" x14ac:dyDescent="0.45">
      <c r="A51" s="5"/>
      <c r="B51" s="1"/>
      <c r="C51" s="1"/>
      <c r="D51" s="6"/>
      <c r="F51" s="5"/>
      <c r="G51" s="1"/>
      <c r="H51" s="1"/>
      <c r="I51" s="6"/>
      <c r="K51" s="5"/>
      <c r="L51" s="1"/>
      <c r="M51" s="1"/>
      <c r="N51" s="6"/>
      <c r="P51" s="5"/>
      <c r="Q51" s="1"/>
      <c r="R51" s="1"/>
      <c r="S51" s="6"/>
    </row>
    <row r="52" spans="1:19" ht="17.5" thickBot="1" x14ac:dyDescent="0.5">
      <c r="A52" s="7"/>
      <c r="B52" s="8"/>
      <c r="C52" s="8"/>
      <c r="D52" s="2"/>
      <c r="F52" s="7"/>
      <c r="G52" s="8"/>
      <c r="H52" s="8"/>
      <c r="I52" s="2"/>
      <c r="K52" s="7"/>
      <c r="L52" s="8"/>
      <c r="M52" s="8"/>
      <c r="N52" s="2"/>
      <c r="P52" s="7"/>
      <c r="Q52" s="8"/>
      <c r="R52" s="8"/>
      <c r="S52" s="2"/>
    </row>
    <row r="61" spans="1:19" ht="17.5" thickBot="1" x14ac:dyDescent="0.5"/>
    <row r="62" spans="1:19" x14ac:dyDescent="0.45">
      <c r="A62" s="11" t="s">
        <v>74</v>
      </c>
      <c r="B62" s="12"/>
      <c r="C62" s="12"/>
      <c r="D62" s="13"/>
      <c r="F62" s="11" t="s">
        <v>70</v>
      </c>
      <c r="G62" s="12"/>
      <c r="H62" s="12"/>
      <c r="I62" s="13"/>
    </row>
    <row r="63" spans="1:19" x14ac:dyDescent="0.45">
      <c r="A63" s="5" t="s">
        <v>1</v>
      </c>
      <c r="B63" s="1"/>
      <c r="C63" s="1"/>
      <c r="D63" s="6" t="s">
        <v>0</v>
      </c>
      <c r="F63" s="5" t="s">
        <v>1</v>
      </c>
      <c r="G63" s="1"/>
      <c r="H63" s="1"/>
      <c r="I63" s="6" t="s">
        <v>0</v>
      </c>
    </row>
    <row r="64" spans="1:19" x14ac:dyDescent="0.45">
      <c r="A64" s="151">
        <v>74</v>
      </c>
      <c r="B64" s="152">
        <v>1</v>
      </c>
      <c r="C64" s="152">
        <v>0</v>
      </c>
      <c r="D64" s="152">
        <v>1</v>
      </c>
      <c r="E64" s="152">
        <v>1</v>
      </c>
      <c r="F64" s="151">
        <v>71</v>
      </c>
      <c r="G64" s="152">
        <v>10</v>
      </c>
      <c r="H64" s="152">
        <v>10</v>
      </c>
      <c r="I64" s="152">
        <v>20</v>
      </c>
      <c r="J64" s="152">
        <v>20</v>
      </c>
    </row>
    <row r="65" spans="1:10" x14ac:dyDescent="0.45">
      <c r="A65" s="151">
        <v>73</v>
      </c>
      <c r="B65" s="152">
        <v>1</v>
      </c>
      <c r="C65" s="152">
        <v>0</v>
      </c>
      <c r="D65" s="152">
        <v>1</v>
      </c>
      <c r="E65" s="152">
        <v>2</v>
      </c>
      <c r="F65" s="151">
        <v>69</v>
      </c>
      <c r="G65" s="152">
        <v>9</v>
      </c>
      <c r="H65" s="152">
        <v>10</v>
      </c>
      <c r="I65" s="152">
        <v>19</v>
      </c>
      <c r="J65" s="152">
        <v>39</v>
      </c>
    </row>
    <row r="66" spans="1:10" x14ac:dyDescent="0.45">
      <c r="A66" s="151">
        <v>69</v>
      </c>
      <c r="B66" s="152">
        <v>0</v>
      </c>
      <c r="C66" s="152">
        <v>1</v>
      </c>
      <c r="D66" s="152">
        <v>1</v>
      </c>
      <c r="E66" s="152">
        <v>3</v>
      </c>
      <c r="F66" s="151">
        <v>68</v>
      </c>
      <c r="G66" s="152">
        <v>1</v>
      </c>
      <c r="H66" s="152">
        <v>1</v>
      </c>
      <c r="I66" s="152">
        <v>2</v>
      </c>
      <c r="J66" s="152">
        <v>41</v>
      </c>
    </row>
    <row r="67" spans="1:10" x14ac:dyDescent="0.45">
      <c r="A67" s="151">
        <v>65</v>
      </c>
      <c r="B67" s="152">
        <v>2</v>
      </c>
      <c r="C67" s="152">
        <v>0</v>
      </c>
      <c r="D67" s="152">
        <v>2</v>
      </c>
      <c r="E67" s="152">
        <v>5</v>
      </c>
      <c r="F67" s="151">
        <v>67</v>
      </c>
      <c r="G67" s="152">
        <v>4</v>
      </c>
      <c r="H67" s="152">
        <v>6</v>
      </c>
      <c r="I67" s="152">
        <v>10</v>
      </c>
      <c r="J67" s="152">
        <v>51</v>
      </c>
    </row>
    <row r="68" spans="1:10" x14ac:dyDescent="0.45">
      <c r="A68" s="151">
        <v>64</v>
      </c>
      <c r="B68" s="152">
        <v>2</v>
      </c>
      <c r="C68" s="152">
        <v>0</v>
      </c>
      <c r="D68" s="152">
        <v>2</v>
      </c>
      <c r="E68" s="152">
        <v>7</v>
      </c>
      <c r="F68" s="151">
        <v>66</v>
      </c>
      <c r="G68" s="152">
        <v>4</v>
      </c>
      <c r="H68" s="152">
        <v>4</v>
      </c>
      <c r="I68" s="152">
        <v>8</v>
      </c>
      <c r="J68" s="152">
        <v>59</v>
      </c>
    </row>
    <row r="69" spans="1:10" x14ac:dyDescent="0.45">
      <c r="A69" s="151">
        <v>63</v>
      </c>
      <c r="B69" s="152">
        <v>0</v>
      </c>
      <c r="C69" s="152">
        <v>1</v>
      </c>
      <c r="D69" s="152">
        <v>1</v>
      </c>
      <c r="E69" s="152">
        <v>8</v>
      </c>
      <c r="F69" s="151">
        <v>65</v>
      </c>
      <c r="G69" s="152">
        <v>3</v>
      </c>
      <c r="H69" s="152">
        <v>8</v>
      </c>
      <c r="I69" s="152">
        <v>11</v>
      </c>
      <c r="J69" s="152">
        <v>70</v>
      </c>
    </row>
    <row r="70" spans="1:10" x14ac:dyDescent="0.45">
      <c r="A70" s="151">
        <v>59</v>
      </c>
      <c r="B70" s="152">
        <v>0</v>
      </c>
      <c r="C70" s="152">
        <v>1</v>
      </c>
      <c r="D70" s="152">
        <v>1</v>
      </c>
      <c r="E70" s="152">
        <v>9</v>
      </c>
      <c r="F70" s="151">
        <v>64</v>
      </c>
      <c r="G70" s="152">
        <v>2</v>
      </c>
      <c r="H70" s="152">
        <v>2</v>
      </c>
      <c r="I70" s="152">
        <v>4</v>
      </c>
      <c r="J70" s="152">
        <v>74</v>
      </c>
    </row>
    <row r="71" spans="1:10" x14ac:dyDescent="0.45">
      <c r="A71" s="151">
        <v>54</v>
      </c>
      <c r="B71" s="152">
        <v>1</v>
      </c>
      <c r="C71" s="152">
        <v>0</v>
      </c>
      <c r="D71" s="152">
        <v>1</v>
      </c>
      <c r="E71" s="152">
        <v>10</v>
      </c>
      <c r="F71" s="151">
        <v>63</v>
      </c>
      <c r="G71" s="152">
        <v>2</v>
      </c>
      <c r="H71" s="152">
        <v>9</v>
      </c>
      <c r="I71" s="152">
        <v>11</v>
      </c>
      <c r="J71" s="152">
        <v>85</v>
      </c>
    </row>
    <row r="72" spans="1:10" x14ac:dyDescent="0.45">
      <c r="A72" s="151">
        <v>53</v>
      </c>
      <c r="B72" s="152">
        <v>0</v>
      </c>
      <c r="C72" s="152">
        <v>2</v>
      </c>
      <c r="D72" s="152">
        <v>2</v>
      </c>
      <c r="E72" s="152">
        <v>12</v>
      </c>
      <c r="F72" s="151">
        <v>62</v>
      </c>
      <c r="G72" s="152">
        <v>5</v>
      </c>
      <c r="H72" s="152">
        <v>3</v>
      </c>
      <c r="I72" s="152">
        <v>8</v>
      </c>
      <c r="J72" s="152">
        <v>93</v>
      </c>
    </row>
    <row r="73" spans="1:10" x14ac:dyDescent="0.45">
      <c r="A73" s="151">
        <v>48</v>
      </c>
      <c r="B73" s="152">
        <v>0</v>
      </c>
      <c r="C73" s="152">
        <v>1</v>
      </c>
      <c r="D73" s="152">
        <v>1</v>
      </c>
      <c r="E73" s="152">
        <v>13</v>
      </c>
      <c r="F73" s="151">
        <v>61</v>
      </c>
      <c r="G73" s="152">
        <v>0</v>
      </c>
      <c r="H73" s="152">
        <v>4</v>
      </c>
      <c r="I73" s="152">
        <v>4</v>
      </c>
      <c r="J73" s="152">
        <v>97</v>
      </c>
    </row>
    <row r="74" spans="1:10" x14ac:dyDescent="0.45">
      <c r="A74" s="151">
        <v>46</v>
      </c>
      <c r="B74" s="152">
        <v>0</v>
      </c>
      <c r="C74" s="152">
        <v>2</v>
      </c>
      <c r="D74" s="152">
        <v>3</v>
      </c>
      <c r="E74" s="152">
        <v>16</v>
      </c>
      <c r="F74" s="151">
        <v>60</v>
      </c>
      <c r="G74" s="152">
        <v>3</v>
      </c>
      <c r="H74" s="152">
        <v>6</v>
      </c>
      <c r="I74" s="152">
        <v>9</v>
      </c>
      <c r="J74" s="152">
        <v>106</v>
      </c>
    </row>
    <row r="75" spans="1:10" x14ac:dyDescent="0.45">
      <c r="A75" s="151">
        <v>45</v>
      </c>
      <c r="B75" s="152">
        <v>2</v>
      </c>
      <c r="C75" s="152">
        <v>0</v>
      </c>
      <c r="D75" s="152">
        <v>2</v>
      </c>
      <c r="E75" s="152">
        <v>18</v>
      </c>
      <c r="F75" s="151">
        <v>59</v>
      </c>
      <c r="G75" s="152">
        <v>1</v>
      </c>
      <c r="H75" s="152">
        <v>2</v>
      </c>
      <c r="I75" s="152">
        <v>3</v>
      </c>
      <c r="J75" s="152">
        <v>109</v>
      </c>
    </row>
    <row r="76" spans="1:10" x14ac:dyDescent="0.45">
      <c r="A76" s="151">
        <v>44</v>
      </c>
      <c r="B76" s="152">
        <v>4</v>
      </c>
      <c r="C76" s="152">
        <v>3</v>
      </c>
      <c r="D76" s="152">
        <v>7</v>
      </c>
      <c r="E76" s="152">
        <v>25</v>
      </c>
      <c r="F76" s="151">
        <v>58</v>
      </c>
      <c r="G76" s="152">
        <v>6</v>
      </c>
      <c r="H76" s="152">
        <v>9</v>
      </c>
      <c r="I76" s="152">
        <v>15</v>
      </c>
      <c r="J76" s="152">
        <v>124</v>
      </c>
    </row>
    <row r="77" spans="1:10" x14ac:dyDescent="0.45">
      <c r="A77" s="151">
        <v>43</v>
      </c>
      <c r="B77" s="152">
        <v>7</v>
      </c>
      <c r="C77" s="152">
        <v>1</v>
      </c>
      <c r="D77" s="152">
        <v>8</v>
      </c>
      <c r="E77" s="152">
        <v>33</v>
      </c>
      <c r="F77" s="151">
        <v>57</v>
      </c>
      <c r="G77" s="152">
        <v>2</v>
      </c>
      <c r="H77" s="152">
        <v>4</v>
      </c>
      <c r="I77" s="152">
        <v>6</v>
      </c>
      <c r="J77" s="152">
        <v>130</v>
      </c>
    </row>
    <row r="78" spans="1:10" x14ac:dyDescent="0.45">
      <c r="A78" s="151">
        <v>42</v>
      </c>
      <c r="B78" s="152">
        <v>0</v>
      </c>
      <c r="C78" s="152">
        <v>1</v>
      </c>
      <c r="D78" s="152">
        <v>1</v>
      </c>
      <c r="E78" s="152">
        <v>34</v>
      </c>
      <c r="F78" s="151">
        <v>56</v>
      </c>
      <c r="G78" s="152">
        <v>1</v>
      </c>
      <c r="H78" s="152">
        <v>7</v>
      </c>
      <c r="I78" s="152">
        <v>8</v>
      </c>
      <c r="J78" s="152">
        <v>138</v>
      </c>
    </row>
    <row r="79" spans="1:10" x14ac:dyDescent="0.45">
      <c r="A79" s="151">
        <v>41</v>
      </c>
      <c r="B79" s="152">
        <v>1</v>
      </c>
      <c r="C79" s="152">
        <v>0</v>
      </c>
      <c r="D79" s="152">
        <v>1</v>
      </c>
      <c r="E79" s="152">
        <v>35</v>
      </c>
      <c r="F79" s="151">
        <v>55</v>
      </c>
      <c r="G79" s="152">
        <v>4</v>
      </c>
      <c r="H79" s="152">
        <v>7</v>
      </c>
      <c r="I79" s="152">
        <v>11</v>
      </c>
      <c r="J79" s="152">
        <v>149</v>
      </c>
    </row>
    <row r="80" spans="1:10" x14ac:dyDescent="0.45">
      <c r="A80" s="151">
        <v>40</v>
      </c>
      <c r="B80" s="152">
        <v>1</v>
      </c>
      <c r="C80" s="152">
        <v>0</v>
      </c>
      <c r="D80" s="152">
        <v>1</v>
      </c>
      <c r="E80" s="152">
        <v>36</v>
      </c>
      <c r="F80" s="151">
        <v>54</v>
      </c>
      <c r="G80" s="152">
        <v>6</v>
      </c>
      <c r="H80" s="152">
        <v>15</v>
      </c>
      <c r="I80" s="152">
        <v>21</v>
      </c>
      <c r="J80" s="152">
        <v>170</v>
      </c>
    </row>
    <row r="81" spans="1:10" x14ac:dyDescent="0.45">
      <c r="A81" s="151">
        <v>39</v>
      </c>
      <c r="B81" s="152">
        <v>1</v>
      </c>
      <c r="C81" s="152">
        <v>0</v>
      </c>
      <c r="D81" s="152">
        <v>1</v>
      </c>
      <c r="E81" s="152">
        <v>37</v>
      </c>
      <c r="F81" s="151">
        <v>53</v>
      </c>
      <c r="G81" s="152">
        <v>2</v>
      </c>
      <c r="H81" s="152">
        <v>8</v>
      </c>
      <c r="I81" s="152">
        <v>10</v>
      </c>
      <c r="J81" s="152">
        <v>180</v>
      </c>
    </row>
    <row r="82" spans="1:10" x14ac:dyDescent="0.45">
      <c r="A82" s="151"/>
      <c r="B82" s="152"/>
      <c r="C82" s="152"/>
      <c r="D82" s="152"/>
      <c r="E82" s="152"/>
      <c r="F82" s="151">
        <v>52</v>
      </c>
      <c r="G82" s="152">
        <v>2</v>
      </c>
      <c r="H82" s="152">
        <v>6</v>
      </c>
      <c r="I82" s="152">
        <v>8</v>
      </c>
      <c r="J82" s="152">
        <v>188</v>
      </c>
    </row>
    <row r="83" spans="1:10" x14ac:dyDescent="0.45">
      <c r="A83" s="151"/>
      <c r="B83" s="152"/>
      <c r="C83" s="152"/>
      <c r="D83" s="152"/>
      <c r="E83" s="152"/>
      <c r="F83" s="151">
        <v>51</v>
      </c>
      <c r="G83" s="152">
        <v>10</v>
      </c>
      <c r="H83" s="152">
        <v>12</v>
      </c>
      <c r="I83" s="152">
        <v>22</v>
      </c>
      <c r="J83" s="152">
        <v>210</v>
      </c>
    </row>
    <row r="84" spans="1:10" x14ac:dyDescent="0.45">
      <c r="A84" s="151"/>
      <c r="B84" s="152"/>
      <c r="C84" s="152"/>
      <c r="D84" s="152"/>
      <c r="E84" s="152"/>
      <c r="F84" s="151">
        <v>50</v>
      </c>
      <c r="G84" s="152">
        <v>10</v>
      </c>
      <c r="H84" s="152">
        <v>7</v>
      </c>
      <c r="I84" s="152">
        <v>17</v>
      </c>
      <c r="J84" s="152">
        <v>227</v>
      </c>
    </row>
    <row r="85" spans="1:10" x14ac:dyDescent="0.45">
      <c r="A85" s="151"/>
      <c r="B85" s="152"/>
      <c r="C85" s="152"/>
      <c r="D85" s="152"/>
      <c r="E85" s="152"/>
      <c r="F85" s="151">
        <v>49</v>
      </c>
      <c r="G85" s="152">
        <v>6</v>
      </c>
      <c r="H85" s="152">
        <v>5</v>
      </c>
      <c r="I85" s="152">
        <v>11</v>
      </c>
      <c r="J85" s="152">
        <v>238</v>
      </c>
    </row>
    <row r="86" spans="1:10" x14ac:dyDescent="0.45">
      <c r="A86" s="151"/>
      <c r="B86" s="152"/>
      <c r="C86" s="152"/>
      <c r="D86" s="152"/>
      <c r="E86" s="152"/>
      <c r="F86" s="151">
        <v>48</v>
      </c>
      <c r="G86" s="152">
        <v>12</v>
      </c>
      <c r="H86" s="152">
        <v>3</v>
      </c>
      <c r="I86" s="152">
        <v>15</v>
      </c>
      <c r="J86" s="152">
        <v>253</v>
      </c>
    </row>
    <row r="87" spans="1:10" x14ac:dyDescent="0.45">
      <c r="A87" s="151"/>
      <c r="B87" s="152"/>
      <c r="C87" s="152"/>
      <c r="D87" s="152"/>
      <c r="E87" s="152"/>
      <c r="F87" s="151">
        <v>47</v>
      </c>
      <c r="G87" s="152">
        <v>14</v>
      </c>
      <c r="H87" s="152">
        <v>14</v>
      </c>
      <c r="I87" s="152">
        <v>28</v>
      </c>
      <c r="J87" s="152">
        <v>281</v>
      </c>
    </row>
    <row r="88" spans="1:10" x14ac:dyDescent="0.45">
      <c r="A88" s="151"/>
      <c r="B88" s="152"/>
      <c r="C88" s="152"/>
      <c r="D88" s="152"/>
      <c r="E88" s="152"/>
      <c r="F88" s="151">
        <v>46</v>
      </c>
      <c r="G88" s="152">
        <v>6</v>
      </c>
      <c r="H88" s="152">
        <v>7</v>
      </c>
      <c r="I88" s="152">
        <v>13</v>
      </c>
      <c r="J88" s="152">
        <v>294</v>
      </c>
    </row>
    <row r="89" spans="1:10" x14ac:dyDescent="0.45">
      <c r="A89" s="151"/>
      <c r="B89" s="152"/>
      <c r="C89" s="152"/>
      <c r="D89" s="152"/>
      <c r="E89" s="152"/>
      <c r="F89" s="151">
        <v>45</v>
      </c>
      <c r="G89" s="152">
        <v>5</v>
      </c>
      <c r="H89" s="152">
        <v>3</v>
      </c>
      <c r="I89" s="152">
        <v>8</v>
      </c>
      <c r="J89" s="152">
        <v>302</v>
      </c>
    </row>
    <row r="90" spans="1:10" x14ac:dyDescent="0.45">
      <c r="A90" s="151"/>
      <c r="B90" s="152"/>
      <c r="C90" s="152"/>
      <c r="D90" s="152"/>
      <c r="E90" s="152"/>
      <c r="F90" s="151">
        <v>44</v>
      </c>
      <c r="G90" s="152">
        <v>14</v>
      </c>
      <c r="H90" s="152">
        <v>17</v>
      </c>
      <c r="I90" s="152">
        <v>31</v>
      </c>
      <c r="J90" s="152">
        <v>333</v>
      </c>
    </row>
    <row r="91" spans="1:10" x14ac:dyDescent="0.45">
      <c r="A91" s="151"/>
      <c r="B91" s="152"/>
      <c r="C91" s="152"/>
      <c r="D91" s="152"/>
      <c r="E91" s="152"/>
      <c r="F91" s="151">
        <v>43</v>
      </c>
      <c r="G91" s="152">
        <v>11</v>
      </c>
      <c r="H91" s="152">
        <v>16</v>
      </c>
      <c r="I91" s="152">
        <v>27</v>
      </c>
      <c r="J91" s="152">
        <v>360</v>
      </c>
    </row>
    <row r="92" spans="1:10" x14ac:dyDescent="0.45">
      <c r="A92" s="151"/>
      <c r="B92" s="152"/>
      <c r="C92" s="152"/>
      <c r="D92" s="152"/>
      <c r="E92" s="152"/>
      <c r="F92" s="151">
        <v>42</v>
      </c>
      <c r="G92" s="152">
        <v>21</v>
      </c>
      <c r="H92" s="152">
        <v>38</v>
      </c>
      <c r="I92" s="152">
        <v>59</v>
      </c>
      <c r="J92" s="152">
        <v>419</v>
      </c>
    </row>
    <row r="93" spans="1:10" x14ac:dyDescent="0.45">
      <c r="A93" s="151"/>
      <c r="B93" s="152"/>
      <c r="C93" s="152"/>
      <c r="D93" s="152"/>
      <c r="E93" s="152"/>
      <c r="F93" s="151">
        <v>41</v>
      </c>
      <c r="G93" s="152">
        <v>6</v>
      </c>
      <c r="H93" s="152">
        <v>5</v>
      </c>
      <c r="I93" s="152">
        <v>11</v>
      </c>
      <c r="J93" s="152">
        <v>430</v>
      </c>
    </row>
    <row r="94" spans="1:10" x14ac:dyDescent="0.45">
      <c r="A94" s="151"/>
      <c r="B94" s="152"/>
      <c r="C94" s="152"/>
      <c r="D94" s="152"/>
      <c r="E94" s="152"/>
      <c r="F94" s="151">
        <v>40</v>
      </c>
      <c r="G94" s="152">
        <v>11</v>
      </c>
      <c r="H94" s="152">
        <v>22</v>
      </c>
      <c r="I94" s="152">
        <v>33</v>
      </c>
      <c r="J94" s="152">
        <v>463</v>
      </c>
    </row>
    <row r="95" spans="1:10" x14ac:dyDescent="0.45">
      <c r="A95" s="151"/>
      <c r="B95" s="152"/>
      <c r="C95" s="152"/>
      <c r="D95" s="152"/>
      <c r="E95" s="152"/>
      <c r="F95" s="151">
        <v>39</v>
      </c>
      <c r="G95" s="152">
        <v>2</v>
      </c>
      <c r="H95" s="152">
        <v>5</v>
      </c>
      <c r="I95" s="152">
        <v>7</v>
      </c>
      <c r="J95" s="152">
        <v>470</v>
      </c>
    </row>
    <row r="96" spans="1:10" x14ac:dyDescent="0.45">
      <c r="A96" s="151"/>
      <c r="B96" s="152"/>
      <c r="C96" s="152"/>
      <c r="D96" s="152"/>
      <c r="E96" s="152"/>
      <c r="F96" s="151">
        <v>38</v>
      </c>
      <c r="G96" s="152">
        <v>4</v>
      </c>
      <c r="H96" s="152">
        <v>4</v>
      </c>
      <c r="I96" s="152">
        <v>8</v>
      </c>
      <c r="J96" s="152">
        <v>478</v>
      </c>
    </row>
    <row r="97" spans="1:10" x14ac:dyDescent="0.45">
      <c r="A97" s="151"/>
      <c r="B97" s="152"/>
      <c r="C97" s="152"/>
      <c r="D97" s="152"/>
      <c r="E97" s="152"/>
      <c r="F97" s="151">
        <v>37</v>
      </c>
      <c r="G97" s="152">
        <v>4</v>
      </c>
      <c r="H97" s="152">
        <v>14</v>
      </c>
      <c r="I97" s="152">
        <v>18</v>
      </c>
      <c r="J97" s="152">
        <v>496</v>
      </c>
    </row>
    <row r="98" spans="1:10" x14ac:dyDescent="0.45">
      <c r="A98" s="151"/>
      <c r="B98" s="152"/>
      <c r="C98" s="152"/>
      <c r="D98" s="152"/>
      <c r="E98" s="152"/>
      <c r="F98" s="151">
        <v>36</v>
      </c>
      <c r="G98" s="152">
        <v>5</v>
      </c>
      <c r="H98" s="152">
        <v>1</v>
      </c>
      <c r="I98" s="152">
        <v>6</v>
      </c>
      <c r="J98" s="152">
        <v>502</v>
      </c>
    </row>
    <row r="99" spans="1:10" x14ac:dyDescent="0.45">
      <c r="A99" s="151"/>
      <c r="B99" s="152"/>
      <c r="C99" s="152"/>
      <c r="D99" s="152"/>
      <c r="E99" s="152"/>
      <c r="F99" s="151">
        <v>35</v>
      </c>
      <c r="G99" s="152">
        <v>4</v>
      </c>
      <c r="H99" s="152">
        <v>1</v>
      </c>
      <c r="I99" s="152">
        <v>5</v>
      </c>
      <c r="J99" s="152">
        <v>507</v>
      </c>
    </row>
    <row r="100" spans="1:10" x14ac:dyDescent="0.45">
      <c r="A100" s="151"/>
      <c r="B100" s="152"/>
      <c r="C100" s="152"/>
      <c r="D100" s="152"/>
      <c r="E100" s="152"/>
      <c r="F100" s="151">
        <v>34</v>
      </c>
      <c r="G100" s="152">
        <v>0</v>
      </c>
      <c r="H100" s="152">
        <v>3</v>
      </c>
      <c r="I100" s="152">
        <v>3</v>
      </c>
      <c r="J100" s="152">
        <v>510</v>
      </c>
    </row>
    <row r="101" spans="1:10" x14ac:dyDescent="0.45">
      <c r="A101" s="151"/>
      <c r="B101" s="152"/>
      <c r="C101" s="152"/>
      <c r="D101" s="152"/>
      <c r="E101" s="152"/>
      <c r="F101" s="151">
        <v>33</v>
      </c>
      <c r="G101" s="152">
        <v>1</v>
      </c>
      <c r="H101" s="152">
        <v>0</v>
      </c>
      <c r="I101" s="152">
        <v>1</v>
      </c>
      <c r="J101" s="152">
        <v>511</v>
      </c>
    </row>
    <row r="102" spans="1:10" x14ac:dyDescent="0.45">
      <c r="A102" s="151"/>
      <c r="B102" s="152"/>
      <c r="C102" s="152"/>
      <c r="D102" s="152"/>
      <c r="E102" s="152"/>
      <c r="F102" s="151">
        <v>32</v>
      </c>
      <c r="G102" s="152">
        <v>1</v>
      </c>
      <c r="H102" s="152">
        <v>0</v>
      </c>
      <c r="I102" s="152">
        <v>1</v>
      </c>
      <c r="J102" s="152">
        <v>512</v>
      </c>
    </row>
    <row r="103" spans="1:10" x14ac:dyDescent="0.45">
      <c r="A103" s="5"/>
      <c r="B103" s="1"/>
      <c r="C103" s="1"/>
      <c r="D103" s="6"/>
      <c r="F103" s="5"/>
      <c r="G103" s="1"/>
      <c r="H103" s="1"/>
      <c r="I103" s="6"/>
    </row>
    <row r="104" spans="1:10" x14ac:dyDescent="0.45">
      <c r="A104" s="5"/>
      <c r="B104" s="1"/>
      <c r="C104" s="1"/>
      <c r="D104" s="6"/>
      <c r="F104" s="5"/>
      <c r="G104" s="1"/>
      <c r="H104" s="1"/>
      <c r="I104" s="6"/>
    </row>
    <row r="105" spans="1:10" x14ac:dyDescent="0.45">
      <c r="A105" s="5"/>
      <c r="B105" s="1"/>
      <c r="C105" s="1"/>
      <c r="D105" s="6"/>
      <c r="F105" s="5"/>
      <c r="G105" s="1"/>
      <c r="H105" s="1"/>
      <c r="I105" s="6"/>
    </row>
    <row r="106" spans="1:10" x14ac:dyDescent="0.45">
      <c r="A106" s="5"/>
      <c r="B106" s="1"/>
      <c r="C106" s="1"/>
      <c r="D106" s="6"/>
      <c r="F106" s="5"/>
      <c r="G106" s="1"/>
      <c r="H106" s="1"/>
      <c r="I106" s="6"/>
    </row>
    <row r="107" spans="1:10" x14ac:dyDescent="0.45">
      <c r="A107" s="5"/>
      <c r="B107" s="1"/>
      <c r="C107" s="1"/>
      <c r="D107" s="6"/>
      <c r="F107" s="5"/>
      <c r="G107" s="1"/>
      <c r="H107" s="1"/>
      <c r="I107" s="6"/>
    </row>
    <row r="108" spans="1:10" x14ac:dyDescent="0.45">
      <c r="A108" s="5"/>
      <c r="B108" s="1"/>
      <c r="C108" s="1"/>
      <c r="D108" s="6"/>
      <c r="F108" s="5"/>
      <c r="G108" s="1"/>
      <c r="H108" s="1"/>
      <c r="I108" s="6"/>
    </row>
    <row r="109" spans="1:10" x14ac:dyDescent="0.45">
      <c r="A109" s="5"/>
      <c r="B109" s="1"/>
      <c r="C109" s="1"/>
      <c r="D109" s="6"/>
      <c r="F109" s="5"/>
      <c r="G109" s="1"/>
      <c r="H109" s="1"/>
      <c r="I109" s="6"/>
    </row>
    <row r="110" spans="1:10" x14ac:dyDescent="0.45">
      <c r="A110" s="5"/>
      <c r="B110" s="1"/>
      <c r="C110" s="1"/>
      <c r="D110" s="6"/>
      <c r="F110" s="5"/>
      <c r="G110" s="1"/>
      <c r="H110" s="1"/>
      <c r="I110" s="6"/>
    </row>
    <row r="111" spans="1:10" ht="17.5" thickBot="1" x14ac:dyDescent="0.5">
      <c r="A111" s="7"/>
      <c r="B111" s="8"/>
      <c r="C111" s="8"/>
      <c r="D111" s="2"/>
      <c r="F111" s="7"/>
      <c r="G111" s="8"/>
      <c r="H111" s="8"/>
      <c r="I111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4"/>
  <dimension ref="A3:V291"/>
  <sheetViews>
    <sheetView workbookViewId="0">
      <selection activeCell="C4" sqref="C4:D291"/>
    </sheetView>
  </sheetViews>
  <sheetFormatPr defaultRowHeight="17" x14ac:dyDescent="0.45"/>
  <cols>
    <col min="2" max="2" width="12.58203125" customWidth="1"/>
    <col min="3" max="3" width="18" customWidth="1"/>
    <col min="4" max="22" width="12.58203125" customWidth="1"/>
  </cols>
  <sheetData>
    <row r="3" spans="1:22" x14ac:dyDescent="0.45">
      <c r="C3" s="1" t="s">
        <v>60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25</v>
      </c>
      <c r="P3" s="1" t="s">
        <v>17</v>
      </c>
      <c r="Q3" s="1" t="s">
        <v>19</v>
      </c>
      <c r="R3" s="1" t="s">
        <v>20</v>
      </c>
      <c r="S3" s="1" t="s">
        <v>26</v>
      </c>
      <c r="T3" s="1" t="s">
        <v>22</v>
      </c>
      <c r="U3" s="1" t="s">
        <v>23</v>
      </c>
      <c r="V3" s="1" t="s">
        <v>24</v>
      </c>
    </row>
    <row r="4" spans="1:22" x14ac:dyDescent="0.45">
      <c r="A4" t="s">
        <v>66</v>
      </c>
      <c r="B4" s="1" t="s">
        <v>27</v>
      </c>
      <c r="C4" s="153">
        <v>90</v>
      </c>
      <c r="D4" s="153">
        <v>26368</v>
      </c>
    </row>
    <row r="5" spans="1:22" x14ac:dyDescent="0.45">
      <c r="B5" s="1" t="s">
        <v>28</v>
      </c>
      <c r="C5" s="153">
        <v>80</v>
      </c>
      <c r="D5" s="153">
        <v>37741</v>
      </c>
    </row>
    <row r="6" spans="1:22" x14ac:dyDescent="0.45">
      <c r="B6" s="1" t="s">
        <v>29</v>
      </c>
      <c r="C6" s="153">
        <v>70</v>
      </c>
      <c r="D6" s="153">
        <v>47264</v>
      </c>
    </row>
    <row r="7" spans="1:22" x14ac:dyDescent="0.45">
      <c r="B7" s="1" t="s">
        <v>30</v>
      </c>
      <c r="C7" s="153">
        <v>60</v>
      </c>
      <c r="D7" s="153">
        <v>43710</v>
      </c>
    </row>
    <row r="8" spans="1:22" x14ac:dyDescent="0.45">
      <c r="B8" s="1" t="s">
        <v>31</v>
      </c>
      <c r="C8" s="153">
        <v>50</v>
      </c>
      <c r="D8" s="153">
        <v>29585</v>
      </c>
    </row>
    <row r="9" spans="1:22" x14ac:dyDescent="0.45">
      <c r="B9" s="1" t="s">
        <v>32</v>
      </c>
      <c r="C9" s="153">
        <v>40</v>
      </c>
      <c r="D9" s="153">
        <v>19446</v>
      </c>
    </row>
    <row r="10" spans="1:22" x14ac:dyDescent="0.45">
      <c r="B10" s="1" t="s">
        <v>33</v>
      </c>
      <c r="C10" s="153">
        <v>30</v>
      </c>
      <c r="D10" s="153">
        <v>15308</v>
      </c>
    </row>
    <row r="11" spans="1:22" x14ac:dyDescent="0.45">
      <c r="B11" s="1" t="s">
        <v>34</v>
      </c>
      <c r="C11" s="153">
        <v>20</v>
      </c>
      <c r="D11" s="153">
        <v>25102</v>
      </c>
    </row>
    <row r="12" spans="1:22" x14ac:dyDescent="0.45">
      <c r="B12" s="1" t="s">
        <v>36</v>
      </c>
      <c r="C12" s="153">
        <v>0</v>
      </c>
      <c r="D12" s="153">
        <v>8631</v>
      </c>
    </row>
    <row r="13" spans="1:22" x14ac:dyDescent="0.45">
      <c r="A13" t="s">
        <v>67</v>
      </c>
      <c r="B13" s="1" t="s">
        <v>27</v>
      </c>
      <c r="C13" s="153">
        <v>40</v>
      </c>
      <c r="D13" s="153">
        <v>37344</v>
      </c>
    </row>
    <row r="14" spans="1:22" x14ac:dyDescent="0.45">
      <c r="B14" s="1" t="s">
        <v>28</v>
      </c>
      <c r="C14" s="153">
        <v>35</v>
      </c>
      <c r="D14" s="153">
        <v>32777</v>
      </c>
    </row>
    <row r="15" spans="1:22" x14ac:dyDescent="0.45">
      <c r="B15" s="1" t="s">
        <v>29</v>
      </c>
      <c r="C15" s="153">
        <v>30</v>
      </c>
      <c r="D15" s="153">
        <v>38280</v>
      </c>
    </row>
    <row r="16" spans="1:22" x14ac:dyDescent="0.45">
      <c r="B16" s="1" t="s">
        <v>30</v>
      </c>
      <c r="C16" s="153">
        <v>25</v>
      </c>
      <c r="D16" s="153">
        <v>38756</v>
      </c>
    </row>
    <row r="17" spans="1:4" x14ac:dyDescent="0.45">
      <c r="B17" s="1" t="s">
        <v>31</v>
      </c>
      <c r="C17" s="153">
        <v>20</v>
      </c>
      <c r="D17" s="153">
        <v>33338</v>
      </c>
    </row>
    <row r="18" spans="1:4" x14ac:dyDescent="0.45">
      <c r="B18" s="1" t="s">
        <v>32</v>
      </c>
      <c r="C18" s="153">
        <v>15</v>
      </c>
      <c r="D18" s="153">
        <v>24576</v>
      </c>
    </row>
    <row r="19" spans="1:4" x14ac:dyDescent="0.45">
      <c r="B19" s="1" t="s">
        <v>33</v>
      </c>
      <c r="C19" s="153">
        <v>10</v>
      </c>
      <c r="D19" s="153">
        <v>23173</v>
      </c>
    </row>
    <row r="20" spans="1:4" x14ac:dyDescent="0.45">
      <c r="B20" s="1" t="s">
        <v>34</v>
      </c>
      <c r="C20" s="153">
        <v>5</v>
      </c>
      <c r="D20" s="153">
        <v>23039</v>
      </c>
    </row>
    <row r="21" spans="1:4" x14ac:dyDescent="0.45">
      <c r="B21" s="1" t="s">
        <v>36</v>
      </c>
      <c r="C21" s="153">
        <v>0</v>
      </c>
      <c r="D21" s="153">
        <v>2598</v>
      </c>
    </row>
    <row r="22" spans="1:4" x14ac:dyDescent="0.45">
      <c r="A22" t="s">
        <v>45</v>
      </c>
      <c r="B22" s="1" t="s">
        <v>37</v>
      </c>
      <c r="C22" s="153">
        <v>67</v>
      </c>
      <c r="D22" s="153">
        <v>6422</v>
      </c>
    </row>
    <row r="23" spans="1:4" x14ac:dyDescent="0.45">
      <c r="B23" s="1" t="s">
        <v>38</v>
      </c>
      <c r="C23" s="153">
        <v>64</v>
      </c>
      <c r="D23" s="153">
        <v>5141</v>
      </c>
    </row>
    <row r="24" spans="1:4" x14ac:dyDescent="0.45">
      <c r="B24" s="1" t="s">
        <v>39</v>
      </c>
      <c r="C24" s="153">
        <v>60</v>
      </c>
      <c r="D24" s="153">
        <v>9193</v>
      </c>
    </row>
    <row r="25" spans="1:4" x14ac:dyDescent="0.45">
      <c r="B25" s="1" t="s">
        <v>40</v>
      </c>
      <c r="C25" s="153">
        <v>53</v>
      </c>
      <c r="D25" s="153">
        <v>14958</v>
      </c>
    </row>
    <row r="26" spans="1:4" x14ac:dyDescent="0.45">
      <c r="B26" s="1" t="s">
        <v>41</v>
      </c>
      <c r="C26" s="153">
        <v>45</v>
      </c>
      <c r="D26" s="153">
        <v>19330</v>
      </c>
    </row>
    <row r="27" spans="1:4" x14ac:dyDescent="0.45">
      <c r="B27" s="1" t="s">
        <v>42</v>
      </c>
      <c r="C27" s="153">
        <v>40</v>
      </c>
      <c r="D27" s="153">
        <v>14795</v>
      </c>
    </row>
    <row r="28" spans="1:4" x14ac:dyDescent="0.45">
      <c r="B28" s="1" t="s">
        <v>43</v>
      </c>
      <c r="C28" s="153">
        <v>38</v>
      </c>
      <c r="D28" s="153">
        <v>9052</v>
      </c>
    </row>
    <row r="29" spans="1:4" x14ac:dyDescent="0.45">
      <c r="B29" s="1" t="s">
        <v>44</v>
      </c>
      <c r="C29" s="153">
        <v>37</v>
      </c>
      <c r="D29" s="153">
        <v>6973</v>
      </c>
    </row>
    <row r="30" spans="1:4" x14ac:dyDescent="0.45">
      <c r="B30" s="1" t="s">
        <v>35</v>
      </c>
      <c r="C30" s="153">
        <v>32</v>
      </c>
      <c r="D30" s="153">
        <v>2341</v>
      </c>
    </row>
    <row r="31" spans="1:4" x14ac:dyDescent="0.45">
      <c r="A31" t="s">
        <v>46</v>
      </c>
      <c r="B31" s="1" t="s">
        <v>27</v>
      </c>
      <c r="C31" s="153">
        <v>68</v>
      </c>
      <c r="D31" s="153">
        <v>1484</v>
      </c>
    </row>
    <row r="32" spans="1:4" x14ac:dyDescent="0.45">
      <c r="B32" s="1" t="s">
        <v>28</v>
      </c>
      <c r="C32" s="153">
        <v>65</v>
      </c>
      <c r="D32" s="153">
        <v>958</v>
      </c>
    </row>
    <row r="33" spans="1:4" x14ac:dyDescent="0.45">
      <c r="B33" s="1" t="s">
        <v>29</v>
      </c>
      <c r="C33" s="153">
        <v>59</v>
      </c>
      <c r="D33" s="153">
        <v>2905</v>
      </c>
    </row>
    <row r="34" spans="1:4" x14ac:dyDescent="0.45">
      <c r="B34" s="1" t="s">
        <v>30</v>
      </c>
      <c r="C34" s="153">
        <v>52</v>
      </c>
      <c r="D34" s="153">
        <v>3581</v>
      </c>
    </row>
    <row r="35" spans="1:4" x14ac:dyDescent="0.45">
      <c r="B35" s="1" t="s">
        <v>31</v>
      </c>
      <c r="C35" s="153">
        <v>44</v>
      </c>
      <c r="D35" s="153">
        <v>4500</v>
      </c>
    </row>
    <row r="36" spans="1:4" x14ac:dyDescent="0.45">
      <c r="B36" s="1" t="s">
        <v>32</v>
      </c>
      <c r="C36" s="153">
        <v>41</v>
      </c>
      <c r="D36" s="153">
        <v>3411</v>
      </c>
    </row>
    <row r="37" spans="1:4" x14ac:dyDescent="0.45">
      <c r="B37" s="1" t="s">
        <v>33</v>
      </c>
      <c r="C37" s="153">
        <v>39</v>
      </c>
      <c r="D37" s="153">
        <v>3295</v>
      </c>
    </row>
    <row r="38" spans="1:4" x14ac:dyDescent="0.45">
      <c r="B38" s="1" t="s">
        <v>34</v>
      </c>
      <c r="C38" s="153">
        <v>38</v>
      </c>
      <c r="D38" s="153">
        <v>638</v>
      </c>
    </row>
    <row r="39" spans="1:4" x14ac:dyDescent="0.45">
      <c r="B39" s="1" t="s">
        <v>36</v>
      </c>
      <c r="C39" s="153">
        <v>32</v>
      </c>
      <c r="D39" s="153">
        <v>822</v>
      </c>
    </row>
    <row r="40" spans="1:4" x14ac:dyDescent="0.45">
      <c r="A40" t="s">
        <v>47</v>
      </c>
      <c r="B40" s="1" t="s">
        <v>37</v>
      </c>
      <c r="C40" s="153">
        <v>69</v>
      </c>
      <c r="D40" s="153">
        <v>1192</v>
      </c>
    </row>
    <row r="41" spans="1:4" x14ac:dyDescent="0.45">
      <c r="B41" s="1" t="s">
        <v>38</v>
      </c>
      <c r="C41" s="153">
        <v>66</v>
      </c>
      <c r="D41" s="153">
        <v>956</v>
      </c>
    </row>
    <row r="42" spans="1:4" x14ac:dyDescent="0.45">
      <c r="B42" s="1" t="s">
        <v>39</v>
      </c>
      <c r="C42" s="153">
        <v>59</v>
      </c>
      <c r="D42" s="153">
        <v>2628</v>
      </c>
    </row>
    <row r="43" spans="1:4" x14ac:dyDescent="0.45">
      <c r="B43" s="1" t="s">
        <v>40</v>
      </c>
      <c r="C43" s="153">
        <v>51</v>
      </c>
      <c r="D43" s="153">
        <v>3090</v>
      </c>
    </row>
    <row r="44" spans="1:4" x14ac:dyDescent="0.45">
      <c r="B44" s="1" t="s">
        <v>41</v>
      </c>
      <c r="C44" s="153">
        <v>45</v>
      </c>
      <c r="D44" s="153">
        <v>4076</v>
      </c>
    </row>
    <row r="45" spans="1:4" x14ac:dyDescent="0.45">
      <c r="B45" s="1" t="s">
        <v>42</v>
      </c>
      <c r="C45" s="153">
        <v>41</v>
      </c>
      <c r="D45" s="153">
        <v>4517</v>
      </c>
    </row>
    <row r="46" spans="1:4" x14ac:dyDescent="0.45">
      <c r="B46" s="1" t="s">
        <v>43</v>
      </c>
      <c r="C46" s="153">
        <v>40</v>
      </c>
      <c r="D46" s="153">
        <v>1042</v>
      </c>
    </row>
    <row r="47" spans="1:4" x14ac:dyDescent="0.45">
      <c r="B47" s="1" t="s">
        <v>44</v>
      </c>
      <c r="C47" s="153">
        <v>37</v>
      </c>
      <c r="D47" s="153">
        <v>1474</v>
      </c>
    </row>
    <row r="48" spans="1:4" x14ac:dyDescent="0.45">
      <c r="B48" s="1" t="s">
        <v>35</v>
      </c>
      <c r="C48" s="153">
        <v>32</v>
      </c>
      <c r="D48" s="153">
        <v>390</v>
      </c>
    </row>
    <row r="49" spans="1:4" x14ac:dyDescent="0.45">
      <c r="A49" t="s">
        <v>48</v>
      </c>
      <c r="B49" s="1" t="s">
        <v>27</v>
      </c>
      <c r="C49" s="153">
        <v>66</v>
      </c>
      <c r="D49" s="153">
        <v>708</v>
      </c>
    </row>
    <row r="50" spans="1:4" x14ac:dyDescent="0.45">
      <c r="B50" s="1" t="s">
        <v>28</v>
      </c>
      <c r="C50" s="154">
        <v>64</v>
      </c>
      <c r="D50" s="154">
        <v>1537</v>
      </c>
    </row>
    <row r="51" spans="1:4" x14ac:dyDescent="0.45">
      <c r="B51" s="1" t="s">
        <v>29</v>
      </c>
      <c r="C51" s="153">
        <v>60</v>
      </c>
      <c r="D51" s="153">
        <v>2012</v>
      </c>
    </row>
    <row r="52" spans="1:4" x14ac:dyDescent="0.45">
      <c r="B52" s="1" t="s">
        <v>30</v>
      </c>
      <c r="C52" s="153">
        <v>54</v>
      </c>
      <c r="D52" s="153">
        <v>2775</v>
      </c>
    </row>
    <row r="53" spans="1:4" x14ac:dyDescent="0.45">
      <c r="B53" s="1" t="s">
        <v>31</v>
      </c>
      <c r="C53" s="153">
        <v>45</v>
      </c>
      <c r="D53" s="153">
        <v>3848</v>
      </c>
    </row>
    <row r="54" spans="1:4" x14ac:dyDescent="0.45">
      <c r="B54" s="1" t="s">
        <v>32</v>
      </c>
      <c r="C54" s="153">
        <v>40</v>
      </c>
      <c r="D54" s="153">
        <v>2568</v>
      </c>
    </row>
    <row r="55" spans="1:4" x14ac:dyDescent="0.45">
      <c r="B55" s="1" t="s">
        <v>33</v>
      </c>
      <c r="C55" s="153">
        <v>38</v>
      </c>
      <c r="D55" s="153">
        <v>2063</v>
      </c>
    </row>
    <row r="56" spans="1:4" x14ac:dyDescent="0.45">
      <c r="B56" s="1" t="s">
        <v>34</v>
      </c>
      <c r="C56" s="153">
        <v>35</v>
      </c>
      <c r="D56" s="153">
        <v>1122</v>
      </c>
    </row>
    <row r="57" spans="1:4" x14ac:dyDescent="0.45">
      <c r="B57" s="1" t="s">
        <v>36</v>
      </c>
      <c r="C57" s="153">
        <v>30</v>
      </c>
      <c r="D57" s="153">
        <v>530</v>
      </c>
    </row>
    <row r="58" spans="1:4" x14ac:dyDescent="0.45">
      <c r="A58" t="s">
        <v>49</v>
      </c>
      <c r="B58" s="1" t="s">
        <v>37</v>
      </c>
      <c r="C58" s="153">
        <v>66</v>
      </c>
      <c r="D58" s="153">
        <v>509</v>
      </c>
    </row>
    <row r="59" spans="1:4" x14ac:dyDescent="0.45">
      <c r="B59" s="1" t="s">
        <v>38</v>
      </c>
      <c r="C59" s="153">
        <v>64</v>
      </c>
      <c r="D59" s="153">
        <v>863</v>
      </c>
    </row>
    <row r="60" spans="1:4" x14ac:dyDescent="0.45">
      <c r="B60" s="1" t="s">
        <v>39</v>
      </c>
      <c r="C60" s="153">
        <v>60</v>
      </c>
      <c r="D60" s="153">
        <v>1282</v>
      </c>
    </row>
    <row r="61" spans="1:4" x14ac:dyDescent="0.45">
      <c r="B61" s="1" t="s">
        <v>40</v>
      </c>
      <c r="C61" s="153">
        <v>54</v>
      </c>
      <c r="D61" s="153">
        <v>1207</v>
      </c>
    </row>
    <row r="62" spans="1:4" x14ac:dyDescent="0.45">
      <c r="B62" s="1" t="s">
        <v>41</v>
      </c>
      <c r="C62" s="153">
        <v>44</v>
      </c>
      <c r="D62" s="153">
        <v>2262</v>
      </c>
    </row>
    <row r="63" spans="1:4" x14ac:dyDescent="0.45">
      <c r="B63" s="1" t="s">
        <v>42</v>
      </c>
      <c r="C63" s="153">
        <v>40</v>
      </c>
      <c r="D63" s="153">
        <v>2077</v>
      </c>
    </row>
    <row r="64" spans="1:4" x14ac:dyDescent="0.45">
      <c r="B64" s="1" t="s">
        <v>43</v>
      </c>
      <c r="C64" s="153">
        <v>38</v>
      </c>
      <c r="D64" s="153">
        <v>714</v>
      </c>
    </row>
    <row r="65" spans="1:4" x14ac:dyDescent="0.45">
      <c r="B65" s="1" t="s">
        <v>44</v>
      </c>
      <c r="C65" s="153">
        <v>36</v>
      </c>
      <c r="D65" s="153">
        <v>406</v>
      </c>
    </row>
    <row r="66" spans="1:4" x14ac:dyDescent="0.45">
      <c r="B66" s="1" t="s">
        <v>35</v>
      </c>
      <c r="C66" s="153">
        <v>31</v>
      </c>
      <c r="D66" s="153">
        <v>317</v>
      </c>
    </row>
    <row r="67" spans="1:4" x14ac:dyDescent="0.45">
      <c r="A67" t="s">
        <v>48</v>
      </c>
      <c r="B67" s="1" t="s">
        <v>27</v>
      </c>
      <c r="C67" s="153">
        <v>66</v>
      </c>
      <c r="D67" s="153">
        <v>658</v>
      </c>
    </row>
    <row r="68" spans="1:4" x14ac:dyDescent="0.45">
      <c r="B68" s="1" t="s">
        <v>28</v>
      </c>
      <c r="C68" s="154">
        <v>64</v>
      </c>
      <c r="D68" s="154">
        <v>630</v>
      </c>
    </row>
    <row r="69" spans="1:4" x14ac:dyDescent="0.45">
      <c r="B69" s="1" t="s">
        <v>29</v>
      </c>
      <c r="C69" s="153">
        <v>61</v>
      </c>
      <c r="D69" s="153">
        <v>697</v>
      </c>
    </row>
    <row r="70" spans="1:4" x14ac:dyDescent="0.45">
      <c r="B70" s="1" t="s">
        <v>30</v>
      </c>
      <c r="C70" s="153">
        <v>52</v>
      </c>
      <c r="D70" s="153">
        <v>1469</v>
      </c>
    </row>
    <row r="71" spans="1:4" x14ac:dyDescent="0.45">
      <c r="B71" s="1" t="s">
        <v>31</v>
      </c>
      <c r="C71" s="153">
        <v>44</v>
      </c>
      <c r="D71" s="153">
        <v>1866</v>
      </c>
    </row>
    <row r="72" spans="1:4" x14ac:dyDescent="0.45">
      <c r="B72" s="1" t="s">
        <v>32</v>
      </c>
      <c r="C72" s="153">
        <v>41</v>
      </c>
      <c r="D72" s="153">
        <v>1385</v>
      </c>
    </row>
    <row r="73" spans="1:4" x14ac:dyDescent="0.45">
      <c r="B73" s="1" t="s">
        <v>33</v>
      </c>
      <c r="C73" s="153">
        <v>39</v>
      </c>
      <c r="D73" s="153">
        <v>1210</v>
      </c>
    </row>
    <row r="74" spans="1:4" x14ac:dyDescent="0.45">
      <c r="B74" s="1" t="s">
        <v>34</v>
      </c>
      <c r="C74" s="153">
        <v>37</v>
      </c>
      <c r="D74" s="153">
        <v>421</v>
      </c>
    </row>
    <row r="75" spans="1:4" x14ac:dyDescent="0.45">
      <c r="B75" s="1" t="s">
        <v>36</v>
      </c>
      <c r="C75" s="153">
        <v>32</v>
      </c>
      <c r="D75" s="153">
        <v>193</v>
      </c>
    </row>
    <row r="76" spans="1:4" x14ac:dyDescent="0.45">
      <c r="A76" t="s">
        <v>50</v>
      </c>
      <c r="B76" s="1" t="s">
        <v>37</v>
      </c>
      <c r="C76" s="153">
        <v>68</v>
      </c>
      <c r="D76" s="153">
        <v>184</v>
      </c>
    </row>
    <row r="77" spans="1:4" x14ac:dyDescent="0.45">
      <c r="B77" s="1" t="s">
        <v>38</v>
      </c>
      <c r="C77" s="153">
        <v>65</v>
      </c>
      <c r="D77" s="153">
        <v>246</v>
      </c>
    </row>
    <row r="78" spans="1:4" x14ac:dyDescent="0.45">
      <c r="B78" s="1" t="s">
        <v>39</v>
      </c>
      <c r="C78" s="153">
        <v>60</v>
      </c>
      <c r="D78" s="153">
        <v>545</v>
      </c>
    </row>
    <row r="79" spans="1:4" x14ac:dyDescent="0.45">
      <c r="B79" s="1" t="s">
        <v>40</v>
      </c>
      <c r="C79" s="153">
        <v>52</v>
      </c>
      <c r="D79" s="153">
        <v>584</v>
      </c>
    </row>
    <row r="80" spans="1:4" x14ac:dyDescent="0.45">
      <c r="B80" s="1" t="s">
        <v>41</v>
      </c>
      <c r="C80" s="153">
        <v>43</v>
      </c>
      <c r="D80" s="153">
        <v>1090</v>
      </c>
    </row>
    <row r="81" spans="1:4" x14ac:dyDescent="0.45">
      <c r="B81" s="1" t="s">
        <v>42</v>
      </c>
      <c r="C81" s="153">
        <v>41</v>
      </c>
      <c r="D81" s="153">
        <v>354</v>
      </c>
    </row>
    <row r="82" spans="1:4" x14ac:dyDescent="0.45">
      <c r="B82" s="1" t="s">
        <v>43</v>
      </c>
      <c r="C82" s="153">
        <v>40</v>
      </c>
      <c r="D82" s="153">
        <v>424</v>
      </c>
    </row>
    <row r="83" spans="1:4" x14ac:dyDescent="0.45">
      <c r="B83" s="1" t="s">
        <v>44</v>
      </c>
      <c r="C83" s="153">
        <v>37</v>
      </c>
      <c r="D83" s="153">
        <v>321</v>
      </c>
    </row>
    <row r="84" spans="1:4" x14ac:dyDescent="0.45">
      <c r="B84" s="1" t="s">
        <v>35</v>
      </c>
      <c r="C84" s="153">
        <v>33</v>
      </c>
      <c r="D84" s="153">
        <v>98</v>
      </c>
    </row>
    <row r="85" spans="1:4" x14ac:dyDescent="0.45">
      <c r="A85" t="s">
        <v>65</v>
      </c>
      <c r="B85" s="1" t="s">
        <v>27</v>
      </c>
      <c r="C85" s="153">
        <v>65</v>
      </c>
      <c r="D85" s="153">
        <v>1047</v>
      </c>
    </row>
    <row r="86" spans="1:4" x14ac:dyDescent="0.45">
      <c r="B86" s="1" t="s">
        <v>28</v>
      </c>
      <c r="C86" s="153">
        <v>63</v>
      </c>
      <c r="D86" s="153">
        <v>1434</v>
      </c>
    </row>
    <row r="87" spans="1:4" x14ac:dyDescent="0.45">
      <c r="B87" s="1" t="s">
        <v>29</v>
      </c>
      <c r="C87" s="153">
        <v>60</v>
      </c>
      <c r="D87" s="153">
        <v>1540</v>
      </c>
    </row>
    <row r="88" spans="1:4" x14ac:dyDescent="0.45">
      <c r="B88" s="1" t="s">
        <v>30</v>
      </c>
      <c r="C88" s="153">
        <v>55</v>
      </c>
      <c r="D88" s="153">
        <v>3026</v>
      </c>
    </row>
    <row r="89" spans="1:4" x14ac:dyDescent="0.45">
      <c r="B89" s="1" t="s">
        <v>31</v>
      </c>
      <c r="C89" s="153">
        <v>46</v>
      </c>
      <c r="D89" s="153">
        <v>3291</v>
      </c>
    </row>
    <row r="90" spans="1:4" x14ac:dyDescent="0.45">
      <c r="B90" s="1" t="s">
        <v>32</v>
      </c>
      <c r="C90" s="153">
        <v>40</v>
      </c>
      <c r="D90" s="153">
        <v>2709</v>
      </c>
    </row>
    <row r="91" spans="1:4" x14ac:dyDescent="0.45">
      <c r="B91" s="1" t="s">
        <v>33</v>
      </c>
      <c r="C91" s="153">
        <v>37</v>
      </c>
      <c r="D91" s="153">
        <v>2850</v>
      </c>
    </row>
    <row r="92" spans="1:4" x14ac:dyDescent="0.45">
      <c r="B92" s="1" t="s">
        <v>34</v>
      </c>
      <c r="C92" s="153">
        <v>35</v>
      </c>
      <c r="D92" s="153">
        <v>664</v>
      </c>
    </row>
    <row r="93" spans="1:4" x14ac:dyDescent="0.45">
      <c r="B93" s="1" t="s">
        <v>36</v>
      </c>
      <c r="C93" s="153">
        <v>31</v>
      </c>
      <c r="D93" s="153">
        <v>374</v>
      </c>
    </row>
    <row r="94" spans="1:4" x14ac:dyDescent="0.45">
      <c r="A94" t="s">
        <v>51</v>
      </c>
      <c r="B94" s="1" t="s">
        <v>37</v>
      </c>
      <c r="C94" s="153">
        <v>64</v>
      </c>
      <c r="D94" s="153">
        <v>6398</v>
      </c>
    </row>
    <row r="95" spans="1:4" x14ac:dyDescent="0.45">
      <c r="B95" s="1" t="s">
        <v>38</v>
      </c>
      <c r="C95" s="153">
        <v>62</v>
      </c>
      <c r="D95" s="153">
        <v>7312</v>
      </c>
    </row>
    <row r="96" spans="1:4" x14ac:dyDescent="0.45">
      <c r="B96" s="1" t="s">
        <v>39</v>
      </c>
      <c r="C96" s="153">
        <v>59</v>
      </c>
      <c r="D96" s="153">
        <v>8342</v>
      </c>
    </row>
    <row r="97" spans="1:4" x14ac:dyDescent="0.45">
      <c r="B97" s="1" t="s">
        <v>40</v>
      </c>
      <c r="C97" s="153">
        <v>55</v>
      </c>
      <c r="D97" s="153">
        <v>16363</v>
      </c>
    </row>
    <row r="98" spans="1:4" x14ac:dyDescent="0.45">
      <c r="B98" s="1" t="s">
        <v>41</v>
      </c>
      <c r="C98" s="153">
        <v>48</v>
      </c>
      <c r="D98" s="153">
        <v>19296</v>
      </c>
    </row>
    <row r="99" spans="1:4" x14ac:dyDescent="0.45">
      <c r="B99" s="1" t="s">
        <v>42</v>
      </c>
      <c r="C99" s="153">
        <v>40</v>
      </c>
      <c r="D99" s="153">
        <v>15878</v>
      </c>
    </row>
    <row r="100" spans="1:4" x14ac:dyDescent="0.45">
      <c r="B100" s="1" t="s">
        <v>43</v>
      </c>
      <c r="C100" s="153">
        <v>35</v>
      </c>
      <c r="D100" s="153">
        <v>16310</v>
      </c>
    </row>
    <row r="101" spans="1:4" x14ac:dyDescent="0.45">
      <c r="B101" s="1" t="s">
        <v>44</v>
      </c>
      <c r="C101" s="153">
        <v>34</v>
      </c>
      <c r="D101" s="153">
        <v>938</v>
      </c>
    </row>
    <row r="102" spans="1:4" x14ac:dyDescent="0.45">
      <c r="B102" s="1" t="s">
        <v>35</v>
      </c>
      <c r="C102" s="153">
        <v>27</v>
      </c>
      <c r="D102" s="153">
        <v>3556</v>
      </c>
    </row>
    <row r="103" spans="1:4" x14ac:dyDescent="0.45">
      <c r="A103" t="s">
        <v>52</v>
      </c>
      <c r="B103" s="1" t="s">
        <v>27</v>
      </c>
      <c r="C103" s="153">
        <v>67</v>
      </c>
      <c r="D103" s="153">
        <v>2149</v>
      </c>
    </row>
    <row r="104" spans="1:4" x14ac:dyDescent="0.45">
      <c r="B104" s="1" t="s">
        <v>28</v>
      </c>
      <c r="C104" s="153">
        <v>64</v>
      </c>
      <c r="D104" s="153">
        <v>1693</v>
      </c>
    </row>
    <row r="105" spans="1:4" x14ac:dyDescent="0.45">
      <c r="B105" s="1" t="s">
        <v>29</v>
      </c>
      <c r="C105" s="153">
        <v>60</v>
      </c>
      <c r="D105" s="153">
        <v>4092</v>
      </c>
    </row>
    <row r="106" spans="1:4" x14ac:dyDescent="0.45">
      <c r="B106" s="1" t="s">
        <v>30</v>
      </c>
      <c r="C106" s="153">
        <v>53</v>
      </c>
      <c r="D106" s="153">
        <v>6147</v>
      </c>
    </row>
    <row r="107" spans="1:4" x14ac:dyDescent="0.45">
      <c r="B107" s="1" t="s">
        <v>31</v>
      </c>
      <c r="C107" s="153">
        <v>46</v>
      </c>
      <c r="D107" s="153">
        <v>6088</v>
      </c>
    </row>
    <row r="108" spans="1:4" x14ac:dyDescent="0.45">
      <c r="B108" s="1" t="s">
        <v>32</v>
      </c>
      <c r="C108" s="153">
        <v>40</v>
      </c>
      <c r="D108" s="153">
        <v>7359</v>
      </c>
    </row>
    <row r="109" spans="1:4" x14ac:dyDescent="0.45">
      <c r="B109" s="1" t="s">
        <v>33</v>
      </c>
      <c r="C109" s="153">
        <v>38</v>
      </c>
      <c r="D109" s="153">
        <v>3038</v>
      </c>
    </row>
    <row r="110" spans="1:4" x14ac:dyDescent="0.45">
      <c r="B110" s="1" t="s">
        <v>34</v>
      </c>
      <c r="C110" s="153">
        <v>35</v>
      </c>
      <c r="D110" s="153">
        <v>2073</v>
      </c>
    </row>
    <row r="111" spans="1:4" x14ac:dyDescent="0.45">
      <c r="B111" s="1" t="s">
        <v>36</v>
      </c>
      <c r="C111" s="153">
        <v>30</v>
      </c>
      <c r="D111" s="153">
        <v>725</v>
      </c>
    </row>
    <row r="112" spans="1:4" x14ac:dyDescent="0.45">
      <c r="A112" t="s">
        <v>53</v>
      </c>
      <c r="B112" s="1" t="s">
        <v>37</v>
      </c>
      <c r="C112" s="153">
        <v>66</v>
      </c>
      <c r="D112" s="153">
        <v>1958</v>
      </c>
    </row>
    <row r="113" spans="1:4" x14ac:dyDescent="0.45">
      <c r="B113" s="1" t="s">
        <v>38</v>
      </c>
      <c r="C113" s="153">
        <v>64</v>
      </c>
      <c r="D113" s="153">
        <v>1710</v>
      </c>
    </row>
    <row r="114" spans="1:4" x14ac:dyDescent="0.45">
      <c r="B114" s="1" t="s">
        <v>39</v>
      </c>
      <c r="C114" s="153">
        <v>61</v>
      </c>
      <c r="D114" s="153">
        <v>2032</v>
      </c>
    </row>
    <row r="115" spans="1:4" x14ac:dyDescent="0.45">
      <c r="B115" s="1" t="s">
        <v>40</v>
      </c>
      <c r="C115" s="153">
        <v>52</v>
      </c>
      <c r="D115" s="153">
        <v>4163</v>
      </c>
    </row>
    <row r="116" spans="1:4" x14ac:dyDescent="0.45">
      <c r="B116" s="1" t="s">
        <v>41</v>
      </c>
      <c r="C116" s="153">
        <v>44</v>
      </c>
      <c r="D116" s="153">
        <v>4907</v>
      </c>
    </row>
    <row r="117" spans="1:4" x14ac:dyDescent="0.45">
      <c r="B117" s="1" t="s">
        <v>42</v>
      </c>
      <c r="C117" s="153">
        <v>41</v>
      </c>
      <c r="D117" s="153">
        <v>3777</v>
      </c>
    </row>
    <row r="118" spans="1:4" x14ac:dyDescent="0.45">
      <c r="B118" s="1" t="s">
        <v>43</v>
      </c>
      <c r="C118" s="153">
        <v>39</v>
      </c>
      <c r="D118" s="153">
        <v>3272</v>
      </c>
    </row>
    <row r="119" spans="1:4" x14ac:dyDescent="0.45">
      <c r="B119" s="1" t="s">
        <v>44</v>
      </c>
      <c r="C119" s="153">
        <v>37</v>
      </c>
      <c r="D119" s="153">
        <v>1683</v>
      </c>
    </row>
    <row r="120" spans="1:4" x14ac:dyDescent="0.45">
      <c r="B120" s="1" t="s">
        <v>35</v>
      </c>
      <c r="C120" s="153">
        <v>33</v>
      </c>
      <c r="D120" s="153">
        <v>581</v>
      </c>
    </row>
    <row r="121" spans="1:4" x14ac:dyDescent="0.45">
      <c r="A121" t="s">
        <v>54</v>
      </c>
      <c r="B121" s="1" t="s">
        <v>27</v>
      </c>
      <c r="C121" s="153">
        <v>67</v>
      </c>
      <c r="D121" s="153">
        <v>3552</v>
      </c>
    </row>
    <row r="122" spans="1:4" x14ac:dyDescent="0.45">
      <c r="B122" s="1" t="s">
        <v>28</v>
      </c>
      <c r="C122" s="153">
        <v>63</v>
      </c>
      <c r="D122" s="153">
        <v>5378</v>
      </c>
    </row>
    <row r="123" spans="1:4" x14ac:dyDescent="0.45">
      <c r="B123" s="1" t="s">
        <v>29</v>
      </c>
      <c r="C123" s="153">
        <v>59</v>
      </c>
      <c r="D123" s="153">
        <v>7922</v>
      </c>
    </row>
    <row r="124" spans="1:4" x14ac:dyDescent="0.45">
      <c r="B124" s="1" t="s">
        <v>30</v>
      </c>
      <c r="C124" s="153">
        <v>53</v>
      </c>
      <c r="D124" s="153">
        <v>14312</v>
      </c>
    </row>
    <row r="125" spans="1:4" x14ac:dyDescent="0.45">
      <c r="B125" s="1" t="s">
        <v>31</v>
      </c>
      <c r="C125" s="153">
        <v>47</v>
      </c>
      <c r="D125" s="153">
        <v>13008</v>
      </c>
    </row>
    <row r="126" spans="1:4" x14ac:dyDescent="0.45">
      <c r="B126" s="1" t="s">
        <v>32</v>
      </c>
      <c r="C126" s="153">
        <v>40</v>
      </c>
      <c r="D126" s="153">
        <v>15683</v>
      </c>
    </row>
    <row r="127" spans="1:4" x14ac:dyDescent="0.45">
      <c r="B127" s="1" t="s">
        <v>33</v>
      </c>
      <c r="C127" s="153">
        <v>37</v>
      </c>
      <c r="D127" s="153">
        <v>6188</v>
      </c>
    </row>
    <row r="128" spans="1:4" x14ac:dyDescent="0.45">
      <c r="B128" s="1" t="s">
        <v>34</v>
      </c>
      <c r="C128" s="153">
        <v>35</v>
      </c>
      <c r="D128" s="153">
        <v>4281</v>
      </c>
    </row>
    <row r="129" spans="1:4" x14ac:dyDescent="0.45">
      <c r="B129" s="1" t="s">
        <v>36</v>
      </c>
      <c r="C129" s="153">
        <v>28</v>
      </c>
      <c r="D129" s="153">
        <v>2517</v>
      </c>
    </row>
    <row r="130" spans="1:4" x14ac:dyDescent="0.45">
      <c r="A130" t="s">
        <v>55</v>
      </c>
      <c r="B130" s="1" t="s">
        <v>37</v>
      </c>
      <c r="C130" s="153">
        <v>67</v>
      </c>
      <c r="D130" s="153">
        <v>4367</v>
      </c>
    </row>
    <row r="131" spans="1:4" x14ac:dyDescent="0.45">
      <c r="B131" s="1" t="s">
        <v>38</v>
      </c>
      <c r="C131" s="153">
        <v>64</v>
      </c>
      <c r="D131" s="153">
        <v>4567</v>
      </c>
    </row>
    <row r="132" spans="1:4" x14ac:dyDescent="0.45">
      <c r="B132" s="1" t="s">
        <v>39</v>
      </c>
      <c r="C132" s="153">
        <v>59</v>
      </c>
      <c r="D132" s="153">
        <v>9470</v>
      </c>
    </row>
    <row r="133" spans="1:4" x14ac:dyDescent="0.45">
      <c r="B133" s="1" t="s">
        <v>40</v>
      </c>
      <c r="C133" s="153">
        <v>53</v>
      </c>
      <c r="D133" s="153">
        <v>11864</v>
      </c>
    </row>
    <row r="134" spans="1:4" x14ac:dyDescent="0.45">
      <c r="B134" s="1" t="s">
        <v>41</v>
      </c>
      <c r="C134" s="153">
        <v>45</v>
      </c>
      <c r="D134" s="153">
        <v>15278</v>
      </c>
    </row>
    <row r="135" spans="1:4" x14ac:dyDescent="0.45">
      <c r="B135" s="1" t="s">
        <v>42</v>
      </c>
      <c r="C135" s="153">
        <v>40</v>
      </c>
      <c r="D135" s="153">
        <v>15173</v>
      </c>
    </row>
    <row r="136" spans="1:4" x14ac:dyDescent="0.45">
      <c r="B136" s="1" t="s">
        <v>43</v>
      </c>
      <c r="C136" s="153">
        <v>38</v>
      </c>
      <c r="D136" s="153">
        <v>6304</v>
      </c>
    </row>
    <row r="137" spans="1:4" x14ac:dyDescent="0.45">
      <c r="B137" s="1" t="s">
        <v>44</v>
      </c>
      <c r="C137" s="153">
        <v>36</v>
      </c>
      <c r="D137" s="153">
        <v>5538</v>
      </c>
    </row>
    <row r="138" spans="1:4" x14ac:dyDescent="0.45">
      <c r="B138" s="1" t="s">
        <v>35</v>
      </c>
      <c r="C138" s="153">
        <v>32</v>
      </c>
      <c r="D138" s="153">
        <v>1646</v>
      </c>
    </row>
    <row r="139" spans="1:4" x14ac:dyDescent="0.45">
      <c r="A139" t="s">
        <v>56</v>
      </c>
      <c r="B139" s="1" t="s">
        <v>27</v>
      </c>
      <c r="C139" s="153">
        <v>76</v>
      </c>
      <c r="D139" s="153">
        <v>147</v>
      </c>
    </row>
    <row r="140" spans="1:4" x14ac:dyDescent="0.45">
      <c r="B140" s="1" t="s">
        <v>28</v>
      </c>
      <c r="C140" s="153">
        <v>64</v>
      </c>
      <c r="D140" s="153">
        <v>258</v>
      </c>
    </row>
    <row r="141" spans="1:4" x14ac:dyDescent="0.45">
      <c r="B141" s="1" t="s">
        <v>29</v>
      </c>
      <c r="C141" s="153">
        <v>54</v>
      </c>
      <c r="D141" s="153">
        <v>445</v>
      </c>
    </row>
    <row r="142" spans="1:4" x14ac:dyDescent="0.45">
      <c r="B142" s="1" t="s">
        <v>30</v>
      </c>
      <c r="C142" s="153">
        <v>49</v>
      </c>
      <c r="D142" s="153">
        <v>625</v>
      </c>
    </row>
    <row r="143" spans="1:4" x14ac:dyDescent="0.45">
      <c r="B143" s="1" t="s">
        <v>31</v>
      </c>
      <c r="C143" s="153">
        <v>47</v>
      </c>
      <c r="D143" s="153">
        <v>724</v>
      </c>
    </row>
    <row r="144" spans="1:4" x14ac:dyDescent="0.45">
      <c r="B144" s="1" t="s">
        <v>32</v>
      </c>
      <c r="C144" s="154">
        <v>43</v>
      </c>
      <c r="D144" s="154">
        <v>644</v>
      </c>
    </row>
    <row r="145" spans="1:4" x14ac:dyDescent="0.45">
      <c r="B145" s="1" t="s">
        <v>33</v>
      </c>
      <c r="C145" s="153">
        <v>41</v>
      </c>
      <c r="D145" s="153">
        <v>456</v>
      </c>
    </row>
    <row r="146" spans="1:4" x14ac:dyDescent="0.45">
      <c r="B146" s="1" t="s">
        <v>34</v>
      </c>
      <c r="C146" s="153">
        <v>39</v>
      </c>
      <c r="D146" s="153">
        <v>152</v>
      </c>
    </row>
    <row r="147" spans="1:4" x14ac:dyDescent="0.45">
      <c r="B147" s="1" t="s">
        <v>36</v>
      </c>
      <c r="C147" s="153">
        <v>35</v>
      </c>
      <c r="D147" s="153">
        <v>88</v>
      </c>
    </row>
    <row r="148" spans="1:4" x14ac:dyDescent="0.45">
      <c r="A148" t="s">
        <v>57</v>
      </c>
      <c r="B148" s="1" t="s">
        <v>37</v>
      </c>
      <c r="C148" s="153">
        <v>75</v>
      </c>
      <c r="D148" s="153">
        <v>146</v>
      </c>
    </row>
    <row r="149" spans="1:4" x14ac:dyDescent="0.45">
      <c r="B149" s="1" t="s">
        <v>38</v>
      </c>
      <c r="C149" s="153">
        <v>66</v>
      </c>
      <c r="D149" s="153">
        <v>258</v>
      </c>
    </row>
    <row r="150" spans="1:4" x14ac:dyDescent="0.45">
      <c r="B150" s="1" t="s">
        <v>39</v>
      </c>
      <c r="C150" s="153">
        <v>56</v>
      </c>
      <c r="D150" s="153">
        <v>415</v>
      </c>
    </row>
    <row r="151" spans="1:4" x14ac:dyDescent="0.45">
      <c r="B151" s="1" t="s">
        <v>40</v>
      </c>
      <c r="C151" s="153">
        <v>47</v>
      </c>
      <c r="D151" s="153">
        <v>922</v>
      </c>
    </row>
    <row r="152" spans="1:4" x14ac:dyDescent="0.45">
      <c r="B152" s="1" t="s">
        <v>41</v>
      </c>
      <c r="C152" s="153">
        <v>44</v>
      </c>
      <c r="D152" s="153">
        <v>616</v>
      </c>
    </row>
    <row r="153" spans="1:4" x14ac:dyDescent="0.45">
      <c r="B153" s="1" t="s">
        <v>42</v>
      </c>
      <c r="C153" s="153">
        <v>43</v>
      </c>
      <c r="D153" s="153">
        <v>550</v>
      </c>
    </row>
    <row r="154" spans="1:4" x14ac:dyDescent="0.45">
      <c r="B154" s="1" t="s">
        <v>43</v>
      </c>
      <c r="C154" s="153">
        <v>42</v>
      </c>
      <c r="D154" s="153">
        <v>307</v>
      </c>
    </row>
    <row r="155" spans="1:4" x14ac:dyDescent="0.45">
      <c r="B155" s="1" t="s">
        <v>44</v>
      </c>
      <c r="C155" s="153">
        <v>40</v>
      </c>
      <c r="D155" s="153">
        <v>201</v>
      </c>
    </row>
    <row r="156" spans="1:4" x14ac:dyDescent="0.45">
      <c r="B156" s="1" t="s">
        <v>35</v>
      </c>
      <c r="C156" s="153">
        <v>36</v>
      </c>
      <c r="D156" s="153">
        <v>118</v>
      </c>
    </row>
    <row r="157" spans="1:4" x14ac:dyDescent="0.45">
      <c r="A157" t="s">
        <v>58</v>
      </c>
      <c r="B157" s="1" t="s">
        <v>27</v>
      </c>
      <c r="C157" s="153">
        <v>74</v>
      </c>
      <c r="D157" s="153">
        <v>202</v>
      </c>
    </row>
    <row r="158" spans="1:4" x14ac:dyDescent="0.45">
      <c r="B158" s="1" t="s">
        <v>28</v>
      </c>
      <c r="C158" s="153">
        <v>66</v>
      </c>
      <c r="D158" s="153">
        <v>378</v>
      </c>
    </row>
    <row r="159" spans="1:4" x14ac:dyDescent="0.45">
      <c r="B159" s="1" t="s">
        <v>29</v>
      </c>
      <c r="C159" s="153">
        <v>55</v>
      </c>
      <c r="D159" s="153">
        <v>603</v>
      </c>
    </row>
    <row r="160" spans="1:4" x14ac:dyDescent="0.45">
      <c r="B160" s="1" t="s">
        <v>30</v>
      </c>
      <c r="C160" s="153">
        <v>49</v>
      </c>
      <c r="D160" s="153">
        <v>898</v>
      </c>
    </row>
    <row r="161" spans="1:4" x14ac:dyDescent="0.45">
      <c r="B161" s="1" t="s">
        <v>31</v>
      </c>
      <c r="C161" s="153">
        <v>44</v>
      </c>
      <c r="D161" s="153">
        <v>1607</v>
      </c>
    </row>
    <row r="162" spans="1:4" x14ac:dyDescent="0.45">
      <c r="B162" s="1" t="s">
        <v>32</v>
      </c>
      <c r="C162" s="153">
        <v>43</v>
      </c>
      <c r="D162" s="153">
        <v>587</v>
      </c>
    </row>
    <row r="163" spans="1:4" x14ac:dyDescent="0.45">
      <c r="B163" s="1" t="s">
        <v>33</v>
      </c>
      <c r="C163" s="153">
        <v>42</v>
      </c>
      <c r="D163" s="153">
        <v>237</v>
      </c>
    </row>
    <row r="164" spans="1:4" x14ac:dyDescent="0.45">
      <c r="B164" s="1" t="s">
        <v>34</v>
      </c>
      <c r="C164" s="153">
        <v>39</v>
      </c>
      <c r="D164" s="153">
        <v>382</v>
      </c>
    </row>
    <row r="165" spans="1:4" x14ac:dyDescent="0.45">
      <c r="B165" s="1" t="s">
        <v>36</v>
      </c>
      <c r="C165" s="153">
        <v>36</v>
      </c>
      <c r="D165" s="153">
        <v>156</v>
      </c>
    </row>
    <row r="166" spans="1:4" x14ac:dyDescent="0.45">
      <c r="A166" t="s">
        <v>59</v>
      </c>
      <c r="B166" s="1" t="s">
        <v>37</v>
      </c>
      <c r="C166" s="153">
        <v>77</v>
      </c>
      <c r="D166" s="153">
        <v>157</v>
      </c>
    </row>
    <row r="167" spans="1:4" x14ac:dyDescent="0.45">
      <c r="B167" s="1" t="s">
        <v>38</v>
      </c>
      <c r="C167" s="153">
        <v>63</v>
      </c>
      <c r="D167" s="153">
        <v>246</v>
      </c>
    </row>
    <row r="168" spans="1:4" x14ac:dyDescent="0.45">
      <c r="B168" s="1" t="s">
        <v>39</v>
      </c>
      <c r="C168" s="153">
        <v>53</v>
      </c>
      <c r="D168" s="153">
        <v>466</v>
      </c>
    </row>
    <row r="169" spans="1:4" x14ac:dyDescent="0.45">
      <c r="B169" s="1" t="s">
        <v>40</v>
      </c>
      <c r="C169" s="153">
        <v>49</v>
      </c>
      <c r="D169" s="153">
        <v>715</v>
      </c>
    </row>
    <row r="170" spans="1:4" x14ac:dyDescent="0.45">
      <c r="B170" s="1" t="s">
        <v>41</v>
      </c>
      <c r="C170" s="153">
        <v>46</v>
      </c>
      <c r="D170" s="153">
        <v>618</v>
      </c>
    </row>
    <row r="171" spans="1:4" x14ac:dyDescent="0.45">
      <c r="B171" s="1" t="s">
        <v>42</v>
      </c>
      <c r="C171" s="153">
        <v>43</v>
      </c>
      <c r="D171" s="153">
        <v>1078</v>
      </c>
    </row>
    <row r="172" spans="1:4" x14ac:dyDescent="0.45">
      <c r="B172" s="1" t="s">
        <v>43</v>
      </c>
      <c r="C172" s="153" t="s">
        <v>248</v>
      </c>
      <c r="D172" s="153" t="s">
        <v>248</v>
      </c>
    </row>
    <row r="173" spans="1:4" x14ac:dyDescent="0.45">
      <c r="B173" s="1" t="s">
        <v>44</v>
      </c>
      <c r="C173" s="153">
        <v>40</v>
      </c>
      <c r="D173" s="153">
        <v>286</v>
      </c>
    </row>
    <row r="174" spans="1:4" x14ac:dyDescent="0.45">
      <c r="B174" s="1" t="s">
        <v>35</v>
      </c>
      <c r="C174" s="153">
        <v>36</v>
      </c>
      <c r="D174" s="153">
        <v>85</v>
      </c>
    </row>
    <row r="175" spans="1:4" x14ac:dyDescent="0.45">
      <c r="A175" t="s">
        <v>175</v>
      </c>
      <c r="B175" s="1" t="s">
        <v>27</v>
      </c>
      <c r="C175" s="153">
        <v>64</v>
      </c>
      <c r="D175" s="153">
        <v>133</v>
      </c>
    </row>
    <row r="176" spans="1:4" x14ac:dyDescent="0.45">
      <c r="B176" s="1" t="s">
        <v>28</v>
      </c>
      <c r="C176" s="153">
        <v>62</v>
      </c>
      <c r="D176" s="153">
        <v>155</v>
      </c>
    </row>
    <row r="177" spans="1:4" x14ac:dyDescent="0.45">
      <c r="B177" s="1" t="s">
        <v>29</v>
      </c>
      <c r="C177" s="153">
        <v>60</v>
      </c>
      <c r="D177" s="153">
        <v>122</v>
      </c>
    </row>
    <row r="178" spans="1:4" x14ac:dyDescent="0.45">
      <c r="B178" s="1" t="s">
        <v>30</v>
      </c>
      <c r="C178" s="153">
        <v>55</v>
      </c>
      <c r="D178" s="153">
        <v>287</v>
      </c>
    </row>
    <row r="179" spans="1:4" x14ac:dyDescent="0.45">
      <c r="B179" s="1" t="s">
        <v>31</v>
      </c>
      <c r="C179" s="153">
        <v>47</v>
      </c>
      <c r="D179" s="153">
        <v>357</v>
      </c>
    </row>
    <row r="180" spans="1:4" x14ac:dyDescent="0.45">
      <c r="B180" s="1" t="s">
        <v>32</v>
      </c>
      <c r="C180" s="153">
        <v>39</v>
      </c>
      <c r="D180" s="153">
        <v>280</v>
      </c>
    </row>
    <row r="181" spans="1:4" x14ac:dyDescent="0.45">
      <c r="B181" s="1" t="s">
        <v>33</v>
      </c>
      <c r="C181" s="153">
        <v>37</v>
      </c>
      <c r="D181" s="153">
        <v>203</v>
      </c>
    </row>
    <row r="182" spans="1:4" x14ac:dyDescent="0.45">
      <c r="B182" s="1" t="s">
        <v>34</v>
      </c>
      <c r="C182" s="153">
        <v>35</v>
      </c>
      <c r="D182" s="153">
        <v>103</v>
      </c>
    </row>
    <row r="183" spans="1:4" x14ac:dyDescent="0.45">
      <c r="B183" s="1" t="s">
        <v>36</v>
      </c>
      <c r="C183" s="153">
        <v>30</v>
      </c>
      <c r="D183" s="153">
        <v>53</v>
      </c>
    </row>
    <row r="184" spans="1:4" x14ac:dyDescent="0.45">
      <c r="A184" t="s">
        <v>176</v>
      </c>
      <c r="B184" s="1" t="s">
        <v>27</v>
      </c>
      <c r="C184" s="153">
        <v>72</v>
      </c>
      <c r="D184" s="153">
        <v>9</v>
      </c>
    </row>
    <row r="185" spans="1:4" x14ac:dyDescent="0.45">
      <c r="B185" s="1" t="s">
        <v>38</v>
      </c>
      <c r="C185" s="153">
        <v>66</v>
      </c>
      <c r="D185" s="153">
        <v>14</v>
      </c>
    </row>
    <row r="186" spans="1:4" x14ac:dyDescent="0.45">
      <c r="B186" s="1" t="s">
        <v>39</v>
      </c>
      <c r="C186" s="153">
        <v>55</v>
      </c>
      <c r="D186" s="153">
        <v>25</v>
      </c>
    </row>
    <row r="187" spans="1:4" x14ac:dyDescent="0.45">
      <c r="B187" s="1" t="s">
        <v>40</v>
      </c>
      <c r="C187" s="153">
        <v>49</v>
      </c>
      <c r="D187" s="153">
        <v>33</v>
      </c>
    </row>
    <row r="188" spans="1:4" x14ac:dyDescent="0.45">
      <c r="B188" s="1" t="s">
        <v>41</v>
      </c>
      <c r="C188" s="153">
        <v>45</v>
      </c>
      <c r="D188" s="153">
        <v>62</v>
      </c>
    </row>
    <row r="189" spans="1:4" x14ac:dyDescent="0.45">
      <c r="B189" s="1" t="s">
        <v>42</v>
      </c>
      <c r="C189" s="153">
        <v>43</v>
      </c>
      <c r="D189" s="153">
        <v>20</v>
      </c>
    </row>
    <row r="190" spans="1:4" x14ac:dyDescent="0.45">
      <c r="B190" s="1" t="s">
        <v>43</v>
      </c>
      <c r="C190" s="153">
        <v>41</v>
      </c>
      <c r="D190" s="153">
        <v>16</v>
      </c>
    </row>
    <row r="191" spans="1:4" x14ac:dyDescent="0.45">
      <c r="B191" s="1" t="s">
        <v>44</v>
      </c>
      <c r="C191" s="153">
        <v>38</v>
      </c>
      <c r="D191" s="153">
        <v>14</v>
      </c>
    </row>
    <row r="192" spans="1:4" x14ac:dyDescent="0.45">
      <c r="B192" s="1" t="s">
        <v>35</v>
      </c>
      <c r="C192" s="153">
        <v>33</v>
      </c>
      <c r="D192" s="153">
        <v>5</v>
      </c>
    </row>
    <row r="193" spans="1:4" x14ac:dyDescent="0.45">
      <c r="A193" t="s">
        <v>177</v>
      </c>
      <c r="B193" s="1" t="s">
        <v>27</v>
      </c>
      <c r="C193" s="153">
        <v>63</v>
      </c>
      <c r="D193" s="153">
        <v>54</v>
      </c>
    </row>
    <row r="194" spans="1:4" x14ac:dyDescent="0.45">
      <c r="B194" s="1" t="s">
        <v>28</v>
      </c>
      <c r="C194" s="153">
        <v>62</v>
      </c>
      <c r="D194" s="153">
        <v>16</v>
      </c>
    </row>
    <row r="195" spans="1:4" x14ac:dyDescent="0.45">
      <c r="B195" s="1" t="s">
        <v>29</v>
      </c>
      <c r="C195" s="153">
        <v>60</v>
      </c>
      <c r="D195" s="153">
        <v>64</v>
      </c>
    </row>
    <row r="196" spans="1:4" x14ac:dyDescent="0.45">
      <c r="B196" s="1" t="s">
        <v>30</v>
      </c>
      <c r="C196" s="153">
        <v>56</v>
      </c>
      <c r="D196" s="153">
        <v>95</v>
      </c>
    </row>
    <row r="197" spans="1:4" x14ac:dyDescent="0.45">
      <c r="B197" s="1" t="s">
        <v>31</v>
      </c>
      <c r="C197" s="153">
        <v>48</v>
      </c>
      <c r="D197" s="153">
        <v>111</v>
      </c>
    </row>
    <row r="198" spans="1:4" x14ac:dyDescent="0.45">
      <c r="B198" s="1" t="s">
        <v>32</v>
      </c>
      <c r="C198" s="153">
        <v>38</v>
      </c>
      <c r="D198" s="153">
        <v>103</v>
      </c>
    </row>
    <row r="199" spans="1:4" x14ac:dyDescent="0.45">
      <c r="B199" s="1" t="s">
        <v>33</v>
      </c>
      <c r="C199" s="153">
        <v>36</v>
      </c>
      <c r="D199" s="153">
        <v>82</v>
      </c>
    </row>
    <row r="200" spans="1:4" x14ac:dyDescent="0.45">
      <c r="B200" s="1" t="s">
        <v>34</v>
      </c>
      <c r="C200" s="153">
        <v>35</v>
      </c>
      <c r="D200" s="153">
        <v>14</v>
      </c>
    </row>
    <row r="201" spans="1:4" x14ac:dyDescent="0.45">
      <c r="B201" s="1" t="s">
        <v>36</v>
      </c>
      <c r="C201" s="153">
        <v>30</v>
      </c>
      <c r="D201" s="153">
        <v>17</v>
      </c>
    </row>
    <row r="202" spans="1:4" x14ac:dyDescent="0.45">
      <c r="A202" t="s">
        <v>178</v>
      </c>
      <c r="B202" s="1" t="s">
        <v>27</v>
      </c>
      <c r="C202" s="153">
        <v>66</v>
      </c>
      <c r="D202" s="153">
        <v>24</v>
      </c>
    </row>
    <row r="203" spans="1:4" x14ac:dyDescent="0.45">
      <c r="B203" s="1" t="s">
        <v>38</v>
      </c>
      <c r="C203" s="153">
        <v>64</v>
      </c>
      <c r="D203" s="153">
        <v>28</v>
      </c>
    </row>
    <row r="204" spans="1:4" x14ac:dyDescent="0.45">
      <c r="B204" s="1" t="s">
        <v>39</v>
      </c>
      <c r="C204" s="153">
        <v>60</v>
      </c>
      <c r="D204" s="153">
        <v>48</v>
      </c>
    </row>
    <row r="205" spans="1:4" x14ac:dyDescent="0.45">
      <c r="B205" s="1" t="s">
        <v>40</v>
      </c>
      <c r="C205" s="153">
        <v>54</v>
      </c>
      <c r="D205" s="153">
        <v>78</v>
      </c>
    </row>
    <row r="206" spans="1:4" x14ac:dyDescent="0.45">
      <c r="B206" s="1" t="s">
        <v>41</v>
      </c>
      <c r="C206" s="153">
        <v>46</v>
      </c>
      <c r="D206" s="153">
        <v>80</v>
      </c>
    </row>
    <row r="207" spans="1:4" x14ac:dyDescent="0.45">
      <c r="B207" s="1" t="s">
        <v>42</v>
      </c>
      <c r="C207" s="153">
        <v>40</v>
      </c>
      <c r="D207" s="153">
        <v>84</v>
      </c>
    </row>
    <row r="208" spans="1:4" x14ac:dyDescent="0.45">
      <c r="B208" s="1" t="s">
        <v>43</v>
      </c>
      <c r="C208" s="153">
        <v>37</v>
      </c>
      <c r="D208" s="153">
        <v>55</v>
      </c>
    </row>
    <row r="209" spans="1:4" x14ac:dyDescent="0.45">
      <c r="B209" s="1" t="s">
        <v>44</v>
      </c>
      <c r="C209" s="153">
        <v>34</v>
      </c>
      <c r="D209" s="153">
        <v>21</v>
      </c>
    </row>
    <row r="210" spans="1:4" x14ac:dyDescent="0.45">
      <c r="B210" s="1" t="s">
        <v>35</v>
      </c>
      <c r="C210" s="153">
        <v>29</v>
      </c>
      <c r="D210" s="153">
        <v>8</v>
      </c>
    </row>
    <row r="211" spans="1:4" x14ac:dyDescent="0.45">
      <c r="A211" t="s">
        <v>174</v>
      </c>
      <c r="B211" s="1" t="s">
        <v>27</v>
      </c>
      <c r="C211" s="153">
        <v>73</v>
      </c>
      <c r="D211" s="153">
        <v>2</v>
      </c>
    </row>
    <row r="212" spans="1:4" x14ac:dyDescent="0.45">
      <c r="B212" s="1" t="s">
        <v>28</v>
      </c>
      <c r="C212" s="153">
        <v>65</v>
      </c>
      <c r="D212" s="153">
        <v>3</v>
      </c>
    </row>
    <row r="213" spans="1:4" x14ac:dyDescent="0.45">
      <c r="B213" s="1" t="s">
        <v>29</v>
      </c>
      <c r="C213" s="153">
        <v>59</v>
      </c>
      <c r="D213" s="153">
        <v>4</v>
      </c>
    </row>
    <row r="214" spans="1:4" x14ac:dyDescent="0.45">
      <c r="B214" s="1" t="s">
        <v>30</v>
      </c>
      <c r="C214" s="153">
        <v>46</v>
      </c>
      <c r="D214" s="153">
        <v>7</v>
      </c>
    </row>
    <row r="215" spans="1:4" x14ac:dyDescent="0.45">
      <c r="B215" s="1" t="s">
        <v>31</v>
      </c>
      <c r="C215" s="153">
        <v>44</v>
      </c>
      <c r="D215" s="153">
        <v>9</v>
      </c>
    </row>
    <row r="216" spans="1:4" x14ac:dyDescent="0.45">
      <c r="B216" s="1" t="s">
        <v>32</v>
      </c>
      <c r="C216" s="153">
        <v>43</v>
      </c>
      <c r="D216" s="153">
        <v>8</v>
      </c>
    </row>
    <row r="217" spans="1:4" x14ac:dyDescent="0.45">
      <c r="B217" s="1" t="s">
        <v>33</v>
      </c>
      <c r="C217" s="154" t="s">
        <v>248</v>
      </c>
      <c r="D217" s="154" t="s">
        <v>248</v>
      </c>
    </row>
    <row r="218" spans="1:4" x14ac:dyDescent="0.45">
      <c r="B218" s="1" t="s">
        <v>34</v>
      </c>
      <c r="C218" s="153">
        <v>40</v>
      </c>
      <c r="D218" s="153">
        <v>3</v>
      </c>
    </row>
    <row r="219" spans="1:4" x14ac:dyDescent="0.45">
      <c r="B219" s="1" t="s">
        <v>36</v>
      </c>
      <c r="C219" s="153">
        <v>39</v>
      </c>
      <c r="D219" s="153">
        <v>1</v>
      </c>
    </row>
    <row r="220" spans="1:4" x14ac:dyDescent="0.45">
      <c r="A220" t="s">
        <v>179</v>
      </c>
      <c r="B220" s="1" t="s">
        <v>27</v>
      </c>
      <c r="C220" s="153">
        <v>69</v>
      </c>
      <c r="D220" s="153">
        <v>39</v>
      </c>
    </row>
    <row r="221" spans="1:4" x14ac:dyDescent="0.45">
      <c r="B221" s="1" t="s">
        <v>38</v>
      </c>
      <c r="C221" s="153">
        <v>66</v>
      </c>
      <c r="D221" s="153">
        <v>20</v>
      </c>
    </row>
    <row r="222" spans="1:4" x14ac:dyDescent="0.45">
      <c r="B222" s="1" t="s">
        <v>39</v>
      </c>
      <c r="C222" s="153">
        <v>58</v>
      </c>
      <c r="D222" s="153">
        <v>65</v>
      </c>
    </row>
    <row r="223" spans="1:4" x14ac:dyDescent="0.45">
      <c r="B223" s="1" t="s">
        <v>40</v>
      </c>
      <c r="C223" s="153">
        <v>51</v>
      </c>
      <c r="D223" s="153">
        <v>86</v>
      </c>
    </row>
    <row r="224" spans="1:4" x14ac:dyDescent="0.45">
      <c r="B224" s="1" t="s">
        <v>41</v>
      </c>
      <c r="C224" s="153">
        <v>44</v>
      </c>
      <c r="D224" s="153">
        <v>123</v>
      </c>
    </row>
    <row r="225" spans="1:4" x14ac:dyDescent="0.45">
      <c r="B225" s="1" t="s">
        <v>42</v>
      </c>
      <c r="C225" s="153">
        <v>42</v>
      </c>
      <c r="D225" s="153">
        <v>86</v>
      </c>
    </row>
    <row r="226" spans="1:4" x14ac:dyDescent="0.45">
      <c r="B226" s="1" t="s">
        <v>43</v>
      </c>
      <c r="C226" s="153">
        <v>40</v>
      </c>
      <c r="D226" s="153">
        <v>44</v>
      </c>
    </row>
    <row r="227" spans="1:4" x14ac:dyDescent="0.45">
      <c r="B227" s="1" t="s">
        <v>44</v>
      </c>
      <c r="C227" s="153">
        <v>37</v>
      </c>
      <c r="D227" s="153">
        <v>33</v>
      </c>
    </row>
    <row r="228" spans="1:4" x14ac:dyDescent="0.45">
      <c r="B228" s="1" t="s">
        <v>35</v>
      </c>
      <c r="C228" s="153">
        <v>32</v>
      </c>
      <c r="D228" s="153">
        <v>16</v>
      </c>
    </row>
    <row r="229" spans="1:4" x14ac:dyDescent="0.45">
      <c r="A229" t="s">
        <v>85</v>
      </c>
      <c r="B229" s="1" t="s">
        <v>27</v>
      </c>
      <c r="C229" s="153">
        <v>45</v>
      </c>
      <c r="D229" s="153">
        <v>41</v>
      </c>
    </row>
    <row r="230" spans="1:4" x14ac:dyDescent="0.45">
      <c r="B230" s="1" t="s">
        <v>28</v>
      </c>
      <c r="C230" s="153">
        <v>40</v>
      </c>
      <c r="D230" s="153">
        <v>54</v>
      </c>
    </row>
    <row r="231" spans="1:4" x14ac:dyDescent="0.45">
      <c r="B231" s="1" t="s">
        <v>29</v>
      </c>
      <c r="C231" s="153">
        <v>35</v>
      </c>
      <c r="D231" s="153">
        <v>33</v>
      </c>
    </row>
    <row r="232" spans="1:4" x14ac:dyDescent="0.45">
      <c r="B232" s="1" t="s">
        <v>30</v>
      </c>
      <c r="C232" s="153">
        <v>30</v>
      </c>
      <c r="D232" s="153">
        <v>30</v>
      </c>
    </row>
    <row r="233" spans="1:4" x14ac:dyDescent="0.45">
      <c r="B233" s="1" t="s">
        <v>31</v>
      </c>
      <c r="C233" s="153">
        <v>25</v>
      </c>
      <c r="D233" s="153">
        <v>28</v>
      </c>
    </row>
    <row r="234" spans="1:4" x14ac:dyDescent="0.45">
      <c r="B234" s="1" t="s">
        <v>32</v>
      </c>
      <c r="C234" s="153">
        <v>20</v>
      </c>
      <c r="D234" s="153">
        <v>22</v>
      </c>
    </row>
    <row r="235" spans="1:4" x14ac:dyDescent="0.45">
      <c r="B235" s="1" t="s">
        <v>33</v>
      </c>
      <c r="C235" s="153">
        <v>15</v>
      </c>
      <c r="D235" s="153">
        <v>26</v>
      </c>
    </row>
    <row r="236" spans="1:4" x14ac:dyDescent="0.45">
      <c r="B236" s="1" t="s">
        <v>34</v>
      </c>
      <c r="C236" s="153">
        <v>10</v>
      </c>
      <c r="D236" s="153">
        <v>27</v>
      </c>
    </row>
    <row r="237" spans="1:4" x14ac:dyDescent="0.45">
      <c r="B237" s="1" t="s">
        <v>36</v>
      </c>
      <c r="C237" s="153">
        <v>0</v>
      </c>
      <c r="D237" s="153">
        <v>14</v>
      </c>
    </row>
    <row r="238" spans="1:4" x14ac:dyDescent="0.45">
      <c r="A238" t="s">
        <v>86</v>
      </c>
      <c r="B238" s="1" t="s">
        <v>27</v>
      </c>
      <c r="C238" s="153">
        <v>45</v>
      </c>
      <c r="D238" s="153">
        <v>56</v>
      </c>
    </row>
    <row r="239" spans="1:4" x14ac:dyDescent="0.45">
      <c r="B239" s="1" t="s">
        <v>38</v>
      </c>
      <c r="C239" s="153">
        <v>40</v>
      </c>
      <c r="D239" s="153">
        <v>97</v>
      </c>
    </row>
    <row r="240" spans="1:4" x14ac:dyDescent="0.45">
      <c r="B240" s="1" t="s">
        <v>39</v>
      </c>
      <c r="C240" s="153">
        <v>35</v>
      </c>
      <c r="D240" s="153">
        <v>85</v>
      </c>
    </row>
    <row r="241" spans="1:4" x14ac:dyDescent="0.45">
      <c r="B241" s="1" t="s">
        <v>40</v>
      </c>
      <c r="C241" s="153">
        <v>30</v>
      </c>
      <c r="D241" s="153">
        <v>63</v>
      </c>
    </row>
    <row r="242" spans="1:4" x14ac:dyDescent="0.45">
      <c r="B242" s="1" t="s">
        <v>41</v>
      </c>
      <c r="C242" s="153">
        <v>25</v>
      </c>
      <c r="D242" s="153">
        <v>29</v>
      </c>
    </row>
    <row r="243" spans="1:4" x14ac:dyDescent="0.45">
      <c r="B243" s="1" t="s">
        <v>42</v>
      </c>
      <c r="C243" s="153">
        <v>20</v>
      </c>
      <c r="D243" s="153">
        <v>32</v>
      </c>
    </row>
    <row r="244" spans="1:4" x14ac:dyDescent="0.45">
      <c r="B244" s="1" t="s">
        <v>43</v>
      </c>
      <c r="C244" s="153">
        <v>15</v>
      </c>
      <c r="D244" s="153">
        <v>26</v>
      </c>
    </row>
    <row r="245" spans="1:4" x14ac:dyDescent="0.45">
      <c r="B245" s="1" t="s">
        <v>44</v>
      </c>
      <c r="C245" s="153">
        <v>10</v>
      </c>
      <c r="D245" s="153">
        <v>38</v>
      </c>
    </row>
    <row r="246" spans="1:4" x14ac:dyDescent="0.45">
      <c r="B246" s="1" t="s">
        <v>35</v>
      </c>
      <c r="C246" s="153">
        <v>0</v>
      </c>
      <c r="D246" s="153">
        <v>16</v>
      </c>
    </row>
    <row r="247" spans="1:4" x14ac:dyDescent="0.45">
      <c r="A247" t="s">
        <v>87</v>
      </c>
      <c r="B247" s="1" t="s">
        <v>27</v>
      </c>
      <c r="C247" s="153">
        <v>45</v>
      </c>
      <c r="D247" s="153">
        <v>96</v>
      </c>
    </row>
    <row r="248" spans="1:4" x14ac:dyDescent="0.45">
      <c r="B248" s="1" t="s">
        <v>28</v>
      </c>
      <c r="C248" s="153">
        <v>40</v>
      </c>
      <c r="D248" s="153">
        <v>103</v>
      </c>
    </row>
    <row r="249" spans="1:4" x14ac:dyDescent="0.45">
      <c r="B249" s="1" t="s">
        <v>29</v>
      </c>
      <c r="C249" s="153">
        <v>35</v>
      </c>
      <c r="D249" s="153">
        <v>70</v>
      </c>
    </row>
    <row r="250" spans="1:4" x14ac:dyDescent="0.45">
      <c r="B250" s="1" t="s">
        <v>30</v>
      </c>
      <c r="C250" s="153">
        <v>30</v>
      </c>
      <c r="D250" s="153">
        <v>42</v>
      </c>
    </row>
    <row r="251" spans="1:4" x14ac:dyDescent="0.45">
      <c r="B251" s="1" t="s">
        <v>31</v>
      </c>
      <c r="C251" s="153">
        <v>25</v>
      </c>
      <c r="D251" s="153">
        <v>41</v>
      </c>
    </row>
    <row r="252" spans="1:4" x14ac:dyDescent="0.45">
      <c r="B252" s="1" t="s">
        <v>32</v>
      </c>
      <c r="C252" s="153">
        <v>20</v>
      </c>
      <c r="D252" s="153">
        <v>36</v>
      </c>
    </row>
    <row r="253" spans="1:4" x14ac:dyDescent="0.45">
      <c r="B253" s="1" t="s">
        <v>33</v>
      </c>
      <c r="C253" s="153">
        <v>15</v>
      </c>
      <c r="D253" s="153">
        <v>26</v>
      </c>
    </row>
    <row r="254" spans="1:4" x14ac:dyDescent="0.45">
      <c r="B254" s="1" t="s">
        <v>34</v>
      </c>
      <c r="C254" s="153">
        <v>10</v>
      </c>
      <c r="D254" s="153">
        <v>41</v>
      </c>
    </row>
    <row r="255" spans="1:4" x14ac:dyDescent="0.45">
      <c r="B255" s="1" t="s">
        <v>36</v>
      </c>
      <c r="C255" s="153">
        <v>0</v>
      </c>
      <c r="D255" s="153">
        <v>15</v>
      </c>
    </row>
    <row r="256" spans="1:4" x14ac:dyDescent="0.45">
      <c r="A256" t="s">
        <v>88</v>
      </c>
      <c r="B256" s="1" t="s">
        <v>27</v>
      </c>
      <c r="C256" s="153">
        <v>45</v>
      </c>
      <c r="D256" s="153">
        <v>98</v>
      </c>
    </row>
    <row r="257" spans="1:4" x14ac:dyDescent="0.45">
      <c r="B257" s="1" t="s">
        <v>38</v>
      </c>
      <c r="C257" s="153">
        <v>40</v>
      </c>
      <c r="D257" s="153">
        <v>154</v>
      </c>
    </row>
    <row r="258" spans="1:4" x14ac:dyDescent="0.45">
      <c r="B258" s="1" t="s">
        <v>39</v>
      </c>
      <c r="C258" s="153">
        <v>35</v>
      </c>
      <c r="D258" s="153">
        <v>140</v>
      </c>
    </row>
    <row r="259" spans="1:4" x14ac:dyDescent="0.45">
      <c r="B259" s="1" t="s">
        <v>40</v>
      </c>
      <c r="C259" s="153">
        <v>30</v>
      </c>
      <c r="D259" s="153">
        <v>89</v>
      </c>
    </row>
    <row r="260" spans="1:4" x14ac:dyDescent="0.45">
      <c r="B260" s="1" t="s">
        <v>41</v>
      </c>
      <c r="C260" s="153">
        <v>25</v>
      </c>
      <c r="D260" s="153">
        <v>60</v>
      </c>
    </row>
    <row r="261" spans="1:4" x14ac:dyDescent="0.45">
      <c r="B261" s="1" t="s">
        <v>42</v>
      </c>
      <c r="C261" s="153">
        <v>20</v>
      </c>
      <c r="D261" s="153">
        <v>59</v>
      </c>
    </row>
    <row r="262" spans="1:4" x14ac:dyDescent="0.45">
      <c r="B262" s="1" t="s">
        <v>43</v>
      </c>
      <c r="C262" s="153">
        <v>15</v>
      </c>
      <c r="D262" s="153">
        <v>73</v>
      </c>
    </row>
    <row r="263" spans="1:4" x14ac:dyDescent="0.45">
      <c r="B263" s="1" t="s">
        <v>44</v>
      </c>
      <c r="C263" s="153">
        <v>10</v>
      </c>
      <c r="D263" s="153">
        <v>93</v>
      </c>
    </row>
    <row r="264" spans="1:4" x14ac:dyDescent="0.45">
      <c r="B264" s="1" t="s">
        <v>35</v>
      </c>
      <c r="C264" s="153">
        <v>0</v>
      </c>
      <c r="D264" s="153">
        <v>54</v>
      </c>
    </row>
    <row r="265" spans="1:4" x14ac:dyDescent="0.45">
      <c r="A265" t="s">
        <v>89</v>
      </c>
      <c r="B265" s="1" t="s">
        <v>27</v>
      </c>
      <c r="C265" s="153">
        <v>45</v>
      </c>
      <c r="D265" s="153">
        <v>166</v>
      </c>
    </row>
    <row r="266" spans="1:4" x14ac:dyDescent="0.45">
      <c r="B266" s="1" t="s">
        <v>28</v>
      </c>
      <c r="C266" s="153">
        <v>40</v>
      </c>
      <c r="D266" s="153">
        <v>107</v>
      </c>
    </row>
    <row r="267" spans="1:4" x14ac:dyDescent="0.45">
      <c r="B267" s="1" t="s">
        <v>29</v>
      </c>
      <c r="C267" s="153">
        <v>35</v>
      </c>
      <c r="D267" s="153">
        <v>78</v>
      </c>
    </row>
    <row r="268" spans="1:4" x14ac:dyDescent="0.45">
      <c r="B268" s="1" t="s">
        <v>30</v>
      </c>
      <c r="C268" s="153">
        <v>30</v>
      </c>
      <c r="D268" s="153">
        <v>46</v>
      </c>
    </row>
    <row r="269" spans="1:4" x14ac:dyDescent="0.45">
      <c r="B269" s="1" t="s">
        <v>31</v>
      </c>
      <c r="C269" s="153">
        <v>25</v>
      </c>
      <c r="D269" s="153">
        <v>37</v>
      </c>
    </row>
    <row r="270" spans="1:4" x14ac:dyDescent="0.45">
      <c r="B270" s="1" t="s">
        <v>32</v>
      </c>
      <c r="C270" s="153">
        <v>20</v>
      </c>
      <c r="D270" s="153">
        <v>44</v>
      </c>
    </row>
    <row r="271" spans="1:4" x14ac:dyDescent="0.45">
      <c r="B271" s="1" t="s">
        <v>33</v>
      </c>
      <c r="C271" s="153">
        <v>15</v>
      </c>
      <c r="D271" s="153">
        <v>67</v>
      </c>
    </row>
    <row r="272" spans="1:4" x14ac:dyDescent="0.45">
      <c r="B272" s="1" t="s">
        <v>34</v>
      </c>
      <c r="C272" s="153">
        <v>10</v>
      </c>
      <c r="D272" s="153">
        <v>74</v>
      </c>
    </row>
    <row r="273" spans="1:4" x14ac:dyDescent="0.45">
      <c r="B273" s="1" t="s">
        <v>36</v>
      </c>
      <c r="C273" s="153">
        <v>0</v>
      </c>
      <c r="D273" s="153">
        <v>47</v>
      </c>
    </row>
    <row r="274" spans="1:4" x14ac:dyDescent="0.45">
      <c r="A274" t="s">
        <v>90</v>
      </c>
      <c r="B274" s="1" t="s">
        <v>27</v>
      </c>
      <c r="C274" s="153">
        <v>45</v>
      </c>
      <c r="D274" s="153">
        <v>34</v>
      </c>
    </row>
    <row r="275" spans="1:4" x14ac:dyDescent="0.45">
      <c r="B275" s="1" t="s">
        <v>38</v>
      </c>
      <c r="C275" s="153">
        <v>40</v>
      </c>
      <c r="D275" s="153">
        <v>21</v>
      </c>
    </row>
    <row r="276" spans="1:4" x14ac:dyDescent="0.45">
      <c r="B276" s="1" t="s">
        <v>39</v>
      </c>
      <c r="C276" s="153">
        <v>35</v>
      </c>
      <c r="D276" s="153">
        <v>10</v>
      </c>
    </row>
    <row r="277" spans="1:4" x14ac:dyDescent="0.45">
      <c r="B277" s="1" t="s">
        <v>40</v>
      </c>
      <c r="C277" s="153">
        <v>30</v>
      </c>
      <c r="D277" s="153">
        <v>8</v>
      </c>
    </row>
    <row r="278" spans="1:4" x14ac:dyDescent="0.45">
      <c r="B278" s="1" t="s">
        <v>41</v>
      </c>
      <c r="C278" s="153">
        <v>25</v>
      </c>
      <c r="D278" s="153">
        <v>7</v>
      </c>
    </row>
    <row r="279" spans="1:4" x14ac:dyDescent="0.45">
      <c r="B279" s="1" t="s">
        <v>42</v>
      </c>
      <c r="C279" s="153">
        <v>20</v>
      </c>
      <c r="D279" s="153">
        <v>8</v>
      </c>
    </row>
    <row r="280" spans="1:4" x14ac:dyDescent="0.45">
      <c r="B280" s="1" t="s">
        <v>43</v>
      </c>
      <c r="C280" s="153">
        <v>15</v>
      </c>
      <c r="D280" s="153">
        <v>10</v>
      </c>
    </row>
    <row r="281" spans="1:4" x14ac:dyDescent="0.45">
      <c r="B281" s="1" t="s">
        <v>44</v>
      </c>
      <c r="C281" s="153">
        <v>10</v>
      </c>
      <c r="D281" s="153">
        <v>33</v>
      </c>
    </row>
    <row r="282" spans="1:4" x14ac:dyDescent="0.45">
      <c r="B282" s="1" t="s">
        <v>35</v>
      </c>
      <c r="C282" s="153">
        <v>0</v>
      </c>
      <c r="D282" s="153">
        <v>34</v>
      </c>
    </row>
    <row r="283" spans="1:4" x14ac:dyDescent="0.45">
      <c r="A283" t="s">
        <v>47</v>
      </c>
      <c r="B283" s="1" t="s">
        <v>27</v>
      </c>
      <c r="C283" s="153">
        <v>45</v>
      </c>
      <c r="D283" s="153">
        <v>11</v>
      </c>
    </row>
    <row r="284" spans="1:4" x14ac:dyDescent="0.45">
      <c r="B284" s="1" t="s">
        <v>28</v>
      </c>
      <c r="C284" s="153">
        <v>40</v>
      </c>
      <c r="D284" s="153">
        <v>26</v>
      </c>
    </row>
    <row r="285" spans="1:4" x14ac:dyDescent="0.45">
      <c r="B285" s="1" t="s">
        <v>29</v>
      </c>
      <c r="C285" s="153">
        <v>35</v>
      </c>
      <c r="D285" s="153">
        <v>41</v>
      </c>
    </row>
    <row r="286" spans="1:4" x14ac:dyDescent="0.45">
      <c r="B286" s="1" t="s">
        <v>30</v>
      </c>
      <c r="C286" s="153">
        <v>30</v>
      </c>
      <c r="D286" s="153">
        <v>61</v>
      </c>
    </row>
    <row r="287" spans="1:4" x14ac:dyDescent="0.45">
      <c r="B287" s="1" t="s">
        <v>31</v>
      </c>
      <c r="C287" s="153">
        <v>25</v>
      </c>
      <c r="D287" s="153">
        <v>52</v>
      </c>
    </row>
    <row r="288" spans="1:4" x14ac:dyDescent="0.45">
      <c r="B288" s="1" t="s">
        <v>32</v>
      </c>
      <c r="C288" s="153">
        <v>20</v>
      </c>
      <c r="D288" s="153">
        <v>44</v>
      </c>
    </row>
    <row r="289" spans="2:4" x14ac:dyDescent="0.45">
      <c r="B289" s="1" t="s">
        <v>33</v>
      </c>
      <c r="C289" s="153">
        <v>15</v>
      </c>
      <c r="D289" s="153">
        <v>26</v>
      </c>
    </row>
    <row r="290" spans="2:4" x14ac:dyDescent="0.45">
      <c r="B290" s="1" t="s">
        <v>34</v>
      </c>
      <c r="C290" s="153">
        <v>10</v>
      </c>
      <c r="D290" s="153">
        <v>20</v>
      </c>
    </row>
    <row r="291" spans="2:4" x14ac:dyDescent="0.45">
      <c r="B291" s="1" t="s">
        <v>36</v>
      </c>
      <c r="C291" s="153">
        <v>0</v>
      </c>
      <c r="D291" s="153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5"/>
  <dimension ref="A1:L16"/>
  <sheetViews>
    <sheetView workbookViewId="0">
      <selection activeCell="B2" sqref="B2:K16"/>
    </sheetView>
  </sheetViews>
  <sheetFormatPr defaultRowHeight="17" x14ac:dyDescent="0.45"/>
  <cols>
    <col min="2" max="2" width="1" style="4" customWidth="1"/>
    <col min="3" max="10" width="14.1640625" customWidth="1"/>
    <col min="11" max="11" width="1" customWidth="1"/>
  </cols>
  <sheetData>
    <row r="1" spans="1:12" x14ac:dyDescent="0.45">
      <c r="A1" s="4" t="s">
        <v>76</v>
      </c>
      <c r="C1" s="4"/>
      <c r="D1" s="4"/>
      <c r="E1" s="4"/>
      <c r="F1" s="4"/>
      <c r="G1" s="4"/>
      <c r="H1" s="4"/>
      <c r="I1" s="4"/>
      <c r="J1" s="4"/>
      <c r="K1" s="4"/>
    </row>
    <row r="2" spans="1:12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</row>
    <row r="3" spans="1:12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기능'!D4</f>
        <v>62.15</v>
      </c>
      <c r="I3" s="14" t="s">
        <v>99</v>
      </c>
      <c r="J3" s="36">
        <f>'통계 및 응시자 수 입력 기능'!C4</f>
        <v>253155</v>
      </c>
      <c r="K3" s="27"/>
    </row>
    <row r="4" spans="1:12" ht="25" customHeight="1" thickBot="1" x14ac:dyDescent="0.5">
      <c r="A4" s="4"/>
      <c r="B4" s="18"/>
      <c r="C4" s="37" t="s">
        <v>100</v>
      </c>
      <c r="D4" s="113" t="s">
        <v>103</v>
      </c>
      <c r="E4" s="114"/>
      <c r="F4" s="115"/>
      <c r="G4" s="38" t="s">
        <v>102</v>
      </c>
      <c r="H4" s="39" t="str">
        <f>'통계 및 응시자 수 입력 기능'!E4</f>
        <v>22.94</v>
      </c>
      <c r="I4" s="15"/>
      <c r="J4" s="28"/>
      <c r="K4" s="27"/>
    </row>
    <row r="5" spans="1:12" ht="25" customHeight="1" thickBot="1" x14ac:dyDescent="0.5">
      <c r="A5" s="4"/>
      <c r="B5" s="18"/>
      <c r="C5" s="28"/>
      <c r="D5" s="28"/>
      <c r="E5" s="28"/>
      <c r="F5" s="28"/>
      <c r="G5" s="116" t="s">
        <v>183</v>
      </c>
      <c r="H5" s="116"/>
      <c r="I5" s="116"/>
      <c r="J5" s="116"/>
      <c r="K5" s="27"/>
    </row>
    <row r="6" spans="1:12" ht="25" customHeight="1" thickBot="1" x14ac:dyDescent="0.5">
      <c r="A6" s="4"/>
      <c r="B6" s="18"/>
      <c r="C6" s="40" t="s">
        <v>104</v>
      </c>
      <c r="D6" s="41" t="s">
        <v>105</v>
      </c>
      <c r="E6" s="42" t="s">
        <v>106</v>
      </c>
      <c r="F6" s="43" t="s">
        <v>107</v>
      </c>
      <c r="G6" s="43" t="s">
        <v>108</v>
      </c>
      <c r="H6" s="44" t="s">
        <v>109</v>
      </c>
      <c r="I6" s="28"/>
      <c r="J6" s="28"/>
      <c r="K6" s="27"/>
      <c r="L6" s="4"/>
    </row>
    <row r="7" spans="1:12" ht="25" customHeight="1" x14ac:dyDescent="0.45">
      <c r="A7" s="4"/>
      <c r="B7" s="18"/>
      <c r="C7" s="63">
        <v>1</v>
      </c>
      <c r="D7" s="64">
        <v>90</v>
      </c>
      <c r="E7" s="47">
        <f>'표준점수 등급컷 입력기능'!D4</f>
        <v>26368</v>
      </c>
      <c r="F7" s="48">
        <f>E7/$J$3</f>
        <v>0.10415753194683099</v>
      </c>
      <c r="G7" s="49">
        <f>SUM($E$7:E7)</f>
        <v>26368</v>
      </c>
      <c r="H7" s="50">
        <f>G7/$J$3</f>
        <v>0.10415753194683099</v>
      </c>
      <c r="I7" s="28"/>
      <c r="J7" s="28"/>
      <c r="K7" s="27"/>
      <c r="L7" s="4"/>
    </row>
    <row r="8" spans="1:12" ht="25" customHeight="1" x14ac:dyDescent="0.45">
      <c r="A8" s="4"/>
      <c r="B8" s="18"/>
      <c r="C8" s="65">
        <v>2</v>
      </c>
      <c r="D8" s="66">
        <v>80</v>
      </c>
      <c r="E8" s="53">
        <f>'표준점수 등급컷 입력기능'!D5</f>
        <v>37741</v>
      </c>
      <c r="F8" s="54">
        <f t="shared" ref="F8:F15" si="0">E8/$J$3</f>
        <v>0.14908257786731449</v>
      </c>
      <c r="G8" s="55">
        <f>SUM($E$7:E8)</f>
        <v>64109</v>
      </c>
      <c r="H8" s="56">
        <f t="shared" ref="H8:H15" si="1">G8/$J$3</f>
        <v>0.25324010981414546</v>
      </c>
      <c r="I8" s="28"/>
      <c r="J8" s="28"/>
      <c r="K8" s="27"/>
      <c r="L8" s="4"/>
    </row>
    <row r="9" spans="1:12" ht="25" customHeight="1" x14ac:dyDescent="0.45">
      <c r="A9" s="4"/>
      <c r="B9" s="18"/>
      <c r="C9" s="65">
        <v>3</v>
      </c>
      <c r="D9" s="66">
        <v>70</v>
      </c>
      <c r="E9" s="53">
        <f>'표준점수 등급컷 입력기능'!D6</f>
        <v>47264</v>
      </c>
      <c r="F9" s="54">
        <f t="shared" si="0"/>
        <v>0.18669984791925895</v>
      </c>
      <c r="G9" s="55">
        <f>SUM($E$7:E9)</f>
        <v>111373</v>
      </c>
      <c r="H9" s="56">
        <f t="shared" si="1"/>
        <v>0.43993995773340444</v>
      </c>
      <c r="I9" s="28"/>
      <c r="J9" s="28"/>
      <c r="K9" s="27"/>
      <c r="L9" s="4"/>
    </row>
    <row r="10" spans="1:12" ht="25" customHeight="1" x14ac:dyDescent="0.45">
      <c r="A10" s="4"/>
      <c r="B10" s="18"/>
      <c r="C10" s="65">
        <v>4</v>
      </c>
      <c r="D10" s="66">
        <v>60</v>
      </c>
      <c r="E10" s="53">
        <f>'표준점수 등급컷 입력기능'!D7</f>
        <v>43710</v>
      </c>
      <c r="F10" s="54">
        <f t="shared" si="0"/>
        <v>0.17266101795342775</v>
      </c>
      <c r="G10" s="55">
        <f>SUM($E$7:E10)</f>
        <v>155083</v>
      </c>
      <c r="H10" s="56">
        <f t="shared" si="1"/>
        <v>0.61260097568683214</v>
      </c>
      <c r="I10" s="28"/>
      <c r="J10" s="28"/>
      <c r="K10" s="27"/>
      <c r="L10" s="4"/>
    </row>
    <row r="11" spans="1:12" ht="25" customHeight="1" x14ac:dyDescent="0.45">
      <c r="A11" s="4"/>
      <c r="B11" s="18"/>
      <c r="C11" s="65">
        <v>5</v>
      </c>
      <c r="D11" s="66">
        <v>50</v>
      </c>
      <c r="E11" s="53">
        <f>'표준점수 등급컷 입력기능'!D8</f>
        <v>29585</v>
      </c>
      <c r="F11" s="54">
        <f t="shared" si="0"/>
        <v>0.11686516165985265</v>
      </c>
      <c r="G11" s="55">
        <f>SUM($E$7:E11)</f>
        <v>184668</v>
      </c>
      <c r="H11" s="56">
        <f t="shared" si="1"/>
        <v>0.72946613734668486</v>
      </c>
      <c r="I11" s="28"/>
      <c r="J11" s="28"/>
      <c r="K11" s="27"/>
      <c r="L11" s="4"/>
    </row>
    <row r="12" spans="1:12" ht="25" customHeight="1" x14ac:dyDescent="0.45">
      <c r="A12" s="4"/>
      <c r="B12" s="18"/>
      <c r="C12" s="65">
        <v>6</v>
      </c>
      <c r="D12" s="66">
        <v>40</v>
      </c>
      <c r="E12" s="53">
        <f>'표준점수 등급컷 입력기능'!D9</f>
        <v>19446</v>
      </c>
      <c r="F12" s="54">
        <f t="shared" si="0"/>
        <v>7.6814599751140605E-2</v>
      </c>
      <c r="G12" s="55">
        <f>SUM($E$7:E12)</f>
        <v>204114</v>
      </c>
      <c r="H12" s="56">
        <f t="shared" si="1"/>
        <v>0.80628073709782544</v>
      </c>
      <c r="I12" s="28"/>
      <c r="J12" s="28"/>
      <c r="K12" s="27"/>
      <c r="L12" s="4"/>
    </row>
    <row r="13" spans="1:12" ht="25" customHeight="1" x14ac:dyDescent="0.45">
      <c r="A13" s="4"/>
      <c r="B13" s="18"/>
      <c r="C13" s="65">
        <v>7</v>
      </c>
      <c r="D13" s="66">
        <v>30</v>
      </c>
      <c r="E13" s="53">
        <f>'표준점수 등급컷 입력기능'!D10</f>
        <v>15308</v>
      </c>
      <c r="F13" s="54">
        <f t="shared" si="0"/>
        <v>6.0468882700321934E-2</v>
      </c>
      <c r="G13" s="55">
        <f>SUM($E$7:E13)</f>
        <v>219422</v>
      </c>
      <c r="H13" s="56">
        <f t="shared" si="1"/>
        <v>0.86674961979814735</v>
      </c>
      <c r="I13" s="28"/>
      <c r="J13" s="28"/>
      <c r="K13" s="27"/>
      <c r="L13" s="4"/>
    </row>
    <row r="14" spans="1:12" ht="25" customHeight="1" x14ac:dyDescent="0.45">
      <c r="A14" s="4"/>
      <c r="B14" s="18"/>
      <c r="C14" s="65">
        <v>8</v>
      </c>
      <c r="D14" s="66">
        <v>20</v>
      </c>
      <c r="E14" s="53">
        <f>'표준점수 등급컷 입력기능'!D11</f>
        <v>25102</v>
      </c>
      <c r="F14" s="54">
        <f t="shared" si="0"/>
        <v>9.915664316327942E-2</v>
      </c>
      <c r="G14" s="55">
        <f>SUM($E$7:E14)</f>
        <v>244524</v>
      </c>
      <c r="H14" s="56">
        <f t="shared" si="1"/>
        <v>0.96590626296142679</v>
      </c>
      <c r="I14" s="28"/>
      <c r="J14" s="28"/>
      <c r="K14" s="27"/>
      <c r="L14" s="4"/>
    </row>
    <row r="15" spans="1:12" ht="25" customHeight="1" thickBot="1" x14ac:dyDescent="0.5">
      <c r="A15" s="4"/>
      <c r="B15" s="18"/>
      <c r="C15" s="67">
        <v>9</v>
      </c>
      <c r="D15" s="68">
        <v>0</v>
      </c>
      <c r="E15" s="59">
        <f>'표준점수 등급컷 입력기능'!D12</f>
        <v>8631</v>
      </c>
      <c r="F15" s="60">
        <f t="shared" si="0"/>
        <v>3.4093737038573206E-2</v>
      </c>
      <c r="G15" s="61">
        <f>SUM($E$7:E15)</f>
        <v>253155</v>
      </c>
      <c r="H15" s="62">
        <f t="shared" si="1"/>
        <v>1</v>
      </c>
      <c r="I15" s="28"/>
      <c r="J15" s="28"/>
      <c r="K15" s="27"/>
      <c r="L15" s="4"/>
    </row>
    <row r="16" spans="1:12" ht="6" customHeight="1" x14ac:dyDescent="0.45">
      <c r="A16" s="4"/>
      <c r="B16" s="21"/>
      <c r="C16" s="22"/>
      <c r="D16" s="22"/>
      <c r="E16" s="22"/>
      <c r="F16" s="22"/>
      <c r="G16" s="22"/>
      <c r="H16" s="22"/>
      <c r="I16" s="22"/>
      <c r="J16" s="22"/>
      <c r="K16" s="23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6"/>
  <dimension ref="A1:L16"/>
  <sheetViews>
    <sheetView workbookViewId="0">
      <selection activeCell="B2" sqref="B2:K16"/>
    </sheetView>
  </sheetViews>
  <sheetFormatPr defaultRowHeight="17" x14ac:dyDescent="0.45"/>
  <cols>
    <col min="2" max="2" width="1" style="4" customWidth="1"/>
    <col min="3" max="10" width="14.1640625" customWidth="1"/>
    <col min="11" max="11" width="1" customWidth="1"/>
  </cols>
  <sheetData>
    <row r="1" spans="1:12" x14ac:dyDescent="0.45">
      <c r="A1" s="4" t="s">
        <v>76</v>
      </c>
      <c r="C1" s="4"/>
      <c r="D1" s="4"/>
      <c r="E1" s="4"/>
      <c r="F1" s="4"/>
      <c r="G1" s="4"/>
      <c r="H1" s="4"/>
      <c r="I1" s="4"/>
      <c r="J1" s="4"/>
      <c r="K1" s="4"/>
    </row>
    <row r="2" spans="1:12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</row>
    <row r="3" spans="1:12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기능'!D5</f>
        <v>26.62</v>
      </c>
      <c r="I3" s="14" t="s">
        <v>99</v>
      </c>
      <c r="J3" s="36">
        <f>'통계 및 응시자 수 입력 기능'!C5</f>
        <v>253881</v>
      </c>
      <c r="K3" s="27"/>
    </row>
    <row r="4" spans="1:12" ht="25" customHeight="1" thickBot="1" x14ac:dyDescent="0.5">
      <c r="A4" s="4"/>
      <c r="B4" s="18"/>
      <c r="C4" s="37" t="s">
        <v>100</v>
      </c>
      <c r="D4" s="113" t="s">
        <v>101</v>
      </c>
      <c r="E4" s="114"/>
      <c r="F4" s="115"/>
      <c r="G4" s="38" t="s">
        <v>102</v>
      </c>
      <c r="H4" s="39" t="str">
        <f>'통계 및 응시자 수 입력 기능'!E5</f>
        <v>11.51</v>
      </c>
      <c r="I4" s="15"/>
      <c r="J4" s="28"/>
      <c r="K4" s="27"/>
    </row>
    <row r="5" spans="1:12" ht="25" customHeight="1" thickBot="1" x14ac:dyDescent="0.5">
      <c r="A5" s="4"/>
      <c r="B5" s="18"/>
      <c r="C5" s="28"/>
      <c r="D5" s="28"/>
      <c r="E5" s="28"/>
      <c r="F5" s="28"/>
      <c r="G5" s="116" t="s">
        <v>183</v>
      </c>
      <c r="H5" s="116"/>
      <c r="I5" s="116"/>
      <c r="J5" s="116"/>
      <c r="K5" s="27"/>
    </row>
    <row r="6" spans="1:12" ht="25" customHeight="1" thickBot="1" x14ac:dyDescent="0.5">
      <c r="A6" s="4"/>
      <c r="B6" s="18"/>
      <c r="C6" s="40" t="s">
        <v>104</v>
      </c>
      <c r="D6" s="41" t="s">
        <v>105</v>
      </c>
      <c r="E6" s="42" t="s">
        <v>106</v>
      </c>
      <c r="F6" s="43" t="s">
        <v>107</v>
      </c>
      <c r="G6" s="43" t="s">
        <v>108</v>
      </c>
      <c r="H6" s="44" t="s">
        <v>109</v>
      </c>
      <c r="I6" s="28"/>
      <c r="J6" s="28"/>
      <c r="K6" s="27"/>
      <c r="L6" s="4"/>
    </row>
    <row r="7" spans="1:12" ht="25" customHeight="1" x14ac:dyDescent="0.45">
      <c r="A7" s="4"/>
      <c r="B7" s="18"/>
      <c r="C7" s="45">
        <v>1</v>
      </c>
      <c r="D7" s="46">
        <v>40</v>
      </c>
      <c r="E7" s="47">
        <f>'표준점수 등급컷 입력기능'!D13</f>
        <v>37344</v>
      </c>
      <c r="F7" s="48">
        <f>E7/$J$3</f>
        <v>0.14709253547922058</v>
      </c>
      <c r="G7" s="49">
        <f>SUM($E$7:E7)</f>
        <v>37344</v>
      </c>
      <c r="H7" s="50">
        <f>G7/$J$3</f>
        <v>0.14709253547922058</v>
      </c>
      <c r="I7" s="28"/>
      <c r="J7" s="28"/>
      <c r="K7" s="27"/>
      <c r="L7" s="4"/>
    </row>
    <row r="8" spans="1:12" ht="25" customHeight="1" x14ac:dyDescent="0.45">
      <c r="A8" s="4"/>
      <c r="B8" s="18"/>
      <c r="C8" s="51">
        <v>2</v>
      </c>
      <c r="D8" s="52">
        <v>35</v>
      </c>
      <c r="E8" s="53">
        <f>'표준점수 등급컷 입력기능'!D14</f>
        <v>32777</v>
      </c>
      <c r="F8" s="54">
        <f t="shared" ref="F8:F15" si="0">E8/$J$3</f>
        <v>0.12910379272178699</v>
      </c>
      <c r="G8" s="55">
        <f>SUM($E$7:E8)</f>
        <v>70121</v>
      </c>
      <c r="H8" s="56">
        <f t="shared" ref="H8:H15" si="1">G8/$J$3</f>
        <v>0.27619632820100753</v>
      </c>
      <c r="I8" s="28"/>
      <c r="J8" s="28"/>
      <c r="K8" s="27"/>
      <c r="L8" s="4"/>
    </row>
    <row r="9" spans="1:12" ht="25" customHeight="1" x14ac:dyDescent="0.45">
      <c r="A9" s="4"/>
      <c r="B9" s="18"/>
      <c r="C9" s="51">
        <v>3</v>
      </c>
      <c r="D9" s="52">
        <v>30</v>
      </c>
      <c r="E9" s="53">
        <f>'표준점수 등급컷 입력기능'!D15</f>
        <v>38280</v>
      </c>
      <c r="F9" s="54">
        <f t="shared" si="0"/>
        <v>0.15077930211398252</v>
      </c>
      <c r="G9" s="55">
        <f>SUM($E$7:E9)</f>
        <v>108401</v>
      </c>
      <c r="H9" s="56">
        <f t="shared" si="1"/>
        <v>0.42697563031499008</v>
      </c>
      <c r="I9" s="28"/>
      <c r="J9" s="28"/>
      <c r="K9" s="27"/>
      <c r="L9" s="4"/>
    </row>
    <row r="10" spans="1:12" ht="25" customHeight="1" x14ac:dyDescent="0.45">
      <c r="A10" s="4"/>
      <c r="B10" s="18"/>
      <c r="C10" s="51">
        <v>4</v>
      </c>
      <c r="D10" s="52">
        <v>25</v>
      </c>
      <c r="E10" s="53">
        <f>'표준점수 등급컷 입력기능'!D16</f>
        <v>38756</v>
      </c>
      <c r="F10" s="54">
        <f t="shared" si="0"/>
        <v>0.15265419625730164</v>
      </c>
      <c r="G10" s="55">
        <f>SUM($E$7:E10)</f>
        <v>147157</v>
      </c>
      <c r="H10" s="56">
        <f t="shared" si="1"/>
        <v>0.57962982657229178</v>
      </c>
      <c r="I10" s="28"/>
      <c r="J10" s="28"/>
      <c r="K10" s="27"/>
      <c r="L10" s="4"/>
    </row>
    <row r="11" spans="1:12" ht="25" customHeight="1" x14ac:dyDescent="0.45">
      <c r="A11" s="4"/>
      <c r="B11" s="18"/>
      <c r="C11" s="51">
        <v>5</v>
      </c>
      <c r="D11" s="52">
        <v>20</v>
      </c>
      <c r="E11" s="53">
        <f>'표준점수 등급컷 입력기능'!D17</f>
        <v>33338</v>
      </c>
      <c r="F11" s="54">
        <f t="shared" si="0"/>
        <v>0.13131348939069878</v>
      </c>
      <c r="G11" s="55">
        <f>SUM($E$7:E11)</f>
        <v>180495</v>
      </c>
      <c r="H11" s="56">
        <f t="shared" si="1"/>
        <v>0.71094331596299054</v>
      </c>
      <c r="I11" s="28"/>
      <c r="J11" s="28"/>
      <c r="K11" s="27"/>
      <c r="L11" s="4"/>
    </row>
    <row r="12" spans="1:12" ht="25" customHeight="1" x14ac:dyDescent="0.45">
      <c r="A12" s="4"/>
      <c r="B12" s="18"/>
      <c r="C12" s="51">
        <v>6</v>
      </c>
      <c r="D12" s="52">
        <v>15</v>
      </c>
      <c r="E12" s="53">
        <f>'표준점수 등급컷 입력기능'!D18</f>
        <v>24576</v>
      </c>
      <c r="F12" s="54">
        <f t="shared" si="0"/>
        <v>9.6801257281954933E-2</v>
      </c>
      <c r="G12" s="55">
        <f>SUM($E$7:E12)</f>
        <v>205071</v>
      </c>
      <c r="H12" s="56">
        <f t="shared" si="1"/>
        <v>0.80774457324494542</v>
      </c>
      <c r="I12" s="28"/>
      <c r="J12" s="28"/>
      <c r="K12" s="27"/>
      <c r="L12" s="4"/>
    </row>
    <row r="13" spans="1:12" ht="25" customHeight="1" x14ac:dyDescent="0.45">
      <c r="A13" s="4"/>
      <c r="B13" s="18"/>
      <c r="C13" s="51">
        <v>7</v>
      </c>
      <c r="D13" s="52">
        <v>10</v>
      </c>
      <c r="E13" s="53">
        <f>'표준점수 등급컷 입력기능'!D19</f>
        <v>23173</v>
      </c>
      <c r="F13" s="54">
        <f t="shared" si="0"/>
        <v>9.1275046183054265E-2</v>
      </c>
      <c r="G13" s="55">
        <f>SUM($E$7:E13)</f>
        <v>228244</v>
      </c>
      <c r="H13" s="56">
        <f t="shared" si="1"/>
        <v>0.89901961942799968</v>
      </c>
      <c r="I13" s="28"/>
      <c r="J13" s="28"/>
      <c r="K13" s="27"/>
      <c r="L13" s="4"/>
    </row>
    <row r="14" spans="1:12" ht="25" customHeight="1" x14ac:dyDescent="0.45">
      <c r="A14" s="4"/>
      <c r="B14" s="18"/>
      <c r="C14" s="51">
        <v>8</v>
      </c>
      <c r="D14" s="52">
        <v>5</v>
      </c>
      <c r="E14" s="53">
        <f>'표준점수 등급컷 입력기능'!D20</f>
        <v>23039</v>
      </c>
      <c r="F14" s="54">
        <f t="shared" si="0"/>
        <v>9.0747239848590483E-2</v>
      </c>
      <c r="G14" s="55">
        <f>SUM($E$7:E14)</f>
        <v>251283</v>
      </c>
      <c r="H14" s="56">
        <f t="shared" si="1"/>
        <v>0.98976685927659025</v>
      </c>
      <c r="I14" s="28"/>
      <c r="J14" s="28"/>
      <c r="K14" s="27"/>
      <c r="L14" s="4"/>
    </row>
    <row r="15" spans="1:12" ht="25" customHeight="1" thickBot="1" x14ac:dyDescent="0.5">
      <c r="A15" s="4"/>
      <c r="B15" s="18"/>
      <c r="C15" s="57">
        <v>9</v>
      </c>
      <c r="D15" s="58">
        <v>0</v>
      </c>
      <c r="E15" s="59">
        <f>'표준점수 등급컷 입력기능'!D21</f>
        <v>2598</v>
      </c>
      <c r="F15" s="60">
        <f t="shared" si="0"/>
        <v>1.0233140723409787E-2</v>
      </c>
      <c r="G15" s="61">
        <f>SUM($E$7:E15)</f>
        <v>253881</v>
      </c>
      <c r="H15" s="62">
        <f t="shared" si="1"/>
        <v>1</v>
      </c>
      <c r="I15" s="28"/>
      <c r="J15" s="28"/>
      <c r="K15" s="27"/>
      <c r="L15" s="4"/>
    </row>
    <row r="16" spans="1:12" ht="6" customHeight="1" x14ac:dyDescent="0.45">
      <c r="A16" s="4"/>
      <c r="B16" s="21"/>
      <c r="C16" s="22"/>
      <c r="D16" s="22"/>
      <c r="E16" s="22"/>
      <c r="F16" s="22"/>
      <c r="G16" s="22"/>
      <c r="H16" s="22"/>
      <c r="I16" s="22"/>
      <c r="J16" s="22"/>
      <c r="K16" s="23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7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기능'!D6</f>
        <v>24.39</v>
      </c>
      <c r="I3" s="14" t="s">
        <v>110</v>
      </c>
      <c r="J3" s="36">
        <f>'통계 및 응시자 수 입력 기능'!C6</f>
        <v>88205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112</v>
      </c>
      <c r="E4" s="114"/>
      <c r="F4" s="115"/>
      <c r="G4" s="38" t="s">
        <v>113</v>
      </c>
      <c r="H4" s="39" t="str">
        <f>'통계 및 응시자 수 입력 기능'!E6</f>
        <v>13.66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69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98.63</v>
      </c>
      <c r="G7" s="73">
        <f>_xlfn.IFNA(VLOOKUP(D7,'인원 입력 기능 (사과탐)'!$A$5:$D$53,4,FALSE),0)</f>
        <v>2408</v>
      </c>
      <c r="H7" s="74">
        <f>G7/$J$3</f>
        <v>2.7300039680290232E-2</v>
      </c>
      <c r="I7" s="75">
        <f>G7</f>
        <v>2408</v>
      </c>
      <c r="J7" s="76">
        <f>I7/$J$3</f>
        <v>2.7300039680290232E-2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입력기능'!C22</f>
        <v>67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입력기능'!C23</f>
        <v>64</v>
      </c>
    </row>
    <row r="9" spans="1:17" ht="25" customHeight="1" x14ac:dyDescent="0.45">
      <c r="A9" s="4"/>
      <c r="B9" s="18"/>
      <c r="C9" s="70">
        <v>48</v>
      </c>
      <c r="D9" s="161">
        <f>ROUND(10*(C9-$H$3)/$H$4+50,0)</f>
        <v>67</v>
      </c>
      <c r="E9" s="161">
        <f t="shared" si="0"/>
        <v>1</v>
      </c>
      <c r="F9" s="163">
        <f>IF(I8=0,ROUND(100*(1-(I7+I9)/2/$J$3),2),ROUND(100*(1-(I8+I9)/2/$J$3),2))</f>
        <v>94.99</v>
      </c>
      <c r="G9" s="165">
        <f>_xlfn.IFNA(VLOOKUP(D9,'인원 입력 기능 (사과탐)'!$A$5:$D$53,4,FALSE),0)</f>
        <v>4014</v>
      </c>
      <c r="H9" s="166">
        <f>G9/$J$3</f>
        <v>4.5507624284337619E-2</v>
      </c>
      <c r="I9" s="168">
        <f>SUM($G$7:G9)</f>
        <v>6422</v>
      </c>
      <c r="J9" s="170">
        <f>I9/$J$3</f>
        <v>7.2807663964627858E-2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입력기능'!C24</f>
        <v>60</v>
      </c>
    </row>
    <row r="10" spans="1:17" ht="25" customHeight="1" x14ac:dyDescent="0.45">
      <c r="A10" s="4"/>
      <c r="B10" s="18"/>
      <c r="C10" s="77">
        <v>47</v>
      </c>
      <c r="D10" s="160"/>
      <c r="E10" s="160"/>
      <c r="F10" s="162"/>
      <c r="G10" s="164"/>
      <c r="H10" s="167"/>
      <c r="I10" s="169"/>
      <c r="J10" s="171"/>
      <c r="K10" s="32"/>
      <c r="L10" s="3" t="str">
        <f t="shared" si="1"/>
        <v>경고</v>
      </c>
      <c r="P10" s="1">
        <v>4</v>
      </c>
      <c r="Q10" s="1">
        <f>'표준점수 등급컷 입력기능'!C25</f>
        <v>53</v>
      </c>
    </row>
    <row r="11" spans="1:17" ht="25" customHeight="1" x14ac:dyDescent="0.45">
      <c r="A11" s="4"/>
      <c r="B11" s="18"/>
      <c r="C11" s="70">
        <v>46</v>
      </c>
      <c r="D11" s="71">
        <f t="shared" ref="D10:D55" si="2">ROUND(10*(C11-$H$3)/$H$4+50,0)</f>
        <v>66</v>
      </c>
      <c r="E11" s="71">
        <f t="shared" si="0"/>
        <v>2</v>
      </c>
      <c r="F11" s="72">
        <f t="shared" ref="F10:F55" si="3">IF(I10=0,ROUND(100*(1-(I9+I11)/2/$J$3),2),ROUND(100*(1-(I10+I11)/2/$J$3),2))</f>
        <v>92.65</v>
      </c>
      <c r="G11" s="73">
        <f>IF(D11=D10,"",_xlfn.IFNA(VLOOKUP(D11,'인원 입력 기능 (사과탐)'!$A$5:$D$53,4,FALSE),0))</f>
        <v>129</v>
      </c>
      <c r="H11" s="74">
        <f t="shared" ref="H10:H55" si="4">G11/$J$3</f>
        <v>1.462502125729834E-3</v>
      </c>
      <c r="I11" s="78">
        <f>SUM($G$7:G11)</f>
        <v>6551</v>
      </c>
      <c r="J11" s="76">
        <f t="shared" ref="J10:J55" si="5">I11/$J$3</f>
        <v>7.4270166090357692E-2</v>
      </c>
      <c r="K11" s="32"/>
      <c r="L11" s="3" t="str">
        <f t="shared" si="1"/>
        <v/>
      </c>
      <c r="P11" s="1">
        <v>5</v>
      </c>
      <c r="Q11" s="1">
        <f>'표준점수 등급컷 입력기능'!C26</f>
        <v>45</v>
      </c>
    </row>
    <row r="12" spans="1:17" ht="25" customHeight="1" x14ac:dyDescent="0.45">
      <c r="A12" s="4"/>
      <c r="B12" s="18"/>
      <c r="C12" s="77">
        <v>45</v>
      </c>
      <c r="D12" s="71">
        <f t="shared" si="2"/>
        <v>65</v>
      </c>
      <c r="E12" s="71">
        <f t="shared" si="0"/>
        <v>2</v>
      </c>
      <c r="F12" s="72">
        <f t="shared" si="3"/>
        <v>91.63</v>
      </c>
      <c r="G12" s="73">
        <f>IF(D12=D11,"",_xlfn.IFNA(VLOOKUP(D12,'인원 입력 기능 (사과탐)'!$A$5:$D$53,4,FALSE),0))</f>
        <v>1662</v>
      </c>
      <c r="H12" s="74">
        <f t="shared" si="4"/>
        <v>1.8842469247775068E-2</v>
      </c>
      <c r="I12" s="78">
        <f>SUM($G$7:G12)</f>
        <v>8213</v>
      </c>
      <c r="J12" s="76">
        <f t="shared" si="5"/>
        <v>9.3112635338132757E-2</v>
      </c>
      <c r="K12" s="32"/>
      <c r="L12" s="3" t="str">
        <f t="shared" si="1"/>
        <v/>
      </c>
      <c r="P12" s="1">
        <v>6</v>
      </c>
      <c r="Q12" s="1">
        <f>'표준점수 등급컷 입력기능'!C27</f>
        <v>40</v>
      </c>
    </row>
    <row r="13" spans="1:17" ht="25" customHeight="1" x14ac:dyDescent="0.45">
      <c r="A13" s="4"/>
      <c r="B13" s="18"/>
      <c r="C13" s="70">
        <v>44</v>
      </c>
      <c r="D13" s="161">
        <f t="shared" si="2"/>
        <v>64</v>
      </c>
      <c r="E13" s="161">
        <f t="shared" si="0"/>
        <v>2</v>
      </c>
      <c r="F13" s="163">
        <f t="shared" si="3"/>
        <v>88.79</v>
      </c>
      <c r="G13" s="165">
        <f>IF(D13=D12,"",_xlfn.IFNA(VLOOKUP(D13,'인원 입력 기능 (사과탐)'!$A$5:$D$53,4,FALSE),0))</f>
        <v>3350</v>
      </c>
      <c r="H13" s="166">
        <f t="shared" si="4"/>
        <v>3.7979706365852274E-2</v>
      </c>
      <c r="I13" s="168">
        <f>SUM($G$7:G13)</f>
        <v>11563</v>
      </c>
      <c r="J13" s="170">
        <f t="shared" si="5"/>
        <v>0.13109234170398504</v>
      </c>
      <c r="K13" s="32"/>
      <c r="L13" s="3" t="str">
        <f t="shared" si="1"/>
        <v/>
      </c>
      <c r="P13" s="1">
        <v>7</v>
      </c>
      <c r="Q13" s="1">
        <f>'표준점수 등급컷 입력기능'!C28</f>
        <v>38</v>
      </c>
    </row>
    <row r="14" spans="1:17" ht="25" customHeight="1" x14ac:dyDescent="0.45">
      <c r="A14" s="4"/>
      <c r="B14" s="18"/>
      <c r="C14" s="77">
        <v>43</v>
      </c>
      <c r="D14" s="160"/>
      <c r="E14" s="160"/>
      <c r="F14" s="162"/>
      <c r="G14" s="164"/>
      <c r="H14" s="167"/>
      <c r="I14" s="169"/>
      <c r="J14" s="171"/>
      <c r="K14" s="32"/>
      <c r="L14" s="3" t="str">
        <f t="shared" si="1"/>
        <v>경고</v>
      </c>
      <c r="P14" s="1">
        <v>8</v>
      </c>
      <c r="Q14" s="1">
        <f>'표준점수 등급컷 입력기능'!C29</f>
        <v>37</v>
      </c>
    </row>
    <row r="15" spans="1:17" ht="25" customHeight="1" x14ac:dyDescent="0.45">
      <c r="A15" s="4"/>
      <c r="B15" s="18"/>
      <c r="C15" s="70">
        <v>42</v>
      </c>
      <c r="D15" s="71">
        <f t="shared" si="2"/>
        <v>63</v>
      </c>
      <c r="E15" s="71">
        <f t="shared" si="0"/>
        <v>3</v>
      </c>
      <c r="F15" s="72">
        <f t="shared" si="3"/>
        <v>85.63</v>
      </c>
      <c r="G15" s="73">
        <f>IF(D15=D14,"",_xlfn.IFNA(VLOOKUP(D15,'인원 입력 기능 (사과탐)'!$A$5:$D$53,4,FALSE),0))</f>
        <v>2232</v>
      </c>
      <c r="H15" s="74">
        <f t="shared" si="4"/>
        <v>2.5304687942860383E-2</v>
      </c>
      <c r="I15" s="78">
        <f>SUM($G$7:G15)</f>
        <v>13795</v>
      </c>
      <c r="J15" s="76">
        <f t="shared" si="5"/>
        <v>0.1563970296468454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71">
        <f t="shared" si="2"/>
        <v>62</v>
      </c>
      <c r="E16" s="71">
        <f t="shared" si="0"/>
        <v>3</v>
      </c>
      <c r="F16" s="72">
        <f t="shared" si="3"/>
        <v>83.14</v>
      </c>
      <c r="G16" s="73">
        <f>IF(D16=D15,"",_xlfn.IFNA(VLOOKUP(D16,'인원 입력 기능 (사과탐)'!$A$5:$D$53,4,FALSE),0))</f>
        <v>2149</v>
      </c>
      <c r="H16" s="74">
        <f t="shared" si="4"/>
        <v>2.4363698203049712E-2</v>
      </c>
      <c r="I16" s="78">
        <f>SUM($G$7:G16)</f>
        <v>15944</v>
      </c>
      <c r="J16" s="76">
        <f t="shared" si="5"/>
        <v>0.18076072784989514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161">
        <f t="shared" si="2"/>
        <v>61</v>
      </c>
      <c r="E17" s="161">
        <f t="shared" si="0"/>
        <v>3</v>
      </c>
      <c r="F17" s="163">
        <f t="shared" si="3"/>
        <v>80.099999999999994</v>
      </c>
      <c r="G17" s="165">
        <f>IF(D17=D16,"",_xlfn.IFNA(VLOOKUP(D17,'인원 입력 기능 (사과탐)'!$A$5:$D$53,4,FALSE),0))</f>
        <v>3223</v>
      </c>
      <c r="H17" s="166">
        <f t="shared" si="4"/>
        <v>3.6539878691684145E-2</v>
      </c>
      <c r="I17" s="168">
        <f>SUM($G$7:G17)</f>
        <v>19167</v>
      </c>
      <c r="J17" s="170">
        <f t="shared" si="5"/>
        <v>0.21730060654157929</v>
      </c>
      <c r="K17" s="32"/>
      <c r="L17" s="3" t="str">
        <f t="shared" si="1"/>
        <v/>
      </c>
      <c r="P17" s="1">
        <f>Q7*H3*H4*J3*IFERROR(IF(J57=1, 1, 0), 0)</f>
        <v>1968931044.6390002</v>
      </c>
    </row>
    <row r="18" spans="1:16" ht="25" customHeight="1" x14ac:dyDescent="0.45">
      <c r="A18" s="4"/>
      <c r="B18" s="18"/>
      <c r="C18" s="77">
        <v>39</v>
      </c>
      <c r="D18" s="160"/>
      <c r="E18" s="160"/>
      <c r="F18" s="162"/>
      <c r="G18" s="164"/>
      <c r="H18" s="167"/>
      <c r="I18" s="169"/>
      <c r="J18" s="171"/>
      <c r="K18" s="32"/>
      <c r="L18" s="3" t="str">
        <f t="shared" si="1"/>
        <v>경고</v>
      </c>
    </row>
    <row r="19" spans="1:16" ht="25" customHeight="1" x14ac:dyDescent="0.45">
      <c r="A19" s="4"/>
      <c r="B19" s="18"/>
      <c r="C19" s="70">
        <v>38</v>
      </c>
      <c r="D19" s="71">
        <f t="shared" si="2"/>
        <v>60</v>
      </c>
      <c r="E19" s="71">
        <f t="shared" si="0"/>
        <v>3</v>
      </c>
      <c r="F19" s="72">
        <f t="shared" si="3"/>
        <v>77.37</v>
      </c>
      <c r="G19" s="73">
        <f>IF(D19=D18,"",_xlfn.IFNA(VLOOKUP(D19,'인원 입력 기능 (사과탐)'!$A$5:$D$53,4,FALSE),0))</f>
        <v>1589</v>
      </c>
      <c r="H19" s="74">
        <f t="shared" si="4"/>
        <v>1.8014851765772916E-2</v>
      </c>
      <c r="I19" s="78">
        <f>SUM($G$7:G19)</f>
        <v>20756</v>
      </c>
      <c r="J19" s="76">
        <f t="shared" si="5"/>
        <v>0.2353154583073522</v>
      </c>
      <c r="K19" s="32"/>
      <c r="L19" s="3" t="str">
        <f t="shared" si="1"/>
        <v/>
      </c>
    </row>
    <row r="20" spans="1:16" ht="25" customHeight="1" x14ac:dyDescent="0.45">
      <c r="A20" s="4"/>
      <c r="B20" s="18"/>
      <c r="C20" s="77">
        <v>37</v>
      </c>
      <c r="D20" s="161">
        <f t="shared" si="2"/>
        <v>59</v>
      </c>
      <c r="E20" s="161">
        <f t="shared" si="0"/>
        <v>4</v>
      </c>
      <c r="F20" s="163">
        <f t="shared" si="3"/>
        <v>74.56</v>
      </c>
      <c r="G20" s="165">
        <f>IF(D20=D19,"",_xlfn.IFNA(VLOOKUP(D20,'인원 입력 기능 (사과탐)'!$A$5:$D$53,4,FALSE),0))</f>
        <v>3358</v>
      </c>
      <c r="H20" s="166">
        <f t="shared" si="4"/>
        <v>3.8070404172099087E-2</v>
      </c>
      <c r="I20" s="168">
        <f>SUM($G$7:G20)</f>
        <v>24114</v>
      </c>
      <c r="J20" s="170">
        <f t="shared" si="5"/>
        <v>0.27338586247945129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160"/>
      <c r="E21" s="160"/>
      <c r="F21" s="162"/>
      <c r="G21" s="164"/>
      <c r="H21" s="167"/>
      <c r="I21" s="169"/>
      <c r="J21" s="171"/>
      <c r="K21" s="32"/>
      <c r="L21" s="3" t="str">
        <f t="shared" si="1"/>
        <v>경고</v>
      </c>
    </row>
    <row r="22" spans="1:16" ht="25" customHeight="1" x14ac:dyDescent="0.45">
      <c r="A22" s="4"/>
      <c r="B22" s="18"/>
      <c r="C22" s="81">
        <v>35</v>
      </c>
      <c r="D22" s="80">
        <f t="shared" si="2"/>
        <v>58</v>
      </c>
      <c r="E22" s="80">
        <f t="shared" si="0"/>
        <v>4</v>
      </c>
      <c r="F22" s="72">
        <f t="shared" si="3"/>
        <v>71.97</v>
      </c>
      <c r="G22" s="73">
        <f>IF(D22=D21,"",_xlfn.IFNA(VLOOKUP(D22,'인원 입력 기능 (사과탐)'!$A$5:$D$53,4,FALSE),0))</f>
        <v>1224</v>
      </c>
      <c r="H22" s="74">
        <f t="shared" si="4"/>
        <v>1.3876764355762145E-2</v>
      </c>
      <c r="I22" s="78">
        <f>SUM($G$7:G22)</f>
        <v>25338</v>
      </c>
      <c r="J22" s="76">
        <f t="shared" si="5"/>
        <v>0.28726262683521342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80">
        <f t="shared" si="2"/>
        <v>57</v>
      </c>
      <c r="E23" s="80">
        <f t="shared" si="0"/>
        <v>4</v>
      </c>
      <c r="F23" s="72">
        <f t="shared" si="3"/>
        <v>70.45</v>
      </c>
      <c r="G23" s="73">
        <f>IF(D23=D22,"",_xlfn.IFNA(VLOOKUP(D23,'인원 입력 기능 (사과탐)'!$A$5:$D$53,4,FALSE),0))</f>
        <v>1456</v>
      </c>
      <c r="H23" s="74">
        <f t="shared" si="4"/>
        <v>1.6507000736919675E-2</v>
      </c>
      <c r="I23" s="78">
        <f>SUM($G$7:G23)</f>
        <v>26794</v>
      </c>
      <c r="J23" s="76">
        <f t="shared" si="5"/>
        <v>0.30376962757213311</v>
      </c>
      <c r="K23" s="32"/>
      <c r="L23" s="3" t="str">
        <f t="shared" si="1"/>
        <v/>
      </c>
    </row>
    <row r="24" spans="1:16" ht="25" customHeight="1" x14ac:dyDescent="0.45">
      <c r="A24" s="4"/>
      <c r="B24" s="18"/>
      <c r="C24" s="81">
        <v>33</v>
      </c>
      <c r="D24" s="173">
        <f t="shared" si="2"/>
        <v>56</v>
      </c>
      <c r="E24" s="173">
        <f t="shared" si="0"/>
        <v>4</v>
      </c>
      <c r="F24" s="163">
        <f t="shared" si="3"/>
        <v>67.959999999999994</v>
      </c>
      <c r="G24" s="165">
        <f>IF(D24=D23,"",_xlfn.IFNA(VLOOKUP(D24,'인원 입력 기능 (사과탐)'!$A$5:$D$53,4,FALSE),0))</f>
        <v>2937</v>
      </c>
      <c r="H24" s="166">
        <f t="shared" si="4"/>
        <v>3.3297432118360636E-2</v>
      </c>
      <c r="I24" s="168">
        <f>SUM($G$7:G24)</f>
        <v>29731</v>
      </c>
      <c r="J24" s="170">
        <f t="shared" si="5"/>
        <v>0.33706705969049372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172"/>
      <c r="E25" s="172"/>
      <c r="F25" s="162"/>
      <c r="G25" s="164"/>
      <c r="H25" s="167"/>
      <c r="I25" s="169"/>
      <c r="J25" s="171"/>
      <c r="K25" s="32"/>
      <c r="L25" s="3" t="str">
        <f t="shared" si="1"/>
        <v>경고</v>
      </c>
    </row>
    <row r="26" spans="1:16" ht="25" customHeight="1" x14ac:dyDescent="0.45">
      <c r="A26" s="4"/>
      <c r="B26" s="18"/>
      <c r="C26" s="81">
        <v>31</v>
      </c>
      <c r="D26" s="80">
        <f t="shared" si="2"/>
        <v>55</v>
      </c>
      <c r="E26" s="80">
        <f t="shared" si="0"/>
        <v>4</v>
      </c>
      <c r="F26" s="72">
        <f t="shared" si="3"/>
        <v>65.400000000000006</v>
      </c>
      <c r="G26" s="73">
        <f>IF(D26=D25,"",_xlfn.IFNA(VLOOKUP(D26,'인원 입력 기능 (사과탐)'!$A$5:$D$53,4,FALSE),0))</f>
        <v>1569</v>
      </c>
      <c r="H26" s="74">
        <f t="shared" si="4"/>
        <v>1.7788107250155887E-2</v>
      </c>
      <c r="I26" s="78">
        <f>SUM($G$7:G26)</f>
        <v>31300</v>
      </c>
      <c r="J26" s="76">
        <f t="shared" si="5"/>
        <v>0.35485516694064961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80">
        <f t="shared" si="2"/>
        <v>54</v>
      </c>
      <c r="E27" s="80">
        <f t="shared" si="0"/>
        <v>4</v>
      </c>
      <c r="F27" s="72">
        <f t="shared" si="3"/>
        <v>63.66</v>
      </c>
      <c r="G27" s="73">
        <f>IF(D27=D26,"",_xlfn.IFNA(VLOOKUP(D27,'인원 입력 기능 (사과탐)'!$A$5:$D$53,4,FALSE),0))</f>
        <v>1511</v>
      </c>
      <c r="H27" s="74">
        <f t="shared" si="4"/>
        <v>1.7130548154866504E-2</v>
      </c>
      <c r="I27" s="78">
        <f>SUM($G$7:G27)</f>
        <v>32811</v>
      </c>
      <c r="J27" s="76">
        <f t="shared" si="5"/>
        <v>0.37198571509551615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173">
        <f t="shared" si="2"/>
        <v>53</v>
      </c>
      <c r="E28" s="173">
        <f t="shared" si="0"/>
        <v>4</v>
      </c>
      <c r="F28" s="163">
        <f t="shared" si="3"/>
        <v>61.16</v>
      </c>
      <c r="G28" s="165">
        <f>IF(D28=D27,"",_xlfn.IFNA(VLOOKUP(D28,'인원 입력 기능 (사과탐)'!$A$5:$D$53,4,FALSE),0))</f>
        <v>2903</v>
      </c>
      <c r="H28" s="166">
        <f t="shared" si="4"/>
        <v>3.2911966441811685E-2</v>
      </c>
      <c r="I28" s="168">
        <f>SUM($G$7:G28)</f>
        <v>35714</v>
      </c>
      <c r="J28" s="170">
        <f t="shared" si="5"/>
        <v>0.4048976815373278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172"/>
      <c r="E29" s="172"/>
      <c r="F29" s="162"/>
      <c r="G29" s="164"/>
      <c r="H29" s="167"/>
      <c r="I29" s="169"/>
      <c r="J29" s="171"/>
      <c r="K29" s="32"/>
      <c r="L29" s="3" t="str">
        <f t="shared" si="1"/>
        <v>경고</v>
      </c>
    </row>
    <row r="30" spans="1:16" ht="25" customHeight="1" x14ac:dyDescent="0.45">
      <c r="A30" s="4"/>
      <c r="B30" s="18"/>
      <c r="C30" s="81">
        <v>27</v>
      </c>
      <c r="D30" s="80">
        <f t="shared" si="2"/>
        <v>52</v>
      </c>
      <c r="E30" s="80">
        <f t="shared" si="0"/>
        <v>5</v>
      </c>
      <c r="F30" s="72">
        <f t="shared" si="3"/>
        <v>58.69</v>
      </c>
      <c r="G30" s="73">
        <f>IF(D30=D29,"",_xlfn.IFNA(VLOOKUP(D30,'인원 입력 기능 (사과탐)'!$A$5:$D$53,4,FALSE),0))</f>
        <v>1444</v>
      </c>
      <c r="H30" s="74">
        <f t="shared" si="4"/>
        <v>1.6370954027549459E-2</v>
      </c>
      <c r="I30" s="78">
        <f>SUM($G$7:G30)</f>
        <v>37158</v>
      </c>
      <c r="J30" s="76">
        <f t="shared" si="5"/>
        <v>0.42126863556487726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80">
        <f t="shared" si="2"/>
        <v>51</v>
      </c>
      <c r="E31" s="80">
        <f t="shared" si="0"/>
        <v>5</v>
      </c>
      <c r="F31" s="72">
        <f t="shared" si="3"/>
        <v>57</v>
      </c>
      <c r="G31" s="73">
        <f>IF(D31=D30,"",_xlfn.IFNA(VLOOKUP(D31,'인원 입력 기능 (사과탐)'!$A$5:$D$53,4,FALSE),0))</f>
        <v>1535</v>
      </c>
      <c r="H31" s="74">
        <f t="shared" si="4"/>
        <v>1.740264157360694E-2</v>
      </c>
      <c r="I31" s="78">
        <f>SUM($G$7:G31)</f>
        <v>38693</v>
      </c>
      <c r="J31" s="76">
        <f t="shared" si="5"/>
        <v>0.43867127713848419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173">
        <f t="shared" si="2"/>
        <v>50</v>
      </c>
      <c r="E32" s="173">
        <f t="shared" si="0"/>
        <v>5</v>
      </c>
      <c r="F32" s="163">
        <f t="shared" si="3"/>
        <v>54.44</v>
      </c>
      <c r="G32" s="165">
        <f>IF(D32=D31,"",_xlfn.IFNA(VLOOKUP(D32,'인원 입력 기능 (사과탐)'!$A$5:$D$53,4,FALSE),0))</f>
        <v>2985</v>
      </c>
      <c r="H32" s="166">
        <f t="shared" si="4"/>
        <v>3.3841618955841507E-2</v>
      </c>
      <c r="I32" s="168">
        <f>SUM($G$7:G32)</f>
        <v>41678</v>
      </c>
      <c r="J32" s="170">
        <f t="shared" si="5"/>
        <v>0.47251289609432573</v>
      </c>
      <c r="K32" s="32"/>
      <c r="L32" s="3" t="str">
        <f t="shared" si="1"/>
        <v/>
      </c>
    </row>
    <row r="33" spans="1:12" ht="25" customHeight="1" x14ac:dyDescent="0.45">
      <c r="A33" s="4"/>
      <c r="B33" s="18"/>
      <c r="C33" s="79">
        <v>24</v>
      </c>
      <c r="D33" s="172"/>
      <c r="E33" s="172"/>
      <c r="F33" s="162"/>
      <c r="G33" s="164"/>
      <c r="H33" s="167"/>
      <c r="I33" s="169"/>
      <c r="J33" s="171"/>
      <c r="K33" s="32"/>
      <c r="L33" s="3" t="str">
        <f t="shared" si="1"/>
        <v>경고</v>
      </c>
    </row>
    <row r="34" spans="1:12" ht="25" customHeight="1" x14ac:dyDescent="0.45">
      <c r="A34" s="4"/>
      <c r="B34" s="18"/>
      <c r="C34" s="81">
        <v>23</v>
      </c>
      <c r="D34" s="80">
        <f t="shared" si="2"/>
        <v>49</v>
      </c>
      <c r="E34" s="80">
        <f t="shared" si="0"/>
        <v>5</v>
      </c>
      <c r="F34" s="72">
        <f t="shared" si="3"/>
        <v>51.75</v>
      </c>
      <c r="G34" s="73">
        <f>IF(D34=D33,"",_xlfn.IFNA(VLOOKUP(D34,'인원 입력 기능 (사과탐)'!$A$5:$D$53,4,FALSE),0))</f>
        <v>1763</v>
      </c>
      <c r="H34" s="74">
        <f t="shared" si="4"/>
        <v>1.9987529051641063E-2</v>
      </c>
      <c r="I34" s="78">
        <f>SUM($G$7:G34)</f>
        <v>43441</v>
      </c>
      <c r="J34" s="76">
        <f t="shared" si="5"/>
        <v>0.49250042514596676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173">
        <f t="shared" si="2"/>
        <v>48</v>
      </c>
      <c r="E35" s="173">
        <f t="shared" si="0"/>
        <v>5</v>
      </c>
      <c r="F35" s="163">
        <f t="shared" si="3"/>
        <v>48.81</v>
      </c>
      <c r="G35" s="165">
        <f>IF(D35=D34,"",_xlfn.IFNA(VLOOKUP(D35,'인원 입력 기능 (사과탐)'!$A$5:$D$53,4,FALSE),0))</f>
        <v>3428</v>
      </c>
      <c r="H35" s="166">
        <f t="shared" si="4"/>
        <v>3.8864009976758686E-2</v>
      </c>
      <c r="I35" s="168">
        <f>SUM($G$7:G35)</f>
        <v>46869</v>
      </c>
      <c r="J35" s="170">
        <f t="shared" si="5"/>
        <v>0.53136443512272546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172"/>
      <c r="E36" s="172"/>
      <c r="F36" s="162"/>
      <c r="G36" s="164"/>
      <c r="H36" s="167"/>
      <c r="I36" s="169"/>
      <c r="J36" s="171"/>
      <c r="K36" s="32"/>
      <c r="L36" s="3" t="str">
        <f t="shared" si="1"/>
        <v>경고</v>
      </c>
    </row>
    <row r="37" spans="1:12" ht="25" customHeight="1" x14ac:dyDescent="0.45">
      <c r="A37" s="4"/>
      <c r="B37" s="18"/>
      <c r="C37" s="79">
        <v>20</v>
      </c>
      <c r="D37" s="80">
        <f t="shared" si="2"/>
        <v>47</v>
      </c>
      <c r="E37" s="80">
        <f t="shared" si="0"/>
        <v>5</v>
      </c>
      <c r="F37" s="72">
        <f t="shared" si="3"/>
        <v>45.74</v>
      </c>
      <c r="G37" s="73">
        <f>IF(D37=D36,"",_xlfn.IFNA(VLOOKUP(D37,'인원 입력 기능 (사과탐)'!$A$5:$D$53,4,FALSE),0))</f>
        <v>1984</v>
      </c>
      <c r="H37" s="74">
        <f t="shared" si="4"/>
        <v>2.249305594920923E-2</v>
      </c>
      <c r="I37" s="78">
        <f>SUM($G$7:G37)</f>
        <v>48853</v>
      </c>
      <c r="J37" s="76">
        <f t="shared" si="5"/>
        <v>0.55385749107193472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80">
        <f t="shared" si="2"/>
        <v>46</v>
      </c>
      <c r="E38" s="80">
        <f t="shared" si="0"/>
        <v>5</v>
      </c>
      <c r="F38" s="72">
        <f t="shared" si="3"/>
        <v>43.56</v>
      </c>
      <c r="G38" s="73">
        <f>IF(D38=D37,"",_xlfn.IFNA(VLOOKUP(D38,'인원 입력 기능 (사과탐)'!$A$5:$D$53,4,FALSE),0))</f>
        <v>1859</v>
      </c>
      <c r="H38" s="74">
        <f t="shared" si="4"/>
        <v>2.1075902726602799E-2</v>
      </c>
      <c r="I38" s="78">
        <f>SUM($G$7:G38)</f>
        <v>50712</v>
      </c>
      <c r="J38" s="76">
        <f t="shared" si="5"/>
        <v>0.57493339379853747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173">
        <f t="shared" si="2"/>
        <v>45</v>
      </c>
      <c r="E39" s="173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63">
        <f t="shared" si="3"/>
        <v>40.049999999999997</v>
      </c>
      <c r="G39" s="165">
        <f>IF(D39=D38,"",_xlfn.IFNA(VLOOKUP(D39,'인원 입력 기능 (사과탐)'!$A$5:$D$53,4,FALSE),0))</f>
        <v>4332</v>
      </c>
      <c r="H39" s="166">
        <f t="shared" si="4"/>
        <v>4.9112862082648374E-2</v>
      </c>
      <c r="I39" s="168">
        <f>SUM($G$7:G39)</f>
        <v>55044</v>
      </c>
      <c r="J39" s="170">
        <f t="shared" si="5"/>
        <v>0.6240462558811859</v>
      </c>
      <c r="K39" s="32"/>
      <c r="L39" s="3" t="str">
        <f t="shared" si="1"/>
        <v/>
      </c>
    </row>
    <row r="40" spans="1:12" ht="25" customHeight="1" x14ac:dyDescent="0.45">
      <c r="A40" s="4"/>
      <c r="B40" s="18"/>
      <c r="C40" s="81">
        <v>17</v>
      </c>
      <c r="D40" s="172"/>
      <c r="E40" s="172"/>
      <c r="F40" s="162"/>
      <c r="G40" s="164"/>
      <c r="H40" s="167"/>
      <c r="I40" s="169"/>
      <c r="J40" s="171"/>
      <c r="K40" s="32"/>
      <c r="L40" s="3" t="str">
        <f t="shared" si="1"/>
        <v>경고</v>
      </c>
    </row>
    <row r="41" spans="1:12" ht="25" customHeight="1" x14ac:dyDescent="0.45">
      <c r="A41" s="4"/>
      <c r="B41" s="18"/>
      <c r="C41" s="79">
        <v>16</v>
      </c>
      <c r="D41" s="80">
        <f t="shared" si="2"/>
        <v>44</v>
      </c>
      <c r="E41" s="80">
        <f t="shared" si="6"/>
        <v>6</v>
      </c>
      <c r="F41" s="72">
        <f t="shared" si="3"/>
        <v>36.31</v>
      </c>
      <c r="G41" s="73">
        <f>IF(D41=D40,"",_xlfn.IFNA(VLOOKUP(D41,'인원 입력 기능 (사과탐)'!$A$5:$D$53,4,FALSE),0))</f>
        <v>2260</v>
      </c>
      <c r="H41" s="74">
        <f t="shared" si="4"/>
        <v>2.5622130264724222E-2</v>
      </c>
      <c r="I41" s="78">
        <f>SUM($G$7:G41)</f>
        <v>57304</v>
      </c>
      <c r="J41" s="76">
        <f t="shared" si="5"/>
        <v>0.64966838614591005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80">
        <f t="shared" si="2"/>
        <v>43</v>
      </c>
      <c r="E42" s="80">
        <f t="shared" si="6"/>
        <v>6</v>
      </c>
      <c r="F42" s="72">
        <f t="shared" si="3"/>
        <v>33.68</v>
      </c>
      <c r="G42" s="73">
        <f>IF(D42=D41,"",_xlfn.IFNA(VLOOKUP(D42,'인원 입력 기능 (사과탐)'!$A$5:$D$53,4,FALSE),0))</f>
        <v>2386</v>
      </c>
      <c r="H42" s="74">
        <f t="shared" si="4"/>
        <v>2.7050620713111501E-2</v>
      </c>
      <c r="I42" s="78">
        <f>SUM($G$7:G42)</f>
        <v>59690</v>
      </c>
      <c r="J42" s="76">
        <f t="shared" si="5"/>
        <v>0.67671900685902164</v>
      </c>
      <c r="K42" s="32"/>
      <c r="L42" s="3" t="str">
        <f t="shared" si="1"/>
        <v/>
      </c>
    </row>
    <row r="43" spans="1:12" ht="25" customHeight="1" x14ac:dyDescent="0.45">
      <c r="A43" s="4"/>
      <c r="B43" s="18"/>
      <c r="C43" s="79">
        <v>14</v>
      </c>
      <c r="D43" s="173">
        <f t="shared" si="2"/>
        <v>42</v>
      </c>
      <c r="E43" s="173">
        <f t="shared" si="6"/>
        <v>6</v>
      </c>
      <c r="F43" s="163">
        <f t="shared" si="3"/>
        <v>29.29</v>
      </c>
      <c r="G43" s="165">
        <f>IF(D43=D42,"",_xlfn.IFNA(VLOOKUP(D43,'인원 입력 기능 (사과탐)'!$A$5:$D$53,4,FALSE),0))</f>
        <v>5366</v>
      </c>
      <c r="H43" s="166">
        <f t="shared" si="4"/>
        <v>6.0835553540048749E-2</v>
      </c>
      <c r="I43" s="168">
        <f>SUM($G$7:G43)</f>
        <v>65056</v>
      </c>
      <c r="J43" s="170">
        <f t="shared" si="5"/>
        <v>0.7375545603990703</v>
      </c>
      <c r="K43" s="32"/>
      <c r="L43" s="3" t="str">
        <f t="shared" si="1"/>
        <v/>
      </c>
    </row>
    <row r="44" spans="1:12" ht="25" customHeight="1" x14ac:dyDescent="0.45">
      <c r="A44" s="4"/>
      <c r="B44" s="18"/>
      <c r="C44" s="81">
        <v>13</v>
      </c>
      <c r="D44" s="172"/>
      <c r="E44" s="172"/>
      <c r="F44" s="162"/>
      <c r="G44" s="164"/>
      <c r="H44" s="167"/>
      <c r="I44" s="169"/>
      <c r="J44" s="171"/>
      <c r="K44" s="32"/>
      <c r="L44" s="3" t="str">
        <f t="shared" si="1"/>
        <v>경고</v>
      </c>
    </row>
    <row r="45" spans="1:12" ht="25" customHeight="1" x14ac:dyDescent="0.45">
      <c r="A45" s="4"/>
      <c r="B45" s="18"/>
      <c r="C45" s="79">
        <v>12</v>
      </c>
      <c r="D45" s="80">
        <f t="shared" si="2"/>
        <v>41</v>
      </c>
      <c r="E45" s="80">
        <f t="shared" si="6"/>
        <v>6</v>
      </c>
      <c r="F45" s="72">
        <f t="shared" si="3"/>
        <v>24.89</v>
      </c>
      <c r="G45" s="73">
        <f>IF(D45=D44,"",_xlfn.IFNA(VLOOKUP(D45,'인원 입력 기능 (사과탐)'!$A$5:$D$53,4,FALSE),0))</f>
        <v>2382</v>
      </c>
      <c r="H45" s="74">
        <f t="shared" si="4"/>
        <v>2.7005271809988095E-2</v>
      </c>
      <c r="I45" s="78">
        <f>SUM($G$7:G45)</f>
        <v>67438</v>
      </c>
      <c r="J45" s="76">
        <f t="shared" si="5"/>
        <v>0.76455983220905843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80">
        <f t="shared" si="2"/>
        <v>40</v>
      </c>
      <c r="E46" s="80">
        <f t="shared" si="6"/>
        <v>6</v>
      </c>
      <c r="F46" s="72">
        <f t="shared" si="3"/>
        <v>22.18</v>
      </c>
      <c r="G46" s="73">
        <f>IF(D46=D45,"",_xlfn.IFNA(VLOOKUP(D46,'인원 입력 기능 (사과탐)'!$A$5:$D$53,4,FALSE),0))</f>
        <v>2401</v>
      </c>
      <c r="H46" s="74">
        <f t="shared" si="4"/>
        <v>2.7220679099824271E-2</v>
      </c>
      <c r="I46" s="78">
        <f>SUM($G$7:G46)</f>
        <v>69839</v>
      </c>
      <c r="J46" s="76">
        <f t="shared" si="5"/>
        <v>0.79178051130888272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173">
        <f t="shared" si="2"/>
        <v>39</v>
      </c>
      <c r="E47" s="173">
        <f t="shared" si="6"/>
        <v>7</v>
      </c>
      <c r="F47" s="163">
        <f t="shared" si="3"/>
        <v>16.579999999999998</v>
      </c>
      <c r="G47" s="165">
        <f>IF(D47=D46,"",_xlfn.IFNA(VLOOKUP(D47,'인원 입력 기능 (사과탐)'!$A$5:$D$53,4,FALSE),0))</f>
        <v>7477</v>
      </c>
      <c r="H47" s="166">
        <f t="shared" si="4"/>
        <v>8.4768437163426108E-2</v>
      </c>
      <c r="I47" s="168">
        <f>SUM($G$7:G47)</f>
        <v>77316</v>
      </c>
      <c r="J47" s="170">
        <f t="shared" si="5"/>
        <v>0.8765489484723088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81">
        <v>9</v>
      </c>
      <c r="D48" s="172"/>
      <c r="E48" s="172"/>
      <c r="F48" s="162"/>
      <c r="G48" s="164"/>
      <c r="H48" s="167"/>
      <c r="I48" s="169"/>
      <c r="J48" s="171"/>
      <c r="K48" s="32"/>
      <c r="L48" s="3" t="str">
        <f t="shared" si="1"/>
        <v>경고</v>
      </c>
    </row>
    <row r="49" spans="1:12" ht="25" customHeight="1" x14ac:dyDescent="0.45">
      <c r="A49" s="4"/>
      <c r="B49" s="18"/>
      <c r="C49" s="79">
        <v>8</v>
      </c>
      <c r="D49" s="80">
        <f t="shared" si="2"/>
        <v>38</v>
      </c>
      <c r="E49" s="80">
        <f t="shared" si="6"/>
        <v>7</v>
      </c>
      <c r="F49" s="72">
        <f t="shared" si="3"/>
        <v>11.45</v>
      </c>
      <c r="G49" s="73">
        <f>IF(D49=D48,"",_xlfn.IFNA(VLOOKUP(D49,'인원 입력 기능 (사과탐)'!$A$5:$D$53,4,FALSE),0))</f>
        <v>1575</v>
      </c>
      <c r="H49" s="74">
        <f t="shared" si="4"/>
        <v>1.7856130604840995E-2</v>
      </c>
      <c r="I49" s="78">
        <f>SUM($G$7:G49)</f>
        <v>78891</v>
      </c>
      <c r="J49" s="76">
        <f t="shared" si="5"/>
        <v>0.89440507907714983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173">
        <f t="shared" si="2"/>
        <v>37</v>
      </c>
      <c r="E50" s="173">
        <f t="shared" si="6"/>
        <v>8</v>
      </c>
      <c r="F50" s="163">
        <f t="shared" si="3"/>
        <v>6.61</v>
      </c>
      <c r="G50" s="165">
        <f>IF(D50=D49,"",_xlfn.IFNA(VLOOKUP(D50,'인원 입력 기능 (사과탐)'!$A$5:$D$53,4,FALSE),0))</f>
        <v>6973</v>
      </c>
      <c r="H50" s="166">
        <f t="shared" si="4"/>
        <v>7.9054475369876989E-2</v>
      </c>
      <c r="I50" s="168">
        <f>SUM($G$7:G50)</f>
        <v>85864</v>
      </c>
      <c r="J50" s="170">
        <f t="shared" si="5"/>
        <v>0.97345955444702681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172"/>
      <c r="E51" s="172"/>
      <c r="F51" s="162"/>
      <c r="G51" s="164"/>
      <c r="H51" s="167"/>
      <c r="I51" s="169"/>
      <c r="J51" s="171"/>
      <c r="K51" s="32"/>
      <c r="L51" s="3" t="str">
        <f t="shared" si="1"/>
        <v>경고</v>
      </c>
    </row>
    <row r="52" spans="1:12" ht="25" customHeight="1" x14ac:dyDescent="0.45">
      <c r="A52" s="4"/>
      <c r="B52" s="18"/>
      <c r="C52" s="81">
        <v>5</v>
      </c>
      <c r="D52" s="80">
        <f t="shared" si="2"/>
        <v>36</v>
      </c>
      <c r="E52" s="80">
        <f t="shared" si="6"/>
        <v>9</v>
      </c>
      <c r="F52" s="72">
        <f t="shared" si="3"/>
        <v>2.12</v>
      </c>
      <c r="G52" s="73">
        <f>IF(D52=D51,"",_xlfn.IFNA(VLOOKUP(D52,'인원 입력 기능 (사과탐)'!$A$5:$D$53,4,FALSE),0))</f>
        <v>942</v>
      </c>
      <c r="H52" s="74">
        <f t="shared" si="4"/>
        <v>1.0679666685562044E-2</v>
      </c>
      <c r="I52" s="78">
        <f>SUM($G$7:G52)</f>
        <v>86806</v>
      </c>
      <c r="J52" s="76">
        <f t="shared" si="5"/>
        <v>0.98413922113258889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71">
        <f t="shared" si="2"/>
        <v>35</v>
      </c>
      <c r="E53" s="71">
        <f t="shared" si="6"/>
        <v>9</v>
      </c>
      <c r="F53" s="72">
        <f t="shared" si="3"/>
        <v>1.25</v>
      </c>
      <c r="G53" s="73">
        <f>IF(D53=D52,"",_xlfn.IFNA(VLOOKUP(D53,'인원 입력 기능 (사과탐)'!$A$5:$D$53,4,FALSE),0))</f>
        <v>590</v>
      </c>
      <c r="H53" s="74">
        <f t="shared" si="4"/>
        <v>6.688963210702341E-3</v>
      </c>
      <c r="I53" s="78">
        <f>SUM($G$7:G53)</f>
        <v>87396</v>
      </c>
      <c r="J53" s="76">
        <f t="shared" si="5"/>
        <v>0.99082818434329123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161">
        <f t="shared" si="2"/>
        <v>34</v>
      </c>
      <c r="E54" s="161">
        <f t="shared" si="6"/>
        <v>9</v>
      </c>
      <c r="F54" s="163">
        <f t="shared" si="3"/>
        <v>0.53</v>
      </c>
      <c r="G54" s="165">
        <f>IF(D54=D53,"",_xlfn.IFNA(VLOOKUP(D54,'인원 입력 기능 (사과탐)'!$A$5:$D$53,4,FALSE),0))</f>
        <v>685</v>
      </c>
      <c r="H54" s="166">
        <f t="shared" si="4"/>
        <v>7.7659996598832262E-3</v>
      </c>
      <c r="I54" s="168">
        <f>SUM($G$7:G54)</f>
        <v>88081</v>
      </c>
      <c r="J54" s="170">
        <f t="shared" si="5"/>
        <v>0.99859418400317446</v>
      </c>
      <c r="K54" s="32"/>
      <c r="L54" s="3" t="str">
        <f t="shared" si="1"/>
        <v/>
      </c>
    </row>
    <row r="55" spans="1:12" ht="25" customHeight="1" x14ac:dyDescent="0.45">
      <c r="A55" s="4"/>
      <c r="B55" s="18"/>
      <c r="C55" s="70">
        <v>2</v>
      </c>
      <c r="D55" s="160"/>
      <c r="E55" s="160"/>
      <c r="F55" s="162"/>
      <c r="G55" s="164"/>
      <c r="H55" s="167"/>
      <c r="I55" s="169"/>
      <c r="J55" s="171"/>
      <c r="K55" s="32"/>
      <c r="L55" s="3" t="str">
        <f t="shared" si="1"/>
        <v>경고</v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32</v>
      </c>
      <c r="E57" s="84">
        <f t="shared" si="6"/>
        <v>9</v>
      </c>
      <c r="F57" s="85">
        <f>IF(I55=0,ROUND(100*(1-(I54+I57)/2/$J$3),2),ROUND(100*(1-(I55+I57)/2/$J$3),2))</f>
        <v>7.0000000000000007E-2</v>
      </c>
      <c r="G57" s="86">
        <f>_xlfn.IFNA(VLOOKUP(D57,'인원 입력 기능 (사과탐)'!$A$5:$D$53,4,FALSE),0)</f>
        <v>124</v>
      </c>
      <c r="H57" s="87">
        <f>G57/$J$3</f>
        <v>1.4058159968255769E-3</v>
      </c>
      <c r="I57" s="88">
        <f>SUM($G$7:G57)</f>
        <v>88205</v>
      </c>
      <c r="J57" s="89">
        <f>I57/$J$3</f>
        <v>1</v>
      </c>
      <c r="K57" s="32"/>
      <c r="L57" s="3" t="str">
        <f t="shared" ref="L57" si="7">IF(ABS((C57-$H$3)/$H$4*10+50-D57-0.5)&lt;0.1, "경고", "")</f>
        <v/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96">
    <mergeCell ref="I50:I51"/>
    <mergeCell ref="J50:J51"/>
    <mergeCell ref="D54:D55"/>
    <mergeCell ref="E54:E55"/>
    <mergeCell ref="F54:F55"/>
    <mergeCell ref="G54:G55"/>
    <mergeCell ref="H54:H55"/>
    <mergeCell ref="I54:I55"/>
    <mergeCell ref="J54:J55"/>
    <mergeCell ref="D50:D51"/>
    <mergeCell ref="E50:E51"/>
    <mergeCell ref="F50:F51"/>
    <mergeCell ref="G50:G51"/>
    <mergeCell ref="H50:H51"/>
    <mergeCell ref="I43:I44"/>
    <mergeCell ref="J43:J44"/>
    <mergeCell ref="D47:D48"/>
    <mergeCell ref="E47:E48"/>
    <mergeCell ref="F47:F48"/>
    <mergeCell ref="G47:G48"/>
    <mergeCell ref="H47:H48"/>
    <mergeCell ref="I47:I48"/>
    <mergeCell ref="J47:J48"/>
    <mergeCell ref="D43:D44"/>
    <mergeCell ref="E43:E44"/>
    <mergeCell ref="F43:F44"/>
    <mergeCell ref="G43:G44"/>
    <mergeCell ref="H43:H44"/>
    <mergeCell ref="I35:I36"/>
    <mergeCell ref="J35:J36"/>
    <mergeCell ref="D39:D40"/>
    <mergeCell ref="E39:E40"/>
    <mergeCell ref="F39:F40"/>
    <mergeCell ref="G39:G40"/>
    <mergeCell ref="H39:H40"/>
    <mergeCell ref="I39:I40"/>
    <mergeCell ref="J39:J40"/>
    <mergeCell ref="D35:D36"/>
    <mergeCell ref="E35:E36"/>
    <mergeCell ref="F35:F36"/>
    <mergeCell ref="G35:G36"/>
    <mergeCell ref="H35:H36"/>
    <mergeCell ref="I28:I29"/>
    <mergeCell ref="J28:J29"/>
    <mergeCell ref="D32:D33"/>
    <mergeCell ref="E32:E33"/>
    <mergeCell ref="F32:F33"/>
    <mergeCell ref="G32:G33"/>
    <mergeCell ref="H32:H33"/>
    <mergeCell ref="I32:I33"/>
    <mergeCell ref="J32:J33"/>
    <mergeCell ref="D28:D29"/>
    <mergeCell ref="E28:E29"/>
    <mergeCell ref="F28:F29"/>
    <mergeCell ref="G28:G29"/>
    <mergeCell ref="H28:H29"/>
    <mergeCell ref="I20:I21"/>
    <mergeCell ref="J20:J21"/>
    <mergeCell ref="D24:D25"/>
    <mergeCell ref="E24:E25"/>
    <mergeCell ref="F24:F25"/>
    <mergeCell ref="G24:G25"/>
    <mergeCell ref="H24:H25"/>
    <mergeCell ref="I24:I25"/>
    <mergeCell ref="J24:J25"/>
    <mergeCell ref="D20:D21"/>
    <mergeCell ref="E20:E21"/>
    <mergeCell ref="F20:F21"/>
    <mergeCell ref="G20:G21"/>
    <mergeCell ref="H20:H21"/>
    <mergeCell ref="H13:H14"/>
    <mergeCell ref="I13:I14"/>
    <mergeCell ref="J13:J14"/>
    <mergeCell ref="D17:D18"/>
    <mergeCell ref="E17:E18"/>
    <mergeCell ref="F17:F18"/>
    <mergeCell ref="G17:G18"/>
    <mergeCell ref="H17:H18"/>
    <mergeCell ref="I17:I18"/>
    <mergeCell ref="J17:J18"/>
    <mergeCell ref="D3:F3"/>
    <mergeCell ref="D4:F4"/>
    <mergeCell ref="D8:J8"/>
    <mergeCell ref="D56:J56"/>
    <mergeCell ref="G5:J5"/>
    <mergeCell ref="D9:D10"/>
    <mergeCell ref="E9:E10"/>
    <mergeCell ref="F9:F10"/>
    <mergeCell ref="G9:G10"/>
    <mergeCell ref="H9:H10"/>
    <mergeCell ref="I9:I10"/>
    <mergeCell ref="J9:J10"/>
    <mergeCell ref="D13:D14"/>
    <mergeCell ref="E13:E14"/>
    <mergeCell ref="F13:F14"/>
    <mergeCell ref="G13:G14"/>
  </mergeCells>
  <phoneticPr fontId="1" type="noConversion"/>
  <conditionalFormatting sqref="D7:D9 D11:D13 D15:D17 D19:D20 D22:D24 D26:D28 D30:D32 D34:D35 D37:D39 D41:D43 D45:D47 D49:D50 D52:D54 D56:D57">
    <cfRule type="expression" dxfId="68" priority="1">
      <formula>$D7=$D8</formula>
    </cfRule>
  </conditionalFormatting>
  <conditionalFormatting sqref="C7:C57">
    <cfRule type="expression" dxfId="67" priority="3">
      <formula>OR(AND($D7=0,OR($D6=$Q$7:$Q$14)),AND($D8&gt;0,OR($D7=$Q$7:$Q$14)))</formula>
    </cfRule>
  </conditionalFormatting>
  <conditionalFormatting sqref="D7:J7 D8 D57:J57 D56 D9:J9 D11:J13 D15:J17 D19:J20 D22:J24 D26:J28 D30:J32 D34:J35 D37:J39 D41:J43 D45:J47 D49:J50 D52:J54">
    <cfRule type="expression" dxfId="66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8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기능'!D7</f>
        <v>22.12</v>
      </c>
      <c r="I3" s="14" t="s">
        <v>110</v>
      </c>
      <c r="J3" s="36">
        <f>'통계 및 응시자 수 입력 기능'!C7</f>
        <v>21594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20" t="s">
        <v>135</v>
      </c>
      <c r="E4" s="114"/>
      <c r="F4" s="115"/>
      <c r="G4" s="38" t="s">
        <v>113</v>
      </c>
      <c r="H4" s="39" t="str">
        <f>'통계 및 응시자 수 입력 기능'!E7</f>
        <v>12.49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72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99.47</v>
      </c>
      <c r="G7" s="73">
        <f>_xlfn.IFNA(VLOOKUP(D7,'인원 입력 기능 (사과탐)'!$F$5:$I$53,4,FALSE),0)</f>
        <v>230</v>
      </c>
      <c r="H7" s="74">
        <f>G7/$J$3</f>
        <v>1.0651106788922849E-2</v>
      </c>
      <c r="I7" s="75">
        <f>G7</f>
        <v>230</v>
      </c>
      <c r="J7" s="76">
        <f>I7/$J$3</f>
        <v>1.0651106788922849E-2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입력기능'!C31</f>
        <v>68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입력기능'!C32</f>
        <v>65</v>
      </c>
    </row>
    <row r="9" spans="1:17" ht="25" customHeight="1" x14ac:dyDescent="0.45">
      <c r="A9" s="4"/>
      <c r="B9" s="18"/>
      <c r="C9" s="70">
        <v>48</v>
      </c>
      <c r="D9" s="71">
        <f>ROUND(10*(C9-$H$3)/$H$4+50,0)</f>
        <v>71</v>
      </c>
      <c r="E9" s="71">
        <f t="shared" si="0"/>
        <v>1</v>
      </c>
      <c r="F9" s="72">
        <f>IF(I8=0,ROUND(100*(1-(I7+I9)/2/$J$3),2),ROUND(100*(1-(I8+I9)/2/$J$3),2))</f>
        <v>98.61</v>
      </c>
      <c r="G9" s="73">
        <f>_xlfn.IFNA(VLOOKUP(D9,'인원 입력 기능 (사과탐)'!$F$5:$I$53,4,FALSE),0)</f>
        <v>140</v>
      </c>
      <c r="H9" s="74">
        <f>G9/$J$3</f>
        <v>6.4832823932573867E-3</v>
      </c>
      <c r="I9" s="78">
        <f>SUM($G$7:G9)</f>
        <v>370</v>
      </c>
      <c r="J9" s="76">
        <f>I9/$J$3</f>
        <v>1.7134389182180236E-2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입력기능'!C33</f>
        <v>59</v>
      </c>
    </row>
    <row r="10" spans="1:17" ht="25" customHeight="1" x14ac:dyDescent="0.45">
      <c r="A10" s="4"/>
      <c r="B10" s="18"/>
      <c r="C10" s="77">
        <v>47</v>
      </c>
      <c r="D10" s="71">
        <f t="shared" ref="D10:D55" si="2">ROUND(10*(C10-$H$3)/$H$4+50,0)</f>
        <v>70</v>
      </c>
      <c r="E10" s="71">
        <f t="shared" si="0"/>
        <v>1</v>
      </c>
      <c r="F10" s="72">
        <f t="shared" ref="F10:F55" si="3">IF(I9=0,ROUND(100*(1-(I8+I10)/2/$J$3),2),ROUND(100*(1-(I9+I10)/2/$J$3),2))</f>
        <v>97.39</v>
      </c>
      <c r="G10" s="73">
        <f>IF(D10=D9,"",_xlfn.IFNA(VLOOKUP(D10,'인원 입력 기능 (사과탐)'!$F$5:$I$53,4,FALSE),0))</f>
        <v>387</v>
      </c>
      <c r="H10" s="74">
        <f t="shared" ref="H10:H55" si="4">G10/$J$3</f>
        <v>1.7921644901361489E-2</v>
      </c>
      <c r="I10" s="78">
        <f>SUM($G$7:G10)</f>
        <v>757</v>
      </c>
      <c r="J10" s="76">
        <f t="shared" ref="J10:J55" si="5">I10/$J$3</f>
        <v>3.5056034083541722E-2</v>
      </c>
      <c r="K10" s="32"/>
      <c r="L10" s="3" t="str">
        <f t="shared" si="1"/>
        <v/>
      </c>
      <c r="P10" s="1">
        <v>4</v>
      </c>
      <c r="Q10" s="1">
        <f>'표준점수 등급컷 입력기능'!C34</f>
        <v>52</v>
      </c>
    </row>
    <row r="11" spans="1:17" ht="25" customHeight="1" x14ac:dyDescent="0.45">
      <c r="A11" s="4"/>
      <c r="B11" s="18"/>
      <c r="C11" s="70">
        <v>46</v>
      </c>
      <c r="D11" s="71">
        <f t="shared" si="2"/>
        <v>69</v>
      </c>
      <c r="E11" s="71">
        <f t="shared" si="0"/>
        <v>1</v>
      </c>
      <c r="F11" s="72">
        <f t="shared" si="3"/>
        <v>96.43</v>
      </c>
      <c r="G11" s="73">
        <f>IF(D11=D10,"",_xlfn.IFNA(VLOOKUP(D11,'인원 입력 기능 (사과탐)'!$F$5:$I$53,4,FALSE),0))</f>
        <v>26</v>
      </c>
      <c r="H11" s="74">
        <f t="shared" si="4"/>
        <v>1.2040381587478002E-3</v>
      </c>
      <c r="I11" s="78">
        <f>SUM($G$7:G11)</f>
        <v>783</v>
      </c>
      <c r="J11" s="76">
        <f t="shared" si="5"/>
        <v>3.6260072242289526E-2</v>
      </c>
      <c r="K11" s="32"/>
      <c r="L11" s="3" t="str">
        <f t="shared" si="1"/>
        <v/>
      </c>
      <c r="P11" s="1">
        <v>5</v>
      </c>
      <c r="Q11" s="1">
        <f>'표준점수 등급컷 입력기능'!C35</f>
        <v>44</v>
      </c>
    </row>
    <row r="12" spans="1:17" ht="25" customHeight="1" x14ac:dyDescent="0.45">
      <c r="A12" s="4"/>
      <c r="B12" s="18"/>
      <c r="C12" s="77">
        <v>45</v>
      </c>
      <c r="D12" s="161">
        <f t="shared" si="2"/>
        <v>68</v>
      </c>
      <c r="E12" s="161">
        <f t="shared" si="0"/>
        <v>1</v>
      </c>
      <c r="F12" s="163">
        <f t="shared" si="3"/>
        <v>94.75</v>
      </c>
      <c r="G12" s="165">
        <f>IF(D12=D11,"",_xlfn.IFNA(VLOOKUP(D12,'인원 입력 기능 (사과탐)'!$F$5:$I$53,4,FALSE),0))</f>
        <v>701</v>
      </c>
      <c r="H12" s="166">
        <f t="shared" si="4"/>
        <v>3.2462721126238769E-2</v>
      </c>
      <c r="I12" s="168">
        <f>SUM($G$7:G12)</f>
        <v>1484</v>
      </c>
      <c r="J12" s="170">
        <f t="shared" si="5"/>
        <v>6.8722793368528295E-2</v>
      </c>
      <c r="K12" s="32"/>
      <c r="L12" s="3" t="str">
        <f t="shared" si="1"/>
        <v/>
      </c>
      <c r="P12" s="1">
        <v>6</v>
      </c>
      <c r="Q12" s="1">
        <f>'표준점수 등급컷 입력기능'!C36</f>
        <v>41</v>
      </c>
    </row>
    <row r="13" spans="1:17" ht="25" customHeight="1" x14ac:dyDescent="0.45">
      <c r="A13" s="4"/>
      <c r="B13" s="18"/>
      <c r="C13" s="70">
        <v>44</v>
      </c>
      <c r="D13" s="160"/>
      <c r="E13" s="160"/>
      <c r="F13" s="162"/>
      <c r="G13" s="164"/>
      <c r="H13" s="167"/>
      <c r="I13" s="169"/>
      <c r="J13" s="171"/>
      <c r="K13" s="32"/>
      <c r="L13" s="3" t="str">
        <f t="shared" si="1"/>
        <v>경고</v>
      </c>
      <c r="P13" s="1">
        <v>7</v>
      </c>
      <c r="Q13" s="1">
        <f>'표준점수 등급컷 입력기능'!C37</f>
        <v>39</v>
      </c>
    </row>
    <row r="14" spans="1:17" ht="25" customHeight="1" x14ac:dyDescent="0.45">
      <c r="A14" s="4"/>
      <c r="B14" s="18"/>
      <c r="C14" s="77">
        <v>43</v>
      </c>
      <c r="D14" s="71">
        <f t="shared" si="2"/>
        <v>67</v>
      </c>
      <c r="E14" s="71">
        <f t="shared" si="0"/>
        <v>2</v>
      </c>
      <c r="F14" s="72">
        <f t="shared" si="3"/>
        <v>92.9</v>
      </c>
      <c r="G14" s="73">
        <f>IF(D14=D13,"",_xlfn.IFNA(VLOOKUP(D14,'인원 입력 기능 (사과탐)'!$F$5:$I$53,4,FALSE),0))</f>
        <v>98</v>
      </c>
      <c r="H14" s="74">
        <f t="shared" si="4"/>
        <v>4.5382976752801705E-3</v>
      </c>
      <c r="I14" s="78">
        <f>SUM($G$7:G14)</f>
        <v>1582</v>
      </c>
      <c r="J14" s="76">
        <f t="shared" si="5"/>
        <v>7.3261091043808471E-2</v>
      </c>
      <c r="K14" s="32"/>
      <c r="L14" s="3" t="str">
        <f t="shared" si="1"/>
        <v/>
      </c>
      <c r="P14" s="1">
        <v>8</v>
      </c>
      <c r="Q14" s="1">
        <f>'표준점수 등급컷 입력기능'!C38</f>
        <v>38</v>
      </c>
    </row>
    <row r="15" spans="1:17" ht="25" customHeight="1" x14ac:dyDescent="0.45">
      <c r="A15" s="4"/>
      <c r="B15" s="18"/>
      <c r="C15" s="70">
        <v>42</v>
      </c>
      <c r="D15" s="71">
        <f t="shared" si="2"/>
        <v>66</v>
      </c>
      <c r="E15" s="71">
        <f t="shared" si="0"/>
        <v>2</v>
      </c>
      <c r="F15" s="72">
        <f t="shared" si="3"/>
        <v>91.63</v>
      </c>
      <c r="G15" s="73">
        <f>IF(D15=D14,"",_xlfn.IFNA(VLOOKUP(D15,'인원 입력 기능 (사과탐)'!$F$5:$I$53,4,FALSE),0))</f>
        <v>449</v>
      </c>
      <c r="H15" s="74">
        <f t="shared" si="4"/>
        <v>2.0792812818375476E-2</v>
      </c>
      <c r="I15" s="78">
        <f>SUM($G$7:G15)</f>
        <v>2031</v>
      </c>
      <c r="J15" s="76">
        <f t="shared" si="5"/>
        <v>9.4053903862183943E-2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71">
        <f t="shared" si="2"/>
        <v>65</v>
      </c>
      <c r="E16" s="71">
        <f t="shared" si="0"/>
        <v>2</v>
      </c>
      <c r="F16" s="72">
        <f t="shared" si="3"/>
        <v>89.64</v>
      </c>
      <c r="G16" s="73">
        <f>IF(D16=D15,"",_xlfn.IFNA(VLOOKUP(D16,'인원 입력 기능 (사과탐)'!$F$5:$I$53,4,FALSE),0))</f>
        <v>411</v>
      </c>
      <c r="H16" s="74">
        <f t="shared" si="4"/>
        <v>1.9033064740205614E-2</v>
      </c>
      <c r="I16" s="78">
        <f>SUM($G$7:G16)</f>
        <v>2442</v>
      </c>
      <c r="J16" s="76">
        <f t="shared" si="5"/>
        <v>0.11308696860238955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161">
        <f t="shared" si="2"/>
        <v>64</v>
      </c>
      <c r="E17" s="161">
        <f t="shared" si="0"/>
        <v>3</v>
      </c>
      <c r="F17" s="163">
        <f t="shared" si="3"/>
        <v>87.05</v>
      </c>
      <c r="G17" s="165">
        <f>IF(D17=D16,"",_xlfn.IFNA(VLOOKUP(D17,'인원 입력 기능 (사과탐)'!$F$5:$I$53,4,FALSE),0))</f>
        <v>708</v>
      </c>
      <c r="H17" s="166">
        <f t="shared" si="4"/>
        <v>3.2786885245901641E-2</v>
      </c>
      <c r="I17" s="168">
        <f>SUM($G$7:G17)</f>
        <v>3150</v>
      </c>
      <c r="J17" s="170">
        <f t="shared" si="5"/>
        <v>0.14587385384829119</v>
      </c>
      <c r="K17" s="32"/>
      <c r="L17" s="3" t="str">
        <f t="shared" si="1"/>
        <v/>
      </c>
      <c r="P17" s="1">
        <f>Q7*H3*H4*J3*IFERROR(IF(J57=1,1,0),0)</f>
        <v>405685579.68959999</v>
      </c>
    </row>
    <row r="18" spans="1:16" ht="25" customHeight="1" x14ac:dyDescent="0.45">
      <c r="A18" s="4"/>
      <c r="B18" s="18"/>
      <c r="C18" s="77">
        <v>39</v>
      </c>
      <c r="D18" s="160"/>
      <c r="E18" s="160"/>
      <c r="F18" s="162"/>
      <c r="G18" s="164"/>
      <c r="H18" s="167"/>
      <c r="I18" s="169"/>
      <c r="J18" s="171"/>
      <c r="K18" s="32"/>
      <c r="L18" s="3" t="str">
        <f t="shared" si="1"/>
        <v>경고</v>
      </c>
    </row>
    <row r="19" spans="1:16" ht="25" customHeight="1" x14ac:dyDescent="0.45">
      <c r="A19" s="4"/>
      <c r="B19" s="18"/>
      <c r="C19" s="70">
        <v>38</v>
      </c>
      <c r="D19" s="71">
        <f t="shared" si="2"/>
        <v>63</v>
      </c>
      <c r="E19" s="71">
        <f t="shared" si="0"/>
        <v>3</v>
      </c>
      <c r="F19" s="72">
        <f t="shared" si="3"/>
        <v>84.68</v>
      </c>
      <c r="G19" s="73">
        <f>IF(D19=D18,"",_xlfn.IFNA(VLOOKUP(D19,'인원 입력 기능 (사과탐)'!$F$5:$I$53,4,FALSE),0))</f>
        <v>316</v>
      </c>
      <c r="H19" s="74">
        <f t="shared" si="4"/>
        <v>1.4633694544780957E-2</v>
      </c>
      <c r="I19" s="78">
        <f>SUM($G$7:G19)</f>
        <v>3466</v>
      </c>
      <c r="J19" s="76">
        <f t="shared" si="5"/>
        <v>0.16050754839307216</v>
      </c>
      <c r="K19" s="32"/>
      <c r="L19" s="3" t="str">
        <f t="shared" si="1"/>
        <v/>
      </c>
    </row>
    <row r="20" spans="1:16" ht="25" customHeight="1" x14ac:dyDescent="0.45">
      <c r="A20" s="4"/>
      <c r="B20" s="18"/>
      <c r="C20" s="77">
        <v>37</v>
      </c>
      <c r="D20" s="71">
        <f t="shared" si="2"/>
        <v>62</v>
      </c>
      <c r="E20" s="71">
        <f t="shared" si="0"/>
        <v>3</v>
      </c>
      <c r="F20" s="72">
        <f t="shared" si="3"/>
        <v>83.29</v>
      </c>
      <c r="G20" s="73">
        <f>IF(D20=D19,"",_xlfn.IFNA(VLOOKUP(D20,'인원 입력 기능 (사과탐)'!$F$5:$I$53,4,FALSE),0))</f>
        <v>286</v>
      </c>
      <c r="H20" s="74">
        <f t="shared" si="4"/>
        <v>1.3244419746225804E-2</v>
      </c>
      <c r="I20" s="78">
        <f>SUM($G$7:G20)</f>
        <v>3752</v>
      </c>
      <c r="J20" s="76">
        <f t="shared" si="5"/>
        <v>0.17375196813929794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80">
        <f t="shared" si="2"/>
        <v>61</v>
      </c>
      <c r="E21" s="80">
        <f t="shared" si="0"/>
        <v>3</v>
      </c>
      <c r="F21" s="72">
        <f t="shared" si="3"/>
        <v>81.64</v>
      </c>
      <c r="G21" s="73">
        <f>IF(D21=D20,"",_xlfn.IFNA(VLOOKUP(D21,'인원 입력 기능 (사과탐)'!$F$5:$I$53,4,FALSE),0))</f>
        <v>426</v>
      </c>
      <c r="H21" s="74">
        <f t="shared" si="4"/>
        <v>1.9727702139483189E-2</v>
      </c>
      <c r="I21" s="78">
        <f>SUM($G$7:G21)</f>
        <v>4178</v>
      </c>
      <c r="J21" s="76">
        <f t="shared" si="5"/>
        <v>0.19347967027878113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173">
        <f t="shared" si="2"/>
        <v>60</v>
      </c>
      <c r="E22" s="173">
        <f t="shared" si="0"/>
        <v>3</v>
      </c>
      <c r="F22" s="163">
        <f t="shared" si="3"/>
        <v>78.95</v>
      </c>
      <c r="G22" s="165">
        <f>IF(D22=D21,"",_xlfn.IFNA(VLOOKUP(D22,'인원 입력 기능 (사과탐)'!$F$5:$I$53,4,FALSE),0))</f>
        <v>736</v>
      </c>
      <c r="H22" s="166">
        <f t="shared" si="4"/>
        <v>3.4083541724553114E-2</v>
      </c>
      <c r="I22" s="168">
        <f>SUM($G$7:G22)</f>
        <v>4914</v>
      </c>
      <c r="J22" s="170">
        <f t="shared" si="5"/>
        <v>0.22756321200333426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172"/>
      <c r="E23" s="172"/>
      <c r="F23" s="162"/>
      <c r="G23" s="164"/>
      <c r="H23" s="167"/>
      <c r="I23" s="169"/>
      <c r="J23" s="171"/>
      <c r="K23" s="32"/>
      <c r="L23" s="3" t="str">
        <f t="shared" si="1"/>
        <v>경고</v>
      </c>
    </row>
    <row r="24" spans="1:16" ht="25" customHeight="1" x14ac:dyDescent="0.45">
      <c r="A24" s="4"/>
      <c r="B24" s="18"/>
      <c r="C24" s="81">
        <v>33</v>
      </c>
      <c r="D24" s="80">
        <f t="shared" si="2"/>
        <v>59</v>
      </c>
      <c r="E24" s="80">
        <f t="shared" si="0"/>
        <v>3</v>
      </c>
      <c r="F24" s="72">
        <f t="shared" si="3"/>
        <v>76.239999999999995</v>
      </c>
      <c r="G24" s="73">
        <f>IF(D24=D23,"",_xlfn.IFNA(VLOOKUP(D24,'인원 입력 기능 (사과탐)'!$F$5:$I$53,4,FALSE),0))</f>
        <v>433</v>
      </c>
      <c r="H24" s="74">
        <f t="shared" si="4"/>
        <v>2.005186625914606E-2</v>
      </c>
      <c r="I24" s="78">
        <f>SUM($G$7:G24)</f>
        <v>5347</v>
      </c>
      <c r="J24" s="76">
        <f t="shared" si="5"/>
        <v>0.24761507826248033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80">
        <f t="shared" si="2"/>
        <v>58</v>
      </c>
      <c r="E25" s="80">
        <f t="shared" si="0"/>
        <v>4</v>
      </c>
      <c r="F25" s="72">
        <f t="shared" si="3"/>
        <v>74.510000000000005</v>
      </c>
      <c r="G25" s="73">
        <f>IF(D25=D24,"",_xlfn.IFNA(VLOOKUP(D25,'인원 입력 기능 (사과탐)'!$F$5:$I$53,4,FALSE),0))</f>
        <v>315</v>
      </c>
      <c r="H25" s="74">
        <f t="shared" si="4"/>
        <v>1.458738538482912E-2</v>
      </c>
      <c r="I25" s="78">
        <f>SUM($G$7:G25)</f>
        <v>5662</v>
      </c>
      <c r="J25" s="76">
        <f t="shared" si="5"/>
        <v>0.26220246364730943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80">
        <f t="shared" si="2"/>
        <v>57</v>
      </c>
      <c r="E26" s="80">
        <f t="shared" si="0"/>
        <v>4</v>
      </c>
      <c r="F26" s="72">
        <f t="shared" si="3"/>
        <v>72.8</v>
      </c>
      <c r="G26" s="73">
        <f>IF(D26=D25,"",_xlfn.IFNA(VLOOKUP(D26,'인원 입력 기능 (사과탐)'!$F$5:$I$53,4,FALSE),0))</f>
        <v>425</v>
      </c>
      <c r="H26" s="74">
        <f t="shared" si="4"/>
        <v>1.9681392979531351E-2</v>
      </c>
      <c r="I26" s="78">
        <f>SUM($G$7:G26)</f>
        <v>6087</v>
      </c>
      <c r="J26" s="76">
        <f t="shared" si="5"/>
        <v>0.28188385662684079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173">
        <f t="shared" si="2"/>
        <v>56</v>
      </c>
      <c r="E27" s="173">
        <f t="shared" si="0"/>
        <v>4</v>
      </c>
      <c r="F27" s="163">
        <f t="shared" si="3"/>
        <v>70.11</v>
      </c>
      <c r="G27" s="165">
        <f>IF(D27=D26,"",_xlfn.IFNA(VLOOKUP(D27,'인원 입력 기능 (사과탐)'!$F$5:$I$53,4,FALSE),0))</f>
        <v>733</v>
      </c>
      <c r="H27" s="166">
        <f t="shared" si="4"/>
        <v>3.39446142446976E-2</v>
      </c>
      <c r="I27" s="168">
        <f>SUM($G$7:G27)</f>
        <v>6820</v>
      </c>
      <c r="J27" s="170">
        <f t="shared" si="5"/>
        <v>0.31582847087153837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172"/>
      <c r="E28" s="172"/>
      <c r="F28" s="162"/>
      <c r="G28" s="164"/>
      <c r="H28" s="167"/>
      <c r="I28" s="169"/>
      <c r="J28" s="171"/>
      <c r="K28" s="32"/>
      <c r="L28" s="3" t="str">
        <f t="shared" si="1"/>
        <v>경고</v>
      </c>
    </row>
    <row r="29" spans="1:16" ht="25" customHeight="1" x14ac:dyDescent="0.45">
      <c r="A29" s="4"/>
      <c r="B29" s="18"/>
      <c r="C29" s="79">
        <v>28</v>
      </c>
      <c r="D29" s="80">
        <f t="shared" si="2"/>
        <v>55</v>
      </c>
      <c r="E29" s="80">
        <f t="shared" si="0"/>
        <v>4</v>
      </c>
      <c r="F29" s="72">
        <f t="shared" si="3"/>
        <v>67.45</v>
      </c>
      <c r="G29" s="73">
        <f>IF(D29=D28,"",_xlfn.IFNA(VLOOKUP(D29,'인원 입력 기능 (사과탐)'!$F$5:$I$53,4,FALSE),0))</f>
        <v>419</v>
      </c>
      <c r="H29" s="74">
        <f t="shared" si="4"/>
        <v>1.940353801982032E-2</v>
      </c>
      <c r="I29" s="78">
        <f>SUM($G$7:G29)</f>
        <v>7239</v>
      </c>
      <c r="J29" s="76">
        <f t="shared" si="5"/>
        <v>0.33523200889135873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80">
        <f t="shared" si="2"/>
        <v>54</v>
      </c>
      <c r="E30" s="80">
        <f t="shared" si="0"/>
        <v>4</v>
      </c>
      <c r="F30" s="72">
        <f t="shared" si="3"/>
        <v>65.52</v>
      </c>
      <c r="G30" s="73">
        <f>IF(D30=D29,"",_xlfn.IFNA(VLOOKUP(D30,'인원 입력 기능 (사과탐)'!$F$5:$I$53,4,FALSE),0))</f>
        <v>414</v>
      </c>
      <c r="H30" s="74">
        <f t="shared" si="4"/>
        <v>1.9171992220061128E-2</v>
      </c>
      <c r="I30" s="78">
        <f>SUM($G$7:G30)</f>
        <v>7653</v>
      </c>
      <c r="J30" s="76">
        <f t="shared" si="5"/>
        <v>0.35440400111141984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80">
        <f t="shared" si="2"/>
        <v>53</v>
      </c>
      <c r="E31" s="80">
        <f t="shared" si="0"/>
        <v>4</v>
      </c>
      <c r="F31" s="72">
        <f t="shared" si="3"/>
        <v>63.58</v>
      </c>
      <c r="G31" s="73">
        <f>IF(D31=D30,"",_xlfn.IFNA(VLOOKUP(D31,'인원 입력 기능 (사과탐)'!$F$5:$I$53,4,FALSE),0))</f>
        <v>421</v>
      </c>
      <c r="H31" s="74">
        <f t="shared" si="4"/>
        <v>1.9496156339723996E-2</v>
      </c>
      <c r="I31" s="78">
        <f>SUM($G$7:G31)</f>
        <v>8074</v>
      </c>
      <c r="J31" s="76">
        <f t="shared" si="5"/>
        <v>0.37390015745114386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173">
        <f t="shared" si="2"/>
        <v>52</v>
      </c>
      <c r="E32" s="173">
        <f t="shared" si="0"/>
        <v>4</v>
      </c>
      <c r="F32" s="163">
        <f t="shared" si="3"/>
        <v>60.63</v>
      </c>
      <c r="G32" s="165">
        <f>IF(D32=D31,"",_xlfn.IFNA(VLOOKUP(D32,'인원 입력 기능 (사과탐)'!$F$5:$I$53,4,FALSE),0))</f>
        <v>854</v>
      </c>
      <c r="H32" s="166">
        <f t="shared" si="4"/>
        <v>3.954802259887006E-2</v>
      </c>
      <c r="I32" s="168">
        <f>SUM($G$7:G32)</f>
        <v>8928</v>
      </c>
      <c r="J32" s="170">
        <f t="shared" si="5"/>
        <v>0.41344818005001388</v>
      </c>
      <c r="K32" s="32"/>
      <c r="L32" s="3" t="str">
        <f t="shared" si="1"/>
        <v/>
      </c>
    </row>
    <row r="33" spans="1:12" ht="25" customHeight="1" x14ac:dyDescent="0.45">
      <c r="A33" s="4"/>
      <c r="B33" s="18"/>
      <c r="C33" s="79">
        <v>24</v>
      </c>
      <c r="D33" s="172"/>
      <c r="E33" s="172"/>
      <c r="F33" s="162"/>
      <c r="G33" s="164"/>
      <c r="H33" s="167"/>
      <c r="I33" s="169"/>
      <c r="J33" s="171"/>
      <c r="K33" s="32"/>
      <c r="L33" s="3" t="str">
        <f t="shared" si="1"/>
        <v>경고</v>
      </c>
    </row>
    <row r="34" spans="1:12" ht="25" customHeight="1" x14ac:dyDescent="0.45">
      <c r="A34" s="4"/>
      <c r="B34" s="18"/>
      <c r="C34" s="81">
        <v>23</v>
      </c>
      <c r="D34" s="80">
        <f t="shared" si="2"/>
        <v>51</v>
      </c>
      <c r="E34" s="80">
        <f t="shared" si="0"/>
        <v>5</v>
      </c>
      <c r="F34" s="72">
        <f t="shared" si="3"/>
        <v>57.58</v>
      </c>
      <c r="G34" s="73">
        <f>IF(D34=D33,"",_xlfn.IFNA(VLOOKUP(D34,'인원 입력 기능 (사과탐)'!$F$5:$I$53,4,FALSE),0))</f>
        <v>465</v>
      </c>
      <c r="H34" s="74">
        <f t="shared" si="4"/>
        <v>2.1533759377604891E-2</v>
      </c>
      <c r="I34" s="78">
        <f>SUM($G$7:G34)</f>
        <v>9393</v>
      </c>
      <c r="J34" s="76">
        <f t="shared" si="5"/>
        <v>0.43498193942761876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80">
        <f t="shared" si="2"/>
        <v>50</v>
      </c>
      <c r="E35" s="80">
        <f t="shared" si="0"/>
        <v>5</v>
      </c>
      <c r="F35" s="72">
        <f t="shared" si="3"/>
        <v>55.61</v>
      </c>
      <c r="G35" s="73">
        <f>IF(D35=D34,"",_xlfn.IFNA(VLOOKUP(D35,'인원 입력 기능 (사과탐)'!$F$5:$I$53,4,FALSE),0))</f>
        <v>387</v>
      </c>
      <c r="H35" s="74">
        <f t="shared" si="4"/>
        <v>1.7921644901361489E-2</v>
      </c>
      <c r="I35" s="78">
        <f>SUM($G$7:G35)</f>
        <v>9780</v>
      </c>
      <c r="J35" s="76">
        <f t="shared" si="5"/>
        <v>0.45290358432898026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80">
        <f t="shared" si="2"/>
        <v>49</v>
      </c>
      <c r="E36" s="80">
        <f t="shared" si="0"/>
        <v>5</v>
      </c>
      <c r="F36" s="72">
        <f t="shared" si="3"/>
        <v>53.58</v>
      </c>
      <c r="G36" s="73">
        <f>IF(D36=D35,"",_xlfn.IFNA(VLOOKUP(D36,'인원 입력 기능 (사과탐)'!$F$5:$I$53,4,FALSE),0))</f>
        <v>486</v>
      </c>
      <c r="H36" s="74">
        <f t="shared" si="4"/>
        <v>2.2506251736593499E-2</v>
      </c>
      <c r="I36" s="78">
        <f>SUM($G$7:G36)</f>
        <v>10266</v>
      </c>
      <c r="J36" s="76">
        <f t="shared" si="5"/>
        <v>0.47540983606557374</v>
      </c>
      <c r="K36" s="32"/>
      <c r="L36" s="3" t="str">
        <f t="shared" si="1"/>
        <v/>
      </c>
    </row>
    <row r="37" spans="1:12" ht="25" customHeight="1" x14ac:dyDescent="0.45">
      <c r="A37" s="4"/>
      <c r="B37" s="18"/>
      <c r="C37" s="79">
        <v>20</v>
      </c>
      <c r="D37" s="173">
        <f t="shared" si="2"/>
        <v>48</v>
      </c>
      <c r="E37" s="173">
        <f t="shared" si="0"/>
        <v>5</v>
      </c>
      <c r="F37" s="163">
        <f t="shared" si="3"/>
        <v>50.25</v>
      </c>
      <c r="G37" s="165">
        <f>IF(D37=D36,"",_xlfn.IFNA(VLOOKUP(D37,'인원 입력 기능 (사과탐)'!$F$5:$I$53,4,FALSE),0))</f>
        <v>955</v>
      </c>
      <c r="H37" s="166">
        <f t="shared" si="4"/>
        <v>4.4225247754005742E-2</v>
      </c>
      <c r="I37" s="168">
        <f>SUM($G$7:G37)</f>
        <v>11221</v>
      </c>
      <c r="J37" s="170">
        <f t="shared" si="5"/>
        <v>0.51963508381957946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172"/>
      <c r="E38" s="172"/>
      <c r="F38" s="162"/>
      <c r="G38" s="164"/>
      <c r="H38" s="167"/>
      <c r="I38" s="169"/>
      <c r="J38" s="171"/>
      <c r="K38" s="32"/>
      <c r="L38" s="3" t="str">
        <f t="shared" si="1"/>
        <v>경고</v>
      </c>
    </row>
    <row r="39" spans="1:12" ht="25" customHeight="1" x14ac:dyDescent="0.45">
      <c r="A39" s="4"/>
      <c r="B39" s="18"/>
      <c r="C39" s="79">
        <v>18</v>
      </c>
      <c r="D39" s="80">
        <f t="shared" si="2"/>
        <v>47</v>
      </c>
      <c r="E39" s="8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2">
        <f t="shared" si="3"/>
        <v>46.7</v>
      </c>
      <c r="G39" s="73">
        <f>IF(D39=D38,"",_xlfn.IFNA(VLOOKUP(D39,'인원 입력 기능 (사과탐)'!$F$5:$I$53,4,FALSE),0))</f>
        <v>579</v>
      </c>
      <c r="H39" s="74">
        <f t="shared" si="4"/>
        <v>2.6813003612114476E-2</v>
      </c>
      <c r="I39" s="78">
        <f>SUM($G$7:G39)</f>
        <v>11800</v>
      </c>
      <c r="J39" s="76">
        <f t="shared" si="5"/>
        <v>0.54644808743169404</v>
      </c>
      <c r="K39" s="32"/>
      <c r="L39" s="3" t="str">
        <f t="shared" si="1"/>
        <v/>
      </c>
    </row>
    <row r="40" spans="1:12" ht="25" customHeight="1" x14ac:dyDescent="0.45">
      <c r="A40" s="4"/>
      <c r="B40" s="18"/>
      <c r="C40" s="81">
        <v>17</v>
      </c>
      <c r="D40" s="80">
        <f t="shared" si="2"/>
        <v>46</v>
      </c>
      <c r="E40" s="80">
        <f t="shared" si="6"/>
        <v>5</v>
      </c>
      <c r="F40" s="72">
        <f t="shared" si="3"/>
        <v>44.15</v>
      </c>
      <c r="G40" s="73">
        <f>IF(D40=D39,"",_xlfn.IFNA(VLOOKUP(D40,'인원 입력 기능 (사과탐)'!$F$5:$I$53,4,FALSE),0))</f>
        <v>520</v>
      </c>
      <c r="H40" s="74">
        <f t="shared" si="4"/>
        <v>2.4080763174956006E-2</v>
      </c>
      <c r="I40" s="78">
        <f>SUM($G$7:G40)</f>
        <v>12320</v>
      </c>
      <c r="J40" s="76">
        <f t="shared" si="5"/>
        <v>0.57052885060665004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80">
        <f t="shared" si="2"/>
        <v>45</v>
      </c>
      <c r="E41" s="80">
        <f t="shared" si="6"/>
        <v>5</v>
      </c>
      <c r="F41" s="72">
        <f t="shared" si="3"/>
        <v>41.77</v>
      </c>
      <c r="G41" s="73">
        <f>IF(D41=D40,"",_xlfn.IFNA(VLOOKUP(D41,'인원 입력 기능 (사과탐)'!$F$5:$I$53,4,FALSE),0))</f>
        <v>509</v>
      </c>
      <c r="H41" s="74">
        <f t="shared" si="4"/>
        <v>2.3571362415485783E-2</v>
      </c>
      <c r="I41" s="78">
        <f>SUM($G$7:G41)</f>
        <v>12829</v>
      </c>
      <c r="J41" s="76">
        <f t="shared" si="5"/>
        <v>0.59410021302213578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80">
        <f t="shared" si="2"/>
        <v>44</v>
      </c>
      <c r="E42" s="80">
        <f t="shared" si="6"/>
        <v>5</v>
      </c>
      <c r="F42" s="72">
        <f t="shared" si="3"/>
        <v>39.200000000000003</v>
      </c>
      <c r="G42" s="73">
        <f>IF(D42=D41,"",_xlfn.IFNA(VLOOKUP(D42,'인원 입력 기능 (사과탐)'!$F$5:$I$53,4,FALSE),0))</f>
        <v>599</v>
      </c>
      <c r="H42" s="74">
        <f t="shared" si="4"/>
        <v>2.7739186811151246E-2</v>
      </c>
      <c r="I42" s="78">
        <f>SUM($G$7:G42)</f>
        <v>13428</v>
      </c>
      <c r="J42" s="76">
        <f t="shared" si="5"/>
        <v>0.62183939983328707</v>
      </c>
      <c r="K42" s="32"/>
      <c r="L42" s="3" t="str">
        <f t="shared" si="1"/>
        <v/>
      </c>
    </row>
    <row r="43" spans="1:12" ht="25" customHeight="1" x14ac:dyDescent="0.45">
      <c r="A43" s="4"/>
      <c r="B43" s="18"/>
      <c r="C43" s="79">
        <v>14</v>
      </c>
      <c r="D43" s="173">
        <f t="shared" si="2"/>
        <v>43</v>
      </c>
      <c r="E43" s="173">
        <f t="shared" si="6"/>
        <v>6</v>
      </c>
      <c r="F43" s="163">
        <f t="shared" si="3"/>
        <v>34.64</v>
      </c>
      <c r="G43" s="165">
        <f>IF(D43=D42,"",_xlfn.IFNA(VLOOKUP(D43,'인원 입력 기능 (사과탐)'!$F$5:$I$53,4,FALSE),0))</f>
        <v>1370</v>
      </c>
      <c r="H43" s="166">
        <f t="shared" si="4"/>
        <v>6.3443549134018715E-2</v>
      </c>
      <c r="I43" s="168">
        <f>SUM($G$7:G43)</f>
        <v>14798</v>
      </c>
      <c r="J43" s="170">
        <f t="shared" si="5"/>
        <v>0.68528294896730568</v>
      </c>
      <c r="K43" s="32"/>
      <c r="L43" s="3" t="str">
        <f t="shared" si="1"/>
        <v>경고</v>
      </c>
    </row>
    <row r="44" spans="1:12" ht="25" customHeight="1" x14ac:dyDescent="0.45">
      <c r="A44" s="4"/>
      <c r="B44" s="18"/>
      <c r="C44" s="81">
        <v>13</v>
      </c>
      <c r="D44" s="172"/>
      <c r="E44" s="172"/>
      <c r="F44" s="162"/>
      <c r="G44" s="164"/>
      <c r="H44" s="167"/>
      <c r="I44" s="169"/>
      <c r="J44" s="171"/>
      <c r="K44" s="32"/>
      <c r="L44" s="3" t="str">
        <f t="shared" si="1"/>
        <v>경고</v>
      </c>
    </row>
    <row r="45" spans="1:12" ht="25" customHeight="1" x14ac:dyDescent="0.45">
      <c r="A45" s="4"/>
      <c r="B45" s="18"/>
      <c r="C45" s="79">
        <v>12</v>
      </c>
      <c r="D45" s="80">
        <f t="shared" si="2"/>
        <v>42</v>
      </c>
      <c r="E45" s="80">
        <f t="shared" si="6"/>
        <v>6</v>
      </c>
      <c r="F45" s="72">
        <f t="shared" si="3"/>
        <v>30.07</v>
      </c>
      <c r="G45" s="73">
        <f>IF(D45=D44,"",_xlfn.IFNA(VLOOKUP(D45,'인원 입력 기능 (사과탐)'!$F$5:$I$53,4,FALSE),0))</f>
        <v>605</v>
      </c>
      <c r="H45" s="74">
        <f t="shared" si="4"/>
        <v>2.8017041770862276E-2</v>
      </c>
      <c r="I45" s="78">
        <f>SUM($G$7:G45)</f>
        <v>15403</v>
      </c>
      <c r="J45" s="76">
        <f t="shared" si="5"/>
        <v>0.71329999073816797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80">
        <f t="shared" si="2"/>
        <v>41</v>
      </c>
      <c r="E46" s="80">
        <f t="shared" si="6"/>
        <v>6</v>
      </c>
      <c r="F46" s="72">
        <f t="shared" si="3"/>
        <v>25.35</v>
      </c>
      <c r="G46" s="73">
        <f>IF(D46=D45,"",_xlfn.IFNA(VLOOKUP(D46,'인원 입력 기능 (사과탐)'!$F$5:$I$53,4,FALSE),0))</f>
        <v>1436</v>
      </c>
      <c r="H46" s="74">
        <f t="shared" si="4"/>
        <v>6.6499953690840052E-2</v>
      </c>
      <c r="I46" s="78">
        <f>SUM($G$7:G46)</f>
        <v>16839</v>
      </c>
      <c r="J46" s="76">
        <f t="shared" si="5"/>
        <v>0.77979994442900802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80">
        <f t="shared" si="2"/>
        <v>40</v>
      </c>
      <c r="E47" s="80">
        <f t="shared" si="6"/>
        <v>7</v>
      </c>
      <c r="F47" s="72">
        <f t="shared" si="3"/>
        <v>20.87</v>
      </c>
      <c r="G47" s="73">
        <f>IF(D47=D46,"",_xlfn.IFNA(VLOOKUP(D47,'인원 입력 기능 (사과탐)'!$F$5:$I$53,4,FALSE),0))</f>
        <v>498</v>
      </c>
      <c r="H47" s="74">
        <f t="shared" si="4"/>
        <v>2.306196165601556E-2</v>
      </c>
      <c r="I47" s="78">
        <f>SUM($G$7:G47)</f>
        <v>17337</v>
      </c>
      <c r="J47" s="76">
        <f t="shared" si="5"/>
        <v>0.80286190608502361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81">
        <v>9</v>
      </c>
      <c r="D48" s="173">
        <f t="shared" si="2"/>
        <v>39</v>
      </c>
      <c r="E48" s="173">
        <f t="shared" si="6"/>
        <v>7</v>
      </c>
      <c r="F48" s="163">
        <f t="shared" si="3"/>
        <v>13.24</v>
      </c>
      <c r="G48" s="165">
        <f>IF(D48=D47,"",_xlfn.IFNA(VLOOKUP(D48,'인원 입력 기능 (사과탐)'!$F$5:$I$53,4,FALSE),0))</f>
        <v>2797</v>
      </c>
      <c r="H48" s="166">
        <f t="shared" si="4"/>
        <v>0.1295267203852922</v>
      </c>
      <c r="I48" s="168">
        <f>SUM($G$7:G48)</f>
        <v>20134</v>
      </c>
      <c r="J48" s="170">
        <f t="shared" si="5"/>
        <v>0.93238862647031584</v>
      </c>
      <c r="K48" s="32"/>
      <c r="L48" s="3" t="str">
        <f t="shared" si="1"/>
        <v>경고</v>
      </c>
    </row>
    <row r="49" spans="1:12" ht="25" customHeight="1" x14ac:dyDescent="0.45">
      <c r="A49" s="4"/>
      <c r="B49" s="18"/>
      <c r="C49" s="79">
        <v>8</v>
      </c>
      <c r="D49" s="172"/>
      <c r="E49" s="172"/>
      <c r="F49" s="162"/>
      <c r="G49" s="164"/>
      <c r="H49" s="167"/>
      <c r="I49" s="169"/>
      <c r="J49" s="171"/>
      <c r="K49" s="32"/>
      <c r="L49" s="3" t="str">
        <f t="shared" si="1"/>
        <v>경고</v>
      </c>
    </row>
    <row r="50" spans="1:12" ht="25" customHeight="1" x14ac:dyDescent="0.45">
      <c r="A50" s="4"/>
      <c r="B50" s="18"/>
      <c r="C50" s="81">
        <v>7</v>
      </c>
      <c r="D50" s="80">
        <f t="shared" si="2"/>
        <v>38</v>
      </c>
      <c r="E50" s="80">
        <f t="shared" si="6"/>
        <v>8</v>
      </c>
      <c r="F50" s="72">
        <f t="shared" si="3"/>
        <v>5.28</v>
      </c>
      <c r="G50" s="73">
        <f>IF(D50=D49,"",_xlfn.IFNA(VLOOKUP(D50,'인원 입력 기능 (사과탐)'!$F$5:$I$53,4,FALSE),0))</f>
        <v>638</v>
      </c>
      <c r="H50" s="74">
        <f t="shared" si="4"/>
        <v>2.9545244049272945E-2</v>
      </c>
      <c r="I50" s="78">
        <f>SUM($G$7:G50)</f>
        <v>20772</v>
      </c>
      <c r="J50" s="76">
        <f t="shared" si="5"/>
        <v>0.96193387051958879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80">
        <f t="shared" si="2"/>
        <v>37</v>
      </c>
      <c r="E51" s="80">
        <f t="shared" si="6"/>
        <v>9</v>
      </c>
      <c r="F51" s="72">
        <f t="shared" si="3"/>
        <v>3.28</v>
      </c>
      <c r="G51" s="73">
        <f>IF(D51=D50,"",_xlfn.IFNA(VLOOKUP(D51,'인원 입력 기능 (사과탐)'!$F$5:$I$53,4,FALSE),0))</f>
        <v>227</v>
      </c>
      <c r="H51" s="74">
        <f t="shared" si="4"/>
        <v>1.0512179309067334E-2</v>
      </c>
      <c r="I51" s="78">
        <f>SUM($G$7:G51)</f>
        <v>20999</v>
      </c>
      <c r="J51" s="76">
        <f t="shared" si="5"/>
        <v>0.97244604982865612</v>
      </c>
      <c r="K51" s="32"/>
      <c r="L51" s="3" t="str">
        <f t="shared" si="1"/>
        <v/>
      </c>
    </row>
    <row r="52" spans="1:12" ht="25" customHeight="1" x14ac:dyDescent="0.45">
      <c r="A52" s="4"/>
      <c r="B52" s="18"/>
      <c r="C52" s="81">
        <v>5</v>
      </c>
      <c r="D52" s="80">
        <f t="shared" si="2"/>
        <v>36</v>
      </c>
      <c r="E52" s="80">
        <f t="shared" si="6"/>
        <v>9</v>
      </c>
      <c r="F52" s="72">
        <f t="shared" si="3"/>
        <v>2.16</v>
      </c>
      <c r="G52" s="73">
        <f>IF(D52=D51,"",_xlfn.IFNA(VLOOKUP(D52,'인원 입력 기능 (사과탐)'!$F$5:$I$53,4,FALSE),0))</f>
        <v>257</v>
      </c>
      <c r="H52" s="74">
        <f t="shared" si="4"/>
        <v>1.1901454107622488E-2</v>
      </c>
      <c r="I52" s="78">
        <f>SUM($G$7:G52)</f>
        <v>21256</v>
      </c>
      <c r="J52" s="76">
        <f t="shared" si="5"/>
        <v>0.98434750393627857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161">
        <f t="shared" si="2"/>
        <v>35</v>
      </c>
      <c r="E53" s="161">
        <f t="shared" si="6"/>
        <v>9</v>
      </c>
      <c r="F53" s="163">
        <f t="shared" si="3"/>
        <v>1.08</v>
      </c>
      <c r="G53" s="165">
        <f>IF(D53=D52,"",_xlfn.IFNA(VLOOKUP(D53,'인원 입력 기능 (사과탐)'!$F$5:$I$53,4,FALSE),0))</f>
        <v>209</v>
      </c>
      <c r="H53" s="166">
        <f t="shared" si="4"/>
        <v>9.6786144299342413E-3</v>
      </c>
      <c r="I53" s="168">
        <f>SUM($G$7:G53)</f>
        <v>21465</v>
      </c>
      <c r="J53" s="170">
        <f t="shared" si="5"/>
        <v>0.9940261183662128</v>
      </c>
      <c r="K53" s="32"/>
      <c r="L53" s="3" t="str">
        <f t="shared" si="1"/>
        <v>경고</v>
      </c>
    </row>
    <row r="54" spans="1:12" ht="25" customHeight="1" x14ac:dyDescent="0.45">
      <c r="A54" s="4"/>
      <c r="B54" s="18"/>
      <c r="C54" s="77">
        <v>3</v>
      </c>
      <c r="D54" s="160"/>
      <c r="E54" s="160"/>
      <c r="F54" s="162"/>
      <c r="G54" s="164"/>
      <c r="H54" s="167"/>
      <c r="I54" s="169"/>
      <c r="J54" s="171"/>
      <c r="K54" s="32"/>
      <c r="L54" s="3" t="str">
        <f t="shared" si="1"/>
        <v>경고</v>
      </c>
    </row>
    <row r="55" spans="1:12" ht="25" customHeight="1" x14ac:dyDescent="0.45">
      <c r="A55" s="4"/>
      <c r="B55" s="18"/>
      <c r="C55" s="70">
        <v>2</v>
      </c>
      <c r="D55" s="71">
        <f t="shared" si="2"/>
        <v>34</v>
      </c>
      <c r="E55" s="71">
        <f t="shared" si="6"/>
        <v>9</v>
      </c>
      <c r="F55" s="72">
        <f t="shared" si="3"/>
        <v>0.36</v>
      </c>
      <c r="G55" s="73">
        <f>IF(D55=D54,"",_xlfn.IFNA(VLOOKUP(D55,'인원 입력 기능 (사과탐)'!$F$5:$I$53,4,FALSE),0))</f>
        <v>104</v>
      </c>
      <c r="H55" s="74">
        <f t="shared" si="4"/>
        <v>4.8161526349912009E-3</v>
      </c>
      <c r="I55" s="78">
        <f>SUM($G$7:G55)</f>
        <v>21569</v>
      </c>
      <c r="J55" s="76">
        <f t="shared" si="5"/>
        <v>0.99884227100120404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32</v>
      </c>
      <c r="E57" s="84">
        <f t="shared" si="6"/>
        <v>9</v>
      </c>
      <c r="F57" s="85">
        <f>IF(I55=0,ROUND(100*(1-(I54+I57)/2/$J$3),2),ROUND(100*(1-(I55+I57)/2/$J$3),2))</f>
        <v>0.06</v>
      </c>
      <c r="G57" s="86">
        <f>_xlfn.IFNA(VLOOKUP(D57,'인원 입력 기능 (사과탐)'!$F$5:$I$53,4,FALSE),0)</f>
        <v>25</v>
      </c>
      <c r="H57" s="87">
        <f>G57/$J$3</f>
        <v>1.1577289987959617E-3</v>
      </c>
      <c r="I57" s="88">
        <f>SUM($G$7:G57)</f>
        <v>21594</v>
      </c>
      <c r="J57" s="89">
        <f>I57/$J$3</f>
        <v>1</v>
      </c>
      <c r="K57" s="32"/>
      <c r="L57" s="3" t="str">
        <f t="shared" ref="L57" si="7">IF(ABS((C57-$H$3)/$H$4*10+50-D57-0.5)&lt;0.1, "경고", "")</f>
        <v/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68">
    <mergeCell ref="I48:I49"/>
    <mergeCell ref="J48:J49"/>
    <mergeCell ref="D53:D54"/>
    <mergeCell ref="E53:E54"/>
    <mergeCell ref="F53:F54"/>
    <mergeCell ref="G53:G54"/>
    <mergeCell ref="H53:H54"/>
    <mergeCell ref="I53:I54"/>
    <mergeCell ref="J53:J54"/>
    <mergeCell ref="D48:D49"/>
    <mergeCell ref="E48:E49"/>
    <mergeCell ref="F48:F49"/>
    <mergeCell ref="G48:G49"/>
    <mergeCell ref="H48:H49"/>
    <mergeCell ref="I37:I38"/>
    <mergeCell ref="J37:J38"/>
    <mergeCell ref="D43:D44"/>
    <mergeCell ref="E43:E44"/>
    <mergeCell ref="F43:F44"/>
    <mergeCell ref="G43:G44"/>
    <mergeCell ref="H43:H44"/>
    <mergeCell ref="I43:I44"/>
    <mergeCell ref="J43:J44"/>
    <mergeCell ref="D37:D38"/>
    <mergeCell ref="E37:E38"/>
    <mergeCell ref="F37:F38"/>
    <mergeCell ref="G37:G38"/>
    <mergeCell ref="H37:H38"/>
    <mergeCell ref="I27:I28"/>
    <mergeCell ref="J27:J28"/>
    <mergeCell ref="D32:D33"/>
    <mergeCell ref="E32:E33"/>
    <mergeCell ref="F32:F33"/>
    <mergeCell ref="G32:G33"/>
    <mergeCell ref="H32:H33"/>
    <mergeCell ref="I32:I33"/>
    <mergeCell ref="J32:J33"/>
    <mergeCell ref="D27:D28"/>
    <mergeCell ref="E27:E28"/>
    <mergeCell ref="F27:F28"/>
    <mergeCell ref="G27:G28"/>
    <mergeCell ref="H27:H28"/>
    <mergeCell ref="H17:H18"/>
    <mergeCell ref="I17:I18"/>
    <mergeCell ref="J17:J18"/>
    <mergeCell ref="D22:D23"/>
    <mergeCell ref="E22:E23"/>
    <mergeCell ref="F22:F23"/>
    <mergeCell ref="G22:G23"/>
    <mergeCell ref="H22:H23"/>
    <mergeCell ref="I22:I23"/>
    <mergeCell ref="J22:J23"/>
    <mergeCell ref="D3:F3"/>
    <mergeCell ref="D4:F4"/>
    <mergeCell ref="D8:J8"/>
    <mergeCell ref="D56:J56"/>
    <mergeCell ref="G5:J5"/>
    <mergeCell ref="D12:D13"/>
    <mergeCell ref="E12:E13"/>
    <mergeCell ref="F12:F13"/>
    <mergeCell ref="G12:G13"/>
    <mergeCell ref="H12:H13"/>
    <mergeCell ref="I12:I13"/>
    <mergeCell ref="J12:J13"/>
    <mergeCell ref="D17:D18"/>
    <mergeCell ref="E17:E18"/>
    <mergeCell ref="F17:F18"/>
    <mergeCell ref="G17:G18"/>
  </mergeCells>
  <phoneticPr fontId="1" type="noConversion"/>
  <conditionalFormatting sqref="D7:D12 D14:D17 D19:D22 D24:D27 D29:D32 D34:D37 D39:D43 D45:D48 D50:D53 D55:D57">
    <cfRule type="expression" dxfId="65" priority="1">
      <formula>$D7=$D8</formula>
    </cfRule>
  </conditionalFormatting>
  <conditionalFormatting sqref="C7:C57">
    <cfRule type="expression" dxfId="64" priority="3">
      <formula>OR(AND($D7=0,OR($D6=$Q$7:$Q$14)),AND($D8&gt;0,OR($D7=$Q$7:$Q$14)))</formula>
    </cfRule>
  </conditionalFormatting>
  <conditionalFormatting sqref="D7:J7 D8 D57:J57 D56 D9:J12 D14:J17 D19:J22 D24:J27 D29:J32 D34:J37 D39:J43 D45:J48 D50:J53 D55:J55">
    <cfRule type="expression" dxfId="63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9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기능'!D8</f>
        <v>23.03</v>
      </c>
      <c r="I3" s="14" t="s">
        <v>110</v>
      </c>
      <c r="J3" s="36">
        <f>'통계 및 응시자 수 입력 기능'!C8</f>
        <v>19365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134</v>
      </c>
      <c r="E4" s="114"/>
      <c r="F4" s="115"/>
      <c r="G4" s="38" t="s">
        <v>113</v>
      </c>
      <c r="H4" s="39" t="str">
        <f>'통계 및 응시자 수 입력 기능'!E8</f>
        <v>12.81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71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98.73</v>
      </c>
      <c r="G7" s="73">
        <f>_xlfn.IFNA(VLOOKUP(D7,'인원 입력 기능 (사과탐)'!$K$5:$N$53,4,FALSE),0)</f>
        <v>492</v>
      </c>
      <c r="H7" s="74">
        <f>G7/$J$3</f>
        <v>2.5406661502711078E-2</v>
      </c>
      <c r="I7" s="75">
        <f>G7</f>
        <v>492</v>
      </c>
      <c r="J7" s="76">
        <f>I7/$J$3</f>
        <v>2.5406661502711078E-2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입력기능'!C40</f>
        <v>69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입력기능'!C41</f>
        <v>66</v>
      </c>
    </row>
    <row r="9" spans="1:17" ht="25" customHeight="1" x14ac:dyDescent="0.45">
      <c r="A9" s="4"/>
      <c r="B9" s="18"/>
      <c r="C9" s="70">
        <v>48</v>
      </c>
      <c r="D9" s="161">
        <f>ROUND(10*(C9-$H$3)/$H$4+50,0)</f>
        <v>69</v>
      </c>
      <c r="E9" s="161">
        <f t="shared" si="0"/>
        <v>1</v>
      </c>
      <c r="F9" s="163">
        <f>IF(I8=0,ROUND(100*(1-(I7+I9)/2/$J$3),2),ROUND(100*(1-(I8+I9)/2/$J$3),2))</f>
        <v>95.65</v>
      </c>
      <c r="G9" s="165">
        <f>_xlfn.IFNA(VLOOKUP(D9,'인원 입력 기능 (사과탐)'!$K$5:$N$53,4,FALSE),0)</f>
        <v>700</v>
      </c>
      <c r="H9" s="166">
        <f>G9/$J$3</f>
        <v>3.6147689129873484E-2</v>
      </c>
      <c r="I9" s="168">
        <f>SUM($G$7:G9)</f>
        <v>1192</v>
      </c>
      <c r="J9" s="170">
        <f>I9/$J$3</f>
        <v>6.1554350632584562E-2</v>
      </c>
      <c r="K9" s="32"/>
      <c r="L9" s="3" t="str">
        <f t="shared" ref="L9:L55" si="1">IF(ABS((C9-$H$3)/$H$4*10+50-D9)&gt;0.49, "경고", "")</f>
        <v>경고</v>
      </c>
      <c r="P9" s="1">
        <v>3</v>
      </c>
      <c r="Q9" s="1">
        <f>'표준점수 등급컷 입력기능'!C42</f>
        <v>59</v>
      </c>
    </row>
    <row r="10" spans="1:17" ht="25" customHeight="1" x14ac:dyDescent="0.45">
      <c r="A10" s="4"/>
      <c r="B10" s="18"/>
      <c r="C10" s="77">
        <v>47</v>
      </c>
      <c r="D10" s="160"/>
      <c r="E10" s="160"/>
      <c r="F10" s="162"/>
      <c r="G10" s="164"/>
      <c r="H10" s="167"/>
      <c r="I10" s="169"/>
      <c r="J10" s="171"/>
      <c r="K10" s="32"/>
      <c r="L10" s="3" t="str">
        <f t="shared" si="1"/>
        <v>경고</v>
      </c>
      <c r="P10" s="1">
        <v>4</v>
      </c>
      <c r="Q10" s="1">
        <f>'표준점수 등급컷 입력기능'!C43</f>
        <v>51</v>
      </c>
    </row>
    <row r="11" spans="1:17" ht="25" customHeight="1" x14ac:dyDescent="0.45">
      <c r="A11" s="4"/>
      <c r="B11" s="18"/>
      <c r="C11" s="70">
        <v>46</v>
      </c>
      <c r="D11" s="71">
        <f t="shared" ref="D10:D55" si="2">ROUND(10*(C11-$H$3)/$H$4+50,0)</f>
        <v>68</v>
      </c>
      <c r="E11" s="71">
        <f t="shared" si="0"/>
        <v>2</v>
      </c>
      <c r="F11" s="72">
        <f t="shared" ref="F10:F55" si="3">IF(I10=0,ROUND(100*(1-(I9+I11)/2/$J$3),2),ROUND(100*(1-(I10+I11)/2/$J$3),2))</f>
        <v>93.65</v>
      </c>
      <c r="G11" s="73">
        <f>IF(D11=D10,"",_xlfn.IFNA(VLOOKUP(D11,'인원 입력 기능 (사과탐)'!$K$5:$N$53,4,FALSE),0))</f>
        <v>77</v>
      </c>
      <c r="H11" s="74">
        <f t="shared" ref="H10:H55" si="4">G11/$J$3</f>
        <v>3.9762458042860828E-3</v>
      </c>
      <c r="I11" s="78">
        <f>SUM($G$7:G11)</f>
        <v>1269</v>
      </c>
      <c r="J11" s="76">
        <f t="shared" ref="J10:J55" si="5">I11/$J$3</f>
        <v>6.5530596436870647E-2</v>
      </c>
      <c r="K11" s="32"/>
      <c r="L11" s="3" t="str">
        <f t="shared" si="1"/>
        <v/>
      </c>
      <c r="P11" s="1">
        <v>5</v>
      </c>
      <c r="Q11" s="1">
        <f>'표준점수 등급컷 입력기능'!C44</f>
        <v>45</v>
      </c>
    </row>
    <row r="12" spans="1:17" ht="25" customHeight="1" x14ac:dyDescent="0.45">
      <c r="A12" s="4"/>
      <c r="B12" s="18"/>
      <c r="C12" s="77">
        <v>45</v>
      </c>
      <c r="D12" s="71">
        <f t="shared" si="2"/>
        <v>67</v>
      </c>
      <c r="E12" s="71">
        <f t="shared" si="0"/>
        <v>2</v>
      </c>
      <c r="F12" s="72">
        <f t="shared" si="3"/>
        <v>92.43</v>
      </c>
      <c r="G12" s="73">
        <f>IF(D12=D11,"",_xlfn.IFNA(VLOOKUP(D12,'인원 입력 기능 (사과탐)'!$K$5:$N$53,4,FALSE),0))</f>
        <v>393</v>
      </c>
      <c r="H12" s="74">
        <f t="shared" si="4"/>
        <v>2.0294345468628971E-2</v>
      </c>
      <c r="I12" s="78">
        <f>SUM($G$7:G12)</f>
        <v>1662</v>
      </c>
      <c r="J12" s="76">
        <f t="shared" si="5"/>
        <v>8.5824941905499608E-2</v>
      </c>
      <c r="K12" s="32"/>
      <c r="L12" s="3" t="str">
        <f t="shared" si="1"/>
        <v/>
      </c>
      <c r="P12" s="1">
        <v>6</v>
      </c>
      <c r="Q12" s="1">
        <f>'표준점수 등급컷 입력기능'!C45</f>
        <v>41</v>
      </c>
    </row>
    <row r="13" spans="1:17" ht="25" customHeight="1" x14ac:dyDescent="0.45">
      <c r="A13" s="4"/>
      <c r="B13" s="18"/>
      <c r="C13" s="70">
        <v>44</v>
      </c>
      <c r="D13" s="161">
        <f t="shared" si="2"/>
        <v>66</v>
      </c>
      <c r="E13" s="161">
        <f t="shared" si="0"/>
        <v>2</v>
      </c>
      <c r="F13" s="163">
        <f t="shared" si="3"/>
        <v>90.16</v>
      </c>
      <c r="G13" s="165">
        <f>IF(D13=D12,"",_xlfn.IFNA(VLOOKUP(D13,'인원 입력 기능 (사과탐)'!$K$5:$N$53,4,FALSE),0))</f>
        <v>486</v>
      </c>
      <c r="H13" s="166">
        <f t="shared" si="4"/>
        <v>2.5096824167312161E-2</v>
      </c>
      <c r="I13" s="168">
        <f>SUM($G$7:G13)</f>
        <v>2148</v>
      </c>
      <c r="J13" s="170">
        <f t="shared" si="5"/>
        <v>0.11092176607281178</v>
      </c>
      <c r="K13" s="32"/>
      <c r="L13" s="3" t="str">
        <f t="shared" si="1"/>
        <v/>
      </c>
      <c r="P13" s="1">
        <v>7</v>
      </c>
      <c r="Q13" s="1">
        <f>'표준점수 등급컷 입력기능'!C46</f>
        <v>40</v>
      </c>
    </row>
    <row r="14" spans="1:17" ht="25" customHeight="1" x14ac:dyDescent="0.45">
      <c r="A14" s="4"/>
      <c r="B14" s="18"/>
      <c r="C14" s="77">
        <v>43</v>
      </c>
      <c r="D14" s="160"/>
      <c r="E14" s="160"/>
      <c r="F14" s="162"/>
      <c r="G14" s="164"/>
      <c r="H14" s="167"/>
      <c r="I14" s="169"/>
      <c r="J14" s="171"/>
      <c r="K14" s="32"/>
      <c r="L14" s="3" t="str">
        <f t="shared" si="1"/>
        <v>경고</v>
      </c>
      <c r="P14" s="1">
        <v>8</v>
      </c>
      <c r="Q14" s="1">
        <f>'표준점수 등급컷 입력기능'!C47</f>
        <v>37</v>
      </c>
    </row>
    <row r="15" spans="1:17" ht="25" customHeight="1" x14ac:dyDescent="0.45">
      <c r="A15" s="4"/>
      <c r="B15" s="18"/>
      <c r="C15" s="70">
        <v>42</v>
      </c>
      <c r="D15" s="71">
        <f t="shared" si="2"/>
        <v>65</v>
      </c>
      <c r="E15" s="71">
        <f t="shared" si="0"/>
        <v>3</v>
      </c>
      <c r="F15" s="72">
        <f t="shared" si="3"/>
        <v>87.85</v>
      </c>
      <c r="G15" s="73">
        <f>IF(D15=D14,"",_xlfn.IFNA(VLOOKUP(D15,'인원 입력 기능 (사과탐)'!$K$5:$N$53,4,FALSE),0))</f>
        <v>408</v>
      </c>
      <c r="H15" s="74">
        <f t="shared" si="4"/>
        <v>2.1068938807126257E-2</v>
      </c>
      <c r="I15" s="78">
        <f>SUM($G$7:G15)</f>
        <v>2556</v>
      </c>
      <c r="J15" s="76">
        <f t="shared" si="5"/>
        <v>0.13199070487993803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71">
        <f t="shared" si="2"/>
        <v>64</v>
      </c>
      <c r="E16" s="71">
        <f t="shared" si="0"/>
        <v>3</v>
      </c>
      <c r="F16" s="72">
        <f t="shared" si="3"/>
        <v>86.27</v>
      </c>
      <c r="G16" s="73">
        <f>IF(D16=D15,"",_xlfn.IFNA(VLOOKUP(D16,'인원 입력 기능 (사과탐)'!$K$5:$N$53,4,FALSE),0))</f>
        <v>205</v>
      </c>
      <c r="H16" s="74">
        <f t="shared" si="4"/>
        <v>1.0586108959462949E-2</v>
      </c>
      <c r="I16" s="78">
        <f>SUM($G$7:G16)</f>
        <v>2761</v>
      </c>
      <c r="J16" s="76">
        <f t="shared" si="5"/>
        <v>0.14257681383940099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71">
        <f t="shared" si="2"/>
        <v>63</v>
      </c>
      <c r="E17" s="71">
        <f t="shared" si="0"/>
        <v>3</v>
      </c>
      <c r="F17" s="72">
        <f t="shared" si="3"/>
        <v>84.94</v>
      </c>
      <c r="G17" s="73">
        <f>IF(D17=D16,"",_xlfn.IFNA(VLOOKUP(D17,'인원 입력 기능 (사과탐)'!$K$5:$N$53,4,FALSE),0))</f>
        <v>311</v>
      </c>
      <c r="H17" s="74">
        <f t="shared" si="4"/>
        <v>1.605990188484379E-2</v>
      </c>
      <c r="I17" s="78">
        <f>SUM($G$7:G17)</f>
        <v>3072</v>
      </c>
      <c r="J17" s="76">
        <f t="shared" si="5"/>
        <v>0.15863671572424476</v>
      </c>
      <c r="K17" s="32"/>
      <c r="L17" s="3" t="str">
        <f t="shared" si="1"/>
        <v/>
      </c>
      <c r="P17" s="1">
        <f>Q7*H3*H4*J3*IFERROR(IF(J57=1,1,0),0)</f>
        <v>394193682.44550002</v>
      </c>
    </row>
    <row r="18" spans="1:16" ht="25" customHeight="1" x14ac:dyDescent="0.45">
      <c r="A18" s="4"/>
      <c r="B18" s="18"/>
      <c r="C18" s="77">
        <v>39</v>
      </c>
      <c r="D18" s="161">
        <f t="shared" si="2"/>
        <v>62</v>
      </c>
      <c r="E18" s="161">
        <f t="shared" si="0"/>
        <v>3</v>
      </c>
      <c r="F18" s="163">
        <f t="shared" si="3"/>
        <v>82.86</v>
      </c>
      <c r="G18" s="165">
        <f>IF(D18=D17,"",_xlfn.IFNA(VLOOKUP(D18,'인원 입력 기능 (사과탐)'!$K$5:$N$53,4,FALSE),0))</f>
        <v>495</v>
      </c>
      <c r="H18" s="166">
        <f t="shared" si="4"/>
        <v>2.5561580170410533E-2</v>
      </c>
      <c r="I18" s="168">
        <f>SUM($G$7:G18)</f>
        <v>3567</v>
      </c>
      <c r="J18" s="170">
        <f t="shared" si="5"/>
        <v>0.18419829589465531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160"/>
      <c r="E19" s="160"/>
      <c r="F19" s="162"/>
      <c r="G19" s="164"/>
      <c r="H19" s="167"/>
      <c r="I19" s="169"/>
      <c r="J19" s="171"/>
      <c r="K19" s="32"/>
      <c r="L19" s="3" t="str">
        <f t="shared" si="1"/>
        <v>경고</v>
      </c>
    </row>
    <row r="20" spans="1:16" ht="25" customHeight="1" x14ac:dyDescent="0.45">
      <c r="A20" s="4"/>
      <c r="B20" s="18"/>
      <c r="C20" s="77">
        <v>37</v>
      </c>
      <c r="D20" s="71">
        <f t="shared" si="2"/>
        <v>61</v>
      </c>
      <c r="E20" s="71">
        <f t="shared" si="0"/>
        <v>3</v>
      </c>
      <c r="F20" s="72">
        <f t="shared" si="3"/>
        <v>80.66</v>
      </c>
      <c r="G20" s="73">
        <f>IF(D20=D19,"",_xlfn.IFNA(VLOOKUP(D20,'인원 입력 기능 (사과탐)'!$K$5:$N$53,4,FALSE),0))</f>
        <v>358</v>
      </c>
      <c r="H20" s="74">
        <f t="shared" si="4"/>
        <v>1.8486961012135296E-2</v>
      </c>
      <c r="I20" s="78">
        <f>SUM($G$7:G20)</f>
        <v>3925</v>
      </c>
      <c r="J20" s="76">
        <f t="shared" si="5"/>
        <v>0.2026852569067906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80">
        <f t="shared" si="2"/>
        <v>60</v>
      </c>
      <c r="E21" s="80">
        <f t="shared" si="0"/>
        <v>3</v>
      </c>
      <c r="F21" s="72">
        <f t="shared" si="3"/>
        <v>79</v>
      </c>
      <c r="G21" s="73">
        <f>IF(D21=D20,"",_xlfn.IFNA(VLOOKUP(D21,'인원 입력 기능 (사과탐)'!$K$5:$N$53,4,FALSE),0))</f>
        <v>283</v>
      </c>
      <c r="H21" s="74">
        <f t="shared" si="4"/>
        <v>1.4613994319648851E-2</v>
      </c>
      <c r="I21" s="78">
        <f>SUM($G$7:G21)</f>
        <v>4208</v>
      </c>
      <c r="J21" s="76">
        <f t="shared" si="5"/>
        <v>0.21729925122643945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173">
        <f t="shared" si="2"/>
        <v>59</v>
      </c>
      <c r="E22" s="173">
        <f t="shared" si="0"/>
        <v>3</v>
      </c>
      <c r="F22" s="163">
        <f t="shared" si="3"/>
        <v>76.8</v>
      </c>
      <c r="G22" s="165">
        <f>IF(D22=D21,"",_xlfn.IFNA(VLOOKUP(D22,'인원 입력 기능 (사과탐)'!$K$5:$N$53,4,FALSE),0))</f>
        <v>568</v>
      </c>
      <c r="H22" s="166">
        <f t="shared" si="4"/>
        <v>2.9331267751097342E-2</v>
      </c>
      <c r="I22" s="168">
        <f>SUM($G$7:G22)</f>
        <v>4776</v>
      </c>
      <c r="J22" s="170">
        <f t="shared" si="5"/>
        <v>0.24663051897753679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172"/>
      <c r="E23" s="172"/>
      <c r="F23" s="162"/>
      <c r="G23" s="164"/>
      <c r="H23" s="167"/>
      <c r="I23" s="169"/>
      <c r="J23" s="171"/>
      <c r="K23" s="32"/>
      <c r="L23" s="3" t="str">
        <f t="shared" si="1"/>
        <v>경고</v>
      </c>
    </row>
    <row r="24" spans="1:16" ht="25" customHeight="1" x14ac:dyDescent="0.45">
      <c r="A24" s="4"/>
      <c r="B24" s="18"/>
      <c r="C24" s="81">
        <v>33</v>
      </c>
      <c r="D24" s="80">
        <f t="shared" si="2"/>
        <v>58</v>
      </c>
      <c r="E24" s="80">
        <f t="shared" si="0"/>
        <v>4</v>
      </c>
      <c r="F24" s="72">
        <f t="shared" si="3"/>
        <v>74.709999999999994</v>
      </c>
      <c r="G24" s="73">
        <f>IF(D24=D23,"",_xlfn.IFNA(VLOOKUP(D24,'인원 입력 기능 (사과탐)'!$K$5:$N$53,4,FALSE),0))</f>
        <v>241</v>
      </c>
      <c r="H24" s="74">
        <f t="shared" si="4"/>
        <v>1.2445132971856442E-2</v>
      </c>
      <c r="I24" s="78">
        <f>SUM($G$7:G24)</f>
        <v>5017</v>
      </c>
      <c r="J24" s="76">
        <f t="shared" si="5"/>
        <v>0.25907565194939325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80">
        <f t="shared" si="2"/>
        <v>57</v>
      </c>
      <c r="E25" s="80">
        <f t="shared" si="0"/>
        <v>4</v>
      </c>
      <c r="F25" s="72">
        <f t="shared" si="3"/>
        <v>73.27</v>
      </c>
      <c r="G25" s="73">
        <f>IF(D25=D24,"",_xlfn.IFNA(VLOOKUP(D25,'인원 입력 기능 (사과탐)'!$K$5:$N$53,4,FALSE),0))</f>
        <v>320</v>
      </c>
      <c r="H25" s="74">
        <f t="shared" si="4"/>
        <v>1.6524657887942162E-2</v>
      </c>
      <c r="I25" s="78">
        <f>SUM($G$7:G25)</f>
        <v>5337</v>
      </c>
      <c r="J25" s="76">
        <f t="shared" si="5"/>
        <v>0.27560030983733541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80">
        <f t="shared" si="2"/>
        <v>56</v>
      </c>
      <c r="E26" s="80">
        <f t="shared" si="0"/>
        <v>4</v>
      </c>
      <c r="F26" s="72">
        <f t="shared" si="3"/>
        <v>71.67</v>
      </c>
      <c r="G26" s="73">
        <f>IF(D26=D25,"",_xlfn.IFNA(VLOOKUP(D26,'인원 입력 기능 (사과탐)'!$K$5:$N$53,4,FALSE),0))</f>
        <v>298</v>
      </c>
      <c r="H26" s="74">
        <f t="shared" si="4"/>
        <v>1.538858765814614E-2</v>
      </c>
      <c r="I26" s="78">
        <f>SUM($G$7:G26)</f>
        <v>5635</v>
      </c>
      <c r="J26" s="76">
        <f t="shared" si="5"/>
        <v>0.29098889749548151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173">
        <f t="shared" si="2"/>
        <v>55</v>
      </c>
      <c r="E27" s="173">
        <f t="shared" si="0"/>
        <v>4</v>
      </c>
      <c r="F27" s="163">
        <f t="shared" si="3"/>
        <v>69.37</v>
      </c>
      <c r="G27" s="165">
        <f>IF(D27=D26,"",_xlfn.IFNA(VLOOKUP(D27,'인원 입력 기능 (사과탐)'!$K$5:$N$53,4,FALSE),0))</f>
        <v>592</v>
      </c>
      <c r="H27" s="166">
        <f t="shared" si="4"/>
        <v>3.0570617092693004E-2</v>
      </c>
      <c r="I27" s="168">
        <f>SUM($G$7:G27)</f>
        <v>6227</v>
      </c>
      <c r="J27" s="170">
        <f t="shared" si="5"/>
        <v>0.32155951458817456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172"/>
      <c r="E28" s="172"/>
      <c r="F28" s="162"/>
      <c r="G28" s="164"/>
      <c r="H28" s="167"/>
      <c r="I28" s="169"/>
      <c r="J28" s="171"/>
      <c r="K28" s="32"/>
      <c r="L28" s="3" t="str">
        <f t="shared" si="1"/>
        <v>경고</v>
      </c>
    </row>
    <row r="29" spans="1:16" ht="25" customHeight="1" x14ac:dyDescent="0.45">
      <c r="A29" s="4"/>
      <c r="B29" s="18"/>
      <c r="C29" s="79">
        <v>28</v>
      </c>
      <c r="D29" s="80">
        <f t="shared" si="2"/>
        <v>54</v>
      </c>
      <c r="E29" s="80">
        <f t="shared" si="0"/>
        <v>4</v>
      </c>
      <c r="F29" s="72">
        <f t="shared" si="3"/>
        <v>67.150000000000006</v>
      </c>
      <c r="G29" s="73">
        <f>IF(D29=D28,"",_xlfn.IFNA(VLOOKUP(D29,'인원 입력 기능 (사과탐)'!$K$5:$N$53,4,FALSE),0))</f>
        <v>268</v>
      </c>
      <c r="H29" s="74">
        <f t="shared" si="4"/>
        <v>1.3839400981151563E-2</v>
      </c>
      <c r="I29" s="78">
        <f>SUM($G$7:G29)</f>
        <v>6495</v>
      </c>
      <c r="J29" s="76">
        <f t="shared" si="5"/>
        <v>0.33539891556932611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80">
        <f t="shared" si="2"/>
        <v>53</v>
      </c>
      <c r="E30" s="80">
        <f t="shared" si="0"/>
        <v>4</v>
      </c>
      <c r="F30" s="72">
        <f t="shared" si="3"/>
        <v>65.62</v>
      </c>
      <c r="G30" s="73">
        <f>IF(D30=D29,"",_xlfn.IFNA(VLOOKUP(D30,'인원 입력 기능 (사과탐)'!$K$5:$N$53,4,FALSE),0))</f>
        <v>326</v>
      </c>
      <c r="H30" s="74">
        <f t="shared" si="4"/>
        <v>1.683449522334108E-2</v>
      </c>
      <c r="I30" s="78">
        <f>SUM($G$7:G30)</f>
        <v>6821</v>
      </c>
      <c r="J30" s="76">
        <f t="shared" si="5"/>
        <v>0.35223341079266718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173">
        <f t="shared" si="2"/>
        <v>52</v>
      </c>
      <c r="E31" s="173">
        <f t="shared" si="0"/>
        <v>4</v>
      </c>
      <c r="F31" s="163">
        <f t="shared" si="3"/>
        <v>63.08</v>
      </c>
      <c r="G31" s="165">
        <f>IF(D31=D30,"",_xlfn.IFNA(VLOOKUP(D31,'인원 입력 기능 (사과탐)'!$K$5:$N$53,4,FALSE),0))</f>
        <v>658</v>
      </c>
      <c r="H31" s="166">
        <f t="shared" si="4"/>
        <v>3.3978827782081077E-2</v>
      </c>
      <c r="I31" s="168">
        <f>SUM($G$7:G31)</f>
        <v>7479</v>
      </c>
      <c r="J31" s="170">
        <f t="shared" si="5"/>
        <v>0.38621223857474823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172"/>
      <c r="E32" s="172"/>
      <c r="F32" s="162"/>
      <c r="G32" s="164"/>
      <c r="H32" s="167"/>
      <c r="I32" s="169"/>
      <c r="J32" s="171"/>
      <c r="K32" s="32"/>
      <c r="L32" s="3" t="str">
        <f t="shared" si="1"/>
        <v>경고</v>
      </c>
    </row>
    <row r="33" spans="1:12" ht="25" customHeight="1" x14ac:dyDescent="0.45">
      <c r="A33" s="4"/>
      <c r="B33" s="18"/>
      <c r="C33" s="79">
        <v>24</v>
      </c>
      <c r="D33" s="80">
        <f t="shared" si="2"/>
        <v>51</v>
      </c>
      <c r="E33" s="80">
        <f t="shared" si="0"/>
        <v>4</v>
      </c>
      <c r="F33" s="72">
        <f t="shared" si="3"/>
        <v>60.38</v>
      </c>
      <c r="G33" s="73">
        <f>IF(D33=D32,"",_xlfn.IFNA(VLOOKUP(D33,'인원 입력 기능 (사과탐)'!$K$5:$N$53,4,FALSE),0))</f>
        <v>387</v>
      </c>
      <c r="H33" s="74">
        <f t="shared" si="4"/>
        <v>1.9984508133230054E-2</v>
      </c>
      <c r="I33" s="78">
        <f>SUM($G$7:G33)</f>
        <v>7866</v>
      </c>
      <c r="J33" s="76">
        <f t="shared" si="5"/>
        <v>0.40619674670797828</v>
      </c>
      <c r="K33" s="32"/>
      <c r="L33" s="3" t="str">
        <f t="shared" si="1"/>
        <v/>
      </c>
    </row>
    <row r="34" spans="1:12" ht="25" customHeight="1" x14ac:dyDescent="0.45">
      <c r="A34" s="4"/>
      <c r="B34" s="18"/>
      <c r="C34" s="81">
        <v>23</v>
      </c>
      <c r="D34" s="80">
        <f t="shared" si="2"/>
        <v>50</v>
      </c>
      <c r="E34" s="80">
        <f t="shared" si="0"/>
        <v>5</v>
      </c>
      <c r="F34" s="72">
        <f t="shared" si="3"/>
        <v>58.47</v>
      </c>
      <c r="G34" s="73">
        <f>IF(D34=D33,"",_xlfn.IFNA(VLOOKUP(D34,'인원 입력 기능 (사과탐)'!$K$5:$N$53,4,FALSE),0))</f>
        <v>351</v>
      </c>
      <c r="H34" s="74">
        <f t="shared" si="4"/>
        <v>1.812548412083656E-2</v>
      </c>
      <c r="I34" s="78">
        <f>SUM($G$7:G34)</f>
        <v>8217</v>
      </c>
      <c r="J34" s="76">
        <f t="shared" si="5"/>
        <v>0.42432223082881487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80">
        <f t="shared" si="2"/>
        <v>49</v>
      </c>
      <c r="E35" s="80">
        <f t="shared" si="0"/>
        <v>5</v>
      </c>
      <c r="F35" s="72">
        <f t="shared" si="3"/>
        <v>56.4</v>
      </c>
      <c r="G35" s="73">
        <f>IF(D35=D34,"",_xlfn.IFNA(VLOOKUP(D35,'인원 입력 기능 (사과탐)'!$K$5:$N$53,4,FALSE),0))</f>
        <v>454</v>
      </c>
      <c r="H35" s="74">
        <f t="shared" si="4"/>
        <v>2.3444358378517945E-2</v>
      </c>
      <c r="I35" s="78">
        <f>SUM($G$7:G35)</f>
        <v>8671</v>
      </c>
      <c r="J35" s="76">
        <f t="shared" si="5"/>
        <v>0.44776658920733281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173">
        <f t="shared" si="2"/>
        <v>48</v>
      </c>
      <c r="E36" s="173">
        <f t="shared" si="0"/>
        <v>5</v>
      </c>
      <c r="F36" s="163">
        <f t="shared" si="3"/>
        <v>52.77</v>
      </c>
      <c r="G36" s="165">
        <f>IF(D36=D35,"",_xlfn.IFNA(VLOOKUP(D36,'인원 입력 기능 (사과탐)'!$K$5:$N$53,4,FALSE),0))</f>
        <v>952</v>
      </c>
      <c r="H36" s="166">
        <f t="shared" si="4"/>
        <v>4.916085721662794E-2</v>
      </c>
      <c r="I36" s="168">
        <f>SUM($G$7:G36)</f>
        <v>9623</v>
      </c>
      <c r="J36" s="170">
        <f t="shared" si="5"/>
        <v>0.49692744642396075</v>
      </c>
      <c r="K36" s="32"/>
      <c r="L36" s="3" t="str">
        <f t="shared" si="1"/>
        <v/>
      </c>
    </row>
    <row r="37" spans="1:12" ht="25" customHeight="1" x14ac:dyDescent="0.45">
      <c r="A37" s="4"/>
      <c r="B37" s="18"/>
      <c r="C37" s="79">
        <v>20</v>
      </c>
      <c r="D37" s="172"/>
      <c r="E37" s="172"/>
      <c r="F37" s="162"/>
      <c r="G37" s="164"/>
      <c r="H37" s="167"/>
      <c r="I37" s="169"/>
      <c r="J37" s="171"/>
      <c r="K37" s="32"/>
      <c r="L37" s="3" t="str">
        <f t="shared" si="1"/>
        <v>경고</v>
      </c>
    </row>
    <row r="38" spans="1:12" ht="25" customHeight="1" x14ac:dyDescent="0.45">
      <c r="A38" s="4"/>
      <c r="B38" s="18"/>
      <c r="C38" s="81">
        <v>19</v>
      </c>
      <c r="D38" s="80">
        <f t="shared" si="2"/>
        <v>47</v>
      </c>
      <c r="E38" s="80">
        <f t="shared" si="0"/>
        <v>5</v>
      </c>
      <c r="F38" s="72">
        <f t="shared" si="3"/>
        <v>48.91</v>
      </c>
      <c r="G38" s="73">
        <f>IF(D38=D37,"",_xlfn.IFNA(VLOOKUP(D38,'인원 입력 기능 (사과탐)'!$K$5:$N$53,4,FALSE),0))</f>
        <v>540</v>
      </c>
      <c r="H38" s="74">
        <f t="shared" si="4"/>
        <v>2.7885360185902403E-2</v>
      </c>
      <c r="I38" s="78">
        <f>SUM($G$7:G38)</f>
        <v>10163</v>
      </c>
      <c r="J38" s="76">
        <f t="shared" si="5"/>
        <v>0.52481280660986318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80">
        <f t="shared" si="2"/>
        <v>46</v>
      </c>
      <c r="E39" s="8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2">
        <f t="shared" si="3"/>
        <v>46.13</v>
      </c>
      <c r="G39" s="73">
        <f>IF(D39=D38,"",_xlfn.IFNA(VLOOKUP(D39,'인원 입력 기능 (사과탐)'!$K$5:$N$53,4,FALSE),0))</f>
        <v>537</v>
      </c>
      <c r="H39" s="74">
        <f t="shared" si="4"/>
        <v>2.7730441518202944E-2</v>
      </c>
      <c r="I39" s="78">
        <f>SUM($G$7:G39)</f>
        <v>10700</v>
      </c>
      <c r="J39" s="76">
        <f t="shared" si="5"/>
        <v>0.5525432481280661</v>
      </c>
      <c r="K39" s="32"/>
      <c r="L39" s="3" t="str">
        <f t="shared" si="1"/>
        <v/>
      </c>
    </row>
    <row r="40" spans="1:12" ht="25" customHeight="1" x14ac:dyDescent="0.45">
      <c r="A40" s="4"/>
      <c r="B40" s="18"/>
      <c r="C40" s="81">
        <v>17</v>
      </c>
      <c r="D40" s="173">
        <f t="shared" si="2"/>
        <v>45</v>
      </c>
      <c r="E40" s="173">
        <f t="shared" si="6"/>
        <v>5</v>
      </c>
      <c r="F40" s="163">
        <f t="shared" si="3"/>
        <v>41.54</v>
      </c>
      <c r="G40" s="165">
        <f>IF(D40=D39,"",_xlfn.IFNA(VLOOKUP(D40,'인원 입력 기능 (사과탐)'!$K$5:$N$53,4,FALSE),0))</f>
        <v>1242</v>
      </c>
      <c r="H40" s="166">
        <f t="shared" si="4"/>
        <v>6.4136328427575523E-2</v>
      </c>
      <c r="I40" s="168">
        <f>SUM($G$7:G40)</f>
        <v>11942</v>
      </c>
      <c r="J40" s="170">
        <f t="shared" si="5"/>
        <v>0.61667957655564165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172"/>
      <c r="E41" s="172"/>
      <c r="F41" s="162"/>
      <c r="G41" s="164"/>
      <c r="H41" s="167"/>
      <c r="I41" s="169"/>
      <c r="J41" s="171"/>
      <c r="K41" s="32"/>
      <c r="L41" s="3" t="str">
        <f t="shared" si="1"/>
        <v>경고</v>
      </c>
    </row>
    <row r="42" spans="1:12" ht="25" customHeight="1" x14ac:dyDescent="0.45">
      <c r="A42" s="4"/>
      <c r="B42" s="18"/>
      <c r="C42" s="81">
        <v>15</v>
      </c>
      <c r="D42" s="80">
        <f t="shared" si="2"/>
        <v>44</v>
      </c>
      <c r="E42" s="80">
        <f t="shared" si="6"/>
        <v>6</v>
      </c>
      <c r="F42" s="72">
        <f t="shared" si="3"/>
        <v>36.53</v>
      </c>
      <c r="G42" s="73">
        <f>IF(D42=D41,"",_xlfn.IFNA(VLOOKUP(D42,'인원 입력 기능 (사과탐)'!$K$5:$N$53,4,FALSE),0))</f>
        <v>696</v>
      </c>
      <c r="H42" s="74">
        <f t="shared" si="4"/>
        <v>3.5941130906274203E-2</v>
      </c>
      <c r="I42" s="78">
        <f>SUM($G$7:G42)</f>
        <v>12638</v>
      </c>
      <c r="J42" s="76">
        <f t="shared" si="5"/>
        <v>0.65262070746191581</v>
      </c>
      <c r="K42" s="32"/>
      <c r="L42" s="3" t="str">
        <f t="shared" si="1"/>
        <v/>
      </c>
    </row>
    <row r="43" spans="1:12" ht="25" customHeight="1" x14ac:dyDescent="0.45">
      <c r="A43" s="4"/>
      <c r="B43" s="18"/>
      <c r="C43" s="79">
        <v>14</v>
      </c>
      <c r="D43" s="80">
        <f t="shared" si="2"/>
        <v>43</v>
      </c>
      <c r="E43" s="80">
        <f t="shared" si="6"/>
        <v>6</v>
      </c>
      <c r="F43" s="72">
        <f t="shared" si="3"/>
        <v>32.880000000000003</v>
      </c>
      <c r="G43" s="73">
        <f>IF(D43=D42,"",_xlfn.IFNA(VLOOKUP(D43,'인원 입력 기능 (사과탐)'!$K$5:$N$53,4,FALSE),0))</f>
        <v>720</v>
      </c>
      <c r="H43" s="74">
        <f t="shared" si="4"/>
        <v>3.7180480247869865E-2</v>
      </c>
      <c r="I43" s="78">
        <f>SUM($G$7:G43)</f>
        <v>13358</v>
      </c>
      <c r="J43" s="76">
        <f t="shared" si="5"/>
        <v>0.68980118770978571</v>
      </c>
      <c r="K43" s="32"/>
      <c r="L43" s="3" t="str">
        <f t="shared" si="1"/>
        <v/>
      </c>
    </row>
    <row r="44" spans="1:12" ht="25" customHeight="1" x14ac:dyDescent="0.45">
      <c r="A44" s="4"/>
      <c r="B44" s="18"/>
      <c r="C44" s="81">
        <v>13</v>
      </c>
      <c r="D44" s="80">
        <f t="shared" si="2"/>
        <v>42</v>
      </c>
      <c r="E44" s="80">
        <f t="shared" si="6"/>
        <v>6</v>
      </c>
      <c r="F44" s="72">
        <f t="shared" si="3"/>
        <v>28.91</v>
      </c>
      <c r="G44" s="73">
        <f>IF(D44=D43,"",_xlfn.IFNA(VLOOKUP(D44,'인원 입력 기능 (사과탐)'!$K$5:$N$53,4,FALSE),0))</f>
        <v>817</v>
      </c>
      <c r="H44" s="74">
        <f t="shared" si="4"/>
        <v>4.2189517170152339E-2</v>
      </c>
      <c r="I44" s="78">
        <f>SUM($G$7:G44)</f>
        <v>14175</v>
      </c>
      <c r="J44" s="76">
        <f t="shared" si="5"/>
        <v>0.731990704879938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173">
        <f t="shared" si="2"/>
        <v>41</v>
      </c>
      <c r="E45" s="173">
        <f t="shared" si="6"/>
        <v>6</v>
      </c>
      <c r="F45" s="163">
        <f t="shared" si="3"/>
        <v>20.9</v>
      </c>
      <c r="G45" s="165">
        <f>IF(D45=D44,"",_xlfn.IFNA(VLOOKUP(D45,'인원 입력 기능 (사과탐)'!$K$5:$N$53,4,FALSE),0))</f>
        <v>2284</v>
      </c>
      <c r="H45" s="166">
        <f t="shared" si="4"/>
        <v>0.11794474567518719</v>
      </c>
      <c r="I45" s="168">
        <f>SUM($G$7:G45)</f>
        <v>16459</v>
      </c>
      <c r="J45" s="170">
        <f t="shared" si="5"/>
        <v>0.8499354505551252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172"/>
      <c r="E46" s="172"/>
      <c r="F46" s="162"/>
      <c r="G46" s="164"/>
      <c r="H46" s="167"/>
      <c r="I46" s="169"/>
      <c r="J46" s="171"/>
      <c r="K46" s="32"/>
      <c r="L46" s="3" t="str">
        <f t="shared" si="1"/>
        <v>경고</v>
      </c>
    </row>
    <row r="47" spans="1:12" ht="25" customHeight="1" x14ac:dyDescent="0.45">
      <c r="A47" s="4"/>
      <c r="B47" s="18"/>
      <c r="C47" s="79">
        <v>10</v>
      </c>
      <c r="D47" s="80">
        <f t="shared" si="2"/>
        <v>40</v>
      </c>
      <c r="E47" s="80">
        <f t="shared" si="6"/>
        <v>7</v>
      </c>
      <c r="F47" s="72">
        <f t="shared" si="3"/>
        <v>12.32</v>
      </c>
      <c r="G47" s="73">
        <f>IF(D47=D46,"",_xlfn.IFNA(VLOOKUP(D47,'인원 입력 기능 (사과탐)'!$K$5:$N$53,4,FALSE),0))</f>
        <v>1042</v>
      </c>
      <c r="H47" s="74">
        <f t="shared" si="4"/>
        <v>5.3808417247611671E-2</v>
      </c>
      <c r="I47" s="78">
        <f>SUM($G$7:G47)</f>
        <v>17501</v>
      </c>
      <c r="J47" s="76">
        <f t="shared" si="5"/>
        <v>0.90374386780273686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81">
        <v>9</v>
      </c>
      <c r="D48" s="80">
        <f t="shared" si="2"/>
        <v>39</v>
      </c>
      <c r="E48" s="80">
        <f t="shared" si="6"/>
        <v>8</v>
      </c>
      <c r="F48" s="72">
        <f t="shared" si="3"/>
        <v>8.16</v>
      </c>
      <c r="G48" s="73">
        <f>IF(D48=D47,"",_xlfn.IFNA(VLOOKUP(D48,'인원 입력 기능 (사과탐)'!$K$5:$N$53,4,FALSE),0))</f>
        <v>567</v>
      </c>
      <c r="H48" s="74">
        <f t="shared" si="4"/>
        <v>2.927962819519752E-2</v>
      </c>
      <c r="I48" s="78">
        <f>SUM($G$7:G48)</f>
        <v>18068</v>
      </c>
      <c r="J48" s="76">
        <f t="shared" si="5"/>
        <v>0.93302349599793444</v>
      </c>
      <c r="K48" s="32"/>
      <c r="L48" s="3" t="str">
        <f t="shared" si="1"/>
        <v/>
      </c>
    </row>
    <row r="49" spans="1:12" ht="25" customHeight="1" x14ac:dyDescent="0.45">
      <c r="A49" s="4"/>
      <c r="B49" s="18"/>
      <c r="C49" s="79">
        <v>8</v>
      </c>
      <c r="D49" s="80">
        <f t="shared" si="2"/>
        <v>38</v>
      </c>
      <c r="E49" s="80">
        <f t="shared" si="6"/>
        <v>8</v>
      </c>
      <c r="F49" s="72">
        <f t="shared" si="3"/>
        <v>5.92</v>
      </c>
      <c r="G49" s="73">
        <f>IF(D49=D48,"",_xlfn.IFNA(VLOOKUP(D49,'인원 입력 기능 (사과탐)'!$K$5:$N$53,4,FALSE),0))</f>
        <v>300</v>
      </c>
      <c r="H49" s="74">
        <f t="shared" si="4"/>
        <v>1.5491866769945779E-2</v>
      </c>
      <c r="I49" s="78">
        <f>SUM($G$7:G49)</f>
        <v>18368</v>
      </c>
      <c r="J49" s="76">
        <f t="shared" si="5"/>
        <v>0.94851536276788018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173">
        <f t="shared" si="2"/>
        <v>37</v>
      </c>
      <c r="E50" s="173">
        <f t="shared" si="6"/>
        <v>8</v>
      </c>
      <c r="F50" s="163">
        <f t="shared" si="3"/>
        <v>3.58</v>
      </c>
      <c r="G50" s="165">
        <f>IF(D50=D49,"",_xlfn.IFNA(VLOOKUP(D50,'인원 입력 기능 (사과탐)'!$K$5:$N$53,4,FALSE),0))</f>
        <v>607</v>
      </c>
      <c r="H50" s="166">
        <f t="shared" si="4"/>
        <v>3.134521043119029E-2</v>
      </c>
      <c r="I50" s="168">
        <f>SUM($G$7:G50)</f>
        <v>18975</v>
      </c>
      <c r="J50" s="170">
        <f t="shared" si="5"/>
        <v>0.97986057319907049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172"/>
      <c r="E51" s="172"/>
      <c r="F51" s="162"/>
      <c r="G51" s="164"/>
      <c r="H51" s="167"/>
      <c r="I51" s="169"/>
      <c r="J51" s="171"/>
      <c r="K51" s="32"/>
      <c r="L51" s="3" t="str">
        <f t="shared" si="1"/>
        <v>경고</v>
      </c>
    </row>
    <row r="52" spans="1:12" ht="25" customHeight="1" x14ac:dyDescent="0.45">
      <c r="A52" s="4"/>
      <c r="B52" s="18"/>
      <c r="C52" s="81">
        <v>5</v>
      </c>
      <c r="D52" s="80">
        <f t="shared" si="2"/>
        <v>36</v>
      </c>
      <c r="E52" s="80">
        <f t="shared" si="6"/>
        <v>9</v>
      </c>
      <c r="F52" s="72">
        <f t="shared" si="3"/>
        <v>1.6</v>
      </c>
      <c r="G52" s="73">
        <f>IF(D52=D51,"",_xlfn.IFNA(VLOOKUP(D52,'인원 입력 기능 (사과탐)'!$K$5:$N$53,4,FALSE),0))</f>
        <v>162</v>
      </c>
      <c r="H52" s="74">
        <f t="shared" si="4"/>
        <v>8.3656080557707197E-3</v>
      </c>
      <c r="I52" s="78">
        <f>SUM($G$7:G52)</f>
        <v>19137</v>
      </c>
      <c r="J52" s="76">
        <f t="shared" si="5"/>
        <v>0.98822618125484119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71">
        <f t="shared" si="2"/>
        <v>35</v>
      </c>
      <c r="E53" s="71">
        <f t="shared" si="6"/>
        <v>9</v>
      </c>
      <c r="F53" s="72">
        <f t="shared" si="3"/>
        <v>0.92</v>
      </c>
      <c r="G53" s="73">
        <f>IF(D53=D52,"",_xlfn.IFNA(VLOOKUP(D53,'인원 입력 기능 (사과탐)'!$K$5:$N$53,4,FALSE),0))</f>
        <v>101</v>
      </c>
      <c r="H53" s="74">
        <f t="shared" si="4"/>
        <v>5.215595145881745E-3</v>
      </c>
      <c r="I53" s="78">
        <f>SUM($G$7:G53)</f>
        <v>19238</v>
      </c>
      <c r="J53" s="76">
        <f t="shared" si="5"/>
        <v>0.99344177640072295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161">
        <f t="shared" si="2"/>
        <v>34</v>
      </c>
      <c r="E54" s="161">
        <f t="shared" si="6"/>
        <v>9</v>
      </c>
      <c r="F54" s="163">
        <f t="shared" si="3"/>
        <v>0.38</v>
      </c>
      <c r="G54" s="165">
        <f>IF(D54=D53,"",_xlfn.IFNA(VLOOKUP(D54,'인원 입력 기능 (사과탐)'!$K$5:$N$53,4,FALSE),0))</f>
        <v>107</v>
      </c>
      <c r="H54" s="166">
        <f t="shared" si="4"/>
        <v>5.5254324812806614E-3</v>
      </c>
      <c r="I54" s="168">
        <f>SUM($G$7:G54)</f>
        <v>19345</v>
      </c>
      <c r="J54" s="170">
        <f t="shared" si="5"/>
        <v>0.99896720888200363</v>
      </c>
      <c r="K54" s="32"/>
      <c r="L54" s="3" t="str">
        <f t="shared" si="1"/>
        <v/>
      </c>
    </row>
    <row r="55" spans="1:12" ht="25" customHeight="1" x14ac:dyDescent="0.45">
      <c r="A55" s="4"/>
      <c r="B55" s="18"/>
      <c r="C55" s="70">
        <v>2</v>
      </c>
      <c r="D55" s="160"/>
      <c r="E55" s="160"/>
      <c r="F55" s="162"/>
      <c r="G55" s="164"/>
      <c r="H55" s="167"/>
      <c r="I55" s="169"/>
      <c r="J55" s="171"/>
      <c r="K55" s="32"/>
      <c r="L55" s="3" t="str">
        <f t="shared" si="1"/>
        <v>경고</v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32</v>
      </c>
      <c r="E57" s="84">
        <f t="shared" si="6"/>
        <v>9</v>
      </c>
      <c r="F57" s="85">
        <f>IF(I55=0,ROUND(100*(1-(I54+I57)/2/$J$3),2),ROUND(100*(1-(I55+I57)/2/$J$3),2))</f>
        <v>0.05</v>
      </c>
      <c r="G57" s="86">
        <f>_xlfn.IFNA(VLOOKUP(D57,'인원 입력 기능 (사과탐)'!$K$5:$N$53,4,FALSE),0)</f>
        <v>20</v>
      </c>
      <c r="H57" s="87">
        <f>G57/$J$3</f>
        <v>1.0327911179963851E-3</v>
      </c>
      <c r="I57" s="88">
        <f>SUM($G$7:G57)</f>
        <v>19365</v>
      </c>
      <c r="J57" s="89">
        <f>I57/$J$3</f>
        <v>1</v>
      </c>
      <c r="K57" s="32"/>
      <c r="L57" s="3" t="str">
        <f t="shared" ref="L57" si="7">IF(ABS((C57-$H$3)/$H$4*10+50-D57-0.5)&lt;0.1, "경고", "")</f>
        <v/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82">
    <mergeCell ref="I50:I51"/>
    <mergeCell ref="J50:J51"/>
    <mergeCell ref="D54:D55"/>
    <mergeCell ref="E54:E55"/>
    <mergeCell ref="F54:F55"/>
    <mergeCell ref="G54:G55"/>
    <mergeCell ref="H54:H55"/>
    <mergeCell ref="I54:I55"/>
    <mergeCell ref="J54:J55"/>
    <mergeCell ref="D50:D51"/>
    <mergeCell ref="E50:E51"/>
    <mergeCell ref="F50:F51"/>
    <mergeCell ref="G50:G51"/>
    <mergeCell ref="H50:H51"/>
    <mergeCell ref="I40:I41"/>
    <mergeCell ref="J40:J41"/>
    <mergeCell ref="D45:D46"/>
    <mergeCell ref="E45:E46"/>
    <mergeCell ref="F45:F46"/>
    <mergeCell ref="G45:G46"/>
    <mergeCell ref="H45:H46"/>
    <mergeCell ref="I45:I46"/>
    <mergeCell ref="J45:J46"/>
    <mergeCell ref="D40:D41"/>
    <mergeCell ref="E40:E41"/>
    <mergeCell ref="F40:F41"/>
    <mergeCell ref="G40:G41"/>
    <mergeCell ref="H40:H41"/>
    <mergeCell ref="I31:I32"/>
    <mergeCell ref="J31:J32"/>
    <mergeCell ref="D36:D37"/>
    <mergeCell ref="E36:E37"/>
    <mergeCell ref="F36:F37"/>
    <mergeCell ref="G36:G37"/>
    <mergeCell ref="H36:H37"/>
    <mergeCell ref="I36:I37"/>
    <mergeCell ref="J36:J37"/>
    <mergeCell ref="D31:D32"/>
    <mergeCell ref="E31:E32"/>
    <mergeCell ref="F31:F32"/>
    <mergeCell ref="G31:G32"/>
    <mergeCell ref="H31:H32"/>
    <mergeCell ref="I22:I23"/>
    <mergeCell ref="J22:J23"/>
    <mergeCell ref="D27:D28"/>
    <mergeCell ref="E27:E28"/>
    <mergeCell ref="F27:F28"/>
    <mergeCell ref="G27:G28"/>
    <mergeCell ref="H27:H28"/>
    <mergeCell ref="I27:I28"/>
    <mergeCell ref="J27:J28"/>
    <mergeCell ref="D22:D23"/>
    <mergeCell ref="E22:E23"/>
    <mergeCell ref="F22:F23"/>
    <mergeCell ref="G22:G23"/>
    <mergeCell ref="H22:H23"/>
    <mergeCell ref="H13:H14"/>
    <mergeCell ref="I13:I14"/>
    <mergeCell ref="J13:J14"/>
    <mergeCell ref="D18:D19"/>
    <mergeCell ref="E18:E19"/>
    <mergeCell ref="F18:F19"/>
    <mergeCell ref="G18:G19"/>
    <mergeCell ref="H18:H19"/>
    <mergeCell ref="I18:I19"/>
    <mergeCell ref="J18:J19"/>
    <mergeCell ref="D3:F3"/>
    <mergeCell ref="D4:F4"/>
    <mergeCell ref="D8:J8"/>
    <mergeCell ref="D56:J56"/>
    <mergeCell ref="G5:J5"/>
    <mergeCell ref="D9:D10"/>
    <mergeCell ref="E9:E10"/>
    <mergeCell ref="F9:F10"/>
    <mergeCell ref="G9:G10"/>
    <mergeCell ref="H9:H10"/>
    <mergeCell ref="I9:I10"/>
    <mergeCell ref="J9:J10"/>
    <mergeCell ref="D13:D14"/>
    <mergeCell ref="E13:E14"/>
    <mergeCell ref="F13:F14"/>
    <mergeCell ref="G13:G14"/>
  </mergeCells>
  <phoneticPr fontId="1" type="noConversion"/>
  <conditionalFormatting sqref="D7:D9 D11:D13 D15:D18 D20:D22 D24:D27 D29:D31 D33:D36 D38:D40 D42:D45 D47:D50 D52:D54 D56:D57">
    <cfRule type="expression" dxfId="62" priority="1">
      <formula>$D7=$D8</formula>
    </cfRule>
  </conditionalFormatting>
  <conditionalFormatting sqref="C7:C57">
    <cfRule type="expression" dxfId="61" priority="2">
      <formula>OR(AND($D7=0,OR($D6=$Q$7:$Q$14)),AND($D8&gt;0,OR($D7=$Q$7:$Q$14)))</formula>
    </cfRule>
  </conditionalFormatting>
  <conditionalFormatting sqref="D7:J7 D8 D57:J57 D56 D9:J9 D11:J13 D15:J18 D20:J22 D24:J27 D29:J31 D33:J36 D38:J40 D42:J45 D47:J50 D52:J54">
    <cfRule type="expression" dxfId="60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0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기능'!D9</f>
        <v>28.26</v>
      </c>
      <c r="I3" s="14" t="s">
        <v>110</v>
      </c>
      <c r="J3" s="36">
        <f>'통계 및 응시자 수 입력 기능'!C9</f>
        <v>17163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133</v>
      </c>
      <c r="E4" s="114"/>
      <c r="F4" s="115"/>
      <c r="G4" s="38" t="s">
        <v>113</v>
      </c>
      <c r="H4" s="39" t="str">
        <f>'통계 및 응시자 수 입력 기능'!E9</f>
        <v>13.88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66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97.94</v>
      </c>
      <c r="G7" s="73">
        <f>_xlfn.IFNA(VLOOKUP(D7,'인원 입력 기능 (사과탐)'!$P$5:$S$53,4,FALSE),0)</f>
        <v>708</v>
      </c>
      <c r="H7" s="74">
        <f>G7/$J$3</f>
        <v>4.125152945289285E-2</v>
      </c>
      <c r="I7" s="75">
        <f>G7</f>
        <v>708</v>
      </c>
      <c r="J7" s="76">
        <f>I7/$J$3</f>
        <v>4.125152945289285E-2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입력기능'!C49</f>
        <v>66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입력기능'!C50</f>
        <v>64</v>
      </c>
    </row>
    <row r="9" spans="1:17" ht="25" customHeight="1" x14ac:dyDescent="0.45">
      <c r="A9" s="4"/>
      <c r="B9" s="18"/>
      <c r="C9" s="70">
        <v>48</v>
      </c>
      <c r="D9" s="161">
        <f>ROUND(10*(C9-$H$3)/$H$4+50,0)</f>
        <v>64</v>
      </c>
      <c r="E9" s="161">
        <f t="shared" si="0"/>
        <v>2</v>
      </c>
      <c r="F9" s="163">
        <f>IF(I8=0,ROUND(100*(1-(I7+I9)/2/$J$3),2),ROUND(100*(1-(I8+I9)/2/$J$3),2))</f>
        <v>91.4</v>
      </c>
      <c r="G9" s="165">
        <f>_xlfn.IFNA(VLOOKUP(D9,'인원 입력 기능 (사과탐)'!$P$5:$S$53,4,FALSE),0)</f>
        <v>1537</v>
      </c>
      <c r="H9" s="166">
        <f>G9/$J$3</f>
        <v>8.9553108430926995E-2</v>
      </c>
      <c r="I9" s="168">
        <f>SUM($G$7:G9)</f>
        <v>2245</v>
      </c>
      <c r="J9" s="170">
        <f>I9/$J$3</f>
        <v>0.13080463788381985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입력기능'!C51</f>
        <v>60</v>
      </c>
    </row>
    <row r="10" spans="1:17" ht="25" customHeight="1" x14ac:dyDescent="0.45">
      <c r="A10" s="4"/>
      <c r="B10" s="18"/>
      <c r="C10" s="77">
        <v>47</v>
      </c>
      <c r="D10" s="160"/>
      <c r="E10" s="160"/>
      <c r="F10" s="162"/>
      <c r="G10" s="164"/>
      <c r="H10" s="167"/>
      <c r="I10" s="169"/>
      <c r="J10" s="171"/>
      <c r="K10" s="32"/>
      <c r="L10" s="3" t="str">
        <f t="shared" si="1"/>
        <v>경고</v>
      </c>
      <c r="P10" s="1">
        <v>4</v>
      </c>
      <c r="Q10" s="1">
        <f>'표준점수 등급컷 입력기능'!C52</f>
        <v>54</v>
      </c>
    </row>
    <row r="11" spans="1:17" ht="25" customHeight="1" x14ac:dyDescent="0.45">
      <c r="A11" s="4"/>
      <c r="B11" s="18"/>
      <c r="C11" s="70">
        <v>46</v>
      </c>
      <c r="D11" s="71">
        <f t="shared" ref="D10:D55" si="2">ROUND(10*(C11-$H$3)/$H$4+50,0)</f>
        <v>63</v>
      </c>
      <c r="E11" s="71">
        <f t="shared" si="0"/>
        <v>3</v>
      </c>
      <c r="F11" s="72">
        <f t="shared" ref="F10:F55" si="3">IF(I10=0,ROUND(100*(1-(I9+I11)/2/$J$3),2),ROUND(100*(1-(I10+I11)/2/$J$3),2))</f>
        <v>86.87</v>
      </c>
      <c r="G11" s="73">
        <f>IF(D11=D10,"",_xlfn.IFNA(VLOOKUP(D11,'인원 입력 기능 (사과탐)'!$P$5:$S$53,4,FALSE),0))</f>
        <v>17</v>
      </c>
      <c r="H11" s="74">
        <f t="shared" ref="H10:H55" si="4">G11/$J$3</f>
        <v>9.9050282584629726E-4</v>
      </c>
      <c r="I11" s="78">
        <f>SUM($G$7:G11)</f>
        <v>2262</v>
      </c>
      <c r="J11" s="76">
        <f t="shared" ref="J10:J55" si="5">I11/$J$3</f>
        <v>0.13179514070966614</v>
      </c>
      <c r="K11" s="32"/>
      <c r="L11" s="3" t="str">
        <f t="shared" si="1"/>
        <v/>
      </c>
      <c r="P11" s="1">
        <v>5</v>
      </c>
      <c r="Q11" s="1">
        <f>'표준점수 등급컷 입력기능'!C53</f>
        <v>45</v>
      </c>
    </row>
    <row r="12" spans="1:17" ht="25" customHeight="1" x14ac:dyDescent="0.45">
      <c r="A12" s="4"/>
      <c r="B12" s="18"/>
      <c r="C12" s="77">
        <v>45</v>
      </c>
      <c r="D12" s="71">
        <f t="shared" si="2"/>
        <v>62</v>
      </c>
      <c r="E12" s="71">
        <f t="shared" si="0"/>
        <v>3</v>
      </c>
      <c r="F12" s="72">
        <f t="shared" si="3"/>
        <v>85.77</v>
      </c>
      <c r="G12" s="73">
        <f>IF(D12=D11,"",_xlfn.IFNA(VLOOKUP(D12,'인원 입력 기능 (사과탐)'!$P$5:$S$53,4,FALSE),0))</f>
        <v>359</v>
      </c>
      <c r="H12" s="74">
        <f t="shared" si="4"/>
        <v>2.0917089086989454E-2</v>
      </c>
      <c r="I12" s="78">
        <f>SUM($G$7:G12)</f>
        <v>2621</v>
      </c>
      <c r="J12" s="76">
        <f t="shared" si="5"/>
        <v>0.15271222979665561</v>
      </c>
      <c r="K12" s="32"/>
      <c r="L12" s="3" t="str">
        <f t="shared" si="1"/>
        <v/>
      </c>
      <c r="P12" s="1">
        <v>6</v>
      </c>
      <c r="Q12" s="1">
        <f>'표준점수 등급컷 입력기능'!C54</f>
        <v>40</v>
      </c>
    </row>
    <row r="13" spans="1:17" ht="25" customHeight="1" x14ac:dyDescent="0.45">
      <c r="A13" s="4"/>
      <c r="B13" s="18"/>
      <c r="C13" s="70">
        <v>44</v>
      </c>
      <c r="D13" s="161">
        <f t="shared" si="2"/>
        <v>61</v>
      </c>
      <c r="E13" s="161">
        <f t="shared" si="0"/>
        <v>3</v>
      </c>
      <c r="F13" s="163">
        <f t="shared" si="3"/>
        <v>81.400000000000006</v>
      </c>
      <c r="G13" s="165">
        <f>IF(D13=D12,"",_xlfn.IFNA(VLOOKUP(D13,'인원 입력 기능 (사과탐)'!$P$5:$S$53,4,FALSE),0))</f>
        <v>1142</v>
      </c>
      <c r="H13" s="166">
        <f t="shared" si="4"/>
        <v>6.6538483948027735E-2</v>
      </c>
      <c r="I13" s="168">
        <f>SUM($G$7:G13)</f>
        <v>3763</v>
      </c>
      <c r="J13" s="170">
        <f t="shared" si="5"/>
        <v>0.21925071374468333</v>
      </c>
      <c r="K13" s="32"/>
      <c r="L13" s="3" t="str">
        <f t="shared" si="1"/>
        <v/>
      </c>
      <c r="P13" s="1">
        <v>7</v>
      </c>
      <c r="Q13" s="1">
        <f>'표준점수 등급컷 입력기능'!C55</f>
        <v>38</v>
      </c>
    </row>
    <row r="14" spans="1:17" ht="25" customHeight="1" x14ac:dyDescent="0.45">
      <c r="A14" s="4"/>
      <c r="B14" s="18"/>
      <c r="C14" s="77">
        <v>43</v>
      </c>
      <c r="D14" s="160"/>
      <c r="E14" s="160"/>
      <c r="F14" s="162"/>
      <c r="G14" s="164"/>
      <c r="H14" s="167"/>
      <c r="I14" s="169"/>
      <c r="J14" s="171"/>
      <c r="K14" s="32"/>
      <c r="L14" s="3" t="str">
        <f t="shared" si="1"/>
        <v>경고</v>
      </c>
      <c r="P14" s="1">
        <v>8</v>
      </c>
      <c r="Q14" s="1">
        <f>'표준점수 등급컷 입력기능'!C56</f>
        <v>35</v>
      </c>
    </row>
    <row r="15" spans="1:17" ht="25" customHeight="1" x14ac:dyDescent="0.45">
      <c r="A15" s="4"/>
      <c r="B15" s="18"/>
      <c r="C15" s="70">
        <v>42</v>
      </c>
      <c r="D15" s="71">
        <f t="shared" si="2"/>
        <v>60</v>
      </c>
      <c r="E15" s="71">
        <f t="shared" si="0"/>
        <v>3</v>
      </c>
      <c r="F15" s="72">
        <f t="shared" si="3"/>
        <v>76.64</v>
      </c>
      <c r="G15" s="73">
        <f>IF(D15=D14,"",_xlfn.IFNA(VLOOKUP(D15,'인원 입력 기능 (사과탐)'!$P$5:$S$53,4,FALSE),0))</f>
        <v>494</v>
      </c>
      <c r="H15" s="74">
        <f t="shared" si="4"/>
        <v>2.8782846821651227E-2</v>
      </c>
      <c r="I15" s="78">
        <f>SUM($G$7:G15)</f>
        <v>4257</v>
      </c>
      <c r="J15" s="76">
        <f t="shared" si="5"/>
        <v>0.24803356056633455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71">
        <f t="shared" si="2"/>
        <v>59</v>
      </c>
      <c r="E16" s="71">
        <f t="shared" si="0"/>
        <v>4</v>
      </c>
      <c r="F16" s="72">
        <f t="shared" si="3"/>
        <v>73.42</v>
      </c>
      <c r="G16" s="73">
        <f>IF(D16=D15,"",_xlfn.IFNA(VLOOKUP(D16,'인원 입력 기능 (사과탐)'!$P$5:$S$53,4,FALSE),0))</f>
        <v>610</v>
      </c>
      <c r="H16" s="74">
        <f t="shared" si="4"/>
        <v>3.5541571986249493E-2</v>
      </c>
      <c r="I16" s="78">
        <f>SUM($G$7:G16)</f>
        <v>4867</v>
      </c>
      <c r="J16" s="76">
        <f t="shared" si="5"/>
        <v>0.28357513255258404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161">
        <f t="shared" si="2"/>
        <v>58</v>
      </c>
      <c r="E17" s="161">
        <f t="shared" si="0"/>
        <v>4</v>
      </c>
      <c r="F17" s="163">
        <f t="shared" si="3"/>
        <v>69.8</v>
      </c>
      <c r="G17" s="165">
        <f>IF(D17=D16,"",_xlfn.IFNA(VLOOKUP(D17,'인원 입력 기능 (사과탐)'!$P$5:$S$53,4,FALSE),0))</f>
        <v>631</v>
      </c>
      <c r="H17" s="166">
        <f t="shared" si="4"/>
        <v>3.676513430053021E-2</v>
      </c>
      <c r="I17" s="168">
        <f>SUM($G$7:G17)</f>
        <v>5498</v>
      </c>
      <c r="J17" s="170">
        <f t="shared" si="5"/>
        <v>0.32034026685311423</v>
      </c>
      <c r="K17" s="32"/>
      <c r="L17" s="3" t="str">
        <f t="shared" si="1"/>
        <v/>
      </c>
      <c r="P17" s="1">
        <f>Q7*H3*H4*J3*IFERROR(IF(J57=1,1,0),0)</f>
        <v>444322966.19040006</v>
      </c>
    </row>
    <row r="18" spans="1:16" ht="25" customHeight="1" x14ac:dyDescent="0.45">
      <c r="A18" s="4"/>
      <c r="B18" s="18"/>
      <c r="C18" s="77">
        <v>39</v>
      </c>
      <c r="D18" s="160"/>
      <c r="E18" s="160"/>
      <c r="F18" s="162"/>
      <c r="G18" s="164"/>
      <c r="H18" s="167"/>
      <c r="I18" s="169"/>
      <c r="J18" s="171"/>
      <c r="K18" s="32"/>
      <c r="L18" s="3" t="str">
        <f t="shared" si="1"/>
        <v>경고</v>
      </c>
    </row>
    <row r="19" spans="1:16" ht="25" customHeight="1" x14ac:dyDescent="0.45">
      <c r="A19" s="4"/>
      <c r="B19" s="18"/>
      <c r="C19" s="70">
        <v>38</v>
      </c>
      <c r="D19" s="71">
        <f t="shared" si="2"/>
        <v>57</v>
      </c>
      <c r="E19" s="71">
        <f t="shared" si="0"/>
        <v>4</v>
      </c>
      <c r="F19" s="72">
        <f t="shared" si="3"/>
        <v>66.760000000000005</v>
      </c>
      <c r="G19" s="73">
        <f>IF(D19=D18,"",_xlfn.IFNA(VLOOKUP(D19,'인원 입력 기능 (사과탐)'!$P$5:$S$53,4,FALSE),0))</f>
        <v>413</v>
      </c>
      <c r="H19" s="74">
        <f t="shared" si="4"/>
        <v>2.4063392180854164E-2</v>
      </c>
      <c r="I19" s="78">
        <f>SUM($G$7:G19)</f>
        <v>5911</v>
      </c>
      <c r="J19" s="76">
        <f t="shared" si="5"/>
        <v>0.34440365903396841</v>
      </c>
      <c r="K19" s="32"/>
      <c r="L19" s="3" t="str">
        <f t="shared" si="1"/>
        <v/>
      </c>
    </row>
    <row r="20" spans="1:16" ht="25" customHeight="1" x14ac:dyDescent="0.45">
      <c r="A20" s="4"/>
      <c r="B20" s="18"/>
      <c r="C20" s="77">
        <v>37</v>
      </c>
      <c r="D20" s="161">
        <f t="shared" si="2"/>
        <v>56</v>
      </c>
      <c r="E20" s="161">
        <f t="shared" si="0"/>
        <v>4</v>
      </c>
      <c r="F20" s="163">
        <f t="shared" si="3"/>
        <v>63.84</v>
      </c>
      <c r="G20" s="165">
        <f>IF(D20=D19,"",_xlfn.IFNA(VLOOKUP(D20,'인원 입력 기능 (사과탐)'!$P$5:$S$53,4,FALSE),0))</f>
        <v>589</v>
      </c>
      <c r="H20" s="166">
        <f t="shared" si="4"/>
        <v>3.4318009671968769E-2</v>
      </c>
      <c r="I20" s="168">
        <f>SUM($G$7:G20)</f>
        <v>6500</v>
      </c>
      <c r="J20" s="170">
        <f t="shared" si="5"/>
        <v>0.37872166870593721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160"/>
      <c r="E21" s="160"/>
      <c r="F21" s="162"/>
      <c r="G21" s="164"/>
      <c r="H21" s="167"/>
      <c r="I21" s="169"/>
      <c r="J21" s="171"/>
      <c r="K21" s="32"/>
      <c r="L21" s="3" t="str">
        <f t="shared" si="1"/>
        <v>경고</v>
      </c>
    </row>
    <row r="22" spans="1:16" ht="25" customHeight="1" x14ac:dyDescent="0.45">
      <c r="A22" s="4"/>
      <c r="B22" s="18"/>
      <c r="C22" s="81">
        <v>35</v>
      </c>
      <c r="D22" s="80">
        <f t="shared" si="2"/>
        <v>55</v>
      </c>
      <c r="E22" s="80">
        <f t="shared" si="0"/>
        <v>4</v>
      </c>
      <c r="F22" s="72">
        <f t="shared" si="3"/>
        <v>61.25</v>
      </c>
      <c r="G22" s="73">
        <f>IF(D22=D21,"",_xlfn.IFNA(VLOOKUP(D22,'인원 입력 기능 (사과탐)'!$P$5:$S$53,4,FALSE),0))</f>
        <v>301</v>
      </c>
      <c r="H22" s="74">
        <f t="shared" si="4"/>
        <v>1.7537726504690321E-2</v>
      </c>
      <c r="I22" s="78">
        <f>SUM($G$7:G22)</f>
        <v>6801</v>
      </c>
      <c r="J22" s="76">
        <f t="shared" si="5"/>
        <v>0.39625939521062753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80">
        <f t="shared" si="2"/>
        <v>54</v>
      </c>
      <c r="E23" s="80">
        <f t="shared" si="0"/>
        <v>4</v>
      </c>
      <c r="F23" s="72">
        <f t="shared" si="3"/>
        <v>59.7</v>
      </c>
      <c r="G23" s="73">
        <f>IF(D23=D22,"",_xlfn.IFNA(VLOOKUP(D23,'인원 입력 기능 (사과탐)'!$P$5:$S$53,4,FALSE),0))</f>
        <v>231</v>
      </c>
      <c r="H23" s="74">
        <f t="shared" si="4"/>
        <v>1.3459185457087922E-2</v>
      </c>
      <c r="I23" s="78">
        <f>SUM($G$7:G23)</f>
        <v>7032</v>
      </c>
      <c r="J23" s="76">
        <f t="shared" si="5"/>
        <v>0.40971858066771544</v>
      </c>
      <c r="K23" s="32"/>
      <c r="L23" s="3" t="str">
        <f t="shared" si="1"/>
        <v/>
      </c>
    </row>
    <row r="24" spans="1:16" ht="25" customHeight="1" x14ac:dyDescent="0.45">
      <c r="A24" s="4"/>
      <c r="B24" s="18"/>
      <c r="C24" s="81">
        <v>33</v>
      </c>
      <c r="D24" s="173">
        <f t="shared" si="2"/>
        <v>53</v>
      </c>
      <c r="E24" s="173">
        <f t="shared" si="0"/>
        <v>5</v>
      </c>
      <c r="F24" s="163">
        <f t="shared" si="3"/>
        <v>57.26</v>
      </c>
      <c r="G24" s="165">
        <f>IF(D24=D23,"",_xlfn.IFNA(VLOOKUP(D24,'인원 입력 기능 (사과탐)'!$P$5:$S$53,4,FALSE),0))</f>
        <v>606</v>
      </c>
      <c r="H24" s="166">
        <f t="shared" si="4"/>
        <v>3.5308512497815067E-2</v>
      </c>
      <c r="I24" s="168">
        <f>SUM($G$7:G24)</f>
        <v>7638</v>
      </c>
      <c r="J24" s="170">
        <f t="shared" si="5"/>
        <v>0.44502709316553052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172"/>
      <c r="E25" s="172"/>
      <c r="F25" s="162"/>
      <c r="G25" s="164"/>
      <c r="H25" s="167"/>
      <c r="I25" s="169"/>
      <c r="J25" s="171"/>
      <c r="K25" s="32"/>
      <c r="L25" s="3" t="str">
        <f t="shared" si="1"/>
        <v>경고</v>
      </c>
    </row>
    <row r="26" spans="1:16" ht="25" customHeight="1" x14ac:dyDescent="0.45">
      <c r="A26" s="4"/>
      <c r="B26" s="18"/>
      <c r="C26" s="81">
        <v>31</v>
      </c>
      <c r="D26" s="80">
        <f t="shared" si="2"/>
        <v>52</v>
      </c>
      <c r="E26" s="80">
        <f t="shared" si="0"/>
        <v>5</v>
      </c>
      <c r="F26" s="72">
        <f t="shared" si="3"/>
        <v>54.68</v>
      </c>
      <c r="G26" s="73">
        <f>IF(D26=D25,"",_xlfn.IFNA(VLOOKUP(D26,'인원 입력 기능 (사과탐)'!$P$5:$S$53,4,FALSE),0))</f>
        <v>280</v>
      </c>
      <c r="H26" s="74">
        <f t="shared" si="4"/>
        <v>1.63141641904096E-2</v>
      </c>
      <c r="I26" s="78">
        <f>SUM($G$7:G26)</f>
        <v>7918</v>
      </c>
      <c r="J26" s="76">
        <f t="shared" si="5"/>
        <v>0.46134125735594012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173">
        <f t="shared" si="2"/>
        <v>51</v>
      </c>
      <c r="E27" s="173">
        <f t="shared" si="0"/>
        <v>5</v>
      </c>
      <c r="F27" s="163">
        <f t="shared" si="3"/>
        <v>52.21</v>
      </c>
      <c r="G27" s="165">
        <f>IF(D27=D26,"",_xlfn.IFNA(VLOOKUP(D27,'인원 입력 기능 (사과탐)'!$P$5:$S$53,4,FALSE),0))</f>
        <v>569</v>
      </c>
      <c r="H27" s="166">
        <f t="shared" si="4"/>
        <v>3.3152712229796655E-2</v>
      </c>
      <c r="I27" s="168">
        <f>SUM($G$7:G27)</f>
        <v>8487</v>
      </c>
      <c r="J27" s="170">
        <f t="shared" si="5"/>
        <v>0.49449396958573677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172"/>
      <c r="E28" s="172"/>
      <c r="F28" s="162"/>
      <c r="G28" s="164"/>
      <c r="H28" s="167"/>
      <c r="I28" s="169"/>
      <c r="J28" s="171"/>
      <c r="K28" s="32"/>
      <c r="L28" s="3" t="str">
        <f t="shared" si="1"/>
        <v>경고</v>
      </c>
    </row>
    <row r="29" spans="1:16" ht="25" customHeight="1" x14ac:dyDescent="0.45">
      <c r="A29" s="4"/>
      <c r="B29" s="18"/>
      <c r="C29" s="79">
        <v>28</v>
      </c>
      <c r="D29" s="80">
        <f t="shared" si="2"/>
        <v>50</v>
      </c>
      <c r="E29" s="80">
        <f t="shared" si="0"/>
        <v>5</v>
      </c>
      <c r="F29" s="72">
        <f t="shared" si="3"/>
        <v>49.71</v>
      </c>
      <c r="G29" s="73">
        <f>IF(D29=D28,"",_xlfn.IFNA(VLOOKUP(D29,'인원 입력 기능 (사과탐)'!$P$5:$S$53,4,FALSE),0))</f>
        <v>290</v>
      </c>
      <c r="H29" s="74">
        <f t="shared" si="4"/>
        <v>1.6896812911495661E-2</v>
      </c>
      <c r="I29" s="78">
        <f>SUM($G$7:G29)</f>
        <v>8777</v>
      </c>
      <c r="J29" s="76">
        <f t="shared" si="5"/>
        <v>0.51139078249723247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80">
        <f t="shared" si="2"/>
        <v>49</v>
      </c>
      <c r="E30" s="80">
        <f t="shared" si="0"/>
        <v>5</v>
      </c>
      <c r="F30" s="72">
        <f t="shared" si="3"/>
        <v>47.96</v>
      </c>
      <c r="G30" s="73">
        <f>IF(D30=D29,"",_xlfn.IFNA(VLOOKUP(D30,'인원 입력 기능 (사과탐)'!$P$5:$S$53,4,FALSE),0))</f>
        <v>309</v>
      </c>
      <c r="H30" s="74">
        <f t="shared" si="4"/>
        <v>1.8003845481559169E-2</v>
      </c>
      <c r="I30" s="78">
        <f>SUM($G$7:G30)</f>
        <v>9086</v>
      </c>
      <c r="J30" s="76">
        <f t="shared" si="5"/>
        <v>0.52939462797879155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173">
        <f t="shared" si="2"/>
        <v>48</v>
      </c>
      <c r="E31" s="173">
        <f t="shared" si="0"/>
        <v>5</v>
      </c>
      <c r="F31" s="163">
        <f t="shared" si="3"/>
        <v>45.36</v>
      </c>
      <c r="G31" s="165">
        <f>IF(D31=D30,"",_xlfn.IFNA(VLOOKUP(D31,'인원 입력 기능 (사과탐)'!$P$5:$S$53,4,FALSE),0))</f>
        <v>584</v>
      </c>
      <c r="H31" s="166">
        <f t="shared" si="4"/>
        <v>3.402668531142574E-2</v>
      </c>
      <c r="I31" s="168">
        <f>SUM($G$7:G31)</f>
        <v>9670</v>
      </c>
      <c r="J31" s="170">
        <f t="shared" si="5"/>
        <v>0.56342131329021727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172"/>
      <c r="E32" s="172"/>
      <c r="F32" s="162"/>
      <c r="G32" s="164"/>
      <c r="H32" s="167"/>
      <c r="I32" s="169"/>
      <c r="J32" s="171"/>
      <c r="K32" s="32"/>
      <c r="L32" s="3" t="str">
        <f t="shared" si="1"/>
        <v>경고</v>
      </c>
    </row>
    <row r="33" spans="1:12" ht="25" customHeight="1" x14ac:dyDescent="0.45">
      <c r="A33" s="4"/>
      <c r="B33" s="18"/>
      <c r="C33" s="79">
        <v>24</v>
      </c>
      <c r="D33" s="80">
        <f t="shared" si="2"/>
        <v>47</v>
      </c>
      <c r="E33" s="80">
        <f t="shared" si="0"/>
        <v>5</v>
      </c>
      <c r="F33" s="72">
        <f t="shared" si="3"/>
        <v>42.76</v>
      </c>
      <c r="G33" s="73">
        <f>IF(D33=D32,"",_xlfn.IFNA(VLOOKUP(D33,'인원 입력 기능 (사과탐)'!$P$5:$S$53,4,FALSE),0))</f>
        <v>307</v>
      </c>
      <c r="H33" s="74">
        <f t="shared" si="4"/>
        <v>1.7887315737341956E-2</v>
      </c>
      <c r="I33" s="78">
        <f>SUM($G$7:G33)</f>
        <v>9977</v>
      </c>
      <c r="J33" s="76">
        <f t="shared" si="5"/>
        <v>0.58130862902755931</v>
      </c>
      <c r="K33" s="32"/>
      <c r="L33" s="3" t="str">
        <f t="shared" si="1"/>
        <v/>
      </c>
    </row>
    <row r="34" spans="1:12" ht="25" customHeight="1" x14ac:dyDescent="0.45">
      <c r="A34" s="4"/>
      <c r="B34" s="18"/>
      <c r="C34" s="81">
        <v>23</v>
      </c>
      <c r="D34" s="80">
        <f t="shared" si="2"/>
        <v>46</v>
      </c>
      <c r="E34" s="80">
        <f t="shared" si="0"/>
        <v>5</v>
      </c>
      <c r="F34" s="72">
        <f t="shared" si="3"/>
        <v>40.98</v>
      </c>
      <c r="G34" s="73">
        <f>IF(D34=D33,"",_xlfn.IFNA(VLOOKUP(D34,'인원 입력 기능 (사과탐)'!$P$5:$S$53,4,FALSE),0))</f>
        <v>306</v>
      </c>
      <c r="H34" s="74">
        <f t="shared" si="4"/>
        <v>1.7829050865233349E-2</v>
      </c>
      <c r="I34" s="78">
        <f>SUM($G$7:G34)</f>
        <v>10283</v>
      </c>
      <c r="J34" s="76">
        <f t="shared" si="5"/>
        <v>0.59913767989279265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173">
        <f t="shared" si="2"/>
        <v>45</v>
      </c>
      <c r="E35" s="173">
        <f t="shared" si="0"/>
        <v>5</v>
      </c>
      <c r="F35" s="163">
        <f t="shared" si="3"/>
        <v>38.35</v>
      </c>
      <c r="G35" s="165">
        <f>IF(D35=D34,"",_xlfn.IFNA(VLOOKUP(D35,'인원 입력 기능 (사과탐)'!$P$5:$S$53,4,FALSE),0))</f>
        <v>597</v>
      </c>
      <c r="H35" s="166">
        <f t="shared" si="4"/>
        <v>3.4784128648837613E-2</v>
      </c>
      <c r="I35" s="168">
        <f>SUM($G$7:G35)</f>
        <v>10880</v>
      </c>
      <c r="J35" s="170">
        <f t="shared" si="5"/>
        <v>0.63392180854163027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172"/>
      <c r="E36" s="172"/>
      <c r="F36" s="162"/>
      <c r="G36" s="164"/>
      <c r="H36" s="167"/>
      <c r="I36" s="169"/>
      <c r="J36" s="171"/>
      <c r="K36" s="32"/>
      <c r="L36" s="3" t="str">
        <f t="shared" si="1"/>
        <v>경고</v>
      </c>
    </row>
    <row r="37" spans="1:12" ht="25" customHeight="1" x14ac:dyDescent="0.45">
      <c r="A37" s="4"/>
      <c r="B37" s="18"/>
      <c r="C37" s="79">
        <v>20</v>
      </c>
      <c r="D37" s="80">
        <f t="shared" si="2"/>
        <v>44</v>
      </c>
      <c r="E37" s="80">
        <f t="shared" si="0"/>
        <v>6</v>
      </c>
      <c r="F37" s="72">
        <f t="shared" si="3"/>
        <v>35.71</v>
      </c>
      <c r="G37" s="73">
        <f>IF(D37=D36,"",_xlfn.IFNA(VLOOKUP(D37,'인원 입력 기능 (사과탐)'!$P$5:$S$53,4,FALSE),0))</f>
        <v>307</v>
      </c>
      <c r="H37" s="74">
        <f t="shared" si="4"/>
        <v>1.7887315737341956E-2</v>
      </c>
      <c r="I37" s="78">
        <f>SUM($G$7:G37)</f>
        <v>11187</v>
      </c>
      <c r="J37" s="76">
        <f t="shared" si="5"/>
        <v>0.6518091242789722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173">
        <f t="shared" si="2"/>
        <v>43</v>
      </c>
      <c r="E38" s="173">
        <f t="shared" si="0"/>
        <v>6</v>
      </c>
      <c r="F38" s="163">
        <f t="shared" si="3"/>
        <v>32.79</v>
      </c>
      <c r="G38" s="165">
        <f>IF(D38=D37,"",_xlfn.IFNA(VLOOKUP(D38,'인원 입력 기능 (사과탐)'!$P$5:$S$53,4,FALSE),0))</f>
        <v>698</v>
      </c>
      <c r="H38" s="166">
        <f t="shared" si="4"/>
        <v>4.0668880731806793E-2</v>
      </c>
      <c r="I38" s="168">
        <f>SUM($G$7:G38)</f>
        <v>11885</v>
      </c>
      <c r="J38" s="170">
        <f t="shared" si="5"/>
        <v>0.69247800501077905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172"/>
      <c r="E39" s="172"/>
      <c r="F39" s="162"/>
      <c r="G39" s="164"/>
      <c r="H39" s="167"/>
      <c r="I39" s="169"/>
      <c r="J39" s="171"/>
      <c r="K39" s="32"/>
      <c r="L39" s="3" t="str">
        <f t="shared" si="1"/>
        <v>경고</v>
      </c>
    </row>
    <row r="40" spans="1:12" ht="25" customHeight="1" x14ac:dyDescent="0.45">
      <c r="A40" s="4"/>
      <c r="B40" s="18"/>
      <c r="C40" s="81">
        <v>17</v>
      </c>
      <c r="D40" s="80">
        <f t="shared" si="2"/>
        <v>42</v>
      </c>
      <c r="E40" s="80">
        <f t="shared" ref="E39:E57" si="6">IF(ROUND(D40,0)&gt;=$Q$7,1,IF(ROUND(D40,0)&gt;=$Q$8,2,IF(ROUND(D40,0)&gt;=$Q$9,3,IF(ROUND(D40,0)&gt;=$Q$10,4,IF(ROUND(D40,0)&gt;=$Q$11,5,IF(ROUND(D40,0)&gt;=$Q$12,6,IF(ROUND(D40,0)&gt;=$Q$13,7,IF(ROUND(D40,0)&gt;=$Q$14,8,9))))))))</f>
        <v>6</v>
      </c>
      <c r="F40" s="72">
        <f t="shared" si="3"/>
        <v>29.8</v>
      </c>
      <c r="G40" s="73">
        <f>IF(D40=D39,"",_xlfn.IFNA(VLOOKUP(D40,'인원 입력 기능 (사과탐)'!$P$5:$S$53,4,FALSE),0))</f>
        <v>328</v>
      </c>
      <c r="H40" s="74">
        <f t="shared" si="4"/>
        <v>1.9110878051622676E-2</v>
      </c>
      <c r="I40" s="78">
        <f>SUM($G$7:G40)</f>
        <v>12213</v>
      </c>
      <c r="J40" s="76">
        <f t="shared" si="5"/>
        <v>0.71158888306240164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80">
        <f t="shared" si="2"/>
        <v>41</v>
      </c>
      <c r="E41" s="80">
        <f t="shared" si="6"/>
        <v>6</v>
      </c>
      <c r="F41" s="72">
        <f t="shared" si="3"/>
        <v>27.6</v>
      </c>
      <c r="G41" s="73">
        <f>IF(D41=D40,"",_xlfn.IFNA(VLOOKUP(D41,'인원 입력 기능 (사과탐)'!$P$5:$S$53,4,FALSE),0))</f>
        <v>426</v>
      </c>
      <c r="H41" s="74">
        <f t="shared" si="4"/>
        <v>2.4820835518266037E-2</v>
      </c>
      <c r="I41" s="78">
        <f>SUM($G$7:G41)</f>
        <v>12639</v>
      </c>
      <c r="J41" s="76">
        <f t="shared" si="5"/>
        <v>0.73640971858066773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173">
        <f t="shared" si="2"/>
        <v>40</v>
      </c>
      <c r="E42" s="173">
        <f t="shared" si="6"/>
        <v>6</v>
      </c>
      <c r="F42" s="163">
        <f t="shared" si="3"/>
        <v>24</v>
      </c>
      <c r="G42" s="165">
        <f>IF(D42=D41,"",_xlfn.IFNA(VLOOKUP(D42,'인원 입력 기능 (사과탐)'!$P$5:$S$53,4,FALSE),0))</f>
        <v>809</v>
      </c>
      <c r="H42" s="166">
        <f t="shared" si="4"/>
        <v>4.713628153586203E-2</v>
      </c>
      <c r="I42" s="168">
        <f>SUM($G$7:G42)</f>
        <v>13448</v>
      </c>
      <c r="J42" s="170">
        <f t="shared" si="5"/>
        <v>0.78354600011652975</v>
      </c>
      <c r="K42" s="32"/>
      <c r="L42" s="3" t="str">
        <f t="shared" si="1"/>
        <v/>
      </c>
    </row>
    <row r="43" spans="1:12" ht="25" customHeight="1" x14ac:dyDescent="0.45">
      <c r="A43" s="4"/>
      <c r="B43" s="18"/>
      <c r="C43" s="79">
        <v>14</v>
      </c>
      <c r="D43" s="172"/>
      <c r="E43" s="172"/>
      <c r="F43" s="162"/>
      <c r="G43" s="164"/>
      <c r="H43" s="167"/>
      <c r="I43" s="169"/>
      <c r="J43" s="171"/>
      <c r="K43" s="32"/>
      <c r="L43" s="3" t="str">
        <f t="shared" si="1"/>
        <v>경고</v>
      </c>
    </row>
    <row r="44" spans="1:12" ht="25" customHeight="1" x14ac:dyDescent="0.45">
      <c r="A44" s="4"/>
      <c r="B44" s="18"/>
      <c r="C44" s="81">
        <v>13</v>
      </c>
      <c r="D44" s="80">
        <f t="shared" si="2"/>
        <v>39</v>
      </c>
      <c r="E44" s="80">
        <f t="shared" si="6"/>
        <v>7</v>
      </c>
      <c r="F44" s="72">
        <f t="shared" si="3"/>
        <v>20.77</v>
      </c>
      <c r="G44" s="73">
        <f>IF(D44=D43,"",_xlfn.IFNA(VLOOKUP(D44,'인원 입력 기능 (사과탐)'!$P$5:$S$53,4,FALSE),0))</f>
        <v>302</v>
      </c>
      <c r="H44" s="74">
        <f t="shared" si="4"/>
        <v>1.7595991376798927E-2</v>
      </c>
      <c r="I44" s="78">
        <f>SUM($G$7:G44)</f>
        <v>13750</v>
      </c>
      <c r="J44" s="76">
        <f t="shared" si="5"/>
        <v>0.80114199149332865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173">
        <f t="shared" si="2"/>
        <v>38</v>
      </c>
      <c r="E45" s="173">
        <f t="shared" si="6"/>
        <v>7</v>
      </c>
      <c r="F45" s="163">
        <f t="shared" si="3"/>
        <v>14.76</v>
      </c>
      <c r="G45" s="165">
        <f>IF(D45=D44,"",_xlfn.IFNA(VLOOKUP(D45,'인원 입력 기능 (사과탐)'!$P$5:$S$53,4,FALSE),0))</f>
        <v>1761</v>
      </c>
      <c r="H45" s="166">
        <f t="shared" si="4"/>
        <v>0.10260443978325468</v>
      </c>
      <c r="I45" s="168">
        <f>SUM($G$7:G45)</f>
        <v>15511</v>
      </c>
      <c r="J45" s="170">
        <f t="shared" si="5"/>
        <v>0.90374643127658338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172"/>
      <c r="E46" s="172"/>
      <c r="F46" s="162"/>
      <c r="G46" s="164"/>
      <c r="H46" s="167"/>
      <c r="I46" s="169"/>
      <c r="J46" s="171"/>
      <c r="K46" s="32"/>
      <c r="L46" s="3" t="str">
        <f t="shared" si="1"/>
        <v>경고</v>
      </c>
    </row>
    <row r="47" spans="1:12" ht="25" customHeight="1" x14ac:dyDescent="0.45">
      <c r="A47" s="4"/>
      <c r="B47" s="18"/>
      <c r="C47" s="79">
        <v>10</v>
      </c>
      <c r="D47" s="80">
        <f t="shared" si="2"/>
        <v>37</v>
      </c>
      <c r="E47" s="80">
        <f t="shared" si="6"/>
        <v>8</v>
      </c>
      <c r="F47" s="72">
        <f t="shared" si="3"/>
        <v>8.25</v>
      </c>
      <c r="G47" s="73">
        <f>IF(D47=D46,"",_xlfn.IFNA(VLOOKUP(D47,'인원 입력 기능 (사과탐)'!$P$5:$S$53,4,FALSE),0))</f>
        <v>472</v>
      </c>
      <c r="H47" s="74">
        <f t="shared" si="4"/>
        <v>2.75010196352619E-2</v>
      </c>
      <c r="I47" s="78">
        <f>SUM($G$7:G47)</f>
        <v>15983</v>
      </c>
      <c r="J47" s="76">
        <f t="shared" si="5"/>
        <v>0.93124745091184524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81">
        <v>9</v>
      </c>
      <c r="D48" s="80">
        <f t="shared" si="2"/>
        <v>36</v>
      </c>
      <c r="E48" s="80">
        <f t="shared" si="6"/>
        <v>8</v>
      </c>
      <c r="F48" s="72">
        <f t="shared" si="3"/>
        <v>6.21</v>
      </c>
      <c r="G48" s="73">
        <f>IF(D48=D47,"",_xlfn.IFNA(VLOOKUP(D48,'인원 입력 기능 (사과탐)'!$P$5:$S$53,4,FALSE),0))</f>
        <v>229</v>
      </c>
      <c r="H48" s="74">
        <f t="shared" si="4"/>
        <v>1.3342655712870711E-2</v>
      </c>
      <c r="I48" s="78">
        <f>SUM($G$7:G48)</f>
        <v>16212</v>
      </c>
      <c r="J48" s="76">
        <f t="shared" si="5"/>
        <v>0.94459010662471599</v>
      </c>
      <c r="K48" s="32"/>
      <c r="L48" s="3" t="str">
        <f t="shared" si="1"/>
        <v/>
      </c>
    </row>
    <row r="49" spans="1:12" ht="25" customHeight="1" x14ac:dyDescent="0.45">
      <c r="A49" s="4"/>
      <c r="B49" s="18"/>
      <c r="C49" s="79">
        <v>8</v>
      </c>
      <c r="D49" s="173">
        <f t="shared" si="2"/>
        <v>35</v>
      </c>
      <c r="E49" s="173">
        <f t="shared" si="6"/>
        <v>8</v>
      </c>
      <c r="F49" s="163">
        <f t="shared" si="3"/>
        <v>4.3099999999999996</v>
      </c>
      <c r="G49" s="165">
        <f>IF(D49=D48,"",_xlfn.IFNA(VLOOKUP(D49,'인원 입력 기능 (사과탐)'!$P$5:$S$53,4,FALSE),0))</f>
        <v>421</v>
      </c>
      <c r="H49" s="166">
        <f t="shared" si="4"/>
        <v>2.4529511157723009E-2</v>
      </c>
      <c r="I49" s="168">
        <f>SUM($G$7:G49)</f>
        <v>16633</v>
      </c>
      <c r="J49" s="170">
        <f t="shared" si="5"/>
        <v>0.96911961778243894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172"/>
      <c r="E50" s="172"/>
      <c r="F50" s="162"/>
      <c r="G50" s="164"/>
      <c r="H50" s="167"/>
      <c r="I50" s="169"/>
      <c r="J50" s="171"/>
      <c r="K50" s="32"/>
      <c r="L50" s="3" t="str">
        <f t="shared" si="1"/>
        <v>경고</v>
      </c>
    </row>
    <row r="51" spans="1:12" ht="25" customHeight="1" x14ac:dyDescent="0.45">
      <c r="A51" s="4"/>
      <c r="B51" s="18"/>
      <c r="C51" s="79">
        <v>6</v>
      </c>
      <c r="D51" s="80">
        <f t="shared" si="2"/>
        <v>34</v>
      </c>
      <c r="E51" s="80">
        <f t="shared" si="6"/>
        <v>9</v>
      </c>
      <c r="F51" s="72">
        <f t="shared" si="3"/>
        <v>2.46</v>
      </c>
      <c r="G51" s="73">
        <f>IF(D51=D50,"",_xlfn.IFNA(VLOOKUP(D51,'인원 입력 기능 (사과탐)'!$P$5:$S$53,4,FALSE),0))</f>
        <v>215</v>
      </c>
      <c r="H51" s="74">
        <f t="shared" si="4"/>
        <v>1.252694750335023E-2</v>
      </c>
      <c r="I51" s="78">
        <f>SUM($G$7:G51)</f>
        <v>16848</v>
      </c>
      <c r="J51" s="76">
        <f t="shared" si="5"/>
        <v>0.9816465652857892</v>
      </c>
      <c r="K51" s="32"/>
      <c r="L51" s="3" t="str">
        <f t="shared" si="1"/>
        <v/>
      </c>
    </row>
    <row r="52" spans="1:12" ht="25" customHeight="1" x14ac:dyDescent="0.45">
      <c r="A52" s="4"/>
      <c r="B52" s="18"/>
      <c r="C52" s="81">
        <v>5</v>
      </c>
      <c r="D52" s="173">
        <f t="shared" si="2"/>
        <v>33</v>
      </c>
      <c r="E52" s="173">
        <f t="shared" si="6"/>
        <v>9</v>
      </c>
      <c r="F52" s="163">
        <f t="shared" si="3"/>
        <v>1.22</v>
      </c>
      <c r="G52" s="165">
        <f>IF(D52=D51,"",_xlfn.IFNA(VLOOKUP(D52,'인원 입력 기능 (사과탐)'!$P$5:$S$53,4,FALSE),0))</f>
        <v>212</v>
      </c>
      <c r="H52" s="166">
        <f t="shared" si="4"/>
        <v>1.2352152887024412E-2</v>
      </c>
      <c r="I52" s="168">
        <f>SUM($G$7:G52)</f>
        <v>17060</v>
      </c>
      <c r="J52" s="170">
        <f t="shared" si="5"/>
        <v>0.9939987181728136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172"/>
      <c r="E53" s="172"/>
      <c r="F53" s="162"/>
      <c r="G53" s="164"/>
      <c r="H53" s="167"/>
      <c r="I53" s="169"/>
      <c r="J53" s="171"/>
      <c r="K53" s="32"/>
      <c r="L53" s="3" t="str">
        <f t="shared" si="1"/>
        <v>경고</v>
      </c>
    </row>
    <row r="54" spans="1:12" ht="25" customHeight="1" x14ac:dyDescent="0.45">
      <c r="A54" s="4"/>
      <c r="B54" s="18"/>
      <c r="C54" s="77">
        <v>3</v>
      </c>
      <c r="D54" s="71">
        <f t="shared" si="2"/>
        <v>32</v>
      </c>
      <c r="E54" s="71">
        <f t="shared" si="6"/>
        <v>9</v>
      </c>
      <c r="F54" s="72">
        <f t="shared" si="3"/>
        <v>0.52</v>
      </c>
      <c r="G54" s="73">
        <f>IF(D54=D53,"",_xlfn.IFNA(VLOOKUP(D54,'인원 입력 기능 (사과탐)'!$P$5:$S$53,4,FALSE),0))</f>
        <v>29</v>
      </c>
      <c r="H54" s="74">
        <f t="shared" si="4"/>
        <v>1.689681291149566E-3</v>
      </c>
      <c r="I54" s="78">
        <f>SUM($G$7:G54)</f>
        <v>17089</v>
      </c>
      <c r="J54" s="76">
        <f t="shared" si="5"/>
        <v>0.99568839946396315</v>
      </c>
      <c r="K54" s="32"/>
      <c r="L54" s="3" t="str">
        <f t="shared" si="1"/>
        <v/>
      </c>
    </row>
    <row r="55" spans="1:12" ht="25" customHeight="1" x14ac:dyDescent="0.45">
      <c r="A55" s="4"/>
      <c r="B55" s="18"/>
      <c r="C55" s="70">
        <v>2</v>
      </c>
      <c r="D55" s="71">
        <f t="shared" si="2"/>
        <v>31</v>
      </c>
      <c r="E55" s="71">
        <f t="shared" si="6"/>
        <v>9</v>
      </c>
      <c r="F55" s="72">
        <f t="shared" si="3"/>
        <v>0.28999999999999998</v>
      </c>
      <c r="G55" s="73">
        <f>IF(D55=D54,"",_xlfn.IFNA(VLOOKUP(D55,'인원 입력 기능 (사과탐)'!$P$5:$S$53,4,FALSE),0))</f>
        <v>47</v>
      </c>
      <c r="H55" s="74">
        <f t="shared" si="4"/>
        <v>2.738448989104469E-3</v>
      </c>
      <c r="I55" s="78">
        <f>SUM($G$7:G55)</f>
        <v>17136</v>
      </c>
      <c r="J55" s="76">
        <f t="shared" si="5"/>
        <v>0.99842684845306762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30</v>
      </c>
      <c r="E57" s="84">
        <f t="shared" si="6"/>
        <v>9</v>
      </c>
      <c r="F57" s="85">
        <f>IF(I55=0,ROUND(100*(1-(I54+I57)/2/$J$3),2),ROUND(100*(1-(I55+I57)/2/$J$3),2))</f>
        <v>0.08</v>
      </c>
      <c r="G57" s="86">
        <f>_xlfn.IFNA(VLOOKUP(D57,'인원 입력 기능 (사과탐)'!$P$5:$S$53,4,FALSE),0)</f>
        <v>27</v>
      </c>
      <c r="H57" s="87">
        <f>G57/$J$3</f>
        <v>1.5731515469323545E-3</v>
      </c>
      <c r="I57" s="88">
        <f>SUM($G$7:G57)</f>
        <v>17163</v>
      </c>
      <c r="J57" s="89">
        <f>I57/$J$3</f>
        <v>1</v>
      </c>
      <c r="K57" s="32"/>
      <c r="L57" s="3" t="str">
        <f t="shared" ref="L57" si="7">IF(ABS((C57-$H$3)/$H$4*10+50-D57-0.5)&lt;0.1, "경고", "")</f>
        <v/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96">
    <mergeCell ref="I49:I50"/>
    <mergeCell ref="J49:J50"/>
    <mergeCell ref="D52:D53"/>
    <mergeCell ref="E52:E53"/>
    <mergeCell ref="F52:F53"/>
    <mergeCell ref="G52:G53"/>
    <mergeCell ref="H52:H53"/>
    <mergeCell ref="I52:I53"/>
    <mergeCell ref="J52:J53"/>
    <mergeCell ref="D49:D50"/>
    <mergeCell ref="E49:E50"/>
    <mergeCell ref="F49:F50"/>
    <mergeCell ref="G49:G50"/>
    <mergeCell ref="H49:H50"/>
    <mergeCell ref="I42:I43"/>
    <mergeCell ref="J42:J43"/>
    <mergeCell ref="D45:D46"/>
    <mergeCell ref="E45:E46"/>
    <mergeCell ref="F45:F46"/>
    <mergeCell ref="G45:G46"/>
    <mergeCell ref="H45:H46"/>
    <mergeCell ref="I45:I46"/>
    <mergeCell ref="J45:J46"/>
    <mergeCell ref="D42:D43"/>
    <mergeCell ref="E42:E43"/>
    <mergeCell ref="F42:F43"/>
    <mergeCell ref="G42:G43"/>
    <mergeCell ref="H42:H43"/>
    <mergeCell ref="I35:I36"/>
    <mergeCell ref="J35:J36"/>
    <mergeCell ref="D38:D39"/>
    <mergeCell ref="E38:E39"/>
    <mergeCell ref="F38:F39"/>
    <mergeCell ref="G38:G39"/>
    <mergeCell ref="H38:H39"/>
    <mergeCell ref="I38:I39"/>
    <mergeCell ref="J38:J39"/>
    <mergeCell ref="D35:D36"/>
    <mergeCell ref="E35:E36"/>
    <mergeCell ref="F35:F36"/>
    <mergeCell ref="G35:G36"/>
    <mergeCell ref="H35:H36"/>
    <mergeCell ref="I27:I28"/>
    <mergeCell ref="J27:J28"/>
    <mergeCell ref="D31:D32"/>
    <mergeCell ref="E31:E32"/>
    <mergeCell ref="F31:F32"/>
    <mergeCell ref="G31:G32"/>
    <mergeCell ref="H31:H32"/>
    <mergeCell ref="I31:I32"/>
    <mergeCell ref="J31:J32"/>
    <mergeCell ref="D27:D28"/>
    <mergeCell ref="E27:E28"/>
    <mergeCell ref="F27:F28"/>
    <mergeCell ref="G27:G28"/>
    <mergeCell ref="H27:H28"/>
    <mergeCell ref="I20:I21"/>
    <mergeCell ref="J20:J21"/>
    <mergeCell ref="D24:D25"/>
    <mergeCell ref="E24:E25"/>
    <mergeCell ref="F24:F25"/>
    <mergeCell ref="G24:G25"/>
    <mergeCell ref="H24:H25"/>
    <mergeCell ref="I24:I25"/>
    <mergeCell ref="J24:J25"/>
    <mergeCell ref="D20:D21"/>
    <mergeCell ref="E20:E21"/>
    <mergeCell ref="F20:F21"/>
    <mergeCell ref="G20:G21"/>
    <mergeCell ref="H20:H21"/>
    <mergeCell ref="H13:H14"/>
    <mergeCell ref="I13:I14"/>
    <mergeCell ref="J13:J14"/>
    <mergeCell ref="D17:D18"/>
    <mergeCell ref="E17:E18"/>
    <mergeCell ref="F17:F18"/>
    <mergeCell ref="G17:G18"/>
    <mergeCell ref="H17:H18"/>
    <mergeCell ref="I17:I18"/>
    <mergeCell ref="J17:J18"/>
    <mergeCell ref="D3:F3"/>
    <mergeCell ref="D4:F4"/>
    <mergeCell ref="D8:J8"/>
    <mergeCell ref="D56:J56"/>
    <mergeCell ref="G5:J5"/>
    <mergeCell ref="D9:D10"/>
    <mergeCell ref="E9:E10"/>
    <mergeCell ref="F9:F10"/>
    <mergeCell ref="G9:G10"/>
    <mergeCell ref="H9:H10"/>
    <mergeCell ref="I9:I10"/>
    <mergeCell ref="J9:J10"/>
    <mergeCell ref="D13:D14"/>
    <mergeCell ref="E13:E14"/>
    <mergeCell ref="F13:F14"/>
    <mergeCell ref="G13:G14"/>
  </mergeCells>
  <phoneticPr fontId="1" type="noConversion"/>
  <conditionalFormatting sqref="D7:D9 D11:D13 D15:D17 D19:D20 D22:D24 D26:D27 D29:D31 D33:D35 D37:D38 D40:D42 D44:D45 D47:D49 D51:D52 D54:D57">
    <cfRule type="expression" dxfId="59" priority="1">
      <formula>$D7=$D8</formula>
    </cfRule>
  </conditionalFormatting>
  <conditionalFormatting sqref="C7:C57">
    <cfRule type="expression" dxfId="58" priority="4">
      <formula>OR(AND($D7=0,OR($D6=$Q$7:$Q$14)),AND($D8&gt;0,OR($D7=$Q$7:$Q$14)))</formula>
    </cfRule>
  </conditionalFormatting>
  <conditionalFormatting sqref="D7:J7 D8 D57:J57 D56 D9:J9 D11:J13 D15:J17 D19:J20 D22:J24 D26:J27 D29:J31 D33:J35 D37:J38 D40:J42 D44:J45 D47:J49 D51:J52 D54:J55">
    <cfRule type="expression" dxfId="57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1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기능'!D10</f>
        <v>27.13</v>
      </c>
      <c r="I3" s="14" t="s">
        <v>110</v>
      </c>
      <c r="J3" s="36">
        <f>'통계 및 응시자 수 입력 기능'!C10</f>
        <v>9637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132</v>
      </c>
      <c r="E4" s="114"/>
      <c r="F4" s="115"/>
      <c r="G4" s="38" t="s">
        <v>113</v>
      </c>
      <c r="H4" s="39" t="str">
        <f>'통계 및 응시자 수 입력 기능'!E10</f>
        <v>14.50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66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97.36</v>
      </c>
      <c r="G7" s="73">
        <f>_xlfn.IFNA(VLOOKUP(D7,'인원 입력 기능 (사과탐)'!$A$64:$D$112,4,FALSE),0)</f>
        <v>509</v>
      </c>
      <c r="H7" s="74">
        <f>G7/$J$3</f>
        <v>5.2817266784268964E-2</v>
      </c>
      <c r="I7" s="75">
        <f>G7</f>
        <v>509</v>
      </c>
      <c r="J7" s="76">
        <f>I7/$J$3</f>
        <v>5.2817266784268964E-2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입력기능'!C58</f>
        <v>66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입력기능'!C59</f>
        <v>64</v>
      </c>
    </row>
    <row r="9" spans="1:17" ht="25" customHeight="1" x14ac:dyDescent="0.45">
      <c r="A9" s="4"/>
      <c r="B9" s="18"/>
      <c r="C9" s="70">
        <v>48</v>
      </c>
      <c r="D9" s="161">
        <f>ROUND(10*(C9-$H$3)/$H$4+50,0)</f>
        <v>64</v>
      </c>
      <c r="E9" s="161">
        <f t="shared" si="0"/>
        <v>2</v>
      </c>
      <c r="F9" s="163">
        <f>IF(I8=0,ROUND(100*(1-(I7+I9)/2/$J$3),2),ROUND(100*(1-(I8+I9)/2/$J$3),2))</f>
        <v>90.24</v>
      </c>
      <c r="G9" s="165">
        <f>_xlfn.IFNA(VLOOKUP(D9,'인원 입력 기능 (사과탐)'!$A$64:$D$112,4,FALSE),0)</f>
        <v>863</v>
      </c>
      <c r="H9" s="166">
        <f>G9/$J$3</f>
        <v>8.9550690048770365E-2</v>
      </c>
      <c r="I9" s="168">
        <f>SUM($G$7:G9)</f>
        <v>1372</v>
      </c>
      <c r="J9" s="170">
        <f>I9/$J$3</f>
        <v>0.14236795683303932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입력기능'!C60</f>
        <v>60</v>
      </c>
    </row>
    <row r="10" spans="1:17" ht="25" customHeight="1" x14ac:dyDescent="0.45">
      <c r="A10" s="4"/>
      <c r="B10" s="18"/>
      <c r="C10" s="77">
        <v>47</v>
      </c>
      <c r="D10" s="160"/>
      <c r="E10" s="160"/>
      <c r="F10" s="162"/>
      <c r="G10" s="164"/>
      <c r="H10" s="167"/>
      <c r="I10" s="169"/>
      <c r="J10" s="171"/>
      <c r="K10" s="32"/>
      <c r="L10" s="3" t="str">
        <f t="shared" si="1"/>
        <v>경고</v>
      </c>
      <c r="P10" s="1">
        <v>4</v>
      </c>
      <c r="Q10" s="1">
        <f>'표준점수 등급컷 입력기능'!C61</f>
        <v>54</v>
      </c>
    </row>
    <row r="11" spans="1:17" ht="25" customHeight="1" x14ac:dyDescent="0.45">
      <c r="A11" s="4"/>
      <c r="B11" s="18"/>
      <c r="C11" s="70">
        <v>46</v>
      </c>
      <c r="D11" s="71">
        <f t="shared" ref="D10:D55" si="2">ROUND(10*(C11-$H$3)/$H$4+50,0)</f>
        <v>63</v>
      </c>
      <c r="E11" s="71">
        <f t="shared" si="0"/>
        <v>3</v>
      </c>
      <c r="F11" s="72">
        <f t="shared" ref="F10:F55" si="3">IF(I10=0,ROUND(100*(1-(I9+I11)/2/$J$3),2),ROUND(100*(1-(I10+I11)/2/$J$3),2))</f>
        <v>85.66</v>
      </c>
      <c r="G11" s="73">
        <f>IF(D11=D10,"",_xlfn.IFNA(VLOOKUP(D11,'인원 입력 기능 (사과탐)'!$A$64:$D$112,4,FALSE),0))</f>
        <v>20</v>
      </c>
      <c r="H11" s="74">
        <f t="shared" ref="H10:H55" si="4">G11/$J$3</f>
        <v>2.0753346477119434E-3</v>
      </c>
      <c r="I11" s="78">
        <f>SUM($G$7:G11)</f>
        <v>1392</v>
      </c>
      <c r="J11" s="76">
        <f t="shared" ref="J10:J55" si="5">I11/$J$3</f>
        <v>0.14444329148075127</v>
      </c>
      <c r="K11" s="32"/>
      <c r="L11" s="3" t="str">
        <f t="shared" si="1"/>
        <v/>
      </c>
      <c r="P11" s="1">
        <v>5</v>
      </c>
      <c r="Q11" s="1">
        <f>'표준점수 등급컷 입력기능'!C62</f>
        <v>44</v>
      </c>
    </row>
    <row r="12" spans="1:17" ht="25" customHeight="1" x14ac:dyDescent="0.45">
      <c r="A12" s="4"/>
      <c r="B12" s="18"/>
      <c r="C12" s="77">
        <v>45</v>
      </c>
      <c r="D12" s="161">
        <f t="shared" si="2"/>
        <v>62</v>
      </c>
      <c r="E12" s="161">
        <f t="shared" si="0"/>
        <v>3</v>
      </c>
      <c r="F12" s="163">
        <f t="shared" si="3"/>
        <v>81.849999999999994</v>
      </c>
      <c r="G12" s="165">
        <f>IF(D12=D11,"",_xlfn.IFNA(VLOOKUP(D12,'인원 입력 기능 (사과탐)'!$A$64:$D$112,4,FALSE),0))</f>
        <v>715</v>
      </c>
      <c r="H12" s="166">
        <f t="shared" si="4"/>
        <v>7.4193213655701987E-2</v>
      </c>
      <c r="I12" s="168">
        <f>SUM($G$7:G12)</f>
        <v>2107</v>
      </c>
      <c r="J12" s="170">
        <f t="shared" si="5"/>
        <v>0.21863650513645325</v>
      </c>
      <c r="K12" s="32"/>
      <c r="L12" s="3" t="str">
        <f t="shared" si="1"/>
        <v/>
      </c>
      <c r="P12" s="1">
        <v>6</v>
      </c>
      <c r="Q12" s="1">
        <f>'표준점수 등급컷 입력기능'!C63</f>
        <v>40</v>
      </c>
    </row>
    <row r="13" spans="1:17" ht="25" customHeight="1" x14ac:dyDescent="0.45">
      <c r="A13" s="4"/>
      <c r="B13" s="18"/>
      <c r="C13" s="70">
        <v>44</v>
      </c>
      <c r="D13" s="160"/>
      <c r="E13" s="160"/>
      <c r="F13" s="162"/>
      <c r="G13" s="164"/>
      <c r="H13" s="167"/>
      <c r="I13" s="169"/>
      <c r="J13" s="171"/>
      <c r="K13" s="32"/>
      <c r="L13" s="3" t="str">
        <f t="shared" si="1"/>
        <v>경고</v>
      </c>
      <c r="P13" s="1">
        <v>7</v>
      </c>
      <c r="Q13" s="1">
        <f>'표준점수 등급컷 입력기능'!C64</f>
        <v>38</v>
      </c>
    </row>
    <row r="14" spans="1:17" ht="25" customHeight="1" x14ac:dyDescent="0.45">
      <c r="A14" s="4"/>
      <c r="B14" s="18"/>
      <c r="C14" s="77">
        <v>43</v>
      </c>
      <c r="D14" s="71">
        <f t="shared" si="2"/>
        <v>61</v>
      </c>
      <c r="E14" s="71">
        <f t="shared" si="0"/>
        <v>3</v>
      </c>
      <c r="F14" s="72">
        <f t="shared" si="3"/>
        <v>77.849999999999994</v>
      </c>
      <c r="G14" s="73">
        <f>IF(D14=D13,"",_xlfn.IFNA(VLOOKUP(D14,'인원 입력 기능 (사과탐)'!$A$64:$D$112,4,FALSE),0))</f>
        <v>55</v>
      </c>
      <c r="H14" s="74">
        <f t="shared" si="4"/>
        <v>5.7071702812078445E-3</v>
      </c>
      <c r="I14" s="78">
        <f>SUM($G$7:G14)</f>
        <v>2162</v>
      </c>
      <c r="J14" s="76">
        <f t="shared" si="5"/>
        <v>0.22434367541766109</v>
      </c>
      <c r="K14" s="32"/>
      <c r="L14" s="3" t="str">
        <f t="shared" si="1"/>
        <v/>
      </c>
      <c r="P14" s="1">
        <v>8</v>
      </c>
      <c r="Q14" s="1">
        <f>'표준점수 등급컷 입력기능'!C65</f>
        <v>36</v>
      </c>
    </row>
    <row r="15" spans="1:17" ht="25" customHeight="1" x14ac:dyDescent="0.45">
      <c r="A15" s="4"/>
      <c r="B15" s="18"/>
      <c r="C15" s="70">
        <v>42</v>
      </c>
      <c r="D15" s="161">
        <f t="shared" si="2"/>
        <v>60</v>
      </c>
      <c r="E15" s="161">
        <f t="shared" si="0"/>
        <v>3</v>
      </c>
      <c r="F15" s="163">
        <f t="shared" si="3"/>
        <v>75.010000000000005</v>
      </c>
      <c r="G15" s="165">
        <f>IF(D15=D14,"",_xlfn.IFNA(VLOOKUP(D15,'인원 입력 기능 (사과탐)'!$A$64:$D$112,4,FALSE),0))</f>
        <v>492</v>
      </c>
      <c r="H15" s="166">
        <f t="shared" si="4"/>
        <v>5.1053232333713811E-2</v>
      </c>
      <c r="I15" s="168">
        <f>SUM($G$7:G15)</f>
        <v>2654</v>
      </c>
      <c r="J15" s="170">
        <f t="shared" si="5"/>
        <v>0.27539690775137493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160"/>
      <c r="E16" s="160"/>
      <c r="F16" s="162"/>
      <c r="G16" s="164"/>
      <c r="H16" s="167"/>
      <c r="I16" s="169"/>
      <c r="J16" s="171"/>
      <c r="K16" s="32"/>
      <c r="L16" s="3" t="str">
        <f t="shared" si="1"/>
        <v>경고</v>
      </c>
    </row>
    <row r="17" spans="1:16" ht="25" customHeight="1" x14ac:dyDescent="0.45">
      <c r="A17" s="4"/>
      <c r="B17" s="18"/>
      <c r="C17" s="70">
        <v>40</v>
      </c>
      <c r="D17" s="71">
        <f t="shared" si="2"/>
        <v>59</v>
      </c>
      <c r="E17" s="71">
        <f t="shared" si="0"/>
        <v>4</v>
      </c>
      <c r="F17" s="72">
        <f t="shared" si="3"/>
        <v>71.88</v>
      </c>
      <c r="G17" s="73">
        <f>IF(D17=D16,"",_xlfn.IFNA(VLOOKUP(D17,'인원 입력 기능 (사과탐)'!$A$64:$D$112,4,FALSE),0))</f>
        <v>112</v>
      </c>
      <c r="H17" s="74">
        <f t="shared" si="4"/>
        <v>1.1621874027186884E-2</v>
      </c>
      <c r="I17" s="78">
        <f>SUM($G$7:G17)</f>
        <v>2766</v>
      </c>
      <c r="J17" s="76">
        <f t="shared" si="5"/>
        <v>0.28701878177856177</v>
      </c>
      <c r="K17" s="32"/>
      <c r="L17" s="3" t="str">
        <f t="shared" si="1"/>
        <v/>
      </c>
      <c r="P17" s="1">
        <f>Q7*H3*H4*J3*IFERROR(IF(J57=1,1,0),0)</f>
        <v>250209382.16999999</v>
      </c>
    </row>
    <row r="18" spans="1:16" ht="25" customHeight="1" x14ac:dyDescent="0.45">
      <c r="A18" s="4"/>
      <c r="B18" s="18"/>
      <c r="C18" s="77">
        <v>39</v>
      </c>
      <c r="D18" s="71">
        <f t="shared" si="2"/>
        <v>58</v>
      </c>
      <c r="E18" s="71">
        <f t="shared" si="0"/>
        <v>4</v>
      </c>
      <c r="F18" s="72">
        <f t="shared" si="3"/>
        <v>70.260000000000005</v>
      </c>
      <c r="G18" s="73">
        <f>IF(D18=D17,"",_xlfn.IFNA(VLOOKUP(D18,'인원 입력 기능 (사과탐)'!$A$64:$D$112,4,FALSE),0))</f>
        <v>200</v>
      </c>
      <c r="H18" s="74">
        <f t="shared" si="4"/>
        <v>2.0753346477119437E-2</v>
      </c>
      <c r="I18" s="78">
        <f>SUM($G$7:G18)</f>
        <v>2966</v>
      </c>
      <c r="J18" s="76">
        <f t="shared" si="5"/>
        <v>0.30777212825568123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161">
        <f t="shared" si="2"/>
        <v>57</v>
      </c>
      <c r="E19" s="161">
        <f t="shared" si="0"/>
        <v>4</v>
      </c>
      <c r="F19" s="163">
        <f t="shared" si="3"/>
        <v>67.58</v>
      </c>
      <c r="G19" s="165">
        <f>IF(D19=D18,"",_xlfn.IFNA(VLOOKUP(D19,'인원 입력 기능 (사과탐)'!$A$64:$D$112,4,FALSE),0))</f>
        <v>316</v>
      </c>
      <c r="H19" s="166">
        <f t="shared" si="4"/>
        <v>3.2790287433848708E-2</v>
      </c>
      <c r="I19" s="168">
        <f>SUM($G$7:G19)</f>
        <v>3282</v>
      </c>
      <c r="J19" s="170">
        <f t="shared" si="5"/>
        <v>0.34056241568952994</v>
      </c>
      <c r="K19" s="32"/>
      <c r="L19" s="3" t="str">
        <f t="shared" si="1"/>
        <v>경고</v>
      </c>
    </row>
    <row r="20" spans="1:16" ht="25" customHeight="1" x14ac:dyDescent="0.45">
      <c r="A20" s="4"/>
      <c r="B20" s="18"/>
      <c r="C20" s="77">
        <v>37</v>
      </c>
      <c r="D20" s="160"/>
      <c r="E20" s="160"/>
      <c r="F20" s="162"/>
      <c r="G20" s="164"/>
      <c r="H20" s="167"/>
      <c r="I20" s="169"/>
      <c r="J20" s="171"/>
      <c r="K20" s="32"/>
      <c r="L20" s="3" t="str">
        <f t="shared" si="1"/>
        <v>경고</v>
      </c>
    </row>
    <row r="21" spans="1:16" ht="25" customHeight="1" x14ac:dyDescent="0.45">
      <c r="A21" s="4"/>
      <c r="B21" s="18"/>
      <c r="C21" s="79">
        <v>36</v>
      </c>
      <c r="D21" s="80">
        <f t="shared" si="2"/>
        <v>56</v>
      </c>
      <c r="E21" s="80">
        <f t="shared" si="0"/>
        <v>4</v>
      </c>
      <c r="F21" s="72">
        <f t="shared" si="3"/>
        <v>65.12</v>
      </c>
      <c r="G21" s="73">
        <f>IF(D21=D20,"",_xlfn.IFNA(VLOOKUP(D21,'인원 입력 기능 (사과탐)'!$A$64:$D$112,4,FALSE),0))</f>
        <v>158</v>
      </c>
      <c r="H21" s="74">
        <f t="shared" si="4"/>
        <v>1.6395143716924354E-2</v>
      </c>
      <c r="I21" s="78">
        <f>SUM($G$7:G21)</f>
        <v>3440</v>
      </c>
      <c r="J21" s="76">
        <f t="shared" si="5"/>
        <v>0.35695755940645429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173">
        <f t="shared" si="2"/>
        <v>55</v>
      </c>
      <c r="E22" s="173">
        <f t="shared" si="0"/>
        <v>4</v>
      </c>
      <c r="F22" s="163">
        <f t="shared" si="3"/>
        <v>62.94</v>
      </c>
      <c r="G22" s="165">
        <f>IF(D22=D21,"",_xlfn.IFNA(VLOOKUP(D22,'인원 입력 기능 (사과탐)'!$A$64:$D$112,4,FALSE),0))</f>
        <v>263</v>
      </c>
      <c r="H22" s="166">
        <f t="shared" si="4"/>
        <v>2.7290650617412059E-2</v>
      </c>
      <c r="I22" s="168">
        <f>SUM($G$7:G22)</f>
        <v>3703</v>
      </c>
      <c r="J22" s="170">
        <f t="shared" si="5"/>
        <v>0.38424821002386633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172"/>
      <c r="E23" s="172"/>
      <c r="F23" s="162"/>
      <c r="G23" s="164"/>
      <c r="H23" s="167"/>
      <c r="I23" s="169"/>
      <c r="J23" s="171"/>
      <c r="K23" s="32"/>
      <c r="L23" s="3" t="str">
        <f t="shared" si="1"/>
        <v>경고</v>
      </c>
    </row>
    <row r="24" spans="1:16" ht="25" customHeight="1" x14ac:dyDescent="0.45">
      <c r="A24" s="4"/>
      <c r="B24" s="18"/>
      <c r="C24" s="81">
        <v>33</v>
      </c>
      <c r="D24" s="80">
        <f t="shared" si="2"/>
        <v>54</v>
      </c>
      <c r="E24" s="80">
        <f t="shared" si="0"/>
        <v>4</v>
      </c>
      <c r="F24" s="72">
        <f t="shared" si="3"/>
        <v>60.76</v>
      </c>
      <c r="G24" s="73">
        <f>IF(D24=D23,"",_xlfn.IFNA(VLOOKUP(D24,'인원 입력 기능 (사과탐)'!$A$64:$D$112,4,FALSE),0))</f>
        <v>158</v>
      </c>
      <c r="H24" s="74">
        <f t="shared" si="4"/>
        <v>1.6395143716924354E-2</v>
      </c>
      <c r="I24" s="78">
        <f>SUM($G$7:G24)</f>
        <v>3861</v>
      </c>
      <c r="J24" s="76">
        <f t="shared" si="5"/>
        <v>0.40064335374079069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173">
        <f t="shared" si="2"/>
        <v>53</v>
      </c>
      <c r="E25" s="173">
        <f t="shared" si="0"/>
        <v>5</v>
      </c>
      <c r="F25" s="163">
        <f t="shared" si="3"/>
        <v>58.44</v>
      </c>
      <c r="G25" s="165">
        <f>IF(D25=D24,"",_xlfn.IFNA(VLOOKUP(D25,'인원 입력 기능 (사과탐)'!$A$64:$D$112,4,FALSE),0))</f>
        <v>289</v>
      </c>
      <c r="H25" s="166">
        <f t="shared" si="4"/>
        <v>2.9988585659437586E-2</v>
      </c>
      <c r="I25" s="168">
        <f>SUM($G$7:G25)</f>
        <v>4150</v>
      </c>
      <c r="J25" s="170">
        <f t="shared" si="5"/>
        <v>0.43063193940022831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172"/>
      <c r="E26" s="172"/>
      <c r="F26" s="162"/>
      <c r="G26" s="164"/>
      <c r="H26" s="167"/>
      <c r="I26" s="169"/>
      <c r="J26" s="171"/>
      <c r="K26" s="32"/>
      <c r="L26" s="3" t="str">
        <f t="shared" si="1"/>
        <v>경고</v>
      </c>
    </row>
    <row r="27" spans="1:16" ht="25" customHeight="1" x14ac:dyDescent="0.45">
      <c r="A27" s="4"/>
      <c r="B27" s="18"/>
      <c r="C27" s="79">
        <v>30</v>
      </c>
      <c r="D27" s="80">
        <f t="shared" si="2"/>
        <v>52</v>
      </c>
      <c r="E27" s="80">
        <f t="shared" si="0"/>
        <v>5</v>
      </c>
      <c r="F27" s="72">
        <f t="shared" si="3"/>
        <v>56.36</v>
      </c>
      <c r="G27" s="73">
        <f>IF(D27=D26,"",_xlfn.IFNA(VLOOKUP(D27,'인원 입력 기능 (사과탐)'!$A$64:$D$112,4,FALSE),0))</f>
        <v>112</v>
      </c>
      <c r="H27" s="74">
        <f t="shared" si="4"/>
        <v>1.1621874027186884E-2</v>
      </c>
      <c r="I27" s="78">
        <f>SUM($G$7:G27)</f>
        <v>4262</v>
      </c>
      <c r="J27" s="76">
        <f t="shared" si="5"/>
        <v>0.44225381342741515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173">
        <f t="shared" si="2"/>
        <v>51</v>
      </c>
      <c r="E28" s="173">
        <f t="shared" si="0"/>
        <v>5</v>
      </c>
      <c r="F28" s="163">
        <f t="shared" si="3"/>
        <v>54.17</v>
      </c>
      <c r="G28" s="165">
        <f>IF(D28=D27,"",_xlfn.IFNA(VLOOKUP(D28,'인원 입력 기능 (사과탐)'!$A$64:$D$112,4,FALSE),0))</f>
        <v>310</v>
      </c>
      <c r="H28" s="166">
        <f t="shared" si="4"/>
        <v>3.2167687039535126E-2</v>
      </c>
      <c r="I28" s="168">
        <f>SUM($G$7:G28)</f>
        <v>4572</v>
      </c>
      <c r="J28" s="170">
        <f t="shared" si="5"/>
        <v>0.47442150046695031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172"/>
      <c r="E29" s="172"/>
      <c r="F29" s="162"/>
      <c r="G29" s="164"/>
      <c r="H29" s="167"/>
      <c r="I29" s="169"/>
      <c r="J29" s="171"/>
      <c r="K29" s="32"/>
      <c r="L29" s="3" t="str">
        <f t="shared" si="1"/>
        <v>경고</v>
      </c>
    </row>
    <row r="30" spans="1:16" ht="25" customHeight="1" x14ac:dyDescent="0.45">
      <c r="A30" s="4"/>
      <c r="B30" s="18"/>
      <c r="C30" s="81">
        <v>27</v>
      </c>
      <c r="D30" s="80">
        <f t="shared" si="2"/>
        <v>50</v>
      </c>
      <c r="E30" s="80">
        <f t="shared" si="0"/>
        <v>5</v>
      </c>
      <c r="F30" s="72">
        <f t="shared" si="3"/>
        <v>51.77</v>
      </c>
      <c r="G30" s="73">
        <f>IF(D30=D29,"",_xlfn.IFNA(VLOOKUP(D30,'인원 입력 기능 (사과탐)'!$A$64:$D$112,4,FALSE),0))</f>
        <v>152</v>
      </c>
      <c r="H30" s="74">
        <f t="shared" si="4"/>
        <v>1.5772543322610771E-2</v>
      </c>
      <c r="I30" s="78">
        <f>SUM($G$7:G30)</f>
        <v>4724</v>
      </c>
      <c r="J30" s="76">
        <f t="shared" si="5"/>
        <v>0.49019404378956105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173">
        <f t="shared" si="2"/>
        <v>49</v>
      </c>
      <c r="E31" s="173">
        <f t="shared" si="0"/>
        <v>5</v>
      </c>
      <c r="F31" s="163">
        <f t="shared" si="3"/>
        <v>49.55</v>
      </c>
      <c r="G31" s="165">
        <f>IF(D31=D30,"",_xlfn.IFNA(VLOOKUP(D31,'인원 입력 기능 (사과탐)'!$A$64:$D$112,4,FALSE),0))</f>
        <v>276</v>
      </c>
      <c r="H31" s="166">
        <f t="shared" si="4"/>
        <v>2.8639618138424822E-2</v>
      </c>
      <c r="I31" s="168">
        <f>SUM($G$7:G31)</f>
        <v>5000</v>
      </c>
      <c r="J31" s="170">
        <f t="shared" si="5"/>
        <v>0.51883366192798586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172"/>
      <c r="E32" s="172"/>
      <c r="F32" s="162"/>
      <c r="G32" s="164"/>
      <c r="H32" s="167"/>
      <c r="I32" s="169"/>
      <c r="J32" s="171"/>
      <c r="K32" s="32"/>
      <c r="L32" s="3" t="str">
        <f t="shared" si="1"/>
        <v>경고</v>
      </c>
    </row>
    <row r="33" spans="1:12" ht="25" customHeight="1" x14ac:dyDescent="0.45">
      <c r="A33" s="4"/>
      <c r="B33" s="18"/>
      <c r="C33" s="79">
        <v>24</v>
      </c>
      <c r="D33" s="80">
        <f t="shared" si="2"/>
        <v>48</v>
      </c>
      <c r="E33" s="80">
        <f t="shared" si="0"/>
        <v>5</v>
      </c>
      <c r="F33" s="72">
        <f t="shared" si="3"/>
        <v>47.37</v>
      </c>
      <c r="G33" s="73">
        <f>IF(D33=D32,"",_xlfn.IFNA(VLOOKUP(D33,'인원 입력 기능 (사과탐)'!$A$64:$D$112,4,FALSE),0))</f>
        <v>144</v>
      </c>
      <c r="H33" s="74">
        <f t="shared" si="4"/>
        <v>1.4942409463525994E-2</v>
      </c>
      <c r="I33" s="78">
        <f>SUM($G$7:G33)</f>
        <v>5144</v>
      </c>
      <c r="J33" s="76">
        <f t="shared" si="5"/>
        <v>0.53377607139151184</v>
      </c>
      <c r="K33" s="32"/>
      <c r="L33" s="3" t="str">
        <f t="shared" si="1"/>
        <v/>
      </c>
    </row>
    <row r="34" spans="1:12" ht="25" customHeight="1" x14ac:dyDescent="0.45">
      <c r="A34" s="4"/>
      <c r="B34" s="18"/>
      <c r="C34" s="81">
        <v>23</v>
      </c>
      <c r="D34" s="80">
        <f t="shared" si="2"/>
        <v>47</v>
      </c>
      <c r="E34" s="80">
        <f t="shared" si="0"/>
        <v>5</v>
      </c>
      <c r="F34" s="72">
        <f t="shared" si="3"/>
        <v>45.99</v>
      </c>
      <c r="G34" s="73">
        <f>IF(D34=D33,"",_xlfn.IFNA(VLOOKUP(D34,'인원 입력 기능 (사과탐)'!$A$64:$D$112,4,FALSE),0))</f>
        <v>121</v>
      </c>
      <c r="H34" s="74">
        <f t="shared" si="4"/>
        <v>1.2555774618657258E-2</v>
      </c>
      <c r="I34" s="78">
        <f>SUM($G$7:G34)</f>
        <v>5265</v>
      </c>
      <c r="J34" s="76">
        <f t="shared" si="5"/>
        <v>0.54633184601016915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173">
        <f t="shared" si="2"/>
        <v>46</v>
      </c>
      <c r="E35" s="173">
        <f t="shared" si="0"/>
        <v>5</v>
      </c>
      <c r="F35" s="163">
        <f t="shared" si="3"/>
        <v>43.69</v>
      </c>
      <c r="G35" s="165">
        <f>IF(D35=D34,"",_xlfn.IFNA(VLOOKUP(D35,'인원 입력 기능 (사과탐)'!$A$64:$D$112,4,FALSE),0))</f>
        <v>324</v>
      </c>
      <c r="H35" s="166">
        <f t="shared" si="4"/>
        <v>3.3620421292933488E-2</v>
      </c>
      <c r="I35" s="168">
        <f>SUM($G$7:G35)</f>
        <v>5589</v>
      </c>
      <c r="J35" s="170">
        <f t="shared" si="5"/>
        <v>0.57995226730310268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172"/>
      <c r="E36" s="172"/>
      <c r="F36" s="162"/>
      <c r="G36" s="164"/>
      <c r="H36" s="167"/>
      <c r="I36" s="169"/>
      <c r="J36" s="171"/>
      <c r="K36" s="32"/>
      <c r="L36" s="3" t="str">
        <f t="shared" si="1"/>
        <v>경고</v>
      </c>
    </row>
    <row r="37" spans="1:12" ht="25" customHeight="1" x14ac:dyDescent="0.45">
      <c r="A37" s="4"/>
      <c r="B37" s="18"/>
      <c r="C37" s="79">
        <v>20</v>
      </c>
      <c r="D37" s="80">
        <f t="shared" si="2"/>
        <v>45</v>
      </c>
      <c r="E37" s="80">
        <f t="shared" si="0"/>
        <v>5</v>
      </c>
      <c r="F37" s="72">
        <f t="shared" si="3"/>
        <v>41.19</v>
      </c>
      <c r="G37" s="73">
        <f>IF(D37=D36,"",_xlfn.IFNA(VLOOKUP(D37,'인원 입력 기능 (사과탐)'!$A$64:$D$112,4,FALSE),0))</f>
        <v>157</v>
      </c>
      <c r="H37" s="74">
        <f t="shared" si="4"/>
        <v>1.6291376984538756E-2</v>
      </c>
      <c r="I37" s="78">
        <f>SUM($G$7:G37)</f>
        <v>5746</v>
      </c>
      <c r="J37" s="76">
        <f t="shared" si="5"/>
        <v>0.59624364428764143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173">
        <f t="shared" si="2"/>
        <v>44</v>
      </c>
      <c r="E38" s="173">
        <f t="shared" si="0"/>
        <v>5</v>
      </c>
      <c r="F38" s="163">
        <f t="shared" si="3"/>
        <v>38.42</v>
      </c>
      <c r="G38" s="165">
        <f>IF(D38=D37,"",_xlfn.IFNA(VLOOKUP(D38,'인원 입력 기능 (사과탐)'!$A$64:$D$112,4,FALSE),0))</f>
        <v>377</v>
      </c>
      <c r="H38" s="166">
        <f t="shared" si="4"/>
        <v>3.9120058109370137E-2</v>
      </c>
      <c r="I38" s="168">
        <f>SUM($G$7:G38)</f>
        <v>6123</v>
      </c>
      <c r="J38" s="170">
        <f t="shared" si="5"/>
        <v>0.63536370239701156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172"/>
      <c r="E39" s="172"/>
      <c r="F39" s="162"/>
      <c r="G39" s="164"/>
      <c r="H39" s="167"/>
      <c r="I39" s="169"/>
      <c r="J39" s="171"/>
      <c r="K39" s="32"/>
      <c r="L39" s="3" t="str">
        <f t="shared" si="1"/>
        <v>경고</v>
      </c>
    </row>
    <row r="40" spans="1:12" ht="25" customHeight="1" x14ac:dyDescent="0.45">
      <c r="A40" s="4"/>
      <c r="B40" s="18"/>
      <c r="C40" s="81">
        <v>17</v>
      </c>
      <c r="D40" s="80">
        <f t="shared" si="2"/>
        <v>43</v>
      </c>
      <c r="E40" s="80">
        <f t="shared" ref="E39:E57" si="6">IF(ROUND(D40,0)&gt;=$Q$7,1,IF(ROUND(D40,0)&gt;=$Q$8,2,IF(ROUND(D40,0)&gt;=$Q$9,3,IF(ROUND(D40,0)&gt;=$Q$10,4,IF(ROUND(D40,0)&gt;=$Q$11,5,IF(ROUND(D40,0)&gt;=$Q$12,6,IF(ROUND(D40,0)&gt;=$Q$13,7,IF(ROUND(D40,0)&gt;=$Q$14,8,9))))))))</f>
        <v>6</v>
      </c>
      <c r="F40" s="72">
        <f t="shared" si="3"/>
        <v>35.32</v>
      </c>
      <c r="G40" s="73">
        <f>IF(D40=D39,"",_xlfn.IFNA(VLOOKUP(D40,'인원 입력 기능 (사과탐)'!$A$64:$D$112,4,FALSE),0))</f>
        <v>220</v>
      </c>
      <c r="H40" s="74">
        <f t="shared" si="4"/>
        <v>2.2828681124831378E-2</v>
      </c>
      <c r="I40" s="78">
        <f>SUM($G$7:G40)</f>
        <v>6343</v>
      </c>
      <c r="J40" s="76">
        <f t="shared" si="5"/>
        <v>0.65819238352184295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173">
        <f t="shared" si="2"/>
        <v>42</v>
      </c>
      <c r="E41" s="173">
        <f t="shared" si="6"/>
        <v>6</v>
      </c>
      <c r="F41" s="163">
        <f t="shared" si="3"/>
        <v>31.81</v>
      </c>
      <c r="G41" s="165">
        <f>IF(D41=D40,"",_xlfn.IFNA(VLOOKUP(D41,'인원 입력 기능 (사과탐)'!$A$64:$D$112,4,FALSE),0))</f>
        <v>457</v>
      </c>
      <c r="H41" s="166">
        <f t="shared" si="4"/>
        <v>4.7421396700217909E-2</v>
      </c>
      <c r="I41" s="168">
        <f>SUM($G$7:G41)</f>
        <v>6800</v>
      </c>
      <c r="J41" s="170">
        <f t="shared" si="5"/>
        <v>0.70561378022206078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172"/>
      <c r="E42" s="172"/>
      <c r="F42" s="162"/>
      <c r="G42" s="164"/>
      <c r="H42" s="167"/>
      <c r="I42" s="169"/>
      <c r="J42" s="171"/>
      <c r="K42" s="32"/>
      <c r="L42" s="3" t="str">
        <f t="shared" si="1"/>
        <v>경고</v>
      </c>
    </row>
    <row r="43" spans="1:12" ht="25" customHeight="1" x14ac:dyDescent="0.45">
      <c r="A43" s="4"/>
      <c r="B43" s="18"/>
      <c r="C43" s="79">
        <v>14</v>
      </c>
      <c r="D43" s="80">
        <f t="shared" si="2"/>
        <v>41</v>
      </c>
      <c r="E43" s="80">
        <f t="shared" si="6"/>
        <v>6</v>
      </c>
      <c r="F43" s="72">
        <f t="shared" si="3"/>
        <v>28.01</v>
      </c>
      <c r="G43" s="73">
        <f>IF(D43=D42,"",_xlfn.IFNA(VLOOKUP(D43,'인원 입력 기능 (사과탐)'!$A$64:$D$112,4,FALSE),0))</f>
        <v>275</v>
      </c>
      <c r="H43" s="74">
        <f t="shared" si="4"/>
        <v>2.8535851406039224E-2</v>
      </c>
      <c r="I43" s="78">
        <f>SUM($G$7:G43)</f>
        <v>7075</v>
      </c>
      <c r="J43" s="76">
        <f t="shared" si="5"/>
        <v>0.73414963162809999</v>
      </c>
      <c r="K43" s="32"/>
      <c r="L43" s="3" t="str">
        <f t="shared" si="1"/>
        <v/>
      </c>
    </row>
    <row r="44" spans="1:12" ht="25" customHeight="1" x14ac:dyDescent="0.45">
      <c r="A44" s="4"/>
      <c r="B44" s="18"/>
      <c r="C44" s="81">
        <v>13</v>
      </c>
      <c r="D44" s="173">
        <f t="shared" si="2"/>
        <v>40</v>
      </c>
      <c r="E44" s="173">
        <f t="shared" si="6"/>
        <v>6</v>
      </c>
      <c r="F44" s="163">
        <f t="shared" si="3"/>
        <v>20.75</v>
      </c>
      <c r="G44" s="165">
        <f>IF(D44=D43,"",_xlfn.IFNA(VLOOKUP(D44,'인원 입력 기능 (사과탐)'!$A$64:$D$112,4,FALSE),0))</f>
        <v>1125</v>
      </c>
      <c r="H44" s="166">
        <f t="shared" si="4"/>
        <v>0.11673757393379683</v>
      </c>
      <c r="I44" s="168">
        <f>SUM($G$7:G44)</f>
        <v>8200</v>
      </c>
      <c r="J44" s="170">
        <f t="shared" si="5"/>
        <v>0.8508872055618969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172"/>
      <c r="E45" s="172"/>
      <c r="F45" s="162"/>
      <c r="G45" s="164"/>
      <c r="H45" s="167"/>
      <c r="I45" s="169"/>
      <c r="J45" s="171"/>
      <c r="K45" s="32"/>
      <c r="L45" s="3" t="str">
        <f t="shared" si="1"/>
        <v>경고</v>
      </c>
    </row>
    <row r="46" spans="1:12" ht="25" customHeight="1" x14ac:dyDescent="0.45">
      <c r="A46" s="4"/>
      <c r="B46" s="18"/>
      <c r="C46" s="81">
        <v>11</v>
      </c>
      <c r="D46" s="80">
        <f t="shared" si="2"/>
        <v>39</v>
      </c>
      <c r="E46" s="80">
        <f t="shared" si="6"/>
        <v>7</v>
      </c>
      <c r="F46" s="72">
        <f t="shared" si="3"/>
        <v>13.38</v>
      </c>
      <c r="G46" s="73">
        <f>IF(D46=D45,"",_xlfn.IFNA(VLOOKUP(D46,'인원 입력 기능 (사과탐)'!$A$64:$D$112,4,FALSE),0))</f>
        <v>295</v>
      </c>
      <c r="H46" s="74">
        <f t="shared" si="4"/>
        <v>3.0611186053751169E-2</v>
      </c>
      <c r="I46" s="78">
        <f>SUM($G$7:G46)</f>
        <v>8495</v>
      </c>
      <c r="J46" s="76">
        <f t="shared" si="5"/>
        <v>0.88149839161564802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80">
        <f t="shared" si="2"/>
        <v>38</v>
      </c>
      <c r="E47" s="80">
        <f t="shared" si="6"/>
        <v>7</v>
      </c>
      <c r="F47" s="72">
        <f t="shared" si="3"/>
        <v>9.68</v>
      </c>
      <c r="G47" s="73">
        <f>IF(D47=D46,"",_xlfn.IFNA(VLOOKUP(D47,'인원 입력 기능 (사과탐)'!$A$64:$D$112,4,FALSE),0))</f>
        <v>419</v>
      </c>
      <c r="H47" s="74">
        <f t="shared" si="4"/>
        <v>4.3478260869565216E-2</v>
      </c>
      <c r="I47" s="78">
        <f>SUM($G$7:G47)</f>
        <v>8914</v>
      </c>
      <c r="J47" s="76">
        <f t="shared" si="5"/>
        <v>0.92497665248521321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81">
        <v>9</v>
      </c>
      <c r="D48" s="173">
        <f t="shared" si="2"/>
        <v>37</v>
      </c>
      <c r="E48" s="173">
        <f t="shared" si="6"/>
        <v>8</v>
      </c>
      <c r="F48" s="163">
        <f t="shared" si="3"/>
        <v>6.42</v>
      </c>
      <c r="G48" s="165">
        <f>IF(D48=D47,"",_xlfn.IFNA(VLOOKUP(D48,'인원 입력 기능 (사과탐)'!$A$64:$D$112,4,FALSE),0))</f>
        <v>209</v>
      </c>
      <c r="H48" s="166">
        <f t="shared" si="4"/>
        <v>2.1687247068589811E-2</v>
      </c>
      <c r="I48" s="168">
        <f>SUM($G$7:G48)</f>
        <v>9123</v>
      </c>
      <c r="J48" s="170">
        <f t="shared" si="5"/>
        <v>0.94666389955380303</v>
      </c>
      <c r="K48" s="32"/>
      <c r="L48" s="3" t="str">
        <f t="shared" si="1"/>
        <v>경고</v>
      </c>
    </row>
    <row r="49" spans="1:12" ht="25" customHeight="1" x14ac:dyDescent="0.45">
      <c r="A49" s="4"/>
      <c r="B49" s="18"/>
      <c r="C49" s="79">
        <v>8</v>
      </c>
      <c r="D49" s="172"/>
      <c r="E49" s="172"/>
      <c r="F49" s="162"/>
      <c r="G49" s="164"/>
      <c r="H49" s="167"/>
      <c r="I49" s="169"/>
      <c r="J49" s="171"/>
      <c r="K49" s="32"/>
      <c r="L49" s="3" t="str">
        <f t="shared" si="1"/>
        <v>경고</v>
      </c>
    </row>
    <row r="50" spans="1:12" ht="25" customHeight="1" x14ac:dyDescent="0.45">
      <c r="A50" s="4"/>
      <c r="B50" s="18"/>
      <c r="C50" s="81">
        <v>7</v>
      </c>
      <c r="D50" s="80">
        <f t="shared" si="2"/>
        <v>36</v>
      </c>
      <c r="E50" s="80">
        <f t="shared" si="6"/>
        <v>8</v>
      </c>
      <c r="F50" s="72">
        <f t="shared" si="3"/>
        <v>4.3099999999999996</v>
      </c>
      <c r="G50" s="73">
        <f>IF(D50=D49,"",_xlfn.IFNA(VLOOKUP(D50,'인원 입력 기능 (사과탐)'!$A$64:$D$112,4,FALSE),0))</f>
        <v>197</v>
      </c>
      <c r="H50" s="74">
        <f t="shared" si="4"/>
        <v>2.0442046279962645E-2</v>
      </c>
      <c r="I50" s="78">
        <f>SUM($G$7:G50)</f>
        <v>9320</v>
      </c>
      <c r="J50" s="76">
        <f t="shared" si="5"/>
        <v>0.96710594583376575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173">
        <f t="shared" si="2"/>
        <v>35</v>
      </c>
      <c r="E51" s="173">
        <f t="shared" si="6"/>
        <v>9</v>
      </c>
      <c r="F51" s="163">
        <f t="shared" si="3"/>
        <v>2.38</v>
      </c>
      <c r="G51" s="165">
        <f>IF(D51=D50,"",_xlfn.IFNA(VLOOKUP(D51,'인원 입력 기능 (사과탐)'!$A$64:$D$112,4,FALSE),0))</f>
        <v>175</v>
      </c>
      <c r="H51" s="166">
        <f t="shared" si="4"/>
        <v>1.8159178167479507E-2</v>
      </c>
      <c r="I51" s="168">
        <f>SUM($G$7:G51)</f>
        <v>9495</v>
      </c>
      <c r="J51" s="170">
        <f t="shared" si="5"/>
        <v>0.98526512400124522</v>
      </c>
      <c r="K51" s="32"/>
      <c r="L51" s="3" t="str">
        <f t="shared" si="1"/>
        <v/>
      </c>
    </row>
    <row r="52" spans="1:12" ht="25" customHeight="1" x14ac:dyDescent="0.45">
      <c r="A52" s="4"/>
      <c r="B52" s="18"/>
      <c r="C52" s="81">
        <v>5</v>
      </c>
      <c r="D52" s="172"/>
      <c r="E52" s="172"/>
      <c r="F52" s="162"/>
      <c r="G52" s="164"/>
      <c r="H52" s="167"/>
      <c r="I52" s="169"/>
      <c r="J52" s="171"/>
      <c r="K52" s="32"/>
      <c r="L52" s="3" t="str">
        <f t="shared" si="1"/>
        <v>경고</v>
      </c>
    </row>
    <row r="53" spans="1:12" ht="25" customHeight="1" x14ac:dyDescent="0.45">
      <c r="A53" s="4"/>
      <c r="B53" s="18"/>
      <c r="C53" s="70">
        <v>4</v>
      </c>
      <c r="D53" s="71">
        <f t="shared" si="2"/>
        <v>34</v>
      </c>
      <c r="E53" s="71">
        <f t="shared" si="6"/>
        <v>9</v>
      </c>
      <c r="F53" s="72">
        <f t="shared" si="3"/>
        <v>1.2</v>
      </c>
      <c r="G53" s="73">
        <f>IF(D53=D52,"",_xlfn.IFNA(VLOOKUP(D53,'인원 입력 기능 (사과탐)'!$A$64:$D$112,4,FALSE),0))</f>
        <v>53</v>
      </c>
      <c r="H53" s="74">
        <f t="shared" si="4"/>
        <v>5.4996368164366505E-3</v>
      </c>
      <c r="I53" s="78">
        <f>SUM($G$7:G53)</f>
        <v>9548</v>
      </c>
      <c r="J53" s="76">
        <f t="shared" si="5"/>
        <v>0.99076476081768183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161">
        <f t="shared" si="2"/>
        <v>33</v>
      </c>
      <c r="E54" s="161">
        <f t="shared" si="6"/>
        <v>9</v>
      </c>
      <c r="F54" s="163">
        <f t="shared" si="3"/>
        <v>0.53</v>
      </c>
      <c r="G54" s="165">
        <f>IF(D54=D53,"",_xlfn.IFNA(VLOOKUP(D54,'인원 입력 기능 (사과탐)'!$A$64:$D$112,4,FALSE),0))</f>
        <v>75</v>
      </c>
      <c r="H54" s="166">
        <f t="shared" si="4"/>
        <v>7.7825049289197883E-3</v>
      </c>
      <c r="I54" s="168">
        <f>SUM($G$7:G54)</f>
        <v>9623</v>
      </c>
      <c r="J54" s="170">
        <f t="shared" si="5"/>
        <v>0.99854726574660169</v>
      </c>
      <c r="K54" s="32"/>
      <c r="L54" s="3" t="str">
        <f t="shared" si="1"/>
        <v/>
      </c>
    </row>
    <row r="55" spans="1:12" ht="25" customHeight="1" x14ac:dyDescent="0.45">
      <c r="A55" s="4"/>
      <c r="B55" s="18"/>
      <c r="C55" s="70">
        <v>2</v>
      </c>
      <c r="D55" s="160"/>
      <c r="E55" s="160"/>
      <c r="F55" s="162"/>
      <c r="G55" s="164"/>
      <c r="H55" s="167"/>
      <c r="I55" s="169"/>
      <c r="J55" s="171"/>
      <c r="K55" s="32"/>
      <c r="L55" s="3" t="str">
        <f t="shared" si="1"/>
        <v>경고</v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31</v>
      </c>
      <c r="E57" s="84">
        <f t="shared" si="6"/>
        <v>9</v>
      </c>
      <c r="F57" s="85">
        <f>IF(I55=0,ROUND(100*(1-(I54+I57)/2/$J$3),2),ROUND(100*(1-(I55+I57)/2/$J$3),2))</f>
        <v>7.0000000000000007E-2</v>
      </c>
      <c r="G57" s="86">
        <f>_xlfn.IFNA(VLOOKUP(D57,'인원 입력 기능 (사과탐)'!$A$64:$D$112,4,FALSE),0)</f>
        <v>14</v>
      </c>
      <c r="H57" s="87">
        <f>G57/$J$3</f>
        <v>1.4527342533983605E-3</v>
      </c>
      <c r="I57" s="88">
        <f>SUM($G$7:G57)</f>
        <v>9637</v>
      </c>
      <c r="J57" s="89">
        <f>I57/$J$3</f>
        <v>1</v>
      </c>
      <c r="K57" s="32"/>
      <c r="L57" s="3" t="str">
        <f t="shared" ref="L57" si="7">IF(ABS((C57-$H$3)/$H$4*10+50-D57-0.5)&lt;0.1, "경고", "")</f>
        <v/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110">
    <mergeCell ref="I51:I52"/>
    <mergeCell ref="J51:J52"/>
    <mergeCell ref="D54:D55"/>
    <mergeCell ref="E54:E55"/>
    <mergeCell ref="F54:F55"/>
    <mergeCell ref="G54:G55"/>
    <mergeCell ref="H54:H55"/>
    <mergeCell ref="I54:I55"/>
    <mergeCell ref="J54:J55"/>
    <mergeCell ref="D51:D52"/>
    <mergeCell ref="E51:E52"/>
    <mergeCell ref="F51:F52"/>
    <mergeCell ref="G51:G52"/>
    <mergeCell ref="H51:H52"/>
    <mergeCell ref="I44:I45"/>
    <mergeCell ref="J44:J45"/>
    <mergeCell ref="D48:D49"/>
    <mergeCell ref="E48:E49"/>
    <mergeCell ref="F48:F49"/>
    <mergeCell ref="G48:G49"/>
    <mergeCell ref="H48:H49"/>
    <mergeCell ref="I48:I49"/>
    <mergeCell ref="J48:J49"/>
    <mergeCell ref="D44:D45"/>
    <mergeCell ref="E44:E45"/>
    <mergeCell ref="F44:F45"/>
    <mergeCell ref="G44:G45"/>
    <mergeCell ref="H44:H45"/>
    <mergeCell ref="I38:I39"/>
    <mergeCell ref="J38:J39"/>
    <mergeCell ref="D41:D42"/>
    <mergeCell ref="E41:E42"/>
    <mergeCell ref="F41:F42"/>
    <mergeCell ref="G41:G42"/>
    <mergeCell ref="H41:H42"/>
    <mergeCell ref="I41:I42"/>
    <mergeCell ref="J41:J42"/>
    <mergeCell ref="D38:D39"/>
    <mergeCell ref="E38:E39"/>
    <mergeCell ref="F38:F39"/>
    <mergeCell ref="G38:G39"/>
    <mergeCell ref="H38:H39"/>
    <mergeCell ref="I31:I32"/>
    <mergeCell ref="J31:J32"/>
    <mergeCell ref="D35:D36"/>
    <mergeCell ref="E35:E36"/>
    <mergeCell ref="F35:F36"/>
    <mergeCell ref="G35:G36"/>
    <mergeCell ref="H35:H36"/>
    <mergeCell ref="I35:I36"/>
    <mergeCell ref="J35:J36"/>
    <mergeCell ref="D31:D32"/>
    <mergeCell ref="E31:E32"/>
    <mergeCell ref="F31:F32"/>
    <mergeCell ref="G31:G32"/>
    <mergeCell ref="H31:H32"/>
    <mergeCell ref="I25:I26"/>
    <mergeCell ref="J25:J26"/>
    <mergeCell ref="D28:D29"/>
    <mergeCell ref="E28:E29"/>
    <mergeCell ref="F28:F29"/>
    <mergeCell ref="G28:G29"/>
    <mergeCell ref="H28:H29"/>
    <mergeCell ref="I28:I29"/>
    <mergeCell ref="J28:J29"/>
    <mergeCell ref="D25:D26"/>
    <mergeCell ref="E25:E26"/>
    <mergeCell ref="F25:F26"/>
    <mergeCell ref="G25:G26"/>
    <mergeCell ref="H25:H26"/>
    <mergeCell ref="I19:I20"/>
    <mergeCell ref="J19:J20"/>
    <mergeCell ref="D22:D23"/>
    <mergeCell ref="E22:E23"/>
    <mergeCell ref="F22:F23"/>
    <mergeCell ref="G22:G23"/>
    <mergeCell ref="H22:H23"/>
    <mergeCell ref="I22:I23"/>
    <mergeCell ref="J22:J23"/>
    <mergeCell ref="D19:D20"/>
    <mergeCell ref="E19:E20"/>
    <mergeCell ref="F19:F20"/>
    <mergeCell ref="G19:G20"/>
    <mergeCell ref="H19:H20"/>
    <mergeCell ref="H12:H13"/>
    <mergeCell ref="I12:I13"/>
    <mergeCell ref="J12:J13"/>
    <mergeCell ref="D15:D16"/>
    <mergeCell ref="E15:E16"/>
    <mergeCell ref="F15:F16"/>
    <mergeCell ref="G15:G16"/>
    <mergeCell ref="H15:H16"/>
    <mergeCell ref="I15:I16"/>
    <mergeCell ref="J15:J16"/>
    <mergeCell ref="D3:F3"/>
    <mergeCell ref="D4:F4"/>
    <mergeCell ref="D8:J8"/>
    <mergeCell ref="D56:J56"/>
    <mergeCell ref="G5:J5"/>
    <mergeCell ref="D9:D10"/>
    <mergeCell ref="E9:E10"/>
    <mergeCell ref="F9:F10"/>
    <mergeCell ref="G9:G10"/>
    <mergeCell ref="H9:H10"/>
    <mergeCell ref="I9:I10"/>
    <mergeCell ref="J9:J10"/>
    <mergeCell ref="D12:D13"/>
    <mergeCell ref="E12:E13"/>
    <mergeCell ref="F12:F13"/>
    <mergeCell ref="G12:G13"/>
  </mergeCells>
  <phoneticPr fontId="1" type="noConversion"/>
  <conditionalFormatting sqref="D7:D9 D11:D12 D14:D15 D17:D19 D21:D22 D24:D25 D27:D28 D30:D31 D33:D35 D37:D38 D40:D41 D43:D44 D46:D48 D50:D51 D53:D54 D56:D57">
    <cfRule type="expression" dxfId="56" priority="1">
      <formula>$D7=$D8</formula>
    </cfRule>
  </conditionalFormatting>
  <conditionalFormatting sqref="C7:C57">
    <cfRule type="expression" dxfId="55" priority="3">
      <formula>OR(AND($D7=0,OR($D6=$Q$7:$Q$14)),AND($D8&gt;0,OR($D7=$Q$7:$Q$14)))</formula>
    </cfRule>
  </conditionalFormatting>
  <conditionalFormatting sqref="D7:J7 D8 D57:J57 D56 D9:J9 D11:J12 D14:J15 D17:J19 D21:J22 D24:J25 D27:J28 D30:J31 D33:J35 D37:J38 D40:J41 D43:J44 D46:J48 D50:J51 D53:J54">
    <cfRule type="expression" dxfId="54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2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기능'!D11</f>
        <v>25.85</v>
      </c>
      <c r="I3" s="14" t="s">
        <v>110</v>
      </c>
      <c r="J3" s="36">
        <f>'통계 및 응시자 수 입력 기능'!C11</f>
        <v>8529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131</v>
      </c>
      <c r="E4" s="114"/>
      <c r="F4" s="115"/>
      <c r="G4" s="38" t="s">
        <v>113</v>
      </c>
      <c r="H4" s="39" t="str">
        <f>'통계 및 응시자 수 입력 기능'!E11</f>
        <v>14.76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66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96.14</v>
      </c>
      <c r="G7" s="73">
        <f>_xlfn.IFNA(VLOOKUP(D7,'인원 입력 기능 (사과탐)'!$F$64:$I$112,4,FALSE),0)</f>
        <v>658</v>
      </c>
      <c r="H7" s="74">
        <f>G7/$J$3</f>
        <v>7.7148551999062023E-2</v>
      </c>
      <c r="I7" s="75">
        <f>G7</f>
        <v>658</v>
      </c>
      <c r="J7" s="76">
        <f>I7/$J$3</f>
        <v>7.7148551999062023E-2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입력기능'!C67</f>
        <v>66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입력기능'!C68</f>
        <v>64</v>
      </c>
    </row>
    <row r="9" spans="1:17" ht="25" customHeight="1" x14ac:dyDescent="0.45">
      <c r="A9" s="4"/>
      <c r="B9" s="18"/>
      <c r="C9" s="70">
        <v>48</v>
      </c>
      <c r="D9" s="71">
        <f>ROUND(10*(C9-$H$3)/$H$4+50,0)</f>
        <v>65</v>
      </c>
      <c r="E9" s="71">
        <f t="shared" si="0"/>
        <v>2</v>
      </c>
      <c r="F9" s="72">
        <f>IF(I8=0,ROUND(100*(1-(I7+I9)/2/$J$3),2),ROUND(100*(1-(I8+I9)/2/$J$3),2))</f>
        <v>91.45</v>
      </c>
      <c r="G9" s="73">
        <f>_xlfn.IFNA(VLOOKUP(D9,'인원 입력 기능 (사과탐)'!$F$64:$I$112,4,FALSE),0)</f>
        <v>143</v>
      </c>
      <c r="H9" s="74">
        <f>G9/$J$3</f>
        <v>1.6766326650252079E-2</v>
      </c>
      <c r="I9" s="78">
        <f>SUM($G$7:G9)</f>
        <v>801</v>
      </c>
      <c r="J9" s="76">
        <f>I9/$J$3</f>
        <v>9.391487864931411E-2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입력기능'!C69</f>
        <v>61</v>
      </c>
    </row>
    <row r="10" spans="1:17" ht="25" customHeight="1" x14ac:dyDescent="0.45">
      <c r="A10" s="4"/>
      <c r="B10" s="18"/>
      <c r="C10" s="77">
        <v>47</v>
      </c>
      <c r="D10" s="161">
        <f t="shared" ref="D10:D55" si="2">ROUND(10*(C10-$H$3)/$H$4+50,0)</f>
        <v>64</v>
      </c>
      <c r="E10" s="161">
        <f t="shared" si="0"/>
        <v>2</v>
      </c>
      <c r="F10" s="163">
        <f t="shared" ref="F10:F55" si="3">IF(I9=0,ROUND(100*(1-(I8+I10)/2/$J$3),2),ROUND(100*(1-(I9+I10)/2/$J$3),2))</f>
        <v>87.75</v>
      </c>
      <c r="G10" s="165">
        <f>IF(D10=D9,"",_xlfn.IFNA(VLOOKUP(D10,'인원 입력 기능 (사과탐)'!$F$64:$I$112,4,FALSE),0))</f>
        <v>487</v>
      </c>
      <c r="H10" s="166">
        <f t="shared" ref="H10:H55" si="4">G10/$J$3</f>
        <v>5.7099308242466874E-2</v>
      </c>
      <c r="I10" s="168">
        <f>SUM($G$7:G10)</f>
        <v>1288</v>
      </c>
      <c r="J10" s="170">
        <f t="shared" ref="J10:J55" si="5">I10/$J$3</f>
        <v>0.15101418689178098</v>
      </c>
      <c r="K10" s="32"/>
      <c r="L10" s="3" t="str">
        <f t="shared" si="1"/>
        <v/>
      </c>
      <c r="P10" s="1">
        <v>4</v>
      </c>
      <c r="Q10" s="1">
        <f>'표준점수 등급컷 입력기능'!C70</f>
        <v>52</v>
      </c>
    </row>
    <row r="11" spans="1:17" ht="25" customHeight="1" x14ac:dyDescent="0.45">
      <c r="A11" s="4"/>
      <c r="B11" s="18"/>
      <c r="C11" s="70">
        <v>46</v>
      </c>
      <c r="D11" s="160"/>
      <c r="E11" s="160"/>
      <c r="F11" s="162"/>
      <c r="G11" s="164"/>
      <c r="H11" s="167"/>
      <c r="I11" s="169"/>
      <c r="J11" s="171"/>
      <c r="K11" s="32"/>
      <c r="L11" s="3" t="str">
        <f t="shared" si="1"/>
        <v>경고</v>
      </c>
      <c r="P11" s="1">
        <v>5</v>
      </c>
      <c r="Q11" s="1">
        <f>'표준점수 등급컷 입력기능'!C71</f>
        <v>44</v>
      </c>
    </row>
    <row r="12" spans="1:17" ht="25" customHeight="1" x14ac:dyDescent="0.45">
      <c r="A12" s="4"/>
      <c r="B12" s="18"/>
      <c r="C12" s="77">
        <v>45</v>
      </c>
      <c r="D12" s="71">
        <f t="shared" si="2"/>
        <v>63</v>
      </c>
      <c r="E12" s="71">
        <f t="shared" si="0"/>
        <v>3</v>
      </c>
      <c r="F12" s="72">
        <f t="shared" si="3"/>
        <v>83.65</v>
      </c>
      <c r="G12" s="73">
        <f>IF(D12=D11,"",_xlfn.IFNA(VLOOKUP(D12,'인원 입력 기능 (사과탐)'!$F$64:$I$112,4,FALSE),0))</f>
        <v>213</v>
      </c>
      <c r="H12" s="74">
        <f t="shared" si="4"/>
        <v>2.4973619416109743E-2</v>
      </c>
      <c r="I12" s="78">
        <f>SUM($G$7:G12)</f>
        <v>1501</v>
      </c>
      <c r="J12" s="76">
        <f t="shared" si="5"/>
        <v>0.17598780630789074</v>
      </c>
      <c r="K12" s="32"/>
      <c r="L12" s="3" t="str">
        <f t="shared" si="1"/>
        <v/>
      </c>
      <c r="P12" s="1">
        <v>6</v>
      </c>
      <c r="Q12" s="1">
        <f>'표준점수 등급컷 입력기능'!C72</f>
        <v>41</v>
      </c>
    </row>
    <row r="13" spans="1:17" ht="25" customHeight="1" x14ac:dyDescent="0.45">
      <c r="A13" s="4"/>
      <c r="B13" s="18"/>
      <c r="C13" s="70">
        <v>44</v>
      </c>
      <c r="D13" s="161">
        <f t="shared" si="2"/>
        <v>62</v>
      </c>
      <c r="E13" s="161">
        <f t="shared" si="0"/>
        <v>3</v>
      </c>
      <c r="F13" s="163">
        <f t="shared" si="3"/>
        <v>80.55</v>
      </c>
      <c r="G13" s="165">
        <f>IF(D13=D12,"",_xlfn.IFNA(VLOOKUP(D13,'인원 입력 기능 (사과탐)'!$F$64:$I$112,4,FALSE),0))</f>
        <v>315</v>
      </c>
      <c r="H13" s="166">
        <f t="shared" si="4"/>
        <v>3.6932817446359477E-2</v>
      </c>
      <c r="I13" s="168">
        <f>SUM($G$7:G13)</f>
        <v>1816</v>
      </c>
      <c r="J13" s="170">
        <f t="shared" si="5"/>
        <v>0.21292062375425019</v>
      </c>
      <c r="K13" s="32"/>
      <c r="L13" s="3" t="str">
        <f t="shared" si="1"/>
        <v/>
      </c>
      <c r="P13" s="1">
        <v>7</v>
      </c>
      <c r="Q13" s="1">
        <f>'표준점수 등급컷 입력기능'!C73</f>
        <v>39</v>
      </c>
    </row>
    <row r="14" spans="1:17" ht="25" customHeight="1" x14ac:dyDescent="0.45">
      <c r="A14" s="4"/>
      <c r="B14" s="18"/>
      <c r="C14" s="77">
        <v>43</v>
      </c>
      <c r="D14" s="160"/>
      <c r="E14" s="160"/>
      <c r="F14" s="162"/>
      <c r="G14" s="164"/>
      <c r="H14" s="167"/>
      <c r="I14" s="169"/>
      <c r="J14" s="171"/>
      <c r="K14" s="32"/>
      <c r="L14" s="3" t="str">
        <f t="shared" si="1"/>
        <v>경고</v>
      </c>
      <c r="P14" s="1">
        <v>8</v>
      </c>
      <c r="Q14" s="1">
        <f>'표준점수 등급컷 입력기능'!C74</f>
        <v>37</v>
      </c>
    </row>
    <row r="15" spans="1:17" ht="25" customHeight="1" x14ac:dyDescent="0.45">
      <c r="A15" s="4"/>
      <c r="B15" s="18"/>
      <c r="C15" s="70">
        <v>42</v>
      </c>
      <c r="D15" s="71">
        <f t="shared" si="2"/>
        <v>61</v>
      </c>
      <c r="E15" s="71">
        <f t="shared" si="0"/>
        <v>3</v>
      </c>
      <c r="F15" s="72">
        <f t="shared" si="3"/>
        <v>77.72</v>
      </c>
      <c r="G15" s="73">
        <f>IF(D15=D14,"",_xlfn.IFNA(VLOOKUP(D15,'인원 입력 기능 (사과탐)'!$F$64:$I$112,4,FALSE),0))</f>
        <v>169</v>
      </c>
      <c r="H15" s="74">
        <f t="shared" si="4"/>
        <v>1.9814749677570642E-2</v>
      </c>
      <c r="I15" s="78">
        <f>SUM($G$7:G15)</f>
        <v>1985</v>
      </c>
      <c r="J15" s="76">
        <f t="shared" si="5"/>
        <v>0.23273537343182085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161">
        <f t="shared" si="2"/>
        <v>60</v>
      </c>
      <c r="E16" s="161">
        <f t="shared" si="0"/>
        <v>4</v>
      </c>
      <c r="F16" s="163">
        <f t="shared" si="3"/>
        <v>75.260000000000005</v>
      </c>
      <c r="G16" s="165">
        <f>IF(D16=D15,"",_xlfn.IFNA(VLOOKUP(D16,'인원 입력 기능 (사과탐)'!$F$64:$I$112,4,FALSE),0))</f>
        <v>250</v>
      </c>
      <c r="H16" s="166">
        <f t="shared" si="4"/>
        <v>2.931175987806308E-2</v>
      </c>
      <c r="I16" s="168">
        <f>SUM($G$7:G16)</f>
        <v>2235</v>
      </c>
      <c r="J16" s="170">
        <f t="shared" si="5"/>
        <v>0.26204713330988394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160"/>
      <c r="E17" s="160"/>
      <c r="F17" s="162"/>
      <c r="G17" s="164"/>
      <c r="H17" s="167"/>
      <c r="I17" s="169"/>
      <c r="J17" s="171"/>
      <c r="K17" s="32"/>
      <c r="L17" s="3" t="str">
        <f t="shared" si="1"/>
        <v>경고</v>
      </c>
      <c r="P17" s="1">
        <f>Q7*H3*H4*J3*IFERROR(IF(J57=1,1,0),0)</f>
        <v>214777585.044</v>
      </c>
    </row>
    <row r="18" spans="1:16" ht="25" customHeight="1" x14ac:dyDescent="0.45">
      <c r="A18" s="4"/>
      <c r="B18" s="18"/>
      <c r="C18" s="77">
        <v>39</v>
      </c>
      <c r="D18" s="71">
        <f t="shared" si="2"/>
        <v>59</v>
      </c>
      <c r="E18" s="71">
        <f t="shared" si="0"/>
        <v>4</v>
      </c>
      <c r="F18" s="72">
        <f t="shared" si="3"/>
        <v>72.92</v>
      </c>
      <c r="G18" s="73">
        <f>IF(D18=D17,"",_xlfn.IFNA(VLOOKUP(D18,'인원 입력 기능 (사과탐)'!$F$64:$I$112,4,FALSE),0))</f>
        <v>150</v>
      </c>
      <c r="H18" s="74">
        <f t="shared" si="4"/>
        <v>1.7587055926837847E-2</v>
      </c>
      <c r="I18" s="78">
        <f>SUM($G$7:G18)</f>
        <v>2385</v>
      </c>
      <c r="J18" s="76">
        <f t="shared" si="5"/>
        <v>0.27963418923672179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161">
        <f t="shared" si="2"/>
        <v>58</v>
      </c>
      <c r="E19" s="161">
        <f t="shared" si="0"/>
        <v>4</v>
      </c>
      <c r="F19" s="163">
        <f t="shared" si="3"/>
        <v>70.78</v>
      </c>
      <c r="G19" s="165">
        <f>IF(D19=D18,"",_xlfn.IFNA(VLOOKUP(D19,'인원 입력 기능 (사과탐)'!$F$64:$I$112,4,FALSE),0))</f>
        <v>215</v>
      </c>
      <c r="H19" s="166">
        <f t="shared" si="4"/>
        <v>2.5208113495134247E-2</v>
      </c>
      <c r="I19" s="168">
        <f>SUM($G$7:G19)</f>
        <v>2600</v>
      </c>
      <c r="J19" s="170">
        <f t="shared" si="5"/>
        <v>0.30484230273185603</v>
      </c>
      <c r="K19" s="32"/>
      <c r="L19" s="3" t="str">
        <f t="shared" si="1"/>
        <v/>
      </c>
    </row>
    <row r="20" spans="1:16" ht="25" customHeight="1" x14ac:dyDescent="0.45">
      <c r="A20" s="4"/>
      <c r="B20" s="18"/>
      <c r="C20" s="77">
        <v>37</v>
      </c>
      <c r="D20" s="160"/>
      <c r="E20" s="160"/>
      <c r="F20" s="162"/>
      <c r="G20" s="164"/>
      <c r="H20" s="167"/>
      <c r="I20" s="169"/>
      <c r="J20" s="171"/>
      <c r="K20" s="32"/>
      <c r="L20" s="3" t="str">
        <f t="shared" si="1"/>
        <v>경고</v>
      </c>
    </row>
    <row r="21" spans="1:16" ht="25" customHeight="1" x14ac:dyDescent="0.45">
      <c r="A21" s="4"/>
      <c r="B21" s="18"/>
      <c r="C21" s="79">
        <v>36</v>
      </c>
      <c r="D21" s="80">
        <f t="shared" si="2"/>
        <v>57</v>
      </c>
      <c r="E21" s="80">
        <f t="shared" si="0"/>
        <v>4</v>
      </c>
      <c r="F21" s="72">
        <f t="shared" si="3"/>
        <v>68.87</v>
      </c>
      <c r="G21" s="73">
        <f>IF(D21=D20,"",_xlfn.IFNA(VLOOKUP(D21,'인원 입력 기능 (사과탐)'!$F$64:$I$112,4,FALSE),0))</f>
        <v>111</v>
      </c>
      <c r="H21" s="74">
        <f t="shared" si="4"/>
        <v>1.3014421385860007E-2</v>
      </c>
      <c r="I21" s="78">
        <f>SUM($G$7:G21)</f>
        <v>2711</v>
      </c>
      <c r="J21" s="76">
        <f t="shared" si="5"/>
        <v>0.31785672411771604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173">
        <f t="shared" si="2"/>
        <v>56</v>
      </c>
      <c r="E22" s="173">
        <f t="shared" si="0"/>
        <v>4</v>
      </c>
      <c r="F22" s="163">
        <f t="shared" si="3"/>
        <v>66.91</v>
      </c>
      <c r="G22" s="165">
        <f>IF(D22=D21,"",_xlfn.IFNA(VLOOKUP(D22,'인원 입력 기능 (사과탐)'!$F$64:$I$112,4,FALSE),0))</f>
        <v>223</v>
      </c>
      <c r="H22" s="166">
        <f t="shared" si="4"/>
        <v>2.6146089811232266E-2</v>
      </c>
      <c r="I22" s="168">
        <f>SUM($G$7:G22)</f>
        <v>2934</v>
      </c>
      <c r="J22" s="170">
        <f t="shared" si="5"/>
        <v>0.34400281392894827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172"/>
      <c r="E23" s="172"/>
      <c r="F23" s="162"/>
      <c r="G23" s="164"/>
      <c r="H23" s="167"/>
      <c r="I23" s="169"/>
      <c r="J23" s="171"/>
      <c r="K23" s="32"/>
      <c r="L23" s="3" t="str">
        <f t="shared" si="1"/>
        <v>경고</v>
      </c>
    </row>
    <row r="24" spans="1:16" ht="25" customHeight="1" x14ac:dyDescent="0.45">
      <c r="A24" s="4"/>
      <c r="B24" s="18"/>
      <c r="C24" s="81">
        <v>33</v>
      </c>
      <c r="D24" s="80">
        <f t="shared" si="2"/>
        <v>55</v>
      </c>
      <c r="E24" s="80">
        <f t="shared" si="0"/>
        <v>4</v>
      </c>
      <c r="F24" s="72">
        <f t="shared" si="3"/>
        <v>65.05</v>
      </c>
      <c r="G24" s="73">
        <f>IF(D24=D23,"",_xlfn.IFNA(VLOOKUP(D24,'인원 입력 기능 (사과탐)'!$F$64:$I$112,4,FALSE),0))</f>
        <v>93</v>
      </c>
      <c r="H24" s="74">
        <f t="shared" si="4"/>
        <v>1.0903974674639466E-2</v>
      </c>
      <c r="I24" s="78">
        <f>SUM($G$7:G24)</f>
        <v>3027</v>
      </c>
      <c r="J24" s="76">
        <f t="shared" si="5"/>
        <v>0.35490678860358776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80">
        <f t="shared" si="2"/>
        <v>54</v>
      </c>
      <c r="E25" s="80">
        <f t="shared" si="0"/>
        <v>4</v>
      </c>
      <c r="F25" s="72">
        <f t="shared" si="3"/>
        <v>63.86</v>
      </c>
      <c r="G25" s="73">
        <f>IF(D25=D24,"",_xlfn.IFNA(VLOOKUP(D25,'인원 입력 기능 (사과탐)'!$F$64:$I$112,4,FALSE),0))</f>
        <v>111</v>
      </c>
      <c r="H25" s="74">
        <f t="shared" si="4"/>
        <v>1.3014421385860007E-2</v>
      </c>
      <c r="I25" s="78">
        <f>SUM($G$7:G25)</f>
        <v>3138</v>
      </c>
      <c r="J25" s="76">
        <f t="shared" si="5"/>
        <v>0.36792120998944777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173">
        <f t="shared" si="2"/>
        <v>53</v>
      </c>
      <c r="E26" s="173">
        <f t="shared" si="0"/>
        <v>4</v>
      </c>
      <c r="F26" s="163">
        <f t="shared" si="3"/>
        <v>62.04</v>
      </c>
      <c r="G26" s="165">
        <f>IF(D26=D25,"",_xlfn.IFNA(VLOOKUP(D26,'인원 입력 기능 (사과탐)'!$F$64:$I$112,4,FALSE),0))</f>
        <v>199</v>
      </c>
      <c r="H26" s="166">
        <f t="shared" si="4"/>
        <v>2.3332160862938212E-2</v>
      </c>
      <c r="I26" s="168">
        <f>SUM($G$7:G26)</f>
        <v>3337</v>
      </c>
      <c r="J26" s="170">
        <f t="shared" si="5"/>
        <v>0.39125337085238598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172"/>
      <c r="E27" s="172"/>
      <c r="F27" s="162"/>
      <c r="G27" s="164"/>
      <c r="H27" s="167"/>
      <c r="I27" s="169"/>
      <c r="J27" s="171"/>
      <c r="K27" s="32"/>
      <c r="L27" s="3" t="str">
        <f t="shared" si="1"/>
        <v>경고</v>
      </c>
    </row>
    <row r="28" spans="1:16" ht="25" customHeight="1" x14ac:dyDescent="0.45">
      <c r="A28" s="4"/>
      <c r="B28" s="18"/>
      <c r="C28" s="81">
        <v>29</v>
      </c>
      <c r="D28" s="80">
        <f t="shared" si="2"/>
        <v>52</v>
      </c>
      <c r="E28" s="80">
        <f t="shared" si="0"/>
        <v>4</v>
      </c>
      <c r="F28" s="72">
        <f t="shared" si="3"/>
        <v>60.19</v>
      </c>
      <c r="G28" s="73">
        <f>IF(D28=D27,"",_xlfn.IFNA(VLOOKUP(D28,'인원 입력 기능 (사과탐)'!$F$64:$I$112,4,FALSE),0))</f>
        <v>117</v>
      </c>
      <c r="H28" s="74">
        <f t="shared" si="4"/>
        <v>1.3717903622933521E-2</v>
      </c>
      <c r="I28" s="78">
        <f>SUM($G$7:G28)</f>
        <v>3454</v>
      </c>
      <c r="J28" s="76">
        <f t="shared" si="5"/>
        <v>0.4049712744753195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173">
        <f t="shared" si="2"/>
        <v>51</v>
      </c>
      <c r="E29" s="173">
        <f t="shared" si="0"/>
        <v>5</v>
      </c>
      <c r="F29" s="163">
        <f t="shared" si="3"/>
        <v>58.01</v>
      </c>
      <c r="G29" s="165">
        <f>IF(D29=D28,"",_xlfn.IFNA(VLOOKUP(D29,'인원 입력 기능 (사과탐)'!$F$64:$I$112,4,FALSE),0))</f>
        <v>255</v>
      </c>
      <c r="H29" s="166">
        <f t="shared" si="4"/>
        <v>2.989799507562434E-2</v>
      </c>
      <c r="I29" s="168">
        <f>SUM($G$7:G29)</f>
        <v>3709</v>
      </c>
      <c r="J29" s="170">
        <f t="shared" si="5"/>
        <v>0.43486926955094385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172"/>
      <c r="E30" s="172"/>
      <c r="F30" s="162"/>
      <c r="G30" s="164"/>
      <c r="H30" s="167"/>
      <c r="I30" s="169"/>
      <c r="J30" s="171"/>
      <c r="K30" s="32"/>
      <c r="L30" s="3" t="str">
        <f t="shared" si="1"/>
        <v>경고</v>
      </c>
    </row>
    <row r="31" spans="1:16" ht="25" customHeight="1" x14ac:dyDescent="0.45">
      <c r="A31" s="4"/>
      <c r="B31" s="18"/>
      <c r="C31" s="79">
        <v>26</v>
      </c>
      <c r="D31" s="80">
        <f t="shared" si="2"/>
        <v>50</v>
      </c>
      <c r="E31" s="80">
        <f t="shared" si="0"/>
        <v>5</v>
      </c>
      <c r="F31" s="72">
        <f t="shared" si="3"/>
        <v>55.68</v>
      </c>
      <c r="G31" s="73">
        <f>IF(D31=D30,"",_xlfn.IFNA(VLOOKUP(D31,'인원 입력 기능 (사과탐)'!$F$64:$I$112,4,FALSE),0))</f>
        <v>142</v>
      </c>
      <c r="H31" s="74">
        <f t="shared" si="4"/>
        <v>1.6649079610739827E-2</v>
      </c>
      <c r="I31" s="78">
        <f>SUM($G$7:G31)</f>
        <v>3851</v>
      </c>
      <c r="J31" s="76">
        <f t="shared" si="5"/>
        <v>0.45151834916168365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173">
        <f t="shared" si="2"/>
        <v>49</v>
      </c>
      <c r="E32" s="173">
        <f t="shared" si="0"/>
        <v>5</v>
      </c>
      <c r="F32" s="163">
        <f t="shared" si="3"/>
        <v>53.26</v>
      </c>
      <c r="G32" s="165">
        <f>IF(D32=D31,"",_xlfn.IFNA(VLOOKUP(D32,'인원 입력 기능 (사과탐)'!$F$64:$I$112,4,FALSE),0))</f>
        <v>271</v>
      </c>
      <c r="H32" s="166">
        <f t="shared" si="4"/>
        <v>3.1773947707820376E-2</v>
      </c>
      <c r="I32" s="168">
        <f>SUM($G$7:G32)</f>
        <v>4122</v>
      </c>
      <c r="J32" s="170">
        <f t="shared" si="5"/>
        <v>0.48329229686950403</v>
      </c>
      <c r="K32" s="32"/>
      <c r="L32" s="3" t="str">
        <f t="shared" si="1"/>
        <v/>
      </c>
    </row>
    <row r="33" spans="1:12" ht="25" customHeight="1" x14ac:dyDescent="0.45">
      <c r="A33" s="4"/>
      <c r="B33" s="18"/>
      <c r="C33" s="79">
        <v>24</v>
      </c>
      <c r="D33" s="172"/>
      <c r="E33" s="172"/>
      <c r="F33" s="162"/>
      <c r="G33" s="164"/>
      <c r="H33" s="167"/>
      <c r="I33" s="169"/>
      <c r="J33" s="171"/>
      <c r="K33" s="32"/>
      <c r="L33" s="3" t="str">
        <f t="shared" si="1"/>
        <v>경고</v>
      </c>
    </row>
    <row r="34" spans="1:12" ht="25" customHeight="1" x14ac:dyDescent="0.45">
      <c r="A34" s="4"/>
      <c r="B34" s="18"/>
      <c r="C34" s="81">
        <v>23</v>
      </c>
      <c r="D34" s="80">
        <f t="shared" si="2"/>
        <v>48</v>
      </c>
      <c r="E34" s="80">
        <f t="shared" si="0"/>
        <v>5</v>
      </c>
      <c r="F34" s="72">
        <f t="shared" si="3"/>
        <v>50.9</v>
      </c>
      <c r="G34" s="73">
        <f>IF(D34=D33,"",_xlfn.IFNA(VLOOKUP(D34,'인원 입력 기능 (사과탐)'!$F$64:$I$112,4,FALSE),0))</f>
        <v>131</v>
      </c>
      <c r="H34" s="74">
        <f t="shared" si="4"/>
        <v>1.5359362176105054E-2</v>
      </c>
      <c r="I34" s="78">
        <f>SUM($G$7:G34)</f>
        <v>4253</v>
      </c>
      <c r="J34" s="76">
        <f t="shared" si="5"/>
        <v>0.4986516590456091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173">
        <f t="shared" si="2"/>
        <v>47</v>
      </c>
      <c r="E35" s="173">
        <f t="shared" si="0"/>
        <v>5</v>
      </c>
      <c r="F35" s="163">
        <f t="shared" si="3"/>
        <v>48.35</v>
      </c>
      <c r="G35" s="165">
        <f>IF(D35=D34,"",_xlfn.IFNA(VLOOKUP(D35,'인원 입력 기능 (사과탐)'!$F$64:$I$112,4,FALSE),0))</f>
        <v>305</v>
      </c>
      <c r="H35" s="166">
        <f t="shared" si="4"/>
        <v>3.5760347051236957E-2</v>
      </c>
      <c r="I35" s="168">
        <f>SUM($G$7:G35)</f>
        <v>4558</v>
      </c>
      <c r="J35" s="170">
        <f t="shared" si="5"/>
        <v>0.53441200609684603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172"/>
      <c r="E36" s="172"/>
      <c r="F36" s="162"/>
      <c r="G36" s="164"/>
      <c r="H36" s="167"/>
      <c r="I36" s="169"/>
      <c r="J36" s="171"/>
      <c r="K36" s="32"/>
      <c r="L36" s="3" t="str">
        <f t="shared" si="1"/>
        <v>경고</v>
      </c>
    </row>
    <row r="37" spans="1:12" ht="25" customHeight="1" x14ac:dyDescent="0.45">
      <c r="A37" s="4"/>
      <c r="B37" s="18"/>
      <c r="C37" s="79">
        <v>20</v>
      </c>
      <c r="D37" s="80">
        <f t="shared" si="2"/>
        <v>46</v>
      </c>
      <c r="E37" s="80">
        <f t="shared" si="0"/>
        <v>5</v>
      </c>
      <c r="F37" s="72">
        <f t="shared" si="3"/>
        <v>45.55</v>
      </c>
      <c r="G37" s="73">
        <f>IF(D37=D36,"",_xlfn.IFNA(VLOOKUP(D37,'인원 입력 기능 (사과탐)'!$F$64:$I$112,4,FALSE),0))</f>
        <v>172</v>
      </c>
      <c r="H37" s="74">
        <f t="shared" si="4"/>
        <v>2.0166490796107397E-2</v>
      </c>
      <c r="I37" s="78">
        <f>SUM($G$7:G37)</f>
        <v>4730</v>
      </c>
      <c r="J37" s="76">
        <f t="shared" si="5"/>
        <v>0.55457849689295347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173">
        <f t="shared" si="2"/>
        <v>45</v>
      </c>
      <c r="E38" s="173">
        <f t="shared" si="0"/>
        <v>5</v>
      </c>
      <c r="F38" s="163">
        <f t="shared" si="3"/>
        <v>42.35</v>
      </c>
      <c r="G38" s="165">
        <f>IF(D38=D37,"",_xlfn.IFNA(VLOOKUP(D38,'인원 입력 기능 (사과탐)'!$F$64:$I$112,4,FALSE),0))</f>
        <v>374</v>
      </c>
      <c r="H38" s="166">
        <f t="shared" si="4"/>
        <v>4.3850392777582368E-2</v>
      </c>
      <c r="I38" s="168">
        <f>SUM($G$7:G38)</f>
        <v>5104</v>
      </c>
      <c r="J38" s="170">
        <f t="shared" si="5"/>
        <v>0.59842888967053587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172"/>
      <c r="E39" s="172"/>
      <c r="F39" s="162"/>
      <c r="G39" s="164"/>
      <c r="H39" s="167"/>
      <c r="I39" s="169"/>
      <c r="J39" s="171"/>
      <c r="K39" s="32"/>
      <c r="L39" s="3" t="str">
        <f t="shared" si="1"/>
        <v>경고</v>
      </c>
    </row>
    <row r="40" spans="1:12" ht="25" customHeight="1" x14ac:dyDescent="0.45">
      <c r="A40" s="4"/>
      <c r="B40" s="18"/>
      <c r="C40" s="81">
        <v>17</v>
      </c>
      <c r="D40" s="80">
        <f t="shared" si="2"/>
        <v>44</v>
      </c>
      <c r="E40" s="80">
        <f t="shared" ref="E39:E57" si="6">IF(ROUND(D40,0)&gt;=$Q$7,1,IF(ROUND(D40,0)&gt;=$Q$8,2,IF(ROUND(D40,0)&gt;=$Q$9,3,IF(ROUND(D40,0)&gt;=$Q$10,4,IF(ROUND(D40,0)&gt;=$Q$11,5,IF(ROUND(D40,0)&gt;=$Q$12,6,IF(ROUND(D40,0)&gt;=$Q$13,7,IF(ROUND(D40,0)&gt;=$Q$14,8,9))))))))</f>
        <v>5</v>
      </c>
      <c r="F40" s="72">
        <f t="shared" si="3"/>
        <v>38.89</v>
      </c>
      <c r="G40" s="73">
        <f>IF(D40=D39,"",_xlfn.IFNA(VLOOKUP(D40,'인원 입력 기능 (사과탐)'!$F$64:$I$112,4,FALSE),0))</f>
        <v>216</v>
      </c>
      <c r="H40" s="74">
        <f t="shared" si="4"/>
        <v>2.5325360534646499E-2</v>
      </c>
      <c r="I40" s="78">
        <f>SUM($G$7:G40)</f>
        <v>5320</v>
      </c>
      <c r="J40" s="76">
        <f t="shared" si="5"/>
        <v>0.62375425020518227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173">
        <f t="shared" si="2"/>
        <v>43</v>
      </c>
      <c r="E41" s="173">
        <f t="shared" si="6"/>
        <v>6</v>
      </c>
      <c r="F41" s="163">
        <f t="shared" si="3"/>
        <v>34.89</v>
      </c>
      <c r="G41" s="165">
        <f>IF(D41=D40,"",_xlfn.IFNA(VLOOKUP(D41,'인원 입력 기능 (사과탐)'!$F$64:$I$112,4,FALSE),0))</f>
        <v>467</v>
      </c>
      <c r="H41" s="166">
        <f t="shared" si="4"/>
        <v>5.4754367452221835E-2</v>
      </c>
      <c r="I41" s="168">
        <f>SUM($G$7:G41)</f>
        <v>5787</v>
      </c>
      <c r="J41" s="170">
        <f t="shared" si="5"/>
        <v>0.67850861765740411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172"/>
      <c r="E42" s="172"/>
      <c r="F42" s="162"/>
      <c r="G42" s="164"/>
      <c r="H42" s="167"/>
      <c r="I42" s="169"/>
      <c r="J42" s="171"/>
      <c r="K42" s="32"/>
      <c r="L42" s="3" t="str">
        <f t="shared" si="1"/>
        <v>경고</v>
      </c>
    </row>
    <row r="43" spans="1:12" ht="25" customHeight="1" x14ac:dyDescent="0.45">
      <c r="A43" s="4"/>
      <c r="B43" s="18"/>
      <c r="C43" s="79">
        <v>14</v>
      </c>
      <c r="D43" s="80">
        <f t="shared" si="2"/>
        <v>42</v>
      </c>
      <c r="E43" s="80">
        <f t="shared" si="6"/>
        <v>6</v>
      </c>
      <c r="F43" s="72">
        <f t="shared" si="3"/>
        <v>30.81</v>
      </c>
      <c r="G43" s="73">
        <f>IF(D43=D42,"",_xlfn.IFNA(VLOOKUP(D43,'인원 입력 기능 (사과탐)'!$F$64:$I$112,4,FALSE),0))</f>
        <v>228</v>
      </c>
      <c r="H43" s="74">
        <f t="shared" si="4"/>
        <v>2.673232500879353E-2</v>
      </c>
      <c r="I43" s="78">
        <f>SUM($G$7:G43)</f>
        <v>6015</v>
      </c>
      <c r="J43" s="76">
        <f t="shared" si="5"/>
        <v>0.70524094266619763</v>
      </c>
      <c r="K43" s="32"/>
      <c r="L43" s="3" t="str">
        <f t="shared" si="1"/>
        <v/>
      </c>
    </row>
    <row r="44" spans="1:12" ht="25" customHeight="1" x14ac:dyDescent="0.45">
      <c r="A44" s="4"/>
      <c r="B44" s="18"/>
      <c r="C44" s="81">
        <v>13</v>
      </c>
      <c r="D44" s="173">
        <f t="shared" si="2"/>
        <v>41</v>
      </c>
      <c r="E44" s="173">
        <f t="shared" si="6"/>
        <v>6</v>
      </c>
      <c r="F44" s="163">
        <f t="shared" si="3"/>
        <v>25.43</v>
      </c>
      <c r="G44" s="165">
        <f>IF(D44=D43,"",_xlfn.IFNA(VLOOKUP(D44,'인원 입력 기능 (사과탐)'!$F$64:$I$112,4,FALSE),0))</f>
        <v>690</v>
      </c>
      <c r="H44" s="166">
        <f t="shared" si="4"/>
        <v>8.0900457263454101E-2</v>
      </c>
      <c r="I44" s="168">
        <f>SUM($G$7:G44)</f>
        <v>6705</v>
      </c>
      <c r="J44" s="170">
        <f t="shared" si="5"/>
        <v>0.78614139992965182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172"/>
      <c r="E45" s="172"/>
      <c r="F45" s="162"/>
      <c r="G45" s="164"/>
      <c r="H45" s="167"/>
      <c r="I45" s="169"/>
      <c r="J45" s="171"/>
      <c r="K45" s="32"/>
      <c r="L45" s="3" t="str">
        <f t="shared" si="1"/>
        <v>경고</v>
      </c>
    </row>
    <row r="46" spans="1:12" ht="25" customHeight="1" x14ac:dyDescent="0.45">
      <c r="A46" s="4"/>
      <c r="B46" s="18"/>
      <c r="C46" s="81">
        <v>11</v>
      </c>
      <c r="D46" s="80">
        <f t="shared" si="2"/>
        <v>40</v>
      </c>
      <c r="E46" s="80">
        <f t="shared" si="6"/>
        <v>7</v>
      </c>
      <c r="F46" s="72">
        <f t="shared" si="3"/>
        <v>19.739999999999998</v>
      </c>
      <c r="G46" s="73">
        <f>IF(D46=D45,"",_xlfn.IFNA(VLOOKUP(D46,'인원 입력 기능 (사과탐)'!$F$64:$I$112,4,FALSE),0))</f>
        <v>280</v>
      </c>
      <c r="H46" s="74">
        <f t="shared" si="4"/>
        <v>3.2829171063430647E-2</v>
      </c>
      <c r="I46" s="78">
        <f>SUM($G$7:G46)</f>
        <v>6985</v>
      </c>
      <c r="J46" s="76">
        <f t="shared" si="5"/>
        <v>0.81897057099308246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173">
        <f t="shared" si="2"/>
        <v>39</v>
      </c>
      <c r="E47" s="173">
        <f t="shared" si="6"/>
        <v>7</v>
      </c>
      <c r="F47" s="163">
        <f t="shared" si="3"/>
        <v>12.65</v>
      </c>
      <c r="G47" s="165">
        <f>IF(D47=D46,"",_xlfn.IFNA(VLOOKUP(D47,'인원 입력 기능 (사과탐)'!$F$64:$I$112,4,FALSE),0))</f>
        <v>930</v>
      </c>
      <c r="H47" s="166">
        <f t="shared" si="4"/>
        <v>0.10903974674639465</v>
      </c>
      <c r="I47" s="168">
        <f>SUM($G$7:G47)</f>
        <v>7915</v>
      </c>
      <c r="J47" s="170">
        <f t="shared" si="5"/>
        <v>0.92801031773947706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81">
        <v>9</v>
      </c>
      <c r="D48" s="172"/>
      <c r="E48" s="172"/>
      <c r="F48" s="162"/>
      <c r="G48" s="164"/>
      <c r="H48" s="167"/>
      <c r="I48" s="169"/>
      <c r="J48" s="171"/>
      <c r="K48" s="32"/>
      <c r="L48" s="3" t="str">
        <f t="shared" si="1"/>
        <v>경고</v>
      </c>
    </row>
    <row r="49" spans="1:12" ht="25" customHeight="1" x14ac:dyDescent="0.45">
      <c r="A49" s="4"/>
      <c r="B49" s="18"/>
      <c r="C49" s="79">
        <v>8</v>
      </c>
      <c r="D49" s="80">
        <f t="shared" si="2"/>
        <v>38</v>
      </c>
      <c r="E49" s="80">
        <f t="shared" si="6"/>
        <v>8</v>
      </c>
      <c r="F49" s="72">
        <f t="shared" si="3"/>
        <v>6.06</v>
      </c>
      <c r="G49" s="73">
        <f>IF(D49=D48,"",_xlfn.IFNA(VLOOKUP(D49,'인원 입력 기능 (사과탐)'!$F$64:$I$112,4,FALSE),0))</f>
        <v>195</v>
      </c>
      <c r="H49" s="74">
        <f t="shared" si="4"/>
        <v>2.28631727048892E-2</v>
      </c>
      <c r="I49" s="78">
        <f>SUM($G$7:G49)</f>
        <v>8110</v>
      </c>
      <c r="J49" s="76">
        <f t="shared" si="5"/>
        <v>0.95087349044436631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173">
        <f t="shared" si="2"/>
        <v>37</v>
      </c>
      <c r="E50" s="173">
        <f t="shared" si="6"/>
        <v>8</v>
      </c>
      <c r="F50" s="163">
        <f t="shared" si="3"/>
        <v>3.59</v>
      </c>
      <c r="G50" s="165">
        <f>IF(D50=D49,"",_xlfn.IFNA(VLOOKUP(D50,'인원 입력 기능 (사과탐)'!$F$64:$I$112,4,FALSE),0))</f>
        <v>226</v>
      </c>
      <c r="H50" s="166">
        <f t="shared" si="4"/>
        <v>2.6497830929769022E-2</v>
      </c>
      <c r="I50" s="168">
        <f>SUM($G$7:G50)</f>
        <v>8336</v>
      </c>
      <c r="J50" s="170">
        <f t="shared" si="5"/>
        <v>0.97737132137413529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172"/>
      <c r="E51" s="172"/>
      <c r="F51" s="162"/>
      <c r="G51" s="164"/>
      <c r="H51" s="167"/>
      <c r="I51" s="169"/>
      <c r="J51" s="171"/>
      <c r="K51" s="32"/>
      <c r="L51" s="3" t="str">
        <f t="shared" si="1"/>
        <v>경고</v>
      </c>
    </row>
    <row r="52" spans="1:12" ht="25" customHeight="1" x14ac:dyDescent="0.45">
      <c r="A52" s="4"/>
      <c r="B52" s="18"/>
      <c r="C52" s="81">
        <v>5</v>
      </c>
      <c r="D52" s="80">
        <f t="shared" si="2"/>
        <v>36</v>
      </c>
      <c r="E52" s="80">
        <f t="shared" si="6"/>
        <v>9</v>
      </c>
      <c r="F52" s="72">
        <f t="shared" si="3"/>
        <v>1.73</v>
      </c>
      <c r="G52" s="73">
        <f>IF(D52=D51,"",_xlfn.IFNA(VLOOKUP(D52,'인원 입력 기능 (사과탐)'!$F$64:$I$112,4,FALSE),0))</f>
        <v>91</v>
      </c>
      <c r="H52" s="74">
        <f t="shared" si="4"/>
        <v>1.066948059561496E-2</v>
      </c>
      <c r="I52" s="78">
        <f>SUM($G$7:G52)</f>
        <v>8427</v>
      </c>
      <c r="J52" s="76">
        <f t="shared" si="5"/>
        <v>0.9880408019697503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161">
        <f t="shared" si="2"/>
        <v>35</v>
      </c>
      <c r="E53" s="161">
        <f t="shared" si="6"/>
        <v>9</v>
      </c>
      <c r="F53" s="163">
        <f t="shared" si="3"/>
        <v>0.84</v>
      </c>
      <c r="G53" s="165">
        <f>IF(D53=D52,"",_xlfn.IFNA(VLOOKUP(D53,'인원 입력 기능 (사과탐)'!$F$64:$I$112,4,FALSE),0))</f>
        <v>60</v>
      </c>
      <c r="H53" s="166">
        <f t="shared" si="4"/>
        <v>7.0348223707351392E-3</v>
      </c>
      <c r="I53" s="168">
        <f>SUM($G$7:G53)</f>
        <v>8487</v>
      </c>
      <c r="J53" s="170">
        <f t="shared" si="5"/>
        <v>0.99507562434048535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160"/>
      <c r="E54" s="160"/>
      <c r="F54" s="162"/>
      <c r="G54" s="164"/>
      <c r="H54" s="167"/>
      <c r="I54" s="169"/>
      <c r="J54" s="171"/>
      <c r="K54" s="32"/>
      <c r="L54" s="3" t="str">
        <f t="shared" si="1"/>
        <v>경고</v>
      </c>
    </row>
    <row r="55" spans="1:12" ht="25" customHeight="1" x14ac:dyDescent="0.45">
      <c r="A55" s="4"/>
      <c r="B55" s="18"/>
      <c r="C55" s="70">
        <v>2</v>
      </c>
      <c r="D55" s="71">
        <f t="shared" si="2"/>
        <v>34</v>
      </c>
      <c r="E55" s="71">
        <f t="shared" si="6"/>
        <v>9</v>
      </c>
      <c r="F55" s="72">
        <f t="shared" si="3"/>
        <v>0.28999999999999998</v>
      </c>
      <c r="G55" s="73">
        <f>IF(D55=D54,"",_xlfn.IFNA(VLOOKUP(D55,'인원 입력 기능 (사과탐)'!$F$64:$I$112,4,FALSE),0))</f>
        <v>34</v>
      </c>
      <c r="H55" s="74">
        <f t="shared" si="4"/>
        <v>3.9863993434165789E-3</v>
      </c>
      <c r="I55" s="78">
        <f>SUM($G$7:G55)</f>
        <v>8521</v>
      </c>
      <c r="J55" s="76">
        <f t="shared" si="5"/>
        <v>0.99906202368390196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32</v>
      </c>
      <c r="E57" s="84">
        <f t="shared" si="6"/>
        <v>9</v>
      </c>
      <c r="F57" s="85">
        <f>IF(I55=0,ROUND(100*(1-(I54+I57)/2/$J$3),2),ROUND(100*(1-(I55+I57)/2/$J$3),2))</f>
        <v>0.05</v>
      </c>
      <c r="G57" s="86">
        <f>_xlfn.IFNA(VLOOKUP(D57,'인원 입력 기능 (사과탐)'!$F$64:$I$112,4,FALSE),0)</f>
        <v>8</v>
      </c>
      <c r="H57" s="87">
        <f>G57/$J$3</f>
        <v>9.3797631609801851E-4</v>
      </c>
      <c r="I57" s="88">
        <f>SUM($G$7:G57)</f>
        <v>8529</v>
      </c>
      <c r="J57" s="89">
        <f>I57/$J$3</f>
        <v>1</v>
      </c>
      <c r="K57" s="32"/>
      <c r="L57" s="3" t="str">
        <f t="shared" ref="L57" si="7">IF(ABS((C57-$H$3)/$H$4*10+50-D57-0.5)&lt;0.1, "경고", "")</f>
        <v>경고</v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110">
    <mergeCell ref="I50:I51"/>
    <mergeCell ref="J50:J51"/>
    <mergeCell ref="D53:D54"/>
    <mergeCell ref="E53:E54"/>
    <mergeCell ref="F53:F54"/>
    <mergeCell ref="G53:G54"/>
    <mergeCell ref="H53:H54"/>
    <mergeCell ref="I53:I54"/>
    <mergeCell ref="J53:J54"/>
    <mergeCell ref="D50:D51"/>
    <mergeCell ref="E50:E51"/>
    <mergeCell ref="F50:F51"/>
    <mergeCell ref="G50:G51"/>
    <mergeCell ref="H50:H51"/>
    <mergeCell ref="I44:I45"/>
    <mergeCell ref="J44:J45"/>
    <mergeCell ref="D47:D48"/>
    <mergeCell ref="E47:E48"/>
    <mergeCell ref="F47:F48"/>
    <mergeCell ref="G47:G48"/>
    <mergeCell ref="H47:H48"/>
    <mergeCell ref="I47:I48"/>
    <mergeCell ref="J47:J48"/>
    <mergeCell ref="D44:D45"/>
    <mergeCell ref="E44:E45"/>
    <mergeCell ref="F44:F45"/>
    <mergeCell ref="G44:G45"/>
    <mergeCell ref="H44:H45"/>
    <mergeCell ref="I38:I39"/>
    <mergeCell ref="J38:J39"/>
    <mergeCell ref="D41:D42"/>
    <mergeCell ref="E41:E42"/>
    <mergeCell ref="F41:F42"/>
    <mergeCell ref="G41:G42"/>
    <mergeCell ref="H41:H42"/>
    <mergeCell ref="I41:I42"/>
    <mergeCell ref="J41:J42"/>
    <mergeCell ref="D38:D39"/>
    <mergeCell ref="E38:E39"/>
    <mergeCell ref="F38:F39"/>
    <mergeCell ref="G38:G39"/>
    <mergeCell ref="H38:H39"/>
    <mergeCell ref="I32:I33"/>
    <mergeCell ref="J32:J33"/>
    <mergeCell ref="D35:D36"/>
    <mergeCell ref="E35:E36"/>
    <mergeCell ref="F35:F36"/>
    <mergeCell ref="G35:G36"/>
    <mergeCell ref="H35:H36"/>
    <mergeCell ref="I35:I36"/>
    <mergeCell ref="J35:J36"/>
    <mergeCell ref="D32:D33"/>
    <mergeCell ref="E32:E33"/>
    <mergeCell ref="F32:F33"/>
    <mergeCell ref="G32:G33"/>
    <mergeCell ref="H32:H33"/>
    <mergeCell ref="I26:I27"/>
    <mergeCell ref="J26:J27"/>
    <mergeCell ref="D29:D30"/>
    <mergeCell ref="E29:E30"/>
    <mergeCell ref="F29:F30"/>
    <mergeCell ref="G29:G30"/>
    <mergeCell ref="H29:H30"/>
    <mergeCell ref="I29:I30"/>
    <mergeCell ref="J29:J30"/>
    <mergeCell ref="D26:D27"/>
    <mergeCell ref="E26:E27"/>
    <mergeCell ref="F26:F27"/>
    <mergeCell ref="G26:G27"/>
    <mergeCell ref="H26:H27"/>
    <mergeCell ref="I19:I20"/>
    <mergeCell ref="J19:J20"/>
    <mergeCell ref="D22:D23"/>
    <mergeCell ref="E22:E23"/>
    <mergeCell ref="F22:F23"/>
    <mergeCell ref="G22:G23"/>
    <mergeCell ref="H22:H23"/>
    <mergeCell ref="I22:I23"/>
    <mergeCell ref="J22:J23"/>
    <mergeCell ref="D19:D20"/>
    <mergeCell ref="E19:E20"/>
    <mergeCell ref="F19:F20"/>
    <mergeCell ref="G19:G20"/>
    <mergeCell ref="H19:H20"/>
    <mergeCell ref="H13:H14"/>
    <mergeCell ref="I13:I14"/>
    <mergeCell ref="J13:J14"/>
    <mergeCell ref="D16:D17"/>
    <mergeCell ref="E16:E17"/>
    <mergeCell ref="F16:F17"/>
    <mergeCell ref="G16:G17"/>
    <mergeCell ref="H16:H17"/>
    <mergeCell ref="I16:I17"/>
    <mergeCell ref="J16:J17"/>
    <mergeCell ref="D3:F3"/>
    <mergeCell ref="D4:F4"/>
    <mergeCell ref="D8:J8"/>
    <mergeCell ref="D56:J56"/>
    <mergeCell ref="G5:J5"/>
    <mergeCell ref="D10:D11"/>
    <mergeCell ref="E10:E11"/>
    <mergeCell ref="F10:F11"/>
    <mergeCell ref="G10:G11"/>
    <mergeCell ref="H10:H11"/>
    <mergeCell ref="I10:I11"/>
    <mergeCell ref="J10:J11"/>
    <mergeCell ref="D13:D14"/>
    <mergeCell ref="E13:E14"/>
    <mergeCell ref="F13:F14"/>
    <mergeCell ref="G13:G14"/>
  </mergeCells>
  <phoneticPr fontId="1" type="noConversion"/>
  <conditionalFormatting sqref="D7:D10 D12:D13 D15:D16 D18:D19 D21:D22 D24:D26 D28:D29 D31:D32 D34:D35 D37:D38 D40:D41 D43:D44 D46:D47 D49:D50 D52:D53 D55:D57">
    <cfRule type="expression" dxfId="53" priority="1">
      <formula>$D7=$D8</formula>
    </cfRule>
  </conditionalFormatting>
  <conditionalFormatting sqref="C7:C57">
    <cfRule type="expression" dxfId="52" priority="3">
      <formula>OR(AND($D7=0,OR($D6=$Q$7:$Q$14)),AND($D8&gt;0,OR($D7=$Q$7:$Q$14)))</formula>
    </cfRule>
  </conditionalFormatting>
  <conditionalFormatting sqref="D7:J7 D8 D57:J57 D56 D9:J10 D12:J13 D15:J16 D18:J19 D21:J22 D24:J26 D28:J29 D31:J32 D34:J35 D37:J38 D40:J41 D43:J44 D46:J47 D49:J50 D52:J53 D55:J55">
    <cfRule type="expression" dxfId="51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3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180</v>
      </c>
      <c r="E3" s="111"/>
      <c r="F3" s="112"/>
      <c r="G3" s="34" t="s">
        <v>98</v>
      </c>
      <c r="H3" s="35" t="str">
        <f>'통계 및 응시자 수 입력 기능'!D12</f>
        <v>24.37</v>
      </c>
      <c r="I3" s="14" t="s">
        <v>110</v>
      </c>
      <c r="J3" s="36">
        <f>'통계 및 응시자 수 입력 기능'!C12</f>
        <v>3846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130</v>
      </c>
      <c r="E4" s="114"/>
      <c r="F4" s="115"/>
      <c r="G4" s="38" t="s">
        <v>113</v>
      </c>
      <c r="H4" s="39" t="str">
        <f>'통계 및 응시자 수 입력 기능'!E12</f>
        <v>14.34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68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97.61</v>
      </c>
      <c r="G7" s="73">
        <f>_xlfn.IFNA(VLOOKUP(D7,'인원 입력 기능 (사과탐)'!$K$64:$N$112,4,FALSE),0)</f>
        <v>184</v>
      </c>
      <c r="H7" s="74">
        <f>G7/$J$3</f>
        <v>4.7841913676547061E-2</v>
      </c>
      <c r="I7" s="75">
        <f>G7</f>
        <v>184</v>
      </c>
      <c r="J7" s="76">
        <f>I7/$J$3</f>
        <v>4.7841913676547061E-2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입력기능'!C76</f>
        <v>68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입력기능'!C77</f>
        <v>65</v>
      </c>
    </row>
    <row r="9" spans="1:17" ht="25" customHeight="1" x14ac:dyDescent="0.45">
      <c r="A9" s="4"/>
      <c r="B9" s="18"/>
      <c r="C9" s="70">
        <v>48</v>
      </c>
      <c r="D9" s="161">
        <f>ROUND(10*(C9-$H$3)/$H$4+50,0)</f>
        <v>66</v>
      </c>
      <c r="E9" s="161">
        <f t="shared" si="0"/>
        <v>2</v>
      </c>
      <c r="F9" s="163">
        <f>IF(I8=0,ROUND(100*(1-(I7+I9)/2/$J$3),2),ROUND(100*(1-(I8+I9)/2/$J$3),2))</f>
        <v>92.16</v>
      </c>
      <c r="G9" s="165">
        <f>_xlfn.IFNA(VLOOKUP(D9,'인원 입력 기능 (사과탐)'!$K$64:$N$112,4,FALSE),0)</f>
        <v>235</v>
      </c>
      <c r="H9" s="166">
        <f>G9/$J$3</f>
        <v>6.1102444097763914E-2</v>
      </c>
      <c r="I9" s="168">
        <f>SUM($G$7:G9)</f>
        <v>419</v>
      </c>
      <c r="J9" s="170">
        <f>I9/$J$3</f>
        <v>0.10894435777431097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입력기능'!C78</f>
        <v>60</v>
      </c>
    </row>
    <row r="10" spans="1:17" ht="25" customHeight="1" x14ac:dyDescent="0.45">
      <c r="A10" s="4"/>
      <c r="B10" s="18"/>
      <c r="C10" s="77">
        <v>47</v>
      </c>
      <c r="D10" s="160"/>
      <c r="E10" s="160"/>
      <c r="F10" s="162"/>
      <c r="G10" s="164"/>
      <c r="H10" s="167"/>
      <c r="I10" s="169"/>
      <c r="J10" s="171"/>
      <c r="K10" s="32"/>
      <c r="L10" s="3" t="str">
        <f t="shared" si="1"/>
        <v>경고</v>
      </c>
      <c r="P10" s="1">
        <v>4</v>
      </c>
      <c r="Q10" s="1">
        <f>'표준점수 등급컷 입력기능'!C79</f>
        <v>52</v>
      </c>
    </row>
    <row r="11" spans="1:17" ht="25" customHeight="1" x14ac:dyDescent="0.45">
      <c r="A11" s="4"/>
      <c r="B11" s="18"/>
      <c r="C11" s="70">
        <v>46</v>
      </c>
      <c r="D11" s="71">
        <f t="shared" ref="D10:D55" si="2">ROUND(10*(C11-$H$3)/$H$4+50,0)</f>
        <v>65</v>
      </c>
      <c r="E11" s="71">
        <f t="shared" si="0"/>
        <v>2</v>
      </c>
      <c r="F11" s="72">
        <f t="shared" ref="F10:F55" si="3">IF(I10=0,ROUND(100*(1-(I9+I11)/2/$J$3),2),ROUND(100*(1-(I10+I11)/2/$J$3),2))</f>
        <v>88.96</v>
      </c>
      <c r="G11" s="73">
        <f>IF(D11=D10,"",_xlfn.IFNA(VLOOKUP(D11,'인원 입력 기능 (사과탐)'!$K$64:$N$112,4,FALSE),0))</f>
        <v>11</v>
      </c>
      <c r="H11" s="74">
        <f t="shared" ref="H10:H55" si="4">G11/$J$3</f>
        <v>2.8601144045761829E-3</v>
      </c>
      <c r="I11" s="78">
        <f>SUM($G$7:G11)</f>
        <v>430</v>
      </c>
      <c r="J11" s="76">
        <f t="shared" ref="J10:J55" si="5">I11/$J$3</f>
        <v>0.11180447217888716</v>
      </c>
      <c r="K11" s="32"/>
      <c r="L11" s="3" t="str">
        <f t="shared" si="1"/>
        <v/>
      </c>
      <c r="P11" s="1">
        <v>5</v>
      </c>
      <c r="Q11" s="1">
        <f>'표준점수 등급컷 입력기능'!C80</f>
        <v>43</v>
      </c>
    </row>
    <row r="12" spans="1:17" ht="25" customHeight="1" x14ac:dyDescent="0.45">
      <c r="A12" s="4"/>
      <c r="B12" s="18"/>
      <c r="C12" s="77">
        <v>45</v>
      </c>
      <c r="D12" s="161">
        <f t="shared" si="2"/>
        <v>64</v>
      </c>
      <c r="E12" s="161">
        <f t="shared" si="0"/>
        <v>3</v>
      </c>
      <c r="F12" s="163">
        <f t="shared" si="3"/>
        <v>86.31</v>
      </c>
      <c r="G12" s="165">
        <f>IF(D12=D11,"",_xlfn.IFNA(VLOOKUP(D12,'인원 입력 기능 (사과탐)'!$K$64:$N$112,4,FALSE),0))</f>
        <v>193</v>
      </c>
      <c r="H12" s="166">
        <f t="shared" si="4"/>
        <v>5.0182007280291215E-2</v>
      </c>
      <c r="I12" s="168">
        <f>SUM($G$7:G12)</f>
        <v>623</v>
      </c>
      <c r="J12" s="170">
        <f t="shared" si="5"/>
        <v>0.16198647945917838</v>
      </c>
      <c r="K12" s="32"/>
      <c r="L12" s="3" t="str">
        <f t="shared" si="1"/>
        <v/>
      </c>
      <c r="P12" s="1">
        <v>6</v>
      </c>
      <c r="Q12" s="1">
        <f>'표준점수 등급컷 입력기능'!C81</f>
        <v>41</v>
      </c>
    </row>
    <row r="13" spans="1:17" ht="25" customHeight="1" x14ac:dyDescent="0.45">
      <c r="A13" s="4"/>
      <c r="B13" s="18"/>
      <c r="C13" s="70">
        <v>44</v>
      </c>
      <c r="D13" s="160"/>
      <c r="E13" s="160"/>
      <c r="F13" s="162"/>
      <c r="G13" s="164"/>
      <c r="H13" s="167"/>
      <c r="I13" s="169"/>
      <c r="J13" s="171"/>
      <c r="K13" s="32"/>
      <c r="L13" s="3" t="str">
        <f t="shared" si="1"/>
        <v>경고</v>
      </c>
      <c r="P13" s="1">
        <v>7</v>
      </c>
      <c r="Q13" s="1">
        <f>'표준점수 등급컷 입력기능'!C82</f>
        <v>40</v>
      </c>
    </row>
    <row r="14" spans="1:17" ht="25" customHeight="1" x14ac:dyDescent="0.45">
      <c r="A14" s="4"/>
      <c r="B14" s="18"/>
      <c r="C14" s="77">
        <v>43</v>
      </c>
      <c r="D14" s="71">
        <f t="shared" si="2"/>
        <v>63</v>
      </c>
      <c r="E14" s="71">
        <f t="shared" si="0"/>
        <v>3</v>
      </c>
      <c r="F14" s="72">
        <f t="shared" si="3"/>
        <v>83.26</v>
      </c>
      <c r="G14" s="73">
        <f>IF(D14=D13,"",_xlfn.IFNA(VLOOKUP(D14,'인원 입력 기능 (사과탐)'!$K$64:$N$112,4,FALSE),0))</f>
        <v>42</v>
      </c>
      <c r="H14" s="74">
        <f t="shared" si="4"/>
        <v>1.0920436817472699E-2</v>
      </c>
      <c r="I14" s="78">
        <f>SUM($G$7:G14)</f>
        <v>665</v>
      </c>
      <c r="J14" s="76">
        <f t="shared" si="5"/>
        <v>0.17290691627665106</v>
      </c>
      <c r="K14" s="32"/>
      <c r="L14" s="3" t="str">
        <f t="shared" si="1"/>
        <v/>
      </c>
      <c r="P14" s="1">
        <v>8</v>
      </c>
      <c r="Q14" s="1">
        <f>'표준점수 등급컷 입력기능'!C83</f>
        <v>37</v>
      </c>
    </row>
    <row r="15" spans="1:17" ht="25" customHeight="1" x14ac:dyDescent="0.45">
      <c r="A15" s="4"/>
      <c r="B15" s="18"/>
      <c r="C15" s="70">
        <v>42</v>
      </c>
      <c r="D15" s="161">
        <f t="shared" si="2"/>
        <v>62</v>
      </c>
      <c r="E15" s="161">
        <f t="shared" si="0"/>
        <v>3</v>
      </c>
      <c r="F15" s="163">
        <f t="shared" si="3"/>
        <v>80.819999999999993</v>
      </c>
      <c r="G15" s="165">
        <f>IF(D15=D14,"",_xlfn.IFNA(VLOOKUP(D15,'인원 입력 기능 (사과탐)'!$K$64:$N$112,4,FALSE),0))</f>
        <v>145</v>
      </c>
      <c r="H15" s="166">
        <f t="shared" si="4"/>
        <v>3.7701508060322415E-2</v>
      </c>
      <c r="I15" s="168">
        <f>SUM($G$7:G15)</f>
        <v>810</v>
      </c>
      <c r="J15" s="170">
        <f t="shared" si="5"/>
        <v>0.21060842433697347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160"/>
      <c r="E16" s="160"/>
      <c r="F16" s="162"/>
      <c r="G16" s="164"/>
      <c r="H16" s="167"/>
      <c r="I16" s="169"/>
      <c r="J16" s="171"/>
      <c r="K16" s="32"/>
      <c r="L16" s="3" t="str">
        <f t="shared" si="1"/>
        <v>경고</v>
      </c>
    </row>
    <row r="17" spans="1:16" ht="25" customHeight="1" x14ac:dyDescent="0.45">
      <c r="A17" s="4"/>
      <c r="B17" s="18"/>
      <c r="C17" s="70">
        <v>40</v>
      </c>
      <c r="D17" s="71">
        <f t="shared" si="2"/>
        <v>61</v>
      </c>
      <c r="E17" s="71">
        <f t="shared" si="0"/>
        <v>3</v>
      </c>
      <c r="F17" s="72">
        <f t="shared" si="3"/>
        <v>78.290000000000006</v>
      </c>
      <c r="G17" s="73">
        <f>IF(D17=D16,"",_xlfn.IFNA(VLOOKUP(D17,'인원 입력 기능 (사과탐)'!$K$64:$N$112,4,FALSE),0))</f>
        <v>50</v>
      </c>
      <c r="H17" s="74">
        <f t="shared" si="4"/>
        <v>1.3000520020800831E-2</v>
      </c>
      <c r="I17" s="78">
        <f>SUM($G$7:G17)</f>
        <v>860</v>
      </c>
      <c r="J17" s="76">
        <f t="shared" si="5"/>
        <v>0.22360894435777431</v>
      </c>
      <c r="K17" s="32"/>
      <c r="L17" s="3" t="str">
        <f t="shared" si="1"/>
        <v/>
      </c>
      <c r="P17" s="1">
        <f>Q7*H3*H4*J3*IFERROR(IF(J57=1,1,0),0)</f>
        <v>91395091.742400005</v>
      </c>
    </row>
    <row r="18" spans="1:16" ht="25" customHeight="1" x14ac:dyDescent="0.45">
      <c r="A18" s="4"/>
      <c r="B18" s="18"/>
      <c r="C18" s="77">
        <v>39</v>
      </c>
      <c r="D18" s="161">
        <f t="shared" si="2"/>
        <v>60</v>
      </c>
      <c r="E18" s="161">
        <f t="shared" si="0"/>
        <v>3</v>
      </c>
      <c r="F18" s="163">
        <f t="shared" si="3"/>
        <v>76.14</v>
      </c>
      <c r="G18" s="165">
        <f>IF(D18=D17,"",_xlfn.IFNA(VLOOKUP(D18,'인원 입력 기능 (사과탐)'!$K$64:$N$112,4,FALSE),0))</f>
        <v>115</v>
      </c>
      <c r="H18" s="166">
        <f t="shared" si="4"/>
        <v>2.9901196047841912E-2</v>
      </c>
      <c r="I18" s="168">
        <f>SUM($G$7:G18)</f>
        <v>975</v>
      </c>
      <c r="J18" s="170">
        <f t="shared" si="5"/>
        <v>0.2535101404056162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160"/>
      <c r="E19" s="160"/>
      <c r="F19" s="162"/>
      <c r="G19" s="164"/>
      <c r="H19" s="167"/>
      <c r="I19" s="169"/>
      <c r="J19" s="171"/>
      <c r="K19" s="32"/>
      <c r="L19" s="3" t="str">
        <f t="shared" si="1"/>
        <v>경고</v>
      </c>
    </row>
    <row r="20" spans="1:16" ht="25" customHeight="1" x14ac:dyDescent="0.45">
      <c r="A20" s="4"/>
      <c r="B20" s="18"/>
      <c r="C20" s="77">
        <v>37</v>
      </c>
      <c r="D20" s="71">
        <f t="shared" si="2"/>
        <v>59</v>
      </c>
      <c r="E20" s="71">
        <f t="shared" si="0"/>
        <v>4</v>
      </c>
      <c r="F20" s="72">
        <f t="shared" si="3"/>
        <v>73.95</v>
      </c>
      <c r="G20" s="73">
        <f>IF(D20=D19,"",_xlfn.IFNA(VLOOKUP(D20,'인원 입력 기능 (사과탐)'!$K$64:$N$112,4,FALSE),0))</f>
        <v>54</v>
      </c>
      <c r="H20" s="74">
        <f t="shared" si="4"/>
        <v>1.4040561622464899E-2</v>
      </c>
      <c r="I20" s="78">
        <f>SUM($G$7:G20)</f>
        <v>1029</v>
      </c>
      <c r="J20" s="76">
        <f t="shared" si="5"/>
        <v>0.26755070202808112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80">
        <f t="shared" si="2"/>
        <v>58</v>
      </c>
      <c r="E21" s="80">
        <f t="shared" si="0"/>
        <v>4</v>
      </c>
      <c r="F21" s="72">
        <f t="shared" si="3"/>
        <v>72.7</v>
      </c>
      <c r="G21" s="73">
        <f>IF(D21=D20,"",_xlfn.IFNA(VLOOKUP(D21,'인원 입력 기능 (사과탐)'!$K$64:$N$112,4,FALSE),0))</f>
        <v>42</v>
      </c>
      <c r="H21" s="74">
        <f t="shared" si="4"/>
        <v>1.0920436817472699E-2</v>
      </c>
      <c r="I21" s="78">
        <f>SUM($G$7:G21)</f>
        <v>1071</v>
      </c>
      <c r="J21" s="76">
        <f t="shared" si="5"/>
        <v>0.2784711388455538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173">
        <f t="shared" si="2"/>
        <v>57</v>
      </c>
      <c r="E22" s="173">
        <f t="shared" si="0"/>
        <v>4</v>
      </c>
      <c r="F22" s="163">
        <f t="shared" si="3"/>
        <v>70.790000000000006</v>
      </c>
      <c r="G22" s="165">
        <f>IF(D22=D21,"",_xlfn.IFNA(VLOOKUP(D22,'인원 입력 기능 (사과탐)'!$K$64:$N$112,4,FALSE),0))</f>
        <v>105</v>
      </c>
      <c r="H22" s="166">
        <f t="shared" si="4"/>
        <v>2.7301092043681748E-2</v>
      </c>
      <c r="I22" s="168">
        <f>SUM($G$7:G22)</f>
        <v>1176</v>
      </c>
      <c r="J22" s="170">
        <f t="shared" si="5"/>
        <v>0.30577223088923555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172"/>
      <c r="E23" s="172"/>
      <c r="F23" s="162"/>
      <c r="G23" s="164"/>
      <c r="H23" s="167"/>
      <c r="I23" s="169"/>
      <c r="J23" s="171"/>
      <c r="K23" s="32"/>
      <c r="L23" s="3" t="str">
        <f t="shared" si="1"/>
        <v>경고</v>
      </c>
    </row>
    <row r="24" spans="1:16" ht="25" customHeight="1" x14ac:dyDescent="0.45">
      <c r="A24" s="4"/>
      <c r="B24" s="18"/>
      <c r="C24" s="81">
        <v>33</v>
      </c>
      <c r="D24" s="80">
        <f t="shared" si="2"/>
        <v>56</v>
      </c>
      <c r="E24" s="80">
        <f t="shared" si="0"/>
        <v>4</v>
      </c>
      <c r="F24" s="72">
        <f t="shared" si="3"/>
        <v>68.81</v>
      </c>
      <c r="G24" s="73">
        <f>IF(D24=D23,"",_xlfn.IFNA(VLOOKUP(D24,'인원 입력 기능 (사과탐)'!$K$64:$N$112,4,FALSE),0))</f>
        <v>47</v>
      </c>
      <c r="H24" s="74">
        <f t="shared" si="4"/>
        <v>1.2220488819552781E-2</v>
      </c>
      <c r="I24" s="78">
        <f>SUM($G$7:G24)</f>
        <v>1223</v>
      </c>
      <c r="J24" s="76">
        <f t="shared" si="5"/>
        <v>0.31799271970878834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173">
        <f t="shared" si="2"/>
        <v>55</v>
      </c>
      <c r="E25" s="173">
        <f t="shared" si="0"/>
        <v>4</v>
      </c>
      <c r="F25" s="163">
        <f t="shared" si="3"/>
        <v>66.739999999999995</v>
      </c>
      <c r="G25" s="165">
        <f>IF(D25=D24,"",_xlfn.IFNA(VLOOKUP(D25,'인원 입력 기능 (사과탐)'!$K$64:$N$112,4,FALSE),0))</f>
        <v>112</v>
      </c>
      <c r="H25" s="166">
        <f t="shared" si="4"/>
        <v>2.9121164846593862E-2</v>
      </c>
      <c r="I25" s="168">
        <f>SUM($G$7:G25)</f>
        <v>1335</v>
      </c>
      <c r="J25" s="170">
        <f t="shared" si="5"/>
        <v>0.34711388455538222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172"/>
      <c r="E26" s="172"/>
      <c r="F26" s="162"/>
      <c r="G26" s="164"/>
      <c r="H26" s="167"/>
      <c r="I26" s="169"/>
      <c r="J26" s="171"/>
      <c r="K26" s="32"/>
      <c r="L26" s="3" t="str">
        <f t="shared" si="1"/>
        <v>경고</v>
      </c>
    </row>
    <row r="27" spans="1:16" ht="25" customHeight="1" x14ac:dyDescent="0.45">
      <c r="A27" s="4"/>
      <c r="B27" s="18"/>
      <c r="C27" s="79">
        <v>30</v>
      </c>
      <c r="D27" s="80">
        <f t="shared" si="2"/>
        <v>54</v>
      </c>
      <c r="E27" s="80">
        <f t="shared" si="0"/>
        <v>4</v>
      </c>
      <c r="F27" s="72">
        <f t="shared" si="3"/>
        <v>64.790000000000006</v>
      </c>
      <c r="G27" s="73">
        <f>IF(D27=D26,"",_xlfn.IFNA(VLOOKUP(D27,'인원 입력 기능 (사과탐)'!$K$64:$N$112,4,FALSE),0))</f>
        <v>38</v>
      </c>
      <c r="H27" s="74">
        <f t="shared" si="4"/>
        <v>9.8803952158086315E-3</v>
      </c>
      <c r="I27" s="78">
        <f>SUM($G$7:G27)</f>
        <v>1373</v>
      </c>
      <c r="J27" s="76">
        <f t="shared" si="5"/>
        <v>0.35699427977119086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173">
        <f t="shared" si="2"/>
        <v>53</v>
      </c>
      <c r="E28" s="173">
        <f t="shared" si="0"/>
        <v>4</v>
      </c>
      <c r="F28" s="163">
        <f t="shared" si="3"/>
        <v>62.64</v>
      </c>
      <c r="G28" s="165">
        <f>IF(D28=D27,"",_xlfn.IFNA(VLOOKUP(D28,'인원 입력 기능 (사과탐)'!$K$64:$N$112,4,FALSE),0))</f>
        <v>128</v>
      </c>
      <c r="H28" s="166">
        <f t="shared" si="4"/>
        <v>3.3281331253250133E-2</v>
      </c>
      <c r="I28" s="168">
        <f>SUM($G$7:G28)</f>
        <v>1501</v>
      </c>
      <c r="J28" s="170">
        <f t="shared" si="5"/>
        <v>0.39027561102444097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172"/>
      <c r="E29" s="172"/>
      <c r="F29" s="162"/>
      <c r="G29" s="164"/>
      <c r="H29" s="167"/>
      <c r="I29" s="169"/>
      <c r="J29" s="171"/>
      <c r="K29" s="32"/>
      <c r="L29" s="3" t="str">
        <f t="shared" si="1"/>
        <v>경고</v>
      </c>
    </row>
    <row r="30" spans="1:16" ht="25" customHeight="1" x14ac:dyDescent="0.45">
      <c r="A30" s="4"/>
      <c r="B30" s="18"/>
      <c r="C30" s="81">
        <v>27</v>
      </c>
      <c r="D30" s="80">
        <f t="shared" si="2"/>
        <v>52</v>
      </c>
      <c r="E30" s="80">
        <f t="shared" si="0"/>
        <v>4</v>
      </c>
      <c r="F30" s="72">
        <f t="shared" si="3"/>
        <v>60.22</v>
      </c>
      <c r="G30" s="73">
        <f>IF(D30=D29,"",_xlfn.IFNA(VLOOKUP(D30,'인원 입력 기능 (사과탐)'!$K$64:$N$112,4,FALSE),0))</f>
        <v>58</v>
      </c>
      <c r="H30" s="74">
        <f t="shared" si="4"/>
        <v>1.5080603224128965E-2</v>
      </c>
      <c r="I30" s="78">
        <f>SUM($G$7:G30)</f>
        <v>1559</v>
      </c>
      <c r="J30" s="76">
        <f t="shared" si="5"/>
        <v>0.40535621424856993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80">
        <f t="shared" si="2"/>
        <v>51</v>
      </c>
      <c r="E31" s="80">
        <f t="shared" si="0"/>
        <v>5</v>
      </c>
      <c r="F31" s="72">
        <f t="shared" si="3"/>
        <v>58.66</v>
      </c>
      <c r="G31" s="73">
        <f>IF(D31=D30,"",_xlfn.IFNA(VLOOKUP(D31,'인원 입력 기능 (사과탐)'!$K$64:$N$112,4,FALSE),0))</f>
        <v>62</v>
      </c>
      <c r="H31" s="74">
        <f t="shared" si="4"/>
        <v>1.6120644825793031E-2</v>
      </c>
      <c r="I31" s="78">
        <f>SUM($G$7:G31)</f>
        <v>1621</v>
      </c>
      <c r="J31" s="76">
        <f t="shared" si="5"/>
        <v>0.421476859074363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173">
        <f t="shared" si="2"/>
        <v>50</v>
      </c>
      <c r="E32" s="173">
        <f t="shared" si="0"/>
        <v>5</v>
      </c>
      <c r="F32" s="163">
        <f t="shared" si="3"/>
        <v>56.36</v>
      </c>
      <c r="G32" s="165">
        <f>IF(D32=D31,"",_xlfn.IFNA(VLOOKUP(D32,'인원 입력 기능 (사과탐)'!$K$64:$N$112,4,FALSE),0))</f>
        <v>115</v>
      </c>
      <c r="H32" s="166">
        <f t="shared" si="4"/>
        <v>2.9901196047841912E-2</v>
      </c>
      <c r="I32" s="168">
        <f>SUM($G$7:G32)</f>
        <v>1736</v>
      </c>
      <c r="J32" s="170">
        <f t="shared" si="5"/>
        <v>0.45137805512220491</v>
      </c>
      <c r="K32" s="32"/>
      <c r="L32" s="3" t="str">
        <f t="shared" si="1"/>
        <v/>
      </c>
    </row>
    <row r="33" spans="1:12" ht="25" customHeight="1" x14ac:dyDescent="0.45">
      <c r="A33" s="4"/>
      <c r="B33" s="18"/>
      <c r="C33" s="79">
        <v>24</v>
      </c>
      <c r="D33" s="172"/>
      <c r="E33" s="172"/>
      <c r="F33" s="162"/>
      <c r="G33" s="164"/>
      <c r="H33" s="167"/>
      <c r="I33" s="169"/>
      <c r="J33" s="171"/>
      <c r="K33" s="32"/>
      <c r="L33" s="3" t="str">
        <f t="shared" si="1"/>
        <v>경고</v>
      </c>
    </row>
    <row r="34" spans="1:12" ht="25" customHeight="1" x14ac:dyDescent="0.45">
      <c r="A34" s="4"/>
      <c r="B34" s="18"/>
      <c r="C34" s="81">
        <v>23</v>
      </c>
      <c r="D34" s="80">
        <f t="shared" si="2"/>
        <v>49</v>
      </c>
      <c r="E34" s="80">
        <f t="shared" si="0"/>
        <v>5</v>
      </c>
      <c r="F34" s="72">
        <f t="shared" si="3"/>
        <v>54.13</v>
      </c>
      <c r="G34" s="73">
        <f>IF(D34=D33,"",_xlfn.IFNA(VLOOKUP(D34,'인원 입력 기능 (사과탐)'!$K$64:$N$112,4,FALSE),0))</f>
        <v>56</v>
      </c>
      <c r="H34" s="74">
        <f t="shared" si="4"/>
        <v>1.4560582423296931E-2</v>
      </c>
      <c r="I34" s="78">
        <f>SUM($G$7:G34)</f>
        <v>1792</v>
      </c>
      <c r="J34" s="76">
        <f t="shared" si="5"/>
        <v>0.4659386375455018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173">
        <f t="shared" si="2"/>
        <v>48</v>
      </c>
      <c r="E35" s="173">
        <f t="shared" si="0"/>
        <v>5</v>
      </c>
      <c r="F35" s="163">
        <f t="shared" si="3"/>
        <v>51.86</v>
      </c>
      <c r="G35" s="165">
        <f>IF(D35=D34,"",_xlfn.IFNA(VLOOKUP(D35,'인원 입력 기능 (사과탐)'!$K$64:$N$112,4,FALSE),0))</f>
        <v>119</v>
      </c>
      <c r="H35" s="166">
        <f t="shared" si="4"/>
        <v>3.094123764950598E-2</v>
      </c>
      <c r="I35" s="168">
        <f>SUM($G$7:G35)</f>
        <v>1911</v>
      </c>
      <c r="J35" s="170">
        <f t="shared" si="5"/>
        <v>0.49687987519500781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172"/>
      <c r="E36" s="172"/>
      <c r="F36" s="162"/>
      <c r="G36" s="164"/>
      <c r="H36" s="167"/>
      <c r="I36" s="169"/>
      <c r="J36" s="171"/>
      <c r="K36" s="32"/>
      <c r="L36" s="3" t="str">
        <f t="shared" si="1"/>
        <v>경고</v>
      </c>
    </row>
    <row r="37" spans="1:12" ht="25" customHeight="1" x14ac:dyDescent="0.45">
      <c r="A37" s="4"/>
      <c r="B37" s="18"/>
      <c r="C37" s="79">
        <v>20</v>
      </c>
      <c r="D37" s="80">
        <f t="shared" si="2"/>
        <v>47</v>
      </c>
      <c r="E37" s="80">
        <f t="shared" si="0"/>
        <v>5</v>
      </c>
      <c r="F37" s="72">
        <f t="shared" si="3"/>
        <v>49.45</v>
      </c>
      <c r="G37" s="73">
        <f>IF(D37=D36,"",_xlfn.IFNA(VLOOKUP(D37,'인원 입력 기능 (사과탐)'!$K$64:$N$112,4,FALSE),0))</f>
        <v>66</v>
      </c>
      <c r="H37" s="74">
        <f t="shared" si="4"/>
        <v>1.7160686427457099E-2</v>
      </c>
      <c r="I37" s="78">
        <f>SUM($G$7:G37)</f>
        <v>1977</v>
      </c>
      <c r="J37" s="76">
        <f t="shared" si="5"/>
        <v>0.51404056162246492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173">
        <f t="shared" si="2"/>
        <v>46</v>
      </c>
      <c r="E38" s="173">
        <f t="shared" si="0"/>
        <v>5</v>
      </c>
      <c r="F38" s="163">
        <f t="shared" si="3"/>
        <v>46.62</v>
      </c>
      <c r="G38" s="165">
        <f>IF(D38=D37,"",_xlfn.IFNA(VLOOKUP(D38,'인원 입력 기능 (사과탐)'!$K$64:$N$112,4,FALSE),0))</f>
        <v>152</v>
      </c>
      <c r="H38" s="166">
        <f t="shared" si="4"/>
        <v>3.9521580863234526E-2</v>
      </c>
      <c r="I38" s="168">
        <f>SUM($G$7:G38)</f>
        <v>2129</v>
      </c>
      <c r="J38" s="170">
        <f t="shared" si="5"/>
        <v>0.55356214248569946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172"/>
      <c r="E39" s="172"/>
      <c r="F39" s="162"/>
      <c r="G39" s="164"/>
      <c r="H39" s="167"/>
      <c r="I39" s="169"/>
      <c r="J39" s="171"/>
      <c r="K39" s="32"/>
      <c r="L39" s="3" t="str">
        <f t="shared" si="1"/>
        <v>경고</v>
      </c>
    </row>
    <row r="40" spans="1:12" ht="25" customHeight="1" x14ac:dyDescent="0.45">
      <c r="A40" s="4"/>
      <c r="B40" s="18"/>
      <c r="C40" s="81">
        <v>17</v>
      </c>
      <c r="D40" s="80">
        <f t="shared" si="2"/>
        <v>45</v>
      </c>
      <c r="E40" s="80">
        <f t="shared" ref="E39:E57" si="6">IF(ROUND(D40,0)&gt;=$Q$7,1,IF(ROUND(D40,0)&gt;=$Q$8,2,IF(ROUND(D40,0)&gt;=$Q$9,3,IF(ROUND(D40,0)&gt;=$Q$10,4,IF(ROUND(D40,0)&gt;=$Q$11,5,IF(ROUND(D40,0)&gt;=$Q$12,6,IF(ROUND(D40,0)&gt;=$Q$13,7,IF(ROUND(D40,0)&gt;=$Q$14,8,9))))))))</f>
        <v>5</v>
      </c>
      <c r="F40" s="72">
        <f t="shared" si="3"/>
        <v>43.67</v>
      </c>
      <c r="G40" s="73">
        <f>IF(D40=D39,"",_xlfn.IFNA(VLOOKUP(D40,'인원 입력 기능 (사과탐)'!$K$64:$N$112,4,FALSE),0))</f>
        <v>75</v>
      </c>
      <c r="H40" s="74">
        <f t="shared" si="4"/>
        <v>1.9500780031201249E-2</v>
      </c>
      <c r="I40" s="78">
        <f>SUM($G$7:G40)</f>
        <v>2204</v>
      </c>
      <c r="J40" s="76">
        <f t="shared" si="5"/>
        <v>0.57306292251690072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80">
        <f t="shared" si="2"/>
        <v>44</v>
      </c>
      <c r="E41" s="80">
        <f t="shared" si="6"/>
        <v>5</v>
      </c>
      <c r="F41" s="72">
        <f t="shared" si="3"/>
        <v>41.41</v>
      </c>
      <c r="G41" s="73">
        <f>IF(D41=D40,"",_xlfn.IFNA(VLOOKUP(D41,'인원 입력 기능 (사과탐)'!$K$64:$N$112,4,FALSE),0))</f>
        <v>99</v>
      </c>
      <c r="H41" s="74">
        <f t="shared" si="4"/>
        <v>2.5741029641185648E-2</v>
      </c>
      <c r="I41" s="78">
        <f>SUM($G$7:G41)</f>
        <v>2303</v>
      </c>
      <c r="J41" s="76">
        <f t="shared" si="5"/>
        <v>0.59880395215808635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173">
        <f t="shared" si="2"/>
        <v>43</v>
      </c>
      <c r="E42" s="173">
        <f t="shared" si="6"/>
        <v>5</v>
      </c>
      <c r="F42" s="163">
        <f t="shared" si="3"/>
        <v>35.619999999999997</v>
      </c>
      <c r="G42" s="165">
        <f>IF(D42=D41,"",_xlfn.IFNA(VLOOKUP(D42,'인원 입력 기능 (사과탐)'!$K$64:$N$112,4,FALSE),0))</f>
        <v>346</v>
      </c>
      <c r="H42" s="166">
        <f t="shared" si="4"/>
        <v>8.9963598543941758E-2</v>
      </c>
      <c r="I42" s="168">
        <f>SUM($G$7:G42)</f>
        <v>2649</v>
      </c>
      <c r="J42" s="170">
        <f t="shared" si="5"/>
        <v>0.68876755070202811</v>
      </c>
      <c r="K42" s="32"/>
      <c r="L42" s="3" t="str">
        <f t="shared" si="1"/>
        <v/>
      </c>
    </row>
    <row r="43" spans="1:12" ht="25" customHeight="1" x14ac:dyDescent="0.45">
      <c r="A43" s="4"/>
      <c r="B43" s="18"/>
      <c r="C43" s="79">
        <v>14</v>
      </c>
      <c r="D43" s="172"/>
      <c r="E43" s="172"/>
      <c r="F43" s="162"/>
      <c r="G43" s="164"/>
      <c r="H43" s="167"/>
      <c r="I43" s="169"/>
      <c r="J43" s="171"/>
      <c r="K43" s="32"/>
      <c r="L43" s="3" t="str">
        <f t="shared" si="1"/>
        <v>경고</v>
      </c>
    </row>
    <row r="44" spans="1:12" ht="25" customHeight="1" x14ac:dyDescent="0.45">
      <c r="A44" s="4"/>
      <c r="B44" s="18"/>
      <c r="C44" s="81">
        <v>13</v>
      </c>
      <c r="D44" s="80">
        <f t="shared" si="2"/>
        <v>42</v>
      </c>
      <c r="E44" s="80">
        <f t="shared" si="6"/>
        <v>6</v>
      </c>
      <c r="F44" s="72">
        <f t="shared" si="3"/>
        <v>29.68</v>
      </c>
      <c r="G44" s="73">
        <f>IF(D44=D43,"",_xlfn.IFNA(VLOOKUP(D44,'인원 입력 기능 (사과탐)'!$K$64:$N$112,4,FALSE),0))</f>
        <v>111</v>
      </c>
      <c r="H44" s="74">
        <f t="shared" si="4"/>
        <v>2.8861154446177848E-2</v>
      </c>
      <c r="I44" s="78">
        <f>SUM($G$7:G44)</f>
        <v>2760</v>
      </c>
      <c r="J44" s="76">
        <f t="shared" si="5"/>
        <v>0.71762870514820598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173">
        <f t="shared" si="2"/>
        <v>41</v>
      </c>
      <c r="E45" s="173">
        <f t="shared" si="6"/>
        <v>6</v>
      </c>
      <c r="F45" s="163">
        <f t="shared" si="3"/>
        <v>25.08</v>
      </c>
      <c r="G45" s="165">
        <f>IF(D45=D44,"",_xlfn.IFNA(VLOOKUP(D45,'인원 입력 기능 (사과탐)'!$K$64:$N$112,4,FALSE),0))</f>
        <v>243</v>
      </c>
      <c r="H45" s="166">
        <f t="shared" si="4"/>
        <v>6.3182527301092042E-2</v>
      </c>
      <c r="I45" s="168">
        <f>SUM($G$7:G45)</f>
        <v>3003</v>
      </c>
      <c r="J45" s="170">
        <f t="shared" si="5"/>
        <v>0.78081123244929795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172"/>
      <c r="E46" s="172"/>
      <c r="F46" s="162"/>
      <c r="G46" s="164"/>
      <c r="H46" s="167"/>
      <c r="I46" s="169"/>
      <c r="J46" s="171"/>
      <c r="K46" s="32"/>
      <c r="L46" s="3" t="str">
        <f t="shared" si="1"/>
        <v>경고</v>
      </c>
    </row>
    <row r="47" spans="1:12" ht="25" customHeight="1" x14ac:dyDescent="0.45">
      <c r="A47" s="4"/>
      <c r="B47" s="18"/>
      <c r="C47" s="79">
        <v>10</v>
      </c>
      <c r="D47" s="80">
        <f t="shared" si="2"/>
        <v>40</v>
      </c>
      <c r="E47" s="80">
        <f t="shared" si="6"/>
        <v>7</v>
      </c>
      <c r="F47" s="72">
        <f t="shared" si="3"/>
        <v>16.41</v>
      </c>
      <c r="G47" s="73">
        <f>IF(D47=D46,"",_xlfn.IFNA(VLOOKUP(D47,'인원 입력 기능 (사과탐)'!$K$64:$N$112,4,FALSE),0))</f>
        <v>424</v>
      </c>
      <c r="H47" s="74">
        <f t="shared" si="4"/>
        <v>0.11024440977639105</v>
      </c>
      <c r="I47" s="78">
        <f>SUM($G$7:G47)</f>
        <v>3427</v>
      </c>
      <c r="J47" s="76">
        <f t="shared" si="5"/>
        <v>0.891055642225689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81">
        <v>9</v>
      </c>
      <c r="D48" s="173">
        <f t="shared" si="2"/>
        <v>39</v>
      </c>
      <c r="E48" s="173">
        <f t="shared" si="6"/>
        <v>8</v>
      </c>
      <c r="F48" s="163">
        <f t="shared" si="3"/>
        <v>8.7100000000000009</v>
      </c>
      <c r="G48" s="165">
        <f>IF(D48=D47,"",_xlfn.IFNA(VLOOKUP(D48,'인원 입력 기능 (사과탐)'!$K$64:$N$112,4,FALSE),0))</f>
        <v>168</v>
      </c>
      <c r="H48" s="166">
        <f t="shared" si="4"/>
        <v>4.3681747269890797E-2</v>
      </c>
      <c r="I48" s="168">
        <f>SUM($G$7:G48)</f>
        <v>3595</v>
      </c>
      <c r="J48" s="170">
        <f t="shared" si="5"/>
        <v>0.93473738949557983</v>
      </c>
      <c r="K48" s="32"/>
      <c r="L48" s="3" t="str">
        <f t="shared" si="1"/>
        <v/>
      </c>
    </row>
    <row r="49" spans="1:12" ht="25" customHeight="1" x14ac:dyDescent="0.45">
      <c r="A49" s="4"/>
      <c r="B49" s="18"/>
      <c r="C49" s="79">
        <v>8</v>
      </c>
      <c r="D49" s="172"/>
      <c r="E49" s="172"/>
      <c r="F49" s="162"/>
      <c r="G49" s="164"/>
      <c r="H49" s="167"/>
      <c r="I49" s="169"/>
      <c r="J49" s="171"/>
      <c r="K49" s="32"/>
      <c r="L49" s="3" t="str">
        <f t="shared" si="1"/>
        <v>경고</v>
      </c>
    </row>
    <row r="50" spans="1:12" ht="25" customHeight="1" x14ac:dyDescent="0.45">
      <c r="A50" s="4"/>
      <c r="B50" s="18"/>
      <c r="C50" s="81">
        <v>7</v>
      </c>
      <c r="D50" s="80">
        <f t="shared" si="2"/>
        <v>38</v>
      </c>
      <c r="E50" s="80">
        <f t="shared" si="6"/>
        <v>8</v>
      </c>
      <c r="F50" s="72">
        <f t="shared" si="3"/>
        <v>5.68</v>
      </c>
      <c r="G50" s="73">
        <f>IF(D50=D49,"",_xlfn.IFNA(VLOOKUP(D50,'인원 입력 기능 (사과탐)'!$K$64:$N$112,4,FALSE),0))</f>
        <v>65</v>
      </c>
      <c r="H50" s="74">
        <f t="shared" si="4"/>
        <v>1.6900676027041081E-2</v>
      </c>
      <c r="I50" s="78">
        <f>SUM($G$7:G50)</f>
        <v>3660</v>
      </c>
      <c r="J50" s="76">
        <f t="shared" si="5"/>
        <v>0.95163806552262087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80">
        <f t="shared" si="2"/>
        <v>37</v>
      </c>
      <c r="E51" s="80">
        <f t="shared" si="6"/>
        <v>8</v>
      </c>
      <c r="F51" s="72">
        <f t="shared" si="3"/>
        <v>3.69</v>
      </c>
      <c r="G51" s="73">
        <f>IF(D51=D50,"",_xlfn.IFNA(VLOOKUP(D51,'인원 입력 기능 (사과탐)'!$K$64:$N$112,4,FALSE),0))</f>
        <v>88</v>
      </c>
      <c r="H51" s="74">
        <f t="shared" si="4"/>
        <v>2.2880915236609463E-2</v>
      </c>
      <c r="I51" s="78">
        <f>SUM($G$7:G51)</f>
        <v>3748</v>
      </c>
      <c r="J51" s="76">
        <f t="shared" si="5"/>
        <v>0.97451898075923038</v>
      </c>
      <c r="K51" s="32"/>
      <c r="L51" s="3" t="str">
        <f t="shared" si="1"/>
        <v/>
      </c>
    </row>
    <row r="52" spans="1:12" ht="25" customHeight="1" x14ac:dyDescent="0.45">
      <c r="A52" s="4"/>
      <c r="B52" s="18"/>
      <c r="C52" s="81">
        <v>5</v>
      </c>
      <c r="D52" s="173">
        <f t="shared" si="2"/>
        <v>36</v>
      </c>
      <c r="E52" s="173">
        <f t="shared" si="6"/>
        <v>9</v>
      </c>
      <c r="F52" s="163">
        <f t="shared" si="3"/>
        <v>1.73</v>
      </c>
      <c r="G52" s="165">
        <f>IF(D52=D51,"",_xlfn.IFNA(VLOOKUP(D52,'인원 입력 기능 (사과탐)'!$K$64:$N$112,4,FALSE),0))</f>
        <v>63</v>
      </c>
      <c r="H52" s="166">
        <f t="shared" si="4"/>
        <v>1.6380655226209049E-2</v>
      </c>
      <c r="I52" s="168">
        <f>SUM($G$7:G52)</f>
        <v>3811</v>
      </c>
      <c r="J52" s="170">
        <f t="shared" si="5"/>
        <v>0.9908996359854394</v>
      </c>
      <c r="K52" s="32"/>
      <c r="L52" s="3" t="str">
        <f t="shared" si="1"/>
        <v>경고</v>
      </c>
    </row>
    <row r="53" spans="1:12" ht="25" customHeight="1" x14ac:dyDescent="0.45">
      <c r="A53" s="4"/>
      <c r="B53" s="18"/>
      <c r="C53" s="70">
        <v>4</v>
      </c>
      <c r="D53" s="172"/>
      <c r="E53" s="172"/>
      <c r="F53" s="162"/>
      <c r="G53" s="164"/>
      <c r="H53" s="167"/>
      <c r="I53" s="169"/>
      <c r="J53" s="171"/>
      <c r="K53" s="32"/>
      <c r="L53" s="3" t="str">
        <f t="shared" si="1"/>
        <v>경고</v>
      </c>
    </row>
    <row r="54" spans="1:12" ht="25" customHeight="1" x14ac:dyDescent="0.45">
      <c r="A54" s="4"/>
      <c r="B54" s="18"/>
      <c r="C54" s="77">
        <v>3</v>
      </c>
      <c r="D54" s="71">
        <f t="shared" si="2"/>
        <v>35</v>
      </c>
      <c r="E54" s="71">
        <f t="shared" si="6"/>
        <v>9</v>
      </c>
      <c r="F54" s="72">
        <f t="shared" si="3"/>
        <v>0.75</v>
      </c>
      <c r="G54" s="73">
        <f>IF(D54=D53,"",_xlfn.IFNA(VLOOKUP(D54,'인원 입력 기능 (사과탐)'!$K$64:$N$112,4,FALSE),0))</f>
        <v>12</v>
      </c>
      <c r="H54" s="74">
        <f t="shared" si="4"/>
        <v>3.1201248049921998E-3</v>
      </c>
      <c r="I54" s="78">
        <f>SUM($G$7:G54)</f>
        <v>3823</v>
      </c>
      <c r="J54" s="76">
        <f t="shared" si="5"/>
        <v>0.99401976079043164</v>
      </c>
      <c r="K54" s="32"/>
      <c r="L54" s="3" t="str">
        <f t="shared" si="1"/>
        <v/>
      </c>
    </row>
    <row r="55" spans="1:12" ht="25" customHeight="1" x14ac:dyDescent="0.45">
      <c r="A55" s="4"/>
      <c r="B55" s="18"/>
      <c r="C55" s="70">
        <v>2</v>
      </c>
      <c r="D55" s="71">
        <f t="shared" si="2"/>
        <v>34</v>
      </c>
      <c r="E55" s="71">
        <f t="shared" si="6"/>
        <v>9</v>
      </c>
      <c r="F55" s="72">
        <f t="shared" si="3"/>
        <v>0.35</v>
      </c>
      <c r="G55" s="73">
        <f>IF(D55=D54,"",_xlfn.IFNA(VLOOKUP(D55,'인원 입력 기능 (사과탐)'!$K$64:$N$112,4,FALSE),0))</f>
        <v>19</v>
      </c>
      <c r="H55" s="74">
        <f t="shared" si="4"/>
        <v>4.9401976079043158E-3</v>
      </c>
      <c r="I55" s="78">
        <f>SUM($G$7:G55)</f>
        <v>3842</v>
      </c>
      <c r="J55" s="76">
        <f t="shared" si="5"/>
        <v>0.99895995839833596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33</v>
      </c>
      <c r="E57" s="84">
        <f t="shared" si="6"/>
        <v>9</v>
      </c>
      <c r="F57" s="85">
        <f>IF(I55=0,ROUND(100*(1-(I54+I57)/2/$J$3),2),ROUND(100*(1-(I55+I57)/2/$J$3),2))</f>
        <v>0.05</v>
      </c>
      <c r="G57" s="86">
        <f>_xlfn.IFNA(VLOOKUP(D57,'인원 입력 기능 (사과탐)'!$K$64:$N$112,4,FALSE),0)</f>
        <v>4</v>
      </c>
      <c r="H57" s="87">
        <f>G57/$J$3</f>
        <v>1.0400416016640667E-3</v>
      </c>
      <c r="I57" s="88">
        <f>SUM($G$7:G57)</f>
        <v>3846</v>
      </c>
      <c r="J57" s="89">
        <f>I57/$J$3</f>
        <v>1</v>
      </c>
      <c r="K57" s="32"/>
      <c r="L57" s="3" t="str">
        <f t="shared" ref="L57" si="7">IF(ABS((C57-$H$3)/$H$4*10+50-D57-0.5)&lt;0.1, "경고", "")</f>
        <v/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103">
    <mergeCell ref="I52:I53"/>
    <mergeCell ref="J52:J53"/>
    <mergeCell ref="D52:D53"/>
    <mergeCell ref="E52:E53"/>
    <mergeCell ref="F52:F53"/>
    <mergeCell ref="G52:G53"/>
    <mergeCell ref="H52:H53"/>
    <mergeCell ref="I45:I46"/>
    <mergeCell ref="J45:J46"/>
    <mergeCell ref="D48:D49"/>
    <mergeCell ref="E48:E49"/>
    <mergeCell ref="F48:F49"/>
    <mergeCell ref="G48:G49"/>
    <mergeCell ref="H48:H49"/>
    <mergeCell ref="I48:I49"/>
    <mergeCell ref="J48:J49"/>
    <mergeCell ref="D45:D46"/>
    <mergeCell ref="E45:E46"/>
    <mergeCell ref="F45:F46"/>
    <mergeCell ref="G45:G46"/>
    <mergeCell ref="H45:H46"/>
    <mergeCell ref="I38:I39"/>
    <mergeCell ref="J38:J39"/>
    <mergeCell ref="D42:D43"/>
    <mergeCell ref="E42:E43"/>
    <mergeCell ref="F42:F43"/>
    <mergeCell ref="G42:G43"/>
    <mergeCell ref="H42:H43"/>
    <mergeCell ref="I42:I43"/>
    <mergeCell ref="J42:J43"/>
    <mergeCell ref="D38:D39"/>
    <mergeCell ref="E38:E39"/>
    <mergeCell ref="F38:F39"/>
    <mergeCell ref="G38:G39"/>
    <mergeCell ref="H38:H39"/>
    <mergeCell ref="I32:I33"/>
    <mergeCell ref="J32:J33"/>
    <mergeCell ref="D35:D36"/>
    <mergeCell ref="E35:E36"/>
    <mergeCell ref="F35:F36"/>
    <mergeCell ref="G35:G36"/>
    <mergeCell ref="H35:H36"/>
    <mergeCell ref="I35:I36"/>
    <mergeCell ref="J35:J36"/>
    <mergeCell ref="D32:D33"/>
    <mergeCell ref="E32:E33"/>
    <mergeCell ref="F32:F33"/>
    <mergeCell ref="G32:G33"/>
    <mergeCell ref="H32:H33"/>
    <mergeCell ref="I25:I26"/>
    <mergeCell ref="J25:J26"/>
    <mergeCell ref="D28:D29"/>
    <mergeCell ref="E28:E29"/>
    <mergeCell ref="F28:F29"/>
    <mergeCell ref="G28:G29"/>
    <mergeCell ref="H28:H29"/>
    <mergeCell ref="I28:I29"/>
    <mergeCell ref="J28:J29"/>
    <mergeCell ref="D25:D26"/>
    <mergeCell ref="E25:E26"/>
    <mergeCell ref="F25:F26"/>
    <mergeCell ref="G25:G26"/>
    <mergeCell ref="H25:H26"/>
    <mergeCell ref="I18:I19"/>
    <mergeCell ref="J18:J19"/>
    <mergeCell ref="D22:D23"/>
    <mergeCell ref="E22:E23"/>
    <mergeCell ref="F22:F23"/>
    <mergeCell ref="G22:G23"/>
    <mergeCell ref="H22:H23"/>
    <mergeCell ref="I22:I23"/>
    <mergeCell ref="J22:J23"/>
    <mergeCell ref="D18:D19"/>
    <mergeCell ref="E18:E19"/>
    <mergeCell ref="F18:F19"/>
    <mergeCell ref="G18:G19"/>
    <mergeCell ref="H18:H19"/>
    <mergeCell ref="H12:H13"/>
    <mergeCell ref="I12:I13"/>
    <mergeCell ref="J12:J13"/>
    <mergeCell ref="D15:D16"/>
    <mergeCell ref="E15:E16"/>
    <mergeCell ref="F15:F16"/>
    <mergeCell ref="G15:G16"/>
    <mergeCell ref="H15:H16"/>
    <mergeCell ref="I15:I16"/>
    <mergeCell ref="J15:J16"/>
    <mergeCell ref="D3:F3"/>
    <mergeCell ref="D4:F4"/>
    <mergeCell ref="D8:J8"/>
    <mergeCell ref="D56:J56"/>
    <mergeCell ref="G5:J5"/>
    <mergeCell ref="D9:D10"/>
    <mergeCell ref="E9:E10"/>
    <mergeCell ref="F9:F10"/>
    <mergeCell ref="G9:G10"/>
    <mergeCell ref="H9:H10"/>
    <mergeCell ref="I9:I10"/>
    <mergeCell ref="J9:J10"/>
    <mergeCell ref="D12:D13"/>
    <mergeCell ref="E12:E13"/>
    <mergeCell ref="F12:F13"/>
    <mergeCell ref="G12:G13"/>
  </mergeCells>
  <phoneticPr fontId="1" type="noConversion"/>
  <conditionalFormatting sqref="D7:D9 D11:D12 D14:D15 D17:D18 D20:D22 D24:D25 D27:D28 D30:D32 D34:D35 D37:D38 D40:D42 D44:D45 D47:D48 D50:D52 D54:D57">
    <cfRule type="expression" dxfId="50" priority="1">
      <formula>$D7=$D8</formula>
    </cfRule>
  </conditionalFormatting>
  <conditionalFormatting sqref="C7:C57">
    <cfRule type="expression" dxfId="49" priority="3">
      <formula>OR(AND($D7=0,OR($D6=$Q$7:$Q$14)),AND($D8&gt;0,OR($D7=$Q$7:$Q$14)))</formula>
    </cfRule>
  </conditionalFormatting>
  <conditionalFormatting sqref="D7:J7 D8 D57:J57 D56 D9:J9 D11:J12 D14:J15 D17:J18 D20:J22 D24:J25 D27:J28 D30:J32 D34:J35 D37:J38 D40:J42 D44:J45 D47:J48 D50:J52 D54:J55">
    <cfRule type="expression" dxfId="48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4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기능'!D13</f>
        <v>28.33</v>
      </c>
      <c r="I3" s="14" t="s">
        <v>110</v>
      </c>
      <c r="J3" s="36">
        <f>'통계 및 응시자 수 입력 기능'!C13</f>
        <v>16935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129</v>
      </c>
      <c r="E4" s="114"/>
      <c r="F4" s="115"/>
      <c r="G4" s="38" t="s">
        <v>113</v>
      </c>
      <c r="H4" s="39" t="str">
        <f>'통계 및 응시자 수 입력 기능'!E13</f>
        <v>14.66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65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96.91</v>
      </c>
      <c r="G7" s="73">
        <f>_xlfn.IFNA(VLOOKUP(D7,'인원 입력 기능 (사과탐)'!$P$64:$S$112,4,FALSE),0)</f>
        <v>1047</v>
      </c>
      <c r="H7" s="74">
        <f>G7/$J$3</f>
        <v>6.1824623560673163E-2</v>
      </c>
      <c r="I7" s="75">
        <f>G7</f>
        <v>1047</v>
      </c>
      <c r="J7" s="76">
        <f>I7/$J$3</f>
        <v>6.1824623560673163E-2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입력기능'!C85</f>
        <v>65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입력기능'!C86</f>
        <v>63</v>
      </c>
    </row>
    <row r="9" spans="1:17" ht="25" customHeight="1" x14ac:dyDescent="0.45">
      <c r="A9" s="4"/>
      <c r="B9" s="18"/>
      <c r="C9" s="70">
        <v>48</v>
      </c>
      <c r="D9" s="161">
        <f>ROUND(10*(C9-$H$3)/$H$4+50,0)</f>
        <v>63</v>
      </c>
      <c r="E9" s="161">
        <f t="shared" si="0"/>
        <v>2</v>
      </c>
      <c r="F9" s="163">
        <f>IF(I8=0,ROUND(100*(1-(I7+I9)/2/$J$3),2),ROUND(100*(1-(I8+I9)/2/$J$3),2))</f>
        <v>89.58</v>
      </c>
      <c r="G9" s="165">
        <f>_xlfn.IFNA(VLOOKUP(D9,'인원 입력 기능 (사과탐)'!$P$64:$S$112,4,FALSE),0)</f>
        <v>1434</v>
      </c>
      <c r="H9" s="166">
        <f>G9/$J$3</f>
        <v>8.4676705048715675E-2</v>
      </c>
      <c r="I9" s="168">
        <f>SUM($G$7:G9)</f>
        <v>2481</v>
      </c>
      <c r="J9" s="170">
        <f>I9/$J$3</f>
        <v>0.14650132860938883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입력기능'!C87</f>
        <v>60</v>
      </c>
    </row>
    <row r="10" spans="1:17" ht="25" customHeight="1" x14ac:dyDescent="0.45">
      <c r="A10" s="4"/>
      <c r="B10" s="18"/>
      <c r="C10" s="77">
        <v>47</v>
      </c>
      <c r="D10" s="160"/>
      <c r="E10" s="160"/>
      <c r="F10" s="162"/>
      <c r="G10" s="164"/>
      <c r="H10" s="167"/>
      <c r="I10" s="169"/>
      <c r="J10" s="171"/>
      <c r="K10" s="32"/>
      <c r="L10" s="3" t="str">
        <f t="shared" si="1"/>
        <v>경고</v>
      </c>
      <c r="P10" s="1">
        <v>4</v>
      </c>
      <c r="Q10" s="1">
        <f>'표준점수 등급컷 입력기능'!C88</f>
        <v>55</v>
      </c>
    </row>
    <row r="11" spans="1:17" ht="25" customHeight="1" x14ac:dyDescent="0.45">
      <c r="A11" s="4"/>
      <c r="B11" s="18"/>
      <c r="C11" s="70">
        <v>46</v>
      </c>
      <c r="D11" s="71">
        <f t="shared" ref="D10:D55" si="2">ROUND(10*(C11-$H$3)/$H$4+50,0)</f>
        <v>62</v>
      </c>
      <c r="E11" s="71">
        <f t="shared" si="0"/>
        <v>3</v>
      </c>
      <c r="F11" s="72">
        <f t="shared" ref="F10:F55" si="3">IF(I10=0,ROUND(100*(1-(I9+I11)/2/$J$3),2),ROUND(100*(1-(I10+I11)/2/$J$3),2))</f>
        <v>85.17</v>
      </c>
      <c r="G11" s="73">
        <f>IF(D11=D10,"",_xlfn.IFNA(VLOOKUP(D11,'인원 입력 기능 (사과탐)'!$P$64:$S$112,4,FALSE),0))</f>
        <v>62</v>
      </c>
      <c r="H11" s="74">
        <f t="shared" ref="H10:H55" si="4">G11/$J$3</f>
        <v>3.6610569825804547E-3</v>
      </c>
      <c r="I11" s="78">
        <f>SUM($G$7:G11)</f>
        <v>2543</v>
      </c>
      <c r="J11" s="76">
        <f t="shared" ref="J10:J55" si="5">I11/$J$3</f>
        <v>0.15016238559196929</v>
      </c>
      <c r="K11" s="32"/>
      <c r="L11" s="3" t="str">
        <f t="shared" si="1"/>
        <v/>
      </c>
      <c r="P11" s="1">
        <v>5</v>
      </c>
      <c r="Q11" s="1">
        <f>'표준점수 등급컷 입력기능'!C89</f>
        <v>46</v>
      </c>
    </row>
    <row r="12" spans="1:17" ht="25" customHeight="1" x14ac:dyDescent="0.45">
      <c r="A12" s="4"/>
      <c r="B12" s="18"/>
      <c r="C12" s="77">
        <v>45</v>
      </c>
      <c r="D12" s="161">
        <f t="shared" si="2"/>
        <v>61</v>
      </c>
      <c r="E12" s="161">
        <f t="shared" si="0"/>
        <v>3</v>
      </c>
      <c r="F12" s="163">
        <f t="shared" si="3"/>
        <v>81.09</v>
      </c>
      <c r="G12" s="165">
        <f>IF(D12=D11,"",_xlfn.IFNA(VLOOKUP(D12,'인원 입력 기능 (사과탐)'!$P$64:$S$112,4,FALSE),0))</f>
        <v>1319</v>
      </c>
      <c r="H12" s="166">
        <f t="shared" si="4"/>
        <v>7.7886034839090637E-2</v>
      </c>
      <c r="I12" s="168">
        <f>SUM($G$7:G12)</f>
        <v>3862</v>
      </c>
      <c r="J12" s="170">
        <f t="shared" si="5"/>
        <v>0.22804842043105994</v>
      </c>
      <c r="K12" s="32"/>
      <c r="L12" s="3" t="str">
        <f t="shared" si="1"/>
        <v/>
      </c>
      <c r="P12" s="1">
        <v>6</v>
      </c>
      <c r="Q12" s="1">
        <f>'표준점수 등급컷 입력기능'!C90</f>
        <v>40</v>
      </c>
    </row>
    <row r="13" spans="1:17" ht="25" customHeight="1" x14ac:dyDescent="0.45">
      <c r="A13" s="4"/>
      <c r="B13" s="18"/>
      <c r="C13" s="70">
        <v>44</v>
      </c>
      <c r="D13" s="160"/>
      <c r="E13" s="160"/>
      <c r="F13" s="162"/>
      <c r="G13" s="164"/>
      <c r="H13" s="167"/>
      <c r="I13" s="169"/>
      <c r="J13" s="171"/>
      <c r="K13" s="32"/>
      <c r="L13" s="3" t="str">
        <f t="shared" si="1"/>
        <v>경고</v>
      </c>
      <c r="P13" s="1">
        <v>7</v>
      </c>
      <c r="Q13" s="1">
        <f>'표준점수 등급컷 입력기능'!C91</f>
        <v>37</v>
      </c>
    </row>
    <row r="14" spans="1:17" ht="25" customHeight="1" x14ac:dyDescent="0.45">
      <c r="A14" s="4"/>
      <c r="B14" s="18"/>
      <c r="C14" s="77">
        <v>43</v>
      </c>
      <c r="D14" s="71">
        <f t="shared" si="2"/>
        <v>60</v>
      </c>
      <c r="E14" s="71">
        <f t="shared" si="0"/>
        <v>3</v>
      </c>
      <c r="F14" s="72">
        <f t="shared" si="3"/>
        <v>76.73</v>
      </c>
      <c r="G14" s="73">
        <f>IF(D14=D13,"",_xlfn.IFNA(VLOOKUP(D14,'인원 입력 기능 (사과탐)'!$P$64:$S$112,4,FALSE),0))</f>
        <v>159</v>
      </c>
      <c r="H14" s="74">
        <f t="shared" si="4"/>
        <v>9.3888396811337461E-3</v>
      </c>
      <c r="I14" s="78">
        <f>SUM($G$7:G14)</f>
        <v>4021</v>
      </c>
      <c r="J14" s="76">
        <f t="shared" si="5"/>
        <v>0.23743726011219368</v>
      </c>
      <c r="K14" s="32"/>
      <c r="L14" s="3" t="str">
        <f t="shared" si="1"/>
        <v/>
      </c>
      <c r="P14" s="1">
        <v>8</v>
      </c>
      <c r="Q14" s="1">
        <f>'표준점수 등급컷 입력기능'!C92</f>
        <v>35</v>
      </c>
    </row>
    <row r="15" spans="1:17" ht="25" customHeight="1" x14ac:dyDescent="0.45">
      <c r="A15" s="4"/>
      <c r="B15" s="18"/>
      <c r="C15" s="70">
        <v>42</v>
      </c>
      <c r="D15" s="161">
        <f t="shared" si="2"/>
        <v>59</v>
      </c>
      <c r="E15" s="161">
        <f t="shared" si="0"/>
        <v>4</v>
      </c>
      <c r="F15" s="163">
        <f t="shared" si="3"/>
        <v>73.05</v>
      </c>
      <c r="G15" s="165">
        <f>IF(D15=D14,"",_xlfn.IFNA(VLOOKUP(D15,'인원 입력 기능 (사과탐)'!$P$64:$S$112,4,FALSE),0))</f>
        <v>1085</v>
      </c>
      <c r="H15" s="166">
        <f t="shared" si="4"/>
        <v>6.4068497195157961E-2</v>
      </c>
      <c r="I15" s="168">
        <f>SUM($G$7:G15)</f>
        <v>5106</v>
      </c>
      <c r="J15" s="170">
        <f t="shared" si="5"/>
        <v>0.30150575730735163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160"/>
      <c r="E16" s="160"/>
      <c r="F16" s="162"/>
      <c r="G16" s="164"/>
      <c r="H16" s="167"/>
      <c r="I16" s="169"/>
      <c r="J16" s="171"/>
      <c r="K16" s="32"/>
      <c r="L16" s="3" t="str">
        <f t="shared" si="1"/>
        <v>경고</v>
      </c>
    </row>
    <row r="17" spans="1:16" ht="25" customHeight="1" x14ac:dyDescent="0.45">
      <c r="A17" s="4"/>
      <c r="B17" s="18"/>
      <c r="C17" s="70">
        <v>40</v>
      </c>
      <c r="D17" s="71">
        <f t="shared" si="2"/>
        <v>58</v>
      </c>
      <c r="E17" s="71">
        <f t="shared" si="0"/>
        <v>4</v>
      </c>
      <c r="F17" s="72">
        <f t="shared" si="3"/>
        <v>69.12</v>
      </c>
      <c r="G17" s="73">
        <f>IF(D17=D16,"",_xlfn.IFNA(VLOOKUP(D17,'인원 입력 기능 (사과탐)'!$P$64:$S$112,4,FALSE),0))</f>
        <v>246</v>
      </c>
      <c r="H17" s="74">
        <f t="shared" si="4"/>
        <v>1.4526129317980514E-2</v>
      </c>
      <c r="I17" s="78">
        <f>SUM($G$7:G17)</f>
        <v>5352</v>
      </c>
      <c r="J17" s="76">
        <f t="shared" si="5"/>
        <v>0.31603188662533216</v>
      </c>
      <c r="K17" s="32"/>
      <c r="L17" s="3" t="str">
        <f t="shared" si="1"/>
        <v/>
      </c>
      <c r="P17" s="1">
        <f>Q7*H3*H4*J3*IFERROR(IF(J57=1,1,0),0)</f>
        <v>457171451.29500002</v>
      </c>
    </row>
    <row r="18" spans="1:16" ht="25" customHeight="1" x14ac:dyDescent="0.45">
      <c r="A18" s="4"/>
      <c r="B18" s="18"/>
      <c r="C18" s="77">
        <v>39</v>
      </c>
      <c r="D18" s="161">
        <f t="shared" si="2"/>
        <v>57</v>
      </c>
      <c r="E18" s="161">
        <f t="shared" si="0"/>
        <v>4</v>
      </c>
      <c r="F18" s="163">
        <f t="shared" si="3"/>
        <v>66.03</v>
      </c>
      <c r="G18" s="165">
        <f>IF(D18=D17,"",_xlfn.IFNA(VLOOKUP(D18,'인원 입력 기능 (사과탐)'!$P$64:$S$112,4,FALSE),0))</f>
        <v>800</v>
      </c>
      <c r="H18" s="166">
        <f t="shared" si="4"/>
        <v>4.7239444936521997E-2</v>
      </c>
      <c r="I18" s="168">
        <f>SUM($G$7:G18)</f>
        <v>6152</v>
      </c>
      <c r="J18" s="170">
        <f t="shared" si="5"/>
        <v>0.36327133156185415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160"/>
      <c r="E19" s="160"/>
      <c r="F19" s="162"/>
      <c r="G19" s="164"/>
      <c r="H19" s="167"/>
      <c r="I19" s="169"/>
      <c r="J19" s="171"/>
      <c r="K19" s="32"/>
      <c r="L19" s="3" t="str">
        <f t="shared" si="1"/>
        <v>경고</v>
      </c>
    </row>
    <row r="20" spans="1:16" ht="25" customHeight="1" x14ac:dyDescent="0.45">
      <c r="A20" s="4"/>
      <c r="B20" s="18"/>
      <c r="C20" s="77">
        <v>37</v>
      </c>
      <c r="D20" s="71">
        <f t="shared" si="2"/>
        <v>56</v>
      </c>
      <c r="E20" s="71">
        <f t="shared" si="0"/>
        <v>4</v>
      </c>
      <c r="F20" s="72">
        <f t="shared" si="3"/>
        <v>62.76</v>
      </c>
      <c r="G20" s="73">
        <f>IF(D20=D19,"",_xlfn.IFNA(VLOOKUP(D20,'인원 입력 기능 (사과탐)'!$P$64:$S$112,4,FALSE),0))</f>
        <v>310</v>
      </c>
      <c r="H20" s="74">
        <f t="shared" si="4"/>
        <v>1.8305284912902273E-2</v>
      </c>
      <c r="I20" s="78">
        <f>SUM($G$7:G20)</f>
        <v>6462</v>
      </c>
      <c r="J20" s="76">
        <f t="shared" si="5"/>
        <v>0.38157661647475644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173">
        <f t="shared" si="2"/>
        <v>55</v>
      </c>
      <c r="E21" s="173">
        <f t="shared" si="0"/>
        <v>4</v>
      </c>
      <c r="F21" s="163">
        <f t="shared" si="3"/>
        <v>60.12</v>
      </c>
      <c r="G21" s="165">
        <f>IF(D21=D20,"",_xlfn.IFNA(VLOOKUP(D21,'인원 입력 기능 (사과탐)'!$P$64:$S$112,4,FALSE),0))</f>
        <v>585</v>
      </c>
      <c r="H21" s="166">
        <f t="shared" si="4"/>
        <v>3.454384410983171E-2</v>
      </c>
      <c r="I21" s="168">
        <f>SUM($G$7:G21)</f>
        <v>7047</v>
      </c>
      <c r="J21" s="170">
        <f t="shared" si="5"/>
        <v>0.41612046058458813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172"/>
      <c r="E22" s="172"/>
      <c r="F22" s="162"/>
      <c r="G22" s="164"/>
      <c r="H22" s="167"/>
      <c r="I22" s="169"/>
      <c r="J22" s="171"/>
      <c r="K22" s="32"/>
      <c r="L22" s="3" t="str">
        <f t="shared" si="1"/>
        <v>경고</v>
      </c>
    </row>
    <row r="23" spans="1:16" ht="25" customHeight="1" x14ac:dyDescent="0.45">
      <c r="A23" s="4"/>
      <c r="B23" s="18"/>
      <c r="C23" s="79">
        <v>34</v>
      </c>
      <c r="D23" s="80">
        <f t="shared" si="2"/>
        <v>54</v>
      </c>
      <c r="E23" s="80">
        <f t="shared" si="0"/>
        <v>5</v>
      </c>
      <c r="F23" s="72">
        <f t="shared" si="3"/>
        <v>57.48</v>
      </c>
      <c r="G23" s="73">
        <f>IF(D23=D22,"",_xlfn.IFNA(VLOOKUP(D23,'인원 입력 기능 (사과탐)'!$P$64:$S$112,4,FALSE),0))</f>
        <v>309</v>
      </c>
      <c r="H23" s="74">
        <f t="shared" si="4"/>
        <v>1.8246235606731619E-2</v>
      </c>
      <c r="I23" s="78">
        <f>SUM($G$7:G23)</f>
        <v>7356</v>
      </c>
      <c r="J23" s="76">
        <f t="shared" si="5"/>
        <v>0.43436669619131973</v>
      </c>
      <c r="K23" s="32"/>
      <c r="L23" s="3" t="str">
        <f t="shared" si="1"/>
        <v/>
      </c>
    </row>
    <row r="24" spans="1:16" ht="25" customHeight="1" x14ac:dyDescent="0.45">
      <c r="A24" s="4"/>
      <c r="B24" s="18"/>
      <c r="C24" s="81">
        <v>33</v>
      </c>
      <c r="D24" s="173">
        <f t="shared" si="2"/>
        <v>53</v>
      </c>
      <c r="E24" s="173">
        <f t="shared" si="0"/>
        <v>5</v>
      </c>
      <c r="F24" s="163">
        <f t="shared" si="3"/>
        <v>55.03</v>
      </c>
      <c r="G24" s="165">
        <f>IF(D24=D23,"",_xlfn.IFNA(VLOOKUP(D24,'인원 입력 기능 (사과탐)'!$P$64:$S$112,4,FALSE),0))</f>
        <v>518</v>
      </c>
      <c r="H24" s="166">
        <f t="shared" si="4"/>
        <v>3.0587540596397993E-2</v>
      </c>
      <c r="I24" s="168">
        <f>SUM($G$7:G24)</f>
        <v>7874</v>
      </c>
      <c r="J24" s="170">
        <f t="shared" si="5"/>
        <v>0.46495423678771775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172"/>
      <c r="E25" s="172"/>
      <c r="F25" s="162"/>
      <c r="G25" s="164"/>
      <c r="H25" s="167"/>
      <c r="I25" s="169"/>
      <c r="J25" s="171"/>
      <c r="K25" s="32"/>
      <c r="L25" s="3" t="str">
        <f t="shared" si="1"/>
        <v>경고</v>
      </c>
    </row>
    <row r="26" spans="1:16" ht="25" customHeight="1" x14ac:dyDescent="0.45">
      <c r="A26" s="4"/>
      <c r="B26" s="18"/>
      <c r="C26" s="81">
        <v>31</v>
      </c>
      <c r="D26" s="80">
        <f t="shared" si="2"/>
        <v>52</v>
      </c>
      <c r="E26" s="80">
        <f t="shared" si="0"/>
        <v>5</v>
      </c>
      <c r="F26" s="72">
        <f t="shared" si="3"/>
        <v>52.7</v>
      </c>
      <c r="G26" s="73">
        <f>IF(D26=D25,"",_xlfn.IFNA(VLOOKUP(D26,'인원 입력 기능 (사과탐)'!$P$64:$S$112,4,FALSE),0))</f>
        <v>273</v>
      </c>
      <c r="H26" s="74">
        <f t="shared" si="4"/>
        <v>1.6120460584588131E-2</v>
      </c>
      <c r="I26" s="78">
        <f>SUM($G$7:G26)</f>
        <v>8147</v>
      </c>
      <c r="J26" s="76">
        <f t="shared" si="5"/>
        <v>0.48107469737230585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80">
        <f t="shared" si="2"/>
        <v>51</v>
      </c>
      <c r="E27" s="80">
        <f t="shared" si="0"/>
        <v>5</v>
      </c>
      <c r="F27" s="72">
        <f t="shared" si="3"/>
        <v>51.23</v>
      </c>
      <c r="G27" s="73">
        <f>IF(D27=D26,"",_xlfn.IFNA(VLOOKUP(D27,'인원 입력 기능 (사과탐)'!$P$64:$S$112,4,FALSE),0))</f>
        <v>224</v>
      </c>
      <c r="H27" s="74">
        <f t="shared" si="4"/>
        <v>1.3227044582226158E-2</v>
      </c>
      <c r="I27" s="78">
        <f>SUM($G$7:G27)</f>
        <v>8371</v>
      </c>
      <c r="J27" s="76">
        <f t="shared" si="5"/>
        <v>0.49430174195453203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173">
        <f t="shared" si="2"/>
        <v>50</v>
      </c>
      <c r="E28" s="173">
        <f t="shared" si="0"/>
        <v>5</v>
      </c>
      <c r="F28" s="163">
        <f t="shared" si="3"/>
        <v>49.11</v>
      </c>
      <c r="G28" s="165">
        <f>IF(D28=D27,"",_xlfn.IFNA(VLOOKUP(D28,'인원 입력 기능 (사과탐)'!$P$64:$S$112,4,FALSE),0))</f>
        <v>496</v>
      </c>
      <c r="H28" s="166">
        <f t="shared" si="4"/>
        <v>2.9288455860643638E-2</v>
      </c>
      <c r="I28" s="168">
        <f>SUM($G$7:G28)</f>
        <v>8867</v>
      </c>
      <c r="J28" s="170">
        <f t="shared" si="5"/>
        <v>0.52359019781517568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172"/>
      <c r="E29" s="172"/>
      <c r="F29" s="162"/>
      <c r="G29" s="164"/>
      <c r="H29" s="167"/>
      <c r="I29" s="169"/>
      <c r="J29" s="171"/>
      <c r="K29" s="32"/>
      <c r="L29" s="3" t="str">
        <f t="shared" si="1"/>
        <v>경고</v>
      </c>
    </row>
    <row r="30" spans="1:16" ht="25" customHeight="1" x14ac:dyDescent="0.45">
      <c r="A30" s="4"/>
      <c r="B30" s="18"/>
      <c r="C30" s="81">
        <v>27</v>
      </c>
      <c r="D30" s="80">
        <f t="shared" si="2"/>
        <v>49</v>
      </c>
      <c r="E30" s="80">
        <f t="shared" si="0"/>
        <v>5</v>
      </c>
      <c r="F30" s="72">
        <f t="shared" si="3"/>
        <v>46.89</v>
      </c>
      <c r="G30" s="73">
        <f>IF(D30=D29,"",_xlfn.IFNA(VLOOKUP(D30,'인원 입력 기능 (사과탐)'!$P$64:$S$112,4,FALSE),0))</f>
        <v>256</v>
      </c>
      <c r="H30" s="74">
        <f t="shared" si="4"/>
        <v>1.5116622379687038E-2</v>
      </c>
      <c r="I30" s="78">
        <f>SUM($G$7:G30)</f>
        <v>9123</v>
      </c>
      <c r="J30" s="76">
        <f t="shared" si="5"/>
        <v>0.53870682019486271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173">
        <f t="shared" si="2"/>
        <v>48</v>
      </c>
      <c r="E31" s="173">
        <f t="shared" si="0"/>
        <v>5</v>
      </c>
      <c r="F31" s="163">
        <f t="shared" si="3"/>
        <v>44.74</v>
      </c>
      <c r="G31" s="165">
        <f>IF(D31=D30,"",_xlfn.IFNA(VLOOKUP(D31,'인원 입력 기능 (사과탐)'!$P$64:$S$112,4,FALSE),0))</f>
        <v>470</v>
      </c>
      <c r="H31" s="166">
        <f t="shared" si="4"/>
        <v>2.7753173900206672E-2</v>
      </c>
      <c r="I31" s="168">
        <f>SUM($G$7:G31)</f>
        <v>9593</v>
      </c>
      <c r="J31" s="170">
        <f t="shared" si="5"/>
        <v>0.56645999409506942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172"/>
      <c r="E32" s="172"/>
      <c r="F32" s="162"/>
      <c r="G32" s="164"/>
      <c r="H32" s="167"/>
      <c r="I32" s="169"/>
      <c r="J32" s="171"/>
      <c r="K32" s="32"/>
      <c r="L32" s="3" t="str">
        <f t="shared" si="1"/>
        <v>경고</v>
      </c>
    </row>
    <row r="33" spans="1:12" ht="25" customHeight="1" x14ac:dyDescent="0.45">
      <c r="A33" s="4"/>
      <c r="B33" s="18"/>
      <c r="C33" s="79">
        <v>24</v>
      </c>
      <c r="D33" s="80">
        <f t="shared" si="2"/>
        <v>47</v>
      </c>
      <c r="E33" s="80">
        <f t="shared" si="0"/>
        <v>5</v>
      </c>
      <c r="F33" s="72">
        <f t="shared" si="3"/>
        <v>42.59</v>
      </c>
      <c r="G33" s="73">
        <f>IF(D33=D32,"",_xlfn.IFNA(VLOOKUP(D33,'인원 입력 기능 (사과탐)'!$P$64:$S$112,4,FALSE),0))</f>
        <v>258</v>
      </c>
      <c r="H33" s="74">
        <f t="shared" si="4"/>
        <v>1.5234720992028343E-2</v>
      </c>
      <c r="I33" s="78">
        <f>SUM($G$7:G33)</f>
        <v>9851</v>
      </c>
      <c r="J33" s="76">
        <f t="shared" si="5"/>
        <v>0.58169471508709769</v>
      </c>
      <c r="K33" s="32"/>
      <c r="L33" s="3" t="str">
        <f t="shared" si="1"/>
        <v/>
      </c>
    </row>
    <row r="34" spans="1:12" ht="25" customHeight="1" x14ac:dyDescent="0.45">
      <c r="A34" s="4"/>
      <c r="B34" s="18"/>
      <c r="C34" s="81">
        <v>23</v>
      </c>
      <c r="D34" s="173">
        <f t="shared" si="2"/>
        <v>46</v>
      </c>
      <c r="E34" s="173">
        <f t="shared" si="0"/>
        <v>5</v>
      </c>
      <c r="F34" s="163">
        <f t="shared" si="3"/>
        <v>40.39</v>
      </c>
      <c r="G34" s="165">
        <f>IF(D34=D33,"",_xlfn.IFNA(VLOOKUP(D34,'인원 입력 기능 (사과탐)'!$P$64:$S$112,4,FALSE),0))</f>
        <v>487</v>
      </c>
      <c r="H34" s="166">
        <f t="shared" si="4"/>
        <v>2.8757012105107765E-2</v>
      </c>
      <c r="I34" s="168">
        <f>SUM($G$7:G34)</f>
        <v>10338</v>
      </c>
      <c r="J34" s="170">
        <f t="shared" si="5"/>
        <v>0.61045172719220553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172"/>
      <c r="E35" s="172"/>
      <c r="F35" s="162"/>
      <c r="G35" s="164"/>
      <c r="H35" s="167"/>
      <c r="I35" s="169"/>
      <c r="J35" s="171"/>
      <c r="K35" s="32"/>
      <c r="L35" s="3" t="str">
        <f t="shared" si="1"/>
        <v>경고</v>
      </c>
    </row>
    <row r="36" spans="1:12" ht="25" customHeight="1" x14ac:dyDescent="0.45">
      <c r="A36" s="4"/>
      <c r="B36" s="18"/>
      <c r="C36" s="81">
        <v>21</v>
      </c>
      <c r="D36" s="80">
        <f t="shared" si="2"/>
        <v>45</v>
      </c>
      <c r="E36" s="80">
        <f t="shared" si="0"/>
        <v>6</v>
      </c>
      <c r="F36" s="72">
        <f t="shared" si="3"/>
        <v>38.15</v>
      </c>
      <c r="G36" s="73">
        <f>IF(D36=D35,"",_xlfn.IFNA(VLOOKUP(D36,'인원 입력 기능 (사과탐)'!$P$64:$S$112,4,FALSE),0))</f>
        <v>273</v>
      </c>
      <c r="H36" s="74">
        <f t="shared" si="4"/>
        <v>1.6120460584588131E-2</v>
      </c>
      <c r="I36" s="78">
        <f>SUM($G$7:G36)</f>
        <v>10611</v>
      </c>
      <c r="J36" s="76">
        <f t="shared" si="5"/>
        <v>0.62657218777679358</v>
      </c>
      <c r="K36" s="32"/>
      <c r="L36" s="3" t="str">
        <f t="shared" si="1"/>
        <v/>
      </c>
    </row>
    <row r="37" spans="1:12" ht="25" customHeight="1" x14ac:dyDescent="0.45">
      <c r="A37" s="4"/>
      <c r="B37" s="18"/>
      <c r="C37" s="79">
        <v>20</v>
      </c>
      <c r="D37" s="173">
        <f t="shared" si="2"/>
        <v>44</v>
      </c>
      <c r="E37" s="173">
        <f t="shared" si="0"/>
        <v>6</v>
      </c>
      <c r="F37" s="163">
        <f t="shared" si="3"/>
        <v>35.76</v>
      </c>
      <c r="G37" s="165">
        <f>IF(D37=D36,"",_xlfn.IFNA(VLOOKUP(D37,'인원 입력 기능 (사과탐)'!$P$64:$S$112,4,FALSE),0))</f>
        <v>535</v>
      </c>
      <c r="H37" s="166">
        <f t="shared" si="4"/>
        <v>3.1591378801299086E-2</v>
      </c>
      <c r="I37" s="168">
        <f>SUM($G$7:G37)</f>
        <v>11146</v>
      </c>
      <c r="J37" s="170">
        <f t="shared" si="5"/>
        <v>0.65816356657809272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172"/>
      <c r="E38" s="172"/>
      <c r="F38" s="162"/>
      <c r="G38" s="164"/>
      <c r="H38" s="167"/>
      <c r="I38" s="169"/>
      <c r="J38" s="171"/>
      <c r="K38" s="32"/>
      <c r="L38" s="3" t="str">
        <f t="shared" si="1"/>
        <v>경고</v>
      </c>
    </row>
    <row r="39" spans="1:12" ht="25" customHeight="1" x14ac:dyDescent="0.45">
      <c r="A39" s="4"/>
      <c r="B39" s="18"/>
      <c r="C39" s="79">
        <v>18</v>
      </c>
      <c r="D39" s="80">
        <f t="shared" si="2"/>
        <v>43</v>
      </c>
      <c r="E39" s="8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2">
        <f t="shared" si="3"/>
        <v>33.35</v>
      </c>
      <c r="G39" s="73">
        <f>IF(D39=D38,"",_xlfn.IFNA(VLOOKUP(D39,'인원 입력 기능 (사과탐)'!$P$64:$S$112,4,FALSE),0))</f>
        <v>281</v>
      </c>
      <c r="H39" s="74">
        <f t="shared" si="4"/>
        <v>1.6592855033953351E-2</v>
      </c>
      <c r="I39" s="78">
        <f>SUM($G$7:G39)</f>
        <v>11427</v>
      </c>
      <c r="J39" s="76">
        <f t="shared" si="5"/>
        <v>0.67475642161204608</v>
      </c>
      <c r="K39" s="32"/>
      <c r="L39" s="3" t="str">
        <f t="shared" si="1"/>
        <v/>
      </c>
    </row>
    <row r="40" spans="1:12" ht="25" customHeight="1" x14ac:dyDescent="0.45">
      <c r="A40" s="4"/>
      <c r="B40" s="18"/>
      <c r="C40" s="81">
        <v>17</v>
      </c>
      <c r="D40" s="173">
        <f t="shared" si="2"/>
        <v>42</v>
      </c>
      <c r="E40" s="173">
        <f t="shared" si="6"/>
        <v>6</v>
      </c>
      <c r="F40" s="163">
        <f t="shared" si="3"/>
        <v>30.8</v>
      </c>
      <c r="G40" s="165">
        <f>IF(D40=D39,"",_xlfn.IFNA(VLOOKUP(D40,'인원 입력 기능 (사과탐)'!$P$64:$S$112,4,FALSE),0))</f>
        <v>583</v>
      </c>
      <c r="H40" s="166">
        <f t="shared" si="4"/>
        <v>3.4425745497490404E-2</v>
      </c>
      <c r="I40" s="168">
        <f>SUM($G$7:G40)</f>
        <v>12010</v>
      </c>
      <c r="J40" s="170">
        <f t="shared" si="5"/>
        <v>0.70918216710953641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172"/>
      <c r="E41" s="172"/>
      <c r="F41" s="162"/>
      <c r="G41" s="164"/>
      <c r="H41" s="167"/>
      <c r="I41" s="169"/>
      <c r="J41" s="171"/>
      <c r="K41" s="32"/>
      <c r="L41" s="3" t="str">
        <f t="shared" si="1"/>
        <v>경고</v>
      </c>
    </row>
    <row r="42" spans="1:12" ht="25" customHeight="1" x14ac:dyDescent="0.45">
      <c r="A42" s="4"/>
      <c r="B42" s="18"/>
      <c r="C42" s="81">
        <v>15</v>
      </c>
      <c r="D42" s="80">
        <f t="shared" si="2"/>
        <v>41</v>
      </c>
      <c r="E42" s="80">
        <f t="shared" si="6"/>
        <v>6</v>
      </c>
      <c r="F42" s="72">
        <f t="shared" si="3"/>
        <v>28.24</v>
      </c>
      <c r="G42" s="73">
        <f>IF(D42=D41,"",_xlfn.IFNA(VLOOKUP(D42,'인원 입력 기능 (사과탐)'!$P$64:$S$112,4,FALSE),0))</f>
        <v>286</v>
      </c>
      <c r="H42" s="74">
        <f t="shared" si="4"/>
        <v>1.6888101564806614E-2</v>
      </c>
      <c r="I42" s="78">
        <f>SUM($G$7:G42)</f>
        <v>12296</v>
      </c>
      <c r="J42" s="76">
        <f t="shared" si="5"/>
        <v>0.7260702686743431</v>
      </c>
      <c r="K42" s="32"/>
      <c r="L42" s="3" t="str">
        <f t="shared" si="1"/>
        <v/>
      </c>
    </row>
    <row r="43" spans="1:12" ht="25" customHeight="1" x14ac:dyDescent="0.45">
      <c r="A43" s="4"/>
      <c r="B43" s="18"/>
      <c r="C43" s="79">
        <v>14</v>
      </c>
      <c r="D43" s="173">
        <f t="shared" si="2"/>
        <v>40</v>
      </c>
      <c r="E43" s="173">
        <f t="shared" si="6"/>
        <v>6</v>
      </c>
      <c r="F43" s="163">
        <f t="shared" si="3"/>
        <v>25.18</v>
      </c>
      <c r="G43" s="165">
        <f>IF(D43=D42,"",_xlfn.IFNA(VLOOKUP(D43,'인원 입력 기능 (사과탐)'!$P$64:$S$112,4,FALSE),0))</f>
        <v>751</v>
      </c>
      <c r="H43" s="166">
        <f t="shared" si="4"/>
        <v>4.4346028934160023E-2</v>
      </c>
      <c r="I43" s="168">
        <f>SUM($G$7:G43)</f>
        <v>13047</v>
      </c>
      <c r="J43" s="170">
        <f t="shared" si="5"/>
        <v>0.77041629760850305</v>
      </c>
      <c r="K43" s="32"/>
      <c r="L43" s="3" t="str">
        <f t="shared" si="1"/>
        <v/>
      </c>
    </row>
    <row r="44" spans="1:12" ht="25" customHeight="1" x14ac:dyDescent="0.45">
      <c r="A44" s="4"/>
      <c r="B44" s="18"/>
      <c r="C44" s="81">
        <v>13</v>
      </c>
      <c r="D44" s="172"/>
      <c r="E44" s="172"/>
      <c r="F44" s="162"/>
      <c r="G44" s="164"/>
      <c r="H44" s="167"/>
      <c r="I44" s="169"/>
      <c r="J44" s="171"/>
      <c r="K44" s="32"/>
      <c r="L44" s="3" t="str">
        <f t="shared" si="1"/>
        <v>경고</v>
      </c>
    </row>
    <row r="45" spans="1:12" ht="25" customHeight="1" x14ac:dyDescent="0.45">
      <c r="A45" s="4"/>
      <c r="B45" s="18"/>
      <c r="C45" s="79">
        <v>12</v>
      </c>
      <c r="D45" s="80">
        <f t="shared" si="2"/>
        <v>39</v>
      </c>
      <c r="E45" s="80">
        <f t="shared" si="6"/>
        <v>7</v>
      </c>
      <c r="F45" s="72">
        <f t="shared" si="3"/>
        <v>21.8</v>
      </c>
      <c r="G45" s="73">
        <f>IF(D45=D44,"",_xlfn.IFNA(VLOOKUP(D45,'인원 입력 기능 (사과탐)'!$P$64:$S$112,4,FALSE),0))</f>
        <v>394</v>
      </c>
      <c r="H45" s="74">
        <f t="shared" si="4"/>
        <v>2.3265426631237082E-2</v>
      </c>
      <c r="I45" s="78">
        <f>SUM($G$7:G45)</f>
        <v>13441</v>
      </c>
      <c r="J45" s="76">
        <f t="shared" si="5"/>
        <v>0.79368172423974015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80">
        <f t="shared" si="2"/>
        <v>38</v>
      </c>
      <c r="E46" s="80">
        <f t="shared" si="6"/>
        <v>7</v>
      </c>
      <c r="F46" s="72">
        <f t="shared" si="3"/>
        <v>19.649999999999999</v>
      </c>
      <c r="G46" s="73">
        <f>IF(D46=D45,"",_xlfn.IFNA(VLOOKUP(D46,'인원 입력 기능 (사과탐)'!$P$64:$S$112,4,FALSE),0))</f>
        <v>331</v>
      </c>
      <c r="H46" s="74">
        <f t="shared" si="4"/>
        <v>1.9545320342485975E-2</v>
      </c>
      <c r="I46" s="78">
        <f>SUM($G$7:G46)</f>
        <v>13772</v>
      </c>
      <c r="J46" s="76">
        <f t="shared" si="5"/>
        <v>0.81322704458222617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173">
        <f t="shared" si="2"/>
        <v>37</v>
      </c>
      <c r="E47" s="173">
        <f t="shared" si="6"/>
        <v>7</v>
      </c>
      <c r="F47" s="163">
        <f t="shared" si="3"/>
        <v>12.4</v>
      </c>
      <c r="G47" s="165">
        <f>IF(D47=D46,"",_xlfn.IFNA(VLOOKUP(D47,'인원 입력 기능 (사과탐)'!$P$64:$S$112,4,FALSE),0))</f>
        <v>2125</v>
      </c>
      <c r="H47" s="166">
        <f t="shared" si="4"/>
        <v>0.12547977561263654</v>
      </c>
      <c r="I47" s="168">
        <f>SUM($G$7:G47)</f>
        <v>15897</v>
      </c>
      <c r="J47" s="170">
        <f t="shared" si="5"/>
        <v>0.93870682019486273</v>
      </c>
      <c r="K47" s="32"/>
      <c r="L47" s="3" t="str">
        <f t="shared" si="1"/>
        <v>경고</v>
      </c>
    </row>
    <row r="48" spans="1:12" ht="25" customHeight="1" x14ac:dyDescent="0.45">
      <c r="A48" s="4"/>
      <c r="B48" s="18"/>
      <c r="C48" s="81">
        <v>9</v>
      </c>
      <c r="D48" s="172"/>
      <c r="E48" s="172"/>
      <c r="F48" s="162"/>
      <c r="G48" s="164"/>
      <c r="H48" s="167"/>
      <c r="I48" s="169"/>
      <c r="J48" s="171"/>
      <c r="K48" s="32"/>
      <c r="L48" s="3" t="str">
        <f t="shared" si="1"/>
        <v>경고</v>
      </c>
    </row>
    <row r="49" spans="1:12" ht="25" customHeight="1" x14ac:dyDescent="0.45">
      <c r="A49" s="4"/>
      <c r="B49" s="18"/>
      <c r="C49" s="79">
        <v>8</v>
      </c>
      <c r="D49" s="80">
        <f t="shared" si="2"/>
        <v>36</v>
      </c>
      <c r="E49" s="80">
        <f t="shared" si="6"/>
        <v>8</v>
      </c>
      <c r="F49" s="72">
        <f t="shared" si="3"/>
        <v>5.36</v>
      </c>
      <c r="G49" s="73">
        <f>IF(D49=D48,"",_xlfn.IFNA(VLOOKUP(D49,'인원 입력 기능 (사과탐)'!$P$64:$S$112,4,FALSE),0))</f>
        <v>260</v>
      </c>
      <c r="H49" s="74">
        <f t="shared" si="4"/>
        <v>1.5352819604369648E-2</v>
      </c>
      <c r="I49" s="78">
        <f>SUM($G$7:G49)</f>
        <v>16157</v>
      </c>
      <c r="J49" s="76">
        <f t="shared" si="5"/>
        <v>0.95405963979923236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173">
        <f t="shared" si="2"/>
        <v>35</v>
      </c>
      <c r="E50" s="173">
        <f t="shared" si="6"/>
        <v>8</v>
      </c>
      <c r="F50" s="163">
        <f t="shared" si="3"/>
        <v>3.4</v>
      </c>
      <c r="G50" s="165">
        <f>IF(D50=D49,"",_xlfn.IFNA(VLOOKUP(D50,'인원 입력 기능 (사과탐)'!$P$64:$S$112,4,FALSE),0))</f>
        <v>404</v>
      </c>
      <c r="H50" s="166">
        <f t="shared" si="4"/>
        <v>2.3855919692943608E-2</v>
      </c>
      <c r="I50" s="168">
        <f>SUM($G$7:G50)</f>
        <v>16561</v>
      </c>
      <c r="J50" s="170">
        <f t="shared" si="5"/>
        <v>0.97791555949217601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172"/>
      <c r="E51" s="172"/>
      <c r="F51" s="162"/>
      <c r="G51" s="164"/>
      <c r="H51" s="167"/>
      <c r="I51" s="169"/>
      <c r="J51" s="171"/>
      <c r="K51" s="32"/>
      <c r="L51" s="3" t="str">
        <f t="shared" si="1"/>
        <v>경고</v>
      </c>
    </row>
    <row r="52" spans="1:12" ht="25" customHeight="1" x14ac:dyDescent="0.45">
      <c r="A52" s="4"/>
      <c r="B52" s="18"/>
      <c r="C52" s="81">
        <v>5</v>
      </c>
      <c r="D52" s="80">
        <f t="shared" si="2"/>
        <v>34</v>
      </c>
      <c r="E52" s="80">
        <f t="shared" si="6"/>
        <v>9</v>
      </c>
      <c r="F52" s="72">
        <f t="shared" si="3"/>
        <v>1.7</v>
      </c>
      <c r="G52" s="73">
        <f>IF(D52=D51,"",_xlfn.IFNA(VLOOKUP(D52,'인원 입력 기능 (사과탐)'!$P$64:$S$112,4,FALSE),0))</f>
        <v>171</v>
      </c>
      <c r="H52" s="74">
        <f t="shared" si="4"/>
        <v>1.0097431355181577E-2</v>
      </c>
      <c r="I52" s="78">
        <f>SUM($G$7:G52)</f>
        <v>16732</v>
      </c>
      <c r="J52" s="76">
        <f t="shared" si="5"/>
        <v>0.9880129908473575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161">
        <f t="shared" si="2"/>
        <v>33</v>
      </c>
      <c r="E53" s="161">
        <f t="shared" si="6"/>
        <v>9</v>
      </c>
      <c r="F53" s="163">
        <f t="shared" si="3"/>
        <v>0.83</v>
      </c>
      <c r="G53" s="165">
        <f>IF(D53=D52,"",_xlfn.IFNA(VLOOKUP(D53,'인원 입력 기능 (사과탐)'!$P$64:$S$112,4,FALSE),0))</f>
        <v>126</v>
      </c>
      <c r="H53" s="166">
        <f t="shared" si="4"/>
        <v>7.4402125775022143E-3</v>
      </c>
      <c r="I53" s="168">
        <f>SUM($G$7:G53)</f>
        <v>16858</v>
      </c>
      <c r="J53" s="170">
        <f t="shared" si="5"/>
        <v>0.99545320342485977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160"/>
      <c r="E54" s="160"/>
      <c r="F54" s="162"/>
      <c r="G54" s="164"/>
      <c r="H54" s="167"/>
      <c r="I54" s="169"/>
      <c r="J54" s="171"/>
      <c r="K54" s="32"/>
      <c r="L54" s="3" t="str">
        <f t="shared" si="1"/>
        <v>경고</v>
      </c>
    </row>
    <row r="55" spans="1:12" ht="25" customHeight="1" x14ac:dyDescent="0.45">
      <c r="A55" s="4"/>
      <c r="B55" s="18"/>
      <c r="C55" s="70">
        <v>2</v>
      </c>
      <c r="D55" s="71">
        <f t="shared" si="2"/>
        <v>32</v>
      </c>
      <c r="E55" s="71">
        <f t="shared" si="6"/>
        <v>9</v>
      </c>
      <c r="F55" s="72">
        <f t="shared" si="3"/>
        <v>0.3</v>
      </c>
      <c r="G55" s="73">
        <f>IF(D55=D54,"",_xlfn.IFNA(VLOOKUP(D55,'인원 입력 기능 (사과탐)'!$P$64:$S$112,4,FALSE),0))</f>
        <v>53</v>
      </c>
      <c r="H55" s="74">
        <f t="shared" si="4"/>
        <v>3.1296132270445822E-3</v>
      </c>
      <c r="I55" s="78">
        <f>SUM($G$7:G55)</f>
        <v>16911</v>
      </c>
      <c r="J55" s="76">
        <f t="shared" si="5"/>
        <v>0.99858281665190429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31</v>
      </c>
      <c r="E57" s="84">
        <f t="shared" si="6"/>
        <v>9</v>
      </c>
      <c r="F57" s="85">
        <f>IF(I55=0,ROUND(100*(1-(I54+I57)/2/$J$3),2),ROUND(100*(1-(I55+I57)/2/$J$3),2))</f>
        <v>7.0000000000000007E-2</v>
      </c>
      <c r="G57" s="86">
        <f>_xlfn.IFNA(VLOOKUP(D57,'인원 입력 기능 (사과탐)'!$P$64:$S$112,4,FALSE),0)</f>
        <v>24</v>
      </c>
      <c r="H57" s="87">
        <f>G57/$J$3</f>
        <v>1.41718334809566E-3</v>
      </c>
      <c r="I57" s="88">
        <f>SUM($G$7:G57)</f>
        <v>16935</v>
      </c>
      <c r="J57" s="89">
        <f>I57/$J$3</f>
        <v>1</v>
      </c>
      <c r="K57" s="32"/>
      <c r="L57" s="3" t="str">
        <f t="shared" ref="L57" si="7">IF(ABS((C57-$H$3)/$H$4*10+50-D57-0.5)&lt;0.1, "경고", "")</f>
        <v/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110">
    <mergeCell ref="I50:I51"/>
    <mergeCell ref="J50:J51"/>
    <mergeCell ref="D53:D54"/>
    <mergeCell ref="E53:E54"/>
    <mergeCell ref="F53:F54"/>
    <mergeCell ref="G53:G54"/>
    <mergeCell ref="H53:H54"/>
    <mergeCell ref="I53:I54"/>
    <mergeCell ref="J53:J54"/>
    <mergeCell ref="D50:D51"/>
    <mergeCell ref="E50:E51"/>
    <mergeCell ref="F50:F51"/>
    <mergeCell ref="G50:G51"/>
    <mergeCell ref="H50:H51"/>
    <mergeCell ref="I43:I44"/>
    <mergeCell ref="J43:J44"/>
    <mergeCell ref="D47:D48"/>
    <mergeCell ref="E47:E48"/>
    <mergeCell ref="F47:F48"/>
    <mergeCell ref="G47:G48"/>
    <mergeCell ref="H47:H48"/>
    <mergeCell ref="I47:I48"/>
    <mergeCell ref="J47:J48"/>
    <mergeCell ref="D43:D44"/>
    <mergeCell ref="E43:E44"/>
    <mergeCell ref="F43:F44"/>
    <mergeCell ref="G43:G44"/>
    <mergeCell ref="H43:H44"/>
    <mergeCell ref="I37:I38"/>
    <mergeCell ref="J37:J38"/>
    <mergeCell ref="D40:D41"/>
    <mergeCell ref="E40:E41"/>
    <mergeCell ref="F40:F41"/>
    <mergeCell ref="G40:G41"/>
    <mergeCell ref="H40:H41"/>
    <mergeCell ref="I40:I41"/>
    <mergeCell ref="J40:J41"/>
    <mergeCell ref="D37:D38"/>
    <mergeCell ref="E37:E38"/>
    <mergeCell ref="F37:F38"/>
    <mergeCell ref="G37:G38"/>
    <mergeCell ref="H37:H38"/>
    <mergeCell ref="I31:I32"/>
    <mergeCell ref="J31:J32"/>
    <mergeCell ref="D34:D35"/>
    <mergeCell ref="E34:E35"/>
    <mergeCell ref="F34:F35"/>
    <mergeCell ref="G34:G35"/>
    <mergeCell ref="H34:H35"/>
    <mergeCell ref="I34:I35"/>
    <mergeCell ref="J34:J35"/>
    <mergeCell ref="D31:D32"/>
    <mergeCell ref="E31:E32"/>
    <mergeCell ref="F31:F32"/>
    <mergeCell ref="G31:G32"/>
    <mergeCell ref="H31:H32"/>
    <mergeCell ref="I24:I25"/>
    <mergeCell ref="J24:J25"/>
    <mergeCell ref="D28:D29"/>
    <mergeCell ref="E28:E29"/>
    <mergeCell ref="F28:F29"/>
    <mergeCell ref="G28:G29"/>
    <mergeCell ref="H28:H29"/>
    <mergeCell ref="I28:I29"/>
    <mergeCell ref="J28:J29"/>
    <mergeCell ref="D24:D25"/>
    <mergeCell ref="E24:E25"/>
    <mergeCell ref="F24:F25"/>
    <mergeCell ref="G24:G25"/>
    <mergeCell ref="H24:H25"/>
    <mergeCell ref="I18:I19"/>
    <mergeCell ref="J18:J19"/>
    <mergeCell ref="D21:D22"/>
    <mergeCell ref="E21:E22"/>
    <mergeCell ref="F21:F22"/>
    <mergeCell ref="G21:G22"/>
    <mergeCell ref="H21:H22"/>
    <mergeCell ref="I21:I22"/>
    <mergeCell ref="J21:J22"/>
    <mergeCell ref="D18:D19"/>
    <mergeCell ref="E18:E19"/>
    <mergeCell ref="F18:F19"/>
    <mergeCell ref="G18:G19"/>
    <mergeCell ref="H18:H19"/>
    <mergeCell ref="H12:H13"/>
    <mergeCell ref="I12:I13"/>
    <mergeCell ref="J12:J13"/>
    <mergeCell ref="D15:D16"/>
    <mergeCell ref="E15:E16"/>
    <mergeCell ref="F15:F16"/>
    <mergeCell ref="G15:G16"/>
    <mergeCell ref="H15:H16"/>
    <mergeCell ref="I15:I16"/>
    <mergeCell ref="J15:J16"/>
    <mergeCell ref="D3:F3"/>
    <mergeCell ref="D4:F4"/>
    <mergeCell ref="D8:J8"/>
    <mergeCell ref="D56:J56"/>
    <mergeCell ref="G5:J5"/>
    <mergeCell ref="D9:D10"/>
    <mergeCell ref="E9:E10"/>
    <mergeCell ref="F9:F10"/>
    <mergeCell ref="G9:G10"/>
    <mergeCell ref="H9:H10"/>
    <mergeCell ref="I9:I10"/>
    <mergeCell ref="J9:J10"/>
    <mergeCell ref="D12:D13"/>
    <mergeCell ref="E12:E13"/>
    <mergeCell ref="F12:F13"/>
    <mergeCell ref="G12:G13"/>
  </mergeCells>
  <phoneticPr fontId="1" type="noConversion"/>
  <conditionalFormatting sqref="D7:D9 D11:D12 D14:D15 D17:D18 D20:D21 D23:D24 D26:D28 D30:D31 D33:D34 D36:D37 D39:D40 D42:D43 D45:D47 D49:D50 D52:D53 D55:D57">
    <cfRule type="expression" dxfId="47" priority="1">
      <formula>$D7=$D8</formula>
    </cfRule>
  </conditionalFormatting>
  <conditionalFormatting sqref="C7:C57">
    <cfRule type="expression" dxfId="46" priority="3">
      <formula>OR(AND($D7=0,OR($D6=$Q$7:$Q$14)),AND($D8&gt;0,OR($D7=$Q$7:$Q$14)))</formula>
    </cfRule>
  </conditionalFormatting>
  <conditionalFormatting sqref="D7:J7 D8 D57:J57 D56 D9:J9 D11:J12 D14:J15 D17:J18 D20:J21 D23:J24 D26:J28 D30:J31 D33:J34 D36:J37 D39:J40 D42:J43 D45:J47 D49:J50 D52:J53 D55:J55">
    <cfRule type="expression" dxfId="45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5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기능'!D14</f>
        <v>30.60</v>
      </c>
      <c r="I3" s="14" t="s">
        <v>110</v>
      </c>
      <c r="J3" s="36">
        <f>'통계 및 응시자 수 입력 기능'!C14</f>
        <v>94393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128</v>
      </c>
      <c r="E4" s="114"/>
      <c r="F4" s="115"/>
      <c r="G4" s="38" t="s">
        <v>113</v>
      </c>
      <c r="H4" s="39" t="str">
        <f>'통계 및 응시자 수 입력 기능'!E14</f>
        <v>13.48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64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96.61</v>
      </c>
      <c r="G7" s="73">
        <f>_xlfn.IFNA(VLOOKUP(D7,'인원 입력 기능 (사과탐)'!$A$121:$D$169,4,FALSE),0)</f>
        <v>6398</v>
      </c>
      <c r="H7" s="74">
        <f>G7/$J$3</f>
        <v>6.7780449821491007E-2</v>
      </c>
      <c r="I7" s="75">
        <f>G7</f>
        <v>6398</v>
      </c>
      <c r="J7" s="76">
        <f>I7/$J$3</f>
        <v>6.7780449821491007E-2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입력기능'!C94</f>
        <v>64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입력기능'!C95</f>
        <v>62</v>
      </c>
    </row>
    <row r="9" spans="1:17" ht="25" customHeight="1" x14ac:dyDescent="0.45">
      <c r="A9" s="4"/>
      <c r="B9" s="18"/>
      <c r="C9" s="70">
        <v>48</v>
      </c>
      <c r="D9" s="71">
        <f>ROUND(10*(C9-$H$3)/$H$4+50,0)</f>
        <v>63</v>
      </c>
      <c r="E9" s="71">
        <f t="shared" si="0"/>
        <v>2</v>
      </c>
      <c r="F9" s="72">
        <f>IF(I8=0,ROUND(100*(1-(I7+I9)/2/$J$3),2),ROUND(100*(1-(I8+I9)/2/$J$3),2))</f>
        <v>92.2</v>
      </c>
      <c r="G9" s="73">
        <f>_xlfn.IFNA(VLOOKUP(D9,'인원 입력 기능 (사과탐)'!$A$121:$D$169,4,FALSE),0)</f>
        <v>1935</v>
      </c>
      <c r="H9" s="74">
        <f>G9/$J$3</f>
        <v>2.0499401438666003E-2</v>
      </c>
      <c r="I9" s="78">
        <f>SUM($G$7:G9)</f>
        <v>8333</v>
      </c>
      <c r="J9" s="76">
        <f>I9/$J$3</f>
        <v>8.8279851260157E-2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입력기능'!C96</f>
        <v>59</v>
      </c>
    </row>
    <row r="10" spans="1:17" ht="25" customHeight="1" x14ac:dyDescent="0.45">
      <c r="A10" s="4"/>
      <c r="B10" s="18"/>
      <c r="C10" s="77">
        <v>47</v>
      </c>
      <c r="D10" s="71">
        <f t="shared" ref="D10:D55" si="2">ROUND(10*(C10-$H$3)/$H$4+50,0)</f>
        <v>62</v>
      </c>
      <c r="E10" s="71">
        <f t="shared" si="0"/>
        <v>2</v>
      </c>
      <c r="F10" s="72">
        <f t="shared" ref="F10:F55" si="3">IF(I9=0,ROUND(100*(1-(I8+I10)/2/$J$3),2),ROUND(100*(1-(I9+I10)/2/$J$3),2))</f>
        <v>88.32</v>
      </c>
      <c r="G10" s="73">
        <f>IF(D10=D9,"",_xlfn.IFNA(VLOOKUP(D10,'인원 입력 기능 (사과탐)'!$A$121:$D$169,4,FALSE),0))</f>
        <v>5377</v>
      </c>
      <c r="H10" s="74">
        <f t="shared" ref="H10:H55" si="4">G10/$J$3</f>
        <v>5.6963969785895144E-2</v>
      </c>
      <c r="I10" s="78">
        <f>SUM($G$7:G10)</f>
        <v>13710</v>
      </c>
      <c r="J10" s="76">
        <f t="shared" ref="J10:J55" si="5">I10/$J$3</f>
        <v>0.14524382104605216</v>
      </c>
      <c r="K10" s="32"/>
      <c r="L10" s="3" t="str">
        <f t="shared" si="1"/>
        <v/>
      </c>
      <c r="P10" s="1">
        <v>4</v>
      </c>
      <c r="Q10" s="1">
        <f>'표준점수 등급컷 입력기능'!C97</f>
        <v>55</v>
      </c>
    </row>
    <row r="11" spans="1:17" ht="25" customHeight="1" x14ac:dyDescent="0.45">
      <c r="A11" s="4"/>
      <c r="B11" s="18"/>
      <c r="C11" s="70">
        <v>46</v>
      </c>
      <c r="D11" s="161">
        <f t="shared" si="2"/>
        <v>61</v>
      </c>
      <c r="E11" s="161">
        <f t="shared" si="0"/>
        <v>3</v>
      </c>
      <c r="F11" s="163">
        <f t="shared" si="3"/>
        <v>83.73</v>
      </c>
      <c r="G11" s="165">
        <f>IF(D11=D10,"",_xlfn.IFNA(VLOOKUP(D11,'인원 입력 기능 (사과탐)'!$A$121:$D$169,4,FALSE),0))</f>
        <v>3296</v>
      </c>
      <c r="H11" s="166">
        <f t="shared" si="4"/>
        <v>3.4917843484156663E-2</v>
      </c>
      <c r="I11" s="168">
        <f>SUM($G$7:G11)</f>
        <v>17006</v>
      </c>
      <c r="J11" s="170">
        <f t="shared" si="5"/>
        <v>0.18016166453020882</v>
      </c>
      <c r="K11" s="32"/>
      <c r="L11" s="3" t="str">
        <f t="shared" si="1"/>
        <v/>
      </c>
      <c r="P11" s="1">
        <v>5</v>
      </c>
      <c r="Q11" s="1">
        <f>'표준점수 등급컷 입력기능'!C98</f>
        <v>48</v>
      </c>
    </row>
    <row r="12" spans="1:17" ht="25" customHeight="1" x14ac:dyDescent="0.45">
      <c r="A12" s="4"/>
      <c r="B12" s="18"/>
      <c r="C12" s="77">
        <v>45</v>
      </c>
      <c r="D12" s="160"/>
      <c r="E12" s="160"/>
      <c r="F12" s="162"/>
      <c r="G12" s="164"/>
      <c r="H12" s="167"/>
      <c r="I12" s="169"/>
      <c r="J12" s="171"/>
      <c r="K12" s="32"/>
      <c r="L12" s="3" t="str">
        <f t="shared" si="1"/>
        <v>경고</v>
      </c>
      <c r="P12" s="1">
        <v>6</v>
      </c>
      <c r="Q12" s="1">
        <f>'표준점수 등급컷 입력기능'!C99</f>
        <v>40</v>
      </c>
    </row>
    <row r="13" spans="1:17" ht="25" customHeight="1" x14ac:dyDescent="0.45">
      <c r="A13" s="4"/>
      <c r="B13" s="18"/>
      <c r="C13" s="70">
        <v>44</v>
      </c>
      <c r="D13" s="71">
        <f t="shared" si="2"/>
        <v>60</v>
      </c>
      <c r="E13" s="71">
        <f t="shared" si="0"/>
        <v>3</v>
      </c>
      <c r="F13" s="72">
        <f t="shared" si="3"/>
        <v>79.790000000000006</v>
      </c>
      <c r="G13" s="73">
        <f>IF(D13=D12,"",_xlfn.IFNA(VLOOKUP(D13,'인원 입력 기능 (사과탐)'!$A$121:$D$169,4,FALSE),0))</f>
        <v>4140</v>
      </c>
      <c r="H13" s="74">
        <f t="shared" si="4"/>
        <v>4.3859184473424934E-2</v>
      </c>
      <c r="I13" s="78">
        <f>SUM($G$7:G13)</f>
        <v>21146</v>
      </c>
      <c r="J13" s="76">
        <f t="shared" si="5"/>
        <v>0.22402084900363375</v>
      </c>
      <c r="K13" s="32"/>
      <c r="L13" s="3" t="str">
        <f t="shared" si="1"/>
        <v/>
      </c>
      <c r="P13" s="1">
        <v>7</v>
      </c>
      <c r="Q13" s="1">
        <f>'표준점수 등급컷 입력기능'!C100</f>
        <v>35</v>
      </c>
    </row>
    <row r="14" spans="1:17" ht="25" customHeight="1" x14ac:dyDescent="0.45">
      <c r="A14" s="4"/>
      <c r="B14" s="18"/>
      <c r="C14" s="77">
        <v>43</v>
      </c>
      <c r="D14" s="71">
        <f t="shared" si="2"/>
        <v>59</v>
      </c>
      <c r="E14" s="71">
        <f t="shared" si="0"/>
        <v>3</v>
      </c>
      <c r="F14" s="72">
        <f t="shared" si="3"/>
        <v>77.12</v>
      </c>
      <c r="G14" s="73">
        <f>IF(D14=D13,"",_xlfn.IFNA(VLOOKUP(D14,'인원 입력 기능 (사과탐)'!$A$121:$D$169,4,FALSE),0))</f>
        <v>906</v>
      </c>
      <c r="H14" s="74">
        <f t="shared" si="4"/>
        <v>9.5981693557785006E-3</v>
      </c>
      <c r="I14" s="78">
        <f>SUM($G$7:G14)</f>
        <v>22052</v>
      </c>
      <c r="J14" s="76">
        <f t="shared" si="5"/>
        <v>0.23361901835941223</v>
      </c>
      <c r="K14" s="32"/>
      <c r="L14" s="3" t="str">
        <f t="shared" si="1"/>
        <v/>
      </c>
      <c r="P14" s="1">
        <v>8</v>
      </c>
      <c r="Q14" s="1">
        <f>'표준점수 등급컷 입력기능'!C101</f>
        <v>34</v>
      </c>
    </row>
    <row r="15" spans="1:17" ht="25" customHeight="1" x14ac:dyDescent="0.45">
      <c r="A15" s="4"/>
      <c r="B15" s="18"/>
      <c r="C15" s="70">
        <v>42</v>
      </c>
      <c r="D15" s="161">
        <f t="shared" si="2"/>
        <v>58</v>
      </c>
      <c r="E15" s="161">
        <f t="shared" si="0"/>
        <v>4</v>
      </c>
      <c r="F15" s="163">
        <f t="shared" si="3"/>
        <v>73.209999999999994</v>
      </c>
      <c r="G15" s="165">
        <f>IF(D15=D14,"",_xlfn.IFNA(VLOOKUP(D15,'인원 입력 기능 (사과탐)'!$A$121:$D$169,4,FALSE),0))</f>
        <v>6476</v>
      </c>
      <c r="H15" s="166">
        <f t="shared" si="4"/>
        <v>6.8606782282584516E-2</v>
      </c>
      <c r="I15" s="168">
        <f>SUM($G$7:G15)</f>
        <v>28528</v>
      </c>
      <c r="J15" s="170">
        <f t="shared" si="5"/>
        <v>0.30222580064199678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160"/>
      <c r="E16" s="160"/>
      <c r="F16" s="162"/>
      <c r="G16" s="164"/>
      <c r="H16" s="167"/>
      <c r="I16" s="169"/>
      <c r="J16" s="171"/>
      <c r="K16" s="32"/>
      <c r="L16" s="3" t="str">
        <f t="shared" si="1"/>
        <v>경고</v>
      </c>
    </row>
    <row r="17" spans="1:16" ht="25" customHeight="1" x14ac:dyDescent="0.45">
      <c r="A17" s="4"/>
      <c r="B17" s="18"/>
      <c r="C17" s="70">
        <v>40</v>
      </c>
      <c r="D17" s="71">
        <f t="shared" si="2"/>
        <v>57</v>
      </c>
      <c r="E17" s="71">
        <f t="shared" si="0"/>
        <v>4</v>
      </c>
      <c r="F17" s="72">
        <f t="shared" si="3"/>
        <v>68.88</v>
      </c>
      <c r="G17" s="73">
        <f>IF(D17=D16,"",_xlfn.IFNA(VLOOKUP(D17,'인원 입력 기능 (사과탐)'!$A$121:$D$169,4,FALSE),0))</f>
        <v>1686</v>
      </c>
      <c r="H17" s="74">
        <f t="shared" si="4"/>
        <v>1.7861493966713632E-2</v>
      </c>
      <c r="I17" s="78">
        <f>SUM($G$7:G17)</f>
        <v>30214</v>
      </c>
      <c r="J17" s="76">
        <f t="shared" si="5"/>
        <v>0.32008729460871038</v>
      </c>
      <c r="K17" s="32"/>
      <c r="L17" s="3" t="str">
        <f t="shared" si="1"/>
        <v/>
      </c>
      <c r="P17" s="1">
        <f>Q7*H3*H4*J3*IFERROR(IF(J57=1,1,0),0)</f>
        <v>2491902706.1760001</v>
      </c>
    </row>
    <row r="18" spans="1:16" ht="25" customHeight="1" x14ac:dyDescent="0.45">
      <c r="A18" s="4"/>
      <c r="B18" s="18"/>
      <c r="C18" s="77">
        <v>39</v>
      </c>
      <c r="D18" s="71">
        <f t="shared" si="2"/>
        <v>56</v>
      </c>
      <c r="E18" s="71">
        <f t="shared" si="0"/>
        <v>4</v>
      </c>
      <c r="F18" s="72">
        <f t="shared" si="3"/>
        <v>66.099999999999994</v>
      </c>
      <c r="G18" s="73">
        <f>IF(D18=D17,"",_xlfn.IFNA(VLOOKUP(D18,'인원 입력 기능 (사과탐)'!$A$121:$D$169,4,FALSE),0))</f>
        <v>3567</v>
      </c>
      <c r="H18" s="74">
        <f t="shared" si="4"/>
        <v>3.7788819086161052E-2</v>
      </c>
      <c r="I18" s="78">
        <f>SUM($G$7:G18)</f>
        <v>33781</v>
      </c>
      <c r="J18" s="76">
        <f t="shared" si="5"/>
        <v>0.35787611369487143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161">
        <f t="shared" si="2"/>
        <v>55</v>
      </c>
      <c r="E19" s="161">
        <f t="shared" si="0"/>
        <v>4</v>
      </c>
      <c r="F19" s="163">
        <f t="shared" si="3"/>
        <v>61.76</v>
      </c>
      <c r="G19" s="165">
        <f>IF(D19=D18,"",_xlfn.IFNA(VLOOKUP(D19,'인원 입력 기능 (사과탐)'!$A$121:$D$169,4,FALSE),0))</f>
        <v>4634</v>
      </c>
      <c r="H19" s="166">
        <f t="shared" si="4"/>
        <v>4.9092623393683851E-2</v>
      </c>
      <c r="I19" s="168">
        <f>SUM($G$7:G19)</f>
        <v>38415</v>
      </c>
      <c r="J19" s="170">
        <f t="shared" si="5"/>
        <v>0.4069687370885553</v>
      </c>
      <c r="K19" s="32"/>
      <c r="L19" s="3" t="str">
        <f t="shared" si="1"/>
        <v/>
      </c>
    </row>
    <row r="20" spans="1:16" ht="25" customHeight="1" x14ac:dyDescent="0.45">
      <c r="A20" s="4"/>
      <c r="B20" s="18"/>
      <c r="C20" s="77">
        <v>37</v>
      </c>
      <c r="D20" s="160"/>
      <c r="E20" s="160"/>
      <c r="F20" s="162"/>
      <c r="G20" s="164"/>
      <c r="H20" s="167"/>
      <c r="I20" s="169"/>
      <c r="J20" s="171"/>
      <c r="K20" s="32"/>
      <c r="L20" s="3" t="str">
        <f t="shared" si="1"/>
        <v>경고</v>
      </c>
    </row>
    <row r="21" spans="1:16" ht="25" customHeight="1" x14ac:dyDescent="0.45">
      <c r="A21" s="4"/>
      <c r="B21" s="18"/>
      <c r="C21" s="79">
        <v>36</v>
      </c>
      <c r="D21" s="80">
        <f t="shared" si="2"/>
        <v>54</v>
      </c>
      <c r="E21" s="80">
        <f t="shared" si="0"/>
        <v>5</v>
      </c>
      <c r="F21" s="72">
        <f t="shared" si="3"/>
        <v>57.72</v>
      </c>
      <c r="G21" s="73">
        <f>IF(D21=D20,"",_xlfn.IFNA(VLOOKUP(D21,'인원 입력 기능 (사과탐)'!$A$121:$D$169,4,FALSE),0))</f>
        <v>2992</v>
      </c>
      <c r="H21" s="74">
        <f t="shared" si="4"/>
        <v>3.1697265687074254E-2</v>
      </c>
      <c r="I21" s="78">
        <f>SUM($G$7:G21)</f>
        <v>41407</v>
      </c>
      <c r="J21" s="76">
        <f t="shared" si="5"/>
        <v>0.43866600277562956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173">
        <f t="shared" si="2"/>
        <v>53</v>
      </c>
      <c r="E22" s="173">
        <f t="shared" si="0"/>
        <v>5</v>
      </c>
      <c r="F22" s="163">
        <f t="shared" si="3"/>
        <v>53.77</v>
      </c>
      <c r="G22" s="165">
        <f>IF(D22=D21,"",_xlfn.IFNA(VLOOKUP(D22,'인원 입력 기능 (사과탐)'!$A$121:$D$169,4,FALSE),0))</f>
        <v>4466</v>
      </c>
      <c r="H22" s="166">
        <f t="shared" si="4"/>
        <v>4.7312830400559364E-2</v>
      </c>
      <c r="I22" s="168">
        <f>SUM($G$7:G22)</f>
        <v>45873</v>
      </c>
      <c r="J22" s="170">
        <f t="shared" si="5"/>
        <v>0.4859788331761889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172"/>
      <c r="E23" s="172"/>
      <c r="F23" s="162"/>
      <c r="G23" s="164"/>
      <c r="H23" s="167"/>
      <c r="I23" s="169"/>
      <c r="J23" s="171"/>
      <c r="K23" s="32"/>
      <c r="L23" s="3" t="str">
        <f t="shared" si="1"/>
        <v>경고</v>
      </c>
    </row>
    <row r="24" spans="1:16" ht="25" customHeight="1" x14ac:dyDescent="0.45">
      <c r="A24" s="4"/>
      <c r="B24" s="18"/>
      <c r="C24" s="81">
        <v>33</v>
      </c>
      <c r="D24" s="80">
        <f t="shared" si="2"/>
        <v>52</v>
      </c>
      <c r="E24" s="80">
        <f t="shared" si="0"/>
        <v>5</v>
      </c>
      <c r="F24" s="72">
        <f t="shared" si="3"/>
        <v>50.27</v>
      </c>
      <c r="G24" s="73">
        <f>IF(D24=D23,"",_xlfn.IFNA(VLOOKUP(D24,'인원 입력 기능 (사과탐)'!$A$121:$D$169,4,FALSE),0))</f>
        <v>2130</v>
      </c>
      <c r="H24" s="74">
        <f t="shared" si="4"/>
        <v>2.2565232591399784E-2</v>
      </c>
      <c r="I24" s="78">
        <f>SUM($G$7:G24)</f>
        <v>48003</v>
      </c>
      <c r="J24" s="76">
        <f t="shared" si="5"/>
        <v>0.5085440657675887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80">
        <f t="shared" si="2"/>
        <v>51</v>
      </c>
      <c r="E25" s="80">
        <f t="shared" si="0"/>
        <v>5</v>
      </c>
      <c r="F25" s="72">
        <f t="shared" si="3"/>
        <v>48.07</v>
      </c>
      <c r="G25" s="73">
        <f>IF(D25=D24,"",_xlfn.IFNA(VLOOKUP(D25,'인원 입력 기능 (사과탐)'!$A$121:$D$169,4,FALSE),0))</f>
        <v>2029</v>
      </c>
      <c r="H25" s="74">
        <f t="shared" si="4"/>
        <v>2.1495237994342799E-2</v>
      </c>
      <c r="I25" s="78">
        <f>SUM($G$7:G25)</f>
        <v>50032</v>
      </c>
      <c r="J25" s="76">
        <f t="shared" si="5"/>
        <v>0.53003930376193154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173">
        <f t="shared" si="2"/>
        <v>50</v>
      </c>
      <c r="E26" s="173">
        <f t="shared" si="0"/>
        <v>5</v>
      </c>
      <c r="F26" s="163">
        <f t="shared" si="3"/>
        <v>44.93</v>
      </c>
      <c r="G26" s="165">
        <f>IF(D26=D25,"",_xlfn.IFNA(VLOOKUP(D26,'인원 입력 기능 (사과탐)'!$A$121:$D$169,4,FALSE),0))</f>
        <v>3899</v>
      </c>
      <c r="H26" s="166">
        <f t="shared" si="4"/>
        <v>4.1306029048764209E-2</v>
      </c>
      <c r="I26" s="168">
        <f>SUM($G$7:G26)</f>
        <v>53931</v>
      </c>
      <c r="J26" s="170">
        <f t="shared" si="5"/>
        <v>0.57134533281069566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172"/>
      <c r="E27" s="172"/>
      <c r="F27" s="162"/>
      <c r="G27" s="164"/>
      <c r="H27" s="167"/>
      <c r="I27" s="169"/>
      <c r="J27" s="171"/>
      <c r="K27" s="32"/>
      <c r="L27" s="3" t="str">
        <f t="shared" si="1"/>
        <v>경고</v>
      </c>
    </row>
    <row r="28" spans="1:16" ht="25" customHeight="1" x14ac:dyDescent="0.45">
      <c r="A28" s="4"/>
      <c r="B28" s="18"/>
      <c r="C28" s="81">
        <v>29</v>
      </c>
      <c r="D28" s="80">
        <f t="shared" si="2"/>
        <v>49</v>
      </c>
      <c r="E28" s="80">
        <f t="shared" si="0"/>
        <v>5</v>
      </c>
      <c r="F28" s="72">
        <f t="shared" si="3"/>
        <v>41.79</v>
      </c>
      <c r="G28" s="73">
        <f>IF(D28=D27,"",_xlfn.IFNA(VLOOKUP(D28,'인원 입력 기능 (사과탐)'!$A$121:$D$169,4,FALSE),0))</f>
        <v>2026</v>
      </c>
      <c r="H28" s="74">
        <f t="shared" si="4"/>
        <v>2.1463455976608436E-2</v>
      </c>
      <c r="I28" s="78">
        <f>SUM($G$7:G28)</f>
        <v>55957</v>
      </c>
      <c r="J28" s="76">
        <f t="shared" si="5"/>
        <v>0.59280878878730414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80">
        <f t="shared" si="2"/>
        <v>48</v>
      </c>
      <c r="E29" s="80">
        <f t="shared" si="0"/>
        <v>5</v>
      </c>
      <c r="F29" s="72">
        <f t="shared" si="3"/>
        <v>39.79</v>
      </c>
      <c r="G29" s="73">
        <f>IF(D29=D28,"",_xlfn.IFNA(VLOOKUP(D29,'인원 입력 기능 (사과탐)'!$A$121:$D$169,4,FALSE),0))</f>
        <v>1754</v>
      </c>
      <c r="H29" s="74">
        <f t="shared" si="4"/>
        <v>1.8581886368692593E-2</v>
      </c>
      <c r="I29" s="78">
        <f>SUM($G$7:G29)</f>
        <v>57711</v>
      </c>
      <c r="J29" s="76">
        <f t="shared" si="5"/>
        <v>0.61139067515599677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173">
        <f t="shared" si="2"/>
        <v>47</v>
      </c>
      <c r="E30" s="173">
        <f t="shared" si="0"/>
        <v>6</v>
      </c>
      <c r="F30" s="163">
        <f t="shared" si="3"/>
        <v>37.049999999999997</v>
      </c>
      <c r="G30" s="165">
        <f>IF(D30=D29,"",_xlfn.IFNA(VLOOKUP(D30,'인원 입력 기능 (사과탐)'!$A$121:$D$169,4,FALSE),0))</f>
        <v>3421</v>
      </c>
      <c r="H30" s="166">
        <f t="shared" si="4"/>
        <v>3.6242094223088578E-2</v>
      </c>
      <c r="I30" s="168">
        <f>SUM($G$7:G30)</f>
        <v>61132</v>
      </c>
      <c r="J30" s="170">
        <f t="shared" si="5"/>
        <v>0.64763276937908532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172"/>
      <c r="E31" s="172"/>
      <c r="F31" s="162"/>
      <c r="G31" s="164"/>
      <c r="H31" s="167"/>
      <c r="I31" s="169"/>
      <c r="J31" s="171"/>
      <c r="K31" s="32"/>
      <c r="L31" s="3" t="str">
        <f t="shared" si="1"/>
        <v>경고</v>
      </c>
    </row>
    <row r="32" spans="1:16" ht="25" customHeight="1" x14ac:dyDescent="0.45">
      <c r="A32" s="4"/>
      <c r="B32" s="18"/>
      <c r="C32" s="81">
        <v>25</v>
      </c>
      <c r="D32" s="80">
        <f t="shared" si="2"/>
        <v>46</v>
      </c>
      <c r="E32" s="80">
        <f t="shared" si="0"/>
        <v>6</v>
      </c>
      <c r="F32" s="72">
        <f t="shared" si="3"/>
        <v>34.46</v>
      </c>
      <c r="G32" s="73">
        <f>IF(D32=D31,"",_xlfn.IFNA(VLOOKUP(D32,'인원 입력 기능 (사과탐)'!$A$121:$D$169,4,FALSE),0))</f>
        <v>1458</v>
      </c>
      <c r="H32" s="74">
        <f t="shared" si="4"/>
        <v>1.5446060618901825E-2</v>
      </c>
      <c r="I32" s="78">
        <f>SUM($G$7:G32)</f>
        <v>62590</v>
      </c>
      <c r="J32" s="76">
        <f t="shared" si="5"/>
        <v>0.66307882999798717</v>
      </c>
      <c r="K32" s="32"/>
      <c r="L32" s="3" t="str">
        <f t="shared" si="1"/>
        <v/>
      </c>
    </row>
    <row r="33" spans="1:12" ht="25" customHeight="1" x14ac:dyDescent="0.45">
      <c r="A33" s="4"/>
      <c r="B33" s="18"/>
      <c r="C33" s="79">
        <v>24</v>
      </c>
      <c r="D33" s="80">
        <f t="shared" si="2"/>
        <v>45</v>
      </c>
      <c r="E33" s="80">
        <f t="shared" si="0"/>
        <v>6</v>
      </c>
      <c r="F33" s="72">
        <f t="shared" si="3"/>
        <v>32.840000000000003</v>
      </c>
      <c r="G33" s="73">
        <f>IF(D33=D32,"",_xlfn.IFNA(VLOOKUP(D33,'인원 입력 기능 (사과탐)'!$A$121:$D$169,4,FALSE),0))</f>
        <v>1600</v>
      </c>
      <c r="H33" s="74">
        <f t="shared" si="4"/>
        <v>1.6950409458328479E-2</v>
      </c>
      <c r="I33" s="78">
        <f>SUM($G$7:G33)</f>
        <v>64190</v>
      </c>
      <c r="J33" s="76">
        <f t="shared" si="5"/>
        <v>0.68002923945631566</v>
      </c>
      <c r="K33" s="32"/>
      <c r="L33" s="3" t="str">
        <f t="shared" si="1"/>
        <v/>
      </c>
    </row>
    <row r="34" spans="1:12" ht="25" customHeight="1" x14ac:dyDescent="0.45">
      <c r="A34" s="4"/>
      <c r="B34" s="18"/>
      <c r="C34" s="81">
        <v>23</v>
      </c>
      <c r="D34" s="173">
        <f t="shared" si="2"/>
        <v>44</v>
      </c>
      <c r="E34" s="173">
        <f t="shared" si="0"/>
        <v>6</v>
      </c>
      <c r="F34" s="163">
        <f t="shared" si="3"/>
        <v>30.48</v>
      </c>
      <c r="G34" s="165">
        <f>IF(D34=D33,"",_xlfn.IFNA(VLOOKUP(D34,'인원 입력 기능 (사과탐)'!$A$121:$D$169,4,FALSE),0))</f>
        <v>2861</v>
      </c>
      <c r="H34" s="166">
        <f t="shared" si="4"/>
        <v>3.0309450912673608E-2</v>
      </c>
      <c r="I34" s="168">
        <f>SUM($G$7:G34)</f>
        <v>67051</v>
      </c>
      <c r="J34" s="170">
        <f t="shared" si="5"/>
        <v>0.71033869036898922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172"/>
      <c r="E35" s="172"/>
      <c r="F35" s="162"/>
      <c r="G35" s="164"/>
      <c r="H35" s="167"/>
      <c r="I35" s="169"/>
      <c r="J35" s="171"/>
      <c r="K35" s="32"/>
      <c r="L35" s="3" t="str">
        <f t="shared" si="1"/>
        <v>경고</v>
      </c>
    </row>
    <row r="36" spans="1:12" ht="25" customHeight="1" x14ac:dyDescent="0.45">
      <c r="A36" s="4"/>
      <c r="B36" s="18"/>
      <c r="C36" s="81">
        <v>21</v>
      </c>
      <c r="D36" s="80">
        <f t="shared" si="2"/>
        <v>43</v>
      </c>
      <c r="E36" s="80">
        <f t="shared" si="0"/>
        <v>6</v>
      </c>
      <c r="F36" s="72">
        <f t="shared" si="3"/>
        <v>28.22</v>
      </c>
      <c r="G36" s="73">
        <f>IF(D36=D35,"",_xlfn.IFNA(VLOOKUP(D36,'인원 입력 기능 (사과탐)'!$A$121:$D$169,4,FALSE),0))</f>
        <v>1408</v>
      </c>
      <c r="H36" s="74">
        <f t="shared" si="4"/>
        <v>1.491636032332906E-2</v>
      </c>
      <c r="I36" s="78">
        <f>SUM($G$7:G36)</f>
        <v>68459</v>
      </c>
      <c r="J36" s="76">
        <f t="shared" si="5"/>
        <v>0.72525505069231833</v>
      </c>
      <c r="K36" s="32"/>
      <c r="L36" s="3" t="str">
        <f t="shared" si="1"/>
        <v/>
      </c>
    </row>
    <row r="37" spans="1:12" ht="25" customHeight="1" x14ac:dyDescent="0.45">
      <c r="A37" s="4"/>
      <c r="B37" s="18"/>
      <c r="C37" s="79">
        <v>20</v>
      </c>
      <c r="D37" s="80">
        <f t="shared" si="2"/>
        <v>42</v>
      </c>
      <c r="E37" s="80">
        <f t="shared" si="0"/>
        <v>6</v>
      </c>
      <c r="F37" s="72">
        <f t="shared" si="3"/>
        <v>26.85</v>
      </c>
      <c r="G37" s="73">
        <f>IF(D37=D36,"",_xlfn.IFNA(VLOOKUP(D37,'인원 입력 기능 (사과탐)'!$A$121:$D$169,4,FALSE),0))</f>
        <v>1187</v>
      </c>
      <c r="H37" s="74">
        <f t="shared" si="4"/>
        <v>1.257508501689744E-2</v>
      </c>
      <c r="I37" s="78">
        <f>SUM($G$7:G37)</f>
        <v>69646</v>
      </c>
      <c r="J37" s="76">
        <f t="shared" si="5"/>
        <v>0.73783013570921574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173">
        <f t="shared" si="2"/>
        <v>41</v>
      </c>
      <c r="E38" s="173">
        <f t="shared" si="0"/>
        <v>6</v>
      </c>
      <c r="F38" s="163">
        <f t="shared" si="3"/>
        <v>24.86</v>
      </c>
      <c r="G38" s="165">
        <f>IF(D38=D37,"",_xlfn.IFNA(VLOOKUP(D38,'인원 입력 기능 (사과탐)'!$A$121:$D$169,4,FALSE),0))</f>
        <v>2568</v>
      </c>
      <c r="H38" s="166">
        <f t="shared" si="4"/>
        <v>2.7205407180617206E-2</v>
      </c>
      <c r="I38" s="168">
        <f>SUM($G$7:G38)</f>
        <v>72214</v>
      </c>
      <c r="J38" s="170">
        <f t="shared" si="5"/>
        <v>0.76503554288983289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172"/>
      <c r="E39" s="172"/>
      <c r="F39" s="162"/>
      <c r="G39" s="164"/>
      <c r="H39" s="167"/>
      <c r="I39" s="169"/>
      <c r="J39" s="171"/>
      <c r="K39" s="32"/>
      <c r="L39" s="3" t="str">
        <f t="shared" si="1"/>
        <v>경고</v>
      </c>
    </row>
    <row r="40" spans="1:12" ht="25" customHeight="1" x14ac:dyDescent="0.45">
      <c r="A40" s="4"/>
      <c r="B40" s="18"/>
      <c r="C40" s="81">
        <v>17</v>
      </c>
      <c r="D40" s="80">
        <f t="shared" si="2"/>
        <v>40</v>
      </c>
      <c r="E40" s="80">
        <f t="shared" ref="E39:E57" si="6">IF(ROUND(D40,0)&gt;=$Q$7,1,IF(ROUND(D40,0)&gt;=$Q$8,2,IF(ROUND(D40,0)&gt;=$Q$9,3,IF(ROUND(D40,0)&gt;=$Q$10,4,IF(ROUND(D40,0)&gt;=$Q$11,5,IF(ROUND(D40,0)&gt;=$Q$12,6,IF(ROUND(D40,0)&gt;=$Q$13,7,IF(ROUND(D40,0)&gt;=$Q$14,8,9))))))))</f>
        <v>6</v>
      </c>
      <c r="F40" s="72">
        <f t="shared" si="3"/>
        <v>22.77</v>
      </c>
      <c r="G40" s="73">
        <f>IF(D40=D39,"",_xlfn.IFNA(VLOOKUP(D40,'인원 입력 기능 (사과탐)'!$A$121:$D$169,4,FALSE),0))</f>
        <v>1375</v>
      </c>
      <c r="H40" s="74">
        <f t="shared" si="4"/>
        <v>1.4566758128251036E-2</v>
      </c>
      <c r="I40" s="78">
        <f>SUM($G$7:G40)</f>
        <v>73589</v>
      </c>
      <c r="J40" s="76">
        <f t="shared" si="5"/>
        <v>0.77960230101808392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80">
        <f t="shared" si="2"/>
        <v>39</v>
      </c>
      <c r="E41" s="80">
        <f t="shared" si="6"/>
        <v>7</v>
      </c>
      <c r="F41" s="72">
        <f t="shared" si="3"/>
        <v>21.3</v>
      </c>
      <c r="G41" s="73">
        <f>IF(D41=D40,"",_xlfn.IFNA(VLOOKUP(D41,'인원 입력 기능 (사과탐)'!$A$121:$D$169,4,FALSE),0))</f>
        <v>1388</v>
      </c>
      <c r="H41" s="74">
        <f t="shared" si="4"/>
        <v>1.4704480205099955E-2</v>
      </c>
      <c r="I41" s="78">
        <f>SUM($G$7:G41)</f>
        <v>74977</v>
      </c>
      <c r="J41" s="76">
        <f t="shared" si="5"/>
        <v>0.79430678122318388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173">
        <f t="shared" si="2"/>
        <v>38</v>
      </c>
      <c r="E42" s="173">
        <f t="shared" si="6"/>
        <v>7</v>
      </c>
      <c r="F42" s="163">
        <f t="shared" si="3"/>
        <v>19.190000000000001</v>
      </c>
      <c r="G42" s="165">
        <f>IF(D42=D41,"",_xlfn.IFNA(VLOOKUP(D42,'인원 입력 기능 (사과탐)'!$A$121:$D$169,4,FALSE),0))</f>
        <v>2598</v>
      </c>
      <c r="H42" s="166">
        <f t="shared" si="4"/>
        <v>2.7523227357960867E-2</v>
      </c>
      <c r="I42" s="168">
        <f>SUM($G$7:G42)</f>
        <v>77575</v>
      </c>
      <c r="J42" s="170">
        <f t="shared" si="5"/>
        <v>0.82183000858114474</v>
      </c>
      <c r="K42" s="32"/>
      <c r="L42" s="3" t="str">
        <f t="shared" si="1"/>
        <v/>
      </c>
    </row>
    <row r="43" spans="1:12" ht="25" customHeight="1" x14ac:dyDescent="0.45">
      <c r="A43" s="4"/>
      <c r="B43" s="18"/>
      <c r="C43" s="79">
        <v>14</v>
      </c>
      <c r="D43" s="172"/>
      <c r="E43" s="172"/>
      <c r="F43" s="162"/>
      <c r="G43" s="164"/>
      <c r="H43" s="167"/>
      <c r="I43" s="169"/>
      <c r="J43" s="171"/>
      <c r="K43" s="32"/>
      <c r="L43" s="3" t="str">
        <f t="shared" si="1"/>
        <v>경고</v>
      </c>
    </row>
    <row r="44" spans="1:12" ht="25" customHeight="1" x14ac:dyDescent="0.45">
      <c r="A44" s="4"/>
      <c r="B44" s="18"/>
      <c r="C44" s="81">
        <v>13</v>
      </c>
      <c r="D44" s="80">
        <f t="shared" si="2"/>
        <v>37</v>
      </c>
      <c r="E44" s="80">
        <f t="shared" si="6"/>
        <v>7</v>
      </c>
      <c r="F44" s="72">
        <f t="shared" si="3"/>
        <v>17.03</v>
      </c>
      <c r="G44" s="73">
        <f>IF(D44=D43,"",_xlfn.IFNA(VLOOKUP(D44,'인원 입력 기능 (사과탐)'!$A$121:$D$169,4,FALSE),0))</f>
        <v>1483</v>
      </c>
      <c r="H44" s="74">
        <f t="shared" si="4"/>
        <v>1.5710910766688208E-2</v>
      </c>
      <c r="I44" s="78">
        <f>SUM($G$7:G44)</f>
        <v>79058</v>
      </c>
      <c r="J44" s="76">
        <f t="shared" si="5"/>
        <v>0.83754091934783303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80">
        <f t="shared" si="2"/>
        <v>36</v>
      </c>
      <c r="E45" s="80">
        <f t="shared" si="6"/>
        <v>7</v>
      </c>
      <c r="F45" s="72">
        <f t="shared" si="3"/>
        <v>15.24</v>
      </c>
      <c r="G45" s="73">
        <f>IF(D45=D44,"",_xlfn.IFNA(VLOOKUP(D45,'인원 입력 기능 (사과탐)'!$A$121:$D$169,4,FALSE),0))</f>
        <v>1901</v>
      </c>
      <c r="H45" s="74">
        <f t="shared" si="4"/>
        <v>2.0139205237676521E-2</v>
      </c>
      <c r="I45" s="78">
        <f>SUM($G$7:G45)</f>
        <v>80959</v>
      </c>
      <c r="J45" s="76">
        <f t="shared" si="5"/>
        <v>0.85768012458550957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173">
        <f t="shared" si="2"/>
        <v>35</v>
      </c>
      <c r="E46" s="173">
        <f t="shared" si="6"/>
        <v>7</v>
      </c>
      <c r="F46" s="163">
        <f t="shared" si="3"/>
        <v>9.5</v>
      </c>
      <c r="G46" s="165">
        <f>IF(D46=D45,"",_xlfn.IFNA(VLOOKUP(D46,'인원 입력 기능 (사과탐)'!$A$121:$D$169,4,FALSE),0))</f>
        <v>8940</v>
      </c>
      <c r="H46" s="166">
        <f t="shared" si="4"/>
        <v>9.4710412848410364E-2</v>
      </c>
      <c r="I46" s="168">
        <f>SUM($G$7:G46)</f>
        <v>89899</v>
      </c>
      <c r="J46" s="170">
        <f t="shared" si="5"/>
        <v>0.95239053743391988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172"/>
      <c r="E47" s="172"/>
      <c r="F47" s="162"/>
      <c r="G47" s="164"/>
      <c r="H47" s="167"/>
      <c r="I47" s="169"/>
      <c r="J47" s="171"/>
      <c r="K47" s="32"/>
      <c r="L47" s="3" t="str">
        <f t="shared" si="1"/>
        <v>경고</v>
      </c>
    </row>
    <row r="48" spans="1:12" ht="25" customHeight="1" x14ac:dyDescent="0.45">
      <c r="A48" s="4"/>
      <c r="B48" s="18"/>
      <c r="C48" s="81">
        <v>9</v>
      </c>
      <c r="D48" s="80">
        <f t="shared" si="2"/>
        <v>34</v>
      </c>
      <c r="E48" s="80">
        <f t="shared" si="6"/>
        <v>8</v>
      </c>
      <c r="F48" s="72">
        <f t="shared" si="3"/>
        <v>4.26</v>
      </c>
      <c r="G48" s="73">
        <f>IF(D48=D47,"",_xlfn.IFNA(VLOOKUP(D48,'인원 입력 기능 (사과탐)'!$A$121:$D$169,4,FALSE),0))</f>
        <v>938</v>
      </c>
      <c r="H48" s="74">
        <f t="shared" si="4"/>
        <v>9.9371775449450701E-3</v>
      </c>
      <c r="I48" s="78">
        <f>SUM($G$7:G48)</f>
        <v>90837</v>
      </c>
      <c r="J48" s="76">
        <f t="shared" si="5"/>
        <v>0.96232771497886493</v>
      </c>
      <c r="K48" s="32"/>
      <c r="L48" s="3" t="str">
        <f t="shared" si="1"/>
        <v/>
      </c>
    </row>
    <row r="49" spans="1:12" ht="25" customHeight="1" x14ac:dyDescent="0.45">
      <c r="A49" s="4"/>
      <c r="B49" s="18"/>
      <c r="C49" s="79">
        <v>8</v>
      </c>
      <c r="D49" s="173">
        <f t="shared" si="2"/>
        <v>33</v>
      </c>
      <c r="E49" s="173">
        <f t="shared" si="6"/>
        <v>9</v>
      </c>
      <c r="F49" s="163">
        <f t="shared" si="3"/>
        <v>2.94</v>
      </c>
      <c r="G49" s="165">
        <f>IF(D49=D48,"",_xlfn.IFNA(VLOOKUP(D49,'인원 입력 기능 (사과탐)'!$A$121:$D$169,4,FALSE),0))</f>
        <v>1555</v>
      </c>
      <c r="H49" s="166">
        <f t="shared" si="4"/>
        <v>1.647367919231299E-2</v>
      </c>
      <c r="I49" s="168">
        <f>SUM($G$7:G49)</f>
        <v>92392</v>
      </c>
      <c r="J49" s="170">
        <f t="shared" si="5"/>
        <v>0.97880139417117795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172"/>
      <c r="E50" s="172"/>
      <c r="F50" s="162"/>
      <c r="G50" s="164"/>
      <c r="H50" s="167"/>
      <c r="I50" s="169"/>
      <c r="J50" s="171"/>
      <c r="K50" s="32"/>
      <c r="L50" s="3" t="str">
        <f t="shared" si="1"/>
        <v>경고</v>
      </c>
    </row>
    <row r="51" spans="1:12" ht="25" customHeight="1" x14ac:dyDescent="0.45">
      <c r="A51" s="4"/>
      <c r="B51" s="18"/>
      <c r="C51" s="79">
        <v>6</v>
      </c>
      <c r="D51" s="80">
        <f t="shared" si="2"/>
        <v>32</v>
      </c>
      <c r="E51" s="80">
        <f t="shared" si="6"/>
        <v>9</v>
      </c>
      <c r="F51" s="72">
        <f t="shared" si="3"/>
        <v>1.76</v>
      </c>
      <c r="G51" s="73">
        <f>IF(D51=D50,"",_xlfn.IFNA(VLOOKUP(D51,'인원 입력 기능 (사과탐)'!$A$121:$D$169,4,FALSE),0))</f>
        <v>687</v>
      </c>
      <c r="H51" s="74">
        <f t="shared" si="4"/>
        <v>7.2780820611697905E-3</v>
      </c>
      <c r="I51" s="78">
        <f>SUM($G$7:G51)</f>
        <v>93079</v>
      </c>
      <c r="J51" s="76">
        <f t="shared" si="5"/>
        <v>0.98607947623234771</v>
      </c>
      <c r="K51" s="32"/>
      <c r="L51" s="3" t="str">
        <f t="shared" si="1"/>
        <v/>
      </c>
    </row>
    <row r="52" spans="1:12" ht="25" customHeight="1" x14ac:dyDescent="0.45">
      <c r="A52" s="4"/>
      <c r="B52" s="18"/>
      <c r="C52" s="81">
        <v>5</v>
      </c>
      <c r="D52" s="80">
        <f t="shared" si="2"/>
        <v>31</v>
      </c>
      <c r="E52" s="80">
        <f t="shared" si="6"/>
        <v>9</v>
      </c>
      <c r="F52" s="72">
        <f t="shared" si="3"/>
        <v>1.0900000000000001</v>
      </c>
      <c r="G52" s="73">
        <f>IF(D52=D51,"",_xlfn.IFNA(VLOOKUP(D52,'인원 입력 기능 (사과탐)'!$A$121:$D$169,4,FALSE),0))</f>
        <v>573</v>
      </c>
      <c r="H52" s="74">
        <f t="shared" si="4"/>
        <v>6.0703653872638862E-3</v>
      </c>
      <c r="I52" s="78">
        <f>SUM($G$7:G52)</f>
        <v>93652</v>
      </c>
      <c r="J52" s="76">
        <f t="shared" si="5"/>
        <v>0.99214984161961162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161">
        <f t="shared" si="2"/>
        <v>30</v>
      </c>
      <c r="E53" s="161">
        <f t="shared" si="6"/>
        <v>9</v>
      </c>
      <c r="F53" s="163">
        <f t="shared" si="3"/>
        <v>0.53</v>
      </c>
      <c r="G53" s="165">
        <f>IF(D53=D52,"",_xlfn.IFNA(VLOOKUP(D53,'인원 입력 기능 (사과탐)'!$A$121:$D$169,4,FALSE),0))</f>
        <v>474</v>
      </c>
      <c r="H53" s="166">
        <f t="shared" si="4"/>
        <v>5.0215588020298112E-3</v>
      </c>
      <c r="I53" s="168">
        <f>SUM($G$7:G53)</f>
        <v>94126</v>
      </c>
      <c r="J53" s="170">
        <f t="shared" si="5"/>
        <v>0.99717140042164143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160"/>
      <c r="E54" s="160"/>
      <c r="F54" s="162"/>
      <c r="G54" s="164"/>
      <c r="H54" s="167"/>
      <c r="I54" s="169"/>
      <c r="J54" s="171"/>
      <c r="K54" s="32"/>
      <c r="L54" s="3" t="str">
        <f t="shared" si="1"/>
        <v>경고</v>
      </c>
    </row>
    <row r="55" spans="1:12" ht="25" customHeight="1" x14ac:dyDescent="0.45">
      <c r="A55" s="4"/>
      <c r="B55" s="18"/>
      <c r="C55" s="70">
        <v>2</v>
      </c>
      <c r="D55" s="71">
        <f t="shared" si="2"/>
        <v>29</v>
      </c>
      <c r="E55" s="71">
        <f t="shared" si="6"/>
        <v>9</v>
      </c>
      <c r="F55" s="72">
        <f t="shared" si="3"/>
        <v>0.19</v>
      </c>
      <c r="G55" s="73">
        <f>IF(D55=D54,"",_xlfn.IFNA(VLOOKUP(D55,'인원 입력 기능 (사과탐)'!$A$121:$D$169,4,FALSE),0))</f>
        <v>170</v>
      </c>
      <c r="H55" s="74">
        <f t="shared" si="4"/>
        <v>1.8009810049474007E-3</v>
      </c>
      <c r="I55" s="78">
        <f>SUM($G$7:G55)</f>
        <v>94296</v>
      </c>
      <c r="J55" s="76">
        <f t="shared" si="5"/>
        <v>0.99897238142658884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27</v>
      </c>
      <c r="E57" s="84">
        <f t="shared" si="6"/>
        <v>9</v>
      </c>
      <c r="F57" s="85">
        <f>IF(I55=0,ROUND(100*(1-(I54+I57)/2/$J$3),2),ROUND(100*(1-(I55+I57)/2/$J$3),2))</f>
        <v>0.05</v>
      </c>
      <c r="G57" s="86">
        <f>_xlfn.IFNA(VLOOKUP(D57,'인원 입력 기능 (사과탐)'!$A$121:$D$169,4,FALSE),0)</f>
        <v>97</v>
      </c>
      <c r="H57" s="87">
        <f>G57/$J$3</f>
        <v>1.0276185734111639E-3</v>
      </c>
      <c r="I57" s="88">
        <f>SUM($G$7:G57)</f>
        <v>94393</v>
      </c>
      <c r="J57" s="89">
        <f>I57/$J$3</f>
        <v>1</v>
      </c>
      <c r="K57" s="32"/>
      <c r="L57" s="3" t="str">
        <f t="shared" ref="L57" si="7">IF(ABS((C57-$H$3)/$H$4*10+50-D57-0.5)&lt;0.1, "경고", "")</f>
        <v/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89">
    <mergeCell ref="I53:I54"/>
    <mergeCell ref="J53:J54"/>
    <mergeCell ref="D53:D54"/>
    <mergeCell ref="E53:E54"/>
    <mergeCell ref="F53:F54"/>
    <mergeCell ref="G53:G54"/>
    <mergeCell ref="H53:H54"/>
    <mergeCell ref="I46:I47"/>
    <mergeCell ref="J46:J47"/>
    <mergeCell ref="D49:D50"/>
    <mergeCell ref="E49:E50"/>
    <mergeCell ref="F49:F50"/>
    <mergeCell ref="G49:G50"/>
    <mergeCell ref="H49:H50"/>
    <mergeCell ref="I49:I50"/>
    <mergeCell ref="J49:J50"/>
    <mergeCell ref="D46:D47"/>
    <mergeCell ref="E46:E47"/>
    <mergeCell ref="F46:F47"/>
    <mergeCell ref="G46:G47"/>
    <mergeCell ref="H46:H47"/>
    <mergeCell ref="I38:I39"/>
    <mergeCell ref="J38:J39"/>
    <mergeCell ref="D42:D43"/>
    <mergeCell ref="E42:E43"/>
    <mergeCell ref="F42:F43"/>
    <mergeCell ref="G42:G43"/>
    <mergeCell ref="H42:H43"/>
    <mergeCell ref="I42:I43"/>
    <mergeCell ref="J42:J43"/>
    <mergeCell ref="D38:D39"/>
    <mergeCell ref="E38:E39"/>
    <mergeCell ref="F38:F39"/>
    <mergeCell ref="G38:G39"/>
    <mergeCell ref="H38:H39"/>
    <mergeCell ref="I30:I31"/>
    <mergeCell ref="J30:J31"/>
    <mergeCell ref="D34:D35"/>
    <mergeCell ref="E34:E35"/>
    <mergeCell ref="F34:F35"/>
    <mergeCell ref="G34:G35"/>
    <mergeCell ref="H34:H35"/>
    <mergeCell ref="I34:I35"/>
    <mergeCell ref="J34:J35"/>
    <mergeCell ref="D30:D31"/>
    <mergeCell ref="E30:E31"/>
    <mergeCell ref="F30:F31"/>
    <mergeCell ref="G30:G31"/>
    <mergeCell ref="H30:H31"/>
    <mergeCell ref="I22:I23"/>
    <mergeCell ref="J22:J23"/>
    <mergeCell ref="D26:D27"/>
    <mergeCell ref="E26:E27"/>
    <mergeCell ref="F26:F27"/>
    <mergeCell ref="G26:G27"/>
    <mergeCell ref="H26:H27"/>
    <mergeCell ref="I26:I27"/>
    <mergeCell ref="J26:J27"/>
    <mergeCell ref="D22:D23"/>
    <mergeCell ref="E22:E23"/>
    <mergeCell ref="F22:F23"/>
    <mergeCell ref="G22:G23"/>
    <mergeCell ref="H22:H23"/>
    <mergeCell ref="H15:H16"/>
    <mergeCell ref="I15:I16"/>
    <mergeCell ref="J15:J16"/>
    <mergeCell ref="D19:D20"/>
    <mergeCell ref="E19:E20"/>
    <mergeCell ref="F19:F20"/>
    <mergeCell ref="G19:G20"/>
    <mergeCell ref="H19:H20"/>
    <mergeCell ref="I19:I20"/>
    <mergeCell ref="J19:J20"/>
    <mergeCell ref="D3:F3"/>
    <mergeCell ref="D4:F4"/>
    <mergeCell ref="D8:J8"/>
    <mergeCell ref="D56:J56"/>
    <mergeCell ref="G5:J5"/>
    <mergeCell ref="D11:D12"/>
    <mergeCell ref="E11:E12"/>
    <mergeCell ref="F11:F12"/>
    <mergeCell ref="G11:G12"/>
    <mergeCell ref="H11:H12"/>
    <mergeCell ref="I11:I12"/>
    <mergeCell ref="J11:J12"/>
    <mergeCell ref="D15:D16"/>
    <mergeCell ref="E15:E16"/>
    <mergeCell ref="F15:F16"/>
    <mergeCell ref="G15:G16"/>
  </mergeCells>
  <phoneticPr fontId="1" type="noConversion"/>
  <conditionalFormatting sqref="D7:D11 D13:D15 D17:D19 D21:D22 D24:D26 D28:D30 D32:D34 D36:D38 D40:D42 D44:D46 D48:D49 D51:D53 D55:D57">
    <cfRule type="expression" dxfId="44" priority="1">
      <formula>$D7=$D8</formula>
    </cfRule>
  </conditionalFormatting>
  <conditionalFormatting sqref="C7:C57">
    <cfRule type="expression" dxfId="43" priority="2">
      <formula>OR(AND($D7=0,OR($D6=$Q$7:$Q$14)),AND($D8&gt;0,OR($D7=$Q$7:$Q$14)))</formula>
    </cfRule>
  </conditionalFormatting>
  <conditionalFormatting sqref="D7:J7 D8 D57:J57 D56 D9:J11 D13:J15 D17:J19 D21:J22 D24:J26 D28:J30 D32:J34 D36:J38 D40:J42 D44:J46 D48:J49 D51:J53 D55:J55">
    <cfRule type="expression" dxfId="42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6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기능'!D15</f>
        <v>25.72</v>
      </c>
      <c r="I3" s="14" t="s">
        <v>110</v>
      </c>
      <c r="J3" s="36">
        <f>'통계 및 응시자 수 입력 기능'!C15</f>
        <v>33364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127</v>
      </c>
      <c r="E4" s="114"/>
      <c r="F4" s="115"/>
      <c r="G4" s="38" t="s">
        <v>113</v>
      </c>
      <c r="H4" s="39" t="str">
        <f>'통계 및 응시자 수 입력 기능'!E15</f>
        <v>12.87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69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98.9</v>
      </c>
      <c r="G7" s="73">
        <f>_xlfn.IFNA(VLOOKUP(D7,'인원 입력 기능 (사과탐)'!$A$177:$D$225,4,FALSE),0)</f>
        <v>731</v>
      </c>
      <c r="H7" s="74">
        <f>G7/$J$3</f>
        <v>2.1909842944491068E-2</v>
      </c>
      <c r="I7" s="75">
        <f>G7</f>
        <v>731</v>
      </c>
      <c r="J7" s="76">
        <f>I7/$J$3</f>
        <v>2.1909842944491068E-2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입력기능'!C103</f>
        <v>67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입력기능'!C104</f>
        <v>64</v>
      </c>
    </row>
    <row r="9" spans="1:17" ht="25" customHeight="1" x14ac:dyDescent="0.45">
      <c r="A9" s="4"/>
      <c r="B9" s="18"/>
      <c r="C9" s="70">
        <v>48</v>
      </c>
      <c r="D9" s="161">
        <f>ROUND(10*(C9-$H$3)/$H$4+50,0)</f>
        <v>67</v>
      </c>
      <c r="E9" s="161">
        <f t="shared" si="0"/>
        <v>1</v>
      </c>
      <c r="F9" s="163">
        <f>IF(I8=0,ROUND(100*(1-(I7+I9)/2/$J$3),2),ROUND(100*(1-(I8+I9)/2/$J$3),2))</f>
        <v>95.68</v>
      </c>
      <c r="G9" s="165">
        <f>_xlfn.IFNA(VLOOKUP(D9,'인원 입력 기능 (사과탐)'!$A$177:$D$225,4,FALSE),0)</f>
        <v>1418</v>
      </c>
      <c r="H9" s="166">
        <f>G9/$J$3</f>
        <v>4.2500899172761057E-2</v>
      </c>
      <c r="I9" s="168">
        <f>SUM($G$7:G9)</f>
        <v>2149</v>
      </c>
      <c r="J9" s="170">
        <f>I9/$J$3</f>
        <v>6.4410742117252132E-2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입력기능'!C105</f>
        <v>60</v>
      </c>
    </row>
    <row r="10" spans="1:17" ht="25" customHeight="1" x14ac:dyDescent="0.45">
      <c r="A10" s="4"/>
      <c r="B10" s="18"/>
      <c r="C10" s="77">
        <v>47</v>
      </c>
      <c r="D10" s="160"/>
      <c r="E10" s="160"/>
      <c r="F10" s="162"/>
      <c r="G10" s="164"/>
      <c r="H10" s="167"/>
      <c r="I10" s="169"/>
      <c r="J10" s="171"/>
      <c r="K10" s="32"/>
      <c r="L10" s="3" t="str">
        <f t="shared" si="1"/>
        <v>경고</v>
      </c>
      <c r="P10" s="1">
        <v>4</v>
      </c>
      <c r="Q10" s="1">
        <f>'표준점수 등급컷 입력기능'!C106</f>
        <v>53</v>
      </c>
    </row>
    <row r="11" spans="1:17" ht="25" customHeight="1" x14ac:dyDescent="0.45">
      <c r="A11" s="4"/>
      <c r="B11" s="18"/>
      <c r="C11" s="70">
        <v>46</v>
      </c>
      <c r="D11" s="71">
        <f t="shared" ref="D10:D55" si="2">ROUND(10*(C11-$H$3)/$H$4+50,0)</f>
        <v>66</v>
      </c>
      <c r="E11" s="71">
        <f t="shared" si="0"/>
        <v>2</v>
      </c>
      <c r="F11" s="72">
        <f t="shared" ref="F10:F55" si="3">IF(I10=0,ROUND(100*(1-(I9+I11)/2/$J$3),2),ROUND(100*(1-(I10+I11)/2/$J$3),2))</f>
        <v>93.45</v>
      </c>
      <c r="G11" s="73">
        <f>IF(D11=D10,"",_xlfn.IFNA(VLOOKUP(D11,'인원 입력 기능 (사과탐)'!$A$177:$D$225,4,FALSE),0))</f>
        <v>74</v>
      </c>
      <c r="H11" s="74">
        <f t="shared" ref="H10:H55" si="4">G11/$J$3</f>
        <v>2.2179594772809017E-3</v>
      </c>
      <c r="I11" s="78">
        <f>SUM($G$7:G11)</f>
        <v>2223</v>
      </c>
      <c r="J11" s="76">
        <f t="shared" ref="J10:J55" si="5">I11/$J$3</f>
        <v>6.6628701594533032E-2</v>
      </c>
      <c r="K11" s="32"/>
      <c r="L11" s="3" t="str">
        <f t="shared" si="1"/>
        <v/>
      </c>
      <c r="P11" s="1">
        <v>5</v>
      </c>
      <c r="Q11" s="1">
        <f>'표준점수 등급컷 입력기능'!C107</f>
        <v>46</v>
      </c>
    </row>
    <row r="12" spans="1:17" ht="25" customHeight="1" x14ac:dyDescent="0.45">
      <c r="A12" s="4"/>
      <c r="B12" s="18"/>
      <c r="C12" s="77">
        <v>45</v>
      </c>
      <c r="D12" s="71">
        <f t="shared" si="2"/>
        <v>65</v>
      </c>
      <c r="E12" s="71">
        <f t="shared" si="0"/>
        <v>2</v>
      </c>
      <c r="F12" s="72">
        <f t="shared" si="3"/>
        <v>92.14</v>
      </c>
      <c r="G12" s="73">
        <f>IF(D12=D11,"",_xlfn.IFNA(VLOOKUP(D12,'인원 입력 기능 (사과탐)'!$A$177:$D$225,4,FALSE),0))</f>
        <v>798</v>
      </c>
      <c r="H12" s="74">
        <f t="shared" si="4"/>
        <v>2.3917995444191344E-2</v>
      </c>
      <c r="I12" s="78">
        <f>SUM($G$7:G12)</f>
        <v>3021</v>
      </c>
      <c r="J12" s="76">
        <f t="shared" si="5"/>
        <v>9.054669703872438E-2</v>
      </c>
      <c r="K12" s="32"/>
      <c r="L12" s="3" t="str">
        <f t="shared" si="1"/>
        <v/>
      </c>
      <c r="P12" s="1">
        <v>6</v>
      </c>
      <c r="Q12" s="1">
        <f>'표준점수 등급컷 입력기능'!C108</f>
        <v>40</v>
      </c>
    </row>
    <row r="13" spans="1:17" ht="25" customHeight="1" x14ac:dyDescent="0.45">
      <c r="A13" s="4"/>
      <c r="B13" s="18"/>
      <c r="C13" s="70">
        <v>44</v>
      </c>
      <c r="D13" s="71">
        <f t="shared" si="2"/>
        <v>64</v>
      </c>
      <c r="E13" s="71">
        <f t="shared" si="0"/>
        <v>2</v>
      </c>
      <c r="F13" s="72">
        <f t="shared" si="3"/>
        <v>89.71</v>
      </c>
      <c r="G13" s="73">
        <f>IF(D13=D12,"",_xlfn.IFNA(VLOOKUP(D13,'인원 입력 기능 (사과탐)'!$A$177:$D$225,4,FALSE),0))</f>
        <v>821</v>
      </c>
      <c r="H13" s="74">
        <f t="shared" si="4"/>
        <v>2.4607361227670543E-2</v>
      </c>
      <c r="I13" s="78">
        <f>SUM($G$7:G13)</f>
        <v>3842</v>
      </c>
      <c r="J13" s="76">
        <f t="shared" si="5"/>
        <v>0.11515405826639492</v>
      </c>
      <c r="K13" s="32"/>
      <c r="L13" s="3" t="str">
        <f t="shared" si="1"/>
        <v/>
      </c>
      <c r="P13" s="1">
        <v>7</v>
      </c>
      <c r="Q13" s="1">
        <f>'표준점수 등급컷 입력기능'!C109</f>
        <v>38</v>
      </c>
    </row>
    <row r="14" spans="1:17" ht="25" customHeight="1" x14ac:dyDescent="0.45">
      <c r="A14" s="4"/>
      <c r="B14" s="18"/>
      <c r="C14" s="81">
        <v>43</v>
      </c>
      <c r="D14" s="161">
        <f t="shared" si="2"/>
        <v>63</v>
      </c>
      <c r="E14" s="161">
        <f t="shared" si="0"/>
        <v>3</v>
      </c>
      <c r="F14" s="163">
        <f t="shared" si="3"/>
        <v>86.46</v>
      </c>
      <c r="G14" s="165">
        <f>IF(D14=D13,"",_xlfn.IFNA(VLOOKUP(D14,'인원 입력 기능 (사과탐)'!$A$177:$D$225,4,FALSE),0))</f>
        <v>1348</v>
      </c>
      <c r="H14" s="166">
        <f t="shared" si="4"/>
        <v>4.0402829396954804E-2</v>
      </c>
      <c r="I14" s="168">
        <f>SUM($G$7:G14)</f>
        <v>5190</v>
      </c>
      <c r="J14" s="170">
        <f t="shared" si="5"/>
        <v>0.15555688766334971</v>
      </c>
      <c r="K14" s="32"/>
      <c r="L14" s="3" t="str">
        <f t="shared" si="1"/>
        <v/>
      </c>
      <c r="P14" s="1">
        <v>8</v>
      </c>
      <c r="Q14" s="1">
        <f>'표준점수 등급컷 입력기능'!C110</f>
        <v>35</v>
      </c>
    </row>
    <row r="15" spans="1:17" ht="25" customHeight="1" x14ac:dyDescent="0.45">
      <c r="A15" s="4"/>
      <c r="B15" s="18"/>
      <c r="C15" s="70">
        <v>42</v>
      </c>
      <c r="D15" s="160"/>
      <c r="E15" s="160"/>
      <c r="F15" s="162"/>
      <c r="G15" s="164"/>
      <c r="H15" s="167"/>
      <c r="I15" s="169"/>
      <c r="J15" s="171"/>
      <c r="K15" s="32"/>
      <c r="L15" s="3" t="str">
        <f t="shared" si="1"/>
        <v>경고</v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71">
        <f t="shared" si="2"/>
        <v>62</v>
      </c>
      <c r="E16" s="71">
        <f t="shared" si="0"/>
        <v>3</v>
      </c>
      <c r="F16" s="72">
        <f t="shared" si="3"/>
        <v>83.56</v>
      </c>
      <c r="G16" s="73">
        <f>IF(D16=D15,"",_xlfn.IFNA(VLOOKUP(D16,'인원 입력 기능 (사과탐)'!$A$177:$D$225,4,FALSE),0))</f>
        <v>590</v>
      </c>
      <c r="H16" s="74">
        <f t="shared" si="4"/>
        <v>1.768373096750989E-2</v>
      </c>
      <c r="I16" s="78">
        <f>SUM($G$7:G16)</f>
        <v>5780</v>
      </c>
      <c r="J16" s="76">
        <f t="shared" si="5"/>
        <v>0.1732406186308596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71">
        <f t="shared" si="2"/>
        <v>61</v>
      </c>
      <c r="E17" s="71">
        <f t="shared" si="0"/>
        <v>3</v>
      </c>
      <c r="F17" s="72">
        <f t="shared" si="3"/>
        <v>81.63</v>
      </c>
      <c r="G17" s="73">
        <f>IF(D17=D16,"",_xlfn.IFNA(VLOOKUP(D17,'인원 입력 기능 (사과탐)'!$A$177:$D$225,4,FALSE),0))</f>
        <v>701</v>
      </c>
      <c r="H17" s="74">
        <f t="shared" si="4"/>
        <v>2.1010670183431245E-2</v>
      </c>
      <c r="I17" s="78">
        <f>SUM($G$7:G17)</f>
        <v>6481</v>
      </c>
      <c r="J17" s="76">
        <f t="shared" si="5"/>
        <v>0.19425128881429085</v>
      </c>
      <c r="K17" s="32"/>
      <c r="L17" s="3" t="str">
        <f t="shared" si="1"/>
        <v/>
      </c>
      <c r="P17" s="1">
        <f>Q7*H3*H4*J3*IFERROR(IF(J57=1,1,0),0)</f>
        <v>739950088.36319995</v>
      </c>
    </row>
    <row r="18" spans="1:16" ht="25" customHeight="1" x14ac:dyDescent="0.45">
      <c r="A18" s="4"/>
      <c r="B18" s="18"/>
      <c r="C18" s="77">
        <v>39</v>
      </c>
      <c r="D18" s="161">
        <f t="shared" si="2"/>
        <v>60</v>
      </c>
      <c r="E18" s="161">
        <f t="shared" si="0"/>
        <v>3</v>
      </c>
      <c r="F18" s="163">
        <f t="shared" si="3"/>
        <v>78.400000000000006</v>
      </c>
      <c r="G18" s="165">
        <f>IF(D18=D17,"",_xlfn.IFNA(VLOOKUP(D18,'인원 입력 기능 (사과탐)'!$A$177:$D$225,4,FALSE),0))</f>
        <v>1453</v>
      </c>
      <c r="H18" s="166">
        <f t="shared" si="4"/>
        <v>4.3549934060664187E-2</v>
      </c>
      <c r="I18" s="168">
        <f>SUM($G$7:G18)</f>
        <v>7934</v>
      </c>
      <c r="J18" s="170">
        <f t="shared" si="5"/>
        <v>0.23780122287495503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160"/>
      <c r="E19" s="160"/>
      <c r="F19" s="162"/>
      <c r="G19" s="164"/>
      <c r="H19" s="167"/>
      <c r="I19" s="169"/>
      <c r="J19" s="171"/>
      <c r="K19" s="32"/>
      <c r="L19" s="3" t="str">
        <f t="shared" si="1"/>
        <v>경고</v>
      </c>
    </row>
    <row r="20" spans="1:16" ht="25" customHeight="1" x14ac:dyDescent="0.45">
      <c r="A20" s="4"/>
      <c r="B20" s="18"/>
      <c r="C20" s="77">
        <v>37</v>
      </c>
      <c r="D20" s="71">
        <f t="shared" si="2"/>
        <v>59</v>
      </c>
      <c r="E20" s="71">
        <f t="shared" si="0"/>
        <v>4</v>
      </c>
      <c r="F20" s="72">
        <f t="shared" si="3"/>
        <v>75.040000000000006</v>
      </c>
      <c r="G20" s="73">
        <f>IF(D20=D19,"",_xlfn.IFNA(VLOOKUP(D20,'인원 입력 기능 (사과탐)'!$A$177:$D$225,4,FALSE),0))</f>
        <v>784</v>
      </c>
      <c r="H20" s="74">
        <f t="shared" si="4"/>
        <v>2.3498381489030093E-2</v>
      </c>
      <c r="I20" s="78">
        <f>SUM($G$7:G20)</f>
        <v>8718</v>
      </c>
      <c r="J20" s="76">
        <f t="shared" si="5"/>
        <v>0.26129960436398514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80">
        <f t="shared" si="2"/>
        <v>58</v>
      </c>
      <c r="E21" s="80">
        <f t="shared" si="0"/>
        <v>4</v>
      </c>
      <c r="F21" s="72">
        <f t="shared" si="3"/>
        <v>72.81</v>
      </c>
      <c r="G21" s="73">
        <f>IF(D21=D20,"",_xlfn.IFNA(VLOOKUP(D21,'인원 입력 기능 (사과탐)'!$A$177:$D$225,4,FALSE),0))</f>
        <v>706</v>
      </c>
      <c r="H21" s="74">
        <f t="shared" si="4"/>
        <v>2.1160532310274548E-2</v>
      </c>
      <c r="I21" s="78">
        <f>SUM($G$7:G21)</f>
        <v>9424</v>
      </c>
      <c r="J21" s="76">
        <f t="shared" si="5"/>
        <v>0.28246013667425968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80">
        <f t="shared" si="2"/>
        <v>57</v>
      </c>
      <c r="E22" s="80">
        <f t="shared" si="0"/>
        <v>4</v>
      </c>
      <c r="F22" s="72">
        <f t="shared" si="3"/>
        <v>70.77</v>
      </c>
      <c r="G22" s="73">
        <f>IF(D22=D21,"",_xlfn.IFNA(VLOOKUP(D22,'인원 입력 기능 (사과탐)'!$A$177:$D$225,4,FALSE),0))</f>
        <v>658</v>
      </c>
      <c r="H22" s="74">
        <f t="shared" si="4"/>
        <v>1.9721855892578827E-2</v>
      </c>
      <c r="I22" s="78">
        <f>SUM($G$7:G22)</f>
        <v>10082</v>
      </c>
      <c r="J22" s="76">
        <f t="shared" si="5"/>
        <v>0.30218199256683853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173">
        <f t="shared" si="2"/>
        <v>56</v>
      </c>
      <c r="E23" s="173">
        <f t="shared" si="0"/>
        <v>4</v>
      </c>
      <c r="F23" s="163">
        <f t="shared" si="3"/>
        <v>67.739999999999995</v>
      </c>
      <c r="G23" s="165">
        <f>IF(D23=D22,"",_xlfn.IFNA(VLOOKUP(D23,'인원 입력 기능 (사과탐)'!$A$177:$D$225,4,FALSE),0))</f>
        <v>1364</v>
      </c>
      <c r="H23" s="166">
        <f t="shared" si="4"/>
        <v>4.0882388202853372E-2</v>
      </c>
      <c r="I23" s="168">
        <f>SUM($G$7:G23)</f>
        <v>11446</v>
      </c>
      <c r="J23" s="170">
        <f t="shared" si="5"/>
        <v>0.34306438076969187</v>
      </c>
      <c r="K23" s="32"/>
      <c r="L23" s="3" t="str">
        <f t="shared" si="1"/>
        <v/>
      </c>
    </row>
    <row r="24" spans="1:16" ht="25" customHeight="1" x14ac:dyDescent="0.45">
      <c r="A24" s="4"/>
      <c r="B24" s="18"/>
      <c r="C24" s="81">
        <v>33</v>
      </c>
      <c r="D24" s="172"/>
      <c r="E24" s="172"/>
      <c r="F24" s="162"/>
      <c r="G24" s="164"/>
      <c r="H24" s="167"/>
      <c r="I24" s="169"/>
      <c r="J24" s="171"/>
      <c r="K24" s="32"/>
      <c r="L24" s="3" t="str">
        <f t="shared" si="1"/>
        <v>경고</v>
      </c>
    </row>
    <row r="25" spans="1:16" ht="25" customHeight="1" x14ac:dyDescent="0.45">
      <c r="A25" s="4"/>
      <c r="B25" s="18"/>
      <c r="C25" s="79">
        <v>32</v>
      </c>
      <c r="D25" s="80">
        <f t="shared" si="2"/>
        <v>55</v>
      </c>
      <c r="E25" s="80">
        <f t="shared" si="0"/>
        <v>4</v>
      </c>
      <c r="F25" s="72">
        <f t="shared" si="3"/>
        <v>64.69</v>
      </c>
      <c r="G25" s="73">
        <f>IF(D25=D24,"",_xlfn.IFNA(VLOOKUP(D25,'인원 입력 기능 (사과탐)'!$A$177:$D$225,4,FALSE),0))</f>
        <v>667</v>
      </c>
      <c r="H25" s="74">
        <f t="shared" si="4"/>
        <v>1.9991607720896774E-2</v>
      </c>
      <c r="I25" s="78">
        <f>SUM($G$7:G25)</f>
        <v>12113</v>
      </c>
      <c r="J25" s="76">
        <f t="shared" si="5"/>
        <v>0.36305598849058868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80">
        <f t="shared" si="2"/>
        <v>54</v>
      </c>
      <c r="E26" s="80">
        <f t="shared" si="0"/>
        <v>4</v>
      </c>
      <c r="F26" s="72">
        <f t="shared" si="3"/>
        <v>62.69</v>
      </c>
      <c r="G26" s="73">
        <f>IF(D26=D25,"",_xlfn.IFNA(VLOOKUP(D26,'인원 입력 기능 (사과탐)'!$A$177:$D$225,4,FALSE),0))</f>
        <v>667</v>
      </c>
      <c r="H26" s="74">
        <f t="shared" si="4"/>
        <v>1.9991607720896774E-2</v>
      </c>
      <c r="I26" s="78">
        <f>SUM($G$7:G26)</f>
        <v>12780</v>
      </c>
      <c r="J26" s="76">
        <f t="shared" si="5"/>
        <v>0.38304759621148543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173">
        <f t="shared" si="2"/>
        <v>53</v>
      </c>
      <c r="E27" s="173">
        <f t="shared" si="0"/>
        <v>4</v>
      </c>
      <c r="F27" s="163">
        <f t="shared" si="3"/>
        <v>59.75</v>
      </c>
      <c r="G27" s="165">
        <f>IF(D27=D26,"",_xlfn.IFNA(VLOOKUP(D27,'인원 입력 기능 (사과탐)'!$A$177:$D$225,4,FALSE),0))</f>
        <v>1301</v>
      </c>
      <c r="H27" s="166">
        <f t="shared" si="4"/>
        <v>3.8994125404627746E-2</v>
      </c>
      <c r="I27" s="168">
        <f>SUM($G$7:G27)</f>
        <v>14081</v>
      </c>
      <c r="J27" s="170">
        <f t="shared" si="5"/>
        <v>0.4220417216161132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172"/>
      <c r="E28" s="172"/>
      <c r="F28" s="162"/>
      <c r="G28" s="164"/>
      <c r="H28" s="167"/>
      <c r="I28" s="169"/>
      <c r="J28" s="171"/>
      <c r="K28" s="32"/>
      <c r="L28" s="3" t="str">
        <f t="shared" si="1"/>
        <v>경고</v>
      </c>
    </row>
    <row r="29" spans="1:16" ht="25" customHeight="1" x14ac:dyDescent="0.45">
      <c r="A29" s="4"/>
      <c r="B29" s="18"/>
      <c r="C29" s="79">
        <v>28</v>
      </c>
      <c r="D29" s="80">
        <f t="shared" si="2"/>
        <v>52</v>
      </c>
      <c r="E29" s="80">
        <f t="shared" si="0"/>
        <v>5</v>
      </c>
      <c r="F29" s="72">
        <f t="shared" si="3"/>
        <v>56.94</v>
      </c>
      <c r="G29" s="73">
        <f>IF(D29=D28,"",_xlfn.IFNA(VLOOKUP(D29,'인원 입력 기능 (사과탐)'!$A$177:$D$225,4,FALSE),0))</f>
        <v>568</v>
      </c>
      <c r="H29" s="74">
        <f t="shared" si="4"/>
        <v>1.7024337609399351E-2</v>
      </c>
      <c r="I29" s="78">
        <f>SUM($G$7:G29)</f>
        <v>14649</v>
      </c>
      <c r="J29" s="76">
        <f t="shared" si="5"/>
        <v>0.43906605922551251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80">
        <f t="shared" si="2"/>
        <v>51</v>
      </c>
      <c r="E30" s="80">
        <f t="shared" si="0"/>
        <v>5</v>
      </c>
      <c r="F30" s="72">
        <f t="shared" si="3"/>
        <v>55.12</v>
      </c>
      <c r="G30" s="73">
        <f>IF(D30=D29,"",_xlfn.IFNA(VLOOKUP(D30,'인원 입력 기능 (사과탐)'!$A$177:$D$225,4,FALSE),0))</f>
        <v>647</v>
      </c>
      <c r="H30" s="74">
        <f t="shared" si="4"/>
        <v>1.9392159213523559E-2</v>
      </c>
      <c r="I30" s="78">
        <f>SUM($G$7:G30)</f>
        <v>15296</v>
      </c>
      <c r="J30" s="76">
        <f t="shared" si="5"/>
        <v>0.45845821843903611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80">
        <f t="shared" si="2"/>
        <v>50</v>
      </c>
      <c r="E31" s="80">
        <f t="shared" si="0"/>
        <v>5</v>
      </c>
      <c r="F31" s="72">
        <f t="shared" si="3"/>
        <v>53.18</v>
      </c>
      <c r="G31" s="73">
        <f>IF(D31=D30,"",_xlfn.IFNA(VLOOKUP(D31,'인원 입력 기능 (사과탐)'!$A$177:$D$225,4,FALSE),0))</f>
        <v>652</v>
      </c>
      <c r="H31" s="74">
        <f t="shared" si="4"/>
        <v>1.9542021340366863E-2</v>
      </c>
      <c r="I31" s="78">
        <f>SUM($G$7:G31)</f>
        <v>15948</v>
      </c>
      <c r="J31" s="76">
        <f t="shared" si="5"/>
        <v>0.47800023977940292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173">
        <f t="shared" si="2"/>
        <v>49</v>
      </c>
      <c r="E32" s="173">
        <f t="shared" si="0"/>
        <v>5</v>
      </c>
      <c r="F32" s="163">
        <f t="shared" si="3"/>
        <v>50.23</v>
      </c>
      <c r="G32" s="165">
        <f>IF(D32=D31,"",_xlfn.IFNA(VLOOKUP(D32,'인원 입력 기능 (사과탐)'!$A$177:$D$225,4,FALSE),0))</f>
        <v>1314</v>
      </c>
      <c r="H32" s="166">
        <f t="shared" si="4"/>
        <v>3.9383766934420333E-2</v>
      </c>
      <c r="I32" s="168">
        <f>SUM($G$7:G32)</f>
        <v>17262</v>
      </c>
      <c r="J32" s="170">
        <f t="shared" si="5"/>
        <v>0.51738400671382323</v>
      </c>
      <c r="K32" s="32"/>
      <c r="L32" s="3" t="str">
        <f t="shared" si="1"/>
        <v/>
      </c>
    </row>
    <row r="33" spans="1:12" ht="25" customHeight="1" x14ac:dyDescent="0.45">
      <c r="A33" s="4"/>
      <c r="B33" s="18"/>
      <c r="C33" s="79">
        <v>24</v>
      </c>
      <c r="D33" s="172"/>
      <c r="E33" s="172"/>
      <c r="F33" s="162"/>
      <c r="G33" s="164"/>
      <c r="H33" s="167"/>
      <c r="I33" s="169"/>
      <c r="J33" s="171"/>
      <c r="K33" s="32"/>
      <c r="L33" s="3" t="str">
        <f t="shared" si="1"/>
        <v>경고</v>
      </c>
    </row>
    <row r="34" spans="1:12" ht="25" customHeight="1" x14ac:dyDescent="0.45">
      <c r="A34" s="4"/>
      <c r="B34" s="18"/>
      <c r="C34" s="81">
        <v>23</v>
      </c>
      <c r="D34" s="80">
        <f t="shared" si="2"/>
        <v>48</v>
      </c>
      <c r="E34" s="80">
        <f t="shared" si="0"/>
        <v>5</v>
      </c>
      <c r="F34" s="72">
        <f t="shared" si="3"/>
        <v>47.26</v>
      </c>
      <c r="G34" s="73">
        <f>IF(D34=D33,"",_xlfn.IFNA(VLOOKUP(D34,'인원 입력 기능 (사과탐)'!$A$177:$D$225,4,FALSE),0))</f>
        <v>667</v>
      </c>
      <c r="H34" s="74">
        <f t="shared" si="4"/>
        <v>1.9991607720896774E-2</v>
      </c>
      <c r="I34" s="78">
        <f>SUM($G$7:G34)</f>
        <v>17929</v>
      </c>
      <c r="J34" s="76">
        <f t="shared" si="5"/>
        <v>0.53737561443472004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80">
        <f t="shared" si="2"/>
        <v>47</v>
      </c>
      <c r="E35" s="80">
        <f t="shared" si="0"/>
        <v>5</v>
      </c>
      <c r="F35" s="72">
        <f t="shared" si="3"/>
        <v>45.14</v>
      </c>
      <c r="G35" s="73">
        <f>IF(D35=D34,"",_xlfn.IFNA(VLOOKUP(D35,'인원 입력 기능 (사과탐)'!$A$177:$D$225,4,FALSE),0))</f>
        <v>752</v>
      </c>
      <c r="H35" s="74">
        <f t="shared" si="4"/>
        <v>2.2539263877232946E-2</v>
      </c>
      <c r="I35" s="78">
        <f>SUM($G$7:G35)</f>
        <v>18681</v>
      </c>
      <c r="J35" s="76">
        <f t="shared" si="5"/>
        <v>0.55991487831195297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173">
        <f t="shared" si="2"/>
        <v>46</v>
      </c>
      <c r="E36" s="173">
        <f t="shared" si="0"/>
        <v>5</v>
      </c>
      <c r="F36" s="163">
        <f t="shared" si="3"/>
        <v>41.78</v>
      </c>
      <c r="G36" s="165">
        <f>IF(D36=D35,"",_xlfn.IFNA(VLOOKUP(D36,'인원 입력 기능 (사과탐)'!$A$177:$D$225,4,FALSE),0))</f>
        <v>1488</v>
      </c>
      <c r="H36" s="166">
        <f t="shared" si="4"/>
        <v>4.4598968948567318E-2</v>
      </c>
      <c r="I36" s="168">
        <f>SUM($G$7:G36)</f>
        <v>20169</v>
      </c>
      <c r="J36" s="170">
        <f t="shared" si="5"/>
        <v>0.60451384726052038</v>
      </c>
      <c r="K36" s="32"/>
      <c r="L36" s="3" t="str">
        <f t="shared" si="1"/>
        <v/>
      </c>
    </row>
    <row r="37" spans="1:12" ht="25" customHeight="1" x14ac:dyDescent="0.45">
      <c r="A37" s="4"/>
      <c r="B37" s="18"/>
      <c r="C37" s="79">
        <v>20</v>
      </c>
      <c r="D37" s="172"/>
      <c r="E37" s="172"/>
      <c r="F37" s="162"/>
      <c r="G37" s="164"/>
      <c r="H37" s="167"/>
      <c r="I37" s="169"/>
      <c r="J37" s="171"/>
      <c r="K37" s="32"/>
      <c r="L37" s="3" t="str">
        <f t="shared" si="1"/>
        <v>경고</v>
      </c>
    </row>
    <row r="38" spans="1:12" ht="25" customHeight="1" x14ac:dyDescent="0.45">
      <c r="A38" s="4"/>
      <c r="B38" s="18"/>
      <c r="C38" s="81">
        <v>19</v>
      </c>
      <c r="D38" s="80">
        <f t="shared" si="2"/>
        <v>45</v>
      </c>
      <c r="E38" s="80">
        <f t="shared" si="0"/>
        <v>6</v>
      </c>
      <c r="F38" s="72">
        <f t="shared" si="3"/>
        <v>38.369999999999997</v>
      </c>
      <c r="G38" s="73">
        <f>IF(D38=D37,"",_xlfn.IFNA(VLOOKUP(D38,'인원 입력 기능 (사과탐)'!$A$177:$D$225,4,FALSE),0))</f>
        <v>785</v>
      </c>
      <c r="H38" s="74">
        <f t="shared" si="4"/>
        <v>2.3528353914398753E-2</v>
      </c>
      <c r="I38" s="78">
        <f>SUM($G$7:G38)</f>
        <v>20954</v>
      </c>
      <c r="J38" s="76">
        <f t="shared" si="5"/>
        <v>0.62804220117491905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80">
        <f t="shared" si="2"/>
        <v>44</v>
      </c>
      <c r="E39" s="8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2">
        <f t="shared" si="3"/>
        <v>35.93</v>
      </c>
      <c r="G39" s="73">
        <f>IF(D39=D38,"",_xlfn.IFNA(VLOOKUP(D39,'인원 입력 기능 (사과탐)'!$A$177:$D$225,4,FALSE),0))</f>
        <v>845</v>
      </c>
      <c r="H39" s="74">
        <f t="shared" si="4"/>
        <v>2.5326699436518402E-2</v>
      </c>
      <c r="I39" s="78">
        <f>SUM($G$7:G39)</f>
        <v>21799</v>
      </c>
      <c r="J39" s="76">
        <f t="shared" si="5"/>
        <v>0.65336890061143749</v>
      </c>
      <c r="K39" s="32"/>
      <c r="L39" s="3" t="str">
        <f t="shared" si="1"/>
        <v/>
      </c>
    </row>
    <row r="40" spans="1:12" ht="25" customHeight="1" x14ac:dyDescent="0.45">
      <c r="A40" s="4"/>
      <c r="B40" s="18"/>
      <c r="C40" s="81">
        <v>17</v>
      </c>
      <c r="D40" s="80">
        <f t="shared" si="2"/>
        <v>43</v>
      </c>
      <c r="E40" s="80">
        <f t="shared" si="6"/>
        <v>6</v>
      </c>
      <c r="F40" s="72">
        <f t="shared" si="3"/>
        <v>33.35</v>
      </c>
      <c r="G40" s="73">
        <f>IF(D40=D39,"",_xlfn.IFNA(VLOOKUP(D40,'인원 입력 기능 (사과탐)'!$A$177:$D$225,4,FALSE),0))</f>
        <v>876</v>
      </c>
      <c r="H40" s="74">
        <f t="shared" si="4"/>
        <v>2.6255844622946889E-2</v>
      </c>
      <c r="I40" s="78">
        <f>SUM($G$7:G40)</f>
        <v>22675</v>
      </c>
      <c r="J40" s="76">
        <f t="shared" si="5"/>
        <v>0.67962474523438432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173">
        <f t="shared" si="2"/>
        <v>42</v>
      </c>
      <c r="E41" s="173">
        <f t="shared" si="6"/>
        <v>6</v>
      </c>
      <c r="F41" s="163">
        <f t="shared" si="3"/>
        <v>29.32</v>
      </c>
      <c r="G41" s="165">
        <f>IF(D41=D40,"",_xlfn.IFNA(VLOOKUP(D41,'인원 입력 기능 (사과탐)'!$A$177:$D$225,4,FALSE),0))</f>
        <v>1816</v>
      </c>
      <c r="H41" s="166">
        <f t="shared" si="4"/>
        <v>5.4429924469488071E-2</v>
      </c>
      <c r="I41" s="168">
        <f>SUM($G$7:G41)</f>
        <v>24491</v>
      </c>
      <c r="J41" s="170">
        <f t="shared" si="5"/>
        <v>0.73405466970387245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172"/>
      <c r="E42" s="172"/>
      <c r="F42" s="162"/>
      <c r="G42" s="164"/>
      <c r="H42" s="167"/>
      <c r="I42" s="169"/>
      <c r="J42" s="171"/>
      <c r="K42" s="32"/>
      <c r="L42" s="3" t="str">
        <f t="shared" si="1"/>
        <v>경고</v>
      </c>
    </row>
    <row r="43" spans="1:12" ht="25" customHeight="1" x14ac:dyDescent="0.45">
      <c r="A43" s="4"/>
      <c r="B43" s="18"/>
      <c r="C43" s="79">
        <v>14</v>
      </c>
      <c r="D43" s="80">
        <f t="shared" si="2"/>
        <v>41</v>
      </c>
      <c r="E43" s="80">
        <f t="shared" si="6"/>
        <v>6</v>
      </c>
      <c r="F43" s="72">
        <f t="shared" si="3"/>
        <v>25.25</v>
      </c>
      <c r="G43" s="73">
        <f>IF(D43=D42,"",_xlfn.IFNA(VLOOKUP(D43,'인원 입력 기능 (사과탐)'!$A$177:$D$225,4,FALSE),0))</f>
        <v>900</v>
      </c>
      <c r="H43" s="74">
        <f t="shared" si="4"/>
        <v>2.6975182831794748E-2</v>
      </c>
      <c r="I43" s="78">
        <f>SUM($G$7:G43)</f>
        <v>25391</v>
      </c>
      <c r="J43" s="76">
        <f t="shared" si="5"/>
        <v>0.76102985253566724</v>
      </c>
      <c r="K43" s="32"/>
      <c r="L43" s="3" t="str">
        <f t="shared" si="1"/>
        <v/>
      </c>
    </row>
    <row r="44" spans="1:12" ht="25" customHeight="1" x14ac:dyDescent="0.45">
      <c r="A44" s="4"/>
      <c r="B44" s="18"/>
      <c r="C44" s="81">
        <v>13</v>
      </c>
      <c r="D44" s="80">
        <f t="shared" si="2"/>
        <v>40</v>
      </c>
      <c r="E44" s="80">
        <f t="shared" si="6"/>
        <v>6</v>
      </c>
      <c r="F44" s="72">
        <f t="shared" si="3"/>
        <v>20.69</v>
      </c>
      <c r="G44" s="73">
        <f>IF(D44=D43,"",_xlfn.IFNA(VLOOKUP(D44,'인원 입력 기능 (사과탐)'!$A$177:$D$225,4,FALSE),0))</f>
        <v>2137</v>
      </c>
      <c r="H44" s="74">
        <f t="shared" si="4"/>
        <v>6.4051073012828197E-2</v>
      </c>
      <c r="I44" s="78">
        <f>SUM($G$7:G44)</f>
        <v>27528</v>
      </c>
      <c r="J44" s="76">
        <f t="shared" si="5"/>
        <v>0.82508092554849544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173">
        <f t="shared" si="2"/>
        <v>39</v>
      </c>
      <c r="E45" s="173">
        <f t="shared" si="6"/>
        <v>7</v>
      </c>
      <c r="F45" s="163">
        <f t="shared" si="3"/>
        <v>14.89</v>
      </c>
      <c r="G45" s="165">
        <f>IF(D45=D44,"",_xlfn.IFNA(VLOOKUP(D45,'인원 입력 기능 (사과탐)'!$A$177:$D$225,4,FALSE),0))</f>
        <v>1735</v>
      </c>
      <c r="H45" s="166">
        <f t="shared" si="4"/>
        <v>5.2002158014626543E-2</v>
      </c>
      <c r="I45" s="168">
        <f>SUM($G$7:G45)</f>
        <v>29263</v>
      </c>
      <c r="J45" s="170">
        <f t="shared" si="5"/>
        <v>0.87708308356312192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172"/>
      <c r="E46" s="172"/>
      <c r="F46" s="162"/>
      <c r="G46" s="164"/>
      <c r="H46" s="167"/>
      <c r="I46" s="169"/>
      <c r="J46" s="171"/>
      <c r="K46" s="32"/>
      <c r="L46" s="3" t="str">
        <f t="shared" si="1"/>
        <v>경고</v>
      </c>
    </row>
    <row r="47" spans="1:12" ht="25" customHeight="1" x14ac:dyDescent="0.45">
      <c r="A47" s="4"/>
      <c r="B47" s="18"/>
      <c r="C47" s="79">
        <v>10</v>
      </c>
      <c r="D47" s="80">
        <f t="shared" si="2"/>
        <v>38</v>
      </c>
      <c r="E47" s="80">
        <f t="shared" si="6"/>
        <v>7</v>
      </c>
      <c r="F47" s="72">
        <f t="shared" si="3"/>
        <v>10.34</v>
      </c>
      <c r="G47" s="73">
        <f>IF(D47=D46,"",_xlfn.IFNA(VLOOKUP(D47,'인원 입력 기능 (사과탐)'!$A$177:$D$225,4,FALSE),0))</f>
        <v>1303</v>
      </c>
      <c r="H47" s="74">
        <f t="shared" si="4"/>
        <v>3.9054070255365066E-2</v>
      </c>
      <c r="I47" s="78">
        <f>SUM($G$7:G47)</f>
        <v>30566</v>
      </c>
      <c r="J47" s="76">
        <f t="shared" si="5"/>
        <v>0.91613715381848704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81">
        <v>9</v>
      </c>
      <c r="D48" s="80">
        <f t="shared" si="2"/>
        <v>37</v>
      </c>
      <c r="E48" s="80">
        <f t="shared" si="6"/>
        <v>8</v>
      </c>
      <c r="F48" s="72">
        <f t="shared" si="3"/>
        <v>7.18</v>
      </c>
      <c r="G48" s="73">
        <f>IF(D48=D47,"",_xlfn.IFNA(VLOOKUP(D48,'인원 입력 기능 (사과탐)'!$A$177:$D$225,4,FALSE),0))</f>
        <v>807</v>
      </c>
      <c r="H48" s="74">
        <f t="shared" si="4"/>
        <v>2.4187747272509292E-2</v>
      </c>
      <c r="I48" s="78">
        <f>SUM($G$7:G48)</f>
        <v>31373</v>
      </c>
      <c r="J48" s="76">
        <f t="shared" si="5"/>
        <v>0.94032490109099631</v>
      </c>
      <c r="K48" s="32"/>
      <c r="L48" s="3" t="str">
        <f t="shared" si="1"/>
        <v/>
      </c>
    </row>
    <row r="49" spans="1:12" ht="25" customHeight="1" x14ac:dyDescent="0.45">
      <c r="A49" s="4"/>
      <c r="B49" s="18"/>
      <c r="C49" s="79">
        <v>8</v>
      </c>
      <c r="D49" s="80">
        <f t="shared" si="2"/>
        <v>36</v>
      </c>
      <c r="E49" s="80">
        <f t="shared" si="6"/>
        <v>8</v>
      </c>
      <c r="F49" s="72">
        <f t="shared" si="3"/>
        <v>5.28</v>
      </c>
      <c r="G49" s="73">
        <f>IF(D49=D48,"",_xlfn.IFNA(VLOOKUP(D49,'인원 입력 기능 (사과탐)'!$A$177:$D$225,4,FALSE),0))</f>
        <v>457</v>
      </c>
      <c r="H49" s="74">
        <f t="shared" si="4"/>
        <v>1.3697398393478E-2</v>
      </c>
      <c r="I49" s="78">
        <f>SUM($G$7:G49)</f>
        <v>31830</v>
      </c>
      <c r="J49" s="76">
        <f t="shared" si="5"/>
        <v>0.95402229948447426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173">
        <f t="shared" si="2"/>
        <v>35</v>
      </c>
      <c r="E50" s="173">
        <f t="shared" si="6"/>
        <v>8</v>
      </c>
      <c r="F50" s="163">
        <f t="shared" si="3"/>
        <v>3.39</v>
      </c>
      <c r="G50" s="165">
        <f>IF(D50=D49,"",_xlfn.IFNA(VLOOKUP(D50,'인원 입력 기능 (사과탐)'!$A$177:$D$225,4,FALSE),0))</f>
        <v>809</v>
      </c>
      <c r="H50" s="166">
        <f t="shared" si="4"/>
        <v>2.4247692123246612E-2</v>
      </c>
      <c r="I50" s="168">
        <f>SUM($G$7:G50)</f>
        <v>32639</v>
      </c>
      <c r="J50" s="170">
        <f t="shared" si="5"/>
        <v>0.97826999160772088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172"/>
      <c r="E51" s="172"/>
      <c r="F51" s="162"/>
      <c r="G51" s="164"/>
      <c r="H51" s="167"/>
      <c r="I51" s="169"/>
      <c r="J51" s="171"/>
      <c r="K51" s="32"/>
      <c r="L51" s="3" t="str">
        <f t="shared" si="1"/>
        <v>경고</v>
      </c>
    </row>
    <row r="52" spans="1:12" ht="25" customHeight="1" x14ac:dyDescent="0.45">
      <c r="A52" s="4"/>
      <c r="B52" s="18"/>
      <c r="C52" s="81">
        <v>5</v>
      </c>
      <c r="D52" s="80">
        <f t="shared" si="2"/>
        <v>34</v>
      </c>
      <c r="E52" s="80">
        <f t="shared" si="6"/>
        <v>9</v>
      </c>
      <c r="F52" s="72">
        <f t="shared" si="3"/>
        <v>1.78</v>
      </c>
      <c r="G52" s="73">
        <f>IF(D52=D51,"",_xlfn.IFNA(VLOOKUP(D52,'인원 입력 기능 (사과탐)'!$A$177:$D$225,4,FALSE),0))</f>
        <v>263</v>
      </c>
      <c r="H52" s="74">
        <f t="shared" si="4"/>
        <v>7.8827478719577983E-3</v>
      </c>
      <c r="I52" s="78">
        <f>SUM($G$7:G52)</f>
        <v>32902</v>
      </c>
      <c r="J52" s="76">
        <f t="shared" si="5"/>
        <v>0.98615273947967874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9">
        <v>4</v>
      </c>
      <c r="D53" s="71">
        <f t="shared" si="2"/>
        <v>33</v>
      </c>
      <c r="E53" s="71">
        <f t="shared" si="6"/>
        <v>9</v>
      </c>
      <c r="F53" s="72">
        <f t="shared" si="3"/>
        <v>1.08</v>
      </c>
      <c r="G53" s="73">
        <f>IF(D53=D52,"",_xlfn.IFNA(VLOOKUP(D53,'인원 입력 기능 (사과탐)'!$A$177:$D$225,4,FALSE),0))</f>
        <v>202</v>
      </c>
      <c r="H53" s="74">
        <f t="shared" si="4"/>
        <v>6.054429924469488E-3</v>
      </c>
      <c r="I53" s="78">
        <f>SUM($G$7:G53)</f>
        <v>33104</v>
      </c>
      <c r="J53" s="76">
        <f t="shared" si="5"/>
        <v>0.99220716940414821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161">
        <f t="shared" si="2"/>
        <v>32</v>
      </c>
      <c r="E54" s="161">
        <f t="shared" si="6"/>
        <v>9</v>
      </c>
      <c r="F54" s="163">
        <f t="shared" si="3"/>
        <v>0.46</v>
      </c>
      <c r="G54" s="165">
        <f>IF(D54=D53,"",_xlfn.IFNA(VLOOKUP(D54,'인원 입력 기능 (사과탐)'!$A$177:$D$225,4,FALSE),0))</f>
        <v>216</v>
      </c>
      <c r="H54" s="166">
        <f t="shared" si="4"/>
        <v>6.4740438796307394E-3</v>
      </c>
      <c r="I54" s="168">
        <f>SUM($G$7:G54)</f>
        <v>33320</v>
      </c>
      <c r="J54" s="170">
        <f t="shared" si="5"/>
        <v>0.9986812132837789</v>
      </c>
      <c r="K54" s="32"/>
      <c r="L54" s="3" t="str">
        <f t="shared" si="1"/>
        <v/>
      </c>
    </row>
    <row r="55" spans="1:12" ht="25" customHeight="1" x14ac:dyDescent="0.45">
      <c r="A55" s="4"/>
      <c r="B55" s="18"/>
      <c r="C55" s="70">
        <v>2</v>
      </c>
      <c r="D55" s="160"/>
      <c r="E55" s="160"/>
      <c r="F55" s="162"/>
      <c r="G55" s="164"/>
      <c r="H55" s="167"/>
      <c r="I55" s="169"/>
      <c r="J55" s="171"/>
      <c r="K55" s="32"/>
      <c r="L55" s="3" t="str">
        <f t="shared" si="1"/>
        <v>경고</v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30</v>
      </c>
      <c r="E57" s="84">
        <f t="shared" si="6"/>
        <v>9</v>
      </c>
      <c r="F57" s="85">
        <f>IF(I55=0,ROUND(100*(1-(I54+I57)/2/$J$3),2),ROUND(100*(1-(I55+I57)/2/$J$3),2))</f>
        <v>7.0000000000000007E-2</v>
      </c>
      <c r="G57" s="86">
        <f>_xlfn.IFNA(VLOOKUP(D57,'인원 입력 기능 (사과탐)'!$A$177:$D$225,4,FALSE),0)</f>
        <v>44</v>
      </c>
      <c r="H57" s="87">
        <f>G57/$J$3</f>
        <v>1.3187867162210765E-3</v>
      </c>
      <c r="I57" s="88">
        <f>SUM($G$7:G57)</f>
        <v>33364</v>
      </c>
      <c r="J57" s="89">
        <f>I57/$J$3</f>
        <v>1</v>
      </c>
      <c r="K57" s="32"/>
      <c r="L57" s="3" t="str">
        <f t="shared" ref="L57" si="7">IF(ABS((C57-$H$3)/$H$4*10+50-D57-0.5)&lt;0.1, "경고", "")</f>
        <v/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82">
    <mergeCell ref="I50:I51"/>
    <mergeCell ref="J50:J51"/>
    <mergeCell ref="D54:D55"/>
    <mergeCell ref="E54:E55"/>
    <mergeCell ref="F54:F55"/>
    <mergeCell ref="G54:G55"/>
    <mergeCell ref="H54:H55"/>
    <mergeCell ref="I54:I55"/>
    <mergeCell ref="J54:J55"/>
    <mergeCell ref="D50:D51"/>
    <mergeCell ref="E50:E51"/>
    <mergeCell ref="F50:F51"/>
    <mergeCell ref="G50:G51"/>
    <mergeCell ref="H50:H51"/>
    <mergeCell ref="I41:I42"/>
    <mergeCell ref="J41:J42"/>
    <mergeCell ref="D45:D46"/>
    <mergeCell ref="E45:E46"/>
    <mergeCell ref="F45:F46"/>
    <mergeCell ref="G45:G46"/>
    <mergeCell ref="H45:H46"/>
    <mergeCell ref="I45:I46"/>
    <mergeCell ref="J45:J46"/>
    <mergeCell ref="D41:D42"/>
    <mergeCell ref="E41:E42"/>
    <mergeCell ref="F41:F42"/>
    <mergeCell ref="G41:G42"/>
    <mergeCell ref="H41:H42"/>
    <mergeCell ref="I32:I33"/>
    <mergeCell ref="J32:J33"/>
    <mergeCell ref="D36:D37"/>
    <mergeCell ref="E36:E37"/>
    <mergeCell ref="F36:F37"/>
    <mergeCell ref="G36:G37"/>
    <mergeCell ref="H36:H37"/>
    <mergeCell ref="I36:I37"/>
    <mergeCell ref="J36:J37"/>
    <mergeCell ref="D32:D33"/>
    <mergeCell ref="E32:E33"/>
    <mergeCell ref="F32:F33"/>
    <mergeCell ref="G32:G33"/>
    <mergeCell ref="H32:H33"/>
    <mergeCell ref="I23:I24"/>
    <mergeCell ref="J23:J24"/>
    <mergeCell ref="D27:D28"/>
    <mergeCell ref="E27:E28"/>
    <mergeCell ref="F27:F28"/>
    <mergeCell ref="G27:G28"/>
    <mergeCell ref="H27:H28"/>
    <mergeCell ref="I27:I28"/>
    <mergeCell ref="J27:J28"/>
    <mergeCell ref="D23:D24"/>
    <mergeCell ref="E23:E24"/>
    <mergeCell ref="F23:F24"/>
    <mergeCell ref="G23:G24"/>
    <mergeCell ref="H23:H24"/>
    <mergeCell ref="H14:H15"/>
    <mergeCell ref="I14:I15"/>
    <mergeCell ref="J14:J15"/>
    <mergeCell ref="D18:D19"/>
    <mergeCell ref="E18:E19"/>
    <mergeCell ref="F18:F19"/>
    <mergeCell ref="G18:G19"/>
    <mergeCell ref="H18:H19"/>
    <mergeCell ref="I18:I19"/>
    <mergeCell ref="J18:J19"/>
    <mergeCell ref="D3:F3"/>
    <mergeCell ref="D4:F4"/>
    <mergeCell ref="D8:J8"/>
    <mergeCell ref="D56:J56"/>
    <mergeCell ref="G5:J5"/>
    <mergeCell ref="D9:D10"/>
    <mergeCell ref="E9:E10"/>
    <mergeCell ref="F9:F10"/>
    <mergeCell ref="G9:G10"/>
    <mergeCell ref="H9:H10"/>
    <mergeCell ref="I9:I10"/>
    <mergeCell ref="J9:J10"/>
    <mergeCell ref="D14:D15"/>
    <mergeCell ref="E14:E15"/>
    <mergeCell ref="F14:F15"/>
    <mergeCell ref="G14:G15"/>
  </mergeCells>
  <phoneticPr fontId="1" type="noConversion"/>
  <conditionalFormatting sqref="D7:D9 D11:D14 D16:D18 D20:D23 D25:D27 D29:D32 D34:D36 D38:D41 D43:D45 D47:D50 D52:D54 D56:D57">
    <cfRule type="expression" dxfId="41" priority="1">
      <formula>$D7=$D8</formula>
    </cfRule>
  </conditionalFormatting>
  <conditionalFormatting sqref="C7:C57">
    <cfRule type="expression" dxfId="40" priority="2">
      <formula>OR(AND($D7=0,OR($D6=$Q$7:$Q$14)),AND($D8&gt;0,OR($D7=$Q$7:$Q$14)))</formula>
    </cfRule>
  </conditionalFormatting>
  <conditionalFormatting sqref="D7:J7 D8 D57:J57 D56 D9:J9 D11:J14 D16:J18 D20:J23 D25:J27 D29:J32 D34:J36 D38:J41 D43:J45 D47:J50 D52:J54">
    <cfRule type="expression" dxfId="39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17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기능'!D16</f>
        <v>25.80</v>
      </c>
      <c r="I3" s="14" t="s">
        <v>110</v>
      </c>
      <c r="J3" s="36">
        <f>'통계 및 응시자 수 입력 기능'!C16</f>
        <v>24083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126</v>
      </c>
      <c r="E4" s="114"/>
      <c r="F4" s="115"/>
      <c r="G4" s="38" t="s">
        <v>113</v>
      </c>
      <c r="H4" s="39" t="str">
        <f>'통계 및 응시자 수 입력 기능'!E16</f>
        <v>14.93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66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95.93</v>
      </c>
      <c r="G7" s="73">
        <f>_xlfn.IFNA(VLOOKUP(D7,'인원 입력 기능 (사과탐)'!$F$177:$I$225,4,FALSE),0)</f>
        <v>1958</v>
      </c>
      <c r="H7" s="74">
        <f>G7/$J$3</f>
        <v>8.1302163351741896E-2</v>
      </c>
      <c r="I7" s="75">
        <f>G7</f>
        <v>1958</v>
      </c>
      <c r="J7" s="76">
        <f>I7/$J$3</f>
        <v>8.1302163351741896E-2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입력기능'!C112</f>
        <v>66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입력기능'!C113</f>
        <v>64</v>
      </c>
    </row>
    <row r="9" spans="1:17" ht="25" customHeight="1" x14ac:dyDescent="0.45">
      <c r="A9" s="4"/>
      <c r="B9" s="18"/>
      <c r="C9" s="70">
        <v>48</v>
      </c>
      <c r="D9" s="71">
        <f>ROUND(10*(C9-$H$3)/$H$4+50,0)</f>
        <v>65</v>
      </c>
      <c r="E9" s="71">
        <f t="shared" si="0"/>
        <v>2</v>
      </c>
      <c r="F9" s="72">
        <f>IF(I8=0,ROUND(100*(1-(I7+I9)/2/$J$3),2),ROUND(100*(1-(I8+I9)/2/$J$3),2))</f>
        <v>90.53</v>
      </c>
      <c r="G9" s="73">
        <f>_xlfn.IFNA(VLOOKUP(D9,'인원 입력 기능 (사과탐)'!$F$177:$I$225,4,FALSE),0)</f>
        <v>646</v>
      </c>
      <c r="H9" s="74">
        <f>G9/$J$3</f>
        <v>2.6823900676825978E-2</v>
      </c>
      <c r="I9" s="78">
        <f>SUM($G$7:G9)</f>
        <v>2604</v>
      </c>
      <c r="J9" s="76">
        <f>I9/$J$3</f>
        <v>0.10812606402856786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입력기능'!C114</f>
        <v>61</v>
      </c>
    </row>
    <row r="10" spans="1:17" ht="25" customHeight="1" x14ac:dyDescent="0.45">
      <c r="A10" s="4"/>
      <c r="B10" s="18"/>
      <c r="C10" s="77">
        <v>47</v>
      </c>
      <c r="D10" s="161">
        <f t="shared" ref="D10:D55" si="2">ROUND(10*(C10-$H$3)/$H$4+50,0)</f>
        <v>64</v>
      </c>
      <c r="E10" s="161">
        <f t="shared" si="0"/>
        <v>2</v>
      </c>
      <c r="F10" s="163">
        <f t="shared" ref="F10:F55" si="3">IF(I9=0,ROUND(100*(1-(I8+I10)/2/$J$3),2),ROUND(100*(1-(I9+I10)/2/$J$3),2))</f>
        <v>86.98</v>
      </c>
      <c r="G10" s="165">
        <f>IF(D10=D9,"",_xlfn.IFNA(VLOOKUP(D10,'인원 입력 기능 (사과탐)'!$F$177:$I$225,4,FALSE),0))</f>
        <v>1064</v>
      </c>
      <c r="H10" s="166">
        <f t="shared" ref="H10:H55" si="4">G10/$J$3</f>
        <v>4.4180542291242783E-2</v>
      </c>
      <c r="I10" s="168">
        <f>SUM($G$7:G10)</f>
        <v>3668</v>
      </c>
      <c r="J10" s="170">
        <f t="shared" ref="J10:J55" si="5">I10/$J$3</f>
        <v>0.15230660631981066</v>
      </c>
      <c r="K10" s="32"/>
      <c r="L10" s="3" t="str">
        <f t="shared" si="1"/>
        <v/>
      </c>
      <c r="P10" s="1">
        <v>4</v>
      </c>
      <c r="Q10" s="1">
        <f>'표준점수 등급컷 입력기능'!C115</f>
        <v>52</v>
      </c>
    </row>
    <row r="11" spans="1:17" ht="25" customHeight="1" x14ac:dyDescent="0.45">
      <c r="A11" s="4"/>
      <c r="B11" s="18"/>
      <c r="C11" s="70">
        <v>46</v>
      </c>
      <c r="D11" s="160"/>
      <c r="E11" s="160"/>
      <c r="F11" s="162"/>
      <c r="G11" s="164"/>
      <c r="H11" s="167"/>
      <c r="I11" s="169"/>
      <c r="J11" s="171"/>
      <c r="K11" s="32"/>
      <c r="L11" s="3" t="str">
        <f t="shared" si="1"/>
        <v>경고</v>
      </c>
      <c r="P11" s="1">
        <v>5</v>
      </c>
      <c r="Q11" s="1">
        <f>'표준점수 등급컷 입력기능'!C116</f>
        <v>44</v>
      </c>
    </row>
    <row r="12" spans="1:17" ht="25" customHeight="1" x14ac:dyDescent="0.45">
      <c r="A12" s="4"/>
      <c r="B12" s="18"/>
      <c r="C12" s="77">
        <v>45</v>
      </c>
      <c r="D12" s="71">
        <f t="shared" si="2"/>
        <v>63</v>
      </c>
      <c r="E12" s="71">
        <f t="shared" si="0"/>
        <v>3</v>
      </c>
      <c r="F12" s="72">
        <f t="shared" si="3"/>
        <v>83.41</v>
      </c>
      <c r="G12" s="73">
        <f>IF(D12=D11,"",_xlfn.IFNA(VLOOKUP(D12,'인원 입력 기능 (사과탐)'!$F$177:$I$225,4,FALSE),0))</f>
        <v>656</v>
      </c>
      <c r="H12" s="74">
        <f t="shared" si="4"/>
        <v>2.7239131337457957E-2</v>
      </c>
      <c r="I12" s="78">
        <f>SUM($G$7:G12)</f>
        <v>4324</v>
      </c>
      <c r="J12" s="76">
        <f t="shared" si="5"/>
        <v>0.17954573765726861</v>
      </c>
      <c r="K12" s="32"/>
      <c r="L12" s="3" t="str">
        <f t="shared" si="1"/>
        <v/>
      </c>
      <c r="P12" s="1">
        <v>6</v>
      </c>
      <c r="Q12" s="1">
        <f>'표준점수 등급컷 입력기능'!C117</f>
        <v>41</v>
      </c>
    </row>
    <row r="13" spans="1:17" ht="25" customHeight="1" x14ac:dyDescent="0.45">
      <c r="A13" s="4"/>
      <c r="B13" s="18"/>
      <c r="C13" s="70">
        <v>44</v>
      </c>
      <c r="D13" s="161">
        <f t="shared" si="2"/>
        <v>62</v>
      </c>
      <c r="E13" s="161">
        <f t="shared" si="0"/>
        <v>3</v>
      </c>
      <c r="F13" s="163">
        <f t="shared" si="3"/>
        <v>80.37</v>
      </c>
      <c r="G13" s="165">
        <f>IF(D13=D12,"",_xlfn.IFNA(VLOOKUP(D13,'인원 입력 기능 (사과탐)'!$F$177:$I$225,4,FALSE),0))</f>
        <v>809</v>
      </c>
      <c r="H13" s="166">
        <f t="shared" si="4"/>
        <v>3.3592160445127271E-2</v>
      </c>
      <c r="I13" s="168">
        <f>SUM($G$7:G13)</f>
        <v>5133</v>
      </c>
      <c r="J13" s="170">
        <f t="shared" si="5"/>
        <v>0.21313789810239589</v>
      </c>
      <c r="K13" s="32"/>
      <c r="L13" s="3" t="str">
        <f t="shared" si="1"/>
        <v/>
      </c>
      <c r="P13" s="1">
        <v>7</v>
      </c>
      <c r="Q13" s="1">
        <f>'표준점수 등급컷 입력기능'!C118</f>
        <v>39</v>
      </c>
    </row>
    <row r="14" spans="1:17" ht="25" customHeight="1" x14ac:dyDescent="0.45">
      <c r="A14" s="4"/>
      <c r="B14" s="18"/>
      <c r="C14" s="77">
        <v>43</v>
      </c>
      <c r="D14" s="160"/>
      <c r="E14" s="160"/>
      <c r="F14" s="162"/>
      <c r="G14" s="164"/>
      <c r="H14" s="167"/>
      <c r="I14" s="169"/>
      <c r="J14" s="171"/>
      <c r="K14" s="32"/>
      <c r="L14" s="3" t="str">
        <f t="shared" si="1"/>
        <v>경고</v>
      </c>
      <c r="P14" s="1">
        <v>8</v>
      </c>
      <c r="Q14" s="1">
        <f>'표준점수 등급컷 입력기능'!C119</f>
        <v>37</v>
      </c>
    </row>
    <row r="15" spans="1:17" ht="25" customHeight="1" x14ac:dyDescent="0.45">
      <c r="A15" s="4"/>
      <c r="B15" s="18"/>
      <c r="C15" s="70">
        <v>42</v>
      </c>
      <c r="D15" s="71">
        <f t="shared" si="2"/>
        <v>61</v>
      </c>
      <c r="E15" s="71">
        <f t="shared" si="0"/>
        <v>3</v>
      </c>
      <c r="F15" s="72">
        <f t="shared" si="3"/>
        <v>77.510000000000005</v>
      </c>
      <c r="G15" s="73">
        <f>IF(D15=D14,"",_xlfn.IFNA(VLOOKUP(D15,'인원 입력 기능 (사과탐)'!$F$177:$I$225,4,FALSE),0))</f>
        <v>567</v>
      </c>
      <c r="H15" s="74">
        <f t="shared" si="4"/>
        <v>2.3543578457833326E-2</v>
      </c>
      <c r="I15" s="78">
        <f>SUM($G$7:G15)</f>
        <v>5700</v>
      </c>
      <c r="J15" s="76">
        <f t="shared" si="5"/>
        <v>0.2366814765602292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161">
        <f t="shared" si="2"/>
        <v>60</v>
      </c>
      <c r="E16" s="161">
        <f t="shared" si="0"/>
        <v>4</v>
      </c>
      <c r="F16" s="163">
        <f t="shared" si="3"/>
        <v>74.91</v>
      </c>
      <c r="G16" s="165">
        <f>IF(D16=D15,"",_xlfn.IFNA(VLOOKUP(D16,'인원 입력 기능 (사과탐)'!$F$177:$I$225,4,FALSE),0))</f>
        <v>687</v>
      </c>
      <c r="H16" s="166">
        <f t="shared" si="4"/>
        <v>2.8526346385417099E-2</v>
      </c>
      <c r="I16" s="168">
        <f>SUM($G$7:G16)</f>
        <v>6387</v>
      </c>
      <c r="J16" s="170">
        <f t="shared" si="5"/>
        <v>0.26520782294564632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160"/>
      <c r="E17" s="160"/>
      <c r="F17" s="162"/>
      <c r="G17" s="164"/>
      <c r="H17" s="167"/>
      <c r="I17" s="169"/>
      <c r="J17" s="171"/>
      <c r="K17" s="32"/>
      <c r="L17" s="3" t="str">
        <f t="shared" si="1"/>
        <v>경고</v>
      </c>
      <c r="P17" s="1">
        <f>Q7*H3*H4*J3*IFERROR(IF(J57=1,1,0),0)</f>
        <v>612257388.73199999</v>
      </c>
    </row>
    <row r="18" spans="1:16" ht="25" customHeight="1" x14ac:dyDescent="0.45">
      <c r="A18" s="4"/>
      <c r="B18" s="18"/>
      <c r="C18" s="77">
        <v>39</v>
      </c>
      <c r="D18" s="71">
        <f t="shared" si="2"/>
        <v>59</v>
      </c>
      <c r="E18" s="71">
        <f t="shared" si="0"/>
        <v>4</v>
      </c>
      <c r="F18" s="72">
        <f t="shared" si="3"/>
        <v>72.61</v>
      </c>
      <c r="G18" s="73">
        <f>IF(D18=D17,"",_xlfn.IFNA(VLOOKUP(D18,'인원 입력 기능 (사과탐)'!$F$177:$I$225,4,FALSE),0))</f>
        <v>419</v>
      </c>
      <c r="H18" s="74">
        <f t="shared" si="4"/>
        <v>1.7398164680480006E-2</v>
      </c>
      <c r="I18" s="78">
        <f>SUM($G$7:G18)</f>
        <v>6806</v>
      </c>
      <c r="J18" s="76">
        <f t="shared" si="5"/>
        <v>0.28260598762612632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161">
        <f t="shared" si="2"/>
        <v>58</v>
      </c>
      <c r="E19" s="161">
        <f t="shared" si="0"/>
        <v>4</v>
      </c>
      <c r="F19" s="163">
        <f t="shared" si="3"/>
        <v>70.510000000000005</v>
      </c>
      <c r="G19" s="165">
        <f>IF(D19=D18,"",_xlfn.IFNA(VLOOKUP(D19,'인원 입력 기능 (사과탐)'!$F$177:$I$225,4,FALSE),0))</f>
        <v>590</v>
      </c>
      <c r="H19" s="166">
        <f t="shared" si="4"/>
        <v>2.4498608977286881E-2</v>
      </c>
      <c r="I19" s="168">
        <f>SUM($G$7:G19)</f>
        <v>7396</v>
      </c>
      <c r="J19" s="170">
        <f t="shared" si="5"/>
        <v>0.30710459660341322</v>
      </c>
      <c r="K19" s="32"/>
      <c r="L19" s="3" t="str">
        <f t="shared" si="1"/>
        <v/>
      </c>
    </row>
    <row r="20" spans="1:16" ht="25" customHeight="1" x14ac:dyDescent="0.45">
      <c r="A20" s="4"/>
      <c r="B20" s="18"/>
      <c r="C20" s="77">
        <v>37</v>
      </c>
      <c r="D20" s="160"/>
      <c r="E20" s="160"/>
      <c r="F20" s="162"/>
      <c r="G20" s="164"/>
      <c r="H20" s="167"/>
      <c r="I20" s="169"/>
      <c r="J20" s="171"/>
      <c r="K20" s="32"/>
      <c r="L20" s="3" t="str">
        <f t="shared" si="1"/>
        <v>경고</v>
      </c>
    </row>
    <row r="21" spans="1:16" ht="25" customHeight="1" x14ac:dyDescent="0.45">
      <c r="A21" s="4"/>
      <c r="B21" s="18"/>
      <c r="C21" s="79">
        <v>36</v>
      </c>
      <c r="D21" s="80">
        <f t="shared" si="2"/>
        <v>57</v>
      </c>
      <c r="E21" s="80">
        <f t="shared" si="0"/>
        <v>4</v>
      </c>
      <c r="F21" s="72">
        <f t="shared" si="3"/>
        <v>68.59</v>
      </c>
      <c r="G21" s="73">
        <f>IF(D21=D20,"",_xlfn.IFNA(VLOOKUP(D21,'인원 입력 기능 (사과탐)'!$F$177:$I$225,4,FALSE),0))</f>
        <v>337</v>
      </c>
      <c r="H21" s="74">
        <f t="shared" si="4"/>
        <v>1.3993273263297763E-2</v>
      </c>
      <c r="I21" s="78">
        <f>SUM($G$7:G21)</f>
        <v>7733</v>
      </c>
      <c r="J21" s="76">
        <f t="shared" si="5"/>
        <v>0.32109786986671096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80">
        <f t="shared" si="2"/>
        <v>56</v>
      </c>
      <c r="E22" s="80">
        <f t="shared" si="0"/>
        <v>4</v>
      </c>
      <c r="F22" s="72">
        <f t="shared" si="3"/>
        <v>67.349999999999994</v>
      </c>
      <c r="G22" s="73">
        <f>IF(D22=D21,"",_xlfn.IFNA(VLOOKUP(D22,'인원 입력 기능 (사과탐)'!$F$177:$I$225,4,FALSE),0))</f>
        <v>262</v>
      </c>
      <c r="H22" s="74">
        <f t="shared" si="4"/>
        <v>1.0879043308557905E-2</v>
      </c>
      <c r="I22" s="78">
        <f>SUM($G$7:G22)</f>
        <v>7995</v>
      </c>
      <c r="J22" s="76">
        <f t="shared" si="5"/>
        <v>0.33197691317526884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173">
        <f t="shared" si="2"/>
        <v>55</v>
      </c>
      <c r="E23" s="173">
        <f t="shared" si="0"/>
        <v>4</v>
      </c>
      <c r="F23" s="163">
        <f t="shared" si="3"/>
        <v>65.41</v>
      </c>
      <c r="G23" s="165">
        <f>IF(D23=D22,"",_xlfn.IFNA(VLOOKUP(D23,'인원 입력 기능 (사과탐)'!$F$177:$I$225,4,FALSE),0))</f>
        <v>673</v>
      </c>
      <c r="H23" s="166">
        <f t="shared" si="4"/>
        <v>2.7945023460532327E-2</v>
      </c>
      <c r="I23" s="168">
        <f>SUM($G$7:G23)</f>
        <v>8668</v>
      </c>
      <c r="J23" s="170">
        <f t="shared" si="5"/>
        <v>0.35992193663580119</v>
      </c>
      <c r="K23" s="32"/>
      <c r="L23" s="3" t="str">
        <f t="shared" si="1"/>
        <v>경고</v>
      </c>
    </row>
    <row r="24" spans="1:16" ht="25" customHeight="1" x14ac:dyDescent="0.45">
      <c r="A24" s="4"/>
      <c r="B24" s="18"/>
      <c r="C24" s="81">
        <v>33</v>
      </c>
      <c r="D24" s="172"/>
      <c r="E24" s="172"/>
      <c r="F24" s="162"/>
      <c r="G24" s="164"/>
      <c r="H24" s="167"/>
      <c r="I24" s="169"/>
      <c r="J24" s="171"/>
      <c r="K24" s="32"/>
      <c r="L24" s="3" t="str">
        <f t="shared" si="1"/>
        <v>경고</v>
      </c>
    </row>
    <row r="25" spans="1:16" ht="25" customHeight="1" x14ac:dyDescent="0.45">
      <c r="A25" s="4"/>
      <c r="B25" s="18"/>
      <c r="C25" s="79">
        <v>32</v>
      </c>
      <c r="D25" s="80">
        <f t="shared" si="2"/>
        <v>54</v>
      </c>
      <c r="E25" s="80">
        <f t="shared" si="0"/>
        <v>4</v>
      </c>
      <c r="F25" s="72">
        <f t="shared" si="3"/>
        <v>63.46</v>
      </c>
      <c r="G25" s="73">
        <f>IF(D25=D24,"",_xlfn.IFNA(VLOOKUP(D25,'인원 입력 기능 (사과탐)'!$F$177:$I$225,4,FALSE),0))</f>
        <v>266</v>
      </c>
      <c r="H25" s="74">
        <f t="shared" si="4"/>
        <v>1.1045135572810696E-2</v>
      </c>
      <c r="I25" s="78">
        <f>SUM($G$7:G25)</f>
        <v>8934</v>
      </c>
      <c r="J25" s="76">
        <f t="shared" si="5"/>
        <v>0.37096707220861186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173">
        <f t="shared" si="2"/>
        <v>53</v>
      </c>
      <c r="E26" s="173">
        <f t="shared" si="0"/>
        <v>4</v>
      </c>
      <c r="F26" s="163">
        <f t="shared" si="3"/>
        <v>61.66</v>
      </c>
      <c r="G26" s="165">
        <f>IF(D26=D25,"",_xlfn.IFNA(VLOOKUP(D26,'인원 입력 기능 (사과탐)'!$F$177:$I$225,4,FALSE),0))</f>
        <v>600</v>
      </c>
      <c r="H26" s="166">
        <f t="shared" si="4"/>
        <v>2.4913839637918864E-2</v>
      </c>
      <c r="I26" s="168">
        <f>SUM($G$7:G26)</f>
        <v>9534</v>
      </c>
      <c r="J26" s="170">
        <f t="shared" si="5"/>
        <v>0.39588091184653074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172"/>
      <c r="E27" s="172"/>
      <c r="F27" s="162"/>
      <c r="G27" s="164"/>
      <c r="H27" s="167"/>
      <c r="I27" s="169"/>
      <c r="J27" s="171"/>
      <c r="K27" s="32"/>
      <c r="L27" s="3" t="str">
        <f t="shared" si="1"/>
        <v>경고</v>
      </c>
    </row>
    <row r="28" spans="1:16" ht="25" customHeight="1" x14ac:dyDescent="0.45">
      <c r="A28" s="4"/>
      <c r="B28" s="18"/>
      <c r="C28" s="81">
        <v>29</v>
      </c>
      <c r="D28" s="80">
        <f t="shared" si="2"/>
        <v>52</v>
      </c>
      <c r="E28" s="80">
        <f t="shared" si="0"/>
        <v>4</v>
      </c>
      <c r="F28" s="72">
        <f t="shared" si="3"/>
        <v>59.73</v>
      </c>
      <c r="G28" s="73">
        <f>IF(D28=D27,"",_xlfn.IFNA(VLOOKUP(D28,'인원 입력 기능 (사과탐)'!$F$177:$I$225,4,FALSE),0))</f>
        <v>329</v>
      </c>
      <c r="H28" s="74">
        <f t="shared" si="4"/>
        <v>1.3661088734792177E-2</v>
      </c>
      <c r="I28" s="78">
        <f>SUM($G$7:G28)</f>
        <v>9863</v>
      </c>
      <c r="J28" s="76">
        <f t="shared" si="5"/>
        <v>0.40954200058132295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173">
        <f t="shared" si="2"/>
        <v>51</v>
      </c>
      <c r="E29" s="173">
        <f t="shared" si="0"/>
        <v>5</v>
      </c>
      <c r="F29" s="163">
        <f t="shared" si="3"/>
        <v>57.69</v>
      </c>
      <c r="G29" s="165">
        <f>IF(D29=D28,"",_xlfn.IFNA(VLOOKUP(D29,'인원 입력 기능 (사과탐)'!$F$177:$I$225,4,FALSE),0))</f>
        <v>653</v>
      </c>
      <c r="H29" s="166">
        <f t="shared" si="4"/>
        <v>2.7114562139268363E-2</v>
      </c>
      <c r="I29" s="168">
        <f>SUM($G$7:G29)</f>
        <v>10516</v>
      </c>
      <c r="J29" s="170">
        <f t="shared" si="5"/>
        <v>0.43665656272059128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172"/>
      <c r="E30" s="172"/>
      <c r="F30" s="162"/>
      <c r="G30" s="164"/>
      <c r="H30" s="167"/>
      <c r="I30" s="169"/>
      <c r="J30" s="171"/>
      <c r="K30" s="32"/>
      <c r="L30" s="3" t="str">
        <f t="shared" si="1"/>
        <v>경고</v>
      </c>
    </row>
    <row r="31" spans="1:16" ht="25" customHeight="1" x14ac:dyDescent="0.45">
      <c r="A31" s="4"/>
      <c r="B31" s="18"/>
      <c r="C31" s="79">
        <v>26</v>
      </c>
      <c r="D31" s="80">
        <f t="shared" si="2"/>
        <v>50</v>
      </c>
      <c r="E31" s="80">
        <f t="shared" si="0"/>
        <v>5</v>
      </c>
      <c r="F31" s="72">
        <f t="shared" si="3"/>
        <v>55.52</v>
      </c>
      <c r="G31" s="73">
        <f>IF(D31=D30,"",_xlfn.IFNA(VLOOKUP(D31,'인원 입력 기능 (사과탐)'!$F$177:$I$225,4,FALSE),0))</f>
        <v>390</v>
      </c>
      <c r="H31" s="74">
        <f t="shared" si="4"/>
        <v>1.6193995764647261E-2</v>
      </c>
      <c r="I31" s="78">
        <f>SUM($G$7:G31)</f>
        <v>10906</v>
      </c>
      <c r="J31" s="76">
        <f t="shared" si="5"/>
        <v>0.45285055848523853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173">
        <f t="shared" si="2"/>
        <v>49</v>
      </c>
      <c r="E32" s="173">
        <f t="shared" si="0"/>
        <v>5</v>
      </c>
      <c r="F32" s="163">
        <f t="shared" si="3"/>
        <v>53.17</v>
      </c>
      <c r="G32" s="165">
        <f>IF(D32=D31,"",_xlfn.IFNA(VLOOKUP(D32,'인원 입력 기능 (사과탐)'!$F$177:$I$225,4,FALSE),0))</f>
        <v>745</v>
      </c>
      <c r="H32" s="166">
        <f t="shared" si="4"/>
        <v>3.0934684217082589E-2</v>
      </c>
      <c r="I32" s="168">
        <f>SUM($G$7:G32)</f>
        <v>11651</v>
      </c>
      <c r="J32" s="170">
        <f t="shared" si="5"/>
        <v>0.48378524270232115</v>
      </c>
      <c r="K32" s="32"/>
      <c r="L32" s="3" t="str">
        <f t="shared" si="1"/>
        <v/>
      </c>
    </row>
    <row r="33" spans="1:12" ht="25" customHeight="1" x14ac:dyDescent="0.45">
      <c r="A33" s="4"/>
      <c r="B33" s="18"/>
      <c r="C33" s="79">
        <v>24</v>
      </c>
      <c r="D33" s="172"/>
      <c r="E33" s="172"/>
      <c r="F33" s="162"/>
      <c r="G33" s="164"/>
      <c r="H33" s="167"/>
      <c r="I33" s="169"/>
      <c r="J33" s="171"/>
      <c r="K33" s="32"/>
      <c r="L33" s="3" t="str">
        <f t="shared" si="1"/>
        <v>경고</v>
      </c>
    </row>
    <row r="34" spans="1:12" ht="25" customHeight="1" x14ac:dyDescent="0.45">
      <c r="A34" s="4"/>
      <c r="B34" s="18"/>
      <c r="C34" s="81">
        <v>23</v>
      </c>
      <c r="D34" s="80">
        <f t="shared" si="2"/>
        <v>48</v>
      </c>
      <c r="E34" s="80">
        <f t="shared" si="0"/>
        <v>5</v>
      </c>
      <c r="F34" s="72">
        <f t="shared" si="3"/>
        <v>50.78</v>
      </c>
      <c r="G34" s="73">
        <f>IF(D34=D33,"",_xlfn.IFNA(VLOOKUP(D34,'인원 입력 기능 (사과탐)'!$F$177:$I$225,4,FALSE),0))</f>
        <v>404</v>
      </c>
      <c r="H34" s="74">
        <f t="shared" si="4"/>
        <v>1.6775318689532037E-2</v>
      </c>
      <c r="I34" s="78">
        <f>SUM($G$7:G34)</f>
        <v>12055</v>
      </c>
      <c r="J34" s="76">
        <f t="shared" si="5"/>
        <v>0.50056056139185312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173">
        <f t="shared" si="2"/>
        <v>47</v>
      </c>
      <c r="E35" s="173">
        <f t="shared" si="0"/>
        <v>5</v>
      </c>
      <c r="F35" s="163">
        <f t="shared" si="3"/>
        <v>48.25</v>
      </c>
      <c r="G35" s="165">
        <f>IF(D35=D34,"",_xlfn.IFNA(VLOOKUP(D35,'인원 입력 기능 (사과탐)'!$F$177:$I$225,4,FALSE),0))</f>
        <v>814</v>
      </c>
      <c r="H35" s="166">
        <f t="shared" si="4"/>
        <v>3.3799775775443255E-2</v>
      </c>
      <c r="I35" s="168">
        <f>SUM($G$7:G35)</f>
        <v>12869</v>
      </c>
      <c r="J35" s="170">
        <f t="shared" si="5"/>
        <v>0.53436033716729647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172"/>
      <c r="E36" s="172"/>
      <c r="F36" s="162"/>
      <c r="G36" s="164"/>
      <c r="H36" s="167"/>
      <c r="I36" s="169"/>
      <c r="J36" s="171"/>
      <c r="K36" s="32"/>
      <c r="L36" s="3" t="str">
        <f t="shared" si="1"/>
        <v>경고</v>
      </c>
    </row>
    <row r="37" spans="1:12" ht="25" customHeight="1" x14ac:dyDescent="0.45">
      <c r="A37" s="4"/>
      <c r="B37" s="18"/>
      <c r="C37" s="79">
        <v>20</v>
      </c>
      <c r="D37" s="80">
        <f t="shared" si="2"/>
        <v>46</v>
      </c>
      <c r="E37" s="80">
        <f t="shared" si="0"/>
        <v>5</v>
      </c>
      <c r="F37" s="72">
        <f t="shared" si="3"/>
        <v>45.8</v>
      </c>
      <c r="G37" s="73">
        <f>IF(D37=D36,"",_xlfn.IFNA(VLOOKUP(D37,'인원 입력 기능 (사과탐)'!$F$177:$I$225,4,FALSE),0))</f>
        <v>369</v>
      </c>
      <c r="H37" s="74">
        <f t="shared" si="4"/>
        <v>1.53220113773201E-2</v>
      </c>
      <c r="I37" s="78">
        <f>SUM($G$7:G37)</f>
        <v>13238</v>
      </c>
      <c r="J37" s="76">
        <f t="shared" si="5"/>
        <v>0.54968234854461651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173">
        <f t="shared" si="2"/>
        <v>45</v>
      </c>
      <c r="E38" s="173">
        <f t="shared" si="0"/>
        <v>5</v>
      </c>
      <c r="F38" s="163">
        <f t="shared" si="3"/>
        <v>43</v>
      </c>
      <c r="G38" s="165">
        <f>IF(D38=D37,"",_xlfn.IFNA(VLOOKUP(D38,'인원 입력 기능 (사과탐)'!$F$177:$I$225,4,FALSE),0))</f>
        <v>978</v>
      </c>
      <c r="H38" s="166">
        <f t="shared" si="4"/>
        <v>4.060955860980775E-2</v>
      </c>
      <c r="I38" s="168">
        <f>SUM($G$7:G38)</f>
        <v>14216</v>
      </c>
      <c r="J38" s="170">
        <f t="shared" si="5"/>
        <v>0.59029190715442426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172"/>
      <c r="E39" s="172"/>
      <c r="F39" s="162"/>
      <c r="G39" s="164"/>
      <c r="H39" s="167"/>
      <c r="I39" s="169"/>
      <c r="J39" s="171"/>
      <c r="K39" s="32"/>
      <c r="L39" s="3" t="str">
        <f t="shared" si="1"/>
        <v>경고</v>
      </c>
    </row>
    <row r="40" spans="1:12" ht="25" customHeight="1" x14ac:dyDescent="0.45">
      <c r="A40" s="4"/>
      <c r="B40" s="18"/>
      <c r="C40" s="81">
        <v>17</v>
      </c>
      <c r="D40" s="80">
        <f t="shared" si="2"/>
        <v>44</v>
      </c>
      <c r="E40" s="80">
        <f t="shared" ref="E39:E57" si="6">IF(ROUND(D40,0)&gt;=$Q$7,1,IF(ROUND(D40,0)&gt;=$Q$8,2,IF(ROUND(D40,0)&gt;=$Q$9,3,IF(ROUND(D40,0)&gt;=$Q$10,4,IF(ROUND(D40,0)&gt;=$Q$11,5,IF(ROUND(D40,0)&gt;=$Q$12,6,IF(ROUND(D40,0)&gt;=$Q$13,7,IF(ROUND(D40,0)&gt;=$Q$14,8,9))))))))</f>
        <v>5</v>
      </c>
      <c r="F40" s="72">
        <f t="shared" si="3"/>
        <v>39.82</v>
      </c>
      <c r="G40" s="73">
        <f>IF(D40=D39,"",_xlfn.IFNA(VLOOKUP(D40,'인원 입력 기능 (사과탐)'!$F$177:$I$225,4,FALSE),0))</f>
        <v>554</v>
      </c>
      <c r="H40" s="74">
        <f t="shared" si="4"/>
        <v>2.3003778599011752E-2</v>
      </c>
      <c r="I40" s="78">
        <f>SUM($G$7:G40)</f>
        <v>14770</v>
      </c>
      <c r="J40" s="76">
        <f t="shared" si="5"/>
        <v>0.61329568575343607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173">
        <f t="shared" si="2"/>
        <v>43</v>
      </c>
      <c r="E41" s="173">
        <f t="shared" si="6"/>
        <v>6</v>
      </c>
      <c r="F41" s="163">
        <f t="shared" si="3"/>
        <v>36.090000000000003</v>
      </c>
      <c r="G41" s="165">
        <f>IF(D41=D40,"",_xlfn.IFNA(VLOOKUP(D41,'인원 입력 기능 (사과탐)'!$F$177:$I$225,4,FALSE),0))</f>
        <v>1243</v>
      </c>
      <c r="H41" s="166">
        <f t="shared" si="4"/>
        <v>5.1613171116555244E-2</v>
      </c>
      <c r="I41" s="168">
        <f>SUM($G$7:G41)</f>
        <v>16013</v>
      </c>
      <c r="J41" s="170">
        <f t="shared" si="5"/>
        <v>0.66490885686999124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172"/>
      <c r="E42" s="172"/>
      <c r="F42" s="162"/>
      <c r="G42" s="164"/>
      <c r="H42" s="167"/>
      <c r="I42" s="169"/>
      <c r="J42" s="171"/>
      <c r="K42" s="32"/>
      <c r="L42" s="3" t="str">
        <f t="shared" si="1"/>
        <v>경고</v>
      </c>
    </row>
    <row r="43" spans="1:12" ht="25" customHeight="1" x14ac:dyDescent="0.45">
      <c r="A43" s="4"/>
      <c r="B43" s="18"/>
      <c r="C43" s="79">
        <v>14</v>
      </c>
      <c r="D43" s="80">
        <f t="shared" si="2"/>
        <v>42</v>
      </c>
      <c r="E43" s="80">
        <f t="shared" si="6"/>
        <v>6</v>
      </c>
      <c r="F43" s="72">
        <f t="shared" si="3"/>
        <v>31.81</v>
      </c>
      <c r="G43" s="73">
        <f>IF(D43=D42,"",_xlfn.IFNA(VLOOKUP(D43,'인원 입력 기능 (사과탐)'!$F$177:$I$225,4,FALSE),0))</f>
        <v>817</v>
      </c>
      <c r="H43" s="74">
        <f t="shared" si="4"/>
        <v>3.392434497363285E-2</v>
      </c>
      <c r="I43" s="78">
        <f>SUM($G$7:G43)</f>
        <v>16830</v>
      </c>
      <c r="J43" s="76">
        <f t="shared" si="5"/>
        <v>0.69883320184362419</v>
      </c>
      <c r="K43" s="32"/>
      <c r="L43" s="3" t="str">
        <f t="shared" si="1"/>
        <v/>
      </c>
    </row>
    <row r="44" spans="1:12" ht="25" customHeight="1" x14ac:dyDescent="0.45">
      <c r="A44" s="4"/>
      <c r="B44" s="18"/>
      <c r="C44" s="81">
        <v>13</v>
      </c>
      <c r="D44" s="173">
        <f t="shared" si="2"/>
        <v>41</v>
      </c>
      <c r="E44" s="173">
        <f t="shared" si="6"/>
        <v>6</v>
      </c>
      <c r="F44" s="163">
        <f t="shared" si="3"/>
        <v>26.55</v>
      </c>
      <c r="G44" s="165">
        <f>IF(D44=D43,"",_xlfn.IFNA(VLOOKUP(D44,'인원 입력 기능 (사과탐)'!$F$177:$I$225,4,FALSE),0))</f>
        <v>1717</v>
      </c>
      <c r="H44" s="166">
        <f t="shared" si="4"/>
        <v>7.1295104430511153E-2</v>
      </c>
      <c r="I44" s="168">
        <f>SUM($G$7:G44)</f>
        <v>18547</v>
      </c>
      <c r="J44" s="170">
        <f t="shared" si="5"/>
        <v>0.77012830627413531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172"/>
      <c r="E45" s="172"/>
      <c r="F45" s="162"/>
      <c r="G45" s="164"/>
      <c r="H45" s="167"/>
      <c r="I45" s="169"/>
      <c r="J45" s="171"/>
      <c r="K45" s="32"/>
      <c r="L45" s="3" t="str">
        <f t="shared" si="1"/>
        <v>경고</v>
      </c>
    </row>
    <row r="46" spans="1:12" ht="25" customHeight="1" x14ac:dyDescent="0.45">
      <c r="A46" s="4"/>
      <c r="B46" s="18"/>
      <c r="C46" s="81">
        <v>11</v>
      </c>
      <c r="D46" s="80">
        <f t="shared" si="2"/>
        <v>40</v>
      </c>
      <c r="E46" s="80">
        <f t="shared" si="6"/>
        <v>7</v>
      </c>
      <c r="F46" s="72">
        <f t="shared" si="3"/>
        <v>21.66</v>
      </c>
      <c r="G46" s="73">
        <f>IF(D46=D45,"",_xlfn.IFNA(VLOOKUP(D46,'인원 입력 기능 (사과탐)'!$F$177:$I$225,4,FALSE),0))</f>
        <v>639</v>
      </c>
      <c r="H46" s="74">
        <f t="shared" si="4"/>
        <v>2.6533239214383591E-2</v>
      </c>
      <c r="I46" s="78">
        <f>SUM($G$7:G46)</f>
        <v>19186</v>
      </c>
      <c r="J46" s="76">
        <f t="shared" si="5"/>
        <v>0.79666154548851886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173">
        <f t="shared" si="2"/>
        <v>39</v>
      </c>
      <c r="E47" s="173">
        <f t="shared" si="6"/>
        <v>7</v>
      </c>
      <c r="F47" s="163">
        <f t="shared" si="3"/>
        <v>14.87</v>
      </c>
      <c r="G47" s="165">
        <f>IF(D47=D46,"",_xlfn.IFNA(VLOOKUP(D47,'인원 입력 기능 (사과탐)'!$F$177:$I$225,4,FALSE),0))</f>
        <v>2633</v>
      </c>
      <c r="H47" s="166">
        <f t="shared" si="4"/>
        <v>0.10933023294440061</v>
      </c>
      <c r="I47" s="168">
        <f>SUM($G$7:G47)</f>
        <v>21819</v>
      </c>
      <c r="J47" s="170">
        <f t="shared" si="5"/>
        <v>0.90599177843291945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81">
        <v>9</v>
      </c>
      <c r="D48" s="172"/>
      <c r="E48" s="172"/>
      <c r="F48" s="162"/>
      <c r="G48" s="164"/>
      <c r="H48" s="167"/>
      <c r="I48" s="169"/>
      <c r="J48" s="171"/>
      <c r="K48" s="32"/>
      <c r="L48" s="3" t="str">
        <f t="shared" si="1"/>
        <v>경고</v>
      </c>
    </row>
    <row r="49" spans="1:12" ht="25" customHeight="1" x14ac:dyDescent="0.45">
      <c r="A49" s="4"/>
      <c r="B49" s="18"/>
      <c r="C49" s="79">
        <v>8</v>
      </c>
      <c r="D49" s="80">
        <f t="shared" si="2"/>
        <v>38</v>
      </c>
      <c r="E49" s="80">
        <f t="shared" si="6"/>
        <v>8</v>
      </c>
      <c r="F49" s="72">
        <f t="shared" si="3"/>
        <v>7.38</v>
      </c>
      <c r="G49" s="73">
        <f>IF(D49=D48,"",_xlfn.IFNA(VLOOKUP(D49,'인원 입력 기능 (사과탐)'!$F$177:$I$225,4,FALSE),0))</f>
        <v>971</v>
      </c>
      <c r="H49" s="74">
        <f t="shared" si="4"/>
        <v>4.0318897147365362E-2</v>
      </c>
      <c r="I49" s="78">
        <f>SUM($G$7:G49)</f>
        <v>22790</v>
      </c>
      <c r="J49" s="76">
        <f t="shared" si="5"/>
        <v>0.94631067558028481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173">
        <f t="shared" si="2"/>
        <v>37</v>
      </c>
      <c r="E50" s="173">
        <f t="shared" si="6"/>
        <v>8</v>
      </c>
      <c r="F50" s="163">
        <f t="shared" si="3"/>
        <v>3.89</v>
      </c>
      <c r="G50" s="165">
        <f>IF(D50=D49,"",_xlfn.IFNA(VLOOKUP(D50,'인원 입력 기능 (사과탐)'!$F$177:$I$225,4,FALSE),0))</f>
        <v>712</v>
      </c>
      <c r="H50" s="166">
        <f t="shared" si="4"/>
        <v>2.9564423036997051E-2</v>
      </c>
      <c r="I50" s="168">
        <f>SUM($G$7:G50)</f>
        <v>23502</v>
      </c>
      <c r="J50" s="170">
        <f t="shared" si="5"/>
        <v>0.97587509861728194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172"/>
      <c r="E51" s="172"/>
      <c r="F51" s="162"/>
      <c r="G51" s="164"/>
      <c r="H51" s="167"/>
      <c r="I51" s="169"/>
      <c r="J51" s="171"/>
      <c r="K51" s="32"/>
      <c r="L51" s="3" t="str">
        <f t="shared" si="1"/>
        <v>경고</v>
      </c>
    </row>
    <row r="52" spans="1:12" ht="25" customHeight="1" x14ac:dyDescent="0.45">
      <c r="A52" s="4"/>
      <c r="B52" s="18"/>
      <c r="C52" s="81">
        <v>5</v>
      </c>
      <c r="D52" s="80">
        <f t="shared" si="2"/>
        <v>36</v>
      </c>
      <c r="E52" s="80">
        <f t="shared" si="6"/>
        <v>9</v>
      </c>
      <c r="F52" s="72">
        <f t="shared" si="3"/>
        <v>1.9</v>
      </c>
      <c r="G52" s="73">
        <f>IF(D52=D51,"",_xlfn.IFNA(VLOOKUP(D52,'인원 입력 기능 (사과탐)'!$F$177:$I$225,4,FALSE),0))</f>
        <v>247</v>
      </c>
      <c r="H52" s="74">
        <f t="shared" si="4"/>
        <v>1.0256197317609933E-2</v>
      </c>
      <c r="I52" s="78">
        <f>SUM($G$7:G52)</f>
        <v>23749</v>
      </c>
      <c r="J52" s="76">
        <f t="shared" si="5"/>
        <v>0.98613129593489179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161">
        <f t="shared" si="2"/>
        <v>35</v>
      </c>
      <c r="E53" s="161">
        <f t="shared" si="6"/>
        <v>9</v>
      </c>
      <c r="F53" s="163">
        <f t="shared" si="3"/>
        <v>0.94</v>
      </c>
      <c r="G53" s="165">
        <f>IF(D53=D52,"",_xlfn.IFNA(VLOOKUP(D53,'인원 입력 기능 (사과탐)'!$F$177:$I$225,4,FALSE),0))</f>
        <v>213</v>
      </c>
      <c r="H53" s="166">
        <f t="shared" si="4"/>
        <v>8.844413071461197E-3</v>
      </c>
      <c r="I53" s="168">
        <f>SUM($G$7:G53)</f>
        <v>23962</v>
      </c>
      <c r="J53" s="170">
        <f t="shared" si="5"/>
        <v>0.99497570900635302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160"/>
      <c r="E54" s="160"/>
      <c r="F54" s="162"/>
      <c r="G54" s="164"/>
      <c r="H54" s="167"/>
      <c r="I54" s="169"/>
      <c r="J54" s="171"/>
      <c r="K54" s="32"/>
      <c r="L54" s="3" t="str">
        <f t="shared" si="1"/>
        <v>경고</v>
      </c>
    </row>
    <row r="55" spans="1:12" ht="25" customHeight="1" x14ac:dyDescent="0.45">
      <c r="A55" s="4"/>
      <c r="B55" s="18"/>
      <c r="C55" s="70">
        <v>2</v>
      </c>
      <c r="D55" s="71">
        <f t="shared" si="2"/>
        <v>34</v>
      </c>
      <c r="E55" s="71">
        <f t="shared" si="6"/>
        <v>9</v>
      </c>
      <c r="F55" s="72">
        <f t="shared" si="3"/>
        <v>0.32</v>
      </c>
      <c r="G55" s="73">
        <f>IF(D55=D54,"",_xlfn.IFNA(VLOOKUP(D55,'인원 입력 기능 (사과탐)'!$F$177:$I$225,4,FALSE),0))</f>
        <v>88</v>
      </c>
      <c r="H55" s="74">
        <f t="shared" si="4"/>
        <v>3.6540298135614335E-3</v>
      </c>
      <c r="I55" s="78">
        <f>SUM($G$7:G55)</f>
        <v>24050</v>
      </c>
      <c r="J55" s="76">
        <f t="shared" si="5"/>
        <v>0.99862973881991446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33</v>
      </c>
      <c r="E57" s="84">
        <f t="shared" si="6"/>
        <v>9</v>
      </c>
      <c r="F57" s="85">
        <f>IF(I55=0,ROUND(100*(1-(I54+I57)/2/$J$3),2),ROUND(100*(1-(I55+I57)/2/$J$3),2))</f>
        <v>7.0000000000000007E-2</v>
      </c>
      <c r="G57" s="86">
        <f>_xlfn.IFNA(VLOOKUP(D57,'인원 입력 기능 (사과탐)'!$F$177:$I$225,4,FALSE),0)</f>
        <v>33</v>
      </c>
      <c r="H57" s="87">
        <f>G57/$J$3</f>
        <v>1.3702611800855374E-3</v>
      </c>
      <c r="I57" s="88">
        <f>SUM($G$7:G57)</f>
        <v>24083</v>
      </c>
      <c r="J57" s="89">
        <f>I57/$J$3</f>
        <v>1</v>
      </c>
      <c r="K57" s="32"/>
      <c r="L57" s="3" t="str">
        <f t="shared" ref="L57" si="7">IF(ABS((C57-$H$3)/$H$4*10+50-D57-0.5)&lt;0.1, "경고", "")</f>
        <v/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110">
    <mergeCell ref="I50:I51"/>
    <mergeCell ref="J50:J51"/>
    <mergeCell ref="D53:D54"/>
    <mergeCell ref="E53:E54"/>
    <mergeCell ref="F53:F54"/>
    <mergeCell ref="G53:G54"/>
    <mergeCell ref="H53:H54"/>
    <mergeCell ref="I53:I54"/>
    <mergeCell ref="J53:J54"/>
    <mergeCell ref="D50:D51"/>
    <mergeCell ref="E50:E51"/>
    <mergeCell ref="F50:F51"/>
    <mergeCell ref="G50:G51"/>
    <mergeCell ref="H50:H51"/>
    <mergeCell ref="I44:I45"/>
    <mergeCell ref="J44:J45"/>
    <mergeCell ref="D47:D48"/>
    <mergeCell ref="E47:E48"/>
    <mergeCell ref="F47:F48"/>
    <mergeCell ref="G47:G48"/>
    <mergeCell ref="H47:H48"/>
    <mergeCell ref="I47:I48"/>
    <mergeCell ref="J47:J48"/>
    <mergeCell ref="D44:D45"/>
    <mergeCell ref="E44:E45"/>
    <mergeCell ref="F44:F45"/>
    <mergeCell ref="G44:G45"/>
    <mergeCell ref="H44:H45"/>
    <mergeCell ref="I38:I39"/>
    <mergeCell ref="J38:J39"/>
    <mergeCell ref="D41:D42"/>
    <mergeCell ref="E41:E42"/>
    <mergeCell ref="F41:F42"/>
    <mergeCell ref="G41:G42"/>
    <mergeCell ref="H41:H42"/>
    <mergeCell ref="I41:I42"/>
    <mergeCell ref="J41:J42"/>
    <mergeCell ref="D38:D39"/>
    <mergeCell ref="E38:E39"/>
    <mergeCell ref="F38:F39"/>
    <mergeCell ref="G38:G39"/>
    <mergeCell ref="H38:H39"/>
    <mergeCell ref="I32:I33"/>
    <mergeCell ref="J32:J33"/>
    <mergeCell ref="D35:D36"/>
    <mergeCell ref="E35:E36"/>
    <mergeCell ref="F35:F36"/>
    <mergeCell ref="G35:G36"/>
    <mergeCell ref="H35:H36"/>
    <mergeCell ref="I35:I36"/>
    <mergeCell ref="J35:J36"/>
    <mergeCell ref="D32:D33"/>
    <mergeCell ref="E32:E33"/>
    <mergeCell ref="F32:F33"/>
    <mergeCell ref="G32:G33"/>
    <mergeCell ref="H32:H33"/>
    <mergeCell ref="I26:I27"/>
    <mergeCell ref="J26:J27"/>
    <mergeCell ref="D29:D30"/>
    <mergeCell ref="E29:E30"/>
    <mergeCell ref="F29:F30"/>
    <mergeCell ref="G29:G30"/>
    <mergeCell ref="H29:H30"/>
    <mergeCell ref="I29:I30"/>
    <mergeCell ref="J29:J30"/>
    <mergeCell ref="D26:D27"/>
    <mergeCell ref="E26:E27"/>
    <mergeCell ref="F26:F27"/>
    <mergeCell ref="G26:G27"/>
    <mergeCell ref="H26:H27"/>
    <mergeCell ref="I19:I20"/>
    <mergeCell ref="J19:J20"/>
    <mergeCell ref="D23:D24"/>
    <mergeCell ref="E23:E24"/>
    <mergeCell ref="F23:F24"/>
    <mergeCell ref="G23:G24"/>
    <mergeCell ref="H23:H24"/>
    <mergeCell ref="I23:I24"/>
    <mergeCell ref="J23:J24"/>
    <mergeCell ref="D19:D20"/>
    <mergeCell ref="E19:E20"/>
    <mergeCell ref="F19:F20"/>
    <mergeCell ref="G19:G20"/>
    <mergeCell ref="H19:H20"/>
    <mergeCell ref="H13:H14"/>
    <mergeCell ref="I13:I14"/>
    <mergeCell ref="J13:J14"/>
    <mergeCell ref="D16:D17"/>
    <mergeCell ref="E16:E17"/>
    <mergeCell ref="F16:F17"/>
    <mergeCell ref="G16:G17"/>
    <mergeCell ref="H16:H17"/>
    <mergeCell ref="I16:I17"/>
    <mergeCell ref="J16:J17"/>
    <mergeCell ref="D3:F3"/>
    <mergeCell ref="D4:F4"/>
    <mergeCell ref="D8:J8"/>
    <mergeCell ref="D56:J56"/>
    <mergeCell ref="G5:J5"/>
    <mergeCell ref="D10:D11"/>
    <mergeCell ref="E10:E11"/>
    <mergeCell ref="F10:F11"/>
    <mergeCell ref="G10:G11"/>
    <mergeCell ref="H10:H11"/>
    <mergeCell ref="I10:I11"/>
    <mergeCell ref="J10:J11"/>
    <mergeCell ref="D13:D14"/>
    <mergeCell ref="E13:E14"/>
    <mergeCell ref="F13:F14"/>
    <mergeCell ref="G13:G14"/>
  </mergeCells>
  <phoneticPr fontId="1" type="noConversion"/>
  <conditionalFormatting sqref="D7:D10 D12:D13 D15:D16 D18:D19 D21:D23 D25:D26 D28:D29 D31:D32 D34:D35 D37:D38 D40:D41 D43:D44 D46:D47 D49:D50 D52:D53 D55:D57">
    <cfRule type="expression" dxfId="38" priority="1">
      <formula>$D7=$D8</formula>
    </cfRule>
  </conditionalFormatting>
  <conditionalFormatting sqref="C7:C57">
    <cfRule type="expression" dxfId="37" priority="3">
      <formula>OR(AND($D7=0,OR($D6=$Q$7:$Q$14)),AND($D8&gt;0,OR($D7=$Q$7:$Q$14)))</formula>
    </cfRule>
  </conditionalFormatting>
  <conditionalFormatting sqref="D7:J7 D8 D57:J57 D56 D9:J10 D12:J13 D15:J16 D18:J19 D21:J23 D25:J26 D28:J29 D31:J32 D34:J35 D37:J38 D40:J41 D43:J44 D46:J47 D49:J50 D52:J53 D55:J55">
    <cfRule type="expression" dxfId="36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18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기능'!D17</f>
        <v>24.71</v>
      </c>
      <c r="I3" s="14" t="s">
        <v>110</v>
      </c>
      <c r="J3" s="36">
        <f>'통계 및 응시자 수 입력 기능'!C17</f>
        <v>72841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125</v>
      </c>
      <c r="E4" s="114"/>
      <c r="F4" s="115"/>
      <c r="G4" s="38" t="s">
        <v>113</v>
      </c>
      <c r="H4" s="39" t="str">
        <f>'통계 및 응시자 수 입력 기능'!E17</f>
        <v>11.17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73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99.74</v>
      </c>
      <c r="G7" s="73">
        <f>_xlfn.IFNA(VLOOKUP(D7,'인원 입력 기능 (사과탐)'!$K$177:$N$225,4,FALSE),0)</f>
        <v>375</v>
      </c>
      <c r="H7" s="74">
        <f>G7/$J$3</f>
        <v>5.1481995030271416E-3</v>
      </c>
      <c r="I7" s="75">
        <f>G7</f>
        <v>375</v>
      </c>
      <c r="J7" s="76">
        <f>I7/$J$3</f>
        <v>5.1481995030271416E-3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입력기능'!C121</f>
        <v>67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입력기능'!C122</f>
        <v>63</v>
      </c>
    </row>
    <row r="9" spans="1:17" ht="25" customHeight="1" x14ac:dyDescent="0.45">
      <c r="A9" s="4"/>
      <c r="B9" s="18"/>
      <c r="C9" s="70">
        <v>48</v>
      </c>
      <c r="D9" s="71">
        <f>ROUND(10*(C9-$H$3)/$H$4+50,0)</f>
        <v>71</v>
      </c>
      <c r="E9" s="71">
        <f t="shared" si="0"/>
        <v>1</v>
      </c>
      <c r="F9" s="72">
        <f>IF(I8=0,ROUND(100*(1-(I7+I9)/2/$J$3),2),ROUND(100*(1-(I8+I9)/2/$J$3),2))</f>
        <v>99.37</v>
      </c>
      <c r="G9" s="73">
        <f>_xlfn.IFNA(VLOOKUP(D9,'인원 입력 기능 (사과탐)'!$K$177:$N$225,4,FALSE),0)</f>
        <v>161</v>
      </c>
      <c r="H9" s="74">
        <f>G9/$J$3</f>
        <v>2.2102936532996525E-3</v>
      </c>
      <c r="I9" s="78">
        <f>SUM($G$7:G9)</f>
        <v>536</v>
      </c>
      <c r="J9" s="76">
        <f>I9/$J$3</f>
        <v>7.3584931563267942E-3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입력기능'!C123</f>
        <v>59</v>
      </c>
    </row>
    <row r="10" spans="1:17" ht="25" customHeight="1" x14ac:dyDescent="0.45">
      <c r="A10" s="4"/>
      <c r="B10" s="18"/>
      <c r="C10" s="77">
        <v>47</v>
      </c>
      <c r="D10" s="71">
        <f t="shared" ref="D10:D55" si="2">ROUND(10*(C10-$H$3)/$H$4+50,0)</f>
        <v>70</v>
      </c>
      <c r="E10" s="71">
        <f t="shared" si="0"/>
        <v>1</v>
      </c>
      <c r="F10" s="72">
        <f t="shared" ref="F10:F55" si="3">IF(I9=0,ROUND(100*(1-(I8+I10)/2/$J$3),2),ROUND(100*(1-(I9+I10)/2/$J$3),2))</f>
        <v>98.59</v>
      </c>
      <c r="G10" s="73">
        <f>IF(D10=D9,"",_xlfn.IFNA(VLOOKUP(D10,'인원 입력 기능 (사과탐)'!$K$177:$N$225,4,FALSE),0))</f>
        <v>989</v>
      </c>
      <c r="H10" s="74">
        <f t="shared" ref="H10:H55" si="4">G10/$J$3</f>
        <v>1.357751815598358E-2</v>
      </c>
      <c r="I10" s="78">
        <f>SUM($G$7:G10)</f>
        <v>1525</v>
      </c>
      <c r="J10" s="76">
        <f t="shared" ref="J10:J55" si="5">I10/$J$3</f>
        <v>2.0936011312310376E-2</v>
      </c>
      <c r="K10" s="32"/>
      <c r="L10" s="3" t="str">
        <f t="shared" si="1"/>
        <v/>
      </c>
      <c r="P10" s="1">
        <v>4</v>
      </c>
      <c r="Q10" s="1">
        <f>'표준점수 등급컷 입력기능'!C124</f>
        <v>53</v>
      </c>
    </row>
    <row r="11" spans="1:17" ht="25" customHeight="1" x14ac:dyDescent="0.45">
      <c r="A11" s="4"/>
      <c r="B11" s="18"/>
      <c r="C11" s="70">
        <v>46</v>
      </c>
      <c r="D11" s="71">
        <f t="shared" si="2"/>
        <v>69</v>
      </c>
      <c r="E11" s="71">
        <f t="shared" si="0"/>
        <v>1</v>
      </c>
      <c r="F11" s="72">
        <f t="shared" si="3"/>
        <v>97.89</v>
      </c>
      <c r="G11" s="73">
        <f>IF(D11=D10,"",_xlfn.IFNA(VLOOKUP(D11,'인원 입력 기능 (사과탐)'!$K$177:$N$225,4,FALSE),0))</f>
        <v>30</v>
      </c>
      <c r="H11" s="74">
        <f t="shared" si="4"/>
        <v>4.1185596024217129E-4</v>
      </c>
      <c r="I11" s="78">
        <f>SUM($G$7:G11)</f>
        <v>1555</v>
      </c>
      <c r="J11" s="76">
        <f t="shared" si="5"/>
        <v>2.1347867272552546E-2</v>
      </c>
      <c r="K11" s="32"/>
      <c r="L11" s="3" t="str">
        <f t="shared" si="1"/>
        <v/>
      </c>
      <c r="P11" s="1">
        <v>5</v>
      </c>
      <c r="Q11" s="1">
        <f>'표준점수 등급컷 입력기능'!C125</f>
        <v>47</v>
      </c>
    </row>
    <row r="12" spans="1:17" ht="25" customHeight="1" x14ac:dyDescent="0.45">
      <c r="A12" s="4"/>
      <c r="B12" s="18"/>
      <c r="C12" s="77">
        <v>45</v>
      </c>
      <c r="D12" s="71">
        <f t="shared" si="2"/>
        <v>68</v>
      </c>
      <c r="E12" s="71">
        <f t="shared" si="0"/>
        <v>1</v>
      </c>
      <c r="F12" s="72">
        <f t="shared" si="3"/>
        <v>97.54</v>
      </c>
      <c r="G12" s="73">
        <f>IF(D12=D11,"",_xlfn.IFNA(VLOOKUP(D12,'인원 입력 기능 (사과탐)'!$K$177:$N$225,4,FALSE),0))</f>
        <v>476</v>
      </c>
      <c r="H12" s="74">
        <f t="shared" si="4"/>
        <v>6.5347812358424514E-3</v>
      </c>
      <c r="I12" s="78">
        <f>SUM($G$7:G12)</f>
        <v>2031</v>
      </c>
      <c r="J12" s="76">
        <f t="shared" si="5"/>
        <v>2.7882648508394996E-2</v>
      </c>
      <c r="K12" s="32"/>
      <c r="L12" s="3" t="str">
        <f t="shared" si="1"/>
        <v/>
      </c>
      <c r="P12" s="1">
        <v>6</v>
      </c>
      <c r="Q12" s="1">
        <f>'표준점수 등급컷 입력기능'!C126</f>
        <v>40</v>
      </c>
    </row>
    <row r="13" spans="1:17" ht="25" customHeight="1" x14ac:dyDescent="0.45">
      <c r="A13" s="4"/>
      <c r="B13" s="18"/>
      <c r="C13" s="70">
        <v>44</v>
      </c>
      <c r="D13" s="71">
        <f t="shared" si="2"/>
        <v>67</v>
      </c>
      <c r="E13" s="71">
        <f t="shared" si="0"/>
        <v>1</v>
      </c>
      <c r="F13" s="72">
        <f t="shared" si="3"/>
        <v>96.17</v>
      </c>
      <c r="G13" s="73">
        <f>IF(D13=D12,"",_xlfn.IFNA(VLOOKUP(D13,'인원 입력 기능 (사과탐)'!$K$177:$N$225,4,FALSE),0))</f>
        <v>1521</v>
      </c>
      <c r="H13" s="74">
        <f t="shared" si="4"/>
        <v>2.0881097184278084E-2</v>
      </c>
      <c r="I13" s="78">
        <f>SUM($G$7:G13)</f>
        <v>3552</v>
      </c>
      <c r="J13" s="76">
        <f t="shared" si="5"/>
        <v>4.8763745692673083E-2</v>
      </c>
      <c r="K13" s="32"/>
      <c r="L13" s="3" t="str">
        <f t="shared" si="1"/>
        <v/>
      </c>
      <c r="P13" s="1">
        <v>7</v>
      </c>
      <c r="Q13" s="1">
        <f>'표준점수 등급컷 입력기능'!C127</f>
        <v>37</v>
      </c>
    </row>
    <row r="14" spans="1:17" ht="25" customHeight="1" x14ac:dyDescent="0.45">
      <c r="A14" s="4"/>
      <c r="B14" s="18"/>
      <c r="C14" s="77">
        <v>43</v>
      </c>
      <c r="D14" s="71">
        <f t="shared" si="2"/>
        <v>66</v>
      </c>
      <c r="E14" s="71">
        <f t="shared" si="0"/>
        <v>2</v>
      </c>
      <c r="F14" s="72">
        <f t="shared" si="3"/>
        <v>95.03</v>
      </c>
      <c r="G14" s="73">
        <f>IF(D14=D13,"",_xlfn.IFNA(VLOOKUP(D14,'인원 입력 기능 (사과탐)'!$K$177:$N$225,4,FALSE),0))</f>
        <v>133</v>
      </c>
      <c r="H14" s="74">
        <f t="shared" si="4"/>
        <v>1.825894757073626E-3</v>
      </c>
      <c r="I14" s="78">
        <f>SUM($G$7:G14)</f>
        <v>3685</v>
      </c>
      <c r="J14" s="76">
        <f t="shared" si="5"/>
        <v>5.058964044974671E-2</v>
      </c>
      <c r="K14" s="32"/>
      <c r="L14" s="3" t="str">
        <f t="shared" si="1"/>
        <v/>
      </c>
      <c r="P14" s="1">
        <v>8</v>
      </c>
      <c r="Q14" s="1">
        <f>'표준점수 등급컷 입력기능'!C128</f>
        <v>35</v>
      </c>
    </row>
    <row r="15" spans="1:17" ht="25" customHeight="1" x14ac:dyDescent="0.45">
      <c r="A15" s="4"/>
      <c r="B15" s="18"/>
      <c r="C15" s="70">
        <v>42</v>
      </c>
      <c r="D15" s="161">
        <f t="shared" si="2"/>
        <v>65</v>
      </c>
      <c r="E15" s="161">
        <f t="shared" si="0"/>
        <v>2</v>
      </c>
      <c r="F15" s="163">
        <f t="shared" si="3"/>
        <v>92.85</v>
      </c>
      <c r="G15" s="165">
        <f>IF(D15=D14,"",_xlfn.IFNA(VLOOKUP(D15,'인원 입력 기능 (사과탐)'!$K$177:$N$225,4,FALSE),0))</f>
        <v>3052</v>
      </c>
      <c r="H15" s="166">
        <f t="shared" si="4"/>
        <v>4.1899479688636894E-2</v>
      </c>
      <c r="I15" s="168">
        <f>SUM($G$7:G15)</f>
        <v>6737</v>
      </c>
      <c r="J15" s="170">
        <f t="shared" si="5"/>
        <v>9.2489120138383604E-2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160"/>
      <c r="E16" s="160"/>
      <c r="F16" s="162"/>
      <c r="G16" s="164"/>
      <c r="H16" s="167"/>
      <c r="I16" s="169"/>
      <c r="J16" s="171"/>
      <c r="K16" s="32"/>
      <c r="L16" s="3" t="str">
        <f t="shared" si="1"/>
        <v>경고</v>
      </c>
    </row>
    <row r="17" spans="1:16" ht="25" customHeight="1" x14ac:dyDescent="0.45">
      <c r="A17" s="4"/>
      <c r="B17" s="18"/>
      <c r="C17" s="70">
        <v>40</v>
      </c>
      <c r="D17" s="71">
        <f t="shared" si="2"/>
        <v>64</v>
      </c>
      <c r="E17" s="71">
        <f t="shared" si="0"/>
        <v>2</v>
      </c>
      <c r="F17" s="72">
        <f t="shared" si="3"/>
        <v>90.48</v>
      </c>
      <c r="G17" s="73">
        <f>IF(D17=D16,"",_xlfn.IFNA(VLOOKUP(D17,'인원 입력 기능 (사과탐)'!$K$177:$N$225,4,FALSE),0))</f>
        <v>391</v>
      </c>
      <c r="H17" s="74">
        <f t="shared" si="4"/>
        <v>5.3678560151562997E-3</v>
      </c>
      <c r="I17" s="78">
        <f>SUM($G$7:G17)</f>
        <v>7128</v>
      </c>
      <c r="J17" s="76">
        <f t="shared" si="5"/>
        <v>9.7856976153539901E-2</v>
      </c>
      <c r="K17" s="32"/>
      <c r="L17" s="3" t="str">
        <f t="shared" si="1"/>
        <v/>
      </c>
      <c r="P17" s="1">
        <f>Q7*H3*H4*J3*IFERROR(IF(J57=1,1,0),0)</f>
        <v>1347027991.7129002</v>
      </c>
    </row>
    <row r="18" spans="1:16" ht="25" customHeight="1" x14ac:dyDescent="0.45">
      <c r="A18" s="4"/>
      <c r="B18" s="18"/>
      <c r="C18" s="77">
        <v>39</v>
      </c>
      <c r="D18" s="71">
        <f t="shared" si="2"/>
        <v>63</v>
      </c>
      <c r="E18" s="71">
        <f t="shared" si="0"/>
        <v>2</v>
      </c>
      <c r="F18" s="72">
        <f t="shared" si="3"/>
        <v>88.98</v>
      </c>
      <c r="G18" s="73">
        <f>IF(D18=D17,"",_xlfn.IFNA(VLOOKUP(D18,'인원 입력 기능 (사과탐)'!$K$177:$N$225,4,FALSE),0))</f>
        <v>1802</v>
      </c>
      <c r="H18" s="74">
        <f t="shared" si="4"/>
        <v>2.4738814678546422E-2</v>
      </c>
      <c r="I18" s="78">
        <f>SUM($G$7:G18)</f>
        <v>8930</v>
      </c>
      <c r="J18" s="76">
        <f t="shared" si="5"/>
        <v>0.12259579083208633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71">
        <f t="shared" si="2"/>
        <v>62</v>
      </c>
      <c r="E19" s="71">
        <f t="shared" si="0"/>
        <v>3</v>
      </c>
      <c r="F19" s="72">
        <f t="shared" si="3"/>
        <v>86.13</v>
      </c>
      <c r="G19" s="73">
        <f>IF(D19=D18,"",_xlfn.IFNA(VLOOKUP(D19,'인원 입력 기능 (사과탐)'!$K$177:$N$225,4,FALSE),0))</f>
        <v>2344</v>
      </c>
      <c r="H19" s="74">
        <f t="shared" si="4"/>
        <v>3.2179679026921648E-2</v>
      </c>
      <c r="I19" s="78">
        <f>SUM($G$7:G19)</f>
        <v>11274</v>
      </c>
      <c r="J19" s="76">
        <f t="shared" si="5"/>
        <v>0.15477546985900797</v>
      </c>
      <c r="K19" s="32"/>
      <c r="L19" s="3" t="str">
        <f t="shared" si="1"/>
        <v/>
      </c>
    </row>
    <row r="20" spans="1:16" ht="25" customHeight="1" x14ac:dyDescent="0.45">
      <c r="A20" s="4"/>
      <c r="B20" s="18"/>
      <c r="C20" s="77">
        <v>37</v>
      </c>
      <c r="D20" s="71">
        <f t="shared" si="2"/>
        <v>61</v>
      </c>
      <c r="E20" s="71">
        <f t="shared" si="0"/>
        <v>3</v>
      </c>
      <c r="F20" s="72">
        <f t="shared" si="3"/>
        <v>83.92</v>
      </c>
      <c r="G20" s="73">
        <f>IF(D20=D19,"",_xlfn.IFNA(VLOOKUP(D20,'인원 입력 기능 (사과탐)'!$K$177:$N$225,4,FALSE),0))</f>
        <v>883</v>
      </c>
      <c r="H20" s="74">
        <f t="shared" si="4"/>
        <v>1.2122293763127909E-2</v>
      </c>
      <c r="I20" s="78">
        <f>SUM($G$7:G20)</f>
        <v>12157</v>
      </c>
      <c r="J20" s="76">
        <f t="shared" si="5"/>
        <v>0.16689776362213588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80">
        <f t="shared" si="2"/>
        <v>60</v>
      </c>
      <c r="E21" s="80">
        <f t="shared" si="0"/>
        <v>3</v>
      </c>
      <c r="F21" s="72">
        <f t="shared" si="3"/>
        <v>81.61</v>
      </c>
      <c r="G21" s="73">
        <f>IF(D21=D20,"",_xlfn.IFNA(VLOOKUP(D21,'인원 입력 기능 (사과탐)'!$K$177:$N$225,4,FALSE),0))</f>
        <v>2471</v>
      </c>
      <c r="H21" s="74">
        <f t="shared" si="4"/>
        <v>3.3923202591946845E-2</v>
      </c>
      <c r="I21" s="78">
        <f>SUM($G$7:G21)</f>
        <v>14628</v>
      </c>
      <c r="J21" s="76">
        <f t="shared" si="5"/>
        <v>0.20082096621408274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80">
        <f t="shared" si="2"/>
        <v>59</v>
      </c>
      <c r="E22" s="80">
        <f t="shared" si="0"/>
        <v>3</v>
      </c>
      <c r="F22" s="72">
        <f t="shared" si="3"/>
        <v>78.39</v>
      </c>
      <c r="G22" s="73">
        <f>IF(D22=D21,"",_xlfn.IFNA(VLOOKUP(D22,'인원 입력 기능 (사과탐)'!$K$177:$N$225,4,FALSE),0))</f>
        <v>2224</v>
      </c>
      <c r="H22" s="74">
        <f t="shared" si="4"/>
        <v>3.0532255185952966E-2</v>
      </c>
      <c r="I22" s="78">
        <f>SUM($G$7:G22)</f>
        <v>16852</v>
      </c>
      <c r="J22" s="76">
        <f t="shared" si="5"/>
        <v>0.2313532214000357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80">
        <f t="shared" si="2"/>
        <v>58</v>
      </c>
      <c r="E23" s="80">
        <f t="shared" si="0"/>
        <v>4</v>
      </c>
      <c r="F23" s="72">
        <f t="shared" si="3"/>
        <v>75.81</v>
      </c>
      <c r="G23" s="73">
        <f>IF(D23=D22,"",_xlfn.IFNA(VLOOKUP(D23,'인원 입력 기능 (사과탐)'!$K$177:$N$225,4,FALSE),0))</f>
        <v>1533</v>
      </c>
      <c r="H23" s="74">
        <f t="shared" si="4"/>
        <v>2.1045839568374955E-2</v>
      </c>
      <c r="I23" s="78">
        <f>SUM($G$7:G23)</f>
        <v>18385</v>
      </c>
      <c r="J23" s="76">
        <f t="shared" si="5"/>
        <v>0.25239906096841064</v>
      </c>
      <c r="K23" s="32"/>
      <c r="L23" s="3" t="str">
        <f t="shared" si="1"/>
        <v/>
      </c>
    </row>
    <row r="24" spans="1:16" ht="25" customHeight="1" x14ac:dyDescent="0.45">
      <c r="A24" s="4"/>
      <c r="B24" s="18"/>
      <c r="C24" s="81">
        <v>33</v>
      </c>
      <c r="D24" s="173">
        <f t="shared" si="2"/>
        <v>57</v>
      </c>
      <c r="E24" s="173">
        <f t="shared" si="0"/>
        <v>4</v>
      </c>
      <c r="F24" s="163">
        <f t="shared" si="3"/>
        <v>71.709999999999994</v>
      </c>
      <c r="G24" s="165">
        <f>IF(D24=D23,"",_xlfn.IFNA(VLOOKUP(D24,'인원 입력 기능 (사과탐)'!$K$177:$N$225,4,FALSE),0))</f>
        <v>4450</v>
      </c>
      <c r="H24" s="166">
        <f t="shared" si="4"/>
        <v>6.109196743592208E-2</v>
      </c>
      <c r="I24" s="168">
        <f>SUM($G$7:G24)</f>
        <v>22835</v>
      </c>
      <c r="J24" s="170">
        <f t="shared" si="5"/>
        <v>0.31349102840433274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172"/>
      <c r="E25" s="172"/>
      <c r="F25" s="162"/>
      <c r="G25" s="164"/>
      <c r="H25" s="167"/>
      <c r="I25" s="169"/>
      <c r="J25" s="171"/>
      <c r="K25" s="32"/>
      <c r="L25" s="3" t="str">
        <f t="shared" si="1"/>
        <v>경고</v>
      </c>
    </row>
    <row r="26" spans="1:16" ht="25" customHeight="1" x14ac:dyDescent="0.45">
      <c r="A26" s="4"/>
      <c r="B26" s="18"/>
      <c r="C26" s="81">
        <v>31</v>
      </c>
      <c r="D26" s="80">
        <f t="shared" si="2"/>
        <v>56</v>
      </c>
      <c r="E26" s="80">
        <f t="shared" si="0"/>
        <v>4</v>
      </c>
      <c r="F26" s="72">
        <f t="shared" si="3"/>
        <v>67.239999999999995</v>
      </c>
      <c r="G26" s="73">
        <f>IF(D26=D25,"",_xlfn.IFNA(VLOOKUP(D26,'인원 입력 기능 (사과탐)'!$K$177:$N$225,4,FALSE),0))</f>
        <v>2054</v>
      </c>
      <c r="H26" s="74">
        <f t="shared" si="4"/>
        <v>2.8198404744580661E-2</v>
      </c>
      <c r="I26" s="78">
        <f>SUM($G$7:G26)</f>
        <v>24889</v>
      </c>
      <c r="J26" s="76">
        <f t="shared" si="5"/>
        <v>0.34168943314891337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80">
        <f t="shared" si="2"/>
        <v>55</v>
      </c>
      <c r="E27" s="80">
        <f t="shared" si="0"/>
        <v>4</v>
      </c>
      <c r="F27" s="72">
        <f t="shared" si="3"/>
        <v>64.3</v>
      </c>
      <c r="G27" s="73">
        <f>IF(D27=D26,"",_xlfn.IFNA(VLOOKUP(D27,'인원 입력 기능 (사과탐)'!$K$177:$N$225,4,FALSE),0))</f>
        <v>2230</v>
      </c>
      <c r="H27" s="74">
        <f t="shared" si="4"/>
        <v>3.06146263780014E-2</v>
      </c>
      <c r="I27" s="78">
        <f>SUM($G$7:G27)</f>
        <v>27119</v>
      </c>
      <c r="J27" s="76">
        <f t="shared" si="5"/>
        <v>0.37230405952691481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80">
        <f t="shared" si="2"/>
        <v>54</v>
      </c>
      <c r="E28" s="80">
        <f t="shared" si="0"/>
        <v>4</v>
      </c>
      <c r="F28" s="72">
        <f t="shared" si="3"/>
        <v>61.5</v>
      </c>
      <c r="G28" s="73">
        <f>IF(D28=D27,"",_xlfn.IFNA(VLOOKUP(D28,'인원 입력 기능 (사과탐)'!$K$177:$N$225,4,FALSE),0))</f>
        <v>1856</v>
      </c>
      <c r="H28" s="74">
        <f t="shared" si="4"/>
        <v>2.5480155406982331E-2</v>
      </c>
      <c r="I28" s="78">
        <f>SUM($G$7:G28)</f>
        <v>28975</v>
      </c>
      <c r="J28" s="76">
        <f t="shared" si="5"/>
        <v>0.3977842149338971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80">
        <f t="shared" si="2"/>
        <v>53</v>
      </c>
      <c r="E29" s="80">
        <f t="shared" si="0"/>
        <v>4</v>
      </c>
      <c r="F29" s="72">
        <f t="shared" si="3"/>
        <v>58.72</v>
      </c>
      <c r="G29" s="73">
        <f>IF(D29=D28,"",_xlfn.IFNA(VLOOKUP(D29,'인원 입력 기능 (사과탐)'!$K$177:$N$225,4,FALSE),0))</f>
        <v>2189</v>
      </c>
      <c r="H29" s="74">
        <f t="shared" si="4"/>
        <v>3.0051756565670433E-2</v>
      </c>
      <c r="I29" s="78">
        <f>SUM($G$7:G29)</f>
        <v>31164</v>
      </c>
      <c r="J29" s="76">
        <f t="shared" si="5"/>
        <v>0.42783597149956754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80">
        <f t="shared" si="2"/>
        <v>52</v>
      </c>
      <c r="E30" s="80">
        <f t="shared" si="0"/>
        <v>5</v>
      </c>
      <c r="F30" s="72">
        <f t="shared" si="3"/>
        <v>55.98</v>
      </c>
      <c r="G30" s="73">
        <f>IF(D30=D29,"",_xlfn.IFNA(VLOOKUP(D30,'인원 입력 기능 (사과탐)'!$K$177:$N$225,4,FALSE),0))</f>
        <v>1806</v>
      </c>
      <c r="H30" s="74">
        <f t="shared" si="4"/>
        <v>2.4793728806578711E-2</v>
      </c>
      <c r="I30" s="78">
        <f>SUM($G$7:G30)</f>
        <v>32970</v>
      </c>
      <c r="J30" s="76">
        <f t="shared" si="5"/>
        <v>0.45262970030614624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80">
        <f t="shared" si="2"/>
        <v>51</v>
      </c>
      <c r="E31" s="80">
        <f t="shared" si="0"/>
        <v>5</v>
      </c>
      <c r="F31" s="72">
        <f t="shared" si="3"/>
        <v>53.4</v>
      </c>
      <c r="G31" s="73">
        <f>IF(D31=D30,"",_xlfn.IFNA(VLOOKUP(D31,'인원 입력 기능 (사과탐)'!$K$177:$N$225,4,FALSE),0))</f>
        <v>1955</v>
      </c>
      <c r="H31" s="74">
        <f t="shared" si="4"/>
        <v>2.6839280075781496E-2</v>
      </c>
      <c r="I31" s="78">
        <f>SUM($G$7:G31)</f>
        <v>34925</v>
      </c>
      <c r="J31" s="76">
        <f t="shared" si="5"/>
        <v>0.47946898038192776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80">
        <f t="shared" si="2"/>
        <v>50</v>
      </c>
      <c r="E32" s="80">
        <f t="shared" si="0"/>
        <v>5</v>
      </c>
      <c r="F32" s="72">
        <f t="shared" si="3"/>
        <v>50.77</v>
      </c>
      <c r="G32" s="73">
        <f>IF(D32=D31,"",_xlfn.IFNA(VLOOKUP(D32,'인원 입력 기능 (사과탐)'!$K$177:$N$225,4,FALSE),0))</f>
        <v>1864</v>
      </c>
      <c r="H32" s="74">
        <f t="shared" si="4"/>
        <v>2.5589983663046909E-2</v>
      </c>
      <c r="I32" s="78">
        <f>SUM($G$7:G32)</f>
        <v>36789</v>
      </c>
      <c r="J32" s="76">
        <f t="shared" si="5"/>
        <v>0.50505896404497463</v>
      </c>
      <c r="K32" s="32"/>
      <c r="L32" s="3" t="str">
        <f t="shared" si="1"/>
        <v/>
      </c>
    </row>
    <row r="33" spans="1:12" ht="25" customHeight="1" x14ac:dyDescent="0.45">
      <c r="A33" s="4"/>
      <c r="B33" s="18"/>
      <c r="C33" s="79">
        <v>24</v>
      </c>
      <c r="D33" s="80">
        <f t="shared" si="2"/>
        <v>49</v>
      </c>
      <c r="E33" s="80">
        <f t="shared" si="0"/>
        <v>5</v>
      </c>
      <c r="F33" s="72">
        <f t="shared" si="3"/>
        <v>48.27</v>
      </c>
      <c r="G33" s="73">
        <f>IF(D33=D32,"",_xlfn.IFNA(VLOOKUP(D33,'인원 입력 기능 (사과탐)'!$K$177:$N$225,4,FALSE),0))</f>
        <v>1790</v>
      </c>
      <c r="H33" s="74">
        <f t="shared" si="4"/>
        <v>2.4574072294449554E-2</v>
      </c>
      <c r="I33" s="78">
        <f>SUM($G$7:G33)</f>
        <v>38579</v>
      </c>
      <c r="J33" s="76">
        <f t="shared" si="5"/>
        <v>0.52963303633942427</v>
      </c>
      <c r="K33" s="32"/>
      <c r="L33" s="3" t="str">
        <f t="shared" si="1"/>
        <v/>
      </c>
    </row>
    <row r="34" spans="1:12" ht="25" customHeight="1" x14ac:dyDescent="0.45">
      <c r="A34" s="4"/>
      <c r="B34" s="18"/>
      <c r="C34" s="81">
        <v>23</v>
      </c>
      <c r="D34" s="173">
        <f t="shared" si="2"/>
        <v>48</v>
      </c>
      <c r="E34" s="173">
        <f t="shared" si="0"/>
        <v>5</v>
      </c>
      <c r="F34" s="163">
        <f t="shared" si="3"/>
        <v>44.51</v>
      </c>
      <c r="G34" s="165">
        <f>IF(D34=D33,"",_xlfn.IFNA(VLOOKUP(D34,'인원 입력 기능 (사과탐)'!$K$177:$N$225,4,FALSE),0))</f>
        <v>3686</v>
      </c>
      <c r="H34" s="166">
        <f t="shared" si="4"/>
        <v>5.0603368981754784E-2</v>
      </c>
      <c r="I34" s="168">
        <f>SUM($G$7:G34)</f>
        <v>42265</v>
      </c>
      <c r="J34" s="170">
        <f t="shared" si="5"/>
        <v>0.58023640532117904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172"/>
      <c r="E35" s="172"/>
      <c r="F35" s="162"/>
      <c r="G35" s="164"/>
      <c r="H35" s="167"/>
      <c r="I35" s="169"/>
      <c r="J35" s="171"/>
      <c r="K35" s="32"/>
      <c r="L35" s="3" t="str">
        <f t="shared" si="1"/>
        <v>경고</v>
      </c>
    </row>
    <row r="36" spans="1:12" ht="25" customHeight="1" x14ac:dyDescent="0.45">
      <c r="A36" s="4"/>
      <c r="B36" s="18"/>
      <c r="C36" s="81">
        <v>21</v>
      </c>
      <c r="D36" s="80">
        <f t="shared" si="2"/>
        <v>47</v>
      </c>
      <c r="E36" s="80">
        <f t="shared" si="0"/>
        <v>5</v>
      </c>
      <c r="F36" s="72">
        <f t="shared" si="3"/>
        <v>40.67</v>
      </c>
      <c r="G36" s="73">
        <f>IF(D36=D35,"",_xlfn.IFNA(VLOOKUP(D36,'인원 입력 기능 (사과탐)'!$K$177:$N$225,4,FALSE),0))</f>
        <v>1907</v>
      </c>
      <c r="H36" s="74">
        <f t="shared" si="4"/>
        <v>2.6180310539394024E-2</v>
      </c>
      <c r="I36" s="78">
        <f>SUM($G$7:G36)</f>
        <v>44172</v>
      </c>
      <c r="J36" s="76">
        <f t="shared" si="5"/>
        <v>0.606416715860573</v>
      </c>
      <c r="K36" s="32"/>
      <c r="L36" s="3" t="str">
        <f t="shared" si="1"/>
        <v/>
      </c>
    </row>
    <row r="37" spans="1:12" ht="25" customHeight="1" x14ac:dyDescent="0.45">
      <c r="A37" s="4"/>
      <c r="B37" s="18"/>
      <c r="C37" s="79">
        <v>20</v>
      </c>
      <c r="D37" s="80">
        <f t="shared" si="2"/>
        <v>46</v>
      </c>
      <c r="E37" s="80">
        <f t="shared" si="0"/>
        <v>6</v>
      </c>
      <c r="F37" s="72">
        <f t="shared" si="3"/>
        <v>38.130000000000003</v>
      </c>
      <c r="G37" s="73">
        <f>IF(D37=D36,"",_xlfn.IFNA(VLOOKUP(D37,'인원 입력 기능 (사과탐)'!$K$177:$N$225,4,FALSE),0))</f>
        <v>1783</v>
      </c>
      <c r="H37" s="74">
        <f t="shared" si="4"/>
        <v>2.4477972570393049E-2</v>
      </c>
      <c r="I37" s="78">
        <f>SUM($G$7:G37)</f>
        <v>45955</v>
      </c>
      <c r="J37" s="76">
        <f t="shared" si="5"/>
        <v>0.63089468843096608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80">
        <f t="shared" si="2"/>
        <v>45</v>
      </c>
      <c r="E38" s="80">
        <f t="shared" si="0"/>
        <v>6</v>
      </c>
      <c r="F38" s="72">
        <f t="shared" si="3"/>
        <v>35.57</v>
      </c>
      <c r="G38" s="73">
        <f>IF(D38=D37,"",_xlfn.IFNA(VLOOKUP(D38,'인원 입력 기능 (사과탐)'!$K$177:$N$225,4,FALSE),0))</f>
        <v>1956</v>
      </c>
      <c r="H38" s="74">
        <f t="shared" si="4"/>
        <v>2.685300860778957E-2</v>
      </c>
      <c r="I38" s="78">
        <f>SUM($G$7:G38)</f>
        <v>47911</v>
      </c>
      <c r="J38" s="76">
        <f t="shared" si="5"/>
        <v>0.65774769703875569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80">
        <f t="shared" si="2"/>
        <v>44</v>
      </c>
      <c r="E39" s="8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2">
        <f t="shared" si="3"/>
        <v>32.979999999999997</v>
      </c>
      <c r="G39" s="73">
        <f>IF(D39=D38,"",_xlfn.IFNA(VLOOKUP(D39,'인원 입력 기능 (사과탐)'!$K$177:$N$225,4,FALSE),0))</f>
        <v>1812</v>
      </c>
      <c r="H39" s="74">
        <f t="shared" si="4"/>
        <v>2.4876099998627148E-2</v>
      </c>
      <c r="I39" s="78">
        <f>SUM($G$7:G39)</f>
        <v>49723</v>
      </c>
      <c r="J39" s="76">
        <f t="shared" si="5"/>
        <v>0.68262379703738274</v>
      </c>
      <c r="K39" s="32"/>
      <c r="L39" s="3" t="str">
        <f t="shared" si="1"/>
        <v/>
      </c>
    </row>
    <row r="40" spans="1:12" ht="25" customHeight="1" x14ac:dyDescent="0.45">
      <c r="A40" s="4"/>
      <c r="B40" s="18"/>
      <c r="C40" s="81">
        <v>17</v>
      </c>
      <c r="D40" s="80">
        <f t="shared" si="2"/>
        <v>43</v>
      </c>
      <c r="E40" s="80">
        <f t="shared" si="6"/>
        <v>6</v>
      </c>
      <c r="F40" s="72">
        <f t="shared" si="3"/>
        <v>30.28</v>
      </c>
      <c r="G40" s="73">
        <f>IF(D40=D39,"",_xlfn.IFNA(VLOOKUP(D40,'인원 입력 기능 (사과탐)'!$K$177:$N$225,4,FALSE),0))</f>
        <v>2127</v>
      </c>
      <c r="H40" s="74">
        <f t="shared" si="4"/>
        <v>2.9200587581169946E-2</v>
      </c>
      <c r="I40" s="78">
        <f>SUM($G$7:G40)</f>
        <v>51850</v>
      </c>
      <c r="J40" s="76">
        <f t="shared" si="5"/>
        <v>0.71182438461855269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80">
        <f t="shared" si="2"/>
        <v>42</v>
      </c>
      <c r="E41" s="80">
        <f t="shared" si="6"/>
        <v>6</v>
      </c>
      <c r="F41" s="72">
        <f t="shared" si="3"/>
        <v>27.47</v>
      </c>
      <c r="G41" s="73">
        <f>IF(D41=D40,"",_xlfn.IFNA(VLOOKUP(D41,'인원 입력 기능 (사과탐)'!$K$177:$N$225,4,FALSE),0))</f>
        <v>1964</v>
      </c>
      <c r="H41" s="74">
        <f t="shared" si="4"/>
        <v>2.6962836863854148E-2</v>
      </c>
      <c r="I41" s="78">
        <f>SUM($G$7:G41)</f>
        <v>53814</v>
      </c>
      <c r="J41" s="76">
        <f t="shared" si="5"/>
        <v>0.73878722148240694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80">
        <f t="shared" si="2"/>
        <v>41</v>
      </c>
      <c r="E42" s="80">
        <f t="shared" si="6"/>
        <v>6</v>
      </c>
      <c r="F42" s="72">
        <f t="shared" si="3"/>
        <v>24.81</v>
      </c>
      <c r="G42" s="73">
        <f>IF(D42=D41,"",_xlfn.IFNA(VLOOKUP(D42,'인원 입력 기능 (사과탐)'!$K$177:$N$225,4,FALSE),0))</f>
        <v>1912</v>
      </c>
      <c r="H42" s="74">
        <f t="shared" si="4"/>
        <v>2.6248953199434384E-2</v>
      </c>
      <c r="I42" s="78">
        <f>SUM($G$7:G42)</f>
        <v>55726</v>
      </c>
      <c r="J42" s="76">
        <f t="shared" si="5"/>
        <v>0.76503617468184126</v>
      </c>
      <c r="K42" s="32"/>
      <c r="L42" s="3" t="str">
        <f t="shared" si="1"/>
        <v/>
      </c>
    </row>
    <row r="43" spans="1:12" ht="25" customHeight="1" x14ac:dyDescent="0.45">
      <c r="A43" s="4"/>
      <c r="B43" s="18"/>
      <c r="C43" s="79">
        <v>14</v>
      </c>
      <c r="D43" s="173">
        <f t="shared" si="2"/>
        <v>40</v>
      </c>
      <c r="E43" s="173">
        <f t="shared" si="6"/>
        <v>6</v>
      </c>
      <c r="F43" s="163">
        <f t="shared" si="3"/>
        <v>20.66</v>
      </c>
      <c r="G43" s="165">
        <f>IF(D43=D42,"",_xlfn.IFNA(VLOOKUP(D43,'인원 입력 기능 (사과탐)'!$K$177:$N$225,4,FALSE),0))</f>
        <v>4129</v>
      </c>
      <c r="H43" s="166">
        <f t="shared" si="4"/>
        <v>5.6685108661330842E-2</v>
      </c>
      <c r="I43" s="168">
        <f>SUM($G$7:G43)</f>
        <v>59855</v>
      </c>
      <c r="J43" s="170">
        <f t="shared" si="5"/>
        <v>0.82172128334317207</v>
      </c>
      <c r="K43" s="32"/>
      <c r="L43" s="3" t="str">
        <f t="shared" si="1"/>
        <v/>
      </c>
    </row>
    <row r="44" spans="1:12" ht="25" customHeight="1" x14ac:dyDescent="0.45">
      <c r="A44" s="4"/>
      <c r="B44" s="18"/>
      <c r="C44" s="81">
        <v>13</v>
      </c>
      <c r="D44" s="172"/>
      <c r="E44" s="172"/>
      <c r="F44" s="162"/>
      <c r="G44" s="164"/>
      <c r="H44" s="167"/>
      <c r="I44" s="169"/>
      <c r="J44" s="171"/>
      <c r="K44" s="32"/>
      <c r="L44" s="3" t="str">
        <f t="shared" si="1"/>
        <v>경고</v>
      </c>
    </row>
    <row r="45" spans="1:12" ht="25" customHeight="1" x14ac:dyDescent="0.45">
      <c r="A45" s="4"/>
      <c r="B45" s="18"/>
      <c r="C45" s="79">
        <v>12</v>
      </c>
      <c r="D45" s="80">
        <f t="shared" si="2"/>
        <v>39</v>
      </c>
      <c r="E45" s="80">
        <f t="shared" si="6"/>
        <v>7</v>
      </c>
      <c r="F45" s="72">
        <f t="shared" si="3"/>
        <v>16.47</v>
      </c>
      <c r="G45" s="73">
        <f>IF(D45=D44,"",_xlfn.IFNA(VLOOKUP(D45,'인원 입력 기능 (사과탐)'!$K$177:$N$225,4,FALSE),0))</f>
        <v>1978</v>
      </c>
      <c r="H45" s="74">
        <f t="shared" si="4"/>
        <v>2.7155036311967161E-2</v>
      </c>
      <c r="I45" s="78">
        <f>SUM($G$7:G45)</f>
        <v>61833</v>
      </c>
      <c r="J45" s="76">
        <f t="shared" si="5"/>
        <v>0.84887631965513932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80">
        <f t="shared" si="2"/>
        <v>38</v>
      </c>
      <c r="E46" s="80">
        <f t="shared" si="6"/>
        <v>7</v>
      </c>
      <c r="F46" s="72">
        <f t="shared" si="3"/>
        <v>14.17</v>
      </c>
      <c r="G46" s="73">
        <f>IF(D46=D45,"",_xlfn.IFNA(VLOOKUP(D46,'인원 입력 기능 (사과탐)'!$K$177:$N$225,4,FALSE),0))</f>
        <v>1373</v>
      </c>
      <c r="H46" s="74">
        <f t="shared" si="4"/>
        <v>1.8849274447083373E-2</v>
      </c>
      <c r="I46" s="78">
        <f>SUM($G$7:G46)</f>
        <v>63206</v>
      </c>
      <c r="J46" s="76">
        <f t="shared" si="5"/>
        <v>0.86772559410222261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80">
        <f t="shared" si="2"/>
        <v>37</v>
      </c>
      <c r="E47" s="80">
        <f t="shared" si="6"/>
        <v>7</v>
      </c>
      <c r="F47" s="72">
        <f t="shared" si="3"/>
        <v>11.28</v>
      </c>
      <c r="G47" s="73">
        <f>IF(D47=D46,"",_xlfn.IFNA(VLOOKUP(D47,'인원 입력 기능 (사과탐)'!$K$177:$N$225,4,FALSE),0))</f>
        <v>2837</v>
      </c>
      <c r="H47" s="74">
        <f t="shared" si="4"/>
        <v>3.8947845306901333E-2</v>
      </c>
      <c r="I47" s="78">
        <f>SUM($G$7:G47)</f>
        <v>66043</v>
      </c>
      <c r="J47" s="76">
        <f t="shared" si="5"/>
        <v>0.90667343940912404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81">
        <v>9</v>
      </c>
      <c r="D48" s="80">
        <f t="shared" si="2"/>
        <v>36</v>
      </c>
      <c r="E48" s="80">
        <f t="shared" si="6"/>
        <v>8</v>
      </c>
      <c r="F48" s="72">
        <f t="shared" si="3"/>
        <v>7.06</v>
      </c>
      <c r="G48" s="73">
        <f>IF(D48=D47,"",_xlfn.IFNA(VLOOKUP(D48,'인원 입력 기능 (사과탐)'!$K$177:$N$225,4,FALSE),0))</f>
        <v>3315</v>
      </c>
      <c r="H48" s="74">
        <f t="shared" si="4"/>
        <v>4.5510083606759927E-2</v>
      </c>
      <c r="I48" s="78">
        <f>SUM($G$7:G48)</f>
        <v>69358</v>
      </c>
      <c r="J48" s="76">
        <f t="shared" si="5"/>
        <v>0.95218352301588394</v>
      </c>
      <c r="K48" s="32"/>
      <c r="L48" s="3" t="str">
        <f t="shared" si="1"/>
        <v/>
      </c>
    </row>
    <row r="49" spans="1:12" ht="25" customHeight="1" x14ac:dyDescent="0.45">
      <c r="A49" s="4"/>
      <c r="B49" s="18"/>
      <c r="C49" s="79">
        <v>8</v>
      </c>
      <c r="D49" s="80">
        <f t="shared" si="2"/>
        <v>35</v>
      </c>
      <c r="E49" s="80">
        <f t="shared" si="6"/>
        <v>8</v>
      </c>
      <c r="F49" s="72">
        <f t="shared" si="3"/>
        <v>4.12</v>
      </c>
      <c r="G49" s="73">
        <f>IF(D49=D48,"",_xlfn.IFNA(VLOOKUP(D49,'인원 입력 기능 (사과탐)'!$K$177:$N$225,4,FALSE),0))</f>
        <v>966</v>
      </c>
      <c r="H49" s="74">
        <f t="shared" si="4"/>
        <v>1.3261761919797915E-2</v>
      </c>
      <c r="I49" s="78">
        <f>SUM($G$7:G49)</f>
        <v>70324</v>
      </c>
      <c r="J49" s="76">
        <f t="shared" si="5"/>
        <v>0.96544528493568182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80">
        <f t="shared" si="2"/>
        <v>34</v>
      </c>
      <c r="E50" s="80">
        <f t="shared" si="6"/>
        <v>9</v>
      </c>
      <c r="F50" s="72">
        <f t="shared" si="3"/>
        <v>2.71</v>
      </c>
      <c r="G50" s="73">
        <f>IF(D50=D49,"",_xlfn.IFNA(VLOOKUP(D50,'인원 입력 기능 (사과탐)'!$K$177:$N$225,4,FALSE),0))</f>
        <v>1083</v>
      </c>
      <c r="H50" s="74">
        <f t="shared" si="4"/>
        <v>1.4868000164742384E-2</v>
      </c>
      <c r="I50" s="78">
        <f>SUM($G$7:G50)</f>
        <v>71407</v>
      </c>
      <c r="J50" s="76">
        <f t="shared" si="5"/>
        <v>0.98031328510042426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80">
        <f t="shared" si="2"/>
        <v>33</v>
      </c>
      <c r="E51" s="80">
        <f t="shared" si="6"/>
        <v>9</v>
      </c>
      <c r="F51" s="72">
        <f t="shared" si="3"/>
        <v>1.72</v>
      </c>
      <c r="G51" s="73">
        <f>IF(D51=D50,"",_xlfn.IFNA(VLOOKUP(D51,'인원 입력 기능 (사과탐)'!$K$177:$N$225,4,FALSE),0))</f>
        <v>369</v>
      </c>
      <c r="H51" s="74">
        <f t="shared" si="4"/>
        <v>5.0658283109787068E-3</v>
      </c>
      <c r="I51" s="78">
        <f>SUM($G$7:G51)</f>
        <v>71776</v>
      </c>
      <c r="J51" s="76">
        <f t="shared" si="5"/>
        <v>0.98537911341140294</v>
      </c>
      <c r="K51" s="32"/>
      <c r="L51" s="3" t="str">
        <f t="shared" si="1"/>
        <v/>
      </c>
    </row>
    <row r="52" spans="1:12" ht="25" customHeight="1" x14ac:dyDescent="0.45">
      <c r="A52" s="4"/>
      <c r="B52" s="18"/>
      <c r="C52" s="81">
        <v>5</v>
      </c>
      <c r="D52" s="80">
        <f t="shared" si="2"/>
        <v>32</v>
      </c>
      <c r="E52" s="80">
        <f t="shared" si="6"/>
        <v>9</v>
      </c>
      <c r="F52" s="72">
        <f t="shared" si="3"/>
        <v>1.1299999999999999</v>
      </c>
      <c r="G52" s="73">
        <f>IF(D52=D51,"",_xlfn.IFNA(VLOOKUP(D52,'인원 입력 기능 (사과탐)'!$K$177:$N$225,4,FALSE),0))</f>
        <v>485</v>
      </c>
      <c r="H52" s="74">
        <f t="shared" si="4"/>
        <v>6.6583380239151032E-3</v>
      </c>
      <c r="I52" s="78">
        <f>SUM($G$7:G52)</f>
        <v>72261</v>
      </c>
      <c r="J52" s="76">
        <f t="shared" si="5"/>
        <v>0.99203745143531807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161">
        <f t="shared" si="2"/>
        <v>31</v>
      </c>
      <c r="E53" s="161">
        <f t="shared" si="6"/>
        <v>9</v>
      </c>
      <c r="F53" s="163">
        <f t="shared" si="3"/>
        <v>0.54</v>
      </c>
      <c r="G53" s="165">
        <f>IF(D53=D52,"",_xlfn.IFNA(VLOOKUP(D53,'인원 입력 기능 (사과탐)'!$K$177:$N$225,4,FALSE),0))</f>
        <v>374</v>
      </c>
      <c r="H53" s="166">
        <f t="shared" si="4"/>
        <v>5.1344709710190693E-3</v>
      </c>
      <c r="I53" s="168">
        <f>SUM($G$7:G53)</f>
        <v>72635</v>
      </c>
      <c r="J53" s="170">
        <f t="shared" si="5"/>
        <v>0.99717192240633712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160"/>
      <c r="E54" s="160"/>
      <c r="F54" s="162"/>
      <c r="G54" s="164"/>
      <c r="H54" s="167"/>
      <c r="I54" s="169"/>
      <c r="J54" s="171"/>
      <c r="K54" s="32"/>
      <c r="L54" s="3" t="str">
        <f t="shared" si="1"/>
        <v>경고</v>
      </c>
    </row>
    <row r="55" spans="1:12" ht="25" customHeight="1" x14ac:dyDescent="0.45">
      <c r="A55" s="4"/>
      <c r="B55" s="18"/>
      <c r="C55" s="70">
        <v>2</v>
      </c>
      <c r="D55" s="71">
        <f t="shared" si="2"/>
        <v>30</v>
      </c>
      <c r="E55" s="71">
        <f t="shared" si="6"/>
        <v>9</v>
      </c>
      <c r="F55" s="72">
        <f t="shared" si="3"/>
        <v>0.18</v>
      </c>
      <c r="G55" s="73">
        <f>IF(D55=D54,"",_xlfn.IFNA(VLOOKUP(D55,'인원 입력 기능 (사과탐)'!$K$177:$N$225,4,FALSE),0))</f>
        <v>152</v>
      </c>
      <c r="H55" s="74">
        <f t="shared" si="4"/>
        <v>2.0867368652270012E-3</v>
      </c>
      <c r="I55" s="78">
        <f>SUM($G$7:G55)</f>
        <v>72787</v>
      </c>
      <c r="J55" s="76">
        <f t="shared" si="5"/>
        <v>0.9992586592715641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28</v>
      </c>
      <c r="E57" s="84">
        <f t="shared" si="6"/>
        <v>9</v>
      </c>
      <c r="F57" s="85">
        <f>IF(I55=0,ROUND(100*(1-(I54+I57)/2/$J$3),2),ROUND(100*(1-(I55+I57)/2/$J$3),2))</f>
        <v>0.04</v>
      </c>
      <c r="G57" s="86">
        <f>_xlfn.IFNA(VLOOKUP(D57,'인원 입력 기능 (사과탐)'!$K$177:$N$225,4,FALSE),0)</f>
        <v>54</v>
      </c>
      <c r="H57" s="87">
        <f>G57/$J$3</f>
        <v>7.4134072843590833E-4</v>
      </c>
      <c r="I57" s="88">
        <f>SUM($G$7:G57)</f>
        <v>72841</v>
      </c>
      <c r="J57" s="89">
        <f>I57/$J$3</f>
        <v>1</v>
      </c>
      <c r="K57" s="32"/>
      <c r="L57" s="3" t="str">
        <f t="shared" ref="L57" si="7">IF(ABS((C57-$H$3)/$H$4*10+50-D57-0.5)&lt;0.1, "경고", "")</f>
        <v/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40">
    <mergeCell ref="I43:I44"/>
    <mergeCell ref="J43:J44"/>
    <mergeCell ref="D53:D54"/>
    <mergeCell ref="E53:E54"/>
    <mergeCell ref="F53:F54"/>
    <mergeCell ref="G53:G54"/>
    <mergeCell ref="H53:H54"/>
    <mergeCell ref="I53:I54"/>
    <mergeCell ref="J53:J54"/>
    <mergeCell ref="D43:D44"/>
    <mergeCell ref="E43:E44"/>
    <mergeCell ref="F43:F44"/>
    <mergeCell ref="G43:G44"/>
    <mergeCell ref="H43:H44"/>
    <mergeCell ref="H24:H25"/>
    <mergeCell ref="I24:I25"/>
    <mergeCell ref="J24:J25"/>
    <mergeCell ref="D34:D35"/>
    <mergeCell ref="E34:E35"/>
    <mergeCell ref="F34:F35"/>
    <mergeCell ref="G34:G35"/>
    <mergeCell ref="H34:H35"/>
    <mergeCell ref="I34:I35"/>
    <mergeCell ref="J34:J35"/>
    <mergeCell ref="D3:F3"/>
    <mergeCell ref="D4:F4"/>
    <mergeCell ref="D8:J8"/>
    <mergeCell ref="D56:J56"/>
    <mergeCell ref="G5:J5"/>
    <mergeCell ref="D15:D16"/>
    <mergeCell ref="E15:E16"/>
    <mergeCell ref="F15:F16"/>
    <mergeCell ref="G15:G16"/>
    <mergeCell ref="H15:H16"/>
    <mergeCell ref="I15:I16"/>
    <mergeCell ref="J15:J16"/>
    <mergeCell ref="D24:D25"/>
    <mergeCell ref="E24:E25"/>
    <mergeCell ref="F24:F25"/>
    <mergeCell ref="G24:G25"/>
  </mergeCells>
  <phoneticPr fontId="1" type="noConversion"/>
  <conditionalFormatting sqref="D7:D15 D17:D24 D26:D34 D36:D43 D45:D53 D55:D57">
    <cfRule type="expression" dxfId="35" priority="1">
      <formula>$D7=$D8</formula>
    </cfRule>
  </conditionalFormatting>
  <conditionalFormatting sqref="C7:C57">
    <cfRule type="expression" dxfId="34" priority="2">
      <formula>OR(AND($D7=0,OR($D6=$Q$7:$Q$14)),AND($D8&gt;0,OR($D7=$Q$7:$Q$14)))</formula>
    </cfRule>
  </conditionalFormatting>
  <conditionalFormatting sqref="D7:J7 D8 D57:J57 D56 D9:J15 D17:J24 D26:J34 D36:J43 D45:J53 D55:J55">
    <cfRule type="expression" dxfId="33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19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기능'!D18</f>
        <v>23.37</v>
      </c>
      <c r="I3" s="14" t="s">
        <v>110</v>
      </c>
      <c r="J3" s="36">
        <f>'통계 및 응시자 수 입력 기능'!C18</f>
        <v>74207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124</v>
      </c>
      <c r="E4" s="114"/>
      <c r="F4" s="115"/>
      <c r="G4" s="38" t="s">
        <v>113</v>
      </c>
      <c r="H4" s="39" t="str">
        <f>'통계 및 응시자 수 입력 기능'!E18</f>
        <v>12.84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71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99.64</v>
      </c>
      <c r="G7" s="73">
        <f>_xlfn.IFNA(VLOOKUP(D7,'인원 입력 기능 (사과탐)'!$P$177:$S$225,4,FALSE),0)</f>
        <v>540</v>
      </c>
      <c r="H7" s="74">
        <f>G7/$J$3</f>
        <v>7.2769415284272372E-3</v>
      </c>
      <c r="I7" s="75">
        <f>G7</f>
        <v>540</v>
      </c>
      <c r="J7" s="76">
        <f>I7/$J$3</f>
        <v>7.2769415284272372E-3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입력기능'!C130</f>
        <v>67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입력기능'!C131</f>
        <v>64</v>
      </c>
    </row>
    <row r="9" spans="1:17" ht="25" customHeight="1" x14ac:dyDescent="0.45">
      <c r="A9" s="4"/>
      <c r="B9" s="18"/>
      <c r="C9" s="70">
        <v>48</v>
      </c>
      <c r="D9" s="71">
        <f>ROUND(10*(C9-$H$3)/$H$4+50,0)</f>
        <v>69</v>
      </c>
      <c r="E9" s="71">
        <f t="shared" si="0"/>
        <v>1</v>
      </c>
      <c r="F9" s="72">
        <f>IF(I8=0,ROUND(100*(1-(I7+I9)/2/$J$3),2),ROUND(100*(1-(I8+I9)/2/$J$3),2))</f>
        <v>98.59</v>
      </c>
      <c r="G9" s="73">
        <f>_xlfn.IFNA(VLOOKUP(D9,'인원 입력 기능 (사과탐)'!$P$177:$S$225,4,FALSE),0)</f>
        <v>1009</v>
      </c>
      <c r="H9" s="74">
        <f>G9/$J$3</f>
        <v>1.3597100004042746E-2</v>
      </c>
      <c r="I9" s="78">
        <f>SUM($G$7:G9)</f>
        <v>1549</v>
      </c>
      <c r="J9" s="76">
        <f>I9/$J$3</f>
        <v>2.0874041532469984E-2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입력기능'!C132</f>
        <v>59</v>
      </c>
    </row>
    <row r="10" spans="1:17" ht="25" customHeight="1" x14ac:dyDescent="0.45">
      <c r="A10" s="4"/>
      <c r="B10" s="18"/>
      <c r="C10" s="77">
        <v>47</v>
      </c>
      <c r="D10" s="161">
        <f t="shared" ref="D10:D55" si="2">ROUND(10*(C10-$H$3)/$H$4+50,0)</f>
        <v>68</v>
      </c>
      <c r="E10" s="161">
        <f t="shared" si="0"/>
        <v>1</v>
      </c>
      <c r="F10" s="163">
        <f t="shared" ref="F10:F55" si="3">IF(I9=0,ROUND(100*(1-(I8+I10)/2/$J$3),2),ROUND(100*(1-(I9+I10)/2/$J$3),2))</f>
        <v>97.05</v>
      </c>
      <c r="G10" s="165">
        <f>IF(D10=D9,"",_xlfn.IFNA(VLOOKUP(D10,'인원 입력 기능 (사과탐)'!$P$177:$S$225,4,FALSE),0))</f>
        <v>1280</v>
      </c>
      <c r="H10" s="166">
        <f t="shared" ref="H10:H55" si="4">G10/$J$3</f>
        <v>1.7249046585901599E-2</v>
      </c>
      <c r="I10" s="168">
        <f>SUM($G$7:G10)</f>
        <v>2829</v>
      </c>
      <c r="J10" s="170">
        <f t="shared" ref="J10:J55" si="5">I10/$J$3</f>
        <v>3.8123088118371583E-2</v>
      </c>
      <c r="K10" s="32"/>
      <c r="L10" s="3" t="str">
        <f t="shared" si="1"/>
        <v/>
      </c>
      <c r="P10" s="1">
        <v>4</v>
      </c>
      <c r="Q10" s="1">
        <f>'표준점수 등급컷 입력기능'!C133</f>
        <v>53</v>
      </c>
    </row>
    <row r="11" spans="1:17" ht="25" customHeight="1" x14ac:dyDescent="0.45">
      <c r="A11" s="4"/>
      <c r="B11" s="18"/>
      <c r="C11" s="70">
        <v>46</v>
      </c>
      <c r="D11" s="160"/>
      <c r="E11" s="160"/>
      <c r="F11" s="162"/>
      <c r="G11" s="164"/>
      <c r="H11" s="167"/>
      <c r="I11" s="169"/>
      <c r="J11" s="171"/>
      <c r="K11" s="32"/>
      <c r="L11" s="3" t="str">
        <f t="shared" si="1"/>
        <v>경고</v>
      </c>
      <c r="P11" s="1">
        <v>5</v>
      </c>
      <c r="Q11" s="1">
        <f>'표준점수 등급컷 입력기능'!C134</f>
        <v>45</v>
      </c>
    </row>
    <row r="12" spans="1:17" ht="25" customHeight="1" x14ac:dyDescent="0.45">
      <c r="A12" s="4"/>
      <c r="B12" s="18"/>
      <c r="C12" s="77">
        <v>45</v>
      </c>
      <c r="D12" s="71">
        <f t="shared" si="2"/>
        <v>67</v>
      </c>
      <c r="E12" s="71">
        <f t="shared" si="0"/>
        <v>1</v>
      </c>
      <c r="F12" s="72">
        <f t="shared" si="3"/>
        <v>95.15</v>
      </c>
      <c r="G12" s="73">
        <f>IF(D12=D11,"",_xlfn.IFNA(VLOOKUP(D12,'인원 입력 기능 (사과탐)'!$P$177:$S$225,4,FALSE),0))</f>
        <v>1538</v>
      </c>
      <c r="H12" s="74">
        <f t="shared" si="4"/>
        <v>2.0725807538372391E-2</v>
      </c>
      <c r="I12" s="78">
        <f>SUM($G$7:G12)</f>
        <v>4367</v>
      </c>
      <c r="J12" s="76">
        <f t="shared" si="5"/>
        <v>5.884889565674397E-2</v>
      </c>
      <c r="K12" s="32"/>
      <c r="L12" s="3" t="str">
        <f t="shared" si="1"/>
        <v/>
      </c>
      <c r="P12" s="1">
        <v>6</v>
      </c>
      <c r="Q12" s="1">
        <f>'표준점수 등급컷 입력기능'!C135</f>
        <v>40</v>
      </c>
    </row>
    <row r="13" spans="1:17" ht="25" customHeight="1" x14ac:dyDescent="0.45">
      <c r="A13" s="4"/>
      <c r="B13" s="18"/>
      <c r="C13" s="70">
        <v>44</v>
      </c>
      <c r="D13" s="71">
        <f t="shared" si="2"/>
        <v>66</v>
      </c>
      <c r="E13" s="71">
        <f t="shared" si="0"/>
        <v>2</v>
      </c>
      <c r="F13" s="72">
        <f t="shared" si="3"/>
        <v>93.69</v>
      </c>
      <c r="G13" s="73">
        <f>IF(D13=D12,"",_xlfn.IFNA(VLOOKUP(D13,'인원 입력 기능 (사과탐)'!$P$177:$S$225,4,FALSE),0))</f>
        <v>635</v>
      </c>
      <c r="H13" s="74">
        <f t="shared" si="4"/>
        <v>8.5571442047246218E-3</v>
      </c>
      <c r="I13" s="78">
        <f>SUM($G$7:G13)</f>
        <v>5002</v>
      </c>
      <c r="J13" s="76">
        <f t="shared" si="5"/>
        <v>6.7406039861468592E-2</v>
      </c>
      <c r="K13" s="32"/>
      <c r="L13" s="3" t="str">
        <f t="shared" si="1"/>
        <v/>
      </c>
      <c r="P13" s="1">
        <v>7</v>
      </c>
      <c r="Q13" s="1">
        <f>'표준점수 등급컷 입력기능'!C136</f>
        <v>38</v>
      </c>
    </row>
    <row r="14" spans="1:17" ht="25" customHeight="1" x14ac:dyDescent="0.45">
      <c r="A14" s="4"/>
      <c r="B14" s="18"/>
      <c r="C14" s="77">
        <v>43</v>
      </c>
      <c r="D14" s="161">
        <f t="shared" si="2"/>
        <v>65</v>
      </c>
      <c r="E14" s="161">
        <f t="shared" si="0"/>
        <v>2</v>
      </c>
      <c r="F14" s="163">
        <f t="shared" si="3"/>
        <v>91.22</v>
      </c>
      <c r="G14" s="165">
        <f>IF(D14=D13,"",_xlfn.IFNA(VLOOKUP(D14,'인원 입력 기능 (사과탐)'!$P$177:$S$225,4,FALSE),0))</f>
        <v>3023</v>
      </c>
      <c r="H14" s="166">
        <f t="shared" si="4"/>
        <v>4.0737396741547291E-2</v>
      </c>
      <c r="I14" s="168">
        <f>SUM($G$7:G14)</f>
        <v>8025</v>
      </c>
      <c r="J14" s="170">
        <f t="shared" si="5"/>
        <v>0.10814343660301588</v>
      </c>
      <c r="K14" s="32"/>
      <c r="L14" s="3" t="str">
        <f t="shared" si="1"/>
        <v/>
      </c>
      <c r="P14" s="1">
        <v>8</v>
      </c>
      <c r="Q14" s="1">
        <f>'표준점수 등급컷 입력기능'!C137</f>
        <v>36</v>
      </c>
    </row>
    <row r="15" spans="1:17" ht="25" customHeight="1" x14ac:dyDescent="0.45">
      <c r="A15" s="4"/>
      <c r="B15" s="18"/>
      <c r="C15" s="70">
        <v>42</v>
      </c>
      <c r="D15" s="160"/>
      <c r="E15" s="160"/>
      <c r="F15" s="162"/>
      <c r="G15" s="164"/>
      <c r="H15" s="167"/>
      <c r="I15" s="169"/>
      <c r="J15" s="171"/>
      <c r="K15" s="32"/>
      <c r="L15" s="3" t="str">
        <f t="shared" si="1"/>
        <v>경고</v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71">
        <f t="shared" si="2"/>
        <v>64</v>
      </c>
      <c r="E16" s="71">
        <f t="shared" si="0"/>
        <v>2</v>
      </c>
      <c r="F16" s="72">
        <f t="shared" si="3"/>
        <v>88.57</v>
      </c>
      <c r="G16" s="73">
        <f>IF(D16=D15,"",_xlfn.IFNA(VLOOKUP(D16,'인원 입력 기능 (사과탐)'!$P$177:$S$225,4,FALSE),0))</f>
        <v>909</v>
      </c>
      <c r="H16" s="74">
        <f t="shared" si="4"/>
        <v>1.2249518239519183E-2</v>
      </c>
      <c r="I16" s="78">
        <f>SUM($G$7:G16)</f>
        <v>8934</v>
      </c>
      <c r="J16" s="76">
        <f t="shared" si="5"/>
        <v>0.12039295484253507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71">
        <f t="shared" si="2"/>
        <v>63</v>
      </c>
      <c r="E17" s="71">
        <f t="shared" si="0"/>
        <v>3</v>
      </c>
      <c r="F17" s="72">
        <f t="shared" si="3"/>
        <v>86.5</v>
      </c>
      <c r="G17" s="73">
        <f>IF(D17=D16,"",_xlfn.IFNA(VLOOKUP(D17,'인원 입력 기능 (사과탐)'!$P$177:$S$225,4,FALSE),0))</f>
        <v>2169</v>
      </c>
      <c r="H17" s="74">
        <f t="shared" si="4"/>
        <v>2.9229048472516068E-2</v>
      </c>
      <c r="I17" s="78">
        <f>SUM($G$7:G17)</f>
        <v>11103</v>
      </c>
      <c r="J17" s="76">
        <f t="shared" si="5"/>
        <v>0.14962200331505113</v>
      </c>
      <c r="K17" s="32"/>
      <c r="L17" s="3" t="str">
        <f t="shared" si="1"/>
        <v/>
      </c>
      <c r="P17" s="1">
        <f>Q7*H3*H4*J3*IFERROR(IF(J57=1,1,0),0)</f>
        <v>1491912708.3251998</v>
      </c>
    </row>
    <row r="18" spans="1:16" ht="25" customHeight="1" x14ac:dyDescent="0.45">
      <c r="A18" s="4"/>
      <c r="B18" s="18"/>
      <c r="C18" s="77">
        <v>39</v>
      </c>
      <c r="D18" s="71">
        <f t="shared" si="2"/>
        <v>62</v>
      </c>
      <c r="E18" s="71">
        <f t="shared" si="0"/>
        <v>3</v>
      </c>
      <c r="F18" s="72">
        <f t="shared" si="3"/>
        <v>84.17</v>
      </c>
      <c r="G18" s="73">
        <f>IF(D18=D17,"",_xlfn.IFNA(VLOOKUP(D18,'인원 입력 기능 (사과탐)'!$P$177:$S$225,4,FALSE),0))</f>
        <v>1288</v>
      </c>
      <c r="H18" s="74">
        <f t="shared" si="4"/>
        <v>1.7356853127063483E-2</v>
      </c>
      <c r="I18" s="78">
        <f>SUM($G$7:G18)</f>
        <v>12391</v>
      </c>
      <c r="J18" s="76">
        <f t="shared" si="5"/>
        <v>0.16697885644211463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161">
        <f t="shared" si="2"/>
        <v>61</v>
      </c>
      <c r="E19" s="161">
        <f t="shared" si="0"/>
        <v>3</v>
      </c>
      <c r="F19" s="163">
        <f t="shared" si="3"/>
        <v>81.09</v>
      </c>
      <c r="G19" s="165">
        <f>IF(D19=D18,"",_xlfn.IFNA(VLOOKUP(D19,'인원 입력 기능 (사과탐)'!$P$177:$S$225,4,FALSE),0))</f>
        <v>3280</v>
      </c>
      <c r="H19" s="166">
        <f t="shared" si="4"/>
        <v>4.4200681876372848E-2</v>
      </c>
      <c r="I19" s="168">
        <f>SUM($G$7:G19)</f>
        <v>15671</v>
      </c>
      <c r="J19" s="170">
        <f t="shared" si="5"/>
        <v>0.21117953831848749</v>
      </c>
      <c r="K19" s="32"/>
      <c r="L19" s="3" t="str">
        <f t="shared" si="1"/>
        <v/>
      </c>
    </row>
    <row r="20" spans="1:16" ht="25" customHeight="1" x14ac:dyDescent="0.45">
      <c r="A20" s="4"/>
      <c r="B20" s="18"/>
      <c r="C20" s="77">
        <v>37</v>
      </c>
      <c r="D20" s="160"/>
      <c r="E20" s="160"/>
      <c r="F20" s="162"/>
      <c r="G20" s="164"/>
      <c r="H20" s="167"/>
      <c r="I20" s="169"/>
      <c r="J20" s="171"/>
      <c r="K20" s="32"/>
      <c r="L20" s="3" t="str">
        <f t="shared" si="1"/>
        <v>경고</v>
      </c>
    </row>
    <row r="21" spans="1:16" ht="25" customHeight="1" x14ac:dyDescent="0.45">
      <c r="A21" s="4"/>
      <c r="B21" s="18"/>
      <c r="C21" s="79">
        <v>36</v>
      </c>
      <c r="D21" s="80">
        <f t="shared" si="2"/>
        <v>60</v>
      </c>
      <c r="E21" s="80">
        <f t="shared" si="0"/>
        <v>3</v>
      </c>
      <c r="F21" s="72">
        <f t="shared" si="3"/>
        <v>78.150000000000006</v>
      </c>
      <c r="G21" s="73">
        <f>IF(D21=D20,"",_xlfn.IFNA(VLOOKUP(D21,'인원 입력 기능 (사과탐)'!$P$177:$S$225,4,FALSE),0))</f>
        <v>1080</v>
      </c>
      <c r="H21" s="74">
        <f t="shared" si="4"/>
        <v>1.4553883056854474E-2</v>
      </c>
      <c r="I21" s="78">
        <f>SUM($G$7:G21)</f>
        <v>16751</v>
      </c>
      <c r="J21" s="76">
        <f t="shared" si="5"/>
        <v>0.22573342137534194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80">
        <f t="shared" si="2"/>
        <v>59</v>
      </c>
      <c r="E22" s="80">
        <f t="shared" si="0"/>
        <v>3</v>
      </c>
      <c r="F22" s="72">
        <f t="shared" si="3"/>
        <v>76.31</v>
      </c>
      <c r="G22" s="73">
        <f>IF(D22=D21,"",_xlfn.IFNA(VLOOKUP(D22,'인원 입력 기능 (사과탐)'!$P$177:$S$225,4,FALSE),0))</f>
        <v>1653</v>
      </c>
      <c r="H22" s="74">
        <f t="shared" si="4"/>
        <v>2.2275526567574488E-2</v>
      </c>
      <c r="I22" s="78">
        <f>SUM($G$7:G22)</f>
        <v>18404</v>
      </c>
      <c r="J22" s="76">
        <f t="shared" si="5"/>
        <v>0.24800894794291645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173">
        <f t="shared" si="2"/>
        <v>58</v>
      </c>
      <c r="E23" s="173">
        <f t="shared" si="0"/>
        <v>4</v>
      </c>
      <c r="F23" s="163">
        <f t="shared" si="3"/>
        <v>73.25</v>
      </c>
      <c r="G23" s="165">
        <f>IF(D23=D22,"",_xlfn.IFNA(VLOOKUP(D23,'인원 입력 기능 (사과탐)'!$P$177:$S$225,4,FALSE),0))</f>
        <v>2899</v>
      </c>
      <c r="H23" s="166">
        <f t="shared" si="4"/>
        <v>3.9066395353538078E-2</v>
      </c>
      <c r="I23" s="168">
        <f>SUM($G$7:G23)</f>
        <v>21303</v>
      </c>
      <c r="J23" s="170">
        <f t="shared" si="5"/>
        <v>0.28707534329645451</v>
      </c>
      <c r="K23" s="32"/>
      <c r="L23" s="3" t="str">
        <f t="shared" si="1"/>
        <v/>
      </c>
    </row>
    <row r="24" spans="1:16" ht="25" customHeight="1" x14ac:dyDescent="0.45">
      <c r="A24" s="4"/>
      <c r="B24" s="18"/>
      <c r="C24" s="81">
        <v>33</v>
      </c>
      <c r="D24" s="172"/>
      <c r="E24" s="172"/>
      <c r="F24" s="162"/>
      <c r="G24" s="164"/>
      <c r="H24" s="167"/>
      <c r="I24" s="169"/>
      <c r="J24" s="171"/>
      <c r="K24" s="32"/>
      <c r="L24" s="3" t="str">
        <f t="shared" si="1"/>
        <v>경고</v>
      </c>
    </row>
    <row r="25" spans="1:16" ht="25" customHeight="1" x14ac:dyDescent="0.45">
      <c r="A25" s="4"/>
      <c r="B25" s="18"/>
      <c r="C25" s="79">
        <v>32</v>
      </c>
      <c r="D25" s="80">
        <f t="shared" si="2"/>
        <v>57</v>
      </c>
      <c r="E25" s="80">
        <f t="shared" si="0"/>
        <v>4</v>
      </c>
      <c r="F25" s="72">
        <f t="shared" si="3"/>
        <v>70.12</v>
      </c>
      <c r="G25" s="73">
        <f>IF(D25=D24,"",_xlfn.IFNA(VLOOKUP(D25,'인원 입력 기능 (사과탐)'!$P$177:$S$225,4,FALSE),0))</f>
        <v>1739</v>
      </c>
      <c r="H25" s="74">
        <f t="shared" si="4"/>
        <v>2.3434446885064752E-2</v>
      </c>
      <c r="I25" s="78">
        <f>SUM($G$7:G25)</f>
        <v>23042</v>
      </c>
      <c r="J25" s="76">
        <f t="shared" si="5"/>
        <v>0.31050979018151925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80">
        <f t="shared" si="2"/>
        <v>56</v>
      </c>
      <c r="E26" s="80">
        <f t="shared" si="0"/>
        <v>4</v>
      </c>
      <c r="F26" s="72">
        <f t="shared" si="3"/>
        <v>68.010000000000005</v>
      </c>
      <c r="G26" s="73">
        <f>IF(D26=D25,"",_xlfn.IFNA(VLOOKUP(D26,'인원 입력 기능 (사과탐)'!$P$177:$S$225,4,FALSE),0))</f>
        <v>1391</v>
      </c>
      <c r="H26" s="74">
        <f t="shared" si="4"/>
        <v>1.8744862344522755E-2</v>
      </c>
      <c r="I26" s="78">
        <f>SUM($G$7:G26)</f>
        <v>24433</v>
      </c>
      <c r="J26" s="76">
        <f t="shared" si="5"/>
        <v>0.32925465252604202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80">
        <f t="shared" si="2"/>
        <v>55</v>
      </c>
      <c r="E27" s="80">
        <f t="shared" si="0"/>
        <v>4</v>
      </c>
      <c r="F27" s="72">
        <f t="shared" si="3"/>
        <v>66.17</v>
      </c>
      <c r="G27" s="73">
        <f>IF(D27=D26,"",_xlfn.IFNA(VLOOKUP(D27,'인원 입력 기능 (사과탐)'!$P$177:$S$225,4,FALSE),0))</f>
        <v>1346</v>
      </c>
      <c r="H27" s="74">
        <f t="shared" si="4"/>
        <v>1.8138450550487149E-2</v>
      </c>
      <c r="I27" s="78">
        <f>SUM($G$7:G27)</f>
        <v>25779</v>
      </c>
      <c r="J27" s="76">
        <f t="shared" si="5"/>
        <v>0.34739310307652915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173">
        <f t="shared" si="2"/>
        <v>54</v>
      </c>
      <c r="E28" s="173">
        <f t="shared" si="0"/>
        <v>4</v>
      </c>
      <c r="F28" s="163">
        <f t="shared" si="3"/>
        <v>63.26</v>
      </c>
      <c r="G28" s="165">
        <f>IF(D28=D27,"",_xlfn.IFNA(VLOOKUP(D28,'인원 입력 기능 (사과탐)'!$P$177:$S$225,4,FALSE),0))</f>
        <v>2966</v>
      </c>
      <c r="H28" s="166">
        <f t="shared" si="4"/>
        <v>3.996927513576886E-2</v>
      </c>
      <c r="I28" s="168">
        <f>SUM($G$7:G28)</f>
        <v>28745</v>
      </c>
      <c r="J28" s="170">
        <f t="shared" si="5"/>
        <v>0.38736237821229802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172"/>
      <c r="E29" s="172"/>
      <c r="F29" s="162"/>
      <c r="G29" s="164"/>
      <c r="H29" s="167"/>
      <c r="I29" s="169"/>
      <c r="J29" s="171"/>
      <c r="K29" s="32"/>
      <c r="L29" s="3" t="str">
        <f t="shared" si="1"/>
        <v>경고</v>
      </c>
    </row>
    <row r="30" spans="1:16" ht="25" customHeight="1" x14ac:dyDescent="0.45">
      <c r="A30" s="4"/>
      <c r="B30" s="18"/>
      <c r="C30" s="81">
        <v>27</v>
      </c>
      <c r="D30" s="80">
        <f t="shared" si="2"/>
        <v>53</v>
      </c>
      <c r="E30" s="80">
        <f t="shared" si="0"/>
        <v>4</v>
      </c>
      <c r="F30" s="72">
        <f t="shared" si="3"/>
        <v>60.24</v>
      </c>
      <c r="G30" s="73">
        <f>IF(D30=D29,"",_xlfn.IFNA(VLOOKUP(D30,'인원 입력 기능 (사과탐)'!$P$177:$S$225,4,FALSE),0))</f>
        <v>1523</v>
      </c>
      <c r="H30" s="74">
        <f t="shared" si="4"/>
        <v>2.0523670273693857E-2</v>
      </c>
      <c r="I30" s="78">
        <f>SUM($G$7:G30)</f>
        <v>30268</v>
      </c>
      <c r="J30" s="76">
        <f t="shared" si="5"/>
        <v>0.40788604848599191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80">
        <f t="shared" si="2"/>
        <v>52</v>
      </c>
      <c r="E31" s="80">
        <f t="shared" si="0"/>
        <v>5</v>
      </c>
      <c r="F31" s="72">
        <f t="shared" si="3"/>
        <v>58.15</v>
      </c>
      <c r="G31" s="73">
        <f>IF(D31=D30,"",_xlfn.IFNA(VLOOKUP(D31,'인원 입력 기능 (사과탐)'!$P$177:$S$225,4,FALSE),0))</f>
        <v>1577</v>
      </c>
      <c r="H31" s="74">
        <f t="shared" si="4"/>
        <v>2.1251364426536579E-2</v>
      </c>
      <c r="I31" s="78">
        <f>SUM($G$7:G31)</f>
        <v>31845</v>
      </c>
      <c r="J31" s="76">
        <f t="shared" si="5"/>
        <v>0.42913741291252849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80">
        <f t="shared" si="2"/>
        <v>51</v>
      </c>
      <c r="E32" s="80">
        <f t="shared" si="0"/>
        <v>5</v>
      </c>
      <c r="F32" s="72">
        <f t="shared" si="3"/>
        <v>56.24</v>
      </c>
      <c r="G32" s="73">
        <f>IF(D32=D31,"",_xlfn.IFNA(VLOOKUP(D32,'인원 입력 기능 (사과탐)'!$P$177:$S$225,4,FALSE),0))</f>
        <v>1250</v>
      </c>
      <c r="H32" s="74">
        <f t="shared" si="4"/>
        <v>1.684477205654453E-2</v>
      </c>
      <c r="I32" s="78">
        <f>SUM($G$7:G32)</f>
        <v>33095</v>
      </c>
      <c r="J32" s="76">
        <f t="shared" si="5"/>
        <v>0.44598218496907299</v>
      </c>
      <c r="K32" s="32"/>
      <c r="L32" s="3" t="str">
        <f t="shared" si="1"/>
        <v/>
      </c>
    </row>
    <row r="33" spans="1:12" ht="25" customHeight="1" x14ac:dyDescent="0.45">
      <c r="A33" s="4"/>
      <c r="B33" s="18"/>
      <c r="C33" s="79">
        <v>24</v>
      </c>
      <c r="D33" s="173">
        <f t="shared" si="2"/>
        <v>50</v>
      </c>
      <c r="E33" s="173">
        <f t="shared" si="0"/>
        <v>5</v>
      </c>
      <c r="F33" s="163">
        <f t="shared" si="3"/>
        <v>53.4</v>
      </c>
      <c r="G33" s="165">
        <f>IF(D33=D32,"",_xlfn.IFNA(VLOOKUP(D33,'인원 입력 기능 (사과탐)'!$P$177:$S$225,4,FALSE),0))</f>
        <v>2965</v>
      </c>
      <c r="H33" s="166">
        <f t="shared" si="4"/>
        <v>3.9955799318123625E-2</v>
      </c>
      <c r="I33" s="168">
        <f>SUM($G$7:G33)</f>
        <v>36060</v>
      </c>
      <c r="J33" s="170">
        <f t="shared" si="5"/>
        <v>0.48593798428719664</v>
      </c>
      <c r="K33" s="32"/>
      <c r="L33" s="3" t="str">
        <f t="shared" si="1"/>
        <v>경고</v>
      </c>
    </row>
    <row r="34" spans="1:12" ht="25" customHeight="1" x14ac:dyDescent="0.45">
      <c r="A34" s="4"/>
      <c r="B34" s="18"/>
      <c r="C34" s="81">
        <v>23</v>
      </c>
      <c r="D34" s="172"/>
      <c r="E34" s="172"/>
      <c r="F34" s="162"/>
      <c r="G34" s="164"/>
      <c r="H34" s="167"/>
      <c r="I34" s="169"/>
      <c r="J34" s="171"/>
      <c r="K34" s="32"/>
      <c r="L34" s="3" t="str">
        <f t="shared" si="1"/>
        <v>경고</v>
      </c>
    </row>
    <row r="35" spans="1:12" ht="25" customHeight="1" x14ac:dyDescent="0.45">
      <c r="A35" s="4"/>
      <c r="B35" s="18"/>
      <c r="C35" s="79">
        <v>22</v>
      </c>
      <c r="D35" s="80">
        <f t="shared" si="2"/>
        <v>49</v>
      </c>
      <c r="E35" s="80">
        <f t="shared" si="0"/>
        <v>5</v>
      </c>
      <c r="F35" s="72">
        <f t="shared" si="3"/>
        <v>50.4</v>
      </c>
      <c r="G35" s="73">
        <f>IF(D35=D34,"",_xlfn.IFNA(VLOOKUP(D35,'인원 입력 기능 (사과탐)'!$P$177:$S$225,4,FALSE),0))</f>
        <v>1493</v>
      </c>
      <c r="H35" s="74">
        <f t="shared" si="4"/>
        <v>2.0119395744336788E-2</v>
      </c>
      <c r="I35" s="78">
        <f>SUM($G$7:G35)</f>
        <v>37553</v>
      </c>
      <c r="J35" s="76">
        <f t="shared" si="5"/>
        <v>0.50605738003153344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80">
        <f t="shared" si="2"/>
        <v>48</v>
      </c>
      <c r="E36" s="80">
        <f t="shared" si="0"/>
        <v>5</v>
      </c>
      <c r="F36" s="72">
        <f t="shared" si="3"/>
        <v>48.37</v>
      </c>
      <c r="G36" s="73">
        <f>IF(D36=D35,"",_xlfn.IFNA(VLOOKUP(D36,'인원 입력 기능 (사과탐)'!$P$177:$S$225,4,FALSE),0))</f>
        <v>1526</v>
      </c>
      <c r="H36" s="74">
        <f t="shared" si="4"/>
        <v>2.0564097726629562E-2</v>
      </c>
      <c r="I36" s="78">
        <f>SUM($G$7:G36)</f>
        <v>39079</v>
      </c>
      <c r="J36" s="76">
        <f t="shared" si="5"/>
        <v>0.52662147775816293</v>
      </c>
      <c r="K36" s="32"/>
      <c r="L36" s="3" t="str">
        <f t="shared" si="1"/>
        <v/>
      </c>
    </row>
    <row r="37" spans="1:12" ht="25" customHeight="1" x14ac:dyDescent="0.45">
      <c r="A37" s="4"/>
      <c r="B37" s="18"/>
      <c r="C37" s="79">
        <v>20</v>
      </c>
      <c r="D37" s="173">
        <f t="shared" si="2"/>
        <v>47</v>
      </c>
      <c r="E37" s="173">
        <f t="shared" si="0"/>
        <v>5</v>
      </c>
      <c r="F37" s="163">
        <f t="shared" si="3"/>
        <v>45.28</v>
      </c>
      <c r="G37" s="165">
        <f>IF(D37=D36,"",_xlfn.IFNA(VLOOKUP(D37,'인원 입력 기능 (사과탐)'!$P$177:$S$225,4,FALSE),0))</f>
        <v>3059</v>
      </c>
      <c r="H37" s="166">
        <f t="shared" si="4"/>
        <v>4.1222526176775777E-2</v>
      </c>
      <c r="I37" s="168">
        <f>SUM($G$7:G37)</f>
        <v>42138</v>
      </c>
      <c r="J37" s="170">
        <f t="shared" si="5"/>
        <v>0.56784400393493872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172"/>
      <c r="E38" s="172"/>
      <c r="F38" s="162"/>
      <c r="G38" s="164"/>
      <c r="H38" s="167"/>
      <c r="I38" s="169"/>
      <c r="J38" s="171"/>
      <c r="K38" s="32"/>
      <c r="L38" s="3" t="str">
        <f t="shared" si="1"/>
        <v>경고</v>
      </c>
    </row>
    <row r="39" spans="1:12" ht="25" customHeight="1" x14ac:dyDescent="0.45">
      <c r="A39" s="4"/>
      <c r="B39" s="18"/>
      <c r="C39" s="79">
        <v>18</v>
      </c>
      <c r="D39" s="80">
        <f t="shared" si="2"/>
        <v>46</v>
      </c>
      <c r="E39" s="8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2">
        <f t="shared" si="3"/>
        <v>42.11</v>
      </c>
      <c r="G39" s="73">
        <f>IF(D39=D38,"",_xlfn.IFNA(VLOOKUP(D39,'인원 입력 기능 (사과탐)'!$P$177:$S$225,4,FALSE),0))</f>
        <v>1642</v>
      </c>
      <c r="H39" s="74">
        <f t="shared" si="4"/>
        <v>2.2127292573476894E-2</v>
      </c>
      <c r="I39" s="78">
        <f>SUM($G$7:G39)</f>
        <v>43780</v>
      </c>
      <c r="J39" s="76">
        <f t="shared" si="5"/>
        <v>0.58997129650841562</v>
      </c>
      <c r="K39" s="32"/>
      <c r="L39" s="3" t="str">
        <f t="shared" si="1"/>
        <v/>
      </c>
    </row>
    <row r="40" spans="1:12" ht="25" customHeight="1" x14ac:dyDescent="0.45">
      <c r="A40" s="4"/>
      <c r="B40" s="18"/>
      <c r="C40" s="81">
        <v>17</v>
      </c>
      <c r="D40" s="80">
        <f t="shared" si="2"/>
        <v>45</v>
      </c>
      <c r="E40" s="80">
        <f t="shared" si="6"/>
        <v>5</v>
      </c>
      <c r="F40" s="72">
        <f t="shared" si="3"/>
        <v>39.81</v>
      </c>
      <c r="G40" s="73">
        <f>IF(D40=D39,"",_xlfn.IFNA(VLOOKUP(D40,'인원 입력 기능 (사과탐)'!$P$177:$S$225,4,FALSE),0))</f>
        <v>1766</v>
      </c>
      <c r="H40" s="74">
        <f t="shared" si="4"/>
        <v>2.3798293961486115E-2</v>
      </c>
      <c r="I40" s="78">
        <f>SUM($G$7:G40)</f>
        <v>45546</v>
      </c>
      <c r="J40" s="76">
        <f t="shared" si="5"/>
        <v>0.61376959046990176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80">
        <f t="shared" si="2"/>
        <v>44</v>
      </c>
      <c r="E41" s="80">
        <f t="shared" si="6"/>
        <v>6</v>
      </c>
      <c r="F41" s="72">
        <f t="shared" si="3"/>
        <v>37.4</v>
      </c>
      <c r="G41" s="73">
        <f>IF(D41=D40,"",_xlfn.IFNA(VLOOKUP(D41,'인원 입력 기능 (사과탐)'!$P$177:$S$225,4,FALSE),0))</f>
        <v>1822</v>
      </c>
      <c r="H41" s="74">
        <f t="shared" si="4"/>
        <v>2.4552939749619307E-2</v>
      </c>
      <c r="I41" s="78">
        <f>SUM($G$7:G41)</f>
        <v>47368</v>
      </c>
      <c r="J41" s="76">
        <f t="shared" si="5"/>
        <v>0.63832253021952112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173">
        <f t="shared" si="2"/>
        <v>43</v>
      </c>
      <c r="E42" s="173">
        <f t="shared" si="6"/>
        <v>6</v>
      </c>
      <c r="F42" s="163">
        <f t="shared" si="3"/>
        <v>33.090000000000003</v>
      </c>
      <c r="G42" s="165">
        <f>IF(D42=D41,"",_xlfn.IFNA(VLOOKUP(D42,'인원 입력 기능 (사과탐)'!$P$177:$S$225,4,FALSE),0))</f>
        <v>4567</v>
      </c>
      <c r="H42" s="166">
        <f t="shared" si="4"/>
        <v>6.1544059185791096E-2</v>
      </c>
      <c r="I42" s="168">
        <f>SUM($G$7:G42)</f>
        <v>51935</v>
      </c>
      <c r="J42" s="170">
        <f t="shared" si="5"/>
        <v>0.69986658940531221</v>
      </c>
      <c r="K42" s="32"/>
      <c r="L42" s="3" t="str">
        <f t="shared" si="1"/>
        <v/>
      </c>
    </row>
    <row r="43" spans="1:12" ht="25" customHeight="1" x14ac:dyDescent="0.45">
      <c r="A43" s="4"/>
      <c r="B43" s="18"/>
      <c r="C43" s="79">
        <v>14</v>
      </c>
      <c r="D43" s="172"/>
      <c r="E43" s="172"/>
      <c r="F43" s="162"/>
      <c r="G43" s="164"/>
      <c r="H43" s="167"/>
      <c r="I43" s="169"/>
      <c r="J43" s="171"/>
      <c r="K43" s="32"/>
      <c r="L43" s="3" t="str">
        <f t="shared" si="1"/>
        <v>경고</v>
      </c>
    </row>
    <row r="44" spans="1:12" ht="25" customHeight="1" x14ac:dyDescent="0.45">
      <c r="A44" s="4"/>
      <c r="B44" s="18"/>
      <c r="C44" s="81">
        <v>13</v>
      </c>
      <c r="D44" s="80">
        <f t="shared" si="2"/>
        <v>42</v>
      </c>
      <c r="E44" s="80">
        <f t="shared" si="6"/>
        <v>6</v>
      </c>
      <c r="F44" s="72">
        <f t="shared" si="3"/>
        <v>28.68</v>
      </c>
      <c r="G44" s="73">
        <f>IF(D44=D43,"",_xlfn.IFNA(VLOOKUP(D44,'인원 입력 기능 (사과탐)'!$P$177:$S$225,4,FALSE),0))</f>
        <v>1985</v>
      </c>
      <c r="H44" s="74">
        <f t="shared" si="4"/>
        <v>2.6749498025792715E-2</v>
      </c>
      <c r="I44" s="78">
        <f>SUM($G$7:G44)</f>
        <v>53920</v>
      </c>
      <c r="J44" s="76">
        <f t="shared" si="5"/>
        <v>0.72661608743110484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80">
        <f t="shared" si="2"/>
        <v>41</v>
      </c>
      <c r="E45" s="80">
        <f t="shared" si="6"/>
        <v>6</v>
      </c>
      <c r="F45" s="72">
        <f t="shared" si="3"/>
        <v>25.81</v>
      </c>
      <c r="G45" s="73">
        <f>IF(D45=D44,"",_xlfn.IFNA(VLOOKUP(D45,'인원 입력 기능 (사과탐)'!$P$177:$S$225,4,FALSE),0))</f>
        <v>2270</v>
      </c>
      <c r="H45" s="74">
        <f t="shared" si="4"/>
        <v>3.0590106054684867E-2</v>
      </c>
      <c r="I45" s="78">
        <f>SUM($G$7:G45)</f>
        <v>56190</v>
      </c>
      <c r="J45" s="76">
        <f t="shared" si="5"/>
        <v>0.75720619348578977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173">
        <f t="shared" si="2"/>
        <v>40</v>
      </c>
      <c r="E46" s="173">
        <f t="shared" si="6"/>
        <v>6</v>
      </c>
      <c r="F46" s="163">
        <f t="shared" si="3"/>
        <v>21.23</v>
      </c>
      <c r="G46" s="165">
        <f>IF(D46=D45,"",_xlfn.IFNA(VLOOKUP(D46,'인원 입력 기능 (사과탐)'!$P$177:$S$225,4,FALSE),0))</f>
        <v>4529</v>
      </c>
      <c r="H46" s="166">
        <f t="shared" si="4"/>
        <v>6.1031978115272147E-2</v>
      </c>
      <c r="I46" s="168">
        <f>SUM($G$7:G46)</f>
        <v>60719</v>
      </c>
      <c r="J46" s="170">
        <f t="shared" si="5"/>
        <v>0.81823817160106194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172"/>
      <c r="E47" s="172"/>
      <c r="F47" s="162"/>
      <c r="G47" s="164"/>
      <c r="H47" s="167"/>
      <c r="I47" s="169"/>
      <c r="J47" s="171"/>
      <c r="K47" s="32"/>
      <c r="L47" s="3" t="str">
        <f t="shared" si="1"/>
        <v>경고</v>
      </c>
    </row>
    <row r="48" spans="1:12" ht="25" customHeight="1" x14ac:dyDescent="0.45">
      <c r="A48" s="4"/>
      <c r="B48" s="18"/>
      <c r="C48" s="81">
        <v>9</v>
      </c>
      <c r="D48" s="80">
        <f t="shared" si="2"/>
        <v>39</v>
      </c>
      <c r="E48" s="80">
        <f t="shared" si="6"/>
        <v>7</v>
      </c>
      <c r="F48" s="72">
        <f t="shared" si="3"/>
        <v>14.89</v>
      </c>
      <c r="G48" s="73">
        <f>IF(D48=D47,"",_xlfn.IFNA(VLOOKUP(D48,'인원 입력 기능 (사과탐)'!$P$177:$S$225,4,FALSE),0))</f>
        <v>4873</v>
      </c>
      <c r="H48" s="74">
        <f t="shared" si="4"/>
        <v>6.5667659385233196E-2</v>
      </c>
      <c r="I48" s="78">
        <f>SUM($G$7:G48)</f>
        <v>65592</v>
      </c>
      <c r="J48" s="76">
        <f t="shared" si="5"/>
        <v>0.88390583098629505</v>
      </c>
      <c r="K48" s="32"/>
      <c r="L48" s="3" t="str">
        <f t="shared" si="1"/>
        <v/>
      </c>
    </row>
    <row r="49" spans="1:12" ht="25" customHeight="1" x14ac:dyDescent="0.45">
      <c r="A49" s="4"/>
      <c r="B49" s="18"/>
      <c r="C49" s="79">
        <v>8</v>
      </c>
      <c r="D49" s="80">
        <f t="shared" si="2"/>
        <v>38</v>
      </c>
      <c r="E49" s="80">
        <f t="shared" si="6"/>
        <v>7</v>
      </c>
      <c r="F49" s="72">
        <f t="shared" si="3"/>
        <v>10.65</v>
      </c>
      <c r="G49" s="73">
        <f>IF(D49=D48,"",_xlfn.IFNA(VLOOKUP(D49,'인원 입력 기능 (사과탐)'!$P$177:$S$225,4,FALSE),0))</f>
        <v>1431</v>
      </c>
      <c r="H49" s="74">
        <f t="shared" si="4"/>
        <v>1.9283895050332178E-2</v>
      </c>
      <c r="I49" s="78">
        <f>SUM($G$7:G49)</f>
        <v>67023</v>
      </c>
      <c r="J49" s="76">
        <f t="shared" si="5"/>
        <v>0.90318972603662728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80">
        <f t="shared" si="2"/>
        <v>37</v>
      </c>
      <c r="E50" s="80">
        <f t="shared" si="6"/>
        <v>8</v>
      </c>
      <c r="F50" s="72">
        <f t="shared" si="3"/>
        <v>7.31</v>
      </c>
      <c r="G50" s="73">
        <f>IF(D50=D49,"",_xlfn.IFNA(VLOOKUP(D50,'인원 입력 기능 (사과탐)'!$P$177:$S$225,4,FALSE),0))</f>
        <v>3513</v>
      </c>
      <c r="H50" s="74">
        <f t="shared" si="4"/>
        <v>4.7340547387712748E-2</v>
      </c>
      <c r="I50" s="78">
        <f>SUM($G$7:G50)</f>
        <v>70536</v>
      </c>
      <c r="J50" s="76">
        <f t="shared" si="5"/>
        <v>0.95053027342434004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173">
        <f t="shared" si="2"/>
        <v>36</v>
      </c>
      <c r="E51" s="173">
        <f t="shared" si="6"/>
        <v>8</v>
      </c>
      <c r="F51" s="163">
        <f t="shared" si="3"/>
        <v>3.58</v>
      </c>
      <c r="G51" s="165">
        <f>IF(D51=D50,"",_xlfn.IFNA(VLOOKUP(D51,'인원 입력 기능 (사과탐)'!$P$177:$S$225,4,FALSE),0))</f>
        <v>2025</v>
      </c>
      <c r="H51" s="166">
        <f t="shared" si="4"/>
        <v>2.7288530731602138E-2</v>
      </c>
      <c r="I51" s="168">
        <f>SUM($G$7:G51)</f>
        <v>72561</v>
      </c>
      <c r="J51" s="170">
        <f t="shared" si="5"/>
        <v>0.97781880415594213</v>
      </c>
      <c r="K51" s="32"/>
      <c r="L51" s="3" t="str">
        <f t="shared" si="1"/>
        <v/>
      </c>
    </row>
    <row r="52" spans="1:12" ht="25" customHeight="1" x14ac:dyDescent="0.45">
      <c r="A52" s="4"/>
      <c r="B52" s="18"/>
      <c r="C52" s="81">
        <v>5</v>
      </c>
      <c r="D52" s="172"/>
      <c r="E52" s="172"/>
      <c r="F52" s="162"/>
      <c r="G52" s="164"/>
      <c r="H52" s="167"/>
      <c r="I52" s="169"/>
      <c r="J52" s="171"/>
      <c r="K52" s="32"/>
      <c r="L52" s="3" t="str">
        <f t="shared" si="1"/>
        <v>경고</v>
      </c>
    </row>
    <row r="53" spans="1:12" ht="25" customHeight="1" x14ac:dyDescent="0.45">
      <c r="A53" s="4"/>
      <c r="B53" s="18"/>
      <c r="C53" s="70">
        <v>4</v>
      </c>
      <c r="D53" s="71">
        <f t="shared" si="2"/>
        <v>35</v>
      </c>
      <c r="E53" s="71">
        <f t="shared" si="6"/>
        <v>9</v>
      </c>
      <c r="F53" s="72">
        <f t="shared" si="3"/>
        <v>1.74</v>
      </c>
      <c r="G53" s="73">
        <f>IF(D53=D52,"",_xlfn.IFNA(VLOOKUP(D53,'인원 입력 기능 (사과탐)'!$P$177:$S$225,4,FALSE),0))</f>
        <v>704</v>
      </c>
      <c r="H53" s="74">
        <f t="shared" si="4"/>
        <v>9.4869756222458797E-3</v>
      </c>
      <c r="I53" s="78">
        <f>SUM($G$7:G53)</f>
        <v>73265</v>
      </c>
      <c r="J53" s="76">
        <f t="shared" si="5"/>
        <v>0.98730577977818801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71">
        <f t="shared" si="2"/>
        <v>34</v>
      </c>
      <c r="E54" s="71">
        <f t="shared" si="6"/>
        <v>9</v>
      </c>
      <c r="F54" s="72">
        <f t="shared" si="3"/>
        <v>0.99</v>
      </c>
      <c r="G54" s="73">
        <f>IF(D54=D53,"",_xlfn.IFNA(VLOOKUP(D54,'인원 입력 기능 (사과탐)'!$P$177:$S$225,4,FALSE),0))</f>
        <v>419</v>
      </c>
      <c r="H54" s="74">
        <f t="shared" si="4"/>
        <v>5.6463675933537266E-3</v>
      </c>
      <c r="I54" s="78">
        <f>SUM($G$7:G54)</f>
        <v>73684</v>
      </c>
      <c r="J54" s="76">
        <f t="shared" si="5"/>
        <v>0.9929521473715418</v>
      </c>
      <c r="K54" s="32"/>
      <c r="L54" s="3" t="str">
        <f t="shared" si="1"/>
        <v/>
      </c>
    </row>
    <row r="55" spans="1:12" ht="25" customHeight="1" x14ac:dyDescent="0.45">
      <c r="A55" s="4"/>
      <c r="B55" s="18"/>
      <c r="C55" s="70">
        <v>2</v>
      </c>
      <c r="D55" s="71">
        <f t="shared" si="2"/>
        <v>33</v>
      </c>
      <c r="E55" s="71">
        <f t="shared" si="6"/>
        <v>9</v>
      </c>
      <c r="F55" s="72">
        <f t="shared" si="3"/>
        <v>0.43</v>
      </c>
      <c r="G55" s="73">
        <f>IF(D55=D54,"",_xlfn.IFNA(VLOOKUP(D55,'인원 입력 기능 (사과탐)'!$P$177:$S$225,4,FALSE),0))</f>
        <v>401</v>
      </c>
      <c r="H55" s="74">
        <f t="shared" si="4"/>
        <v>5.4038028757394854E-3</v>
      </c>
      <c r="I55" s="78">
        <f>SUM($G$7:G55)</f>
        <v>74085</v>
      </c>
      <c r="J55" s="76">
        <f t="shared" si="5"/>
        <v>0.9983559502472813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32</v>
      </c>
      <c r="E57" s="84">
        <f t="shared" si="6"/>
        <v>9</v>
      </c>
      <c r="F57" s="85">
        <f>IF(I55=0,ROUND(100*(1-(I54+I57)/2/$J$3),2),ROUND(100*(1-(I55+I57)/2/$J$3),2))</f>
        <v>0.08</v>
      </c>
      <c r="G57" s="86">
        <f>_xlfn.IFNA(VLOOKUP(D57,'인원 입력 기능 (사과탐)'!$P$177:$S$225,4,FALSE),0)</f>
        <v>122</v>
      </c>
      <c r="H57" s="87">
        <f>G57/$J$3</f>
        <v>1.6440497527187461E-3</v>
      </c>
      <c r="I57" s="88">
        <f>SUM($G$7:G57)</f>
        <v>74207</v>
      </c>
      <c r="J57" s="89">
        <f>I57/$J$3</f>
        <v>1</v>
      </c>
      <c r="K57" s="32"/>
      <c r="L57" s="3" t="str">
        <f t="shared" ref="L57" si="7">IF(ABS((C57-$H$3)/$H$4*10+50-D57-0.5)&lt;0.1, "경고", "")</f>
        <v/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75">
    <mergeCell ref="I51:I52"/>
    <mergeCell ref="J51:J52"/>
    <mergeCell ref="D51:D52"/>
    <mergeCell ref="E51:E52"/>
    <mergeCell ref="F51:F52"/>
    <mergeCell ref="G51:G52"/>
    <mergeCell ref="H51:H52"/>
    <mergeCell ref="I42:I43"/>
    <mergeCell ref="J42:J43"/>
    <mergeCell ref="D46:D47"/>
    <mergeCell ref="E46:E47"/>
    <mergeCell ref="F46:F47"/>
    <mergeCell ref="G46:G47"/>
    <mergeCell ref="H46:H47"/>
    <mergeCell ref="I46:I47"/>
    <mergeCell ref="J46:J47"/>
    <mergeCell ref="D42:D43"/>
    <mergeCell ref="E42:E43"/>
    <mergeCell ref="F42:F43"/>
    <mergeCell ref="G42:G43"/>
    <mergeCell ref="H42:H43"/>
    <mergeCell ref="I33:I34"/>
    <mergeCell ref="J33:J34"/>
    <mergeCell ref="D37:D38"/>
    <mergeCell ref="E37:E38"/>
    <mergeCell ref="F37:F38"/>
    <mergeCell ref="G37:G38"/>
    <mergeCell ref="H37:H38"/>
    <mergeCell ref="I37:I38"/>
    <mergeCell ref="J37:J38"/>
    <mergeCell ref="D33:D34"/>
    <mergeCell ref="E33:E34"/>
    <mergeCell ref="F33:F34"/>
    <mergeCell ref="G33:G34"/>
    <mergeCell ref="H33:H34"/>
    <mergeCell ref="I23:I24"/>
    <mergeCell ref="J23:J24"/>
    <mergeCell ref="D28:D29"/>
    <mergeCell ref="E28:E29"/>
    <mergeCell ref="F28:F29"/>
    <mergeCell ref="G28:G29"/>
    <mergeCell ref="H28:H29"/>
    <mergeCell ref="I28:I29"/>
    <mergeCell ref="J28:J29"/>
    <mergeCell ref="D23:D24"/>
    <mergeCell ref="E23:E24"/>
    <mergeCell ref="F23:F24"/>
    <mergeCell ref="G23:G24"/>
    <mergeCell ref="H23:H24"/>
    <mergeCell ref="H14:H15"/>
    <mergeCell ref="I14:I15"/>
    <mergeCell ref="J14:J15"/>
    <mergeCell ref="D19:D20"/>
    <mergeCell ref="E19:E20"/>
    <mergeCell ref="F19:F20"/>
    <mergeCell ref="G19:G20"/>
    <mergeCell ref="H19:H20"/>
    <mergeCell ref="I19:I20"/>
    <mergeCell ref="J19:J20"/>
    <mergeCell ref="D3:F3"/>
    <mergeCell ref="D4:F4"/>
    <mergeCell ref="D8:J8"/>
    <mergeCell ref="D56:J56"/>
    <mergeCell ref="G5:J5"/>
    <mergeCell ref="D10:D11"/>
    <mergeCell ref="E10:E11"/>
    <mergeCell ref="F10:F11"/>
    <mergeCell ref="G10:G11"/>
    <mergeCell ref="H10:H11"/>
    <mergeCell ref="I10:I11"/>
    <mergeCell ref="J10:J11"/>
    <mergeCell ref="D14:D15"/>
    <mergeCell ref="E14:E15"/>
    <mergeCell ref="F14:F15"/>
    <mergeCell ref="G14:G15"/>
  </mergeCells>
  <phoneticPr fontId="1" type="noConversion"/>
  <conditionalFormatting sqref="D7:D10 D12:D14 D16:D19 D21:D23 D25:D28 D30:D33 D35:D37 D39:D42 D44:D46 D48:D51 D53:D57">
    <cfRule type="expression" dxfId="32" priority="1">
      <formula>$D7=$D8</formula>
    </cfRule>
  </conditionalFormatting>
  <conditionalFormatting sqref="C7:C57">
    <cfRule type="expression" dxfId="31" priority="3">
      <formula>OR(AND($D7=0,OR($D6=$Q$7:$Q$14)),AND($D8&gt;0,OR($D7=$Q$7:$Q$14)))</formula>
    </cfRule>
  </conditionalFormatting>
  <conditionalFormatting sqref="D7:J7 D8 D57:J57 D56 D9:J10 D12:J14 D16:J19 D21:J23 D25:J28 D30:J33 D35:J37 D39:J42 D44:J46 D48:J51 D53:J55">
    <cfRule type="expression" dxfId="30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5A5CF-70CF-4702-9339-D6937B6FF4BA}">
  <sheetPr codeName="Sheet20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기능'!D19</f>
        <v>15.34</v>
      </c>
      <c r="I3" s="14" t="s">
        <v>110</v>
      </c>
      <c r="J3" s="36">
        <f>'통계 및 응시자 수 입력 기능'!C19</f>
        <v>3539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123</v>
      </c>
      <c r="E4" s="114"/>
      <c r="F4" s="115"/>
      <c r="G4" s="38" t="s">
        <v>113</v>
      </c>
      <c r="H4" s="39" t="str">
        <f>'통계 및 응시자 수 입력 기능'!E19</f>
        <v xml:space="preserve"> 9.96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85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99.79</v>
      </c>
      <c r="G7" s="73">
        <f>_xlfn.IFNA(VLOOKUP(D7,'인원 입력 기능 (사과탐)'!$A$236:$D$284,4,FALSE),0)</f>
        <v>15</v>
      </c>
      <c r="H7" s="74">
        <f>G7/$J$3</f>
        <v>4.2384854478666294E-3</v>
      </c>
      <c r="I7" s="75">
        <f>G7</f>
        <v>15</v>
      </c>
      <c r="J7" s="76">
        <f>I7/$J$3</f>
        <v>4.2384854478666294E-3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입력기능'!C139</f>
        <v>76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입력기능'!C140</f>
        <v>64</v>
      </c>
    </row>
    <row r="9" spans="1:17" ht="25" customHeight="1" x14ac:dyDescent="0.45">
      <c r="A9" s="4"/>
      <c r="B9" s="18"/>
      <c r="C9" s="70">
        <v>48</v>
      </c>
      <c r="D9" s="71">
        <f>ROUND(10*(C9-$H$3)/$H$4+50,0)</f>
        <v>83</v>
      </c>
      <c r="E9" s="71">
        <f t="shared" si="0"/>
        <v>1</v>
      </c>
      <c r="F9" s="72">
        <f>IF(I8=0,ROUND(100*(1-(I7+I9)/2/$J$3),2),ROUND(100*(1-(I8+I9)/2/$J$3),2))</f>
        <v>99.42</v>
      </c>
      <c r="G9" s="73">
        <f>_xlfn.IFNA(VLOOKUP(D9,'인원 입력 기능 (사과탐)'!$A$236:$D$284,4,FALSE),0)</f>
        <v>11</v>
      </c>
      <c r="H9" s="74">
        <f>G9/$J$3</f>
        <v>3.1082226617688614E-3</v>
      </c>
      <c r="I9" s="78">
        <f>SUM($G$7:G9)</f>
        <v>26</v>
      </c>
      <c r="J9" s="76">
        <f>I9/$J$3</f>
        <v>7.3467081096354903E-3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입력기능'!C141</f>
        <v>54</v>
      </c>
    </row>
    <row r="10" spans="1:17" ht="25" customHeight="1" x14ac:dyDescent="0.45">
      <c r="A10" s="4"/>
      <c r="B10" s="18"/>
      <c r="C10" s="77">
        <v>47</v>
      </c>
      <c r="D10" s="71">
        <f t="shared" ref="D10:D55" si="2">ROUND(10*(C10-$H$3)/$H$4+50,0)</f>
        <v>82</v>
      </c>
      <c r="E10" s="71">
        <f t="shared" si="0"/>
        <v>1</v>
      </c>
      <c r="F10" s="72">
        <f t="shared" ref="F10:F55" si="3">IF(I9=0,ROUND(100*(1-(I8+I10)/2/$J$3),2),ROUND(100*(1-(I9+I10)/2/$J$3),2))</f>
        <v>98.97</v>
      </c>
      <c r="G10" s="73">
        <f>IF(D10=D9,"",_xlfn.IFNA(VLOOKUP(D10,'인원 입력 기능 (사과탐)'!$A$236:$D$284,4,FALSE),0))</f>
        <v>21</v>
      </c>
      <c r="H10" s="74">
        <f t="shared" ref="H10:H55" si="4">G10/$J$3</f>
        <v>5.9338796270132802E-3</v>
      </c>
      <c r="I10" s="78">
        <f>SUM($G$7:G10)</f>
        <v>47</v>
      </c>
      <c r="J10" s="76">
        <f t="shared" ref="J10:J55" si="5">I10/$J$3</f>
        <v>1.3280587736648771E-2</v>
      </c>
      <c r="K10" s="32"/>
      <c r="L10" s="3" t="str">
        <f t="shared" si="1"/>
        <v/>
      </c>
      <c r="P10" s="1">
        <v>4</v>
      </c>
      <c r="Q10" s="1">
        <f>'표준점수 등급컷 입력기능'!C142</f>
        <v>49</v>
      </c>
    </row>
    <row r="11" spans="1:17" ht="25" customHeight="1" x14ac:dyDescent="0.45">
      <c r="A11" s="4"/>
      <c r="B11" s="18"/>
      <c r="C11" s="70">
        <v>46</v>
      </c>
      <c r="D11" s="71">
        <f t="shared" si="2"/>
        <v>81</v>
      </c>
      <c r="E11" s="71">
        <f t="shared" si="0"/>
        <v>1</v>
      </c>
      <c r="F11" s="72">
        <f t="shared" si="3"/>
        <v>98.6</v>
      </c>
      <c r="G11" s="73">
        <f>IF(D11=D10,"",_xlfn.IFNA(VLOOKUP(D11,'인원 입력 기능 (사과탐)'!$A$236:$D$284,4,FALSE),0))</f>
        <v>5</v>
      </c>
      <c r="H11" s="74">
        <f t="shared" si="4"/>
        <v>1.4128284826222096E-3</v>
      </c>
      <c r="I11" s="78">
        <f>SUM($G$7:G11)</f>
        <v>52</v>
      </c>
      <c r="J11" s="76">
        <f t="shared" si="5"/>
        <v>1.4693416219270981E-2</v>
      </c>
      <c r="K11" s="32"/>
      <c r="L11" s="3" t="str">
        <f t="shared" si="1"/>
        <v/>
      </c>
      <c r="P11" s="1">
        <v>5</v>
      </c>
      <c r="Q11" s="1">
        <f>'표준점수 등급컷 입력기능'!C143</f>
        <v>47</v>
      </c>
    </row>
    <row r="12" spans="1:17" ht="25" customHeight="1" x14ac:dyDescent="0.45">
      <c r="A12" s="4"/>
      <c r="B12" s="18"/>
      <c r="C12" s="77">
        <v>45</v>
      </c>
      <c r="D12" s="71">
        <f t="shared" si="2"/>
        <v>80</v>
      </c>
      <c r="E12" s="71">
        <f t="shared" si="0"/>
        <v>1</v>
      </c>
      <c r="F12" s="72">
        <f t="shared" si="3"/>
        <v>98.14</v>
      </c>
      <c r="G12" s="73">
        <f>IF(D12=D11,"",_xlfn.IFNA(VLOOKUP(D12,'인원 입력 기능 (사과탐)'!$A$236:$D$284,4,FALSE),0))</f>
        <v>28</v>
      </c>
      <c r="H12" s="74">
        <f t="shared" si="4"/>
        <v>7.9118395026843737E-3</v>
      </c>
      <c r="I12" s="78">
        <f>SUM($G$7:G12)</f>
        <v>80</v>
      </c>
      <c r="J12" s="76">
        <f t="shared" si="5"/>
        <v>2.2605255721955354E-2</v>
      </c>
      <c r="K12" s="32"/>
      <c r="L12" s="3" t="str">
        <f t="shared" si="1"/>
        <v/>
      </c>
      <c r="P12" s="1">
        <v>6</v>
      </c>
      <c r="Q12" s="1">
        <f>'표준점수 등급컷 입력기능'!C144</f>
        <v>43</v>
      </c>
    </row>
    <row r="13" spans="1:17" ht="25" customHeight="1" x14ac:dyDescent="0.45">
      <c r="A13" s="4"/>
      <c r="B13" s="18"/>
      <c r="C13" s="70">
        <v>44</v>
      </c>
      <c r="D13" s="71">
        <f t="shared" si="2"/>
        <v>79</v>
      </c>
      <c r="E13" s="71">
        <f t="shared" si="0"/>
        <v>1</v>
      </c>
      <c r="F13" s="72">
        <f t="shared" si="3"/>
        <v>97.54</v>
      </c>
      <c r="G13" s="73">
        <f>IF(D13=D12,"",_xlfn.IFNA(VLOOKUP(D13,'인원 입력 기능 (사과탐)'!$A$236:$D$284,4,FALSE),0))</f>
        <v>14</v>
      </c>
      <c r="H13" s="74">
        <f t="shared" si="4"/>
        <v>3.9559197513421868E-3</v>
      </c>
      <c r="I13" s="78">
        <f>SUM($G$7:G13)</f>
        <v>94</v>
      </c>
      <c r="J13" s="76">
        <f t="shared" si="5"/>
        <v>2.6561175473297543E-2</v>
      </c>
      <c r="K13" s="32"/>
      <c r="L13" s="3" t="str">
        <f t="shared" si="1"/>
        <v/>
      </c>
      <c r="P13" s="1">
        <v>7</v>
      </c>
      <c r="Q13" s="1">
        <f>'표준점수 등급컷 입력기능'!C145</f>
        <v>41</v>
      </c>
    </row>
    <row r="14" spans="1:17" ht="25" customHeight="1" x14ac:dyDescent="0.45">
      <c r="A14" s="4"/>
      <c r="B14" s="18"/>
      <c r="C14" s="77">
        <v>43</v>
      </c>
      <c r="D14" s="71">
        <f t="shared" si="2"/>
        <v>78</v>
      </c>
      <c r="E14" s="71">
        <f t="shared" si="0"/>
        <v>1</v>
      </c>
      <c r="F14" s="72">
        <f t="shared" si="3"/>
        <v>97.16</v>
      </c>
      <c r="G14" s="73">
        <f>IF(D14=D13,"",_xlfn.IFNA(VLOOKUP(D14,'인원 입력 기능 (사과탐)'!$A$236:$D$284,4,FALSE),0))</f>
        <v>13</v>
      </c>
      <c r="H14" s="74">
        <f t="shared" si="4"/>
        <v>3.6733540548177452E-3</v>
      </c>
      <c r="I14" s="78">
        <f>SUM($G$7:G14)</f>
        <v>107</v>
      </c>
      <c r="J14" s="76">
        <f t="shared" si="5"/>
        <v>3.0234529528115287E-2</v>
      </c>
      <c r="K14" s="32"/>
      <c r="L14" s="3" t="str">
        <f t="shared" si="1"/>
        <v/>
      </c>
      <c r="P14" s="1">
        <v>8</v>
      </c>
      <c r="Q14" s="1">
        <f>'표준점수 등급컷 입력기능'!C146</f>
        <v>39</v>
      </c>
    </row>
    <row r="15" spans="1:17" ht="25" customHeight="1" x14ac:dyDescent="0.45">
      <c r="A15" s="4"/>
      <c r="B15" s="18"/>
      <c r="C15" s="70">
        <v>42</v>
      </c>
      <c r="D15" s="71">
        <f t="shared" si="2"/>
        <v>77</v>
      </c>
      <c r="E15" s="71">
        <f t="shared" si="0"/>
        <v>1</v>
      </c>
      <c r="F15" s="72">
        <f t="shared" si="3"/>
        <v>96.62</v>
      </c>
      <c r="G15" s="73">
        <f>IF(D15=D14,"",_xlfn.IFNA(VLOOKUP(D15,'인원 입력 기능 (사과탐)'!$A$236:$D$284,4,FALSE),0))</f>
        <v>25</v>
      </c>
      <c r="H15" s="74">
        <f t="shared" si="4"/>
        <v>7.0641424131110487E-3</v>
      </c>
      <c r="I15" s="78">
        <f>SUM($G$7:G15)</f>
        <v>132</v>
      </c>
      <c r="J15" s="76">
        <f t="shared" si="5"/>
        <v>3.7298671941226338E-2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71">
        <f t="shared" si="2"/>
        <v>76</v>
      </c>
      <c r="E16" s="71">
        <f t="shared" si="0"/>
        <v>1</v>
      </c>
      <c r="F16" s="72">
        <f t="shared" si="3"/>
        <v>96.06</v>
      </c>
      <c r="G16" s="73">
        <f>IF(D16=D15,"",_xlfn.IFNA(VLOOKUP(D16,'인원 입력 기능 (사과탐)'!$A$236:$D$284,4,FALSE),0))</f>
        <v>15</v>
      </c>
      <c r="H16" s="74">
        <f t="shared" si="4"/>
        <v>4.2384854478666294E-3</v>
      </c>
      <c r="I16" s="78">
        <f>SUM($G$7:G16)</f>
        <v>147</v>
      </c>
      <c r="J16" s="76">
        <f t="shared" si="5"/>
        <v>4.1537157389092964E-2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71">
        <f t="shared" si="2"/>
        <v>75</v>
      </c>
      <c r="E17" s="71">
        <f t="shared" si="0"/>
        <v>2</v>
      </c>
      <c r="F17" s="72">
        <f t="shared" si="3"/>
        <v>95.59</v>
      </c>
      <c r="G17" s="73">
        <f>IF(D17=D16,"",_xlfn.IFNA(VLOOKUP(D17,'인원 입력 기능 (사과탐)'!$A$236:$D$284,4,FALSE),0))</f>
        <v>18</v>
      </c>
      <c r="H17" s="74">
        <f t="shared" si="4"/>
        <v>5.0861825374399544E-3</v>
      </c>
      <c r="I17" s="78">
        <f>SUM($G$7:G17)</f>
        <v>165</v>
      </c>
      <c r="J17" s="76">
        <f t="shared" si="5"/>
        <v>4.662333992653292E-2</v>
      </c>
      <c r="K17" s="32"/>
      <c r="L17" s="3" t="str">
        <f t="shared" si="1"/>
        <v/>
      </c>
      <c r="P17" s="1">
        <f>Q7*H3*H4*J3*IFERROR(IF(J57=1,1,0),0)</f>
        <v>41094041.2896</v>
      </c>
    </row>
    <row r="18" spans="1:16" ht="25" customHeight="1" x14ac:dyDescent="0.45">
      <c r="A18" s="4"/>
      <c r="B18" s="18"/>
      <c r="C18" s="77">
        <v>39</v>
      </c>
      <c r="D18" s="71">
        <f t="shared" si="2"/>
        <v>74</v>
      </c>
      <c r="E18" s="71">
        <f t="shared" si="0"/>
        <v>2</v>
      </c>
      <c r="F18" s="72">
        <f t="shared" si="3"/>
        <v>95</v>
      </c>
      <c r="G18" s="73">
        <f>IF(D18=D17,"",_xlfn.IFNA(VLOOKUP(D18,'인원 입력 기능 (사과탐)'!$A$236:$D$284,4,FALSE),0))</f>
        <v>24</v>
      </c>
      <c r="H18" s="74">
        <f t="shared" si="4"/>
        <v>6.7815767165866061E-3</v>
      </c>
      <c r="I18" s="78">
        <f>SUM($G$7:G18)</f>
        <v>189</v>
      </c>
      <c r="J18" s="76">
        <f t="shared" si="5"/>
        <v>5.3404916643119527E-2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71">
        <f t="shared" si="2"/>
        <v>73</v>
      </c>
      <c r="E19" s="71">
        <f t="shared" si="0"/>
        <v>2</v>
      </c>
      <c r="F19" s="72">
        <f t="shared" si="3"/>
        <v>94.39</v>
      </c>
      <c r="G19" s="73">
        <f>IF(D19=D18,"",_xlfn.IFNA(VLOOKUP(D19,'인원 입력 기능 (사과탐)'!$A$236:$D$284,4,FALSE),0))</f>
        <v>19</v>
      </c>
      <c r="H19" s="74">
        <f t="shared" si="4"/>
        <v>5.3687482339643969E-3</v>
      </c>
      <c r="I19" s="78">
        <f>SUM($G$7:G19)</f>
        <v>208</v>
      </c>
      <c r="J19" s="76">
        <f t="shared" si="5"/>
        <v>5.8773664877083923E-2</v>
      </c>
      <c r="K19" s="32"/>
      <c r="L19" s="3" t="str">
        <f t="shared" si="1"/>
        <v/>
      </c>
    </row>
    <row r="20" spans="1:16" ht="25" customHeight="1" x14ac:dyDescent="0.45">
      <c r="A20" s="4"/>
      <c r="B20" s="18"/>
      <c r="C20" s="77">
        <v>37</v>
      </c>
      <c r="D20" s="71">
        <f t="shared" si="2"/>
        <v>72</v>
      </c>
      <c r="E20" s="71">
        <f t="shared" si="0"/>
        <v>2</v>
      </c>
      <c r="F20" s="72">
        <f t="shared" si="3"/>
        <v>93.71</v>
      </c>
      <c r="G20" s="73">
        <f>IF(D20=D19,"",_xlfn.IFNA(VLOOKUP(D20,'인원 입력 기능 (사과탐)'!$A$236:$D$284,4,FALSE),0))</f>
        <v>29</v>
      </c>
      <c r="H20" s="74">
        <f t="shared" si="4"/>
        <v>8.1944051992088162E-3</v>
      </c>
      <c r="I20" s="78">
        <f>SUM($G$7:G20)</f>
        <v>237</v>
      </c>
      <c r="J20" s="76">
        <f t="shared" si="5"/>
        <v>6.6968070076292741E-2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80">
        <f t="shared" si="2"/>
        <v>71</v>
      </c>
      <c r="E21" s="80">
        <f t="shared" si="0"/>
        <v>2</v>
      </c>
      <c r="F21" s="72">
        <f t="shared" si="3"/>
        <v>92.96</v>
      </c>
      <c r="G21" s="73">
        <f>IF(D21=D20,"",_xlfn.IFNA(VLOOKUP(D21,'인원 입력 기능 (사과탐)'!$A$236:$D$284,4,FALSE),0))</f>
        <v>24</v>
      </c>
      <c r="H21" s="74">
        <f t="shared" si="4"/>
        <v>6.7815767165866061E-3</v>
      </c>
      <c r="I21" s="78">
        <f>SUM($G$7:G21)</f>
        <v>261</v>
      </c>
      <c r="J21" s="76">
        <f t="shared" si="5"/>
        <v>7.3749646792879348E-2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80">
        <f t="shared" si="2"/>
        <v>70</v>
      </c>
      <c r="E22" s="80">
        <f t="shared" si="0"/>
        <v>2</v>
      </c>
      <c r="F22" s="72">
        <f t="shared" si="3"/>
        <v>92.38</v>
      </c>
      <c r="G22" s="73">
        <f>IF(D22=D21,"",_xlfn.IFNA(VLOOKUP(D22,'인원 입력 기능 (사과탐)'!$A$236:$D$284,4,FALSE),0))</f>
        <v>17</v>
      </c>
      <c r="H22" s="74">
        <f t="shared" si="4"/>
        <v>4.8036168409155127E-3</v>
      </c>
      <c r="I22" s="78">
        <f>SUM($G$7:G22)</f>
        <v>278</v>
      </c>
      <c r="J22" s="76">
        <f t="shared" si="5"/>
        <v>7.8553263633794862E-2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80">
        <f t="shared" si="2"/>
        <v>69</v>
      </c>
      <c r="E23" s="80">
        <f t="shared" si="0"/>
        <v>2</v>
      </c>
      <c r="F23" s="72">
        <f t="shared" si="3"/>
        <v>91.83</v>
      </c>
      <c r="G23" s="73">
        <f>IF(D23=D22,"",_xlfn.IFNA(VLOOKUP(D23,'인원 입력 기능 (사과탐)'!$A$236:$D$284,4,FALSE),0))</f>
        <v>22</v>
      </c>
      <c r="H23" s="74">
        <f t="shared" si="4"/>
        <v>6.2164453235377228E-3</v>
      </c>
      <c r="I23" s="78">
        <f>SUM($G$7:G23)</f>
        <v>300</v>
      </c>
      <c r="J23" s="76">
        <f t="shared" si="5"/>
        <v>8.4769708957332573E-2</v>
      </c>
      <c r="K23" s="32"/>
      <c r="L23" s="3" t="str">
        <f t="shared" si="1"/>
        <v/>
      </c>
    </row>
    <row r="24" spans="1:16" ht="25" customHeight="1" x14ac:dyDescent="0.45">
      <c r="A24" s="4"/>
      <c r="B24" s="18"/>
      <c r="C24" s="81">
        <v>33</v>
      </c>
      <c r="D24" s="80">
        <f t="shared" si="2"/>
        <v>68</v>
      </c>
      <c r="E24" s="80">
        <f t="shared" si="0"/>
        <v>2</v>
      </c>
      <c r="F24" s="72">
        <f t="shared" si="3"/>
        <v>91.33</v>
      </c>
      <c r="G24" s="73">
        <f>IF(D24=D23,"",_xlfn.IFNA(VLOOKUP(D24,'인원 입력 기능 (사과탐)'!$A$236:$D$284,4,FALSE),0))</f>
        <v>14</v>
      </c>
      <c r="H24" s="74">
        <f t="shared" si="4"/>
        <v>3.9559197513421868E-3</v>
      </c>
      <c r="I24" s="78">
        <f>SUM($G$7:G24)</f>
        <v>314</v>
      </c>
      <c r="J24" s="76">
        <f t="shared" si="5"/>
        <v>8.8725628708674772E-2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80">
        <f t="shared" si="2"/>
        <v>67</v>
      </c>
      <c r="E25" s="80">
        <f t="shared" si="0"/>
        <v>2</v>
      </c>
      <c r="F25" s="72">
        <f t="shared" si="3"/>
        <v>90.89</v>
      </c>
      <c r="G25" s="73">
        <f>IF(D25=D24,"",_xlfn.IFNA(VLOOKUP(D25,'인원 입력 기능 (사과탐)'!$A$236:$D$284,4,FALSE),0))</f>
        <v>17</v>
      </c>
      <c r="H25" s="74">
        <f t="shared" si="4"/>
        <v>4.8036168409155127E-3</v>
      </c>
      <c r="I25" s="78">
        <f>SUM($G$7:G25)</f>
        <v>331</v>
      </c>
      <c r="J25" s="76">
        <f t="shared" si="5"/>
        <v>9.3529245549590273E-2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80">
        <f t="shared" si="2"/>
        <v>66</v>
      </c>
      <c r="E26" s="80">
        <f t="shared" si="0"/>
        <v>2</v>
      </c>
      <c r="F26" s="72">
        <f t="shared" si="3"/>
        <v>90.25</v>
      </c>
      <c r="G26" s="73">
        <f>IF(D26=D25,"",_xlfn.IFNA(VLOOKUP(D26,'인원 입력 기능 (사과탐)'!$A$236:$D$284,4,FALSE),0))</f>
        <v>28</v>
      </c>
      <c r="H26" s="74">
        <f t="shared" si="4"/>
        <v>7.9118395026843737E-3</v>
      </c>
      <c r="I26" s="78">
        <f>SUM($G$7:G26)</f>
        <v>359</v>
      </c>
      <c r="J26" s="76">
        <f t="shared" si="5"/>
        <v>0.10144108505227466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80">
        <f t="shared" si="2"/>
        <v>65</v>
      </c>
      <c r="E27" s="80">
        <f t="shared" si="0"/>
        <v>2</v>
      </c>
      <c r="F27" s="72">
        <f t="shared" si="3"/>
        <v>89.52</v>
      </c>
      <c r="G27" s="73">
        <f>IF(D27=D26,"",_xlfn.IFNA(VLOOKUP(D27,'인원 입력 기능 (사과탐)'!$A$236:$D$284,4,FALSE),0))</f>
        <v>24</v>
      </c>
      <c r="H27" s="74">
        <f t="shared" si="4"/>
        <v>6.7815767165866061E-3</v>
      </c>
      <c r="I27" s="78">
        <f>SUM($G$7:G27)</f>
        <v>383</v>
      </c>
      <c r="J27" s="76">
        <f t="shared" si="5"/>
        <v>0.10822266176886126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80">
        <f t="shared" si="2"/>
        <v>64</v>
      </c>
      <c r="E28" s="80">
        <f t="shared" si="0"/>
        <v>2</v>
      </c>
      <c r="F28" s="72">
        <f t="shared" si="3"/>
        <v>88.87</v>
      </c>
      <c r="G28" s="73">
        <f>IF(D28=D27,"",_xlfn.IFNA(VLOOKUP(D28,'인원 입력 기능 (사과탐)'!$A$236:$D$284,4,FALSE),0))</f>
        <v>22</v>
      </c>
      <c r="H28" s="74">
        <f t="shared" si="4"/>
        <v>6.2164453235377228E-3</v>
      </c>
      <c r="I28" s="78">
        <f>SUM($G$7:G28)</f>
        <v>405</v>
      </c>
      <c r="J28" s="76">
        <f t="shared" si="5"/>
        <v>0.11443910709239899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80">
        <f t="shared" si="2"/>
        <v>63</v>
      </c>
      <c r="E29" s="80">
        <f t="shared" si="0"/>
        <v>3</v>
      </c>
      <c r="F29" s="72">
        <f t="shared" si="3"/>
        <v>88.19</v>
      </c>
      <c r="G29" s="73">
        <f>IF(D29=D28,"",_xlfn.IFNA(VLOOKUP(D29,'인원 입력 기능 (사과탐)'!$A$236:$D$284,4,FALSE),0))</f>
        <v>26</v>
      </c>
      <c r="H29" s="74">
        <f t="shared" si="4"/>
        <v>7.3467081096354903E-3</v>
      </c>
      <c r="I29" s="78">
        <f>SUM($G$7:G29)</f>
        <v>431</v>
      </c>
      <c r="J29" s="76">
        <f t="shared" si="5"/>
        <v>0.12178581520203448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80">
        <f t="shared" si="2"/>
        <v>62</v>
      </c>
      <c r="E30" s="80">
        <f t="shared" si="0"/>
        <v>3</v>
      </c>
      <c r="F30" s="72">
        <f t="shared" si="3"/>
        <v>87.5</v>
      </c>
      <c r="G30" s="73">
        <f>IF(D30=D29,"",_xlfn.IFNA(VLOOKUP(D30,'인원 입력 기능 (사과탐)'!$A$236:$D$284,4,FALSE),0))</f>
        <v>23</v>
      </c>
      <c r="H30" s="74">
        <f t="shared" si="4"/>
        <v>6.4990110200621645E-3</v>
      </c>
      <c r="I30" s="78">
        <f>SUM($G$7:G30)</f>
        <v>454</v>
      </c>
      <c r="J30" s="76">
        <f t="shared" si="5"/>
        <v>0.12828482622209664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80">
        <f t="shared" si="2"/>
        <v>61</v>
      </c>
      <c r="E31" s="80">
        <f t="shared" si="0"/>
        <v>3</v>
      </c>
      <c r="F31" s="72">
        <f t="shared" si="3"/>
        <v>86.83</v>
      </c>
      <c r="G31" s="73">
        <f>IF(D31=D30,"",_xlfn.IFNA(VLOOKUP(D31,'인원 입력 기능 (사과탐)'!$A$236:$D$284,4,FALSE),0))</f>
        <v>24</v>
      </c>
      <c r="H31" s="74">
        <f t="shared" si="4"/>
        <v>6.7815767165866061E-3</v>
      </c>
      <c r="I31" s="78">
        <f>SUM($G$7:G31)</f>
        <v>478</v>
      </c>
      <c r="J31" s="76">
        <f t="shared" si="5"/>
        <v>0.13506640293868324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80">
        <f t="shared" si="2"/>
        <v>60</v>
      </c>
      <c r="E32" s="80">
        <f t="shared" si="0"/>
        <v>3</v>
      </c>
      <c r="F32" s="72">
        <f t="shared" si="3"/>
        <v>86.04</v>
      </c>
      <c r="G32" s="73">
        <f>IF(D32=D31,"",_xlfn.IFNA(VLOOKUP(D32,'인원 입력 기능 (사과탐)'!$A$236:$D$284,4,FALSE),0))</f>
        <v>32</v>
      </c>
      <c r="H32" s="74">
        <f t="shared" si="4"/>
        <v>9.0421022887821421E-3</v>
      </c>
      <c r="I32" s="78">
        <f>SUM($G$7:G32)</f>
        <v>510</v>
      </c>
      <c r="J32" s="76">
        <f t="shared" si="5"/>
        <v>0.14410850522746538</v>
      </c>
      <c r="K32" s="32"/>
      <c r="L32" s="3" t="str">
        <f t="shared" si="1"/>
        <v/>
      </c>
    </row>
    <row r="33" spans="1:12" ht="25" customHeight="1" x14ac:dyDescent="0.45">
      <c r="A33" s="4"/>
      <c r="B33" s="18"/>
      <c r="C33" s="79">
        <v>24</v>
      </c>
      <c r="D33" s="80">
        <f t="shared" si="2"/>
        <v>59</v>
      </c>
      <c r="E33" s="80">
        <f t="shared" si="0"/>
        <v>3</v>
      </c>
      <c r="F33" s="72">
        <f t="shared" si="3"/>
        <v>85.04</v>
      </c>
      <c r="G33" s="73">
        <f>IF(D33=D32,"",_xlfn.IFNA(VLOOKUP(D33,'인원 입력 기능 (사과탐)'!$A$236:$D$284,4,FALSE),0))</f>
        <v>39</v>
      </c>
      <c r="H33" s="74">
        <f t="shared" si="4"/>
        <v>1.1020062164453235E-2</v>
      </c>
      <c r="I33" s="78">
        <f>SUM($G$7:G33)</f>
        <v>549</v>
      </c>
      <c r="J33" s="76">
        <f t="shared" si="5"/>
        <v>0.15512856739191863</v>
      </c>
      <c r="K33" s="32"/>
      <c r="L33" s="3" t="str">
        <f t="shared" si="1"/>
        <v/>
      </c>
    </row>
    <row r="34" spans="1:12" ht="25" customHeight="1" x14ac:dyDescent="0.45">
      <c r="A34" s="4"/>
      <c r="B34" s="18"/>
      <c r="C34" s="81">
        <v>23</v>
      </c>
      <c r="D34" s="80">
        <f t="shared" si="2"/>
        <v>58</v>
      </c>
      <c r="E34" s="80">
        <f t="shared" si="0"/>
        <v>3</v>
      </c>
      <c r="F34" s="72">
        <f t="shared" si="3"/>
        <v>83.92</v>
      </c>
      <c r="G34" s="73">
        <f>IF(D34=D33,"",_xlfn.IFNA(VLOOKUP(D34,'인원 입력 기능 (사과탐)'!$A$236:$D$284,4,FALSE),0))</f>
        <v>40</v>
      </c>
      <c r="H34" s="74">
        <f t="shared" si="4"/>
        <v>1.1302627860977677E-2</v>
      </c>
      <c r="I34" s="78">
        <f>SUM($G$7:G34)</f>
        <v>589</v>
      </c>
      <c r="J34" s="76">
        <f t="shared" si="5"/>
        <v>0.16643119525289629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80">
        <f t="shared" si="2"/>
        <v>57</v>
      </c>
      <c r="E35" s="80">
        <f t="shared" si="0"/>
        <v>3</v>
      </c>
      <c r="F35" s="72">
        <f t="shared" si="3"/>
        <v>82.72</v>
      </c>
      <c r="G35" s="73">
        <f>IF(D35=D34,"",_xlfn.IFNA(VLOOKUP(D35,'인원 입력 기능 (사과탐)'!$A$236:$D$284,4,FALSE),0))</f>
        <v>45</v>
      </c>
      <c r="H35" s="74">
        <f t="shared" si="4"/>
        <v>1.2715456343599886E-2</v>
      </c>
      <c r="I35" s="78">
        <f>SUM($G$7:G35)</f>
        <v>634</v>
      </c>
      <c r="J35" s="76">
        <f t="shared" si="5"/>
        <v>0.17914665159649618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80">
        <f t="shared" si="2"/>
        <v>56</v>
      </c>
      <c r="E36" s="80">
        <f t="shared" si="0"/>
        <v>3</v>
      </c>
      <c r="F36" s="72">
        <f t="shared" si="3"/>
        <v>81.25</v>
      </c>
      <c r="G36" s="73">
        <f>IF(D36=D35,"",_xlfn.IFNA(VLOOKUP(D36,'인원 입력 기능 (사과탐)'!$A$236:$D$284,4,FALSE),0))</f>
        <v>59</v>
      </c>
      <c r="H36" s="74">
        <f t="shared" si="4"/>
        <v>1.6671376094942073E-2</v>
      </c>
      <c r="I36" s="78">
        <f>SUM($G$7:G36)</f>
        <v>693</v>
      </c>
      <c r="J36" s="76">
        <f t="shared" si="5"/>
        <v>0.19581802769143825</v>
      </c>
      <c r="K36" s="32"/>
      <c r="L36" s="3" t="str">
        <f t="shared" si="1"/>
        <v/>
      </c>
    </row>
    <row r="37" spans="1:12" ht="25" customHeight="1" x14ac:dyDescent="0.45">
      <c r="A37" s="4"/>
      <c r="B37" s="18"/>
      <c r="C37" s="79">
        <v>20</v>
      </c>
      <c r="D37" s="80">
        <f t="shared" si="2"/>
        <v>55</v>
      </c>
      <c r="E37" s="80">
        <f t="shared" si="0"/>
        <v>3</v>
      </c>
      <c r="F37" s="72">
        <f t="shared" si="3"/>
        <v>79.23</v>
      </c>
      <c r="G37" s="73">
        <f>IF(D37=D36,"",_xlfn.IFNA(VLOOKUP(D37,'인원 입력 기능 (사과탐)'!$A$236:$D$284,4,FALSE),0))</f>
        <v>84</v>
      </c>
      <c r="H37" s="74">
        <f t="shared" si="4"/>
        <v>2.3735518508053121E-2</v>
      </c>
      <c r="I37" s="78">
        <f>SUM($G$7:G37)</f>
        <v>777</v>
      </c>
      <c r="J37" s="76">
        <f t="shared" si="5"/>
        <v>0.21955354619949138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80">
        <f t="shared" si="2"/>
        <v>54</v>
      </c>
      <c r="E38" s="80">
        <f t="shared" si="0"/>
        <v>3</v>
      </c>
      <c r="F38" s="72">
        <f t="shared" si="3"/>
        <v>77.010000000000005</v>
      </c>
      <c r="G38" s="73">
        <f>IF(D38=D37,"",_xlfn.IFNA(VLOOKUP(D38,'인원 입력 기능 (사과탐)'!$A$236:$D$284,4,FALSE),0))</f>
        <v>73</v>
      </c>
      <c r="H38" s="74">
        <f t="shared" si="4"/>
        <v>2.0627295846284262E-2</v>
      </c>
      <c r="I38" s="78">
        <f>SUM($G$7:G38)</f>
        <v>850</v>
      </c>
      <c r="J38" s="76">
        <f t="shared" si="5"/>
        <v>0.24018084204577564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80">
        <f t="shared" si="2"/>
        <v>53</v>
      </c>
      <c r="E39" s="8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72">
        <f t="shared" si="3"/>
        <v>74.78</v>
      </c>
      <c r="G39" s="73">
        <f>IF(D39=D38,"",_xlfn.IFNA(VLOOKUP(D39,'인원 입력 기능 (사과탐)'!$A$236:$D$284,4,FALSE),0))</f>
        <v>85</v>
      </c>
      <c r="H39" s="74">
        <f t="shared" si="4"/>
        <v>2.4018084204577565E-2</v>
      </c>
      <c r="I39" s="78">
        <f>SUM($G$7:G39)</f>
        <v>935</v>
      </c>
      <c r="J39" s="76">
        <f t="shared" si="5"/>
        <v>0.26419892625035318</v>
      </c>
      <c r="K39" s="32"/>
      <c r="L39" s="3" t="str">
        <f t="shared" si="1"/>
        <v/>
      </c>
    </row>
    <row r="40" spans="1:12" ht="25" customHeight="1" x14ac:dyDescent="0.45">
      <c r="A40" s="4"/>
      <c r="B40" s="18"/>
      <c r="C40" s="81">
        <v>17</v>
      </c>
      <c r="D40" s="80">
        <f t="shared" si="2"/>
        <v>52</v>
      </c>
      <c r="E40" s="80">
        <f t="shared" si="6"/>
        <v>4</v>
      </c>
      <c r="F40" s="72">
        <f t="shared" si="3"/>
        <v>72.03</v>
      </c>
      <c r="G40" s="73">
        <f>IF(D40=D39,"",_xlfn.IFNA(VLOOKUP(D40,'인원 입력 기능 (사과탐)'!$A$236:$D$284,4,FALSE),0))</f>
        <v>110</v>
      </c>
      <c r="H40" s="74">
        <f t="shared" si="4"/>
        <v>3.1082226617688613E-2</v>
      </c>
      <c r="I40" s="78">
        <f>SUM($G$7:G40)</f>
        <v>1045</v>
      </c>
      <c r="J40" s="76">
        <f t="shared" si="5"/>
        <v>0.2952811528680418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80">
        <f t="shared" si="2"/>
        <v>51</v>
      </c>
      <c r="E41" s="80">
        <f t="shared" si="6"/>
        <v>4</v>
      </c>
      <c r="F41" s="72">
        <f t="shared" si="3"/>
        <v>68.86</v>
      </c>
      <c r="G41" s="73">
        <f>IF(D41=D40,"",_xlfn.IFNA(VLOOKUP(D41,'인원 입력 기능 (사과탐)'!$A$236:$D$284,4,FALSE),0))</f>
        <v>114</v>
      </c>
      <c r="H41" s="74">
        <f t="shared" si="4"/>
        <v>3.2212489403786383E-2</v>
      </c>
      <c r="I41" s="78">
        <f>SUM($G$7:G41)</f>
        <v>1159</v>
      </c>
      <c r="J41" s="76">
        <f t="shared" si="5"/>
        <v>0.3274936422718282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80">
        <f t="shared" si="2"/>
        <v>50</v>
      </c>
      <c r="E42" s="80">
        <f t="shared" si="6"/>
        <v>4</v>
      </c>
      <c r="F42" s="72">
        <f t="shared" si="3"/>
        <v>64.78</v>
      </c>
      <c r="G42" s="73">
        <f>IF(D42=D41,"",_xlfn.IFNA(VLOOKUP(D42,'인원 입력 기능 (사과탐)'!$A$236:$D$284,4,FALSE),0))</f>
        <v>175</v>
      </c>
      <c r="H42" s="74">
        <f t="shared" si="4"/>
        <v>4.9448996891777341E-2</v>
      </c>
      <c r="I42" s="78">
        <f>SUM($G$7:G42)</f>
        <v>1334</v>
      </c>
      <c r="J42" s="76">
        <f t="shared" si="5"/>
        <v>0.37694263916360554</v>
      </c>
      <c r="K42" s="32"/>
      <c r="L42" s="3" t="str">
        <f t="shared" si="1"/>
        <v/>
      </c>
    </row>
    <row r="43" spans="1:12" ht="25" customHeight="1" x14ac:dyDescent="0.45">
      <c r="A43" s="4"/>
      <c r="B43" s="18"/>
      <c r="C43" s="79">
        <v>14</v>
      </c>
      <c r="D43" s="80">
        <f t="shared" si="2"/>
        <v>49</v>
      </c>
      <c r="E43" s="80">
        <f t="shared" si="6"/>
        <v>4</v>
      </c>
      <c r="F43" s="72">
        <f t="shared" si="3"/>
        <v>60.31</v>
      </c>
      <c r="G43" s="73">
        <f>IF(D43=D42,"",_xlfn.IFNA(VLOOKUP(D43,'인원 입력 기능 (사과탐)'!$A$236:$D$284,4,FALSE),0))</f>
        <v>141</v>
      </c>
      <c r="H43" s="74">
        <f t="shared" si="4"/>
        <v>3.9841763209946313E-2</v>
      </c>
      <c r="I43" s="78">
        <f>SUM($G$7:G43)</f>
        <v>1475</v>
      </c>
      <c r="J43" s="76">
        <f t="shared" si="5"/>
        <v>0.41678440237355185</v>
      </c>
      <c r="K43" s="32"/>
      <c r="L43" s="3" t="str">
        <f t="shared" si="1"/>
        <v/>
      </c>
    </row>
    <row r="44" spans="1:12" ht="25" customHeight="1" x14ac:dyDescent="0.45">
      <c r="A44" s="4"/>
      <c r="B44" s="18"/>
      <c r="C44" s="81">
        <v>13</v>
      </c>
      <c r="D44" s="80">
        <f t="shared" si="2"/>
        <v>48</v>
      </c>
      <c r="E44" s="80">
        <f t="shared" si="6"/>
        <v>5</v>
      </c>
      <c r="F44" s="72">
        <f t="shared" si="3"/>
        <v>51.74</v>
      </c>
      <c r="G44" s="73">
        <f>IF(D44=D43,"",_xlfn.IFNA(VLOOKUP(D44,'인원 입력 기능 (사과탐)'!$A$236:$D$284,4,FALSE),0))</f>
        <v>466</v>
      </c>
      <c r="H44" s="74">
        <f t="shared" si="4"/>
        <v>0.13167561458038993</v>
      </c>
      <c r="I44" s="78">
        <f>SUM($G$7:G44)</f>
        <v>1941</v>
      </c>
      <c r="J44" s="76">
        <f t="shared" si="5"/>
        <v>0.54846001695394175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80">
        <f t="shared" si="2"/>
        <v>47</v>
      </c>
      <c r="E45" s="80">
        <f t="shared" si="6"/>
        <v>5</v>
      </c>
      <c r="F45" s="72">
        <f t="shared" si="3"/>
        <v>41.51</v>
      </c>
      <c r="G45" s="73">
        <f>IF(D45=D44,"",_xlfn.IFNA(VLOOKUP(D45,'인원 입력 기능 (사과탐)'!$A$236:$D$284,4,FALSE),0))</f>
        <v>258</v>
      </c>
      <c r="H45" s="74">
        <f t="shared" si="4"/>
        <v>7.2901949703306018E-2</v>
      </c>
      <c r="I45" s="78">
        <f>SUM($G$7:G45)</f>
        <v>2199</v>
      </c>
      <c r="J45" s="76">
        <f t="shared" si="5"/>
        <v>0.62136196665724786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80">
        <f t="shared" si="2"/>
        <v>46</v>
      </c>
      <c r="E46" s="80">
        <f t="shared" si="6"/>
        <v>6</v>
      </c>
      <c r="F46" s="72">
        <f t="shared" si="3"/>
        <v>35.520000000000003</v>
      </c>
      <c r="G46" s="73">
        <f>IF(D46=D45,"",_xlfn.IFNA(VLOOKUP(D46,'인원 입력 기능 (사과탐)'!$A$236:$D$284,4,FALSE),0))</f>
        <v>166</v>
      </c>
      <c r="H46" s="74">
        <f t="shared" si="4"/>
        <v>4.690590562305736E-2</v>
      </c>
      <c r="I46" s="78">
        <f>SUM($G$7:G46)</f>
        <v>2365</v>
      </c>
      <c r="J46" s="76">
        <f t="shared" si="5"/>
        <v>0.66826787228030515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80">
        <f t="shared" si="2"/>
        <v>45</v>
      </c>
      <c r="E47" s="80">
        <f t="shared" si="6"/>
        <v>6</v>
      </c>
      <c r="F47" s="72">
        <f t="shared" si="3"/>
        <v>30.62</v>
      </c>
      <c r="G47" s="73">
        <f>IF(D47=D46,"",_xlfn.IFNA(VLOOKUP(D47,'인원 입력 기능 (사과탐)'!$A$236:$D$284,4,FALSE),0))</f>
        <v>181</v>
      </c>
      <c r="H47" s="74">
        <f t="shared" si="4"/>
        <v>5.1144391070923993E-2</v>
      </c>
      <c r="I47" s="78">
        <f>SUM($G$7:G47)</f>
        <v>2546</v>
      </c>
      <c r="J47" s="76">
        <f t="shared" si="5"/>
        <v>0.71941226335122921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81">
        <v>9</v>
      </c>
      <c r="D48" s="80">
        <f t="shared" si="2"/>
        <v>44</v>
      </c>
      <c r="E48" s="80">
        <f t="shared" si="6"/>
        <v>6</v>
      </c>
      <c r="F48" s="72">
        <f t="shared" si="3"/>
        <v>26.07</v>
      </c>
      <c r="G48" s="73">
        <f>IF(D48=D47,"",_xlfn.IFNA(VLOOKUP(D48,'인원 입력 기능 (사과탐)'!$A$236:$D$284,4,FALSE),0))</f>
        <v>141</v>
      </c>
      <c r="H48" s="74">
        <f t="shared" si="4"/>
        <v>3.9841763209946313E-2</v>
      </c>
      <c r="I48" s="78">
        <f>SUM($G$7:G48)</f>
        <v>2687</v>
      </c>
      <c r="J48" s="76">
        <f t="shared" si="5"/>
        <v>0.75925402656117547</v>
      </c>
      <c r="K48" s="32"/>
      <c r="L48" s="3" t="str">
        <f t="shared" si="1"/>
        <v/>
      </c>
    </row>
    <row r="49" spans="1:12" ht="25" customHeight="1" x14ac:dyDescent="0.45">
      <c r="A49" s="4"/>
      <c r="B49" s="18"/>
      <c r="C49" s="79">
        <v>8</v>
      </c>
      <c r="D49" s="80">
        <f t="shared" si="2"/>
        <v>43</v>
      </c>
      <c r="E49" s="80">
        <f t="shared" si="6"/>
        <v>6</v>
      </c>
      <c r="F49" s="72">
        <f t="shared" si="3"/>
        <v>21.87</v>
      </c>
      <c r="G49" s="73">
        <f>IF(D49=D48,"",_xlfn.IFNA(VLOOKUP(D49,'인원 입력 기능 (사과탐)'!$A$236:$D$284,4,FALSE),0))</f>
        <v>156</v>
      </c>
      <c r="H49" s="74">
        <f t="shared" si="4"/>
        <v>4.4080248657812938E-2</v>
      </c>
      <c r="I49" s="78">
        <f>SUM($G$7:G49)</f>
        <v>2843</v>
      </c>
      <c r="J49" s="76">
        <f t="shared" si="5"/>
        <v>0.80333427521898837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80">
        <f t="shared" si="2"/>
        <v>42</v>
      </c>
      <c r="E50" s="80">
        <f t="shared" si="6"/>
        <v>7</v>
      </c>
      <c r="F50" s="72">
        <f t="shared" si="3"/>
        <v>17.75</v>
      </c>
      <c r="G50" s="73">
        <f>IF(D50=D49,"",_xlfn.IFNA(VLOOKUP(D50,'인원 입력 기능 (사과탐)'!$A$236:$D$284,4,FALSE),0))</f>
        <v>136</v>
      </c>
      <c r="H50" s="74">
        <f t="shared" si="4"/>
        <v>3.8428934727324102E-2</v>
      </c>
      <c r="I50" s="78">
        <f>SUM($G$7:G50)</f>
        <v>2979</v>
      </c>
      <c r="J50" s="76">
        <f t="shared" si="5"/>
        <v>0.84176320994631249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80">
        <f t="shared" si="2"/>
        <v>41</v>
      </c>
      <c r="E51" s="80">
        <f t="shared" si="6"/>
        <v>7</v>
      </c>
      <c r="F51" s="72">
        <f t="shared" si="3"/>
        <v>11.3</v>
      </c>
      <c r="G51" s="73">
        <f>IF(D51=D50,"",_xlfn.IFNA(VLOOKUP(D51,'인원 입력 기능 (사과탐)'!$A$236:$D$284,4,FALSE),0))</f>
        <v>320</v>
      </c>
      <c r="H51" s="74">
        <f t="shared" si="4"/>
        <v>9.0421022887821417E-2</v>
      </c>
      <c r="I51" s="78">
        <f>SUM($G$7:G51)</f>
        <v>3299</v>
      </c>
      <c r="J51" s="76">
        <f t="shared" si="5"/>
        <v>0.93218423283413399</v>
      </c>
      <c r="K51" s="32"/>
      <c r="L51" s="3" t="str">
        <f t="shared" si="1"/>
        <v/>
      </c>
    </row>
    <row r="52" spans="1:12" ht="25" customHeight="1" x14ac:dyDescent="0.45">
      <c r="A52" s="4"/>
      <c r="B52" s="18"/>
      <c r="C52" s="81">
        <v>5</v>
      </c>
      <c r="D52" s="80">
        <f t="shared" si="2"/>
        <v>40</v>
      </c>
      <c r="E52" s="80">
        <f t="shared" si="6"/>
        <v>8</v>
      </c>
      <c r="F52" s="72">
        <f t="shared" si="3"/>
        <v>5.5</v>
      </c>
      <c r="G52" s="73">
        <f>IF(D52=D51,"",_xlfn.IFNA(VLOOKUP(D52,'인원 입력 기능 (사과탐)'!$A$236:$D$284,4,FALSE),0))</f>
        <v>91</v>
      </c>
      <c r="H52" s="74">
        <f t="shared" si="4"/>
        <v>2.5713478383724217E-2</v>
      </c>
      <c r="I52" s="78">
        <f>SUM($G$7:G52)</f>
        <v>3390</v>
      </c>
      <c r="J52" s="76">
        <f t="shared" si="5"/>
        <v>0.95789771121785816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71">
        <f t="shared" si="2"/>
        <v>39</v>
      </c>
      <c r="E53" s="71">
        <f t="shared" si="6"/>
        <v>8</v>
      </c>
      <c r="F53" s="72">
        <f t="shared" si="3"/>
        <v>3.35</v>
      </c>
      <c r="G53" s="73">
        <f>IF(D53=D52,"",_xlfn.IFNA(VLOOKUP(D53,'인원 입력 기능 (사과탐)'!$A$236:$D$284,4,FALSE),0))</f>
        <v>61</v>
      </c>
      <c r="H53" s="74">
        <f t="shared" si="4"/>
        <v>1.7236507487990958E-2</v>
      </c>
      <c r="I53" s="78">
        <f>SUM($G$7:G53)</f>
        <v>3451</v>
      </c>
      <c r="J53" s="76">
        <f t="shared" si="5"/>
        <v>0.97513421870584915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71">
        <f t="shared" si="2"/>
        <v>38</v>
      </c>
      <c r="E54" s="71">
        <f t="shared" si="6"/>
        <v>9</v>
      </c>
      <c r="F54" s="72">
        <f t="shared" si="3"/>
        <v>1.99</v>
      </c>
      <c r="G54" s="73">
        <f>IF(D54=D53,"",_xlfn.IFNA(VLOOKUP(D54,'인원 입력 기능 (사과탐)'!$A$236:$D$284,4,FALSE),0))</f>
        <v>35</v>
      </c>
      <c r="H54" s="74">
        <f t="shared" si="4"/>
        <v>9.8897993783554679E-3</v>
      </c>
      <c r="I54" s="78">
        <f>SUM($G$7:G54)</f>
        <v>3486</v>
      </c>
      <c r="J54" s="76">
        <f t="shared" si="5"/>
        <v>0.98502401808420459</v>
      </c>
      <c r="K54" s="32"/>
      <c r="L54" s="3" t="str">
        <f t="shared" si="1"/>
        <v/>
      </c>
    </row>
    <row r="55" spans="1:12" ht="25" customHeight="1" x14ac:dyDescent="0.45">
      <c r="A55" s="4"/>
      <c r="B55" s="18"/>
      <c r="C55" s="70">
        <v>2</v>
      </c>
      <c r="D55" s="71">
        <f t="shared" si="2"/>
        <v>37</v>
      </c>
      <c r="E55" s="71">
        <f t="shared" si="6"/>
        <v>9</v>
      </c>
      <c r="F55" s="72">
        <f t="shared" si="3"/>
        <v>0.96</v>
      </c>
      <c r="G55" s="73">
        <f>IF(D55=D54,"",_xlfn.IFNA(VLOOKUP(D55,'인원 입력 기능 (사과탐)'!$A$236:$D$284,4,FALSE),0))</f>
        <v>38</v>
      </c>
      <c r="H55" s="74">
        <f t="shared" si="4"/>
        <v>1.0737496467928794E-2</v>
      </c>
      <c r="I55" s="78">
        <f>SUM($G$7:G55)</f>
        <v>3524</v>
      </c>
      <c r="J55" s="76">
        <f t="shared" si="5"/>
        <v>0.99576151455213335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35</v>
      </c>
      <c r="E57" s="84">
        <f t="shared" si="6"/>
        <v>9</v>
      </c>
      <c r="F57" s="85">
        <f>IF(I55=0,ROUND(100*(1-(I54+I57)/2/$J$3),2),ROUND(100*(1-(I55+I57)/2/$J$3),2))</f>
        <v>0.21</v>
      </c>
      <c r="G57" s="86">
        <f>_xlfn.IFNA(VLOOKUP(D57,'인원 입력 기능 (사과탐)'!$A$236:$D$284,4,FALSE),0)</f>
        <v>15</v>
      </c>
      <c r="H57" s="87">
        <f>G57/$J$3</f>
        <v>4.2384854478666294E-3</v>
      </c>
      <c r="I57" s="88">
        <f>SUM($G$7:G57)</f>
        <v>3539</v>
      </c>
      <c r="J57" s="89">
        <f>I57/$J$3</f>
        <v>1</v>
      </c>
      <c r="K57" s="32"/>
      <c r="L57" s="3" t="str">
        <f t="shared" ref="L57" si="7">IF(ABS((C57-$H$3)/$H$4*10+50-D57-0.5)&lt;0.1, "경고", "")</f>
        <v/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5">
    <mergeCell ref="D3:F3"/>
    <mergeCell ref="D4:F4"/>
    <mergeCell ref="D8:J8"/>
    <mergeCell ref="D56:J56"/>
    <mergeCell ref="G5:J5"/>
  </mergeCells>
  <phoneticPr fontId="1" type="noConversion"/>
  <conditionalFormatting sqref="D7:J57">
    <cfRule type="expression" dxfId="29" priority="3">
      <formula>OR($D7=$Q$7:$Q$14)</formula>
    </cfRule>
  </conditionalFormatting>
  <conditionalFormatting sqref="C7:C57">
    <cfRule type="expression" dxfId="28" priority="2">
      <formula>OR(AND($D7=0,OR($D6=$Q$7:$Q$14)),AND($D8&gt;0,OR($D7=$Q$7:$Q$14)))</formula>
    </cfRule>
  </conditionalFormatting>
  <conditionalFormatting sqref="D7:D57">
    <cfRule type="expression" dxfId="27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7FA2-CA5F-4B74-A3E2-5593BA66EC8C}">
  <sheetPr codeName="Sheet21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기능'!D20</f>
        <v>17.01</v>
      </c>
      <c r="I3" s="14" t="s">
        <v>110</v>
      </c>
      <c r="J3" s="36">
        <f>'통계 및 응시자 수 입력 기능'!C20</f>
        <v>3533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122</v>
      </c>
      <c r="E4" s="114"/>
      <c r="F4" s="115"/>
      <c r="G4" s="38" t="s">
        <v>113</v>
      </c>
      <c r="H4" s="39" t="str">
        <f>'통계 및 응시자 수 입력 기능'!E20</f>
        <v>12.01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77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99</v>
      </c>
      <c r="G7" s="73">
        <f>_xlfn.IFNA(VLOOKUP(D7,'인원 입력 기능 (사과탐)'!$F$236:$I$284,4,FALSE),0)</f>
        <v>71</v>
      </c>
      <c r="H7" s="74">
        <f>G7/$J$3</f>
        <v>2.0096235493914521E-2</v>
      </c>
      <c r="I7" s="75">
        <f>G7</f>
        <v>71</v>
      </c>
      <c r="J7" s="76">
        <f>I7/$J$3</f>
        <v>2.0096235493914521E-2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입력기능'!C148</f>
        <v>75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입력기능'!C149</f>
        <v>66</v>
      </c>
    </row>
    <row r="9" spans="1:17" ht="25" customHeight="1" x14ac:dyDescent="0.45">
      <c r="A9" s="4"/>
      <c r="B9" s="18"/>
      <c r="C9" s="70">
        <v>48</v>
      </c>
      <c r="D9" s="71">
        <f>ROUND(10*(C9-$H$3)/$H$4+50,0)</f>
        <v>76</v>
      </c>
      <c r="E9" s="71">
        <f t="shared" si="0"/>
        <v>1</v>
      </c>
      <c r="F9" s="72">
        <f>IF(I8=0,ROUND(100*(1-(I7+I9)/2/$J$3),2),ROUND(100*(1-(I8+I9)/2/$J$3),2))</f>
        <v>97.3</v>
      </c>
      <c r="G9" s="73">
        <f>_xlfn.IFNA(VLOOKUP(D9,'인원 입력 기능 (사과탐)'!$F$236:$I$284,4,FALSE),0)</f>
        <v>49</v>
      </c>
      <c r="H9" s="74">
        <f>G9/$J$3</f>
        <v>1.3869232946504387E-2</v>
      </c>
      <c r="I9" s="78">
        <f>SUM($G$7:G9)</f>
        <v>120</v>
      </c>
      <c r="J9" s="76">
        <f>I9/$J$3</f>
        <v>3.3965468440418908E-2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입력기능'!C150</f>
        <v>56</v>
      </c>
    </row>
    <row r="10" spans="1:17" ht="25" customHeight="1" x14ac:dyDescent="0.45">
      <c r="A10" s="4"/>
      <c r="B10" s="18"/>
      <c r="C10" s="77">
        <v>47</v>
      </c>
      <c r="D10" s="71">
        <f t="shared" ref="D10:D55" si="2">ROUND(10*(C10-$H$3)/$H$4+50,0)</f>
        <v>75</v>
      </c>
      <c r="E10" s="71">
        <f t="shared" si="0"/>
        <v>1</v>
      </c>
      <c r="F10" s="72">
        <f t="shared" ref="F10:F55" si="3">IF(I9=0,ROUND(100*(1-(I8+I10)/2/$J$3),2),ROUND(100*(1-(I9+I10)/2/$J$3),2))</f>
        <v>96.24</v>
      </c>
      <c r="G10" s="73">
        <f>IF(D10=D9,"",_xlfn.IFNA(VLOOKUP(D10,'인원 입력 기능 (사과탐)'!$F$236:$I$284,4,FALSE),0))</f>
        <v>26</v>
      </c>
      <c r="H10" s="74">
        <f t="shared" ref="H10:H55" si="4">G10/$J$3</f>
        <v>7.3591848287574303E-3</v>
      </c>
      <c r="I10" s="78">
        <f>SUM($G$7:G10)</f>
        <v>146</v>
      </c>
      <c r="J10" s="76">
        <f t="shared" ref="J10:J55" si="5">I10/$J$3</f>
        <v>4.1324653269176337E-2</v>
      </c>
      <c r="K10" s="32"/>
      <c r="L10" s="3" t="str">
        <f t="shared" si="1"/>
        <v/>
      </c>
      <c r="P10" s="1">
        <v>4</v>
      </c>
      <c r="Q10" s="1">
        <f>'표준점수 등급컷 입력기능'!C151</f>
        <v>47</v>
      </c>
    </row>
    <row r="11" spans="1:17" ht="25" customHeight="1" x14ac:dyDescent="0.45">
      <c r="A11" s="4"/>
      <c r="B11" s="18"/>
      <c r="C11" s="70">
        <v>46</v>
      </c>
      <c r="D11" s="71">
        <f t="shared" si="2"/>
        <v>74</v>
      </c>
      <c r="E11" s="71">
        <f t="shared" si="0"/>
        <v>2</v>
      </c>
      <c r="F11" s="72">
        <f t="shared" si="3"/>
        <v>95.73</v>
      </c>
      <c r="G11" s="73">
        <f>IF(D11=D10,"",_xlfn.IFNA(VLOOKUP(D11,'인원 입력 기능 (사과탐)'!$F$236:$I$284,4,FALSE),0))</f>
        <v>10</v>
      </c>
      <c r="H11" s="74">
        <f t="shared" si="4"/>
        <v>2.8304557033682421E-3</v>
      </c>
      <c r="I11" s="78">
        <f>SUM($G$7:G11)</f>
        <v>156</v>
      </c>
      <c r="J11" s="76">
        <f t="shared" si="5"/>
        <v>4.4155108972544578E-2</v>
      </c>
      <c r="K11" s="32"/>
      <c r="L11" s="3" t="str">
        <f t="shared" si="1"/>
        <v/>
      </c>
      <c r="P11" s="1">
        <v>5</v>
      </c>
      <c r="Q11" s="1">
        <f>'표준점수 등급컷 입력기능'!C152</f>
        <v>44</v>
      </c>
    </row>
    <row r="12" spans="1:17" ht="25" customHeight="1" x14ac:dyDescent="0.45">
      <c r="A12" s="4"/>
      <c r="B12" s="18"/>
      <c r="C12" s="77">
        <v>45</v>
      </c>
      <c r="D12" s="71">
        <f t="shared" si="2"/>
        <v>73</v>
      </c>
      <c r="E12" s="71">
        <f t="shared" si="0"/>
        <v>2</v>
      </c>
      <c r="F12" s="72">
        <f t="shared" si="3"/>
        <v>95.05</v>
      </c>
      <c r="G12" s="73">
        <f>IF(D12=D11,"",_xlfn.IFNA(VLOOKUP(D12,'인원 입력 기능 (사과탐)'!$F$236:$I$284,4,FALSE),0))</f>
        <v>38</v>
      </c>
      <c r="H12" s="74">
        <f t="shared" si="4"/>
        <v>1.0755731672799321E-2</v>
      </c>
      <c r="I12" s="78">
        <f>SUM($G$7:G12)</f>
        <v>194</v>
      </c>
      <c r="J12" s="76">
        <f t="shared" si="5"/>
        <v>5.4910840645343899E-2</v>
      </c>
      <c r="K12" s="32"/>
      <c r="L12" s="3" t="str">
        <f t="shared" si="1"/>
        <v/>
      </c>
      <c r="P12" s="1">
        <v>6</v>
      </c>
      <c r="Q12" s="1">
        <f>'표준점수 등급컷 입력기능'!C153</f>
        <v>43</v>
      </c>
    </row>
    <row r="13" spans="1:17" ht="25" customHeight="1" x14ac:dyDescent="0.45">
      <c r="A13" s="4"/>
      <c r="B13" s="18"/>
      <c r="C13" s="70">
        <v>44</v>
      </c>
      <c r="D13" s="161">
        <f t="shared" si="2"/>
        <v>72</v>
      </c>
      <c r="E13" s="161">
        <f t="shared" si="0"/>
        <v>2</v>
      </c>
      <c r="F13" s="163">
        <f t="shared" si="3"/>
        <v>93.86</v>
      </c>
      <c r="G13" s="165">
        <f>IF(D13=D12,"",_xlfn.IFNA(VLOOKUP(D13,'인원 입력 기능 (사과탐)'!$F$236:$I$284,4,FALSE),0))</f>
        <v>46</v>
      </c>
      <c r="H13" s="166">
        <f t="shared" si="4"/>
        <v>1.3020096235493914E-2</v>
      </c>
      <c r="I13" s="168">
        <f>SUM($G$7:G13)</f>
        <v>240</v>
      </c>
      <c r="J13" s="170">
        <f t="shared" si="5"/>
        <v>6.7930936880837817E-2</v>
      </c>
      <c r="K13" s="32"/>
      <c r="L13" s="3" t="str">
        <f t="shared" si="1"/>
        <v/>
      </c>
      <c r="P13" s="1">
        <v>7</v>
      </c>
      <c r="Q13" s="1">
        <f>'표준점수 등급컷 입력기능'!C154</f>
        <v>42</v>
      </c>
    </row>
    <row r="14" spans="1:17" ht="25" customHeight="1" x14ac:dyDescent="0.45">
      <c r="A14" s="4"/>
      <c r="B14" s="18"/>
      <c r="C14" s="77">
        <v>43</v>
      </c>
      <c r="D14" s="160"/>
      <c r="E14" s="160"/>
      <c r="F14" s="162"/>
      <c r="G14" s="164"/>
      <c r="H14" s="167"/>
      <c r="I14" s="169"/>
      <c r="J14" s="171"/>
      <c r="K14" s="32"/>
      <c r="L14" s="3" t="str">
        <f t="shared" si="1"/>
        <v>경고</v>
      </c>
      <c r="P14" s="1">
        <v>8</v>
      </c>
      <c r="Q14" s="1">
        <f>'표준점수 등급컷 입력기능'!C155</f>
        <v>40</v>
      </c>
    </row>
    <row r="15" spans="1:17" ht="25" customHeight="1" x14ac:dyDescent="0.45">
      <c r="A15" s="4"/>
      <c r="B15" s="18"/>
      <c r="C15" s="70">
        <v>42</v>
      </c>
      <c r="D15" s="71">
        <f t="shared" si="2"/>
        <v>71</v>
      </c>
      <c r="E15" s="71">
        <f t="shared" si="0"/>
        <v>2</v>
      </c>
      <c r="F15" s="72">
        <f t="shared" si="3"/>
        <v>92.81</v>
      </c>
      <c r="G15" s="73">
        <f>IF(D15=D14,"",_xlfn.IFNA(VLOOKUP(D15,'인원 입력 기능 (사과탐)'!$F$236:$I$284,4,FALSE),0))</f>
        <v>28</v>
      </c>
      <c r="H15" s="74">
        <f t="shared" si="4"/>
        <v>7.9252759694310778E-3</v>
      </c>
      <c r="I15" s="78">
        <f>SUM($G$7:G15)</f>
        <v>268</v>
      </c>
      <c r="J15" s="76">
        <f t="shared" si="5"/>
        <v>7.5856212850268889E-2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71">
        <f t="shared" si="2"/>
        <v>70</v>
      </c>
      <c r="E16" s="71">
        <f t="shared" si="0"/>
        <v>2</v>
      </c>
      <c r="F16" s="72">
        <f t="shared" si="3"/>
        <v>92.26</v>
      </c>
      <c r="G16" s="73">
        <f>IF(D16=D15,"",_xlfn.IFNA(VLOOKUP(D16,'인원 입력 기능 (사과탐)'!$F$236:$I$284,4,FALSE),0))</f>
        <v>11</v>
      </c>
      <c r="H16" s="74">
        <f t="shared" si="4"/>
        <v>3.1135012737050667E-3</v>
      </c>
      <c r="I16" s="78">
        <f>SUM($G$7:G16)</f>
        <v>279</v>
      </c>
      <c r="J16" s="76">
        <f t="shared" si="5"/>
        <v>7.8969714123973966E-2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71">
        <f t="shared" si="2"/>
        <v>69</v>
      </c>
      <c r="E17" s="71">
        <f t="shared" si="0"/>
        <v>2</v>
      </c>
      <c r="F17" s="72">
        <f t="shared" si="3"/>
        <v>91.89</v>
      </c>
      <c r="G17" s="73">
        <f>IF(D17=D16,"",_xlfn.IFNA(VLOOKUP(D17,'인원 입력 기능 (사과탐)'!$F$236:$I$284,4,FALSE),0))</f>
        <v>15</v>
      </c>
      <c r="H17" s="74">
        <f t="shared" si="4"/>
        <v>4.2456835550523635E-3</v>
      </c>
      <c r="I17" s="78">
        <f>SUM($G$7:G17)</f>
        <v>294</v>
      </c>
      <c r="J17" s="76">
        <f t="shared" si="5"/>
        <v>8.3215397679026318E-2</v>
      </c>
      <c r="K17" s="32"/>
      <c r="L17" s="3" t="str">
        <f t="shared" si="1"/>
        <v/>
      </c>
      <c r="P17" s="1">
        <f>Q7*H3*H4*J3*IFERROR(IF(J57=1,1,0),0)</f>
        <v>54131769.24750001</v>
      </c>
    </row>
    <row r="18" spans="1:16" ht="25" customHeight="1" x14ac:dyDescent="0.45">
      <c r="A18" s="4"/>
      <c r="B18" s="18"/>
      <c r="C18" s="77">
        <v>39</v>
      </c>
      <c r="D18" s="71">
        <f t="shared" si="2"/>
        <v>68</v>
      </c>
      <c r="E18" s="71">
        <f t="shared" si="0"/>
        <v>2</v>
      </c>
      <c r="F18" s="72">
        <f t="shared" si="3"/>
        <v>91.27</v>
      </c>
      <c r="G18" s="73">
        <f>IF(D18=D17,"",_xlfn.IFNA(VLOOKUP(D18,'인원 입력 기능 (사과탐)'!$F$236:$I$284,4,FALSE),0))</f>
        <v>29</v>
      </c>
      <c r="H18" s="74">
        <f t="shared" si="4"/>
        <v>8.2083215397679033E-3</v>
      </c>
      <c r="I18" s="78">
        <f>SUM($G$7:G18)</f>
        <v>323</v>
      </c>
      <c r="J18" s="76">
        <f t="shared" si="5"/>
        <v>9.1423719218794219E-2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161">
        <f t="shared" si="2"/>
        <v>67</v>
      </c>
      <c r="E19" s="161">
        <f t="shared" si="0"/>
        <v>2</v>
      </c>
      <c r="F19" s="163">
        <f t="shared" si="3"/>
        <v>90.21</v>
      </c>
      <c r="G19" s="165">
        <f>IF(D19=D18,"",_xlfn.IFNA(VLOOKUP(D19,'인원 입력 기능 (사과탐)'!$F$236:$I$284,4,FALSE),0))</f>
        <v>46</v>
      </c>
      <c r="H19" s="166">
        <f t="shared" si="4"/>
        <v>1.3020096235493914E-2</v>
      </c>
      <c r="I19" s="168">
        <f>SUM($G$7:G19)</f>
        <v>369</v>
      </c>
      <c r="J19" s="170">
        <f t="shared" si="5"/>
        <v>0.10444381545428814</v>
      </c>
      <c r="K19" s="32"/>
      <c r="L19" s="3" t="str">
        <f t="shared" si="1"/>
        <v/>
      </c>
    </row>
    <row r="20" spans="1:16" ht="25" customHeight="1" x14ac:dyDescent="0.45">
      <c r="A20" s="4"/>
      <c r="B20" s="18"/>
      <c r="C20" s="77">
        <v>37</v>
      </c>
      <c r="D20" s="160"/>
      <c r="E20" s="160"/>
      <c r="F20" s="162"/>
      <c r="G20" s="164"/>
      <c r="H20" s="167"/>
      <c r="I20" s="169"/>
      <c r="J20" s="171"/>
      <c r="K20" s="32"/>
      <c r="L20" s="3" t="str">
        <f t="shared" si="1"/>
        <v>경고</v>
      </c>
    </row>
    <row r="21" spans="1:16" ht="25" customHeight="1" x14ac:dyDescent="0.45">
      <c r="A21" s="4"/>
      <c r="B21" s="18"/>
      <c r="C21" s="79">
        <v>36</v>
      </c>
      <c r="D21" s="80">
        <f t="shared" si="2"/>
        <v>66</v>
      </c>
      <c r="E21" s="80">
        <f t="shared" si="0"/>
        <v>2</v>
      </c>
      <c r="F21" s="72">
        <f t="shared" si="3"/>
        <v>89.06</v>
      </c>
      <c r="G21" s="73">
        <f>IF(D21=D20,"",_xlfn.IFNA(VLOOKUP(D21,'인원 입력 기능 (사과탐)'!$F$236:$I$284,4,FALSE),0))</f>
        <v>35</v>
      </c>
      <c r="H21" s="74">
        <f t="shared" si="4"/>
        <v>9.9065949617888477E-3</v>
      </c>
      <c r="I21" s="78">
        <f>SUM($G$7:G21)</f>
        <v>404</v>
      </c>
      <c r="J21" s="76">
        <f t="shared" si="5"/>
        <v>0.11435041041607699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80">
        <f t="shared" si="2"/>
        <v>65</v>
      </c>
      <c r="E22" s="80">
        <f t="shared" si="0"/>
        <v>3</v>
      </c>
      <c r="F22" s="72">
        <f t="shared" si="3"/>
        <v>88.18</v>
      </c>
      <c r="G22" s="73">
        <f>IF(D22=D21,"",_xlfn.IFNA(VLOOKUP(D22,'인원 입력 기능 (사과탐)'!$F$236:$I$284,4,FALSE),0))</f>
        <v>27</v>
      </c>
      <c r="H22" s="74">
        <f t="shared" si="4"/>
        <v>7.642230399094254E-3</v>
      </c>
      <c r="I22" s="78">
        <f>SUM($G$7:G22)</f>
        <v>431</v>
      </c>
      <c r="J22" s="76">
        <f t="shared" si="5"/>
        <v>0.12199264081517125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80">
        <f t="shared" si="2"/>
        <v>64</v>
      </c>
      <c r="E23" s="80">
        <f t="shared" si="0"/>
        <v>3</v>
      </c>
      <c r="F23" s="72">
        <f t="shared" si="3"/>
        <v>87.25</v>
      </c>
      <c r="G23" s="73">
        <f>IF(D23=D22,"",_xlfn.IFNA(VLOOKUP(D23,'인원 입력 기능 (사과탐)'!$F$236:$I$284,4,FALSE),0))</f>
        <v>39</v>
      </c>
      <c r="H23" s="74">
        <f t="shared" si="4"/>
        <v>1.1038777243136145E-2</v>
      </c>
      <c r="I23" s="78">
        <f>SUM($G$7:G23)</f>
        <v>470</v>
      </c>
      <c r="J23" s="76">
        <f t="shared" si="5"/>
        <v>0.1330314180583074</v>
      </c>
      <c r="K23" s="32"/>
      <c r="L23" s="3" t="str">
        <f t="shared" si="1"/>
        <v/>
      </c>
    </row>
    <row r="24" spans="1:16" ht="25" customHeight="1" x14ac:dyDescent="0.45">
      <c r="A24" s="4"/>
      <c r="B24" s="18"/>
      <c r="C24" s="81">
        <v>33</v>
      </c>
      <c r="D24" s="80">
        <f t="shared" si="2"/>
        <v>63</v>
      </c>
      <c r="E24" s="80">
        <f t="shared" si="0"/>
        <v>3</v>
      </c>
      <c r="F24" s="72">
        <f t="shared" si="3"/>
        <v>86.22</v>
      </c>
      <c r="G24" s="73">
        <f>IF(D24=D23,"",_xlfn.IFNA(VLOOKUP(D24,'인원 입력 기능 (사과탐)'!$F$236:$I$284,4,FALSE),0))</f>
        <v>34</v>
      </c>
      <c r="H24" s="74">
        <f t="shared" si="4"/>
        <v>9.6235493914520239E-3</v>
      </c>
      <c r="I24" s="78">
        <f>SUM($G$7:G24)</f>
        <v>504</v>
      </c>
      <c r="J24" s="76">
        <f t="shared" si="5"/>
        <v>0.14265496744975942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173">
        <f t="shared" si="2"/>
        <v>62</v>
      </c>
      <c r="E25" s="173">
        <f t="shared" si="0"/>
        <v>3</v>
      </c>
      <c r="F25" s="163">
        <f t="shared" si="3"/>
        <v>84.9</v>
      </c>
      <c r="G25" s="165">
        <f>IF(D25=D24,"",_xlfn.IFNA(VLOOKUP(D25,'인원 입력 기능 (사과탐)'!$F$236:$I$284,4,FALSE),0))</f>
        <v>59</v>
      </c>
      <c r="H25" s="166">
        <f t="shared" si="4"/>
        <v>1.6699688649872629E-2</v>
      </c>
      <c r="I25" s="168">
        <f>SUM($G$7:G25)</f>
        <v>563</v>
      </c>
      <c r="J25" s="170">
        <f t="shared" si="5"/>
        <v>0.15935465609963204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172"/>
      <c r="E26" s="172"/>
      <c r="F26" s="162"/>
      <c r="G26" s="164"/>
      <c r="H26" s="167"/>
      <c r="I26" s="169"/>
      <c r="J26" s="171"/>
      <c r="K26" s="32"/>
      <c r="L26" s="3" t="str">
        <f t="shared" si="1"/>
        <v>경고</v>
      </c>
    </row>
    <row r="27" spans="1:16" ht="25" customHeight="1" x14ac:dyDescent="0.45">
      <c r="A27" s="4"/>
      <c r="B27" s="18"/>
      <c r="C27" s="79">
        <v>30</v>
      </c>
      <c r="D27" s="80">
        <f t="shared" si="2"/>
        <v>61</v>
      </c>
      <c r="E27" s="80">
        <f t="shared" si="0"/>
        <v>3</v>
      </c>
      <c r="F27" s="72">
        <f t="shared" si="3"/>
        <v>83.7</v>
      </c>
      <c r="G27" s="73">
        <f>IF(D27=D26,"",_xlfn.IFNA(VLOOKUP(D27,'인원 입력 기능 (사과탐)'!$F$236:$I$284,4,FALSE),0))</f>
        <v>26</v>
      </c>
      <c r="H27" s="74">
        <f t="shared" si="4"/>
        <v>7.3591848287574303E-3</v>
      </c>
      <c r="I27" s="78">
        <f>SUM($G$7:G27)</f>
        <v>589</v>
      </c>
      <c r="J27" s="76">
        <f t="shared" si="5"/>
        <v>0.16671384092838948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80">
        <f t="shared" si="2"/>
        <v>60</v>
      </c>
      <c r="E28" s="80">
        <f t="shared" si="0"/>
        <v>3</v>
      </c>
      <c r="F28" s="72">
        <f t="shared" si="3"/>
        <v>82.75</v>
      </c>
      <c r="G28" s="73">
        <f>IF(D28=D27,"",_xlfn.IFNA(VLOOKUP(D28,'인원 입력 기능 (사과탐)'!$F$236:$I$284,4,FALSE),0))</f>
        <v>41</v>
      </c>
      <c r="H28" s="74">
        <f t="shared" si="4"/>
        <v>1.1604868383809794E-2</v>
      </c>
      <c r="I28" s="78">
        <f>SUM($G$7:G28)</f>
        <v>630</v>
      </c>
      <c r="J28" s="76">
        <f t="shared" si="5"/>
        <v>0.17831870931219926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80">
        <f t="shared" si="2"/>
        <v>59</v>
      </c>
      <c r="E29" s="80">
        <f t="shared" si="0"/>
        <v>3</v>
      </c>
      <c r="F29" s="72">
        <f t="shared" si="3"/>
        <v>81.72</v>
      </c>
      <c r="G29" s="73">
        <f>IF(D29=D28,"",_xlfn.IFNA(VLOOKUP(D29,'인원 입력 기능 (사과탐)'!$F$236:$I$284,4,FALSE),0))</f>
        <v>32</v>
      </c>
      <c r="H29" s="74">
        <f t="shared" si="4"/>
        <v>9.0574582507783746E-3</v>
      </c>
      <c r="I29" s="78">
        <f>SUM($G$7:G29)</f>
        <v>662</v>
      </c>
      <c r="J29" s="76">
        <f t="shared" si="5"/>
        <v>0.18737616756297765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80">
        <f t="shared" si="2"/>
        <v>58</v>
      </c>
      <c r="E30" s="80">
        <f t="shared" si="0"/>
        <v>3</v>
      </c>
      <c r="F30" s="72">
        <f t="shared" si="3"/>
        <v>80.77</v>
      </c>
      <c r="G30" s="73">
        <f>IF(D30=D29,"",_xlfn.IFNA(VLOOKUP(D30,'인원 입력 기능 (사과탐)'!$F$236:$I$284,4,FALSE),0))</f>
        <v>35</v>
      </c>
      <c r="H30" s="74">
        <f t="shared" si="4"/>
        <v>9.9065949617888477E-3</v>
      </c>
      <c r="I30" s="78">
        <f>SUM($G$7:G30)</f>
        <v>697</v>
      </c>
      <c r="J30" s="76">
        <f t="shared" si="5"/>
        <v>0.19728276252476648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173">
        <f t="shared" si="2"/>
        <v>57</v>
      </c>
      <c r="E31" s="173">
        <f t="shared" si="0"/>
        <v>3</v>
      </c>
      <c r="F31" s="163">
        <f t="shared" si="3"/>
        <v>79.34</v>
      </c>
      <c r="G31" s="165">
        <f>IF(D31=D30,"",_xlfn.IFNA(VLOOKUP(D31,'인원 입력 기능 (사과탐)'!$F$236:$I$284,4,FALSE),0))</f>
        <v>66</v>
      </c>
      <c r="H31" s="166">
        <f t="shared" si="4"/>
        <v>1.86810076422304E-2</v>
      </c>
      <c r="I31" s="168">
        <f>SUM($G$7:G31)</f>
        <v>763</v>
      </c>
      <c r="J31" s="170">
        <f t="shared" si="5"/>
        <v>0.21596377016699689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172"/>
      <c r="E32" s="172"/>
      <c r="F32" s="162"/>
      <c r="G32" s="164"/>
      <c r="H32" s="167"/>
      <c r="I32" s="169"/>
      <c r="J32" s="171"/>
      <c r="K32" s="32"/>
      <c r="L32" s="3" t="str">
        <f t="shared" si="1"/>
        <v>경고</v>
      </c>
    </row>
    <row r="33" spans="1:12" ht="25" customHeight="1" x14ac:dyDescent="0.45">
      <c r="A33" s="4"/>
      <c r="B33" s="18"/>
      <c r="C33" s="79">
        <v>24</v>
      </c>
      <c r="D33" s="80">
        <f t="shared" si="2"/>
        <v>56</v>
      </c>
      <c r="E33" s="80">
        <f t="shared" si="0"/>
        <v>3</v>
      </c>
      <c r="F33" s="72">
        <f t="shared" si="3"/>
        <v>77.61</v>
      </c>
      <c r="G33" s="73">
        <f>IF(D33=D32,"",_xlfn.IFNA(VLOOKUP(D33,'인원 입력 기능 (사과탐)'!$F$236:$I$284,4,FALSE),0))</f>
        <v>56</v>
      </c>
      <c r="H33" s="74">
        <f t="shared" si="4"/>
        <v>1.5850551938862156E-2</v>
      </c>
      <c r="I33" s="78">
        <f>SUM($G$7:G33)</f>
        <v>819</v>
      </c>
      <c r="J33" s="76">
        <f t="shared" si="5"/>
        <v>0.23181432210585903</v>
      </c>
      <c r="K33" s="32"/>
      <c r="L33" s="3" t="str">
        <f t="shared" si="1"/>
        <v/>
      </c>
    </row>
    <row r="34" spans="1:12" ht="25" customHeight="1" x14ac:dyDescent="0.45">
      <c r="A34" s="4"/>
      <c r="B34" s="18"/>
      <c r="C34" s="81">
        <v>23</v>
      </c>
      <c r="D34" s="80">
        <f t="shared" si="2"/>
        <v>55</v>
      </c>
      <c r="E34" s="80">
        <f t="shared" si="0"/>
        <v>4</v>
      </c>
      <c r="F34" s="72">
        <f t="shared" si="3"/>
        <v>76.319999999999993</v>
      </c>
      <c r="G34" s="73">
        <f>IF(D34=D33,"",_xlfn.IFNA(VLOOKUP(D34,'인원 입력 기능 (사과탐)'!$F$236:$I$284,4,FALSE),0))</f>
        <v>35</v>
      </c>
      <c r="H34" s="74">
        <f t="shared" si="4"/>
        <v>9.9065949617888477E-3</v>
      </c>
      <c r="I34" s="78">
        <f>SUM($G$7:G34)</f>
        <v>854</v>
      </c>
      <c r="J34" s="76">
        <f t="shared" si="5"/>
        <v>0.24172091706764789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80">
        <f t="shared" si="2"/>
        <v>54</v>
      </c>
      <c r="E35" s="80">
        <f t="shared" si="0"/>
        <v>4</v>
      </c>
      <c r="F35" s="72">
        <f t="shared" si="3"/>
        <v>75.180000000000007</v>
      </c>
      <c r="G35" s="73">
        <f>IF(D35=D34,"",_xlfn.IFNA(VLOOKUP(D35,'인원 입력 기능 (사과탐)'!$F$236:$I$284,4,FALSE),0))</f>
        <v>46</v>
      </c>
      <c r="H35" s="74">
        <f t="shared" si="4"/>
        <v>1.3020096235493914E-2</v>
      </c>
      <c r="I35" s="78">
        <f>SUM($G$7:G35)</f>
        <v>900</v>
      </c>
      <c r="J35" s="76">
        <f t="shared" si="5"/>
        <v>0.25474101330314181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80">
        <f t="shared" si="2"/>
        <v>53</v>
      </c>
      <c r="E36" s="80">
        <f t="shared" si="0"/>
        <v>4</v>
      </c>
      <c r="F36" s="72">
        <f t="shared" si="3"/>
        <v>73.989999999999995</v>
      </c>
      <c r="G36" s="73">
        <f>IF(D36=D35,"",_xlfn.IFNA(VLOOKUP(D36,'인원 입력 기능 (사과탐)'!$F$236:$I$284,4,FALSE),0))</f>
        <v>38</v>
      </c>
      <c r="H36" s="74">
        <f t="shared" si="4"/>
        <v>1.0755731672799321E-2</v>
      </c>
      <c r="I36" s="78">
        <f>SUM($G$7:G36)</f>
        <v>938</v>
      </c>
      <c r="J36" s="76">
        <f t="shared" si="5"/>
        <v>0.26549674497594111</v>
      </c>
      <c r="K36" s="32"/>
      <c r="L36" s="3" t="str">
        <f t="shared" si="1"/>
        <v/>
      </c>
    </row>
    <row r="37" spans="1:12" ht="25" customHeight="1" x14ac:dyDescent="0.45">
      <c r="A37" s="4"/>
      <c r="B37" s="18"/>
      <c r="C37" s="79">
        <v>20</v>
      </c>
      <c r="D37" s="173">
        <f t="shared" si="2"/>
        <v>52</v>
      </c>
      <c r="E37" s="173">
        <f t="shared" si="0"/>
        <v>4</v>
      </c>
      <c r="F37" s="163">
        <f t="shared" si="3"/>
        <v>71.64</v>
      </c>
      <c r="G37" s="165">
        <f>IF(D37=D36,"",_xlfn.IFNA(VLOOKUP(D37,'인원 입력 기능 (사과탐)'!$F$236:$I$284,4,FALSE),0))</f>
        <v>128</v>
      </c>
      <c r="H37" s="166">
        <f t="shared" si="4"/>
        <v>3.6229833003113499E-2</v>
      </c>
      <c r="I37" s="168">
        <f>SUM($G$7:G37)</f>
        <v>1066</v>
      </c>
      <c r="J37" s="170">
        <f t="shared" si="5"/>
        <v>0.30172657797905461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172"/>
      <c r="E38" s="172"/>
      <c r="F38" s="162"/>
      <c r="G38" s="164"/>
      <c r="H38" s="167"/>
      <c r="I38" s="169"/>
      <c r="J38" s="171"/>
      <c r="K38" s="32"/>
      <c r="L38" s="3" t="str">
        <f t="shared" si="1"/>
        <v>경고</v>
      </c>
    </row>
    <row r="39" spans="1:12" ht="25" customHeight="1" x14ac:dyDescent="0.45">
      <c r="A39" s="4"/>
      <c r="B39" s="18"/>
      <c r="C39" s="79">
        <v>18</v>
      </c>
      <c r="D39" s="80">
        <f t="shared" si="2"/>
        <v>51</v>
      </c>
      <c r="E39" s="8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72">
        <f t="shared" si="3"/>
        <v>69.02</v>
      </c>
      <c r="G39" s="73">
        <f>IF(D39=D38,"",_xlfn.IFNA(VLOOKUP(D39,'인원 입력 기능 (사과탐)'!$F$236:$I$284,4,FALSE),0))</f>
        <v>57</v>
      </c>
      <c r="H39" s="74">
        <f t="shared" si="4"/>
        <v>1.6133597509198981E-2</v>
      </c>
      <c r="I39" s="78">
        <f>SUM($G$7:G39)</f>
        <v>1123</v>
      </c>
      <c r="J39" s="76">
        <f t="shared" si="5"/>
        <v>0.31786017548825363</v>
      </c>
      <c r="K39" s="32"/>
      <c r="L39" s="3" t="str">
        <f t="shared" si="1"/>
        <v/>
      </c>
    </row>
    <row r="40" spans="1:12" ht="25" customHeight="1" x14ac:dyDescent="0.45">
      <c r="A40" s="4"/>
      <c r="B40" s="18"/>
      <c r="C40" s="81">
        <v>17</v>
      </c>
      <c r="D40" s="80">
        <f t="shared" si="2"/>
        <v>50</v>
      </c>
      <c r="E40" s="80">
        <f t="shared" si="6"/>
        <v>4</v>
      </c>
      <c r="F40" s="72">
        <f t="shared" si="3"/>
        <v>66.95</v>
      </c>
      <c r="G40" s="73">
        <f>IF(D40=D39,"",_xlfn.IFNA(VLOOKUP(D40,'인원 입력 기능 (사과탐)'!$F$236:$I$284,4,FALSE),0))</f>
        <v>89</v>
      </c>
      <c r="H40" s="74">
        <f t="shared" si="4"/>
        <v>2.5191055759977356E-2</v>
      </c>
      <c r="I40" s="78">
        <f>SUM($G$7:G40)</f>
        <v>1212</v>
      </c>
      <c r="J40" s="76">
        <f t="shared" si="5"/>
        <v>0.34305123124823095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80">
        <f t="shared" si="2"/>
        <v>49</v>
      </c>
      <c r="E41" s="80">
        <f t="shared" si="6"/>
        <v>4</v>
      </c>
      <c r="F41" s="72">
        <f t="shared" si="3"/>
        <v>64.459999999999994</v>
      </c>
      <c r="G41" s="73">
        <f>IF(D41=D40,"",_xlfn.IFNA(VLOOKUP(D41,'인원 입력 기능 (사과탐)'!$F$236:$I$284,4,FALSE),0))</f>
        <v>87</v>
      </c>
      <c r="H41" s="74">
        <f t="shared" si="4"/>
        <v>2.4624964619303708E-2</v>
      </c>
      <c r="I41" s="78">
        <f>SUM($G$7:G41)</f>
        <v>1299</v>
      </c>
      <c r="J41" s="76">
        <f t="shared" si="5"/>
        <v>0.36767619586753469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80">
        <f t="shared" si="2"/>
        <v>48</v>
      </c>
      <c r="E42" s="80">
        <f t="shared" si="6"/>
        <v>4</v>
      </c>
      <c r="F42" s="72">
        <f t="shared" si="3"/>
        <v>61.82</v>
      </c>
      <c r="G42" s="73">
        <f>IF(D42=D41,"",_xlfn.IFNA(VLOOKUP(D42,'인원 입력 기능 (사과탐)'!$F$236:$I$284,4,FALSE),0))</f>
        <v>100</v>
      </c>
      <c r="H42" s="74">
        <f t="shared" si="4"/>
        <v>2.8304557033682422E-2</v>
      </c>
      <c r="I42" s="78">
        <f>SUM($G$7:G42)</f>
        <v>1399</v>
      </c>
      <c r="J42" s="76">
        <f t="shared" si="5"/>
        <v>0.39598075290121709</v>
      </c>
      <c r="K42" s="32"/>
      <c r="L42" s="3" t="str">
        <f t="shared" si="1"/>
        <v/>
      </c>
    </row>
    <row r="43" spans="1:12" ht="25" customHeight="1" x14ac:dyDescent="0.45">
      <c r="A43" s="4"/>
      <c r="B43" s="18"/>
      <c r="C43" s="79">
        <v>14</v>
      </c>
      <c r="D43" s="173">
        <f t="shared" si="2"/>
        <v>47</v>
      </c>
      <c r="E43" s="173">
        <f t="shared" si="6"/>
        <v>4</v>
      </c>
      <c r="F43" s="163">
        <f t="shared" si="3"/>
        <v>55.56</v>
      </c>
      <c r="G43" s="165">
        <f>IF(D43=D42,"",_xlfn.IFNA(VLOOKUP(D43,'인원 입력 기능 (사과탐)'!$F$236:$I$284,4,FALSE),0))</f>
        <v>342</v>
      </c>
      <c r="H43" s="166">
        <f t="shared" si="4"/>
        <v>9.6801585055193887E-2</v>
      </c>
      <c r="I43" s="168">
        <f>SUM($G$7:G43)</f>
        <v>1741</v>
      </c>
      <c r="J43" s="170">
        <f t="shared" si="5"/>
        <v>0.49278233795641097</v>
      </c>
      <c r="K43" s="32"/>
      <c r="L43" s="3" t="str">
        <f t="shared" si="1"/>
        <v>경고</v>
      </c>
    </row>
    <row r="44" spans="1:12" ht="25" customHeight="1" x14ac:dyDescent="0.45">
      <c r="A44" s="4"/>
      <c r="B44" s="18"/>
      <c r="C44" s="81">
        <v>13</v>
      </c>
      <c r="D44" s="172"/>
      <c r="E44" s="172"/>
      <c r="F44" s="162"/>
      <c r="G44" s="164"/>
      <c r="H44" s="167"/>
      <c r="I44" s="169"/>
      <c r="J44" s="171"/>
      <c r="K44" s="32"/>
      <c r="L44" s="3" t="str">
        <f t="shared" si="1"/>
        <v>경고</v>
      </c>
    </row>
    <row r="45" spans="1:12" ht="25" customHeight="1" x14ac:dyDescent="0.45">
      <c r="A45" s="4"/>
      <c r="B45" s="18"/>
      <c r="C45" s="79">
        <v>12</v>
      </c>
      <c r="D45" s="80">
        <f t="shared" si="2"/>
        <v>46</v>
      </c>
      <c r="E45" s="80">
        <f t="shared" si="6"/>
        <v>5</v>
      </c>
      <c r="F45" s="72">
        <f t="shared" si="3"/>
        <v>48.88</v>
      </c>
      <c r="G45" s="73">
        <f>IF(D45=D44,"",_xlfn.IFNA(VLOOKUP(D45,'인원 입력 기능 (사과탐)'!$F$236:$I$284,4,FALSE),0))</f>
        <v>130</v>
      </c>
      <c r="H45" s="74">
        <f t="shared" si="4"/>
        <v>3.679592414378715E-2</v>
      </c>
      <c r="I45" s="78">
        <f>SUM($G$7:G45)</f>
        <v>1871</v>
      </c>
      <c r="J45" s="76">
        <f t="shared" si="5"/>
        <v>0.52957826210019809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80">
        <f t="shared" si="2"/>
        <v>45</v>
      </c>
      <c r="E46" s="80">
        <f t="shared" si="6"/>
        <v>5</v>
      </c>
      <c r="F46" s="72">
        <f t="shared" si="3"/>
        <v>44.83</v>
      </c>
      <c r="G46" s="73">
        <f>IF(D46=D45,"",_xlfn.IFNA(VLOOKUP(D46,'인원 입력 기능 (사과탐)'!$F$236:$I$284,4,FALSE),0))</f>
        <v>156</v>
      </c>
      <c r="H46" s="74">
        <f t="shared" si="4"/>
        <v>4.4155108972544578E-2</v>
      </c>
      <c r="I46" s="78">
        <f>SUM($G$7:G46)</f>
        <v>2027</v>
      </c>
      <c r="J46" s="76">
        <f t="shared" si="5"/>
        <v>0.57373337107274269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80">
        <f t="shared" si="2"/>
        <v>44</v>
      </c>
      <c r="E47" s="80">
        <f t="shared" si="6"/>
        <v>5</v>
      </c>
      <c r="F47" s="72">
        <f t="shared" si="3"/>
        <v>37.96</v>
      </c>
      <c r="G47" s="73">
        <f>IF(D47=D46,"",_xlfn.IFNA(VLOOKUP(D47,'인원 입력 기능 (사과탐)'!$F$236:$I$284,4,FALSE),0))</f>
        <v>330</v>
      </c>
      <c r="H47" s="74">
        <f t="shared" si="4"/>
        <v>9.3405038211151994E-2</v>
      </c>
      <c r="I47" s="78">
        <f>SUM($G$7:G47)</f>
        <v>2357</v>
      </c>
      <c r="J47" s="76">
        <f t="shared" si="5"/>
        <v>0.66713840928389467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81">
        <v>9</v>
      </c>
      <c r="D48" s="80">
        <f t="shared" si="2"/>
        <v>43</v>
      </c>
      <c r="E48" s="80">
        <f t="shared" si="6"/>
        <v>6</v>
      </c>
      <c r="F48" s="72">
        <f t="shared" si="3"/>
        <v>25.5</v>
      </c>
      <c r="G48" s="73">
        <f>IF(D48=D47,"",_xlfn.IFNA(VLOOKUP(D48,'인원 입력 기능 (사과탐)'!$F$236:$I$284,4,FALSE),0))</f>
        <v>550</v>
      </c>
      <c r="H48" s="74">
        <f t="shared" si="4"/>
        <v>0.15567506368525333</v>
      </c>
      <c r="I48" s="78">
        <f>SUM($G$7:G48)</f>
        <v>2907</v>
      </c>
      <c r="J48" s="76">
        <f t="shared" si="5"/>
        <v>0.82281347296914809</v>
      </c>
      <c r="K48" s="32"/>
      <c r="L48" s="3" t="str">
        <f t="shared" si="1"/>
        <v/>
      </c>
    </row>
    <row r="49" spans="1:12" ht="25" customHeight="1" x14ac:dyDescent="0.45">
      <c r="A49" s="4"/>
      <c r="B49" s="18"/>
      <c r="C49" s="79">
        <v>8</v>
      </c>
      <c r="D49" s="173">
        <f t="shared" si="2"/>
        <v>42</v>
      </c>
      <c r="E49" s="173">
        <f t="shared" si="6"/>
        <v>7</v>
      </c>
      <c r="F49" s="163">
        <f t="shared" si="3"/>
        <v>13.37</v>
      </c>
      <c r="G49" s="165">
        <f>IF(D49=D48,"",_xlfn.IFNA(VLOOKUP(D49,'인원 입력 기능 (사과탐)'!$F$236:$I$284,4,FALSE),0))</f>
        <v>307</v>
      </c>
      <c r="H49" s="166">
        <f t="shared" si="4"/>
        <v>8.6894990093405039E-2</v>
      </c>
      <c r="I49" s="168">
        <f>SUM($G$7:G49)</f>
        <v>3214</v>
      </c>
      <c r="J49" s="170">
        <f t="shared" si="5"/>
        <v>0.90970846306255304</v>
      </c>
      <c r="K49" s="32"/>
      <c r="L49" s="3" t="str">
        <f t="shared" si="1"/>
        <v>경고</v>
      </c>
    </row>
    <row r="50" spans="1:12" ht="25" customHeight="1" x14ac:dyDescent="0.45">
      <c r="A50" s="4"/>
      <c r="B50" s="18"/>
      <c r="C50" s="81">
        <v>7</v>
      </c>
      <c r="D50" s="172"/>
      <c r="E50" s="172"/>
      <c r="F50" s="162"/>
      <c r="G50" s="164"/>
      <c r="H50" s="167"/>
      <c r="I50" s="169"/>
      <c r="J50" s="171"/>
      <c r="K50" s="32"/>
      <c r="L50" s="3" t="str">
        <f t="shared" si="1"/>
        <v>경고</v>
      </c>
    </row>
    <row r="51" spans="1:12" ht="25" customHeight="1" x14ac:dyDescent="0.45">
      <c r="A51" s="4"/>
      <c r="B51" s="18"/>
      <c r="C51" s="79">
        <v>6</v>
      </c>
      <c r="D51" s="80">
        <f t="shared" si="2"/>
        <v>41</v>
      </c>
      <c r="E51" s="80">
        <f t="shared" si="6"/>
        <v>8</v>
      </c>
      <c r="F51" s="72">
        <f t="shared" si="3"/>
        <v>7.87</v>
      </c>
      <c r="G51" s="73">
        <f>IF(D51=D50,"",_xlfn.IFNA(VLOOKUP(D51,'인원 입력 기능 (사과탐)'!$F$236:$I$284,4,FALSE),0))</f>
        <v>82</v>
      </c>
      <c r="H51" s="74">
        <f t="shared" si="4"/>
        <v>2.3209736767619588E-2</v>
      </c>
      <c r="I51" s="78">
        <f>SUM($G$7:G51)</f>
        <v>3296</v>
      </c>
      <c r="J51" s="76">
        <f t="shared" si="5"/>
        <v>0.93291819983017266</v>
      </c>
      <c r="K51" s="32"/>
      <c r="L51" s="3" t="str">
        <f t="shared" si="1"/>
        <v/>
      </c>
    </row>
    <row r="52" spans="1:12" ht="25" customHeight="1" x14ac:dyDescent="0.45">
      <c r="A52" s="4"/>
      <c r="B52" s="18"/>
      <c r="C52" s="81">
        <v>5</v>
      </c>
      <c r="D52" s="80">
        <f t="shared" si="2"/>
        <v>40</v>
      </c>
      <c r="E52" s="80">
        <f t="shared" si="6"/>
        <v>8</v>
      </c>
      <c r="F52" s="72">
        <f t="shared" si="3"/>
        <v>5.0199999999999996</v>
      </c>
      <c r="G52" s="73">
        <f>IF(D52=D51,"",_xlfn.IFNA(VLOOKUP(D52,'인원 입력 기능 (사과탐)'!$F$236:$I$284,4,FALSE),0))</f>
        <v>119</v>
      </c>
      <c r="H52" s="74">
        <f t="shared" si="4"/>
        <v>3.3682422870082086E-2</v>
      </c>
      <c r="I52" s="78">
        <f>SUM($G$7:G52)</f>
        <v>3415</v>
      </c>
      <c r="J52" s="76">
        <f t="shared" si="5"/>
        <v>0.96660062270025471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71">
        <f t="shared" si="2"/>
        <v>39</v>
      </c>
      <c r="E53" s="71">
        <f t="shared" si="6"/>
        <v>9</v>
      </c>
      <c r="F53" s="72">
        <f t="shared" si="3"/>
        <v>2.58</v>
      </c>
      <c r="G53" s="73">
        <f>IF(D53=D52,"",_xlfn.IFNA(VLOOKUP(D53,'인원 입력 기능 (사과탐)'!$F$236:$I$284,4,FALSE),0))</f>
        <v>54</v>
      </c>
      <c r="H53" s="74">
        <f t="shared" si="4"/>
        <v>1.5284460798188508E-2</v>
      </c>
      <c r="I53" s="78">
        <f>SUM($G$7:G53)</f>
        <v>3469</v>
      </c>
      <c r="J53" s="76">
        <f t="shared" si="5"/>
        <v>0.98188508349844328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71">
        <f t="shared" si="2"/>
        <v>38</v>
      </c>
      <c r="E54" s="71">
        <f t="shared" si="6"/>
        <v>9</v>
      </c>
      <c r="F54" s="72">
        <f t="shared" si="3"/>
        <v>1.34</v>
      </c>
      <c r="G54" s="73">
        <f>IF(D54=D53,"",_xlfn.IFNA(VLOOKUP(D54,'인원 입력 기능 (사과탐)'!$F$236:$I$284,4,FALSE),0))</f>
        <v>33</v>
      </c>
      <c r="H54" s="74">
        <f t="shared" si="4"/>
        <v>9.3405038211152001E-3</v>
      </c>
      <c r="I54" s="78">
        <f>SUM($G$7:G54)</f>
        <v>3502</v>
      </c>
      <c r="J54" s="76">
        <f t="shared" si="5"/>
        <v>0.99122558731955845</v>
      </c>
      <c r="K54" s="32"/>
      <c r="L54" s="3" t="str">
        <f t="shared" si="1"/>
        <v/>
      </c>
    </row>
    <row r="55" spans="1:12" ht="25" customHeight="1" x14ac:dyDescent="0.45">
      <c r="A55" s="4"/>
      <c r="B55" s="18"/>
      <c r="C55" s="70">
        <v>2</v>
      </c>
      <c r="D55" s="71">
        <v>37</v>
      </c>
      <c r="E55" s="71">
        <f t="shared" si="6"/>
        <v>9</v>
      </c>
      <c r="F55" s="72">
        <f t="shared" si="3"/>
        <v>0.55000000000000004</v>
      </c>
      <c r="G55" s="73">
        <f>IF(D55=D54,"",_xlfn.IFNA(VLOOKUP(D55,'인원 입력 기능 (사과탐)'!$F$236:$I$284,4,FALSE),0))</f>
        <v>23</v>
      </c>
      <c r="H55" s="74">
        <f t="shared" si="4"/>
        <v>6.5100481177469572E-3</v>
      </c>
      <c r="I55" s="78">
        <f>SUM($G$7:G55)</f>
        <v>3525</v>
      </c>
      <c r="J55" s="76">
        <f t="shared" si="5"/>
        <v>0.99773563543730537</v>
      </c>
      <c r="K55" s="32"/>
      <c r="L55" s="3" t="str">
        <f t="shared" si="1"/>
        <v>경고</v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36</v>
      </c>
      <c r="E57" s="84">
        <f t="shared" si="6"/>
        <v>9</v>
      </c>
      <c r="F57" s="85">
        <f>IF(I55=0,ROUND(100*(1-(I54+I57)/2/$J$3),2),ROUND(100*(1-(I55+I57)/2/$J$3),2))</f>
        <v>0.11</v>
      </c>
      <c r="G57" s="86">
        <f>_xlfn.IFNA(VLOOKUP(D57,'인원 입력 기능 (사과탐)'!$F$236:$I$284,4,FALSE),0)</f>
        <v>8</v>
      </c>
      <c r="H57" s="87">
        <f>G57/$J$3</f>
        <v>2.2643645626945937E-3</v>
      </c>
      <c r="I57" s="88">
        <f>SUM($G$7:G57)</f>
        <v>3533</v>
      </c>
      <c r="J57" s="89">
        <f>I57/$J$3</f>
        <v>1</v>
      </c>
      <c r="K57" s="32"/>
      <c r="L57" s="3" t="str">
        <f t="shared" ref="L57" si="7">IF(ABS((C57-$H$3)/$H$4*10+50-D57-0.5)&lt;0.1, "경고", "")</f>
        <v/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54">
    <mergeCell ref="I43:I44"/>
    <mergeCell ref="J43:J44"/>
    <mergeCell ref="D49:D50"/>
    <mergeCell ref="E49:E50"/>
    <mergeCell ref="F49:F50"/>
    <mergeCell ref="G49:G50"/>
    <mergeCell ref="H49:H50"/>
    <mergeCell ref="I49:I50"/>
    <mergeCell ref="J49:J50"/>
    <mergeCell ref="D43:D44"/>
    <mergeCell ref="E43:E44"/>
    <mergeCell ref="F43:F44"/>
    <mergeCell ref="G43:G44"/>
    <mergeCell ref="H43:H44"/>
    <mergeCell ref="I31:I32"/>
    <mergeCell ref="J31:J32"/>
    <mergeCell ref="D37:D38"/>
    <mergeCell ref="E37:E38"/>
    <mergeCell ref="F37:F38"/>
    <mergeCell ref="G37:G38"/>
    <mergeCell ref="H37:H38"/>
    <mergeCell ref="I37:I38"/>
    <mergeCell ref="J37:J38"/>
    <mergeCell ref="D31:D32"/>
    <mergeCell ref="E31:E32"/>
    <mergeCell ref="F31:F32"/>
    <mergeCell ref="G31:G32"/>
    <mergeCell ref="H31:H32"/>
    <mergeCell ref="H19:H20"/>
    <mergeCell ref="I19:I20"/>
    <mergeCell ref="J19:J20"/>
    <mergeCell ref="D25:D26"/>
    <mergeCell ref="E25:E26"/>
    <mergeCell ref="F25:F26"/>
    <mergeCell ref="G25:G26"/>
    <mergeCell ref="H25:H26"/>
    <mergeCell ref="I25:I26"/>
    <mergeCell ref="J25:J26"/>
    <mergeCell ref="D3:F3"/>
    <mergeCell ref="D4:F4"/>
    <mergeCell ref="D8:J8"/>
    <mergeCell ref="D56:J56"/>
    <mergeCell ref="G5:J5"/>
    <mergeCell ref="D13:D14"/>
    <mergeCell ref="E13:E14"/>
    <mergeCell ref="F13:F14"/>
    <mergeCell ref="G13:G14"/>
    <mergeCell ref="H13:H14"/>
    <mergeCell ref="I13:I14"/>
    <mergeCell ref="J13:J14"/>
    <mergeCell ref="D19:D20"/>
    <mergeCell ref="E19:E20"/>
    <mergeCell ref="F19:F20"/>
    <mergeCell ref="G19:G20"/>
  </mergeCells>
  <phoneticPr fontId="1" type="noConversion"/>
  <conditionalFormatting sqref="D7:J13 D15:J19 D21:J25 D27:J31 D33:J37 D39:J43 D45:J49 D51:J57">
    <cfRule type="expression" dxfId="26" priority="3">
      <formula>OR($D7=$Q$7:$Q$14)</formula>
    </cfRule>
  </conditionalFormatting>
  <conditionalFormatting sqref="C7:C57">
    <cfRule type="expression" dxfId="25" priority="2">
      <formula>OR(AND($D7=0,OR($D6=$Q$7:$Q$14)),AND($D8&gt;0,OR($D7=$Q$7:$Q$14)))</formula>
    </cfRule>
  </conditionalFormatting>
  <conditionalFormatting sqref="D7:D13 D15:D19 D21:D25 D27:D31 D33:D37 D39:D43 D45:D49 D51:D57">
    <cfRule type="expression" dxfId="24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D0495-449F-4BC5-BA70-35C2DCD72EF8}">
  <sheetPr codeName="Sheet22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기능'!D21</f>
        <v>16.23</v>
      </c>
      <c r="I3" s="14" t="s">
        <v>110</v>
      </c>
      <c r="J3" s="36">
        <f>'통계 및 응시자 수 입력 기능'!C21</f>
        <v>5050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121</v>
      </c>
      <c r="E4" s="114"/>
      <c r="F4" s="115"/>
      <c r="G4" s="38" t="s">
        <v>113</v>
      </c>
      <c r="H4" s="39" t="str">
        <f>'통계 및 응시자 수 입력 기능'!E21</f>
        <v>11.25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80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99.57</v>
      </c>
      <c r="G7" s="73">
        <f>_xlfn.IFNA(VLOOKUP(D7,'인원 입력 기능 (사과탐)'!$K$236:$N$284,4,FALSE),0)</f>
        <v>43</v>
      </c>
      <c r="H7" s="74">
        <f>G7/$J$3</f>
        <v>8.5148514851485155E-3</v>
      </c>
      <c r="I7" s="75">
        <f>G7</f>
        <v>43</v>
      </c>
      <c r="J7" s="76">
        <f>I7/$J$3</f>
        <v>8.5148514851485155E-3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입력기능'!C157</f>
        <v>74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입력기능'!C158</f>
        <v>66</v>
      </c>
    </row>
    <row r="9" spans="1:17" ht="25" customHeight="1" x14ac:dyDescent="0.45">
      <c r="A9" s="4"/>
      <c r="B9" s="18"/>
      <c r="C9" s="70">
        <v>48</v>
      </c>
      <c r="D9" s="71">
        <f>ROUND(10*(C9-$H$3)/$H$4+50,0)</f>
        <v>78</v>
      </c>
      <c r="E9" s="71">
        <f t="shared" si="0"/>
        <v>1</v>
      </c>
      <c r="F9" s="72">
        <f>IF(I8=0,ROUND(100*(1-(I7+I9)/2/$J$3),2),ROUND(100*(1-(I8+I9)/2/$J$3),2))</f>
        <v>99.05</v>
      </c>
      <c r="G9" s="73">
        <f>_xlfn.IFNA(VLOOKUP(D9,'인원 입력 기능 (사과탐)'!$K$236:$N$284,4,FALSE),0)</f>
        <v>10</v>
      </c>
      <c r="H9" s="74">
        <f>G9/$J$3</f>
        <v>1.9801980198019802E-3</v>
      </c>
      <c r="I9" s="78">
        <f>SUM($G$7:G9)</f>
        <v>53</v>
      </c>
      <c r="J9" s="76">
        <f>I9/$J$3</f>
        <v>1.0495049504950496E-2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입력기능'!C159</f>
        <v>55</v>
      </c>
    </row>
    <row r="10" spans="1:17" ht="25" customHeight="1" x14ac:dyDescent="0.45">
      <c r="A10" s="4"/>
      <c r="B10" s="18"/>
      <c r="C10" s="77">
        <v>47</v>
      </c>
      <c r="D10" s="71">
        <f t="shared" ref="D10:D55" si="2">ROUND(10*(C10-$H$3)/$H$4+50,0)</f>
        <v>77</v>
      </c>
      <c r="E10" s="71">
        <f t="shared" si="0"/>
        <v>1</v>
      </c>
      <c r="F10" s="72">
        <f t="shared" ref="F10:F55" si="3">IF(I9=0,ROUND(100*(1-(I8+I10)/2/$J$3),2),ROUND(100*(1-(I9+I10)/2/$J$3),2))</f>
        <v>98.32</v>
      </c>
      <c r="G10" s="73">
        <f>IF(D10=D9,"",_xlfn.IFNA(VLOOKUP(D10,'인원 입력 기능 (사과탐)'!$K$236:$N$284,4,FALSE),0))</f>
        <v>64</v>
      </c>
      <c r="H10" s="74">
        <f t="shared" ref="H10:H55" si="4">G10/$J$3</f>
        <v>1.2673267326732674E-2</v>
      </c>
      <c r="I10" s="78">
        <f>SUM($G$7:G10)</f>
        <v>117</v>
      </c>
      <c r="J10" s="76">
        <f t="shared" ref="J10:J55" si="5">I10/$J$3</f>
        <v>2.3168316831683168E-2</v>
      </c>
      <c r="K10" s="32"/>
      <c r="L10" s="3" t="str">
        <f t="shared" si="1"/>
        <v/>
      </c>
      <c r="P10" s="1">
        <v>4</v>
      </c>
      <c r="Q10" s="1">
        <f>'표준점수 등급컷 입력기능'!C160</f>
        <v>49</v>
      </c>
    </row>
    <row r="11" spans="1:17" ht="25" customHeight="1" x14ac:dyDescent="0.45">
      <c r="A11" s="4"/>
      <c r="B11" s="18"/>
      <c r="C11" s="70">
        <v>46</v>
      </c>
      <c r="D11" s="161">
        <f t="shared" si="2"/>
        <v>76</v>
      </c>
      <c r="E11" s="161">
        <f t="shared" si="0"/>
        <v>1</v>
      </c>
      <c r="F11" s="163">
        <f t="shared" si="3"/>
        <v>97.46</v>
      </c>
      <c r="G11" s="165">
        <f>IF(D11=D10,"",_xlfn.IFNA(VLOOKUP(D11,'인원 입력 기능 (사과탐)'!$K$236:$N$284,4,FALSE),0))</f>
        <v>23</v>
      </c>
      <c r="H11" s="166">
        <f t="shared" si="4"/>
        <v>4.5544554455445542E-3</v>
      </c>
      <c r="I11" s="168">
        <f>SUM($G$7:G11)</f>
        <v>140</v>
      </c>
      <c r="J11" s="170">
        <f t="shared" si="5"/>
        <v>2.7722772277227723E-2</v>
      </c>
      <c r="K11" s="32"/>
      <c r="L11" s="3" t="str">
        <f t="shared" si="1"/>
        <v/>
      </c>
      <c r="P11" s="1">
        <v>5</v>
      </c>
      <c r="Q11" s="1">
        <f>'표준점수 등급컷 입력기능'!C161</f>
        <v>44</v>
      </c>
    </row>
    <row r="12" spans="1:17" ht="25" customHeight="1" x14ac:dyDescent="0.45">
      <c r="A12" s="4"/>
      <c r="B12" s="18"/>
      <c r="C12" s="77">
        <v>45</v>
      </c>
      <c r="D12" s="160"/>
      <c r="E12" s="160"/>
      <c r="F12" s="162"/>
      <c r="G12" s="164"/>
      <c r="H12" s="167"/>
      <c r="I12" s="169"/>
      <c r="J12" s="171"/>
      <c r="K12" s="32"/>
      <c r="L12" s="3" t="str">
        <f t="shared" si="1"/>
        <v>경고</v>
      </c>
      <c r="P12" s="1">
        <v>6</v>
      </c>
      <c r="Q12" s="1">
        <f>'표준점수 등급컷 입력기능'!C162</f>
        <v>43</v>
      </c>
    </row>
    <row r="13" spans="1:17" ht="25" customHeight="1" x14ac:dyDescent="0.45">
      <c r="A13" s="4"/>
      <c r="B13" s="18"/>
      <c r="C13" s="70">
        <v>44</v>
      </c>
      <c r="D13" s="71">
        <f t="shared" si="2"/>
        <v>75</v>
      </c>
      <c r="E13" s="71">
        <f t="shared" si="0"/>
        <v>1</v>
      </c>
      <c r="F13" s="72">
        <f t="shared" si="3"/>
        <v>96.71</v>
      </c>
      <c r="G13" s="73">
        <f>IF(D13=D12,"",_xlfn.IFNA(VLOOKUP(D13,'인원 입력 기능 (사과탐)'!$K$236:$N$284,4,FALSE),0))</f>
        <v>52</v>
      </c>
      <c r="H13" s="74">
        <f t="shared" si="4"/>
        <v>1.0297029702970298E-2</v>
      </c>
      <c r="I13" s="78">
        <f>SUM($G$7:G13)</f>
        <v>192</v>
      </c>
      <c r="J13" s="76">
        <f t="shared" si="5"/>
        <v>3.8019801980198019E-2</v>
      </c>
      <c r="K13" s="32"/>
      <c r="L13" s="3" t="str">
        <f t="shared" si="1"/>
        <v/>
      </c>
      <c r="P13" s="1">
        <v>7</v>
      </c>
      <c r="Q13" s="1">
        <f>'표준점수 등급컷 입력기능'!C163</f>
        <v>42</v>
      </c>
    </row>
    <row r="14" spans="1:17" ht="25" customHeight="1" x14ac:dyDescent="0.45">
      <c r="A14" s="4"/>
      <c r="B14" s="18"/>
      <c r="C14" s="77">
        <v>43</v>
      </c>
      <c r="D14" s="71">
        <f t="shared" si="2"/>
        <v>74</v>
      </c>
      <c r="E14" s="71">
        <f t="shared" si="0"/>
        <v>1</v>
      </c>
      <c r="F14" s="72">
        <f t="shared" si="3"/>
        <v>96.1</v>
      </c>
      <c r="G14" s="73">
        <f>IF(D14=D13,"",_xlfn.IFNA(VLOOKUP(D14,'인원 입력 기능 (사과탐)'!$K$236:$N$284,4,FALSE),0))</f>
        <v>10</v>
      </c>
      <c r="H14" s="74">
        <f t="shared" si="4"/>
        <v>1.9801980198019802E-3</v>
      </c>
      <c r="I14" s="78">
        <f>SUM($G$7:G14)</f>
        <v>202</v>
      </c>
      <c r="J14" s="76">
        <f t="shared" si="5"/>
        <v>0.04</v>
      </c>
      <c r="K14" s="32"/>
      <c r="L14" s="3" t="str">
        <f t="shared" si="1"/>
        <v/>
      </c>
      <c r="P14" s="1">
        <v>8</v>
      </c>
      <c r="Q14" s="1">
        <f>'표준점수 등급컷 입력기능'!C164</f>
        <v>39</v>
      </c>
    </row>
    <row r="15" spans="1:17" ht="25" customHeight="1" x14ac:dyDescent="0.45">
      <c r="A15" s="4"/>
      <c r="B15" s="18"/>
      <c r="C15" s="70">
        <v>42</v>
      </c>
      <c r="D15" s="71">
        <f t="shared" si="2"/>
        <v>73</v>
      </c>
      <c r="E15" s="71">
        <f t="shared" si="0"/>
        <v>2</v>
      </c>
      <c r="F15" s="72">
        <f t="shared" si="3"/>
        <v>95.52</v>
      </c>
      <c r="G15" s="73">
        <f>IF(D15=D14,"",_xlfn.IFNA(VLOOKUP(D15,'인원 입력 기능 (사과탐)'!$K$236:$N$284,4,FALSE),0))</f>
        <v>48</v>
      </c>
      <c r="H15" s="74">
        <f t="shared" si="4"/>
        <v>9.5049504950495047E-3</v>
      </c>
      <c r="I15" s="78">
        <f>SUM($G$7:G15)</f>
        <v>250</v>
      </c>
      <c r="J15" s="76">
        <f t="shared" si="5"/>
        <v>4.9504950495049507E-2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71">
        <f t="shared" si="2"/>
        <v>72</v>
      </c>
      <c r="E16" s="71">
        <f t="shared" si="0"/>
        <v>2</v>
      </c>
      <c r="F16" s="72">
        <f t="shared" si="3"/>
        <v>94.53</v>
      </c>
      <c r="G16" s="73">
        <f>IF(D16=D15,"",_xlfn.IFNA(VLOOKUP(D16,'인원 입력 기능 (사과탐)'!$K$236:$N$284,4,FALSE),0))</f>
        <v>52</v>
      </c>
      <c r="H16" s="74">
        <f t="shared" si="4"/>
        <v>1.0297029702970298E-2</v>
      </c>
      <c r="I16" s="78">
        <f>SUM($G$7:G16)</f>
        <v>302</v>
      </c>
      <c r="J16" s="76">
        <f t="shared" si="5"/>
        <v>5.98019801980198E-2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71">
        <f t="shared" si="2"/>
        <v>71</v>
      </c>
      <c r="E17" s="71">
        <f t="shared" si="0"/>
        <v>2</v>
      </c>
      <c r="F17" s="72">
        <f t="shared" si="3"/>
        <v>93.74</v>
      </c>
      <c r="G17" s="73">
        <f>IF(D17=D16,"",_xlfn.IFNA(VLOOKUP(D17,'인원 입력 기능 (사과탐)'!$K$236:$N$284,4,FALSE),0))</f>
        <v>28</v>
      </c>
      <c r="H17" s="74">
        <f t="shared" si="4"/>
        <v>5.5445544554455443E-3</v>
      </c>
      <c r="I17" s="78">
        <f>SUM($G$7:G17)</f>
        <v>330</v>
      </c>
      <c r="J17" s="76">
        <f t="shared" si="5"/>
        <v>6.5346534653465349E-2</v>
      </c>
      <c r="K17" s="32"/>
      <c r="L17" s="3" t="str">
        <f t="shared" si="1"/>
        <v/>
      </c>
      <c r="P17" s="1">
        <f>Q7*H3*H4*J3*IFERROR(IF(J57=1,1,0),0)</f>
        <v>68232948.75</v>
      </c>
    </row>
    <row r="18" spans="1:16" ht="25" customHeight="1" x14ac:dyDescent="0.45">
      <c r="A18" s="4"/>
      <c r="B18" s="18"/>
      <c r="C18" s="77">
        <v>39</v>
      </c>
      <c r="D18" s="71">
        <f t="shared" si="2"/>
        <v>70</v>
      </c>
      <c r="E18" s="71">
        <f t="shared" si="0"/>
        <v>2</v>
      </c>
      <c r="F18" s="72">
        <f t="shared" si="3"/>
        <v>93</v>
      </c>
      <c r="G18" s="73">
        <f>IF(D18=D17,"",_xlfn.IFNA(VLOOKUP(D18,'인원 입력 기능 (사과탐)'!$K$236:$N$284,4,FALSE),0))</f>
        <v>47</v>
      </c>
      <c r="H18" s="74">
        <f t="shared" si="4"/>
        <v>9.3069306930693065E-3</v>
      </c>
      <c r="I18" s="78">
        <f>SUM($G$7:G18)</f>
        <v>377</v>
      </c>
      <c r="J18" s="76">
        <f t="shared" si="5"/>
        <v>7.465346534653465E-2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71">
        <f t="shared" si="2"/>
        <v>69</v>
      </c>
      <c r="E19" s="71">
        <f t="shared" si="0"/>
        <v>2</v>
      </c>
      <c r="F19" s="72">
        <f t="shared" si="3"/>
        <v>92.18</v>
      </c>
      <c r="G19" s="73">
        <f>IF(D19=D18,"",_xlfn.IFNA(VLOOKUP(D19,'인원 입력 기능 (사과탐)'!$K$236:$N$284,4,FALSE),0))</f>
        <v>36</v>
      </c>
      <c r="H19" s="74">
        <f t="shared" si="4"/>
        <v>7.128712871287129E-3</v>
      </c>
      <c r="I19" s="78">
        <f>SUM($G$7:G19)</f>
        <v>413</v>
      </c>
      <c r="J19" s="76">
        <f t="shared" si="5"/>
        <v>8.1782178217821785E-2</v>
      </c>
      <c r="K19" s="32"/>
      <c r="L19" s="3" t="str">
        <f t="shared" si="1"/>
        <v/>
      </c>
    </row>
    <row r="20" spans="1:16" ht="25" customHeight="1" x14ac:dyDescent="0.45">
      <c r="A20" s="4"/>
      <c r="B20" s="18"/>
      <c r="C20" s="77">
        <v>37</v>
      </c>
      <c r="D20" s="161">
        <f t="shared" si="2"/>
        <v>68</v>
      </c>
      <c r="E20" s="161">
        <f t="shared" si="0"/>
        <v>2</v>
      </c>
      <c r="F20" s="163">
        <f t="shared" si="3"/>
        <v>90.87</v>
      </c>
      <c r="G20" s="165">
        <f>IF(D20=D19,"",_xlfn.IFNA(VLOOKUP(D20,'인원 입력 기능 (사과탐)'!$K$236:$N$284,4,FALSE),0))</f>
        <v>96</v>
      </c>
      <c r="H20" s="166">
        <f t="shared" si="4"/>
        <v>1.9009900990099009E-2</v>
      </c>
      <c r="I20" s="168">
        <f>SUM($G$7:G20)</f>
        <v>509</v>
      </c>
      <c r="J20" s="170">
        <f t="shared" si="5"/>
        <v>0.1007920792079208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160"/>
      <c r="E21" s="160"/>
      <c r="F21" s="162"/>
      <c r="G21" s="164"/>
      <c r="H21" s="167"/>
      <c r="I21" s="169"/>
      <c r="J21" s="171"/>
      <c r="K21" s="32"/>
      <c r="L21" s="3" t="str">
        <f t="shared" si="1"/>
        <v>경고</v>
      </c>
    </row>
    <row r="22" spans="1:16" ht="25" customHeight="1" x14ac:dyDescent="0.45">
      <c r="A22" s="4"/>
      <c r="B22" s="18"/>
      <c r="C22" s="81">
        <v>35</v>
      </c>
      <c r="D22" s="80">
        <f t="shared" si="2"/>
        <v>67</v>
      </c>
      <c r="E22" s="80">
        <f t="shared" si="0"/>
        <v>2</v>
      </c>
      <c r="F22" s="72">
        <f t="shared" si="3"/>
        <v>89.62</v>
      </c>
      <c r="G22" s="73">
        <f>IF(D22=D21,"",_xlfn.IFNA(VLOOKUP(D22,'인원 입력 기능 (사과탐)'!$K$236:$N$284,4,FALSE),0))</f>
        <v>30</v>
      </c>
      <c r="H22" s="74">
        <f t="shared" si="4"/>
        <v>5.9405940594059407E-3</v>
      </c>
      <c r="I22" s="78">
        <f>SUM($G$7:G22)</f>
        <v>539</v>
      </c>
      <c r="J22" s="76">
        <f t="shared" si="5"/>
        <v>0.10673267326732673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80">
        <f t="shared" si="2"/>
        <v>66</v>
      </c>
      <c r="E23" s="80">
        <f t="shared" si="0"/>
        <v>2</v>
      </c>
      <c r="F23" s="72">
        <f t="shared" si="3"/>
        <v>88.92</v>
      </c>
      <c r="G23" s="73">
        <f>IF(D23=D22,"",_xlfn.IFNA(VLOOKUP(D23,'인원 입력 기능 (사과탐)'!$K$236:$N$284,4,FALSE),0))</f>
        <v>41</v>
      </c>
      <c r="H23" s="74">
        <f t="shared" si="4"/>
        <v>8.1188118811881191E-3</v>
      </c>
      <c r="I23" s="78">
        <f>SUM($G$7:G23)</f>
        <v>580</v>
      </c>
      <c r="J23" s="76">
        <f t="shared" si="5"/>
        <v>0.11485148514851486</v>
      </c>
      <c r="K23" s="32"/>
      <c r="L23" s="3" t="str">
        <f t="shared" si="1"/>
        <v/>
      </c>
    </row>
    <row r="24" spans="1:16" ht="25" customHeight="1" x14ac:dyDescent="0.45">
      <c r="A24" s="4"/>
      <c r="B24" s="18"/>
      <c r="C24" s="81">
        <v>33</v>
      </c>
      <c r="D24" s="80">
        <f t="shared" si="2"/>
        <v>65</v>
      </c>
      <c r="E24" s="80">
        <f t="shared" si="0"/>
        <v>3</v>
      </c>
      <c r="F24" s="72">
        <f t="shared" si="3"/>
        <v>88.18</v>
      </c>
      <c r="G24" s="73">
        <f>IF(D24=D23,"",_xlfn.IFNA(VLOOKUP(D24,'인원 입력 기능 (사과탐)'!$K$236:$N$284,4,FALSE),0))</f>
        <v>34</v>
      </c>
      <c r="H24" s="74">
        <f t="shared" si="4"/>
        <v>6.7326732673267326E-3</v>
      </c>
      <c r="I24" s="78">
        <f>SUM($G$7:G24)</f>
        <v>614</v>
      </c>
      <c r="J24" s="76">
        <f t="shared" si="5"/>
        <v>0.12158415841584158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80">
        <f t="shared" si="2"/>
        <v>64</v>
      </c>
      <c r="E25" s="80">
        <f t="shared" si="0"/>
        <v>3</v>
      </c>
      <c r="F25" s="72">
        <f t="shared" si="3"/>
        <v>87.43</v>
      </c>
      <c r="G25" s="73">
        <f>IF(D25=D24,"",_xlfn.IFNA(VLOOKUP(D25,'인원 입력 기능 (사과탐)'!$K$236:$N$284,4,FALSE),0))</f>
        <v>42</v>
      </c>
      <c r="H25" s="74">
        <f t="shared" si="4"/>
        <v>8.3168316831683173E-3</v>
      </c>
      <c r="I25" s="78">
        <f>SUM($G$7:G25)</f>
        <v>656</v>
      </c>
      <c r="J25" s="76">
        <f t="shared" si="5"/>
        <v>0.12990099009900991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80">
        <f t="shared" si="2"/>
        <v>63</v>
      </c>
      <c r="E26" s="80">
        <f t="shared" si="0"/>
        <v>3</v>
      </c>
      <c r="F26" s="72">
        <f t="shared" si="3"/>
        <v>86.47</v>
      </c>
      <c r="G26" s="73">
        <f>IF(D26=D25,"",_xlfn.IFNA(VLOOKUP(D26,'인원 입력 기능 (사과탐)'!$K$236:$N$284,4,FALSE),0))</f>
        <v>55</v>
      </c>
      <c r="H26" s="74">
        <f t="shared" si="4"/>
        <v>1.089108910891089E-2</v>
      </c>
      <c r="I26" s="78">
        <f>SUM($G$7:G26)</f>
        <v>711</v>
      </c>
      <c r="J26" s="76">
        <f t="shared" si="5"/>
        <v>0.14079207920792078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80">
        <f t="shared" si="2"/>
        <v>62</v>
      </c>
      <c r="E27" s="80">
        <f t="shared" si="0"/>
        <v>3</v>
      </c>
      <c r="F27" s="72">
        <f t="shared" si="3"/>
        <v>85.55</v>
      </c>
      <c r="G27" s="73">
        <f>IF(D27=D26,"",_xlfn.IFNA(VLOOKUP(D27,'인원 입력 기능 (사과탐)'!$K$236:$N$284,4,FALSE),0))</f>
        <v>37</v>
      </c>
      <c r="H27" s="74">
        <f t="shared" si="4"/>
        <v>7.3267326732673263E-3</v>
      </c>
      <c r="I27" s="78">
        <f>SUM($G$7:G27)</f>
        <v>748</v>
      </c>
      <c r="J27" s="76">
        <f t="shared" si="5"/>
        <v>0.14811881188118811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80">
        <f t="shared" si="2"/>
        <v>61</v>
      </c>
      <c r="E28" s="80">
        <f t="shared" si="0"/>
        <v>3</v>
      </c>
      <c r="F28" s="72">
        <f t="shared" si="3"/>
        <v>84.76</v>
      </c>
      <c r="G28" s="73">
        <f>IF(D28=D27,"",_xlfn.IFNA(VLOOKUP(D28,'인원 입력 기능 (사과탐)'!$K$236:$N$284,4,FALSE),0))</f>
        <v>43</v>
      </c>
      <c r="H28" s="74">
        <f t="shared" si="4"/>
        <v>8.5148514851485155E-3</v>
      </c>
      <c r="I28" s="78">
        <f>SUM($G$7:G28)</f>
        <v>791</v>
      </c>
      <c r="J28" s="76">
        <f t="shared" si="5"/>
        <v>0.15663366336633663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173">
        <f t="shared" si="2"/>
        <v>60</v>
      </c>
      <c r="E29" s="173">
        <f t="shared" si="0"/>
        <v>3</v>
      </c>
      <c r="F29" s="163">
        <f t="shared" si="3"/>
        <v>83.25</v>
      </c>
      <c r="G29" s="165">
        <f>IF(D29=D28,"",_xlfn.IFNA(VLOOKUP(D29,'인원 입력 기능 (사과탐)'!$K$236:$N$284,4,FALSE),0))</f>
        <v>110</v>
      </c>
      <c r="H29" s="166">
        <f t="shared" si="4"/>
        <v>2.1782178217821781E-2</v>
      </c>
      <c r="I29" s="168">
        <f>SUM($G$7:G29)</f>
        <v>901</v>
      </c>
      <c r="J29" s="170">
        <f t="shared" si="5"/>
        <v>0.17841584158415841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172"/>
      <c r="E30" s="172"/>
      <c r="F30" s="162"/>
      <c r="G30" s="164"/>
      <c r="H30" s="167"/>
      <c r="I30" s="169"/>
      <c r="J30" s="171"/>
      <c r="K30" s="32"/>
      <c r="L30" s="3" t="str">
        <f t="shared" si="1"/>
        <v>경고</v>
      </c>
    </row>
    <row r="31" spans="1:16" ht="25" customHeight="1" x14ac:dyDescent="0.45">
      <c r="A31" s="4"/>
      <c r="B31" s="18"/>
      <c r="C31" s="79">
        <v>26</v>
      </c>
      <c r="D31" s="80">
        <f t="shared" si="2"/>
        <v>59</v>
      </c>
      <c r="E31" s="80">
        <f t="shared" si="0"/>
        <v>3</v>
      </c>
      <c r="F31" s="72">
        <f t="shared" si="3"/>
        <v>81.59</v>
      </c>
      <c r="G31" s="73">
        <f>IF(D31=D30,"",_xlfn.IFNA(VLOOKUP(D31,'인원 입력 기능 (사과탐)'!$K$236:$N$284,4,FALSE),0))</f>
        <v>57</v>
      </c>
      <c r="H31" s="74">
        <f t="shared" si="4"/>
        <v>1.1287128712871287E-2</v>
      </c>
      <c r="I31" s="78">
        <f>SUM($G$7:G31)</f>
        <v>958</v>
      </c>
      <c r="J31" s="76">
        <f t="shared" si="5"/>
        <v>0.1897029702970297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80">
        <f t="shared" si="2"/>
        <v>58</v>
      </c>
      <c r="E32" s="80">
        <f t="shared" si="0"/>
        <v>3</v>
      </c>
      <c r="F32" s="72">
        <f t="shared" si="3"/>
        <v>80.489999999999995</v>
      </c>
      <c r="G32" s="73">
        <f>IF(D32=D31,"",_xlfn.IFNA(VLOOKUP(D32,'인원 입력 기능 (사과탐)'!$K$236:$N$284,4,FALSE),0))</f>
        <v>55</v>
      </c>
      <c r="H32" s="74">
        <f t="shared" si="4"/>
        <v>1.089108910891089E-2</v>
      </c>
      <c r="I32" s="78">
        <f>SUM($G$7:G32)</f>
        <v>1013</v>
      </c>
      <c r="J32" s="76">
        <f t="shared" si="5"/>
        <v>0.20059405940594061</v>
      </c>
      <c r="K32" s="32"/>
      <c r="L32" s="3" t="str">
        <f t="shared" si="1"/>
        <v/>
      </c>
    </row>
    <row r="33" spans="1:12" ht="25" customHeight="1" x14ac:dyDescent="0.45">
      <c r="A33" s="4"/>
      <c r="B33" s="18"/>
      <c r="C33" s="79">
        <v>24</v>
      </c>
      <c r="D33" s="80">
        <f t="shared" si="2"/>
        <v>57</v>
      </c>
      <c r="E33" s="80">
        <f t="shared" si="0"/>
        <v>3</v>
      </c>
      <c r="F33" s="72">
        <f t="shared" si="3"/>
        <v>79.290000000000006</v>
      </c>
      <c r="G33" s="73">
        <f>IF(D33=D32,"",_xlfn.IFNA(VLOOKUP(D33,'인원 입력 기능 (사과탐)'!$K$236:$N$284,4,FALSE),0))</f>
        <v>66</v>
      </c>
      <c r="H33" s="74">
        <f t="shared" si="4"/>
        <v>1.3069306930693069E-2</v>
      </c>
      <c r="I33" s="78">
        <f>SUM($G$7:G33)</f>
        <v>1079</v>
      </c>
      <c r="J33" s="76">
        <f t="shared" si="5"/>
        <v>0.21366336633663366</v>
      </c>
      <c r="K33" s="32"/>
      <c r="L33" s="3" t="str">
        <f t="shared" si="1"/>
        <v/>
      </c>
    </row>
    <row r="34" spans="1:12" ht="25" customHeight="1" x14ac:dyDescent="0.45">
      <c r="A34" s="4"/>
      <c r="B34" s="18"/>
      <c r="C34" s="81">
        <v>23</v>
      </c>
      <c r="D34" s="80">
        <f t="shared" si="2"/>
        <v>56</v>
      </c>
      <c r="E34" s="80">
        <f t="shared" si="0"/>
        <v>3</v>
      </c>
      <c r="F34" s="72">
        <f t="shared" si="3"/>
        <v>78.180000000000007</v>
      </c>
      <c r="G34" s="73">
        <f>IF(D34=D33,"",_xlfn.IFNA(VLOOKUP(D34,'인원 입력 기능 (사과탐)'!$K$236:$N$284,4,FALSE),0))</f>
        <v>46</v>
      </c>
      <c r="H34" s="74">
        <f t="shared" si="4"/>
        <v>9.1089108910891083E-3</v>
      </c>
      <c r="I34" s="78">
        <f>SUM($G$7:G34)</f>
        <v>1125</v>
      </c>
      <c r="J34" s="76">
        <f t="shared" si="5"/>
        <v>0.22277227722772278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80">
        <f t="shared" si="2"/>
        <v>55</v>
      </c>
      <c r="E35" s="80">
        <f t="shared" si="0"/>
        <v>3</v>
      </c>
      <c r="F35" s="72">
        <f t="shared" si="3"/>
        <v>77.150000000000006</v>
      </c>
      <c r="G35" s="73">
        <f>IF(D35=D34,"",_xlfn.IFNA(VLOOKUP(D35,'인원 입력 기능 (사과탐)'!$K$236:$N$284,4,FALSE),0))</f>
        <v>58</v>
      </c>
      <c r="H35" s="74">
        <f t="shared" si="4"/>
        <v>1.1485148514851485E-2</v>
      </c>
      <c r="I35" s="78">
        <f>SUM($G$7:G35)</f>
        <v>1183</v>
      </c>
      <c r="J35" s="76">
        <f t="shared" si="5"/>
        <v>0.23425742574257427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80">
        <f t="shared" si="2"/>
        <v>54</v>
      </c>
      <c r="E36" s="80">
        <f t="shared" si="0"/>
        <v>4</v>
      </c>
      <c r="F36" s="72">
        <f t="shared" si="3"/>
        <v>75.78</v>
      </c>
      <c r="G36" s="73">
        <f>IF(D36=D35,"",_xlfn.IFNA(VLOOKUP(D36,'인원 입력 기능 (사과탐)'!$K$236:$N$284,4,FALSE),0))</f>
        <v>80</v>
      </c>
      <c r="H36" s="74">
        <f t="shared" si="4"/>
        <v>1.5841584158415842E-2</v>
      </c>
      <c r="I36" s="78">
        <f>SUM($G$7:G36)</f>
        <v>1263</v>
      </c>
      <c r="J36" s="76">
        <f t="shared" si="5"/>
        <v>0.2500990099009901</v>
      </c>
      <c r="K36" s="32"/>
      <c r="L36" s="3" t="str">
        <f t="shared" si="1"/>
        <v/>
      </c>
    </row>
    <row r="37" spans="1:12" ht="25" customHeight="1" x14ac:dyDescent="0.45">
      <c r="A37" s="4"/>
      <c r="B37" s="18"/>
      <c r="C37" s="79">
        <v>20</v>
      </c>
      <c r="D37" s="80">
        <f t="shared" si="2"/>
        <v>53</v>
      </c>
      <c r="E37" s="80">
        <f t="shared" si="0"/>
        <v>4</v>
      </c>
      <c r="F37" s="72">
        <f t="shared" si="3"/>
        <v>74.27</v>
      </c>
      <c r="G37" s="73">
        <f>IF(D37=D36,"",_xlfn.IFNA(VLOOKUP(D37,'인원 입력 기능 (사과탐)'!$K$236:$N$284,4,FALSE),0))</f>
        <v>73</v>
      </c>
      <c r="H37" s="74">
        <f t="shared" si="4"/>
        <v>1.4455445544554456E-2</v>
      </c>
      <c r="I37" s="78">
        <f>SUM($G$7:G37)</f>
        <v>1336</v>
      </c>
      <c r="J37" s="76">
        <f t="shared" si="5"/>
        <v>0.26455445544554457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173">
        <f t="shared" si="2"/>
        <v>52</v>
      </c>
      <c r="E38" s="173">
        <f t="shared" si="0"/>
        <v>4</v>
      </c>
      <c r="F38" s="163">
        <f t="shared" si="3"/>
        <v>71.5</v>
      </c>
      <c r="G38" s="165">
        <f>IF(D38=D37,"",_xlfn.IFNA(VLOOKUP(D38,'인원 입력 기능 (사과탐)'!$K$236:$N$284,4,FALSE),0))</f>
        <v>206</v>
      </c>
      <c r="H38" s="166">
        <f t="shared" si="4"/>
        <v>4.0792079207920794E-2</v>
      </c>
      <c r="I38" s="168">
        <f>SUM($G$7:G38)</f>
        <v>1542</v>
      </c>
      <c r="J38" s="170">
        <f t="shared" si="5"/>
        <v>0.30534653465346534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172"/>
      <c r="E39" s="172"/>
      <c r="F39" s="162"/>
      <c r="G39" s="164"/>
      <c r="H39" s="167"/>
      <c r="I39" s="169"/>
      <c r="J39" s="171"/>
      <c r="K39" s="32"/>
      <c r="L39" s="3" t="str">
        <f t="shared" si="1"/>
        <v>경고</v>
      </c>
    </row>
    <row r="40" spans="1:12" ht="25" customHeight="1" x14ac:dyDescent="0.45">
      <c r="A40" s="4"/>
      <c r="B40" s="18"/>
      <c r="C40" s="81">
        <v>17</v>
      </c>
      <c r="D40" s="80">
        <f t="shared" si="2"/>
        <v>51</v>
      </c>
      <c r="E40" s="80">
        <f t="shared" ref="E39:E57" si="6">IF(ROUND(D40,0)&gt;=$Q$7,1,IF(ROUND(D40,0)&gt;=$Q$8,2,IF(ROUND(D40,0)&gt;=$Q$9,3,IF(ROUND(D40,0)&gt;=$Q$10,4,IF(ROUND(D40,0)&gt;=$Q$11,5,IF(ROUND(D40,0)&gt;=$Q$12,6,IF(ROUND(D40,0)&gt;=$Q$13,7,IF(ROUND(D40,0)&gt;=$Q$14,8,9))))))))</f>
        <v>4</v>
      </c>
      <c r="F40" s="72">
        <f t="shared" si="3"/>
        <v>68.25</v>
      </c>
      <c r="G40" s="73">
        <f>IF(D40=D39,"",_xlfn.IFNA(VLOOKUP(D40,'인원 입력 기능 (사과탐)'!$K$236:$N$284,4,FALSE),0))</f>
        <v>123</v>
      </c>
      <c r="H40" s="74">
        <f t="shared" si="4"/>
        <v>2.4356435643564357E-2</v>
      </c>
      <c r="I40" s="78">
        <f>SUM($G$7:G40)</f>
        <v>1665</v>
      </c>
      <c r="J40" s="76">
        <f t="shared" si="5"/>
        <v>0.32970297029702972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80">
        <f t="shared" si="2"/>
        <v>50</v>
      </c>
      <c r="E41" s="80">
        <f t="shared" si="6"/>
        <v>4</v>
      </c>
      <c r="F41" s="72">
        <f t="shared" si="3"/>
        <v>65.48</v>
      </c>
      <c r="G41" s="73">
        <f>IF(D41=D40,"",_xlfn.IFNA(VLOOKUP(D41,'인원 입력 기능 (사과탐)'!$K$236:$N$284,4,FALSE),0))</f>
        <v>157</v>
      </c>
      <c r="H41" s="74">
        <f t="shared" si="4"/>
        <v>3.1089108910891089E-2</v>
      </c>
      <c r="I41" s="78">
        <f>SUM($G$7:G41)</f>
        <v>1822</v>
      </c>
      <c r="J41" s="76">
        <f t="shared" si="5"/>
        <v>0.36079207920792078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80">
        <f t="shared" si="2"/>
        <v>49</v>
      </c>
      <c r="E42" s="80">
        <f t="shared" si="6"/>
        <v>4</v>
      </c>
      <c r="F42" s="72">
        <f t="shared" si="3"/>
        <v>61.36</v>
      </c>
      <c r="G42" s="73">
        <f>IF(D42=D41,"",_xlfn.IFNA(VLOOKUP(D42,'인원 입력 기능 (사과탐)'!$K$236:$N$284,4,FALSE),0))</f>
        <v>259</v>
      </c>
      <c r="H42" s="74">
        <f t="shared" si="4"/>
        <v>5.1287128712871284E-2</v>
      </c>
      <c r="I42" s="78">
        <f>SUM($G$7:G42)</f>
        <v>2081</v>
      </c>
      <c r="J42" s="76">
        <f t="shared" si="5"/>
        <v>0.41207920792079206</v>
      </c>
      <c r="K42" s="32"/>
      <c r="L42" s="3" t="str">
        <f t="shared" si="1"/>
        <v/>
      </c>
    </row>
    <row r="43" spans="1:12" ht="25" customHeight="1" x14ac:dyDescent="0.45">
      <c r="A43" s="4"/>
      <c r="B43" s="18"/>
      <c r="C43" s="79">
        <v>14</v>
      </c>
      <c r="D43" s="80">
        <f t="shared" si="2"/>
        <v>48</v>
      </c>
      <c r="E43" s="80">
        <f t="shared" si="6"/>
        <v>5</v>
      </c>
      <c r="F43" s="72">
        <f t="shared" si="3"/>
        <v>56.99</v>
      </c>
      <c r="G43" s="73">
        <f>IF(D43=D42,"",_xlfn.IFNA(VLOOKUP(D43,'인원 입력 기능 (사과탐)'!$K$236:$N$284,4,FALSE),0))</f>
        <v>182</v>
      </c>
      <c r="H43" s="74">
        <f t="shared" si="4"/>
        <v>3.6039603960396037E-2</v>
      </c>
      <c r="I43" s="78">
        <f>SUM($G$7:G43)</f>
        <v>2263</v>
      </c>
      <c r="J43" s="76">
        <f t="shared" si="5"/>
        <v>0.44811881188118813</v>
      </c>
      <c r="K43" s="32"/>
      <c r="L43" s="3" t="str">
        <f t="shared" si="1"/>
        <v/>
      </c>
    </row>
    <row r="44" spans="1:12" ht="25" customHeight="1" x14ac:dyDescent="0.45">
      <c r="A44" s="4"/>
      <c r="B44" s="18"/>
      <c r="C44" s="81">
        <v>13</v>
      </c>
      <c r="D44" s="80">
        <f t="shared" si="2"/>
        <v>47</v>
      </c>
      <c r="E44" s="80">
        <f t="shared" si="6"/>
        <v>5</v>
      </c>
      <c r="F44" s="72">
        <f t="shared" si="3"/>
        <v>52.94</v>
      </c>
      <c r="G44" s="73">
        <f>IF(D44=D43,"",_xlfn.IFNA(VLOOKUP(D44,'인원 입력 기능 (사과탐)'!$K$236:$N$284,4,FALSE),0))</f>
        <v>227</v>
      </c>
      <c r="H44" s="74">
        <f t="shared" si="4"/>
        <v>4.4950495049504949E-2</v>
      </c>
      <c r="I44" s="78">
        <f>SUM($G$7:G44)</f>
        <v>2490</v>
      </c>
      <c r="J44" s="76">
        <f t="shared" si="5"/>
        <v>0.49306930693069306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80">
        <f t="shared" si="2"/>
        <v>46</v>
      </c>
      <c r="E45" s="80">
        <f t="shared" si="6"/>
        <v>5</v>
      </c>
      <c r="F45" s="72">
        <f t="shared" si="3"/>
        <v>48.34</v>
      </c>
      <c r="G45" s="73">
        <f>IF(D45=D44,"",_xlfn.IFNA(VLOOKUP(D45,'인원 입력 기능 (사과탐)'!$K$236:$N$284,4,FALSE),0))</f>
        <v>238</v>
      </c>
      <c r="H45" s="74">
        <f t="shared" si="4"/>
        <v>4.7128712871287129E-2</v>
      </c>
      <c r="I45" s="78">
        <f>SUM($G$7:G45)</f>
        <v>2728</v>
      </c>
      <c r="J45" s="76">
        <f t="shared" si="5"/>
        <v>0.54019801980198023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80">
        <f t="shared" si="2"/>
        <v>45</v>
      </c>
      <c r="E46" s="80">
        <f t="shared" si="6"/>
        <v>5</v>
      </c>
      <c r="F46" s="72">
        <f t="shared" si="3"/>
        <v>43.36</v>
      </c>
      <c r="G46" s="73">
        <f>IF(D46=D45,"",_xlfn.IFNA(VLOOKUP(D46,'인원 입력 기능 (사과탐)'!$K$236:$N$284,4,FALSE),0))</f>
        <v>265</v>
      </c>
      <c r="H46" s="74">
        <f t="shared" si="4"/>
        <v>5.2475247524752473E-2</v>
      </c>
      <c r="I46" s="78">
        <f>SUM($G$7:G46)</f>
        <v>2993</v>
      </c>
      <c r="J46" s="76">
        <f t="shared" si="5"/>
        <v>0.59267326732673264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173">
        <f t="shared" si="2"/>
        <v>44</v>
      </c>
      <c r="E47" s="173">
        <f t="shared" si="6"/>
        <v>5</v>
      </c>
      <c r="F47" s="163">
        <f t="shared" si="3"/>
        <v>33.85</v>
      </c>
      <c r="G47" s="165">
        <f>IF(D47=D46,"",_xlfn.IFNA(VLOOKUP(D47,'인원 입력 기능 (사과탐)'!$K$236:$N$284,4,FALSE),0))</f>
        <v>695</v>
      </c>
      <c r="H47" s="166">
        <f t="shared" si="4"/>
        <v>0.13762376237623763</v>
      </c>
      <c r="I47" s="168">
        <f>SUM($G$7:G47)</f>
        <v>3688</v>
      </c>
      <c r="J47" s="170">
        <f t="shared" si="5"/>
        <v>0.73029702970297028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81">
        <v>9</v>
      </c>
      <c r="D48" s="172"/>
      <c r="E48" s="172"/>
      <c r="F48" s="162"/>
      <c r="G48" s="164"/>
      <c r="H48" s="167"/>
      <c r="I48" s="169"/>
      <c r="J48" s="171"/>
      <c r="K48" s="32"/>
      <c r="L48" s="3" t="str">
        <f t="shared" si="1"/>
        <v>경고</v>
      </c>
    </row>
    <row r="49" spans="1:12" ht="25" customHeight="1" x14ac:dyDescent="0.45">
      <c r="A49" s="4"/>
      <c r="B49" s="18"/>
      <c r="C49" s="79">
        <v>8</v>
      </c>
      <c r="D49" s="80">
        <f t="shared" si="2"/>
        <v>43</v>
      </c>
      <c r="E49" s="80">
        <f t="shared" si="6"/>
        <v>6</v>
      </c>
      <c r="F49" s="72">
        <f t="shared" si="3"/>
        <v>21.16</v>
      </c>
      <c r="G49" s="73">
        <f>IF(D49=D48,"",_xlfn.IFNA(VLOOKUP(D49,'인원 입력 기능 (사과탐)'!$K$236:$N$284,4,FALSE),0))</f>
        <v>587</v>
      </c>
      <c r="H49" s="74">
        <f t="shared" si="4"/>
        <v>0.11623762376237624</v>
      </c>
      <c r="I49" s="78">
        <f>SUM($G$7:G49)</f>
        <v>4275</v>
      </c>
      <c r="J49" s="76">
        <f t="shared" si="5"/>
        <v>0.84653465346534651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80">
        <f t="shared" si="2"/>
        <v>42</v>
      </c>
      <c r="E50" s="80">
        <f t="shared" si="6"/>
        <v>7</v>
      </c>
      <c r="F50" s="72">
        <f t="shared" si="3"/>
        <v>13</v>
      </c>
      <c r="G50" s="73">
        <f>IF(D50=D49,"",_xlfn.IFNA(VLOOKUP(D50,'인원 입력 기능 (사과탐)'!$K$236:$N$284,4,FALSE),0))</f>
        <v>237</v>
      </c>
      <c r="H50" s="74">
        <f t="shared" si="4"/>
        <v>4.6930693069306931E-2</v>
      </c>
      <c r="I50" s="78">
        <f>SUM($G$7:G50)</f>
        <v>4512</v>
      </c>
      <c r="J50" s="76">
        <f t="shared" si="5"/>
        <v>0.89346534653465348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80">
        <f t="shared" si="2"/>
        <v>41</v>
      </c>
      <c r="E51" s="80">
        <f t="shared" si="6"/>
        <v>8</v>
      </c>
      <c r="F51" s="72">
        <f t="shared" si="3"/>
        <v>9.14</v>
      </c>
      <c r="G51" s="73">
        <f>IF(D51=D50,"",_xlfn.IFNA(VLOOKUP(D51,'인원 입력 기능 (사과탐)'!$K$236:$N$284,4,FALSE),0))</f>
        <v>153</v>
      </c>
      <c r="H51" s="74">
        <f t="shared" si="4"/>
        <v>3.0297029702970296E-2</v>
      </c>
      <c r="I51" s="78">
        <f>SUM($G$7:G51)</f>
        <v>4665</v>
      </c>
      <c r="J51" s="76">
        <f t="shared" si="5"/>
        <v>0.92376237623762381</v>
      </c>
      <c r="K51" s="32"/>
      <c r="L51" s="3" t="str">
        <f t="shared" si="1"/>
        <v/>
      </c>
    </row>
    <row r="52" spans="1:12" ht="25" customHeight="1" x14ac:dyDescent="0.45">
      <c r="A52" s="4"/>
      <c r="B52" s="18"/>
      <c r="C52" s="81">
        <v>5</v>
      </c>
      <c r="D52" s="80">
        <f t="shared" si="2"/>
        <v>40</v>
      </c>
      <c r="E52" s="80">
        <f t="shared" si="6"/>
        <v>8</v>
      </c>
      <c r="F52" s="72">
        <f t="shared" si="3"/>
        <v>6.5</v>
      </c>
      <c r="G52" s="73">
        <f>IF(D52=D51,"",_xlfn.IFNA(VLOOKUP(D52,'인원 입력 기능 (사과탐)'!$K$236:$N$284,4,FALSE),0))</f>
        <v>114</v>
      </c>
      <c r="H52" s="74">
        <f t="shared" si="4"/>
        <v>2.2574257425742573E-2</v>
      </c>
      <c r="I52" s="78">
        <f>SUM($G$7:G52)</f>
        <v>4779</v>
      </c>
      <c r="J52" s="76">
        <f t="shared" si="5"/>
        <v>0.94633663366336629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71">
        <f t="shared" si="2"/>
        <v>39</v>
      </c>
      <c r="E53" s="71">
        <f t="shared" si="6"/>
        <v>8</v>
      </c>
      <c r="F53" s="72">
        <f t="shared" si="3"/>
        <v>4.2300000000000004</v>
      </c>
      <c r="G53" s="73">
        <f>IF(D53=D52,"",_xlfn.IFNA(VLOOKUP(D53,'인원 입력 기능 (사과탐)'!$K$236:$N$284,4,FALSE),0))</f>
        <v>115</v>
      </c>
      <c r="H53" s="74">
        <f t="shared" si="4"/>
        <v>2.2772277227722772E-2</v>
      </c>
      <c r="I53" s="78">
        <f>SUM($G$7:G53)</f>
        <v>4894</v>
      </c>
      <c r="J53" s="76">
        <f t="shared" si="5"/>
        <v>0.96910891089108908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71">
        <f t="shared" si="2"/>
        <v>38</v>
      </c>
      <c r="E54" s="71">
        <f t="shared" si="6"/>
        <v>9</v>
      </c>
      <c r="F54" s="72">
        <f t="shared" si="3"/>
        <v>2.58</v>
      </c>
      <c r="G54" s="73">
        <f>IF(D54=D53,"",_xlfn.IFNA(VLOOKUP(D54,'인원 입력 기능 (사과탐)'!$K$236:$N$284,4,FALSE),0))</f>
        <v>51</v>
      </c>
      <c r="H54" s="74">
        <f t="shared" si="4"/>
        <v>1.0099009900990099E-2</v>
      </c>
      <c r="I54" s="78">
        <f>SUM($G$7:G54)</f>
        <v>4945</v>
      </c>
      <c r="J54" s="76">
        <f t="shared" si="5"/>
        <v>0.97920792079207919</v>
      </c>
      <c r="K54" s="32"/>
      <c r="L54" s="3" t="str">
        <f t="shared" si="1"/>
        <v/>
      </c>
    </row>
    <row r="55" spans="1:12" ht="25" customHeight="1" x14ac:dyDescent="0.45">
      <c r="A55" s="4"/>
      <c r="B55" s="18"/>
      <c r="C55" s="70">
        <v>2</v>
      </c>
      <c r="D55" s="71">
        <f t="shared" si="2"/>
        <v>37</v>
      </c>
      <c r="E55" s="71">
        <f t="shared" si="6"/>
        <v>9</v>
      </c>
      <c r="F55" s="72">
        <f t="shared" si="3"/>
        <v>1.26</v>
      </c>
      <c r="G55" s="73">
        <f>IF(D55=D54,"",_xlfn.IFNA(VLOOKUP(D55,'인원 입력 기능 (사과탐)'!$K$236:$N$284,4,FALSE),0))</f>
        <v>83</v>
      </c>
      <c r="H55" s="74">
        <f t="shared" si="4"/>
        <v>1.6435643564356436E-2</v>
      </c>
      <c r="I55" s="78">
        <f>SUM($G$7:G55)</f>
        <v>5028</v>
      </c>
      <c r="J55" s="76">
        <f t="shared" si="5"/>
        <v>0.99564356435643564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36</v>
      </c>
      <c r="E57" s="84">
        <f t="shared" si="6"/>
        <v>9</v>
      </c>
      <c r="F57" s="85">
        <f>IF(I55=0,ROUND(100*(1-(I54+I57)/2/$J$3),2),ROUND(100*(1-(I55+I57)/2/$J$3),2))</f>
        <v>0.22</v>
      </c>
      <c r="G57" s="86">
        <f>_xlfn.IFNA(VLOOKUP(D57,'인원 입력 기능 (사과탐)'!$K$236:$N$284,4,FALSE),0)</f>
        <v>22</v>
      </c>
      <c r="H57" s="87">
        <f>G57/$J$3</f>
        <v>4.3564356435643568E-3</v>
      </c>
      <c r="I57" s="88">
        <f>SUM($G$7:G57)</f>
        <v>5050</v>
      </c>
      <c r="J57" s="89">
        <f>I57/$J$3</f>
        <v>1</v>
      </c>
      <c r="K57" s="32"/>
      <c r="L57" s="3" t="str">
        <f t="shared" ref="L57" si="7">IF(ABS((C57-$H$3)/$H$4*10+50-D57-0.5)&lt;0.1, "경고", "")</f>
        <v/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40">
    <mergeCell ref="I38:I39"/>
    <mergeCell ref="J38:J39"/>
    <mergeCell ref="D47:D48"/>
    <mergeCell ref="E47:E48"/>
    <mergeCell ref="F47:F48"/>
    <mergeCell ref="G47:G48"/>
    <mergeCell ref="H47:H48"/>
    <mergeCell ref="I47:I48"/>
    <mergeCell ref="J47:J48"/>
    <mergeCell ref="D38:D39"/>
    <mergeCell ref="E38:E39"/>
    <mergeCell ref="F38:F39"/>
    <mergeCell ref="G38:G39"/>
    <mergeCell ref="H38:H39"/>
    <mergeCell ref="H20:H21"/>
    <mergeCell ref="I20:I21"/>
    <mergeCell ref="J20:J21"/>
    <mergeCell ref="D29:D30"/>
    <mergeCell ref="E29:E30"/>
    <mergeCell ref="F29:F30"/>
    <mergeCell ref="G29:G30"/>
    <mergeCell ref="H29:H30"/>
    <mergeCell ref="I29:I30"/>
    <mergeCell ref="J29:J30"/>
    <mergeCell ref="D3:F3"/>
    <mergeCell ref="D4:F4"/>
    <mergeCell ref="D8:J8"/>
    <mergeCell ref="D56:J56"/>
    <mergeCell ref="G5:J5"/>
    <mergeCell ref="D11:D12"/>
    <mergeCell ref="E11:E12"/>
    <mergeCell ref="F11:F12"/>
    <mergeCell ref="G11:G12"/>
    <mergeCell ref="H11:H12"/>
    <mergeCell ref="I11:I12"/>
    <mergeCell ref="J11:J12"/>
    <mergeCell ref="D20:D21"/>
    <mergeCell ref="E20:E21"/>
    <mergeCell ref="F20:F21"/>
    <mergeCell ref="G20:G21"/>
  </mergeCells>
  <phoneticPr fontId="1" type="noConversion"/>
  <conditionalFormatting sqref="D7:J11 D13:J20 D22:J29 D31:J38 D40:J47 D49:J57">
    <cfRule type="expression" dxfId="23" priority="3">
      <formula>OR($D7=$Q$7:$Q$14)</formula>
    </cfRule>
  </conditionalFormatting>
  <conditionalFormatting sqref="C7:C57">
    <cfRule type="expression" dxfId="22" priority="2">
      <formula>OR(AND($D7=0,OR($D6=$Q$7:$Q$14)),AND($D8&gt;0,OR($D7=$Q$7:$Q$14)))</formula>
    </cfRule>
  </conditionalFormatting>
  <conditionalFormatting sqref="D7:D11 D13:D20 D22:D29 D31:D38 D40:D47 D49:D57">
    <cfRule type="expression" dxfId="21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E5791-467D-444A-9581-5BC8EAF50717}">
  <sheetPr codeName="Sheet23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기능'!D22</f>
        <v>14.44</v>
      </c>
      <c r="I3" s="14" t="s">
        <v>110</v>
      </c>
      <c r="J3" s="36">
        <f>'통계 및 응시자 수 입력 기능'!C22</f>
        <v>3651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120</v>
      </c>
      <c r="E4" s="114"/>
      <c r="F4" s="115"/>
      <c r="G4" s="38" t="s">
        <v>113</v>
      </c>
      <c r="H4" s="39" t="str">
        <f>'통계 및 응시자 수 입력 기능'!E22</f>
        <v>10.45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 t="s">
        <v>71</v>
      </c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84</v>
      </c>
      <c r="E7" s="7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99.37</v>
      </c>
      <c r="G7" s="73">
        <f>_xlfn.IFNA(VLOOKUP(D7,'인원 입력 기능 (사과탐)'!$P$236:$S$284,4,FALSE),0)</f>
        <v>46</v>
      </c>
      <c r="H7" s="74">
        <f>G7/$J$3</f>
        <v>1.259928786633799E-2</v>
      </c>
      <c r="I7" s="75">
        <f>G7</f>
        <v>46</v>
      </c>
      <c r="J7" s="76">
        <f>I7/$J$3</f>
        <v>1.259928786633799E-2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입력기능'!C166</f>
        <v>77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입력기능'!C167</f>
        <v>63</v>
      </c>
    </row>
    <row r="9" spans="1:17" ht="25" customHeight="1" x14ac:dyDescent="0.45">
      <c r="A9" s="4"/>
      <c r="B9" s="18"/>
      <c r="C9" s="70">
        <v>48</v>
      </c>
      <c r="D9" s="71">
        <f>ROUND(10*(C9-$H$3)/$H$4+50,0)</f>
        <v>82</v>
      </c>
      <c r="E9" s="71">
        <f t="shared" si="0"/>
        <v>1</v>
      </c>
      <c r="F9" s="72">
        <f>IF(I8=0,ROUND(100*(1-(I7+I9)/2/$J$3),2),ROUND(100*(1-(I8+I9)/2/$J$3),2))</f>
        <v>98.36</v>
      </c>
      <c r="G9" s="73">
        <f>_xlfn.IFNA(VLOOKUP(D9,'인원 입력 기능 (사과탐)'!$P$236:$S$284,4,FALSE),0)</f>
        <v>28</v>
      </c>
      <c r="H9" s="74">
        <f>G9/$J$3</f>
        <v>7.6691317447274716E-3</v>
      </c>
      <c r="I9" s="78">
        <f>SUM($G$7:G9)</f>
        <v>74</v>
      </c>
      <c r="J9" s="76">
        <f>I9/$J$3</f>
        <v>2.0268419611065461E-2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입력기능'!C168</f>
        <v>53</v>
      </c>
    </row>
    <row r="10" spans="1:17" ht="25" customHeight="1" x14ac:dyDescent="0.45">
      <c r="A10" s="4"/>
      <c r="B10" s="18"/>
      <c r="C10" s="77">
        <v>47</v>
      </c>
      <c r="D10" s="71">
        <f t="shared" ref="D10:D55" si="2">ROUND(10*(C10-$H$3)/$H$4+50,0)</f>
        <v>81</v>
      </c>
      <c r="E10" s="71">
        <f t="shared" si="0"/>
        <v>1</v>
      </c>
      <c r="F10" s="72">
        <f t="shared" ref="F10:F55" si="3">IF(I9=0,ROUND(100*(1-(I8+I10)/2/$J$3),2),ROUND(100*(1-(I9+I10)/2/$J$3),2))</f>
        <v>97.62</v>
      </c>
      <c r="G10" s="73">
        <f>IF(D10=D9,"",_xlfn.IFNA(VLOOKUP(D10,'인원 입력 기능 (사과탐)'!$P$236:$S$284,4,FALSE),0))</f>
        <v>26</v>
      </c>
      <c r="H10" s="74">
        <f t="shared" ref="H10:H55" si="4">G10/$J$3</f>
        <v>7.1213366201040807E-3</v>
      </c>
      <c r="I10" s="78">
        <f>SUM($G$7:G10)</f>
        <v>100</v>
      </c>
      <c r="J10" s="76">
        <f t="shared" ref="J10:J55" si="5">I10/$J$3</f>
        <v>2.7389756231169543E-2</v>
      </c>
      <c r="K10" s="32"/>
      <c r="L10" s="3" t="str">
        <f t="shared" si="1"/>
        <v/>
      </c>
      <c r="P10" s="1">
        <v>4</v>
      </c>
      <c r="Q10" s="1">
        <f>'표준점수 등급컷 입력기능'!C169</f>
        <v>49</v>
      </c>
    </row>
    <row r="11" spans="1:17" ht="25" customHeight="1" x14ac:dyDescent="0.45">
      <c r="A11" s="4"/>
      <c r="B11" s="18"/>
      <c r="C11" s="70">
        <v>46</v>
      </c>
      <c r="D11" s="71">
        <f t="shared" si="2"/>
        <v>80</v>
      </c>
      <c r="E11" s="71">
        <f t="shared" si="0"/>
        <v>1</v>
      </c>
      <c r="F11" s="72">
        <f t="shared" si="3"/>
        <v>97.21</v>
      </c>
      <c r="G11" s="73">
        <f>IF(D11=D10,"",_xlfn.IFNA(VLOOKUP(D11,'인원 입력 기능 (사과탐)'!$P$236:$S$284,4,FALSE),0))</f>
        <v>4</v>
      </c>
      <c r="H11" s="74">
        <f t="shared" si="4"/>
        <v>1.0955902492467817E-3</v>
      </c>
      <c r="I11" s="78">
        <f>SUM($G$7:G11)</f>
        <v>104</v>
      </c>
      <c r="J11" s="76">
        <f t="shared" si="5"/>
        <v>2.8485346480416323E-2</v>
      </c>
      <c r="K11" s="32"/>
      <c r="L11" s="3" t="str">
        <f t="shared" si="1"/>
        <v/>
      </c>
      <c r="P11" s="1">
        <v>5</v>
      </c>
      <c r="Q11" s="1">
        <f>'표준점수 등급컷 입력기능'!C170</f>
        <v>46</v>
      </c>
    </row>
    <row r="12" spans="1:17" ht="25" customHeight="1" x14ac:dyDescent="0.45">
      <c r="A12" s="4"/>
      <c r="B12" s="18"/>
      <c r="C12" s="77">
        <v>45</v>
      </c>
      <c r="D12" s="71">
        <f t="shared" si="2"/>
        <v>79</v>
      </c>
      <c r="E12" s="71">
        <f t="shared" si="0"/>
        <v>1</v>
      </c>
      <c r="F12" s="72">
        <f t="shared" si="3"/>
        <v>96.75</v>
      </c>
      <c r="G12" s="73">
        <f>IF(D12=D11,"",_xlfn.IFNA(VLOOKUP(D12,'인원 입력 기능 (사과탐)'!$P$236:$S$284,4,FALSE),0))</f>
        <v>29</v>
      </c>
      <c r="H12" s="74">
        <f t="shared" si="4"/>
        <v>7.9430293070391674E-3</v>
      </c>
      <c r="I12" s="78">
        <f>SUM($G$7:G12)</f>
        <v>133</v>
      </c>
      <c r="J12" s="76">
        <f t="shared" si="5"/>
        <v>3.6428375787455489E-2</v>
      </c>
      <c r="K12" s="32"/>
      <c r="L12" s="3" t="str">
        <f t="shared" si="1"/>
        <v/>
      </c>
      <c r="P12" s="1">
        <v>6</v>
      </c>
      <c r="Q12" s="1">
        <f>'표준점수 등급컷 입력기능'!C171</f>
        <v>43</v>
      </c>
    </row>
    <row r="13" spans="1:17" ht="25" customHeight="1" x14ac:dyDescent="0.45">
      <c r="A13" s="4"/>
      <c r="B13" s="18"/>
      <c r="C13" s="70">
        <v>44</v>
      </c>
      <c r="D13" s="71">
        <f t="shared" si="2"/>
        <v>78</v>
      </c>
      <c r="E13" s="71">
        <f t="shared" si="0"/>
        <v>1</v>
      </c>
      <c r="F13" s="72">
        <f t="shared" si="3"/>
        <v>96.22</v>
      </c>
      <c r="G13" s="73">
        <f>IF(D13=D12,"",_xlfn.IFNA(VLOOKUP(D13,'인원 입력 기능 (사과탐)'!$P$236:$S$284,4,FALSE),0))</f>
        <v>10</v>
      </c>
      <c r="H13" s="74">
        <f t="shared" si="4"/>
        <v>2.7389756231169541E-3</v>
      </c>
      <c r="I13" s="78">
        <f>SUM($G$7:G13)</f>
        <v>143</v>
      </c>
      <c r="J13" s="76">
        <f t="shared" si="5"/>
        <v>3.9167351410572447E-2</v>
      </c>
      <c r="K13" s="32"/>
      <c r="L13" s="3" t="str">
        <f t="shared" si="1"/>
        <v/>
      </c>
      <c r="P13" s="1">
        <v>7</v>
      </c>
      <c r="Q13" s="1" t="str">
        <f>'표준점수 등급컷 입력기능'!C172</f>
        <v>-</v>
      </c>
    </row>
    <row r="14" spans="1:17" ht="25" customHeight="1" x14ac:dyDescent="0.45">
      <c r="A14" s="4"/>
      <c r="B14" s="18"/>
      <c r="C14" s="77">
        <v>43</v>
      </c>
      <c r="D14" s="71">
        <f t="shared" ref="D14:D18" si="6">ROUND(10*(C14-$H$3)/$H$4+50,0)</f>
        <v>77</v>
      </c>
      <c r="E14" s="71">
        <f t="shared" ref="E14:E18" si="7">IF(ROUND(D14,0)&gt;=$Q$7,1,IF(ROUND(D14,0)&gt;=$Q$8,2,IF(ROUND(D14,0)&gt;=$Q$9,3,IF(ROUND(D14,0)&gt;=$Q$10,4,IF(ROUND(D14,0)&gt;=$Q$11,5,IF(ROUND(D14,0)&gt;=$Q$12,6,IF(ROUND(D14,0)&gt;=$Q$13,7,IF(ROUND(D14,0)&gt;=$Q$14,8,9))))))))</f>
        <v>1</v>
      </c>
      <c r="F14" s="72">
        <f t="shared" ref="F14:F18" si="8">IF(I13=0,ROUND(100*(1-(I12+I14)/2/$J$3),2),ROUND(100*(1-(I13+I14)/2/$J$3),2))</f>
        <v>95.89</v>
      </c>
      <c r="G14" s="73">
        <f>IF(D14=D13,"",_xlfn.IFNA(VLOOKUP(D14,'인원 입력 기능 (사과탐)'!$P$236:$S$284,4,FALSE),0))</f>
        <v>14</v>
      </c>
      <c r="H14" s="74">
        <f t="shared" ref="H14:H18" si="9">G14/$J$3</f>
        <v>3.8345658723637358E-3</v>
      </c>
      <c r="I14" s="78">
        <f>SUM($G$7:G14)</f>
        <v>157</v>
      </c>
      <c r="J14" s="76">
        <f t="shared" ref="J14:J18" si="10">I14/$J$3</f>
        <v>4.3001917282936182E-2</v>
      </c>
      <c r="K14" s="32"/>
      <c r="L14" s="3" t="str">
        <f t="shared" si="1"/>
        <v/>
      </c>
      <c r="P14" s="1">
        <v>8</v>
      </c>
      <c r="Q14" s="1">
        <f>'표준점수 등급컷 입력기능'!C173</f>
        <v>40</v>
      </c>
    </row>
    <row r="15" spans="1:17" ht="25" customHeight="1" x14ac:dyDescent="0.45">
      <c r="A15" s="4"/>
      <c r="B15" s="18"/>
      <c r="C15" s="70">
        <v>42</v>
      </c>
      <c r="D15" s="71">
        <f t="shared" si="6"/>
        <v>76</v>
      </c>
      <c r="E15" s="71">
        <f t="shared" si="7"/>
        <v>2</v>
      </c>
      <c r="F15" s="72">
        <f t="shared" si="8"/>
        <v>95.37</v>
      </c>
      <c r="G15" s="73">
        <f>IF(D15=D14,"",_xlfn.IFNA(VLOOKUP(D15,'인원 입력 기능 (사과탐)'!$P$236:$S$284,4,FALSE),0))</f>
        <v>24</v>
      </c>
      <c r="H15" s="74">
        <f t="shared" si="9"/>
        <v>6.5735414954806899E-3</v>
      </c>
      <c r="I15" s="78">
        <f>SUM($G$7:G15)</f>
        <v>181</v>
      </c>
      <c r="J15" s="76">
        <f t="shared" si="10"/>
        <v>4.9575458778416875E-2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71">
        <f t="shared" si="6"/>
        <v>75</v>
      </c>
      <c r="E16" s="71">
        <f t="shared" si="7"/>
        <v>2</v>
      </c>
      <c r="F16" s="72">
        <f t="shared" si="8"/>
        <v>94.85</v>
      </c>
      <c r="G16" s="73">
        <f>IF(D16=D15,"",_xlfn.IFNA(VLOOKUP(D16,'인원 입력 기능 (사과탐)'!$P$236:$S$284,4,FALSE),0))</f>
        <v>14</v>
      </c>
      <c r="H16" s="74">
        <f t="shared" si="9"/>
        <v>3.8345658723637358E-3</v>
      </c>
      <c r="I16" s="78">
        <f>SUM($G$7:G16)</f>
        <v>195</v>
      </c>
      <c r="J16" s="76">
        <f t="shared" si="10"/>
        <v>5.341002465078061E-2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71">
        <f t="shared" si="6"/>
        <v>74</v>
      </c>
      <c r="E17" s="71">
        <f t="shared" si="7"/>
        <v>2</v>
      </c>
      <c r="F17" s="72">
        <f t="shared" si="8"/>
        <v>94.43</v>
      </c>
      <c r="G17" s="73">
        <f>IF(D17=D16,"",_xlfn.IFNA(VLOOKUP(D17,'인원 입력 기능 (사과탐)'!$P$236:$S$284,4,FALSE),0))</f>
        <v>17</v>
      </c>
      <c r="H17" s="74">
        <f t="shared" si="9"/>
        <v>4.6562585592988225E-3</v>
      </c>
      <c r="I17" s="78">
        <f>SUM($G$7:G17)</f>
        <v>212</v>
      </c>
      <c r="J17" s="76">
        <f t="shared" si="10"/>
        <v>5.8066283210079429E-2</v>
      </c>
      <c r="K17" s="32"/>
      <c r="L17" s="3" t="str">
        <f t="shared" si="1"/>
        <v/>
      </c>
      <c r="P17" s="1">
        <f>Q7*H3*H4*J3*IFERROR(IF(J57=1,1,0),0)</f>
        <v>42421502.045999996</v>
      </c>
    </row>
    <row r="18" spans="1:16" ht="25" customHeight="1" x14ac:dyDescent="0.45">
      <c r="A18" s="4"/>
      <c r="B18" s="18"/>
      <c r="C18" s="77">
        <v>39</v>
      </c>
      <c r="D18" s="161">
        <v>73</v>
      </c>
      <c r="E18" s="161">
        <f t="shared" si="7"/>
        <v>2</v>
      </c>
      <c r="F18" s="163">
        <f t="shared" si="8"/>
        <v>93.89</v>
      </c>
      <c r="G18" s="165">
        <f>IF(D18=D17,"",_xlfn.IFNA(VLOOKUP(D18,'인원 입력 기능 (사과탐)'!$P$236:$S$284,4,FALSE),0))</f>
        <v>22</v>
      </c>
      <c r="H18" s="166">
        <f t="shared" si="9"/>
        <v>6.0257463708572991E-3</v>
      </c>
      <c r="I18" s="168">
        <f>SUM($G$7:G18)</f>
        <v>234</v>
      </c>
      <c r="J18" s="170">
        <f t="shared" si="10"/>
        <v>6.4092029580936724E-2</v>
      </c>
      <c r="K18" s="32"/>
      <c r="L18" s="3" t="str">
        <f t="shared" si="1"/>
        <v>경고</v>
      </c>
    </row>
    <row r="19" spans="1:16" ht="25" customHeight="1" x14ac:dyDescent="0.45">
      <c r="A19" s="4"/>
      <c r="B19" s="18"/>
      <c r="C19" s="70">
        <v>38</v>
      </c>
      <c r="D19" s="160"/>
      <c r="E19" s="160"/>
      <c r="F19" s="162"/>
      <c r="G19" s="164"/>
      <c r="H19" s="167"/>
      <c r="I19" s="169"/>
      <c r="J19" s="171"/>
      <c r="K19" s="32"/>
      <c r="L19" s="3" t="str">
        <f t="shared" si="1"/>
        <v>경고</v>
      </c>
    </row>
    <row r="20" spans="1:16" ht="25" customHeight="1" x14ac:dyDescent="0.45">
      <c r="A20" s="4"/>
      <c r="B20" s="18"/>
      <c r="C20" s="77">
        <v>37</v>
      </c>
      <c r="D20" s="71">
        <f t="shared" si="2"/>
        <v>72</v>
      </c>
      <c r="E20" s="71">
        <f t="shared" si="0"/>
        <v>2</v>
      </c>
      <c r="F20" s="72">
        <f t="shared" si="3"/>
        <v>93.34</v>
      </c>
      <c r="G20" s="73">
        <f>IF(D20=D19,"",_xlfn.IFNA(VLOOKUP(D20,'인원 입력 기능 (사과탐)'!$P$236:$S$284,4,FALSE),0))</f>
        <v>18</v>
      </c>
      <c r="H20" s="74">
        <f t="shared" si="4"/>
        <v>4.9301561216105174E-3</v>
      </c>
      <c r="I20" s="78">
        <f>SUM($G$7:G20)</f>
        <v>252</v>
      </c>
      <c r="J20" s="76">
        <f t="shared" si="5"/>
        <v>6.9022185702547242E-2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80">
        <f t="shared" si="2"/>
        <v>71</v>
      </c>
      <c r="E21" s="80">
        <f t="shared" si="0"/>
        <v>2</v>
      </c>
      <c r="F21" s="72">
        <f t="shared" si="3"/>
        <v>92.88</v>
      </c>
      <c r="G21" s="73">
        <f>IF(D21=D20,"",_xlfn.IFNA(VLOOKUP(D21,'인원 입력 기능 (사과탐)'!$P$236:$S$284,4,FALSE),0))</f>
        <v>16</v>
      </c>
      <c r="H21" s="74">
        <f t="shared" si="4"/>
        <v>4.3823609969871266E-3</v>
      </c>
      <c r="I21" s="78">
        <f>SUM($G$7:G21)</f>
        <v>268</v>
      </c>
      <c r="J21" s="76">
        <f t="shared" si="5"/>
        <v>7.3404546699534376E-2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80">
        <f t="shared" si="2"/>
        <v>70</v>
      </c>
      <c r="E22" s="80">
        <f t="shared" si="0"/>
        <v>2</v>
      </c>
      <c r="F22" s="72">
        <f t="shared" si="3"/>
        <v>92.55</v>
      </c>
      <c r="G22" s="73">
        <f>IF(D22=D21,"",_xlfn.IFNA(VLOOKUP(D22,'인원 입력 기능 (사과탐)'!$P$236:$S$284,4,FALSE),0))</f>
        <v>8</v>
      </c>
      <c r="H22" s="74">
        <f t="shared" si="4"/>
        <v>2.1911804984935633E-3</v>
      </c>
      <c r="I22" s="78">
        <f>SUM($G$7:G22)</f>
        <v>276</v>
      </c>
      <c r="J22" s="76">
        <f t="shared" si="5"/>
        <v>7.5595727198027943E-2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80">
        <f t="shared" si="2"/>
        <v>69</v>
      </c>
      <c r="E23" s="80">
        <f t="shared" si="0"/>
        <v>2</v>
      </c>
      <c r="F23" s="72">
        <f t="shared" si="3"/>
        <v>92.14</v>
      </c>
      <c r="G23" s="73">
        <f>IF(D23=D22,"",_xlfn.IFNA(VLOOKUP(D23,'인원 입력 기능 (사과탐)'!$P$236:$S$284,4,FALSE),0))</f>
        <v>22</v>
      </c>
      <c r="H23" s="74">
        <f t="shared" si="4"/>
        <v>6.0257463708572991E-3</v>
      </c>
      <c r="I23" s="78">
        <f>SUM($G$7:G23)</f>
        <v>298</v>
      </c>
      <c r="J23" s="76">
        <f t="shared" si="5"/>
        <v>8.1621473568885231E-2</v>
      </c>
      <c r="K23" s="32"/>
      <c r="L23" s="3" t="str">
        <f t="shared" si="1"/>
        <v/>
      </c>
    </row>
    <row r="24" spans="1:16" ht="25" customHeight="1" x14ac:dyDescent="0.45">
      <c r="A24" s="4"/>
      <c r="B24" s="18"/>
      <c r="C24" s="81">
        <v>33</v>
      </c>
      <c r="D24" s="80">
        <f t="shared" si="2"/>
        <v>68</v>
      </c>
      <c r="E24" s="80">
        <f t="shared" si="0"/>
        <v>2</v>
      </c>
      <c r="F24" s="72">
        <f t="shared" si="3"/>
        <v>91.63</v>
      </c>
      <c r="G24" s="73">
        <f>IF(D24=D23,"",_xlfn.IFNA(VLOOKUP(D24,'인원 입력 기능 (사과탐)'!$P$236:$S$284,4,FALSE),0))</f>
        <v>15</v>
      </c>
      <c r="H24" s="74">
        <f t="shared" si="4"/>
        <v>4.1084634346754316E-3</v>
      </c>
      <c r="I24" s="78">
        <f>SUM($G$7:G24)</f>
        <v>313</v>
      </c>
      <c r="J24" s="76">
        <f t="shared" si="5"/>
        <v>8.5729937003560672E-2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80">
        <f t="shared" si="2"/>
        <v>67</v>
      </c>
      <c r="E25" s="80">
        <f t="shared" si="0"/>
        <v>2</v>
      </c>
      <c r="F25" s="72">
        <f t="shared" si="3"/>
        <v>91.3</v>
      </c>
      <c r="G25" s="73">
        <f>IF(D25=D24,"",_xlfn.IFNA(VLOOKUP(D25,'인원 입력 기능 (사과탐)'!$P$236:$S$284,4,FALSE),0))</f>
        <v>9</v>
      </c>
      <c r="H25" s="74">
        <f t="shared" si="4"/>
        <v>2.4650780608052587E-3</v>
      </c>
      <c r="I25" s="78">
        <f>SUM($G$7:G25)</f>
        <v>322</v>
      </c>
      <c r="J25" s="76">
        <f t="shared" si="5"/>
        <v>8.8195015064365931E-2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80">
        <f t="shared" si="2"/>
        <v>66</v>
      </c>
      <c r="E26" s="80">
        <f t="shared" si="0"/>
        <v>2</v>
      </c>
      <c r="F26" s="72">
        <f t="shared" si="3"/>
        <v>90.96</v>
      </c>
      <c r="G26" s="73">
        <f>IF(D26=D25,"",_xlfn.IFNA(VLOOKUP(D26,'인원 입력 기능 (사과탐)'!$P$236:$S$284,4,FALSE),0))</f>
        <v>16</v>
      </c>
      <c r="H26" s="74">
        <f t="shared" si="4"/>
        <v>4.3823609969871266E-3</v>
      </c>
      <c r="I26" s="78">
        <f>SUM($G$7:G26)</f>
        <v>338</v>
      </c>
      <c r="J26" s="76">
        <f t="shared" si="5"/>
        <v>9.2577376061353051E-2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80">
        <f t="shared" si="2"/>
        <v>65</v>
      </c>
      <c r="E27" s="80">
        <f t="shared" si="0"/>
        <v>2</v>
      </c>
      <c r="F27" s="72">
        <f t="shared" si="3"/>
        <v>90.54</v>
      </c>
      <c r="G27" s="73">
        <f>IF(D27=D26,"",_xlfn.IFNA(VLOOKUP(D27,'인원 입력 기능 (사과탐)'!$P$236:$S$284,4,FALSE),0))</f>
        <v>15</v>
      </c>
      <c r="H27" s="74">
        <f t="shared" si="4"/>
        <v>4.1084634346754316E-3</v>
      </c>
      <c r="I27" s="78">
        <f>SUM($G$7:G27)</f>
        <v>353</v>
      </c>
      <c r="J27" s="76">
        <f t="shared" si="5"/>
        <v>9.6685839496028492E-2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80">
        <f t="shared" si="2"/>
        <v>64</v>
      </c>
      <c r="E28" s="80">
        <f t="shared" si="0"/>
        <v>2</v>
      </c>
      <c r="F28" s="72">
        <f t="shared" si="3"/>
        <v>90.06</v>
      </c>
      <c r="G28" s="73">
        <f>IF(D28=D27,"",_xlfn.IFNA(VLOOKUP(D28,'인원 입력 기능 (사과탐)'!$P$236:$S$284,4,FALSE),0))</f>
        <v>20</v>
      </c>
      <c r="H28" s="74">
        <f t="shared" si="4"/>
        <v>5.4779512462339083E-3</v>
      </c>
      <c r="I28" s="78">
        <f>SUM($G$7:G28)</f>
        <v>373</v>
      </c>
      <c r="J28" s="76">
        <f t="shared" si="5"/>
        <v>0.10216379074226239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80">
        <f t="shared" si="2"/>
        <v>63</v>
      </c>
      <c r="E29" s="80">
        <f t="shared" si="0"/>
        <v>2</v>
      </c>
      <c r="F29" s="72">
        <f t="shared" si="3"/>
        <v>89.37</v>
      </c>
      <c r="G29" s="73">
        <f>IF(D29=D28,"",_xlfn.IFNA(VLOOKUP(D29,'인원 입력 기능 (사과탐)'!$P$236:$S$284,4,FALSE),0))</f>
        <v>30</v>
      </c>
      <c r="H29" s="74">
        <f t="shared" si="4"/>
        <v>8.2169268693508633E-3</v>
      </c>
      <c r="I29" s="78">
        <f>SUM($G$7:G29)</f>
        <v>403</v>
      </c>
      <c r="J29" s="76">
        <f t="shared" si="5"/>
        <v>0.11038071761161326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80">
        <f t="shared" si="2"/>
        <v>62</v>
      </c>
      <c r="E30" s="80">
        <f t="shared" si="0"/>
        <v>3</v>
      </c>
      <c r="F30" s="72">
        <f t="shared" si="3"/>
        <v>88.72</v>
      </c>
      <c r="G30" s="73">
        <f>IF(D30=D29,"",_xlfn.IFNA(VLOOKUP(D30,'인원 입력 기능 (사과탐)'!$P$236:$S$284,4,FALSE),0))</f>
        <v>18</v>
      </c>
      <c r="H30" s="74">
        <f t="shared" si="4"/>
        <v>4.9301561216105174E-3</v>
      </c>
      <c r="I30" s="78">
        <f>SUM($G$7:G30)</f>
        <v>421</v>
      </c>
      <c r="J30" s="76">
        <f t="shared" si="5"/>
        <v>0.11531087373322377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80">
        <f t="shared" si="2"/>
        <v>61</v>
      </c>
      <c r="E31" s="80">
        <f t="shared" si="0"/>
        <v>3</v>
      </c>
      <c r="F31" s="72">
        <f t="shared" si="3"/>
        <v>88.17</v>
      </c>
      <c r="G31" s="73">
        <f>IF(D31=D30,"",_xlfn.IFNA(VLOOKUP(D31,'인원 입력 기능 (사과탐)'!$P$236:$S$284,4,FALSE),0))</f>
        <v>22</v>
      </c>
      <c r="H31" s="74">
        <f t="shared" si="4"/>
        <v>6.0257463708572991E-3</v>
      </c>
      <c r="I31" s="78">
        <f>SUM($G$7:G31)</f>
        <v>443</v>
      </c>
      <c r="J31" s="76">
        <f t="shared" si="5"/>
        <v>0.12133662010408107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80">
        <f t="shared" si="2"/>
        <v>60</v>
      </c>
      <c r="E32" s="80">
        <f t="shared" si="0"/>
        <v>3</v>
      </c>
      <c r="F32" s="72">
        <f t="shared" si="3"/>
        <v>87.47</v>
      </c>
      <c r="G32" s="73">
        <f>IF(D32=D31,"",_xlfn.IFNA(VLOOKUP(D32,'인원 입력 기능 (사과탐)'!$P$236:$S$284,4,FALSE),0))</f>
        <v>29</v>
      </c>
      <c r="H32" s="74">
        <f t="shared" si="4"/>
        <v>7.9430293070391674E-3</v>
      </c>
      <c r="I32" s="78">
        <f>SUM($G$7:G32)</f>
        <v>472</v>
      </c>
      <c r="J32" s="76">
        <f t="shared" si="5"/>
        <v>0.12927964941112025</v>
      </c>
      <c r="K32" s="32"/>
      <c r="L32" s="3" t="str">
        <f t="shared" si="1"/>
        <v/>
      </c>
    </row>
    <row r="33" spans="1:12" ht="25" customHeight="1" x14ac:dyDescent="0.45">
      <c r="A33" s="4"/>
      <c r="B33" s="18"/>
      <c r="C33" s="79">
        <v>24</v>
      </c>
      <c r="D33" s="80">
        <f t="shared" si="2"/>
        <v>59</v>
      </c>
      <c r="E33" s="80">
        <f t="shared" si="0"/>
        <v>3</v>
      </c>
      <c r="F33" s="72">
        <f t="shared" si="3"/>
        <v>86.66</v>
      </c>
      <c r="G33" s="73">
        <f>IF(D33=D32,"",_xlfn.IFNA(VLOOKUP(D33,'인원 입력 기능 (사과탐)'!$P$236:$S$284,4,FALSE),0))</f>
        <v>30</v>
      </c>
      <c r="H33" s="74">
        <f t="shared" si="4"/>
        <v>8.2169268693508633E-3</v>
      </c>
      <c r="I33" s="78">
        <f>SUM($G$7:G33)</f>
        <v>502</v>
      </c>
      <c r="J33" s="76">
        <f t="shared" si="5"/>
        <v>0.1374965762804711</v>
      </c>
      <c r="K33" s="32"/>
      <c r="L33" s="3" t="str">
        <f t="shared" si="1"/>
        <v/>
      </c>
    </row>
    <row r="34" spans="1:12" ht="25" customHeight="1" x14ac:dyDescent="0.45">
      <c r="A34" s="4"/>
      <c r="B34" s="18"/>
      <c r="C34" s="81">
        <v>23</v>
      </c>
      <c r="D34" s="80">
        <f t="shared" si="2"/>
        <v>58</v>
      </c>
      <c r="E34" s="80">
        <f t="shared" si="0"/>
        <v>3</v>
      </c>
      <c r="F34" s="72">
        <f t="shared" si="3"/>
        <v>85.73</v>
      </c>
      <c r="G34" s="73">
        <f>IF(D34=D33,"",_xlfn.IFNA(VLOOKUP(D34,'인원 입력 기능 (사과탐)'!$P$236:$S$284,4,FALSE),0))</f>
        <v>38</v>
      </c>
      <c r="H34" s="74">
        <f t="shared" si="4"/>
        <v>1.0408107367844427E-2</v>
      </c>
      <c r="I34" s="78">
        <f>SUM($G$7:G34)</f>
        <v>540</v>
      </c>
      <c r="J34" s="76">
        <f t="shared" si="5"/>
        <v>0.14790468364831552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80">
        <f t="shared" si="2"/>
        <v>57</v>
      </c>
      <c r="E35" s="80">
        <f t="shared" si="0"/>
        <v>3</v>
      </c>
      <c r="F35" s="72">
        <f t="shared" si="3"/>
        <v>84.63</v>
      </c>
      <c r="G35" s="73">
        <f>IF(D35=D34,"",_xlfn.IFNA(VLOOKUP(D35,'인원 입력 기능 (사과탐)'!$P$236:$S$284,4,FALSE),0))</f>
        <v>42</v>
      </c>
      <c r="H35" s="74">
        <f t="shared" si="4"/>
        <v>1.1503697617091208E-2</v>
      </c>
      <c r="I35" s="78">
        <f>SUM($G$7:G35)</f>
        <v>582</v>
      </c>
      <c r="J35" s="76">
        <f t="shared" si="5"/>
        <v>0.15940838126540674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80">
        <f t="shared" si="2"/>
        <v>56</v>
      </c>
      <c r="E36" s="80">
        <f t="shared" si="0"/>
        <v>3</v>
      </c>
      <c r="F36" s="72">
        <f t="shared" si="3"/>
        <v>83.33</v>
      </c>
      <c r="G36" s="73">
        <f>IF(D36=D35,"",_xlfn.IFNA(VLOOKUP(D36,'인원 입력 기능 (사과탐)'!$P$236:$S$284,4,FALSE),0))</f>
        <v>53</v>
      </c>
      <c r="H36" s="74">
        <f t="shared" si="4"/>
        <v>1.4516570802519857E-2</v>
      </c>
      <c r="I36" s="78">
        <f>SUM($G$7:G36)</f>
        <v>635</v>
      </c>
      <c r="J36" s="76">
        <f t="shared" si="5"/>
        <v>0.1739249520679266</v>
      </c>
      <c r="K36" s="32"/>
      <c r="L36" s="3" t="str">
        <f t="shared" si="1"/>
        <v/>
      </c>
    </row>
    <row r="37" spans="1:12" ht="25" customHeight="1" x14ac:dyDescent="0.45">
      <c r="A37" s="4"/>
      <c r="B37" s="18"/>
      <c r="C37" s="79">
        <v>20</v>
      </c>
      <c r="D37" s="80">
        <f t="shared" si="2"/>
        <v>55</v>
      </c>
      <c r="E37" s="80">
        <f t="shared" si="0"/>
        <v>3</v>
      </c>
      <c r="F37" s="72">
        <f t="shared" si="3"/>
        <v>81.83</v>
      </c>
      <c r="G37" s="73">
        <f>IF(D37=D36,"",_xlfn.IFNA(VLOOKUP(D37,'인원 입력 기능 (사과탐)'!$P$236:$S$284,4,FALSE),0))</f>
        <v>57</v>
      </c>
      <c r="H37" s="74">
        <f t="shared" si="4"/>
        <v>1.5612161051766639E-2</v>
      </c>
      <c r="I37" s="78">
        <f>SUM($G$7:G37)</f>
        <v>692</v>
      </c>
      <c r="J37" s="76">
        <f t="shared" si="5"/>
        <v>0.18953711311969323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80">
        <f t="shared" si="2"/>
        <v>54</v>
      </c>
      <c r="E38" s="80">
        <f t="shared" si="0"/>
        <v>3</v>
      </c>
      <c r="F38" s="72">
        <f t="shared" si="3"/>
        <v>79.92</v>
      </c>
      <c r="G38" s="73">
        <f>IF(D38=D37,"",_xlfn.IFNA(VLOOKUP(D38,'인원 입력 기능 (사과탐)'!$P$236:$S$284,4,FALSE),0))</f>
        <v>82</v>
      </c>
      <c r="H38" s="74">
        <f t="shared" si="4"/>
        <v>2.2459600109559025E-2</v>
      </c>
      <c r="I38" s="78">
        <f>SUM($G$7:G38)</f>
        <v>774</v>
      </c>
      <c r="J38" s="76">
        <f t="shared" si="5"/>
        <v>0.21199671322925226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80">
        <f t="shared" si="2"/>
        <v>53</v>
      </c>
      <c r="E39" s="80">
        <f t="shared" ref="E39:E57" si="11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72">
        <f t="shared" si="3"/>
        <v>77.5</v>
      </c>
      <c r="G39" s="73">
        <f>IF(D39=D38,"",_xlfn.IFNA(VLOOKUP(D39,'인원 입력 기능 (사과탐)'!$P$236:$S$284,4,FALSE),0))</f>
        <v>95</v>
      </c>
      <c r="H39" s="74">
        <f t="shared" si="4"/>
        <v>2.6020268419611064E-2</v>
      </c>
      <c r="I39" s="78">
        <f>SUM($G$7:G39)</f>
        <v>869</v>
      </c>
      <c r="J39" s="76">
        <f t="shared" si="5"/>
        <v>0.23801698164886331</v>
      </c>
      <c r="K39" s="32"/>
      <c r="L39" s="3" t="str">
        <f t="shared" si="1"/>
        <v/>
      </c>
    </row>
    <row r="40" spans="1:12" ht="25" customHeight="1" x14ac:dyDescent="0.45">
      <c r="A40" s="4"/>
      <c r="B40" s="18"/>
      <c r="C40" s="81">
        <v>17</v>
      </c>
      <c r="D40" s="80">
        <f t="shared" si="2"/>
        <v>52</v>
      </c>
      <c r="E40" s="80">
        <f t="shared" si="11"/>
        <v>4</v>
      </c>
      <c r="F40" s="72">
        <f t="shared" si="3"/>
        <v>74.72</v>
      </c>
      <c r="G40" s="73">
        <f>IF(D40=D39,"",_xlfn.IFNA(VLOOKUP(D40,'인원 입력 기능 (사과탐)'!$P$236:$S$284,4,FALSE),0))</f>
        <v>108</v>
      </c>
      <c r="H40" s="74">
        <f t="shared" si="4"/>
        <v>2.9580936729663106E-2</v>
      </c>
      <c r="I40" s="78">
        <f>SUM($G$7:G40)</f>
        <v>977</v>
      </c>
      <c r="J40" s="76">
        <f t="shared" si="5"/>
        <v>0.26759791837852642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173">
        <f t="shared" si="2"/>
        <v>51</v>
      </c>
      <c r="E41" s="173">
        <f t="shared" si="11"/>
        <v>4</v>
      </c>
      <c r="F41" s="163">
        <f t="shared" si="3"/>
        <v>69.95</v>
      </c>
      <c r="G41" s="165">
        <f>IF(D41=D40,"",_xlfn.IFNA(VLOOKUP(D41,'인원 입력 기능 (사과탐)'!$P$236:$S$284,4,FALSE),0))</f>
        <v>240</v>
      </c>
      <c r="H41" s="166">
        <f t="shared" si="4"/>
        <v>6.5735414954806906E-2</v>
      </c>
      <c r="I41" s="168">
        <f>SUM($G$7:G41)</f>
        <v>1217</v>
      </c>
      <c r="J41" s="170">
        <f t="shared" si="5"/>
        <v>0.33333333333333331</v>
      </c>
      <c r="K41" s="32"/>
      <c r="L41" s="3" t="str">
        <f t="shared" si="1"/>
        <v>경고</v>
      </c>
    </row>
    <row r="42" spans="1:12" ht="25" customHeight="1" x14ac:dyDescent="0.45">
      <c r="A42" s="4"/>
      <c r="B42" s="18"/>
      <c r="C42" s="81">
        <v>15</v>
      </c>
      <c r="D42" s="172"/>
      <c r="E42" s="172"/>
      <c r="F42" s="162"/>
      <c r="G42" s="164"/>
      <c r="H42" s="167"/>
      <c r="I42" s="169"/>
      <c r="J42" s="171"/>
      <c r="K42" s="32"/>
      <c r="L42" s="3" t="str">
        <f t="shared" si="1"/>
        <v>경고</v>
      </c>
    </row>
    <row r="43" spans="1:12" ht="25" customHeight="1" x14ac:dyDescent="0.45">
      <c r="A43" s="4"/>
      <c r="B43" s="18"/>
      <c r="C43" s="79">
        <v>14</v>
      </c>
      <c r="D43" s="80">
        <f t="shared" si="2"/>
        <v>50</v>
      </c>
      <c r="E43" s="80">
        <f t="shared" si="11"/>
        <v>4</v>
      </c>
      <c r="F43" s="72">
        <f t="shared" si="3"/>
        <v>64.75</v>
      </c>
      <c r="G43" s="73">
        <f>IF(D43=D42,"",_xlfn.IFNA(VLOOKUP(D43,'인원 입력 기능 (사과탐)'!$P$236:$S$284,4,FALSE),0))</f>
        <v>140</v>
      </c>
      <c r="H43" s="74">
        <f t="shared" si="4"/>
        <v>3.8345658723637363E-2</v>
      </c>
      <c r="I43" s="78">
        <f>SUM($G$7:G43)</f>
        <v>1357</v>
      </c>
      <c r="J43" s="76">
        <f t="shared" si="5"/>
        <v>0.37167899205697069</v>
      </c>
      <c r="K43" s="32"/>
      <c r="L43" s="3" t="str">
        <f t="shared" si="1"/>
        <v/>
      </c>
    </row>
    <row r="44" spans="1:12" ht="25" customHeight="1" x14ac:dyDescent="0.45">
      <c r="A44" s="4"/>
      <c r="B44" s="18"/>
      <c r="C44" s="81">
        <v>13</v>
      </c>
      <c r="D44" s="80">
        <f t="shared" si="2"/>
        <v>49</v>
      </c>
      <c r="E44" s="80">
        <f t="shared" si="11"/>
        <v>4</v>
      </c>
      <c r="F44" s="72">
        <f t="shared" si="3"/>
        <v>59.72</v>
      </c>
      <c r="G44" s="73">
        <f>IF(D44=D43,"",_xlfn.IFNA(VLOOKUP(D44,'인원 입력 기능 (사과탐)'!$P$236:$S$284,4,FALSE),0))</f>
        <v>227</v>
      </c>
      <c r="H44" s="74">
        <f t="shared" si="4"/>
        <v>6.2174746644754864E-2</v>
      </c>
      <c r="I44" s="78">
        <f>SUM($G$7:G44)</f>
        <v>1584</v>
      </c>
      <c r="J44" s="76">
        <f t="shared" si="5"/>
        <v>0.43385373870172556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80">
        <f t="shared" si="2"/>
        <v>48</v>
      </c>
      <c r="E45" s="80">
        <f t="shared" si="11"/>
        <v>5</v>
      </c>
      <c r="F45" s="72">
        <f t="shared" si="3"/>
        <v>53.52</v>
      </c>
      <c r="G45" s="73">
        <f>IF(D45=D44,"",_xlfn.IFNA(VLOOKUP(D45,'인원 입력 기능 (사과탐)'!$P$236:$S$284,4,FALSE),0))</f>
        <v>226</v>
      </c>
      <c r="H45" s="74">
        <f t="shared" si="4"/>
        <v>6.1900849082443164E-2</v>
      </c>
      <c r="I45" s="78">
        <f>SUM($G$7:G45)</f>
        <v>1810</v>
      </c>
      <c r="J45" s="76">
        <f t="shared" si="5"/>
        <v>0.4957545877841687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80">
        <f t="shared" si="2"/>
        <v>47</v>
      </c>
      <c r="E46" s="80">
        <f t="shared" si="11"/>
        <v>5</v>
      </c>
      <c r="F46" s="72">
        <f t="shared" si="3"/>
        <v>47.84</v>
      </c>
      <c r="G46" s="73">
        <f>IF(D46=D45,"",_xlfn.IFNA(VLOOKUP(D46,'인원 입력 기능 (사과탐)'!$P$236:$S$284,4,FALSE),0))</f>
        <v>189</v>
      </c>
      <c r="H46" s="74">
        <f t="shared" si="4"/>
        <v>5.1766639276910435E-2</v>
      </c>
      <c r="I46" s="78">
        <f>SUM($G$7:G46)</f>
        <v>1999</v>
      </c>
      <c r="J46" s="76">
        <f t="shared" si="5"/>
        <v>0.5475212270610792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80">
        <f t="shared" si="2"/>
        <v>46</v>
      </c>
      <c r="E47" s="80">
        <f t="shared" si="11"/>
        <v>5</v>
      </c>
      <c r="F47" s="72">
        <f t="shared" si="3"/>
        <v>42.47</v>
      </c>
      <c r="G47" s="73">
        <f>IF(D47=D46,"",_xlfn.IFNA(VLOOKUP(D47,'인원 입력 기능 (사과탐)'!$P$236:$S$284,4,FALSE),0))</f>
        <v>203</v>
      </c>
      <c r="H47" s="74">
        <f t="shared" si="4"/>
        <v>5.560120514927417E-2</v>
      </c>
      <c r="I47" s="78">
        <f>SUM($G$7:G47)</f>
        <v>2202</v>
      </c>
      <c r="J47" s="76">
        <f t="shared" si="5"/>
        <v>0.60312243221035333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81">
        <v>9</v>
      </c>
      <c r="D48" s="80">
        <f t="shared" si="2"/>
        <v>45</v>
      </c>
      <c r="E48" s="80">
        <f t="shared" si="11"/>
        <v>6</v>
      </c>
      <c r="F48" s="72">
        <f t="shared" si="3"/>
        <v>37.299999999999997</v>
      </c>
      <c r="G48" s="73">
        <f>IF(D48=D47,"",_xlfn.IFNA(VLOOKUP(D48,'인원 입력 기능 (사과탐)'!$P$236:$S$284,4,FALSE),0))</f>
        <v>174</v>
      </c>
      <c r="H48" s="74">
        <f t="shared" si="4"/>
        <v>4.7658175842235001E-2</v>
      </c>
      <c r="I48" s="78">
        <f>SUM($G$7:G48)</f>
        <v>2376</v>
      </c>
      <c r="J48" s="76">
        <f t="shared" si="5"/>
        <v>0.65078060805258831</v>
      </c>
      <c r="K48" s="32"/>
      <c r="L48" s="3" t="str">
        <f t="shared" si="1"/>
        <v/>
      </c>
    </row>
    <row r="49" spans="1:12" ht="25" customHeight="1" x14ac:dyDescent="0.45">
      <c r="A49" s="4"/>
      <c r="B49" s="18"/>
      <c r="C49" s="79">
        <v>8</v>
      </c>
      <c r="D49" s="80">
        <f t="shared" si="2"/>
        <v>44</v>
      </c>
      <c r="E49" s="80">
        <f t="shared" si="11"/>
        <v>6</v>
      </c>
      <c r="F49" s="72">
        <f t="shared" si="3"/>
        <v>32.72</v>
      </c>
      <c r="G49" s="73">
        <f>IF(D49=D48,"",_xlfn.IFNA(VLOOKUP(D49,'인원 입력 기능 (사과탐)'!$P$236:$S$284,4,FALSE),0))</f>
        <v>161</v>
      </c>
      <c r="H49" s="74">
        <f t="shared" si="4"/>
        <v>4.4097507532182965E-2</v>
      </c>
      <c r="I49" s="78">
        <f>SUM($G$7:G49)</f>
        <v>2537</v>
      </c>
      <c r="J49" s="76">
        <f t="shared" si="5"/>
        <v>0.69487811558477131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128">
        <v>7</v>
      </c>
      <c r="D50" s="127">
        <f t="shared" si="2"/>
        <v>43</v>
      </c>
      <c r="E50" s="127">
        <f t="shared" si="11"/>
        <v>6</v>
      </c>
      <c r="F50" s="155">
        <f t="shared" si="3"/>
        <v>20.34</v>
      </c>
      <c r="G50" s="156">
        <f>IF(D50=D49,"",_xlfn.IFNA(VLOOKUP(D50,'인원 입력 기능 (사과탐)'!$P$236:$S$284,4,FALSE),0))</f>
        <v>743</v>
      </c>
      <c r="H50" s="157">
        <f t="shared" si="4"/>
        <v>0.20350588879758971</v>
      </c>
      <c r="I50" s="158">
        <f>SUM($G$7:G50)</f>
        <v>3280</v>
      </c>
      <c r="J50" s="159">
        <f t="shared" si="5"/>
        <v>0.89838400438236099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80">
        <f t="shared" si="2"/>
        <v>42</v>
      </c>
      <c r="E51" s="80">
        <f t="shared" si="11"/>
        <v>8</v>
      </c>
      <c r="F51" s="72">
        <f t="shared" si="3"/>
        <v>8.59</v>
      </c>
      <c r="G51" s="73">
        <f>IF(D51=D50,"",_xlfn.IFNA(VLOOKUP(D51,'인원 입력 기능 (사과탐)'!$P$236:$S$284,4,FALSE),0))</f>
        <v>115</v>
      </c>
      <c r="H51" s="74">
        <f t="shared" si="4"/>
        <v>3.1498219665844977E-2</v>
      </c>
      <c r="I51" s="78">
        <f>SUM($G$7:G51)</f>
        <v>3395</v>
      </c>
      <c r="J51" s="76">
        <f t="shared" si="5"/>
        <v>0.92988222404820597</v>
      </c>
      <c r="K51" s="32"/>
      <c r="L51" s="3" t="str">
        <f t="shared" si="1"/>
        <v/>
      </c>
    </row>
    <row r="52" spans="1:12" ht="25" customHeight="1" x14ac:dyDescent="0.45">
      <c r="A52" s="4"/>
      <c r="B52" s="18"/>
      <c r="C52" s="81">
        <v>5</v>
      </c>
      <c r="D52" s="80">
        <f t="shared" si="2"/>
        <v>41</v>
      </c>
      <c r="E52" s="80">
        <f t="shared" si="11"/>
        <v>8</v>
      </c>
      <c r="F52" s="72">
        <f t="shared" si="3"/>
        <v>5.56</v>
      </c>
      <c r="G52" s="73">
        <f>IF(D52=D51,"",_xlfn.IFNA(VLOOKUP(D52,'인원 입력 기능 (사과탐)'!$P$236:$S$284,4,FALSE),0))</f>
        <v>106</v>
      </c>
      <c r="H52" s="74">
        <f t="shared" si="4"/>
        <v>2.9033141605039715E-2</v>
      </c>
      <c r="I52" s="78">
        <f>SUM($G$7:G52)</f>
        <v>3501</v>
      </c>
      <c r="J52" s="76">
        <f t="shared" si="5"/>
        <v>0.95891536565324564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71">
        <f t="shared" si="2"/>
        <v>40</v>
      </c>
      <c r="E53" s="71">
        <f t="shared" si="11"/>
        <v>8</v>
      </c>
      <c r="F53" s="72">
        <f t="shared" si="3"/>
        <v>3.22</v>
      </c>
      <c r="G53" s="73">
        <f>IF(D53=D52,"",_xlfn.IFNA(VLOOKUP(D53,'인원 입력 기능 (사과탐)'!$P$236:$S$284,4,FALSE),0))</f>
        <v>65</v>
      </c>
      <c r="H53" s="74">
        <f t="shared" si="4"/>
        <v>1.7803341550260202E-2</v>
      </c>
      <c r="I53" s="78">
        <f>SUM($G$7:G53)</f>
        <v>3566</v>
      </c>
      <c r="J53" s="76">
        <f t="shared" si="5"/>
        <v>0.97671870720350584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71">
        <f t="shared" si="2"/>
        <v>39</v>
      </c>
      <c r="E54" s="71">
        <f t="shared" si="11"/>
        <v>9</v>
      </c>
      <c r="F54" s="72">
        <f t="shared" si="3"/>
        <v>1.93</v>
      </c>
      <c r="G54" s="73">
        <f>IF(D54=D53,"",_xlfn.IFNA(VLOOKUP(D54,'인원 입력 기능 (사과탐)'!$P$236:$S$284,4,FALSE),0))</f>
        <v>29</v>
      </c>
      <c r="H54" s="74">
        <f t="shared" si="4"/>
        <v>7.9430293070391674E-3</v>
      </c>
      <c r="I54" s="78">
        <f>SUM($G$7:G54)</f>
        <v>3595</v>
      </c>
      <c r="J54" s="76">
        <f t="shared" si="5"/>
        <v>0.984661736510545</v>
      </c>
      <c r="K54" s="32"/>
      <c r="L54" s="3" t="str">
        <f t="shared" si="1"/>
        <v/>
      </c>
    </row>
    <row r="55" spans="1:12" ht="25" customHeight="1" x14ac:dyDescent="0.45">
      <c r="A55" s="4"/>
      <c r="B55" s="18"/>
      <c r="C55" s="70">
        <v>2</v>
      </c>
      <c r="D55" s="71">
        <f t="shared" si="2"/>
        <v>38</v>
      </c>
      <c r="E55" s="71">
        <f t="shared" si="11"/>
        <v>9</v>
      </c>
      <c r="F55" s="72">
        <f t="shared" si="3"/>
        <v>0.99</v>
      </c>
      <c r="G55" s="73">
        <f>IF(D55=D54,"",_xlfn.IFNA(VLOOKUP(D55,'인원 입력 기능 (사과탐)'!$P$236:$S$284,4,FALSE),0))</f>
        <v>40</v>
      </c>
      <c r="H55" s="74">
        <f t="shared" si="4"/>
        <v>1.0955902492467817E-2</v>
      </c>
      <c r="I55" s="78">
        <f>SUM($G$7:G55)</f>
        <v>3635</v>
      </c>
      <c r="J55" s="76">
        <f t="shared" si="5"/>
        <v>0.99561763900301292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36</v>
      </c>
      <c r="E57" s="84">
        <f t="shared" si="11"/>
        <v>9</v>
      </c>
      <c r="F57" s="85">
        <f>IF(I55=0,ROUND(100*(1-(I54+I57)/2/$J$3),2),ROUND(100*(1-(I55+I57)/2/$J$3),2))</f>
        <v>0.22</v>
      </c>
      <c r="G57" s="86">
        <f>_xlfn.IFNA(VLOOKUP(D57,'인원 입력 기능 (사과탐)'!$P$236:$S$284,4,FALSE),0)</f>
        <v>16</v>
      </c>
      <c r="H57" s="87">
        <f>G57/$J$3</f>
        <v>4.3823609969871266E-3</v>
      </c>
      <c r="I57" s="88">
        <f>SUM($G$7:G57)</f>
        <v>3651</v>
      </c>
      <c r="J57" s="89">
        <f>I57/$J$3</f>
        <v>1</v>
      </c>
      <c r="K57" s="32"/>
      <c r="L57" s="3" t="str">
        <f t="shared" ref="L57" si="12">IF(ABS((C57-$H$3)/$H$4*10+50-D57-0.5)&lt;0.1, "경고", "")</f>
        <v/>
      </c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19">
    <mergeCell ref="H41:H42"/>
    <mergeCell ref="I41:I42"/>
    <mergeCell ref="J41:J42"/>
    <mergeCell ref="D18:D19"/>
    <mergeCell ref="E18:E19"/>
    <mergeCell ref="F18:F19"/>
    <mergeCell ref="G18:G19"/>
    <mergeCell ref="H18:H19"/>
    <mergeCell ref="I18:I19"/>
    <mergeCell ref="J18:J19"/>
    <mergeCell ref="D3:F3"/>
    <mergeCell ref="D4:F4"/>
    <mergeCell ref="D8:J8"/>
    <mergeCell ref="D56:J56"/>
    <mergeCell ref="G5:J5"/>
    <mergeCell ref="D41:D42"/>
    <mergeCell ref="E41:E42"/>
    <mergeCell ref="F41:F42"/>
    <mergeCell ref="G41:G42"/>
  </mergeCells>
  <phoneticPr fontId="1" type="noConversion"/>
  <conditionalFormatting sqref="D51:J57 D43:J49 D7:J18 D20:J41">
    <cfRule type="expression" dxfId="20" priority="3">
      <formula>OR($D7=$Q$7:$Q$14)</formula>
    </cfRule>
  </conditionalFormatting>
  <conditionalFormatting sqref="C7:C49 C51:C57">
    <cfRule type="expression" dxfId="19" priority="2">
      <formula>OR(AND($D7=0,OR($D6=$Q$7:$Q$14)),AND($D8&gt;0,OR($D7=$Q$7:$Q$14)))</formula>
    </cfRule>
  </conditionalFormatting>
  <conditionalFormatting sqref="D51:D57 D43:D49 D7:D18 D20:D41">
    <cfRule type="expression" dxfId="18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041B4-57EC-4745-8891-12D486FE2062}">
  <sheetPr codeName="Sheet24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기능'!D23</f>
        <v>29.72</v>
      </c>
      <c r="I3" s="14" t="s">
        <v>110</v>
      </c>
      <c r="J3" s="36">
        <f>'통계 및 응시자 수 입력 기능'!C23</f>
        <v>1693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119</v>
      </c>
      <c r="E4" s="114"/>
      <c r="F4" s="115"/>
      <c r="G4" s="38" t="s">
        <v>113</v>
      </c>
      <c r="H4" s="39" t="str">
        <f>'통계 및 응시자 수 입력 기능'!E23</f>
        <v>14.66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/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64</v>
      </c>
      <c r="E7" s="71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96.07</v>
      </c>
      <c r="G7" s="73">
        <f>_xlfn.IFNA(VLOOKUP(D7,'인원 입력 기능 (직탐)'!$A$5:$D$53,4,FALSE),0)</f>
        <v>133</v>
      </c>
      <c r="H7" s="74">
        <f>G7/$J$3</f>
        <v>7.8558771411695219E-2</v>
      </c>
      <c r="I7" s="75">
        <f>G7</f>
        <v>133</v>
      </c>
      <c r="J7" s="76">
        <f>I7/$J$3</f>
        <v>7.8558771411695219E-2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입력기능'!C175</f>
        <v>64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입력기능'!C176</f>
        <v>62</v>
      </c>
    </row>
    <row r="9" spans="1:17" ht="25" customHeight="1" x14ac:dyDescent="0.45">
      <c r="A9" s="4"/>
      <c r="B9" s="18"/>
      <c r="C9" s="70">
        <v>48</v>
      </c>
      <c r="D9" s="161">
        <f>ROUND(10*(C9-$H$3)/$H$4+50,0)</f>
        <v>62</v>
      </c>
      <c r="E9" s="161">
        <f t="shared" si="0"/>
        <v>2</v>
      </c>
      <c r="F9" s="163">
        <f>IF(I8=0,ROUND(100*(1-(I7+I9)/2/$J$3),2),ROUND(100*(1-(I8+I9)/2/$J$3),2))</f>
        <v>87.57</v>
      </c>
      <c r="G9" s="165">
        <f>_xlfn.IFNA(VLOOKUP(D9,'인원 입력 기능 (직탐)'!$A$5:$D$53,4,FALSE),0)</f>
        <v>155</v>
      </c>
      <c r="H9" s="166">
        <f>G9/$J$3</f>
        <v>9.1553455404607201E-2</v>
      </c>
      <c r="I9" s="168">
        <f>SUM($G$7:G9)</f>
        <v>288</v>
      </c>
      <c r="J9" s="170">
        <f>I9/$J$3</f>
        <v>0.17011222681630242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입력기능'!C177</f>
        <v>60</v>
      </c>
    </row>
    <row r="10" spans="1:17" ht="25" customHeight="1" x14ac:dyDescent="0.45">
      <c r="A10" s="4"/>
      <c r="B10" s="18"/>
      <c r="C10" s="77">
        <v>47</v>
      </c>
      <c r="D10" s="160"/>
      <c r="E10" s="160"/>
      <c r="F10" s="162"/>
      <c r="G10" s="164"/>
      <c r="H10" s="167"/>
      <c r="I10" s="169"/>
      <c r="J10" s="171"/>
      <c r="K10" s="32"/>
      <c r="L10" s="3" t="str">
        <f t="shared" si="1"/>
        <v>경고</v>
      </c>
      <c r="P10" s="1">
        <v>4</v>
      </c>
      <c r="Q10" s="1">
        <f>'표준점수 등급컷 입력기능'!C178</f>
        <v>55</v>
      </c>
    </row>
    <row r="11" spans="1:17" ht="25" customHeight="1" x14ac:dyDescent="0.45">
      <c r="A11" s="4"/>
      <c r="B11" s="18"/>
      <c r="C11" s="70">
        <v>46</v>
      </c>
      <c r="D11" s="71">
        <f t="shared" ref="D10:D55" si="2">ROUND(10*(C11-$H$3)/$H$4+50,0)</f>
        <v>61</v>
      </c>
      <c r="E11" s="71">
        <f t="shared" si="0"/>
        <v>3</v>
      </c>
      <c r="F11" s="72">
        <f t="shared" ref="F10:F55" si="3">IF(I10=0,ROUND(100*(1-(I9+I11)/2/$J$3),2),ROUND(100*(1-(I10+I11)/2/$J$3),2))</f>
        <v>82.49</v>
      </c>
      <c r="G11" s="73">
        <f>IF(D11=D10,"",_xlfn.IFNA(VLOOKUP(D11,'인원 입력 기능 (직탐)'!$A$5:$D$53,4,FALSE),0))</f>
        <v>17</v>
      </c>
      <c r="H11" s="74">
        <f t="shared" ref="H10:H55" si="4">G11/$J$3</f>
        <v>1.004134672179563E-2</v>
      </c>
      <c r="I11" s="78">
        <f>SUM($G$7:G11)</f>
        <v>305</v>
      </c>
      <c r="J11" s="76">
        <f t="shared" ref="J10:J55" si="5">I11/$J$3</f>
        <v>0.18015357353809805</v>
      </c>
      <c r="K11" s="32"/>
      <c r="L11" s="3" t="str">
        <f t="shared" si="1"/>
        <v/>
      </c>
      <c r="P11" s="1">
        <v>5</v>
      </c>
      <c r="Q11" s="1">
        <f>'표준점수 등급컷 입력기능'!C179</f>
        <v>47</v>
      </c>
    </row>
    <row r="12" spans="1:17" ht="25" customHeight="1" x14ac:dyDescent="0.45">
      <c r="A12" s="4"/>
      <c r="B12" s="18"/>
      <c r="C12" s="77">
        <v>45</v>
      </c>
      <c r="D12" s="161">
        <f t="shared" si="2"/>
        <v>60</v>
      </c>
      <c r="E12" s="161">
        <f t="shared" si="0"/>
        <v>3</v>
      </c>
      <c r="F12" s="163">
        <f t="shared" si="3"/>
        <v>78.88</v>
      </c>
      <c r="G12" s="165">
        <f>IF(D12=D11,"",_xlfn.IFNA(VLOOKUP(D12,'인원 입력 기능 (직탐)'!$A$5:$D$53,4,FALSE),0))</f>
        <v>105</v>
      </c>
      <c r="H12" s="166">
        <f t="shared" si="4"/>
        <v>6.2020082693443591E-2</v>
      </c>
      <c r="I12" s="168">
        <f>SUM($G$7:G12)</f>
        <v>410</v>
      </c>
      <c r="J12" s="170">
        <f t="shared" si="5"/>
        <v>0.24217365623154163</v>
      </c>
      <c r="K12" s="32"/>
      <c r="L12" s="3" t="str">
        <f t="shared" si="1"/>
        <v/>
      </c>
      <c r="P12" s="1">
        <v>6</v>
      </c>
      <c r="Q12" s="1">
        <f>'표준점수 등급컷 입력기능'!C180</f>
        <v>39</v>
      </c>
    </row>
    <row r="13" spans="1:17" ht="25" customHeight="1" x14ac:dyDescent="0.45">
      <c r="A13" s="4"/>
      <c r="B13" s="18"/>
      <c r="C13" s="70">
        <v>44</v>
      </c>
      <c r="D13" s="160"/>
      <c r="E13" s="160"/>
      <c r="F13" s="162"/>
      <c r="G13" s="164"/>
      <c r="H13" s="167"/>
      <c r="I13" s="169"/>
      <c r="J13" s="171"/>
      <c r="K13" s="32"/>
      <c r="L13" s="3" t="str">
        <f t="shared" si="1"/>
        <v>경고</v>
      </c>
      <c r="P13" s="1">
        <v>7</v>
      </c>
      <c r="Q13" s="1">
        <f>'표준점수 등급컷 입력기능'!C181</f>
        <v>37</v>
      </c>
    </row>
    <row r="14" spans="1:17" ht="25" customHeight="1" x14ac:dyDescent="0.45">
      <c r="A14" s="4"/>
      <c r="B14" s="18"/>
      <c r="C14" s="77">
        <v>43</v>
      </c>
      <c r="D14" s="71">
        <f t="shared" si="2"/>
        <v>59</v>
      </c>
      <c r="E14" s="71">
        <f t="shared" si="0"/>
        <v>4</v>
      </c>
      <c r="F14" s="72">
        <f t="shared" si="3"/>
        <v>74.84</v>
      </c>
      <c r="G14" s="73">
        <f>IF(D14=D13,"",_xlfn.IFNA(VLOOKUP(D14,'인원 입력 기능 (직탐)'!$A$5:$D$53,4,FALSE),0))</f>
        <v>32</v>
      </c>
      <c r="H14" s="74">
        <f t="shared" si="4"/>
        <v>1.8901358535144713E-2</v>
      </c>
      <c r="I14" s="78">
        <f>SUM($G$7:G14)</f>
        <v>442</v>
      </c>
      <c r="J14" s="76">
        <f t="shared" si="5"/>
        <v>0.26107501476668638</v>
      </c>
      <c r="K14" s="32"/>
      <c r="L14" s="3" t="str">
        <f t="shared" si="1"/>
        <v/>
      </c>
      <c r="P14" s="1">
        <v>8</v>
      </c>
      <c r="Q14" s="1">
        <f>'표준점수 등급컷 입력기능'!C182</f>
        <v>35</v>
      </c>
    </row>
    <row r="15" spans="1:17" ht="25" customHeight="1" x14ac:dyDescent="0.45">
      <c r="A15" s="4"/>
      <c r="B15" s="18"/>
      <c r="C15" s="70">
        <v>42</v>
      </c>
      <c r="D15" s="161">
        <f t="shared" si="2"/>
        <v>58</v>
      </c>
      <c r="E15" s="161">
        <f t="shared" si="0"/>
        <v>4</v>
      </c>
      <c r="F15" s="163">
        <f t="shared" si="3"/>
        <v>71.2</v>
      </c>
      <c r="G15" s="165">
        <f>IF(D15=D14,"",_xlfn.IFNA(VLOOKUP(D15,'인원 입력 기능 (직탐)'!$A$5:$D$53,4,FALSE),0))</f>
        <v>91</v>
      </c>
      <c r="H15" s="166">
        <f t="shared" si="4"/>
        <v>5.3750738334317781E-2</v>
      </c>
      <c r="I15" s="168">
        <f>SUM($G$7:G15)</f>
        <v>533</v>
      </c>
      <c r="J15" s="170">
        <f t="shared" si="5"/>
        <v>0.31482575310100414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160"/>
      <c r="E16" s="160"/>
      <c r="F16" s="162"/>
      <c r="G16" s="164"/>
      <c r="H16" s="167"/>
      <c r="I16" s="169"/>
      <c r="J16" s="171"/>
      <c r="K16" s="32"/>
      <c r="L16" s="3" t="str">
        <f t="shared" si="1"/>
        <v>경고</v>
      </c>
    </row>
    <row r="17" spans="1:16" ht="25" customHeight="1" x14ac:dyDescent="0.45">
      <c r="A17" s="4"/>
      <c r="B17" s="18"/>
      <c r="C17" s="70">
        <v>40</v>
      </c>
      <c r="D17" s="71">
        <f t="shared" si="2"/>
        <v>57</v>
      </c>
      <c r="E17" s="71">
        <f t="shared" si="0"/>
        <v>4</v>
      </c>
      <c r="F17" s="72">
        <f t="shared" si="3"/>
        <v>67.45</v>
      </c>
      <c r="G17" s="73">
        <f>IF(D17=D16,"",_xlfn.IFNA(VLOOKUP(D17,'인원 입력 기능 (직탐)'!$A$5:$D$53,4,FALSE),0))</f>
        <v>36</v>
      </c>
      <c r="H17" s="74">
        <f t="shared" si="4"/>
        <v>2.1264028352037802E-2</v>
      </c>
      <c r="I17" s="78">
        <f>SUM($G$7:G17)</f>
        <v>569</v>
      </c>
      <c r="J17" s="76">
        <f t="shared" si="5"/>
        <v>0.33608978145304191</v>
      </c>
      <c r="K17" s="32"/>
      <c r="L17" s="3" t="str">
        <f t="shared" si="1"/>
        <v/>
      </c>
      <c r="P17" s="1">
        <f>Q7*H3*H4*J3*IFERROR(IF(J57=1,1,0),0)</f>
        <v>47208446.310400002</v>
      </c>
    </row>
    <row r="18" spans="1:16" ht="25" customHeight="1" x14ac:dyDescent="0.45">
      <c r="A18" s="4"/>
      <c r="B18" s="18"/>
      <c r="C18" s="77">
        <v>39</v>
      </c>
      <c r="D18" s="161">
        <f t="shared" si="2"/>
        <v>56</v>
      </c>
      <c r="E18" s="161">
        <f t="shared" si="0"/>
        <v>4</v>
      </c>
      <c r="F18" s="163">
        <f t="shared" si="3"/>
        <v>63.73</v>
      </c>
      <c r="G18" s="165">
        <f>IF(D18=D17,"",_xlfn.IFNA(VLOOKUP(D18,'인원 입력 기능 (직탐)'!$A$5:$D$53,4,FALSE),0))</f>
        <v>90</v>
      </c>
      <c r="H18" s="166">
        <f t="shared" si="4"/>
        <v>5.3160070880094508E-2</v>
      </c>
      <c r="I18" s="168">
        <f>SUM($G$7:G18)</f>
        <v>659</v>
      </c>
      <c r="J18" s="170">
        <f t="shared" si="5"/>
        <v>0.38924985233313647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160"/>
      <c r="E19" s="160"/>
      <c r="F19" s="162"/>
      <c r="G19" s="164"/>
      <c r="H19" s="167"/>
      <c r="I19" s="169"/>
      <c r="J19" s="171"/>
      <c r="K19" s="32"/>
      <c r="L19" s="3" t="str">
        <f t="shared" si="1"/>
        <v>경고</v>
      </c>
    </row>
    <row r="20" spans="1:16" ht="25" customHeight="1" x14ac:dyDescent="0.45">
      <c r="A20" s="4"/>
      <c r="B20" s="18"/>
      <c r="C20" s="77">
        <v>37</v>
      </c>
      <c r="D20" s="71">
        <f t="shared" si="2"/>
        <v>55</v>
      </c>
      <c r="E20" s="71">
        <f t="shared" si="0"/>
        <v>4</v>
      </c>
      <c r="F20" s="72">
        <f t="shared" si="3"/>
        <v>59.95</v>
      </c>
      <c r="G20" s="73">
        <f>IF(D20=D19,"",_xlfn.IFNA(VLOOKUP(D20,'인원 입력 기능 (직탐)'!$A$5:$D$53,4,FALSE),0))</f>
        <v>38</v>
      </c>
      <c r="H20" s="74">
        <f t="shared" si="4"/>
        <v>2.2445363260484349E-2</v>
      </c>
      <c r="I20" s="78">
        <f>SUM($G$7:G20)</f>
        <v>697</v>
      </c>
      <c r="J20" s="76">
        <f t="shared" si="5"/>
        <v>0.41169521559362077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173">
        <f t="shared" si="2"/>
        <v>54</v>
      </c>
      <c r="E21" s="173">
        <f t="shared" si="0"/>
        <v>5</v>
      </c>
      <c r="F21" s="163">
        <f t="shared" si="3"/>
        <v>56.91</v>
      </c>
      <c r="G21" s="165">
        <f>IF(D21=D20,"",_xlfn.IFNA(VLOOKUP(D21,'인원 입력 기능 (직탐)'!$A$5:$D$53,4,FALSE),0))</f>
        <v>65</v>
      </c>
      <c r="H21" s="166">
        <f t="shared" si="4"/>
        <v>3.83933845245127E-2</v>
      </c>
      <c r="I21" s="168">
        <f>SUM($G$7:G21)</f>
        <v>762</v>
      </c>
      <c r="J21" s="170">
        <f t="shared" si="5"/>
        <v>0.45008860011813351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172"/>
      <c r="E22" s="172"/>
      <c r="F22" s="162"/>
      <c r="G22" s="164"/>
      <c r="H22" s="167"/>
      <c r="I22" s="169"/>
      <c r="J22" s="171"/>
      <c r="K22" s="32"/>
      <c r="L22" s="3" t="str">
        <f t="shared" si="1"/>
        <v>경고</v>
      </c>
    </row>
    <row r="23" spans="1:16" ht="25" customHeight="1" x14ac:dyDescent="0.45">
      <c r="A23" s="4"/>
      <c r="B23" s="18"/>
      <c r="C23" s="79">
        <v>34</v>
      </c>
      <c r="D23" s="80">
        <f t="shared" si="2"/>
        <v>53</v>
      </c>
      <c r="E23" s="80">
        <f t="shared" si="0"/>
        <v>5</v>
      </c>
      <c r="F23" s="72">
        <f t="shared" si="3"/>
        <v>54.05</v>
      </c>
      <c r="G23" s="73">
        <f>IF(D23=D22,"",_xlfn.IFNA(VLOOKUP(D23,'인원 입력 기능 (직탐)'!$A$5:$D$53,4,FALSE),0))</f>
        <v>32</v>
      </c>
      <c r="H23" s="74">
        <f t="shared" si="4"/>
        <v>1.8901358535144713E-2</v>
      </c>
      <c r="I23" s="78">
        <f>SUM($G$7:G23)</f>
        <v>794</v>
      </c>
      <c r="J23" s="76">
        <f t="shared" si="5"/>
        <v>0.46898995865327819</v>
      </c>
      <c r="K23" s="32"/>
      <c r="L23" s="3" t="str">
        <f t="shared" si="1"/>
        <v/>
      </c>
    </row>
    <row r="24" spans="1:16" ht="25" customHeight="1" x14ac:dyDescent="0.45">
      <c r="A24" s="4"/>
      <c r="B24" s="18"/>
      <c r="C24" s="81">
        <v>33</v>
      </c>
      <c r="D24" s="173">
        <f t="shared" si="2"/>
        <v>52</v>
      </c>
      <c r="E24" s="173">
        <f t="shared" si="0"/>
        <v>5</v>
      </c>
      <c r="F24" s="163">
        <f t="shared" si="3"/>
        <v>51.33</v>
      </c>
      <c r="G24" s="165">
        <f>IF(D24=D23,"",_xlfn.IFNA(VLOOKUP(D24,'인원 입력 기능 (직탐)'!$A$5:$D$53,4,FALSE),0))</f>
        <v>60</v>
      </c>
      <c r="H24" s="166">
        <f t="shared" si="4"/>
        <v>3.5440047253396341E-2</v>
      </c>
      <c r="I24" s="168">
        <f>SUM($G$7:G24)</f>
        <v>854</v>
      </c>
      <c r="J24" s="170">
        <f t="shared" si="5"/>
        <v>0.50443000590667453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172"/>
      <c r="E25" s="172"/>
      <c r="F25" s="162"/>
      <c r="G25" s="164"/>
      <c r="H25" s="167"/>
      <c r="I25" s="169"/>
      <c r="J25" s="171"/>
      <c r="K25" s="32"/>
      <c r="L25" s="3" t="str">
        <f t="shared" si="1"/>
        <v>경고</v>
      </c>
    </row>
    <row r="26" spans="1:16" ht="25" customHeight="1" x14ac:dyDescent="0.45">
      <c r="A26" s="4"/>
      <c r="B26" s="18"/>
      <c r="C26" s="81">
        <v>31</v>
      </c>
      <c r="D26" s="80">
        <f t="shared" si="2"/>
        <v>51</v>
      </c>
      <c r="E26" s="80">
        <f t="shared" si="0"/>
        <v>5</v>
      </c>
      <c r="F26" s="72">
        <f t="shared" si="3"/>
        <v>48.67</v>
      </c>
      <c r="G26" s="73">
        <f>IF(D26=D25,"",_xlfn.IFNA(VLOOKUP(D26,'인원 입력 기능 (직탐)'!$A$5:$D$53,4,FALSE),0))</f>
        <v>30</v>
      </c>
      <c r="H26" s="74">
        <f t="shared" si="4"/>
        <v>1.772002362669817E-2</v>
      </c>
      <c r="I26" s="78">
        <f>SUM($G$7:G26)</f>
        <v>884</v>
      </c>
      <c r="J26" s="76">
        <f t="shared" si="5"/>
        <v>0.52215002953337275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173">
        <f t="shared" si="2"/>
        <v>50</v>
      </c>
      <c r="E27" s="173">
        <f t="shared" si="0"/>
        <v>5</v>
      </c>
      <c r="F27" s="163">
        <f t="shared" si="3"/>
        <v>45.78</v>
      </c>
      <c r="G27" s="165">
        <f>IF(D27=D26,"",_xlfn.IFNA(VLOOKUP(D27,'인원 입력 기능 (직탐)'!$A$5:$D$53,4,FALSE),0))</f>
        <v>68</v>
      </c>
      <c r="H27" s="166">
        <f t="shared" si="4"/>
        <v>4.0165386887182519E-2</v>
      </c>
      <c r="I27" s="168">
        <f>SUM($G$7:G27)</f>
        <v>952</v>
      </c>
      <c r="J27" s="170">
        <f t="shared" si="5"/>
        <v>0.56231541642055527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172"/>
      <c r="E28" s="172"/>
      <c r="F28" s="162"/>
      <c r="G28" s="164"/>
      <c r="H28" s="167"/>
      <c r="I28" s="169"/>
      <c r="J28" s="171"/>
      <c r="K28" s="32"/>
      <c r="L28" s="3" t="str">
        <f t="shared" si="1"/>
        <v>경고</v>
      </c>
    </row>
    <row r="29" spans="1:16" ht="25" customHeight="1" x14ac:dyDescent="0.45">
      <c r="A29" s="4"/>
      <c r="B29" s="18"/>
      <c r="C29" s="79">
        <v>28</v>
      </c>
      <c r="D29" s="80">
        <f t="shared" si="2"/>
        <v>49</v>
      </c>
      <c r="E29" s="80">
        <f t="shared" si="0"/>
        <v>5</v>
      </c>
      <c r="F29" s="72">
        <f t="shared" si="3"/>
        <v>42.91</v>
      </c>
      <c r="G29" s="73">
        <f>IF(D29=D28,"",_xlfn.IFNA(VLOOKUP(D29,'인원 입력 기능 (직탐)'!$A$5:$D$53,4,FALSE),0))</f>
        <v>29</v>
      </c>
      <c r="H29" s="74">
        <f t="shared" si="4"/>
        <v>1.7129356172474897E-2</v>
      </c>
      <c r="I29" s="78">
        <f>SUM($G$7:G29)</f>
        <v>981</v>
      </c>
      <c r="J29" s="76">
        <f t="shared" si="5"/>
        <v>0.57944477259303018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80">
        <f t="shared" si="2"/>
        <v>48</v>
      </c>
      <c r="E30" s="80">
        <f t="shared" si="0"/>
        <v>5</v>
      </c>
      <c r="F30" s="72">
        <f t="shared" si="3"/>
        <v>41.23</v>
      </c>
      <c r="G30" s="73">
        <f>IF(D30=D29,"",_xlfn.IFNA(VLOOKUP(D30,'인원 입력 기능 (직탐)'!$A$5:$D$53,4,FALSE),0))</f>
        <v>28</v>
      </c>
      <c r="H30" s="74">
        <f t="shared" si="4"/>
        <v>1.6538688718251624E-2</v>
      </c>
      <c r="I30" s="78">
        <f>SUM($G$7:G30)</f>
        <v>1009</v>
      </c>
      <c r="J30" s="76">
        <f t="shared" si="5"/>
        <v>0.59598346131128177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173">
        <f t="shared" si="2"/>
        <v>47</v>
      </c>
      <c r="E31" s="173">
        <f t="shared" si="0"/>
        <v>5</v>
      </c>
      <c r="F31" s="163">
        <f t="shared" si="3"/>
        <v>39.07</v>
      </c>
      <c r="G31" s="165">
        <f>IF(D31=D30,"",_xlfn.IFNA(VLOOKUP(D31,'인원 입력 기능 (직탐)'!$A$5:$D$53,4,FALSE),0))</f>
        <v>45</v>
      </c>
      <c r="H31" s="166">
        <f t="shared" si="4"/>
        <v>2.6580035440047254E-2</v>
      </c>
      <c r="I31" s="168">
        <f>SUM($G$7:G31)</f>
        <v>1054</v>
      </c>
      <c r="J31" s="170">
        <f t="shared" si="5"/>
        <v>0.62256349675132905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172"/>
      <c r="E32" s="172"/>
      <c r="F32" s="162"/>
      <c r="G32" s="164"/>
      <c r="H32" s="167"/>
      <c r="I32" s="169"/>
      <c r="J32" s="171"/>
      <c r="K32" s="32"/>
      <c r="L32" s="3" t="str">
        <f t="shared" si="1"/>
        <v>경고</v>
      </c>
    </row>
    <row r="33" spans="1:12" ht="25" customHeight="1" x14ac:dyDescent="0.45">
      <c r="A33" s="4"/>
      <c r="B33" s="18"/>
      <c r="C33" s="79">
        <v>24</v>
      </c>
      <c r="D33" s="80">
        <f t="shared" si="2"/>
        <v>46</v>
      </c>
      <c r="E33" s="80">
        <f t="shared" si="0"/>
        <v>6</v>
      </c>
      <c r="F33" s="72">
        <f t="shared" si="3"/>
        <v>37.01</v>
      </c>
      <c r="G33" s="73">
        <f>IF(D33=D32,"",_xlfn.IFNA(VLOOKUP(D33,'인원 입력 기능 (직탐)'!$A$5:$D$53,4,FALSE),0))</f>
        <v>25</v>
      </c>
      <c r="H33" s="74">
        <f t="shared" si="4"/>
        <v>1.4766686355581808E-2</v>
      </c>
      <c r="I33" s="78">
        <f>SUM($G$7:G33)</f>
        <v>1079</v>
      </c>
      <c r="J33" s="76">
        <f t="shared" si="5"/>
        <v>0.63733018310691081</v>
      </c>
      <c r="K33" s="32"/>
      <c r="L33" s="3" t="str">
        <f t="shared" si="1"/>
        <v/>
      </c>
    </row>
    <row r="34" spans="1:12" ht="25" customHeight="1" x14ac:dyDescent="0.45">
      <c r="A34" s="4"/>
      <c r="B34" s="18"/>
      <c r="C34" s="81">
        <v>23</v>
      </c>
      <c r="D34" s="173">
        <f t="shared" si="2"/>
        <v>45</v>
      </c>
      <c r="E34" s="173">
        <f t="shared" si="0"/>
        <v>6</v>
      </c>
      <c r="F34" s="163">
        <f t="shared" si="3"/>
        <v>35.200000000000003</v>
      </c>
      <c r="G34" s="165">
        <f>IF(D34=D33,"",_xlfn.IFNA(VLOOKUP(D34,'인원 입력 기능 (직탐)'!$A$5:$D$53,4,FALSE),0))</f>
        <v>36</v>
      </c>
      <c r="H34" s="166">
        <f t="shared" si="4"/>
        <v>2.1264028352037802E-2</v>
      </c>
      <c r="I34" s="168">
        <f>SUM($G$7:G34)</f>
        <v>1115</v>
      </c>
      <c r="J34" s="170">
        <f t="shared" si="5"/>
        <v>0.65859421145894859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172"/>
      <c r="E35" s="172"/>
      <c r="F35" s="162"/>
      <c r="G35" s="164"/>
      <c r="H35" s="167"/>
      <c r="I35" s="169"/>
      <c r="J35" s="171"/>
      <c r="K35" s="32"/>
      <c r="L35" s="3" t="str">
        <f t="shared" si="1"/>
        <v>경고</v>
      </c>
    </row>
    <row r="36" spans="1:12" ht="25" customHeight="1" x14ac:dyDescent="0.45">
      <c r="A36" s="4"/>
      <c r="B36" s="18"/>
      <c r="C36" s="81">
        <v>21</v>
      </c>
      <c r="D36" s="80">
        <f t="shared" si="2"/>
        <v>44</v>
      </c>
      <c r="E36" s="80">
        <f t="shared" si="0"/>
        <v>6</v>
      </c>
      <c r="F36" s="72">
        <f t="shared" si="3"/>
        <v>33.17</v>
      </c>
      <c r="G36" s="73">
        <f>IF(D36=D35,"",_xlfn.IFNA(VLOOKUP(D36,'인원 입력 기능 (직탐)'!$A$5:$D$53,4,FALSE),0))</f>
        <v>33</v>
      </c>
      <c r="H36" s="74">
        <f t="shared" si="4"/>
        <v>1.9492025989367986E-2</v>
      </c>
      <c r="I36" s="78">
        <f>SUM($G$7:G36)</f>
        <v>1148</v>
      </c>
      <c r="J36" s="76">
        <f t="shared" si="5"/>
        <v>0.67808623744831664</v>
      </c>
      <c r="K36" s="32"/>
      <c r="L36" s="3" t="str">
        <f t="shared" si="1"/>
        <v/>
      </c>
    </row>
    <row r="37" spans="1:12" ht="25" customHeight="1" x14ac:dyDescent="0.45">
      <c r="A37" s="4"/>
      <c r="B37" s="18"/>
      <c r="C37" s="79">
        <v>20</v>
      </c>
      <c r="D37" s="173">
        <f t="shared" si="2"/>
        <v>43</v>
      </c>
      <c r="E37" s="173">
        <f t="shared" si="0"/>
        <v>6</v>
      </c>
      <c r="F37" s="163">
        <f t="shared" si="3"/>
        <v>31.04</v>
      </c>
      <c r="G37" s="165">
        <f>IF(D37=D36,"",_xlfn.IFNA(VLOOKUP(D37,'인원 입력 기능 (직탐)'!$A$5:$D$53,4,FALSE),0))</f>
        <v>39</v>
      </c>
      <c r="H37" s="166">
        <f t="shared" si="4"/>
        <v>2.3036030714707618E-2</v>
      </c>
      <c r="I37" s="168">
        <f>SUM($G$7:G37)</f>
        <v>1187</v>
      </c>
      <c r="J37" s="170">
        <f t="shared" si="5"/>
        <v>0.70112226816302425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172"/>
      <c r="E38" s="172"/>
      <c r="F38" s="162"/>
      <c r="G38" s="164"/>
      <c r="H38" s="167"/>
      <c r="I38" s="169"/>
      <c r="J38" s="171"/>
      <c r="K38" s="32"/>
      <c r="L38" s="3" t="str">
        <f t="shared" si="1"/>
        <v>경고</v>
      </c>
    </row>
    <row r="39" spans="1:12" ht="25" customHeight="1" x14ac:dyDescent="0.45">
      <c r="A39" s="4"/>
      <c r="B39" s="18"/>
      <c r="C39" s="79">
        <v>18</v>
      </c>
      <c r="D39" s="80">
        <f t="shared" si="2"/>
        <v>42</v>
      </c>
      <c r="E39" s="80">
        <f t="shared" si="0"/>
        <v>6</v>
      </c>
      <c r="F39" s="72">
        <f t="shared" si="3"/>
        <v>29.33</v>
      </c>
      <c r="G39" s="73">
        <f>IF(D39=D38,"",_xlfn.IFNA(VLOOKUP(D39,'인원 입력 기능 (직탐)'!$A$5:$D$53,4,FALSE),0))</f>
        <v>19</v>
      </c>
      <c r="H39" s="74">
        <f t="shared" si="4"/>
        <v>1.1222681630242174E-2</v>
      </c>
      <c r="I39" s="78">
        <f>SUM($G$7:G39)</f>
        <v>1206</v>
      </c>
      <c r="J39" s="76">
        <f t="shared" si="5"/>
        <v>0.71234494979326635</v>
      </c>
      <c r="K39" s="32"/>
      <c r="L39" s="3" t="str">
        <f t="shared" si="1"/>
        <v/>
      </c>
    </row>
    <row r="40" spans="1:12" ht="25" customHeight="1" x14ac:dyDescent="0.45">
      <c r="A40" s="4"/>
      <c r="B40" s="18"/>
      <c r="C40" s="81">
        <v>17</v>
      </c>
      <c r="D40" s="173">
        <f t="shared" si="2"/>
        <v>41</v>
      </c>
      <c r="E40" s="173">
        <f t="shared" si="0"/>
        <v>6</v>
      </c>
      <c r="F40" s="163">
        <f t="shared" si="3"/>
        <v>27.64</v>
      </c>
      <c r="G40" s="165">
        <f>IF(D40=D39,"",_xlfn.IFNA(VLOOKUP(D40,'인원 입력 기능 (직탐)'!$A$5:$D$53,4,FALSE),0))</f>
        <v>38</v>
      </c>
      <c r="H40" s="166">
        <f t="shared" si="4"/>
        <v>2.2445363260484349E-2</v>
      </c>
      <c r="I40" s="168">
        <f>SUM($G$7:G40)</f>
        <v>1244</v>
      </c>
      <c r="J40" s="170">
        <f t="shared" si="5"/>
        <v>0.73479031305375075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172"/>
      <c r="E41" s="172"/>
      <c r="F41" s="162"/>
      <c r="G41" s="164"/>
      <c r="H41" s="167"/>
      <c r="I41" s="169"/>
      <c r="J41" s="171"/>
      <c r="K41" s="32"/>
      <c r="L41" s="3" t="str">
        <f t="shared" si="1"/>
        <v>경고</v>
      </c>
    </row>
    <row r="42" spans="1:12" ht="25" customHeight="1" x14ac:dyDescent="0.45">
      <c r="A42" s="4"/>
      <c r="B42" s="18"/>
      <c r="C42" s="81">
        <v>15</v>
      </c>
      <c r="D42" s="80">
        <f t="shared" si="2"/>
        <v>40</v>
      </c>
      <c r="E42" s="80">
        <f t="shared" si="0"/>
        <v>6</v>
      </c>
      <c r="F42" s="72">
        <f t="shared" si="3"/>
        <v>25.69</v>
      </c>
      <c r="G42" s="73">
        <f>IF(D42=D41,"",_xlfn.IFNA(VLOOKUP(D42,'인원 입력 기능 (직탐)'!$A$5:$D$53,4,FALSE),0))</f>
        <v>28</v>
      </c>
      <c r="H42" s="74">
        <f t="shared" si="4"/>
        <v>1.6538688718251624E-2</v>
      </c>
      <c r="I42" s="78">
        <f>SUM($G$7:G42)</f>
        <v>1272</v>
      </c>
      <c r="J42" s="76">
        <f t="shared" si="5"/>
        <v>0.75132900177200235</v>
      </c>
      <c r="K42" s="32"/>
      <c r="L42" s="3" t="str">
        <f t="shared" si="1"/>
        <v/>
      </c>
    </row>
    <row r="43" spans="1:12" ht="25" customHeight="1" x14ac:dyDescent="0.45">
      <c r="A43" s="4"/>
      <c r="B43" s="18"/>
      <c r="C43" s="79">
        <v>14</v>
      </c>
      <c r="D43" s="173">
        <f t="shared" si="2"/>
        <v>39</v>
      </c>
      <c r="E43" s="173">
        <f t="shared" si="0"/>
        <v>6</v>
      </c>
      <c r="F43" s="163">
        <f t="shared" si="3"/>
        <v>23.04</v>
      </c>
      <c r="G43" s="165">
        <f>IF(D43=D42,"",_xlfn.IFNA(VLOOKUP(D43,'인원 입력 기능 (직탐)'!$A$5:$D$53,4,FALSE),0))</f>
        <v>62</v>
      </c>
      <c r="H43" s="166">
        <f t="shared" si="4"/>
        <v>3.662138216184288E-2</v>
      </c>
      <c r="I43" s="168">
        <f>SUM($G$7:G43)</f>
        <v>1334</v>
      </c>
      <c r="J43" s="170">
        <f t="shared" si="5"/>
        <v>0.7879503839338452</v>
      </c>
      <c r="K43" s="32"/>
      <c r="L43" s="3" t="str">
        <f t="shared" si="1"/>
        <v/>
      </c>
    </row>
    <row r="44" spans="1:12" ht="25" customHeight="1" x14ac:dyDescent="0.45">
      <c r="A44" s="4"/>
      <c r="B44" s="18"/>
      <c r="C44" s="81">
        <v>13</v>
      </c>
      <c r="D44" s="172"/>
      <c r="E44" s="172"/>
      <c r="F44" s="162"/>
      <c r="G44" s="164"/>
      <c r="H44" s="167"/>
      <c r="I44" s="169"/>
      <c r="J44" s="171"/>
      <c r="K44" s="32"/>
      <c r="L44" s="3" t="str">
        <f t="shared" si="1"/>
        <v>경고</v>
      </c>
    </row>
    <row r="45" spans="1:12" ht="25" customHeight="1" x14ac:dyDescent="0.45">
      <c r="A45" s="4"/>
      <c r="B45" s="18"/>
      <c r="C45" s="79">
        <v>12</v>
      </c>
      <c r="D45" s="80">
        <f t="shared" si="2"/>
        <v>38</v>
      </c>
      <c r="E45" s="80">
        <f t="shared" si="0"/>
        <v>7</v>
      </c>
      <c r="F45" s="72">
        <f t="shared" si="3"/>
        <v>20.2</v>
      </c>
      <c r="G45" s="73">
        <f>IF(D45=D44,"",_xlfn.IFNA(VLOOKUP(D45,'인원 입력 기능 (직탐)'!$A$5:$D$53,4,FALSE),0))</f>
        <v>34</v>
      </c>
      <c r="H45" s="74">
        <f t="shared" si="4"/>
        <v>2.008269344359126E-2</v>
      </c>
      <c r="I45" s="78">
        <f>SUM($G$7:G45)</f>
        <v>1368</v>
      </c>
      <c r="J45" s="76">
        <f t="shared" si="5"/>
        <v>0.80803307737743646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173">
        <f t="shared" si="2"/>
        <v>37</v>
      </c>
      <c r="E46" s="173">
        <f t="shared" si="0"/>
        <v>7</v>
      </c>
      <c r="F46" s="163">
        <f t="shared" si="3"/>
        <v>14.21</v>
      </c>
      <c r="G46" s="165">
        <f>IF(D46=D45,"",_xlfn.IFNA(VLOOKUP(D46,'인원 입력 기능 (직탐)'!$A$5:$D$53,4,FALSE),0))</f>
        <v>169</v>
      </c>
      <c r="H46" s="166">
        <f t="shared" si="4"/>
        <v>9.9822799763733025E-2</v>
      </c>
      <c r="I46" s="168">
        <f>SUM($G$7:G46)</f>
        <v>1537</v>
      </c>
      <c r="J46" s="170">
        <f t="shared" si="5"/>
        <v>0.90785587714116955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172"/>
      <c r="E47" s="172"/>
      <c r="F47" s="162"/>
      <c r="G47" s="164"/>
      <c r="H47" s="167"/>
      <c r="I47" s="169"/>
      <c r="J47" s="171"/>
      <c r="K47" s="32"/>
      <c r="L47" s="3" t="str">
        <f t="shared" si="1"/>
        <v>경고</v>
      </c>
    </row>
    <row r="48" spans="1:12" ht="25" customHeight="1" x14ac:dyDescent="0.45">
      <c r="A48" s="4"/>
      <c r="B48" s="18"/>
      <c r="C48" s="81">
        <v>9</v>
      </c>
      <c r="D48" s="80">
        <f t="shared" si="2"/>
        <v>36</v>
      </c>
      <c r="E48" s="80">
        <f t="shared" si="0"/>
        <v>8</v>
      </c>
      <c r="F48" s="72">
        <f t="shared" si="3"/>
        <v>7.53</v>
      </c>
      <c r="G48" s="73">
        <f>IF(D48=D47,"",_xlfn.IFNA(VLOOKUP(D48,'인원 입력 기능 (직탐)'!$A$5:$D$53,4,FALSE),0))</f>
        <v>57</v>
      </c>
      <c r="H48" s="74">
        <f t="shared" si="4"/>
        <v>3.3668044890726521E-2</v>
      </c>
      <c r="I48" s="78">
        <f>SUM($G$7:G48)</f>
        <v>1594</v>
      </c>
      <c r="J48" s="76">
        <f t="shared" si="5"/>
        <v>0.94152392203189605</v>
      </c>
      <c r="K48" s="32"/>
      <c r="L48" s="3" t="str">
        <f t="shared" si="1"/>
        <v/>
      </c>
    </row>
    <row r="49" spans="1:12" ht="25" customHeight="1" x14ac:dyDescent="0.45">
      <c r="A49" s="4"/>
      <c r="B49" s="18"/>
      <c r="C49" s="79">
        <v>8</v>
      </c>
      <c r="D49" s="173">
        <f t="shared" si="2"/>
        <v>35</v>
      </c>
      <c r="E49" s="173">
        <f t="shared" si="0"/>
        <v>8</v>
      </c>
      <c r="F49" s="163">
        <f t="shared" si="3"/>
        <v>4.49</v>
      </c>
      <c r="G49" s="165">
        <f>IF(D49=D48,"",_xlfn.IFNA(VLOOKUP(D49,'인원 입력 기능 (직탐)'!$A$5:$D$53,4,FALSE),0))</f>
        <v>46</v>
      </c>
      <c r="H49" s="166">
        <f t="shared" si="4"/>
        <v>2.7170702894270527E-2</v>
      </c>
      <c r="I49" s="168">
        <f>SUM($G$7:G49)</f>
        <v>1640</v>
      </c>
      <c r="J49" s="170">
        <f t="shared" si="5"/>
        <v>0.96869462492616654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172"/>
      <c r="E50" s="172"/>
      <c r="F50" s="162"/>
      <c r="G50" s="164"/>
      <c r="H50" s="167"/>
      <c r="I50" s="169"/>
      <c r="J50" s="171"/>
      <c r="K50" s="32"/>
      <c r="L50" s="3" t="str">
        <f t="shared" si="1"/>
        <v>경고</v>
      </c>
    </row>
    <row r="51" spans="1:12" ht="25" customHeight="1" x14ac:dyDescent="0.45">
      <c r="A51" s="4"/>
      <c r="B51" s="18"/>
      <c r="C51" s="79">
        <v>6</v>
      </c>
      <c r="D51" s="80">
        <f t="shared" si="2"/>
        <v>34</v>
      </c>
      <c r="E51" s="80">
        <f t="shared" si="0"/>
        <v>9</v>
      </c>
      <c r="F51" s="72">
        <f t="shared" si="3"/>
        <v>2.92</v>
      </c>
      <c r="G51" s="73">
        <f>IF(D51=D50,"",_xlfn.IFNA(VLOOKUP(D51,'인원 입력 기능 (직탐)'!$A$5:$D$53,4,FALSE),0))</f>
        <v>7</v>
      </c>
      <c r="H51" s="74">
        <f t="shared" si="4"/>
        <v>4.134672179562906E-3</v>
      </c>
      <c r="I51" s="78">
        <f>SUM($G$7:G51)</f>
        <v>1647</v>
      </c>
      <c r="J51" s="76">
        <f t="shared" si="5"/>
        <v>0.97282929710572952</v>
      </c>
      <c r="K51" s="32"/>
      <c r="L51" s="3" t="str">
        <f t="shared" si="1"/>
        <v/>
      </c>
    </row>
    <row r="52" spans="1:12" ht="25" customHeight="1" x14ac:dyDescent="0.45">
      <c r="A52" s="4"/>
      <c r="B52" s="18"/>
      <c r="C52" s="81">
        <v>5</v>
      </c>
      <c r="D52" s="80">
        <f t="shared" si="2"/>
        <v>33</v>
      </c>
      <c r="E52" s="80">
        <f t="shared" si="0"/>
        <v>9</v>
      </c>
      <c r="F52" s="72">
        <f t="shared" si="3"/>
        <v>2.2200000000000002</v>
      </c>
      <c r="G52" s="73">
        <f>IF(D52=D51,"",_xlfn.IFNA(VLOOKUP(D52,'인원 입력 기능 (직탐)'!$A$5:$D$53,4,FALSE),0))</f>
        <v>17</v>
      </c>
      <c r="H52" s="74">
        <f t="shared" si="4"/>
        <v>1.004134672179563E-2</v>
      </c>
      <c r="I52" s="78">
        <f>SUM($G$7:G52)</f>
        <v>1664</v>
      </c>
      <c r="J52" s="76">
        <f t="shared" si="5"/>
        <v>0.98287064382752509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161">
        <f t="shared" si="2"/>
        <v>32</v>
      </c>
      <c r="E53" s="161">
        <f t="shared" si="0"/>
        <v>9</v>
      </c>
      <c r="F53" s="163">
        <f t="shared" si="3"/>
        <v>1.3</v>
      </c>
      <c r="G53" s="165">
        <f>IF(D53=D52,"",_xlfn.IFNA(VLOOKUP(D53,'인원 입력 기능 (직탐)'!$A$5:$D$53,4,FALSE),0))</f>
        <v>14</v>
      </c>
      <c r="H53" s="166">
        <f t="shared" si="4"/>
        <v>8.2693443591258121E-3</v>
      </c>
      <c r="I53" s="168">
        <f>SUM($G$7:G53)</f>
        <v>1678</v>
      </c>
      <c r="J53" s="170">
        <f t="shared" si="5"/>
        <v>0.99113998818665094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160"/>
      <c r="E54" s="160"/>
      <c r="F54" s="162"/>
      <c r="G54" s="164"/>
      <c r="H54" s="167"/>
      <c r="I54" s="169"/>
      <c r="J54" s="171"/>
      <c r="K54" s="32"/>
      <c r="L54" s="3" t="str">
        <f t="shared" si="1"/>
        <v>경고</v>
      </c>
    </row>
    <row r="55" spans="1:12" ht="25" customHeight="1" x14ac:dyDescent="0.45">
      <c r="A55" s="4"/>
      <c r="B55" s="18"/>
      <c r="C55" s="70">
        <v>2</v>
      </c>
      <c r="D55" s="71">
        <f t="shared" si="2"/>
        <v>31</v>
      </c>
      <c r="E55" s="71">
        <f t="shared" si="0"/>
        <v>9</v>
      </c>
      <c r="F55" s="72">
        <f t="shared" si="3"/>
        <v>0.59</v>
      </c>
      <c r="G55" s="73">
        <f>IF(D55=D54,"",_xlfn.IFNA(VLOOKUP(D55,'인원 입력 기능 (직탐)'!$A$5:$D$53,4,FALSE),0))</f>
        <v>10</v>
      </c>
      <c r="H55" s="74">
        <f t="shared" si="4"/>
        <v>5.9066745422327229E-3</v>
      </c>
      <c r="I55" s="78">
        <f>SUM($G$7:G55)</f>
        <v>1688</v>
      </c>
      <c r="J55" s="76">
        <f t="shared" si="5"/>
        <v>0.99704666272888365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30</v>
      </c>
      <c r="E57" s="84">
        <f t="shared" si="0"/>
        <v>9</v>
      </c>
      <c r="F57" s="85">
        <f>IF(I55=0,ROUND(100*(1-(I54+I57)/2/$J$3),2),ROUND(100*(1-(I55+I57)/2/$J$3),2))</f>
        <v>0.15</v>
      </c>
      <c r="G57" s="86">
        <f>_xlfn.IFNA(VLOOKUP(D57,'인원 입력 기능 (직탐)'!$A$5:$D$53,4,FALSE),0)</f>
        <v>5</v>
      </c>
      <c r="H57" s="87">
        <f>G57/$J$3</f>
        <v>2.9533372711163615E-3</v>
      </c>
      <c r="I57" s="88">
        <f>SUM($G$7:G57)</f>
        <v>1693</v>
      </c>
      <c r="J57" s="89">
        <f>I57/$J$3</f>
        <v>1</v>
      </c>
      <c r="K57" s="32"/>
      <c r="L57" s="3"/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110">
    <mergeCell ref="I49:I50"/>
    <mergeCell ref="J49:J50"/>
    <mergeCell ref="D53:D54"/>
    <mergeCell ref="E53:E54"/>
    <mergeCell ref="F53:F54"/>
    <mergeCell ref="G53:G54"/>
    <mergeCell ref="H53:H54"/>
    <mergeCell ref="I53:I54"/>
    <mergeCell ref="J53:J54"/>
    <mergeCell ref="D49:D50"/>
    <mergeCell ref="E49:E50"/>
    <mergeCell ref="F49:F50"/>
    <mergeCell ref="G49:G50"/>
    <mergeCell ref="H49:H50"/>
    <mergeCell ref="I43:I44"/>
    <mergeCell ref="J43:J44"/>
    <mergeCell ref="D46:D47"/>
    <mergeCell ref="E46:E47"/>
    <mergeCell ref="F46:F47"/>
    <mergeCell ref="G46:G47"/>
    <mergeCell ref="H46:H47"/>
    <mergeCell ref="I46:I47"/>
    <mergeCell ref="J46:J47"/>
    <mergeCell ref="D43:D44"/>
    <mergeCell ref="E43:E44"/>
    <mergeCell ref="F43:F44"/>
    <mergeCell ref="G43:G44"/>
    <mergeCell ref="H43:H44"/>
    <mergeCell ref="I37:I38"/>
    <mergeCell ref="J37:J38"/>
    <mergeCell ref="D40:D41"/>
    <mergeCell ref="E40:E41"/>
    <mergeCell ref="F40:F41"/>
    <mergeCell ref="G40:G41"/>
    <mergeCell ref="H40:H41"/>
    <mergeCell ref="I40:I41"/>
    <mergeCell ref="J40:J41"/>
    <mergeCell ref="D37:D38"/>
    <mergeCell ref="E37:E38"/>
    <mergeCell ref="F37:F38"/>
    <mergeCell ref="G37:G38"/>
    <mergeCell ref="H37:H38"/>
    <mergeCell ref="I31:I32"/>
    <mergeCell ref="J31:J32"/>
    <mergeCell ref="D34:D35"/>
    <mergeCell ref="E34:E35"/>
    <mergeCell ref="F34:F35"/>
    <mergeCell ref="G34:G35"/>
    <mergeCell ref="H34:H35"/>
    <mergeCell ref="I34:I35"/>
    <mergeCell ref="J34:J35"/>
    <mergeCell ref="D31:D32"/>
    <mergeCell ref="E31:E32"/>
    <mergeCell ref="F31:F32"/>
    <mergeCell ref="G31:G32"/>
    <mergeCell ref="H31:H32"/>
    <mergeCell ref="I24:I25"/>
    <mergeCell ref="J24:J25"/>
    <mergeCell ref="D27:D28"/>
    <mergeCell ref="E27:E28"/>
    <mergeCell ref="F27:F28"/>
    <mergeCell ref="G27:G28"/>
    <mergeCell ref="H27:H28"/>
    <mergeCell ref="I27:I28"/>
    <mergeCell ref="J27:J28"/>
    <mergeCell ref="D24:D25"/>
    <mergeCell ref="E24:E25"/>
    <mergeCell ref="F24:F25"/>
    <mergeCell ref="G24:G25"/>
    <mergeCell ref="H24:H25"/>
    <mergeCell ref="I18:I19"/>
    <mergeCell ref="J18:J19"/>
    <mergeCell ref="D21:D22"/>
    <mergeCell ref="E21:E22"/>
    <mergeCell ref="F21:F22"/>
    <mergeCell ref="G21:G22"/>
    <mergeCell ref="H21:H22"/>
    <mergeCell ref="I21:I22"/>
    <mergeCell ref="J21:J22"/>
    <mergeCell ref="D18:D19"/>
    <mergeCell ref="E18:E19"/>
    <mergeCell ref="F18:F19"/>
    <mergeCell ref="G18:G19"/>
    <mergeCell ref="H18:H19"/>
    <mergeCell ref="H12:H13"/>
    <mergeCell ref="I12:I13"/>
    <mergeCell ref="J12:J13"/>
    <mergeCell ref="D15:D16"/>
    <mergeCell ref="E15:E16"/>
    <mergeCell ref="F15:F16"/>
    <mergeCell ref="G15:G16"/>
    <mergeCell ref="H15:H16"/>
    <mergeCell ref="I15:I16"/>
    <mergeCell ref="J15:J16"/>
    <mergeCell ref="D3:F3"/>
    <mergeCell ref="D4:F4"/>
    <mergeCell ref="D8:J8"/>
    <mergeCell ref="D56:J56"/>
    <mergeCell ref="G5:J5"/>
    <mergeCell ref="D9:D10"/>
    <mergeCell ref="E9:E10"/>
    <mergeCell ref="F9:F10"/>
    <mergeCell ref="G9:G10"/>
    <mergeCell ref="H9:H10"/>
    <mergeCell ref="I9:I10"/>
    <mergeCell ref="J9:J10"/>
    <mergeCell ref="D12:D13"/>
    <mergeCell ref="E12:E13"/>
    <mergeCell ref="F12:F13"/>
    <mergeCell ref="G12:G13"/>
  </mergeCells>
  <phoneticPr fontId="1" type="noConversion"/>
  <conditionalFormatting sqref="D7:D9 D11:D12 D14:D15 D17:D18 D20:D21 D23:D24 D26:D27 D29:D31 D33:D34 D36:D37 D39:D40 D42:D43 D45:D46 D48:D49 D51:D53 D55:D57">
    <cfRule type="expression" dxfId="17" priority="1">
      <formula>$D7=$D8</formula>
    </cfRule>
  </conditionalFormatting>
  <conditionalFormatting sqref="C7:C57">
    <cfRule type="expression" dxfId="16" priority="3">
      <formula>OR(AND($D7=0,OR($D6=$Q$7:$Q$14)),AND($D8&gt;0,OR($D7=$Q$7:$Q$14)))</formula>
    </cfRule>
  </conditionalFormatting>
  <conditionalFormatting sqref="D7:J7 D8 D57:J57 D56 D9:J9 D11:J12 D14:J15 D17:J18 D20:J21 D23:J24 D26:J27 D29:J31 D33:J34 D36:J37 D39:J40 D42:J43 D45:J46 D48:J49 D51:J53 D55:J55">
    <cfRule type="expression" dxfId="15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0EE0B-EF1D-43AD-BDDC-16B091A59BF0}">
  <sheetPr codeName="Sheet25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기능'!D24</f>
        <v>15.98</v>
      </c>
      <c r="I3" s="14" t="s">
        <v>110</v>
      </c>
      <c r="J3" s="36">
        <f>'통계 및 응시자 수 입력 기능'!C24</f>
        <v>198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118</v>
      </c>
      <c r="E4" s="114"/>
      <c r="F4" s="115"/>
      <c r="G4" s="38" t="s">
        <v>113</v>
      </c>
      <c r="H4" s="39" t="str">
        <f>'통계 및 응시자 수 입력 기능'!E24</f>
        <v xml:space="preserve"> 9.51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/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86</v>
      </c>
      <c r="E7" s="71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100</v>
      </c>
      <c r="G7" s="73">
        <f>_xlfn.IFNA(VLOOKUP(D7,'인원 입력 기능 (직탐)'!$F$5:$I$53,4,FALSE),0)</f>
        <v>0</v>
      </c>
      <c r="H7" s="74">
        <f>G7/$J$3</f>
        <v>0</v>
      </c>
      <c r="I7" s="75">
        <f>G7</f>
        <v>0</v>
      </c>
      <c r="J7" s="76">
        <f>I7/$J$3</f>
        <v>0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입력기능'!C184</f>
        <v>72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입력기능'!C185</f>
        <v>66</v>
      </c>
    </row>
    <row r="9" spans="1:17" ht="25" customHeight="1" x14ac:dyDescent="0.45">
      <c r="A9" s="4"/>
      <c r="B9" s="18"/>
      <c r="C9" s="70">
        <v>48</v>
      </c>
      <c r="D9" s="71">
        <f>ROUND(10*(C9-$H$3)/$H$4+50,0)</f>
        <v>84</v>
      </c>
      <c r="E9" s="71">
        <f t="shared" si="0"/>
        <v>1</v>
      </c>
      <c r="F9" s="72">
        <f>IF(I8=0,ROUND(100*(1-(I7+I9)/2/$J$3),2),ROUND(100*(1-(I8+I9)/2/$J$3),2))</f>
        <v>100</v>
      </c>
      <c r="G9" s="73">
        <f>_xlfn.IFNA(VLOOKUP(D9,'인원 입력 기능 (직탐)'!$F$5:$I$53,4,FALSE),0)</f>
        <v>0</v>
      </c>
      <c r="H9" s="74">
        <f>G9/$J$3</f>
        <v>0</v>
      </c>
      <c r="I9" s="78">
        <f>SUM($G$7:G9)</f>
        <v>0</v>
      </c>
      <c r="J9" s="76">
        <f>I9/$J$3</f>
        <v>0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입력기능'!C186</f>
        <v>55</v>
      </c>
    </row>
    <row r="10" spans="1:17" ht="25" customHeight="1" x14ac:dyDescent="0.45">
      <c r="A10" s="4"/>
      <c r="B10" s="18"/>
      <c r="C10" s="77">
        <v>47</v>
      </c>
      <c r="D10" s="71">
        <f t="shared" ref="D10:D55" si="2">ROUND(10*(C10-$H$3)/$H$4+50,0)</f>
        <v>83</v>
      </c>
      <c r="E10" s="71">
        <f t="shared" si="0"/>
        <v>1</v>
      </c>
      <c r="F10" s="72">
        <f t="shared" ref="F10:F55" si="3">IF(I9=0,ROUND(100*(1-(I8+I10)/2/$J$3),2),ROUND(100*(1-(I9+I10)/2/$J$3),2))</f>
        <v>99.75</v>
      </c>
      <c r="G10" s="73">
        <f>IF(D10=D9,"",_xlfn.IFNA(VLOOKUP(D10,'인원 입력 기능 (직탐)'!$F$5:$I$53,4,FALSE),0))</f>
        <v>1</v>
      </c>
      <c r="H10" s="74">
        <f t="shared" ref="H10:H55" si="4">G10/$J$3</f>
        <v>5.0505050505050509E-3</v>
      </c>
      <c r="I10" s="78">
        <f>SUM($G$7:G10)</f>
        <v>1</v>
      </c>
      <c r="J10" s="76">
        <f t="shared" ref="J10:J55" si="5">I10/$J$3</f>
        <v>5.0505050505050509E-3</v>
      </c>
      <c r="K10" s="32"/>
      <c r="L10" s="3" t="str">
        <f t="shared" si="1"/>
        <v/>
      </c>
      <c r="P10" s="1">
        <v>4</v>
      </c>
      <c r="Q10" s="1">
        <f>'표준점수 등급컷 입력기능'!C187</f>
        <v>49</v>
      </c>
    </row>
    <row r="11" spans="1:17" ht="25" customHeight="1" x14ac:dyDescent="0.45">
      <c r="A11" s="4"/>
      <c r="B11" s="18"/>
      <c r="C11" s="70">
        <v>46</v>
      </c>
      <c r="D11" s="71">
        <f t="shared" si="2"/>
        <v>82</v>
      </c>
      <c r="E11" s="71">
        <f t="shared" si="0"/>
        <v>1</v>
      </c>
      <c r="F11" s="72">
        <f t="shared" si="3"/>
        <v>99.49</v>
      </c>
      <c r="G11" s="73">
        <f>IF(D11=D10,"",_xlfn.IFNA(VLOOKUP(D11,'인원 입력 기능 (직탐)'!$F$5:$I$53,4,FALSE),0))</f>
        <v>0</v>
      </c>
      <c r="H11" s="74">
        <f t="shared" si="4"/>
        <v>0</v>
      </c>
      <c r="I11" s="78">
        <f>SUM($G$7:G11)</f>
        <v>1</v>
      </c>
      <c r="J11" s="76">
        <f t="shared" si="5"/>
        <v>5.0505050505050509E-3</v>
      </c>
      <c r="K11" s="32"/>
      <c r="L11" s="3" t="str">
        <f t="shared" si="1"/>
        <v/>
      </c>
      <c r="P11" s="1">
        <v>5</v>
      </c>
      <c r="Q11" s="1">
        <f>'표준점수 등급컷 입력기능'!C188</f>
        <v>45</v>
      </c>
    </row>
    <row r="12" spans="1:17" ht="25" customHeight="1" x14ac:dyDescent="0.45">
      <c r="A12" s="4"/>
      <c r="B12" s="18"/>
      <c r="C12" s="77">
        <v>45</v>
      </c>
      <c r="D12" s="71">
        <f t="shared" si="2"/>
        <v>81</v>
      </c>
      <c r="E12" s="71">
        <f t="shared" si="0"/>
        <v>1</v>
      </c>
      <c r="F12" s="72">
        <f t="shared" si="3"/>
        <v>99.49</v>
      </c>
      <c r="G12" s="73">
        <f>IF(D12=D11,"",_xlfn.IFNA(VLOOKUP(D12,'인원 입력 기능 (직탐)'!$F$5:$I$53,4,FALSE),0))</f>
        <v>0</v>
      </c>
      <c r="H12" s="74">
        <f t="shared" si="4"/>
        <v>0</v>
      </c>
      <c r="I12" s="78">
        <f>SUM($G$7:G12)</f>
        <v>1</v>
      </c>
      <c r="J12" s="76">
        <f t="shared" si="5"/>
        <v>5.0505050505050509E-3</v>
      </c>
      <c r="K12" s="32"/>
      <c r="L12" s="3" t="str">
        <f t="shared" si="1"/>
        <v/>
      </c>
      <c r="P12" s="1">
        <v>6</v>
      </c>
      <c r="Q12" s="1">
        <f>'표준점수 등급컷 입력기능'!C189</f>
        <v>43</v>
      </c>
    </row>
    <row r="13" spans="1:17" ht="25" customHeight="1" x14ac:dyDescent="0.45">
      <c r="A13" s="4"/>
      <c r="B13" s="18"/>
      <c r="C13" s="70">
        <v>44</v>
      </c>
      <c r="D13" s="71">
        <f t="shared" si="2"/>
        <v>79</v>
      </c>
      <c r="E13" s="71">
        <f t="shared" si="0"/>
        <v>1</v>
      </c>
      <c r="F13" s="72">
        <f t="shared" si="3"/>
        <v>99.24</v>
      </c>
      <c r="G13" s="73">
        <f>IF(D13=D12,"",_xlfn.IFNA(VLOOKUP(D13,'인원 입력 기능 (직탐)'!$F$5:$I$53,4,FALSE),0))</f>
        <v>1</v>
      </c>
      <c r="H13" s="74">
        <f t="shared" si="4"/>
        <v>5.0505050505050509E-3</v>
      </c>
      <c r="I13" s="78">
        <f>SUM($G$7:G13)</f>
        <v>2</v>
      </c>
      <c r="J13" s="76">
        <f t="shared" si="5"/>
        <v>1.0101010101010102E-2</v>
      </c>
      <c r="K13" s="32"/>
      <c r="L13" s="3" t="str">
        <f t="shared" si="1"/>
        <v/>
      </c>
      <c r="P13" s="1">
        <v>7</v>
      </c>
      <c r="Q13" s="1">
        <f>'표준점수 등급컷 입력기능'!C190</f>
        <v>41</v>
      </c>
    </row>
    <row r="14" spans="1:17" ht="25" customHeight="1" x14ac:dyDescent="0.45">
      <c r="A14" s="4"/>
      <c r="B14" s="18"/>
      <c r="C14" s="77">
        <v>43</v>
      </c>
      <c r="D14" s="71">
        <f t="shared" si="2"/>
        <v>78</v>
      </c>
      <c r="E14" s="71">
        <f t="shared" si="0"/>
        <v>1</v>
      </c>
      <c r="F14" s="72">
        <f t="shared" si="3"/>
        <v>98.99</v>
      </c>
      <c r="G14" s="73">
        <f>IF(D14=D13,"",_xlfn.IFNA(VLOOKUP(D14,'인원 입력 기능 (직탐)'!$F$5:$I$53,4,FALSE),0))</f>
        <v>0</v>
      </c>
      <c r="H14" s="74">
        <f t="shared" si="4"/>
        <v>0</v>
      </c>
      <c r="I14" s="78">
        <f>SUM($G$7:G14)</f>
        <v>2</v>
      </c>
      <c r="J14" s="76">
        <f t="shared" si="5"/>
        <v>1.0101010101010102E-2</v>
      </c>
      <c r="K14" s="32"/>
      <c r="L14" s="3" t="str">
        <f t="shared" si="1"/>
        <v/>
      </c>
      <c r="P14" s="1">
        <v>8</v>
      </c>
      <c r="Q14" s="1">
        <f>'표준점수 등급컷 입력기능'!C191</f>
        <v>38</v>
      </c>
    </row>
    <row r="15" spans="1:17" ht="25" customHeight="1" x14ac:dyDescent="0.45">
      <c r="A15" s="4"/>
      <c r="B15" s="18"/>
      <c r="C15" s="70">
        <v>42</v>
      </c>
      <c r="D15" s="71">
        <f t="shared" si="2"/>
        <v>77</v>
      </c>
      <c r="E15" s="71">
        <f t="shared" si="0"/>
        <v>1</v>
      </c>
      <c r="F15" s="72">
        <f t="shared" si="3"/>
        <v>98.99</v>
      </c>
      <c r="G15" s="73">
        <f>IF(D15=D14,"",_xlfn.IFNA(VLOOKUP(D15,'인원 입력 기능 (직탐)'!$F$5:$I$53,4,FALSE),0))</f>
        <v>0</v>
      </c>
      <c r="H15" s="74">
        <f t="shared" si="4"/>
        <v>0</v>
      </c>
      <c r="I15" s="78">
        <f>SUM($G$7:G15)</f>
        <v>2</v>
      </c>
      <c r="J15" s="76">
        <f t="shared" si="5"/>
        <v>1.0101010101010102E-2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71">
        <f t="shared" si="2"/>
        <v>76</v>
      </c>
      <c r="E16" s="71">
        <f t="shared" si="0"/>
        <v>1</v>
      </c>
      <c r="F16" s="72">
        <f t="shared" si="3"/>
        <v>98.74</v>
      </c>
      <c r="G16" s="73">
        <f>IF(D16=D15,"",_xlfn.IFNA(VLOOKUP(D16,'인원 입력 기능 (직탐)'!$F$5:$I$53,4,FALSE),0))</f>
        <v>1</v>
      </c>
      <c r="H16" s="74">
        <f t="shared" si="4"/>
        <v>5.0505050505050509E-3</v>
      </c>
      <c r="I16" s="78">
        <f>SUM($G$7:G16)</f>
        <v>3</v>
      </c>
      <c r="J16" s="76">
        <f t="shared" si="5"/>
        <v>1.5151515151515152E-2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71">
        <f t="shared" si="2"/>
        <v>75</v>
      </c>
      <c r="E17" s="71">
        <f t="shared" si="0"/>
        <v>1</v>
      </c>
      <c r="F17" s="72">
        <f t="shared" si="3"/>
        <v>98.48</v>
      </c>
      <c r="G17" s="73">
        <f>IF(D17=D16,"",_xlfn.IFNA(VLOOKUP(D17,'인원 입력 기능 (직탐)'!$F$5:$I$53,4,FALSE),0))</f>
        <v>0</v>
      </c>
      <c r="H17" s="74">
        <f t="shared" si="4"/>
        <v>0</v>
      </c>
      <c r="I17" s="78">
        <f>SUM($G$7:G17)</f>
        <v>3</v>
      </c>
      <c r="J17" s="76">
        <f t="shared" si="5"/>
        <v>1.5151515151515152E-2</v>
      </c>
      <c r="K17" s="32"/>
      <c r="L17" s="3" t="str">
        <f t="shared" si="1"/>
        <v/>
      </c>
      <c r="P17" s="1">
        <f>Q7*H3*H4*J3*IFERROR(IF(J57=1,1,0),0)</f>
        <v>2166481.4687999999</v>
      </c>
    </row>
    <row r="18" spans="1:16" ht="25" customHeight="1" x14ac:dyDescent="0.45">
      <c r="A18" s="4"/>
      <c r="B18" s="18"/>
      <c r="C18" s="77">
        <v>39</v>
      </c>
      <c r="D18" s="71">
        <f t="shared" si="2"/>
        <v>74</v>
      </c>
      <c r="E18" s="71">
        <f t="shared" si="0"/>
        <v>1</v>
      </c>
      <c r="F18" s="72">
        <f t="shared" si="3"/>
        <v>98.23</v>
      </c>
      <c r="G18" s="73">
        <f>IF(D18=D17,"",_xlfn.IFNA(VLOOKUP(D18,'인원 입력 기능 (직탐)'!$F$5:$I$53,4,FALSE),0))</f>
        <v>1</v>
      </c>
      <c r="H18" s="74">
        <f t="shared" si="4"/>
        <v>5.0505050505050509E-3</v>
      </c>
      <c r="I18" s="78">
        <f>SUM($G$7:G18)</f>
        <v>4</v>
      </c>
      <c r="J18" s="76">
        <f t="shared" si="5"/>
        <v>2.0202020202020204E-2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71">
        <f t="shared" si="2"/>
        <v>73</v>
      </c>
      <c r="E19" s="71">
        <f t="shared" si="0"/>
        <v>1</v>
      </c>
      <c r="F19" s="72">
        <f t="shared" si="3"/>
        <v>97.47</v>
      </c>
      <c r="G19" s="73">
        <f>IF(D19=D18,"",_xlfn.IFNA(VLOOKUP(D19,'인원 입력 기능 (직탐)'!$F$5:$I$53,4,FALSE),0))</f>
        <v>2</v>
      </c>
      <c r="H19" s="74">
        <f t="shared" si="4"/>
        <v>1.0101010101010102E-2</v>
      </c>
      <c r="I19" s="78">
        <f>SUM($G$7:G19)</f>
        <v>6</v>
      </c>
      <c r="J19" s="76">
        <f t="shared" si="5"/>
        <v>3.0303030303030304E-2</v>
      </c>
      <c r="K19" s="32"/>
      <c r="L19" s="3" t="str">
        <f t="shared" si="1"/>
        <v/>
      </c>
    </row>
    <row r="20" spans="1:16" ht="25" customHeight="1" x14ac:dyDescent="0.45">
      <c r="A20" s="4"/>
      <c r="B20" s="18"/>
      <c r="C20" s="77">
        <v>37</v>
      </c>
      <c r="D20" s="71">
        <f t="shared" si="2"/>
        <v>72</v>
      </c>
      <c r="E20" s="71">
        <f t="shared" si="0"/>
        <v>1</v>
      </c>
      <c r="F20" s="72">
        <f t="shared" si="3"/>
        <v>96.21</v>
      </c>
      <c r="G20" s="73">
        <f>IF(D20=D19,"",_xlfn.IFNA(VLOOKUP(D20,'인원 입력 기능 (직탐)'!$F$5:$I$53,4,FALSE),0))</f>
        <v>3</v>
      </c>
      <c r="H20" s="74">
        <f t="shared" si="4"/>
        <v>1.5151515151515152E-2</v>
      </c>
      <c r="I20" s="78">
        <f>SUM($G$7:G20)</f>
        <v>9</v>
      </c>
      <c r="J20" s="76">
        <f t="shared" si="5"/>
        <v>4.5454545454545456E-2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80">
        <f t="shared" si="2"/>
        <v>71</v>
      </c>
      <c r="E21" s="80">
        <f t="shared" si="0"/>
        <v>2</v>
      </c>
      <c r="F21" s="72">
        <f t="shared" si="3"/>
        <v>95.2</v>
      </c>
      <c r="G21" s="73">
        <f>IF(D21=D20,"",_xlfn.IFNA(VLOOKUP(D21,'인원 입력 기능 (직탐)'!$F$5:$I$53,4,FALSE),0))</f>
        <v>1</v>
      </c>
      <c r="H21" s="74">
        <f t="shared" si="4"/>
        <v>5.0505050505050509E-3</v>
      </c>
      <c r="I21" s="78">
        <f>SUM($G$7:G21)</f>
        <v>10</v>
      </c>
      <c r="J21" s="76">
        <f t="shared" si="5"/>
        <v>5.0505050505050504E-2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80">
        <f t="shared" si="2"/>
        <v>70</v>
      </c>
      <c r="E22" s="80">
        <f t="shared" si="0"/>
        <v>2</v>
      </c>
      <c r="F22" s="72">
        <f t="shared" si="3"/>
        <v>93.69</v>
      </c>
      <c r="G22" s="73">
        <f>IF(D22=D21,"",_xlfn.IFNA(VLOOKUP(D22,'인원 입력 기능 (직탐)'!$F$5:$I$53,4,FALSE),0))</f>
        <v>5</v>
      </c>
      <c r="H22" s="74">
        <f t="shared" si="4"/>
        <v>2.5252525252525252E-2</v>
      </c>
      <c r="I22" s="78">
        <f>SUM($G$7:G22)</f>
        <v>15</v>
      </c>
      <c r="J22" s="76">
        <f t="shared" si="5"/>
        <v>7.575757575757576E-2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80">
        <f t="shared" si="2"/>
        <v>69</v>
      </c>
      <c r="E23" s="80">
        <f t="shared" si="0"/>
        <v>2</v>
      </c>
      <c r="F23" s="72">
        <f t="shared" si="3"/>
        <v>92.42</v>
      </c>
      <c r="G23" s="73">
        <f>IF(D23=D22,"",_xlfn.IFNA(VLOOKUP(D23,'인원 입력 기능 (직탐)'!$F$5:$I$53,4,FALSE),0))</f>
        <v>0</v>
      </c>
      <c r="H23" s="74">
        <f t="shared" si="4"/>
        <v>0</v>
      </c>
      <c r="I23" s="78">
        <f>SUM($G$7:G23)</f>
        <v>15</v>
      </c>
      <c r="J23" s="76">
        <f t="shared" si="5"/>
        <v>7.575757575757576E-2</v>
      </c>
      <c r="K23" s="32"/>
      <c r="L23" s="3" t="str">
        <f t="shared" si="1"/>
        <v/>
      </c>
    </row>
    <row r="24" spans="1:16" ht="25" customHeight="1" x14ac:dyDescent="0.45">
      <c r="A24" s="4"/>
      <c r="B24" s="18"/>
      <c r="C24" s="81">
        <v>33</v>
      </c>
      <c r="D24" s="80">
        <f t="shared" si="2"/>
        <v>68</v>
      </c>
      <c r="E24" s="80">
        <f t="shared" si="0"/>
        <v>2</v>
      </c>
      <c r="F24" s="72">
        <f t="shared" si="3"/>
        <v>92.17</v>
      </c>
      <c r="G24" s="73">
        <f>IF(D24=D23,"",_xlfn.IFNA(VLOOKUP(D24,'인원 입력 기능 (직탐)'!$F$5:$I$53,4,FALSE),0))</f>
        <v>1</v>
      </c>
      <c r="H24" s="74">
        <f t="shared" si="4"/>
        <v>5.0505050505050509E-3</v>
      </c>
      <c r="I24" s="78">
        <f>SUM($G$7:G24)</f>
        <v>16</v>
      </c>
      <c r="J24" s="76">
        <f t="shared" si="5"/>
        <v>8.0808080808080815E-2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80">
        <f t="shared" si="2"/>
        <v>67</v>
      </c>
      <c r="E25" s="80">
        <f t="shared" si="0"/>
        <v>2</v>
      </c>
      <c r="F25" s="72">
        <f t="shared" si="3"/>
        <v>91.16</v>
      </c>
      <c r="G25" s="73">
        <f>IF(D25=D24,"",_xlfn.IFNA(VLOOKUP(D25,'인원 입력 기능 (직탐)'!$F$5:$I$53,4,FALSE),0))</f>
        <v>3</v>
      </c>
      <c r="H25" s="74">
        <f t="shared" si="4"/>
        <v>1.5151515151515152E-2</v>
      </c>
      <c r="I25" s="78">
        <f>SUM($G$7:G25)</f>
        <v>19</v>
      </c>
      <c r="J25" s="76">
        <f t="shared" si="5"/>
        <v>9.5959595959595953E-2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80">
        <f t="shared" si="2"/>
        <v>66</v>
      </c>
      <c r="E26" s="80">
        <f t="shared" si="0"/>
        <v>2</v>
      </c>
      <c r="F26" s="72">
        <f t="shared" si="3"/>
        <v>89.39</v>
      </c>
      <c r="G26" s="73">
        <f>IF(D26=D25,"",_xlfn.IFNA(VLOOKUP(D26,'인원 입력 기능 (직탐)'!$F$5:$I$53,4,FALSE),0))</f>
        <v>4</v>
      </c>
      <c r="H26" s="74">
        <f t="shared" si="4"/>
        <v>2.0202020202020204E-2</v>
      </c>
      <c r="I26" s="78">
        <f>SUM($G$7:G26)</f>
        <v>23</v>
      </c>
      <c r="J26" s="76">
        <f t="shared" si="5"/>
        <v>0.11616161616161616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80">
        <f t="shared" si="2"/>
        <v>65</v>
      </c>
      <c r="E27" s="80">
        <f t="shared" si="0"/>
        <v>3</v>
      </c>
      <c r="F27" s="72">
        <f t="shared" si="3"/>
        <v>87.12</v>
      </c>
      <c r="G27" s="73">
        <f>IF(D27=D26,"",_xlfn.IFNA(VLOOKUP(D27,'인원 입력 기능 (직탐)'!$F$5:$I$53,4,FALSE),0))</f>
        <v>5</v>
      </c>
      <c r="H27" s="74">
        <f t="shared" si="4"/>
        <v>2.5252525252525252E-2</v>
      </c>
      <c r="I27" s="78">
        <f>SUM($G$7:G27)</f>
        <v>28</v>
      </c>
      <c r="J27" s="76">
        <f t="shared" si="5"/>
        <v>0.14141414141414141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80">
        <f t="shared" si="2"/>
        <v>64</v>
      </c>
      <c r="E28" s="80">
        <f t="shared" si="0"/>
        <v>3</v>
      </c>
      <c r="F28" s="72">
        <f t="shared" si="3"/>
        <v>85.35</v>
      </c>
      <c r="G28" s="73">
        <f>IF(D28=D27,"",_xlfn.IFNA(VLOOKUP(D28,'인원 입력 기능 (직탐)'!$F$5:$I$53,4,FALSE),0))</f>
        <v>2</v>
      </c>
      <c r="H28" s="74">
        <f t="shared" si="4"/>
        <v>1.0101010101010102E-2</v>
      </c>
      <c r="I28" s="78">
        <f>SUM($G$7:G28)</f>
        <v>30</v>
      </c>
      <c r="J28" s="76">
        <f t="shared" si="5"/>
        <v>0.15151515151515152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80">
        <f t="shared" si="2"/>
        <v>63</v>
      </c>
      <c r="E29" s="80">
        <f t="shared" si="0"/>
        <v>3</v>
      </c>
      <c r="F29" s="72">
        <f t="shared" si="3"/>
        <v>84.34</v>
      </c>
      <c r="G29" s="73">
        <f>IF(D29=D28,"",_xlfn.IFNA(VLOOKUP(D29,'인원 입력 기능 (직탐)'!$F$5:$I$53,4,FALSE),0))</f>
        <v>2</v>
      </c>
      <c r="H29" s="74">
        <f t="shared" si="4"/>
        <v>1.0101010101010102E-2</v>
      </c>
      <c r="I29" s="78">
        <f>SUM($G$7:G29)</f>
        <v>32</v>
      </c>
      <c r="J29" s="76">
        <f t="shared" si="5"/>
        <v>0.16161616161616163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80">
        <f t="shared" si="2"/>
        <v>62</v>
      </c>
      <c r="E30" s="80">
        <f t="shared" si="0"/>
        <v>3</v>
      </c>
      <c r="F30" s="72">
        <f t="shared" si="3"/>
        <v>83.59</v>
      </c>
      <c r="G30" s="73">
        <f>IF(D30=D29,"",_xlfn.IFNA(VLOOKUP(D30,'인원 입력 기능 (직탐)'!$F$5:$I$53,4,FALSE),0))</f>
        <v>1</v>
      </c>
      <c r="H30" s="74">
        <f t="shared" si="4"/>
        <v>5.0505050505050509E-3</v>
      </c>
      <c r="I30" s="78">
        <f>SUM($G$7:G30)</f>
        <v>33</v>
      </c>
      <c r="J30" s="76">
        <f t="shared" si="5"/>
        <v>0.16666666666666666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80">
        <f t="shared" si="2"/>
        <v>61</v>
      </c>
      <c r="E31" s="80">
        <f t="shared" si="0"/>
        <v>3</v>
      </c>
      <c r="F31" s="72">
        <f t="shared" si="3"/>
        <v>82.83</v>
      </c>
      <c r="G31" s="73">
        <f>IF(D31=D30,"",_xlfn.IFNA(VLOOKUP(D31,'인원 입력 기능 (직탐)'!$F$5:$I$53,4,FALSE),0))</f>
        <v>2</v>
      </c>
      <c r="H31" s="74">
        <f t="shared" si="4"/>
        <v>1.0101010101010102E-2</v>
      </c>
      <c r="I31" s="78">
        <f>SUM($G$7:G31)</f>
        <v>35</v>
      </c>
      <c r="J31" s="76">
        <f t="shared" si="5"/>
        <v>0.17676767676767677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80">
        <f t="shared" si="2"/>
        <v>59</v>
      </c>
      <c r="E32" s="80">
        <f t="shared" si="0"/>
        <v>3</v>
      </c>
      <c r="F32" s="72">
        <f t="shared" si="3"/>
        <v>81.569999999999993</v>
      </c>
      <c r="G32" s="73">
        <f>IF(D32=D31,"",_xlfn.IFNA(VLOOKUP(D32,'인원 입력 기능 (직탐)'!$F$5:$I$53,4,FALSE),0))</f>
        <v>3</v>
      </c>
      <c r="H32" s="74">
        <f t="shared" si="4"/>
        <v>1.5151515151515152E-2</v>
      </c>
      <c r="I32" s="78">
        <f>SUM($G$7:G32)</f>
        <v>38</v>
      </c>
      <c r="J32" s="76">
        <f t="shared" si="5"/>
        <v>0.19191919191919191</v>
      </c>
      <c r="K32" s="32"/>
      <c r="L32" s="3" t="str">
        <f t="shared" si="1"/>
        <v/>
      </c>
    </row>
    <row r="33" spans="1:12" ht="25" customHeight="1" x14ac:dyDescent="0.45">
      <c r="A33" s="4"/>
      <c r="B33" s="18"/>
      <c r="C33" s="79">
        <v>24</v>
      </c>
      <c r="D33" s="80">
        <f t="shared" si="2"/>
        <v>58</v>
      </c>
      <c r="E33" s="80">
        <f t="shared" si="0"/>
        <v>3</v>
      </c>
      <c r="F33" s="72">
        <f t="shared" si="3"/>
        <v>80.3</v>
      </c>
      <c r="G33" s="73">
        <f>IF(D33=D32,"",_xlfn.IFNA(VLOOKUP(D33,'인원 입력 기능 (직탐)'!$F$5:$I$53,4,FALSE),0))</f>
        <v>2</v>
      </c>
      <c r="H33" s="74">
        <f t="shared" si="4"/>
        <v>1.0101010101010102E-2</v>
      </c>
      <c r="I33" s="78">
        <f>SUM($G$7:G33)</f>
        <v>40</v>
      </c>
      <c r="J33" s="76">
        <f t="shared" si="5"/>
        <v>0.20202020202020202</v>
      </c>
      <c r="K33" s="32"/>
      <c r="L33" s="3" t="str">
        <f t="shared" si="1"/>
        <v/>
      </c>
    </row>
    <row r="34" spans="1:12" ht="25" customHeight="1" x14ac:dyDescent="0.45">
      <c r="A34" s="4"/>
      <c r="B34" s="18"/>
      <c r="C34" s="81">
        <v>23</v>
      </c>
      <c r="D34" s="80">
        <f t="shared" si="2"/>
        <v>57</v>
      </c>
      <c r="E34" s="80">
        <f t="shared" si="0"/>
        <v>3</v>
      </c>
      <c r="F34" s="72">
        <f t="shared" si="3"/>
        <v>79.040000000000006</v>
      </c>
      <c r="G34" s="73">
        <f>IF(D34=D33,"",_xlfn.IFNA(VLOOKUP(D34,'인원 입력 기능 (직탐)'!$F$5:$I$53,4,FALSE),0))</f>
        <v>3</v>
      </c>
      <c r="H34" s="74">
        <f t="shared" si="4"/>
        <v>1.5151515151515152E-2</v>
      </c>
      <c r="I34" s="78">
        <f>SUM($G$7:G34)</f>
        <v>43</v>
      </c>
      <c r="J34" s="76">
        <f t="shared" si="5"/>
        <v>0.21717171717171718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80">
        <f t="shared" si="2"/>
        <v>56</v>
      </c>
      <c r="E35" s="80">
        <f t="shared" si="0"/>
        <v>3</v>
      </c>
      <c r="F35" s="72">
        <f t="shared" si="3"/>
        <v>77.78</v>
      </c>
      <c r="G35" s="73">
        <f>IF(D35=D34,"",_xlfn.IFNA(VLOOKUP(D35,'인원 입력 기능 (직탐)'!$F$5:$I$53,4,FALSE),0))</f>
        <v>2</v>
      </c>
      <c r="H35" s="74">
        <f t="shared" si="4"/>
        <v>1.0101010101010102E-2</v>
      </c>
      <c r="I35" s="78">
        <f>SUM($G$7:G35)</f>
        <v>45</v>
      </c>
      <c r="J35" s="76">
        <f t="shared" si="5"/>
        <v>0.22727272727272727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80">
        <f t="shared" si="2"/>
        <v>55</v>
      </c>
      <c r="E36" s="80">
        <f t="shared" si="0"/>
        <v>3</v>
      </c>
      <c r="F36" s="72">
        <f t="shared" si="3"/>
        <v>76.52</v>
      </c>
      <c r="G36" s="73">
        <f>IF(D36=D35,"",_xlfn.IFNA(VLOOKUP(D36,'인원 입력 기능 (직탐)'!$F$5:$I$53,4,FALSE),0))</f>
        <v>3</v>
      </c>
      <c r="H36" s="74">
        <f t="shared" si="4"/>
        <v>1.5151515151515152E-2</v>
      </c>
      <c r="I36" s="78">
        <f>SUM($G$7:G36)</f>
        <v>48</v>
      </c>
      <c r="J36" s="76">
        <f t="shared" si="5"/>
        <v>0.24242424242424243</v>
      </c>
      <c r="K36" s="32"/>
      <c r="L36" s="3" t="str">
        <f t="shared" si="1"/>
        <v/>
      </c>
    </row>
    <row r="37" spans="1:12" ht="25" customHeight="1" x14ac:dyDescent="0.45">
      <c r="A37" s="4"/>
      <c r="B37" s="18"/>
      <c r="C37" s="79">
        <v>20</v>
      </c>
      <c r="D37" s="80">
        <f t="shared" si="2"/>
        <v>54</v>
      </c>
      <c r="E37" s="80">
        <f t="shared" si="0"/>
        <v>4</v>
      </c>
      <c r="F37" s="72">
        <f t="shared" si="3"/>
        <v>75.25</v>
      </c>
      <c r="G37" s="73">
        <f>IF(D37=D36,"",_xlfn.IFNA(VLOOKUP(D37,'인원 입력 기능 (직탐)'!$F$5:$I$53,4,FALSE),0))</f>
        <v>2</v>
      </c>
      <c r="H37" s="74">
        <f t="shared" si="4"/>
        <v>1.0101010101010102E-2</v>
      </c>
      <c r="I37" s="78">
        <f>SUM($G$7:G37)</f>
        <v>50</v>
      </c>
      <c r="J37" s="76">
        <f t="shared" si="5"/>
        <v>0.25252525252525254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80">
        <f t="shared" si="2"/>
        <v>53</v>
      </c>
      <c r="E38" s="80">
        <f t="shared" si="0"/>
        <v>4</v>
      </c>
      <c r="F38" s="72">
        <f t="shared" si="3"/>
        <v>72.98</v>
      </c>
      <c r="G38" s="73">
        <f>IF(D38=D37,"",_xlfn.IFNA(VLOOKUP(D38,'인원 입력 기능 (직탐)'!$F$5:$I$53,4,FALSE),0))</f>
        <v>7</v>
      </c>
      <c r="H38" s="74">
        <f t="shared" si="4"/>
        <v>3.5353535353535352E-2</v>
      </c>
      <c r="I38" s="78">
        <f>SUM($G$7:G38)</f>
        <v>57</v>
      </c>
      <c r="J38" s="76">
        <f t="shared" si="5"/>
        <v>0.2878787878787879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80">
        <f t="shared" si="2"/>
        <v>52</v>
      </c>
      <c r="E39" s="80">
        <f t="shared" si="0"/>
        <v>4</v>
      </c>
      <c r="F39" s="72">
        <f t="shared" si="3"/>
        <v>69.7</v>
      </c>
      <c r="G39" s="73">
        <f>IF(D39=D38,"",_xlfn.IFNA(VLOOKUP(D39,'인원 입력 기능 (직탐)'!$F$5:$I$53,4,FALSE),0))</f>
        <v>6</v>
      </c>
      <c r="H39" s="74">
        <f t="shared" si="4"/>
        <v>3.0303030303030304E-2</v>
      </c>
      <c r="I39" s="78">
        <f>SUM($G$7:G39)</f>
        <v>63</v>
      </c>
      <c r="J39" s="76">
        <f t="shared" si="5"/>
        <v>0.31818181818181818</v>
      </c>
      <c r="K39" s="32"/>
      <c r="L39" s="3" t="str">
        <f t="shared" si="1"/>
        <v/>
      </c>
    </row>
    <row r="40" spans="1:12" ht="25" customHeight="1" x14ac:dyDescent="0.45">
      <c r="A40" s="4"/>
      <c r="B40" s="18"/>
      <c r="C40" s="81">
        <v>17</v>
      </c>
      <c r="D40" s="80">
        <f t="shared" si="2"/>
        <v>51</v>
      </c>
      <c r="E40" s="80">
        <f t="shared" si="0"/>
        <v>4</v>
      </c>
      <c r="F40" s="72">
        <f t="shared" si="3"/>
        <v>66.16</v>
      </c>
      <c r="G40" s="73">
        <f>IF(D40=D39,"",_xlfn.IFNA(VLOOKUP(D40,'인원 입력 기능 (직탐)'!$F$5:$I$53,4,FALSE),0))</f>
        <v>8</v>
      </c>
      <c r="H40" s="74">
        <f t="shared" si="4"/>
        <v>4.0404040404040407E-2</v>
      </c>
      <c r="I40" s="78">
        <f>SUM($G$7:G40)</f>
        <v>71</v>
      </c>
      <c r="J40" s="76">
        <f t="shared" si="5"/>
        <v>0.35858585858585856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80">
        <f t="shared" si="2"/>
        <v>50</v>
      </c>
      <c r="E41" s="80">
        <f t="shared" si="0"/>
        <v>4</v>
      </c>
      <c r="F41" s="72">
        <f t="shared" si="3"/>
        <v>63.13</v>
      </c>
      <c r="G41" s="73">
        <f>IF(D41=D40,"",_xlfn.IFNA(VLOOKUP(D41,'인원 입력 기능 (직탐)'!$F$5:$I$53,4,FALSE),0))</f>
        <v>4</v>
      </c>
      <c r="H41" s="74">
        <f t="shared" si="4"/>
        <v>2.0202020202020204E-2</v>
      </c>
      <c r="I41" s="78">
        <f>SUM($G$7:G41)</f>
        <v>75</v>
      </c>
      <c r="J41" s="76">
        <f t="shared" si="5"/>
        <v>0.37878787878787878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80">
        <f t="shared" si="2"/>
        <v>49</v>
      </c>
      <c r="E42" s="80">
        <f t="shared" si="0"/>
        <v>4</v>
      </c>
      <c r="F42" s="72">
        <f t="shared" si="3"/>
        <v>60.61</v>
      </c>
      <c r="G42" s="73">
        <f>IF(D42=D41,"",_xlfn.IFNA(VLOOKUP(D42,'인원 입력 기능 (직탐)'!$F$5:$I$53,4,FALSE),0))</f>
        <v>6</v>
      </c>
      <c r="H42" s="74">
        <f t="shared" si="4"/>
        <v>3.0303030303030304E-2</v>
      </c>
      <c r="I42" s="78">
        <f>SUM($G$7:G42)</f>
        <v>81</v>
      </c>
      <c r="J42" s="76">
        <f t="shared" si="5"/>
        <v>0.40909090909090912</v>
      </c>
      <c r="K42" s="32"/>
      <c r="L42" s="3" t="str">
        <f t="shared" si="1"/>
        <v/>
      </c>
    </row>
    <row r="43" spans="1:12" ht="25" customHeight="1" x14ac:dyDescent="0.45">
      <c r="A43" s="4"/>
      <c r="B43" s="18"/>
      <c r="C43" s="79">
        <v>14</v>
      </c>
      <c r="D43" s="80">
        <f t="shared" si="2"/>
        <v>48</v>
      </c>
      <c r="E43" s="80">
        <f t="shared" si="0"/>
        <v>5</v>
      </c>
      <c r="F43" s="72">
        <f t="shared" si="3"/>
        <v>55.56</v>
      </c>
      <c r="G43" s="73">
        <f>IF(D43=D42,"",_xlfn.IFNA(VLOOKUP(D43,'인원 입력 기능 (직탐)'!$F$5:$I$53,4,FALSE),0))</f>
        <v>14</v>
      </c>
      <c r="H43" s="74">
        <f t="shared" si="4"/>
        <v>7.0707070707070704E-2</v>
      </c>
      <c r="I43" s="78">
        <f>SUM($G$7:G43)</f>
        <v>95</v>
      </c>
      <c r="J43" s="76">
        <f t="shared" si="5"/>
        <v>0.47979797979797978</v>
      </c>
      <c r="K43" s="32"/>
      <c r="L43" s="3" t="str">
        <f t="shared" si="1"/>
        <v/>
      </c>
    </row>
    <row r="44" spans="1:12" ht="25" customHeight="1" x14ac:dyDescent="0.45">
      <c r="A44" s="4"/>
      <c r="B44" s="18"/>
      <c r="C44" s="81">
        <v>13</v>
      </c>
      <c r="D44" s="80">
        <f t="shared" si="2"/>
        <v>47</v>
      </c>
      <c r="E44" s="80">
        <f t="shared" si="0"/>
        <v>5</v>
      </c>
      <c r="F44" s="72">
        <f t="shared" si="3"/>
        <v>51.01</v>
      </c>
      <c r="G44" s="73">
        <f>IF(D44=D43,"",_xlfn.IFNA(VLOOKUP(D44,'인원 입력 기능 (직탐)'!$F$5:$I$53,4,FALSE),0))</f>
        <v>4</v>
      </c>
      <c r="H44" s="74">
        <f t="shared" si="4"/>
        <v>2.0202020202020204E-2</v>
      </c>
      <c r="I44" s="78">
        <f>SUM($G$7:G44)</f>
        <v>99</v>
      </c>
      <c r="J44" s="76">
        <f t="shared" si="5"/>
        <v>0.5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80">
        <f t="shared" si="2"/>
        <v>46</v>
      </c>
      <c r="E45" s="80">
        <f t="shared" si="0"/>
        <v>5</v>
      </c>
      <c r="F45" s="72">
        <f t="shared" si="3"/>
        <v>48.48</v>
      </c>
      <c r="G45" s="73">
        <f>IF(D45=D44,"",_xlfn.IFNA(VLOOKUP(D45,'인원 입력 기능 (직탐)'!$F$5:$I$53,4,FALSE),0))</f>
        <v>6</v>
      </c>
      <c r="H45" s="74">
        <f t="shared" si="4"/>
        <v>3.0303030303030304E-2</v>
      </c>
      <c r="I45" s="78">
        <f>SUM($G$7:G45)</f>
        <v>105</v>
      </c>
      <c r="J45" s="76">
        <f t="shared" si="5"/>
        <v>0.53030303030303028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80">
        <f t="shared" si="2"/>
        <v>45</v>
      </c>
      <c r="E46" s="80">
        <f t="shared" si="0"/>
        <v>5</v>
      </c>
      <c r="F46" s="72">
        <f t="shared" si="3"/>
        <v>37.369999999999997</v>
      </c>
      <c r="G46" s="73">
        <f>IF(D46=D45,"",_xlfn.IFNA(VLOOKUP(D46,'인원 입력 기능 (직탐)'!$F$5:$I$53,4,FALSE),0))</f>
        <v>38</v>
      </c>
      <c r="H46" s="74">
        <f t="shared" si="4"/>
        <v>0.19191919191919191</v>
      </c>
      <c r="I46" s="78">
        <f>SUM($G$7:G46)</f>
        <v>143</v>
      </c>
      <c r="J46" s="76">
        <f t="shared" si="5"/>
        <v>0.72222222222222221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80">
        <f t="shared" si="2"/>
        <v>44</v>
      </c>
      <c r="E47" s="80">
        <f t="shared" si="0"/>
        <v>6</v>
      </c>
      <c r="F47" s="72">
        <f t="shared" si="3"/>
        <v>26.26</v>
      </c>
      <c r="G47" s="73">
        <f>IF(D47=D46,"",_xlfn.IFNA(VLOOKUP(D47,'인원 입력 기능 (직탐)'!$F$5:$I$53,4,FALSE),0))</f>
        <v>6</v>
      </c>
      <c r="H47" s="74">
        <f t="shared" si="4"/>
        <v>3.0303030303030304E-2</v>
      </c>
      <c r="I47" s="78">
        <f>SUM($G$7:G47)</f>
        <v>149</v>
      </c>
      <c r="J47" s="76">
        <f t="shared" si="5"/>
        <v>0.75252525252525249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81">
        <v>9</v>
      </c>
      <c r="D48" s="80">
        <f t="shared" si="2"/>
        <v>43</v>
      </c>
      <c r="E48" s="80">
        <f t="shared" si="0"/>
        <v>6</v>
      </c>
      <c r="F48" s="72">
        <f t="shared" si="3"/>
        <v>21.21</v>
      </c>
      <c r="G48" s="73">
        <f>IF(D48=D47,"",_xlfn.IFNA(VLOOKUP(D48,'인원 입력 기능 (직탐)'!$F$5:$I$53,4,FALSE),0))</f>
        <v>14</v>
      </c>
      <c r="H48" s="74">
        <f t="shared" si="4"/>
        <v>7.0707070707070704E-2</v>
      </c>
      <c r="I48" s="78">
        <f>SUM($G$7:G48)</f>
        <v>163</v>
      </c>
      <c r="J48" s="76">
        <f t="shared" si="5"/>
        <v>0.8232323232323232</v>
      </c>
      <c r="K48" s="32"/>
      <c r="L48" s="3" t="str">
        <f t="shared" si="1"/>
        <v/>
      </c>
    </row>
    <row r="49" spans="1:12" ht="25" customHeight="1" x14ac:dyDescent="0.45">
      <c r="A49" s="4"/>
      <c r="B49" s="18"/>
      <c r="C49" s="79">
        <v>8</v>
      </c>
      <c r="D49" s="80">
        <f t="shared" si="2"/>
        <v>42</v>
      </c>
      <c r="E49" s="80">
        <f t="shared" si="0"/>
        <v>7</v>
      </c>
      <c r="F49" s="72">
        <f t="shared" si="3"/>
        <v>15.15</v>
      </c>
      <c r="G49" s="73">
        <f>IF(D49=D48,"",_xlfn.IFNA(VLOOKUP(D49,'인원 입력 기능 (직탐)'!$F$5:$I$53,4,FALSE),0))</f>
        <v>10</v>
      </c>
      <c r="H49" s="74">
        <f t="shared" si="4"/>
        <v>5.0505050505050504E-2</v>
      </c>
      <c r="I49" s="78">
        <f>SUM($G$7:G49)</f>
        <v>173</v>
      </c>
      <c r="J49" s="76">
        <f t="shared" si="5"/>
        <v>0.8737373737373737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80">
        <f t="shared" si="2"/>
        <v>41</v>
      </c>
      <c r="E50" s="80">
        <f t="shared" si="0"/>
        <v>7</v>
      </c>
      <c r="F50" s="72">
        <f t="shared" si="3"/>
        <v>11.11</v>
      </c>
      <c r="G50" s="73">
        <f>IF(D50=D49,"",_xlfn.IFNA(VLOOKUP(D50,'인원 입력 기능 (직탐)'!$F$5:$I$53,4,FALSE),0))</f>
        <v>6</v>
      </c>
      <c r="H50" s="74">
        <f t="shared" si="4"/>
        <v>3.0303030303030304E-2</v>
      </c>
      <c r="I50" s="78">
        <f>SUM($G$7:G50)</f>
        <v>179</v>
      </c>
      <c r="J50" s="76">
        <f t="shared" si="5"/>
        <v>0.90404040404040409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80">
        <f t="shared" si="2"/>
        <v>40</v>
      </c>
      <c r="E51" s="80">
        <f t="shared" si="0"/>
        <v>8</v>
      </c>
      <c r="F51" s="72">
        <f t="shared" si="3"/>
        <v>7.32</v>
      </c>
      <c r="G51" s="73">
        <f>IF(D51=D50,"",_xlfn.IFNA(VLOOKUP(D51,'인원 입력 기능 (직탐)'!$F$5:$I$53,4,FALSE),0))</f>
        <v>9</v>
      </c>
      <c r="H51" s="74">
        <f t="shared" si="4"/>
        <v>4.5454545454545456E-2</v>
      </c>
      <c r="I51" s="78">
        <f>SUM($G$7:G51)</f>
        <v>188</v>
      </c>
      <c r="J51" s="76">
        <f t="shared" si="5"/>
        <v>0.9494949494949495</v>
      </c>
      <c r="K51" s="32"/>
      <c r="L51" s="3" t="str">
        <f t="shared" si="1"/>
        <v>경고</v>
      </c>
    </row>
    <row r="52" spans="1:12" ht="25" customHeight="1" x14ac:dyDescent="0.45">
      <c r="A52" s="4"/>
      <c r="B52" s="18"/>
      <c r="C52" s="81">
        <v>5</v>
      </c>
      <c r="D52" s="80">
        <f t="shared" si="2"/>
        <v>38</v>
      </c>
      <c r="E52" s="80">
        <f t="shared" si="0"/>
        <v>8</v>
      </c>
      <c r="F52" s="72">
        <f t="shared" si="3"/>
        <v>3.79</v>
      </c>
      <c r="G52" s="73">
        <f>IF(D52=D51,"",_xlfn.IFNA(VLOOKUP(D52,'인원 입력 기능 (직탐)'!$F$5:$I$53,4,FALSE),0))</f>
        <v>5</v>
      </c>
      <c r="H52" s="74">
        <f t="shared" si="4"/>
        <v>2.5252525252525252E-2</v>
      </c>
      <c r="I52" s="78">
        <f>SUM($G$7:G52)</f>
        <v>193</v>
      </c>
      <c r="J52" s="76">
        <f t="shared" si="5"/>
        <v>0.9747474747474747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71">
        <f t="shared" si="2"/>
        <v>37</v>
      </c>
      <c r="E53" s="71">
        <f t="shared" si="0"/>
        <v>9</v>
      </c>
      <c r="F53" s="72">
        <f t="shared" si="3"/>
        <v>2.27</v>
      </c>
      <c r="G53" s="73">
        <f>IF(D53=D52,"",_xlfn.IFNA(VLOOKUP(D53,'인원 입력 기능 (직탐)'!$F$5:$I$53,4,FALSE),0))</f>
        <v>1</v>
      </c>
      <c r="H53" s="74">
        <f t="shared" si="4"/>
        <v>5.0505050505050509E-3</v>
      </c>
      <c r="I53" s="78">
        <f>SUM($G$7:G53)</f>
        <v>194</v>
      </c>
      <c r="J53" s="76">
        <f t="shared" si="5"/>
        <v>0.97979797979797978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71">
        <f t="shared" si="2"/>
        <v>36</v>
      </c>
      <c r="E54" s="71">
        <f t="shared" si="0"/>
        <v>9</v>
      </c>
      <c r="F54" s="72">
        <f t="shared" si="3"/>
        <v>2.02</v>
      </c>
      <c r="G54" s="73">
        <f>IF(D54=D53,"",_xlfn.IFNA(VLOOKUP(D54,'인원 입력 기능 (직탐)'!$F$5:$I$53,4,FALSE),0))</f>
        <v>0</v>
      </c>
      <c r="H54" s="74">
        <f t="shared" si="4"/>
        <v>0</v>
      </c>
      <c r="I54" s="78">
        <f>SUM($G$7:G54)</f>
        <v>194</v>
      </c>
      <c r="J54" s="76">
        <f t="shared" si="5"/>
        <v>0.97979797979797978</v>
      </c>
      <c r="K54" s="32"/>
      <c r="L54" s="3" t="str">
        <f t="shared" si="1"/>
        <v/>
      </c>
    </row>
    <row r="55" spans="1:12" ht="25" customHeight="1" x14ac:dyDescent="0.45">
      <c r="A55" s="4"/>
      <c r="B55" s="18"/>
      <c r="C55" s="70">
        <v>2</v>
      </c>
      <c r="D55" s="71">
        <f t="shared" si="2"/>
        <v>35</v>
      </c>
      <c r="E55" s="71">
        <f t="shared" si="0"/>
        <v>9</v>
      </c>
      <c r="F55" s="72">
        <f t="shared" si="3"/>
        <v>2.02</v>
      </c>
      <c r="G55" s="73">
        <f>IF(D55=D54,"",_xlfn.IFNA(VLOOKUP(D55,'인원 입력 기능 (직탐)'!$F$5:$I$53,4,FALSE),0))</f>
        <v>0</v>
      </c>
      <c r="H55" s="74">
        <f t="shared" si="4"/>
        <v>0</v>
      </c>
      <c r="I55" s="78">
        <f>SUM($G$7:G55)</f>
        <v>194</v>
      </c>
      <c r="J55" s="76">
        <f t="shared" si="5"/>
        <v>0.97979797979797978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33</v>
      </c>
      <c r="E57" s="84">
        <f t="shared" si="0"/>
        <v>9</v>
      </c>
      <c r="F57" s="85">
        <f>IF(I55=0,ROUND(100*(1-(I54+I57)/2/$J$3),2),ROUND(100*(1-(I55+I57)/2/$J$3),2))</f>
        <v>1.01</v>
      </c>
      <c r="G57" s="86">
        <f>_xlfn.IFNA(VLOOKUP(D57,'인원 입력 기능 (직탐)'!$F$5:$I$53,4,FALSE),0)</f>
        <v>4</v>
      </c>
      <c r="H57" s="87">
        <f>G57/$J$3</f>
        <v>2.0202020202020204E-2</v>
      </c>
      <c r="I57" s="88">
        <f>SUM($G$7:G57)</f>
        <v>198</v>
      </c>
      <c r="J57" s="89">
        <f>I57/$J$3</f>
        <v>1</v>
      </c>
      <c r="K57" s="32"/>
      <c r="L57" s="3"/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5">
    <mergeCell ref="D3:F3"/>
    <mergeCell ref="D4:F4"/>
    <mergeCell ref="D8:J8"/>
    <mergeCell ref="D56:J56"/>
    <mergeCell ref="G5:J5"/>
  </mergeCells>
  <phoneticPr fontId="1" type="noConversion"/>
  <conditionalFormatting sqref="D7:D57">
    <cfRule type="expression" dxfId="14" priority="1">
      <formula>$D7=$D8</formula>
    </cfRule>
  </conditionalFormatting>
  <conditionalFormatting sqref="C7:C57">
    <cfRule type="expression" dxfId="13" priority="3">
      <formula>OR(AND($D7=0,OR($D6=$Q$7:$Q$14)),AND($D8&gt;0,OR($D7=$Q$7:$Q$14)))</formula>
    </cfRule>
  </conditionalFormatting>
  <conditionalFormatting sqref="D7:J7 D8 D57:J57 D56 D9:J55">
    <cfRule type="expression" dxfId="12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B2B1A-5B29-4E0D-8967-27698AB2A8A9}">
  <sheetPr codeName="Sheet26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기능'!D25</f>
        <v>30.45</v>
      </c>
      <c r="I3" s="14" t="s">
        <v>110</v>
      </c>
      <c r="J3" s="36">
        <f>'통계 및 응시자 수 입력 기능'!C25</f>
        <v>556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117</v>
      </c>
      <c r="E4" s="114"/>
      <c r="F4" s="115"/>
      <c r="G4" s="38" t="s">
        <v>113</v>
      </c>
      <c r="H4" s="39" t="str">
        <f>'통계 및 응시자 수 입력 기능'!E25</f>
        <v>15.03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/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63</v>
      </c>
      <c r="E7" s="71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95.14</v>
      </c>
      <c r="G7" s="73">
        <f>_xlfn.IFNA(VLOOKUP(D7,'인원 입력 기능 (직탐)'!$K$5:$N$53,4,FALSE),0)</f>
        <v>54</v>
      </c>
      <c r="H7" s="74">
        <f>G7/$J$3</f>
        <v>9.7122302158273388E-2</v>
      </c>
      <c r="I7" s="75">
        <f>G7</f>
        <v>54</v>
      </c>
      <c r="J7" s="76">
        <f>I7/$J$3</f>
        <v>9.7122302158273388E-2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입력기능'!C193</f>
        <v>63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입력기능'!C194</f>
        <v>62</v>
      </c>
    </row>
    <row r="9" spans="1:17" ht="25" customHeight="1" x14ac:dyDescent="0.45">
      <c r="A9" s="4"/>
      <c r="B9" s="18"/>
      <c r="C9" s="70">
        <v>48</v>
      </c>
      <c r="D9" s="71">
        <f>ROUND(10*(C9-$H$3)/$H$4+50,0)</f>
        <v>62</v>
      </c>
      <c r="E9" s="71">
        <f t="shared" si="0"/>
        <v>2</v>
      </c>
      <c r="F9" s="72">
        <f>IF(I8=0,ROUND(100*(1-(I7+I9)/2/$J$3),2),ROUND(100*(1-(I8+I9)/2/$J$3),2))</f>
        <v>88.85</v>
      </c>
      <c r="G9" s="73">
        <f>_xlfn.IFNA(VLOOKUP(D9,'인원 입력 기능 (직탐)'!$K$5:$N$53,4,FALSE),0)</f>
        <v>16</v>
      </c>
      <c r="H9" s="74">
        <f>G9/$J$3</f>
        <v>2.8776978417266189E-2</v>
      </c>
      <c r="I9" s="78">
        <f>SUM($G$7:G9)</f>
        <v>70</v>
      </c>
      <c r="J9" s="76">
        <f>I9/$J$3</f>
        <v>0.12589928057553956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입력기능'!C195</f>
        <v>60</v>
      </c>
    </row>
    <row r="10" spans="1:17" ht="25" customHeight="1" x14ac:dyDescent="0.45">
      <c r="A10" s="4"/>
      <c r="B10" s="18"/>
      <c r="C10" s="77">
        <v>47</v>
      </c>
      <c r="D10" s="71">
        <f t="shared" ref="D10:D55" si="2">ROUND(10*(C10-$H$3)/$H$4+50,0)</f>
        <v>61</v>
      </c>
      <c r="E10" s="71">
        <f t="shared" si="0"/>
        <v>3</v>
      </c>
      <c r="F10" s="72">
        <f t="shared" ref="F10:F55" si="3">IF(I9=0,ROUND(100*(1-(I8+I10)/2/$J$3),2),ROUND(100*(1-(I9+I10)/2/$J$3),2))</f>
        <v>85.52</v>
      </c>
      <c r="G10" s="73">
        <f>IF(D10=D9,"",_xlfn.IFNA(VLOOKUP(D10,'인원 입력 기능 (직탐)'!$K$5:$N$53,4,FALSE),0))</f>
        <v>21</v>
      </c>
      <c r="H10" s="74">
        <f t="shared" ref="H10:H55" si="4">G10/$J$3</f>
        <v>3.7769784172661872E-2</v>
      </c>
      <c r="I10" s="78">
        <f>SUM($G$7:G10)</f>
        <v>91</v>
      </c>
      <c r="J10" s="76">
        <f t="shared" ref="J10:J55" si="5">I10/$J$3</f>
        <v>0.16366906474820145</v>
      </c>
      <c r="K10" s="32"/>
      <c r="L10" s="3" t="str">
        <f t="shared" si="1"/>
        <v/>
      </c>
      <c r="P10" s="1">
        <v>4</v>
      </c>
      <c r="Q10" s="1">
        <f>'표준점수 등급컷 입력기능'!C196</f>
        <v>56</v>
      </c>
    </row>
    <row r="11" spans="1:17" ht="25" customHeight="1" x14ac:dyDescent="0.45">
      <c r="A11" s="4"/>
      <c r="B11" s="18"/>
      <c r="C11" s="70">
        <v>46</v>
      </c>
      <c r="D11" s="161">
        <f t="shared" si="2"/>
        <v>60</v>
      </c>
      <c r="E11" s="161">
        <f t="shared" si="0"/>
        <v>3</v>
      </c>
      <c r="F11" s="163">
        <f t="shared" si="3"/>
        <v>79.77</v>
      </c>
      <c r="G11" s="165">
        <f>IF(D11=D10,"",_xlfn.IFNA(VLOOKUP(D11,'인원 입력 기능 (직탐)'!$K$5:$N$53,4,FALSE),0))</f>
        <v>43</v>
      </c>
      <c r="H11" s="166">
        <f t="shared" si="4"/>
        <v>7.7338129496402883E-2</v>
      </c>
      <c r="I11" s="168">
        <f>SUM($G$7:G11)</f>
        <v>134</v>
      </c>
      <c r="J11" s="170">
        <f t="shared" si="5"/>
        <v>0.24100719424460432</v>
      </c>
      <c r="K11" s="32"/>
      <c r="L11" s="3" t="str">
        <f t="shared" si="1"/>
        <v/>
      </c>
      <c r="P11" s="1">
        <v>5</v>
      </c>
      <c r="Q11" s="1">
        <f>'표준점수 등급컷 입력기능'!C197</f>
        <v>48</v>
      </c>
    </row>
    <row r="12" spans="1:17" ht="25" customHeight="1" x14ac:dyDescent="0.45">
      <c r="A12" s="4"/>
      <c r="B12" s="18"/>
      <c r="C12" s="77">
        <v>45</v>
      </c>
      <c r="D12" s="160"/>
      <c r="E12" s="160"/>
      <c r="F12" s="162"/>
      <c r="G12" s="164"/>
      <c r="H12" s="167"/>
      <c r="I12" s="169"/>
      <c r="J12" s="171"/>
      <c r="K12" s="32"/>
      <c r="L12" s="3" t="str">
        <f t="shared" si="1"/>
        <v>경고</v>
      </c>
      <c r="P12" s="1">
        <v>6</v>
      </c>
      <c r="Q12" s="1">
        <f>'표준점수 등급컷 입력기능'!C198</f>
        <v>38</v>
      </c>
    </row>
    <row r="13" spans="1:17" ht="25" customHeight="1" x14ac:dyDescent="0.45">
      <c r="A13" s="4"/>
      <c r="B13" s="18"/>
      <c r="C13" s="70">
        <v>44</v>
      </c>
      <c r="D13" s="71">
        <f t="shared" si="2"/>
        <v>59</v>
      </c>
      <c r="E13" s="71">
        <f t="shared" si="0"/>
        <v>4</v>
      </c>
      <c r="F13" s="72">
        <f t="shared" si="3"/>
        <v>73.92</v>
      </c>
      <c r="G13" s="73">
        <f>IF(D13=D12,"",_xlfn.IFNA(VLOOKUP(D13,'인원 입력 기능 (직탐)'!$K$5:$N$53,4,FALSE),0))</f>
        <v>22</v>
      </c>
      <c r="H13" s="74">
        <f t="shared" si="4"/>
        <v>3.9568345323741004E-2</v>
      </c>
      <c r="I13" s="78">
        <f>SUM($G$7:G13)</f>
        <v>156</v>
      </c>
      <c r="J13" s="76">
        <f t="shared" si="5"/>
        <v>0.2805755395683453</v>
      </c>
      <c r="K13" s="32"/>
      <c r="L13" s="3" t="str">
        <f t="shared" si="1"/>
        <v/>
      </c>
      <c r="P13" s="1">
        <v>7</v>
      </c>
      <c r="Q13" s="1">
        <f>'표준점수 등급컷 입력기능'!C199</f>
        <v>36</v>
      </c>
    </row>
    <row r="14" spans="1:17" ht="25" customHeight="1" x14ac:dyDescent="0.45">
      <c r="A14" s="4"/>
      <c r="B14" s="18"/>
      <c r="C14" s="77">
        <v>43</v>
      </c>
      <c r="D14" s="161">
        <f t="shared" si="2"/>
        <v>58</v>
      </c>
      <c r="E14" s="161">
        <f t="shared" si="0"/>
        <v>4</v>
      </c>
      <c r="F14" s="163">
        <f t="shared" si="3"/>
        <v>68.709999999999994</v>
      </c>
      <c r="G14" s="165">
        <f>IF(D14=D13,"",_xlfn.IFNA(VLOOKUP(D14,'인원 입력 기능 (직탐)'!$K$5:$N$53,4,FALSE),0))</f>
        <v>36</v>
      </c>
      <c r="H14" s="166">
        <f t="shared" si="4"/>
        <v>6.4748201438848921E-2</v>
      </c>
      <c r="I14" s="168">
        <f>SUM($G$7:G14)</f>
        <v>192</v>
      </c>
      <c r="J14" s="170">
        <f t="shared" si="5"/>
        <v>0.34532374100719426</v>
      </c>
      <c r="K14" s="32"/>
      <c r="L14" s="3" t="str">
        <f t="shared" si="1"/>
        <v/>
      </c>
      <c r="P14" s="1">
        <v>8</v>
      </c>
      <c r="Q14" s="1">
        <f>'표준점수 등급컷 입력기능'!C200</f>
        <v>35</v>
      </c>
    </row>
    <row r="15" spans="1:17" ht="25" customHeight="1" x14ac:dyDescent="0.45">
      <c r="A15" s="4"/>
      <c r="B15" s="18"/>
      <c r="C15" s="70">
        <v>42</v>
      </c>
      <c r="D15" s="160"/>
      <c r="E15" s="160"/>
      <c r="F15" s="162"/>
      <c r="G15" s="164"/>
      <c r="H15" s="167"/>
      <c r="I15" s="169"/>
      <c r="J15" s="171"/>
      <c r="K15" s="32"/>
      <c r="L15" s="3" t="str">
        <f t="shared" si="1"/>
        <v>경고</v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71">
        <f t="shared" si="2"/>
        <v>57</v>
      </c>
      <c r="E16" s="71">
        <f t="shared" si="0"/>
        <v>4</v>
      </c>
      <c r="F16" s="72">
        <f t="shared" si="3"/>
        <v>64.3</v>
      </c>
      <c r="G16" s="73">
        <f>IF(D16=D15,"",_xlfn.IFNA(VLOOKUP(D16,'인원 입력 기능 (직탐)'!$K$5:$N$53,4,FALSE),0))</f>
        <v>13</v>
      </c>
      <c r="H16" s="74">
        <f t="shared" si="4"/>
        <v>2.3381294964028777E-2</v>
      </c>
      <c r="I16" s="78">
        <f>SUM($G$7:G16)</f>
        <v>205</v>
      </c>
      <c r="J16" s="76">
        <f t="shared" si="5"/>
        <v>0.36870503597122301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161">
        <f t="shared" si="2"/>
        <v>56</v>
      </c>
      <c r="E17" s="161">
        <f t="shared" si="0"/>
        <v>4</v>
      </c>
      <c r="F17" s="163">
        <f t="shared" si="3"/>
        <v>60.97</v>
      </c>
      <c r="G17" s="165">
        <f>IF(D17=D16,"",_xlfn.IFNA(VLOOKUP(D17,'인원 입력 기능 (직탐)'!$K$5:$N$53,4,FALSE),0))</f>
        <v>24</v>
      </c>
      <c r="H17" s="166">
        <f t="shared" si="4"/>
        <v>4.3165467625899283E-2</v>
      </c>
      <c r="I17" s="168">
        <f>SUM($G$7:G17)</f>
        <v>229</v>
      </c>
      <c r="J17" s="170">
        <f t="shared" si="5"/>
        <v>0.41187050359712229</v>
      </c>
      <c r="K17" s="32"/>
      <c r="L17" s="3" t="str">
        <f t="shared" si="1"/>
        <v/>
      </c>
      <c r="P17" s="1">
        <f>Q7*H3*H4*J3*IFERROR(IF(J57=1,1,0),0)</f>
        <v>16031037.077999998</v>
      </c>
    </row>
    <row r="18" spans="1:16" ht="25" customHeight="1" x14ac:dyDescent="0.45">
      <c r="A18" s="4"/>
      <c r="B18" s="18"/>
      <c r="C18" s="77">
        <v>39</v>
      </c>
      <c r="D18" s="160"/>
      <c r="E18" s="160"/>
      <c r="F18" s="162"/>
      <c r="G18" s="164"/>
      <c r="H18" s="167"/>
      <c r="I18" s="169"/>
      <c r="J18" s="171"/>
      <c r="K18" s="32"/>
      <c r="L18" s="3" t="str">
        <f t="shared" si="1"/>
        <v>경고</v>
      </c>
    </row>
    <row r="19" spans="1:16" ht="25" customHeight="1" x14ac:dyDescent="0.45">
      <c r="A19" s="4"/>
      <c r="B19" s="18"/>
      <c r="C19" s="70">
        <v>38</v>
      </c>
      <c r="D19" s="71">
        <f t="shared" si="2"/>
        <v>55</v>
      </c>
      <c r="E19" s="71">
        <f t="shared" si="0"/>
        <v>5</v>
      </c>
      <c r="F19" s="72">
        <f t="shared" si="3"/>
        <v>58.09</v>
      </c>
      <c r="G19" s="73">
        <f>IF(D19=D18,"",_xlfn.IFNA(VLOOKUP(D19,'인원 입력 기능 (직탐)'!$K$5:$N$53,4,FALSE),0))</f>
        <v>8</v>
      </c>
      <c r="H19" s="74">
        <f t="shared" si="4"/>
        <v>1.4388489208633094E-2</v>
      </c>
      <c r="I19" s="78">
        <f>SUM($G$7:G19)</f>
        <v>237</v>
      </c>
      <c r="J19" s="76">
        <f t="shared" si="5"/>
        <v>0.42625899280575541</v>
      </c>
      <c r="K19" s="32"/>
      <c r="L19" s="3" t="str">
        <f t="shared" si="1"/>
        <v/>
      </c>
    </row>
    <row r="20" spans="1:16" ht="25" customHeight="1" x14ac:dyDescent="0.45">
      <c r="A20" s="4"/>
      <c r="B20" s="18"/>
      <c r="C20" s="77">
        <v>37</v>
      </c>
      <c r="D20" s="161">
        <f t="shared" si="2"/>
        <v>54</v>
      </c>
      <c r="E20" s="161">
        <f t="shared" si="0"/>
        <v>5</v>
      </c>
      <c r="F20" s="163">
        <f t="shared" si="3"/>
        <v>54.86</v>
      </c>
      <c r="G20" s="165">
        <f>IF(D20=D19,"",_xlfn.IFNA(VLOOKUP(D20,'인원 입력 기능 (직탐)'!$K$5:$N$53,4,FALSE),0))</f>
        <v>28</v>
      </c>
      <c r="H20" s="166">
        <f t="shared" si="4"/>
        <v>5.0359712230215826E-2</v>
      </c>
      <c r="I20" s="168">
        <f>SUM($G$7:G20)</f>
        <v>265</v>
      </c>
      <c r="J20" s="170">
        <f t="shared" si="5"/>
        <v>0.4766187050359712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160"/>
      <c r="E21" s="160"/>
      <c r="F21" s="162"/>
      <c r="G21" s="164"/>
      <c r="H21" s="167"/>
      <c r="I21" s="169"/>
      <c r="J21" s="171"/>
      <c r="K21" s="32"/>
      <c r="L21" s="3" t="str">
        <f t="shared" si="1"/>
        <v>경고</v>
      </c>
    </row>
    <row r="22" spans="1:16" ht="25" customHeight="1" x14ac:dyDescent="0.45">
      <c r="A22" s="4"/>
      <c r="B22" s="18"/>
      <c r="C22" s="81">
        <v>35</v>
      </c>
      <c r="D22" s="80">
        <f t="shared" si="2"/>
        <v>53</v>
      </c>
      <c r="E22" s="80">
        <f t="shared" si="0"/>
        <v>5</v>
      </c>
      <c r="F22" s="72">
        <f t="shared" si="3"/>
        <v>51.17</v>
      </c>
      <c r="G22" s="73">
        <f>IF(D22=D21,"",_xlfn.IFNA(VLOOKUP(D22,'인원 입력 기능 (직탐)'!$K$5:$N$53,4,FALSE),0))</f>
        <v>13</v>
      </c>
      <c r="H22" s="74">
        <f t="shared" si="4"/>
        <v>2.3381294964028777E-2</v>
      </c>
      <c r="I22" s="78">
        <f>SUM($G$7:G22)</f>
        <v>278</v>
      </c>
      <c r="J22" s="76">
        <f t="shared" si="5"/>
        <v>0.5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173">
        <f t="shared" si="2"/>
        <v>52</v>
      </c>
      <c r="E23" s="173">
        <f t="shared" si="0"/>
        <v>5</v>
      </c>
      <c r="F23" s="163">
        <f t="shared" si="3"/>
        <v>48.65</v>
      </c>
      <c r="G23" s="165">
        <f>IF(D23=D22,"",_xlfn.IFNA(VLOOKUP(D23,'인원 입력 기능 (직탐)'!$K$5:$N$53,4,FALSE),0))</f>
        <v>15</v>
      </c>
      <c r="H23" s="166">
        <f t="shared" si="4"/>
        <v>2.6978417266187049E-2</v>
      </c>
      <c r="I23" s="168">
        <f>SUM($G$7:G23)</f>
        <v>293</v>
      </c>
      <c r="J23" s="170">
        <f t="shared" si="5"/>
        <v>0.5269784172661871</v>
      </c>
      <c r="K23" s="32"/>
      <c r="L23" s="3" t="str">
        <f t="shared" si="1"/>
        <v/>
      </c>
    </row>
    <row r="24" spans="1:16" ht="25" customHeight="1" x14ac:dyDescent="0.45">
      <c r="A24" s="4"/>
      <c r="B24" s="18"/>
      <c r="C24" s="81">
        <v>33</v>
      </c>
      <c r="D24" s="172"/>
      <c r="E24" s="172"/>
      <c r="F24" s="162"/>
      <c r="G24" s="164"/>
      <c r="H24" s="167"/>
      <c r="I24" s="169"/>
      <c r="J24" s="171"/>
      <c r="K24" s="32"/>
      <c r="L24" s="3" t="str">
        <f t="shared" si="1"/>
        <v>경고</v>
      </c>
    </row>
    <row r="25" spans="1:16" ht="25" customHeight="1" x14ac:dyDescent="0.45">
      <c r="A25" s="4"/>
      <c r="B25" s="18"/>
      <c r="C25" s="79">
        <v>32</v>
      </c>
      <c r="D25" s="80">
        <f t="shared" si="2"/>
        <v>51</v>
      </c>
      <c r="E25" s="80">
        <f t="shared" si="0"/>
        <v>5</v>
      </c>
      <c r="F25" s="72">
        <f t="shared" si="3"/>
        <v>46.94</v>
      </c>
      <c r="G25" s="73">
        <f>IF(D25=D24,"",_xlfn.IFNA(VLOOKUP(D25,'인원 입력 기능 (직탐)'!$K$5:$N$53,4,FALSE),0))</f>
        <v>4</v>
      </c>
      <c r="H25" s="74">
        <f t="shared" si="4"/>
        <v>7.1942446043165471E-3</v>
      </c>
      <c r="I25" s="78">
        <f>SUM($G$7:G25)</f>
        <v>297</v>
      </c>
      <c r="J25" s="76">
        <f t="shared" si="5"/>
        <v>0.53417266187050361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173">
        <f t="shared" si="2"/>
        <v>50</v>
      </c>
      <c r="E26" s="173">
        <f t="shared" si="0"/>
        <v>5</v>
      </c>
      <c r="F26" s="163">
        <f t="shared" si="3"/>
        <v>45.05</v>
      </c>
      <c r="G26" s="165">
        <f>IF(D26=D25,"",_xlfn.IFNA(VLOOKUP(D26,'인원 입력 기능 (직탐)'!$K$5:$N$53,4,FALSE),0))</f>
        <v>17</v>
      </c>
      <c r="H26" s="166">
        <f t="shared" si="4"/>
        <v>3.0575539568345324E-2</v>
      </c>
      <c r="I26" s="168">
        <f>SUM($G$7:G26)</f>
        <v>314</v>
      </c>
      <c r="J26" s="170">
        <f t="shared" si="5"/>
        <v>0.56474820143884896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172"/>
      <c r="E27" s="172"/>
      <c r="F27" s="162"/>
      <c r="G27" s="164"/>
      <c r="H27" s="167"/>
      <c r="I27" s="169"/>
      <c r="J27" s="171"/>
      <c r="K27" s="32"/>
      <c r="L27" s="3" t="str">
        <f t="shared" si="1"/>
        <v>경고</v>
      </c>
    </row>
    <row r="28" spans="1:16" ht="25" customHeight="1" x14ac:dyDescent="0.45">
      <c r="A28" s="4"/>
      <c r="B28" s="18"/>
      <c r="C28" s="81">
        <v>29</v>
      </c>
      <c r="D28" s="80">
        <f t="shared" si="2"/>
        <v>49</v>
      </c>
      <c r="E28" s="80">
        <f t="shared" si="0"/>
        <v>5</v>
      </c>
      <c r="F28" s="72">
        <f t="shared" si="3"/>
        <v>42.72</v>
      </c>
      <c r="G28" s="73">
        <f>IF(D28=D27,"",_xlfn.IFNA(VLOOKUP(D28,'인원 입력 기능 (직탐)'!$K$5:$N$53,4,FALSE),0))</f>
        <v>9</v>
      </c>
      <c r="H28" s="74">
        <f t="shared" si="4"/>
        <v>1.618705035971223E-2</v>
      </c>
      <c r="I28" s="78">
        <f>SUM($G$7:G28)</f>
        <v>323</v>
      </c>
      <c r="J28" s="76">
        <f t="shared" si="5"/>
        <v>0.5809352517985612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173">
        <f t="shared" si="2"/>
        <v>48</v>
      </c>
      <c r="E29" s="173">
        <f t="shared" si="0"/>
        <v>5</v>
      </c>
      <c r="F29" s="163">
        <f t="shared" si="3"/>
        <v>40.380000000000003</v>
      </c>
      <c r="G29" s="165">
        <f>IF(D29=D28,"",_xlfn.IFNA(VLOOKUP(D29,'인원 입력 기능 (직탐)'!$K$5:$N$53,4,FALSE),0))</f>
        <v>17</v>
      </c>
      <c r="H29" s="166">
        <f t="shared" si="4"/>
        <v>3.0575539568345324E-2</v>
      </c>
      <c r="I29" s="168">
        <f>SUM($G$7:G29)</f>
        <v>340</v>
      </c>
      <c r="J29" s="170">
        <f t="shared" si="5"/>
        <v>0.61151079136690645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172"/>
      <c r="E30" s="172"/>
      <c r="F30" s="162"/>
      <c r="G30" s="164"/>
      <c r="H30" s="167"/>
      <c r="I30" s="169"/>
      <c r="J30" s="171"/>
      <c r="K30" s="32"/>
      <c r="L30" s="3" t="str">
        <f t="shared" si="1"/>
        <v>경고</v>
      </c>
    </row>
    <row r="31" spans="1:16" ht="25" customHeight="1" x14ac:dyDescent="0.45">
      <c r="A31" s="4"/>
      <c r="B31" s="18"/>
      <c r="C31" s="79">
        <v>26</v>
      </c>
      <c r="D31" s="80">
        <f t="shared" si="2"/>
        <v>47</v>
      </c>
      <c r="E31" s="80">
        <f t="shared" si="0"/>
        <v>6</v>
      </c>
      <c r="F31" s="72">
        <f t="shared" si="3"/>
        <v>38.04</v>
      </c>
      <c r="G31" s="73">
        <f>IF(D31=D30,"",_xlfn.IFNA(VLOOKUP(D31,'인원 입력 기능 (직탐)'!$K$5:$N$53,4,FALSE),0))</f>
        <v>9</v>
      </c>
      <c r="H31" s="74">
        <f t="shared" si="4"/>
        <v>1.618705035971223E-2</v>
      </c>
      <c r="I31" s="78">
        <f>SUM($G$7:G31)</f>
        <v>349</v>
      </c>
      <c r="J31" s="76">
        <f t="shared" si="5"/>
        <v>0.62769784172661869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173">
        <f t="shared" si="2"/>
        <v>46</v>
      </c>
      <c r="E32" s="173">
        <f t="shared" si="0"/>
        <v>6</v>
      </c>
      <c r="F32" s="163">
        <f t="shared" si="3"/>
        <v>36.06</v>
      </c>
      <c r="G32" s="165">
        <f>IF(D32=D31,"",_xlfn.IFNA(VLOOKUP(D32,'인원 입력 기능 (직탐)'!$K$5:$N$53,4,FALSE),0))</f>
        <v>13</v>
      </c>
      <c r="H32" s="166">
        <f t="shared" si="4"/>
        <v>2.3381294964028777E-2</v>
      </c>
      <c r="I32" s="168">
        <f>SUM($G$7:G32)</f>
        <v>362</v>
      </c>
      <c r="J32" s="170">
        <f t="shared" si="5"/>
        <v>0.65107913669064743</v>
      </c>
      <c r="K32" s="32"/>
      <c r="L32" s="3" t="str">
        <f t="shared" si="1"/>
        <v/>
      </c>
    </row>
    <row r="33" spans="1:12" ht="25" customHeight="1" x14ac:dyDescent="0.45">
      <c r="A33" s="4"/>
      <c r="B33" s="18"/>
      <c r="C33" s="79">
        <v>24</v>
      </c>
      <c r="D33" s="172"/>
      <c r="E33" s="172"/>
      <c r="F33" s="162"/>
      <c r="G33" s="164"/>
      <c r="H33" s="167"/>
      <c r="I33" s="169"/>
      <c r="J33" s="171"/>
      <c r="K33" s="32"/>
      <c r="L33" s="3" t="str">
        <f t="shared" si="1"/>
        <v>경고</v>
      </c>
    </row>
    <row r="34" spans="1:12" ht="25" customHeight="1" x14ac:dyDescent="0.45">
      <c r="A34" s="4"/>
      <c r="B34" s="18"/>
      <c r="C34" s="81">
        <v>23</v>
      </c>
      <c r="D34" s="80">
        <f t="shared" si="2"/>
        <v>45</v>
      </c>
      <c r="E34" s="80">
        <f t="shared" si="0"/>
        <v>6</v>
      </c>
      <c r="F34" s="72">
        <f t="shared" si="3"/>
        <v>34.71</v>
      </c>
      <c r="G34" s="73">
        <f>IF(D34=D33,"",_xlfn.IFNA(VLOOKUP(D34,'인원 입력 기능 (직탐)'!$K$5:$N$53,4,FALSE),0))</f>
        <v>2</v>
      </c>
      <c r="H34" s="74">
        <f t="shared" si="4"/>
        <v>3.5971223021582736E-3</v>
      </c>
      <c r="I34" s="78">
        <f>SUM($G$7:G34)</f>
        <v>364</v>
      </c>
      <c r="J34" s="76">
        <f t="shared" si="5"/>
        <v>0.65467625899280579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173">
        <f t="shared" si="2"/>
        <v>44</v>
      </c>
      <c r="E35" s="173">
        <f t="shared" si="0"/>
        <v>6</v>
      </c>
      <c r="F35" s="163">
        <f t="shared" si="3"/>
        <v>33.450000000000003</v>
      </c>
      <c r="G35" s="165">
        <f>IF(D35=D34,"",_xlfn.IFNA(VLOOKUP(D35,'인원 입력 기능 (직탐)'!$K$5:$N$53,4,FALSE),0))</f>
        <v>12</v>
      </c>
      <c r="H35" s="166">
        <f t="shared" si="4"/>
        <v>2.1582733812949641E-2</v>
      </c>
      <c r="I35" s="168">
        <f>SUM($G$7:G35)</f>
        <v>376</v>
      </c>
      <c r="J35" s="170">
        <f t="shared" si="5"/>
        <v>0.67625899280575541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172"/>
      <c r="E36" s="172"/>
      <c r="F36" s="162"/>
      <c r="G36" s="164"/>
      <c r="H36" s="167"/>
      <c r="I36" s="169"/>
      <c r="J36" s="171"/>
      <c r="K36" s="32"/>
      <c r="L36" s="3" t="str">
        <f t="shared" si="1"/>
        <v>경고</v>
      </c>
    </row>
    <row r="37" spans="1:12" ht="25" customHeight="1" x14ac:dyDescent="0.45">
      <c r="A37" s="4"/>
      <c r="B37" s="18"/>
      <c r="C37" s="79">
        <v>20</v>
      </c>
      <c r="D37" s="80">
        <f t="shared" si="2"/>
        <v>43</v>
      </c>
      <c r="E37" s="80">
        <f t="shared" si="0"/>
        <v>6</v>
      </c>
      <c r="F37" s="72">
        <f t="shared" si="3"/>
        <v>32.1</v>
      </c>
      <c r="G37" s="73">
        <f>IF(D37=D36,"",_xlfn.IFNA(VLOOKUP(D37,'인원 입력 기능 (직탐)'!$K$5:$N$53,4,FALSE),0))</f>
        <v>3</v>
      </c>
      <c r="H37" s="74">
        <f t="shared" si="4"/>
        <v>5.3956834532374104E-3</v>
      </c>
      <c r="I37" s="78">
        <f>SUM($G$7:G37)</f>
        <v>379</v>
      </c>
      <c r="J37" s="76">
        <f t="shared" si="5"/>
        <v>0.68165467625899279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173">
        <f t="shared" si="2"/>
        <v>42</v>
      </c>
      <c r="E38" s="173">
        <f t="shared" si="0"/>
        <v>6</v>
      </c>
      <c r="F38" s="163">
        <f t="shared" si="3"/>
        <v>30.4</v>
      </c>
      <c r="G38" s="165">
        <f>IF(D38=D37,"",_xlfn.IFNA(VLOOKUP(D38,'인원 입력 기능 (직탐)'!$K$5:$N$53,4,FALSE),0))</f>
        <v>16</v>
      </c>
      <c r="H38" s="166">
        <f t="shared" si="4"/>
        <v>2.8776978417266189E-2</v>
      </c>
      <c r="I38" s="168">
        <f>SUM($G$7:G38)</f>
        <v>395</v>
      </c>
      <c r="J38" s="170">
        <f t="shared" si="5"/>
        <v>0.71043165467625902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172"/>
      <c r="E39" s="172"/>
      <c r="F39" s="162"/>
      <c r="G39" s="164"/>
      <c r="H39" s="167"/>
      <c r="I39" s="169"/>
      <c r="J39" s="171"/>
      <c r="K39" s="32"/>
      <c r="L39" s="3" t="str">
        <f t="shared" si="1"/>
        <v>경고</v>
      </c>
    </row>
    <row r="40" spans="1:12" ht="25" customHeight="1" x14ac:dyDescent="0.45">
      <c r="A40" s="4"/>
      <c r="B40" s="18"/>
      <c r="C40" s="81">
        <v>17</v>
      </c>
      <c r="D40" s="80">
        <f t="shared" si="2"/>
        <v>41</v>
      </c>
      <c r="E40" s="80">
        <f t="shared" si="0"/>
        <v>6</v>
      </c>
      <c r="F40" s="72">
        <f t="shared" si="3"/>
        <v>28.33</v>
      </c>
      <c r="G40" s="73">
        <f>IF(D40=D39,"",_xlfn.IFNA(VLOOKUP(D40,'인원 입력 기능 (직탐)'!$K$5:$N$53,4,FALSE),0))</f>
        <v>7</v>
      </c>
      <c r="H40" s="74">
        <f t="shared" si="4"/>
        <v>1.2589928057553957E-2</v>
      </c>
      <c r="I40" s="78">
        <f>SUM($G$7:G40)</f>
        <v>402</v>
      </c>
      <c r="J40" s="76">
        <f t="shared" si="5"/>
        <v>0.7230215827338129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173">
        <f t="shared" si="2"/>
        <v>40</v>
      </c>
      <c r="E41" s="173">
        <f t="shared" si="0"/>
        <v>6</v>
      </c>
      <c r="F41" s="163">
        <f t="shared" si="3"/>
        <v>26.62</v>
      </c>
      <c r="G41" s="165">
        <f>IF(D41=D40,"",_xlfn.IFNA(VLOOKUP(D41,'인원 입력 기능 (직탐)'!$K$5:$N$53,4,FALSE),0))</f>
        <v>12</v>
      </c>
      <c r="H41" s="166">
        <f t="shared" si="4"/>
        <v>2.1582733812949641E-2</v>
      </c>
      <c r="I41" s="168">
        <f>SUM($G$7:G41)</f>
        <v>414</v>
      </c>
      <c r="J41" s="170">
        <f t="shared" si="5"/>
        <v>0.74460431654676262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172"/>
      <c r="E42" s="172"/>
      <c r="F42" s="162"/>
      <c r="G42" s="164"/>
      <c r="H42" s="167"/>
      <c r="I42" s="169"/>
      <c r="J42" s="171"/>
      <c r="K42" s="32"/>
      <c r="L42" s="3" t="str">
        <f t="shared" si="1"/>
        <v>경고</v>
      </c>
    </row>
    <row r="43" spans="1:12" ht="25" customHeight="1" x14ac:dyDescent="0.45">
      <c r="A43" s="4"/>
      <c r="B43" s="18"/>
      <c r="C43" s="79">
        <v>14</v>
      </c>
      <c r="D43" s="80">
        <f t="shared" si="2"/>
        <v>39</v>
      </c>
      <c r="E43" s="80">
        <f t="shared" si="0"/>
        <v>6</v>
      </c>
      <c r="F43" s="72">
        <f t="shared" si="3"/>
        <v>25.27</v>
      </c>
      <c r="G43" s="73">
        <f>IF(D43=D42,"",_xlfn.IFNA(VLOOKUP(D43,'인원 입력 기능 (직탐)'!$K$5:$N$53,4,FALSE),0))</f>
        <v>3</v>
      </c>
      <c r="H43" s="74">
        <f t="shared" si="4"/>
        <v>5.3956834532374104E-3</v>
      </c>
      <c r="I43" s="78">
        <f>SUM($G$7:G43)</f>
        <v>417</v>
      </c>
      <c r="J43" s="76">
        <f t="shared" si="5"/>
        <v>0.75</v>
      </c>
      <c r="K43" s="32"/>
      <c r="L43" s="3" t="str">
        <f t="shared" si="1"/>
        <v/>
      </c>
    </row>
    <row r="44" spans="1:12" ht="25" customHeight="1" x14ac:dyDescent="0.45">
      <c r="A44" s="4"/>
      <c r="B44" s="18"/>
      <c r="C44" s="81">
        <v>13</v>
      </c>
      <c r="D44" s="173">
        <f t="shared" si="2"/>
        <v>38</v>
      </c>
      <c r="E44" s="173">
        <f t="shared" si="0"/>
        <v>6</v>
      </c>
      <c r="F44" s="163">
        <f t="shared" si="3"/>
        <v>22.66</v>
      </c>
      <c r="G44" s="165">
        <f>IF(D44=D43,"",_xlfn.IFNA(VLOOKUP(D44,'인원 입력 기능 (직탐)'!$K$5:$N$53,4,FALSE),0))</f>
        <v>26</v>
      </c>
      <c r="H44" s="166">
        <f t="shared" si="4"/>
        <v>4.6762589928057555E-2</v>
      </c>
      <c r="I44" s="168">
        <f>SUM($G$7:G44)</f>
        <v>443</v>
      </c>
      <c r="J44" s="170">
        <f t="shared" si="5"/>
        <v>0.7967625899280576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172"/>
      <c r="E45" s="172"/>
      <c r="F45" s="162"/>
      <c r="G45" s="164"/>
      <c r="H45" s="167"/>
      <c r="I45" s="169"/>
      <c r="J45" s="171"/>
      <c r="K45" s="32"/>
      <c r="L45" s="3" t="str">
        <f t="shared" si="1"/>
        <v>경고</v>
      </c>
    </row>
    <row r="46" spans="1:12" ht="25" customHeight="1" x14ac:dyDescent="0.45">
      <c r="A46" s="4"/>
      <c r="B46" s="18"/>
      <c r="C46" s="81">
        <v>11</v>
      </c>
      <c r="D46" s="80">
        <f t="shared" si="2"/>
        <v>37</v>
      </c>
      <c r="E46" s="80">
        <f t="shared" si="0"/>
        <v>7</v>
      </c>
      <c r="F46" s="72">
        <f t="shared" si="3"/>
        <v>19.87</v>
      </c>
      <c r="G46" s="73">
        <f>IF(D46=D45,"",_xlfn.IFNA(VLOOKUP(D46,'인원 입력 기능 (직탐)'!$K$5:$N$53,4,FALSE),0))</f>
        <v>5</v>
      </c>
      <c r="H46" s="74">
        <f t="shared" si="4"/>
        <v>8.9928057553956831E-3</v>
      </c>
      <c r="I46" s="78">
        <f>SUM($G$7:G46)</f>
        <v>448</v>
      </c>
      <c r="J46" s="76">
        <f t="shared" si="5"/>
        <v>0.80575539568345322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173">
        <f t="shared" si="2"/>
        <v>36</v>
      </c>
      <c r="E47" s="173">
        <f t="shared" si="0"/>
        <v>7</v>
      </c>
      <c r="F47" s="163">
        <f t="shared" si="3"/>
        <v>12.5</v>
      </c>
      <c r="G47" s="165">
        <f>IF(D47=D46,"",_xlfn.IFNA(VLOOKUP(D47,'인원 입력 기능 (직탐)'!$K$5:$N$53,4,FALSE),0))</f>
        <v>77</v>
      </c>
      <c r="H47" s="166">
        <f t="shared" si="4"/>
        <v>0.13848920863309352</v>
      </c>
      <c r="I47" s="168">
        <f>SUM($G$7:G47)</f>
        <v>525</v>
      </c>
      <c r="J47" s="170">
        <f t="shared" si="5"/>
        <v>0.94424460431654678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81">
        <v>9</v>
      </c>
      <c r="D48" s="172"/>
      <c r="E48" s="172"/>
      <c r="F48" s="162"/>
      <c r="G48" s="164"/>
      <c r="H48" s="167"/>
      <c r="I48" s="169"/>
      <c r="J48" s="171"/>
      <c r="K48" s="32"/>
      <c r="L48" s="3" t="str">
        <f t="shared" si="1"/>
        <v>경고</v>
      </c>
    </row>
    <row r="49" spans="1:12" ht="25" customHeight="1" x14ac:dyDescent="0.45">
      <c r="A49" s="4"/>
      <c r="B49" s="18"/>
      <c r="C49" s="79">
        <v>8</v>
      </c>
      <c r="D49" s="80">
        <f t="shared" si="2"/>
        <v>35</v>
      </c>
      <c r="E49" s="80">
        <f t="shared" si="0"/>
        <v>8</v>
      </c>
      <c r="F49" s="72">
        <f t="shared" si="3"/>
        <v>4.32</v>
      </c>
      <c r="G49" s="73">
        <f>IF(D49=D48,"",_xlfn.IFNA(VLOOKUP(D49,'인원 입력 기능 (직탐)'!$K$5:$N$53,4,FALSE),0))</f>
        <v>14</v>
      </c>
      <c r="H49" s="74">
        <f t="shared" si="4"/>
        <v>2.5179856115107913E-2</v>
      </c>
      <c r="I49" s="78">
        <f>SUM($G$7:G49)</f>
        <v>539</v>
      </c>
      <c r="J49" s="76">
        <f t="shared" si="5"/>
        <v>0.96942446043165464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173">
        <f t="shared" si="2"/>
        <v>34</v>
      </c>
      <c r="E50" s="173">
        <f t="shared" si="0"/>
        <v>9</v>
      </c>
      <c r="F50" s="163">
        <f t="shared" si="3"/>
        <v>2.34</v>
      </c>
      <c r="G50" s="165">
        <f>IF(D50=D49,"",_xlfn.IFNA(VLOOKUP(D50,'인원 입력 기능 (직탐)'!$K$5:$N$53,4,FALSE),0))</f>
        <v>8</v>
      </c>
      <c r="H50" s="166">
        <f t="shared" si="4"/>
        <v>1.4388489208633094E-2</v>
      </c>
      <c r="I50" s="168">
        <f>SUM($G$7:G50)</f>
        <v>547</v>
      </c>
      <c r="J50" s="170">
        <f t="shared" si="5"/>
        <v>0.98381294964028776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172"/>
      <c r="E51" s="172"/>
      <c r="F51" s="162"/>
      <c r="G51" s="164"/>
      <c r="H51" s="167"/>
      <c r="I51" s="169"/>
      <c r="J51" s="171"/>
      <c r="K51" s="32"/>
      <c r="L51" s="3" t="str">
        <f t="shared" si="1"/>
        <v>경고</v>
      </c>
    </row>
    <row r="52" spans="1:12" ht="25" customHeight="1" x14ac:dyDescent="0.45">
      <c r="A52" s="4"/>
      <c r="B52" s="18"/>
      <c r="C52" s="81">
        <v>5</v>
      </c>
      <c r="D52" s="80">
        <f t="shared" si="2"/>
        <v>33</v>
      </c>
      <c r="E52" s="80">
        <f t="shared" si="0"/>
        <v>9</v>
      </c>
      <c r="F52" s="72">
        <f t="shared" si="3"/>
        <v>1.35</v>
      </c>
      <c r="G52" s="73">
        <f>IF(D52=D51,"",_xlfn.IFNA(VLOOKUP(D52,'인원 입력 기능 (직탐)'!$K$5:$N$53,4,FALSE),0))</f>
        <v>3</v>
      </c>
      <c r="H52" s="74">
        <f t="shared" si="4"/>
        <v>5.3956834532374104E-3</v>
      </c>
      <c r="I52" s="78">
        <f>SUM($G$7:G52)</f>
        <v>550</v>
      </c>
      <c r="J52" s="76">
        <f t="shared" si="5"/>
        <v>0.98920863309352514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161">
        <f t="shared" si="2"/>
        <v>32</v>
      </c>
      <c r="E53" s="161">
        <f t="shared" si="0"/>
        <v>9</v>
      </c>
      <c r="F53" s="163">
        <f t="shared" si="3"/>
        <v>0.63</v>
      </c>
      <c r="G53" s="165">
        <f>IF(D53=D52,"",_xlfn.IFNA(VLOOKUP(D53,'인원 입력 기능 (직탐)'!$K$5:$N$53,4,FALSE),0))</f>
        <v>5</v>
      </c>
      <c r="H53" s="166">
        <f t="shared" si="4"/>
        <v>8.9928057553956831E-3</v>
      </c>
      <c r="I53" s="168">
        <f>SUM($G$7:G53)</f>
        <v>555</v>
      </c>
      <c r="J53" s="170">
        <f t="shared" si="5"/>
        <v>0.99820143884892087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160"/>
      <c r="E54" s="160"/>
      <c r="F54" s="162"/>
      <c r="G54" s="164"/>
      <c r="H54" s="167"/>
      <c r="I54" s="169"/>
      <c r="J54" s="171"/>
      <c r="K54" s="32"/>
      <c r="L54" s="3" t="str">
        <f t="shared" si="1"/>
        <v>경고</v>
      </c>
    </row>
    <row r="55" spans="1:12" ht="25" customHeight="1" x14ac:dyDescent="0.45">
      <c r="A55" s="4"/>
      <c r="B55" s="18"/>
      <c r="C55" s="70">
        <v>2</v>
      </c>
      <c r="D55" s="71">
        <f t="shared" si="2"/>
        <v>31</v>
      </c>
      <c r="E55" s="71">
        <f t="shared" si="0"/>
        <v>9</v>
      </c>
      <c r="F55" s="72">
        <f t="shared" si="3"/>
        <v>0.18</v>
      </c>
      <c r="G55" s="73">
        <f>IF(D55=D54,"",_xlfn.IFNA(VLOOKUP(D55,'인원 입력 기능 (직탐)'!$K$5:$N$53,4,FALSE),0))</f>
        <v>0</v>
      </c>
      <c r="H55" s="74">
        <f t="shared" si="4"/>
        <v>0</v>
      </c>
      <c r="I55" s="78">
        <f>SUM($G$7:G55)</f>
        <v>555</v>
      </c>
      <c r="J55" s="76">
        <f t="shared" si="5"/>
        <v>0.99820143884892087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30</v>
      </c>
      <c r="E57" s="84">
        <f t="shared" si="0"/>
        <v>9</v>
      </c>
      <c r="F57" s="85">
        <f>IF(I55=0,ROUND(100*(1-(I54+I57)/2/$J$3),2),ROUND(100*(1-(I55+I57)/2/$J$3),2))</f>
        <v>0.09</v>
      </c>
      <c r="G57" s="86">
        <f>_xlfn.IFNA(VLOOKUP(D57,'인원 입력 기능 (직탐)'!$K$5:$N$53,4,FALSE),0)</f>
        <v>1</v>
      </c>
      <c r="H57" s="87">
        <f>G57/$J$3</f>
        <v>1.7985611510791368E-3</v>
      </c>
      <c r="I57" s="88">
        <f>SUM($G$7:G57)</f>
        <v>556</v>
      </c>
      <c r="J57" s="89">
        <f>I57/$J$3</f>
        <v>1</v>
      </c>
      <c r="K57" s="32"/>
      <c r="L57" s="3"/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110">
    <mergeCell ref="I50:I51"/>
    <mergeCell ref="J50:J51"/>
    <mergeCell ref="D53:D54"/>
    <mergeCell ref="E53:E54"/>
    <mergeCell ref="F53:F54"/>
    <mergeCell ref="G53:G54"/>
    <mergeCell ref="H53:H54"/>
    <mergeCell ref="I53:I54"/>
    <mergeCell ref="J53:J54"/>
    <mergeCell ref="D50:D51"/>
    <mergeCell ref="E50:E51"/>
    <mergeCell ref="F50:F51"/>
    <mergeCell ref="G50:G51"/>
    <mergeCell ref="H50:H51"/>
    <mergeCell ref="I44:I45"/>
    <mergeCell ref="J44:J45"/>
    <mergeCell ref="D47:D48"/>
    <mergeCell ref="E47:E48"/>
    <mergeCell ref="F47:F48"/>
    <mergeCell ref="G47:G48"/>
    <mergeCell ref="H47:H48"/>
    <mergeCell ref="I47:I48"/>
    <mergeCell ref="J47:J48"/>
    <mergeCell ref="D44:D45"/>
    <mergeCell ref="E44:E45"/>
    <mergeCell ref="F44:F45"/>
    <mergeCell ref="G44:G45"/>
    <mergeCell ref="H44:H45"/>
    <mergeCell ref="I38:I39"/>
    <mergeCell ref="J38:J39"/>
    <mergeCell ref="D41:D42"/>
    <mergeCell ref="E41:E42"/>
    <mergeCell ref="F41:F42"/>
    <mergeCell ref="G41:G42"/>
    <mergeCell ref="H41:H42"/>
    <mergeCell ref="I41:I42"/>
    <mergeCell ref="J41:J42"/>
    <mergeCell ref="D38:D39"/>
    <mergeCell ref="E38:E39"/>
    <mergeCell ref="F38:F39"/>
    <mergeCell ref="G38:G39"/>
    <mergeCell ref="H38:H39"/>
    <mergeCell ref="I32:I33"/>
    <mergeCell ref="J32:J33"/>
    <mergeCell ref="D35:D36"/>
    <mergeCell ref="E35:E36"/>
    <mergeCell ref="F35:F36"/>
    <mergeCell ref="G35:G36"/>
    <mergeCell ref="H35:H36"/>
    <mergeCell ref="I35:I36"/>
    <mergeCell ref="J35:J36"/>
    <mergeCell ref="D32:D33"/>
    <mergeCell ref="E32:E33"/>
    <mergeCell ref="F32:F33"/>
    <mergeCell ref="G32:G33"/>
    <mergeCell ref="H32:H33"/>
    <mergeCell ref="I26:I27"/>
    <mergeCell ref="J26:J27"/>
    <mergeCell ref="D29:D30"/>
    <mergeCell ref="E29:E30"/>
    <mergeCell ref="F29:F30"/>
    <mergeCell ref="G29:G30"/>
    <mergeCell ref="H29:H30"/>
    <mergeCell ref="I29:I30"/>
    <mergeCell ref="J29:J30"/>
    <mergeCell ref="D26:D27"/>
    <mergeCell ref="E26:E27"/>
    <mergeCell ref="F26:F27"/>
    <mergeCell ref="G26:G27"/>
    <mergeCell ref="H26:H27"/>
    <mergeCell ref="I20:I21"/>
    <mergeCell ref="J20:J21"/>
    <mergeCell ref="D23:D24"/>
    <mergeCell ref="E23:E24"/>
    <mergeCell ref="F23:F24"/>
    <mergeCell ref="G23:G24"/>
    <mergeCell ref="H23:H24"/>
    <mergeCell ref="I23:I24"/>
    <mergeCell ref="J23:J24"/>
    <mergeCell ref="D20:D21"/>
    <mergeCell ref="E20:E21"/>
    <mergeCell ref="F20:F21"/>
    <mergeCell ref="G20:G21"/>
    <mergeCell ref="H20:H21"/>
    <mergeCell ref="H14:H15"/>
    <mergeCell ref="I14:I15"/>
    <mergeCell ref="J14:J15"/>
    <mergeCell ref="D17:D18"/>
    <mergeCell ref="E17:E18"/>
    <mergeCell ref="F17:F18"/>
    <mergeCell ref="G17:G18"/>
    <mergeCell ref="H17:H18"/>
    <mergeCell ref="I17:I18"/>
    <mergeCell ref="J17:J18"/>
    <mergeCell ref="D3:F3"/>
    <mergeCell ref="D4:F4"/>
    <mergeCell ref="D8:J8"/>
    <mergeCell ref="D56:J56"/>
    <mergeCell ref="G5:J5"/>
    <mergeCell ref="D11:D12"/>
    <mergeCell ref="E11:E12"/>
    <mergeCell ref="F11:F12"/>
    <mergeCell ref="G11:G12"/>
    <mergeCell ref="H11:H12"/>
    <mergeCell ref="I11:I12"/>
    <mergeCell ref="J11:J12"/>
    <mergeCell ref="D14:D15"/>
    <mergeCell ref="E14:E15"/>
    <mergeCell ref="F14:F15"/>
    <mergeCell ref="G14:G15"/>
  </mergeCells>
  <phoneticPr fontId="1" type="noConversion"/>
  <conditionalFormatting sqref="D7:D11 D13:D14 D16:D17 D19:D20 D22:D23 D25:D26 D28:D29 D31:D32 D34:D35 D37:D38 D40:D41 D43:D44 D46:D47 D49:D50 D52:D53 D55:D57">
    <cfRule type="expression" dxfId="11" priority="1">
      <formula>$D7=$D8</formula>
    </cfRule>
  </conditionalFormatting>
  <conditionalFormatting sqref="C7:C57">
    <cfRule type="expression" dxfId="10" priority="2">
      <formula>OR(AND($D7=0,OR($D6=$Q$7:$Q$14)),AND($D8&gt;0,OR($D7=$Q$7:$Q$14)))</formula>
    </cfRule>
  </conditionalFormatting>
  <conditionalFormatting sqref="D7:J7 D8 D57:J57 D56 D9:J11 D13:J14 D16:J17 D19:J20 D22:J23 D25:J26 D28:J29 D31:J32 D34:J35 D37:J38 D40:J41 D43:J44 D46:J47 D49:J50 D52:J53 D55:J55">
    <cfRule type="expression" dxfId="9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4D11C-A996-4B73-9090-C982D140BEAA}">
  <sheetPr codeName="Sheet27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기능'!D26</f>
        <v>28.22</v>
      </c>
      <c r="I3" s="14" t="s">
        <v>110</v>
      </c>
      <c r="J3" s="36">
        <f>'통계 및 응시자 수 입력 기능'!C26</f>
        <v>426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116</v>
      </c>
      <c r="E4" s="114"/>
      <c r="F4" s="115"/>
      <c r="G4" s="38" t="s">
        <v>113</v>
      </c>
      <c r="H4" s="39" t="str">
        <f>'통계 및 응시자 수 입력 기능'!E26</f>
        <v>13.65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/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66</v>
      </c>
      <c r="E7" s="71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97.18</v>
      </c>
      <c r="G7" s="73">
        <f>_xlfn.IFNA(VLOOKUP(D7,'인원 입력 기능 (직탐)'!$P$5:$S$53,4,FALSE),0)</f>
        <v>24</v>
      </c>
      <c r="H7" s="74">
        <f>G7/$J$3</f>
        <v>5.6338028169014086E-2</v>
      </c>
      <c r="I7" s="75">
        <f>G7</f>
        <v>24</v>
      </c>
      <c r="J7" s="76">
        <f>I7/$J$3</f>
        <v>5.6338028169014086E-2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입력기능'!C202</f>
        <v>66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입력기능'!C203</f>
        <v>64</v>
      </c>
    </row>
    <row r="9" spans="1:17" ht="25" customHeight="1" x14ac:dyDescent="0.45">
      <c r="A9" s="4"/>
      <c r="B9" s="18"/>
      <c r="C9" s="70">
        <v>48</v>
      </c>
      <c r="D9" s="161">
        <f>ROUND(10*(C9-$H$3)/$H$4+50,0)</f>
        <v>64</v>
      </c>
      <c r="E9" s="161">
        <f t="shared" si="0"/>
        <v>2</v>
      </c>
      <c r="F9" s="163">
        <f>IF(I8=0,ROUND(100*(1-(I7+I9)/2/$J$3),2),ROUND(100*(1-(I8+I9)/2/$J$3),2))</f>
        <v>91.08</v>
      </c>
      <c r="G9" s="165">
        <f>_xlfn.IFNA(VLOOKUP(D9,'인원 입력 기능 (직탐)'!$P$5:$S$53,4,FALSE),0)</f>
        <v>28</v>
      </c>
      <c r="H9" s="166">
        <f>G9/$J$3</f>
        <v>6.5727699530516437E-2</v>
      </c>
      <c r="I9" s="168">
        <f>SUM($G$7:G9)</f>
        <v>52</v>
      </c>
      <c r="J9" s="170">
        <f>I9/$J$3</f>
        <v>0.12206572769953052</v>
      </c>
      <c r="K9" s="32"/>
      <c r="L9" s="3" t="str">
        <f t="shared" ref="L9:L55" si="1">IF(ABS((C9-$H$3)/$H$4*10+50-D9)&gt;0.49, "경고", "")</f>
        <v>경고</v>
      </c>
      <c r="P9" s="1">
        <v>3</v>
      </c>
      <c r="Q9" s="1">
        <f>'표준점수 등급컷 입력기능'!C204</f>
        <v>60</v>
      </c>
    </row>
    <row r="10" spans="1:17" ht="25" customHeight="1" x14ac:dyDescent="0.45">
      <c r="A10" s="4"/>
      <c r="B10" s="18"/>
      <c r="C10" s="77">
        <v>47</v>
      </c>
      <c r="D10" s="160"/>
      <c r="E10" s="160"/>
      <c r="F10" s="162"/>
      <c r="G10" s="164"/>
      <c r="H10" s="167"/>
      <c r="I10" s="169"/>
      <c r="J10" s="171"/>
      <c r="K10" s="32"/>
      <c r="L10" s="3" t="str">
        <f t="shared" si="1"/>
        <v>경고</v>
      </c>
      <c r="P10" s="1">
        <v>4</v>
      </c>
      <c r="Q10" s="1">
        <f>'표준점수 등급컷 입력기능'!C205</f>
        <v>54</v>
      </c>
    </row>
    <row r="11" spans="1:17" ht="25" customHeight="1" x14ac:dyDescent="0.45">
      <c r="A11" s="4"/>
      <c r="B11" s="18"/>
      <c r="C11" s="70">
        <v>46</v>
      </c>
      <c r="D11" s="71">
        <f t="shared" ref="D10:D55" si="2">ROUND(10*(C11-$H$3)/$H$4+50,0)</f>
        <v>63</v>
      </c>
      <c r="E11" s="71">
        <f t="shared" si="0"/>
        <v>3</v>
      </c>
      <c r="F11" s="72">
        <f t="shared" ref="F10:F55" si="3">IF(I10=0,ROUND(100*(1-(I9+I11)/2/$J$3),2),ROUND(100*(1-(I10+I11)/2/$J$3),2))</f>
        <v>87.44</v>
      </c>
      <c r="G11" s="73">
        <f>IF(D11=D10,"",_xlfn.IFNA(VLOOKUP(D11,'인원 입력 기능 (직탐)'!$P$5:$S$53,4,FALSE),0))</f>
        <v>3</v>
      </c>
      <c r="H11" s="74">
        <f t="shared" ref="H10:H55" si="4">G11/$J$3</f>
        <v>7.0422535211267607E-3</v>
      </c>
      <c r="I11" s="78">
        <f>SUM($G$7:G11)</f>
        <v>55</v>
      </c>
      <c r="J11" s="76">
        <f t="shared" ref="J10:J55" si="5">I11/$J$3</f>
        <v>0.12910798122065728</v>
      </c>
      <c r="K11" s="32"/>
      <c r="L11" s="3" t="str">
        <f t="shared" si="1"/>
        <v/>
      </c>
      <c r="P11" s="1">
        <v>5</v>
      </c>
      <c r="Q11" s="1">
        <f>'표준점수 등급컷 입력기능'!C206</f>
        <v>46</v>
      </c>
    </row>
    <row r="12" spans="1:17" ht="25" customHeight="1" x14ac:dyDescent="0.45">
      <c r="A12" s="4"/>
      <c r="B12" s="18"/>
      <c r="C12" s="77">
        <v>45</v>
      </c>
      <c r="D12" s="161">
        <f t="shared" si="2"/>
        <v>62</v>
      </c>
      <c r="E12" s="161">
        <f t="shared" si="0"/>
        <v>3</v>
      </c>
      <c r="F12" s="163">
        <f t="shared" si="3"/>
        <v>82.98</v>
      </c>
      <c r="G12" s="165">
        <f>IF(D12=D11,"",_xlfn.IFNA(VLOOKUP(D12,'인원 입력 기능 (직탐)'!$P$5:$S$53,4,FALSE),0))</f>
        <v>35</v>
      </c>
      <c r="H12" s="166">
        <f t="shared" si="4"/>
        <v>8.2159624413145546E-2</v>
      </c>
      <c r="I12" s="168">
        <f>SUM($G$7:G12)</f>
        <v>90</v>
      </c>
      <c r="J12" s="170">
        <f t="shared" si="5"/>
        <v>0.21126760563380281</v>
      </c>
      <c r="K12" s="32"/>
      <c r="L12" s="3" t="str">
        <f t="shared" si="1"/>
        <v/>
      </c>
      <c r="P12" s="1">
        <v>6</v>
      </c>
      <c r="Q12" s="1">
        <f>'표준점수 등급컷 입력기능'!C207</f>
        <v>40</v>
      </c>
    </row>
    <row r="13" spans="1:17" ht="25" customHeight="1" x14ac:dyDescent="0.45">
      <c r="A13" s="4"/>
      <c r="B13" s="18"/>
      <c r="C13" s="70">
        <v>44</v>
      </c>
      <c r="D13" s="160"/>
      <c r="E13" s="160"/>
      <c r="F13" s="162"/>
      <c r="G13" s="164"/>
      <c r="H13" s="167"/>
      <c r="I13" s="169"/>
      <c r="J13" s="171"/>
      <c r="K13" s="32"/>
      <c r="L13" s="3" t="str">
        <f t="shared" si="1"/>
        <v>경고</v>
      </c>
      <c r="P13" s="1">
        <v>7</v>
      </c>
      <c r="Q13" s="1">
        <f>'표준점수 등급컷 입력기능'!C208</f>
        <v>37</v>
      </c>
    </row>
    <row r="14" spans="1:17" ht="25" customHeight="1" x14ac:dyDescent="0.45">
      <c r="A14" s="4"/>
      <c r="B14" s="18"/>
      <c r="C14" s="77">
        <v>43</v>
      </c>
      <c r="D14" s="71">
        <f t="shared" si="2"/>
        <v>61</v>
      </c>
      <c r="E14" s="71">
        <f t="shared" si="0"/>
        <v>3</v>
      </c>
      <c r="F14" s="72">
        <f t="shared" si="3"/>
        <v>78.87</v>
      </c>
      <c r="G14" s="73">
        <f>IF(D14=D13,"",_xlfn.IFNA(VLOOKUP(D14,'인원 입력 기능 (직탐)'!$P$5:$S$53,4,FALSE),0))</f>
        <v>0</v>
      </c>
      <c r="H14" s="74">
        <f t="shared" si="4"/>
        <v>0</v>
      </c>
      <c r="I14" s="78">
        <f>SUM($G$7:G14)</f>
        <v>90</v>
      </c>
      <c r="J14" s="76">
        <f t="shared" si="5"/>
        <v>0.21126760563380281</v>
      </c>
      <c r="K14" s="32"/>
      <c r="L14" s="3" t="str">
        <f t="shared" si="1"/>
        <v/>
      </c>
      <c r="P14" s="1">
        <v>8</v>
      </c>
      <c r="Q14" s="1">
        <f>'표준점수 등급컷 입력기능'!C209</f>
        <v>34</v>
      </c>
    </row>
    <row r="15" spans="1:17" ht="25" customHeight="1" x14ac:dyDescent="0.45">
      <c r="A15" s="4"/>
      <c r="B15" s="18"/>
      <c r="C15" s="70">
        <v>42</v>
      </c>
      <c r="D15" s="71">
        <f t="shared" si="2"/>
        <v>60</v>
      </c>
      <c r="E15" s="71">
        <f t="shared" si="0"/>
        <v>3</v>
      </c>
      <c r="F15" s="72">
        <f t="shared" si="3"/>
        <v>77.7</v>
      </c>
      <c r="G15" s="73">
        <f>IF(D15=D14,"",_xlfn.IFNA(VLOOKUP(D15,'인원 입력 기능 (직탐)'!$P$5:$S$53,4,FALSE),0))</f>
        <v>10</v>
      </c>
      <c r="H15" s="74">
        <f t="shared" si="4"/>
        <v>2.3474178403755867E-2</v>
      </c>
      <c r="I15" s="78">
        <f>SUM($G$7:G15)</f>
        <v>100</v>
      </c>
      <c r="J15" s="76">
        <f t="shared" si="5"/>
        <v>0.23474178403755869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161">
        <f t="shared" si="2"/>
        <v>59</v>
      </c>
      <c r="E16" s="161">
        <f t="shared" si="0"/>
        <v>4</v>
      </c>
      <c r="F16" s="163">
        <f t="shared" si="3"/>
        <v>74.650000000000006</v>
      </c>
      <c r="G16" s="165">
        <f>IF(D16=D15,"",_xlfn.IFNA(VLOOKUP(D16,'인원 입력 기능 (직탐)'!$P$5:$S$53,4,FALSE),0))</f>
        <v>16</v>
      </c>
      <c r="H16" s="166">
        <f t="shared" si="4"/>
        <v>3.7558685446009391E-2</v>
      </c>
      <c r="I16" s="168">
        <f>SUM($G$7:G16)</f>
        <v>116</v>
      </c>
      <c r="J16" s="170">
        <f t="shared" si="5"/>
        <v>0.27230046948356806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160"/>
      <c r="E17" s="160"/>
      <c r="F17" s="162"/>
      <c r="G17" s="164"/>
      <c r="H17" s="167"/>
      <c r="I17" s="169"/>
      <c r="J17" s="171"/>
      <c r="K17" s="32"/>
      <c r="L17" s="3" t="str">
        <f t="shared" si="1"/>
        <v>경고</v>
      </c>
      <c r="P17" s="1">
        <f>Q7*H3*H4*J3*IFERROR(IF(J57=1,1,0),0)</f>
        <v>10830367.548</v>
      </c>
    </row>
    <row r="18" spans="1:16" ht="25" customHeight="1" x14ac:dyDescent="0.45">
      <c r="A18" s="4"/>
      <c r="B18" s="18"/>
      <c r="C18" s="77">
        <v>39</v>
      </c>
      <c r="D18" s="71">
        <f t="shared" si="2"/>
        <v>58</v>
      </c>
      <c r="E18" s="71">
        <f t="shared" si="0"/>
        <v>4</v>
      </c>
      <c r="F18" s="72">
        <f t="shared" si="3"/>
        <v>71.599999999999994</v>
      </c>
      <c r="G18" s="73">
        <f>IF(D18=D17,"",_xlfn.IFNA(VLOOKUP(D18,'인원 입력 기능 (직탐)'!$P$5:$S$53,4,FALSE),0))</f>
        <v>10</v>
      </c>
      <c r="H18" s="74">
        <f t="shared" si="4"/>
        <v>2.3474178403755867E-2</v>
      </c>
      <c r="I18" s="78">
        <f>SUM($G$7:G18)</f>
        <v>126</v>
      </c>
      <c r="J18" s="76">
        <f t="shared" si="5"/>
        <v>0.29577464788732394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71">
        <f t="shared" si="2"/>
        <v>57</v>
      </c>
      <c r="E19" s="71">
        <f t="shared" si="0"/>
        <v>4</v>
      </c>
      <c r="F19" s="72">
        <f t="shared" si="3"/>
        <v>69.25</v>
      </c>
      <c r="G19" s="73">
        <f>IF(D19=D18,"",_xlfn.IFNA(VLOOKUP(D19,'인원 입력 기능 (직탐)'!$P$5:$S$53,4,FALSE),0))</f>
        <v>10</v>
      </c>
      <c r="H19" s="74">
        <f t="shared" si="4"/>
        <v>2.3474178403755867E-2</v>
      </c>
      <c r="I19" s="78">
        <f>SUM($G$7:G19)</f>
        <v>136</v>
      </c>
      <c r="J19" s="76">
        <f t="shared" si="5"/>
        <v>0.31924882629107981</v>
      </c>
      <c r="K19" s="32"/>
      <c r="L19" s="3" t="str">
        <f t="shared" si="1"/>
        <v/>
      </c>
    </row>
    <row r="20" spans="1:16" ht="25" customHeight="1" x14ac:dyDescent="0.45">
      <c r="A20" s="4"/>
      <c r="B20" s="18"/>
      <c r="C20" s="77">
        <v>37</v>
      </c>
      <c r="D20" s="161">
        <f t="shared" si="2"/>
        <v>56</v>
      </c>
      <c r="E20" s="161">
        <f t="shared" si="0"/>
        <v>4</v>
      </c>
      <c r="F20" s="163">
        <f t="shared" si="3"/>
        <v>67.489999999999995</v>
      </c>
      <c r="G20" s="165">
        <f>IF(D20=D19,"",_xlfn.IFNA(VLOOKUP(D20,'인원 입력 기능 (직탐)'!$P$5:$S$53,4,FALSE),0))</f>
        <v>5</v>
      </c>
      <c r="H20" s="166">
        <f t="shared" si="4"/>
        <v>1.1737089201877934E-2</v>
      </c>
      <c r="I20" s="168">
        <f>SUM($G$7:G20)</f>
        <v>141</v>
      </c>
      <c r="J20" s="170">
        <f t="shared" si="5"/>
        <v>0.33098591549295775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160"/>
      <c r="E21" s="160"/>
      <c r="F21" s="162"/>
      <c r="G21" s="164"/>
      <c r="H21" s="167"/>
      <c r="I21" s="169"/>
      <c r="J21" s="171"/>
      <c r="K21" s="32"/>
      <c r="L21" s="3" t="str">
        <f t="shared" si="1"/>
        <v>경고</v>
      </c>
    </row>
    <row r="22" spans="1:16" ht="25" customHeight="1" x14ac:dyDescent="0.45">
      <c r="A22" s="4"/>
      <c r="B22" s="18"/>
      <c r="C22" s="81">
        <v>35</v>
      </c>
      <c r="D22" s="80">
        <f t="shared" si="2"/>
        <v>55</v>
      </c>
      <c r="E22" s="80">
        <f t="shared" si="0"/>
        <v>4</v>
      </c>
      <c r="F22" s="72">
        <f t="shared" si="3"/>
        <v>66.31</v>
      </c>
      <c r="G22" s="73">
        <f>IF(D22=D21,"",_xlfn.IFNA(VLOOKUP(D22,'인원 입력 기능 (직탐)'!$P$5:$S$53,4,FALSE),0))</f>
        <v>5</v>
      </c>
      <c r="H22" s="74">
        <f t="shared" si="4"/>
        <v>1.1737089201877934E-2</v>
      </c>
      <c r="I22" s="78">
        <f>SUM($G$7:G22)</f>
        <v>146</v>
      </c>
      <c r="J22" s="76">
        <f t="shared" si="5"/>
        <v>0.34272300469483569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173">
        <f t="shared" si="2"/>
        <v>54</v>
      </c>
      <c r="E23" s="173">
        <f t="shared" si="0"/>
        <v>4</v>
      </c>
      <c r="F23" s="163">
        <f t="shared" si="3"/>
        <v>61.97</v>
      </c>
      <c r="G23" s="165">
        <f>IF(D23=D22,"",_xlfn.IFNA(VLOOKUP(D23,'인원 입력 기능 (직탐)'!$P$5:$S$53,4,FALSE),0))</f>
        <v>32</v>
      </c>
      <c r="H23" s="166">
        <f t="shared" si="4"/>
        <v>7.5117370892018781E-2</v>
      </c>
      <c r="I23" s="168">
        <f>SUM($G$7:G23)</f>
        <v>178</v>
      </c>
      <c r="J23" s="170">
        <f t="shared" si="5"/>
        <v>0.41784037558685444</v>
      </c>
      <c r="K23" s="32"/>
      <c r="L23" s="3" t="str">
        <f t="shared" si="1"/>
        <v/>
      </c>
    </row>
    <row r="24" spans="1:16" ht="25" customHeight="1" x14ac:dyDescent="0.45">
      <c r="A24" s="4"/>
      <c r="B24" s="18"/>
      <c r="C24" s="81">
        <v>33</v>
      </c>
      <c r="D24" s="172"/>
      <c r="E24" s="172"/>
      <c r="F24" s="162"/>
      <c r="G24" s="164"/>
      <c r="H24" s="167"/>
      <c r="I24" s="169"/>
      <c r="J24" s="171"/>
      <c r="K24" s="32"/>
      <c r="L24" s="3" t="str">
        <f t="shared" si="1"/>
        <v>경고</v>
      </c>
    </row>
    <row r="25" spans="1:16" ht="25" customHeight="1" x14ac:dyDescent="0.45">
      <c r="A25" s="4"/>
      <c r="B25" s="18"/>
      <c r="C25" s="79">
        <v>32</v>
      </c>
      <c r="D25" s="80">
        <f t="shared" si="2"/>
        <v>53</v>
      </c>
      <c r="E25" s="80">
        <f t="shared" si="0"/>
        <v>5</v>
      </c>
      <c r="F25" s="72">
        <f t="shared" si="3"/>
        <v>57.16</v>
      </c>
      <c r="G25" s="73">
        <f>IF(D25=D24,"",_xlfn.IFNA(VLOOKUP(D25,'인원 입력 기능 (직탐)'!$P$5:$S$53,4,FALSE),0))</f>
        <v>9</v>
      </c>
      <c r="H25" s="74">
        <f t="shared" si="4"/>
        <v>2.1126760563380281E-2</v>
      </c>
      <c r="I25" s="78">
        <f>SUM($G$7:G25)</f>
        <v>187</v>
      </c>
      <c r="J25" s="76">
        <f t="shared" si="5"/>
        <v>0.43896713615023475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80">
        <f t="shared" si="2"/>
        <v>52</v>
      </c>
      <c r="E26" s="80">
        <f t="shared" si="0"/>
        <v>5</v>
      </c>
      <c r="F26" s="72">
        <f t="shared" si="3"/>
        <v>54.93</v>
      </c>
      <c r="G26" s="73">
        <f>IF(D26=D25,"",_xlfn.IFNA(VLOOKUP(D26,'인원 입력 기능 (직탐)'!$P$5:$S$53,4,FALSE),0))</f>
        <v>10</v>
      </c>
      <c r="H26" s="74">
        <f t="shared" si="4"/>
        <v>2.3474178403755867E-2</v>
      </c>
      <c r="I26" s="78">
        <f>SUM($G$7:G26)</f>
        <v>197</v>
      </c>
      <c r="J26" s="76">
        <f t="shared" si="5"/>
        <v>0.46244131455399062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173">
        <f t="shared" si="2"/>
        <v>51</v>
      </c>
      <c r="E27" s="173">
        <f t="shared" si="0"/>
        <v>5</v>
      </c>
      <c r="F27" s="163">
        <f t="shared" si="3"/>
        <v>51.88</v>
      </c>
      <c r="G27" s="165">
        <f>IF(D27=D26,"",_xlfn.IFNA(VLOOKUP(D27,'인원 입력 기능 (직탐)'!$P$5:$S$53,4,FALSE),0))</f>
        <v>16</v>
      </c>
      <c r="H27" s="166">
        <f t="shared" si="4"/>
        <v>3.7558685446009391E-2</v>
      </c>
      <c r="I27" s="168">
        <f>SUM($G$7:G27)</f>
        <v>213</v>
      </c>
      <c r="J27" s="170">
        <f t="shared" si="5"/>
        <v>0.5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172"/>
      <c r="E28" s="172"/>
      <c r="F28" s="162"/>
      <c r="G28" s="164"/>
      <c r="H28" s="167"/>
      <c r="I28" s="169"/>
      <c r="J28" s="171"/>
      <c r="K28" s="32"/>
      <c r="L28" s="3" t="str">
        <f t="shared" si="1"/>
        <v>경고</v>
      </c>
    </row>
    <row r="29" spans="1:16" ht="25" customHeight="1" x14ac:dyDescent="0.45">
      <c r="A29" s="4"/>
      <c r="B29" s="18"/>
      <c r="C29" s="79">
        <v>28</v>
      </c>
      <c r="D29" s="80">
        <f t="shared" si="2"/>
        <v>50</v>
      </c>
      <c r="E29" s="80">
        <f t="shared" si="0"/>
        <v>5</v>
      </c>
      <c r="F29" s="72">
        <f t="shared" si="3"/>
        <v>48.94</v>
      </c>
      <c r="G29" s="73">
        <f>IF(D29=D28,"",_xlfn.IFNA(VLOOKUP(D29,'인원 입력 기능 (직탐)'!$P$5:$S$53,4,FALSE),0))</f>
        <v>9</v>
      </c>
      <c r="H29" s="74">
        <f t="shared" si="4"/>
        <v>2.1126760563380281E-2</v>
      </c>
      <c r="I29" s="78">
        <f>SUM($G$7:G29)</f>
        <v>222</v>
      </c>
      <c r="J29" s="76">
        <f t="shared" si="5"/>
        <v>0.52112676056338025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80">
        <f t="shared" si="2"/>
        <v>49</v>
      </c>
      <c r="E30" s="80">
        <f t="shared" si="0"/>
        <v>5</v>
      </c>
      <c r="F30" s="72">
        <f t="shared" si="3"/>
        <v>47.3</v>
      </c>
      <c r="G30" s="73">
        <f>IF(D30=D29,"",_xlfn.IFNA(VLOOKUP(D30,'인원 입력 기능 (직탐)'!$P$5:$S$53,4,FALSE),0))</f>
        <v>5</v>
      </c>
      <c r="H30" s="74">
        <f t="shared" si="4"/>
        <v>1.1737089201877934E-2</v>
      </c>
      <c r="I30" s="78">
        <f>SUM($G$7:G30)</f>
        <v>227</v>
      </c>
      <c r="J30" s="76">
        <f t="shared" si="5"/>
        <v>0.53286384976525825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173">
        <f t="shared" si="2"/>
        <v>48</v>
      </c>
      <c r="E31" s="173">
        <f t="shared" si="0"/>
        <v>5</v>
      </c>
      <c r="F31" s="163">
        <f t="shared" si="3"/>
        <v>45.31</v>
      </c>
      <c r="G31" s="165">
        <f>IF(D31=D30,"",_xlfn.IFNA(VLOOKUP(D31,'인원 입력 기능 (직탐)'!$P$5:$S$53,4,FALSE),0))</f>
        <v>12</v>
      </c>
      <c r="H31" s="166">
        <f t="shared" si="4"/>
        <v>2.8169014084507043E-2</v>
      </c>
      <c r="I31" s="168">
        <f>SUM($G$7:G31)</f>
        <v>239</v>
      </c>
      <c r="J31" s="170">
        <f t="shared" si="5"/>
        <v>0.56103286384976525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172"/>
      <c r="E32" s="172"/>
      <c r="F32" s="162"/>
      <c r="G32" s="164"/>
      <c r="H32" s="167"/>
      <c r="I32" s="169"/>
      <c r="J32" s="171"/>
      <c r="K32" s="32"/>
      <c r="L32" s="3" t="str">
        <f t="shared" si="1"/>
        <v>경고</v>
      </c>
    </row>
    <row r="33" spans="1:12" ht="25" customHeight="1" x14ac:dyDescent="0.45">
      <c r="A33" s="4"/>
      <c r="B33" s="18"/>
      <c r="C33" s="79">
        <v>24</v>
      </c>
      <c r="D33" s="80">
        <f t="shared" si="2"/>
        <v>47</v>
      </c>
      <c r="E33" s="80">
        <f t="shared" si="0"/>
        <v>5</v>
      </c>
      <c r="F33" s="72">
        <f t="shared" si="3"/>
        <v>43.31</v>
      </c>
      <c r="G33" s="73">
        <f>IF(D33=D32,"",_xlfn.IFNA(VLOOKUP(D33,'인원 입력 기능 (직탐)'!$P$5:$S$53,4,FALSE),0))</f>
        <v>5</v>
      </c>
      <c r="H33" s="74">
        <f t="shared" si="4"/>
        <v>1.1737089201877934E-2</v>
      </c>
      <c r="I33" s="78">
        <f>SUM($G$7:G33)</f>
        <v>244</v>
      </c>
      <c r="J33" s="76">
        <f t="shared" si="5"/>
        <v>0.57276995305164324</v>
      </c>
      <c r="K33" s="32"/>
      <c r="L33" s="3" t="str">
        <f t="shared" si="1"/>
        <v/>
      </c>
    </row>
    <row r="34" spans="1:12" ht="25" customHeight="1" x14ac:dyDescent="0.45">
      <c r="A34" s="4"/>
      <c r="B34" s="18"/>
      <c r="C34" s="81">
        <v>23</v>
      </c>
      <c r="D34" s="80">
        <f t="shared" si="2"/>
        <v>46</v>
      </c>
      <c r="E34" s="80">
        <f t="shared" si="0"/>
        <v>5</v>
      </c>
      <c r="F34" s="72">
        <f t="shared" si="3"/>
        <v>41.08</v>
      </c>
      <c r="G34" s="73">
        <f>IF(D34=D33,"",_xlfn.IFNA(VLOOKUP(D34,'인원 입력 기능 (직탐)'!$P$5:$S$53,4,FALSE),0))</f>
        <v>14</v>
      </c>
      <c r="H34" s="74">
        <f t="shared" si="4"/>
        <v>3.2863849765258218E-2</v>
      </c>
      <c r="I34" s="78">
        <f>SUM($G$7:G34)</f>
        <v>258</v>
      </c>
      <c r="J34" s="76">
        <f t="shared" si="5"/>
        <v>0.60563380281690138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173">
        <f t="shared" si="2"/>
        <v>45</v>
      </c>
      <c r="E35" s="173">
        <f t="shared" si="0"/>
        <v>6</v>
      </c>
      <c r="F35" s="163">
        <f t="shared" si="3"/>
        <v>37.79</v>
      </c>
      <c r="G35" s="165">
        <f>IF(D35=D34,"",_xlfn.IFNA(VLOOKUP(D35,'인원 입력 기능 (직탐)'!$P$5:$S$53,4,FALSE),0))</f>
        <v>14</v>
      </c>
      <c r="H35" s="166">
        <f t="shared" si="4"/>
        <v>3.2863849765258218E-2</v>
      </c>
      <c r="I35" s="168">
        <f>SUM($G$7:G35)</f>
        <v>272</v>
      </c>
      <c r="J35" s="170">
        <f t="shared" si="5"/>
        <v>0.63849765258215962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172"/>
      <c r="E36" s="172"/>
      <c r="F36" s="162"/>
      <c r="G36" s="164"/>
      <c r="H36" s="167"/>
      <c r="I36" s="169"/>
      <c r="J36" s="171"/>
      <c r="K36" s="32"/>
      <c r="L36" s="3" t="str">
        <f t="shared" si="1"/>
        <v>경고</v>
      </c>
    </row>
    <row r="37" spans="1:12" ht="25" customHeight="1" x14ac:dyDescent="0.45">
      <c r="A37" s="4"/>
      <c r="B37" s="18"/>
      <c r="C37" s="79">
        <v>20</v>
      </c>
      <c r="D37" s="80">
        <f t="shared" si="2"/>
        <v>44</v>
      </c>
      <c r="E37" s="80">
        <f t="shared" si="0"/>
        <v>6</v>
      </c>
      <c r="F37" s="72">
        <f t="shared" si="3"/>
        <v>34.51</v>
      </c>
      <c r="G37" s="73">
        <f>IF(D37=D36,"",_xlfn.IFNA(VLOOKUP(D37,'인원 입력 기능 (직탐)'!$P$5:$S$53,4,FALSE),0))</f>
        <v>14</v>
      </c>
      <c r="H37" s="74">
        <f t="shared" si="4"/>
        <v>3.2863849765258218E-2</v>
      </c>
      <c r="I37" s="78">
        <f>SUM($G$7:G37)</f>
        <v>286</v>
      </c>
      <c r="J37" s="76">
        <f t="shared" si="5"/>
        <v>0.67136150234741787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173">
        <f t="shared" si="2"/>
        <v>43</v>
      </c>
      <c r="E38" s="173">
        <f t="shared" si="0"/>
        <v>6</v>
      </c>
      <c r="F38" s="163">
        <f t="shared" si="3"/>
        <v>30.16</v>
      </c>
      <c r="G38" s="165">
        <f>IF(D38=D37,"",_xlfn.IFNA(VLOOKUP(D38,'인원 입력 기능 (직탐)'!$P$5:$S$53,4,FALSE),0))</f>
        <v>23</v>
      </c>
      <c r="H38" s="166">
        <f t="shared" si="4"/>
        <v>5.39906103286385E-2</v>
      </c>
      <c r="I38" s="168">
        <f>SUM($G$7:G38)</f>
        <v>309</v>
      </c>
      <c r="J38" s="170">
        <f t="shared" si="5"/>
        <v>0.72535211267605637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172"/>
      <c r="E39" s="172"/>
      <c r="F39" s="162"/>
      <c r="G39" s="164"/>
      <c r="H39" s="167"/>
      <c r="I39" s="169"/>
      <c r="J39" s="171"/>
      <c r="K39" s="32"/>
      <c r="L39" s="3" t="str">
        <f t="shared" si="1"/>
        <v>경고</v>
      </c>
    </row>
    <row r="40" spans="1:12" ht="25" customHeight="1" x14ac:dyDescent="0.45">
      <c r="A40" s="4"/>
      <c r="B40" s="18"/>
      <c r="C40" s="81">
        <v>17</v>
      </c>
      <c r="D40" s="80">
        <f t="shared" si="2"/>
        <v>42</v>
      </c>
      <c r="E40" s="80">
        <f t="shared" si="0"/>
        <v>6</v>
      </c>
      <c r="F40" s="72">
        <f t="shared" si="3"/>
        <v>26.88</v>
      </c>
      <c r="G40" s="73">
        <f>IF(D40=D39,"",_xlfn.IFNA(VLOOKUP(D40,'인원 입력 기능 (직탐)'!$P$5:$S$53,4,FALSE),0))</f>
        <v>5</v>
      </c>
      <c r="H40" s="74">
        <f t="shared" si="4"/>
        <v>1.1737089201877934E-2</v>
      </c>
      <c r="I40" s="78">
        <f>SUM($G$7:G40)</f>
        <v>314</v>
      </c>
      <c r="J40" s="76">
        <f t="shared" si="5"/>
        <v>0.73708920187793425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80">
        <f t="shared" si="2"/>
        <v>41</v>
      </c>
      <c r="E41" s="80">
        <f t="shared" si="0"/>
        <v>6</v>
      </c>
      <c r="F41" s="72">
        <f t="shared" si="3"/>
        <v>25.23</v>
      </c>
      <c r="G41" s="73">
        <f>IF(D41=D40,"",_xlfn.IFNA(VLOOKUP(D41,'인원 입력 기능 (직탐)'!$P$5:$S$53,4,FALSE),0))</f>
        <v>9</v>
      </c>
      <c r="H41" s="74">
        <f t="shared" si="4"/>
        <v>2.1126760563380281E-2</v>
      </c>
      <c r="I41" s="78">
        <f>SUM($G$7:G41)</f>
        <v>323</v>
      </c>
      <c r="J41" s="76">
        <f t="shared" si="5"/>
        <v>0.75821596244131451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173">
        <f t="shared" si="2"/>
        <v>40</v>
      </c>
      <c r="E42" s="173">
        <f t="shared" si="0"/>
        <v>6</v>
      </c>
      <c r="F42" s="163">
        <f t="shared" si="3"/>
        <v>21.95</v>
      </c>
      <c r="G42" s="165">
        <f>IF(D42=D41,"",_xlfn.IFNA(VLOOKUP(D42,'인원 입력 기능 (직탐)'!$P$5:$S$53,4,FALSE),0))</f>
        <v>19</v>
      </c>
      <c r="H42" s="166">
        <f t="shared" si="4"/>
        <v>4.4600938967136149E-2</v>
      </c>
      <c r="I42" s="168">
        <f>SUM($G$7:G42)</f>
        <v>342</v>
      </c>
      <c r="J42" s="170">
        <f t="shared" si="5"/>
        <v>0.80281690140845074</v>
      </c>
      <c r="K42" s="32"/>
      <c r="L42" s="3" t="str">
        <f t="shared" si="1"/>
        <v/>
      </c>
    </row>
    <row r="43" spans="1:12" ht="25" customHeight="1" x14ac:dyDescent="0.45">
      <c r="A43" s="4"/>
      <c r="B43" s="18"/>
      <c r="C43" s="79">
        <v>14</v>
      </c>
      <c r="D43" s="172"/>
      <c r="E43" s="172"/>
      <c r="F43" s="162"/>
      <c r="G43" s="164"/>
      <c r="H43" s="167"/>
      <c r="I43" s="169"/>
      <c r="J43" s="171"/>
      <c r="K43" s="32"/>
      <c r="L43" s="3" t="str">
        <f t="shared" si="1"/>
        <v>경고</v>
      </c>
    </row>
    <row r="44" spans="1:12" ht="25" customHeight="1" x14ac:dyDescent="0.45">
      <c r="A44" s="4"/>
      <c r="B44" s="18"/>
      <c r="C44" s="81">
        <v>13</v>
      </c>
      <c r="D44" s="80">
        <f t="shared" si="2"/>
        <v>39</v>
      </c>
      <c r="E44" s="80">
        <f t="shared" si="0"/>
        <v>7</v>
      </c>
      <c r="F44" s="72">
        <f t="shared" si="3"/>
        <v>19.13</v>
      </c>
      <c r="G44" s="73">
        <f>IF(D44=D43,"",_xlfn.IFNA(VLOOKUP(D44,'인원 입력 기능 (직탐)'!$P$5:$S$53,4,FALSE),0))</f>
        <v>5</v>
      </c>
      <c r="H44" s="74">
        <f t="shared" si="4"/>
        <v>1.1737089201877934E-2</v>
      </c>
      <c r="I44" s="78">
        <f>SUM($G$7:G44)</f>
        <v>347</v>
      </c>
      <c r="J44" s="76">
        <f t="shared" si="5"/>
        <v>0.81455399061032863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80">
        <f t="shared" si="2"/>
        <v>38</v>
      </c>
      <c r="E45" s="80">
        <f t="shared" si="0"/>
        <v>7</v>
      </c>
      <c r="F45" s="72">
        <f t="shared" si="3"/>
        <v>15.96</v>
      </c>
      <c r="G45" s="73">
        <f>IF(D45=D44,"",_xlfn.IFNA(VLOOKUP(D45,'인원 입력 기능 (직탐)'!$P$5:$S$53,4,FALSE),0))</f>
        <v>22</v>
      </c>
      <c r="H45" s="74">
        <f t="shared" si="4"/>
        <v>5.1643192488262914E-2</v>
      </c>
      <c r="I45" s="78">
        <f>SUM($G$7:G45)</f>
        <v>369</v>
      </c>
      <c r="J45" s="76">
        <f t="shared" si="5"/>
        <v>0.86619718309859151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173">
        <f t="shared" si="2"/>
        <v>37</v>
      </c>
      <c r="E46" s="173">
        <f t="shared" si="0"/>
        <v>7</v>
      </c>
      <c r="F46" s="163">
        <f t="shared" si="3"/>
        <v>10.09</v>
      </c>
      <c r="G46" s="165">
        <f>IF(D46=D45,"",_xlfn.IFNA(VLOOKUP(D46,'인원 입력 기능 (직탐)'!$P$5:$S$53,4,FALSE),0))</f>
        <v>28</v>
      </c>
      <c r="H46" s="166">
        <f t="shared" si="4"/>
        <v>6.5727699530516437E-2</v>
      </c>
      <c r="I46" s="168">
        <f>SUM($G$7:G46)</f>
        <v>397</v>
      </c>
      <c r="J46" s="170">
        <f t="shared" si="5"/>
        <v>0.931924882629108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172"/>
      <c r="E47" s="172"/>
      <c r="F47" s="162"/>
      <c r="G47" s="164"/>
      <c r="H47" s="167"/>
      <c r="I47" s="169"/>
      <c r="J47" s="171"/>
      <c r="K47" s="32"/>
      <c r="L47" s="3" t="str">
        <f t="shared" si="1"/>
        <v>경고</v>
      </c>
    </row>
    <row r="48" spans="1:12" ht="25" customHeight="1" x14ac:dyDescent="0.45">
      <c r="A48" s="4"/>
      <c r="B48" s="18"/>
      <c r="C48" s="81">
        <v>9</v>
      </c>
      <c r="D48" s="80">
        <f t="shared" si="2"/>
        <v>36</v>
      </c>
      <c r="E48" s="80">
        <f t="shared" si="0"/>
        <v>8</v>
      </c>
      <c r="F48" s="72">
        <f t="shared" si="3"/>
        <v>6.34</v>
      </c>
      <c r="G48" s="73">
        <f>IF(D48=D47,"",_xlfn.IFNA(VLOOKUP(D48,'인원 입력 기능 (직탐)'!$P$5:$S$53,4,FALSE),0))</f>
        <v>4</v>
      </c>
      <c r="H48" s="74">
        <f t="shared" si="4"/>
        <v>9.3896713615023476E-3</v>
      </c>
      <c r="I48" s="78">
        <f>SUM($G$7:G48)</f>
        <v>401</v>
      </c>
      <c r="J48" s="76">
        <f t="shared" si="5"/>
        <v>0.94131455399061037</v>
      </c>
      <c r="K48" s="32"/>
      <c r="L48" s="3" t="str">
        <f t="shared" si="1"/>
        <v/>
      </c>
    </row>
    <row r="49" spans="1:12" ht="25" customHeight="1" x14ac:dyDescent="0.45">
      <c r="A49" s="4"/>
      <c r="B49" s="18"/>
      <c r="C49" s="79">
        <v>8</v>
      </c>
      <c r="D49" s="80">
        <f t="shared" si="2"/>
        <v>35</v>
      </c>
      <c r="E49" s="80">
        <f t="shared" si="0"/>
        <v>8</v>
      </c>
      <c r="F49" s="72">
        <f t="shared" si="3"/>
        <v>5.05</v>
      </c>
      <c r="G49" s="73">
        <f>IF(D49=D48,"",_xlfn.IFNA(VLOOKUP(D49,'인원 입력 기능 (직탐)'!$P$5:$S$53,4,FALSE),0))</f>
        <v>7</v>
      </c>
      <c r="H49" s="74">
        <f t="shared" si="4"/>
        <v>1.6431924882629109E-2</v>
      </c>
      <c r="I49" s="78">
        <f>SUM($G$7:G49)</f>
        <v>408</v>
      </c>
      <c r="J49" s="76">
        <f t="shared" si="5"/>
        <v>0.95774647887323938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173">
        <f t="shared" si="2"/>
        <v>34</v>
      </c>
      <c r="E50" s="173">
        <f t="shared" si="0"/>
        <v>8</v>
      </c>
      <c r="F50" s="163">
        <f t="shared" si="3"/>
        <v>3.05</v>
      </c>
      <c r="G50" s="165">
        <f>IF(D50=D49,"",_xlfn.IFNA(VLOOKUP(D50,'인원 입력 기능 (직탐)'!$P$5:$S$53,4,FALSE),0))</f>
        <v>10</v>
      </c>
      <c r="H50" s="166">
        <f t="shared" si="4"/>
        <v>2.3474178403755867E-2</v>
      </c>
      <c r="I50" s="168">
        <f>SUM($G$7:G50)</f>
        <v>418</v>
      </c>
      <c r="J50" s="170">
        <f t="shared" si="5"/>
        <v>0.98122065727699526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172"/>
      <c r="E51" s="172"/>
      <c r="F51" s="162"/>
      <c r="G51" s="164"/>
      <c r="H51" s="167"/>
      <c r="I51" s="169"/>
      <c r="J51" s="171"/>
      <c r="K51" s="32"/>
      <c r="L51" s="3" t="str">
        <f t="shared" si="1"/>
        <v>경고</v>
      </c>
    </row>
    <row r="52" spans="1:12" ht="25" customHeight="1" x14ac:dyDescent="0.45">
      <c r="A52" s="4"/>
      <c r="B52" s="18"/>
      <c r="C52" s="81">
        <v>5</v>
      </c>
      <c r="D52" s="80">
        <f t="shared" si="2"/>
        <v>33</v>
      </c>
      <c r="E52" s="80">
        <f t="shared" si="0"/>
        <v>9</v>
      </c>
      <c r="F52" s="72">
        <f t="shared" si="3"/>
        <v>1.53</v>
      </c>
      <c r="G52" s="73">
        <f>IF(D52=D51,"",_xlfn.IFNA(VLOOKUP(D52,'인원 입력 기능 (직탐)'!$P$5:$S$53,4,FALSE),0))</f>
        <v>3</v>
      </c>
      <c r="H52" s="74">
        <f t="shared" si="4"/>
        <v>7.0422535211267607E-3</v>
      </c>
      <c r="I52" s="78">
        <f>SUM($G$7:G52)</f>
        <v>421</v>
      </c>
      <c r="J52" s="76">
        <f t="shared" si="5"/>
        <v>0.98826291079812212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161">
        <f t="shared" si="2"/>
        <v>32</v>
      </c>
      <c r="E53" s="161">
        <f t="shared" si="0"/>
        <v>9</v>
      </c>
      <c r="F53" s="163">
        <f t="shared" si="3"/>
        <v>0.94</v>
      </c>
      <c r="G53" s="165">
        <f>IF(D53=D52,"",_xlfn.IFNA(VLOOKUP(D53,'인원 입력 기능 (직탐)'!$P$5:$S$53,4,FALSE),0))</f>
        <v>2</v>
      </c>
      <c r="H53" s="166">
        <f t="shared" si="4"/>
        <v>4.6948356807511738E-3</v>
      </c>
      <c r="I53" s="168">
        <f>SUM($G$7:G53)</f>
        <v>423</v>
      </c>
      <c r="J53" s="170">
        <f t="shared" si="5"/>
        <v>0.99295774647887325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160"/>
      <c r="E54" s="160"/>
      <c r="F54" s="162"/>
      <c r="G54" s="164"/>
      <c r="H54" s="167"/>
      <c r="I54" s="169"/>
      <c r="J54" s="171"/>
      <c r="K54" s="32"/>
      <c r="L54" s="3" t="str">
        <f t="shared" si="1"/>
        <v>경고</v>
      </c>
    </row>
    <row r="55" spans="1:12" ht="25" customHeight="1" x14ac:dyDescent="0.45">
      <c r="A55" s="4"/>
      <c r="B55" s="18"/>
      <c r="C55" s="70">
        <v>2</v>
      </c>
      <c r="D55" s="71">
        <f t="shared" si="2"/>
        <v>31</v>
      </c>
      <c r="E55" s="71">
        <f t="shared" si="0"/>
        <v>9</v>
      </c>
      <c r="F55" s="72">
        <f t="shared" si="3"/>
        <v>0.47</v>
      </c>
      <c r="G55" s="73">
        <f>IF(D55=D54,"",_xlfn.IFNA(VLOOKUP(D55,'인원 입력 기능 (직탐)'!$P$5:$S$53,4,FALSE),0))</f>
        <v>2</v>
      </c>
      <c r="H55" s="74">
        <f t="shared" si="4"/>
        <v>4.6948356807511738E-3</v>
      </c>
      <c r="I55" s="78">
        <f>SUM($G$7:G55)</f>
        <v>425</v>
      </c>
      <c r="J55" s="76">
        <f t="shared" si="5"/>
        <v>0.99765258215962438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29</v>
      </c>
      <c r="E57" s="84">
        <f t="shared" si="0"/>
        <v>9</v>
      </c>
      <c r="F57" s="85">
        <f>IF(I55=0,ROUND(100*(1-(I54+I57)/2/$J$3),2),ROUND(100*(1-(I55+I57)/2/$J$3),2))</f>
        <v>0.12</v>
      </c>
      <c r="G57" s="86">
        <f>_xlfn.IFNA(VLOOKUP(D57,'인원 입력 기능 (직탐)'!$P$5:$S$53,4,FALSE),0)</f>
        <v>1</v>
      </c>
      <c r="H57" s="87">
        <f>G57/$J$3</f>
        <v>2.3474178403755869E-3</v>
      </c>
      <c r="I57" s="88">
        <f>SUM($G$7:G57)</f>
        <v>426</v>
      </c>
      <c r="J57" s="89">
        <f>I57/$J$3</f>
        <v>1</v>
      </c>
      <c r="K57" s="32"/>
      <c r="L57" s="3"/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96">
    <mergeCell ref="I50:I51"/>
    <mergeCell ref="J50:J51"/>
    <mergeCell ref="D53:D54"/>
    <mergeCell ref="E53:E54"/>
    <mergeCell ref="F53:F54"/>
    <mergeCell ref="G53:G54"/>
    <mergeCell ref="H53:H54"/>
    <mergeCell ref="I53:I54"/>
    <mergeCell ref="J53:J54"/>
    <mergeCell ref="D50:D51"/>
    <mergeCell ref="E50:E51"/>
    <mergeCell ref="F50:F51"/>
    <mergeCell ref="G50:G51"/>
    <mergeCell ref="H50:H51"/>
    <mergeCell ref="I42:I43"/>
    <mergeCell ref="J42:J43"/>
    <mergeCell ref="D46:D47"/>
    <mergeCell ref="E46:E47"/>
    <mergeCell ref="F46:F47"/>
    <mergeCell ref="G46:G47"/>
    <mergeCell ref="H46:H47"/>
    <mergeCell ref="I46:I47"/>
    <mergeCell ref="J46:J47"/>
    <mergeCell ref="D42:D43"/>
    <mergeCell ref="E42:E43"/>
    <mergeCell ref="F42:F43"/>
    <mergeCell ref="G42:G43"/>
    <mergeCell ref="H42:H43"/>
    <mergeCell ref="I35:I36"/>
    <mergeCell ref="J35:J36"/>
    <mergeCell ref="D38:D39"/>
    <mergeCell ref="E38:E39"/>
    <mergeCell ref="F38:F39"/>
    <mergeCell ref="G38:G39"/>
    <mergeCell ref="H38:H39"/>
    <mergeCell ref="I38:I39"/>
    <mergeCell ref="J38:J39"/>
    <mergeCell ref="D35:D36"/>
    <mergeCell ref="E35:E36"/>
    <mergeCell ref="F35:F36"/>
    <mergeCell ref="G35:G36"/>
    <mergeCell ref="H35:H36"/>
    <mergeCell ref="I27:I28"/>
    <mergeCell ref="J27:J28"/>
    <mergeCell ref="D31:D32"/>
    <mergeCell ref="E31:E32"/>
    <mergeCell ref="F31:F32"/>
    <mergeCell ref="G31:G32"/>
    <mergeCell ref="H31:H32"/>
    <mergeCell ref="I31:I32"/>
    <mergeCell ref="J31:J32"/>
    <mergeCell ref="D27:D28"/>
    <mergeCell ref="E27:E28"/>
    <mergeCell ref="F27:F28"/>
    <mergeCell ref="G27:G28"/>
    <mergeCell ref="H27:H28"/>
    <mergeCell ref="I20:I21"/>
    <mergeCell ref="J20:J21"/>
    <mergeCell ref="D23:D24"/>
    <mergeCell ref="E23:E24"/>
    <mergeCell ref="F23:F24"/>
    <mergeCell ref="G23:G24"/>
    <mergeCell ref="H23:H24"/>
    <mergeCell ref="I23:I24"/>
    <mergeCell ref="J23:J24"/>
    <mergeCell ref="D20:D21"/>
    <mergeCell ref="E20:E21"/>
    <mergeCell ref="F20:F21"/>
    <mergeCell ref="G20:G21"/>
    <mergeCell ref="H20:H21"/>
    <mergeCell ref="H12:H13"/>
    <mergeCell ref="I12:I13"/>
    <mergeCell ref="J12:J13"/>
    <mergeCell ref="D16:D17"/>
    <mergeCell ref="E16:E17"/>
    <mergeCell ref="F16:F17"/>
    <mergeCell ref="G16:G17"/>
    <mergeCell ref="H16:H17"/>
    <mergeCell ref="I16:I17"/>
    <mergeCell ref="J16:J17"/>
    <mergeCell ref="D3:F3"/>
    <mergeCell ref="D4:F4"/>
    <mergeCell ref="D8:J8"/>
    <mergeCell ref="D56:J56"/>
    <mergeCell ref="G5:J5"/>
    <mergeCell ref="D9:D10"/>
    <mergeCell ref="E9:E10"/>
    <mergeCell ref="F9:F10"/>
    <mergeCell ref="G9:G10"/>
    <mergeCell ref="H9:H10"/>
    <mergeCell ref="I9:I10"/>
    <mergeCell ref="J9:J10"/>
    <mergeCell ref="D12:D13"/>
    <mergeCell ref="E12:E13"/>
    <mergeCell ref="F12:F13"/>
    <mergeCell ref="G12:G13"/>
  </mergeCells>
  <phoneticPr fontId="1" type="noConversion"/>
  <conditionalFormatting sqref="D7:D9 D11:D12 D14:D16 D18:D20 D22:D23 D25:D27 D29:D31 D33:D35 D37:D38 D40:D42 D44:D46 D48:D50 D52:D53 D55:D57">
    <cfRule type="expression" dxfId="8" priority="1">
      <formula>$D7=$D8</formula>
    </cfRule>
  </conditionalFormatting>
  <conditionalFormatting sqref="C7:C57">
    <cfRule type="expression" dxfId="7" priority="3">
      <formula>OR(AND($D7=0,OR($D6=$Q$7:$Q$14)),AND($D8&gt;0,OR($D7=$Q$7:$Q$14)))</formula>
    </cfRule>
  </conditionalFormatting>
  <conditionalFormatting sqref="D7:J7 D8 D57:J57 D56 D9:J9 D11:J12 D14:J16 D18:J20 D22:J23 D25:J27 D29:J31 D33:J35 D37:J38 D40:J42 D44:J46 D48:J50 D52:J53 D55:J55">
    <cfRule type="expression" dxfId="6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11A34-E9DA-44AD-8ACF-2615E00FCCBA}">
  <sheetPr codeName="Sheet28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기능'!D27</f>
        <v>15.49</v>
      </c>
      <c r="I3" s="14" t="s">
        <v>110</v>
      </c>
      <c r="J3" s="36">
        <f>'통계 및 응시자 수 입력 기능'!C27</f>
        <v>37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115</v>
      </c>
      <c r="E4" s="114"/>
      <c r="F4" s="115"/>
      <c r="G4" s="38" t="s">
        <v>113</v>
      </c>
      <c r="H4" s="39" t="str">
        <f>'통계 및 응시자 수 입력 기능'!E27</f>
        <v xml:space="preserve"> 9.40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/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87</v>
      </c>
      <c r="E7" s="71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100</v>
      </c>
      <c r="G7" s="73">
        <f>_xlfn.IFNA(VLOOKUP(D7,'인원 입력 기능 (직탐)'!$A$64:$D$112,4,FALSE),0)</f>
        <v>0</v>
      </c>
      <c r="H7" s="74">
        <f>G7/$J$3</f>
        <v>0</v>
      </c>
      <c r="I7" s="75">
        <f>G7</f>
        <v>0</v>
      </c>
      <c r="J7" s="76">
        <f>I7/$J$3</f>
        <v>0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입력기능'!C211</f>
        <v>73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입력기능'!C212</f>
        <v>65</v>
      </c>
    </row>
    <row r="9" spans="1:17" ht="25" customHeight="1" x14ac:dyDescent="0.45">
      <c r="A9" s="4"/>
      <c r="B9" s="18"/>
      <c r="C9" s="70">
        <v>48</v>
      </c>
      <c r="D9" s="71">
        <f>ROUND(10*(C9-$H$3)/$H$4+50,0)</f>
        <v>85</v>
      </c>
      <c r="E9" s="71">
        <f t="shared" si="0"/>
        <v>1</v>
      </c>
      <c r="F9" s="72">
        <f>IF(I8=0,ROUND(100*(1-(I7+I9)/2/$J$3),2),ROUND(100*(1-(I8+I9)/2/$J$3),2))</f>
        <v>100</v>
      </c>
      <c r="G9" s="73">
        <f>_xlfn.IFNA(VLOOKUP(D9,'인원 입력 기능 (직탐)'!$A$64:$D$112,4,FALSE),0)</f>
        <v>0</v>
      </c>
      <c r="H9" s="74">
        <f>G9/$J$3</f>
        <v>0</v>
      </c>
      <c r="I9" s="78">
        <f>SUM($G$7:G9)</f>
        <v>0</v>
      </c>
      <c r="J9" s="76">
        <f>I9/$J$3</f>
        <v>0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입력기능'!C213</f>
        <v>59</v>
      </c>
    </row>
    <row r="10" spans="1:17" ht="25" customHeight="1" x14ac:dyDescent="0.45">
      <c r="A10" s="4"/>
      <c r="B10" s="18"/>
      <c r="C10" s="77">
        <v>47</v>
      </c>
      <c r="D10" s="71">
        <f t="shared" ref="D10:D55" si="2">ROUND(10*(C10-$H$3)/$H$4+50,0)</f>
        <v>84</v>
      </c>
      <c r="E10" s="71">
        <f t="shared" si="0"/>
        <v>1</v>
      </c>
      <c r="F10" s="72">
        <f t="shared" ref="F10:F55" si="3">IF(I9=0,ROUND(100*(1-(I8+I10)/2/$J$3),2),ROUND(100*(1-(I9+I10)/2/$J$3),2))</f>
        <v>100</v>
      </c>
      <c r="G10" s="73">
        <f>IF(D10=D9,"",_xlfn.IFNA(VLOOKUP(D10,'인원 입력 기능 (직탐)'!$A$64:$D$112,4,FALSE),0))</f>
        <v>0</v>
      </c>
      <c r="H10" s="74">
        <f t="shared" ref="H10:H55" si="4">G10/$J$3</f>
        <v>0</v>
      </c>
      <c r="I10" s="78">
        <f>SUM($G$7:G10)</f>
        <v>0</v>
      </c>
      <c r="J10" s="76">
        <f t="shared" ref="J10:J55" si="5">I10/$J$3</f>
        <v>0</v>
      </c>
      <c r="K10" s="32"/>
      <c r="L10" s="3" t="str">
        <f t="shared" si="1"/>
        <v/>
      </c>
      <c r="P10" s="1">
        <v>4</v>
      </c>
      <c r="Q10" s="1">
        <f>'표준점수 등급컷 입력기능'!C214</f>
        <v>46</v>
      </c>
    </row>
    <row r="11" spans="1:17" ht="25" customHeight="1" x14ac:dyDescent="0.45">
      <c r="A11" s="4"/>
      <c r="B11" s="18"/>
      <c r="C11" s="70">
        <v>46</v>
      </c>
      <c r="D11" s="71">
        <f t="shared" si="2"/>
        <v>82</v>
      </c>
      <c r="E11" s="71">
        <f t="shared" si="0"/>
        <v>1</v>
      </c>
      <c r="F11" s="72">
        <f t="shared" si="3"/>
        <v>100</v>
      </c>
      <c r="G11" s="73">
        <f>IF(D11=D10,"",_xlfn.IFNA(VLOOKUP(D11,'인원 입력 기능 (직탐)'!$A$64:$D$112,4,FALSE),0))</f>
        <v>0</v>
      </c>
      <c r="H11" s="74">
        <f t="shared" si="4"/>
        <v>0</v>
      </c>
      <c r="I11" s="78">
        <f>SUM($G$7:G11)</f>
        <v>0</v>
      </c>
      <c r="J11" s="76">
        <f t="shared" si="5"/>
        <v>0</v>
      </c>
      <c r="K11" s="32"/>
      <c r="L11" s="3" t="str">
        <f t="shared" si="1"/>
        <v/>
      </c>
      <c r="P11" s="1">
        <v>5</v>
      </c>
      <c r="Q11" s="1">
        <f>'표준점수 등급컷 입력기능'!C215</f>
        <v>44</v>
      </c>
    </row>
    <row r="12" spans="1:17" ht="25" customHeight="1" x14ac:dyDescent="0.45">
      <c r="A12" s="4"/>
      <c r="B12" s="18"/>
      <c r="C12" s="77">
        <v>45</v>
      </c>
      <c r="D12" s="71">
        <f t="shared" si="2"/>
        <v>81</v>
      </c>
      <c r="E12" s="71">
        <f t="shared" si="0"/>
        <v>1</v>
      </c>
      <c r="F12" s="72">
        <f t="shared" si="3"/>
        <v>100</v>
      </c>
      <c r="G12" s="73">
        <f>IF(D12=D11,"",_xlfn.IFNA(VLOOKUP(D12,'인원 입력 기능 (직탐)'!$A$64:$D$112,4,FALSE),0))</f>
        <v>0</v>
      </c>
      <c r="H12" s="74">
        <f t="shared" si="4"/>
        <v>0</v>
      </c>
      <c r="I12" s="78">
        <f>SUM($G$7:G12)</f>
        <v>0</v>
      </c>
      <c r="J12" s="76">
        <f t="shared" si="5"/>
        <v>0</v>
      </c>
      <c r="K12" s="32"/>
      <c r="L12" s="3" t="str">
        <f t="shared" si="1"/>
        <v/>
      </c>
      <c r="P12" s="1">
        <v>6</v>
      </c>
      <c r="Q12" s="1">
        <f>'표준점수 등급컷 입력기능'!C216</f>
        <v>43</v>
      </c>
    </row>
    <row r="13" spans="1:17" ht="25" customHeight="1" x14ac:dyDescent="0.45">
      <c r="A13" s="4"/>
      <c r="B13" s="18"/>
      <c r="C13" s="70">
        <v>44</v>
      </c>
      <c r="D13" s="71">
        <f t="shared" si="2"/>
        <v>80</v>
      </c>
      <c r="E13" s="71">
        <f t="shared" si="0"/>
        <v>1</v>
      </c>
      <c r="F13" s="72">
        <f t="shared" si="3"/>
        <v>100</v>
      </c>
      <c r="G13" s="73">
        <f>IF(D13=D12,"",_xlfn.IFNA(VLOOKUP(D13,'인원 입력 기능 (직탐)'!$A$64:$D$112,4,FALSE),0))</f>
        <v>0</v>
      </c>
      <c r="H13" s="74">
        <f t="shared" si="4"/>
        <v>0</v>
      </c>
      <c r="I13" s="78">
        <f>SUM($G$7:G13)</f>
        <v>0</v>
      </c>
      <c r="J13" s="76">
        <f t="shared" si="5"/>
        <v>0</v>
      </c>
      <c r="K13" s="32"/>
      <c r="L13" s="3" t="str">
        <f t="shared" si="1"/>
        <v/>
      </c>
      <c r="P13" s="1">
        <v>7</v>
      </c>
      <c r="Q13" s="1" t="str">
        <f>'표준점수 등급컷 입력기능'!C217</f>
        <v>-</v>
      </c>
    </row>
    <row r="14" spans="1:17" ht="25" customHeight="1" x14ac:dyDescent="0.45">
      <c r="A14" s="4"/>
      <c r="B14" s="18"/>
      <c r="C14" s="77">
        <v>43</v>
      </c>
      <c r="D14" s="71">
        <f t="shared" si="2"/>
        <v>79</v>
      </c>
      <c r="E14" s="71">
        <f t="shared" si="0"/>
        <v>1</v>
      </c>
      <c r="F14" s="72">
        <f t="shared" si="3"/>
        <v>100</v>
      </c>
      <c r="G14" s="73">
        <f>IF(D14=D13,"",_xlfn.IFNA(VLOOKUP(D14,'인원 입력 기능 (직탐)'!$A$64:$D$112,4,FALSE),0))</f>
        <v>0</v>
      </c>
      <c r="H14" s="74">
        <f t="shared" si="4"/>
        <v>0</v>
      </c>
      <c r="I14" s="78">
        <f>SUM($G$7:G14)</f>
        <v>0</v>
      </c>
      <c r="J14" s="76">
        <f t="shared" si="5"/>
        <v>0</v>
      </c>
      <c r="K14" s="32"/>
      <c r="L14" s="3" t="str">
        <f t="shared" si="1"/>
        <v/>
      </c>
      <c r="P14" s="1">
        <v>8</v>
      </c>
      <c r="Q14" s="1">
        <f>'표준점수 등급컷 입력기능'!C218</f>
        <v>40</v>
      </c>
    </row>
    <row r="15" spans="1:17" ht="25" customHeight="1" x14ac:dyDescent="0.45">
      <c r="A15" s="4"/>
      <c r="B15" s="18"/>
      <c r="C15" s="70">
        <v>42</v>
      </c>
      <c r="D15" s="71">
        <f t="shared" si="2"/>
        <v>78</v>
      </c>
      <c r="E15" s="71">
        <f t="shared" si="0"/>
        <v>1</v>
      </c>
      <c r="F15" s="72">
        <f t="shared" si="3"/>
        <v>100</v>
      </c>
      <c r="G15" s="73">
        <f>IF(D15=D14,"",_xlfn.IFNA(VLOOKUP(D15,'인원 입력 기능 (직탐)'!$A$64:$D$112,4,FALSE),0))</f>
        <v>0</v>
      </c>
      <c r="H15" s="74">
        <f t="shared" si="4"/>
        <v>0</v>
      </c>
      <c r="I15" s="78">
        <f>SUM($G$7:G15)</f>
        <v>0</v>
      </c>
      <c r="J15" s="76">
        <f t="shared" si="5"/>
        <v>0</v>
      </c>
      <c r="K15" s="32"/>
      <c r="L15" s="3" t="str">
        <f t="shared" si="1"/>
        <v/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71">
        <f t="shared" si="2"/>
        <v>77</v>
      </c>
      <c r="E16" s="71">
        <f t="shared" si="0"/>
        <v>1</v>
      </c>
      <c r="F16" s="72">
        <f t="shared" si="3"/>
        <v>100</v>
      </c>
      <c r="G16" s="73">
        <f>IF(D16=D15,"",_xlfn.IFNA(VLOOKUP(D16,'인원 입력 기능 (직탐)'!$A$64:$D$112,4,FALSE),0))</f>
        <v>0</v>
      </c>
      <c r="H16" s="74">
        <f t="shared" si="4"/>
        <v>0</v>
      </c>
      <c r="I16" s="78">
        <f>SUM($G$7:G16)</f>
        <v>0</v>
      </c>
      <c r="J16" s="76">
        <f t="shared" si="5"/>
        <v>0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71">
        <f t="shared" si="2"/>
        <v>76</v>
      </c>
      <c r="E17" s="71">
        <f t="shared" si="0"/>
        <v>1</v>
      </c>
      <c r="F17" s="72">
        <f t="shared" si="3"/>
        <v>100</v>
      </c>
      <c r="G17" s="73">
        <f>IF(D17=D16,"",_xlfn.IFNA(VLOOKUP(D17,'인원 입력 기능 (직탐)'!$A$64:$D$112,4,FALSE),0))</f>
        <v>0</v>
      </c>
      <c r="H17" s="74">
        <f t="shared" si="4"/>
        <v>0</v>
      </c>
      <c r="I17" s="78">
        <f>SUM($G$7:G17)</f>
        <v>0</v>
      </c>
      <c r="J17" s="76">
        <f t="shared" si="5"/>
        <v>0</v>
      </c>
      <c r="K17" s="32"/>
      <c r="L17" s="3" t="str">
        <f t="shared" si="1"/>
        <v/>
      </c>
      <c r="P17" s="1">
        <f>Q7*H3*H4*J3*IFERROR(IF(J57=1,1,0),0)</f>
        <v>393281.80599999998</v>
      </c>
    </row>
    <row r="18" spans="1:16" ht="25" customHeight="1" x14ac:dyDescent="0.45">
      <c r="A18" s="4"/>
      <c r="B18" s="18"/>
      <c r="C18" s="77">
        <v>39</v>
      </c>
      <c r="D18" s="71">
        <f t="shared" si="2"/>
        <v>75</v>
      </c>
      <c r="E18" s="71">
        <f t="shared" si="0"/>
        <v>1</v>
      </c>
      <c r="F18" s="72">
        <f t="shared" si="3"/>
        <v>100</v>
      </c>
      <c r="G18" s="73">
        <f>IF(D18=D17,"",_xlfn.IFNA(VLOOKUP(D18,'인원 입력 기능 (직탐)'!$A$64:$D$112,4,FALSE),0))</f>
        <v>0</v>
      </c>
      <c r="H18" s="74">
        <f t="shared" si="4"/>
        <v>0</v>
      </c>
      <c r="I18" s="78">
        <f>SUM($G$7:G18)</f>
        <v>0</v>
      </c>
      <c r="J18" s="76">
        <f t="shared" si="5"/>
        <v>0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71">
        <f t="shared" si="2"/>
        <v>74</v>
      </c>
      <c r="E19" s="71">
        <f t="shared" si="0"/>
        <v>1</v>
      </c>
      <c r="F19" s="72">
        <f t="shared" si="3"/>
        <v>98.65</v>
      </c>
      <c r="G19" s="73">
        <f>IF(D19=D18,"",_xlfn.IFNA(VLOOKUP(D19,'인원 입력 기능 (직탐)'!$A$64:$D$112,4,FALSE),0))</f>
        <v>1</v>
      </c>
      <c r="H19" s="74">
        <f t="shared" si="4"/>
        <v>2.7027027027027029E-2</v>
      </c>
      <c r="I19" s="78">
        <f>SUM($G$7:G19)</f>
        <v>1</v>
      </c>
      <c r="J19" s="76">
        <f t="shared" si="5"/>
        <v>2.7027027027027029E-2</v>
      </c>
      <c r="K19" s="32"/>
      <c r="L19" s="3" t="str">
        <f t="shared" si="1"/>
        <v/>
      </c>
    </row>
    <row r="20" spans="1:16" ht="25" customHeight="1" x14ac:dyDescent="0.45">
      <c r="A20" s="4"/>
      <c r="B20" s="18"/>
      <c r="C20" s="77">
        <v>37</v>
      </c>
      <c r="D20" s="71">
        <f t="shared" si="2"/>
        <v>73</v>
      </c>
      <c r="E20" s="71">
        <f t="shared" si="0"/>
        <v>1</v>
      </c>
      <c r="F20" s="72">
        <f t="shared" si="3"/>
        <v>95.95</v>
      </c>
      <c r="G20" s="73">
        <f>IF(D20=D19,"",_xlfn.IFNA(VLOOKUP(D20,'인원 입력 기능 (직탐)'!$A$64:$D$112,4,FALSE),0))</f>
        <v>1</v>
      </c>
      <c r="H20" s="74">
        <f t="shared" si="4"/>
        <v>2.7027027027027029E-2</v>
      </c>
      <c r="I20" s="78">
        <f>SUM($G$7:G20)</f>
        <v>2</v>
      </c>
      <c r="J20" s="76">
        <f t="shared" si="5"/>
        <v>5.4054054054054057E-2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80">
        <f t="shared" si="2"/>
        <v>72</v>
      </c>
      <c r="E21" s="80">
        <f t="shared" si="0"/>
        <v>2</v>
      </c>
      <c r="F21" s="72">
        <f t="shared" si="3"/>
        <v>94.59</v>
      </c>
      <c r="G21" s="73">
        <f>IF(D21=D20,"",_xlfn.IFNA(VLOOKUP(D21,'인원 입력 기능 (직탐)'!$A$64:$D$112,4,FALSE),0))</f>
        <v>0</v>
      </c>
      <c r="H21" s="74">
        <f t="shared" si="4"/>
        <v>0</v>
      </c>
      <c r="I21" s="78">
        <f>SUM($G$7:G21)</f>
        <v>2</v>
      </c>
      <c r="J21" s="76">
        <f t="shared" si="5"/>
        <v>5.4054054054054057E-2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80">
        <f t="shared" si="2"/>
        <v>71</v>
      </c>
      <c r="E22" s="80">
        <f t="shared" si="0"/>
        <v>2</v>
      </c>
      <c r="F22" s="72">
        <f t="shared" si="3"/>
        <v>94.59</v>
      </c>
      <c r="G22" s="73">
        <f>IF(D22=D21,"",_xlfn.IFNA(VLOOKUP(D22,'인원 입력 기능 (직탐)'!$A$64:$D$112,4,FALSE),0))</f>
        <v>0</v>
      </c>
      <c r="H22" s="74">
        <f t="shared" si="4"/>
        <v>0</v>
      </c>
      <c r="I22" s="78">
        <f>SUM($G$7:G22)</f>
        <v>2</v>
      </c>
      <c r="J22" s="76">
        <f t="shared" si="5"/>
        <v>5.4054054054054057E-2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80">
        <f t="shared" si="2"/>
        <v>70</v>
      </c>
      <c r="E23" s="80">
        <f t="shared" si="0"/>
        <v>2</v>
      </c>
      <c r="F23" s="72">
        <f t="shared" si="3"/>
        <v>94.59</v>
      </c>
      <c r="G23" s="73">
        <f>IF(D23=D22,"",_xlfn.IFNA(VLOOKUP(D23,'인원 입력 기능 (직탐)'!$A$64:$D$112,4,FALSE),0))</f>
        <v>0</v>
      </c>
      <c r="H23" s="74">
        <f t="shared" si="4"/>
        <v>0</v>
      </c>
      <c r="I23" s="78">
        <f>SUM($G$7:G23)</f>
        <v>2</v>
      </c>
      <c r="J23" s="76">
        <f t="shared" si="5"/>
        <v>5.4054054054054057E-2</v>
      </c>
      <c r="K23" s="32"/>
      <c r="L23" s="3" t="str">
        <f t="shared" si="1"/>
        <v/>
      </c>
    </row>
    <row r="24" spans="1:16" ht="25" customHeight="1" x14ac:dyDescent="0.45">
      <c r="A24" s="4"/>
      <c r="B24" s="18"/>
      <c r="C24" s="81">
        <v>33</v>
      </c>
      <c r="D24" s="80">
        <f t="shared" si="2"/>
        <v>69</v>
      </c>
      <c r="E24" s="80">
        <f t="shared" si="0"/>
        <v>2</v>
      </c>
      <c r="F24" s="72">
        <f t="shared" si="3"/>
        <v>93.24</v>
      </c>
      <c r="G24" s="73">
        <f>IF(D24=D23,"",_xlfn.IFNA(VLOOKUP(D24,'인원 입력 기능 (직탐)'!$A$64:$D$112,4,FALSE),0))</f>
        <v>1</v>
      </c>
      <c r="H24" s="74">
        <f t="shared" si="4"/>
        <v>2.7027027027027029E-2</v>
      </c>
      <c r="I24" s="78">
        <f>SUM($G$7:G24)</f>
        <v>3</v>
      </c>
      <c r="J24" s="76">
        <f t="shared" si="5"/>
        <v>8.1081081081081086E-2</v>
      </c>
      <c r="K24" s="32"/>
      <c r="L24" s="3" t="str">
        <f t="shared" si="1"/>
        <v/>
      </c>
    </row>
    <row r="25" spans="1:16" ht="25" customHeight="1" x14ac:dyDescent="0.45">
      <c r="A25" s="4"/>
      <c r="B25" s="18"/>
      <c r="C25" s="79">
        <v>32</v>
      </c>
      <c r="D25" s="80">
        <f t="shared" si="2"/>
        <v>68</v>
      </c>
      <c r="E25" s="80">
        <f t="shared" si="0"/>
        <v>2</v>
      </c>
      <c r="F25" s="72">
        <f t="shared" si="3"/>
        <v>91.89</v>
      </c>
      <c r="G25" s="73">
        <f>IF(D25=D24,"",_xlfn.IFNA(VLOOKUP(D25,'인원 입력 기능 (직탐)'!$A$64:$D$112,4,FALSE),0))</f>
        <v>0</v>
      </c>
      <c r="H25" s="74">
        <f t="shared" si="4"/>
        <v>0</v>
      </c>
      <c r="I25" s="78">
        <f>SUM($G$7:G25)</f>
        <v>3</v>
      </c>
      <c r="J25" s="76">
        <f t="shared" si="5"/>
        <v>8.1081081081081086E-2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80">
        <f t="shared" si="2"/>
        <v>67</v>
      </c>
      <c r="E26" s="80">
        <f t="shared" si="0"/>
        <v>2</v>
      </c>
      <c r="F26" s="72">
        <f t="shared" si="3"/>
        <v>91.89</v>
      </c>
      <c r="G26" s="73">
        <f>IF(D26=D25,"",_xlfn.IFNA(VLOOKUP(D26,'인원 입력 기능 (직탐)'!$A$64:$D$112,4,FALSE),0))</f>
        <v>0</v>
      </c>
      <c r="H26" s="74">
        <f t="shared" si="4"/>
        <v>0</v>
      </c>
      <c r="I26" s="78">
        <f>SUM($G$7:G26)</f>
        <v>3</v>
      </c>
      <c r="J26" s="76">
        <f t="shared" si="5"/>
        <v>8.1081081081081086E-2</v>
      </c>
      <c r="K26" s="32"/>
      <c r="L26" s="3" t="str">
        <f t="shared" si="1"/>
        <v>경고</v>
      </c>
    </row>
    <row r="27" spans="1:16" ht="25" customHeight="1" x14ac:dyDescent="0.45">
      <c r="A27" s="4"/>
      <c r="B27" s="18"/>
      <c r="C27" s="79">
        <v>30</v>
      </c>
      <c r="D27" s="80">
        <f t="shared" si="2"/>
        <v>65</v>
      </c>
      <c r="E27" s="80">
        <f t="shared" si="0"/>
        <v>2</v>
      </c>
      <c r="F27" s="72">
        <f t="shared" si="3"/>
        <v>89.19</v>
      </c>
      <c r="G27" s="73">
        <f>IF(D27=D26,"",_xlfn.IFNA(VLOOKUP(D27,'인원 입력 기능 (직탐)'!$A$64:$D$112,4,FALSE),0))</f>
        <v>2</v>
      </c>
      <c r="H27" s="74">
        <f t="shared" si="4"/>
        <v>5.4054054054054057E-2</v>
      </c>
      <c r="I27" s="78">
        <f>SUM($G$7:G27)</f>
        <v>5</v>
      </c>
      <c r="J27" s="76">
        <f t="shared" si="5"/>
        <v>0.13513513513513514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80">
        <f t="shared" si="2"/>
        <v>64</v>
      </c>
      <c r="E28" s="80">
        <f t="shared" si="0"/>
        <v>3</v>
      </c>
      <c r="F28" s="72">
        <f t="shared" si="3"/>
        <v>83.78</v>
      </c>
      <c r="G28" s="73">
        <f>IF(D28=D27,"",_xlfn.IFNA(VLOOKUP(D28,'인원 입력 기능 (직탐)'!$A$64:$D$112,4,FALSE),0))</f>
        <v>2</v>
      </c>
      <c r="H28" s="74">
        <f t="shared" si="4"/>
        <v>5.4054054054054057E-2</v>
      </c>
      <c r="I28" s="78">
        <f>SUM($G$7:G28)</f>
        <v>7</v>
      </c>
      <c r="J28" s="76">
        <f t="shared" si="5"/>
        <v>0.1891891891891892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80">
        <f t="shared" si="2"/>
        <v>63</v>
      </c>
      <c r="E29" s="80">
        <f t="shared" si="0"/>
        <v>3</v>
      </c>
      <c r="F29" s="72">
        <f t="shared" si="3"/>
        <v>79.73</v>
      </c>
      <c r="G29" s="73">
        <f>IF(D29=D28,"",_xlfn.IFNA(VLOOKUP(D29,'인원 입력 기능 (직탐)'!$A$64:$D$112,4,FALSE),0))</f>
        <v>1</v>
      </c>
      <c r="H29" s="74">
        <f t="shared" si="4"/>
        <v>2.7027027027027029E-2</v>
      </c>
      <c r="I29" s="78">
        <f>SUM($G$7:G29)</f>
        <v>8</v>
      </c>
      <c r="J29" s="76">
        <f t="shared" si="5"/>
        <v>0.21621621621621623</v>
      </c>
      <c r="K29" s="32"/>
      <c r="L29" s="3" t="str">
        <f t="shared" si="1"/>
        <v/>
      </c>
    </row>
    <row r="30" spans="1:16" ht="25" customHeight="1" x14ac:dyDescent="0.45">
      <c r="A30" s="4"/>
      <c r="B30" s="18"/>
      <c r="C30" s="81">
        <v>27</v>
      </c>
      <c r="D30" s="80">
        <f t="shared" si="2"/>
        <v>62</v>
      </c>
      <c r="E30" s="80">
        <f t="shared" si="0"/>
        <v>3</v>
      </c>
      <c r="F30" s="72">
        <f t="shared" si="3"/>
        <v>78.38</v>
      </c>
      <c r="G30" s="73">
        <f>IF(D30=D29,"",_xlfn.IFNA(VLOOKUP(D30,'인원 입력 기능 (직탐)'!$A$64:$D$112,4,FALSE),0))</f>
        <v>0</v>
      </c>
      <c r="H30" s="74">
        <f t="shared" si="4"/>
        <v>0</v>
      </c>
      <c r="I30" s="78">
        <f>SUM($G$7:G30)</f>
        <v>8</v>
      </c>
      <c r="J30" s="76">
        <f t="shared" si="5"/>
        <v>0.21621621621621623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80">
        <f t="shared" si="2"/>
        <v>61</v>
      </c>
      <c r="E31" s="80">
        <f t="shared" si="0"/>
        <v>3</v>
      </c>
      <c r="F31" s="72">
        <f t="shared" si="3"/>
        <v>78.38</v>
      </c>
      <c r="G31" s="73">
        <f>IF(D31=D30,"",_xlfn.IFNA(VLOOKUP(D31,'인원 입력 기능 (직탐)'!$A$64:$D$112,4,FALSE),0))</f>
        <v>0</v>
      </c>
      <c r="H31" s="74">
        <f t="shared" si="4"/>
        <v>0</v>
      </c>
      <c r="I31" s="78">
        <f>SUM($G$7:G31)</f>
        <v>8</v>
      </c>
      <c r="J31" s="76">
        <f t="shared" si="5"/>
        <v>0.21621621621621623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80">
        <f t="shared" si="2"/>
        <v>60</v>
      </c>
      <c r="E32" s="80">
        <f t="shared" si="0"/>
        <v>3</v>
      </c>
      <c r="F32" s="72">
        <f t="shared" si="3"/>
        <v>78.38</v>
      </c>
      <c r="G32" s="73">
        <f>IF(D32=D31,"",_xlfn.IFNA(VLOOKUP(D32,'인원 입력 기능 (직탐)'!$A$64:$D$112,4,FALSE),0))</f>
        <v>0</v>
      </c>
      <c r="H32" s="74">
        <f t="shared" si="4"/>
        <v>0</v>
      </c>
      <c r="I32" s="78">
        <f>SUM($G$7:G32)</f>
        <v>8</v>
      </c>
      <c r="J32" s="76">
        <f t="shared" si="5"/>
        <v>0.21621621621621623</v>
      </c>
      <c r="K32" s="32"/>
      <c r="L32" s="3" t="str">
        <f t="shared" si="1"/>
        <v/>
      </c>
    </row>
    <row r="33" spans="1:12" ht="25" customHeight="1" x14ac:dyDescent="0.45">
      <c r="A33" s="4"/>
      <c r="B33" s="18"/>
      <c r="C33" s="79">
        <v>24</v>
      </c>
      <c r="D33" s="80">
        <f t="shared" si="2"/>
        <v>59</v>
      </c>
      <c r="E33" s="80">
        <f t="shared" si="0"/>
        <v>3</v>
      </c>
      <c r="F33" s="72">
        <f t="shared" si="3"/>
        <v>77.03</v>
      </c>
      <c r="G33" s="73">
        <f>IF(D33=D32,"",_xlfn.IFNA(VLOOKUP(D33,'인원 입력 기능 (직탐)'!$A$64:$D$112,4,FALSE),0))</f>
        <v>1</v>
      </c>
      <c r="H33" s="74">
        <f t="shared" si="4"/>
        <v>2.7027027027027029E-2</v>
      </c>
      <c r="I33" s="78">
        <f>SUM($G$7:G33)</f>
        <v>9</v>
      </c>
      <c r="J33" s="76">
        <f t="shared" si="5"/>
        <v>0.24324324324324326</v>
      </c>
      <c r="K33" s="32"/>
      <c r="L33" s="3" t="str">
        <f t="shared" si="1"/>
        <v/>
      </c>
    </row>
    <row r="34" spans="1:12" ht="25" customHeight="1" x14ac:dyDescent="0.45">
      <c r="A34" s="4"/>
      <c r="B34" s="18"/>
      <c r="C34" s="81">
        <v>23</v>
      </c>
      <c r="D34" s="80">
        <f t="shared" si="2"/>
        <v>58</v>
      </c>
      <c r="E34" s="80">
        <f t="shared" si="0"/>
        <v>4</v>
      </c>
      <c r="F34" s="72">
        <f t="shared" si="3"/>
        <v>75.680000000000007</v>
      </c>
      <c r="G34" s="73">
        <f>IF(D34=D33,"",_xlfn.IFNA(VLOOKUP(D34,'인원 입력 기능 (직탐)'!$A$64:$D$112,4,FALSE),0))</f>
        <v>0</v>
      </c>
      <c r="H34" s="74">
        <f t="shared" si="4"/>
        <v>0</v>
      </c>
      <c r="I34" s="78">
        <f>SUM($G$7:G34)</f>
        <v>9</v>
      </c>
      <c r="J34" s="76">
        <f t="shared" si="5"/>
        <v>0.24324324324324326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80">
        <f t="shared" si="2"/>
        <v>57</v>
      </c>
      <c r="E35" s="80">
        <f t="shared" si="0"/>
        <v>4</v>
      </c>
      <c r="F35" s="72">
        <f t="shared" si="3"/>
        <v>75.680000000000007</v>
      </c>
      <c r="G35" s="73">
        <f>IF(D35=D34,"",_xlfn.IFNA(VLOOKUP(D35,'인원 입력 기능 (직탐)'!$A$64:$D$112,4,FALSE),0))</f>
        <v>0</v>
      </c>
      <c r="H35" s="74">
        <f t="shared" si="4"/>
        <v>0</v>
      </c>
      <c r="I35" s="78">
        <f>SUM($G$7:G35)</f>
        <v>9</v>
      </c>
      <c r="J35" s="76">
        <f t="shared" si="5"/>
        <v>0.24324324324324326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80">
        <f t="shared" si="2"/>
        <v>56</v>
      </c>
      <c r="E36" s="80">
        <f t="shared" si="0"/>
        <v>4</v>
      </c>
      <c r="F36" s="72">
        <f t="shared" si="3"/>
        <v>75.680000000000007</v>
      </c>
      <c r="G36" s="73">
        <f>IF(D36=D35,"",_xlfn.IFNA(VLOOKUP(D36,'인원 입력 기능 (직탐)'!$A$64:$D$112,4,FALSE),0))</f>
        <v>0</v>
      </c>
      <c r="H36" s="74">
        <f t="shared" si="4"/>
        <v>0</v>
      </c>
      <c r="I36" s="78">
        <f>SUM($G$7:G36)</f>
        <v>9</v>
      </c>
      <c r="J36" s="76">
        <f t="shared" si="5"/>
        <v>0.24324324324324326</v>
      </c>
      <c r="K36" s="32"/>
      <c r="L36" s="3" t="str">
        <f t="shared" si="1"/>
        <v/>
      </c>
    </row>
    <row r="37" spans="1:12" ht="25" customHeight="1" x14ac:dyDescent="0.45">
      <c r="A37" s="4"/>
      <c r="B37" s="18"/>
      <c r="C37" s="79">
        <v>20</v>
      </c>
      <c r="D37" s="80">
        <f t="shared" si="2"/>
        <v>55</v>
      </c>
      <c r="E37" s="80">
        <f t="shared" si="0"/>
        <v>4</v>
      </c>
      <c r="F37" s="72">
        <f t="shared" si="3"/>
        <v>75.680000000000007</v>
      </c>
      <c r="G37" s="73">
        <f>IF(D37=D36,"",_xlfn.IFNA(VLOOKUP(D37,'인원 입력 기능 (직탐)'!$A$64:$D$112,4,FALSE),0))</f>
        <v>0</v>
      </c>
      <c r="H37" s="74">
        <f t="shared" si="4"/>
        <v>0</v>
      </c>
      <c r="I37" s="78">
        <f>SUM($G$7:G37)</f>
        <v>9</v>
      </c>
      <c r="J37" s="76">
        <f t="shared" si="5"/>
        <v>0.24324324324324326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80">
        <f t="shared" si="2"/>
        <v>54</v>
      </c>
      <c r="E38" s="80">
        <f t="shared" si="0"/>
        <v>4</v>
      </c>
      <c r="F38" s="72">
        <f t="shared" si="3"/>
        <v>74.319999999999993</v>
      </c>
      <c r="G38" s="73">
        <f>IF(D38=D37,"",_xlfn.IFNA(VLOOKUP(D38,'인원 입력 기능 (직탐)'!$A$64:$D$112,4,FALSE),0))</f>
        <v>1</v>
      </c>
      <c r="H38" s="74">
        <f t="shared" si="4"/>
        <v>2.7027027027027029E-2</v>
      </c>
      <c r="I38" s="78">
        <f>SUM($G$7:G38)</f>
        <v>10</v>
      </c>
      <c r="J38" s="76">
        <f t="shared" si="5"/>
        <v>0.27027027027027029</v>
      </c>
      <c r="K38" s="32"/>
      <c r="L38" s="3" t="str">
        <f t="shared" si="1"/>
        <v/>
      </c>
    </row>
    <row r="39" spans="1:12" ht="25" customHeight="1" x14ac:dyDescent="0.45">
      <c r="A39" s="4"/>
      <c r="B39" s="18"/>
      <c r="C39" s="79">
        <v>18</v>
      </c>
      <c r="D39" s="80">
        <f t="shared" si="2"/>
        <v>53</v>
      </c>
      <c r="E39" s="80">
        <f t="shared" si="0"/>
        <v>4</v>
      </c>
      <c r="F39" s="72">
        <f t="shared" si="3"/>
        <v>70.27</v>
      </c>
      <c r="G39" s="73">
        <f>IF(D39=D38,"",_xlfn.IFNA(VLOOKUP(D39,'인원 입력 기능 (직탐)'!$A$64:$D$112,4,FALSE),0))</f>
        <v>2</v>
      </c>
      <c r="H39" s="74">
        <f t="shared" si="4"/>
        <v>5.4054054054054057E-2</v>
      </c>
      <c r="I39" s="78">
        <f>SUM($G$7:G39)</f>
        <v>12</v>
      </c>
      <c r="J39" s="76">
        <f t="shared" si="5"/>
        <v>0.32432432432432434</v>
      </c>
      <c r="K39" s="32"/>
      <c r="L39" s="3" t="str">
        <f t="shared" si="1"/>
        <v/>
      </c>
    </row>
    <row r="40" spans="1:12" ht="25" customHeight="1" x14ac:dyDescent="0.45">
      <c r="A40" s="4"/>
      <c r="B40" s="18"/>
      <c r="C40" s="81">
        <v>17</v>
      </c>
      <c r="D40" s="80">
        <f t="shared" si="2"/>
        <v>52</v>
      </c>
      <c r="E40" s="80">
        <f t="shared" si="0"/>
        <v>4</v>
      </c>
      <c r="F40" s="72">
        <f t="shared" si="3"/>
        <v>67.569999999999993</v>
      </c>
      <c r="G40" s="73">
        <f>IF(D40=D39,"",_xlfn.IFNA(VLOOKUP(D40,'인원 입력 기능 (직탐)'!$A$64:$D$112,4,FALSE),0))</f>
        <v>0</v>
      </c>
      <c r="H40" s="74">
        <f t="shared" si="4"/>
        <v>0</v>
      </c>
      <c r="I40" s="78">
        <f>SUM($G$7:G40)</f>
        <v>12</v>
      </c>
      <c r="J40" s="76">
        <f t="shared" si="5"/>
        <v>0.32432432432432434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80">
        <f t="shared" si="2"/>
        <v>51</v>
      </c>
      <c r="E41" s="80">
        <f t="shared" si="0"/>
        <v>4</v>
      </c>
      <c r="F41" s="72">
        <f t="shared" si="3"/>
        <v>67.569999999999993</v>
      </c>
      <c r="G41" s="73">
        <f>IF(D41=D40,"",_xlfn.IFNA(VLOOKUP(D41,'인원 입력 기능 (직탐)'!$A$64:$D$112,4,FALSE),0))</f>
        <v>0</v>
      </c>
      <c r="H41" s="74">
        <f t="shared" si="4"/>
        <v>0</v>
      </c>
      <c r="I41" s="78">
        <f>SUM($G$7:G41)</f>
        <v>12</v>
      </c>
      <c r="J41" s="76">
        <f t="shared" si="5"/>
        <v>0.32432432432432434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80">
        <f t="shared" si="2"/>
        <v>49</v>
      </c>
      <c r="E42" s="80">
        <f t="shared" si="0"/>
        <v>4</v>
      </c>
      <c r="F42" s="72">
        <f t="shared" si="3"/>
        <v>67.569999999999993</v>
      </c>
      <c r="G42" s="73">
        <f>IF(D42=D41,"",_xlfn.IFNA(VLOOKUP(D42,'인원 입력 기능 (직탐)'!$A$64:$D$112,4,FALSE),0))</f>
        <v>0</v>
      </c>
      <c r="H42" s="74">
        <f t="shared" si="4"/>
        <v>0</v>
      </c>
      <c r="I42" s="78">
        <f>SUM($G$7:G42)</f>
        <v>12</v>
      </c>
      <c r="J42" s="76">
        <f t="shared" si="5"/>
        <v>0.32432432432432434</v>
      </c>
      <c r="K42" s="32"/>
      <c r="L42" s="3" t="str">
        <f t="shared" si="1"/>
        <v/>
      </c>
    </row>
    <row r="43" spans="1:12" ht="25" customHeight="1" x14ac:dyDescent="0.45">
      <c r="A43" s="4"/>
      <c r="B43" s="18"/>
      <c r="C43" s="79">
        <v>14</v>
      </c>
      <c r="D43" s="80">
        <f t="shared" si="2"/>
        <v>48</v>
      </c>
      <c r="E43" s="80">
        <f t="shared" si="0"/>
        <v>4</v>
      </c>
      <c r="F43" s="72">
        <f t="shared" si="3"/>
        <v>66.22</v>
      </c>
      <c r="G43" s="73">
        <f>IF(D43=D42,"",_xlfn.IFNA(VLOOKUP(D43,'인원 입력 기능 (직탐)'!$A$64:$D$112,4,FALSE),0))</f>
        <v>1</v>
      </c>
      <c r="H43" s="74">
        <f t="shared" si="4"/>
        <v>2.7027027027027029E-2</v>
      </c>
      <c r="I43" s="78">
        <f>SUM($G$7:G43)</f>
        <v>13</v>
      </c>
      <c r="J43" s="76">
        <f t="shared" si="5"/>
        <v>0.35135135135135137</v>
      </c>
      <c r="K43" s="32"/>
      <c r="L43" s="3" t="str">
        <f t="shared" si="1"/>
        <v/>
      </c>
    </row>
    <row r="44" spans="1:12" ht="25" customHeight="1" x14ac:dyDescent="0.45">
      <c r="A44" s="4"/>
      <c r="B44" s="18"/>
      <c r="C44" s="81">
        <v>13</v>
      </c>
      <c r="D44" s="80">
        <f t="shared" si="2"/>
        <v>47</v>
      </c>
      <c r="E44" s="80">
        <f t="shared" si="0"/>
        <v>4</v>
      </c>
      <c r="F44" s="72">
        <f t="shared" si="3"/>
        <v>64.86</v>
      </c>
      <c r="G44" s="73">
        <f>IF(D44=D43,"",_xlfn.IFNA(VLOOKUP(D44,'인원 입력 기능 (직탐)'!$A$64:$D$112,4,FALSE),0))</f>
        <v>0</v>
      </c>
      <c r="H44" s="74">
        <f t="shared" si="4"/>
        <v>0</v>
      </c>
      <c r="I44" s="78">
        <f>SUM($G$7:G44)</f>
        <v>13</v>
      </c>
      <c r="J44" s="76">
        <f t="shared" si="5"/>
        <v>0.35135135135135137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80">
        <f t="shared" si="2"/>
        <v>46</v>
      </c>
      <c r="E45" s="80">
        <f t="shared" si="0"/>
        <v>4</v>
      </c>
      <c r="F45" s="72">
        <f t="shared" si="3"/>
        <v>60.81</v>
      </c>
      <c r="G45" s="73">
        <f>IF(D45=D44,"",_xlfn.IFNA(VLOOKUP(D45,'인원 입력 기능 (직탐)'!$A$64:$D$112,4,FALSE),0))</f>
        <v>3</v>
      </c>
      <c r="H45" s="74">
        <f t="shared" si="4"/>
        <v>8.1081081081081086E-2</v>
      </c>
      <c r="I45" s="78">
        <f>SUM($G$7:G45)</f>
        <v>16</v>
      </c>
      <c r="J45" s="76">
        <f t="shared" si="5"/>
        <v>0.43243243243243246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80">
        <f t="shared" si="2"/>
        <v>45</v>
      </c>
      <c r="E46" s="80">
        <f t="shared" si="0"/>
        <v>5</v>
      </c>
      <c r="F46" s="72">
        <f t="shared" si="3"/>
        <v>54.05</v>
      </c>
      <c r="G46" s="73">
        <f>IF(D46=D45,"",_xlfn.IFNA(VLOOKUP(D46,'인원 입력 기능 (직탐)'!$A$64:$D$112,4,FALSE),0))</f>
        <v>2</v>
      </c>
      <c r="H46" s="74">
        <f t="shared" si="4"/>
        <v>5.4054054054054057E-2</v>
      </c>
      <c r="I46" s="78">
        <f>SUM($G$7:G46)</f>
        <v>18</v>
      </c>
      <c r="J46" s="76">
        <f t="shared" si="5"/>
        <v>0.48648648648648651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80">
        <f t="shared" si="2"/>
        <v>44</v>
      </c>
      <c r="E47" s="80">
        <f t="shared" si="0"/>
        <v>5</v>
      </c>
      <c r="F47" s="72">
        <f t="shared" si="3"/>
        <v>41.89</v>
      </c>
      <c r="G47" s="73">
        <f>IF(D47=D46,"",_xlfn.IFNA(VLOOKUP(D47,'인원 입력 기능 (직탐)'!$A$64:$D$112,4,FALSE),0))</f>
        <v>7</v>
      </c>
      <c r="H47" s="74">
        <f t="shared" si="4"/>
        <v>0.1891891891891892</v>
      </c>
      <c r="I47" s="78">
        <f>SUM($G$7:G47)</f>
        <v>25</v>
      </c>
      <c r="J47" s="76">
        <f t="shared" si="5"/>
        <v>0.67567567567567566</v>
      </c>
      <c r="K47" s="32"/>
      <c r="L47" s="3" t="str">
        <f t="shared" si="1"/>
        <v/>
      </c>
    </row>
    <row r="48" spans="1:12" ht="25" customHeight="1" x14ac:dyDescent="0.45">
      <c r="A48" s="4"/>
      <c r="B48" s="18"/>
      <c r="C48" s="128">
        <v>9</v>
      </c>
      <c r="D48" s="127">
        <f t="shared" si="2"/>
        <v>43</v>
      </c>
      <c r="E48" s="127">
        <f t="shared" si="0"/>
        <v>6</v>
      </c>
      <c r="F48" s="155">
        <f t="shared" si="3"/>
        <v>21.62</v>
      </c>
      <c r="G48" s="156">
        <f>IF(D48=D47,"",_xlfn.IFNA(VLOOKUP(D48,'인원 입력 기능 (직탐)'!$A$64:$D$112,4,FALSE),0))</f>
        <v>8</v>
      </c>
      <c r="H48" s="157">
        <f t="shared" si="4"/>
        <v>0.21621621621621623</v>
      </c>
      <c r="I48" s="158">
        <f>SUM($G$7:G48)</f>
        <v>33</v>
      </c>
      <c r="J48" s="159">
        <f t="shared" si="5"/>
        <v>0.89189189189189189</v>
      </c>
      <c r="K48" s="32"/>
      <c r="L48" s="3" t="str">
        <f t="shared" si="1"/>
        <v/>
      </c>
    </row>
    <row r="49" spans="1:12" ht="25" customHeight="1" x14ac:dyDescent="0.45">
      <c r="A49" s="4"/>
      <c r="B49" s="18"/>
      <c r="C49" s="79">
        <v>8</v>
      </c>
      <c r="D49" s="80">
        <f t="shared" si="2"/>
        <v>42</v>
      </c>
      <c r="E49" s="80">
        <f t="shared" si="0"/>
        <v>8</v>
      </c>
      <c r="F49" s="72">
        <f t="shared" si="3"/>
        <v>9.4600000000000009</v>
      </c>
      <c r="G49" s="73">
        <f>IF(D49=D48,"",_xlfn.IFNA(VLOOKUP(D49,'인원 입력 기능 (직탐)'!$A$64:$D$112,4,FALSE),0))</f>
        <v>1</v>
      </c>
      <c r="H49" s="74">
        <f t="shared" si="4"/>
        <v>2.7027027027027029E-2</v>
      </c>
      <c r="I49" s="78">
        <f>SUM($G$7:G49)</f>
        <v>34</v>
      </c>
      <c r="J49" s="76">
        <f t="shared" si="5"/>
        <v>0.91891891891891897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80">
        <f t="shared" si="2"/>
        <v>41</v>
      </c>
      <c r="E50" s="80">
        <f t="shared" si="0"/>
        <v>8</v>
      </c>
      <c r="F50" s="72">
        <f t="shared" si="3"/>
        <v>6.76</v>
      </c>
      <c r="G50" s="73">
        <f>IF(D50=D49,"",_xlfn.IFNA(VLOOKUP(D50,'인원 입력 기능 (직탐)'!$A$64:$D$112,4,FALSE),0))</f>
        <v>1</v>
      </c>
      <c r="H50" s="74">
        <f t="shared" si="4"/>
        <v>2.7027027027027029E-2</v>
      </c>
      <c r="I50" s="78">
        <f>SUM($G$7:G50)</f>
        <v>35</v>
      </c>
      <c r="J50" s="76">
        <f t="shared" si="5"/>
        <v>0.94594594594594594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80">
        <f t="shared" si="2"/>
        <v>40</v>
      </c>
      <c r="E51" s="80">
        <f t="shared" si="0"/>
        <v>8</v>
      </c>
      <c r="F51" s="72">
        <f t="shared" si="3"/>
        <v>4.05</v>
      </c>
      <c r="G51" s="73">
        <f>IF(D51=D50,"",_xlfn.IFNA(VLOOKUP(D51,'인원 입력 기능 (직탐)'!$A$64:$D$112,4,FALSE),0))</f>
        <v>1</v>
      </c>
      <c r="H51" s="74">
        <f t="shared" si="4"/>
        <v>2.7027027027027029E-2</v>
      </c>
      <c r="I51" s="78">
        <f>SUM($G$7:G51)</f>
        <v>36</v>
      </c>
      <c r="J51" s="76">
        <f t="shared" si="5"/>
        <v>0.97297297297297303</v>
      </c>
      <c r="K51" s="32"/>
      <c r="L51" s="3" t="str">
        <f t="shared" si="1"/>
        <v/>
      </c>
    </row>
    <row r="52" spans="1:12" ht="25" customHeight="1" x14ac:dyDescent="0.45">
      <c r="A52" s="4"/>
      <c r="B52" s="18"/>
      <c r="C52" s="81">
        <v>5</v>
      </c>
      <c r="D52" s="80">
        <f t="shared" si="2"/>
        <v>39</v>
      </c>
      <c r="E52" s="80">
        <f t="shared" si="0"/>
        <v>9</v>
      </c>
      <c r="F52" s="72">
        <f t="shared" si="3"/>
        <v>1.35</v>
      </c>
      <c r="G52" s="73">
        <f>IF(D52=D51,"",_xlfn.IFNA(VLOOKUP(D52,'인원 입력 기능 (직탐)'!$A$64:$D$112,4,FALSE),0))</f>
        <v>1</v>
      </c>
      <c r="H52" s="74">
        <f t="shared" si="4"/>
        <v>2.7027027027027029E-2</v>
      </c>
      <c r="I52" s="78">
        <f>SUM($G$7:G52)</f>
        <v>37</v>
      </c>
      <c r="J52" s="76">
        <f t="shared" si="5"/>
        <v>1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71">
        <f t="shared" si="2"/>
        <v>38</v>
      </c>
      <c r="E53" s="71">
        <f t="shared" si="0"/>
        <v>9</v>
      </c>
      <c r="F53" s="72">
        <f t="shared" si="3"/>
        <v>0</v>
      </c>
      <c r="G53" s="73">
        <f>IF(D53=D52,"",_xlfn.IFNA(VLOOKUP(D53,'인원 입력 기능 (직탐)'!$A$64:$D$112,4,FALSE),0))</f>
        <v>0</v>
      </c>
      <c r="H53" s="74">
        <f t="shared" si="4"/>
        <v>0</v>
      </c>
      <c r="I53" s="78">
        <f>SUM($G$7:G53)</f>
        <v>37</v>
      </c>
      <c r="J53" s="76">
        <f t="shared" si="5"/>
        <v>1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71">
        <f t="shared" si="2"/>
        <v>37</v>
      </c>
      <c r="E54" s="71">
        <f t="shared" si="0"/>
        <v>9</v>
      </c>
      <c r="F54" s="72">
        <f t="shared" si="3"/>
        <v>0</v>
      </c>
      <c r="G54" s="73">
        <f>IF(D54=D53,"",_xlfn.IFNA(VLOOKUP(D54,'인원 입력 기능 (직탐)'!$A$64:$D$112,4,FALSE),0))</f>
        <v>0</v>
      </c>
      <c r="H54" s="74">
        <f t="shared" si="4"/>
        <v>0</v>
      </c>
      <c r="I54" s="78">
        <f>SUM($G$7:G54)</f>
        <v>37</v>
      </c>
      <c r="J54" s="76">
        <f t="shared" si="5"/>
        <v>1</v>
      </c>
      <c r="K54" s="32"/>
      <c r="L54" s="3" t="str">
        <f t="shared" si="1"/>
        <v/>
      </c>
    </row>
    <row r="55" spans="1:12" ht="25" customHeight="1" x14ac:dyDescent="0.45">
      <c r="A55" s="4"/>
      <c r="B55" s="18"/>
      <c r="C55" s="70">
        <v>2</v>
      </c>
      <c r="D55" s="71">
        <f t="shared" si="2"/>
        <v>36</v>
      </c>
      <c r="E55" s="71">
        <f t="shared" si="0"/>
        <v>9</v>
      </c>
      <c r="F55" s="72">
        <f t="shared" si="3"/>
        <v>0</v>
      </c>
      <c r="G55" s="73">
        <f>IF(D55=D54,"",_xlfn.IFNA(VLOOKUP(D55,'인원 입력 기능 (직탐)'!$A$64:$D$112,4,FALSE),0))</f>
        <v>0</v>
      </c>
      <c r="H55" s="74">
        <f t="shared" si="4"/>
        <v>0</v>
      </c>
      <c r="I55" s="78">
        <f>SUM($G$7:G55)</f>
        <v>37</v>
      </c>
      <c r="J55" s="76">
        <f t="shared" si="5"/>
        <v>1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34</v>
      </c>
      <c r="E57" s="84">
        <f t="shared" si="0"/>
        <v>9</v>
      </c>
      <c r="F57" s="85">
        <f>IF(I55=0,ROUND(100*(1-(I54+I57)/2/$J$3),2),ROUND(100*(1-(I55+I57)/2/$J$3),2))</f>
        <v>0</v>
      </c>
      <c r="G57" s="86">
        <f>_xlfn.IFNA(VLOOKUP(D57,'인원 입력 기능 (직탐)'!$A$64:$D$112,4,FALSE),0)</f>
        <v>0</v>
      </c>
      <c r="H57" s="87">
        <f>G57/$J$3</f>
        <v>0</v>
      </c>
      <c r="I57" s="88">
        <f>SUM($G$7:G57)</f>
        <v>37</v>
      </c>
      <c r="J57" s="89">
        <f>I57/$J$3</f>
        <v>1</v>
      </c>
      <c r="K57" s="32"/>
      <c r="L57" s="3"/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5">
    <mergeCell ref="D3:F3"/>
    <mergeCell ref="D4:F4"/>
    <mergeCell ref="D8:J8"/>
    <mergeCell ref="D56:J56"/>
    <mergeCell ref="G5:J5"/>
  </mergeCells>
  <phoneticPr fontId="1" type="noConversion"/>
  <conditionalFormatting sqref="D7:D47 D49:D57">
    <cfRule type="expression" dxfId="5" priority="1">
      <formula>$D7=$D8</formula>
    </cfRule>
  </conditionalFormatting>
  <conditionalFormatting sqref="C7:C47 C49:C57">
    <cfRule type="expression" dxfId="4" priority="3">
      <formula>OR(AND($D7=0,OR($D6=$Q$7:$Q$14)),AND($D8&gt;0,OR($D7=$Q$7:$Q$14)))</formula>
    </cfRule>
  </conditionalFormatting>
  <conditionalFormatting sqref="D7:J7 D8 D57:J57 D56 D9:J47 D49:J55">
    <cfRule type="expression" dxfId="3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613FD-9446-4C6D-928C-45AF4D5667E9}">
  <sheetPr codeName="Sheet29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75</v>
      </c>
      <c r="C1" s="4"/>
      <c r="D1" s="4"/>
      <c r="E1" s="4"/>
      <c r="F1" s="4"/>
      <c r="G1" s="4"/>
      <c r="H1" s="4"/>
      <c r="I1" s="4"/>
      <c r="J1" s="4"/>
      <c r="L1" s="3"/>
    </row>
    <row r="2" spans="1:17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  <c r="L2" s="3"/>
    </row>
    <row r="3" spans="1:17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기능'!D28</f>
        <v>23.26</v>
      </c>
      <c r="I3" s="14" t="s">
        <v>110</v>
      </c>
      <c r="J3" s="36">
        <f>'통계 및 응시자 수 입력 기능'!C28</f>
        <v>512</v>
      </c>
      <c r="K3" s="27"/>
      <c r="L3" s="3"/>
    </row>
    <row r="4" spans="1:17" ht="25" customHeight="1" thickBot="1" x14ac:dyDescent="0.5">
      <c r="A4" s="4"/>
      <c r="B4" s="18"/>
      <c r="C4" s="37" t="s">
        <v>111</v>
      </c>
      <c r="D4" s="113" t="s">
        <v>114</v>
      </c>
      <c r="E4" s="114"/>
      <c r="F4" s="115"/>
      <c r="G4" s="38" t="s">
        <v>113</v>
      </c>
      <c r="H4" s="39" t="str">
        <f>'통계 및 응시자 수 입력 기능'!E28</f>
        <v>12.82</v>
      </c>
      <c r="I4" s="15"/>
      <c r="J4" s="28"/>
      <c r="K4" s="27"/>
      <c r="L4" s="3"/>
    </row>
    <row r="5" spans="1:17" ht="25" customHeight="1" thickBot="1" x14ac:dyDescent="0.5">
      <c r="A5" s="4"/>
      <c r="B5" s="18"/>
      <c r="C5" s="19"/>
      <c r="D5" s="19"/>
      <c r="E5" s="19"/>
      <c r="F5" s="19"/>
      <c r="G5" s="116" t="s">
        <v>183</v>
      </c>
      <c r="H5" s="116"/>
      <c r="I5" s="116"/>
      <c r="J5" s="116"/>
      <c r="K5" s="27"/>
      <c r="L5" s="3"/>
    </row>
    <row r="6" spans="1:17" ht="25" customHeight="1" thickBot="1" x14ac:dyDescent="0.5">
      <c r="A6" s="4"/>
      <c r="B6" s="18"/>
      <c r="C6" s="40" t="s">
        <v>136</v>
      </c>
      <c r="D6" s="43" t="s">
        <v>137</v>
      </c>
      <c r="E6" s="43" t="s">
        <v>104</v>
      </c>
      <c r="F6" s="43" t="s">
        <v>138</v>
      </c>
      <c r="G6" s="43" t="s">
        <v>106</v>
      </c>
      <c r="H6" s="69" t="s">
        <v>107</v>
      </c>
      <c r="I6" s="69" t="s">
        <v>108</v>
      </c>
      <c r="J6" s="44" t="s">
        <v>109</v>
      </c>
      <c r="K6" s="31"/>
      <c r="L6" s="3"/>
      <c r="M6" s="3"/>
    </row>
    <row r="7" spans="1:17" ht="25" customHeight="1" x14ac:dyDescent="0.45">
      <c r="A7" s="4"/>
      <c r="B7" s="18"/>
      <c r="C7" s="70">
        <v>50</v>
      </c>
      <c r="D7" s="71">
        <f>ROUND(10*(C7-$H$3)/$H$4+50,0)</f>
        <v>71</v>
      </c>
      <c r="E7" s="71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2">
        <f>ROUND(100*(1-(0+I7)/2/$J$3),2)</f>
        <v>98.05</v>
      </c>
      <c r="G7" s="73">
        <f>_xlfn.IFNA(VLOOKUP(D7,'인원 입력 기능 (직탐)'!$F$64:$I$112,4,FALSE),0)</f>
        <v>20</v>
      </c>
      <c r="H7" s="74">
        <f>G7/$J$3</f>
        <v>3.90625E-2</v>
      </c>
      <c r="I7" s="75">
        <f>G7</f>
        <v>20</v>
      </c>
      <c r="J7" s="76">
        <f>I7/$J$3</f>
        <v>3.90625E-2</v>
      </c>
      <c r="K7" s="32"/>
      <c r="L7" s="3" t="str">
        <f>IF(ABS((C7-$H$3)/$H$4*10+50-D7)&gt;0.49, "경고", "")</f>
        <v/>
      </c>
      <c r="P7" s="1">
        <v>1</v>
      </c>
      <c r="Q7" s="1">
        <f>'표준점수 등급컷 입력기능'!C220</f>
        <v>69</v>
      </c>
    </row>
    <row r="8" spans="1:17" ht="25" customHeight="1" x14ac:dyDescent="0.45">
      <c r="A8" s="4"/>
      <c r="B8" s="18"/>
      <c r="C8" s="77">
        <v>49</v>
      </c>
      <c r="D8" s="117" t="s">
        <v>61</v>
      </c>
      <c r="E8" s="118"/>
      <c r="F8" s="118"/>
      <c r="G8" s="118"/>
      <c r="H8" s="118"/>
      <c r="I8" s="118"/>
      <c r="J8" s="119"/>
      <c r="K8" s="32"/>
      <c r="L8" s="3"/>
      <c r="P8" s="1">
        <v>2</v>
      </c>
      <c r="Q8" s="1">
        <f>'표준점수 등급컷 입력기능'!C221</f>
        <v>66</v>
      </c>
    </row>
    <row r="9" spans="1:17" ht="25" customHeight="1" x14ac:dyDescent="0.45">
      <c r="A9" s="4"/>
      <c r="B9" s="18"/>
      <c r="C9" s="70">
        <v>48</v>
      </c>
      <c r="D9" s="161">
        <f>ROUND(10*(C9-$H$3)/$H$4+50,0)</f>
        <v>69</v>
      </c>
      <c r="E9" s="161">
        <f t="shared" si="0"/>
        <v>1</v>
      </c>
      <c r="F9" s="163">
        <f>IF(I8=0,ROUND(100*(1-(I7+I9)/2/$J$3),2),ROUND(100*(1-(I8+I9)/2/$J$3),2))</f>
        <v>94.24</v>
      </c>
      <c r="G9" s="165">
        <f>_xlfn.IFNA(VLOOKUP(D9,'인원 입력 기능 (직탐)'!$F$64:$I$112,4,FALSE),0)</f>
        <v>19</v>
      </c>
      <c r="H9" s="166">
        <f>G9/$J$3</f>
        <v>3.7109375E-2</v>
      </c>
      <c r="I9" s="168">
        <f>SUM($G$7:G9)</f>
        <v>39</v>
      </c>
      <c r="J9" s="170">
        <f>I9/$J$3</f>
        <v>7.6171875E-2</v>
      </c>
      <c r="K9" s="32"/>
      <c r="L9" s="3" t="str">
        <f t="shared" ref="L9:L55" si="1">IF(ABS((C9-$H$3)/$H$4*10+50-D9)&gt;0.49, "경고", "")</f>
        <v/>
      </c>
      <c r="P9" s="1">
        <v>3</v>
      </c>
      <c r="Q9" s="1">
        <f>'표준점수 등급컷 입력기능'!C222</f>
        <v>58</v>
      </c>
    </row>
    <row r="10" spans="1:17" ht="25" customHeight="1" x14ac:dyDescent="0.45">
      <c r="A10" s="4"/>
      <c r="B10" s="18"/>
      <c r="C10" s="77">
        <v>47</v>
      </c>
      <c r="D10" s="160"/>
      <c r="E10" s="160"/>
      <c r="F10" s="162"/>
      <c r="G10" s="164"/>
      <c r="H10" s="167"/>
      <c r="I10" s="169"/>
      <c r="J10" s="171"/>
      <c r="K10" s="32"/>
      <c r="L10" s="3" t="str">
        <f t="shared" si="1"/>
        <v>경고</v>
      </c>
      <c r="P10" s="1">
        <v>4</v>
      </c>
      <c r="Q10" s="1">
        <f>'표준점수 등급컷 입력기능'!C223</f>
        <v>51</v>
      </c>
    </row>
    <row r="11" spans="1:17" ht="25" customHeight="1" x14ac:dyDescent="0.45">
      <c r="A11" s="4"/>
      <c r="B11" s="18"/>
      <c r="C11" s="70">
        <v>46</v>
      </c>
      <c r="D11" s="71">
        <f t="shared" ref="D10:D55" si="2">ROUND(10*(C11-$H$3)/$H$4+50,0)</f>
        <v>68</v>
      </c>
      <c r="E11" s="71">
        <f t="shared" si="0"/>
        <v>2</v>
      </c>
      <c r="F11" s="72">
        <f t="shared" ref="F10:F55" si="3">IF(I10=0,ROUND(100*(1-(I9+I11)/2/$J$3),2),ROUND(100*(1-(I10+I11)/2/$J$3),2))</f>
        <v>92.19</v>
      </c>
      <c r="G11" s="73">
        <f>IF(D11=D10,"",_xlfn.IFNA(VLOOKUP(D11,'인원 입력 기능 (직탐)'!$F$64:$I$112,4,FALSE),0))</f>
        <v>2</v>
      </c>
      <c r="H11" s="74">
        <f t="shared" ref="H10:H55" si="4">G11/$J$3</f>
        <v>3.90625E-3</v>
      </c>
      <c r="I11" s="78">
        <f>SUM($G$7:G11)</f>
        <v>41</v>
      </c>
      <c r="J11" s="76">
        <f t="shared" ref="J10:J55" si="5">I11/$J$3</f>
        <v>8.0078125E-2</v>
      </c>
      <c r="K11" s="32"/>
      <c r="L11" s="3" t="str">
        <f t="shared" si="1"/>
        <v/>
      </c>
      <c r="P11" s="1">
        <v>5</v>
      </c>
      <c r="Q11" s="1">
        <f>'표준점수 등급컷 입력기능'!C224</f>
        <v>44</v>
      </c>
    </row>
    <row r="12" spans="1:17" ht="25" customHeight="1" x14ac:dyDescent="0.45">
      <c r="A12" s="4"/>
      <c r="B12" s="18"/>
      <c r="C12" s="77">
        <v>45</v>
      </c>
      <c r="D12" s="71">
        <f t="shared" si="2"/>
        <v>67</v>
      </c>
      <c r="E12" s="71">
        <f t="shared" si="0"/>
        <v>2</v>
      </c>
      <c r="F12" s="72">
        <f t="shared" si="3"/>
        <v>91.02</v>
      </c>
      <c r="G12" s="73">
        <f>IF(D12=D11,"",_xlfn.IFNA(VLOOKUP(D12,'인원 입력 기능 (직탐)'!$F$64:$I$112,4,FALSE),0))</f>
        <v>10</v>
      </c>
      <c r="H12" s="74">
        <f t="shared" si="4"/>
        <v>1.953125E-2</v>
      </c>
      <c r="I12" s="78">
        <f>SUM($G$7:G12)</f>
        <v>51</v>
      </c>
      <c r="J12" s="76">
        <f t="shared" si="5"/>
        <v>9.9609375E-2</v>
      </c>
      <c r="K12" s="32"/>
      <c r="L12" s="3" t="str">
        <f t="shared" si="1"/>
        <v/>
      </c>
      <c r="P12" s="1">
        <v>6</v>
      </c>
      <c r="Q12" s="1">
        <f>'표준점수 등급컷 입력기능'!C225</f>
        <v>42</v>
      </c>
    </row>
    <row r="13" spans="1:17" ht="25" customHeight="1" x14ac:dyDescent="0.45">
      <c r="A13" s="4"/>
      <c r="B13" s="18"/>
      <c r="C13" s="70">
        <v>44</v>
      </c>
      <c r="D13" s="71">
        <f t="shared" si="2"/>
        <v>66</v>
      </c>
      <c r="E13" s="71">
        <f t="shared" si="0"/>
        <v>2</v>
      </c>
      <c r="F13" s="72">
        <f t="shared" si="3"/>
        <v>89.26</v>
      </c>
      <c r="G13" s="73">
        <f>IF(D13=D12,"",_xlfn.IFNA(VLOOKUP(D13,'인원 입력 기능 (직탐)'!$F$64:$I$112,4,FALSE),0))</f>
        <v>8</v>
      </c>
      <c r="H13" s="74">
        <f t="shared" si="4"/>
        <v>1.5625E-2</v>
      </c>
      <c r="I13" s="78">
        <f>SUM($G$7:G13)</f>
        <v>59</v>
      </c>
      <c r="J13" s="76">
        <f t="shared" si="5"/>
        <v>0.115234375</v>
      </c>
      <c r="K13" s="32"/>
      <c r="L13" s="3" t="str">
        <f t="shared" si="1"/>
        <v/>
      </c>
      <c r="P13" s="1">
        <v>7</v>
      </c>
      <c r="Q13" s="1">
        <f>'표준점수 등급컷 입력기능'!C226</f>
        <v>40</v>
      </c>
    </row>
    <row r="14" spans="1:17" ht="25" customHeight="1" x14ac:dyDescent="0.45">
      <c r="A14" s="4"/>
      <c r="B14" s="18"/>
      <c r="C14" s="77">
        <v>43</v>
      </c>
      <c r="D14" s="161">
        <f t="shared" si="2"/>
        <v>65</v>
      </c>
      <c r="E14" s="161">
        <f t="shared" si="0"/>
        <v>3</v>
      </c>
      <c r="F14" s="163">
        <f t="shared" si="3"/>
        <v>87.4</v>
      </c>
      <c r="G14" s="165">
        <f>IF(D14=D13,"",_xlfn.IFNA(VLOOKUP(D14,'인원 입력 기능 (직탐)'!$F$64:$I$112,4,FALSE),0))</f>
        <v>11</v>
      </c>
      <c r="H14" s="166">
        <f t="shared" si="4"/>
        <v>2.1484375E-2</v>
      </c>
      <c r="I14" s="168">
        <f>SUM($G$7:G14)</f>
        <v>70</v>
      </c>
      <c r="J14" s="170">
        <f t="shared" si="5"/>
        <v>0.13671875</v>
      </c>
      <c r="K14" s="32"/>
      <c r="L14" s="3" t="str">
        <f t="shared" si="1"/>
        <v/>
      </c>
      <c r="P14" s="1">
        <v>8</v>
      </c>
      <c r="Q14" s="1">
        <f>'표준점수 등급컷 입력기능'!C227</f>
        <v>37</v>
      </c>
    </row>
    <row r="15" spans="1:17" ht="25" customHeight="1" x14ac:dyDescent="0.45">
      <c r="A15" s="4"/>
      <c r="B15" s="18"/>
      <c r="C15" s="70">
        <v>42</v>
      </c>
      <c r="D15" s="160"/>
      <c r="E15" s="160"/>
      <c r="F15" s="162"/>
      <c r="G15" s="164"/>
      <c r="H15" s="167"/>
      <c r="I15" s="169"/>
      <c r="J15" s="171"/>
      <c r="K15" s="32"/>
      <c r="L15" s="3" t="str">
        <f t="shared" si="1"/>
        <v>경고</v>
      </c>
      <c r="P15" s="1">
        <v>9</v>
      </c>
      <c r="Q15" s="1"/>
    </row>
    <row r="16" spans="1:17" ht="25" customHeight="1" x14ac:dyDescent="0.45">
      <c r="A16" s="4"/>
      <c r="B16" s="18"/>
      <c r="C16" s="77">
        <v>41</v>
      </c>
      <c r="D16" s="71">
        <f t="shared" si="2"/>
        <v>64</v>
      </c>
      <c r="E16" s="71">
        <f t="shared" si="0"/>
        <v>3</v>
      </c>
      <c r="F16" s="72">
        <f t="shared" si="3"/>
        <v>85.94</v>
      </c>
      <c r="G16" s="73">
        <f>IF(D16=D15,"",_xlfn.IFNA(VLOOKUP(D16,'인원 입력 기능 (직탐)'!$F$64:$I$112,4,FALSE),0))</f>
        <v>4</v>
      </c>
      <c r="H16" s="74">
        <f t="shared" si="4"/>
        <v>7.8125E-3</v>
      </c>
      <c r="I16" s="78">
        <f>SUM($G$7:G16)</f>
        <v>74</v>
      </c>
      <c r="J16" s="76">
        <f t="shared" si="5"/>
        <v>0.14453125</v>
      </c>
      <c r="K16" s="32"/>
      <c r="L16" s="3" t="str">
        <f t="shared" si="1"/>
        <v/>
      </c>
    </row>
    <row r="17" spans="1:16" ht="25" customHeight="1" x14ac:dyDescent="0.45">
      <c r="A17" s="4"/>
      <c r="B17" s="18"/>
      <c r="C17" s="70">
        <v>40</v>
      </c>
      <c r="D17" s="71">
        <f t="shared" si="2"/>
        <v>63</v>
      </c>
      <c r="E17" s="71">
        <f t="shared" si="0"/>
        <v>3</v>
      </c>
      <c r="F17" s="72">
        <f t="shared" si="3"/>
        <v>84.47</v>
      </c>
      <c r="G17" s="73">
        <f>IF(D17=D16,"",_xlfn.IFNA(VLOOKUP(D17,'인원 입력 기능 (직탐)'!$F$64:$I$112,4,FALSE),0))</f>
        <v>11</v>
      </c>
      <c r="H17" s="74">
        <f t="shared" si="4"/>
        <v>2.1484375E-2</v>
      </c>
      <c r="I17" s="78">
        <f>SUM($G$7:G17)</f>
        <v>85</v>
      </c>
      <c r="J17" s="76">
        <f t="shared" si="5"/>
        <v>0.166015625</v>
      </c>
      <c r="K17" s="32"/>
      <c r="L17" s="3" t="str">
        <f t="shared" si="1"/>
        <v/>
      </c>
      <c r="P17" s="1">
        <f>Q7*H3*H4*J3*IFERROR(IF(J57=1,1,0),0)</f>
        <v>10534569.3696</v>
      </c>
    </row>
    <row r="18" spans="1:16" ht="25" customHeight="1" x14ac:dyDescent="0.45">
      <c r="A18" s="4"/>
      <c r="B18" s="18"/>
      <c r="C18" s="77">
        <v>39</v>
      </c>
      <c r="D18" s="161">
        <f t="shared" si="2"/>
        <v>62</v>
      </c>
      <c r="E18" s="161">
        <f t="shared" si="0"/>
        <v>3</v>
      </c>
      <c r="F18" s="163">
        <f t="shared" si="3"/>
        <v>82.62</v>
      </c>
      <c r="G18" s="165">
        <f>IF(D18=D17,"",_xlfn.IFNA(VLOOKUP(D18,'인원 입력 기능 (직탐)'!$F$64:$I$112,4,FALSE),0))</f>
        <v>8</v>
      </c>
      <c r="H18" s="166">
        <f t="shared" si="4"/>
        <v>1.5625E-2</v>
      </c>
      <c r="I18" s="168">
        <f>SUM($G$7:G18)</f>
        <v>93</v>
      </c>
      <c r="J18" s="170">
        <f t="shared" si="5"/>
        <v>0.181640625</v>
      </c>
      <c r="K18" s="32"/>
      <c r="L18" s="3" t="str">
        <f t="shared" si="1"/>
        <v/>
      </c>
    </row>
    <row r="19" spans="1:16" ht="25" customHeight="1" x14ac:dyDescent="0.45">
      <c r="A19" s="4"/>
      <c r="B19" s="18"/>
      <c r="C19" s="70">
        <v>38</v>
      </c>
      <c r="D19" s="160"/>
      <c r="E19" s="160"/>
      <c r="F19" s="162"/>
      <c r="G19" s="164"/>
      <c r="H19" s="167"/>
      <c r="I19" s="169"/>
      <c r="J19" s="171"/>
      <c r="K19" s="32"/>
      <c r="L19" s="3" t="str">
        <f t="shared" si="1"/>
        <v>경고</v>
      </c>
    </row>
    <row r="20" spans="1:16" ht="25" customHeight="1" x14ac:dyDescent="0.45">
      <c r="A20" s="4"/>
      <c r="B20" s="18"/>
      <c r="C20" s="77">
        <v>37</v>
      </c>
      <c r="D20" s="71">
        <f t="shared" si="2"/>
        <v>61</v>
      </c>
      <c r="E20" s="71">
        <f t="shared" si="0"/>
        <v>3</v>
      </c>
      <c r="F20" s="72">
        <f t="shared" si="3"/>
        <v>81.45</v>
      </c>
      <c r="G20" s="73">
        <f>IF(D20=D19,"",_xlfn.IFNA(VLOOKUP(D20,'인원 입력 기능 (직탐)'!$F$64:$I$112,4,FALSE),0))</f>
        <v>4</v>
      </c>
      <c r="H20" s="74">
        <f t="shared" si="4"/>
        <v>7.8125E-3</v>
      </c>
      <c r="I20" s="78">
        <f>SUM($G$7:G20)</f>
        <v>97</v>
      </c>
      <c r="J20" s="76">
        <f t="shared" si="5"/>
        <v>0.189453125</v>
      </c>
      <c r="K20" s="32"/>
      <c r="L20" s="3" t="str">
        <f t="shared" si="1"/>
        <v/>
      </c>
    </row>
    <row r="21" spans="1:16" ht="25" customHeight="1" x14ac:dyDescent="0.45">
      <c r="A21" s="4"/>
      <c r="B21" s="18"/>
      <c r="C21" s="79">
        <v>36</v>
      </c>
      <c r="D21" s="80">
        <f t="shared" si="2"/>
        <v>60</v>
      </c>
      <c r="E21" s="80">
        <f t="shared" si="0"/>
        <v>3</v>
      </c>
      <c r="F21" s="72">
        <f t="shared" si="3"/>
        <v>80.180000000000007</v>
      </c>
      <c r="G21" s="73">
        <f>IF(D21=D20,"",_xlfn.IFNA(VLOOKUP(D21,'인원 입력 기능 (직탐)'!$F$64:$I$112,4,FALSE),0))</f>
        <v>9</v>
      </c>
      <c r="H21" s="74">
        <f t="shared" si="4"/>
        <v>1.7578125E-2</v>
      </c>
      <c r="I21" s="78">
        <f>SUM($G$7:G21)</f>
        <v>106</v>
      </c>
      <c r="J21" s="76">
        <f t="shared" si="5"/>
        <v>0.20703125</v>
      </c>
      <c r="K21" s="32"/>
      <c r="L21" s="3" t="str">
        <f t="shared" si="1"/>
        <v/>
      </c>
    </row>
    <row r="22" spans="1:16" ht="25" customHeight="1" x14ac:dyDescent="0.45">
      <c r="A22" s="4"/>
      <c r="B22" s="18"/>
      <c r="C22" s="81">
        <v>35</v>
      </c>
      <c r="D22" s="80">
        <f t="shared" si="2"/>
        <v>59</v>
      </c>
      <c r="E22" s="80">
        <f t="shared" si="0"/>
        <v>3</v>
      </c>
      <c r="F22" s="72">
        <f t="shared" si="3"/>
        <v>79</v>
      </c>
      <c r="G22" s="73">
        <f>IF(D22=D21,"",_xlfn.IFNA(VLOOKUP(D22,'인원 입력 기능 (직탐)'!$F$64:$I$112,4,FALSE),0))</f>
        <v>3</v>
      </c>
      <c r="H22" s="74">
        <f t="shared" si="4"/>
        <v>5.859375E-3</v>
      </c>
      <c r="I22" s="78">
        <f>SUM($G$7:G22)</f>
        <v>109</v>
      </c>
      <c r="J22" s="76">
        <f t="shared" si="5"/>
        <v>0.212890625</v>
      </c>
      <c r="K22" s="32"/>
      <c r="L22" s="3" t="str">
        <f t="shared" si="1"/>
        <v/>
      </c>
    </row>
    <row r="23" spans="1:16" ht="25" customHeight="1" x14ac:dyDescent="0.45">
      <c r="A23" s="4"/>
      <c r="B23" s="18"/>
      <c r="C23" s="79">
        <v>34</v>
      </c>
      <c r="D23" s="173">
        <f t="shared" si="2"/>
        <v>58</v>
      </c>
      <c r="E23" s="173">
        <f t="shared" si="0"/>
        <v>3</v>
      </c>
      <c r="F23" s="163">
        <f t="shared" si="3"/>
        <v>77.25</v>
      </c>
      <c r="G23" s="165">
        <f>IF(D23=D22,"",_xlfn.IFNA(VLOOKUP(D23,'인원 입력 기능 (직탐)'!$F$64:$I$112,4,FALSE),0))</f>
        <v>15</v>
      </c>
      <c r="H23" s="166">
        <f t="shared" si="4"/>
        <v>2.9296875E-2</v>
      </c>
      <c r="I23" s="168">
        <f>SUM($G$7:G23)</f>
        <v>124</v>
      </c>
      <c r="J23" s="170">
        <f t="shared" si="5"/>
        <v>0.2421875</v>
      </c>
      <c r="K23" s="32"/>
      <c r="L23" s="3" t="str">
        <f t="shared" si="1"/>
        <v/>
      </c>
    </row>
    <row r="24" spans="1:16" ht="25" customHeight="1" x14ac:dyDescent="0.45">
      <c r="A24" s="4"/>
      <c r="B24" s="18"/>
      <c r="C24" s="81">
        <v>33</v>
      </c>
      <c r="D24" s="172"/>
      <c r="E24" s="172"/>
      <c r="F24" s="162"/>
      <c r="G24" s="164"/>
      <c r="H24" s="167"/>
      <c r="I24" s="169"/>
      <c r="J24" s="171"/>
      <c r="K24" s="32"/>
      <c r="L24" s="3" t="str">
        <f t="shared" si="1"/>
        <v>경고</v>
      </c>
    </row>
    <row r="25" spans="1:16" ht="25" customHeight="1" x14ac:dyDescent="0.45">
      <c r="A25" s="4"/>
      <c r="B25" s="18"/>
      <c r="C25" s="79">
        <v>32</v>
      </c>
      <c r="D25" s="80">
        <f t="shared" si="2"/>
        <v>57</v>
      </c>
      <c r="E25" s="80">
        <f t="shared" si="0"/>
        <v>4</v>
      </c>
      <c r="F25" s="72">
        <f t="shared" si="3"/>
        <v>75.2</v>
      </c>
      <c r="G25" s="73">
        <f>IF(D25=D24,"",_xlfn.IFNA(VLOOKUP(D25,'인원 입력 기능 (직탐)'!$F$64:$I$112,4,FALSE),0))</f>
        <v>6</v>
      </c>
      <c r="H25" s="74">
        <f t="shared" si="4"/>
        <v>1.171875E-2</v>
      </c>
      <c r="I25" s="78">
        <f>SUM($G$7:G25)</f>
        <v>130</v>
      </c>
      <c r="J25" s="76">
        <f t="shared" si="5"/>
        <v>0.25390625</v>
      </c>
      <c r="K25" s="32"/>
      <c r="L25" s="3" t="str">
        <f t="shared" si="1"/>
        <v/>
      </c>
    </row>
    <row r="26" spans="1:16" ht="25" customHeight="1" x14ac:dyDescent="0.45">
      <c r="A26" s="4"/>
      <c r="B26" s="18"/>
      <c r="C26" s="81">
        <v>31</v>
      </c>
      <c r="D26" s="80">
        <f t="shared" si="2"/>
        <v>56</v>
      </c>
      <c r="E26" s="80">
        <f t="shared" si="0"/>
        <v>4</v>
      </c>
      <c r="F26" s="72">
        <f t="shared" si="3"/>
        <v>73.83</v>
      </c>
      <c r="G26" s="73">
        <f>IF(D26=D25,"",_xlfn.IFNA(VLOOKUP(D26,'인원 입력 기능 (직탐)'!$F$64:$I$112,4,FALSE),0))</f>
        <v>8</v>
      </c>
      <c r="H26" s="74">
        <f t="shared" si="4"/>
        <v>1.5625E-2</v>
      </c>
      <c r="I26" s="78">
        <f>SUM($G$7:G26)</f>
        <v>138</v>
      </c>
      <c r="J26" s="76">
        <f t="shared" si="5"/>
        <v>0.26953125</v>
      </c>
      <c r="K26" s="32"/>
      <c r="L26" s="3" t="str">
        <f t="shared" si="1"/>
        <v/>
      </c>
    </row>
    <row r="27" spans="1:16" ht="25" customHeight="1" x14ac:dyDescent="0.45">
      <c r="A27" s="4"/>
      <c r="B27" s="18"/>
      <c r="C27" s="79">
        <v>30</v>
      </c>
      <c r="D27" s="80">
        <f t="shared" si="2"/>
        <v>55</v>
      </c>
      <c r="E27" s="80">
        <f t="shared" si="0"/>
        <v>4</v>
      </c>
      <c r="F27" s="72">
        <f t="shared" si="3"/>
        <v>71.97</v>
      </c>
      <c r="G27" s="73">
        <f>IF(D27=D26,"",_xlfn.IFNA(VLOOKUP(D27,'인원 입력 기능 (직탐)'!$F$64:$I$112,4,FALSE),0))</f>
        <v>11</v>
      </c>
      <c r="H27" s="74">
        <f t="shared" si="4"/>
        <v>2.1484375E-2</v>
      </c>
      <c r="I27" s="78">
        <f>SUM($G$7:G27)</f>
        <v>149</v>
      </c>
      <c r="J27" s="76">
        <f t="shared" si="5"/>
        <v>0.291015625</v>
      </c>
      <c r="K27" s="32"/>
      <c r="L27" s="3" t="str">
        <f t="shared" si="1"/>
        <v/>
      </c>
    </row>
    <row r="28" spans="1:16" ht="25" customHeight="1" x14ac:dyDescent="0.45">
      <c r="A28" s="4"/>
      <c r="B28" s="18"/>
      <c r="C28" s="81">
        <v>29</v>
      </c>
      <c r="D28" s="173">
        <f t="shared" si="2"/>
        <v>54</v>
      </c>
      <c r="E28" s="173">
        <f t="shared" si="0"/>
        <v>4</v>
      </c>
      <c r="F28" s="163">
        <f t="shared" si="3"/>
        <v>68.849999999999994</v>
      </c>
      <c r="G28" s="165">
        <f>IF(D28=D27,"",_xlfn.IFNA(VLOOKUP(D28,'인원 입력 기능 (직탐)'!$F$64:$I$112,4,FALSE),0))</f>
        <v>21</v>
      </c>
      <c r="H28" s="166">
        <f t="shared" si="4"/>
        <v>4.1015625E-2</v>
      </c>
      <c r="I28" s="168">
        <f>SUM($G$7:G28)</f>
        <v>170</v>
      </c>
      <c r="J28" s="170">
        <f t="shared" si="5"/>
        <v>0.33203125</v>
      </c>
      <c r="K28" s="32"/>
      <c r="L28" s="3" t="str">
        <f t="shared" si="1"/>
        <v/>
      </c>
    </row>
    <row r="29" spans="1:16" ht="25" customHeight="1" x14ac:dyDescent="0.45">
      <c r="A29" s="4"/>
      <c r="B29" s="18"/>
      <c r="C29" s="79">
        <v>28</v>
      </c>
      <c r="D29" s="172"/>
      <c r="E29" s="172"/>
      <c r="F29" s="162"/>
      <c r="G29" s="164"/>
      <c r="H29" s="167"/>
      <c r="I29" s="169"/>
      <c r="J29" s="171"/>
      <c r="K29" s="32"/>
      <c r="L29" s="3" t="str">
        <f t="shared" si="1"/>
        <v>경고</v>
      </c>
    </row>
    <row r="30" spans="1:16" ht="25" customHeight="1" x14ac:dyDescent="0.45">
      <c r="A30" s="4"/>
      <c r="B30" s="18"/>
      <c r="C30" s="81">
        <v>27</v>
      </c>
      <c r="D30" s="80">
        <f t="shared" si="2"/>
        <v>53</v>
      </c>
      <c r="E30" s="80">
        <f t="shared" si="0"/>
        <v>4</v>
      </c>
      <c r="F30" s="72">
        <f t="shared" si="3"/>
        <v>65.819999999999993</v>
      </c>
      <c r="G30" s="73">
        <f>IF(D30=D29,"",_xlfn.IFNA(VLOOKUP(D30,'인원 입력 기능 (직탐)'!$F$64:$I$112,4,FALSE),0))</f>
        <v>10</v>
      </c>
      <c r="H30" s="74">
        <f t="shared" si="4"/>
        <v>1.953125E-2</v>
      </c>
      <c r="I30" s="78">
        <f>SUM($G$7:G30)</f>
        <v>180</v>
      </c>
      <c r="J30" s="76">
        <f t="shared" si="5"/>
        <v>0.3515625</v>
      </c>
      <c r="K30" s="32"/>
      <c r="L30" s="3" t="str">
        <f t="shared" si="1"/>
        <v/>
      </c>
    </row>
    <row r="31" spans="1:16" ht="25" customHeight="1" x14ac:dyDescent="0.45">
      <c r="A31" s="4"/>
      <c r="B31" s="18"/>
      <c r="C31" s="79">
        <v>26</v>
      </c>
      <c r="D31" s="80">
        <f t="shared" si="2"/>
        <v>52</v>
      </c>
      <c r="E31" s="80">
        <f t="shared" si="0"/>
        <v>4</v>
      </c>
      <c r="F31" s="72">
        <f t="shared" si="3"/>
        <v>64.06</v>
      </c>
      <c r="G31" s="73">
        <f>IF(D31=D30,"",_xlfn.IFNA(VLOOKUP(D31,'인원 입력 기능 (직탐)'!$F$64:$I$112,4,FALSE),0))</f>
        <v>8</v>
      </c>
      <c r="H31" s="74">
        <f t="shared" si="4"/>
        <v>1.5625E-2</v>
      </c>
      <c r="I31" s="78">
        <f>SUM($G$7:G31)</f>
        <v>188</v>
      </c>
      <c r="J31" s="76">
        <f t="shared" si="5"/>
        <v>0.3671875</v>
      </c>
      <c r="K31" s="32"/>
      <c r="L31" s="3" t="str">
        <f t="shared" si="1"/>
        <v/>
      </c>
    </row>
    <row r="32" spans="1:16" ht="25" customHeight="1" x14ac:dyDescent="0.45">
      <c r="A32" s="4"/>
      <c r="B32" s="18"/>
      <c r="C32" s="81">
        <v>25</v>
      </c>
      <c r="D32" s="173">
        <f t="shared" si="2"/>
        <v>51</v>
      </c>
      <c r="E32" s="173">
        <f t="shared" si="0"/>
        <v>4</v>
      </c>
      <c r="F32" s="163">
        <f t="shared" si="3"/>
        <v>61.13</v>
      </c>
      <c r="G32" s="165">
        <f>IF(D32=D31,"",_xlfn.IFNA(VLOOKUP(D32,'인원 입력 기능 (직탐)'!$F$64:$I$112,4,FALSE),0))</f>
        <v>22</v>
      </c>
      <c r="H32" s="166">
        <f t="shared" si="4"/>
        <v>4.296875E-2</v>
      </c>
      <c r="I32" s="168">
        <f>SUM($G$7:G32)</f>
        <v>210</v>
      </c>
      <c r="J32" s="170">
        <f t="shared" si="5"/>
        <v>0.41015625</v>
      </c>
      <c r="K32" s="32"/>
      <c r="L32" s="3" t="str">
        <f t="shared" si="1"/>
        <v/>
      </c>
    </row>
    <row r="33" spans="1:12" ht="25" customHeight="1" x14ac:dyDescent="0.45">
      <c r="A33" s="4"/>
      <c r="B33" s="18"/>
      <c r="C33" s="79">
        <v>24</v>
      </c>
      <c r="D33" s="172"/>
      <c r="E33" s="172"/>
      <c r="F33" s="162"/>
      <c r="G33" s="164"/>
      <c r="H33" s="167"/>
      <c r="I33" s="169"/>
      <c r="J33" s="171"/>
      <c r="K33" s="32"/>
      <c r="L33" s="3" t="str">
        <f t="shared" si="1"/>
        <v>경고</v>
      </c>
    </row>
    <row r="34" spans="1:12" ht="25" customHeight="1" x14ac:dyDescent="0.45">
      <c r="A34" s="4"/>
      <c r="B34" s="18"/>
      <c r="C34" s="81">
        <v>23</v>
      </c>
      <c r="D34" s="80">
        <f t="shared" si="2"/>
        <v>50</v>
      </c>
      <c r="E34" s="80">
        <f t="shared" si="0"/>
        <v>5</v>
      </c>
      <c r="F34" s="72">
        <f t="shared" si="3"/>
        <v>57.32</v>
      </c>
      <c r="G34" s="73">
        <f>IF(D34=D33,"",_xlfn.IFNA(VLOOKUP(D34,'인원 입력 기능 (직탐)'!$F$64:$I$112,4,FALSE),0))</f>
        <v>17</v>
      </c>
      <c r="H34" s="74">
        <f t="shared" si="4"/>
        <v>3.3203125E-2</v>
      </c>
      <c r="I34" s="78">
        <f>SUM($G$7:G34)</f>
        <v>227</v>
      </c>
      <c r="J34" s="76">
        <f t="shared" si="5"/>
        <v>0.443359375</v>
      </c>
      <c r="K34" s="32"/>
      <c r="L34" s="3" t="str">
        <f t="shared" si="1"/>
        <v/>
      </c>
    </row>
    <row r="35" spans="1:12" ht="25" customHeight="1" x14ac:dyDescent="0.45">
      <c r="A35" s="4"/>
      <c r="B35" s="18"/>
      <c r="C35" s="79">
        <v>22</v>
      </c>
      <c r="D35" s="80">
        <f t="shared" si="2"/>
        <v>49</v>
      </c>
      <c r="E35" s="80">
        <f t="shared" si="0"/>
        <v>5</v>
      </c>
      <c r="F35" s="72">
        <f t="shared" si="3"/>
        <v>54.59</v>
      </c>
      <c r="G35" s="73">
        <f>IF(D35=D34,"",_xlfn.IFNA(VLOOKUP(D35,'인원 입력 기능 (직탐)'!$F$64:$I$112,4,FALSE),0))</f>
        <v>11</v>
      </c>
      <c r="H35" s="74">
        <f t="shared" si="4"/>
        <v>2.1484375E-2</v>
      </c>
      <c r="I35" s="78">
        <f>SUM($G$7:G35)</f>
        <v>238</v>
      </c>
      <c r="J35" s="76">
        <f t="shared" si="5"/>
        <v>0.46484375</v>
      </c>
      <c r="K35" s="32"/>
      <c r="L35" s="3" t="str">
        <f t="shared" si="1"/>
        <v/>
      </c>
    </row>
    <row r="36" spans="1:12" ht="25" customHeight="1" x14ac:dyDescent="0.45">
      <c r="A36" s="4"/>
      <c r="B36" s="18"/>
      <c r="C36" s="81">
        <v>21</v>
      </c>
      <c r="D36" s="80">
        <f t="shared" si="2"/>
        <v>48</v>
      </c>
      <c r="E36" s="80">
        <f t="shared" si="0"/>
        <v>5</v>
      </c>
      <c r="F36" s="72">
        <f t="shared" si="3"/>
        <v>52.05</v>
      </c>
      <c r="G36" s="73">
        <f>IF(D36=D35,"",_xlfn.IFNA(VLOOKUP(D36,'인원 입력 기능 (직탐)'!$F$64:$I$112,4,FALSE),0))</f>
        <v>15</v>
      </c>
      <c r="H36" s="74">
        <f t="shared" si="4"/>
        <v>2.9296875E-2</v>
      </c>
      <c r="I36" s="78">
        <f>SUM($G$7:G36)</f>
        <v>253</v>
      </c>
      <c r="J36" s="76">
        <f t="shared" si="5"/>
        <v>0.494140625</v>
      </c>
      <c r="K36" s="32"/>
      <c r="L36" s="3" t="str">
        <f t="shared" si="1"/>
        <v/>
      </c>
    </row>
    <row r="37" spans="1:12" ht="25" customHeight="1" x14ac:dyDescent="0.45">
      <c r="A37" s="4"/>
      <c r="B37" s="18"/>
      <c r="C37" s="79">
        <v>20</v>
      </c>
      <c r="D37" s="173">
        <f t="shared" si="2"/>
        <v>47</v>
      </c>
      <c r="E37" s="173">
        <f t="shared" si="0"/>
        <v>5</v>
      </c>
      <c r="F37" s="163">
        <f t="shared" si="3"/>
        <v>47.85</v>
      </c>
      <c r="G37" s="165">
        <f>IF(D37=D36,"",_xlfn.IFNA(VLOOKUP(D37,'인원 입력 기능 (직탐)'!$F$64:$I$112,4,FALSE),0))</f>
        <v>28</v>
      </c>
      <c r="H37" s="166">
        <f t="shared" si="4"/>
        <v>5.46875E-2</v>
      </c>
      <c r="I37" s="168">
        <f>SUM($G$7:G37)</f>
        <v>281</v>
      </c>
      <c r="J37" s="170">
        <f t="shared" si="5"/>
        <v>0.548828125</v>
      </c>
      <c r="K37" s="32"/>
      <c r="L37" s="3" t="str">
        <f t="shared" si="1"/>
        <v/>
      </c>
    </row>
    <row r="38" spans="1:12" ht="25" customHeight="1" x14ac:dyDescent="0.45">
      <c r="A38" s="4"/>
      <c r="B38" s="18"/>
      <c r="C38" s="81">
        <v>19</v>
      </c>
      <c r="D38" s="172"/>
      <c r="E38" s="172"/>
      <c r="F38" s="162"/>
      <c r="G38" s="164"/>
      <c r="H38" s="167"/>
      <c r="I38" s="169"/>
      <c r="J38" s="171"/>
      <c r="K38" s="32"/>
      <c r="L38" s="3" t="str">
        <f t="shared" si="1"/>
        <v>경고</v>
      </c>
    </row>
    <row r="39" spans="1:12" ht="25" customHeight="1" x14ac:dyDescent="0.45">
      <c r="A39" s="4"/>
      <c r="B39" s="18"/>
      <c r="C39" s="79">
        <v>18</v>
      </c>
      <c r="D39" s="80">
        <f t="shared" si="2"/>
        <v>46</v>
      </c>
      <c r="E39" s="80">
        <f t="shared" si="0"/>
        <v>5</v>
      </c>
      <c r="F39" s="72">
        <f t="shared" si="3"/>
        <v>43.85</v>
      </c>
      <c r="G39" s="73">
        <f>IF(D39=D38,"",_xlfn.IFNA(VLOOKUP(D39,'인원 입력 기능 (직탐)'!$F$64:$I$112,4,FALSE),0))</f>
        <v>13</v>
      </c>
      <c r="H39" s="74">
        <f t="shared" si="4"/>
        <v>2.5390625E-2</v>
      </c>
      <c r="I39" s="78">
        <f>SUM($G$7:G39)</f>
        <v>294</v>
      </c>
      <c r="J39" s="76">
        <f t="shared" si="5"/>
        <v>0.57421875</v>
      </c>
      <c r="K39" s="32"/>
      <c r="L39" s="3" t="str">
        <f t="shared" si="1"/>
        <v/>
      </c>
    </row>
    <row r="40" spans="1:12" ht="25" customHeight="1" x14ac:dyDescent="0.45">
      <c r="A40" s="4"/>
      <c r="B40" s="18"/>
      <c r="C40" s="81">
        <v>17</v>
      </c>
      <c r="D40" s="80">
        <f t="shared" si="2"/>
        <v>45</v>
      </c>
      <c r="E40" s="80">
        <f t="shared" si="0"/>
        <v>5</v>
      </c>
      <c r="F40" s="72">
        <f t="shared" si="3"/>
        <v>41.8</v>
      </c>
      <c r="G40" s="73">
        <f>IF(D40=D39,"",_xlfn.IFNA(VLOOKUP(D40,'인원 입력 기능 (직탐)'!$F$64:$I$112,4,FALSE),0))</f>
        <v>8</v>
      </c>
      <c r="H40" s="74">
        <f t="shared" si="4"/>
        <v>1.5625E-2</v>
      </c>
      <c r="I40" s="78">
        <f>SUM($G$7:G40)</f>
        <v>302</v>
      </c>
      <c r="J40" s="76">
        <f t="shared" si="5"/>
        <v>0.58984375</v>
      </c>
      <c r="K40" s="32"/>
      <c r="L40" s="3" t="str">
        <f t="shared" si="1"/>
        <v/>
      </c>
    </row>
    <row r="41" spans="1:12" ht="25" customHeight="1" x14ac:dyDescent="0.45">
      <c r="A41" s="4"/>
      <c r="B41" s="18"/>
      <c r="C41" s="79">
        <v>16</v>
      </c>
      <c r="D41" s="173">
        <f t="shared" si="2"/>
        <v>44</v>
      </c>
      <c r="E41" s="173">
        <f t="shared" si="0"/>
        <v>5</v>
      </c>
      <c r="F41" s="163">
        <f t="shared" si="3"/>
        <v>37.99</v>
      </c>
      <c r="G41" s="165">
        <f>IF(D41=D40,"",_xlfn.IFNA(VLOOKUP(D41,'인원 입력 기능 (직탐)'!$F$64:$I$112,4,FALSE),0))</f>
        <v>31</v>
      </c>
      <c r="H41" s="166">
        <f t="shared" si="4"/>
        <v>6.0546875E-2</v>
      </c>
      <c r="I41" s="168">
        <f>SUM($G$7:G41)</f>
        <v>333</v>
      </c>
      <c r="J41" s="170">
        <f t="shared" si="5"/>
        <v>0.650390625</v>
      </c>
      <c r="K41" s="32"/>
      <c r="L41" s="3" t="str">
        <f t="shared" si="1"/>
        <v/>
      </c>
    </row>
    <row r="42" spans="1:12" ht="25" customHeight="1" x14ac:dyDescent="0.45">
      <c r="A42" s="4"/>
      <c r="B42" s="18"/>
      <c r="C42" s="81">
        <v>15</v>
      </c>
      <c r="D42" s="172"/>
      <c r="E42" s="172"/>
      <c r="F42" s="162"/>
      <c r="G42" s="164"/>
      <c r="H42" s="167"/>
      <c r="I42" s="169"/>
      <c r="J42" s="171"/>
      <c r="K42" s="32"/>
      <c r="L42" s="3" t="str">
        <f t="shared" si="1"/>
        <v>경고</v>
      </c>
    </row>
    <row r="43" spans="1:12" ht="25" customHeight="1" x14ac:dyDescent="0.45">
      <c r="A43" s="4"/>
      <c r="B43" s="18"/>
      <c r="C43" s="79">
        <v>14</v>
      </c>
      <c r="D43" s="80">
        <f t="shared" si="2"/>
        <v>43</v>
      </c>
      <c r="E43" s="80">
        <f t="shared" si="0"/>
        <v>6</v>
      </c>
      <c r="F43" s="72">
        <f t="shared" si="3"/>
        <v>32.32</v>
      </c>
      <c r="G43" s="73">
        <f>IF(D43=D42,"",_xlfn.IFNA(VLOOKUP(D43,'인원 입력 기능 (직탐)'!$F$64:$I$112,4,FALSE),0))</f>
        <v>27</v>
      </c>
      <c r="H43" s="74">
        <f t="shared" si="4"/>
        <v>5.2734375E-2</v>
      </c>
      <c r="I43" s="78">
        <f>SUM($G$7:G43)</f>
        <v>360</v>
      </c>
      <c r="J43" s="76">
        <f t="shared" si="5"/>
        <v>0.703125</v>
      </c>
      <c r="K43" s="32"/>
      <c r="L43" s="3" t="str">
        <f t="shared" si="1"/>
        <v/>
      </c>
    </row>
    <row r="44" spans="1:12" ht="25" customHeight="1" x14ac:dyDescent="0.45">
      <c r="A44" s="4"/>
      <c r="B44" s="18"/>
      <c r="C44" s="81">
        <v>13</v>
      </c>
      <c r="D44" s="80">
        <f t="shared" si="2"/>
        <v>42</v>
      </c>
      <c r="E44" s="80">
        <f t="shared" si="0"/>
        <v>6</v>
      </c>
      <c r="F44" s="72">
        <f t="shared" si="3"/>
        <v>23.93</v>
      </c>
      <c r="G44" s="73">
        <f>IF(D44=D43,"",_xlfn.IFNA(VLOOKUP(D44,'인원 입력 기능 (직탐)'!$F$64:$I$112,4,FALSE),0))</f>
        <v>59</v>
      </c>
      <c r="H44" s="74">
        <f t="shared" si="4"/>
        <v>0.115234375</v>
      </c>
      <c r="I44" s="78">
        <f>SUM($G$7:G44)</f>
        <v>419</v>
      </c>
      <c r="J44" s="76">
        <f t="shared" si="5"/>
        <v>0.818359375</v>
      </c>
      <c r="K44" s="32"/>
      <c r="L44" s="3" t="str">
        <f t="shared" si="1"/>
        <v/>
      </c>
    </row>
    <row r="45" spans="1:12" ht="25" customHeight="1" x14ac:dyDescent="0.45">
      <c r="A45" s="4"/>
      <c r="B45" s="18"/>
      <c r="C45" s="79">
        <v>12</v>
      </c>
      <c r="D45" s="80">
        <f t="shared" si="2"/>
        <v>41</v>
      </c>
      <c r="E45" s="80">
        <f t="shared" si="0"/>
        <v>7</v>
      </c>
      <c r="F45" s="72">
        <f t="shared" si="3"/>
        <v>17.09</v>
      </c>
      <c r="G45" s="73">
        <f>IF(D45=D44,"",_xlfn.IFNA(VLOOKUP(D45,'인원 입력 기능 (직탐)'!$F$64:$I$112,4,FALSE),0))</f>
        <v>11</v>
      </c>
      <c r="H45" s="74">
        <f t="shared" si="4"/>
        <v>2.1484375E-2</v>
      </c>
      <c r="I45" s="78">
        <f>SUM($G$7:G45)</f>
        <v>430</v>
      </c>
      <c r="J45" s="76">
        <f t="shared" si="5"/>
        <v>0.83984375</v>
      </c>
      <c r="K45" s="32"/>
      <c r="L45" s="3" t="str">
        <f t="shared" si="1"/>
        <v/>
      </c>
    </row>
    <row r="46" spans="1:12" ht="25" customHeight="1" x14ac:dyDescent="0.45">
      <c r="A46" s="4"/>
      <c r="B46" s="18"/>
      <c r="C46" s="81">
        <v>11</v>
      </c>
      <c r="D46" s="173">
        <f t="shared" si="2"/>
        <v>40</v>
      </c>
      <c r="E46" s="173">
        <f t="shared" si="0"/>
        <v>7</v>
      </c>
      <c r="F46" s="163">
        <f t="shared" si="3"/>
        <v>12.79</v>
      </c>
      <c r="G46" s="165">
        <f>IF(D46=D45,"",_xlfn.IFNA(VLOOKUP(D46,'인원 입력 기능 (직탐)'!$F$64:$I$112,4,FALSE),0))</f>
        <v>33</v>
      </c>
      <c r="H46" s="166">
        <f t="shared" si="4"/>
        <v>6.4453125E-2</v>
      </c>
      <c r="I46" s="168">
        <f>SUM($G$7:G46)</f>
        <v>463</v>
      </c>
      <c r="J46" s="170">
        <f t="shared" si="5"/>
        <v>0.904296875</v>
      </c>
      <c r="K46" s="32"/>
      <c r="L46" s="3" t="str">
        <f t="shared" si="1"/>
        <v/>
      </c>
    </row>
    <row r="47" spans="1:12" ht="25" customHeight="1" x14ac:dyDescent="0.45">
      <c r="A47" s="4"/>
      <c r="B47" s="18"/>
      <c r="C47" s="79">
        <v>10</v>
      </c>
      <c r="D47" s="172"/>
      <c r="E47" s="172"/>
      <c r="F47" s="162"/>
      <c r="G47" s="164"/>
      <c r="H47" s="167"/>
      <c r="I47" s="169"/>
      <c r="J47" s="171"/>
      <c r="K47" s="32"/>
      <c r="L47" s="3" t="str">
        <f t="shared" si="1"/>
        <v>경고</v>
      </c>
    </row>
    <row r="48" spans="1:12" ht="25" customHeight="1" x14ac:dyDescent="0.45">
      <c r="A48" s="4"/>
      <c r="B48" s="18"/>
      <c r="C48" s="81">
        <v>9</v>
      </c>
      <c r="D48" s="80">
        <f t="shared" si="2"/>
        <v>39</v>
      </c>
      <c r="E48" s="80">
        <f t="shared" si="0"/>
        <v>8</v>
      </c>
      <c r="F48" s="72">
        <f t="shared" si="3"/>
        <v>8.89</v>
      </c>
      <c r="G48" s="73">
        <f>IF(D48=D47,"",_xlfn.IFNA(VLOOKUP(D48,'인원 입력 기능 (직탐)'!$F$64:$I$112,4,FALSE),0))</f>
        <v>7</v>
      </c>
      <c r="H48" s="74">
        <f t="shared" si="4"/>
        <v>1.3671875E-2</v>
      </c>
      <c r="I48" s="78">
        <f>SUM($G$7:G48)</f>
        <v>470</v>
      </c>
      <c r="J48" s="76">
        <f t="shared" si="5"/>
        <v>0.91796875</v>
      </c>
      <c r="K48" s="32"/>
      <c r="L48" s="3" t="str">
        <f t="shared" si="1"/>
        <v/>
      </c>
    </row>
    <row r="49" spans="1:12" ht="25" customHeight="1" x14ac:dyDescent="0.45">
      <c r="A49" s="4"/>
      <c r="B49" s="18"/>
      <c r="C49" s="79">
        <v>8</v>
      </c>
      <c r="D49" s="80">
        <f t="shared" si="2"/>
        <v>38</v>
      </c>
      <c r="E49" s="80">
        <f t="shared" si="0"/>
        <v>8</v>
      </c>
      <c r="F49" s="72">
        <f t="shared" si="3"/>
        <v>7.42</v>
      </c>
      <c r="G49" s="73">
        <f>IF(D49=D48,"",_xlfn.IFNA(VLOOKUP(D49,'인원 입력 기능 (직탐)'!$F$64:$I$112,4,FALSE),0))</f>
        <v>8</v>
      </c>
      <c r="H49" s="74">
        <f t="shared" si="4"/>
        <v>1.5625E-2</v>
      </c>
      <c r="I49" s="78">
        <f>SUM($G$7:G49)</f>
        <v>478</v>
      </c>
      <c r="J49" s="76">
        <f t="shared" si="5"/>
        <v>0.93359375</v>
      </c>
      <c r="K49" s="32"/>
      <c r="L49" s="3" t="str">
        <f t="shared" si="1"/>
        <v/>
      </c>
    </row>
    <row r="50" spans="1:12" ht="25" customHeight="1" x14ac:dyDescent="0.45">
      <c r="A50" s="4"/>
      <c r="B50" s="18"/>
      <c r="C50" s="81">
        <v>7</v>
      </c>
      <c r="D50" s="173">
        <f t="shared" si="2"/>
        <v>37</v>
      </c>
      <c r="E50" s="173">
        <f t="shared" si="0"/>
        <v>8</v>
      </c>
      <c r="F50" s="163">
        <f t="shared" si="3"/>
        <v>4.88</v>
      </c>
      <c r="G50" s="165">
        <f>IF(D50=D49,"",_xlfn.IFNA(VLOOKUP(D50,'인원 입력 기능 (직탐)'!$F$64:$I$112,4,FALSE),0))</f>
        <v>18</v>
      </c>
      <c r="H50" s="166">
        <f t="shared" si="4"/>
        <v>3.515625E-2</v>
      </c>
      <c r="I50" s="168">
        <f>SUM($G$7:G50)</f>
        <v>496</v>
      </c>
      <c r="J50" s="170">
        <f t="shared" si="5"/>
        <v>0.96875</v>
      </c>
      <c r="K50" s="32"/>
      <c r="L50" s="3" t="str">
        <f t="shared" si="1"/>
        <v/>
      </c>
    </row>
    <row r="51" spans="1:12" ht="25" customHeight="1" x14ac:dyDescent="0.45">
      <c r="A51" s="4"/>
      <c r="B51" s="18"/>
      <c r="C51" s="79">
        <v>6</v>
      </c>
      <c r="D51" s="172"/>
      <c r="E51" s="172"/>
      <c r="F51" s="162"/>
      <c r="G51" s="164"/>
      <c r="H51" s="167"/>
      <c r="I51" s="169"/>
      <c r="J51" s="171"/>
      <c r="K51" s="32"/>
      <c r="L51" s="3" t="str">
        <f t="shared" si="1"/>
        <v>경고</v>
      </c>
    </row>
    <row r="52" spans="1:12" ht="25" customHeight="1" x14ac:dyDescent="0.45">
      <c r="A52" s="4"/>
      <c r="B52" s="18"/>
      <c r="C52" s="81">
        <v>5</v>
      </c>
      <c r="D52" s="80">
        <f t="shared" si="2"/>
        <v>36</v>
      </c>
      <c r="E52" s="80">
        <f t="shared" si="0"/>
        <v>9</v>
      </c>
      <c r="F52" s="72">
        <f t="shared" si="3"/>
        <v>2.54</v>
      </c>
      <c r="G52" s="73">
        <f>IF(D52=D51,"",_xlfn.IFNA(VLOOKUP(D52,'인원 입력 기능 (직탐)'!$F$64:$I$112,4,FALSE),0))</f>
        <v>6</v>
      </c>
      <c r="H52" s="74">
        <f t="shared" si="4"/>
        <v>1.171875E-2</v>
      </c>
      <c r="I52" s="78">
        <f>SUM($G$7:G52)</f>
        <v>502</v>
      </c>
      <c r="J52" s="76">
        <f t="shared" si="5"/>
        <v>0.98046875</v>
      </c>
      <c r="K52" s="32"/>
      <c r="L52" s="3" t="str">
        <f t="shared" si="1"/>
        <v/>
      </c>
    </row>
    <row r="53" spans="1:12" ht="25" customHeight="1" x14ac:dyDescent="0.45">
      <c r="A53" s="4"/>
      <c r="B53" s="18"/>
      <c r="C53" s="70">
        <v>4</v>
      </c>
      <c r="D53" s="71">
        <f t="shared" si="2"/>
        <v>35</v>
      </c>
      <c r="E53" s="71">
        <f t="shared" si="0"/>
        <v>9</v>
      </c>
      <c r="F53" s="72">
        <f t="shared" si="3"/>
        <v>1.46</v>
      </c>
      <c r="G53" s="73">
        <f>IF(D53=D52,"",_xlfn.IFNA(VLOOKUP(D53,'인원 입력 기능 (직탐)'!$F$64:$I$112,4,FALSE),0))</f>
        <v>5</v>
      </c>
      <c r="H53" s="74">
        <f t="shared" si="4"/>
        <v>9.765625E-3</v>
      </c>
      <c r="I53" s="78">
        <f>SUM($G$7:G53)</f>
        <v>507</v>
      </c>
      <c r="J53" s="76">
        <f t="shared" si="5"/>
        <v>0.990234375</v>
      </c>
      <c r="K53" s="32"/>
      <c r="L53" s="3" t="str">
        <f t="shared" si="1"/>
        <v/>
      </c>
    </row>
    <row r="54" spans="1:12" ht="25" customHeight="1" x14ac:dyDescent="0.45">
      <c r="A54" s="4"/>
      <c r="B54" s="18"/>
      <c r="C54" s="77">
        <v>3</v>
      </c>
      <c r="D54" s="71">
        <f t="shared" si="2"/>
        <v>34</v>
      </c>
      <c r="E54" s="71">
        <f t="shared" si="0"/>
        <v>9</v>
      </c>
      <c r="F54" s="72">
        <f t="shared" si="3"/>
        <v>0.68</v>
      </c>
      <c r="G54" s="73">
        <f>IF(D54=D53,"",_xlfn.IFNA(VLOOKUP(D54,'인원 입력 기능 (직탐)'!$F$64:$I$112,4,FALSE),0))</f>
        <v>3</v>
      </c>
      <c r="H54" s="74">
        <f t="shared" si="4"/>
        <v>5.859375E-3</v>
      </c>
      <c r="I54" s="78">
        <f>SUM($G$7:G54)</f>
        <v>510</v>
      </c>
      <c r="J54" s="76">
        <f t="shared" si="5"/>
        <v>0.99609375</v>
      </c>
      <c r="K54" s="32"/>
      <c r="L54" s="3" t="str">
        <f t="shared" si="1"/>
        <v/>
      </c>
    </row>
    <row r="55" spans="1:12" ht="25" customHeight="1" x14ac:dyDescent="0.45">
      <c r="A55" s="4"/>
      <c r="B55" s="18"/>
      <c r="C55" s="70">
        <v>2</v>
      </c>
      <c r="D55" s="71">
        <f t="shared" si="2"/>
        <v>33</v>
      </c>
      <c r="E55" s="71">
        <f t="shared" si="0"/>
        <v>9</v>
      </c>
      <c r="F55" s="72">
        <f t="shared" si="3"/>
        <v>0.28999999999999998</v>
      </c>
      <c r="G55" s="73">
        <f>IF(D55=D54,"",_xlfn.IFNA(VLOOKUP(D55,'인원 입력 기능 (직탐)'!$F$64:$I$112,4,FALSE),0))</f>
        <v>1</v>
      </c>
      <c r="H55" s="74">
        <f t="shared" si="4"/>
        <v>1.953125E-3</v>
      </c>
      <c r="I55" s="78">
        <f>SUM($G$7:G55)</f>
        <v>511</v>
      </c>
      <c r="J55" s="76">
        <f t="shared" si="5"/>
        <v>0.998046875</v>
      </c>
      <c r="K55" s="32"/>
      <c r="L55" s="3" t="str">
        <f t="shared" si="1"/>
        <v/>
      </c>
    </row>
    <row r="56" spans="1:12" ht="25" customHeight="1" x14ac:dyDescent="0.45">
      <c r="A56" s="4"/>
      <c r="B56" s="18"/>
      <c r="C56" s="77">
        <v>1</v>
      </c>
      <c r="D56" s="117" t="s">
        <v>61</v>
      </c>
      <c r="E56" s="118"/>
      <c r="F56" s="118"/>
      <c r="G56" s="118"/>
      <c r="H56" s="118"/>
      <c r="I56" s="118"/>
      <c r="J56" s="119"/>
      <c r="K56" s="32"/>
      <c r="L56" s="3"/>
    </row>
    <row r="57" spans="1:12" ht="25" customHeight="1" thickBot="1" x14ac:dyDescent="0.5">
      <c r="A57" s="4"/>
      <c r="B57" s="18"/>
      <c r="C57" s="82">
        <v>0</v>
      </c>
      <c r="D57" s="83">
        <f>ROUND(10*(C57-$H$3)/$H$4+50,0)</f>
        <v>32</v>
      </c>
      <c r="E57" s="84">
        <f t="shared" si="0"/>
        <v>9</v>
      </c>
      <c r="F57" s="85">
        <f>IF(I55=0,ROUND(100*(1-(I54+I57)/2/$J$3),2),ROUND(100*(1-(I55+I57)/2/$J$3),2))</f>
        <v>0.1</v>
      </c>
      <c r="G57" s="86">
        <f>_xlfn.IFNA(VLOOKUP(D57,'인원 입력 기능 (직탐)'!$F$64:$I$112,4,FALSE),0)</f>
        <v>1</v>
      </c>
      <c r="H57" s="87">
        <f>G57/$J$3</f>
        <v>1.953125E-3</v>
      </c>
      <c r="I57" s="88">
        <f>SUM($G$7:G57)</f>
        <v>512</v>
      </c>
      <c r="J57" s="89">
        <f>I57/$J$3</f>
        <v>1</v>
      </c>
      <c r="K57" s="32"/>
      <c r="L57" s="3"/>
    </row>
    <row r="58" spans="1:12" ht="6" customHeight="1" x14ac:dyDescent="0.45">
      <c r="A58" s="4"/>
      <c r="B58" s="21"/>
      <c r="C58" s="22"/>
      <c r="D58" s="22"/>
      <c r="E58" s="22"/>
      <c r="F58" s="22"/>
      <c r="G58" s="22"/>
      <c r="H58" s="22"/>
      <c r="I58" s="22"/>
      <c r="J58" s="22"/>
      <c r="K58" s="33"/>
      <c r="L58" s="3"/>
    </row>
    <row r="59" spans="1:12" x14ac:dyDescent="0.45">
      <c r="K59" s="3"/>
    </row>
    <row r="60" spans="1:12" x14ac:dyDescent="0.45">
      <c r="K60" s="3"/>
    </row>
    <row r="61" spans="1:12" x14ac:dyDescent="0.45">
      <c r="K61" s="3"/>
    </row>
    <row r="62" spans="1:12" x14ac:dyDescent="0.45">
      <c r="K62" s="3"/>
    </row>
    <row r="63" spans="1:12" x14ac:dyDescent="0.45">
      <c r="K63" s="3"/>
    </row>
    <row r="64" spans="1:12" x14ac:dyDescent="0.45">
      <c r="K64" s="3"/>
    </row>
    <row r="65" spans="11:11" x14ac:dyDescent="0.45">
      <c r="K65" s="3"/>
    </row>
    <row r="66" spans="11:11" x14ac:dyDescent="0.45">
      <c r="K66" s="3"/>
    </row>
    <row r="67" spans="11:11" x14ac:dyDescent="0.45">
      <c r="K67" s="3"/>
    </row>
    <row r="68" spans="11:11" x14ac:dyDescent="0.45">
      <c r="K68" s="3"/>
    </row>
    <row r="69" spans="11:11" x14ac:dyDescent="0.45">
      <c r="K69" s="3"/>
    </row>
    <row r="70" spans="11:11" x14ac:dyDescent="0.45">
      <c r="K70" s="3"/>
    </row>
    <row r="71" spans="11:11" x14ac:dyDescent="0.45">
      <c r="K71" s="3"/>
    </row>
    <row r="72" spans="11:11" x14ac:dyDescent="0.45">
      <c r="K72" s="3"/>
    </row>
    <row r="73" spans="11:11" x14ac:dyDescent="0.45">
      <c r="K73" s="3"/>
    </row>
    <row r="74" spans="11:11" x14ac:dyDescent="0.45">
      <c r="K74" s="3"/>
    </row>
    <row r="75" spans="11:11" x14ac:dyDescent="0.45">
      <c r="K75" s="3"/>
    </row>
    <row r="76" spans="11:11" x14ac:dyDescent="0.45">
      <c r="K76" s="3"/>
    </row>
    <row r="77" spans="11:11" x14ac:dyDescent="0.45">
      <c r="K77" s="3"/>
    </row>
    <row r="78" spans="11:11" x14ac:dyDescent="0.45">
      <c r="K78" s="3"/>
    </row>
    <row r="79" spans="11:11" x14ac:dyDescent="0.45">
      <c r="K79" s="3"/>
    </row>
    <row r="80" spans="11:11" x14ac:dyDescent="0.45">
      <c r="K80" s="3"/>
    </row>
    <row r="81" spans="11:11" x14ac:dyDescent="0.45">
      <c r="K81" s="3"/>
    </row>
    <row r="82" spans="11:11" x14ac:dyDescent="0.45">
      <c r="K82" s="3"/>
    </row>
    <row r="83" spans="11:11" x14ac:dyDescent="0.45">
      <c r="K83" s="3"/>
    </row>
    <row r="84" spans="11:11" x14ac:dyDescent="0.45">
      <c r="K84" s="3"/>
    </row>
    <row r="85" spans="11:11" x14ac:dyDescent="0.45">
      <c r="K85" s="3"/>
    </row>
    <row r="86" spans="11:11" x14ac:dyDescent="0.45">
      <c r="K86" s="3"/>
    </row>
    <row r="87" spans="11:11" x14ac:dyDescent="0.45">
      <c r="K87" s="3"/>
    </row>
    <row r="88" spans="11:11" x14ac:dyDescent="0.45">
      <c r="K88" s="3"/>
    </row>
    <row r="89" spans="11:11" x14ac:dyDescent="0.45">
      <c r="K89" s="3"/>
    </row>
    <row r="90" spans="11:11" x14ac:dyDescent="0.45">
      <c r="K90" s="3"/>
    </row>
    <row r="91" spans="11:11" x14ac:dyDescent="0.45">
      <c r="K91" s="3"/>
    </row>
    <row r="92" spans="11:11" x14ac:dyDescent="0.45">
      <c r="K92" s="3"/>
    </row>
    <row r="93" spans="11:11" x14ac:dyDescent="0.45">
      <c r="K93" s="3"/>
    </row>
    <row r="94" spans="11:11" x14ac:dyDescent="0.45">
      <c r="K94" s="3"/>
    </row>
    <row r="95" spans="11:11" x14ac:dyDescent="0.45">
      <c r="K95" s="3"/>
    </row>
    <row r="96" spans="11:11" x14ac:dyDescent="0.45">
      <c r="K96" s="3"/>
    </row>
    <row r="97" spans="11:11" x14ac:dyDescent="0.45">
      <c r="K97" s="3"/>
    </row>
    <row r="98" spans="11:11" x14ac:dyDescent="0.45">
      <c r="K98" s="3"/>
    </row>
    <row r="99" spans="11:11" x14ac:dyDescent="0.45">
      <c r="K99" s="3"/>
    </row>
    <row r="100" spans="11:11" x14ac:dyDescent="0.45">
      <c r="K100" s="3"/>
    </row>
    <row r="101" spans="11:11" x14ac:dyDescent="0.45">
      <c r="K101" s="3"/>
    </row>
    <row r="102" spans="11:11" x14ac:dyDescent="0.45">
      <c r="K102" s="3"/>
    </row>
    <row r="103" spans="11:11" x14ac:dyDescent="0.45">
      <c r="K103" s="3"/>
    </row>
    <row r="104" spans="11:11" x14ac:dyDescent="0.45">
      <c r="K104" s="3"/>
    </row>
    <row r="105" spans="11:11" x14ac:dyDescent="0.45">
      <c r="K105" s="3"/>
    </row>
  </sheetData>
  <mergeCells count="75">
    <mergeCell ref="I50:I51"/>
    <mergeCell ref="J50:J51"/>
    <mergeCell ref="D50:D51"/>
    <mergeCell ref="E50:E51"/>
    <mergeCell ref="F50:F51"/>
    <mergeCell ref="G50:G51"/>
    <mergeCell ref="H50:H51"/>
    <mergeCell ref="I41:I42"/>
    <mergeCell ref="J41:J42"/>
    <mergeCell ref="D46:D47"/>
    <mergeCell ref="E46:E47"/>
    <mergeCell ref="F46:F47"/>
    <mergeCell ref="G46:G47"/>
    <mergeCell ref="H46:H47"/>
    <mergeCell ref="I46:I47"/>
    <mergeCell ref="J46:J47"/>
    <mergeCell ref="D41:D42"/>
    <mergeCell ref="E41:E42"/>
    <mergeCell ref="F41:F42"/>
    <mergeCell ref="G41:G42"/>
    <mergeCell ref="H41:H42"/>
    <mergeCell ref="I32:I33"/>
    <mergeCell ref="J32:J33"/>
    <mergeCell ref="D37:D38"/>
    <mergeCell ref="E37:E38"/>
    <mergeCell ref="F37:F38"/>
    <mergeCell ref="G37:G38"/>
    <mergeCell ref="H37:H38"/>
    <mergeCell ref="I37:I38"/>
    <mergeCell ref="J37:J38"/>
    <mergeCell ref="D32:D33"/>
    <mergeCell ref="E32:E33"/>
    <mergeCell ref="F32:F33"/>
    <mergeCell ref="G32:G33"/>
    <mergeCell ref="H32:H33"/>
    <mergeCell ref="I23:I24"/>
    <mergeCell ref="J23:J24"/>
    <mergeCell ref="D28:D29"/>
    <mergeCell ref="E28:E29"/>
    <mergeCell ref="F28:F29"/>
    <mergeCell ref="G28:G29"/>
    <mergeCell ref="H28:H29"/>
    <mergeCell ref="I28:I29"/>
    <mergeCell ref="J28:J29"/>
    <mergeCell ref="D23:D24"/>
    <mergeCell ref="E23:E24"/>
    <mergeCell ref="F23:F24"/>
    <mergeCell ref="G23:G24"/>
    <mergeCell ref="H23:H24"/>
    <mergeCell ref="H14:H15"/>
    <mergeCell ref="I14:I15"/>
    <mergeCell ref="J14:J15"/>
    <mergeCell ref="D18:D19"/>
    <mergeCell ref="E18:E19"/>
    <mergeCell ref="F18:F19"/>
    <mergeCell ref="G18:G19"/>
    <mergeCell ref="H18:H19"/>
    <mergeCell ref="I18:I19"/>
    <mergeCell ref="J18:J19"/>
    <mergeCell ref="D3:F3"/>
    <mergeCell ref="D4:F4"/>
    <mergeCell ref="D8:J8"/>
    <mergeCell ref="D56:J56"/>
    <mergeCell ref="G5:J5"/>
    <mergeCell ref="D9:D10"/>
    <mergeCell ref="E9:E10"/>
    <mergeCell ref="F9:F10"/>
    <mergeCell ref="G9:G10"/>
    <mergeCell ref="H9:H10"/>
    <mergeCell ref="I9:I10"/>
    <mergeCell ref="J9:J10"/>
    <mergeCell ref="D14:D15"/>
    <mergeCell ref="E14:E15"/>
    <mergeCell ref="F14:F15"/>
    <mergeCell ref="G14:G15"/>
  </mergeCells>
  <phoneticPr fontId="1" type="noConversion"/>
  <conditionalFormatting sqref="D7:D9 D11:D14 D16:D18 D20:D23 D25:D28 D30:D32 D34:D37 D39:D41 D43:D46 D48:D50 D52:D57">
    <cfRule type="expression" dxfId="2" priority="1">
      <formula>$D7=$D8</formula>
    </cfRule>
  </conditionalFormatting>
  <conditionalFormatting sqref="C7:C57">
    <cfRule type="expression" dxfId="1" priority="3">
      <formula>OR(AND($D7=0,OR($D6=$Q$7:$Q$14)),AND($D8&gt;0,OR($D7=$Q$7:$Q$14)))</formula>
    </cfRule>
  </conditionalFormatting>
  <conditionalFormatting sqref="D7:J7 D8 D57:J57 D56 D9:J9 D11:J14 D16:J18 D20:J23 D25:J28 D30:J32 D34:J37 D39:J41 D43:J46 D48:J50 D52:J55">
    <cfRule type="expression" dxfId="0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2FA2-E637-4335-8706-D1AEEBF067D6}">
  <sheetPr codeName="Sheet30">
    <tabColor rgb="FF00B050"/>
    <pageSetUpPr fitToPage="1"/>
  </sheetPr>
  <dimension ref="A1:N44"/>
  <sheetViews>
    <sheetView zoomScale="85" zoomScaleNormal="85" workbookViewId="0">
      <selection activeCell="B3" sqref="B3:M39"/>
    </sheetView>
  </sheetViews>
  <sheetFormatPr defaultRowHeight="17" x14ac:dyDescent="0.45"/>
  <cols>
    <col min="1" max="1" width="8.6640625" style="4"/>
    <col min="2" max="2" width="1" customWidth="1"/>
    <col min="3" max="3" width="11.4140625" style="10" customWidth="1"/>
    <col min="4" max="11" width="12.4140625" style="1" customWidth="1"/>
    <col min="12" max="12" width="12.4140625" customWidth="1"/>
    <col min="13" max="13" width="1" customWidth="1"/>
    <col min="14" max="14" width="8.6640625" style="4"/>
  </cols>
  <sheetData>
    <row r="1" spans="2:13" s="4" customFormat="1" x14ac:dyDescent="0.45">
      <c r="C1" s="9"/>
      <c r="D1" s="3"/>
      <c r="E1" s="3"/>
      <c r="F1" s="3"/>
      <c r="G1" s="3"/>
      <c r="H1" s="3"/>
      <c r="I1" s="3"/>
      <c r="J1" s="3"/>
      <c r="K1" s="3"/>
    </row>
    <row r="2" spans="2:13" x14ac:dyDescent="0.45">
      <c r="B2" s="4"/>
      <c r="C2" s="9"/>
      <c r="D2" s="3"/>
      <c r="E2" s="3"/>
      <c r="F2" s="3"/>
      <c r="G2" s="3"/>
      <c r="H2" s="3"/>
      <c r="I2" s="3"/>
      <c r="J2" s="3"/>
      <c r="K2" s="3"/>
      <c r="L2" s="4"/>
      <c r="M2" s="4"/>
    </row>
    <row r="3" spans="2:13" ht="6" customHeight="1" thickBot="1" x14ac:dyDescent="0.5">
      <c r="B3" s="16"/>
      <c r="C3" s="25"/>
      <c r="D3" s="26"/>
      <c r="E3" s="26"/>
      <c r="F3" s="26"/>
      <c r="G3" s="26"/>
      <c r="H3" s="26"/>
      <c r="I3" s="26"/>
      <c r="J3" s="26"/>
      <c r="K3" s="26"/>
      <c r="L3" s="24"/>
      <c r="M3" s="17"/>
    </row>
    <row r="4" spans="2:13" ht="25" customHeight="1" x14ac:dyDescent="0.45">
      <c r="B4" s="18"/>
      <c r="C4" s="34" t="s">
        <v>97</v>
      </c>
      <c r="D4" s="121" t="s">
        <v>182</v>
      </c>
      <c r="E4" s="121"/>
      <c r="F4" s="121"/>
      <c r="G4" s="122"/>
      <c r="H4" s="19"/>
      <c r="I4" s="19"/>
      <c r="J4" s="19"/>
      <c r="K4" s="19"/>
      <c r="L4" s="20"/>
      <c r="M4" s="27"/>
    </row>
    <row r="5" spans="2:13" ht="25" customHeight="1" thickBot="1" x14ac:dyDescent="0.5">
      <c r="B5" s="18"/>
      <c r="C5" s="37" t="s">
        <v>139</v>
      </c>
      <c r="D5" s="123" t="s">
        <v>185</v>
      </c>
      <c r="E5" s="123"/>
      <c r="F5" s="123"/>
      <c r="G5" s="124"/>
      <c r="H5" s="19"/>
      <c r="I5" s="19"/>
      <c r="J5" s="19"/>
      <c r="K5" s="19"/>
      <c r="L5" s="20"/>
      <c r="M5" s="27"/>
    </row>
    <row r="6" spans="2:13" ht="25" customHeight="1" x14ac:dyDescent="0.45">
      <c r="B6" s="18"/>
      <c r="C6" s="125" t="s">
        <v>184</v>
      </c>
      <c r="D6" s="125"/>
      <c r="E6" s="125"/>
      <c r="F6" s="125"/>
      <c r="G6" s="125"/>
      <c r="H6" s="125"/>
      <c r="I6" s="125"/>
      <c r="J6" s="125"/>
      <c r="K6" s="125"/>
      <c r="L6" s="125"/>
      <c r="M6" s="27"/>
    </row>
    <row r="7" spans="2:13" ht="25" customHeight="1" thickBot="1" x14ac:dyDescent="0.5">
      <c r="B7" s="18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27"/>
    </row>
    <row r="8" spans="2:13" ht="25" customHeight="1" thickBot="1" x14ac:dyDescent="0.5">
      <c r="B8" s="18"/>
      <c r="C8" s="95" t="s">
        <v>147</v>
      </c>
      <c r="D8" s="96" t="s">
        <v>148</v>
      </c>
      <c r="E8" s="97" t="s">
        <v>149</v>
      </c>
      <c r="F8" s="97" t="s">
        <v>150</v>
      </c>
      <c r="G8" s="97" t="s">
        <v>151</v>
      </c>
      <c r="H8" s="97" t="s">
        <v>152</v>
      </c>
      <c r="I8" s="97" t="s">
        <v>153</v>
      </c>
      <c r="J8" s="97" t="s">
        <v>154</v>
      </c>
      <c r="K8" s="97" t="s">
        <v>155</v>
      </c>
      <c r="L8" s="98" t="s">
        <v>156</v>
      </c>
      <c r="M8" s="27"/>
    </row>
    <row r="9" spans="2:13" ht="25" customHeight="1" x14ac:dyDescent="0.45">
      <c r="B9" s="18"/>
      <c r="C9" s="99" t="s">
        <v>157</v>
      </c>
      <c r="D9" s="79">
        <f>ROUNDUP(('생활과 윤리'!$Q7-0.5-50)/10*'생활과 윤리'!$H$4+'생활과 윤리'!$H$3, 0)</f>
        <v>47</v>
      </c>
      <c r="E9" s="80">
        <f>ROUNDUP(('윤리와 사상'!$Q7-0.5-50)/10*'윤리와 사상'!$H$4+'윤리와 사상'!$H$3, 0)</f>
        <v>44</v>
      </c>
      <c r="F9" s="80">
        <f>ROUNDUP((한국지리!$Q7-0.5-50)/10*한국지리!$H$4+한국지리!$H$3, 0)</f>
        <v>47</v>
      </c>
      <c r="G9" s="80">
        <f>ROUNDUP((세계지리!$Q7-0.5-50)/10*세계지리!$H$4+세계지리!$H$3, 0)</f>
        <v>50</v>
      </c>
      <c r="H9" s="80">
        <f>ROUNDUP((동아시아사!$Q7-0.5-50)/10*동아시아사!$H$4+동아시아사!$H$3, 0)</f>
        <v>50</v>
      </c>
      <c r="I9" s="80">
        <v>50</v>
      </c>
      <c r="J9" s="80">
        <f>ROUNDUP((경제!$Q7-0.5-50)/10*경제!$H$4+경제!$H$3, 0)</f>
        <v>50</v>
      </c>
      <c r="K9" s="80">
        <f>ROUNDUP(('정치와 법'!$Q7-0.5-50)/10*'정치와 법'!$H$4+'정치와 법'!$H$3, 0)</f>
        <v>50</v>
      </c>
      <c r="L9" s="100">
        <v>50</v>
      </c>
      <c r="M9" s="27"/>
    </row>
    <row r="10" spans="2:13" ht="25" customHeight="1" x14ac:dyDescent="0.45">
      <c r="B10" s="18"/>
      <c r="C10" s="101" t="s">
        <v>158</v>
      </c>
      <c r="D10" s="81">
        <f>ROUNDUP(('생활과 윤리'!$Q8-0.5-50)/10*'생활과 윤리'!$H$4+'생활과 윤리'!$H$3, 0)</f>
        <v>43</v>
      </c>
      <c r="E10" s="102">
        <f>ROUNDUP(('윤리와 사상'!$Q8-0.5-50)/10*'윤리와 사상'!$H$4+'윤리와 사상'!$H$3, 0)</f>
        <v>41</v>
      </c>
      <c r="F10" s="102">
        <f>ROUNDUP((한국지리!$Q8-0.5-50)/10*한국지리!$H$4+한국지리!$H$3, 0)</f>
        <v>43</v>
      </c>
      <c r="G10" s="102">
        <f>ROUNDUP((세계지리!$Q8-0.5-50)/10*세계지리!$H$4+세계지리!$H$3, 0)</f>
        <v>47</v>
      </c>
      <c r="H10" s="102">
        <f>ROUNDUP((동아시아사!$Q8-0.5-50)/10*동아시아사!$H$4+동아시아사!$H$3, 0)</f>
        <v>47</v>
      </c>
      <c r="I10" s="102">
        <f>ROUNDUP((세계사!$Q8-0.5-50)/10*세계사!$H$4+세계사!$H$3, 0)</f>
        <v>46</v>
      </c>
      <c r="J10" s="102">
        <f>ROUNDUP((경제!$Q8-0.5-50)/10*경제!$H$4+경제!$H$3, 0)</f>
        <v>46</v>
      </c>
      <c r="K10" s="102">
        <f>ROUNDUP(('정치와 법'!$Q8-0.5-50)/10*'정치와 법'!$H$4+'정치와 법'!$H$3, 0)</f>
        <v>47</v>
      </c>
      <c r="L10" s="103">
        <f>ROUNDUP((사회∙문화!$Q8-0.5-50)/10*사회∙문화!$H$4+사회∙문화!$H$3, 0)</f>
        <v>47</v>
      </c>
      <c r="M10" s="27"/>
    </row>
    <row r="11" spans="2:13" ht="25" customHeight="1" x14ac:dyDescent="0.45">
      <c r="B11" s="18"/>
      <c r="C11" s="101" t="s">
        <v>159</v>
      </c>
      <c r="D11" s="81">
        <f>ROUNDUP(('생활과 윤리'!$Q9-0.5-50)/10*'생활과 윤리'!$H$4+'생활과 윤리'!$H$3, 0)</f>
        <v>38</v>
      </c>
      <c r="E11" s="102">
        <f>ROUNDUP(('윤리와 사상'!$Q9-0.5-50)/10*'윤리와 사상'!$H$4+'윤리와 사상'!$H$3, 0)</f>
        <v>33</v>
      </c>
      <c r="F11" s="102">
        <f>ROUNDUP((한국지리!$Q9-0.5-50)/10*한국지리!$H$4+한국지리!$H$3, 0)</f>
        <v>34</v>
      </c>
      <c r="G11" s="102">
        <f>ROUNDUP((세계지리!$Q9-0.5-50)/10*세계지리!$H$4+세계지리!$H$3, 0)</f>
        <v>42</v>
      </c>
      <c r="H11" s="102">
        <f>ROUNDUP((동아시아사!$Q9-0.5-50)/10*동아시아사!$H$4+동아시아사!$H$3, 0)</f>
        <v>41</v>
      </c>
      <c r="I11" s="102">
        <f>ROUNDUP((세계사!$Q9-0.5-50)/10*세계사!$H$4+세계사!$H$3, 0)</f>
        <v>42</v>
      </c>
      <c r="J11" s="102">
        <f>ROUNDUP((경제!$Q9-0.5-50)/10*경제!$H$4+경제!$H$3, 0)</f>
        <v>38</v>
      </c>
      <c r="K11" s="102">
        <f>ROUNDUP(('정치와 법'!$Q9-0.5-50)/10*'정치와 법'!$H$4+'정치와 법'!$H$3, 0)</f>
        <v>43</v>
      </c>
      <c r="L11" s="103">
        <f>ROUNDUP((사회∙문화!$Q9-0.5-50)/10*사회∙문화!$H$4+사회∙문화!$H$3, 0)</f>
        <v>43</v>
      </c>
      <c r="M11" s="27"/>
    </row>
    <row r="12" spans="2:13" ht="25" customHeight="1" x14ac:dyDescent="0.45">
      <c r="B12" s="18"/>
      <c r="C12" s="101" t="s">
        <v>160</v>
      </c>
      <c r="D12" s="81">
        <f>ROUNDUP(('생활과 윤리'!$Q10-0.5-50)/10*'생활과 윤리'!$H$4+'생활과 윤리'!$H$3, 0)</f>
        <v>28</v>
      </c>
      <c r="E12" s="102">
        <f>ROUNDUP(('윤리와 사상'!$Q10-0.5-50)/10*'윤리와 사상'!$H$4+'윤리와 사상'!$H$3, 0)</f>
        <v>24</v>
      </c>
      <c r="F12" s="102">
        <f>ROUNDUP((한국지리!$Q10-0.5-50)/10*한국지리!$H$4+한국지리!$H$3, 0)</f>
        <v>24</v>
      </c>
      <c r="G12" s="102">
        <f>ROUNDUP((세계지리!$Q10-0.5-50)/10*세계지리!$H$4+세계지리!$H$3, 0)</f>
        <v>34</v>
      </c>
      <c r="H12" s="102">
        <f>ROUNDUP((동아시아사!$Q10-0.5-50)/10*동아시아사!$H$4+동아시아사!$H$3, 0)</f>
        <v>33</v>
      </c>
      <c r="I12" s="102">
        <f>ROUNDUP((세계사!$Q10-0.5-50)/10*세계사!$H$4+세계사!$H$3, 0)</f>
        <v>29</v>
      </c>
      <c r="J12" s="102">
        <f>ROUNDUP((경제!$Q10-0.5-50)/10*경제!$H$4+경제!$H$3, 0)</f>
        <v>27</v>
      </c>
      <c r="K12" s="102">
        <f>ROUNDUP(('정치와 법'!$Q10-0.5-50)/10*'정치와 법'!$H$4+'정치와 법'!$H$3, 0)</f>
        <v>35</v>
      </c>
      <c r="L12" s="103">
        <f>ROUNDUP((사회∙문화!$Q10-0.5-50)/10*사회∙문화!$H$4+사회∙문화!$H$3, 0)</f>
        <v>37</v>
      </c>
      <c r="M12" s="27"/>
    </row>
    <row r="13" spans="2:13" ht="25" customHeight="1" x14ac:dyDescent="0.45">
      <c r="B13" s="18"/>
      <c r="C13" s="101" t="s">
        <v>161</v>
      </c>
      <c r="D13" s="81">
        <f>ROUNDUP(('생활과 윤리'!$Q11-0.5-50)/10*'생활과 윤리'!$H$4+'생활과 윤리'!$H$3, 0)</f>
        <v>17</v>
      </c>
      <c r="E13" s="102">
        <f>ROUNDUP(('윤리와 사상'!$Q11-0.5-50)/10*'윤리와 사상'!$H$4+'윤리와 사상'!$H$3, 0)</f>
        <v>15</v>
      </c>
      <c r="F13" s="102">
        <f>ROUNDUP((한국지리!$Q11-0.5-50)/10*한국지리!$H$4+한국지리!$H$3, 0)</f>
        <v>16</v>
      </c>
      <c r="G13" s="102">
        <f>ROUNDUP((세계지리!$Q11-0.5-50)/10*세계지리!$H$4+세계지리!$H$3, 0)</f>
        <v>21</v>
      </c>
      <c r="H13" s="102">
        <f>ROUNDUP((동아시아사!$Q11-0.5-50)/10*동아시아사!$H$4+동아시아사!$H$3, 0)</f>
        <v>18</v>
      </c>
      <c r="I13" s="102">
        <f>ROUNDUP((세계사!$Q11-0.5-50)/10*세계사!$H$4+세계사!$H$3, 0)</f>
        <v>17</v>
      </c>
      <c r="J13" s="102">
        <f>ROUNDUP((경제!$Q11-0.5-50)/10*경제!$H$4+경제!$H$3, 0)</f>
        <v>14</v>
      </c>
      <c r="K13" s="102">
        <f>ROUNDUP(('정치와 법'!$Q11-0.5-50)/10*'정치와 법'!$H$4+'정치와 법'!$H$3, 0)</f>
        <v>22</v>
      </c>
      <c r="L13" s="103">
        <f>ROUNDUP((사회∙문화!$Q11-0.5-50)/10*사회∙문화!$H$4+사회∙문화!$H$3, 0)</f>
        <v>28</v>
      </c>
      <c r="M13" s="27"/>
    </row>
    <row r="14" spans="2:13" ht="25" customHeight="1" x14ac:dyDescent="0.45">
      <c r="B14" s="18"/>
      <c r="C14" s="101" t="s">
        <v>162</v>
      </c>
      <c r="D14" s="81">
        <f>ROUNDUP(('생활과 윤리'!$Q12-0.5-50)/10*'생활과 윤리'!$H$4+'생활과 윤리'!$H$3, 0)</f>
        <v>11</v>
      </c>
      <c r="E14" s="102">
        <f>ROUNDUP(('윤리와 사상'!$Q12-0.5-50)/10*'윤리와 사상'!$H$4+'윤리와 사상'!$H$3, 0)</f>
        <v>11</v>
      </c>
      <c r="F14" s="102">
        <f>ROUNDUP((한국지리!$Q12-0.5-50)/10*한국지리!$H$4+한국지리!$H$3, 0)</f>
        <v>11</v>
      </c>
      <c r="G14" s="102">
        <f>ROUNDUP((세계지리!$Q12-0.5-50)/10*세계지리!$H$4+세계지리!$H$3, 0)</f>
        <v>14</v>
      </c>
      <c r="H14" s="102">
        <f>ROUNDUP((동아시아사!$Q12-0.5-50)/10*동아시아사!$H$4+동아시아사!$H$3, 0)</f>
        <v>12</v>
      </c>
      <c r="I14" s="102">
        <f>ROUNDUP((세계사!$Q12-0.5-50)/10*세계사!$H$4+세계사!$H$3, 0)</f>
        <v>12</v>
      </c>
      <c r="J14" s="102">
        <f>ROUNDUP((경제!$Q12-0.5-50)/10*경제!$H$4+경제!$H$3, 0)</f>
        <v>11</v>
      </c>
      <c r="K14" s="102">
        <f>ROUNDUP(('정치와 법'!$Q12-0.5-50)/10*'정치와 법'!$H$4+'정치와 법'!$H$3, 0)</f>
        <v>13</v>
      </c>
      <c r="L14" s="103">
        <f>ROUNDUP((사회∙문화!$Q12-0.5-50)/10*사회∙문화!$H$4+사회∙문화!$H$3, 0)</f>
        <v>17</v>
      </c>
      <c r="M14" s="27"/>
    </row>
    <row r="15" spans="2:13" ht="25" customHeight="1" x14ac:dyDescent="0.45">
      <c r="B15" s="18"/>
      <c r="C15" s="101" t="s">
        <v>163</v>
      </c>
      <c r="D15" s="81">
        <f>ROUNDUP(('생활과 윤리'!$Q13-0.5-50)/10*'생활과 윤리'!$H$4+'생활과 윤리'!$H$3, 0)</f>
        <v>8</v>
      </c>
      <c r="E15" s="102">
        <f>ROUNDUP(('윤리와 사상'!$Q13-0.5-50)/10*'윤리와 사상'!$H$4+'윤리와 사상'!$H$3, 0)</f>
        <v>8</v>
      </c>
      <c r="F15" s="102">
        <f>ROUNDUP((한국지리!$Q13-0.5-50)/10*한국지리!$H$4+한국지리!$H$3, 0)</f>
        <v>10</v>
      </c>
      <c r="G15" s="102">
        <f>ROUNDUP((세계지리!$Q13-0.5-50)/10*세계지리!$H$4+세계지리!$H$3, 0)</f>
        <v>11</v>
      </c>
      <c r="H15" s="102">
        <f>ROUNDUP((동아시아사!$Q13-0.5-50)/10*동아시아사!$H$4+동아시아사!$H$3, 0)</f>
        <v>10</v>
      </c>
      <c r="I15" s="102">
        <f>ROUNDUP((세계사!$Q13-0.5-50)/10*세계사!$H$4+세계사!$H$3, 0)</f>
        <v>9</v>
      </c>
      <c r="J15" s="102">
        <f>ROUNDUP((경제!$Q13-0.5-50)/10*경제!$H$4+경제!$H$3, 0)</f>
        <v>10</v>
      </c>
      <c r="K15" s="102">
        <f>ROUNDUP(('정치와 법'!$Q13-0.5-50)/10*'정치와 법'!$H$4+'정치와 법'!$H$3, 0)</f>
        <v>9</v>
      </c>
      <c r="L15" s="103">
        <f>ROUNDUP((사회∙문화!$Q13-0.5-50)/10*사회∙문화!$H$4+사회∙문화!$H$3, 0)</f>
        <v>10</v>
      </c>
      <c r="M15" s="27"/>
    </row>
    <row r="16" spans="2:13" ht="25" customHeight="1" thickBot="1" x14ac:dyDescent="0.5">
      <c r="B16" s="18"/>
      <c r="C16" s="104" t="s">
        <v>164</v>
      </c>
      <c r="D16" s="105">
        <f>ROUNDUP(('생활과 윤리'!$Q14-0.5-50)/10*'생활과 윤리'!$H$4+'생활과 윤리'!$H$3, 0)</f>
        <v>6</v>
      </c>
      <c r="E16" s="106">
        <f>ROUNDUP(('윤리와 사상'!$Q14-0.5-50)/10*'윤리와 사상'!$H$4+'윤리와 사상'!$H$3, 0)</f>
        <v>7</v>
      </c>
      <c r="F16" s="106">
        <f>ROUNDUP((한국지리!$Q14-0.5-50)/10*한국지리!$H$4+한국지리!$H$3, 0)</f>
        <v>6</v>
      </c>
      <c r="G16" s="106">
        <f>ROUNDUP((세계지리!$Q14-0.5-50)/10*세계지리!$H$4+세계지리!$H$3, 0)</f>
        <v>7</v>
      </c>
      <c r="H16" s="106">
        <f>ROUNDUP((동아시아사!$Q14-0.5-50)/10*동아시아사!$H$4+동아시아사!$H$3, 0)</f>
        <v>7</v>
      </c>
      <c r="I16" s="106">
        <f>ROUNDUP((세계사!$Q14-0.5-50)/10*세계사!$H$4+세계사!$H$3, 0)</f>
        <v>6</v>
      </c>
      <c r="J16" s="106">
        <f>ROUNDUP((경제!$Q14-0.5-50)/10*경제!$H$4+경제!$H$3, 0)</f>
        <v>6</v>
      </c>
      <c r="K16" s="106">
        <f>ROUNDUP(('정치와 법'!$Q14-0.5-50)/10*'정치와 법'!$H$4+'정치와 법'!$H$3, 0)</f>
        <v>6</v>
      </c>
      <c r="L16" s="107">
        <f>ROUNDUP((사회∙문화!$Q14-0.5-50)/10*사회∙문화!$H$4+사회∙문화!$H$3, 0)</f>
        <v>9</v>
      </c>
      <c r="M16" s="27"/>
    </row>
    <row r="17" spans="2:13" ht="25" customHeight="1" x14ac:dyDescent="0.45">
      <c r="B17" s="18"/>
      <c r="C17" s="108"/>
      <c r="D17" s="108"/>
      <c r="E17" s="108"/>
      <c r="F17" s="108"/>
      <c r="G17" s="108"/>
      <c r="H17" s="108"/>
      <c r="I17" s="108"/>
      <c r="J17" s="108"/>
      <c r="K17" s="108"/>
      <c r="L17" s="109"/>
      <c r="M17" s="27"/>
    </row>
    <row r="18" spans="2:13" ht="25" customHeight="1" thickBot="1" x14ac:dyDescent="0.5">
      <c r="B18" s="18"/>
      <c r="C18" s="108"/>
      <c r="D18" s="108"/>
      <c r="E18" s="108"/>
      <c r="F18" s="108"/>
      <c r="G18" s="108"/>
      <c r="H18" s="108"/>
      <c r="I18" s="108"/>
      <c r="J18" s="108"/>
      <c r="K18" s="108"/>
      <c r="L18" s="109"/>
      <c r="M18" s="27"/>
    </row>
    <row r="19" spans="2:13" ht="25" customHeight="1" thickBot="1" x14ac:dyDescent="0.5">
      <c r="B19" s="18"/>
      <c r="C19" s="95" t="s">
        <v>165</v>
      </c>
      <c r="D19" s="96" t="s">
        <v>166</v>
      </c>
      <c r="E19" s="97" t="s">
        <v>167</v>
      </c>
      <c r="F19" s="97" t="s">
        <v>168</v>
      </c>
      <c r="G19" s="97" t="s">
        <v>169</v>
      </c>
      <c r="H19" s="97" t="s">
        <v>170</v>
      </c>
      <c r="I19" s="97" t="s">
        <v>171</v>
      </c>
      <c r="J19" s="97" t="s">
        <v>172</v>
      </c>
      <c r="K19" s="98" t="s">
        <v>173</v>
      </c>
      <c r="L19" s="109"/>
      <c r="M19" s="27"/>
    </row>
    <row r="20" spans="2:13" ht="25" customHeight="1" x14ac:dyDescent="0.45">
      <c r="B20" s="18"/>
      <c r="C20" s="99" t="s">
        <v>157</v>
      </c>
      <c r="D20" s="79">
        <f>ROUNDUP((물리학Ⅰ!$Q7-0.5-50)/10*물리학Ⅰ!$H$4+물리학Ⅰ!$H$3, 0)</f>
        <v>47</v>
      </c>
      <c r="E20" s="80">
        <v>50</v>
      </c>
      <c r="F20" s="80">
        <f>ROUNDUP((생명과학Ⅰ!$Q7-0.5-50)/10*생명과학Ⅰ!$H$4+생명과학Ⅰ!$H$3, 0)</f>
        <v>44</v>
      </c>
      <c r="G20" s="80">
        <f>ROUNDUP((지구과학Ⅰ!$Q7-0.5-50)/10*지구과학Ⅰ!$H$4+지구과학Ⅰ!$H$3, 0)</f>
        <v>45</v>
      </c>
      <c r="H20" s="80">
        <f>ROUNDUP((물리학Ⅱ!$Q7-0.5-50)/10*물리학Ⅱ!$H$4+물리학Ⅱ!$H$3, 0)</f>
        <v>41</v>
      </c>
      <c r="I20" s="80">
        <f>ROUNDUP((화학Ⅱ!$Q7-0.5-50)/10*화학Ⅱ!$H$4+화학Ⅱ!$H$3, 0)</f>
        <v>47</v>
      </c>
      <c r="J20" s="80">
        <f>ROUNDUP((생명과학Ⅱ!$Q7-0.5-50)/10*생명과학Ⅱ!$H$4+생명과학Ⅱ!$H$3, 0)</f>
        <v>43</v>
      </c>
      <c r="K20" s="100">
        <f>ROUNDUP((지구과학Ⅱ!$Q7-0.5-50)/10*지구과학Ⅱ!$H$4+지구과학Ⅱ!$H$3, 0)</f>
        <v>43</v>
      </c>
      <c r="L20" s="109"/>
      <c r="M20" s="27"/>
    </row>
    <row r="21" spans="2:13" ht="25" customHeight="1" x14ac:dyDescent="0.45">
      <c r="B21" s="18"/>
      <c r="C21" s="101" t="s">
        <v>158</v>
      </c>
      <c r="D21" s="81">
        <f>ROUNDUP((물리학Ⅰ!$Q8-0.5-50)/10*물리학Ⅰ!$H$4+물리학Ⅰ!$H$3, 0)</f>
        <v>44</v>
      </c>
      <c r="E21" s="102">
        <f>ROUNDUP((화학Ⅰ!$Q8-0.5-50)/10*화학Ⅰ!$H$4+화학Ⅰ!$H$3, 0)</f>
        <v>46</v>
      </c>
      <c r="F21" s="102">
        <f>ROUNDUP((생명과학Ⅰ!$Q8-0.5-50)/10*생명과학Ⅰ!$H$4+생명과학Ⅰ!$H$3, 0)</f>
        <v>39</v>
      </c>
      <c r="G21" s="102">
        <f>ROUNDUP((지구과학Ⅰ!$Q8-0.5-50)/10*지구과학Ⅰ!$H$4+지구과학Ⅰ!$H$3, 0)</f>
        <v>41</v>
      </c>
      <c r="H21" s="102">
        <f>ROUNDUP((물리학Ⅱ!$Q8-0.5-50)/10*물리학Ⅱ!$H$4+물리학Ⅱ!$H$3, 0)</f>
        <v>29</v>
      </c>
      <c r="I21" s="102">
        <f>ROUNDUP((화학Ⅱ!$Q8-0.5-50)/10*화학Ⅱ!$H$4+화학Ⅱ!$H$3, 0)</f>
        <v>36</v>
      </c>
      <c r="J21" s="102">
        <f>ROUNDUP((생명과학Ⅱ!$Q8-0.5-50)/10*생명과학Ⅱ!$H$4+생명과학Ⅱ!$H$3, 0)</f>
        <v>34</v>
      </c>
      <c r="K21" s="103">
        <f>ROUNDUP((지구과학Ⅱ!$Q8-0.5-50)/10*지구과학Ⅱ!$H$4+지구과학Ⅱ!$H$3, 0)</f>
        <v>28</v>
      </c>
      <c r="L21" s="109"/>
      <c r="M21" s="27"/>
    </row>
    <row r="22" spans="2:13" ht="25" customHeight="1" x14ac:dyDescent="0.45">
      <c r="B22" s="18"/>
      <c r="C22" s="101" t="s">
        <v>159</v>
      </c>
      <c r="D22" s="81">
        <f>ROUNDUP((물리학Ⅰ!$Q9-0.5-50)/10*물리학Ⅰ!$H$4+물리학Ⅰ!$H$3, 0)</f>
        <v>38</v>
      </c>
      <c r="E22" s="102">
        <f>ROUNDUP((화학Ⅰ!$Q9-0.5-50)/10*화학Ⅰ!$H$4+화학Ⅰ!$H$3, 0)</f>
        <v>42</v>
      </c>
      <c r="F22" s="102">
        <f>ROUNDUP((생명과학Ⅰ!$Q9-0.5-50)/10*생명과학Ⅰ!$H$4+생명과학Ⅰ!$H$3, 0)</f>
        <v>35</v>
      </c>
      <c r="G22" s="102">
        <f>ROUNDUP((지구과학Ⅰ!$Q9-0.5-50)/10*지구과학Ⅰ!$H$4+지구과학Ⅰ!$H$3, 0)</f>
        <v>35</v>
      </c>
      <c r="H22" s="102">
        <f>ROUNDUP((물리학Ⅱ!$Q9-0.5-50)/10*물리학Ⅱ!$H$4+물리학Ⅱ!$H$3, 0)</f>
        <v>19</v>
      </c>
      <c r="I22" s="102">
        <f>ROUNDUP((화학Ⅱ!$Q9-0.5-50)/10*화학Ⅱ!$H$4+화학Ⅱ!$H$3, 0)</f>
        <v>24</v>
      </c>
      <c r="J22" s="102">
        <f>ROUNDUP((생명과학Ⅱ!$Q9-0.5-50)/10*생명과학Ⅱ!$H$4+생명과학Ⅱ!$H$3, 0)</f>
        <v>22</v>
      </c>
      <c r="K22" s="103">
        <f>ROUNDUP((지구과학Ⅱ!$Q9-0.5-50)/10*지구과학Ⅱ!$H$4+지구과학Ⅱ!$H$3, 0)</f>
        <v>18</v>
      </c>
      <c r="L22" s="109"/>
      <c r="M22" s="27"/>
    </row>
    <row r="23" spans="2:13" ht="25" customHeight="1" x14ac:dyDescent="0.45">
      <c r="B23" s="18"/>
      <c r="C23" s="101" t="s">
        <v>160</v>
      </c>
      <c r="D23" s="81">
        <f>ROUNDUP((물리학Ⅰ!$Q10-0.5-50)/10*물리학Ⅰ!$H$4+물리학Ⅰ!$H$3, 0)</f>
        <v>29</v>
      </c>
      <c r="E23" s="102">
        <f>ROUNDUP((화학Ⅰ!$Q10-0.5-50)/10*화학Ⅰ!$H$4+화학Ⅰ!$H$3, 0)</f>
        <v>29</v>
      </c>
      <c r="F23" s="102">
        <f>ROUNDUP((생명과학Ⅰ!$Q10-0.5-50)/10*생명과학Ⅰ!$H$4+생명과학Ⅰ!$H$3, 0)</f>
        <v>28</v>
      </c>
      <c r="G23" s="102">
        <f>ROUNDUP((지구과학Ⅰ!$Q10-0.5-50)/10*지구과학Ⅰ!$H$4+지구과학Ⅰ!$H$3, 0)</f>
        <v>27</v>
      </c>
      <c r="H23" s="102">
        <f>ROUNDUP((물리학Ⅱ!$Q10-0.5-50)/10*물리학Ⅱ!$H$4+물리학Ⅱ!$H$3, 0)</f>
        <v>14</v>
      </c>
      <c r="I23" s="102">
        <f>ROUNDUP((화학Ⅱ!$Q10-0.5-50)/10*화학Ⅱ!$H$4+화학Ⅱ!$H$3, 0)</f>
        <v>13</v>
      </c>
      <c r="J23" s="102">
        <f>ROUNDUP((생명과학Ⅱ!$Q10-0.5-50)/10*생명과학Ⅱ!$H$4+생명과학Ⅱ!$H$3, 0)</f>
        <v>15</v>
      </c>
      <c r="K23" s="103">
        <f>ROUNDUP((지구과학Ⅱ!$Q10-0.5-50)/10*지구과학Ⅱ!$H$4+지구과학Ⅱ!$H$3, 0)</f>
        <v>13</v>
      </c>
      <c r="L23" s="109"/>
      <c r="M23" s="27"/>
    </row>
    <row r="24" spans="2:13" ht="25" customHeight="1" x14ac:dyDescent="0.45">
      <c r="B24" s="18"/>
      <c r="C24" s="101" t="s">
        <v>161</v>
      </c>
      <c r="D24" s="81">
        <f>ROUNDUP((물리학Ⅰ!$Q11-0.5-50)/10*물리학Ⅰ!$H$4+물리학Ⅰ!$H$3, 0)</f>
        <v>20</v>
      </c>
      <c r="E24" s="102">
        <f>ROUNDUP((화학Ⅰ!$Q11-0.5-50)/10*화학Ⅰ!$H$4+화학Ⅰ!$H$3, 0)</f>
        <v>17</v>
      </c>
      <c r="F24" s="102">
        <f>ROUNDUP((생명과학Ⅰ!$Q11-0.5-50)/10*생명과학Ⅰ!$H$4+생명과학Ⅰ!$H$3, 0)</f>
        <v>21</v>
      </c>
      <c r="G24" s="102">
        <f>ROUNDUP((지구과학Ⅰ!$Q11-0.5-50)/10*지구과학Ⅰ!$H$4+지구과학Ⅰ!$H$3, 0)</f>
        <v>17</v>
      </c>
      <c r="H24" s="102">
        <f>ROUNDUP((물리학Ⅱ!$Q11-0.5-50)/10*물리학Ⅱ!$H$4+물리학Ⅱ!$H$3, 0)</f>
        <v>12</v>
      </c>
      <c r="I24" s="102">
        <f>ROUNDUP((화학Ⅱ!$Q11-0.5-50)/10*화학Ⅱ!$H$4+화학Ⅱ!$H$3, 0)</f>
        <v>10</v>
      </c>
      <c r="J24" s="102">
        <f>ROUNDUP((생명과학Ⅱ!$Q11-0.5-50)/10*생명과학Ⅱ!$H$4+생명과학Ⅱ!$H$3, 0)</f>
        <v>9</v>
      </c>
      <c r="K24" s="103">
        <f>ROUNDUP((지구과학Ⅱ!$Q11-0.5-50)/10*지구과학Ⅱ!$H$4+지구과학Ⅱ!$H$3, 0)</f>
        <v>10</v>
      </c>
      <c r="L24" s="109"/>
      <c r="M24" s="27"/>
    </row>
    <row r="25" spans="2:13" ht="25" customHeight="1" x14ac:dyDescent="0.45">
      <c r="B25" s="18"/>
      <c r="C25" s="101" t="s">
        <v>162</v>
      </c>
      <c r="D25" s="81">
        <f>ROUNDUP((물리학Ⅰ!$Q12-0.5-50)/10*물리학Ⅰ!$H$4+물리학Ⅰ!$H$3, 0)</f>
        <v>13</v>
      </c>
      <c r="E25" s="102">
        <f>ROUNDUP((화학Ⅰ!$Q12-0.5-50)/10*화학Ⅰ!$H$4+화학Ⅰ!$H$3, 0)</f>
        <v>12</v>
      </c>
      <c r="F25" s="102">
        <f>ROUNDUP((생명과학Ⅰ!$Q12-0.5-50)/10*생명과학Ⅰ!$H$4+생명과학Ⅰ!$H$3, 0)</f>
        <v>13</v>
      </c>
      <c r="G25" s="102">
        <f>ROUNDUP((지구과학Ⅰ!$Q12-0.5-50)/10*지구과학Ⅰ!$H$4+지구과학Ⅰ!$H$3, 0)</f>
        <v>10</v>
      </c>
      <c r="H25" s="102">
        <f>ROUNDUP((물리학Ⅱ!$Q12-0.5-50)/10*물리학Ⅱ!$H$4+물리학Ⅱ!$H$3, 0)</f>
        <v>8</v>
      </c>
      <c r="I25" s="102">
        <f>ROUNDUP((화학Ⅱ!$Q12-0.5-50)/10*화학Ⅱ!$H$4+화학Ⅱ!$H$3, 0)</f>
        <v>9</v>
      </c>
      <c r="J25" s="102">
        <f>ROUNDUP((생명과학Ⅱ!$Q12-0.5-50)/10*생명과학Ⅱ!$H$4+생명과학Ⅱ!$H$3, 0)</f>
        <v>8</v>
      </c>
      <c r="K25" s="103">
        <f>ROUNDUP((지구과학Ⅱ!$Q12-0.5-50)/10*지구과학Ⅱ!$H$4+지구과학Ⅱ!$H$3, 0)</f>
        <v>7</v>
      </c>
      <c r="L25" s="109"/>
      <c r="M25" s="27"/>
    </row>
    <row r="26" spans="2:13" ht="25" customHeight="1" x14ac:dyDescent="0.45">
      <c r="B26" s="18"/>
      <c r="C26" s="101" t="s">
        <v>163</v>
      </c>
      <c r="D26" s="81">
        <f>ROUNDUP((물리학Ⅰ!$Q13-0.5-50)/10*물리학Ⅰ!$H$4+물리학Ⅰ!$H$3, 0)</f>
        <v>10</v>
      </c>
      <c r="E26" s="102">
        <f>ROUNDUP((화학Ⅰ!$Q13-0.5-50)/10*화학Ⅰ!$H$4+화학Ⅰ!$H$3, 0)</f>
        <v>9</v>
      </c>
      <c r="F26" s="102">
        <f>ROUNDUP((생명과학Ⅰ!$Q13-0.5-50)/10*생명과학Ⅰ!$H$4+생명과학Ⅰ!$H$3, 0)</f>
        <v>10</v>
      </c>
      <c r="G26" s="102">
        <f>ROUNDUP((지구과학Ⅰ!$Q13-0.5-50)/10*지구과학Ⅰ!$H$4+지구과학Ⅰ!$H$3, 0)</f>
        <v>8</v>
      </c>
      <c r="H26" s="102">
        <f>ROUNDUP((물리학Ⅱ!$Q13-0.5-50)/10*물리학Ⅱ!$H$4+물리학Ⅱ!$H$3, 0)</f>
        <v>6</v>
      </c>
      <c r="I26" s="102">
        <f>ROUNDUP((화학Ⅱ!$Q13-0.5-50)/10*화학Ⅱ!$H$4+화학Ⅱ!$H$3, 0)</f>
        <v>7</v>
      </c>
      <c r="J26" s="102">
        <f>ROUNDUP((생명과학Ⅱ!$Q13-0.5-50)/10*생명과학Ⅱ!$H$4+생명과학Ⅱ!$H$3, 0)</f>
        <v>7</v>
      </c>
      <c r="K26" s="103" t="s">
        <v>249</v>
      </c>
      <c r="L26" s="109"/>
      <c r="M26" s="27"/>
    </row>
    <row r="27" spans="2:13" ht="25" customHeight="1" thickBot="1" x14ac:dyDescent="0.5">
      <c r="B27" s="18"/>
      <c r="C27" s="104" t="s">
        <v>164</v>
      </c>
      <c r="D27" s="105">
        <f>ROUNDUP((물리학Ⅰ!$Q14-0.5-50)/10*물리학Ⅰ!$H$4+물리학Ⅰ!$H$3, 0)</f>
        <v>6</v>
      </c>
      <c r="E27" s="106">
        <f>ROUNDUP((화학Ⅰ!$Q14-0.5-50)/10*화학Ⅰ!$H$4+화학Ⅰ!$H$3, 0)</f>
        <v>6</v>
      </c>
      <c r="F27" s="106">
        <f>ROUNDUP((생명과학Ⅰ!$Q14-0.5-50)/10*생명과학Ⅰ!$H$4+생명과학Ⅰ!$H$3, 0)</f>
        <v>8</v>
      </c>
      <c r="G27" s="106">
        <f>ROUNDUP((지구과학Ⅰ!$Q14-0.5-50)/10*지구과학Ⅰ!$H$4+지구과학Ⅰ!$H$3, 0)</f>
        <v>5</v>
      </c>
      <c r="H27" s="106">
        <f>ROUNDUP((물리학Ⅱ!$Q14-0.5-50)/10*물리학Ⅱ!$H$4+물리학Ⅱ!$H$3, 0)</f>
        <v>4</v>
      </c>
      <c r="I27" s="106">
        <f>ROUNDUP((화학Ⅱ!$Q14-0.5-50)/10*화학Ⅱ!$H$4+화학Ⅱ!$H$3, 0)</f>
        <v>5</v>
      </c>
      <c r="J27" s="106">
        <f>ROUNDUP((생명과학Ⅱ!$Q14-0.5-50)/10*생명과학Ⅱ!$H$4+생명과학Ⅱ!$H$3, 0)</f>
        <v>4</v>
      </c>
      <c r="K27" s="107">
        <f>ROUNDUP((지구과학Ⅱ!$Q14-0.5-50)/10*지구과학Ⅱ!$H$4+지구과학Ⅱ!$H$3, 0)</f>
        <v>4</v>
      </c>
      <c r="L27" s="109"/>
      <c r="M27" s="27"/>
    </row>
    <row r="28" spans="2:13" ht="25" customHeight="1" x14ac:dyDescent="0.45">
      <c r="B28" s="18"/>
      <c r="C28" s="108"/>
      <c r="D28" s="108"/>
      <c r="E28" s="108"/>
      <c r="F28" s="108"/>
      <c r="G28" s="108"/>
      <c r="H28" s="108"/>
      <c r="I28" s="108"/>
      <c r="J28" s="108"/>
      <c r="K28" s="108"/>
      <c r="L28" s="109"/>
      <c r="M28" s="27"/>
    </row>
    <row r="29" spans="2:13" ht="25" customHeight="1" thickBot="1" x14ac:dyDescent="0.5">
      <c r="B29" s="18"/>
      <c r="C29" s="108"/>
      <c r="D29" s="108"/>
      <c r="E29" s="108"/>
      <c r="F29" s="108"/>
      <c r="G29" s="108"/>
      <c r="H29" s="108"/>
      <c r="I29" s="108"/>
      <c r="J29" s="108"/>
      <c r="K29" s="108"/>
      <c r="L29" s="109"/>
      <c r="M29" s="27"/>
    </row>
    <row r="30" spans="2:13" ht="40" customHeight="1" thickBot="1" x14ac:dyDescent="0.5">
      <c r="B30" s="18"/>
      <c r="C30" s="90" t="s">
        <v>140</v>
      </c>
      <c r="D30" s="91" t="s">
        <v>141</v>
      </c>
      <c r="E30" s="92" t="s">
        <v>142</v>
      </c>
      <c r="F30" s="92" t="s">
        <v>143</v>
      </c>
      <c r="G30" s="92" t="s">
        <v>144</v>
      </c>
      <c r="H30" s="93" t="s">
        <v>145</v>
      </c>
      <c r="I30" s="94" t="s">
        <v>146</v>
      </c>
      <c r="J30" s="108"/>
      <c r="K30" s="108"/>
      <c r="L30" s="109"/>
      <c r="M30" s="27"/>
    </row>
    <row r="31" spans="2:13" ht="23" customHeight="1" x14ac:dyDescent="0.45">
      <c r="B31" s="18"/>
      <c r="C31" s="99" t="s">
        <v>157</v>
      </c>
      <c r="D31" s="79">
        <f>ROUNDUP(('성공적인 직업생활'!$Q7-0.5-50)/10*'성공적인 직업생활'!$H$4+'성공적인 직업생활'!$H$3, 0)</f>
        <v>50</v>
      </c>
      <c r="E31" s="80">
        <f>ROUNDUP(('농업 기초 기술'!$Q7-0.5-50)/10*'농업 기초 기술'!$H$4+'농업 기초 기술'!$H$3, 0)</f>
        <v>37</v>
      </c>
      <c r="F31" s="80">
        <f>ROUNDUP(('공업 일반'!$Q7-0.5-50)/10*'공업 일반'!$H$4+'공업 일반'!$H$3, 0)</f>
        <v>50</v>
      </c>
      <c r="G31" s="80">
        <f>ROUNDUP(('상업 경제'!$Q7-0.5-50)/10*'상업 경제'!$H$4+'상업 경제'!$H$3, 0)</f>
        <v>50</v>
      </c>
      <c r="H31" s="80">
        <f>ROUNDUP(('수산∙해운 산업 기초'!$Q7-0.5-50)/10*'수산∙해운 산업 기초'!$H$4+'수산∙해운 산업 기초'!$H$3, 0)</f>
        <v>37</v>
      </c>
      <c r="I31" s="100">
        <f>ROUNDUP(('인간 발달'!$Q7-0.5-50)/10*'인간 발달'!$H$4+'인간 발달'!$H$3, 0)</f>
        <v>47</v>
      </c>
      <c r="J31" s="108"/>
      <c r="K31" s="108"/>
      <c r="L31" s="109"/>
      <c r="M31" s="27"/>
    </row>
    <row r="32" spans="2:13" ht="23" customHeight="1" x14ac:dyDescent="0.45">
      <c r="B32" s="18"/>
      <c r="C32" s="101" t="s">
        <v>158</v>
      </c>
      <c r="D32" s="81">
        <f>ROUNDUP(('성공적인 직업생활'!$Q8-0.5-50)/10*'성공적인 직업생활'!$H$4+'성공적인 직업생활'!$H$3, 0)</f>
        <v>47</v>
      </c>
      <c r="E32" s="102">
        <f>ROUNDUP(('농업 기초 기술'!$Q8-0.5-50)/10*'농업 기초 기술'!$H$4+'농업 기초 기술'!$H$3, 0)</f>
        <v>31</v>
      </c>
      <c r="F32" s="102">
        <f>ROUNDUP(('공업 일반'!$Q8-0.5-50)/10*'공업 일반'!$H$4+'공업 일반'!$H$3, 0)</f>
        <v>48</v>
      </c>
      <c r="G32" s="102">
        <f>ROUNDUP(('상업 경제'!$Q8-0.5-50)/10*'상업 경제'!$H$4+'상업 경제'!$H$3, 0)</f>
        <v>47</v>
      </c>
      <c r="H32" s="102">
        <f>ROUNDUP(('수산∙해운 산업 기초'!$Q8-0.5-50)/10*'수산∙해운 산업 기초'!$H$4+'수산∙해운 산업 기초'!$H$3, 0)</f>
        <v>30</v>
      </c>
      <c r="I32" s="103">
        <f>ROUNDUP(('인간 발달'!$Q8-0.5-50)/10*'인간 발달'!$H$4+'인간 발달'!$H$3, 0)</f>
        <v>44</v>
      </c>
      <c r="J32" s="108"/>
      <c r="K32" s="108"/>
      <c r="L32" s="109"/>
      <c r="M32" s="27"/>
    </row>
    <row r="33" spans="2:13" ht="23" customHeight="1" x14ac:dyDescent="0.45">
      <c r="B33" s="18"/>
      <c r="C33" s="101" t="s">
        <v>159</v>
      </c>
      <c r="D33" s="81">
        <f>ROUNDUP(('성공적인 직업생활'!$Q9-0.5-50)/10*'성공적인 직업생활'!$H$4+'성공적인 직업생활'!$H$3, 0)</f>
        <v>44</v>
      </c>
      <c r="E33" s="102">
        <f>ROUNDUP(('농업 기초 기술'!$Q9-0.5-50)/10*'농업 기초 기술'!$H$4+'농업 기초 기술'!$H$3, 0)</f>
        <v>21</v>
      </c>
      <c r="F33" s="102">
        <f>ROUNDUP(('공업 일반'!$Q9-0.5-50)/10*'공업 일반'!$H$4+'공업 일반'!$H$3, 0)</f>
        <v>45</v>
      </c>
      <c r="G33" s="102">
        <f>ROUNDUP(('상업 경제'!$Q9-0.5-50)/10*'상업 경제'!$H$4+'상업 경제'!$H$3, 0)</f>
        <v>42</v>
      </c>
      <c r="H33" s="102">
        <f>ROUNDUP(('수산∙해운 산업 기초'!$Q9-0.5-50)/10*'수산∙해운 산업 기초'!$H$4+'수산∙해운 산업 기초'!$H$3, 0)</f>
        <v>24</v>
      </c>
      <c r="I33" s="103">
        <f>ROUNDUP(('인간 발달'!$Q9-0.5-50)/10*'인간 발달'!$H$4+'인간 발달'!$H$3, 0)</f>
        <v>33</v>
      </c>
      <c r="J33" s="108"/>
      <c r="K33" s="108"/>
      <c r="L33" s="109"/>
      <c r="M33" s="27"/>
    </row>
    <row r="34" spans="2:13" ht="23" customHeight="1" x14ac:dyDescent="0.45">
      <c r="B34" s="18"/>
      <c r="C34" s="101" t="s">
        <v>160</v>
      </c>
      <c r="D34" s="81">
        <f>ROUNDUP(('성공적인 직업생활'!$Q10-0.5-50)/10*'성공적인 직업생활'!$H$4+'성공적인 직업생활'!$H$3, 0)</f>
        <v>37</v>
      </c>
      <c r="E34" s="102">
        <f>ROUNDUP(('농업 기초 기술'!$Q10-0.5-50)/10*'농업 기초 기술'!$H$4+'농업 기초 기술'!$H$3, 0)</f>
        <v>15</v>
      </c>
      <c r="F34" s="102">
        <f>ROUNDUP(('공업 일반'!$Q10-0.5-50)/10*'공업 일반'!$H$4+'공업 일반'!$H$3, 0)</f>
        <v>39</v>
      </c>
      <c r="G34" s="102">
        <f>ROUNDUP(('상업 경제'!$Q10-0.5-50)/10*'상업 경제'!$H$4+'상업 경제'!$H$3, 0)</f>
        <v>33</v>
      </c>
      <c r="H34" s="102">
        <f>ROUNDUP(('수산∙해운 산업 기초'!$Q10-0.5-50)/10*'수산∙해운 산업 기초'!$H$4+'수산∙해운 산업 기초'!$H$3, 0)</f>
        <v>12</v>
      </c>
      <c r="I34" s="103">
        <f>ROUNDUP(('인간 발달'!$Q10-0.5-50)/10*'인간 발달'!$H$4+'인간 발달'!$H$3, 0)</f>
        <v>24</v>
      </c>
      <c r="J34" s="108"/>
      <c r="K34" s="108"/>
      <c r="L34" s="109"/>
      <c r="M34" s="27"/>
    </row>
    <row r="35" spans="2:13" ht="23" customHeight="1" x14ac:dyDescent="0.45">
      <c r="B35" s="18"/>
      <c r="C35" s="101" t="s">
        <v>161</v>
      </c>
      <c r="D35" s="81">
        <f>ROUNDUP(('성공적인 직업생활'!$Q11-0.5-50)/10*'성공적인 직업생활'!$H$4+'성공적인 직업생활'!$H$3, 0)</f>
        <v>25</v>
      </c>
      <c r="E35" s="102">
        <f>ROUNDUP(('농업 기초 기술'!$Q11-0.5-50)/10*'농업 기초 기술'!$H$4+'농업 기초 기술'!$H$3, 0)</f>
        <v>11</v>
      </c>
      <c r="F35" s="102">
        <f>ROUNDUP(('공업 일반'!$Q11-0.5-50)/10*'공업 일반'!$H$4+'공업 일반'!$H$3, 0)</f>
        <v>27</v>
      </c>
      <c r="G35" s="102">
        <f>ROUNDUP(('상업 경제'!$Q11-0.5-50)/10*'상업 경제'!$H$4+'상업 경제'!$H$3, 0)</f>
        <v>23</v>
      </c>
      <c r="H35" s="102">
        <f>ROUNDUP(('수산∙해운 산업 기초'!$Q11-0.5-50)/10*'수산∙해운 산업 기초'!$H$4+'수산∙해운 산업 기초'!$H$3, 0)</f>
        <v>10</v>
      </c>
      <c r="I35" s="103">
        <f>ROUNDUP(('인간 발달'!$Q11-0.5-50)/10*'인간 발달'!$H$4+'인간 발달'!$H$3, 0)</f>
        <v>15</v>
      </c>
      <c r="J35" s="108"/>
      <c r="K35" s="108"/>
      <c r="L35" s="109"/>
      <c r="M35" s="27"/>
    </row>
    <row r="36" spans="2:13" ht="23" customHeight="1" x14ac:dyDescent="0.45">
      <c r="B36" s="18"/>
      <c r="C36" s="101" t="s">
        <v>162</v>
      </c>
      <c r="D36" s="81">
        <f>ROUNDUP(('성공적인 직업생활'!$Q12-0.5-50)/10*'성공적인 직업생활'!$H$4+'성공적인 직업생활'!$H$3, 0)</f>
        <v>13</v>
      </c>
      <c r="E36" s="102">
        <f>ROUNDUP(('농업 기초 기술'!$Q12-0.5-50)/10*'농업 기초 기술'!$H$4+'농업 기초 기술'!$H$3, 0)</f>
        <v>9</v>
      </c>
      <c r="F36" s="102">
        <f>ROUNDUP(('공업 일반'!$Q12-0.5-50)/10*'공업 일반'!$H$4+'공업 일반'!$H$3, 0)</f>
        <v>12</v>
      </c>
      <c r="G36" s="102">
        <f>ROUNDUP(('상업 경제'!$Q12-0.5-50)/10*'상업 경제'!$H$4+'상업 경제'!$H$3, 0)</f>
        <v>14</v>
      </c>
      <c r="H36" s="102">
        <f>ROUNDUP(('수산∙해운 산업 기초'!$Q12-0.5-50)/10*'수산∙해운 산업 기초'!$H$4+'수산∙해운 산업 기초'!$H$3, 0)</f>
        <v>9</v>
      </c>
      <c r="I36" s="103">
        <f>ROUNDUP(('인간 발달'!$Q12-0.5-50)/10*'인간 발달'!$H$4+'인간 발달'!$H$3, 0)</f>
        <v>13</v>
      </c>
      <c r="J36" s="108"/>
      <c r="K36" s="108"/>
      <c r="L36" s="109"/>
      <c r="M36" s="27"/>
    </row>
    <row r="37" spans="2:13" ht="23" customHeight="1" x14ac:dyDescent="0.45">
      <c r="B37" s="18"/>
      <c r="C37" s="101" t="s">
        <v>163</v>
      </c>
      <c r="D37" s="81">
        <f>ROUNDUP(('성공적인 직업생활'!$Q13-0.5-50)/10*'성공적인 직업생활'!$H$4+'성공적인 직업생활'!$H$3, 0)</f>
        <v>10</v>
      </c>
      <c r="E37" s="102">
        <f>ROUNDUP(('농업 기초 기술'!$Q13-0.5-50)/10*'농업 기초 기술'!$H$4+'농업 기초 기술'!$H$3, 0)</f>
        <v>7</v>
      </c>
      <c r="F37" s="102">
        <f>ROUNDUP(('공업 일반'!$Q13-0.5-50)/10*'공업 일반'!$H$4+'공업 일반'!$H$3, 0)</f>
        <v>9</v>
      </c>
      <c r="G37" s="102">
        <f>ROUNDUP(('상업 경제'!$Q13-0.5-50)/10*'상업 경제'!$H$4+'상업 경제'!$H$3, 0)</f>
        <v>10</v>
      </c>
      <c r="H37" s="102" t="s">
        <v>249</v>
      </c>
      <c r="I37" s="103">
        <f>ROUNDUP(('인간 발달'!$Q13-0.5-50)/10*'인간 발달'!$H$4+'인간 발달'!$H$3, 0)</f>
        <v>10</v>
      </c>
      <c r="J37" s="108"/>
      <c r="K37" s="108"/>
      <c r="L37" s="109"/>
      <c r="M37" s="27"/>
    </row>
    <row r="38" spans="2:13" ht="23" customHeight="1" thickBot="1" x14ac:dyDescent="0.5">
      <c r="B38" s="18"/>
      <c r="C38" s="104" t="s">
        <v>164</v>
      </c>
      <c r="D38" s="105">
        <f>ROUNDUP(('성공적인 직업생활'!$Q14-0.5-50)/10*'성공적인 직업생활'!$H$4+'성공적인 직업생활'!$H$3, 0)</f>
        <v>7</v>
      </c>
      <c r="E38" s="106">
        <f>ROUNDUP(('농업 기초 기술'!$Q14-0.5-50)/10*'농업 기초 기술'!$H$4+'농업 기초 기술'!$H$3, 0)</f>
        <v>5</v>
      </c>
      <c r="F38" s="106">
        <f>ROUNDUP(('공업 일반'!$Q14-0.5-50)/10*'공업 일반'!$H$4+'공업 일반'!$H$3, 0)</f>
        <v>8</v>
      </c>
      <c r="G38" s="106">
        <f>ROUNDUP(('상업 경제'!$Q14-0.5-50)/10*'상업 경제'!$H$4+'상업 경제'!$H$3, 0)</f>
        <v>6</v>
      </c>
      <c r="H38" s="106">
        <f>ROUNDUP(('수산∙해운 산업 기초'!$Q14-0.5-50)/10*'수산∙해운 산업 기초'!$H$4+'수산∙해운 산업 기초'!$H$3, 0)</f>
        <v>6</v>
      </c>
      <c r="I38" s="107">
        <f>ROUNDUP(('인간 발달'!$Q14-0.5-50)/10*'인간 발달'!$H$4+'인간 발달'!$H$3, 0)</f>
        <v>6</v>
      </c>
      <c r="J38" s="108"/>
      <c r="K38" s="108"/>
      <c r="L38" s="109"/>
      <c r="M38" s="27"/>
    </row>
    <row r="39" spans="2:13" ht="6" customHeight="1" x14ac:dyDescent="0.45">
      <c r="B39" s="21"/>
      <c r="C39" s="29"/>
      <c r="D39" s="30"/>
      <c r="E39" s="30"/>
      <c r="F39" s="30"/>
      <c r="G39" s="30"/>
      <c r="H39" s="30"/>
      <c r="I39" s="30"/>
      <c r="J39" s="30"/>
      <c r="K39" s="30"/>
      <c r="L39" s="22"/>
      <c r="M39" s="23"/>
    </row>
    <row r="40" spans="2:13" x14ac:dyDescent="0.45">
      <c r="B40" s="4"/>
      <c r="C40" s="9"/>
      <c r="D40" s="3"/>
      <c r="E40" s="3"/>
      <c r="F40" s="3"/>
      <c r="G40" s="3"/>
      <c r="H40" s="3"/>
      <c r="I40" s="3"/>
      <c r="J40" s="3"/>
      <c r="K40" s="3"/>
      <c r="L40" s="4"/>
      <c r="M40" s="4"/>
    </row>
    <row r="41" spans="2:13" s="4" customFormat="1" x14ac:dyDescent="0.45">
      <c r="C41" s="9"/>
      <c r="D41" s="3"/>
      <c r="E41" s="3"/>
      <c r="F41" s="3"/>
      <c r="G41" s="3"/>
      <c r="H41" s="3"/>
      <c r="I41" s="3"/>
      <c r="J41" s="3"/>
      <c r="K41" s="3"/>
    </row>
    <row r="42" spans="2:13" s="4" customFormat="1" x14ac:dyDescent="0.45">
      <c r="C42" s="9"/>
      <c r="D42" s="3"/>
      <c r="E42" s="3"/>
      <c r="F42" s="3"/>
      <c r="G42" s="3"/>
      <c r="H42" s="3"/>
      <c r="I42" s="3"/>
      <c r="J42" s="3"/>
      <c r="K42" s="3"/>
    </row>
    <row r="43" spans="2:13" s="4" customFormat="1" x14ac:dyDescent="0.45">
      <c r="C43" s="9"/>
      <c r="D43" s="3"/>
      <c r="E43" s="3"/>
      <c r="F43" s="3"/>
      <c r="G43" s="3"/>
      <c r="H43" s="3"/>
      <c r="I43" s="3"/>
      <c r="J43" s="3"/>
      <c r="K43" s="3"/>
    </row>
    <row r="44" spans="2:13" s="4" customFormat="1" x14ac:dyDescent="0.45">
      <c r="C44" s="9"/>
      <c r="D44" s="3"/>
      <c r="E44" s="3"/>
      <c r="F44" s="3"/>
      <c r="G44" s="3"/>
      <c r="H44" s="3"/>
      <c r="I44" s="3"/>
      <c r="J44" s="3"/>
      <c r="K44" s="3"/>
    </row>
  </sheetData>
  <mergeCells count="3">
    <mergeCell ref="D4:G4"/>
    <mergeCell ref="D5:G5"/>
    <mergeCell ref="C6:L7"/>
  </mergeCells>
  <phoneticPr fontId="1" type="noConversion"/>
  <pageMargins left="0.7" right="0.7" top="0.75" bottom="0.75" header="0.3" footer="0.3"/>
  <pageSetup paperSize="9" scale="72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430AD-7ACA-4214-9127-21364593B56D}">
  <sheetPr codeName="Sheet31"/>
  <dimension ref="A1:L16"/>
  <sheetViews>
    <sheetView topLeftCell="A2" workbookViewId="0">
      <selection activeCell="B2" sqref="B2:K16"/>
    </sheetView>
  </sheetViews>
  <sheetFormatPr defaultRowHeight="17" x14ac:dyDescent="0.45"/>
  <cols>
    <col min="2" max="2" width="1" style="4" customWidth="1"/>
    <col min="3" max="10" width="14.1640625" customWidth="1"/>
    <col min="11" max="11" width="1" customWidth="1"/>
  </cols>
  <sheetData>
    <row r="1" spans="1:12" x14ac:dyDescent="0.45">
      <c r="A1" s="4" t="s">
        <v>76</v>
      </c>
      <c r="C1" s="4"/>
      <c r="D1" s="4"/>
      <c r="E1" s="4"/>
      <c r="F1" s="4"/>
      <c r="G1" s="4"/>
      <c r="H1" s="4"/>
      <c r="I1" s="4"/>
      <c r="J1" s="4"/>
      <c r="K1" s="4"/>
    </row>
    <row r="2" spans="1:12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</row>
    <row r="3" spans="1:12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기능'!D29</f>
        <v>30.82</v>
      </c>
      <c r="I3" s="14" t="s">
        <v>99</v>
      </c>
      <c r="J3" s="36">
        <f>'통계 및 응시자 수 입력 기능'!C29</f>
        <v>275</v>
      </c>
      <c r="K3" s="27"/>
    </row>
    <row r="4" spans="1:12" ht="25" customHeight="1" thickBot="1" x14ac:dyDescent="0.5">
      <c r="A4" s="4"/>
      <c r="B4" s="18"/>
      <c r="C4" s="37" t="s">
        <v>100</v>
      </c>
      <c r="D4" s="126" t="s">
        <v>84</v>
      </c>
      <c r="E4" s="114"/>
      <c r="F4" s="115"/>
      <c r="G4" s="38" t="s">
        <v>102</v>
      </c>
      <c r="H4" s="39" t="str">
        <f>'통계 및 응시자 수 입력 기능'!E29</f>
        <v>12.59</v>
      </c>
      <c r="I4" s="15"/>
      <c r="J4" s="28"/>
      <c r="K4" s="27"/>
    </row>
    <row r="5" spans="1:12" ht="25" customHeight="1" thickBot="1" x14ac:dyDescent="0.5">
      <c r="A5" s="4"/>
      <c r="B5" s="18"/>
      <c r="C5" s="28"/>
      <c r="D5" s="28"/>
      <c r="E5" s="28"/>
      <c r="F5" s="28"/>
      <c r="G5" s="116" t="s">
        <v>183</v>
      </c>
      <c r="H5" s="116"/>
      <c r="I5" s="116"/>
      <c r="J5" s="116"/>
      <c r="K5" s="27"/>
    </row>
    <row r="6" spans="1:12" ht="25" customHeight="1" thickBot="1" x14ac:dyDescent="0.5">
      <c r="A6" s="4"/>
      <c r="B6" s="18"/>
      <c r="C6" s="40" t="s">
        <v>104</v>
      </c>
      <c r="D6" s="41" t="s">
        <v>105</v>
      </c>
      <c r="E6" s="42" t="s">
        <v>106</v>
      </c>
      <c r="F6" s="43" t="s">
        <v>107</v>
      </c>
      <c r="G6" s="43" t="s">
        <v>108</v>
      </c>
      <c r="H6" s="44" t="s">
        <v>109</v>
      </c>
      <c r="I6" s="28"/>
      <c r="J6" s="28"/>
      <c r="K6" s="27"/>
      <c r="L6" s="4"/>
    </row>
    <row r="7" spans="1:12" ht="25" customHeight="1" x14ac:dyDescent="0.45">
      <c r="A7" s="4"/>
      <c r="B7" s="18"/>
      <c r="C7" s="63">
        <v>1</v>
      </c>
      <c r="D7" s="64">
        <v>45</v>
      </c>
      <c r="E7" s="47">
        <f>'표준점수 등급컷 입력기능'!D229</f>
        <v>41</v>
      </c>
      <c r="F7" s="48">
        <f>E7/$J$3</f>
        <v>0.14909090909090908</v>
      </c>
      <c r="G7" s="49">
        <f>SUM($E$7:E7)</f>
        <v>41</v>
      </c>
      <c r="H7" s="50">
        <f>G7/$J$3</f>
        <v>0.14909090909090908</v>
      </c>
      <c r="I7" s="28"/>
      <c r="J7" s="28"/>
      <c r="K7" s="27"/>
      <c r="L7" s="4"/>
    </row>
    <row r="8" spans="1:12" ht="25" customHeight="1" x14ac:dyDescent="0.45">
      <c r="A8" s="4"/>
      <c r="B8" s="18"/>
      <c r="C8" s="65">
        <v>2</v>
      </c>
      <c r="D8" s="66">
        <v>40</v>
      </c>
      <c r="E8" s="53">
        <f>'표준점수 등급컷 입력기능'!D230</f>
        <v>54</v>
      </c>
      <c r="F8" s="54">
        <f t="shared" ref="F8:F15" si="0">E8/$J$3</f>
        <v>0.19636363636363635</v>
      </c>
      <c r="G8" s="55">
        <f>SUM($E$7:E8)</f>
        <v>95</v>
      </c>
      <c r="H8" s="56">
        <f t="shared" ref="H8:H15" si="1">G8/$J$3</f>
        <v>0.34545454545454546</v>
      </c>
      <c r="I8" s="28"/>
      <c r="J8" s="28"/>
      <c r="K8" s="27"/>
      <c r="L8" s="4"/>
    </row>
    <row r="9" spans="1:12" ht="25" customHeight="1" x14ac:dyDescent="0.45">
      <c r="A9" s="4"/>
      <c r="B9" s="18"/>
      <c r="C9" s="65">
        <v>3</v>
      </c>
      <c r="D9" s="66">
        <v>35</v>
      </c>
      <c r="E9" s="53">
        <f>'표준점수 등급컷 입력기능'!D231</f>
        <v>33</v>
      </c>
      <c r="F9" s="54">
        <f t="shared" si="0"/>
        <v>0.12</v>
      </c>
      <c r="G9" s="55">
        <f>SUM($E$7:E9)</f>
        <v>128</v>
      </c>
      <c r="H9" s="56">
        <f t="shared" si="1"/>
        <v>0.46545454545454545</v>
      </c>
      <c r="I9" s="28"/>
      <c r="J9" s="28"/>
      <c r="K9" s="27"/>
      <c r="L9" s="4"/>
    </row>
    <row r="10" spans="1:12" ht="25" customHeight="1" x14ac:dyDescent="0.45">
      <c r="A10" s="4"/>
      <c r="B10" s="18"/>
      <c r="C10" s="65">
        <v>4</v>
      </c>
      <c r="D10" s="66">
        <v>30</v>
      </c>
      <c r="E10" s="53">
        <f>'표준점수 등급컷 입력기능'!D232</f>
        <v>30</v>
      </c>
      <c r="F10" s="54">
        <f t="shared" si="0"/>
        <v>0.10909090909090909</v>
      </c>
      <c r="G10" s="55">
        <f>SUM($E$7:E10)</f>
        <v>158</v>
      </c>
      <c r="H10" s="56">
        <f t="shared" si="1"/>
        <v>0.57454545454545458</v>
      </c>
      <c r="I10" s="28"/>
      <c r="J10" s="28"/>
      <c r="K10" s="27"/>
      <c r="L10" s="4"/>
    </row>
    <row r="11" spans="1:12" ht="25" customHeight="1" x14ac:dyDescent="0.45">
      <c r="A11" s="4"/>
      <c r="B11" s="18"/>
      <c r="C11" s="65">
        <v>5</v>
      </c>
      <c r="D11" s="66">
        <v>25</v>
      </c>
      <c r="E11" s="53">
        <f>'표준점수 등급컷 입력기능'!D233</f>
        <v>28</v>
      </c>
      <c r="F11" s="54">
        <f t="shared" si="0"/>
        <v>0.10181818181818182</v>
      </c>
      <c r="G11" s="55">
        <f>SUM($E$7:E11)</f>
        <v>186</v>
      </c>
      <c r="H11" s="56">
        <f t="shared" si="1"/>
        <v>0.67636363636363639</v>
      </c>
      <c r="I11" s="28"/>
      <c r="J11" s="28"/>
      <c r="K11" s="27"/>
      <c r="L11" s="4"/>
    </row>
    <row r="12" spans="1:12" ht="25" customHeight="1" x14ac:dyDescent="0.45">
      <c r="A12" s="4"/>
      <c r="B12" s="18"/>
      <c r="C12" s="65">
        <v>6</v>
      </c>
      <c r="D12" s="66">
        <v>20</v>
      </c>
      <c r="E12" s="53">
        <f>'표준점수 등급컷 입력기능'!D234</f>
        <v>22</v>
      </c>
      <c r="F12" s="54">
        <f t="shared" si="0"/>
        <v>0.08</v>
      </c>
      <c r="G12" s="55">
        <f>SUM($E$7:E12)</f>
        <v>208</v>
      </c>
      <c r="H12" s="56">
        <f t="shared" si="1"/>
        <v>0.75636363636363635</v>
      </c>
      <c r="I12" s="28"/>
      <c r="J12" s="28"/>
      <c r="K12" s="27"/>
      <c r="L12" s="4"/>
    </row>
    <row r="13" spans="1:12" ht="25" customHeight="1" x14ac:dyDescent="0.45">
      <c r="A13" s="4"/>
      <c r="B13" s="18"/>
      <c r="C13" s="65">
        <v>7</v>
      </c>
      <c r="D13" s="66">
        <v>15</v>
      </c>
      <c r="E13" s="53">
        <f>'표준점수 등급컷 입력기능'!D235</f>
        <v>26</v>
      </c>
      <c r="F13" s="54">
        <f t="shared" si="0"/>
        <v>9.4545454545454544E-2</v>
      </c>
      <c r="G13" s="55">
        <f>SUM($E$7:E13)</f>
        <v>234</v>
      </c>
      <c r="H13" s="56">
        <f t="shared" si="1"/>
        <v>0.85090909090909095</v>
      </c>
      <c r="I13" s="28"/>
      <c r="J13" s="28"/>
      <c r="K13" s="27"/>
      <c r="L13" s="4"/>
    </row>
    <row r="14" spans="1:12" ht="25" customHeight="1" x14ac:dyDescent="0.45">
      <c r="A14" s="4"/>
      <c r="B14" s="18"/>
      <c r="C14" s="65">
        <v>8</v>
      </c>
      <c r="D14" s="66">
        <v>10</v>
      </c>
      <c r="E14" s="53">
        <f>'표준점수 등급컷 입력기능'!D236</f>
        <v>27</v>
      </c>
      <c r="F14" s="54">
        <f t="shared" si="0"/>
        <v>9.8181818181818176E-2</v>
      </c>
      <c r="G14" s="55">
        <f>SUM($E$7:E14)</f>
        <v>261</v>
      </c>
      <c r="H14" s="56">
        <f t="shared" si="1"/>
        <v>0.9490909090909091</v>
      </c>
      <c r="I14" s="28"/>
      <c r="J14" s="28"/>
      <c r="K14" s="27"/>
      <c r="L14" s="4"/>
    </row>
    <row r="15" spans="1:12" ht="25" customHeight="1" thickBot="1" x14ac:dyDescent="0.5">
      <c r="A15" s="4"/>
      <c r="B15" s="18"/>
      <c r="C15" s="67">
        <v>9</v>
      </c>
      <c r="D15" s="68">
        <v>0</v>
      </c>
      <c r="E15" s="59">
        <f>'표준점수 등급컷 입력기능'!D237</f>
        <v>14</v>
      </c>
      <c r="F15" s="60">
        <f t="shared" si="0"/>
        <v>5.0909090909090911E-2</v>
      </c>
      <c r="G15" s="61">
        <f>SUM($E$7:E15)</f>
        <v>275</v>
      </c>
      <c r="H15" s="62">
        <f t="shared" si="1"/>
        <v>1</v>
      </c>
      <c r="I15" s="28"/>
      <c r="J15" s="28"/>
      <c r="K15" s="27"/>
      <c r="L15" s="4"/>
    </row>
    <row r="16" spans="1:12" ht="6" customHeight="1" x14ac:dyDescent="0.45">
      <c r="A16" s="4"/>
      <c r="B16" s="21"/>
      <c r="C16" s="22"/>
      <c r="D16" s="22"/>
      <c r="E16" s="22"/>
      <c r="F16" s="22"/>
      <c r="G16" s="22"/>
      <c r="H16" s="22"/>
      <c r="I16" s="22"/>
      <c r="J16" s="22"/>
      <c r="K16" s="23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6F1B4-DFD9-40EF-AFFB-A0C11F56A651}">
  <sheetPr codeName="Sheet32"/>
  <dimension ref="A1:L16"/>
  <sheetViews>
    <sheetView workbookViewId="0">
      <selection activeCell="B2" sqref="B2:K16"/>
    </sheetView>
  </sheetViews>
  <sheetFormatPr defaultRowHeight="17" x14ac:dyDescent="0.45"/>
  <cols>
    <col min="2" max="2" width="1" style="4" customWidth="1"/>
    <col min="3" max="10" width="14.1640625" customWidth="1"/>
    <col min="11" max="11" width="1" customWidth="1"/>
  </cols>
  <sheetData>
    <row r="1" spans="1:12" x14ac:dyDescent="0.45">
      <c r="A1" s="4" t="s">
        <v>76</v>
      </c>
      <c r="C1" s="4"/>
      <c r="D1" s="4"/>
      <c r="E1" s="4"/>
      <c r="F1" s="4"/>
      <c r="G1" s="4"/>
      <c r="H1" s="4"/>
      <c r="I1" s="4"/>
      <c r="J1" s="4"/>
      <c r="K1" s="4"/>
    </row>
    <row r="2" spans="1:12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</row>
    <row r="3" spans="1:12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기능'!D30</f>
        <v>32.44</v>
      </c>
      <c r="I3" s="14" t="s">
        <v>99</v>
      </c>
      <c r="J3" s="36">
        <f>'통계 및 응시자 수 입력 기능'!C30</f>
        <v>442</v>
      </c>
      <c r="K3" s="27"/>
    </row>
    <row r="4" spans="1:12" ht="25" customHeight="1" thickBot="1" x14ac:dyDescent="0.5">
      <c r="A4" s="4"/>
      <c r="B4" s="18"/>
      <c r="C4" s="37" t="s">
        <v>100</v>
      </c>
      <c r="D4" s="126" t="s">
        <v>91</v>
      </c>
      <c r="E4" s="114"/>
      <c r="F4" s="115"/>
      <c r="G4" s="38" t="s">
        <v>102</v>
      </c>
      <c r="H4" s="39" t="str">
        <f>'통계 및 응시자 수 입력 기능'!E30</f>
        <v>11.57</v>
      </c>
      <c r="I4" s="15"/>
      <c r="J4" s="28"/>
      <c r="K4" s="27"/>
    </row>
    <row r="5" spans="1:12" ht="25" customHeight="1" thickBot="1" x14ac:dyDescent="0.5">
      <c r="A5" s="4"/>
      <c r="B5" s="18"/>
      <c r="C5" s="28"/>
      <c r="D5" s="28"/>
      <c r="E5" s="28"/>
      <c r="F5" s="28"/>
      <c r="G5" s="116" t="s">
        <v>183</v>
      </c>
      <c r="H5" s="116"/>
      <c r="I5" s="116"/>
      <c r="J5" s="116"/>
      <c r="K5" s="27"/>
    </row>
    <row r="6" spans="1:12" ht="25" customHeight="1" thickBot="1" x14ac:dyDescent="0.5">
      <c r="A6" s="4"/>
      <c r="B6" s="18"/>
      <c r="C6" s="40" t="s">
        <v>104</v>
      </c>
      <c r="D6" s="41" t="s">
        <v>105</v>
      </c>
      <c r="E6" s="42" t="s">
        <v>106</v>
      </c>
      <c r="F6" s="43" t="s">
        <v>107</v>
      </c>
      <c r="G6" s="43" t="s">
        <v>108</v>
      </c>
      <c r="H6" s="44" t="s">
        <v>109</v>
      </c>
      <c r="I6" s="28"/>
      <c r="J6" s="28"/>
      <c r="K6" s="27"/>
      <c r="L6" s="4"/>
    </row>
    <row r="7" spans="1:12" ht="25" customHeight="1" x14ac:dyDescent="0.45">
      <c r="A7" s="4"/>
      <c r="B7" s="18"/>
      <c r="C7" s="63">
        <v>1</v>
      </c>
      <c r="D7" s="64">
        <v>45</v>
      </c>
      <c r="E7" s="47">
        <f>'표준점수 등급컷 입력기능'!D238</f>
        <v>56</v>
      </c>
      <c r="F7" s="48">
        <f>E7/$J$3</f>
        <v>0.12669683257918551</v>
      </c>
      <c r="G7" s="49">
        <f>SUM($E$7:E7)</f>
        <v>56</v>
      </c>
      <c r="H7" s="50">
        <f>G7/$J$3</f>
        <v>0.12669683257918551</v>
      </c>
      <c r="I7" s="28"/>
      <c r="J7" s="28"/>
      <c r="K7" s="27"/>
      <c r="L7" s="4"/>
    </row>
    <row r="8" spans="1:12" ht="25" customHeight="1" x14ac:dyDescent="0.45">
      <c r="A8" s="4"/>
      <c r="B8" s="18"/>
      <c r="C8" s="65">
        <v>2</v>
      </c>
      <c r="D8" s="66">
        <v>40</v>
      </c>
      <c r="E8" s="53">
        <f>'표준점수 등급컷 입력기능'!D239</f>
        <v>97</v>
      </c>
      <c r="F8" s="54">
        <f t="shared" ref="F8:F15" si="0">E8/$J$3</f>
        <v>0.21945701357466063</v>
      </c>
      <c r="G8" s="55">
        <f>SUM($E$7:E8)</f>
        <v>153</v>
      </c>
      <c r="H8" s="56">
        <f t="shared" ref="H8:H15" si="1">G8/$J$3</f>
        <v>0.34615384615384615</v>
      </c>
      <c r="I8" s="28"/>
      <c r="J8" s="28"/>
      <c r="K8" s="27"/>
      <c r="L8" s="4"/>
    </row>
    <row r="9" spans="1:12" ht="25" customHeight="1" x14ac:dyDescent="0.45">
      <c r="A9" s="4"/>
      <c r="B9" s="18"/>
      <c r="C9" s="65">
        <v>3</v>
      </c>
      <c r="D9" s="66">
        <v>35</v>
      </c>
      <c r="E9" s="53">
        <f>'표준점수 등급컷 입력기능'!D240</f>
        <v>85</v>
      </c>
      <c r="F9" s="54">
        <f t="shared" si="0"/>
        <v>0.19230769230769232</v>
      </c>
      <c r="G9" s="55">
        <f>SUM($E$7:E9)</f>
        <v>238</v>
      </c>
      <c r="H9" s="56">
        <f t="shared" si="1"/>
        <v>0.53846153846153844</v>
      </c>
      <c r="I9" s="28"/>
      <c r="J9" s="28"/>
      <c r="K9" s="27"/>
      <c r="L9" s="4"/>
    </row>
    <row r="10" spans="1:12" ht="25" customHeight="1" x14ac:dyDescent="0.45">
      <c r="A10" s="4"/>
      <c r="B10" s="18"/>
      <c r="C10" s="65">
        <v>4</v>
      </c>
      <c r="D10" s="66">
        <v>30</v>
      </c>
      <c r="E10" s="53">
        <f>'표준점수 등급컷 입력기능'!D241</f>
        <v>63</v>
      </c>
      <c r="F10" s="54">
        <f t="shared" si="0"/>
        <v>0.1425339366515837</v>
      </c>
      <c r="G10" s="55">
        <f>SUM($E$7:E10)</f>
        <v>301</v>
      </c>
      <c r="H10" s="56">
        <f t="shared" si="1"/>
        <v>0.6809954751131222</v>
      </c>
      <c r="I10" s="28"/>
      <c r="J10" s="28"/>
      <c r="K10" s="27"/>
      <c r="L10" s="4"/>
    </row>
    <row r="11" spans="1:12" ht="25" customHeight="1" x14ac:dyDescent="0.45">
      <c r="A11" s="4"/>
      <c r="B11" s="18"/>
      <c r="C11" s="65">
        <v>5</v>
      </c>
      <c r="D11" s="66">
        <v>25</v>
      </c>
      <c r="E11" s="53">
        <f>'표준점수 등급컷 입력기능'!D242</f>
        <v>29</v>
      </c>
      <c r="F11" s="54">
        <f t="shared" si="0"/>
        <v>6.561085972850679E-2</v>
      </c>
      <c r="G11" s="55">
        <f>SUM($E$7:E11)</f>
        <v>330</v>
      </c>
      <c r="H11" s="56">
        <f t="shared" si="1"/>
        <v>0.74660633484162897</v>
      </c>
      <c r="I11" s="28"/>
      <c r="J11" s="28"/>
      <c r="K11" s="27"/>
      <c r="L11" s="4"/>
    </row>
    <row r="12" spans="1:12" ht="25" customHeight="1" x14ac:dyDescent="0.45">
      <c r="A12" s="4"/>
      <c r="B12" s="18"/>
      <c r="C12" s="65">
        <v>6</v>
      </c>
      <c r="D12" s="66">
        <v>20</v>
      </c>
      <c r="E12" s="53">
        <f>'표준점수 등급컷 입력기능'!D243</f>
        <v>32</v>
      </c>
      <c r="F12" s="54">
        <f t="shared" si="0"/>
        <v>7.2398190045248875E-2</v>
      </c>
      <c r="G12" s="55">
        <f>SUM($E$7:E12)</f>
        <v>362</v>
      </c>
      <c r="H12" s="56">
        <f t="shared" si="1"/>
        <v>0.8190045248868778</v>
      </c>
      <c r="I12" s="28"/>
      <c r="J12" s="28"/>
      <c r="K12" s="27"/>
      <c r="L12" s="4"/>
    </row>
    <row r="13" spans="1:12" ht="25" customHeight="1" x14ac:dyDescent="0.45">
      <c r="A13" s="4"/>
      <c r="B13" s="18"/>
      <c r="C13" s="65">
        <v>7</v>
      </c>
      <c r="D13" s="66">
        <v>15</v>
      </c>
      <c r="E13" s="53">
        <f>'표준점수 등급컷 입력기능'!D244</f>
        <v>26</v>
      </c>
      <c r="F13" s="54">
        <f t="shared" si="0"/>
        <v>5.8823529411764705E-2</v>
      </c>
      <c r="G13" s="55">
        <f>SUM($E$7:E13)</f>
        <v>388</v>
      </c>
      <c r="H13" s="56">
        <f t="shared" si="1"/>
        <v>0.87782805429864252</v>
      </c>
      <c r="I13" s="28"/>
      <c r="J13" s="28"/>
      <c r="K13" s="27"/>
      <c r="L13" s="4"/>
    </row>
    <row r="14" spans="1:12" ht="25" customHeight="1" x14ac:dyDescent="0.45">
      <c r="A14" s="4"/>
      <c r="B14" s="18"/>
      <c r="C14" s="65">
        <v>8</v>
      </c>
      <c r="D14" s="66">
        <v>10</v>
      </c>
      <c r="E14" s="53">
        <f>'표준점수 등급컷 입력기능'!D245</f>
        <v>38</v>
      </c>
      <c r="F14" s="54">
        <f t="shared" si="0"/>
        <v>8.5972850678733032E-2</v>
      </c>
      <c r="G14" s="55">
        <f>SUM($E$7:E14)</f>
        <v>426</v>
      </c>
      <c r="H14" s="56">
        <f t="shared" si="1"/>
        <v>0.96380090497737558</v>
      </c>
      <c r="I14" s="28"/>
      <c r="J14" s="28"/>
      <c r="K14" s="27"/>
      <c r="L14" s="4"/>
    </row>
    <row r="15" spans="1:12" ht="25" customHeight="1" thickBot="1" x14ac:dyDescent="0.5">
      <c r="A15" s="4"/>
      <c r="B15" s="18"/>
      <c r="C15" s="67">
        <v>9</v>
      </c>
      <c r="D15" s="68">
        <v>0</v>
      </c>
      <c r="E15" s="59">
        <f>'표준점수 등급컷 입력기능'!D246</f>
        <v>16</v>
      </c>
      <c r="F15" s="60">
        <f t="shared" si="0"/>
        <v>3.6199095022624438E-2</v>
      </c>
      <c r="G15" s="61">
        <f>SUM($E$7:E15)</f>
        <v>442</v>
      </c>
      <c r="H15" s="62">
        <f t="shared" si="1"/>
        <v>1</v>
      </c>
      <c r="I15" s="28"/>
      <c r="J15" s="28"/>
      <c r="K15" s="27"/>
      <c r="L15" s="4"/>
    </row>
    <row r="16" spans="1:12" ht="6" customHeight="1" x14ac:dyDescent="0.45">
      <c r="A16" s="4"/>
      <c r="B16" s="21"/>
      <c r="C16" s="22"/>
      <c r="D16" s="22"/>
      <c r="E16" s="22"/>
      <c r="F16" s="22"/>
      <c r="G16" s="22"/>
      <c r="H16" s="22"/>
      <c r="I16" s="22"/>
      <c r="J16" s="22"/>
      <c r="K16" s="23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55FA9-377E-4056-8BC5-D81A64DEDC23}">
  <sheetPr codeName="Sheet33"/>
  <dimension ref="A1:L16"/>
  <sheetViews>
    <sheetView workbookViewId="0">
      <selection activeCell="B2" sqref="B2:K16"/>
    </sheetView>
  </sheetViews>
  <sheetFormatPr defaultRowHeight="17" x14ac:dyDescent="0.45"/>
  <cols>
    <col min="2" max="2" width="1" style="4" customWidth="1"/>
    <col min="3" max="10" width="14.1640625" customWidth="1"/>
    <col min="11" max="11" width="1" customWidth="1"/>
  </cols>
  <sheetData>
    <row r="1" spans="1:12" x14ac:dyDescent="0.45">
      <c r="A1" s="4" t="s">
        <v>76</v>
      </c>
      <c r="C1" s="4"/>
      <c r="D1" s="4"/>
      <c r="E1" s="4"/>
      <c r="F1" s="4"/>
      <c r="G1" s="4"/>
      <c r="H1" s="4"/>
      <c r="I1" s="4"/>
      <c r="J1" s="4"/>
      <c r="K1" s="4"/>
    </row>
    <row r="2" spans="1:12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</row>
    <row r="3" spans="1:12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기능'!D31</f>
        <v>33.50</v>
      </c>
      <c r="I3" s="14" t="s">
        <v>99</v>
      </c>
      <c r="J3" s="36">
        <f>'통계 및 응시자 수 입력 기능'!C31</f>
        <v>470</v>
      </c>
      <c r="K3" s="27"/>
    </row>
    <row r="4" spans="1:12" ht="25" customHeight="1" thickBot="1" x14ac:dyDescent="0.5">
      <c r="A4" s="4"/>
      <c r="B4" s="18"/>
      <c r="C4" s="37" t="s">
        <v>100</v>
      </c>
      <c r="D4" s="126" t="s">
        <v>92</v>
      </c>
      <c r="E4" s="114"/>
      <c r="F4" s="115"/>
      <c r="G4" s="38" t="s">
        <v>102</v>
      </c>
      <c r="H4" s="39" t="str">
        <f>'통계 및 응시자 수 입력 기능'!E31</f>
        <v>12.14</v>
      </c>
      <c r="I4" s="15"/>
      <c r="J4" s="28"/>
      <c r="K4" s="27"/>
    </row>
    <row r="5" spans="1:12" ht="25" customHeight="1" thickBot="1" x14ac:dyDescent="0.5">
      <c r="A5" s="4"/>
      <c r="B5" s="18"/>
      <c r="C5" s="28"/>
      <c r="D5" s="28"/>
      <c r="E5" s="28"/>
      <c r="F5" s="28"/>
      <c r="G5" s="116" t="s">
        <v>183</v>
      </c>
      <c r="H5" s="116"/>
      <c r="I5" s="116"/>
      <c r="J5" s="116"/>
      <c r="K5" s="27"/>
    </row>
    <row r="6" spans="1:12" ht="25" customHeight="1" thickBot="1" x14ac:dyDescent="0.5">
      <c r="A6" s="4"/>
      <c r="B6" s="18"/>
      <c r="C6" s="40" t="s">
        <v>104</v>
      </c>
      <c r="D6" s="41" t="s">
        <v>105</v>
      </c>
      <c r="E6" s="42" t="s">
        <v>106</v>
      </c>
      <c r="F6" s="43" t="s">
        <v>107</v>
      </c>
      <c r="G6" s="43" t="s">
        <v>108</v>
      </c>
      <c r="H6" s="44" t="s">
        <v>109</v>
      </c>
      <c r="I6" s="28"/>
      <c r="J6" s="28"/>
      <c r="K6" s="27"/>
      <c r="L6" s="4"/>
    </row>
    <row r="7" spans="1:12" ht="25" customHeight="1" x14ac:dyDescent="0.45">
      <c r="A7" s="4"/>
      <c r="B7" s="18"/>
      <c r="C7" s="63">
        <v>1</v>
      </c>
      <c r="D7" s="64">
        <v>45</v>
      </c>
      <c r="E7" s="47">
        <f>'표준점수 등급컷 입력기능'!D247</f>
        <v>96</v>
      </c>
      <c r="F7" s="48">
        <f>E7/$J$3</f>
        <v>0.20425531914893616</v>
      </c>
      <c r="G7" s="49">
        <f>SUM($E$7:E7)</f>
        <v>96</v>
      </c>
      <c r="H7" s="50">
        <f>G7/$J$3</f>
        <v>0.20425531914893616</v>
      </c>
      <c r="I7" s="28"/>
      <c r="J7" s="28"/>
      <c r="K7" s="27"/>
      <c r="L7" s="4"/>
    </row>
    <row r="8" spans="1:12" ht="25" customHeight="1" x14ac:dyDescent="0.45">
      <c r="A8" s="4"/>
      <c r="B8" s="18"/>
      <c r="C8" s="65">
        <v>2</v>
      </c>
      <c r="D8" s="66">
        <v>40</v>
      </c>
      <c r="E8" s="53">
        <f>'표준점수 등급컷 입력기능'!D248</f>
        <v>103</v>
      </c>
      <c r="F8" s="54">
        <f t="shared" ref="F8:F15" si="0">E8/$J$3</f>
        <v>0.21914893617021278</v>
      </c>
      <c r="G8" s="55">
        <f>SUM($E$7:E8)</f>
        <v>199</v>
      </c>
      <c r="H8" s="56">
        <f t="shared" ref="H8:H15" si="1">G8/$J$3</f>
        <v>0.42340425531914894</v>
      </c>
      <c r="I8" s="28"/>
      <c r="J8" s="28"/>
      <c r="K8" s="27"/>
      <c r="L8" s="4"/>
    </row>
    <row r="9" spans="1:12" ht="25" customHeight="1" x14ac:dyDescent="0.45">
      <c r="A9" s="4"/>
      <c r="B9" s="18"/>
      <c r="C9" s="65">
        <v>3</v>
      </c>
      <c r="D9" s="66">
        <v>35</v>
      </c>
      <c r="E9" s="53">
        <f>'표준점수 등급컷 입력기능'!D249</f>
        <v>70</v>
      </c>
      <c r="F9" s="54">
        <f t="shared" si="0"/>
        <v>0.14893617021276595</v>
      </c>
      <c r="G9" s="55">
        <f>SUM($E$7:E9)</f>
        <v>269</v>
      </c>
      <c r="H9" s="56">
        <f t="shared" si="1"/>
        <v>0.57234042553191489</v>
      </c>
      <c r="I9" s="28"/>
      <c r="J9" s="28"/>
      <c r="K9" s="27"/>
      <c r="L9" s="4"/>
    </row>
    <row r="10" spans="1:12" ht="25" customHeight="1" x14ac:dyDescent="0.45">
      <c r="A10" s="4"/>
      <c r="B10" s="18"/>
      <c r="C10" s="65">
        <v>4</v>
      </c>
      <c r="D10" s="66">
        <v>30</v>
      </c>
      <c r="E10" s="53">
        <f>'표준점수 등급컷 입력기능'!D250</f>
        <v>42</v>
      </c>
      <c r="F10" s="54">
        <f t="shared" si="0"/>
        <v>8.9361702127659579E-2</v>
      </c>
      <c r="G10" s="55">
        <f>SUM($E$7:E10)</f>
        <v>311</v>
      </c>
      <c r="H10" s="56">
        <f t="shared" si="1"/>
        <v>0.66170212765957448</v>
      </c>
      <c r="I10" s="28"/>
      <c r="J10" s="28"/>
      <c r="K10" s="27"/>
      <c r="L10" s="4"/>
    </row>
    <row r="11" spans="1:12" ht="25" customHeight="1" x14ac:dyDescent="0.45">
      <c r="A11" s="4"/>
      <c r="B11" s="18"/>
      <c r="C11" s="65">
        <v>5</v>
      </c>
      <c r="D11" s="66">
        <v>25</v>
      </c>
      <c r="E11" s="53">
        <f>'표준점수 등급컷 입력기능'!D251</f>
        <v>41</v>
      </c>
      <c r="F11" s="54">
        <f t="shared" si="0"/>
        <v>8.723404255319149E-2</v>
      </c>
      <c r="G11" s="55">
        <f>SUM($E$7:E11)</f>
        <v>352</v>
      </c>
      <c r="H11" s="56">
        <f t="shared" si="1"/>
        <v>0.74893617021276593</v>
      </c>
      <c r="I11" s="28"/>
      <c r="J11" s="28"/>
      <c r="K11" s="27"/>
      <c r="L11" s="4"/>
    </row>
    <row r="12" spans="1:12" ht="25" customHeight="1" x14ac:dyDescent="0.45">
      <c r="A12" s="4"/>
      <c r="B12" s="18"/>
      <c r="C12" s="65">
        <v>6</v>
      </c>
      <c r="D12" s="66">
        <v>20</v>
      </c>
      <c r="E12" s="53">
        <f>'표준점수 등급컷 입력기능'!D252</f>
        <v>36</v>
      </c>
      <c r="F12" s="54">
        <f t="shared" si="0"/>
        <v>7.6595744680851063E-2</v>
      </c>
      <c r="G12" s="55">
        <f>SUM($E$7:E12)</f>
        <v>388</v>
      </c>
      <c r="H12" s="56">
        <f t="shared" si="1"/>
        <v>0.82553191489361699</v>
      </c>
      <c r="I12" s="28"/>
      <c r="J12" s="28"/>
      <c r="K12" s="27"/>
      <c r="L12" s="4"/>
    </row>
    <row r="13" spans="1:12" ht="25" customHeight="1" x14ac:dyDescent="0.45">
      <c r="A13" s="4"/>
      <c r="B13" s="18"/>
      <c r="C13" s="65">
        <v>7</v>
      </c>
      <c r="D13" s="66">
        <v>15</v>
      </c>
      <c r="E13" s="53">
        <f>'표준점수 등급컷 입력기능'!D253</f>
        <v>26</v>
      </c>
      <c r="F13" s="54">
        <f t="shared" si="0"/>
        <v>5.5319148936170209E-2</v>
      </c>
      <c r="G13" s="55">
        <f>SUM($E$7:E13)</f>
        <v>414</v>
      </c>
      <c r="H13" s="56">
        <f t="shared" si="1"/>
        <v>0.88085106382978728</v>
      </c>
      <c r="I13" s="28"/>
      <c r="J13" s="28"/>
      <c r="K13" s="27"/>
      <c r="L13" s="4"/>
    </row>
    <row r="14" spans="1:12" ht="25" customHeight="1" x14ac:dyDescent="0.45">
      <c r="A14" s="4"/>
      <c r="B14" s="18"/>
      <c r="C14" s="65">
        <v>8</v>
      </c>
      <c r="D14" s="66">
        <v>10</v>
      </c>
      <c r="E14" s="53">
        <f>'표준점수 등급컷 입력기능'!D254</f>
        <v>41</v>
      </c>
      <c r="F14" s="54">
        <f t="shared" si="0"/>
        <v>8.723404255319149E-2</v>
      </c>
      <c r="G14" s="55">
        <f>SUM($E$7:E14)</f>
        <v>455</v>
      </c>
      <c r="H14" s="56">
        <f t="shared" si="1"/>
        <v>0.96808510638297873</v>
      </c>
      <c r="I14" s="28"/>
      <c r="J14" s="28"/>
      <c r="K14" s="27"/>
      <c r="L14" s="4"/>
    </row>
    <row r="15" spans="1:12" ht="25" customHeight="1" thickBot="1" x14ac:dyDescent="0.5">
      <c r="A15" s="4"/>
      <c r="B15" s="18"/>
      <c r="C15" s="67">
        <v>9</v>
      </c>
      <c r="D15" s="68">
        <v>0</v>
      </c>
      <c r="E15" s="59">
        <f>'표준점수 등급컷 입력기능'!D255</f>
        <v>15</v>
      </c>
      <c r="F15" s="60">
        <f t="shared" si="0"/>
        <v>3.1914893617021274E-2</v>
      </c>
      <c r="G15" s="61">
        <f>SUM($E$7:E15)</f>
        <v>470</v>
      </c>
      <c r="H15" s="62">
        <f t="shared" si="1"/>
        <v>1</v>
      </c>
      <c r="I15" s="28"/>
      <c r="J15" s="28"/>
      <c r="K15" s="27"/>
      <c r="L15" s="4"/>
    </row>
    <row r="16" spans="1:12" ht="6" customHeight="1" x14ac:dyDescent="0.45">
      <c r="A16" s="4"/>
      <c r="B16" s="21"/>
      <c r="C16" s="22"/>
      <c r="D16" s="22"/>
      <c r="E16" s="22"/>
      <c r="F16" s="22"/>
      <c r="G16" s="22"/>
      <c r="H16" s="22"/>
      <c r="I16" s="22"/>
      <c r="J16" s="22"/>
      <c r="K16" s="23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64671-0ED4-4551-B083-68EB6D4B16D8}">
  <sheetPr codeName="Sheet34"/>
  <dimension ref="A1:L16"/>
  <sheetViews>
    <sheetView workbookViewId="0">
      <selection activeCell="B2" sqref="B2:K16"/>
    </sheetView>
  </sheetViews>
  <sheetFormatPr defaultRowHeight="17" x14ac:dyDescent="0.45"/>
  <cols>
    <col min="2" max="2" width="1" style="4" customWidth="1"/>
    <col min="3" max="10" width="14.1640625" customWidth="1"/>
    <col min="11" max="11" width="1" customWidth="1"/>
  </cols>
  <sheetData>
    <row r="1" spans="1:12" x14ac:dyDescent="0.45">
      <c r="A1" s="4" t="s">
        <v>76</v>
      </c>
      <c r="C1" s="4"/>
      <c r="D1" s="4"/>
      <c r="E1" s="4"/>
      <c r="F1" s="4"/>
      <c r="G1" s="4"/>
      <c r="H1" s="4"/>
      <c r="I1" s="4"/>
      <c r="J1" s="4"/>
      <c r="K1" s="4"/>
    </row>
    <row r="2" spans="1:12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</row>
    <row r="3" spans="1:12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기능'!D32</f>
        <v>30.20</v>
      </c>
      <c r="I3" s="14" t="s">
        <v>99</v>
      </c>
      <c r="J3" s="36">
        <f>'통계 및 응시자 수 입력 기능'!C32</f>
        <v>820</v>
      </c>
      <c r="K3" s="27"/>
    </row>
    <row r="4" spans="1:12" ht="25" customHeight="1" thickBot="1" x14ac:dyDescent="0.5">
      <c r="A4" s="4"/>
      <c r="B4" s="18"/>
      <c r="C4" s="37" t="s">
        <v>100</v>
      </c>
      <c r="D4" s="126" t="s">
        <v>93</v>
      </c>
      <c r="E4" s="114"/>
      <c r="F4" s="115"/>
      <c r="G4" s="38" t="s">
        <v>102</v>
      </c>
      <c r="H4" s="39" t="str">
        <f>'통계 및 응시자 수 입력 기능'!E32</f>
        <v>12.82</v>
      </c>
      <c r="I4" s="15"/>
      <c r="J4" s="28"/>
      <c r="K4" s="27"/>
    </row>
    <row r="5" spans="1:12" ht="25" customHeight="1" thickBot="1" x14ac:dyDescent="0.5">
      <c r="A5" s="4"/>
      <c r="B5" s="18"/>
      <c r="C5" s="28"/>
      <c r="D5" s="28"/>
      <c r="E5" s="28"/>
      <c r="F5" s="28"/>
      <c r="G5" s="116" t="s">
        <v>183</v>
      </c>
      <c r="H5" s="116"/>
      <c r="I5" s="116"/>
      <c r="J5" s="116"/>
      <c r="K5" s="27"/>
    </row>
    <row r="6" spans="1:12" ht="25" customHeight="1" thickBot="1" x14ac:dyDescent="0.5">
      <c r="A6" s="4"/>
      <c r="B6" s="18"/>
      <c r="C6" s="40" t="s">
        <v>104</v>
      </c>
      <c r="D6" s="41" t="s">
        <v>105</v>
      </c>
      <c r="E6" s="42" t="s">
        <v>106</v>
      </c>
      <c r="F6" s="43" t="s">
        <v>107</v>
      </c>
      <c r="G6" s="43" t="s">
        <v>108</v>
      </c>
      <c r="H6" s="44" t="s">
        <v>109</v>
      </c>
      <c r="I6" s="28"/>
      <c r="J6" s="28"/>
      <c r="K6" s="27"/>
      <c r="L6" s="4"/>
    </row>
    <row r="7" spans="1:12" ht="25" customHeight="1" x14ac:dyDescent="0.45">
      <c r="A7" s="4"/>
      <c r="B7" s="18"/>
      <c r="C7" s="63">
        <v>1</v>
      </c>
      <c r="D7" s="64">
        <v>45</v>
      </c>
      <c r="E7" s="47">
        <f>'표준점수 등급컷 입력기능'!D256</f>
        <v>98</v>
      </c>
      <c r="F7" s="48">
        <f>E7/$J$3</f>
        <v>0.11951219512195121</v>
      </c>
      <c r="G7" s="49">
        <f>SUM($E$7:E7)</f>
        <v>98</v>
      </c>
      <c r="H7" s="50">
        <f>G7/$J$3</f>
        <v>0.11951219512195121</v>
      </c>
      <c r="I7" s="28"/>
      <c r="J7" s="28"/>
      <c r="K7" s="27"/>
      <c r="L7" s="4"/>
    </row>
    <row r="8" spans="1:12" ht="25" customHeight="1" x14ac:dyDescent="0.45">
      <c r="A8" s="4"/>
      <c r="B8" s="18"/>
      <c r="C8" s="65">
        <v>2</v>
      </c>
      <c r="D8" s="66">
        <v>40</v>
      </c>
      <c r="E8" s="53">
        <f>'표준점수 등급컷 입력기능'!D257</f>
        <v>154</v>
      </c>
      <c r="F8" s="54">
        <f t="shared" ref="F8:F15" si="0">E8/$J$3</f>
        <v>0.18780487804878049</v>
      </c>
      <c r="G8" s="55">
        <f>SUM($E$7:E8)</f>
        <v>252</v>
      </c>
      <c r="H8" s="56">
        <f t="shared" ref="H8:H15" si="1">G8/$J$3</f>
        <v>0.3073170731707317</v>
      </c>
      <c r="I8" s="28"/>
      <c r="J8" s="28"/>
      <c r="K8" s="27"/>
      <c r="L8" s="4"/>
    </row>
    <row r="9" spans="1:12" ht="25" customHeight="1" x14ac:dyDescent="0.45">
      <c r="A9" s="4"/>
      <c r="B9" s="18"/>
      <c r="C9" s="65">
        <v>3</v>
      </c>
      <c r="D9" s="66">
        <v>35</v>
      </c>
      <c r="E9" s="53">
        <f>'표준점수 등급컷 입력기능'!D258</f>
        <v>140</v>
      </c>
      <c r="F9" s="54">
        <f t="shared" si="0"/>
        <v>0.17073170731707318</v>
      </c>
      <c r="G9" s="55">
        <f>SUM($E$7:E9)</f>
        <v>392</v>
      </c>
      <c r="H9" s="56">
        <f t="shared" si="1"/>
        <v>0.47804878048780486</v>
      </c>
      <c r="I9" s="28"/>
      <c r="J9" s="28"/>
      <c r="K9" s="27"/>
      <c r="L9" s="4"/>
    </row>
    <row r="10" spans="1:12" ht="25" customHeight="1" x14ac:dyDescent="0.45">
      <c r="A10" s="4"/>
      <c r="B10" s="18"/>
      <c r="C10" s="65">
        <v>4</v>
      </c>
      <c r="D10" s="66">
        <v>30</v>
      </c>
      <c r="E10" s="53">
        <f>'표준점수 등급컷 입력기능'!D259</f>
        <v>89</v>
      </c>
      <c r="F10" s="54">
        <f t="shared" si="0"/>
        <v>0.10853658536585366</v>
      </c>
      <c r="G10" s="55">
        <f>SUM($E$7:E10)</f>
        <v>481</v>
      </c>
      <c r="H10" s="56">
        <f t="shared" si="1"/>
        <v>0.5865853658536585</v>
      </c>
      <c r="I10" s="28"/>
      <c r="J10" s="28"/>
      <c r="K10" s="27"/>
      <c r="L10" s="4"/>
    </row>
    <row r="11" spans="1:12" ht="25" customHeight="1" x14ac:dyDescent="0.45">
      <c r="A11" s="4"/>
      <c r="B11" s="18"/>
      <c r="C11" s="65">
        <v>5</v>
      </c>
      <c r="D11" s="66">
        <v>25</v>
      </c>
      <c r="E11" s="53">
        <f>'표준점수 등급컷 입력기능'!D260</f>
        <v>60</v>
      </c>
      <c r="F11" s="54">
        <f t="shared" si="0"/>
        <v>7.3170731707317069E-2</v>
      </c>
      <c r="G11" s="55">
        <f>SUM($E$7:E11)</f>
        <v>541</v>
      </c>
      <c r="H11" s="56">
        <f t="shared" si="1"/>
        <v>0.65975609756097564</v>
      </c>
      <c r="I11" s="28"/>
      <c r="J11" s="28"/>
      <c r="K11" s="27"/>
      <c r="L11" s="4"/>
    </row>
    <row r="12" spans="1:12" ht="25" customHeight="1" x14ac:dyDescent="0.45">
      <c r="A12" s="4"/>
      <c r="B12" s="18"/>
      <c r="C12" s="65">
        <v>6</v>
      </c>
      <c r="D12" s="66">
        <v>20</v>
      </c>
      <c r="E12" s="53">
        <f>'표준점수 등급컷 입력기능'!D261</f>
        <v>59</v>
      </c>
      <c r="F12" s="54">
        <f t="shared" si="0"/>
        <v>7.1951219512195116E-2</v>
      </c>
      <c r="G12" s="55">
        <f>SUM($E$7:E12)</f>
        <v>600</v>
      </c>
      <c r="H12" s="56">
        <f t="shared" si="1"/>
        <v>0.73170731707317072</v>
      </c>
      <c r="I12" s="28"/>
      <c r="J12" s="28"/>
      <c r="K12" s="27"/>
      <c r="L12" s="4"/>
    </row>
    <row r="13" spans="1:12" ht="25" customHeight="1" x14ac:dyDescent="0.45">
      <c r="A13" s="4"/>
      <c r="B13" s="18"/>
      <c r="C13" s="65">
        <v>7</v>
      </c>
      <c r="D13" s="66">
        <v>15</v>
      </c>
      <c r="E13" s="53">
        <f>'표준점수 등급컷 입력기능'!D262</f>
        <v>73</v>
      </c>
      <c r="F13" s="54">
        <f t="shared" si="0"/>
        <v>8.9024390243902435E-2</v>
      </c>
      <c r="G13" s="55">
        <f>SUM($E$7:E13)</f>
        <v>673</v>
      </c>
      <c r="H13" s="56">
        <f t="shared" si="1"/>
        <v>0.82073170731707312</v>
      </c>
      <c r="I13" s="28"/>
      <c r="J13" s="28"/>
      <c r="K13" s="27"/>
      <c r="L13" s="4"/>
    </row>
    <row r="14" spans="1:12" ht="25" customHeight="1" x14ac:dyDescent="0.45">
      <c r="A14" s="4"/>
      <c r="B14" s="18"/>
      <c r="C14" s="65">
        <v>8</v>
      </c>
      <c r="D14" s="66">
        <v>10</v>
      </c>
      <c r="E14" s="53">
        <f>'표준점수 등급컷 입력기능'!D263</f>
        <v>93</v>
      </c>
      <c r="F14" s="54">
        <f t="shared" si="0"/>
        <v>0.11341463414634147</v>
      </c>
      <c r="G14" s="55">
        <f>SUM($E$7:E14)</f>
        <v>766</v>
      </c>
      <c r="H14" s="56">
        <f t="shared" si="1"/>
        <v>0.93414634146341469</v>
      </c>
      <c r="I14" s="28"/>
      <c r="J14" s="28"/>
      <c r="K14" s="27"/>
      <c r="L14" s="4"/>
    </row>
    <row r="15" spans="1:12" ht="25" customHeight="1" thickBot="1" x14ac:dyDescent="0.5">
      <c r="A15" s="4"/>
      <c r="B15" s="18"/>
      <c r="C15" s="67">
        <v>9</v>
      </c>
      <c r="D15" s="68">
        <v>0</v>
      </c>
      <c r="E15" s="59">
        <f>'표준점수 등급컷 입력기능'!D264</f>
        <v>54</v>
      </c>
      <c r="F15" s="60">
        <f t="shared" si="0"/>
        <v>6.5853658536585369E-2</v>
      </c>
      <c r="G15" s="61">
        <f>SUM($E$7:E15)</f>
        <v>820</v>
      </c>
      <c r="H15" s="62">
        <f t="shared" si="1"/>
        <v>1</v>
      </c>
      <c r="I15" s="28"/>
      <c r="J15" s="28"/>
      <c r="K15" s="27"/>
      <c r="L15" s="4"/>
    </row>
    <row r="16" spans="1:12" ht="6" customHeight="1" x14ac:dyDescent="0.45">
      <c r="A16" s="4"/>
      <c r="B16" s="21"/>
      <c r="C16" s="22"/>
      <c r="D16" s="22"/>
      <c r="E16" s="22"/>
      <c r="F16" s="22"/>
      <c r="G16" s="22"/>
      <c r="H16" s="22"/>
      <c r="I16" s="22"/>
      <c r="J16" s="22"/>
      <c r="K16" s="23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2E454-4F26-4A4C-8296-1471B77350A0}">
  <sheetPr codeName="Sheet35"/>
  <dimension ref="A1:L16"/>
  <sheetViews>
    <sheetView workbookViewId="0">
      <selection activeCell="B2" sqref="B2:K16"/>
    </sheetView>
  </sheetViews>
  <sheetFormatPr defaultRowHeight="17" x14ac:dyDescent="0.45"/>
  <cols>
    <col min="2" max="2" width="1" style="4" customWidth="1"/>
    <col min="3" max="10" width="14.1640625" customWidth="1"/>
    <col min="11" max="11" width="1" customWidth="1"/>
  </cols>
  <sheetData>
    <row r="1" spans="1:12" x14ac:dyDescent="0.45">
      <c r="A1" s="4" t="s">
        <v>76</v>
      </c>
      <c r="C1" s="4"/>
      <c r="D1" s="4"/>
      <c r="E1" s="4"/>
      <c r="F1" s="4"/>
      <c r="G1" s="4"/>
      <c r="H1" s="4"/>
      <c r="I1" s="4"/>
      <c r="J1" s="4"/>
      <c r="K1" s="4"/>
    </row>
    <row r="2" spans="1:12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</row>
    <row r="3" spans="1:12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기능'!D33</f>
        <v>31.59</v>
      </c>
      <c r="I3" s="14" t="s">
        <v>99</v>
      </c>
      <c r="J3" s="36">
        <f>'통계 및 응시자 수 입력 기능'!C33</f>
        <v>666</v>
      </c>
      <c r="K3" s="27"/>
    </row>
    <row r="4" spans="1:12" ht="25" customHeight="1" thickBot="1" x14ac:dyDescent="0.5">
      <c r="A4" s="4"/>
      <c r="B4" s="18"/>
      <c r="C4" s="37" t="s">
        <v>100</v>
      </c>
      <c r="D4" s="126" t="s">
        <v>94</v>
      </c>
      <c r="E4" s="114"/>
      <c r="F4" s="115"/>
      <c r="G4" s="38" t="s">
        <v>102</v>
      </c>
      <c r="H4" s="39" t="str">
        <f>'통계 및 응시자 수 입력 기능'!E33</f>
        <v>14.07</v>
      </c>
      <c r="I4" s="15"/>
      <c r="J4" s="28"/>
      <c r="K4" s="27"/>
    </row>
    <row r="5" spans="1:12" ht="25" customHeight="1" thickBot="1" x14ac:dyDescent="0.5">
      <c r="A5" s="4"/>
      <c r="B5" s="18"/>
      <c r="C5" s="28"/>
      <c r="D5" s="28"/>
      <c r="E5" s="28"/>
      <c r="F5" s="28"/>
      <c r="G5" s="116" t="s">
        <v>183</v>
      </c>
      <c r="H5" s="116"/>
      <c r="I5" s="116"/>
      <c r="J5" s="116"/>
      <c r="K5" s="27"/>
    </row>
    <row r="6" spans="1:12" ht="25" customHeight="1" thickBot="1" x14ac:dyDescent="0.5">
      <c r="A6" s="4"/>
      <c r="B6" s="18"/>
      <c r="C6" s="40" t="s">
        <v>104</v>
      </c>
      <c r="D6" s="41" t="s">
        <v>105</v>
      </c>
      <c r="E6" s="42" t="s">
        <v>106</v>
      </c>
      <c r="F6" s="43" t="s">
        <v>107</v>
      </c>
      <c r="G6" s="43" t="s">
        <v>108</v>
      </c>
      <c r="H6" s="44" t="s">
        <v>109</v>
      </c>
      <c r="I6" s="28"/>
      <c r="J6" s="28"/>
      <c r="K6" s="27"/>
      <c r="L6" s="4"/>
    </row>
    <row r="7" spans="1:12" ht="25" customHeight="1" x14ac:dyDescent="0.45">
      <c r="A7" s="4"/>
      <c r="B7" s="18"/>
      <c r="C7" s="63">
        <v>1</v>
      </c>
      <c r="D7" s="64">
        <v>45</v>
      </c>
      <c r="E7" s="47">
        <f>'표준점수 등급컷 입력기능'!D265</f>
        <v>166</v>
      </c>
      <c r="F7" s="48">
        <f>E7/$J$3</f>
        <v>0.24924924924924924</v>
      </c>
      <c r="G7" s="49">
        <f>SUM($E$7:E7)</f>
        <v>166</v>
      </c>
      <c r="H7" s="50">
        <f>G7/$J$3</f>
        <v>0.24924924924924924</v>
      </c>
      <c r="I7" s="28"/>
      <c r="J7" s="28"/>
      <c r="K7" s="27"/>
      <c r="L7" s="4"/>
    </row>
    <row r="8" spans="1:12" ht="25" customHeight="1" x14ac:dyDescent="0.45">
      <c r="A8" s="4"/>
      <c r="B8" s="18"/>
      <c r="C8" s="65">
        <v>2</v>
      </c>
      <c r="D8" s="66">
        <v>40</v>
      </c>
      <c r="E8" s="53">
        <f>'표준점수 등급컷 입력기능'!D266</f>
        <v>107</v>
      </c>
      <c r="F8" s="54">
        <f t="shared" ref="F8:F15" si="0">E8/$J$3</f>
        <v>0.16066066066066065</v>
      </c>
      <c r="G8" s="55">
        <f>SUM($E$7:E8)</f>
        <v>273</v>
      </c>
      <c r="H8" s="56">
        <f t="shared" ref="H8:H15" si="1">G8/$J$3</f>
        <v>0.40990990990990989</v>
      </c>
      <c r="I8" s="28"/>
      <c r="J8" s="28"/>
      <c r="K8" s="27"/>
      <c r="L8" s="4"/>
    </row>
    <row r="9" spans="1:12" ht="25" customHeight="1" x14ac:dyDescent="0.45">
      <c r="A9" s="4"/>
      <c r="B9" s="18"/>
      <c r="C9" s="65">
        <v>3</v>
      </c>
      <c r="D9" s="66">
        <v>35</v>
      </c>
      <c r="E9" s="53">
        <f>'표준점수 등급컷 입력기능'!D267</f>
        <v>78</v>
      </c>
      <c r="F9" s="54">
        <f t="shared" si="0"/>
        <v>0.11711711711711711</v>
      </c>
      <c r="G9" s="55">
        <f>SUM($E$7:E9)</f>
        <v>351</v>
      </c>
      <c r="H9" s="56">
        <f t="shared" si="1"/>
        <v>0.52702702702702697</v>
      </c>
      <c r="I9" s="28"/>
      <c r="J9" s="28"/>
      <c r="K9" s="27"/>
      <c r="L9" s="4"/>
    </row>
    <row r="10" spans="1:12" ht="25" customHeight="1" x14ac:dyDescent="0.45">
      <c r="A10" s="4"/>
      <c r="B10" s="18"/>
      <c r="C10" s="65">
        <v>4</v>
      </c>
      <c r="D10" s="66">
        <v>30</v>
      </c>
      <c r="E10" s="53">
        <f>'표준점수 등급컷 입력기능'!D268</f>
        <v>46</v>
      </c>
      <c r="F10" s="54">
        <f t="shared" si="0"/>
        <v>6.9069069069069067E-2</v>
      </c>
      <c r="G10" s="55">
        <f>SUM($E$7:E10)</f>
        <v>397</v>
      </c>
      <c r="H10" s="56">
        <f t="shared" si="1"/>
        <v>0.59609609609609615</v>
      </c>
      <c r="I10" s="28"/>
      <c r="J10" s="28"/>
      <c r="K10" s="27"/>
      <c r="L10" s="4"/>
    </row>
    <row r="11" spans="1:12" ht="25" customHeight="1" x14ac:dyDescent="0.45">
      <c r="A11" s="4"/>
      <c r="B11" s="18"/>
      <c r="C11" s="65">
        <v>5</v>
      </c>
      <c r="D11" s="66">
        <v>25</v>
      </c>
      <c r="E11" s="53">
        <f>'표준점수 등급컷 입력기능'!D269</f>
        <v>37</v>
      </c>
      <c r="F11" s="54">
        <f t="shared" si="0"/>
        <v>5.5555555555555552E-2</v>
      </c>
      <c r="G11" s="55">
        <f>SUM($E$7:E11)</f>
        <v>434</v>
      </c>
      <c r="H11" s="56">
        <f t="shared" si="1"/>
        <v>0.65165165165165162</v>
      </c>
      <c r="I11" s="28"/>
      <c r="J11" s="28"/>
      <c r="K11" s="27"/>
      <c r="L11" s="4"/>
    </row>
    <row r="12" spans="1:12" ht="25" customHeight="1" x14ac:dyDescent="0.45">
      <c r="A12" s="4"/>
      <c r="B12" s="18"/>
      <c r="C12" s="65">
        <v>6</v>
      </c>
      <c r="D12" s="66">
        <v>20</v>
      </c>
      <c r="E12" s="53">
        <f>'표준점수 등급컷 입력기능'!D270</f>
        <v>44</v>
      </c>
      <c r="F12" s="54">
        <f t="shared" si="0"/>
        <v>6.6066066066066062E-2</v>
      </c>
      <c r="G12" s="55">
        <f>SUM($E$7:E12)</f>
        <v>478</v>
      </c>
      <c r="H12" s="56">
        <f t="shared" si="1"/>
        <v>0.71771771771771775</v>
      </c>
      <c r="I12" s="28"/>
      <c r="J12" s="28"/>
      <c r="K12" s="27"/>
      <c r="L12" s="4"/>
    </row>
    <row r="13" spans="1:12" ht="25" customHeight="1" x14ac:dyDescent="0.45">
      <c r="A13" s="4"/>
      <c r="B13" s="18"/>
      <c r="C13" s="65">
        <v>7</v>
      </c>
      <c r="D13" s="66">
        <v>15</v>
      </c>
      <c r="E13" s="53">
        <f>'표준점수 등급컷 입력기능'!D271</f>
        <v>67</v>
      </c>
      <c r="F13" s="54">
        <f t="shared" si="0"/>
        <v>0.1006006006006006</v>
      </c>
      <c r="G13" s="55">
        <f>SUM($E$7:E13)</f>
        <v>545</v>
      </c>
      <c r="H13" s="56">
        <f t="shared" si="1"/>
        <v>0.81831831831831836</v>
      </c>
      <c r="I13" s="28"/>
      <c r="J13" s="28"/>
      <c r="K13" s="27"/>
      <c r="L13" s="4"/>
    </row>
    <row r="14" spans="1:12" ht="25" customHeight="1" x14ac:dyDescent="0.45">
      <c r="A14" s="4"/>
      <c r="B14" s="18"/>
      <c r="C14" s="65">
        <v>8</v>
      </c>
      <c r="D14" s="66">
        <v>10</v>
      </c>
      <c r="E14" s="53">
        <f>'표준점수 등급컷 입력기능'!D272</f>
        <v>74</v>
      </c>
      <c r="F14" s="54">
        <f t="shared" si="0"/>
        <v>0.1111111111111111</v>
      </c>
      <c r="G14" s="55">
        <f>SUM($E$7:E14)</f>
        <v>619</v>
      </c>
      <c r="H14" s="56">
        <f t="shared" si="1"/>
        <v>0.92942942942942941</v>
      </c>
      <c r="I14" s="28"/>
      <c r="J14" s="28"/>
      <c r="K14" s="27"/>
      <c r="L14" s="4"/>
    </row>
    <row r="15" spans="1:12" ht="25" customHeight="1" thickBot="1" x14ac:dyDescent="0.5">
      <c r="A15" s="4"/>
      <c r="B15" s="18"/>
      <c r="C15" s="67">
        <v>9</v>
      </c>
      <c r="D15" s="68">
        <v>0</v>
      </c>
      <c r="E15" s="59">
        <f>'표준점수 등급컷 입력기능'!D273</f>
        <v>47</v>
      </c>
      <c r="F15" s="60">
        <f t="shared" si="0"/>
        <v>7.0570570570570576E-2</v>
      </c>
      <c r="G15" s="61">
        <f>SUM($E$7:E15)</f>
        <v>666</v>
      </c>
      <c r="H15" s="62">
        <f t="shared" si="1"/>
        <v>1</v>
      </c>
      <c r="I15" s="28"/>
      <c r="J15" s="28"/>
      <c r="K15" s="27"/>
      <c r="L15" s="4"/>
    </row>
    <row r="16" spans="1:12" ht="6" customHeight="1" x14ac:dyDescent="0.45">
      <c r="A16" s="4"/>
      <c r="B16" s="21"/>
      <c r="C16" s="22"/>
      <c r="D16" s="22"/>
      <c r="E16" s="22"/>
      <c r="F16" s="22"/>
      <c r="G16" s="22"/>
      <c r="H16" s="22"/>
      <c r="I16" s="22"/>
      <c r="J16" s="22"/>
      <c r="K16" s="23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76A6A-5A00-482C-BAF2-9AB14751D82C}">
  <sheetPr codeName="Sheet36"/>
  <dimension ref="A1:L16"/>
  <sheetViews>
    <sheetView workbookViewId="0">
      <selection activeCell="B2" sqref="B2:K16"/>
    </sheetView>
  </sheetViews>
  <sheetFormatPr defaultRowHeight="17" x14ac:dyDescent="0.45"/>
  <cols>
    <col min="2" max="2" width="1" style="4" customWidth="1"/>
    <col min="3" max="10" width="14.1640625" customWidth="1"/>
    <col min="11" max="11" width="1" customWidth="1"/>
  </cols>
  <sheetData>
    <row r="1" spans="1:12" x14ac:dyDescent="0.45">
      <c r="A1" s="4" t="s">
        <v>76</v>
      </c>
      <c r="C1" s="4"/>
      <c r="D1" s="4"/>
      <c r="E1" s="4"/>
      <c r="F1" s="4"/>
      <c r="G1" s="4"/>
      <c r="H1" s="4"/>
      <c r="I1" s="4"/>
      <c r="J1" s="4"/>
      <c r="K1" s="4"/>
    </row>
    <row r="2" spans="1:12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</row>
    <row r="3" spans="1:12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기능'!D34</f>
        <v>26.19</v>
      </c>
      <c r="I3" s="14" t="s">
        <v>99</v>
      </c>
      <c r="J3" s="36">
        <f>'통계 및 응시자 수 입력 기능'!C34</f>
        <v>165</v>
      </c>
      <c r="K3" s="27"/>
    </row>
    <row r="4" spans="1:12" ht="25" customHeight="1" thickBot="1" x14ac:dyDescent="0.5">
      <c r="A4" s="4"/>
      <c r="B4" s="18"/>
      <c r="C4" s="37" t="s">
        <v>100</v>
      </c>
      <c r="D4" s="126" t="s">
        <v>95</v>
      </c>
      <c r="E4" s="114"/>
      <c r="F4" s="115"/>
      <c r="G4" s="38" t="s">
        <v>102</v>
      </c>
      <c r="H4" s="39" t="str">
        <f>'통계 및 응시자 수 입력 기능'!E34</f>
        <v>16.31</v>
      </c>
      <c r="I4" s="15"/>
      <c r="J4" s="28"/>
      <c r="K4" s="27"/>
    </row>
    <row r="5" spans="1:12" ht="25" customHeight="1" thickBot="1" x14ac:dyDescent="0.5">
      <c r="A5" s="4"/>
      <c r="B5" s="18"/>
      <c r="C5" s="28"/>
      <c r="D5" s="28"/>
      <c r="E5" s="28"/>
      <c r="F5" s="28"/>
      <c r="G5" s="116" t="s">
        <v>183</v>
      </c>
      <c r="H5" s="116"/>
      <c r="I5" s="116"/>
      <c r="J5" s="116"/>
      <c r="K5" s="27"/>
    </row>
    <row r="6" spans="1:12" ht="25" customHeight="1" thickBot="1" x14ac:dyDescent="0.5">
      <c r="A6" s="4"/>
      <c r="B6" s="18"/>
      <c r="C6" s="40" t="s">
        <v>104</v>
      </c>
      <c r="D6" s="41" t="s">
        <v>105</v>
      </c>
      <c r="E6" s="42" t="s">
        <v>106</v>
      </c>
      <c r="F6" s="43" t="s">
        <v>107</v>
      </c>
      <c r="G6" s="43" t="s">
        <v>108</v>
      </c>
      <c r="H6" s="44" t="s">
        <v>109</v>
      </c>
      <c r="I6" s="28"/>
      <c r="J6" s="28"/>
      <c r="K6" s="27"/>
      <c r="L6" s="4"/>
    </row>
    <row r="7" spans="1:12" ht="25" customHeight="1" x14ac:dyDescent="0.45">
      <c r="A7" s="4"/>
      <c r="B7" s="18"/>
      <c r="C7" s="63">
        <v>1</v>
      </c>
      <c r="D7" s="64">
        <v>45</v>
      </c>
      <c r="E7" s="47">
        <f>'표준점수 등급컷 입력기능'!D274</f>
        <v>34</v>
      </c>
      <c r="F7" s="48">
        <f>E7/$J$3</f>
        <v>0.20606060606060606</v>
      </c>
      <c r="G7" s="49">
        <f>SUM($E$7:E7)</f>
        <v>34</v>
      </c>
      <c r="H7" s="50">
        <f>G7/$J$3</f>
        <v>0.20606060606060606</v>
      </c>
      <c r="I7" s="28"/>
      <c r="J7" s="28"/>
      <c r="K7" s="27"/>
      <c r="L7" s="4"/>
    </row>
    <row r="8" spans="1:12" ht="25" customHeight="1" x14ac:dyDescent="0.45">
      <c r="A8" s="4"/>
      <c r="B8" s="18"/>
      <c r="C8" s="65">
        <v>2</v>
      </c>
      <c r="D8" s="66">
        <v>40</v>
      </c>
      <c r="E8" s="53">
        <f>'표준점수 등급컷 입력기능'!D275</f>
        <v>21</v>
      </c>
      <c r="F8" s="54">
        <f t="shared" ref="F8:F15" si="0">E8/$J$3</f>
        <v>0.12727272727272726</v>
      </c>
      <c r="G8" s="55">
        <f>SUM($E$7:E8)</f>
        <v>55</v>
      </c>
      <c r="H8" s="56">
        <f t="shared" ref="H8:H15" si="1">G8/$J$3</f>
        <v>0.33333333333333331</v>
      </c>
      <c r="I8" s="28"/>
      <c r="J8" s="28"/>
      <c r="K8" s="27"/>
      <c r="L8" s="4"/>
    </row>
    <row r="9" spans="1:12" ht="25" customHeight="1" x14ac:dyDescent="0.45">
      <c r="A9" s="4"/>
      <c r="B9" s="18"/>
      <c r="C9" s="65">
        <v>3</v>
      </c>
      <c r="D9" s="66">
        <v>35</v>
      </c>
      <c r="E9" s="53">
        <f>'표준점수 등급컷 입력기능'!D276</f>
        <v>10</v>
      </c>
      <c r="F9" s="54">
        <f t="shared" si="0"/>
        <v>6.0606060606060608E-2</v>
      </c>
      <c r="G9" s="55">
        <f>SUM($E$7:E9)</f>
        <v>65</v>
      </c>
      <c r="H9" s="56">
        <f t="shared" si="1"/>
        <v>0.39393939393939392</v>
      </c>
      <c r="I9" s="28"/>
      <c r="J9" s="28"/>
      <c r="K9" s="27"/>
      <c r="L9" s="4"/>
    </row>
    <row r="10" spans="1:12" ht="25" customHeight="1" x14ac:dyDescent="0.45">
      <c r="A10" s="4"/>
      <c r="B10" s="18"/>
      <c r="C10" s="65">
        <v>4</v>
      </c>
      <c r="D10" s="66">
        <v>30</v>
      </c>
      <c r="E10" s="53">
        <f>'표준점수 등급컷 입력기능'!D277</f>
        <v>8</v>
      </c>
      <c r="F10" s="54">
        <f t="shared" si="0"/>
        <v>4.8484848484848485E-2</v>
      </c>
      <c r="G10" s="55">
        <f>SUM($E$7:E10)</f>
        <v>73</v>
      </c>
      <c r="H10" s="56">
        <f t="shared" si="1"/>
        <v>0.44242424242424244</v>
      </c>
      <c r="I10" s="28"/>
      <c r="J10" s="28"/>
      <c r="K10" s="27"/>
      <c r="L10" s="4"/>
    </row>
    <row r="11" spans="1:12" ht="25" customHeight="1" x14ac:dyDescent="0.45">
      <c r="A11" s="4"/>
      <c r="B11" s="18"/>
      <c r="C11" s="65">
        <v>5</v>
      </c>
      <c r="D11" s="66">
        <v>25</v>
      </c>
      <c r="E11" s="53">
        <f>'표준점수 등급컷 입력기능'!D278</f>
        <v>7</v>
      </c>
      <c r="F11" s="54">
        <f t="shared" si="0"/>
        <v>4.2424242424242427E-2</v>
      </c>
      <c r="G11" s="55">
        <f>SUM($E$7:E11)</f>
        <v>80</v>
      </c>
      <c r="H11" s="56">
        <f t="shared" si="1"/>
        <v>0.48484848484848486</v>
      </c>
      <c r="I11" s="28"/>
      <c r="J11" s="28"/>
      <c r="K11" s="27"/>
      <c r="L11" s="4"/>
    </row>
    <row r="12" spans="1:12" ht="25" customHeight="1" x14ac:dyDescent="0.45">
      <c r="A12" s="4"/>
      <c r="B12" s="18"/>
      <c r="C12" s="65">
        <v>6</v>
      </c>
      <c r="D12" s="66">
        <v>20</v>
      </c>
      <c r="E12" s="53">
        <f>'표준점수 등급컷 입력기능'!D279</f>
        <v>8</v>
      </c>
      <c r="F12" s="54">
        <f t="shared" si="0"/>
        <v>4.8484848484848485E-2</v>
      </c>
      <c r="G12" s="55">
        <f>SUM($E$7:E12)</f>
        <v>88</v>
      </c>
      <c r="H12" s="56">
        <f t="shared" si="1"/>
        <v>0.53333333333333333</v>
      </c>
      <c r="I12" s="28"/>
      <c r="J12" s="28"/>
      <c r="K12" s="27"/>
      <c r="L12" s="4"/>
    </row>
    <row r="13" spans="1:12" ht="25" customHeight="1" x14ac:dyDescent="0.45">
      <c r="A13" s="4"/>
      <c r="B13" s="18"/>
      <c r="C13" s="65">
        <v>7</v>
      </c>
      <c r="D13" s="66">
        <v>15</v>
      </c>
      <c r="E13" s="53">
        <f>'표준점수 등급컷 입력기능'!D280</f>
        <v>10</v>
      </c>
      <c r="F13" s="54">
        <f t="shared" si="0"/>
        <v>6.0606060606060608E-2</v>
      </c>
      <c r="G13" s="55">
        <f>SUM($E$7:E13)</f>
        <v>98</v>
      </c>
      <c r="H13" s="56">
        <f t="shared" si="1"/>
        <v>0.59393939393939399</v>
      </c>
      <c r="I13" s="28"/>
      <c r="J13" s="28"/>
      <c r="K13" s="27"/>
      <c r="L13" s="4"/>
    </row>
    <row r="14" spans="1:12" ht="25" customHeight="1" x14ac:dyDescent="0.45">
      <c r="A14" s="4"/>
      <c r="B14" s="18"/>
      <c r="C14" s="65">
        <v>8</v>
      </c>
      <c r="D14" s="66">
        <v>10</v>
      </c>
      <c r="E14" s="53">
        <f>'표준점수 등급컷 입력기능'!D281</f>
        <v>33</v>
      </c>
      <c r="F14" s="54">
        <f t="shared" si="0"/>
        <v>0.2</v>
      </c>
      <c r="G14" s="55">
        <f>SUM($E$7:E14)</f>
        <v>131</v>
      </c>
      <c r="H14" s="56">
        <f t="shared" si="1"/>
        <v>0.79393939393939394</v>
      </c>
      <c r="I14" s="28"/>
      <c r="J14" s="28"/>
      <c r="K14" s="27"/>
      <c r="L14" s="4"/>
    </row>
    <row r="15" spans="1:12" ht="25" customHeight="1" thickBot="1" x14ac:dyDescent="0.5">
      <c r="A15" s="4"/>
      <c r="B15" s="18"/>
      <c r="C15" s="67">
        <v>9</v>
      </c>
      <c r="D15" s="68">
        <v>0</v>
      </c>
      <c r="E15" s="59">
        <f>'표준점수 등급컷 입력기능'!D282</f>
        <v>34</v>
      </c>
      <c r="F15" s="60">
        <f t="shared" si="0"/>
        <v>0.20606060606060606</v>
      </c>
      <c r="G15" s="61">
        <f>SUM($E$7:E15)</f>
        <v>165</v>
      </c>
      <c r="H15" s="62">
        <f t="shared" si="1"/>
        <v>1</v>
      </c>
      <c r="I15" s="28"/>
      <c r="J15" s="28"/>
      <c r="K15" s="27"/>
      <c r="L15" s="4"/>
    </row>
    <row r="16" spans="1:12" ht="6" customHeight="1" x14ac:dyDescent="0.45">
      <c r="A16" s="4"/>
      <c r="B16" s="21"/>
      <c r="C16" s="22"/>
      <c r="D16" s="22"/>
      <c r="E16" s="22"/>
      <c r="F16" s="22"/>
      <c r="G16" s="22"/>
      <c r="H16" s="22"/>
      <c r="I16" s="22"/>
      <c r="J16" s="22"/>
      <c r="K16" s="23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D429E-B3AC-4186-81BC-0AADAE646A5C}">
  <sheetPr codeName="Sheet37"/>
  <dimension ref="A1:L16"/>
  <sheetViews>
    <sheetView tabSelected="1" workbookViewId="0">
      <selection activeCell="B2" sqref="B2:K16"/>
    </sheetView>
  </sheetViews>
  <sheetFormatPr defaultRowHeight="17" x14ac:dyDescent="0.45"/>
  <cols>
    <col min="2" max="2" width="1" style="4" customWidth="1"/>
    <col min="3" max="10" width="14.1640625" customWidth="1"/>
    <col min="11" max="11" width="1" customWidth="1"/>
  </cols>
  <sheetData>
    <row r="1" spans="1:12" x14ac:dyDescent="0.45">
      <c r="A1" s="4" t="s">
        <v>76</v>
      </c>
      <c r="C1" s="4"/>
      <c r="D1" s="4"/>
      <c r="E1" s="4"/>
      <c r="F1" s="4"/>
      <c r="G1" s="4"/>
      <c r="H1" s="4"/>
      <c r="I1" s="4"/>
      <c r="J1" s="4"/>
      <c r="K1" s="4"/>
    </row>
    <row r="2" spans="1:12" s="4" customFormat="1" ht="6" customHeight="1" thickBot="1" x14ac:dyDescent="0.5">
      <c r="B2" s="16"/>
      <c r="C2" s="24"/>
      <c r="D2" s="24"/>
      <c r="E2" s="24"/>
      <c r="F2" s="24"/>
      <c r="G2" s="24"/>
      <c r="H2" s="24"/>
      <c r="I2" s="24"/>
      <c r="J2" s="24"/>
      <c r="K2" s="17"/>
    </row>
    <row r="3" spans="1:12" ht="25" customHeight="1" thickBot="1" x14ac:dyDescent="0.5">
      <c r="A3" s="4"/>
      <c r="B3" s="18"/>
      <c r="C3" s="34" t="s">
        <v>97</v>
      </c>
      <c r="D3" s="110" t="s">
        <v>181</v>
      </c>
      <c r="E3" s="111"/>
      <c r="F3" s="112"/>
      <c r="G3" s="34" t="s">
        <v>98</v>
      </c>
      <c r="H3" s="35" t="str">
        <f>'통계 및 응시자 수 입력 기능'!D35</f>
        <v>28.78</v>
      </c>
      <c r="I3" s="14" t="s">
        <v>99</v>
      </c>
      <c r="J3" s="36">
        <f>'통계 및 응시자 수 입력 기능'!C35</f>
        <v>284</v>
      </c>
      <c r="K3" s="27"/>
    </row>
    <row r="4" spans="1:12" ht="25" customHeight="1" thickBot="1" x14ac:dyDescent="0.5">
      <c r="A4" s="4"/>
      <c r="B4" s="18"/>
      <c r="C4" s="37" t="s">
        <v>100</v>
      </c>
      <c r="D4" s="126" t="s">
        <v>96</v>
      </c>
      <c r="E4" s="114"/>
      <c r="F4" s="115"/>
      <c r="G4" s="38" t="s">
        <v>102</v>
      </c>
      <c r="H4" s="39" t="str">
        <f>'통계 및 응시자 수 입력 기능'!E35</f>
        <v xml:space="preserve"> 9.16</v>
      </c>
      <c r="I4" s="15"/>
      <c r="J4" s="28"/>
      <c r="K4" s="27"/>
    </row>
    <row r="5" spans="1:12" ht="25" customHeight="1" thickBot="1" x14ac:dyDescent="0.5">
      <c r="A5" s="4"/>
      <c r="B5" s="18"/>
      <c r="C5" s="28"/>
      <c r="D5" s="28"/>
      <c r="E5" s="28"/>
      <c r="F5" s="28"/>
      <c r="G5" s="116" t="s">
        <v>183</v>
      </c>
      <c r="H5" s="116"/>
      <c r="I5" s="116"/>
      <c r="J5" s="116"/>
      <c r="K5" s="27"/>
    </row>
    <row r="6" spans="1:12" ht="25" customHeight="1" thickBot="1" x14ac:dyDescent="0.5">
      <c r="A6" s="4"/>
      <c r="B6" s="18"/>
      <c r="C6" s="40" t="s">
        <v>104</v>
      </c>
      <c r="D6" s="41" t="s">
        <v>105</v>
      </c>
      <c r="E6" s="42" t="s">
        <v>106</v>
      </c>
      <c r="F6" s="43" t="s">
        <v>107</v>
      </c>
      <c r="G6" s="43" t="s">
        <v>108</v>
      </c>
      <c r="H6" s="44" t="s">
        <v>109</v>
      </c>
      <c r="I6" s="28"/>
      <c r="J6" s="28"/>
      <c r="K6" s="27"/>
      <c r="L6" s="4"/>
    </row>
    <row r="7" spans="1:12" ht="25" customHeight="1" x14ac:dyDescent="0.45">
      <c r="A7" s="4"/>
      <c r="B7" s="18"/>
      <c r="C7" s="63">
        <v>1</v>
      </c>
      <c r="D7" s="64">
        <v>45</v>
      </c>
      <c r="E7" s="47">
        <f>'표준점수 등급컷 입력기능'!D283</f>
        <v>11</v>
      </c>
      <c r="F7" s="48">
        <f>E7/$J$3</f>
        <v>3.873239436619718E-2</v>
      </c>
      <c r="G7" s="49">
        <f>SUM($E$7:E7)</f>
        <v>11</v>
      </c>
      <c r="H7" s="50">
        <f>G7/$J$3</f>
        <v>3.873239436619718E-2</v>
      </c>
      <c r="I7" s="28"/>
      <c r="J7" s="28"/>
      <c r="K7" s="27"/>
      <c r="L7" s="4"/>
    </row>
    <row r="8" spans="1:12" ht="25" customHeight="1" x14ac:dyDescent="0.45">
      <c r="A8" s="4"/>
      <c r="B8" s="18"/>
      <c r="C8" s="65">
        <v>2</v>
      </c>
      <c r="D8" s="66">
        <v>40</v>
      </c>
      <c r="E8" s="53">
        <f>'표준점수 등급컷 입력기능'!D284</f>
        <v>26</v>
      </c>
      <c r="F8" s="54">
        <f t="shared" ref="F8:F15" si="0">E8/$J$3</f>
        <v>9.154929577464789E-2</v>
      </c>
      <c r="G8" s="55">
        <f>SUM($E$7:E8)</f>
        <v>37</v>
      </c>
      <c r="H8" s="56">
        <f t="shared" ref="H8:H15" si="1">G8/$J$3</f>
        <v>0.13028169014084506</v>
      </c>
      <c r="I8" s="28"/>
      <c r="J8" s="28"/>
      <c r="K8" s="27"/>
      <c r="L8" s="4"/>
    </row>
    <row r="9" spans="1:12" ht="25" customHeight="1" x14ac:dyDescent="0.45">
      <c r="A9" s="4"/>
      <c r="B9" s="18"/>
      <c r="C9" s="65">
        <v>3</v>
      </c>
      <c r="D9" s="66">
        <v>35</v>
      </c>
      <c r="E9" s="53">
        <f>'표준점수 등급컷 입력기능'!D285</f>
        <v>41</v>
      </c>
      <c r="F9" s="54">
        <f t="shared" si="0"/>
        <v>0.14436619718309859</v>
      </c>
      <c r="G9" s="55">
        <f>SUM($E$7:E9)</f>
        <v>78</v>
      </c>
      <c r="H9" s="56">
        <f t="shared" si="1"/>
        <v>0.27464788732394368</v>
      </c>
      <c r="I9" s="28"/>
      <c r="J9" s="28"/>
      <c r="K9" s="27"/>
      <c r="L9" s="4"/>
    </row>
    <row r="10" spans="1:12" ht="25" customHeight="1" x14ac:dyDescent="0.45">
      <c r="A10" s="4"/>
      <c r="B10" s="18"/>
      <c r="C10" s="65">
        <v>4</v>
      </c>
      <c r="D10" s="66">
        <v>30</v>
      </c>
      <c r="E10" s="53">
        <f>'표준점수 등급컷 입력기능'!D286</f>
        <v>61</v>
      </c>
      <c r="F10" s="54">
        <f t="shared" si="0"/>
        <v>0.21478873239436619</v>
      </c>
      <c r="G10" s="55">
        <f>SUM($E$7:E10)</f>
        <v>139</v>
      </c>
      <c r="H10" s="56">
        <f t="shared" si="1"/>
        <v>0.48943661971830987</v>
      </c>
      <c r="I10" s="28"/>
      <c r="J10" s="28"/>
      <c r="K10" s="27"/>
      <c r="L10" s="4"/>
    </row>
    <row r="11" spans="1:12" ht="25" customHeight="1" x14ac:dyDescent="0.45">
      <c r="A11" s="4"/>
      <c r="B11" s="18"/>
      <c r="C11" s="65">
        <v>5</v>
      </c>
      <c r="D11" s="66">
        <v>25</v>
      </c>
      <c r="E11" s="53">
        <f>'표준점수 등급컷 입력기능'!D287</f>
        <v>52</v>
      </c>
      <c r="F11" s="54">
        <f t="shared" si="0"/>
        <v>0.18309859154929578</v>
      </c>
      <c r="G11" s="55">
        <f>SUM($E$7:E11)</f>
        <v>191</v>
      </c>
      <c r="H11" s="56">
        <f t="shared" si="1"/>
        <v>0.67253521126760563</v>
      </c>
      <c r="I11" s="28"/>
      <c r="J11" s="28"/>
      <c r="K11" s="27"/>
      <c r="L11" s="4"/>
    </row>
    <row r="12" spans="1:12" ht="25" customHeight="1" x14ac:dyDescent="0.45">
      <c r="A12" s="4"/>
      <c r="B12" s="18"/>
      <c r="C12" s="65">
        <v>6</v>
      </c>
      <c r="D12" s="66">
        <v>20</v>
      </c>
      <c r="E12" s="53">
        <f>'표준점수 등급컷 입력기능'!D288</f>
        <v>44</v>
      </c>
      <c r="F12" s="54">
        <f t="shared" si="0"/>
        <v>0.15492957746478872</v>
      </c>
      <c r="G12" s="55">
        <f>SUM($E$7:E12)</f>
        <v>235</v>
      </c>
      <c r="H12" s="56">
        <f t="shared" si="1"/>
        <v>0.82746478873239437</v>
      </c>
      <c r="I12" s="28"/>
      <c r="J12" s="28"/>
      <c r="K12" s="27"/>
      <c r="L12" s="4"/>
    </row>
    <row r="13" spans="1:12" ht="25" customHeight="1" x14ac:dyDescent="0.45">
      <c r="A13" s="4"/>
      <c r="B13" s="18"/>
      <c r="C13" s="65">
        <v>7</v>
      </c>
      <c r="D13" s="66">
        <v>15</v>
      </c>
      <c r="E13" s="53">
        <f>'표준점수 등급컷 입력기능'!D289</f>
        <v>26</v>
      </c>
      <c r="F13" s="54">
        <f t="shared" si="0"/>
        <v>9.154929577464789E-2</v>
      </c>
      <c r="G13" s="55">
        <f>SUM($E$7:E13)</f>
        <v>261</v>
      </c>
      <c r="H13" s="56">
        <f t="shared" si="1"/>
        <v>0.91901408450704225</v>
      </c>
      <c r="I13" s="28"/>
      <c r="J13" s="28"/>
      <c r="K13" s="27"/>
      <c r="L13" s="4"/>
    </row>
    <row r="14" spans="1:12" ht="25" customHeight="1" x14ac:dyDescent="0.45">
      <c r="A14" s="4"/>
      <c r="B14" s="18"/>
      <c r="C14" s="65">
        <v>8</v>
      </c>
      <c r="D14" s="66">
        <v>10</v>
      </c>
      <c r="E14" s="53">
        <f>'표준점수 등급컷 입력기능'!D290</f>
        <v>20</v>
      </c>
      <c r="F14" s="54">
        <f t="shared" si="0"/>
        <v>7.0422535211267609E-2</v>
      </c>
      <c r="G14" s="55">
        <f>SUM($E$7:E14)</f>
        <v>281</v>
      </c>
      <c r="H14" s="56">
        <f t="shared" si="1"/>
        <v>0.98943661971830987</v>
      </c>
      <c r="I14" s="28"/>
      <c r="J14" s="28"/>
      <c r="K14" s="27"/>
      <c r="L14" s="4"/>
    </row>
    <row r="15" spans="1:12" ht="25" customHeight="1" thickBot="1" x14ac:dyDescent="0.5">
      <c r="A15" s="4"/>
      <c r="B15" s="18"/>
      <c r="C15" s="67">
        <v>9</v>
      </c>
      <c r="D15" s="68">
        <v>0</v>
      </c>
      <c r="E15" s="59">
        <f>'표준점수 등급컷 입력기능'!D291</f>
        <v>3</v>
      </c>
      <c r="F15" s="60">
        <f t="shared" si="0"/>
        <v>1.0563380281690141E-2</v>
      </c>
      <c r="G15" s="61">
        <f>SUM($E$7:E15)</f>
        <v>284</v>
      </c>
      <c r="H15" s="62">
        <f t="shared" si="1"/>
        <v>1</v>
      </c>
      <c r="I15" s="28"/>
      <c r="J15" s="28"/>
      <c r="K15" s="27"/>
      <c r="L15" s="4"/>
    </row>
    <row r="16" spans="1:12" ht="6" customHeight="1" x14ac:dyDescent="0.45">
      <c r="A16" s="4"/>
      <c r="B16" s="21"/>
      <c r="C16" s="22"/>
      <c r="D16" s="22"/>
      <c r="E16" s="22"/>
      <c r="F16" s="22"/>
      <c r="G16" s="22"/>
      <c r="H16" s="22"/>
      <c r="I16" s="22"/>
      <c r="J16" s="22"/>
      <c r="K16" s="23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37</vt:i4>
      </vt:variant>
    </vt:vector>
  </HeadingPairs>
  <TitlesOfParts>
    <vt:vector size="37" baseType="lpstr">
      <vt:lpstr>통계 및 응시자 수 입력 기능</vt:lpstr>
      <vt:lpstr>인원 입력 기능 (사과탐)</vt:lpstr>
      <vt:lpstr>인원 입력 기능 (직탐)</vt:lpstr>
      <vt:lpstr>표준점수 등급컷 입력기능</vt:lpstr>
      <vt:lpstr>영어</vt:lpstr>
      <vt:lpstr>한국사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물리학Ⅱ</vt:lpstr>
      <vt:lpstr>화학Ⅱ</vt:lpstr>
      <vt:lpstr>생명과학Ⅱ</vt:lpstr>
      <vt:lpstr>지구과학Ⅱ</vt:lpstr>
      <vt:lpstr>성공적인 직업생활</vt:lpstr>
      <vt:lpstr>농업 기초 기술</vt:lpstr>
      <vt:lpstr>공업 일반</vt:lpstr>
      <vt:lpstr>상업 경제</vt:lpstr>
      <vt:lpstr>수산∙해운 산업 기초</vt:lpstr>
      <vt:lpstr>인간 발달</vt:lpstr>
      <vt:lpstr>등급컷 모아보기</vt:lpstr>
      <vt:lpstr>독일어Ⅰ</vt:lpstr>
      <vt:lpstr>프랑스어Ⅰ</vt:lpstr>
      <vt:lpstr>스페인어Ⅰ</vt:lpstr>
      <vt:lpstr>중국어Ⅰ</vt:lpstr>
      <vt:lpstr>일본어Ⅰ</vt:lpstr>
      <vt:lpstr>러시아어Ⅰ</vt:lpstr>
      <vt:lpstr>한문Ⅰ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-</cp:lastModifiedBy>
  <dcterms:created xsi:type="dcterms:W3CDTF">2018-04-21T04:34:05Z</dcterms:created>
  <dcterms:modified xsi:type="dcterms:W3CDTF">2024-10-30T09:01:56Z</dcterms:modified>
</cp:coreProperties>
</file>