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00000000-0000-0000-0000-0000000000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3\영한탐(외)\"/>
    </mc:Choice>
  </mc:AlternateContent>
  <xr:revisionPtr revIDLastSave="0" documentId="13_ncr:1_{E604F00A-E730-49AB-B7B5-997F5476D18D}" xr6:coauthVersionLast="47" xr6:coauthVersionMax="47" xr10:uidLastSave="{00000000-0000-0000-0000-000000000000}"/>
  <bookViews>
    <workbookView xWindow="-110" yWindow="-110" windowWidth="19420" windowHeight="11620" firstSheet="8" activeTab="14" xr2:uid="{AB9EE284-95EA-49B1-8133-EE4E7651E7F1}"/>
  </bookViews>
  <sheets>
    <sheet name="통계 및 응시자 수 입력 기능" sheetId="67" r:id="rId1"/>
    <sheet name="인원 입력 기능 (사과탐)" sheetId="64" r:id="rId2"/>
    <sheet name="표준점수 등급컷 입력기능" sheetId="66" r:id="rId3"/>
    <sheet name="영어" sheetId="6" r:id="rId4"/>
    <sheet name="한국사" sheetId="25" r:id="rId5"/>
    <sheet name="생활과 윤리" sheetId="3" r:id="rId6"/>
    <sheet name="윤리와 사상" sheetId="26" r:id="rId7"/>
    <sheet name="한국지리" sheetId="27" r:id="rId8"/>
    <sheet name="세계지리" sheetId="28" r:id="rId9"/>
    <sheet name="동아시아사" sheetId="29" r:id="rId10"/>
    <sheet name="세계사" sheetId="30" r:id="rId11"/>
    <sheet name="경제" sheetId="31" r:id="rId12"/>
    <sheet name="정치와 법" sheetId="32" r:id="rId13"/>
    <sheet name="사회∙문화" sheetId="33" r:id="rId14"/>
    <sheet name="물리학Ⅰ" sheetId="34" r:id="rId15"/>
    <sheet name="화학Ⅰ" sheetId="35" r:id="rId16"/>
    <sheet name="생명과학Ⅰ" sheetId="36" r:id="rId17"/>
    <sheet name="지구과학Ⅰ" sheetId="37" r:id="rId18"/>
    <sheet name="물리학Ⅱ" sheetId="38" r:id="rId19"/>
    <sheet name="화학Ⅱ" sheetId="39" r:id="rId20"/>
    <sheet name="생명과학Ⅱ" sheetId="40" r:id="rId21"/>
    <sheet name="지구과학Ⅱ" sheetId="41" r:id="rId22"/>
    <sheet name="등급컷 모아보기" sheetId="69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34" l="1"/>
  <c r="E10" i="34" s="1"/>
  <c r="G10" i="34" l="1"/>
  <c r="Q7" i="3"/>
  <c r="Q7" i="41"/>
  <c r="Q7" i="40"/>
  <c r="Q7" i="39"/>
  <c r="Q7" i="38"/>
  <c r="Q7" i="37"/>
  <c r="Q7" i="36"/>
  <c r="Q7" i="35"/>
  <c r="Q7" i="34"/>
  <c r="Q7" i="33"/>
  <c r="Q7" i="32"/>
  <c r="Q7" i="31"/>
  <c r="Q7" i="30"/>
  <c r="Q7" i="29"/>
  <c r="Q7" i="28"/>
  <c r="Q7" i="27"/>
  <c r="Q7" i="26"/>
  <c r="H4" i="3"/>
  <c r="H3" i="3"/>
  <c r="D9" i="3" s="1"/>
  <c r="H3" i="26"/>
  <c r="H10" i="34" l="1"/>
  <c r="I10" i="34"/>
  <c r="J3" i="3"/>
  <c r="J3" i="41"/>
  <c r="J3" i="40"/>
  <c r="J3" i="39"/>
  <c r="J3" i="38"/>
  <c r="J3" i="37"/>
  <c r="J3" i="36"/>
  <c r="J3" i="35"/>
  <c r="J3" i="34"/>
  <c r="J3" i="33"/>
  <c r="J3" i="32"/>
  <c r="J3" i="31"/>
  <c r="J3" i="30"/>
  <c r="J3" i="29"/>
  <c r="J3" i="28"/>
  <c r="J3" i="27"/>
  <c r="J3" i="26"/>
  <c r="J3" i="6"/>
  <c r="J3" i="25"/>
  <c r="E7" i="6"/>
  <c r="E7" i="25"/>
  <c r="E15" i="25"/>
  <c r="E14" i="25"/>
  <c r="E9" i="25"/>
  <c r="F9" i="25" s="1"/>
  <c r="E10" i="25"/>
  <c r="E11" i="25"/>
  <c r="E12" i="25"/>
  <c r="E13" i="25"/>
  <c r="F13" i="25" s="1"/>
  <c r="E8" i="25"/>
  <c r="E15" i="6"/>
  <c r="E9" i="6"/>
  <c r="E10" i="6"/>
  <c r="E11" i="6"/>
  <c r="E12" i="6"/>
  <c r="E13" i="6"/>
  <c r="E14" i="6"/>
  <c r="E8" i="6"/>
  <c r="F8" i="6" s="1"/>
  <c r="F10" i="34" l="1"/>
  <c r="J10" i="34"/>
  <c r="F7" i="6"/>
  <c r="F9" i="6"/>
  <c r="F13" i="6"/>
  <c r="F12" i="6"/>
  <c r="F8" i="25"/>
  <c r="F10" i="6"/>
  <c r="F12" i="25"/>
  <c r="F15" i="6"/>
  <c r="F11" i="6"/>
  <c r="F15" i="25"/>
  <c r="F11" i="25"/>
  <c r="F14" i="6"/>
  <c r="F14" i="25"/>
  <c r="F10" i="25"/>
  <c r="F7" i="25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8"/>
  <c r="Q9" i="38"/>
  <c r="Q10" i="38"/>
  <c r="Q11" i="38"/>
  <c r="Q12" i="38"/>
  <c r="Q13" i="38"/>
  <c r="Q14" i="38"/>
  <c r="Q8" i="39"/>
  <c r="Q9" i="39"/>
  <c r="Q10" i="39"/>
  <c r="Q11" i="39"/>
  <c r="Q12" i="39"/>
  <c r="Q13" i="39"/>
  <c r="Q14" i="39"/>
  <c r="Q8" i="40"/>
  <c r="Q9" i="40"/>
  <c r="Q10" i="40"/>
  <c r="Q11" i="40"/>
  <c r="Q12" i="40"/>
  <c r="Q13" i="40"/>
  <c r="Q14" i="40"/>
  <c r="Q8" i="41"/>
  <c r="Q9" i="41"/>
  <c r="Q10" i="41"/>
  <c r="Q11" i="41"/>
  <c r="Q12" i="41"/>
  <c r="Q13" i="41"/>
  <c r="Q14" i="41"/>
  <c r="Q8" i="3"/>
  <c r="Q9" i="3"/>
  <c r="D11" i="69" s="1"/>
  <c r="Q10" i="3"/>
  <c r="D12" i="69" s="1"/>
  <c r="Q11" i="3"/>
  <c r="D13" i="69" s="1"/>
  <c r="Q12" i="3"/>
  <c r="D14" i="69" s="1"/>
  <c r="Q13" i="3"/>
  <c r="D15" i="69" s="1"/>
  <c r="Q14" i="3"/>
  <c r="D16" i="69" s="1"/>
  <c r="D9" i="69"/>
  <c r="H4" i="41"/>
  <c r="H4" i="40"/>
  <c r="H4" i="39"/>
  <c r="H4" i="38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3" i="41"/>
  <c r="H3" i="40"/>
  <c r="H3" i="39"/>
  <c r="H3" i="38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D9" i="34" l="1"/>
  <c r="D9" i="27"/>
  <c r="D9" i="35"/>
  <c r="D9" i="28"/>
  <c r="D9" i="32"/>
  <c r="D9" i="36"/>
  <c r="D9" i="40"/>
  <c r="D9" i="26"/>
  <c r="D9" i="30"/>
  <c r="D9" i="38"/>
  <c r="D9" i="31"/>
  <c r="D9" i="39"/>
  <c r="D9" i="29"/>
  <c r="D9" i="33"/>
  <c r="D9" i="37"/>
  <c r="D9" i="41"/>
  <c r="H9" i="69"/>
  <c r="L9" i="69"/>
  <c r="G20" i="69"/>
  <c r="K20" i="69"/>
  <c r="K27" i="69"/>
  <c r="K23" i="69"/>
  <c r="I25" i="69"/>
  <c r="I21" i="69"/>
  <c r="G27" i="69"/>
  <c r="G23" i="69"/>
  <c r="E25" i="69"/>
  <c r="E21" i="69"/>
  <c r="L16" i="69"/>
  <c r="L12" i="69"/>
  <c r="J14" i="69"/>
  <c r="J10" i="69"/>
  <c r="H16" i="69"/>
  <c r="H12" i="69"/>
  <c r="F14" i="69"/>
  <c r="F10" i="69"/>
  <c r="F9" i="69"/>
  <c r="J9" i="69"/>
  <c r="E20" i="69"/>
  <c r="I20" i="69"/>
  <c r="K25" i="69"/>
  <c r="K21" i="69"/>
  <c r="I27" i="69"/>
  <c r="I23" i="69"/>
  <c r="G25" i="69"/>
  <c r="G21" i="69"/>
  <c r="E27" i="69"/>
  <c r="E23" i="69"/>
  <c r="L14" i="69"/>
  <c r="L10" i="69"/>
  <c r="J16" i="69"/>
  <c r="J12" i="69"/>
  <c r="H14" i="69"/>
  <c r="H10" i="69"/>
  <c r="F16" i="69"/>
  <c r="F12" i="69"/>
  <c r="D22" i="69"/>
  <c r="I11" i="69"/>
  <c r="J26" i="69"/>
  <c r="J22" i="69"/>
  <c r="H24" i="69"/>
  <c r="F22" i="69"/>
  <c r="D24" i="69"/>
  <c r="K15" i="69"/>
  <c r="K11" i="69"/>
  <c r="G15" i="69"/>
  <c r="G11" i="69"/>
  <c r="I9" i="69"/>
  <c r="D20" i="69"/>
  <c r="H20" i="69"/>
  <c r="K26" i="69"/>
  <c r="K22" i="69"/>
  <c r="J25" i="69"/>
  <c r="J21" i="69"/>
  <c r="I24" i="69"/>
  <c r="H27" i="69"/>
  <c r="H23" i="69"/>
  <c r="G26" i="69"/>
  <c r="G22" i="69"/>
  <c r="F25" i="69"/>
  <c r="F21" i="69"/>
  <c r="E24" i="69"/>
  <c r="D27" i="69"/>
  <c r="D23" i="69"/>
  <c r="L15" i="69"/>
  <c r="L11" i="69"/>
  <c r="K14" i="69"/>
  <c r="K10" i="69"/>
  <c r="J13" i="69"/>
  <c r="I16" i="69"/>
  <c r="I12" i="69"/>
  <c r="H15" i="69"/>
  <c r="H11" i="69"/>
  <c r="G14" i="69"/>
  <c r="G10" i="69"/>
  <c r="F13" i="69"/>
  <c r="D26" i="69"/>
  <c r="J24" i="69"/>
  <c r="H22" i="69"/>
  <c r="F24" i="69"/>
  <c r="K13" i="69"/>
  <c r="G13" i="69"/>
  <c r="G9" i="69"/>
  <c r="K9" i="69"/>
  <c r="F20" i="69"/>
  <c r="J20" i="69"/>
  <c r="K24" i="69"/>
  <c r="J27" i="69"/>
  <c r="J23" i="69"/>
  <c r="I26" i="69"/>
  <c r="I22" i="69"/>
  <c r="H25" i="69"/>
  <c r="H21" i="69"/>
  <c r="G24" i="69"/>
  <c r="F27" i="69"/>
  <c r="F23" i="69"/>
  <c r="E26" i="69"/>
  <c r="E22" i="69"/>
  <c r="D25" i="69"/>
  <c r="D21" i="69"/>
  <c r="L13" i="69"/>
  <c r="K16" i="69"/>
  <c r="K12" i="69"/>
  <c r="J15" i="69"/>
  <c r="J11" i="69"/>
  <c r="I14" i="69"/>
  <c r="I10" i="69"/>
  <c r="H13" i="69"/>
  <c r="G16" i="69"/>
  <c r="G12" i="69"/>
  <c r="F15" i="69"/>
  <c r="F11" i="69"/>
  <c r="H26" i="69"/>
  <c r="I15" i="69"/>
  <c r="F26" i="69"/>
  <c r="I13" i="69"/>
  <c r="L15" i="34"/>
  <c r="D13" i="28" l="1"/>
  <c r="L13" i="28" s="1"/>
  <c r="D14" i="28"/>
  <c r="D15" i="28"/>
  <c r="D17" i="28"/>
  <c r="L17" i="28" s="1"/>
  <c r="D18" i="28"/>
  <c r="D19" i="28"/>
  <c r="D20" i="28"/>
  <c r="L21" i="28"/>
  <c r="D22" i="28"/>
  <c r="D23" i="28"/>
  <c r="D24" i="28"/>
  <c r="D25" i="28"/>
  <c r="L25" i="28" s="1"/>
  <c r="D27" i="28"/>
  <c r="D28" i="28"/>
  <c r="D29" i="28"/>
  <c r="L29" i="28" s="1"/>
  <c r="D30" i="28"/>
  <c r="D32" i="28"/>
  <c r="D33" i="28"/>
  <c r="L33" i="28" s="1"/>
  <c r="D34" i="28"/>
  <c r="D35" i="28"/>
  <c r="D37" i="28"/>
  <c r="L37" i="28" s="1"/>
  <c r="D38" i="28"/>
  <c r="D39" i="28"/>
  <c r="D40" i="28"/>
  <c r="D41" i="28"/>
  <c r="L41" i="28" s="1"/>
  <c r="D43" i="28"/>
  <c r="D44" i="28"/>
  <c r="D45" i="28"/>
  <c r="L45" i="28" s="1"/>
  <c r="D46" i="28"/>
  <c r="D48" i="28"/>
  <c r="D49" i="28"/>
  <c r="L49" i="28" s="1"/>
  <c r="D50" i="28"/>
  <c r="D51" i="28"/>
  <c r="D53" i="28"/>
  <c r="L53" i="28" s="1"/>
  <c r="D54" i="28"/>
  <c r="D55" i="28"/>
  <c r="D57" i="28"/>
  <c r="G57" i="28" l="1"/>
  <c r="H57" i="28" s="1"/>
  <c r="L57" i="28"/>
  <c r="L52" i="28"/>
  <c r="G48" i="28"/>
  <c r="H48" i="28" s="1"/>
  <c r="L48" i="28"/>
  <c r="G44" i="28"/>
  <c r="H44" i="28" s="1"/>
  <c r="L44" i="28"/>
  <c r="G40" i="28"/>
  <c r="H40" i="28" s="1"/>
  <c r="L40" i="28"/>
  <c r="L36" i="28"/>
  <c r="G32" i="28"/>
  <c r="H32" i="28" s="1"/>
  <c r="L32" i="28"/>
  <c r="G28" i="28"/>
  <c r="H28" i="28" s="1"/>
  <c r="L28" i="28"/>
  <c r="G24" i="28"/>
  <c r="H24" i="28" s="1"/>
  <c r="L24" i="28"/>
  <c r="G20" i="28"/>
  <c r="H20" i="28" s="1"/>
  <c r="L20" i="28"/>
  <c r="L16" i="28"/>
  <c r="G55" i="28"/>
  <c r="H55" i="28" s="1"/>
  <c r="L55" i="28"/>
  <c r="L47" i="28"/>
  <c r="G39" i="28"/>
  <c r="H39" i="28" s="1"/>
  <c r="L39" i="28"/>
  <c r="G35" i="28"/>
  <c r="H35" i="28" s="1"/>
  <c r="L35" i="28"/>
  <c r="L31" i="28"/>
  <c r="G27" i="28"/>
  <c r="H27" i="28" s="1"/>
  <c r="L27" i="28"/>
  <c r="G23" i="28"/>
  <c r="H23" i="28" s="1"/>
  <c r="L23" i="28"/>
  <c r="G19" i="28"/>
  <c r="H19" i="28" s="1"/>
  <c r="L19" i="28"/>
  <c r="G15" i="28"/>
  <c r="H15" i="28" s="1"/>
  <c r="L15" i="28"/>
  <c r="G51" i="28"/>
  <c r="H51" i="28" s="1"/>
  <c r="L51" i="28"/>
  <c r="G43" i="28"/>
  <c r="H43" i="28" s="1"/>
  <c r="L43" i="28"/>
  <c r="G54" i="28"/>
  <c r="H54" i="28" s="1"/>
  <c r="L54" i="28"/>
  <c r="G50" i="28"/>
  <c r="H50" i="28" s="1"/>
  <c r="L50" i="28"/>
  <c r="G46" i="28"/>
  <c r="H46" i="28" s="1"/>
  <c r="L46" i="28"/>
  <c r="L42" i="28"/>
  <c r="G38" i="28"/>
  <c r="H38" i="28" s="1"/>
  <c r="L38" i="28"/>
  <c r="G34" i="28"/>
  <c r="H34" i="28" s="1"/>
  <c r="L34" i="28"/>
  <c r="G30" i="28"/>
  <c r="H30" i="28" s="1"/>
  <c r="L30" i="28"/>
  <c r="L26" i="28"/>
  <c r="G22" i="28"/>
  <c r="H22" i="28" s="1"/>
  <c r="L22" i="28"/>
  <c r="G18" i="28"/>
  <c r="H18" i="28" s="1"/>
  <c r="L18" i="28"/>
  <c r="G14" i="28"/>
  <c r="H14" i="28" s="1"/>
  <c r="L14" i="28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9" i="28"/>
  <c r="H29" i="28" s="1"/>
  <c r="G25" i="28"/>
  <c r="H25" i="28" s="1"/>
  <c r="G17" i="28"/>
  <c r="H17" i="28" s="1"/>
  <c r="D57" i="41"/>
  <c r="D55" i="41"/>
  <c r="L55" i="41" s="1"/>
  <c r="D54" i="41"/>
  <c r="L54" i="41" s="1"/>
  <c r="D53" i="41"/>
  <c r="L53" i="41" s="1"/>
  <c r="D52" i="41"/>
  <c r="L52" i="41" s="1"/>
  <c r="D51" i="41"/>
  <c r="L51" i="41" s="1"/>
  <c r="D50" i="41"/>
  <c r="L50" i="41" s="1"/>
  <c r="D49" i="41"/>
  <c r="L49" i="41" s="1"/>
  <c r="D48" i="41"/>
  <c r="L48" i="41" s="1"/>
  <c r="D47" i="41"/>
  <c r="L47" i="41" s="1"/>
  <c r="D46" i="41"/>
  <c r="L46" i="41" s="1"/>
  <c r="D45" i="41"/>
  <c r="L45" i="41" s="1"/>
  <c r="D44" i="41"/>
  <c r="L44" i="41" s="1"/>
  <c r="D43" i="41"/>
  <c r="L43" i="41" s="1"/>
  <c r="D42" i="41"/>
  <c r="L42" i="41" s="1"/>
  <c r="D41" i="41"/>
  <c r="L41" i="41" s="1"/>
  <c r="D40" i="41"/>
  <c r="L40" i="41" s="1"/>
  <c r="D39" i="41"/>
  <c r="L39" i="41" s="1"/>
  <c r="D38" i="41"/>
  <c r="L38" i="41" s="1"/>
  <c r="D37" i="41"/>
  <c r="L37" i="41" s="1"/>
  <c r="D36" i="41"/>
  <c r="L36" i="41" s="1"/>
  <c r="D35" i="41"/>
  <c r="L35" i="41" s="1"/>
  <c r="D34" i="41"/>
  <c r="L34" i="41" s="1"/>
  <c r="D33" i="41"/>
  <c r="L33" i="41" s="1"/>
  <c r="D32" i="41"/>
  <c r="L32" i="41" s="1"/>
  <c r="D31" i="41"/>
  <c r="L31" i="41" s="1"/>
  <c r="D30" i="41"/>
  <c r="L30" i="41" s="1"/>
  <c r="D29" i="41"/>
  <c r="L29" i="41" s="1"/>
  <c r="D28" i="41"/>
  <c r="L28" i="41" s="1"/>
  <c r="D27" i="41"/>
  <c r="L27" i="41" s="1"/>
  <c r="D26" i="41"/>
  <c r="L26" i="41" s="1"/>
  <c r="D25" i="41"/>
  <c r="L25" i="41" s="1"/>
  <c r="D24" i="41"/>
  <c r="L24" i="41" s="1"/>
  <c r="D23" i="41"/>
  <c r="L23" i="41" s="1"/>
  <c r="D22" i="41"/>
  <c r="L22" i="41" s="1"/>
  <c r="D21" i="41"/>
  <c r="L21" i="41" s="1"/>
  <c r="L20" i="41"/>
  <c r="D19" i="41"/>
  <c r="L19" i="41" s="1"/>
  <c r="D18" i="41"/>
  <c r="L18" i="41" s="1"/>
  <c r="D17" i="41"/>
  <c r="L17" i="41" s="1"/>
  <c r="D16" i="41"/>
  <c r="L16" i="41" s="1"/>
  <c r="D15" i="41"/>
  <c r="L15" i="41" s="1"/>
  <c r="D14" i="41"/>
  <c r="L14" i="41" s="1"/>
  <c r="D13" i="41"/>
  <c r="L13" i="41" s="1"/>
  <c r="D12" i="41"/>
  <c r="L12" i="41" s="1"/>
  <c r="D11" i="41"/>
  <c r="L11" i="41" s="1"/>
  <c r="D10" i="41"/>
  <c r="L10" i="41" s="1"/>
  <c r="D7" i="41"/>
  <c r="D57" i="40"/>
  <c r="D55" i="40"/>
  <c r="L55" i="40" s="1"/>
  <c r="D54" i="40"/>
  <c r="L54" i="40" s="1"/>
  <c r="D53" i="40"/>
  <c r="L53" i="40" s="1"/>
  <c r="D52" i="40"/>
  <c r="L52" i="40" s="1"/>
  <c r="D51" i="40"/>
  <c r="L51" i="40" s="1"/>
  <c r="D50" i="40"/>
  <c r="L50" i="40" s="1"/>
  <c r="D49" i="40"/>
  <c r="L49" i="40" s="1"/>
  <c r="D48" i="40"/>
  <c r="L48" i="40" s="1"/>
  <c r="D47" i="40"/>
  <c r="L47" i="40" s="1"/>
  <c r="D46" i="40"/>
  <c r="L46" i="40" s="1"/>
  <c r="D45" i="40"/>
  <c r="L45" i="40" s="1"/>
  <c r="D44" i="40"/>
  <c r="L44" i="40" s="1"/>
  <c r="D43" i="40"/>
  <c r="L43" i="40" s="1"/>
  <c r="D42" i="40"/>
  <c r="L42" i="40" s="1"/>
  <c r="D41" i="40"/>
  <c r="L41" i="40" s="1"/>
  <c r="D40" i="40"/>
  <c r="L40" i="40" s="1"/>
  <c r="D39" i="40"/>
  <c r="L39" i="40" s="1"/>
  <c r="D38" i="40"/>
  <c r="L38" i="40" s="1"/>
  <c r="D37" i="40"/>
  <c r="L37" i="40" s="1"/>
  <c r="D36" i="40"/>
  <c r="L36" i="40" s="1"/>
  <c r="D35" i="40"/>
  <c r="L35" i="40" s="1"/>
  <c r="D34" i="40"/>
  <c r="L34" i="40" s="1"/>
  <c r="D33" i="40"/>
  <c r="L33" i="40" s="1"/>
  <c r="D32" i="40"/>
  <c r="L32" i="40" s="1"/>
  <c r="D31" i="40"/>
  <c r="L31" i="40" s="1"/>
  <c r="D30" i="40"/>
  <c r="L30" i="40" s="1"/>
  <c r="D29" i="40"/>
  <c r="L29" i="40" s="1"/>
  <c r="D28" i="40"/>
  <c r="L28" i="40" s="1"/>
  <c r="D27" i="40"/>
  <c r="L27" i="40" s="1"/>
  <c r="D26" i="40"/>
  <c r="L26" i="40" s="1"/>
  <c r="D25" i="40"/>
  <c r="L25" i="40" s="1"/>
  <c r="D24" i="40"/>
  <c r="L24" i="40" s="1"/>
  <c r="D23" i="40"/>
  <c r="L23" i="40" s="1"/>
  <c r="D22" i="40"/>
  <c r="L22" i="40" s="1"/>
  <c r="D21" i="40"/>
  <c r="L21" i="40" s="1"/>
  <c r="D20" i="40"/>
  <c r="L20" i="40" s="1"/>
  <c r="D19" i="40"/>
  <c r="L19" i="40" s="1"/>
  <c r="D18" i="40"/>
  <c r="L18" i="40" s="1"/>
  <c r="D17" i="40"/>
  <c r="L17" i="40" s="1"/>
  <c r="D16" i="40"/>
  <c r="L16" i="40" s="1"/>
  <c r="D15" i="40"/>
  <c r="L15" i="40" s="1"/>
  <c r="D14" i="40"/>
  <c r="L14" i="40" s="1"/>
  <c r="D13" i="40"/>
  <c r="L13" i="40" s="1"/>
  <c r="D12" i="40"/>
  <c r="L12" i="40" s="1"/>
  <c r="D11" i="40"/>
  <c r="L11" i="40" s="1"/>
  <c r="D10" i="40"/>
  <c r="L10" i="40" s="1"/>
  <c r="D7" i="40"/>
  <c r="D57" i="39"/>
  <c r="D55" i="39"/>
  <c r="L55" i="39" s="1"/>
  <c r="D54" i="39"/>
  <c r="L54" i="39" s="1"/>
  <c r="D53" i="39"/>
  <c r="L53" i="39" s="1"/>
  <c r="D52" i="39"/>
  <c r="L52" i="39" s="1"/>
  <c r="D51" i="39"/>
  <c r="L51" i="39" s="1"/>
  <c r="D50" i="39"/>
  <c r="L50" i="39" s="1"/>
  <c r="D49" i="39"/>
  <c r="L49" i="39" s="1"/>
  <c r="D48" i="39"/>
  <c r="L48" i="39" s="1"/>
  <c r="D47" i="39"/>
  <c r="L47" i="39" s="1"/>
  <c r="D46" i="39"/>
  <c r="L46" i="39" s="1"/>
  <c r="D45" i="39"/>
  <c r="L45" i="39" s="1"/>
  <c r="D44" i="39"/>
  <c r="L44" i="39" s="1"/>
  <c r="D43" i="39"/>
  <c r="L43" i="39" s="1"/>
  <c r="D42" i="39"/>
  <c r="L42" i="39" s="1"/>
  <c r="D41" i="39"/>
  <c r="L41" i="39" s="1"/>
  <c r="D40" i="39"/>
  <c r="L40" i="39" s="1"/>
  <c r="D39" i="39"/>
  <c r="L39" i="39" s="1"/>
  <c r="D38" i="39"/>
  <c r="L38" i="39" s="1"/>
  <c r="D37" i="39"/>
  <c r="L37" i="39" s="1"/>
  <c r="D36" i="39"/>
  <c r="L36" i="39" s="1"/>
  <c r="D35" i="39"/>
  <c r="L35" i="39" s="1"/>
  <c r="D34" i="39"/>
  <c r="L34" i="39" s="1"/>
  <c r="D33" i="39"/>
  <c r="L33" i="39" s="1"/>
  <c r="D32" i="39"/>
  <c r="L32" i="39" s="1"/>
  <c r="D31" i="39"/>
  <c r="L31" i="39" s="1"/>
  <c r="D30" i="39"/>
  <c r="L30" i="39" s="1"/>
  <c r="D29" i="39"/>
  <c r="L29" i="39" s="1"/>
  <c r="D28" i="39"/>
  <c r="L28" i="39" s="1"/>
  <c r="D27" i="39"/>
  <c r="L27" i="39" s="1"/>
  <c r="D26" i="39"/>
  <c r="L26" i="39" s="1"/>
  <c r="D25" i="39"/>
  <c r="L25" i="39" s="1"/>
  <c r="D24" i="39"/>
  <c r="L24" i="39" s="1"/>
  <c r="D23" i="39"/>
  <c r="L23" i="39" s="1"/>
  <c r="D22" i="39"/>
  <c r="L22" i="39" s="1"/>
  <c r="D21" i="39"/>
  <c r="L21" i="39" s="1"/>
  <c r="D20" i="39"/>
  <c r="L20" i="39" s="1"/>
  <c r="D19" i="39"/>
  <c r="L19" i="39" s="1"/>
  <c r="D18" i="39"/>
  <c r="L18" i="39" s="1"/>
  <c r="D17" i="39"/>
  <c r="L17" i="39" s="1"/>
  <c r="D16" i="39"/>
  <c r="L16" i="39" s="1"/>
  <c r="D15" i="39"/>
  <c r="L15" i="39" s="1"/>
  <c r="D14" i="39"/>
  <c r="L14" i="39" s="1"/>
  <c r="D13" i="39"/>
  <c r="L13" i="39" s="1"/>
  <c r="D12" i="39"/>
  <c r="L12" i="39" s="1"/>
  <c r="D11" i="39"/>
  <c r="L11" i="39" s="1"/>
  <c r="D10" i="39"/>
  <c r="L10" i="39" s="1"/>
  <c r="D7" i="39"/>
  <c r="D57" i="38"/>
  <c r="D55" i="38"/>
  <c r="L55" i="38" s="1"/>
  <c r="D54" i="38"/>
  <c r="L54" i="38" s="1"/>
  <c r="D53" i="38"/>
  <c r="L53" i="38" s="1"/>
  <c r="D52" i="38"/>
  <c r="L52" i="38" s="1"/>
  <c r="L51" i="38"/>
  <c r="D50" i="38"/>
  <c r="L50" i="38" s="1"/>
  <c r="D49" i="38"/>
  <c r="L49" i="38" s="1"/>
  <c r="D48" i="38"/>
  <c r="L48" i="38" s="1"/>
  <c r="D47" i="38"/>
  <c r="L47" i="38" s="1"/>
  <c r="D46" i="38"/>
  <c r="L46" i="38" s="1"/>
  <c r="D45" i="38"/>
  <c r="L45" i="38" s="1"/>
  <c r="D44" i="38"/>
  <c r="L44" i="38" s="1"/>
  <c r="D43" i="38"/>
  <c r="L43" i="38" s="1"/>
  <c r="D42" i="38"/>
  <c r="L42" i="38" s="1"/>
  <c r="D41" i="38"/>
  <c r="L41" i="38" s="1"/>
  <c r="D40" i="38"/>
  <c r="L40" i="38" s="1"/>
  <c r="D39" i="38"/>
  <c r="L39" i="38" s="1"/>
  <c r="D38" i="38"/>
  <c r="L38" i="38" s="1"/>
  <c r="D37" i="38"/>
  <c r="L37" i="38" s="1"/>
  <c r="D36" i="38"/>
  <c r="L36" i="38" s="1"/>
  <c r="D35" i="38"/>
  <c r="L35" i="38" s="1"/>
  <c r="D34" i="38"/>
  <c r="L34" i="38" s="1"/>
  <c r="D33" i="38"/>
  <c r="L33" i="38" s="1"/>
  <c r="D32" i="38"/>
  <c r="L32" i="38" s="1"/>
  <c r="D31" i="38"/>
  <c r="L31" i="38" s="1"/>
  <c r="D30" i="38"/>
  <c r="L30" i="38" s="1"/>
  <c r="D29" i="38"/>
  <c r="L29" i="38" s="1"/>
  <c r="D28" i="38"/>
  <c r="L28" i="38" s="1"/>
  <c r="D27" i="38"/>
  <c r="L27" i="38" s="1"/>
  <c r="D26" i="38"/>
  <c r="L26" i="38" s="1"/>
  <c r="D25" i="38"/>
  <c r="L25" i="38" s="1"/>
  <c r="D24" i="38"/>
  <c r="L24" i="38" s="1"/>
  <c r="D23" i="38"/>
  <c r="L23" i="38" s="1"/>
  <c r="D22" i="38"/>
  <c r="L22" i="38" s="1"/>
  <c r="D21" i="38"/>
  <c r="L21" i="38" s="1"/>
  <c r="D20" i="38"/>
  <c r="L20" i="38" s="1"/>
  <c r="D19" i="38"/>
  <c r="L19" i="38" s="1"/>
  <c r="D18" i="38"/>
  <c r="L18" i="38" s="1"/>
  <c r="D17" i="38"/>
  <c r="L17" i="38" s="1"/>
  <c r="D16" i="38"/>
  <c r="L16" i="38" s="1"/>
  <c r="D15" i="38"/>
  <c r="L15" i="38" s="1"/>
  <c r="D14" i="38"/>
  <c r="L14" i="38" s="1"/>
  <c r="D13" i="38"/>
  <c r="L13" i="38" s="1"/>
  <c r="D12" i="38"/>
  <c r="L12" i="38" s="1"/>
  <c r="D11" i="38"/>
  <c r="L11" i="38" s="1"/>
  <c r="D10" i="38"/>
  <c r="L10" i="38" s="1"/>
  <c r="D7" i="38"/>
  <c r="D57" i="37"/>
  <c r="D55" i="37"/>
  <c r="L55" i="37" s="1"/>
  <c r="D54" i="37"/>
  <c r="L54" i="37" s="1"/>
  <c r="L53" i="37"/>
  <c r="D52" i="37"/>
  <c r="L52" i="37" s="1"/>
  <c r="D51" i="37"/>
  <c r="L51" i="37" s="1"/>
  <c r="D50" i="37"/>
  <c r="L50" i="37" s="1"/>
  <c r="D49" i="37"/>
  <c r="L49" i="37" s="1"/>
  <c r="D48" i="37"/>
  <c r="L48" i="37" s="1"/>
  <c r="D47" i="37"/>
  <c r="L47" i="37" s="1"/>
  <c r="L46" i="37"/>
  <c r="D45" i="37"/>
  <c r="L45" i="37" s="1"/>
  <c r="D44" i="37"/>
  <c r="L44" i="37" s="1"/>
  <c r="D43" i="37"/>
  <c r="L43" i="37" s="1"/>
  <c r="D42" i="37"/>
  <c r="L42" i="37" s="1"/>
  <c r="D41" i="37"/>
  <c r="L41" i="37" s="1"/>
  <c r="L40" i="37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L33" i="37"/>
  <c r="D32" i="37"/>
  <c r="L32" i="37" s="1"/>
  <c r="D31" i="37"/>
  <c r="L31" i="37" s="1"/>
  <c r="D30" i="37"/>
  <c r="L30" i="37" s="1"/>
  <c r="D29" i="37"/>
  <c r="L29" i="37" s="1"/>
  <c r="D28" i="37"/>
  <c r="L28" i="37" s="1"/>
  <c r="L27" i="37"/>
  <c r="D26" i="37"/>
  <c r="L26" i="37" s="1"/>
  <c r="D25" i="37"/>
  <c r="L25" i="37" s="1"/>
  <c r="D24" i="37"/>
  <c r="L24" i="37" s="1"/>
  <c r="D23" i="37"/>
  <c r="L23" i="37" s="1"/>
  <c r="D22" i="37"/>
  <c r="L22" i="37" s="1"/>
  <c r="D21" i="37"/>
  <c r="L21" i="37" s="1"/>
  <c r="L20" i="37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L13" i="37"/>
  <c r="D12" i="37"/>
  <c r="L12" i="37" s="1"/>
  <c r="D11" i="37"/>
  <c r="L11" i="37" s="1"/>
  <c r="D10" i="37"/>
  <c r="L10" i="37" s="1"/>
  <c r="D7" i="37"/>
  <c r="D57" i="36"/>
  <c r="D55" i="36"/>
  <c r="L55" i="36" s="1"/>
  <c r="D54" i="36"/>
  <c r="L54" i="36" s="1"/>
  <c r="D53" i="36"/>
  <c r="L53" i="36" s="1"/>
  <c r="D52" i="36"/>
  <c r="L52" i="36" s="1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D42" i="36"/>
  <c r="L42" i="36" s="1"/>
  <c r="D41" i="36"/>
  <c r="L41" i="36" s="1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7" i="36"/>
  <c r="D57" i="35"/>
  <c r="D55" i="35"/>
  <c r="L55" i="35" s="1"/>
  <c r="L54" i="35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L46" i="35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D39" i="35"/>
  <c r="L39" i="35" s="1"/>
  <c r="L38" i="35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L30" i="35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L22" i="35"/>
  <c r="D21" i="35"/>
  <c r="L21" i="35" s="1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L14" i="35"/>
  <c r="D13" i="35"/>
  <c r="L13" i="35" s="1"/>
  <c r="D12" i="35"/>
  <c r="L12" i="35" s="1"/>
  <c r="D11" i="35"/>
  <c r="L11" i="35" s="1"/>
  <c r="D10" i="35"/>
  <c r="L10" i="35" s="1"/>
  <c r="D7" i="35"/>
  <c r="D57" i="34"/>
  <c r="L55" i="34"/>
  <c r="D54" i="34"/>
  <c r="L54" i="34" s="1"/>
  <c r="D53" i="34"/>
  <c r="L53" i="34" s="1"/>
  <c r="D52" i="34"/>
  <c r="L52" i="34" s="1"/>
  <c r="D51" i="34"/>
  <c r="L51" i="34" s="1"/>
  <c r="L50" i="34"/>
  <c r="D49" i="34"/>
  <c r="L49" i="34" s="1"/>
  <c r="D48" i="34"/>
  <c r="L48" i="34" s="1"/>
  <c r="D47" i="34"/>
  <c r="L47" i="34" s="1"/>
  <c r="L46" i="34"/>
  <c r="D45" i="34"/>
  <c r="L45" i="34" s="1"/>
  <c r="D44" i="34"/>
  <c r="L44" i="34" s="1"/>
  <c r="D43" i="34"/>
  <c r="L43" i="34" s="1"/>
  <c r="L42" i="34"/>
  <c r="D41" i="34"/>
  <c r="L41" i="34" s="1"/>
  <c r="D40" i="34"/>
  <c r="L40" i="34" s="1"/>
  <c r="D39" i="34"/>
  <c r="L39" i="34" s="1"/>
  <c r="D38" i="34"/>
  <c r="L38" i="34" s="1"/>
  <c r="L37" i="34"/>
  <c r="D36" i="34"/>
  <c r="L36" i="34" s="1"/>
  <c r="D35" i="34"/>
  <c r="L35" i="34" s="1"/>
  <c r="D34" i="34"/>
  <c r="L34" i="34" s="1"/>
  <c r="L33" i="34"/>
  <c r="D32" i="34"/>
  <c r="L32" i="34" s="1"/>
  <c r="D31" i="34"/>
  <c r="L31" i="34" s="1"/>
  <c r="D30" i="34"/>
  <c r="L30" i="34" s="1"/>
  <c r="L29" i="34"/>
  <c r="D28" i="34"/>
  <c r="L28" i="34" s="1"/>
  <c r="D27" i="34"/>
  <c r="L27" i="34" s="1"/>
  <c r="D26" i="34"/>
  <c r="L26" i="34" s="1"/>
  <c r="D25" i="34"/>
  <c r="L25" i="34" s="1"/>
  <c r="L24" i="34"/>
  <c r="D23" i="34"/>
  <c r="L23" i="34" s="1"/>
  <c r="D22" i="34"/>
  <c r="L22" i="34" s="1"/>
  <c r="D21" i="34"/>
  <c r="L21" i="34" s="1"/>
  <c r="L20" i="34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L11" i="34"/>
  <c r="L10" i="34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D50" i="33"/>
  <c r="L50" i="33" s="1"/>
  <c r="D49" i="33"/>
  <c r="L49" i="33" s="1"/>
  <c r="D48" i="33"/>
  <c r="L48" i="33" s="1"/>
  <c r="D47" i="33"/>
  <c r="L47" i="33" s="1"/>
  <c r="D46" i="33"/>
  <c r="L46" i="33" s="1"/>
  <c r="D45" i="33"/>
  <c r="L45" i="33" s="1"/>
  <c r="D44" i="33"/>
  <c r="L44" i="33" s="1"/>
  <c r="D43" i="33"/>
  <c r="L43" i="33" s="1"/>
  <c r="D42" i="33"/>
  <c r="L42" i="33" s="1"/>
  <c r="D41" i="33"/>
  <c r="L41" i="33" s="1"/>
  <c r="D40" i="33"/>
  <c r="L40" i="33" s="1"/>
  <c r="D39" i="33"/>
  <c r="L39" i="33" s="1"/>
  <c r="D38" i="33"/>
  <c r="L38" i="33" s="1"/>
  <c r="D37" i="33"/>
  <c r="L37" i="33" s="1"/>
  <c r="D36" i="33"/>
  <c r="L36" i="33" s="1"/>
  <c r="D35" i="33"/>
  <c r="L35" i="33" s="1"/>
  <c r="D34" i="33"/>
  <c r="L34" i="33" s="1"/>
  <c r="D33" i="33"/>
  <c r="L33" i="33" s="1"/>
  <c r="D32" i="33"/>
  <c r="L32" i="33" s="1"/>
  <c r="D31" i="33"/>
  <c r="L31" i="33" s="1"/>
  <c r="D30" i="33"/>
  <c r="L30" i="33" s="1"/>
  <c r="D29" i="33"/>
  <c r="L29" i="33" s="1"/>
  <c r="D28" i="33"/>
  <c r="L28" i="33" s="1"/>
  <c r="D27" i="33"/>
  <c r="L27" i="33" s="1"/>
  <c r="D26" i="33"/>
  <c r="L26" i="33" s="1"/>
  <c r="D25" i="33"/>
  <c r="L25" i="33" s="1"/>
  <c r="D24" i="33"/>
  <c r="L24" i="33" s="1"/>
  <c r="D23" i="33"/>
  <c r="L23" i="33" s="1"/>
  <c r="D22" i="33"/>
  <c r="L22" i="33" s="1"/>
  <c r="D21" i="33"/>
  <c r="L21" i="33" s="1"/>
  <c r="D20" i="33"/>
  <c r="L20" i="33" s="1"/>
  <c r="D19" i="33"/>
  <c r="L19" i="33" s="1"/>
  <c r="D18" i="33"/>
  <c r="L18" i="33" s="1"/>
  <c r="D17" i="33"/>
  <c r="L17" i="33" s="1"/>
  <c r="D16" i="33"/>
  <c r="L16" i="33" s="1"/>
  <c r="D15" i="33"/>
  <c r="L15" i="33" s="1"/>
  <c r="D14" i="33"/>
  <c r="L14" i="33" s="1"/>
  <c r="D13" i="33"/>
  <c r="L13" i="33" s="1"/>
  <c r="D12" i="33"/>
  <c r="L12" i="33" s="1"/>
  <c r="D11" i="33"/>
  <c r="L11" i="33" s="1"/>
  <c r="D10" i="33"/>
  <c r="L10" i="33" s="1"/>
  <c r="D7" i="33"/>
  <c r="D57" i="32"/>
  <c r="D55" i="32"/>
  <c r="L55" i="32" s="1"/>
  <c r="D54" i="32"/>
  <c r="L54" i="32" s="1"/>
  <c r="D53" i="32"/>
  <c r="L53" i="32" s="1"/>
  <c r="L52" i="32"/>
  <c r="D51" i="32"/>
  <c r="L51" i="32" s="1"/>
  <c r="D50" i="32"/>
  <c r="L50" i="32" s="1"/>
  <c r="D49" i="32"/>
  <c r="L49" i="32" s="1"/>
  <c r="D48" i="32"/>
  <c r="L48" i="32" s="1"/>
  <c r="L47" i="32"/>
  <c r="D46" i="32"/>
  <c r="L46" i="32" s="1"/>
  <c r="D45" i="32"/>
  <c r="L45" i="32" s="1"/>
  <c r="D44" i="32"/>
  <c r="L44" i="32" s="1"/>
  <c r="D43" i="32"/>
  <c r="L43" i="32" s="1"/>
  <c r="L42" i="32"/>
  <c r="D41" i="32"/>
  <c r="L41" i="32" s="1"/>
  <c r="D40" i="32"/>
  <c r="L40" i="32" s="1"/>
  <c r="D39" i="32"/>
  <c r="L39" i="32" s="1"/>
  <c r="D38" i="32"/>
  <c r="L38" i="32" s="1"/>
  <c r="L37" i="32"/>
  <c r="D36" i="32"/>
  <c r="L36" i="32" s="1"/>
  <c r="D35" i="32"/>
  <c r="L35" i="32" s="1"/>
  <c r="D34" i="32"/>
  <c r="L34" i="32" s="1"/>
  <c r="D33" i="32"/>
  <c r="L33" i="32" s="1"/>
  <c r="D32" i="32"/>
  <c r="L32" i="32" s="1"/>
  <c r="L31" i="32"/>
  <c r="D30" i="32"/>
  <c r="L30" i="32" s="1"/>
  <c r="D29" i="32"/>
  <c r="L29" i="32" s="1"/>
  <c r="D28" i="32"/>
  <c r="L28" i="32" s="1"/>
  <c r="D27" i="32"/>
  <c r="L27" i="32" s="1"/>
  <c r="L26" i="32"/>
  <c r="D25" i="32"/>
  <c r="L25" i="32" s="1"/>
  <c r="D24" i="32"/>
  <c r="L24" i="32" s="1"/>
  <c r="D23" i="32"/>
  <c r="L23" i="32" s="1"/>
  <c r="D22" i="32"/>
  <c r="L22" i="32" s="1"/>
  <c r="L21" i="32"/>
  <c r="D20" i="32"/>
  <c r="L20" i="32" s="1"/>
  <c r="D19" i="32"/>
  <c r="L19" i="32" s="1"/>
  <c r="D18" i="32"/>
  <c r="L18" i="32" s="1"/>
  <c r="D17" i="32"/>
  <c r="L17" i="32" s="1"/>
  <c r="L16" i="32"/>
  <c r="D15" i="32"/>
  <c r="L15" i="32" s="1"/>
  <c r="D14" i="32"/>
  <c r="L14" i="32" s="1"/>
  <c r="D13" i="32"/>
  <c r="L13" i="32" s="1"/>
  <c r="D12" i="32"/>
  <c r="L12" i="32" s="1"/>
  <c r="D11" i="32"/>
  <c r="L11" i="32" s="1"/>
  <c r="L10" i="32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D49" i="31"/>
  <c r="L49" i="31" s="1"/>
  <c r="D48" i="31"/>
  <c r="L48" i="31" s="1"/>
  <c r="D47" i="31"/>
  <c r="L47" i="31" s="1"/>
  <c r="D46" i="31"/>
  <c r="L46" i="31" s="1"/>
  <c r="L45" i="3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D38" i="31"/>
  <c r="L38" i="31" s="1"/>
  <c r="D37" i="31"/>
  <c r="L37" i="31" s="1"/>
  <c r="D36" i="31"/>
  <c r="L36" i="31" s="1"/>
  <c r="D35" i="31"/>
  <c r="L35" i="31" s="1"/>
  <c r="D34" i="31"/>
  <c r="L34" i="31" s="1"/>
  <c r="L33" i="31"/>
  <c r="D32" i="31"/>
  <c r="L32" i="31" s="1"/>
  <c r="D31" i="31"/>
  <c r="L31" i="31" s="1"/>
  <c r="D30" i="31"/>
  <c r="L30" i="31" s="1"/>
  <c r="D29" i="31"/>
  <c r="L29" i="31" s="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L21" i="31"/>
  <c r="D20" i="31"/>
  <c r="L20" i="31" s="1"/>
  <c r="D19" i="31"/>
  <c r="L19" i="31" s="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D10" i="31"/>
  <c r="L10" i="31" s="1"/>
  <c r="D7" i="31"/>
  <c r="D57" i="30"/>
  <c r="D55" i="30"/>
  <c r="L55" i="30" s="1"/>
  <c r="L54" i="30"/>
  <c r="D53" i="30"/>
  <c r="L53" i="30" s="1"/>
  <c r="D52" i="30"/>
  <c r="L52" i="30" s="1"/>
  <c r="D51" i="30"/>
  <c r="L51" i="30" s="1"/>
  <c r="L50" i="30"/>
  <c r="D49" i="30"/>
  <c r="L49" i="30" s="1"/>
  <c r="D48" i="30"/>
  <c r="L48" i="30" s="1"/>
  <c r="D47" i="30"/>
  <c r="L47" i="30" s="1"/>
  <c r="L46" i="30"/>
  <c r="D45" i="30"/>
  <c r="L45" i="30" s="1"/>
  <c r="D44" i="30"/>
  <c r="L44" i="30" s="1"/>
  <c r="D43" i="30"/>
  <c r="L43" i="30" s="1"/>
  <c r="L42" i="30"/>
  <c r="D41" i="30"/>
  <c r="L41" i="30" s="1"/>
  <c r="D40" i="30"/>
  <c r="L40" i="30" s="1"/>
  <c r="D39" i="30"/>
  <c r="L39" i="30" s="1"/>
  <c r="D38" i="30"/>
  <c r="L38" i="30" s="1"/>
  <c r="L37" i="30"/>
  <c r="D36" i="30"/>
  <c r="L36" i="30" s="1"/>
  <c r="D35" i="30"/>
  <c r="L35" i="30" s="1"/>
  <c r="D34" i="30"/>
  <c r="L34" i="30" s="1"/>
  <c r="L33" i="30"/>
  <c r="D32" i="30"/>
  <c r="L32" i="30" s="1"/>
  <c r="D31" i="30"/>
  <c r="L31" i="30" s="1"/>
  <c r="D30" i="30"/>
  <c r="L30" i="30" s="1"/>
  <c r="L29" i="30"/>
  <c r="D28" i="30"/>
  <c r="L28" i="30" s="1"/>
  <c r="D27" i="30"/>
  <c r="L27" i="30" s="1"/>
  <c r="D26" i="30"/>
  <c r="L26" i="30" s="1"/>
  <c r="L25" i="30"/>
  <c r="D24" i="30"/>
  <c r="L24" i="30" s="1"/>
  <c r="D23" i="30"/>
  <c r="L23" i="30" s="1"/>
  <c r="D22" i="30"/>
  <c r="L22" i="30" s="1"/>
  <c r="L21" i="30"/>
  <c r="D20" i="30"/>
  <c r="L20" i="30" s="1"/>
  <c r="D19" i="30"/>
  <c r="L19" i="30" s="1"/>
  <c r="D18" i="30"/>
  <c r="L18" i="30" s="1"/>
  <c r="L17" i="30"/>
  <c r="D16" i="30"/>
  <c r="L16" i="30" s="1"/>
  <c r="D15" i="30"/>
  <c r="L15" i="30" s="1"/>
  <c r="D14" i="30"/>
  <c r="L14" i="30" s="1"/>
  <c r="L13" i="30"/>
  <c r="D12" i="30"/>
  <c r="L12" i="30" s="1"/>
  <c r="D11" i="30"/>
  <c r="L11" i="30" s="1"/>
  <c r="D10" i="30"/>
  <c r="L10" i="30" s="1"/>
  <c r="D7" i="30"/>
  <c r="D57" i="29"/>
  <c r="D55" i="29"/>
  <c r="L55" i="29" s="1"/>
  <c r="D54" i="29"/>
  <c r="L54" i="29" s="1"/>
  <c r="D53" i="29"/>
  <c r="L53" i="29" s="1"/>
  <c r="L52" i="29"/>
  <c r="D51" i="29"/>
  <c r="L51" i="29" s="1"/>
  <c r="D50" i="29"/>
  <c r="L50" i="29" s="1"/>
  <c r="D49" i="29"/>
  <c r="L49" i="29" s="1"/>
  <c r="L48" i="29"/>
  <c r="D47" i="29"/>
  <c r="L47" i="29" s="1"/>
  <c r="D46" i="29"/>
  <c r="L46" i="29" s="1"/>
  <c r="D45" i="29"/>
  <c r="L45" i="29" s="1"/>
  <c r="L44" i="29"/>
  <c r="D43" i="29"/>
  <c r="L43" i="29" s="1"/>
  <c r="D42" i="29"/>
  <c r="L42" i="29" s="1"/>
  <c r="D41" i="29"/>
  <c r="L41" i="29" s="1"/>
  <c r="L40" i="29"/>
  <c r="D39" i="29"/>
  <c r="L39" i="29" s="1"/>
  <c r="D38" i="29"/>
  <c r="L38" i="29" s="1"/>
  <c r="D37" i="29"/>
  <c r="L37" i="29" s="1"/>
  <c r="L36" i="29"/>
  <c r="D35" i="29"/>
  <c r="L35" i="29" s="1"/>
  <c r="D34" i="29"/>
  <c r="L34" i="29" s="1"/>
  <c r="D33" i="29"/>
  <c r="L33" i="29" s="1"/>
  <c r="L32" i="29"/>
  <c r="D31" i="29"/>
  <c r="L31" i="29" s="1"/>
  <c r="D30" i="29"/>
  <c r="L30" i="29" s="1"/>
  <c r="D29" i="29"/>
  <c r="L29" i="29" s="1"/>
  <c r="L28" i="29"/>
  <c r="D27" i="29"/>
  <c r="L27" i="29" s="1"/>
  <c r="D26" i="29"/>
  <c r="L26" i="29" s="1"/>
  <c r="D25" i="29"/>
  <c r="L25" i="29" s="1"/>
  <c r="L24" i="29"/>
  <c r="D23" i="29"/>
  <c r="L23" i="29" s="1"/>
  <c r="D22" i="29"/>
  <c r="L22" i="29" s="1"/>
  <c r="D21" i="29"/>
  <c r="L21" i="29" s="1"/>
  <c r="L20" i="29"/>
  <c r="D19" i="29"/>
  <c r="L19" i="29" s="1"/>
  <c r="D18" i="29"/>
  <c r="L18" i="29" s="1"/>
  <c r="D17" i="29"/>
  <c r="L17" i="29" s="1"/>
  <c r="L16" i="29"/>
  <c r="D15" i="29"/>
  <c r="L15" i="29" s="1"/>
  <c r="D14" i="29"/>
  <c r="L14" i="29" s="1"/>
  <c r="D13" i="29"/>
  <c r="L13" i="29" s="1"/>
  <c r="L12" i="29"/>
  <c r="D11" i="29"/>
  <c r="L11" i="29" s="1"/>
  <c r="D10" i="29"/>
  <c r="L10" i="29" s="1"/>
  <c r="D7" i="29"/>
  <c r="E57" i="28"/>
  <c r="E55" i="28"/>
  <c r="E54" i="28"/>
  <c r="E53" i="28"/>
  <c r="E51" i="28"/>
  <c r="E50" i="28"/>
  <c r="E49" i="28"/>
  <c r="E48" i="28"/>
  <c r="E46" i="28"/>
  <c r="E45" i="28"/>
  <c r="E44" i="28"/>
  <c r="E43" i="28"/>
  <c r="E41" i="28"/>
  <c r="E40" i="28"/>
  <c r="E39" i="28"/>
  <c r="E38" i="28"/>
  <c r="E37" i="28"/>
  <c r="E35" i="28"/>
  <c r="E34" i="28"/>
  <c r="E33" i="28"/>
  <c r="E32" i="28"/>
  <c r="E30" i="28"/>
  <c r="E29" i="28"/>
  <c r="E28" i="28"/>
  <c r="E27" i="28"/>
  <c r="E25" i="28"/>
  <c r="E24" i="28"/>
  <c r="E23" i="28"/>
  <c r="E22" i="28"/>
  <c r="E20" i="28"/>
  <c r="E19" i="28"/>
  <c r="E18" i="28"/>
  <c r="E17" i="28"/>
  <c r="E15" i="28"/>
  <c r="E14" i="28"/>
  <c r="E13" i="28"/>
  <c r="D12" i="28"/>
  <c r="L12" i="28" s="1"/>
  <c r="L11" i="28"/>
  <c r="D10" i="28"/>
  <c r="L10" i="28" s="1"/>
  <c r="D7" i="28"/>
  <c r="D57" i="27"/>
  <c r="D55" i="27"/>
  <c r="L55" i="27" s="1"/>
  <c r="D54" i="27"/>
  <c r="L54" i="27" s="1"/>
  <c r="D53" i="27"/>
  <c r="L53" i="27" s="1"/>
  <c r="D52" i="27"/>
  <c r="L52" i="27" s="1"/>
  <c r="D51" i="27"/>
  <c r="L51" i="27" s="1"/>
  <c r="D50" i="27"/>
  <c r="L50" i="27" s="1"/>
  <c r="D49" i="27"/>
  <c r="L49" i="27" s="1"/>
  <c r="L48" i="27"/>
  <c r="D47" i="27"/>
  <c r="L47" i="27" s="1"/>
  <c r="D46" i="27"/>
  <c r="L46" i="27" s="1"/>
  <c r="D45" i="27"/>
  <c r="L45" i="27" s="1"/>
  <c r="D44" i="27"/>
  <c r="L44" i="27" s="1"/>
  <c r="D43" i="27"/>
  <c r="L43" i="27" s="1"/>
  <c r="D42" i="27"/>
  <c r="L42" i="27" s="1"/>
  <c r="D41" i="27"/>
  <c r="L41" i="27" s="1"/>
  <c r="L40" i="27"/>
  <c r="D39" i="27"/>
  <c r="L39" i="27" s="1"/>
  <c r="D38" i="27"/>
  <c r="L38" i="27" s="1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L31" i="27"/>
  <c r="D30" i="27"/>
  <c r="L30" i="27" s="1"/>
  <c r="D29" i="27"/>
  <c r="L29" i="27" s="1"/>
  <c r="D28" i="27"/>
  <c r="L28" i="27" s="1"/>
  <c r="D27" i="27"/>
  <c r="L27" i="27" s="1"/>
  <c r="D26" i="27"/>
  <c r="L26" i="27" s="1"/>
  <c r="D25" i="27"/>
  <c r="L25" i="27" s="1"/>
  <c r="D24" i="27"/>
  <c r="L24" i="27" s="1"/>
  <c r="D23" i="27"/>
  <c r="L23" i="27" s="1"/>
  <c r="L22" i="27"/>
  <c r="D21" i="27"/>
  <c r="L21" i="27" s="1"/>
  <c r="D20" i="27"/>
  <c r="L20" i="27" s="1"/>
  <c r="D19" i="27"/>
  <c r="L19" i="27" s="1"/>
  <c r="D18" i="27"/>
  <c r="L18" i="27" s="1"/>
  <c r="D17" i="27"/>
  <c r="L17" i="27" s="1"/>
  <c r="D16" i="27"/>
  <c r="L16" i="27" s="1"/>
  <c r="D15" i="27"/>
  <c r="L15" i="27" s="1"/>
  <c r="L14" i="27"/>
  <c r="D13" i="27"/>
  <c r="L13" i="27" s="1"/>
  <c r="D12" i="27"/>
  <c r="L12" i="27" s="1"/>
  <c r="D11" i="27"/>
  <c r="L11" i="27" s="1"/>
  <c r="D10" i="27"/>
  <c r="L10" i="27" s="1"/>
  <c r="D7" i="27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27" l="1"/>
  <c r="H7" i="27" s="1"/>
  <c r="L7" i="27"/>
  <c r="G9" i="34"/>
  <c r="H9" i="34" s="1"/>
  <c r="L9" i="34"/>
  <c r="G9" i="27"/>
  <c r="H9" i="27" s="1"/>
  <c r="L9" i="27"/>
  <c r="G7" i="28"/>
  <c r="H7" i="28" s="1"/>
  <c r="L7" i="28"/>
  <c r="G9" i="28"/>
  <c r="H9" i="28" s="1"/>
  <c r="L9" i="28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7" i="38"/>
  <c r="H7" i="38" s="1"/>
  <c r="L7" i="38"/>
  <c r="G57" i="38"/>
  <c r="H57" i="38" s="1"/>
  <c r="L57" i="38"/>
  <c r="G9" i="41"/>
  <c r="H9" i="41" s="1"/>
  <c r="L9" i="41"/>
  <c r="G57" i="31"/>
  <c r="H57" i="31" s="1"/>
  <c r="L57" i="31"/>
  <c r="G7" i="29"/>
  <c r="H7" i="29" s="1"/>
  <c r="L7" i="29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9" i="38"/>
  <c r="H9" i="38" s="1"/>
  <c r="L9" i="38"/>
  <c r="G7" i="39"/>
  <c r="H7" i="39" s="1"/>
  <c r="L7" i="39"/>
  <c r="G57" i="39"/>
  <c r="H57" i="39" s="1"/>
  <c r="L57" i="39"/>
  <c r="G7" i="31"/>
  <c r="H7" i="31" s="1"/>
  <c r="L7" i="31"/>
  <c r="G9" i="35"/>
  <c r="H9" i="35" s="1"/>
  <c r="L9" i="35"/>
  <c r="G7" i="36"/>
  <c r="H7" i="36" s="1"/>
  <c r="L7" i="36"/>
  <c r="G57" i="36"/>
  <c r="H57" i="36" s="1"/>
  <c r="L57" i="36"/>
  <c r="G9" i="39"/>
  <c r="H9" i="39" s="1"/>
  <c r="L9" i="39"/>
  <c r="G7" i="40"/>
  <c r="H7" i="40" s="1"/>
  <c r="L7" i="40"/>
  <c r="G57" i="40"/>
  <c r="H57" i="40" s="1"/>
  <c r="L57" i="40"/>
  <c r="G57" i="27"/>
  <c r="H57" i="27" s="1"/>
  <c r="L57" i="27"/>
  <c r="G9" i="30"/>
  <c r="H9" i="30" s="1"/>
  <c r="L9" i="30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57" i="37"/>
  <c r="H57" i="37" s="1"/>
  <c r="L57" i="37"/>
  <c r="G9" i="40"/>
  <c r="H9" i="40" s="1"/>
  <c r="L9" i="40"/>
  <c r="G7" i="41"/>
  <c r="H7" i="41" s="1"/>
  <c r="L7" i="41"/>
  <c r="G57" i="41"/>
  <c r="H57" i="41" s="1"/>
  <c r="L57" i="41"/>
  <c r="G14" i="36"/>
  <c r="H14" i="36" s="1"/>
  <c r="G10" i="27"/>
  <c r="H10" i="27" s="1"/>
  <c r="G18" i="27"/>
  <c r="H18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4" i="27"/>
  <c r="H54" i="27" s="1"/>
  <c r="G11" i="30"/>
  <c r="H11" i="30" s="1"/>
  <c r="G19" i="30"/>
  <c r="H19" i="30" s="1"/>
  <c r="G27" i="30"/>
  <c r="H27" i="30" s="1"/>
  <c r="G35" i="30"/>
  <c r="H35" i="30" s="1"/>
  <c r="G43" i="30"/>
  <c r="H43" i="30" s="1"/>
  <c r="G51" i="30"/>
  <c r="H51" i="30" s="1"/>
  <c r="G14" i="31"/>
  <c r="H14" i="31" s="1"/>
  <c r="G22" i="31"/>
  <c r="H22" i="31" s="1"/>
  <c r="G30" i="31"/>
  <c r="H30" i="31" s="1"/>
  <c r="G38" i="31"/>
  <c r="H38" i="31" s="1"/>
  <c r="G46" i="31"/>
  <c r="H46" i="31" s="1"/>
  <c r="G54" i="31"/>
  <c r="H54" i="31" s="1"/>
  <c r="G13" i="32"/>
  <c r="H13" i="32" s="1"/>
  <c r="G29" i="32"/>
  <c r="H29" i="32" s="1"/>
  <c r="G45" i="32"/>
  <c r="H45" i="32" s="1"/>
  <c r="G53" i="32"/>
  <c r="H53" i="32" s="1"/>
  <c r="G12" i="33"/>
  <c r="H12" i="33" s="1"/>
  <c r="G20" i="33"/>
  <c r="H20" i="33" s="1"/>
  <c r="G28" i="33"/>
  <c r="H28" i="33" s="1"/>
  <c r="G36" i="33"/>
  <c r="H36" i="33" s="1"/>
  <c r="G44" i="33"/>
  <c r="H44" i="33" s="1"/>
  <c r="G32" i="34"/>
  <c r="H32" i="34" s="1"/>
  <c r="G40" i="34"/>
  <c r="H40" i="34" s="1"/>
  <c r="G15" i="35"/>
  <c r="H15" i="35" s="1"/>
  <c r="G23" i="35"/>
  <c r="H23" i="35" s="1"/>
  <c r="G35" i="35"/>
  <c r="H35" i="35" s="1"/>
  <c r="G18" i="36"/>
  <c r="H18" i="36" s="1"/>
  <c r="G50" i="27"/>
  <c r="H50" i="27" s="1"/>
  <c r="G15" i="30"/>
  <c r="H15" i="30" s="1"/>
  <c r="G23" i="30"/>
  <c r="H23" i="30" s="1"/>
  <c r="G31" i="30"/>
  <c r="H31" i="30" s="1"/>
  <c r="G39" i="30"/>
  <c r="H39" i="30" s="1"/>
  <c r="G47" i="30"/>
  <c r="H47" i="30" s="1"/>
  <c r="G55" i="30"/>
  <c r="H55" i="30" s="1"/>
  <c r="G10" i="31"/>
  <c r="H10" i="31" s="1"/>
  <c r="G18" i="31"/>
  <c r="H18" i="31" s="1"/>
  <c r="G26" i="31"/>
  <c r="H26" i="31" s="1"/>
  <c r="G34" i="31"/>
  <c r="H34" i="31" s="1"/>
  <c r="G42" i="31"/>
  <c r="H42" i="31" s="1"/>
  <c r="G50" i="31"/>
  <c r="H50" i="31" s="1"/>
  <c r="G17" i="32"/>
  <c r="H17" i="32" s="1"/>
  <c r="G25" i="32"/>
  <c r="H25" i="32" s="1"/>
  <c r="G33" i="32"/>
  <c r="H33" i="32" s="1"/>
  <c r="G41" i="32"/>
  <c r="H41" i="32" s="1"/>
  <c r="G49" i="32"/>
  <c r="H49" i="32" s="1"/>
  <c r="G16" i="33"/>
  <c r="H16" i="33" s="1"/>
  <c r="G24" i="33"/>
  <c r="H24" i="33" s="1"/>
  <c r="G32" i="33"/>
  <c r="H32" i="33" s="1"/>
  <c r="G40" i="33"/>
  <c r="H40" i="33" s="1"/>
  <c r="G48" i="33"/>
  <c r="H48" i="33" s="1"/>
  <c r="G52" i="33"/>
  <c r="H52" i="33" s="1"/>
  <c r="G28" i="34"/>
  <c r="H28" i="34" s="1"/>
  <c r="G36" i="34"/>
  <c r="H36" i="34" s="1"/>
  <c r="G44" i="34"/>
  <c r="H44" i="34" s="1"/>
  <c r="G48" i="34"/>
  <c r="H48" i="34" s="1"/>
  <c r="G52" i="34"/>
  <c r="H52" i="34" s="1"/>
  <c r="G11" i="35"/>
  <c r="H11" i="35" s="1"/>
  <c r="G19" i="35"/>
  <c r="H19" i="35" s="1"/>
  <c r="G27" i="35"/>
  <c r="H27" i="35" s="1"/>
  <c r="G31" i="35"/>
  <c r="H31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22" i="36"/>
  <c r="H22" i="36" s="1"/>
  <c r="G30" i="36"/>
  <c r="H30" i="36" s="1"/>
  <c r="G38" i="36"/>
  <c r="H38" i="36" s="1"/>
  <c r="G46" i="36"/>
  <c r="H46" i="36" s="1"/>
  <c r="G54" i="36"/>
  <c r="H54" i="36" s="1"/>
  <c r="G21" i="37"/>
  <c r="H21" i="37" s="1"/>
  <c r="G29" i="37"/>
  <c r="H29" i="37" s="1"/>
  <c r="G37" i="37"/>
  <c r="H37" i="37" s="1"/>
  <c r="G45" i="37"/>
  <c r="H45" i="37" s="1"/>
  <c r="G12" i="38"/>
  <c r="H12" i="38" s="1"/>
  <c r="G20" i="38"/>
  <c r="H20" i="38" s="1"/>
  <c r="G28" i="38"/>
  <c r="H28" i="38" s="1"/>
  <c r="G36" i="38"/>
  <c r="H36" i="38" s="1"/>
  <c r="G44" i="38"/>
  <c r="H44" i="38" s="1"/>
  <c r="G15" i="39"/>
  <c r="H15" i="39" s="1"/>
  <c r="G19" i="39"/>
  <c r="H19" i="39" s="1"/>
  <c r="G27" i="39"/>
  <c r="H27" i="39" s="1"/>
  <c r="G35" i="39"/>
  <c r="H35" i="39" s="1"/>
  <c r="G43" i="39"/>
  <c r="H43" i="39" s="1"/>
  <c r="G51" i="39"/>
  <c r="H51" i="39" s="1"/>
  <c r="G10" i="40"/>
  <c r="H10" i="40" s="1"/>
  <c r="G18" i="40"/>
  <c r="H18" i="40" s="1"/>
  <c r="G26" i="40"/>
  <c r="H26" i="40" s="1"/>
  <c r="G34" i="40"/>
  <c r="H34" i="40" s="1"/>
  <c r="G42" i="40"/>
  <c r="H42" i="40" s="1"/>
  <c r="G50" i="40"/>
  <c r="H50" i="40" s="1"/>
  <c r="G26" i="36"/>
  <c r="H26" i="36" s="1"/>
  <c r="G34" i="36"/>
  <c r="H34" i="36" s="1"/>
  <c r="G42" i="36"/>
  <c r="H42" i="36" s="1"/>
  <c r="G50" i="36"/>
  <c r="H50" i="36" s="1"/>
  <c r="G17" i="37"/>
  <c r="H17" i="37" s="1"/>
  <c r="G25" i="37"/>
  <c r="H25" i="37" s="1"/>
  <c r="G41" i="37"/>
  <c r="H41" i="37" s="1"/>
  <c r="G49" i="37"/>
  <c r="H49" i="37" s="1"/>
  <c r="G16" i="38"/>
  <c r="H16" i="38" s="1"/>
  <c r="G24" i="38"/>
  <c r="H24" i="38" s="1"/>
  <c r="G32" i="38"/>
  <c r="H32" i="38" s="1"/>
  <c r="G40" i="38"/>
  <c r="H40" i="38" s="1"/>
  <c r="G48" i="38"/>
  <c r="H48" i="38" s="1"/>
  <c r="G52" i="38"/>
  <c r="H52" i="38" s="1"/>
  <c r="G11" i="39"/>
  <c r="H11" i="39" s="1"/>
  <c r="G23" i="39"/>
  <c r="H23" i="39" s="1"/>
  <c r="G31" i="39"/>
  <c r="H31" i="39" s="1"/>
  <c r="G39" i="39"/>
  <c r="H39" i="39" s="1"/>
  <c r="G47" i="39"/>
  <c r="H47" i="39" s="1"/>
  <c r="G55" i="39"/>
  <c r="H55" i="39" s="1"/>
  <c r="G14" i="40"/>
  <c r="H14" i="40" s="1"/>
  <c r="G22" i="40"/>
  <c r="H22" i="40" s="1"/>
  <c r="G30" i="40"/>
  <c r="H30" i="40" s="1"/>
  <c r="G38" i="40"/>
  <c r="H38" i="40" s="1"/>
  <c r="G46" i="40"/>
  <c r="H46" i="40" s="1"/>
  <c r="G54" i="40"/>
  <c r="H54" i="40" s="1"/>
  <c r="G16" i="27"/>
  <c r="H16" i="27" s="1"/>
  <c r="G22" i="29"/>
  <c r="H22" i="29" s="1"/>
  <c r="G54" i="29"/>
  <c r="H54" i="29" s="1"/>
  <c r="G45" i="30"/>
  <c r="H45" i="30" s="1"/>
  <c r="G28" i="31"/>
  <c r="H28" i="31" s="1"/>
  <c r="G52" i="31"/>
  <c r="H52" i="31" s="1"/>
  <c r="G19" i="32"/>
  <c r="H19" i="32" s="1"/>
  <c r="G10" i="33"/>
  <c r="H10" i="33" s="1"/>
  <c r="G34" i="33"/>
  <c r="H34" i="33" s="1"/>
  <c r="G26" i="34"/>
  <c r="H26" i="34" s="1"/>
  <c r="G29" i="35"/>
  <c r="H29" i="35" s="1"/>
  <c r="G48" i="36"/>
  <c r="H48" i="36" s="1"/>
  <c r="G11" i="37"/>
  <c r="H11" i="37" s="1"/>
  <c r="G39" i="37"/>
  <c r="H39" i="37" s="1"/>
  <c r="G18" i="38"/>
  <c r="H18" i="38" s="1"/>
  <c r="G26" i="38"/>
  <c r="H26" i="38" s="1"/>
  <c r="G46" i="38"/>
  <c r="H46" i="38" s="1"/>
  <c r="G12" i="27"/>
  <c r="H12" i="27" s="1"/>
  <c r="G24" i="27"/>
  <c r="H24" i="27" s="1"/>
  <c r="G28" i="27"/>
  <c r="H28" i="27" s="1"/>
  <c r="G36" i="27"/>
  <c r="H36" i="27" s="1"/>
  <c r="G10" i="29"/>
  <c r="H10" i="29" s="1"/>
  <c r="G18" i="29"/>
  <c r="H18" i="29" s="1"/>
  <c r="G34" i="29"/>
  <c r="H34" i="29" s="1"/>
  <c r="G38" i="29"/>
  <c r="H38" i="29" s="1"/>
  <c r="G46" i="29"/>
  <c r="H46" i="29" s="1"/>
  <c r="G50" i="29"/>
  <c r="H50" i="29" s="1"/>
  <c r="G49" i="30"/>
  <c r="H49" i="30" s="1"/>
  <c r="G16" i="31"/>
  <c r="H16" i="31" s="1"/>
  <c r="G24" i="31"/>
  <c r="H24" i="31" s="1"/>
  <c r="G32" i="31"/>
  <c r="H32" i="31" s="1"/>
  <c r="G40" i="31"/>
  <c r="H40" i="31" s="1"/>
  <c r="G48" i="31"/>
  <c r="H48" i="31" s="1"/>
  <c r="G15" i="32"/>
  <c r="H15" i="32" s="1"/>
  <c r="G27" i="32"/>
  <c r="H27" i="32" s="1"/>
  <c r="G35" i="32"/>
  <c r="H35" i="32" s="1"/>
  <c r="G39" i="32"/>
  <c r="H39" i="32" s="1"/>
  <c r="G51" i="32"/>
  <c r="H51" i="32" s="1"/>
  <c r="G18" i="33"/>
  <c r="H18" i="33" s="1"/>
  <c r="G26" i="33"/>
  <c r="H26" i="33" s="1"/>
  <c r="G38" i="33"/>
  <c r="H38" i="33" s="1"/>
  <c r="G46" i="33"/>
  <c r="H46" i="33" s="1"/>
  <c r="G50" i="33"/>
  <c r="H50" i="33" s="1"/>
  <c r="G18" i="34"/>
  <c r="H18" i="34" s="1"/>
  <c r="G34" i="34"/>
  <c r="H34" i="34" s="1"/>
  <c r="G13" i="35"/>
  <c r="H13" i="35" s="1"/>
  <c r="G25" i="35"/>
  <c r="H25" i="35" s="1"/>
  <c r="G37" i="35"/>
  <c r="H37" i="35" s="1"/>
  <c r="G41" i="35"/>
  <c r="H41" i="35" s="1"/>
  <c r="G53" i="35"/>
  <c r="H53" i="35" s="1"/>
  <c r="G12" i="36"/>
  <c r="H12" i="36" s="1"/>
  <c r="G24" i="36"/>
  <c r="H24" i="36" s="1"/>
  <c r="G32" i="36"/>
  <c r="H32" i="36" s="1"/>
  <c r="G40" i="36"/>
  <c r="H40" i="36" s="1"/>
  <c r="G19" i="37"/>
  <c r="H19" i="37" s="1"/>
  <c r="G35" i="37"/>
  <c r="H35" i="37" s="1"/>
  <c r="G47" i="37"/>
  <c r="H47" i="37" s="1"/>
  <c r="G55" i="37"/>
  <c r="H55" i="37" s="1"/>
  <c r="G10" i="38"/>
  <c r="H10" i="38" s="1"/>
  <c r="G14" i="38"/>
  <c r="H14" i="38" s="1"/>
  <c r="G22" i="38"/>
  <c r="H22" i="38" s="1"/>
  <c r="G30" i="38"/>
  <c r="H30" i="38" s="1"/>
  <c r="G34" i="38"/>
  <c r="H34" i="38" s="1"/>
  <c r="G42" i="38"/>
  <c r="H42" i="38" s="1"/>
  <c r="G50" i="38"/>
  <c r="H50" i="38" s="1"/>
  <c r="G54" i="38"/>
  <c r="H54" i="38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13" i="31"/>
  <c r="H13" i="31" s="1"/>
  <c r="G17" i="31"/>
  <c r="H17" i="31" s="1"/>
  <c r="G25" i="31"/>
  <c r="H25" i="31" s="1"/>
  <c r="G29" i="31"/>
  <c r="H29" i="31" s="1"/>
  <c r="G37" i="31"/>
  <c r="H37" i="31" s="1"/>
  <c r="G41" i="31"/>
  <c r="H41" i="31" s="1"/>
  <c r="G49" i="31"/>
  <c r="H49" i="31" s="1"/>
  <c r="G53" i="31"/>
  <c r="H53" i="31" s="1"/>
  <c r="G12" i="32"/>
  <c r="H12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11" i="33"/>
  <c r="H11" i="33" s="1"/>
  <c r="G15" i="33"/>
  <c r="H15" i="33" s="1"/>
  <c r="G19" i="33"/>
  <c r="H19" i="33" s="1"/>
  <c r="G23" i="33"/>
  <c r="H23" i="33" s="1"/>
  <c r="G27" i="33"/>
  <c r="H27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9" i="34"/>
  <c r="H19" i="34" s="1"/>
  <c r="G23" i="34"/>
  <c r="H23" i="34" s="1"/>
  <c r="G27" i="34"/>
  <c r="H27" i="34" s="1"/>
  <c r="G31" i="34"/>
  <c r="H31" i="34" s="1"/>
  <c r="G35" i="34"/>
  <c r="H35" i="34" s="1"/>
  <c r="G20" i="27"/>
  <c r="H20" i="27" s="1"/>
  <c r="G32" i="27"/>
  <c r="H32" i="27" s="1"/>
  <c r="G44" i="27"/>
  <c r="H44" i="27" s="1"/>
  <c r="G52" i="27"/>
  <c r="H52" i="27" s="1"/>
  <c r="G14" i="29"/>
  <c r="H14" i="29" s="1"/>
  <c r="G26" i="29"/>
  <c r="H26" i="29" s="1"/>
  <c r="G30" i="29"/>
  <c r="H30" i="29" s="1"/>
  <c r="G42" i="29"/>
  <c r="H42" i="29" s="1"/>
  <c r="G41" i="30"/>
  <c r="H41" i="30" s="1"/>
  <c r="G53" i="30"/>
  <c r="H53" i="30" s="1"/>
  <c r="G12" i="31"/>
  <c r="H12" i="31" s="1"/>
  <c r="G20" i="31"/>
  <c r="H20" i="31" s="1"/>
  <c r="G36" i="31"/>
  <c r="H36" i="31" s="1"/>
  <c r="G44" i="31"/>
  <c r="H44" i="31" s="1"/>
  <c r="G11" i="32"/>
  <c r="H11" i="32" s="1"/>
  <c r="G23" i="32"/>
  <c r="H23" i="32" s="1"/>
  <c r="G43" i="32"/>
  <c r="H43" i="32" s="1"/>
  <c r="G55" i="32"/>
  <c r="H55" i="32" s="1"/>
  <c r="G14" i="33"/>
  <c r="H14" i="33" s="1"/>
  <c r="G22" i="33"/>
  <c r="H22" i="33" s="1"/>
  <c r="G30" i="33"/>
  <c r="H30" i="33" s="1"/>
  <c r="G42" i="33"/>
  <c r="H42" i="33" s="1"/>
  <c r="G54" i="33"/>
  <c r="H54" i="33" s="1"/>
  <c r="G13" i="34"/>
  <c r="H13" i="34" s="1"/>
  <c r="G22" i="34"/>
  <c r="H22" i="34" s="1"/>
  <c r="G30" i="34"/>
  <c r="H30" i="34" s="1"/>
  <c r="G38" i="34"/>
  <c r="H38" i="34" s="1"/>
  <c r="G54" i="34"/>
  <c r="H54" i="34" s="1"/>
  <c r="G17" i="35"/>
  <c r="H17" i="35" s="1"/>
  <c r="G21" i="35"/>
  <c r="H21" i="35" s="1"/>
  <c r="G33" i="35"/>
  <c r="H33" i="35" s="1"/>
  <c r="G45" i="35"/>
  <c r="H45" i="35" s="1"/>
  <c r="G49" i="35"/>
  <c r="H49" i="35" s="1"/>
  <c r="G16" i="36"/>
  <c r="H16" i="36" s="1"/>
  <c r="G20" i="36"/>
  <c r="H20" i="36" s="1"/>
  <c r="G28" i="36"/>
  <c r="H28" i="36" s="1"/>
  <c r="G36" i="36"/>
  <c r="H36" i="36" s="1"/>
  <c r="G44" i="36"/>
  <c r="H44" i="36" s="1"/>
  <c r="G52" i="36"/>
  <c r="H52" i="36" s="1"/>
  <c r="G15" i="37"/>
  <c r="H15" i="37" s="1"/>
  <c r="G23" i="37"/>
  <c r="H23" i="37" s="1"/>
  <c r="G31" i="37"/>
  <c r="H31" i="37" s="1"/>
  <c r="G43" i="37"/>
  <c r="H43" i="37" s="1"/>
  <c r="G51" i="37"/>
  <c r="H51" i="37" s="1"/>
  <c r="G38" i="38"/>
  <c r="H38" i="38" s="1"/>
  <c r="G39" i="34"/>
  <c r="H39" i="34" s="1"/>
  <c r="G43" i="34"/>
  <c r="H43" i="34" s="1"/>
  <c r="G47" i="34"/>
  <c r="H47" i="34" s="1"/>
  <c r="G51" i="34"/>
  <c r="H51" i="34" s="1"/>
  <c r="G10" i="35"/>
  <c r="H10" i="35" s="1"/>
  <c r="G18" i="35"/>
  <c r="H18" i="35" s="1"/>
  <c r="G26" i="35"/>
  <c r="H26" i="35" s="1"/>
  <c r="G34" i="35"/>
  <c r="H34" i="35" s="1"/>
  <c r="G42" i="35"/>
  <c r="H42" i="35" s="1"/>
  <c r="G50" i="35"/>
  <c r="H50" i="35" s="1"/>
  <c r="G13" i="36"/>
  <c r="H13" i="36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2" i="37"/>
  <c r="H12" i="37" s="1"/>
  <c r="G16" i="37"/>
  <c r="H16" i="37" s="1"/>
  <c r="G24" i="37"/>
  <c r="H24" i="37" s="1"/>
  <c r="G28" i="37"/>
  <c r="H28" i="37" s="1"/>
  <c r="G32" i="37"/>
  <c r="H32" i="37" s="1"/>
  <c r="G36" i="37"/>
  <c r="H36" i="37" s="1"/>
  <c r="G44" i="37"/>
  <c r="H44" i="37" s="1"/>
  <c r="G48" i="37"/>
  <c r="H48" i="37" s="1"/>
  <c r="G52" i="37"/>
  <c r="H52" i="37" s="1"/>
  <c r="G11" i="38"/>
  <c r="H11" i="38" s="1"/>
  <c r="G15" i="38"/>
  <c r="H15" i="38" s="1"/>
  <c r="G19" i="38"/>
  <c r="H19" i="38" s="1"/>
  <c r="G23" i="38"/>
  <c r="H23" i="38" s="1"/>
  <c r="G27" i="38"/>
  <c r="H27" i="38" s="1"/>
  <c r="G31" i="38"/>
  <c r="H31" i="38" s="1"/>
  <c r="G35" i="38"/>
  <c r="H35" i="38" s="1"/>
  <c r="G39" i="38"/>
  <c r="H39" i="38" s="1"/>
  <c r="G43" i="38"/>
  <c r="H43" i="38" s="1"/>
  <c r="G47" i="38"/>
  <c r="H47" i="38" s="1"/>
  <c r="G51" i="38"/>
  <c r="H51" i="38" s="1"/>
  <c r="G55" i="38"/>
  <c r="H55" i="38" s="1"/>
  <c r="G10" i="39"/>
  <c r="H10" i="39" s="1"/>
  <c r="G14" i="39"/>
  <c r="H14" i="39" s="1"/>
  <c r="G18" i="39"/>
  <c r="H18" i="39" s="1"/>
  <c r="G22" i="39"/>
  <c r="H22" i="39" s="1"/>
  <c r="G26" i="39"/>
  <c r="H26" i="39" s="1"/>
  <c r="G30" i="39"/>
  <c r="H30" i="39" s="1"/>
  <c r="G34" i="39"/>
  <c r="H34" i="39" s="1"/>
  <c r="G38" i="39"/>
  <c r="H38" i="39" s="1"/>
  <c r="G42" i="39"/>
  <c r="H42" i="39" s="1"/>
  <c r="G46" i="39"/>
  <c r="H46" i="39" s="1"/>
  <c r="G50" i="39"/>
  <c r="H50" i="39" s="1"/>
  <c r="G54" i="39"/>
  <c r="H54" i="39" s="1"/>
  <c r="G13" i="40"/>
  <c r="H13" i="40" s="1"/>
  <c r="G17" i="40"/>
  <c r="H17" i="40" s="1"/>
  <c r="G21" i="40"/>
  <c r="H21" i="40" s="1"/>
  <c r="G25" i="40"/>
  <c r="H25" i="40" s="1"/>
  <c r="G29" i="40"/>
  <c r="H29" i="40" s="1"/>
  <c r="G33" i="40"/>
  <c r="H33" i="40" s="1"/>
  <c r="G37" i="40"/>
  <c r="H37" i="40" s="1"/>
  <c r="G41" i="40"/>
  <c r="H41" i="40" s="1"/>
  <c r="G45" i="40"/>
  <c r="H45" i="40" s="1"/>
  <c r="G49" i="40"/>
  <c r="H49" i="40" s="1"/>
  <c r="G53" i="40"/>
  <c r="H53" i="40" s="1"/>
  <c r="G12" i="41"/>
  <c r="H12" i="41" s="1"/>
  <c r="G16" i="41"/>
  <c r="H16" i="41" s="1"/>
  <c r="G20" i="41"/>
  <c r="H20" i="41" s="1"/>
  <c r="G24" i="41"/>
  <c r="H24" i="41" s="1"/>
  <c r="G28" i="41"/>
  <c r="H28" i="41" s="1"/>
  <c r="G32" i="41"/>
  <c r="H32" i="41" s="1"/>
  <c r="G36" i="41"/>
  <c r="H36" i="41" s="1"/>
  <c r="G40" i="41"/>
  <c r="H40" i="41" s="1"/>
  <c r="G44" i="41"/>
  <c r="H44" i="41" s="1"/>
  <c r="G48" i="41"/>
  <c r="H48" i="41" s="1"/>
  <c r="G52" i="41"/>
  <c r="H52" i="41" s="1"/>
  <c r="G13" i="41"/>
  <c r="H13" i="41" s="1"/>
  <c r="G17" i="41"/>
  <c r="H17" i="41" s="1"/>
  <c r="G21" i="41"/>
  <c r="H21" i="41" s="1"/>
  <c r="G25" i="41"/>
  <c r="H25" i="41" s="1"/>
  <c r="G29" i="41"/>
  <c r="H29" i="41" s="1"/>
  <c r="G33" i="41"/>
  <c r="H33" i="41" s="1"/>
  <c r="G37" i="41"/>
  <c r="H37" i="41" s="1"/>
  <c r="G41" i="41"/>
  <c r="H41" i="41" s="1"/>
  <c r="G45" i="41"/>
  <c r="H45" i="41" s="1"/>
  <c r="G49" i="41"/>
  <c r="H49" i="41" s="1"/>
  <c r="G53" i="41"/>
  <c r="H53" i="41" s="1"/>
  <c r="G12" i="28"/>
  <c r="H12" i="28" s="1"/>
  <c r="G13" i="28"/>
  <c r="H13" i="28" s="1"/>
  <c r="G11" i="27"/>
  <c r="H11" i="27" s="1"/>
  <c r="G15" i="27"/>
  <c r="H15" i="27" s="1"/>
  <c r="G19" i="27"/>
  <c r="H19" i="27" s="1"/>
  <c r="G23" i="27"/>
  <c r="H23" i="27" s="1"/>
  <c r="G27" i="27"/>
  <c r="H27" i="27" s="1"/>
  <c r="G35" i="27"/>
  <c r="H35" i="27" s="1"/>
  <c r="G39" i="27"/>
  <c r="H39" i="27" s="1"/>
  <c r="G43" i="27"/>
  <c r="H43" i="27" s="1"/>
  <c r="G47" i="27"/>
  <c r="H47" i="27" s="1"/>
  <c r="G51" i="27"/>
  <c r="H51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36" i="30"/>
  <c r="H36" i="30" s="1"/>
  <c r="G40" i="30"/>
  <c r="H40" i="30" s="1"/>
  <c r="G44" i="30"/>
  <c r="H44" i="30" s="1"/>
  <c r="G48" i="30"/>
  <c r="H48" i="30" s="1"/>
  <c r="G52" i="30"/>
  <c r="H52" i="30" s="1"/>
  <c r="G11" i="31"/>
  <c r="H11" i="31" s="1"/>
  <c r="G15" i="31"/>
  <c r="H15" i="31" s="1"/>
  <c r="G19" i="31"/>
  <c r="H19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47" i="31"/>
  <c r="H47" i="31" s="1"/>
  <c r="G51" i="31"/>
  <c r="H51" i="31" s="1"/>
  <c r="G55" i="31"/>
  <c r="H55" i="31" s="1"/>
  <c r="G14" i="32"/>
  <c r="H14" i="32" s="1"/>
  <c r="G18" i="32"/>
  <c r="H18" i="32" s="1"/>
  <c r="G22" i="32"/>
  <c r="H22" i="32" s="1"/>
  <c r="G30" i="32"/>
  <c r="H30" i="32" s="1"/>
  <c r="G34" i="32"/>
  <c r="H34" i="32" s="1"/>
  <c r="G38" i="32"/>
  <c r="H38" i="32" s="1"/>
  <c r="G46" i="32"/>
  <c r="H46" i="32" s="1"/>
  <c r="G50" i="32"/>
  <c r="H50" i="32" s="1"/>
  <c r="G54" i="32"/>
  <c r="H54" i="32" s="1"/>
  <c r="G13" i="33"/>
  <c r="H13" i="33" s="1"/>
  <c r="G17" i="33"/>
  <c r="H17" i="33" s="1"/>
  <c r="G21" i="33"/>
  <c r="H21" i="33" s="1"/>
  <c r="G25" i="33"/>
  <c r="H25" i="33" s="1"/>
  <c r="G29" i="33"/>
  <c r="H29" i="33" s="1"/>
  <c r="G33" i="33"/>
  <c r="H33" i="33" s="1"/>
  <c r="G37" i="33"/>
  <c r="H37" i="33" s="1"/>
  <c r="G41" i="33"/>
  <c r="H41" i="33" s="1"/>
  <c r="G45" i="33"/>
  <c r="H45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41" i="34"/>
  <c r="H41" i="34" s="1"/>
  <c r="G45" i="34"/>
  <c r="H45" i="34" s="1"/>
  <c r="G49" i="34"/>
  <c r="H49" i="34" s="1"/>
  <c r="G53" i="34"/>
  <c r="H53" i="34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2" i="37"/>
  <c r="H42" i="37" s="1"/>
  <c r="G50" i="37"/>
  <c r="H50" i="37" s="1"/>
  <c r="G54" i="37"/>
  <c r="H54" i="37" s="1"/>
  <c r="G13" i="38"/>
  <c r="H13" i="38" s="1"/>
  <c r="G17" i="38"/>
  <c r="H17" i="38" s="1"/>
  <c r="G21" i="38"/>
  <c r="H21" i="38" s="1"/>
  <c r="G25" i="38"/>
  <c r="H25" i="38" s="1"/>
  <c r="G29" i="38"/>
  <c r="H29" i="38" s="1"/>
  <c r="G33" i="38"/>
  <c r="H33" i="38" s="1"/>
  <c r="G37" i="38"/>
  <c r="H37" i="38" s="1"/>
  <c r="G41" i="38"/>
  <c r="H41" i="38" s="1"/>
  <c r="G45" i="38"/>
  <c r="H45" i="38" s="1"/>
  <c r="G49" i="38"/>
  <c r="H49" i="38" s="1"/>
  <c r="G53" i="38"/>
  <c r="H53" i="38" s="1"/>
  <c r="G12" i="39"/>
  <c r="H12" i="39" s="1"/>
  <c r="G16" i="39"/>
  <c r="H16" i="39" s="1"/>
  <c r="G20" i="39"/>
  <c r="H20" i="39" s="1"/>
  <c r="G24" i="39"/>
  <c r="H24" i="39" s="1"/>
  <c r="G28" i="39"/>
  <c r="H28" i="39" s="1"/>
  <c r="G32" i="39"/>
  <c r="H32" i="39" s="1"/>
  <c r="G36" i="39"/>
  <c r="H36" i="39" s="1"/>
  <c r="G40" i="39"/>
  <c r="H40" i="39" s="1"/>
  <c r="G44" i="39"/>
  <c r="H44" i="39" s="1"/>
  <c r="G48" i="39"/>
  <c r="H48" i="39" s="1"/>
  <c r="G52" i="39"/>
  <c r="H52" i="39" s="1"/>
  <c r="G11" i="40"/>
  <c r="H11" i="40" s="1"/>
  <c r="G15" i="40"/>
  <c r="H15" i="40" s="1"/>
  <c r="G19" i="40"/>
  <c r="H19" i="40" s="1"/>
  <c r="G23" i="40"/>
  <c r="H23" i="40" s="1"/>
  <c r="G27" i="40"/>
  <c r="H27" i="40" s="1"/>
  <c r="G31" i="40"/>
  <c r="H31" i="40" s="1"/>
  <c r="G35" i="40"/>
  <c r="H35" i="40" s="1"/>
  <c r="G39" i="40"/>
  <c r="H39" i="40" s="1"/>
  <c r="G43" i="40"/>
  <c r="H43" i="40" s="1"/>
  <c r="G47" i="40"/>
  <c r="H47" i="40" s="1"/>
  <c r="G51" i="40"/>
  <c r="H51" i="40" s="1"/>
  <c r="G55" i="40"/>
  <c r="H55" i="40" s="1"/>
  <c r="G10" i="41"/>
  <c r="H10" i="41" s="1"/>
  <c r="G14" i="41"/>
  <c r="H14" i="41" s="1"/>
  <c r="G18" i="41"/>
  <c r="H18" i="41" s="1"/>
  <c r="G22" i="41"/>
  <c r="H22" i="41" s="1"/>
  <c r="G26" i="41"/>
  <c r="H26" i="41" s="1"/>
  <c r="G30" i="41"/>
  <c r="H30" i="41" s="1"/>
  <c r="G34" i="41"/>
  <c r="H34" i="41" s="1"/>
  <c r="G38" i="41"/>
  <c r="H38" i="41" s="1"/>
  <c r="G42" i="41"/>
  <c r="H42" i="41" s="1"/>
  <c r="G46" i="41"/>
  <c r="H46" i="41" s="1"/>
  <c r="G50" i="41"/>
  <c r="H50" i="41" s="1"/>
  <c r="G54" i="41"/>
  <c r="H54" i="41" s="1"/>
  <c r="G13" i="39"/>
  <c r="H13" i="39" s="1"/>
  <c r="G17" i="39"/>
  <c r="H17" i="39" s="1"/>
  <c r="G21" i="39"/>
  <c r="H21" i="39" s="1"/>
  <c r="G25" i="39"/>
  <c r="H25" i="39" s="1"/>
  <c r="G29" i="39"/>
  <c r="H29" i="39" s="1"/>
  <c r="G33" i="39"/>
  <c r="H33" i="39" s="1"/>
  <c r="G37" i="39"/>
  <c r="H37" i="39" s="1"/>
  <c r="G41" i="39"/>
  <c r="H41" i="39" s="1"/>
  <c r="G45" i="39"/>
  <c r="H45" i="39" s="1"/>
  <c r="G49" i="39"/>
  <c r="H49" i="39" s="1"/>
  <c r="G53" i="39"/>
  <c r="H53" i="39" s="1"/>
  <c r="G12" i="40"/>
  <c r="H12" i="40" s="1"/>
  <c r="G16" i="40"/>
  <c r="H16" i="40" s="1"/>
  <c r="G20" i="40"/>
  <c r="H20" i="40" s="1"/>
  <c r="G24" i="40"/>
  <c r="H24" i="40" s="1"/>
  <c r="G28" i="40"/>
  <c r="H28" i="40" s="1"/>
  <c r="G32" i="40"/>
  <c r="H32" i="40" s="1"/>
  <c r="G36" i="40"/>
  <c r="H36" i="40" s="1"/>
  <c r="G40" i="40"/>
  <c r="H40" i="40" s="1"/>
  <c r="G44" i="40"/>
  <c r="H44" i="40" s="1"/>
  <c r="G48" i="40"/>
  <c r="H48" i="40" s="1"/>
  <c r="G52" i="40"/>
  <c r="H52" i="40" s="1"/>
  <c r="G11" i="41"/>
  <c r="H11" i="41" s="1"/>
  <c r="G15" i="41"/>
  <c r="H15" i="41" s="1"/>
  <c r="G19" i="41"/>
  <c r="H19" i="41" s="1"/>
  <c r="G23" i="41"/>
  <c r="H23" i="41" s="1"/>
  <c r="G27" i="41"/>
  <c r="H27" i="41" s="1"/>
  <c r="G31" i="41"/>
  <c r="H31" i="41" s="1"/>
  <c r="G35" i="41"/>
  <c r="H35" i="41" s="1"/>
  <c r="G39" i="41"/>
  <c r="H39" i="41" s="1"/>
  <c r="G43" i="41"/>
  <c r="H43" i="41" s="1"/>
  <c r="G47" i="41"/>
  <c r="H47" i="41" s="1"/>
  <c r="G51" i="41"/>
  <c r="H51" i="41" s="1"/>
  <c r="G55" i="41"/>
  <c r="H55" i="41" s="1"/>
  <c r="G14" i="34"/>
  <c r="H14" i="34" s="1"/>
  <c r="E10" i="38"/>
  <c r="E42" i="38"/>
  <c r="E53" i="39"/>
  <c r="E55" i="32"/>
  <c r="E26" i="38"/>
  <c r="E17" i="27"/>
  <c r="E21" i="27"/>
  <c r="E33" i="27"/>
  <c r="E37" i="27"/>
  <c r="E49" i="27"/>
  <c r="E43" i="29"/>
  <c r="E23" i="32"/>
  <c r="E39" i="32"/>
  <c r="E34" i="38"/>
  <c r="E13" i="32"/>
  <c r="E16" i="33"/>
  <c r="E32" i="33"/>
  <c r="E19" i="35"/>
  <c r="E51" i="35"/>
  <c r="E21" i="37"/>
  <c r="E37" i="37"/>
  <c r="E11" i="39"/>
  <c r="E18" i="38"/>
  <c r="E35" i="36"/>
  <c r="E19" i="40"/>
  <c r="E35" i="40"/>
  <c r="E51" i="40"/>
  <c r="E14" i="41"/>
  <c r="E22" i="41"/>
  <c r="E30" i="41"/>
  <c r="E38" i="41"/>
  <c r="E42" i="41"/>
  <c r="E46" i="41"/>
  <c r="E57" i="39"/>
  <c r="E31" i="31"/>
  <c r="E35" i="31"/>
  <c r="E39" i="31"/>
  <c r="E43" i="31"/>
  <c r="E47" i="31"/>
  <c r="E51" i="31"/>
  <c r="E7" i="32"/>
  <c r="E15" i="32"/>
  <c r="E41" i="32"/>
  <c r="E45" i="32"/>
  <c r="E10" i="33"/>
  <c r="E34" i="33"/>
  <c r="E50" i="33"/>
  <c r="E16" i="36"/>
  <c r="E25" i="36"/>
  <c r="E53" i="36"/>
  <c r="E42" i="37"/>
  <c r="E16" i="38"/>
  <c r="E33" i="38"/>
  <c r="E30" i="40"/>
  <c r="E44" i="40"/>
  <c r="E50" i="41"/>
  <c r="E7" i="31"/>
  <c r="E10" i="31"/>
  <c r="E14" i="31"/>
  <c r="E18" i="31"/>
  <c r="E22" i="31"/>
  <c r="E26" i="31"/>
  <c r="E30" i="31"/>
  <c r="E34" i="31"/>
  <c r="E38" i="31"/>
  <c r="E42" i="31"/>
  <c r="E46" i="31"/>
  <c r="E50" i="31"/>
  <c r="E54" i="31"/>
  <c r="E57" i="31"/>
  <c r="E9" i="32"/>
  <c r="E14" i="32"/>
  <c r="E20" i="32"/>
  <c r="E32" i="32"/>
  <c r="E34" i="32"/>
  <c r="E36" i="32"/>
  <c r="E38" i="32"/>
  <c r="E49" i="32"/>
  <c r="E51" i="32"/>
  <c r="E53" i="32"/>
  <c r="E9" i="33"/>
  <c r="E14" i="33"/>
  <c r="E19" i="33"/>
  <c r="E23" i="33"/>
  <c r="E24" i="33"/>
  <c r="E28" i="33"/>
  <c r="E33" i="33"/>
  <c r="E36" i="33"/>
  <c r="E40" i="33"/>
  <c r="E46" i="33"/>
  <c r="E53" i="33"/>
  <c r="E16" i="34"/>
  <c r="E21" i="34"/>
  <c r="E9" i="35"/>
  <c r="E28" i="35"/>
  <c r="E37" i="35"/>
  <c r="E11" i="36"/>
  <c r="E34" i="36"/>
  <c r="E39" i="36"/>
  <c r="E48" i="36"/>
  <c r="E15" i="37"/>
  <c r="E25" i="37"/>
  <c r="E25" i="38"/>
  <c r="E40" i="38"/>
  <c r="E47" i="38"/>
  <c r="E13" i="39"/>
  <c r="E18" i="39"/>
  <c r="E34" i="39"/>
  <c r="E50" i="39"/>
  <c r="E55" i="39"/>
  <c r="E34" i="40"/>
  <c r="E39" i="40"/>
  <c r="E48" i="40"/>
  <c r="E53" i="40"/>
  <c r="E19" i="41"/>
  <c r="E24" i="41"/>
  <c r="E29" i="41"/>
  <c r="E34" i="41"/>
  <c r="E27" i="31"/>
  <c r="E24" i="32"/>
  <c r="E28" i="32"/>
  <c r="E30" i="32"/>
  <c r="E43" i="32"/>
  <c r="E7" i="33"/>
  <c r="E15" i="33"/>
  <c r="E20" i="33"/>
  <c r="E44" i="33"/>
  <c r="E30" i="36"/>
  <c r="E44" i="36"/>
  <c r="E9" i="37"/>
  <c r="E52" i="38"/>
  <c r="E46" i="39"/>
  <c r="E25" i="40"/>
  <c r="E45" i="41"/>
  <c r="E9" i="31"/>
  <c r="E13" i="31"/>
  <c r="E17" i="31"/>
  <c r="E25" i="31"/>
  <c r="E29" i="31"/>
  <c r="E37" i="31"/>
  <c r="E41" i="31"/>
  <c r="E49" i="31"/>
  <c r="E53" i="31"/>
  <c r="E12" i="32"/>
  <c r="E19" i="32"/>
  <c r="E25" i="32"/>
  <c r="E27" i="32"/>
  <c r="E29" i="32"/>
  <c r="E40" i="32"/>
  <c r="E44" i="32"/>
  <c r="E46" i="32"/>
  <c r="E57" i="32"/>
  <c r="E13" i="33"/>
  <c r="E18" i="33"/>
  <c r="E22" i="33"/>
  <c r="E27" i="33"/>
  <c r="E31" i="33"/>
  <c r="E39" i="33"/>
  <c r="E42" i="33"/>
  <c r="E45" i="33"/>
  <c r="E49" i="33"/>
  <c r="E55" i="33"/>
  <c r="E7" i="34"/>
  <c r="E14" i="34"/>
  <c r="E25" i="34"/>
  <c r="E41" i="34"/>
  <c r="E57" i="34"/>
  <c r="E18" i="35"/>
  <c r="E23" i="35"/>
  <c r="E32" i="35"/>
  <c r="E41" i="35"/>
  <c r="E43" i="36"/>
  <c r="E10" i="37"/>
  <c r="E31" i="37"/>
  <c r="E36" i="37"/>
  <c r="E41" i="37"/>
  <c r="E17" i="38"/>
  <c r="E32" i="38"/>
  <c r="E22" i="39"/>
  <c r="E38" i="39"/>
  <c r="E12" i="40"/>
  <c r="E43" i="40"/>
  <c r="E51" i="41"/>
  <c r="E11" i="31"/>
  <c r="E15" i="31"/>
  <c r="E19" i="31"/>
  <c r="E23" i="31"/>
  <c r="E55" i="31"/>
  <c r="E25" i="33"/>
  <c r="E29" i="33"/>
  <c r="E37" i="33"/>
  <c r="E30" i="39"/>
  <c r="E11" i="40"/>
  <c r="E12" i="31"/>
  <c r="E16" i="31"/>
  <c r="E20" i="31"/>
  <c r="E24" i="31"/>
  <c r="E28" i="31"/>
  <c r="E32" i="31"/>
  <c r="E36" i="31"/>
  <c r="E40" i="31"/>
  <c r="E44" i="31"/>
  <c r="E48" i="31"/>
  <c r="E52" i="31"/>
  <c r="E11" i="32"/>
  <c r="E17" i="32"/>
  <c r="E18" i="32"/>
  <c r="E22" i="32"/>
  <c r="E33" i="32"/>
  <c r="E35" i="32"/>
  <c r="E48" i="32"/>
  <c r="E50" i="32"/>
  <c r="E54" i="32"/>
  <c r="E11" i="33"/>
  <c r="E12" i="33"/>
  <c r="E17" i="33"/>
  <c r="E21" i="33"/>
  <c r="E26" i="33"/>
  <c r="E30" i="33"/>
  <c r="E35" i="33"/>
  <c r="E41" i="33"/>
  <c r="E48" i="33"/>
  <c r="E51" i="33"/>
  <c r="E54" i="33"/>
  <c r="E17" i="34"/>
  <c r="E54" i="34"/>
  <c r="E27" i="35"/>
  <c r="E50" i="35"/>
  <c r="E55" i="35"/>
  <c r="E12" i="36"/>
  <c r="E21" i="36"/>
  <c r="E26" i="37"/>
  <c r="E47" i="37"/>
  <c r="E52" i="37"/>
  <c r="E9" i="38"/>
  <c r="E24" i="38"/>
  <c r="E41" i="38"/>
  <c r="E46" i="38"/>
  <c r="E26" i="39"/>
  <c r="E42" i="39"/>
  <c r="E16" i="40"/>
  <c r="E21" i="40"/>
  <c r="E13" i="41"/>
  <c r="E18" i="41"/>
  <c r="E35" i="41"/>
  <c r="E40" i="41"/>
  <c r="E28" i="34"/>
  <c r="E32" i="34"/>
  <c r="E36" i="34"/>
  <c r="E40" i="34"/>
  <c r="E45" i="34"/>
  <c r="E49" i="34"/>
  <c r="E53" i="34"/>
  <c r="E13" i="35"/>
  <c r="E17" i="35"/>
  <c r="E26" i="35"/>
  <c r="E31" i="35"/>
  <c r="E36" i="35"/>
  <c r="E40" i="35"/>
  <c r="E45" i="35"/>
  <c r="E49" i="35"/>
  <c r="E7" i="36"/>
  <c r="E10" i="36"/>
  <c r="E15" i="36"/>
  <c r="E20" i="36"/>
  <c r="E24" i="36"/>
  <c r="E29" i="36"/>
  <c r="E33" i="36"/>
  <c r="E38" i="36"/>
  <c r="E42" i="36"/>
  <c r="E47" i="36"/>
  <c r="E52" i="36"/>
  <c r="E14" i="37"/>
  <c r="E19" i="37"/>
  <c r="E24" i="37"/>
  <c r="E30" i="37"/>
  <c r="E35" i="37"/>
  <c r="E51" i="37"/>
  <c r="E15" i="38"/>
  <c r="E23" i="38"/>
  <c r="E31" i="38"/>
  <c r="E39" i="38"/>
  <c r="E45" i="38"/>
  <c r="E51" i="38"/>
  <c r="E12" i="39"/>
  <c r="E17" i="39"/>
  <c r="E21" i="39"/>
  <c r="E25" i="39"/>
  <c r="E29" i="39"/>
  <c r="E33" i="39"/>
  <c r="E37" i="39"/>
  <c r="E41" i="39"/>
  <c r="E45" i="39"/>
  <c r="E49" i="39"/>
  <c r="E54" i="39"/>
  <c r="E7" i="40"/>
  <c r="E10" i="40"/>
  <c r="E15" i="40"/>
  <c r="E20" i="40"/>
  <c r="E24" i="40"/>
  <c r="E29" i="40"/>
  <c r="E33" i="40"/>
  <c r="E38" i="40"/>
  <c r="E42" i="40"/>
  <c r="E47" i="40"/>
  <c r="E52" i="40"/>
  <c r="E12" i="41"/>
  <c r="E17" i="41"/>
  <c r="E23" i="41"/>
  <c r="E28" i="41"/>
  <c r="E33" i="41"/>
  <c r="E39" i="41"/>
  <c r="E44" i="41"/>
  <c r="E49" i="41"/>
  <c r="E55" i="41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16" i="35"/>
  <c r="E21" i="35"/>
  <c r="E25" i="35"/>
  <c r="E34" i="35"/>
  <c r="E35" i="35"/>
  <c r="E39" i="35"/>
  <c r="E44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2" i="37"/>
  <c r="E18" i="37"/>
  <c r="E23" i="37"/>
  <c r="E28" i="37"/>
  <c r="E29" i="37"/>
  <c r="E34" i="37"/>
  <c r="E39" i="37"/>
  <c r="E44" i="37"/>
  <c r="E45" i="37"/>
  <c r="E50" i="37"/>
  <c r="E55" i="37"/>
  <c r="E7" i="38"/>
  <c r="E13" i="38"/>
  <c r="E14" i="38"/>
  <c r="E21" i="38"/>
  <c r="E22" i="38"/>
  <c r="E29" i="38"/>
  <c r="E30" i="38"/>
  <c r="E37" i="38"/>
  <c r="E38" i="38"/>
  <c r="E44" i="38"/>
  <c r="E49" i="38"/>
  <c r="E50" i="38"/>
  <c r="E55" i="38"/>
  <c r="E7" i="39"/>
  <c r="E10" i="39"/>
  <c r="E16" i="39"/>
  <c r="E20" i="39"/>
  <c r="E24" i="39"/>
  <c r="E28" i="39"/>
  <c r="E32" i="39"/>
  <c r="E36" i="39"/>
  <c r="E40" i="39"/>
  <c r="E44" i="39"/>
  <c r="E48" i="39"/>
  <c r="E52" i="39"/>
  <c r="E9" i="40"/>
  <c r="E14" i="40"/>
  <c r="E18" i="40"/>
  <c r="E23" i="40"/>
  <c r="E28" i="40"/>
  <c r="E32" i="40"/>
  <c r="E37" i="40"/>
  <c r="E41" i="40"/>
  <c r="E46" i="40"/>
  <c r="E50" i="40"/>
  <c r="E55" i="40"/>
  <c r="E7" i="41"/>
  <c r="E11" i="41"/>
  <c r="E16" i="41"/>
  <c r="E21" i="41"/>
  <c r="E27" i="41"/>
  <c r="E32" i="41"/>
  <c r="E37" i="41"/>
  <c r="E43" i="41"/>
  <c r="E48" i="41"/>
  <c r="E53" i="41"/>
  <c r="E54" i="41"/>
  <c r="E57" i="41"/>
  <c r="E38" i="33"/>
  <c r="E43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7" i="35"/>
  <c r="E10" i="35"/>
  <c r="E11" i="35"/>
  <c r="E15" i="35"/>
  <c r="E20" i="35"/>
  <c r="E24" i="35"/>
  <c r="E29" i="35"/>
  <c r="E33" i="35"/>
  <c r="E42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32" i="37"/>
  <c r="E38" i="37"/>
  <c r="E43" i="37"/>
  <c r="E48" i="37"/>
  <c r="E49" i="37"/>
  <c r="E54" i="37"/>
  <c r="E57" i="37"/>
  <c r="E11" i="38"/>
  <c r="E12" i="38"/>
  <c r="E19" i="38"/>
  <c r="E20" i="38"/>
  <c r="E27" i="38"/>
  <c r="E28" i="38"/>
  <c r="E35" i="38"/>
  <c r="E36" i="38"/>
  <c r="E43" i="38"/>
  <c r="E48" i="38"/>
  <c r="E53" i="38"/>
  <c r="E54" i="38"/>
  <c r="E57" i="38"/>
  <c r="E9" i="39"/>
  <c r="E14" i="39"/>
  <c r="E15" i="39"/>
  <c r="E19" i="39"/>
  <c r="E23" i="39"/>
  <c r="E27" i="39"/>
  <c r="E31" i="39"/>
  <c r="E35" i="39"/>
  <c r="E39" i="39"/>
  <c r="E43" i="39"/>
  <c r="E47" i="39"/>
  <c r="E51" i="39"/>
  <c r="E13" i="40"/>
  <c r="E17" i="40"/>
  <c r="E22" i="40"/>
  <c r="E26" i="40"/>
  <c r="E27" i="40"/>
  <c r="E31" i="40"/>
  <c r="E36" i="40"/>
  <c r="E40" i="40"/>
  <c r="E45" i="40"/>
  <c r="E49" i="40"/>
  <c r="E54" i="40"/>
  <c r="E57" i="40"/>
  <c r="E9" i="41"/>
  <c r="E10" i="41"/>
  <c r="E15" i="41"/>
  <c r="E20" i="41"/>
  <c r="E25" i="41"/>
  <c r="E26" i="41"/>
  <c r="E31" i="41"/>
  <c r="E36" i="41"/>
  <c r="E41" i="41"/>
  <c r="E47" i="41"/>
  <c r="E52" i="41"/>
  <c r="E15" i="27"/>
  <c r="E14" i="29"/>
  <c r="E22" i="29"/>
  <c r="E30" i="29"/>
  <c r="E38" i="29"/>
  <c r="E42" i="29"/>
  <c r="E47" i="29"/>
  <c r="E7" i="30"/>
  <c r="E14" i="30"/>
  <c r="E18" i="30"/>
  <c r="E19" i="27"/>
  <c r="E24" i="27"/>
  <c r="E35" i="27"/>
  <c r="E46" i="27"/>
  <c r="E51" i="27"/>
  <c r="E13" i="29"/>
  <c r="E17" i="29"/>
  <c r="E21" i="29"/>
  <c r="E25" i="29"/>
  <c r="E29" i="29"/>
  <c r="E33" i="29"/>
  <c r="E37" i="29"/>
  <c r="E41" i="29"/>
  <c r="E46" i="29"/>
  <c r="E50" i="29"/>
  <c r="E54" i="29"/>
  <c r="E57" i="29"/>
  <c r="E9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0" i="28"/>
  <c r="E45" i="29"/>
  <c r="E49" i="29"/>
  <c r="E53" i="29"/>
  <c r="E12" i="30"/>
  <c r="E16" i="30"/>
  <c r="E20" i="30"/>
  <c r="E24" i="30"/>
  <c r="E28" i="30"/>
  <c r="E32" i="30"/>
  <c r="E36" i="30"/>
  <c r="E40" i="30"/>
  <c r="E44" i="30"/>
  <c r="E48" i="30"/>
  <c r="E52" i="30"/>
  <c r="E10" i="27"/>
  <c r="E20" i="27"/>
  <c r="E26" i="27"/>
  <c r="E36" i="27"/>
  <c r="E42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57" i="30"/>
  <c r="E9" i="27"/>
  <c r="E25" i="27"/>
  <c r="E30" i="27"/>
  <c r="E41" i="27"/>
  <c r="E55" i="27"/>
  <c r="E7" i="28"/>
  <c r="E11" i="27"/>
  <c r="E16" i="27"/>
  <c r="E27" i="27"/>
  <c r="E32" i="27"/>
  <c r="E38" i="27"/>
  <c r="E43" i="27"/>
  <c r="E53" i="27"/>
  <c r="E7" i="29"/>
  <c r="E10" i="29"/>
  <c r="E11" i="29"/>
  <c r="E15" i="29"/>
  <c r="E19" i="29"/>
  <c r="E23" i="29"/>
  <c r="E27" i="29"/>
  <c r="E31" i="29"/>
  <c r="E35" i="29"/>
  <c r="E39" i="29"/>
  <c r="E11" i="30"/>
  <c r="E15" i="30"/>
  <c r="E19" i="30"/>
  <c r="E23" i="30"/>
  <c r="E27" i="30"/>
  <c r="E31" i="30"/>
  <c r="E35" i="30"/>
  <c r="E39" i="30"/>
  <c r="E43" i="30"/>
  <c r="E47" i="30"/>
  <c r="E51" i="30"/>
  <c r="E55" i="30"/>
  <c r="I38" i="29" l="1"/>
  <c r="J38" i="29" s="1"/>
  <c r="I35" i="29"/>
  <c r="I54" i="29"/>
  <c r="I13" i="29"/>
  <c r="I39" i="29"/>
  <c r="I9" i="29"/>
  <c r="I18" i="29"/>
  <c r="I7" i="29"/>
  <c r="J7" i="29" s="1"/>
  <c r="I33" i="29"/>
  <c r="I25" i="29"/>
  <c r="I51" i="29"/>
  <c r="I47" i="29"/>
  <c r="I37" i="29"/>
  <c r="I43" i="29"/>
  <c r="I45" i="29"/>
  <c r="I50" i="29"/>
  <c r="I31" i="29"/>
  <c r="I34" i="29"/>
  <c r="I27" i="29"/>
  <c r="I22" i="29"/>
  <c r="I49" i="29"/>
  <c r="I57" i="29"/>
  <c r="J57" i="29" s="1"/>
  <c r="P17" i="29" s="1"/>
  <c r="I41" i="29"/>
  <c r="I21" i="29"/>
  <c r="I15" i="29"/>
  <c r="I26" i="29"/>
  <c r="J26" i="29" s="1"/>
  <c r="I11" i="29"/>
  <c r="I55" i="29"/>
  <c r="J55" i="29" s="1"/>
  <c r="I53" i="29"/>
  <c r="I46" i="29"/>
  <c r="I29" i="29"/>
  <c r="I17" i="29"/>
  <c r="I23" i="29"/>
  <c r="I42" i="29"/>
  <c r="I10" i="29"/>
  <c r="I19" i="29"/>
  <c r="I30" i="29"/>
  <c r="I14" i="29"/>
  <c r="J14" i="29" s="1"/>
  <c r="I57" i="35"/>
  <c r="J57" i="35" s="1"/>
  <c r="P17" i="35" s="1"/>
  <c r="I53" i="35"/>
  <c r="I48" i="35"/>
  <c r="I44" i="35"/>
  <c r="I39" i="35"/>
  <c r="I35" i="35"/>
  <c r="I34" i="35"/>
  <c r="I25" i="35"/>
  <c r="I21" i="35"/>
  <c r="I16" i="35"/>
  <c r="I12" i="35"/>
  <c r="I49" i="35"/>
  <c r="I45" i="35"/>
  <c r="I40" i="35"/>
  <c r="I36" i="35"/>
  <c r="I31" i="35"/>
  <c r="I27" i="35"/>
  <c r="I26" i="35"/>
  <c r="I17" i="35"/>
  <c r="I13" i="35"/>
  <c r="I55" i="35"/>
  <c r="I51" i="35"/>
  <c r="I50" i="35"/>
  <c r="I41" i="35"/>
  <c r="I37" i="35"/>
  <c r="I32" i="35"/>
  <c r="I28" i="35"/>
  <c r="I23" i="35"/>
  <c r="I19" i="35"/>
  <c r="I18" i="35"/>
  <c r="I9" i="35"/>
  <c r="I11" i="35"/>
  <c r="I52" i="35"/>
  <c r="I47" i="35"/>
  <c r="I42" i="35"/>
  <c r="I33" i="35"/>
  <c r="I24" i="35"/>
  <c r="I7" i="35"/>
  <c r="J7" i="35" s="1"/>
  <c r="I43" i="35"/>
  <c r="I29" i="35"/>
  <c r="I20" i="35"/>
  <c r="I15" i="35"/>
  <c r="I10" i="35"/>
  <c r="I57" i="39"/>
  <c r="J57" i="39" s="1"/>
  <c r="P17" i="39" s="1"/>
  <c r="I53" i="39"/>
  <c r="I52" i="39"/>
  <c r="I48" i="39"/>
  <c r="I44" i="39"/>
  <c r="I40" i="39"/>
  <c r="I36" i="39"/>
  <c r="I32" i="39"/>
  <c r="I28" i="39"/>
  <c r="I24" i="39"/>
  <c r="I20" i="39"/>
  <c r="I16" i="39"/>
  <c r="I11" i="39"/>
  <c r="I10" i="39"/>
  <c r="I7" i="39"/>
  <c r="J7" i="39" s="1"/>
  <c r="I54" i="39"/>
  <c r="I49" i="39"/>
  <c r="I45" i="39"/>
  <c r="I41" i="39"/>
  <c r="I37" i="39"/>
  <c r="I33" i="39"/>
  <c r="I29" i="39"/>
  <c r="I25" i="39"/>
  <c r="I21" i="39"/>
  <c r="I17" i="39"/>
  <c r="I12" i="39"/>
  <c r="I55" i="39"/>
  <c r="I50" i="39"/>
  <c r="I46" i="39"/>
  <c r="I42" i="39"/>
  <c r="I38" i="39"/>
  <c r="I34" i="39"/>
  <c r="I30" i="39"/>
  <c r="I26" i="39"/>
  <c r="I22" i="39"/>
  <c r="I18" i="39"/>
  <c r="I13" i="39"/>
  <c r="I47" i="39"/>
  <c r="I31" i="39"/>
  <c r="I15" i="39"/>
  <c r="I9" i="39"/>
  <c r="I43" i="39"/>
  <c r="I27" i="39"/>
  <c r="I35" i="39"/>
  <c r="I39" i="39"/>
  <c r="I23" i="39"/>
  <c r="I51" i="39"/>
  <c r="I19" i="39"/>
  <c r="I14" i="39"/>
  <c r="I55" i="37"/>
  <c r="I50" i="37"/>
  <c r="I45" i="37"/>
  <c r="I44" i="37"/>
  <c r="I39" i="37"/>
  <c r="I34" i="37"/>
  <c r="I29" i="37"/>
  <c r="I28" i="37"/>
  <c r="I23" i="37"/>
  <c r="I18" i="37"/>
  <c r="I12" i="37"/>
  <c r="I7" i="37"/>
  <c r="J7" i="37" s="1"/>
  <c r="I51" i="37"/>
  <c r="I41" i="37"/>
  <c r="I35" i="37"/>
  <c r="I30" i="37"/>
  <c r="I25" i="37"/>
  <c r="I24" i="37"/>
  <c r="I19" i="37"/>
  <c r="I14" i="37"/>
  <c r="I9" i="37"/>
  <c r="I52" i="37"/>
  <c r="I47" i="37"/>
  <c r="I42" i="37"/>
  <c r="I37" i="37"/>
  <c r="I36" i="37"/>
  <c r="I31" i="37"/>
  <c r="I26" i="37"/>
  <c r="I21" i="37"/>
  <c r="I15" i="37"/>
  <c r="I10" i="37"/>
  <c r="I43" i="37"/>
  <c r="I22" i="37"/>
  <c r="I17" i="37"/>
  <c r="I48" i="37"/>
  <c r="I57" i="37"/>
  <c r="J57" i="37" s="1"/>
  <c r="P17" i="37" s="1"/>
  <c r="I38" i="37"/>
  <c r="I16" i="37"/>
  <c r="I54" i="37"/>
  <c r="I49" i="37"/>
  <c r="I32" i="37"/>
  <c r="I11" i="37"/>
  <c r="I53" i="31"/>
  <c r="I49" i="31"/>
  <c r="I41" i="31"/>
  <c r="I37" i="31"/>
  <c r="I29" i="31"/>
  <c r="I25" i="31"/>
  <c r="I17" i="31"/>
  <c r="I13" i="31"/>
  <c r="I9" i="31"/>
  <c r="I24" i="31"/>
  <c r="I20" i="31"/>
  <c r="I16" i="31"/>
  <c r="I12" i="31"/>
  <c r="I57" i="31"/>
  <c r="J57" i="31" s="1"/>
  <c r="P17" i="31" s="1"/>
  <c r="I54" i="31"/>
  <c r="I50" i="31"/>
  <c r="I46" i="31"/>
  <c r="I42" i="31"/>
  <c r="I38" i="31"/>
  <c r="I34" i="31"/>
  <c r="I30" i="31"/>
  <c r="I26" i="31"/>
  <c r="I22" i="31"/>
  <c r="I18" i="31"/>
  <c r="I14" i="31"/>
  <c r="I10" i="31"/>
  <c r="I7" i="31"/>
  <c r="J7" i="31" s="1"/>
  <c r="I28" i="31"/>
  <c r="I55" i="31"/>
  <c r="I51" i="31"/>
  <c r="I47" i="31"/>
  <c r="I43" i="31"/>
  <c r="I39" i="31"/>
  <c r="I35" i="31"/>
  <c r="I31" i="31"/>
  <c r="I27" i="31"/>
  <c r="I23" i="31"/>
  <c r="I19" i="31"/>
  <c r="I15" i="31"/>
  <c r="I11" i="31"/>
  <c r="I52" i="31"/>
  <c r="I48" i="31"/>
  <c r="I44" i="31"/>
  <c r="I40" i="31"/>
  <c r="I36" i="31"/>
  <c r="I32" i="31"/>
  <c r="I55" i="38"/>
  <c r="I50" i="38"/>
  <c r="I49" i="38"/>
  <c r="I44" i="38"/>
  <c r="I38" i="38"/>
  <c r="I37" i="38"/>
  <c r="I30" i="38"/>
  <c r="I29" i="38"/>
  <c r="I22" i="38"/>
  <c r="I21" i="38"/>
  <c r="I14" i="38"/>
  <c r="I13" i="38"/>
  <c r="I7" i="38"/>
  <c r="J7" i="38" s="1"/>
  <c r="I51" i="38"/>
  <c r="I46" i="38"/>
  <c r="I45" i="38"/>
  <c r="I40" i="38"/>
  <c r="I39" i="38"/>
  <c r="I32" i="38"/>
  <c r="I31" i="38"/>
  <c r="I24" i="38"/>
  <c r="I23" i="38"/>
  <c r="I16" i="38"/>
  <c r="I15" i="38"/>
  <c r="I52" i="38"/>
  <c r="I47" i="38"/>
  <c r="I42" i="38"/>
  <c r="I41" i="38"/>
  <c r="I34" i="38"/>
  <c r="I33" i="38"/>
  <c r="I26" i="38"/>
  <c r="I25" i="38"/>
  <c r="I18" i="38"/>
  <c r="I17" i="38"/>
  <c r="I10" i="38"/>
  <c r="I9" i="38"/>
  <c r="I53" i="38"/>
  <c r="I27" i="38"/>
  <c r="I20" i="38"/>
  <c r="I48" i="38"/>
  <c r="I54" i="38"/>
  <c r="I35" i="38"/>
  <c r="I28" i="38"/>
  <c r="I19" i="38"/>
  <c r="I12" i="38"/>
  <c r="I57" i="38"/>
  <c r="J57" i="38" s="1"/>
  <c r="P17" i="38" s="1"/>
  <c r="I43" i="38"/>
  <c r="I36" i="38"/>
  <c r="I11" i="38"/>
  <c r="I55" i="36"/>
  <c r="I51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42" i="36"/>
  <c r="I38" i="36"/>
  <c r="I33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54" i="36"/>
  <c r="I45" i="36"/>
  <c r="I36" i="36"/>
  <c r="I31" i="36"/>
  <c r="I26" i="36"/>
  <c r="I17" i="36"/>
  <c r="I57" i="36"/>
  <c r="J57" i="36" s="1"/>
  <c r="P17" i="36" s="1"/>
  <c r="I27" i="36"/>
  <c r="I22" i="36"/>
  <c r="I13" i="36"/>
  <c r="I49" i="36"/>
  <c r="I40" i="36"/>
  <c r="I19" i="32"/>
  <c r="I13" i="32"/>
  <c r="I12" i="32"/>
  <c r="I18" i="32"/>
  <c r="I17" i="32"/>
  <c r="I20" i="32"/>
  <c r="I14" i="32"/>
  <c r="I9" i="32"/>
  <c r="I15" i="32"/>
  <c r="I7" i="32"/>
  <c r="J7" i="32" s="1"/>
  <c r="I11" i="32"/>
  <c r="I55" i="40"/>
  <c r="I51" i="40"/>
  <c r="I50" i="40"/>
  <c r="I46" i="40"/>
  <c r="I41" i="40"/>
  <c r="I37" i="40"/>
  <c r="I32" i="40"/>
  <c r="I28" i="40"/>
  <c r="I23" i="40"/>
  <c r="I19" i="40"/>
  <c r="I18" i="40"/>
  <c r="I14" i="40"/>
  <c r="I9" i="40"/>
  <c r="I52" i="40"/>
  <c r="I47" i="40"/>
  <c r="I43" i="40"/>
  <c r="I42" i="40"/>
  <c r="I38" i="40"/>
  <c r="I33" i="40"/>
  <c r="I29" i="40"/>
  <c r="I24" i="40"/>
  <c r="I20" i="40"/>
  <c r="I15" i="40"/>
  <c r="I11" i="40"/>
  <c r="I10" i="40"/>
  <c r="I7" i="40"/>
  <c r="J7" i="40" s="1"/>
  <c r="I53" i="40"/>
  <c r="I48" i="40"/>
  <c r="I44" i="40"/>
  <c r="I39" i="40"/>
  <c r="I35" i="40"/>
  <c r="I34" i="40"/>
  <c r="I30" i="40"/>
  <c r="I25" i="40"/>
  <c r="I21" i="40"/>
  <c r="I16" i="40"/>
  <c r="I12" i="40"/>
  <c r="I57" i="40"/>
  <c r="J57" i="40" s="1"/>
  <c r="P17" i="40" s="1"/>
  <c r="I45" i="40"/>
  <c r="I36" i="40"/>
  <c r="I31" i="40"/>
  <c r="I26" i="40"/>
  <c r="I27" i="40"/>
  <c r="I22" i="40"/>
  <c r="I17" i="40"/>
  <c r="I49" i="40"/>
  <c r="I40" i="40"/>
  <c r="I13" i="40"/>
  <c r="I54" i="40"/>
  <c r="I52" i="34"/>
  <c r="I48" i="34"/>
  <c r="I44" i="34"/>
  <c r="I39" i="34"/>
  <c r="I35" i="34"/>
  <c r="I31" i="34"/>
  <c r="I27" i="34"/>
  <c r="I23" i="34"/>
  <c r="I19" i="34"/>
  <c r="I13" i="34"/>
  <c r="I9" i="34"/>
  <c r="I53" i="34"/>
  <c r="I49" i="34"/>
  <c r="I45" i="34"/>
  <c r="I41" i="34"/>
  <c r="I40" i="34"/>
  <c r="I36" i="34"/>
  <c r="I32" i="34"/>
  <c r="I28" i="34"/>
  <c r="I16" i="34"/>
  <c r="I14" i="34"/>
  <c r="I7" i="34"/>
  <c r="J7" i="34" s="1"/>
  <c r="I57" i="34"/>
  <c r="J57" i="34" s="1"/>
  <c r="P17" i="34" s="1"/>
  <c r="I54" i="34"/>
  <c r="I25" i="34"/>
  <c r="I21" i="34"/>
  <c r="I43" i="34"/>
  <c r="I34" i="34"/>
  <c r="I18" i="34"/>
  <c r="I17" i="34"/>
  <c r="I30" i="34"/>
  <c r="I12" i="34"/>
  <c r="I47" i="34"/>
  <c r="I38" i="34"/>
  <c r="I22" i="34"/>
  <c r="I51" i="34"/>
  <c r="I26" i="34"/>
  <c r="I57" i="33"/>
  <c r="J57" i="33" s="1"/>
  <c r="P17" i="33" s="1"/>
  <c r="I53" i="33"/>
  <c r="I49" i="33"/>
  <c r="I44" i="33"/>
  <c r="I40" i="33"/>
  <c r="I39" i="33"/>
  <c r="I35" i="33"/>
  <c r="I55" i="33"/>
  <c r="I52" i="33"/>
  <c r="I45" i="33"/>
  <c r="I42" i="33"/>
  <c r="I32" i="33"/>
  <c r="I31" i="33"/>
  <c r="I27" i="33"/>
  <c r="I22" i="33"/>
  <c r="I18" i="33"/>
  <c r="I13" i="33"/>
  <c r="I54" i="33"/>
  <c r="I41" i="33"/>
  <c r="I38" i="33"/>
  <c r="I30" i="33"/>
  <c r="I46" i="33"/>
  <c r="I43" i="33"/>
  <c r="I36" i="33"/>
  <c r="I33" i="33"/>
  <c r="I28" i="33"/>
  <c r="I24" i="33"/>
  <c r="I23" i="33"/>
  <c r="I19" i="33"/>
  <c r="I14" i="33"/>
  <c r="I9" i="33"/>
  <c r="I48" i="33"/>
  <c r="I21" i="33"/>
  <c r="I17" i="33"/>
  <c r="I12" i="33"/>
  <c r="I11" i="33"/>
  <c r="I50" i="33"/>
  <c r="I47" i="33"/>
  <c r="I37" i="33"/>
  <c r="I34" i="33"/>
  <c r="I29" i="33"/>
  <c r="I25" i="33"/>
  <c r="I20" i="33"/>
  <c r="I16" i="33"/>
  <c r="I15" i="33"/>
  <c r="I10" i="33"/>
  <c r="I7" i="33"/>
  <c r="J7" i="33" s="1"/>
  <c r="I51" i="33"/>
  <c r="I26" i="33"/>
  <c r="I57" i="41"/>
  <c r="J57" i="41" s="1"/>
  <c r="P17" i="41" s="1"/>
  <c r="I54" i="41"/>
  <c r="I53" i="41"/>
  <c r="I48" i="41"/>
  <c r="I43" i="41"/>
  <c r="I38" i="41"/>
  <c r="I37" i="41"/>
  <c r="I32" i="41"/>
  <c r="I27" i="41"/>
  <c r="I22" i="41"/>
  <c r="I21" i="41"/>
  <c r="I16" i="41"/>
  <c r="I11" i="41"/>
  <c r="I7" i="41"/>
  <c r="J7" i="41" s="1"/>
  <c r="I55" i="41"/>
  <c r="I50" i="41"/>
  <c r="I49" i="41"/>
  <c r="I44" i="41"/>
  <c r="I39" i="41"/>
  <c r="I34" i="41"/>
  <c r="I33" i="41"/>
  <c r="I28" i="41"/>
  <c r="I23" i="41"/>
  <c r="I18" i="41"/>
  <c r="I17" i="41"/>
  <c r="I12" i="41"/>
  <c r="I51" i="41"/>
  <c r="I46" i="41"/>
  <c r="I45" i="41"/>
  <c r="I40" i="41"/>
  <c r="I35" i="41"/>
  <c r="I30" i="41"/>
  <c r="I29" i="41"/>
  <c r="I24" i="41"/>
  <c r="I19" i="41"/>
  <c r="I14" i="41"/>
  <c r="I13" i="41"/>
  <c r="I31" i="41"/>
  <c r="I26" i="41"/>
  <c r="I47" i="41"/>
  <c r="I42" i="41"/>
  <c r="I41" i="41"/>
  <c r="I36" i="41"/>
  <c r="I9" i="41"/>
  <c r="I52" i="41"/>
  <c r="I15" i="41"/>
  <c r="I10" i="41"/>
  <c r="I25" i="41"/>
  <c r="I20" i="41"/>
  <c r="I52" i="30"/>
  <c r="I48" i="30"/>
  <c r="I44" i="30"/>
  <c r="I40" i="30"/>
  <c r="I36" i="30"/>
  <c r="I32" i="30"/>
  <c r="I28" i="30"/>
  <c r="I24" i="30"/>
  <c r="I20" i="30"/>
  <c r="I16" i="30"/>
  <c r="I12" i="30"/>
  <c r="I38" i="30"/>
  <c r="I30" i="30"/>
  <c r="I22" i="30"/>
  <c r="I14" i="30"/>
  <c r="I47" i="30"/>
  <c r="I43" i="30"/>
  <c r="I39" i="30"/>
  <c r="I35" i="30"/>
  <c r="I31" i="30"/>
  <c r="I27" i="30"/>
  <c r="I23" i="30"/>
  <c r="I11" i="30"/>
  <c r="I53" i="30"/>
  <c r="I49" i="30"/>
  <c r="I45" i="30"/>
  <c r="I41" i="30"/>
  <c r="I9" i="30"/>
  <c r="I57" i="30"/>
  <c r="J57" i="30" s="1"/>
  <c r="P17" i="30" s="1"/>
  <c r="I34" i="30"/>
  <c r="I26" i="30"/>
  <c r="I18" i="30"/>
  <c r="I10" i="30"/>
  <c r="I7" i="30"/>
  <c r="J7" i="30" s="1"/>
  <c r="I55" i="30"/>
  <c r="I51" i="30"/>
  <c r="I19" i="30"/>
  <c r="I15" i="30"/>
  <c r="I55" i="28"/>
  <c r="I50" i="28"/>
  <c r="I46" i="28"/>
  <c r="I38" i="28"/>
  <c r="I34" i="28"/>
  <c r="I30" i="28"/>
  <c r="I22" i="28"/>
  <c r="I18" i="28"/>
  <c r="I14" i="28"/>
  <c r="I10" i="28"/>
  <c r="I9" i="28"/>
  <c r="I24" i="28"/>
  <c r="I20" i="28"/>
  <c r="I12" i="28"/>
  <c r="I45" i="28"/>
  <c r="I37" i="28"/>
  <c r="I29" i="28"/>
  <c r="I13" i="28"/>
  <c r="I51" i="28"/>
  <c r="I43" i="28"/>
  <c r="I39" i="28"/>
  <c r="I35" i="28"/>
  <c r="I27" i="28"/>
  <c r="I23" i="28"/>
  <c r="I19" i="28"/>
  <c r="I15" i="28"/>
  <c r="I7" i="28"/>
  <c r="J7" i="28" s="1"/>
  <c r="I53" i="28"/>
  <c r="I48" i="28"/>
  <c r="I44" i="28"/>
  <c r="I40" i="28"/>
  <c r="I32" i="28"/>
  <c r="I28" i="28"/>
  <c r="I57" i="28"/>
  <c r="J57" i="28" s="1"/>
  <c r="P17" i="28" s="1"/>
  <c r="I54" i="28"/>
  <c r="I49" i="28"/>
  <c r="I41" i="28"/>
  <c r="I33" i="28"/>
  <c r="I25" i="28"/>
  <c r="I17" i="28"/>
  <c r="I57" i="27"/>
  <c r="J57" i="27" s="1"/>
  <c r="P17" i="27" s="1"/>
  <c r="I54" i="27"/>
  <c r="I50" i="27"/>
  <c r="I45" i="27"/>
  <c r="I44" i="27"/>
  <c r="I39" i="27"/>
  <c r="I34" i="27"/>
  <c r="I29" i="27"/>
  <c r="I28" i="27"/>
  <c r="I23" i="27"/>
  <c r="I18" i="27"/>
  <c r="I13" i="27"/>
  <c r="I12" i="27"/>
  <c r="I7" i="27"/>
  <c r="J7" i="27" s="1"/>
  <c r="I42" i="27"/>
  <c r="I15" i="27"/>
  <c r="I10" i="27"/>
  <c r="I53" i="27"/>
  <c r="I49" i="27"/>
  <c r="I43" i="27"/>
  <c r="I38" i="27"/>
  <c r="I33" i="27"/>
  <c r="I32" i="27"/>
  <c r="I27" i="27"/>
  <c r="I11" i="27"/>
  <c r="I55" i="27"/>
  <c r="I51" i="27"/>
  <c r="I46" i="27"/>
  <c r="I41" i="27"/>
  <c r="I35" i="27"/>
  <c r="I30" i="27"/>
  <c r="I25" i="27"/>
  <c r="I24" i="27"/>
  <c r="I19" i="27"/>
  <c r="I9" i="27"/>
  <c r="I52" i="27"/>
  <c r="I47" i="27"/>
  <c r="I37" i="27"/>
  <c r="I36" i="27"/>
  <c r="I26" i="27"/>
  <c r="I21" i="27"/>
  <c r="I20" i="27"/>
  <c r="I17" i="27"/>
  <c r="I16" i="27"/>
  <c r="F39" i="29" l="1"/>
  <c r="F25" i="27"/>
  <c r="J24" i="27"/>
  <c r="F13" i="27"/>
  <c r="J12" i="27"/>
  <c r="J41" i="28"/>
  <c r="F24" i="28"/>
  <c r="J23" i="28"/>
  <c r="F51" i="28"/>
  <c r="J50" i="28"/>
  <c r="F30" i="30"/>
  <c r="J12" i="30"/>
  <c r="F15" i="41"/>
  <c r="J14" i="41"/>
  <c r="F17" i="41"/>
  <c r="J16" i="41"/>
  <c r="F16" i="33"/>
  <c r="J15" i="33"/>
  <c r="F34" i="33"/>
  <c r="J33" i="33"/>
  <c r="F53" i="33"/>
  <c r="J52" i="33"/>
  <c r="F39" i="34"/>
  <c r="J38" i="34"/>
  <c r="F47" i="34"/>
  <c r="F36" i="34"/>
  <c r="J35" i="34"/>
  <c r="F36" i="40"/>
  <c r="J35" i="40"/>
  <c r="F19" i="40"/>
  <c r="J18" i="40"/>
  <c r="J9" i="32"/>
  <c r="F13" i="36"/>
  <c r="J12" i="36"/>
  <c r="F43" i="36"/>
  <c r="J42" i="36"/>
  <c r="F57" i="36"/>
  <c r="J55" i="36"/>
  <c r="F34" i="38"/>
  <c r="J33" i="38"/>
  <c r="F22" i="38"/>
  <c r="J21" i="38"/>
  <c r="F12" i="31"/>
  <c r="J11" i="31"/>
  <c r="F35" i="31"/>
  <c r="J34" i="31"/>
  <c r="F46" i="31"/>
  <c r="J26" i="37"/>
  <c r="J12" i="37"/>
  <c r="F10" i="39"/>
  <c r="J9" i="39"/>
  <c r="F34" i="39"/>
  <c r="J33" i="39"/>
  <c r="J29" i="35"/>
  <c r="F34" i="27"/>
  <c r="J33" i="27"/>
  <c r="F28" i="28"/>
  <c r="J27" i="28"/>
  <c r="F18" i="30"/>
  <c r="F11" i="41"/>
  <c r="J10" i="41"/>
  <c r="F22" i="41"/>
  <c r="J21" i="41"/>
  <c r="F49" i="33"/>
  <c r="J48" i="33"/>
  <c r="F45" i="33"/>
  <c r="J44" i="33"/>
  <c r="F51" i="34"/>
  <c r="F16" i="34"/>
  <c r="F40" i="40"/>
  <c r="J39" i="40"/>
  <c r="F52" i="40"/>
  <c r="J51" i="40"/>
  <c r="F17" i="36"/>
  <c r="J16" i="36"/>
  <c r="F12" i="36"/>
  <c r="J11" i="36"/>
  <c r="F29" i="36"/>
  <c r="J28" i="36"/>
  <c r="F13" i="38"/>
  <c r="J12" i="38"/>
  <c r="F19" i="38"/>
  <c r="J18" i="38"/>
  <c r="F53" i="38"/>
  <c r="J52" i="38"/>
  <c r="F41" i="38"/>
  <c r="J40" i="38"/>
  <c r="F39" i="38"/>
  <c r="J38" i="38"/>
  <c r="J44" i="31"/>
  <c r="F48" i="31"/>
  <c r="J47" i="31"/>
  <c r="F23" i="31"/>
  <c r="J22" i="31"/>
  <c r="F18" i="31"/>
  <c r="J17" i="31"/>
  <c r="F50" i="37"/>
  <c r="J49" i="37"/>
  <c r="F32" i="37"/>
  <c r="J31" i="37"/>
  <c r="F31" i="37"/>
  <c r="J30" i="37"/>
  <c r="F30" i="37"/>
  <c r="J29" i="37"/>
  <c r="F36" i="39"/>
  <c r="J35" i="39"/>
  <c r="F51" i="39"/>
  <c r="J50" i="39"/>
  <c r="F17" i="39"/>
  <c r="J16" i="39"/>
  <c r="F39" i="35"/>
  <c r="F23" i="35"/>
  <c r="J15" i="29"/>
  <c r="F17" i="27"/>
  <c r="J16" i="27"/>
  <c r="F53" i="27"/>
  <c r="J52" i="27"/>
  <c r="F57" i="27"/>
  <c r="J55" i="27"/>
  <c r="F49" i="27"/>
  <c r="F53" i="28"/>
  <c r="F25" i="28"/>
  <c r="J24" i="28"/>
  <c r="F35" i="28"/>
  <c r="J34" i="28"/>
  <c r="F19" i="30"/>
  <c r="J18" i="30"/>
  <c r="F14" i="30"/>
  <c r="F24" i="30"/>
  <c r="J23" i="30"/>
  <c r="F23" i="30"/>
  <c r="J22" i="30"/>
  <c r="F45" i="30"/>
  <c r="J44" i="30"/>
  <c r="F10" i="41"/>
  <c r="J9" i="41"/>
  <c r="F31" i="41"/>
  <c r="J30" i="41"/>
  <c r="F19" i="41"/>
  <c r="J18" i="41"/>
  <c r="F51" i="41"/>
  <c r="J50" i="41"/>
  <c r="F49" i="41"/>
  <c r="J48" i="41"/>
  <c r="F30" i="33"/>
  <c r="J29" i="33"/>
  <c r="F22" i="33"/>
  <c r="J21" i="33"/>
  <c r="F31" i="33"/>
  <c r="J30" i="33"/>
  <c r="F32" i="33"/>
  <c r="J31" i="33"/>
  <c r="F41" i="33"/>
  <c r="J40" i="33"/>
  <c r="F57" i="34"/>
  <c r="J36" i="34"/>
  <c r="J19" i="34"/>
  <c r="F41" i="40"/>
  <c r="J40" i="40"/>
  <c r="F46" i="40"/>
  <c r="J45" i="40"/>
  <c r="F54" i="40"/>
  <c r="J53" i="40"/>
  <c r="F48" i="40"/>
  <c r="J47" i="40"/>
  <c r="F41" i="36"/>
  <c r="J40" i="36"/>
  <c r="F32" i="36"/>
  <c r="J31" i="36"/>
  <c r="F45" i="36"/>
  <c r="J44" i="36"/>
  <c r="F25" i="36"/>
  <c r="J24" i="36"/>
  <c r="F24" i="36"/>
  <c r="J23" i="36"/>
  <c r="F42" i="36"/>
  <c r="J41" i="36"/>
  <c r="F36" i="38"/>
  <c r="J35" i="38"/>
  <c r="F18" i="38"/>
  <c r="J17" i="38"/>
  <c r="F24" i="38"/>
  <c r="J23" i="38"/>
  <c r="F52" i="38"/>
  <c r="J51" i="38"/>
  <c r="F51" i="38"/>
  <c r="J50" i="38"/>
  <c r="F28" i="31"/>
  <c r="J27" i="31"/>
  <c r="F29" i="31"/>
  <c r="J28" i="31"/>
  <c r="F51" i="31"/>
  <c r="J50" i="31"/>
  <c r="F30" i="31"/>
  <c r="J29" i="31"/>
  <c r="F34" i="37"/>
  <c r="F11" i="37"/>
  <c r="J10" i="37"/>
  <c r="F10" i="37"/>
  <c r="J9" i="37"/>
  <c r="F42" i="37"/>
  <c r="J41" i="37"/>
  <c r="F29" i="37"/>
  <c r="J28" i="37"/>
  <c r="F15" i="39"/>
  <c r="J14" i="39"/>
  <c r="F31" i="39"/>
  <c r="J30" i="39"/>
  <c r="F18" i="39"/>
  <c r="J17" i="39"/>
  <c r="F12" i="39"/>
  <c r="J11" i="39"/>
  <c r="F29" i="39"/>
  <c r="J28" i="39"/>
  <c r="F45" i="39"/>
  <c r="J44" i="39"/>
  <c r="F53" i="35"/>
  <c r="J52" i="35"/>
  <c r="F33" i="35"/>
  <c r="J32" i="35"/>
  <c r="F18" i="35"/>
  <c r="J17" i="35"/>
  <c r="F50" i="35"/>
  <c r="J49" i="35"/>
  <c r="F36" i="35"/>
  <c r="J35" i="35"/>
  <c r="J19" i="29"/>
  <c r="F41" i="29"/>
  <c r="F29" i="29"/>
  <c r="J43" i="29"/>
  <c r="F49" i="29"/>
  <c r="F18" i="27"/>
  <c r="J17" i="27"/>
  <c r="F10" i="27"/>
  <c r="J9" i="27"/>
  <c r="F42" i="27"/>
  <c r="J41" i="27"/>
  <c r="F50" i="27"/>
  <c r="J49" i="27"/>
  <c r="J13" i="27"/>
  <c r="F46" i="27"/>
  <c r="J45" i="27"/>
  <c r="F50" i="28"/>
  <c r="J49" i="28"/>
  <c r="F45" i="28"/>
  <c r="J44" i="28"/>
  <c r="F44" i="28"/>
  <c r="J43" i="28"/>
  <c r="F46" i="28"/>
  <c r="J45" i="28"/>
  <c r="F23" i="28"/>
  <c r="J22" i="28"/>
  <c r="F57" i="28"/>
  <c r="J55" i="28"/>
  <c r="F27" i="30"/>
  <c r="J26" i="30"/>
  <c r="F34" i="30"/>
  <c r="F28" i="30"/>
  <c r="J27" i="30"/>
  <c r="F31" i="30"/>
  <c r="J30" i="30"/>
  <c r="J32" i="30"/>
  <c r="F27" i="41"/>
  <c r="J26" i="41"/>
  <c r="F36" i="41"/>
  <c r="J35" i="41"/>
  <c r="F24" i="41"/>
  <c r="J23" i="41"/>
  <c r="F57" i="41"/>
  <c r="J55" i="41"/>
  <c r="F54" i="41"/>
  <c r="J53" i="41"/>
  <c r="F17" i="33"/>
  <c r="J16" i="33"/>
  <c r="F12" i="33"/>
  <c r="J11" i="33"/>
  <c r="F37" i="33"/>
  <c r="J36" i="33"/>
  <c r="F19" i="33"/>
  <c r="J18" i="33"/>
  <c r="F57" i="33"/>
  <c r="J55" i="33"/>
  <c r="F48" i="34"/>
  <c r="J47" i="34"/>
  <c r="F44" i="34"/>
  <c r="J43" i="34"/>
  <c r="F54" i="34"/>
  <c r="J53" i="34"/>
  <c r="F40" i="34"/>
  <c r="J39" i="34"/>
  <c r="F50" i="40"/>
  <c r="J49" i="40"/>
  <c r="F27" i="40"/>
  <c r="J26" i="40"/>
  <c r="F26" i="40"/>
  <c r="J25" i="40"/>
  <c r="F21" i="40"/>
  <c r="J20" i="40"/>
  <c r="F53" i="40"/>
  <c r="J52" i="40"/>
  <c r="F38" i="40"/>
  <c r="J37" i="40"/>
  <c r="F11" i="32"/>
  <c r="F15" i="32"/>
  <c r="J14" i="32"/>
  <c r="F13" i="32"/>
  <c r="J12" i="32"/>
  <c r="F50" i="36"/>
  <c r="J49" i="36"/>
  <c r="F37" i="36"/>
  <c r="J36" i="36"/>
  <c r="F35" i="36"/>
  <c r="J34" i="36"/>
  <c r="F49" i="36"/>
  <c r="J48" i="36"/>
  <c r="F30" i="36"/>
  <c r="J29" i="36"/>
  <c r="F44" i="36"/>
  <c r="J43" i="36"/>
  <c r="F47" i="36"/>
  <c r="J46" i="36"/>
  <c r="F12" i="38"/>
  <c r="J11" i="38"/>
  <c r="F55" i="38"/>
  <c r="J54" i="38"/>
  <c r="F54" i="38"/>
  <c r="J53" i="38"/>
  <c r="F35" i="38"/>
  <c r="J34" i="38"/>
  <c r="F25" i="38"/>
  <c r="J24" i="38"/>
  <c r="F23" i="38"/>
  <c r="J22" i="38"/>
  <c r="F57" i="38"/>
  <c r="J55" i="38"/>
  <c r="F16" i="31"/>
  <c r="J15" i="31"/>
  <c r="F32" i="31"/>
  <c r="J31" i="31"/>
  <c r="F39" i="31"/>
  <c r="J38" i="31"/>
  <c r="F55" i="31"/>
  <c r="J54" i="31"/>
  <c r="J20" i="31"/>
  <c r="F34" i="31"/>
  <c r="F50" i="31"/>
  <c r="J49" i="31"/>
  <c r="F39" i="37"/>
  <c r="J38" i="37"/>
  <c r="F18" i="37"/>
  <c r="J17" i="37"/>
  <c r="F16" i="37"/>
  <c r="J15" i="37"/>
  <c r="F48" i="37"/>
  <c r="J47" i="37"/>
  <c r="F15" i="37"/>
  <c r="J14" i="37"/>
  <c r="F47" i="37"/>
  <c r="F14" i="37"/>
  <c r="J45" i="37"/>
  <c r="F20" i="39"/>
  <c r="J19" i="39"/>
  <c r="F16" i="39"/>
  <c r="J15" i="39"/>
  <c r="F19" i="39"/>
  <c r="J18" i="39"/>
  <c r="F35" i="39"/>
  <c r="J34" i="39"/>
  <c r="F22" i="39"/>
  <c r="J21" i="39"/>
  <c r="F38" i="39"/>
  <c r="J37" i="39"/>
  <c r="F55" i="39"/>
  <c r="J54" i="39"/>
  <c r="F33" i="39"/>
  <c r="J32" i="39"/>
  <c r="F49" i="39"/>
  <c r="J48" i="39"/>
  <c r="F11" i="35"/>
  <c r="J10" i="35"/>
  <c r="F34" i="35"/>
  <c r="J33" i="35"/>
  <c r="F12" i="35"/>
  <c r="J11" i="35"/>
  <c r="F20" i="35"/>
  <c r="J19" i="35"/>
  <c r="J37" i="35"/>
  <c r="F52" i="35"/>
  <c r="J51" i="35"/>
  <c r="F37" i="35"/>
  <c r="J36" i="35"/>
  <c r="F55" i="35"/>
  <c r="F26" i="35"/>
  <c r="J25" i="35"/>
  <c r="F40" i="35"/>
  <c r="J39" i="35"/>
  <c r="F53" i="29"/>
  <c r="F18" i="29"/>
  <c r="J17" i="29"/>
  <c r="F54" i="29"/>
  <c r="J53" i="29"/>
  <c r="F50" i="29"/>
  <c r="J49" i="29"/>
  <c r="J31" i="29"/>
  <c r="F37" i="29"/>
  <c r="F38" i="29"/>
  <c r="J37" i="29"/>
  <c r="F34" i="29"/>
  <c r="J33" i="29"/>
  <c r="F21" i="29"/>
  <c r="J39" i="29"/>
  <c r="J35" i="29"/>
  <c r="F21" i="27"/>
  <c r="J20" i="27"/>
  <c r="F38" i="27"/>
  <c r="J37" i="27"/>
  <c r="F15" i="27"/>
  <c r="J30" i="27"/>
  <c r="F47" i="27"/>
  <c r="J46" i="27"/>
  <c r="F23" i="27"/>
  <c r="F39" i="27"/>
  <c r="J38" i="27"/>
  <c r="F54" i="27"/>
  <c r="J53" i="27"/>
  <c r="F43" i="27"/>
  <c r="J42" i="27"/>
  <c r="F19" i="27"/>
  <c r="J18" i="27"/>
  <c r="F35" i="27"/>
  <c r="J34" i="27"/>
  <c r="F51" i="27"/>
  <c r="J50" i="27"/>
  <c r="J25" i="28"/>
  <c r="F55" i="28"/>
  <c r="J54" i="28"/>
  <c r="F33" i="28"/>
  <c r="J32" i="28"/>
  <c r="F49" i="28"/>
  <c r="J48" i="28"/>
  <c r="J15" i="28"/>
  <c r="F32" i="28"/>
  <c r="F48" i="28"/>
  <c r="F22" i="28"/>
  <c r="F13" i="28"/>
  <c r="J12" i="28"/>
  <c r="J10" i="28"/>
  <c r="F27" i="28"/>
  <c r="F43" i="28"/>
  <c r="F16" i="30"/>
  <c r="J15" i="30"/>
  <c r="F35" i="30"/>
  <c r="J34" i="30"/>
  <c r="F22" i="30"/>
  <c r="F38" i="30"/>
  <c r="J53" i="30"/>
  <c r="F32" i="30"/>
  <c r="J31" i="30"/>
  <c r="F48" i="30"/>
  <c r="J47" i="30"/>
  <c r="F39" i="30"/>
  <c r="J38" i="30"/>
  <c r="J20" i="30"/>
  <c r="J36" i="30"/>
  <c r="F53" i="30"/>
  <c r="J52" i="30"/>
  <c r="F16" i="41"/>
  <c r="J15" i="41"/>
  <c r="F42" i="41"/>
  <c r="J41" i="41"/>
  <c r="F32" i="41"/>
  <c r="J31" i="41"/>
  <c r="F25" i="41"/>
  <c r="J24" i="41"/>
  <c r="F41" i="41"/>
  <c r="J40" i="41"/>
  <c r="F13" i="41"/>
  <c r="J12" i="41"/>
  <c r="F29" i="41"/>
  <c r="J28" i="41"/>
  <c r="F45" i="41"/>
  <c r="J44" i="41"/>
  <c r="F23" i="41"/>
  <c r="J22" i="41"/>
  <c r="F39" i="41"/>
  <c r="J38" i="41"/>
  <c r="F55" i="41"/>
  <c r="J54" i="41"/>
  <c r="F21" i="33"/>
  <c r="J20" i="33"/>
  <c r="F38" i="33"/>
  <c r="J37" i="33"/>
  <c r="F13" i="33"/>
  <c r="J12" i="33"/>
  <c r="F10" i="33"/>
  <c r="J9" i="33"/>
  <c r="F25" i="33"/>
  <c r="J24" i="33"/>
  <c r="F44" i="33"/>
  <c r="J43" i="33"/>
  <c r="F42" i="33"/>
  <c r="J41" i="33"/>
  <c r="F23" i="33"/>
  <c r="J22" i="33"/>
  <c r="F43" i="33"/>
  <c r="J42" i="33"/>
  <c r="F36" i="33"/>
  <c r="J35" i="33"/>
  <c r="F50" i="33"/>
  <c r="J49" i="33"/>
  <c r="F52" i="34"/>
  <c r="J51" i="34"/>
  <c r="F13" i="34"/>
  <c r="J12" i="34"/>
  <c r="F12" i="34"/>
  <c r="F22" i="34"/>
  <c r="J21" i="34"/>
  <c r="F38" i="34"/>
  <c r="J54" i="34"/>
  <c r="J14" i="34"/>
  <c r="J28" i="34"/>
  <c r="J41" i="34"/>
  <c r="J9" i="34"/>
  <c r="F28" i="34"/>
  <c r="J27" i="34"/>
  <c r="F45" i="34"/>
  <c r="J44" i="34"/>
  <c r="F55" i="40"/>
  <c r="J54" i="40"/>
  <c r="F18" i="40"/>
  <c r="J17" i="40"/>
  <c r="F32" i="40"/>
  <c r="J31" i="40"/>
  <c r="F13" i="40"/>
  <c r="J12" i="40"/>
  <c r="F31" i="40"/>
  <c r="J30" i="40"/>
  <c r="F45" i="40"/>
  <c r="J44" i="40"/>
  <c r="F11" i="40"/>
  <c r="J10" i="40"/>
  <c r="F25" i="40"/>
  <c r="J24" i="40"/>
  <c r="F43" i="40"/>
  <c r="J42" i="40"/>
  <c r="F10" i="40"/>
  <c r="J9" i="40"/>
  <c r="F24" i="40"/>
  <c r="J23" i="40"/>
  <c r="F42" i="40"/>
  <c r="J41" i="40"/>
  <c r="F57" i="40"/>
  <c r="J55" i="40"/>
  <c r="J15" i="32"/>
  <c r="J20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53" i="36"/>
  <c r="F16" i="36"/>
  <c r="J15" i="36"/>
  <c r="F34" i="36"/>
  <c r="J33" i="36"/>
  <c r="F48" i="36"/>
  <c r="J47" i="36"/>
  <c r="F19" i="36"/>
  <c r="J18" i="36"/>
  <c r="F33" i="36"/>
  <c r="J32" i="36"/>
  <c r="F51" i="36"/>
  <c r="J50" i="36"/>
  <c r="F37" i="38"/>
  <c r="J36" i="38"/>
  <c r="F20" i="38"/>
  <c r="J19" i="38"/>
  <c r="F49" i="38"/>
  <c r="J48" i="38"/>
  <c r="F10" i="38"/>
  <c r="J9" i="38"/>
  <c r="F26" i="38"/>
  <c r="J25" i="38"/>
  <c r="F42" i="38"/>
  <c r="J41" i="38"/>
  <c r="F16" i="38"/>
  <c r="J15" i="38"/>
  <c r="F32" i="38"/>
  <c r="J31" i="38"/>
  <c r="F46" i="38"/>
  <c r="J45" i="38"/>
  <c r="F14" i="38"/>
  <c r="J13" i="38"/>
  <c r="F30" i="38"/>
  <c r="J29" i="38"/>
  <c r="F45" i="38"/>
  <c r="J44" i="38"/>
  <c r="J32" i="31"/>
  <c r="F49" i="31"/>
  <c r="J48" i="31"/>
  <c r="F20" i="31"/>
  <c r="J19" i="31"/>
  <c r="F36" i="31"/>
  <c r="J35" i="31"/>
  <c r="F52" i="31"/>
  <c r="J51" i="31"/>
  <c r="F11" i="31"/>
  <c r="J10" i="31"/>
  <c r="F27" i="31"/>
  <c r="J26" i="31"/>
  <c r="F43" i="31"/>
  <c r="J42" i="31"/>
  <c r="F25" i="31"/>
  <c r="J24" i="31"/>
  <c r="F22" i="31"/>
  <c r="F38" i="31"/>
  <c r="J37" i="31"/>
  <c r="F54" i="31"/>
  <c r="J53" i="31"/>
  <c r="F55" i="37"/>
  <c r="J54" i="37"/>
  <c r="F23" i="37"/>
  <c r="J22" i="37"/>
  <c r="F21" i="37"/>
  <c r="F37" i="37"/>
  <c r="J36" i="37"/>
  <c r="J52" i="37"/>
  <c r="J19" i="37"/>
  <c r="F36" i="37"/>
  <c r="J35" i="37"/>
  <c r="F52" i="37"/>
  <c r="J51" i="37"/>
  <c r="F19" i="37"/>
  <c r="J18" i="37"/>
  <c r="F35" i="37"/>
  <c r="J34" i="37"/>
  <c r="F51" i="37"/>
  <c r="J50" i="37"/>
  <c r="F52" i="39"/>
  <c r="J51" i="39"/>
  <c r="F28" i="39"/>
  <c r="J27" i="39"/>
  <c r="F32" i="39"/>
  <c r="J31" i="39"/>
  <c r="F23" i="39"/>
  <c r="J22" i="39"/>
  <c r="F39" i="39"/>
  <c r="J38" i="39"/>
  <c r="F57" i="39"/>
  <c r="J55" i="39"/>
  <c r="F26" i="39"/>
  <c r="J25" i="39"/>
  <c r="F42" i="39"/>
  <c r="J41" i="39"/>
  <c r="F21" i="39"/>
  <c r="J20" i="39"/>
  <c r="F37" i="39"/>
  <c r="J36" i="39"/>
  <c r="F53" i="39"/>
  <c r="J52" i="39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F45" i="35"/>
  <c r="J44" i="35"/>
  <c r="F11" i="29"/>
  <c r="J10" i="29"/>
  <c r="F30" i="29"/>
  <c r="J29" i="29"/>
  <c r="F22" i="29"/>
  <c r="J21" i="29"/>
  <c r="F23" i="29"/>
  <c r="J22" i="29"/>
  <c r="F51" i="29"/>
  <c r="J50" i="29"/>
  <c r="F46" i="29"/>
  <c r="J45" i="29"/>
  <c r="J47" i="29"/>
  <c r="F25" i="29"/>
  <c r="F19" i="29"/>
  <c r="J18" i="29"/>
  <c r="F14" i="29"/>
  <c r="J13" i="29"/>
  <c r="F27" i="27"/>
  <c r="J26" i="27"/>
  <c r="F41" i="27"/>
  <c r="F33" i="27"/>
  <c r="J32" i="27"/>
  <c r="F16" i="27"/>
  <c r="J15" i="27"/>
  <c r="F29" i="27"/>
  <c r="J28" i="27"/>
  <c r="F45" i="27"/>
  <c r="J44" i="27"/>
  <c r="F17" i="28"/>
  <c r="F41" i="28"/>
  <c r="J40" i="28"/>
  <c r="F40" i="28"/>
  <c r="J39" i="28"/>
  <c r="F38" i="28"/>
  <c r="J37" i="28"/>
  <c r="F19" i="28"/>
  <c r="J18" i="28"/>
  <c r="F52" i="30"/>
  <c r="J51" i="30"/>
  <c r="F51" i="30"/>
  <c r="J45" i="30"/>
  <c r="F40" i="30"/>
  <c r="J39" i="30"/>
  <c r="J28" i="30"/>
  <c r="F26" i="41"/>
  <c r="J25" i="41"/>
  <c r="F48" i="41"/>
  <c r="J47" i="41"/>
  <c r="F47" i="41"/>
  <c r="J46" i="41"/>
  <c r="F35" i="41"/>
  <c r="J34" i="41"/>
  <c r="F33" i="41"/>
  <c r="J32" i="41"/>
  <c r="F27" i="33"/>
  <c r="J26" i="33"/>
  <c r="F51" i="33"/>
  <c r="J50" i="33"/>
  <c r="F20" i="33"/>
  <c r="J19" i="33"/>
  <c r="F14" i="33"/>
  <c r="J13" i="33"/>
  <c r="F35" i="34"/>
  <c r="J34" i="34"/>
  <c r="F30" i="34"/>
  <c r="F21" i="34"/>
  <c r="J49" i="34"/>
  <c r="F53" i="34"/>
  <c r="J52" i="34"/>
  <c r="F28" i="40"/>
  <c r="J27" i="40"/>
  <c r="F22" i="40"/>
  <c r="J21" i="40"/>
  <c r="F16" i="40"/>
  <c r="J15" i="40"/>
  <c r="F34" i="40"/>
  <c r="J33" i="40"/>
  <c r="F33" i="40"/>
  <c r="J32" i="40"/>
  <c r="F51" i="40"/>
  <c r="J50" i="40"/>
  <c r="F19" i="32"/>
  <c r="J18" i="32"/>
  <c r="F28" i="36"/>
  <c r="J27" i="36"/>
  <c r="F31" i="36"/>
  <c r="J30" i="36"/>
  <c r="F11" i="36"/>
  <c r="J10" i="36"/>
  <c r="F10" i="36"/>
  <c r="J9" i="36"/>
  <c r="F28" i="38"/>
  <c r="J27" i="38"/>
  <c r="F48" i="38"/>
  <c r="J47" i="38"/>
  <c r="F40" i="38"/>
  <c r="J39" i="38"/>
  <c r="F38" i="38"/>
  <c r="J37" i="38"/>
  <c r="F41" i="31"/>
  <c r="J40" i="31"/>
  <c r="F44" i="31"/>
  <c r="J43" i="31"/>
  <c r="F19" i="31"/>
  <c r="J18" i="31"/>
  <c r="F17" i="31"/>
  <c r="J16" i="31"/>
  <c r="F14" i="31"/>
  <c r="J13" i="31"/>
  <c r="J32" i="37"/>
  <c r="F49" i="37"/>
  <c r="J48" i="37"/>
  <c r="F43" i="37"/>
  <c r="J42" i="37"/>
  <c r="F26" i="37"/>
  <c r="J25" i="37"/>
  <c r="F45" i="37"/>
  <c r="J44" i="37"/>
  <c r="F40" i="39"/>
  <c r="J39" i="39"/>
  <c r="F14" i="39"/>
  <c r="J13" i="39"/>
  <c r="F47" i="39"/>
  <c r="J46" i="39"/>
  <c r="F50" i="39"/>
  <c r="J49" i="39"/>
  <c r="F25" i="35"/>
  <c r="J24" i="35"/>
  <c r="F19" i="35"/>
  <c r="J18" i="35"/>
  <c r="F51" i="35"/>
  <c r="J50" i="35"/>
  <c r="F32" i="35"/>
  <c r="J31" i="35"/>
  <c r="J21" i="35"/>
  <c r="J53" i="35"/>
  <c r="J23" i="29"/>
  <c r="F35" i="29"/>
  <c r="J34" i="29"/>
  <c r="F26" i="29"/>
  <c r="J25" i="29"/>
  <c r="F10" i="29"/>
  <c r="J9" i="29"/>
  <c r="F37" i="27"/>
  <c r="J36" i="27"/>
  <c r="F26" i="27"/>
  <c r="J25" i="27"/>
  <c r="F12" i="27"/>
  <c r="J11" i="27"/>
  <c r="F32" i="27"/>
  <c r="F30" i="27"/>
  <c r="J29" i="27"/>
  <c r="F18" i="28"/>
  <c r="J17" i="28"/>
  <c r="F29" i="28"/>
  <c r="J28" i="28"/>
  <c r="F12" i="28"/>
  <c r="F14" i="28"/>
  <c r="J13" i="28"/>
  <c r="F10" i="28"/>
  <c r="J9" i="28"/>
  <c r="F39" i="28"/>
  <c r="J38" i="28"/>
  <c r="F57" i="30"/>
  <c r="J55" i="30"/>
  <c r="F55" i="30"/>
  <c r="J49" i="30"/>
  <c r="F44" i="30"/>
  <c r="J43" i="30"/>
  <c r="J16" i="30"/>
  <c r="F49" i="30"/>
  <c r="J48" i="30"/>
  <c r="F37" i="41"/>
  <c r="J36" i="41"/>
  <c r="F20" i="41"/>
  <c r="J19" i="41"/>
  <c r="F52" i="41"/>
  <c r="J51" i="41"/>
  <c r="F40" i="41"/>
  <c r="J39" i="41"/>
  <c r="F38" i="41"/>
  <c r="J37" i="41"/>
  <c r="F52" i="33"/>
  <c r="J51" i="33"/>
  <c r="F35" i="33"/>
  <c r="J34" i="33"/>
  <c r="F24" i="33"/>
  <c r="J23" i="33"/>
  <c r="F39" i="33"/>
  <c r="J38" i="33"/>
  <c r="F33" i="33"/>
  <c r="J32" i="33"/>
  <c r="F27" i="34"/>
  <c r="J26" i="34"/>
  <c r="F18" i="34"/>
  <c r="J17" i="34"/>
  <c r="F34" i="34"/>
  <c r="F25" i="34"/>
  <c r="F41" i="34"/>
  <c r="J40" i="34"/>
  <c r="J23" i="34"/>
  <c r="F39" i="40"/>
  <c r="J38" i="40"/>
  <c r="F20" i="40"/>
  <c r="J19" i="40"/>
  <c r="F15" i="36"/>
  <c r="J14" i="36"/>
  <c r="J21" i="27"/>
  <c r="J47" i="27"/>
  <c r="F20" i="27"/>
  <c r="J19" i="27"/>
  <c r="F36" i="27"/>
  <c r="J35" i="27"/>
  <c r="F52" i="27"/>
  <c r="J51" i="27"/>
  <c r="F28" i="27"/>
  <c r="J27" i="27"/>
  <c r="F44" i="27"/>
  <c r="J43" i="27"/>
  <c r="F11" i="27"/>
  <c r="J10" i="27"/>
  <c r="F24" i="27"/>
  <c r="J23" i="27"/>
  <c r="J39" i="27"/>
  <c r="F55" i="27"/>
  <c r="J54" i="27"/>
  <c r="F34" i="28"/>
  <c r="J33" i="28"/>
  <c r="F37" i="28"/>
  <c r="F54" i="28"/>
  <c r="J53" i="28"/>
  <c r="F20" i="28"/>
  <c r="J19" i="28"/>
  <c r="J35" i="28"/>
  <c r="J51" i="28"/>
  <c r="F30" i="28"/>
  <c r="J29" i="28"/>
  <c r="J20" i="28"/>
  <c r="F15" i="28"/>
  <c r="J14" i="28"/>
  <c r="J30" i="28"/>
  <c r="J46" i="28"/>
  <c r="F20" i="30"/>
  <c r="J19" i="30"/>
  <c r="F11" i="30"/>
  <c r="J10" i="30"/>
  <c r="F43" i="30"/>
  <c r="F10" i="30"/>
  <c r="J9" i="30"/>
  <c r="F26" i="30"/>
  <c r="J41" i="30"/>
  <c r="F12" i="30"/>
  <c r="J11" i="30"/>
  <c r="F36" i="30"/>
  <c r="J35" i="30"/>
  <c r="F15" i="30"/>
  <c r="J14" i="30"/>
  <c r="F47" i="30"/>
  <c r="J24" i="30"/>
  <c r="F41" i="30"/>
  <c r="J40" i="30"/>
  <c r="F21" i="41"/>
  <c r="J20" i="41"/>
  <c r="F53" i="41"/>
  <c r="J52" i="41"/>
  <c r="F43" i="41"/>
  <c r="J42" i="41"/>
  <c r="F14" i="41"/>
  <c r="J13" i="41"/>
  <c r="F30" i="41"/>
  <c r="J29" i="41"/>
  <c r="F46" i="41"/>
  <c r="J45" i="41"/>
  <c r="F18" i="41"/>
  <c r="J17" i="41"/>
  <c r="F34" i="41"/>
  <c r="J33" i="41"/>
  <c r="F50" i="41"/>
  <c r="J49" i="41"/>
  <c r="F12" i="41"/>
  <c r="J11" i="41"/>
  <c r="F28" i="41"/>
  <c r="J27" i="41"/>
  <c r="F44" i="41"/>
  <c r="J43" i="41"/>
  <c r="F11" i="33"/>
  <c r="J10" i="33"/>
  <c r="F26" i="33"/>
  <c r="J25" i="33"/>
  <c r="F48" i="33"/>
  <c r="J47" i="33"/>
  <c r="F18" i="33"/>
  <c r="J17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J39" i="33"/>
  <c r="F54" i="33"/>
  <c r="J53" i="33"/>
  <c r="F23" i="34"/>
  <c r="J22" i="34"/>
  <c r="F31" i="34"/>
  <c r="J30" i="34"/>
  <c r="F19" i="34"/>
  <c r="J18" i="34"/>
  <c r="F26" i="34"/>
  <c r="J25" i="34"/>
  <c r="F43" i="34"/>
  <c r="F17" i="34"/>
  <c r="J16" i="34"/>
  <c r="J32" i="34"/>
  <c r="J45" i="34"/>
  <c r="F14" i="34"/>
  <c r="J13" i="34"/>
  <c r="F32" i="34"/>
  <c r="J31" i="34"/>
  <c r="F49" i="34"/>
  <c r="J48" i="34"/>
  <c r="F14" i="40"/>
  <c r="J13" i="40"/>
  <c r="F23" i="40"/>
  <c r="J22" i="40"/>
  <c r="F37" i="40"/>
  <c r="J36" i="40"/>
  <c r="F17" i="40"/>
  <c r="J16" i="40"/>
  <c r="F35" i="40"/>
  <c r="J34" i="40"/>
  <c r="F49" i="40"/>
  <c r="J48" i="40"/>
  <c r="F12" i="40"/>
  <c r="J11" i="40"/>
  <c r="F30" i="40"/>
  <c r="J29" i="40"/>
  <c r="F44" i="40"/>
  <c r="J43" i="40"/>
  <c r="F15" i="40"/>
  <c r="J14" i="40"/>
  <c r="F29" i="40"/>
  <c r="J28" i="40"/>
  <c r="F47" i="40"/>
  <c r="J46" i="40"/>
  <c r="F12" i="32"/>
  <c r="J11" i="32"/>
  <c r="F17" i="32"/>
  <c r="F18" i="32"/>
  <c r="J17" i="32"/>
  <c r="F20" i="32"/>
  <c r="J19" i="32"/>
  <c r="F23" i="36"/>
  <c r="J22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F53" i="36"/>
  <c r="J52" i="36"/>
  <c r="F20" i="36"/>
  <c r="J19" i="36"/>
  <c r="F38" i="36"/>
  <c r="J37" i="36"/>
  <c r="F52" i="36"/>
  <c r="J51" i="36"/>
  <c r="F44" i="38"/>
  <c r="J43" i="38"/>
  <c r="F29" i="38"/>
  <c r="J28" i="38"/>
  <c r="F21" i="38"/>
  <c r="J20" i="38"/>
  <c r="F11" i="38"/>
  <c r="J10" i="38"/>
  <c r="F27" i="38"/>
  <c r="J26" i="38"/>
  <c r="F43" i="38"/>
  <c r="J42" i="38"/>
  <c r="F17" i="38"/>
  <c r="J16" i="38"/>
  <c r="F33" i="38"/>
  <c r="J32" i="38"/>
  <c r="F47" i="38"/>
  <c r="J46" i="38"/>
  <c r="F15" i="38"/>
  <c r="J14" i="38"/>
  <c r="F31" i="38"/>
  <c r="J30" i="38"/>
  <c r="F50" i="38"/>
  <c r="J49" i="38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F47" i="31"/>
  <c r="J46" i="31"/>
  <c r="F13" i="31"/>
  <c r="J12" i="31"/>
  <c r="F10" i="31"/>
  <c r="J9" i="31"/>
  <c r="F26" i="31"/>
  <c r="J25" i="31"/>
  <c r="F42" i="31"/>
  <c r="J41" i="31"/>
  <c r="F12" i="37"/>
  <c r="J11" i="37"/>
  <c r="F17" i="37"/>
  <c r="J16" i="37"/>
  <c r="F28" i="37"/>
  <c r="F44" i="37"/>
  <c r="J43" i="37"/>
  <c r="F22" i="37"/>
  <c r="J21" i="37"/>
  <c r="F38" i="37"/>
  <c r="J37" i="37"/>
  <c r="F54" i="37"/>
  <c r="F25" i="37"/>
  <c r="J24" i="37"/>
  <c r="F41" i="37"/>
  <c r="F24" i="37"/>
  <c r="J23" i="37"/>
  <c r="J39" i="37"/>
  <c r="F57" i="37"/>
  <c r="J55" i="37"/>
  <c r="F24" i="39"/>
  <c r="J23" i="39"/>
  <c r="F44" i="39"/>
  <c r="J43" i="39"/>
  <c r="F48" i="39"/>
  <c r="J47" i="39"/>
  <c r="F27" i="39"/>
  <c r="J26" i="39"/>
  <c r="F43" i="39"/>
  <c r="J42" i="39"/>
  <c r="F13" i="39"/>
  <c r="J12" i="39"/>
  <c r="F30" i="39"/>
  <c r="J29" i="39"/>
  <c r="F46" i="39"/>
  <c r="J45" i="39"/>
  <c r="F11" i="39"/>
  <c r="J10" i="39"/>
  <c r="F25" i="39"/>
  <c r="J24" i="39"/>
  <c r="F41" i="39"/>
  <c r="J40" i="39"/>
  <c r="F54" i="39"/>
  <c r="J53" i="39"/>
  <c r="F21" i="35"/>
  <c r="J20" i="35"/>
  <c r="F48" i="35"/>
  <c r="J47" i="35"/>
  <c r="F15" i="35"/>
  <c r="F29" i="35"/>
  <c r="J28" i="35"/>
  <c r="F47" i="35"/>
  <c r="J13" i="35"/>
  <c r="F28" i="35"/>
  <c r="J27" i="35"/>
  <c r="J45" i="35"/>
  <c r="F17" i="35"/>
  <c r="J16" i="35"/>
  <c r="F35" i="35"/>
  <c r="J34" i="35"/>
  <c r="F49" i="35"/>
  <c r="J48" i="35"/>
  <c r="F31" i="29"/>
  <c r="J30" i="29"/>
  <c r="F43" i="29"/>
  <c r="J42" i="29"/>
  <c r="F47" i="29"/>
  <c r="J46" i="29"/>
  <c r="J11" i="29"/>
  <c r="F42" i="29"/>
  <c r="J41" i="29"/>
  <c r="J27" i="29"/>
  <c r="F17" i="29"/>
  <c r="F45" i="29"/>
  <c r="J51" i="29"/>
  <c r="F33" i="29"/>
  <c r="F13" i="29"/>
  <c r="F55" i="29"/>
  <c r="J54" i="29"/>
  <c r="F9" i="29"/>
  <c r="F7" i="29"/>
  <c r="F27" i="29"/>
  <c r="F15" i="29"/>
  <c r="F57" i="29"/>
  <c r="F9" i="33"/>
  <c r="F7" i="33"/>
  <c r="F9" i="38"/>
  <c r="F7" i="38"/>
  <c r="F9" i="37"/>
  <c r="F7" i="37"/>
  <c r="F9" i="39"/>
  <c r="F7" i="39"/>
  <c r="F9" i="27"/>
  <c r="F7" i="27"/>
  <c r="F9" i="41"/>
  <c r="F7" i="41"/>
  <c r="F9" i="28"/>
  <c r="F7" i="28"/>
  <c r="F7" i="40"/>
  <c r="F9" i="40"/>
  <c r="F9" i="32"/>
  <c r="F7" i="32"/>
  <c r="F7" i="36"/>
  <c r="F9" i="36"/>
  <c r="F9" i="31"/>
  <c r="F7" i="31"/>
  <c r="F7" i="34"/>
  <c r="F9" i="34"/>
  <c r="F7" i="30"/>
  <c r="F9" i="30"/>
  <c r="F9" i="35"/>
  <c r="F7" i="35"/>
  <c r="D57" i="3" l="1"/>
  <c r="D10" i="3"/>
  <c r="L10" i="3" s="1"/>
  <c r="D11" i="3"/>
  <c r="L11" i="3" s="1"/>
  <c r="D12" i="3"/>
  <c r="L12" i="3" s="1"/>
  <c r="D13" i="3"/>
  <c r="L13" i="3" s="1"/>
  <c r="D14" i="3"/>
  <c r="L14" i="3" s="1"/>
  <c r="D15" i="3"/>
  <c r="L15" i="3" s="1"/>
  <c r="D16" i="3"/>
  <c r="L16" i="3" s="1"/>
  <c r="D17" i="3"/>
  <c r="L17" i="3" s="1"/>
  <c r="D18" i="3"/>
  <c r="L18" i="3" s="1"/>
  <c r="L19" i="3"/>
  <c r="D20" i="3"/>
  <c r="L20" i="3" s="1"/>
  <c r="D21" i="3"/>
  <c r="L21" i="3" s="1"/>
  <c r="D22" i="3"/>
  <c r="L22" i="3" s="1"/>
  <c r="D23" i="3"/>
  <c r="L23" i="3" s="1"/>
  <c r="D24" i="3"/>
  <c r="L24" i="3" s="1"/>
  <c r="D25" i="3"/>
  <c r="L25" i="3" s="1"/>
  <c r="D26" i="3"/>
  <c r="L26" i="3" s="1"/>
  <c r="D27" i="3"/>
  <c r="L27" i="3" s="1"/>
  <c r="D28" i="3"/>
  <c r="L28" i="3" s="1"/>
  <c r="D29" i="3"/>
  <c r="L29" i="3" s="1"/>
  <c r="L30" i="3"/>
  <c r="D31" i="3"/>
  <c r="L31" i="3" s="1"/>
  <c r="D32" i="3"/>
  <c r="L32" i="3" s="1"/>
  <c r="D33" i="3"/>
  <c r="L33" i="3" s="1"/>
  <c r="D34" i="3"/>
  <c r="L34" i="3" s="1"/>
  <c r="D35" i="3"/>
  <c r="L35" i="3" s="1"/>
  <c r="D36" i="3"/>
  <c r="L36" i="3" s="1"/>
  <c r="D37" i="3"/>
  <c r="L37" i="3" s="1"/>
  <c r="D38" i="3"/>
  <c r="L38" i="3" s="1"/>
  <c r="D39" i="3"/>
  <c r="L39" i="3" s="1"/>
  <c r="L40" i="3"/>
  <c r="D41" i="3"/>
  <c r="L41" i="3" s="1"/>
  <c r="D42" i="3"/>
  <c r="L42" i="3" s="1"/>
  <c r="D43" i="3"/>
  <c r="L43" i="3" s="1"/>
  <c r="D44" i="3"/>
  <c r="L44" i="3" s="1"/>
  <c r="D45" i="3"/>
  <c r="L45" i="3" s="1"/>
  <c r="D46" i="3"/>
  <c r="L46" i="3" s="1"/>
  <c r="D47" i="3"/>
  <c r="L47" i="3" s="1"/>
  <c r="D48" i="3"/>
  <c r="L48" i="3" s="1"/>
  <c r="D49" i="3"/>
  <c r="L49" i="3" s="1"/>
  <c r="D50" i="3"/>
  <c r="L50" i="3" s="1"/>
  <c r="L51" i="3"/>
  <c r="D52" i="3"/>
  <c r="L52" i="3" s="1"/>
  <c r="D53" i="3"/>
  <c r="L53" i="3" s="1"/>
  <c r="D54" i="3"/>
  <c r="L54" i="3" s="1"/>
  <c r="D55" i="3"/>
  <c r="L55" i="3" s="1"/>
  <c r="L9" i="3"/>
  <c r="D7" i="3"/>
  <c r="L7" i="3" s="1"/>
  <c r="G52" i="3" l="1"/>
  <c r="H52" i="3" s="1"/>
  <c r="G44" i="3"/>
  <c r="H44" i="3" s="1"/>
  <c r="G36" i="3"/>
  <c r="H36" i="3" s="1"/>
  <c r="G32" i="3"/>
  <c r="H32" i="3" s="1"/>
  <c r="G28" i="3"/>
  <c r="H28" i="3" s="1"/>
  <c r="G24" i="3"/>
  <c r="H24" i="3" s="1"/>
  <c r="G20" i="3"/>
  <c r="H20" i="3" s="1"/>
  <c r="G16" i="3"/>
  <c r="H16" i="3" s="1"/>
  <c r="G12" i="3"/>
  <c r="H12" i="3" s="1"/>
  <c r="G55" i="3"/>
  <c r="H55" i="3" s="1"/>
  <c r="G47" i="3"/>
  <c r="H47" i="3" s="1"/>
  <c r="G43" i="3"/>
  <c r="H43" i="3" s="1"/>
  <c r="G39" i="3"/>
  <c r="H39" i="3" s="1"/>
  <c r="G35" i="3"/>
  <c r="H35" i="3" s="1"/>
  <c r="G31" i="3"/>
  <c r="H31" i="3" s="1"/>
  <c r="G27" i="3"/>
  <c r="H27" i="3" s="1"/>
  <c r="G23" i="3"/>
  <c r="H23" i="3" s="1"/>
  <c r="G15" i="3"/>
  <c r="H15" i="3" s="1"/>
  <c r="G11" i="3"/>
  <c r="H11" i="3" s="1"/>
  <c r="G7" i="3"/>
  <c r="H7" i="3" s="1"/>
  <c r="G9" i="3"/>
  <c r="H9" i="3" s="1"/>
  <c r="G48" i="3"/>
  <c r="H48" i="3" s="1"/>
  <c r="G54" i="3"/>
  <c r="H54" i="3" s="1"/>
  <c r="G50" i="3"/>
  <c r="H50" i="3" s="1"/>
  <c r="G46" i="3"/>
  <c r="H46" i="3" s="1"/>
  <c r="G42" i="3"/>
  <c r="H42" i="3" s="1"/>
  <c r="G57" i="3"/>
  <c r="H57" i="3" s="1"/>
  <c r="L57" i="3"/>
  <c r="G38" i="3"/>
  <c r="H38" i="3" s="1"/>
  <c r="G34" i="3"/>
  <c r="H34" i="3" s="1"/>
  <c r="G26" i="3"/>
  <c r="H26" i="3" s="1"/>
  <c r="G22" i="3"/>
  <c r="H22" i="3" s="1"/>
  <c r="G18" i="3"/>
  <c r="H18" i="3" s="1"/>
  <c r="G14" i="3"/>
  <c r="H14" i="3" s="1"/>
  <c r="G53" i="3"/>
  <c r="H53" i="3" s="1"/>
  <c r="G49" i="3"/>
  <c r="H49" i="3" s="1"/>
  <c r="G45" i="3"/>
  <c r="H45" i="3" s="1"/>
  <c r="G41" i="3"/>
  <c r="H41" i="3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10" i="3"/>
  <c r="H10" i="3" s="1"/>
  <c r="I49" i="3" l="1"/>
  <c r="J49" i="3" s="1"/>
  <c r="I17" i="3"/>
  <c r="J17" i="3" s="1"/>
  <c r="I39" i="3"/>
  <c r="J39" i="3" s="1"/>
  <c r="I53" i="3"/>
  <c r="I21" i="3"/>
  <c r="J21" i="3" s="1"/>
  <c r="I48" i="3"/>
  <c r="J48" i="3" s="1"/>
  <c r="I32" i="3"/>
  <c r="J32" i="3" s="1"/>
  <c r="I16" i="3"/>
  <c r="I35" i="3"/>
  <c r="J35" i="3" s="1"/>
  <c r="I54" i="3"/>
  <c r="J54" i="3" s="1"/>
  <c r="I38" i="3"/>
  <c r="J38" i="3" s="1"/>
  <c r="I22" i="3"/>
  <c r="J22" i="3" s="1"/>
  <c r="I41" i="3"/>
  <c r="J41" i="3" s="1"/>
  <c r="I57" i="3"/>
  <c r="J57" i="3" s="1"/>
  <c r="P17" i="3" s="1"/>
  <c r="I31" i="3"/>
  <c r="J31" i="3" s="1"/>
  <c r="I45" i="3"/>
  <c r="I13" i="3"/>
  <c r="J13" i="3" s="1"/>
  <c r="I44" i="3"/>
  <c r="J44" i="3" s="1"/>
  <c r="I28" i="3"/>
  <c r="J28" i="3" s="1"/>
  <c r="I12" i="3"/>
  <c r="I27" i="3"/>
  <c r="J27" i="3" s="1"/>
  <c r="I50" i="3"/>
  <c r="J50" i="3" s="1"/>
  <c r="I34" i="3"/>
  <c r="J34" i="3" s="1"/>
  <c r="I18" i="3"/>
  <c r="J18" i="3" s="1"/>
  <c r="I33" i="3"/>
  <c r="J33" i="3" s="1"/>
  <c r="I55" i="3"/>
  <c r="I23" i="3"/>
  <c r="J23" i="3" s="1"/>
  <c r="I37" i="3"/>
  <c r="F38" i="3" s="1"/>
  <c r="I9" i="3"/>
  <c r="J9" i="3" s="1"/>
  <c r="I24" i="3"/>
  <c r="J24" i="3" s="1"/>
  <c r="I46" i="3"/>
  <c r="J46" i="3" s="1"/>
  <c r="I14" i="3"/>
  <c r="I7" i="3"/>
  <c r="J7" i="3" s="1"/>
  <c r="I25" i="3"/>
  <c r="J25" i="3" s="1"/>
  <c r="I47" i="3"/>
  <c r="I15" i="3"/>
  <c r="J15" i="3" s="1"/>
  <c r="I29" i="3"/>
  <c r="J29" i="3" s="1"/>
  <c r="I52" i="3"/>
  <c r="J52" i="3" s="1"/>
  <c r="I36" i="3"/>
  <c r="J36" i="3" s="1"/>
  <c r="I20" i="3"/>
  <c r="J20" i="3" s="1"/>
  <c r="I43" i="3"/>
  <c r="J43" i="3" s="1"/>
  <c r="I11" i="3"/>
  <c r="J11" i="3" s="1"/>
  <c r="I42" i="3"/>
  <c r="J42" i="3" s="1"/>
  <c r="I26" i="3"/>
  <c r="J26" i="3" s="1"/>
  <c r="I10" i="3"/>
  <c r="F9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24" i="3" l="1"/>
  <c r="F28" i="3"/>
  <c r="F36" i="3"/>
  <c r="F50" i="3"/>
  <c r="F57" i="3"/>
  <c r="F11" i="3"/>
  <c r="F34" i="3"/>
  <c r="F35" i="3"/>
  <c r="F31" i="3"/>
  <c r="F20" i="3"/>
  <c r="F53" i="3"/>
  <c r="F14" i="3"/>
  <c r="F10" i="3"/>
  <c r="F29" i="3"/>
  <c r="F25" i="3"/>
  <c r="F32" i="3"/>
  <c r="F33" i="3"/>
  <c r="F26" i="3"/>
  <c r="F39" i="3"/>
  <c r="F22" i="3"/>
  <c r="J55" i="3"/>
  <c r="J10" i="3"/>
  <c r="F15" i="3"/>
  <c r="F13" i="3"/>
  <c r="F46" i="3"/>
  <c r="F18" i="3"/>
  <c r="F54" i="3"/>
  <c r="F7" i="3"/>
  <c r="F48" i="3"/>
  <c r="F43" i="3"/>
  <c r="F27" i="3"/>
  <c r="J47" i="3"/>
  <c r="F37" i="3"/>
  <c r="J14" i="3"/>
  <c r="J37" i="3"/>
  <c r="J12" i="3"/>
  <c r="J45" i="3"/>
  <c r="J16" i="3"/>
  <c r="J53" i="3"/>
  <c r="F47" i="3"/>
  <c r="F52" i="3"/>
  <c r="F41" i="3"/>
  <c r="F12" i="3"/>
  <c r="F45" i="3"/>
  <c r="F42" i="3"/>
  <c r="F44" i="3"/>
  <c r="F16" i="3"/>
  <c r="F23" i="3"/>
  <c r="F55" i="3"/>
  <c r="F17" i="3"/>
  <c r="F49" i="3"/>
  <c r="F21" i="3"/>
  <c r="E7" i="3"/>
  <c r="E9" i="3"/>
  <c r="E10" i="3"/>
  <c r="E11" i="3"/>
  <c r="E12" i="3"/>
  <c r="E13" i="3"/>
  <c r="E14" i="3"/>
  <c r="E15" i="3"/>
  <c r="E16" i="3"/>
  <c r="E17" i="3"/>
  <c r="E18" i="3"/>
  <c r="E20" i="3"/>
  <c r="E21" i="3"/>
  <c r="E22" i="3"/>
  <c r="E23" i="3"/>
  <c r="E24" i="3"/>
  <c r="E25" i="3"/>
  <c r="E26" i="3"/>
  <c r="E27" i="3"/>
  <c r="E28" i="3"/>
  <c r="E29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2" i="3"/>
  <c r="E53" i="3"/>
  <c r="E54" i="3"/>
  <c r="E55" i="3"/>
  <c r="E57" i="3"/>
  <c r="I46" i="32" l="1"/>
  <c r="I38" i="32"/>
  <c r="I34" i="32"/>
  <c r="I30" i="32"/>
  <c r="I22" i="32"/>
  <c r="I43" i="32"/>
  <c r="I33" i="32"/>
  <c r="I29" i="32"/>
  <c r="I51" i="32"/>
  <c r="I39" i="32"/>
  <c r="I50" i="32"/>
  <c r="I54" i="32"/>
  <c r="I48" i="32"/>
  <c r="I44" i="32"/>
  <c r="I40" i="32"/>
  <c r="I36" i="32"/>
  <c r="I32" i="32"/>
  <c r="I28" i="32"/>
  <c r="I24" i="32"/>
  <c r="I57" i="32"/>
  <c r="J57" i="32" s="1"/>
  <c r="P17" i="32" s="1"/>
  <c r="I41" i="32"/>
  <c r="I27" i="32"/>
  <c r="I55" i="32"/>
  <c r="I49" i="32"/>
  <c r="I23" i="32"/>
  <c r="I45" i="32"/>
  <c r="I25" i="32"/>
  <c r="I53" i="32"/>
  <c r="I35" i="32"/>
  <c r="J41" i="32" l="1"/>
  <c r="J51" i="32"/>
  <c r="F46" i="32"/>
  <c r="J45" i="32"/>
  <c r="J36" i="32"/>
  <c r="F27" i="32"/>
  <c r="F43" i="32"/>
  <c r="J25" i="32"/>
  <c r="F33" i="32"/>
  <c r="J32" i="32"/>
  <c r="F30" i="32"/>
  <c r="J29" i="32"/>
  <c r="F48" i="32"/>
  <c r="F24" i="32"/>
  <c r="J23" i="32"/>
  <c r="F28" i="32"/>
  <c r="J27" i="32"/>
  <c r="F25" i="32"/>
  <c r="J24" i="32"/>
  <c r="F41" i="32"/>
  <c r="J40" i="32"/>
  <c r="F51" i="32"/>
  <c r="J50" i="32"/>
  <c r="F34" i="32"/>
  <c r="J33" i="32"/>
  <c r="J30" i="32"/>
  <c r="J46" i="32"/>
  <c r="F36" i="32"/>
  <c r="J35" i="32"/>
  <c r="F50" i="32"/>
  <c r="J49" i="32"/>
  <c r="F49" i="32"/>
  <c r="J48" i="32"/>
  <c r="F23" i="32"/>
  <c r="J22" i="32"/>
  <c r="F39" i="32"/>
  <c r="J38" i="32"/>
  <c r="F22" i="32"/>
  <c r="F57" i="32"/>
  <c r="J55" i="32"/>
  <c r="F55" i="32"/>
  <c r="J54" i="32"/>
  <c r="F54" i="32"/>
  <c r="J53" i="32"/>
  <c r="F38" i="32"/>
  <c r="F32" i="32"/>
  <c r="F29" i="32"/>
  <c r="J28" i="32"/>
  <c r="F45" i="32"/>
  <c r="J44" i="32"/>
  <c r="F40" i="32"/>
  <c r="J39" i="32"/>
  <c r="F44" i="32"/>
  <c r="J43" i="32"/>
  <c r="F35" i="32"/>
  <c r="J34" i="32"/>
  <c r="F53" i="32"/>
  <c r="D46" i="26" l="1"/>
  <c r="E46" i="26" s="1"/>
  <c r="D13" i="26"/>
  <c r="D12" i="26"/>
  <c r="E12" i="26" s="1"/>
  <c r="D15" i="26"/>
  <c r="E15" i="26" s="1"/>
  <c r="E9" i="26"/>
  <c r="D53" i="26"/>
  <c r="D48" i="26"/>
  <c r="E48" i="26" s="1"/>
  <c r="D32" i="26"/>
  <c r="E32" i="26" s="1"/>
  <c r="D24" i="26"/>
  <c r="E24" i="26" s="1"/>
  <c r="D41" i="26"/>
  <c r="E41" i="26" s="1"/>
  <c r="D45" i="26"/>
  <c r="E45" i="26" s="1"/>
  <c r="D43" i="26"/>
  <c r="E43" i="26" s="1"/>
  <c r="D26" i="26"/>
  <c r="E26" i="26" s="1"/>
  <c r="L14" i="26"/>
  <c r="D16" i="26"/>
  <c r="L29" i="26"/>
  <c r="D35" i="26"/>
  <c r="E35" i="26" s="1"/>
  <c r="D42" i="26"/>
  <c r="D57" i="26"/>
  <c r="E57" i="26" s="1"/>
  <c r="D27" i="26"/>
  <c r="D30" i="26"/>
  <c r="E30" i="26" s="1"/>
  <c r="D52" i="26"/>
  <c r="G52" i="26" s="1"/>
  <c r="H52" i="26" s="1"/>
  <c r="D31" i="26"/>
  <c r="D10" i="26"/>
  <c r="D19" i="26"/>
  <c r="L19" i="26" s="1"/>
  <c r="E19" i="26"/>
  <c r="D49" i="26"/>
  <c r="G49" i="26" s="1"/>
  <c r="H49" i="26" s="1"/>
  <c r="D17" i="26"/>
  <c r="E17" i="26" s="1"/>
  <c r="D50" i="26"/>
  <c r="D34" i="26"/>
  <c r="E34" i="26" s="1"/>
  <c r="D28" i="26"/>
  <c r="E28" i="26" s="1"/>
  <c r="D21" i="26"/>
  <c r="E21" i="26" s="1"/>
  <c r="D20" i="26"/>
  <c r="E20" i="26" s="1"/>
  <c r="D54" i="26"/>
  <c r="E54" i="26" s="1"/>
  <c r="D38" i="26"/>
  <c r="E38" i="26" s="1"/>
  <c r="D37" i="26"/>
  <c r="E37" i="26" s="1"/>
  <c r="D39" i="26"/>
  <c r="E39" i="26" s="1"/>
  <c r="D23" i="26"/>
  <c r="E23" i="26" s="1"/>
  <c r="E14" i="69"/>
  <c r="E13" i="69"/>
  <c r="E10" i="69"/>
  <c r="E11" i="69"/>
  <c r="E15" i="69"/>
  <c r="E9" i="69"/>
  <c r="E12" i="69"/>
  <c r="E16" i="69"/>
  <c r="L51" i="26"/>
  <c r="L46" i="26"/>
  <c r="L30" i="26"/>
  <c r="L17" i="26"/>
  <c r="L9" i="26"/>
  <c r="L48" i="26"/>
  <c r="L44" i="26"/>
  <c r="D7" i="26"/>
  <c r="E7" i="26" s="1"/>
  <c r="L12" i="26" l="1"/>
  <c r="L28" i="26"/>
  <c r="L15" i="26"/>
  <c r="L35" i="26"/>
  <c r="G16" i="26"/>
  <c r="H16" i="26" s="1"/>
  <c r="L45" i="26"/>
  <c r="L57" i="26"/>
  <c r="L26" i="26"/>
  <c r="G27" i="26"/>
  <c r="H27" i="26" s="1"/>
  <c r="L20" i="26"/>
  <c r="L22" i="26"/>
  <c r="G31" i="26"/>
  <c r="H31" i="26" s="1"/>
  <c r="G57" i="26"/>
  <c r="H57" i="26" s="1"/>
  <c r="G23" i="26"/>
  <c r="H23" i="26" s="1"/>
  <c r="G35" i="26"/>
  <c r="H35" i="26" s="1"/>
  <c r="L36" i="26"/>
  <c r="L34" i="26"/>
  <c r="G50" i="26"/>
  <c r="H50" i="26" s="1"/>
  <c r="L25" i="26"/>
  <c r="L43" i="26"/>
  <c r="G26" i="26"/>
  <c r="H26" i="26" s="1"/>
  <c r="G48" i="26"/>
  <c r="H48" i="26" s="1"/>
  <c r="G13" i="26"/>
  <c r="H13" i="26" s="1"/>
  <c r="L16" i="26"/>
  <c r="L40" i="26"/>
  <c r="L13" i="26"/>
  <c r="L41" i="26"/>
  <c r="L54" i="26"/>
  <c r="L27" i="26"/>
  <c r="L47" i="26"/>
  <c r="L11" i="26"/>
  <c r="L31" i="26"/>
  <c r="G20" i="26"/>
  <c r="H20" i="26" s="1"/>
  <c r="G17" i="26"/>
  <c r="H17" i="26" s="1"/>
  <c r="G10" i="26"/>
  <c r="H10" i="26" s="1"/>
  <c r="E31" i="26"/>
  <c r="G42" i="26"/>
  <c r="H42" i="26" s="1"/>
  <c r="E16" i="26"/>
  <c r="G41" i="26"/>
  <c r="H41" i="26" s="1"/>
  <c r="G9" i="26"/>
  <c r="H9" i="26" s="1"/>
  <c r="E13" i="26"/>
  <c r="G53" i="26"/>
  <c r="H53" i="26" s="1"/>
  <c r="G15" i="26"/>
  <c r="H15" i="26" s="1"/>
  <c r="G12" i="26"/>
  <c r="H12" i="26" s="1"/>
  <c r="L32" i="26"/>
  <c r="L33" i="26"/>
  <c r="L49" i="26"/>
  <c r="L18" i="26"/>
  <c r="L50" i="26"/>
  <c r="L37" i="26"/>
  <c r="G34" i="26"/>
  <c r="H34" i="26" s="1"/>
  <c r="G19" i="26"/>
  <c r="H19" i="26" s="1"/>
  <c r="G30" i="26"/>
  <c r="H30" i="26" s="1"/>
  <c r="G54" i="26"/>
  <c r="H54" i="26" s="1"/>
  <c r="G28" i="26"/>
  <c r="H28" i="26" s="1"/>
  <c r="G43" i="26"/>
  <c r="H43" i="26" s="1"/>
  <c r="L52" i="26"/>
  <c r="L21" i="26"/>
  <c r="L53" i="26"/>
  <c r="L38" i="26"/>
  <c r="G7" i="26"/>
  <c r="L24" i="26"/>
  <c r="L10" i="26"/>
  <c r="L42" i="26"/>
  <c r="L7" i="26"/>
  <c r="L23" i="26"/>
  <c r="L39" i="26"/>
  <c r="L55" i="26"/>
  <c r="G39" i="26"/>
  <c r="H39" i="26" s="1"/>
  <c r="G37" i="26"/>
  <c r="H37" i="26" s="1"/>
  <c r="G38" i="26"/>
  <c r="H38" i="26" s="1"/>
  <c r="G21" i="26"/>
  <c r="H21" i="26" s="1"/>
  <c r="E50" i="26"/>
  <c r="E49" i="26"/>
  <c r="E10" i="26"/>
  <c r="E52" i="26"/>
  <c r="E27" i="26"/>
  <c r="E42" i="26"/>
  <c r="G45" i="26"/>
  <c r="H45" i="26" s="1"/>
  <c r="G24" i="26"/>
  <c r="H24" i="26" s="1"/>
  <c r="G32" i="26"/>
  <c r="H32" i="26" s="1"/>
  <c r="E53" i="26"/>
  <c r="G46" i="26"/>
  <c r="H46" i="26" s="1"/>
  <c r="I50" i="26" l="1"/>
  <c r="I49" i="26"/>
  <c r="I34" i="26"/>
  <c r="I15" i="26"/>
  <c r="I53" i="26"/>
  <c r="I16" i="26"/>
  <c r="I42" i="26"/>
  <c r="I10" i="26"/>
  <c r="I48" i="26"/>
  <c r="I37" i="26"/>
  <c r="I30" i="26"/>
  <c r="I41" i="26"/>
  <c r="I28" i="26"/>
  <c r="I24" i="26"/>
  <c r="I21" i="26"/>
  <c r="I32" i="26"/>
  <c r="I27" i="26"/>
  <c r="I54" i="26"/>
  <c r="I20" i="26"/>
  <c r="I19" i="26"/>
  <c r="I31" i="26"/>
  <c r="I35" i="26"/>
  <c r="I12" i="26"/>
  <c r="I39" i="26"/>
  <c r="I57" i="26"/>
  <c r="J57" i="26" s="1"/>
  <c r="P17" i="26" s="1"/>
  <c r="I38" i="26"/>
  <c r="I45" i="26"/>
  <c r="I52" i="26"/>
  <c r="I13" i="26"/>
  <c r="I23" i="26"/>
  <c r="I17" i="26"/>
  <c r="I46" i="26"/>
  <c r="I7" i="26"/>
  <c r="I43" i="26"/>
  <c r="I9" i="26"/>
  <c r="H7" i="26"/>
  <c r="I26" i="26"/>
  <c r="F9" i="26" l="1"/>
  <c r="J7" i="26"/>
  <c r="F7" i="26"/>
  <c r="F19" i="26"/>
  <c r="F32" i="26"/>
  <c r="J31" i="26"/>
  <c r="F26" i="26"/>
  <c r="J10" i="26"/>
  <c r="J46" i="26"/>
  <c r="F52" i="26"/>
  <c r="J12" i="26"/>
  <c r="F13" i="26"/>
  <c r="F57" i="26"/>
  <c r="F41" i="26"/>
  <c r="J27" i="26"/>
  <c r="F28" i="26"/>
  <c r="J24" i="26"/>
  <c r="F38" i="26"/>
  <c r="J37" i="26"/>
  <c r="F43" i="26"/>
  <c r="J42" i="26"/>
  <c r="J34" i="26"/>
  <c r="F35" i="26"/>
  <c r="J20" i="26"/>
  <c r="F21" i="26"/>
  <c r="J21" i="26"/>
  <c r="F31" i="26"/>
  <c r="J30" i="26"/>
  <c r="F45" i="26"/>
  <c r="F10" i="26"/>
  <c r="J9" i="26"/>
  <c r="F46" i="26"/>
  <c r="J45" i="26"/>
  <c r="F34" i="26"/>
  <c r="J54" i="26"/>
  <c r="J32" i="26"/>
  <c r="J28" i="26"/>
  <c r="F23" i="26"/>
  <c r="F17" i="26"/>
  <c r="J16" i="26"/>
  <c r="J49" i="26"/>
  <c r="F50" i="26"/>
  <c r="J13" i="26"/>
  <c r="F16" i="26"/>
  <c r="J15" i="26"/>
  <c r="F53" i="26"/>
  <c r="J52" i="26"/>
  <c r="F27" i="26"/>
  <c r="J26" i="26"/>
  <c r="J17" i="26"/>
  <c r="J39" i="26"/>
  <c r="J19" i="26"/>
  <c r="F20" i="26"/>
  <c r="F30" i="26"/>
  <c r="J43" i="26"/>
  <c r="F24" i="26"/>
  <c r="J23" i="26"/>
  <c r="J38" i="26"/>
  <c r="F39" i="26"/>
  <c r="F15" i="26"/>
  <c r="J35" i="26"/>
  <c r="F12" i="26"/>
  <c r="F37" i="26"/>
  <c r="F48" i="26"/>
  <c r="J41" i="26"/>
  <c r="F42" i="26"/>
  <c r="F49" i="26"/>
  <c r="J48" i="26"/>
  <c r="F54" i="26"/>
  <c r="J53" i="26"/>
  <c r="J50" i="26"/>
</calcChain>
</file>

<file path=xl/sharedStrings.xml><?xml version="1.0" encoding="utf-8"?>
<sst xmlns="http://schemas.openxmlformats.org/spreadsheetml/2006/main" count="720" uniqueCount="176">
  <si>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</si>
  <si>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</si>
  <si>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</si>
  <si>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</si>
  <si>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</si>
  <si>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영어</t>
    <phoneticPr fontId="1" type="noConversion"/>
  </si>
  <si>
    <t>한국사</t>
    <phoneticPr fontId="1" type="noConversion"/>
  </si>
  <si>
    <t>표준점수</t>
    <phoneticPr fontId="1" type="noConversion"/>
  </si>
  <si>
    <t>인원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</si>
  <si>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</si>
  <si>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</si>
  <si>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</si>
  <si>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</si>
  <si>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</si>
  <si>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</si>
  <si>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</si>
  <si>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</si>
  <si>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</si>
  <si>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물리Ⅰ</t>
    <phoneticPr fontId="1" type="noConversion"/>
  </si>
  <si>
    <t>생명과학Ⅰ</t>
    <phoneticPr fontId="1" type="noConversion"/>
  </si>
  <si>
    <t>지구과학Ⅰ</t>
    <phoneticPr fontId="1" type="noConversion"/>
  </si>
  <si>
    <t>물리Ⅱ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</si>
  <si>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</si>
  <si>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</si>
  <si>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</si>
  <si>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</si>
  <si>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</si>
  <si>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</si>
  <si>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</si>
  <si>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</si>
  <si>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</si>
  <si>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</si>
  <si>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</si>
  <si>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</si>
  <si>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</si>
  <si>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</si>
  <si>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</si>
  <si>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</si>
  <si>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</si>
  <si>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</si>
  <si>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</si>
  <si>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</si>
  <si>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</si>
  <si>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</si>
  <si>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</si>
  <si>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</si>
  <si>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</si>
  <si>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</si>
  <si>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</si>
  <si>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</si>
  <si>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</si>
  <si>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</si>
  <si>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</si>
  <si>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</si>
  <si>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</si>
  <si>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</si>
  <si>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물2</t>
    <phoneticPr fontId="1" type="noConversion"/>
  </si>
  <si>
    <t>화2</t>
    <phoneticPr fontId="1" type="noConversion"/>
  </si>
  <si>
    <t>생2</t>
    <phoneticPr fontId="1" type="noConversion"/>
  </si>
  <si>
    <t>지2</t>
    <phoneticPr fontId="1" type="noConversion"/>
  </si>
  <si>
    <t>이 아래로 붙여넣기</t>
    <phoneticPr fontId="1" type="noConversion"/>
  </si>
  <si>
    <t>.</t>
    <phoneticPr fontId="1" type="noConversion"/>
  </si>
  <si>
    <t>정치와 법</t>
    <phoneticPr fontId="1" type="noConversion"/>
  </si>
  <si>
    <t>물리학Ⅰ</t>
    <phoneticPr fontId="1" type="noConversion"/>
  </si>
  <si>
    <t>물리학Ⅱ</t>
    <phoneticPr fontId="1" type="noConversion"/>
  </si>
  <si>
    <t>정</t>
    <phoneticPr fontId="1" type="noConversion"/>
  </si>
  <si>
    <t>영</t>
    <phoneticPr fontId="1" type="noConversion"/>
  </si>
  <si>
    <t>한</t>
    <phoneticPr fontId="1" type="noConversion"/>
  </si>
  <si>
    <t>오차 경고</t>
    <phoneticPr fontId="1" type="noConversion"/>
  </si>
  <si>
    <t>B2:K58</t>
    <phoneticPr fontId="1" type="noConversion"/>
  </si>
  <si>
    <t>B2:K16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</si>
  <si>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</si>
  <si>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</si>
  <si>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3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수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</si>
  <si>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  <phoneticPr fontId="1" type="noConversion"/>
  </si>
  <si>
    <r>
      <rPr>
        <sz val="12"/>
        <color theme="1"/>
        <rFont val="맑은 고딕"/>
        <family val="3"/>
        <charset val="129"/>
      </rPr>
      <t>영어</t>
    </r>
    <phoneticPr fontId="1" type="noConversion"/>
  </si>
  <si>
    <r>
      <rPr>
        <sz val="12"/>
        <color theme="1"/>
        <rFont val="맑은 고딕"/>
        <family val="3"/>
        <charset val="129"/>
      </rPr>
      <t>표준편차</t>
    </r>
    <phoneticPr fontId="1" type="noConversion"/>
  </si>
  <si>
    <r>
      <rPr>
        <sz val="12"/>
        <color theme="1"/>
        <rFont val="맑은 고딕"/>
        <family val="3"/>
        <charset val="129"/>
      </rPr>
      <t>한국사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</si>
  <si>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</si>
  <si>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등급컷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</si>
  <si>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</si>
  <si>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</si>
  <si>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</si>
  <si>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</si>
  <si>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</si>
  <si>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</si>
  <si>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</si>
  <si>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</si>
  <si>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</si>
  <si>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</si>
  <si>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</si>
  <si>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</si>
  <si>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</si>
  <si>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</si>
  <si>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</si>
  <si>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</si>
  <si>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</si>
  <si>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</si>
  <si>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</si>
  <si>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</si>
  <si>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</si>
  <si>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</si>
  <si>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</si>
  <si>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</si>
  <si>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</si>
  <si>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</si>
  <si>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</si>
  <si>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</si>
  <si>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</si>
  <si>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</si>
  <si>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</si>
  <si>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</si>
  <si>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</si>
  <si>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</si>
  <si>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</si>
  <si>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</si>
  <si>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</si>
  <si>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</si>
  <si>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</si>
  <si>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</si>
  <si>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</si>
  <si>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</si>
  <si>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</si>
  <si>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</si>
  <si>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</si>
  <si>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</si>
  <si>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</si>
  <si>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</si>
  <si>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</si>
  <si>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</si>
  <si>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</si>
  <si>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</si>
  <si>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</si>
  <si>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</si>
  <si>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</si>
  <si>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r>
      <t xml:space="preserve"> </t>
    </r>
    <r>
      <rPr>
        <sz val="12"/>
        <color theme="1"/>
        <rFont val="맑은 고딕"/>
        <family val="2"/>
        <charset val="129"/>
      </rPr>
      <t>탐구 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</si>
  <si>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t xml:space="preserve">작성자 : 크럭스(Crux) 컨설팅 입시분석 팀장 </t>
    </r>
    <r>
      <rPr>
        <b/>
        <sz val="10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</si>
  <si>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 xml:space="preserve">작성자 : 크럭스(Crux) 컨설팅 입시분석 팀장 </t>
    </r>
    <r>
      <rPr>
        <b/>
        <sz val="16"/>
        <color rgb="FF888888"/>
        <rFont val="맑은 고딕"/>
        <family val="3"/>
        <charset val="129"/>
        <scheme val="minor"/>
      </rPr>
      <t>환동</t>
    </r>
    <phoneticPr fontId="1" type="noConversion"/>
  </si>
  <si>
    <t>56.16</t>
  </si>
  <si>
    <t>22.34</t>
  </si>
  <si>
    <t>25.23</t>
  </si>
  <si>
    <t>11.30</t>
  </si>
  <si>
    <t>23.06</t>
  </si>
  <si>
    <t>11.07</t>
  </si>
  <si>
    <t>23.01</t>
  </si>
  <si>
    <t>13.74</t>
  </si>
  <si>
    <t>20.83</t>
  </si>
  <si>
    <t>11.31</t>
  </si>
  <si>
    <t>24.09</t>
  </si>
  <si>
    <t>12.44</t>
  </si>
  <si>
    <t>25.51</t>
  </si>
  <si>
    <t>13.38</t>
  </si>
  <si>
    <t>23.26</t>
  </si>
  <si>
    <t>13.18</t>
  </si>
  <si>
    <t>19.07</t>
  </si>
  <si>
    <t>10.90</t>
  </si>
  <si>
    <t>22.91</t>
  </si>
  <si>
    <t>12.35</t>
  </si>
  <si>
    <t>22.95</t>
  </si>
  <si>
    <t xml:space="preserve"> 9.98</t>
  </si>
  <si>
    <t>25.76</t>
  </si>
  <si>
    <t>12.98</t>
  </si>
  <si>
    <t>11.43</t>
  </si>
  <si>
    <t>24.02</t>
  </si>
  <si>
    <t xml:space="preserve"> 9.60</t>
  </si>
  <si>
    <t>22.19</t>
  </si>
  <si>
    <t>11.78</t>
  </si>
  <si>
    <t>13.98</t>
  </si>
  <si>
    <t xml:space="preserve"> 9.39</t>
  </si>
  <si>
    <t>15.65</t>
  </si>
  <si>
    <t xml:space="preserve"> 8.94</t>
  </si>
  <si>
    <t>14.91</t>
  </si>
  <si>
    <t>13.12</t>
  </si>
  <si>
    <t xml:space="preserve"> 7.58</t>
  </si>
  <si>
    <r>
      <t>2024</t>
    </r>
    <r>
      <rPr>
        <sz val="12"/>
        <color theme="1"/>
        <rFont val="맑은 고딕"/>
        <family val="3"/>
        <charset val="129"/>
        <scheme val="major"/>
      </rPr>
      <t>학년도</t>
    </r>
    <r>
      <rPr>
        <sz val="12"/>
        <color theme="1"/>
        <rFont val="Microsoft Sans Serif"/>
        <family val="2"/>
      </rPr>
      <t xml:space="preserve"> 7</t>
    </r>
    <r>
      <rPr>
        <sz val="12"/>
        <color theme="1"/>
        <rFont val="맑은 고딕"/>
        <family val="3"/>
        <charset val="129"/>
        <scheme val="major"/>
      </rPr>
      <t>월 고</t>
    </r>
    <r>
      <rPr>
        <sz val="12"/>
        <color theme="1"/>
        <rFont val="Microsoft Sans Serif"/>
        <family val="2"/>
      </rPr>
      <t xml:space="preserve">3 </t>
    </r>
    <r>
      <rPr>
        <sz val="12"/>
        <color theme="1"/>
        <rFont val="맑은 고딕"/>
        <family val="3"/>
        <charset val="129"/>
        <scheme val="major"/>
      </rPr>
      <t>전국연합학력평가</t>
    </r>
    <phoneticPr fontId="1" type="noConversion"/>
  </si>
  <si>
    <r>
      <t>2024</t>
    </r>
    <r>
      <rPr>
        <sz val="12"/>
        <color theme="1"/>
        <rFont val="맑은 고딕"/>
        <family val="2"/>
        <charset val="129"/>
      </rPr>
      <t>학년도</t>
    </r>
    <r>
      <rPr>
        <sz val="12"/>
        <color theme="1"/>
        <rFont val="Microsoft Sans Serif"/>
        <family val="2"/>
      </rPr>
      <t xml:space="preserve"> 7</t>
    </r>
    <r>
      <rPr>
        <sz val="12"/>
        <color theme="1"/>
        <rFont val="맑은 고딕"/>
        <family val="2"/>
        <charset val="129"/>
      </rPr>
      <t>월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고</t>
    </r>
    <r>
      <rPr>
        <sz val="12"/>
        <color theme="1"/>
        <rFont val="Microsoft Sans Serif"/>
        <family val="2"/>
      </rPr>
      <t xml:space="preserve">3 </t>
    </r>
    <r>
      <rPr>
        <sz val="12"/>
        <color theme="1"/>
        <rFont val="맑은 고딕"/>
        <family val="2"/>
        <charset val="129"/>
      </rPr>
      <t>전국연합학력평가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</si>
</sst>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"/>
    <numFmt numFmtId="177" formatCode="0.00_);[Red]\(0.00\)"/>
    <numFmt numFmtId="179" formatCode="_-* #,##0_-;\-* #,##0_-;_-* &quot;-&quot;_-;_-@_-"/>
  </numFmts>
  <fonts count="4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Microsoft Sans Serif"/>
      <family val="2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1"/>
      <color rgb="FF00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sz val="13"/>
      <name val="Microsoft Sans Serif"/>
      <family val="2"/>
    </font>
    <font>
      <b/>
      <sz val="13"/>
      <color theme="1"/>
      <name val="맑은 고딕"/>
      <family val="3"/>
      <charset val="129"/>
    </font>
    <font>
      <sz val="10"/>
      <color rgb="FF888888"/>
      <name val="맑은 고딕"/>
      <family val="3"/>
      <charset val="129"/>
      <scheme val="minor"/>
    </font>
    <font>
      <b/>
      <sz val="10"/>
      <color rgb="FF888888"/>
      <name val="맑은 고딕"/>
      <family val="3"/>
      <charset val="129"/>
      <scheme val="minor"/>
    </font>
    <font>
      <sz val="16"/>
      <color rgb="FF888888"/>
      <name val="맑은 고딕"/>
      <family val="3"/>
      <charset val="129"/>
      <scheme val="minor"/>
    </font>
    <font>
      <b/>
      <sz val="16"/>
      <color rgb="FF888888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9"/>
      <name val="돋움"/>
      <family val="3"/>
      <charset val="129"/>
    </font>
    <font>
      <sz val="12"/>
      <color theme="1"/>
      <name val="Microsoft Sans Serif"/>
      <family val="2"/>
      <charset val="129"/>
    </font>
    <font>
      <sz val="12"/>
      <color theme="1"/>
      <name val="맑은 고딕"/>
      <family val="3"/>
      <charset val="129"/>
      <scheme val="major"/>
    </font>
  </fonts>
  <fills count="3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</fills>
  <borders count="68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3">
    <xf numFmtId="0" fontId="0" fillId="0" borderId="0">
      <alignment vertical="center"/>
    </xf>
    <xf numFmtId="0" fontId="2" fillId="0" borderId="0"/>
    <xf numFmtId="0" fontId="4" fillId="0" borderId="26" applyNumberFormat="0" applyFill="0" applyAlignment="0" applyProtection="0">
      <alignment vertical="center"/>
    </xf>
    <xf numFmtId="0" fontId="5" fillId="0" borderId="27" applyNumberFormat="0" applyFill="0" applyAlignment="0" applyProtection="0">
      <alignment vertical="center"/>
    </xf>
    <xf numFmtId="0" fontId="6" fillId="0" borderId="28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9" applyNumberFormat="0" applyAlignment="0" applyProtection="0">
      <alignment vertical="center"/>
    </xf>
    <xf numFmtId="0" fontId="10" fillId="10" borderId="30" applyNumberFormat="0" applyAlignment="0" applyProtection="0">
      <alignment vertical="center"/>
    </xf>
    <xf numFmtId="0" fontId="11" fillId="10" borderId="29" applyNumberFormat="0" applyAlignment="0" applyProtection="0">
      <alignment vertical="center"/>
    </xf>
    <xf numFmtId="0" fontId="12" fillId="0" borderId="31" applyNumberFormat="0" applyFill="0" applyAlignment="0" applyProtection="0">
      <alignment vertical="center"/>
    </xf>
    <xf numFmtId="0" fontId="13" fillId="11" borderId="32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4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3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0" fontId="18" fillId="0" borderId="0"/>
    <xf numFmtId="9" fontId="3" fillId="0" borderId="0" applyFont="0" applyFill="0" applyBorder="0" applyAlignment="0" applyProtection="0">
      <alignment vertical="center"/>
    </xf>
    <xf numFmtId="179" fontId="2" fillId="0" borderId="0" applyFont="0" applyFill="0" applyBorder="0" applyAlignment="0" applyProtection="0">
      <alignment vertical="center"/>
    </xf>
  </cellStyleXfs>
  <cellXfs count="16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24" fillId="4" borderId="15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0" fillId="5" borderId="57" xfId="0" applyFill="1" applyBorder="1">
      <alignment vertical="center"/>
    </xf>
    <xf numFmtId="0" fontId="0" fillId="5" borderId="59" xfId="0" applyFill="1" applyBorder="1">
      <alignment vertical="center"/>
    </xf>
    <xf numFmtId="0" fontId="0" fillId="5" borderId="60" xfId="0" applyFill="1" applyBorder="1">
      <alignment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>
      <alignment vertical="center"/>
    </xf>
    <xf numFmtId="0" fontId="0" fillId="5" borderId="62" xfId="0" applyFill="1" applyBorder="1">
      <alignment vertical="center"/>
    </xf>
    <xf numFmtId="0" fontId="0" fillId="5" borderId="63" xfId="0" applyFill="1" applyBorder="1">
      <alignment vertical="center"/>
    </xf>
    <xf numFmtId="0" fontId="0" fillId="5" borderId="64" xfId="0" applyFill="1" applyBorder="1">
      <alignment vertical="center"/>
    </xf>
    <xf numFmtId="0" fontId="0" fillId="5" borderId="58" xfId="0" applyFill="1" applyBorder="1">
      <alignment vertical="center"/>
    </xf>
    <xf numFmtId="0" fontId="23" fillId="5" borderId="58" xfId="0" applyFont="1" applyFill="1" applyBorder="1" applyAlignment="1">
      <alignment horizontal="center" vertical="center"/>
    </xf>
    <xf numFmtId="0" fontId="0" fillId="5" borderId="58" xfId="0" applyFill="1" applyBorder="1" applyAlignment="1">
      <alignment horizontal="center" vertical="center"/>
    </xf>
    <xf numFmtId="0" fontId="0" fillId="5" borderId="61" xfId="0" applyFill="1" applyBorder="1">
      <alignment vertical="center"/>
    </xf>
    <xf numFmtId="0" fontId="24" fillId="5" borderId="0" xfId="0" applyFont="1" applyFill="1">
      <alignment vertical="center"/>
    </xf>
    <xf numFmtId="0" fontId="23" fillId="5" borderId="63" xfId="0" applyFont="1" applyFill="1" applyBorder="1" applyAlignment="1">
      <alignment horizontal="center" vertical="center"/>
    </xf>
    <xf numFmtId="0" fontId="0" fillId="5" borderId="63" xfId="0" applyFill="1" applyBorder="1" applyAlignment="1">
      <alignment horizontal="center" vertical="center"/>
    </xf>
    <xf numFmtId="0" fontId="0" fillId="5" borderId="61" xfId="0" applyFill="1" applyBorder="1" applyAlignment="1">
      <alignment horizontal="center" vertical="center"/>
    </xf>
    <xf numFmtId="0" fontId="24" fillId="4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9" fillId="4" borderId="15" xfId="0" applyFont="1" applyFill="1" applyBorder="1" applyAlignment="1">
      <alignment horizontal="center" vertical="center"/>
    </xf>
    <xf numFmtId="0" fontId="29" fillId="4" borderId="19" xfId="0" applyFont="1" applyFill="1" applyBorder="1" applyAlignment="1">
      <alignment horizontal="center" vertical="center"/>
    </xf>
    <xf numFmtId="0" fontId="29" fillId="4" borderId="47" xfId="0" applyFont="1" applyFill="1" applyBorder="1" applyAlignment="1">
      <alignment horizontal="center" vertical="center"/>
    </xf>
    <xf numFmtId="0" fontId="29" fillId="4" borderId="14" xfId="0" applyFont="1" applyFill="1" applyBorder="1" applyAlignment="1">
      <alignment horizontal="center" vertical="center"/>
    </xf>
    <xf numFmtId="0" fontId="29" fillId="4" borderId="12" xfId="0" applyFont="1" applyFill="1" applyBorder="1" applyAlignment="1">
      <alignment horizontal="center" vertical="center"/>
    </xf>
    <xf numFmtId="0" fontId="31" fillId="37" borderId="21" xfId="0" applyFont="1" applyFill="1" applyBorder="1" applyAlignment="1">
      <alignment horizontal="center" vertical="center"/>
    </xf>
    <xf numFmtId="0" fontId="31" fillId="37" borderId="22" xfId="0" applyFont="1" applyFill="1" applyBorder="1" applyAlignment="1">
      <alignment horizontal="center" vertical="center"/>
    </xf>
    <xf numFmtId="3" fontId="29" fillId="0" borderId="48" xfId="0" applyNumberFormat="1" applyFont="1" applyBorder="1" applyAlignment="1">
      <alignment horizontal="center" vertical="center"/>
    </xf>
    <xf numFmtId="10" fontId="29" fillId="0" borderId="10" xfId="51" applyNumberFormat="1" applyFont="1" applyBorder="1" applyAlignment="1">
      <alignment horizontal="center" vertical="center"/>
    </xf>
    <xf numFmtId="3" fontId="29" fillId="0" borderId="10" xfId="0" applyNumberFormat="1" applyFont="1" applyBorder="1" applyAlignment="1">
      <alignment horizontal="center" vertical="center"/>
    </xf>
    <xf numFmtId="10" fontId="29" fillId="0" borderId="45" xfId="51" applyNumberFormat="1" applyFont="1" applyBorder="1" applyAlignment="1">
      <alignment horizontal="center" vertical="center"/>
    </xf>
    <xf numFmtId="0" fontId="31" fillId="37" borderId="9" xfId="0" applyFont="1" applyFill="1" applyBorder="1" applyAlignment="1">
      <alignment horizontal="center" vertical="center"/>
    </xf>
    <xf numFmtId="0" fontId="31" fillId="37" borderId="44" xfId="0" applyFont="1" applyFill="1" applyBorder="1" applyAlignment="1">
      <alignment horizontal="center" vertical="center"/>
    </xf>
    <xf numFmtId="3" fontId="29" fillId="0" borderId="49" xfId="0" applyNumberFormat="1" applyFont="1" applyBorder="1" applyAlignment="1">
      <alignment horizontal="center" vertical="center"/>
    </xf>
    <xf numFmtId="10" fontId="29" fillId="0" borderId="8" xfId="51" applyNumberFormat="1" applyFont="1" applyBorder="1" applyAlignment="1">
      <alignment horizontal="center" vertical="center"/>
    </xf>
    <xf numFmtId="3" fontId="29" fillId="0" borderId="6" xfId="0" applyNumberFormat="1" applyFont="1" applyBorder="1" applyAlignment="1">
      <alignment horizontal="center" vertical="center"/>
    </xf>
    <xf numFmtId="10" fontId="29" fillId="0" borderId="25" xfId="51" applyNumberFormat="1" applyFont="1" applyBorder="1" applyAlignment="1">
      <alignment horizontal="center" vertical="center"/>
    </xf>
    <xf numFmtId="0" fontId="31" fillId="37" borderId="4" xfId="0" applyFont="1" applyFill="1" applyBorder="1" applyAlignment="1">
      <alignment horizontal="center" vertical="center"/>
    </xf>
    <xf numFmtId="0" fontId="31" fillId="37" borderId="1" xfId="0" applyFont="1" applyFill="1" applyBorder="1" applyAlignment="1">
      <alignment horizontal="center" vertical="center"/>
    </xf>
    <xf numFmtId="3" fontId="29" fillId="0" borderId="50" xfId="0" applyNumberFormat="1" applyFont="1" applyBorder="1" applyAlignment="1">
      <alignment horizontal="center" vertical="center"/>
    </xf>
    <xf numFmtId="10" fontId="29" fillId="0" borderId="24" xfId="51" applyNumberFormat="1" applyFont="1" applyBorder="1" applyAlignment="1">
      <alignment horizontal="center" vertical="center"/>
    </xf>
    <xf numFmtId="3" fontId="29" fillId="0" borderId="2" xfId="0" applyNumberFormat="1" applyFont="1" applyBorder="1" applyAlignment="1">
      <alignment horizontal="center" vertical="center"/>
    </xf>
    <xf numFmtId="10" fontId="29" fillId="0" borderId="46" xfId="51" applyNumberFormat="1" applyFont="1" applyBorder="1" applyAlignment="1">
      <alignment horizontal="center" vertical="center"/>
    </xf>
    <xf numFmtId="0" fontId="32" fillId="37" borderId="21" xfId="0" applyFont="1" applyFill="1" applyBorder="1" applyAlignment="1">
      <alignment horizontal="center" vertical="center"/>
    </xf>
    <xf numFmtId="0" fontId="32" fillId="37" borderId="22" xfId="0" applyFont="1" applyFill="1" applyBorder="1" applyAlignment="1">
      <alignment horizontal="center" vertical="center"/>
    </xf>
    <xf numFmtId="0" fontId="32" fillId="37" borderId="9" xfId="0" applyFont="1" applyFill="1" applyBorder="1" applyAlignment="1">
      <alignment horizontal="center" vertical="center"/>
    </xf>
    <xf numFmtId="0" fontId="32" fillId="37" borderId="44" xfId="0" applyFon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0" fontId="32" fillId="37" borderId="1" xfId="0" applyFont="1" applyFill="1" applyBorder="1" applyAlignment="1">
      <alignment horizontal="center" vertical="center"/>
    </xf>
    <xf numFmtId="0" fontId="29" fillId="4" borderId="13" xfId="0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0" fontId="33" fillId="0" borderId="7" xfId="51" applyNumberFormat="1" applyFont="1" applyBorder="1" applyAlignment="1">
      <alignment horizontal="center" vertical="center"/>
    </xf>
    <xf numFmtId="176" fontId="29" fillId="0" borderId="10" xfId="0" applyNumberFormat="1" applyFont="1" applyBorder="1" applyAlignment="1">
      <alignment horizontal="center" vertical="center"/>
    </xf>
    <xf numFmtId="10" fontId="33" fillId="0" borderId="5" xfId="51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176" fontId="29" fillId="0" borderId="6" xfId="0" applyNumberFormat="1" applyFont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24" xfId="0" applyFont="1" applyFill="1" applyBorder="1" applyAlignment="1">
      <alignment horizontal="center" vertical="center"/>
    </xf>
    <xf numFmtId="177" fontId="29" fillId="2" borderId="2" xfId="0" applyNumberFormat="1" applyFont="1" applyFill="1" applyBorder="1" applyAlignment="1">
      <alignment horizontal="center" vertical="center"/>
    </xf>
    <xf numFmtId="176" fontId="33" fillId="2" borderId="24" xfId="1" applyNumberFormat="1" applyFont="1" applyFill="1" applyBorder="1" applyAlignment="1">
      <alignment horizontal="center" vertical="center"/>
    </xf>
    <xf numFmtId="10" fontId="33" fillId="2" borderId="24" xfId="51" applyNumberFormat="1" applyFont="1" applyFill="1" applyBorder="1" applyAlignment="1">
      <alignment horizontal="center" vertical="center"/>
    </xf>
    <xf numFmtId="176" fontId="29" fillId="2" borderId="2" xfId="0" applyNumberFormat="1" applyFont="1" applyFill="1" applyBorder="1" applyAlignment="1">
      <alignment horizontal="center" vertical="center"/>
    </xf>
    <xf numFmtId="10" fontId="33" fillId="2" borderId="16" xfId="51" applyNumberFormat="1" applyFont="1" applyFill="1" applyBorder="1" applyAlignment="1">
      <alignment horizontal="center" vertical="center"/>
    </xf>
    <xf numFmtId="0" fontId="31" fillId="37" borderId="52" xfId="0" applyFont="1" applyFill="1" applyBorder="1" applyAlignment="1">
      <alignment horizontal="center" vertical="center"/>
    </xf>
    <xf numFmtId="0" fontId="31" fillId="37" borderId="15" xfId="0" applyFont="1" applyFill="1" applyBorder="1" applyAlignment="1">
      <alignment horizontal="center" vertical="center"/>
    </xf>
    <xf numFmtId="0" fontId="31" fillId="37" borderId="14" xfId="0" applyFont="1" applyFill="1" applyBorder="1" applyAlignment="1">
      <alignment horizontal="center" vertical="center"/>
    </xf>
    <xf numFmtId="0" fontId="31" fillId="37" borderId="12" xfId="0" applyFont="1" applyFill="1" applyBorder="1" applyAlignment="1">
      <alignment horizontal="center" vertical="center"/>
    </xf>
    <xf numFmtId="0" fontId="31" fillId="37" borderId="53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31" fillId="37" borderId="54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/>
    </xf>
    <xf numFmtId="0" fontId="29" fillId="5" borderId="55" xfId="0" applyFont="1" applyFill="1" applyBorder="1" applyAlignment="1">
      <alignment horizontal="center" vertical="center"/>
    </xf>
    <xf numFmtId="0" fontId="31" fillId="37" borderId="56" xfId="0" applyFont="1" applyFill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51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>
      <alignment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0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35" fillId="5" borderId="41" xfId="0" applyFont="1" applyFill="1" applyBorder="1" applyAlignment="1">
      <alignment horizontal="right" vertical="center" wrapText="1"/>
    </xf>
    <xf numFmtId="0" fontId="35" fillId="5" borderId="0" xfId="0" applyFont="1" applyFill="1" applyAlignment="1">
      <alignment horizontal="right" vertical="center" wrapText="1"/>
    </xf>
    <xf numFmtId="0" fontId="29" fillId="3" borderId="42" xfId="0" applyFont="1" applyFill="1" applyBorder="1" applyAlignment="1">
      <alignment horizontal="center" vertical="center"/>
    </xf>
    <xf numFmtId="0" fontId="29" fillId="3" borderId="43" xfId="0" applyFont="1" applyFill="1" applyBorder="1" applyAlignment="1">
      <alignment horizontal="center" vertical="center"/>
    </xf>
    <xf numFmtId="0" fontId="29" fillId="3" borderId="44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45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51" xfId="0" applyFont="1" applyFill="1" applyBorder="1" applyAlignment="1">
      <alignment horizontal="center" vertical="center"/>
    </xf>
    <xf numFmtId="0" fontId="37" fillId="5" borderId="0" xfId="0" applyFont="1" applyFill="1" applyAlignment="1">
      <alignment horizontal="right" vertical="center"/>
    </xf>
    <xf numFmtId="0" fontId="37" fillId="5" borderId="41" xfId="0" applyFont="1" applyFill="1" applyBorder="1" applyAlignment="1">
      <alignment horizontal="right" vertical="center"/>
    </xf>
    <xf numFmtId="0" fontId="29" fillId="0" borderId="66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40" fillId="0" borderId="6" xfId="45" applyFont="1" applyBorder="1" applyAlignment="1">
      <alignment horizontal="center" vertical="center"/>
    </xf>
    <xf numFmtId="176" fontId="40" fillId="0" borderId="6" xfId="45" applyNumberFormat="1" applyFont="1" applyBorder="1" applyAlignment="1">
      <alignment horizontal="center" vertical="center"/>
    </xf>
    <xf numFmtId="177" fontId="29" fillId="0" borderId="8" xfId="0" applyNumberFormat="1" applyFont="1" applyBorder="1" applyAlignment="1">
      <alignment horizontal="center" vertical="center"/>
    </xf>
    <xf numFmtId="0" fontId="40" fillId="0" borderId="65" xfId="34" applyFont="1" applyBorder="1" applyAlignment="1">
      <alignment horizontal="center" vertical="center"/>
    </xf>
    <xf numFmtId="38" fontId="40" fillId="0" borderId="65" xfId="34" applyNumberFormat="1" applyFont="1" applyBorder="1" applyAlignment="1">
      <alignment horizontal="center" vertical="center"/>
    </xf>
    <xf numFmtId="0" fontId="40" fillId="0" borderId="65" xfId="45" applyFont="1" applyBorder="1" applyAlignment="1">
      <alignment horizontal="center" vertical="center"/>
    </xf>
    <xf numFmtId="38" fontId="40" fillId="0" borderId="65" xfId="45" applyNumberFormat="1" applyFont="1" applyBorder="1" applyAlignment="1">
      <alignment horizontal="center" vertical="center"/>
    </xf>
    <xf numFmtId="0" fontId="40" fillId="0" borderId="65" xfId="45" applyFont="1" applyBorder="1" applyAlignment="1">
      <alignment horizontal="center" vertical="center"/>
    </xf>
    <xf numFmtId="38" fontId="40" fillId="0" borderId="65" xfId="45" applyNumberFormat="1" applyFont="1" applyBorder="1" applyAlignment="1">
      <alignment horizontal="center" vertical="center"/>
    </xf>
    <xf numFmtId="38" fontId="41" fillId="0" borderId="65" xfId="45" applyNumberFormat="1" applyFont="1" applyBorder="1" applyAlignment="1">
      <alignment horizontal="center" vertical="center"/>
    </xf>
    <xf numFmtId="38" fontId="39" fillId="0" borderId="65" xfId="45" applyNumberFormat="1" applyFont="1" applyBorder="1" applyAlignment="1">
      <alignment horizontal="center" vertical="center"/>
    </xf>
    <xf numFmtId="0" fontId="40" fillId="0" borderId="65" xfId="34" applyFont="1" applyBorder="1" applyAlignment="1">
      <alignment horizontal="center" vertical="center"/>
    </xf>
    <xf numFmtId="38" fontId="40" fillId="0" borderId="65" xfId="34" applyNumberFormat="1" applyFont="1" applyBorder="1" applyAlignment="1">
      <alignment horizontal="center" vertical="center"/>
    </xf>
    <xf numFmtId="0" fontId="40" fillId="0" borderId="65" xfId="45" applyFont="1" applyBorder="1" applyAlignment="1">
      <alignment horizontal="center" vertical="center"/>
    </xf>
    <xf numFmtId="38" fontId="40" fillId="0" borderId="65" xfId="45" applyNumberFormat="1" applyFont="1" applyBorder="1" applyAlignment="1">
      <alignment horizontal="center" vertical="center"/>
    </xf>
    <xf numFmtId="0" fontId="39" fillId="0" borderId="65" xfId="45" applyFont="1" applyBorder="1" applyAlignment="1">
      <alignment horizontal="center" vertical="center"/>
    </xf>
    <xf numFmtId="0" fontId="41" fillId="0" borderId="65" xfId="45" applyFont="1" applyBorder="1" applyAlignment="1">
      <alignment horizontal="center" vertical="center"/>
    </xf>
    <xf numFmtId="0" fontId="40" fillId="0" borderId="65" xfId="34" applyFont="1" applyBorder="1" applyAlignment="1">
      <alignment horizontal="center" vertical="center"/>
    </xf>
    <xf numFmtId="38" fontId="40" fillId="0" borderId="65" xfId="34" applyNumberFormat="1" applyFont="1" applyBorder="1" applyAlignment="1">
      <alignment horizontal="center" vertical="center"/>
    </xf>
    <xf numFmtId="0" fontId="40" fillId="0" borderId="65" xfId="45" applyFont="1" applyBorder="1" applyAlignment="1">
      <alignment horizontal="center" vertical="center"/>
    </xf>
    <xf numFmtId="38" fontId="40" fillId="0" borderId="65" xfId="45" applyNumberFormat="1" applyFont="1" applyBorder="1" applyAlignment="1">
      <alignment horizontal="center" vertical="center"/>
    </xf>
    <xf numFmtId="0" fontId="40" fillId="0" borderId="65" xfId="45" applyFont="1" applyBorder="1" applyAlignment="1">
      <alignment horizontal="center" vertical="center"/>
    </xf>
    <xf numFmtId="38" fontId="40" fillId="0" borderId="65" xfId="45" applyNumberFormat="1" applyFont="1" applyBorder="1" applyAlignment="1">
      <alignment horizontal="center" vertical="center"/>
    </xf>
    <xf numFmtId="176" fontId="40" fillId="0" borderId="65" xfId="45" applyNumberFormat="1" applyFont="1" applyBorder="1" applyAlignment="1">
      <alignment horizontal="center" vertical="center"/>
    </xf>
    <xf numFmtId="0" fontId="40" fillId="0" borderId="6" xfId="45" applyFont="1" applyBorder="1" applyAlignment="1">
      <alignment horizontal="center" vertical="center"/>
    </xf>
    <xf numFmtId="0" fontId="40" fillId="0" borderId="8" xfId="45" applyFont="1" applyBorder="1" applyAlignment="1">
      <alignment horizontal="center" vertical="center"/>
    </xf>
    <xf numFmtId="0" fontId="40" fillId="0" borderId="2" xfId="45" applyFont="1" applyBorder="1" applyAlignment="1">
      <alignment horizontal="center" vertical="center"/>
    </xf>
    <xf numFmtId="0" fontId="40" fillId="0" borderId="10" xfId="45" applyFont="1" applyBorder="1" applyAlignment="1">
      <alignment horizontal="center" vertical="center"/>
    </xf>
    <xf numFmtId="176" fontId="40" fillId="0" borderId="6" xfId="45" applyNumberFormat="1" applyFont="1" applyBorder="1" applyAlignment="1">
      <alignment horizontal="center" vertical="center"/>
    </xf>
    <xf numFmtId="176" fontId="40" fillId="0" borderId="10" xfId="45" applyNumberFormat="1" applyFont="1" applyBorder="1" applyAlignment="1">
      <alignment horizontal="center" vertical="center"/>
    </xf>
    <xf numFmtId="176" fontId="40" fillId="0" borderId="2" xfId="45" applyNumberFormat="1" applyFont="1" applyBorder="1" applyAlignment="1">
      <alignment horizontal="center" vertical="center"/>
    </xf>
    <xf numFmtId="176" fontId="40" fillId="0" borderId="8" xfId="45" applyNumberFormat="1" applyFont="1" applyBorder="1" applyAlignment="1">
      <alignment horizontal="center" vertical="center"/>
    </xf>
    <xf numFmtId="177" fontId="29" fillId="0" borderId="66" xfId="0" applyNumberFormat="1" applyFont="1" applyBorder="1" applyAlignment="1">
      <alignment horizontal="center" vertical="center"/>
    </xf>
    <xf numFmtId="176" fontId="33" fillId="0" borderId="8" xfId="1" applyNumberFormat="1" applyFont="1" applyBorder="1" applyAlignment="1">
      <alignment horizontal="center" vertical="center"/>
    </xf>
    <xf numFmtId="176" fontId="33" fillId="0" borderId="66" xfId="1" applyNumberFormat="1" applyFont="1" applyBorder="1" applyAlignment="1">
      <alignment horizontal="center" vertical="center"/>
    </xf>
    <xf numFmtId="10" fontId="33" fillId="0" borderId="66" xfId="51" applyNumberFormat="1" applyFont="1" applyBorder="1" applyAlignment="1">
      <alignment horizontal="center" vertical="center"/>
    </xf>
    <xf numFmtId="10" fontId="33" fillId="0" borderId="8" xfId="51" applyNumberFormat="1" applyFont="1" applyBorder="1" applyAlignment="1">
      <alignment horizontal="center" vertical="center"/>
    </xf>
    <xf numFmtId="176" fontId="29" fillId="0" borderId="66" xfId="0" applyNumberFormat="1" applyFont="1" applyBorder="1" applyAlignment="1">
      <alignment horizontal="center" vertical="center"/>
    </xf>
    <xf numFmtId="176" fontId="29" fillId="0" borderId="8" xfId="0" applyNumberFormat="1" applyFont="1" applyBorder="1" applyAlignment="1">
      <alignment horizontal="center" vertical="center"/>
    </xf>
    <xf numFmtId="10" fontId="33" fillId="0" borderId="67" xfId="51" applyNumberFormat="1" applyFont="1" applyBorder="1" applyAlignment="1">
      <alignment horizontal="center" vertical="center"/>
    </xf>
    <xf numFmtId="10" fontId="33" fillId="0" borderId="25" xfId="51" applyNumberFormat="1" applyFont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66" xfId="0" applyFont="1" applyFill="1" applyBorder="1" applyAlignment="1">
      <alignment horizontal="center" vertical="center"/>
    </xf>
    <xf numFmtId="0" fontId="42" fillId="5" borderId="3" xfId="0" applyFont="1" applyFill="1" applyBorder="1" applyAlignment="1">
      <alignment horizontal="center" vertical="center"/>
    </xf>
  </cellXfs>
  <cellStyles count="53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1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쉼표 [0] 2" xfId="52" xr:uid="{1E49F2E2-911D-4FF3-BA6C-400BF3C02634}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7DE1655F-D382-4187-A654-AE792D843963}"/>
    <cellStyle name="표준 5" xfId="48" xr:uid="{00000000-0005-0000-0000-00002F000000}"/>
    <cellStyle name="하이퍼링크 2" xfId="46" xr:uid="{00000000-0005-0000-0000-000030000000}"/>
  </cellStyles>
  <dxfs count="53"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D4D4D4"/>
      <color rgb="FFCCFFCC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654050</xdr:colOff>
          <xdr:row>5</xdr:row>
          <xdr:rowOff>0</xdr:rowOff>
        </xdr:from>
        <xdr:to>
          <xdr:col>8</xdr:col>
          <xdr:colOff>0</xdr:colOff>
          <xdr:row>8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76651" cy="162111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36600" y="2197100"/>
          <a:ext cx="6476651" cy="1621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2118" y="414617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2118" y="8964706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2118" y="13783235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2"/>
  <sheetViews>
    <sheetView workbookViewId="0">
      <selection activeCell="C4" sqref="C4:E22"/>
    </sheetView>
  </sheetViews>
  <sheetFormatPr defaultRowHeight="17" x14ac:dyDescent="0.45"/>
  <cols>
    <col min="2" max="5" width="12.58203125" style="1" customWidth="1"/>
  </cols>
  <sheetData>
    <row r="3" spans="2:5" x14ac:dyDescent="0.45">
      <c r="C3" s="1" t="s">
        <v>3</v>
      </c>
      <c r="D3" s="1" t="s">
        <v>4</v>
      </c>
      <c r="E3" s="1" t="s">
        <v>2</v>
      </c>
    </row>
    <row r="4" spans="2:5" x14ac:dyDescent="0.45">
      <c r="B4" s="1" t="s">
        <v>5</v>
      </c>
      <c r="C4" s="124">
        <v>283981</v>
      </c>
      <c r="D4" s="123" t="s">
        <v>138</v>
      </c>
      <c r="E4" s="123" t="s">
        <v>139</v>
      </c>
    </row>
    <row r="5" spans="2:5" x14ac:dyDescent="0.45">
      <c r="B5" s="1" t="s">
        <v>6</v>
      </c>
      <c r="C5" s="124">
        <v>284689</v>
      </c>
      <c r="D5" s="123" t="s">
        <v>140</v>
      </c>
      <c r="E5" s="123" t="s">
        <v>141</v>
      </c>
    </row>
    <row r="6" spans="2:5" x14ac:dyDescent="0.45">
      <c r="B6" s="1" t="s">
        <v>9</v>
      </c>
      <c r="C6" s="124">
        <v>101272</v>
      </c>
      <c r="D6" s="123" t="s">
        <v>142</v>
      </c>
      <c r="E6" s="123" t="s">
        <v>143</v>
      </c>
    </row>
    <row r="7" spans="2:5" x14ac:dyDescent="0.45">
      <c r="B7" s="1" t="s">
        <v>10</v>
      </c>
      <c r="C7" s="124">
        <v>26401</v>
      </c>
      <c r="D7" s="123" t="s">
        <v>144</v>
      </c>
      <c r="E7" s="123" t="s">
        <v>145</v>
      </c>
    </row>
    <row r="8" spans="2:5" x14ac:dyDescent="0.45">
      <c r="B8" s="1" t="s">
        <v>11</v>
      </c>
      <c r="C8" s="124">
        <v>23928</v>
      </c>
      <c r="D8" s="123" t="s">
        <v>146</v>
      </c>
      <c r="E8" s="123" t="s">
        <v>147</v>
      </c>
    </row>
    <row r="9" spans="2:5" x14ac:dyDescent="0.45">
      <c r="B9" s="1" t="s">
        <v>12</v>
      </c>
      <c r="C9" s="124">
        <v>21058</v>
      </c>
      <c r="D9" s="123" t="s">
        <v>148</v>
      </c>
      <c r="E9" s="123" t="s">
        <v>149</v>
      </c>
    </row>
    <row r="10" spans="2:5" x14ac:dyDescent="0.45">
      <c r="B10" s="1" t="s">
        <v>13</v>
      </c>
      <c r="C10" s="124">
        <v>11566</v>
      </c>
      <c r="D10" s="123" t="s">
        <v>150</v>
      </c>
      <c r="E10" s="123" t="s">
        <v>151</v>
      </c>
    </row>
    <row r="11" spans="2:5" x14ac:dyDescent="0.45">
      <c r="B11" s="1" t="s">
        <v>14</v>
      </c>
      <c r="C11" s="124">
        <v>10906</v>
      </c>
      <c r="D11" s="123" t="s">
        <v>152</v>
      </c>
      <c r="E11" s="123" t="s">
        <v>153</v>
      </c>
    </row>
    <row r="12" spans="2:5" x14ac:dyDescent="0.45">
      <c r="B12" s="1" t="s">
        <v>15</v>
      </c>
      <c r="C12" s="124">
        <v>5306</v>
      </c>
      <c r="D12" s="123" t="s">
        <v>154</v>
      </c>
      <c r="E12" s="123" t="s">
        <v>155</v>
      </c>
    </row>
    <row r="13" spans="2:5" x14ac:dyDescent="0.45">
      <c r="B13" s="1" t="s">
        <v>62</v>
      </c>
      <c r="C13" s="124">
        <v>20242</v>
      </c>
      <c r="D13" s="123" t="s">
        <v>156</v>
      </c>
      <c r="E13" s="123" t="s">
        <v>157</v>
      </c>
    </row>
    <row r="14" spans="2:5" x14ac:dyDescent="0.45">
      <c r="B14" s="1" t="s">
        <v>16</v>
      </c>
      <c r="C14" s="124">
        <v>102226</v>
      </c>
      <c r="D14" s="123" t="s">
        <v>158</v>
      </c>
      <c r="E14" s="123" t="s">
        <v>159</v>
      </c>
    </row>
    <row r="15" spans="2:5" x14ac:dyDescent="0.45">
      <c r="B15" s="1" t="s">
        <v>63</v>
      </c>
      <c r="C15" s="124">
        <v>35724</v>
      </c>
      <c r="D15" s="123" t="s">
        <v>160</v>
      </c>
      <c r="E15" s="123" t="s">
        <v>161</v>
      </c>
    </row>
    <row r="16" spans="2:5" x14ac:dyDescent="0.45">
      <c r="B16" s="1" t="s">
        <v>17</v>
      </c>
      <c r="C16" s="124">
        <v>27171</v>
      </c>
      <c r="D16" s="123" t="s">
        <v>156</v>
      </c>
      <c r="E16" s="123" t="s">
        <v>162</v>
      </c>
    </row>
    <row r="17" spans="2:5" x14ac:dyDescent="0.45">
      <c r="B17" s="1" t="s">
        <v>19</v>
      </c>
      <c r="C17" s="124">
        <v>77787</v>
      </c>
      <c r="D17" s="123" t="s">
        <v>163</v>
      </c>
      <c r="E17" s="123" t="s">
        <v>164</v>
      </c>
    </row>
    <row r="18" spans="2:5" x14ac:dyDescent="0.45">
      <c r="B18" s="1" t="s">
        <v>20</v>
      </c>
      <c r="C18" s="124">
        <v>77649</v>
      </c>
      <c r="D18" s="123" t="s">
        <v>165</v>
      </c>
      <c r="E18" s="123" t="s">
        <v>166</v>
      </c>
    </row>
    <row r="19" spans="2:5" x14ac:dyDescent="0.45">
      <c r="B19" s="1" t="s">
        <v>64</v>
      </c>
      <c r="C19" s="124">
        <v>5096</v>
      </c>
      <c r="D19" s="123" t="s">
        <v>167</v>
      </c>
      <c r="E19" s="123" t="s">
        <v>168</v>
      </c>
    </row>
    <row r="20" spans="2:5" x14ac:dyDescent="0.45">
      <c r="B20" s="1" t="s">
        <v>22</v>
      </c>
      <c r="C20" s="124">
        <v>4892</v>
      </c>
      <c r="D20" s="123" t="s">
        <v>169</v>
      </c>
      <c r="E20" s="123" t="s">
        <v>170</v>
      </c>
    </row>
    <row r="21" spans="2:5" x14ac:dyDescent="0.45">
      <c r="B21" s="1" t="s">
        <v>23</v>
      </c>
      <c r="C21" s="124">
        <v>7775</v>
      </c>
      <c r="D21" s="123" t="s">
        <v>171</v>
      </c>
      <c r="E21" s="123" t="s">
        <v>164</v>
      </c>
    </row>
    <row r="22" spans="2:5" x14ac:dyDescent="0.45">
      <c r="B22" s="1" t="s">
        <v>24</v>
      </c>
      <c r="C22" s="124">
        <v>5055</v>
      </c>
      <c r="D22" s="123" t="s">
        <v>172</v>
      </c>
      <c r="E22" s="123" t="s">
        <v>173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매크로3">
                <anchor moveWithCells="1" sizeWithCells="1">
                  <from>
                    <xdr:col>5</xdr:col>
                    <xdr:colOff>654050</xdr:colOff>
                    <xdr:row>5</xdr:row>
                    <xdr:rowOff>0</xdr:rowOff>
                  </from>
                  <to>
                    <xdr:col>8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A2:T284"/>
  <sheetViews>
    <sheetView topLeftCell="A228" workbookViewId="0">
      <selection activeCell="A236" sqref="A236:T284"/>
    </sheetView>
  </sheetViews>
  <sheetFormatPr defaultRowHeight="17" x14ac:dyDescent="0.45"/>
  <sheetData>
    <row r="2" spans="1:19" ht="17.5" thickBot="1" x14ac:dyDescent="0.5"/>
    <row r="3" spans="1:19" x14ac:dyDescent="0.45">
      <c r="A3" s="12" t="s">
        <v>9</v>
      </c>
      <c r="B3" s="13"/>
      <c r="C3" s="13"/>
      <c r="D3" s="14"/>
      <c r="F3" s="12" t="s">
        <v>10</v>
      </c>
      <c r="G3" s="13"/>
      <c r="H3" s="13"/>
      <c r="I3" s="14"/>
      <c r="K3" s="12" t="s">
        <v>11</v>
      </c>
      <c r="L3" s="13"/>
      <c r="M3" s="13"/>
      <c r="N3" s="14"/>
      <c r="P3" s="12" t="s">
        <v>12</v>
      </c>
      <c r="Q3" s="13"/>
      <c r="R3" s="13"/>
      <c r="S3" s="14"/>
    </row>
    <row r="4" spans="1:19" x14ac:dyDescent="0.45">
      <c r="A4" s="6" t="s">
        <v>7</v>
      </c>
      <c r="B4" s="1"/>
      <c r="C4" s="1"/>
      <c r="D4" s="7" t="s">
        <v>8</v>
      </c>
      <c r="F4" s="6" t="s">
        <v>7</v>
      </c>
      <c r="G4" s="1"/>
      <c r="H4" s="1"/>
      <c r="I4" s="7" t="s">
        <v>8</v>
      </c>
      <c r="K4" s="6" t="s">
        <v>7</v>
      </c>
      <c r="L4" s="1"/>
      <c r="M4" s="1"/>
      <c r="N4" s="7" t="s">
        <v>8</v>
      </c>
      <c r="P4" s="6" t="s">
        <v>7</v>
      </c>
      <c r="Q4" s="1"/>
      <c r="R4" s="1"/>
      <c r="S4" s="7" t="s">
        <v>8</v>
      </c>
    </row>
    <row r="5" spans="1:19" x14ac:dyDescent="0.45">
      <c r="A5" s="128">
        <v>74</v>
      </c>
      <c r="B5" s="129">
        <v>182</v>
      </c>
      <c r="C5" s="129">
        <v>289</v>
      </c>
      <c r="D5" s="129">
        <v>471</v>
      </c>
      <c r="E5" s="129">
        <v>471</v>
      </c>
      <c r="F5" s="128">
        <v>70</v>
      </c>
      <c r="G5" s="129">
        <v>386</v>
      </c>
      <c r="H5" s="129">
        <v>733</v>
      </c>
      <c r="I5" s="129">
        <v>1120</v>
      </c>
      <c r="J5" s="129">
        <v>1120</v>
      </c>
      <c r="K5" s="128">
        <v>76</v>
      </c>
      <c r="L5" s="129">
        <v>174</v>
      </c>
      <c r="M5" s="129">
        <v>85</v>
      </c>
      <c r="N5" s="129">
        <v>259</v>
      </c>
      <c r="O5" s="129">
        <v>259</v>
      </c>
      <c r="P5" s="128">
        <v>71</v>
      </c>
      <c r="Q5" s="129">
        <v>320</v>
      </c>
      <c r="R5" s="129">
        <v>173</v>
      </c>
      <c r="S5" s="129">
        <v>494</v>
      </c>
    </row>
    <row r="6" spans="1:19" x14ac:dyDescent="0.45">
      <c r="A6" s="128">
        <v>73</v>
      </c>
      <c r="B6" s="129">
        <v>20</v>
      </c>
      <c r="C6" s="129">
        <v>41</v>
      </c>
      <c r="D6" s="129">
        <v>61</v>
      </c>
      <c r="E6" s="129">
        <v>532</v>
      </c>
      <c r="F6" s="128">
        <v>68</v>
      </c>
      <c r="G6" s="129">
        <v>193</v>
      </c>
      <c r="H6" s="129">
        <v>349</v>
      </c>
      <c r="I6" s="129">
        <v>542</v>
      </c>
      <c r="J6" s="129">
        <v>1662</v>
      </c>
      <c r="K6" s="128">
        <v>74</v>
      </c>
      <c r="L6" s="129">
        <v>69</v>
      </c>
      <c r="M6" s="129">
        <v>44</v>
      </c>
      <c r="N6" s="129">
        <v>113</v>
      </c>
      <c r="O6" s="129">
        <v>372</v>
      </c>
      <c r="P6" s="128">
        <v>69</v>
      </c>
      <c r="Q6" s="129">
        <v>214</v>
      </c>
      <c r="R6" s="129">
        <v>120</v>
      </c>
      <c r="S6" s="129">
        <v>334</v>
      </c>
    </row>
    <row r="7" spans="1:19" x14ac:dyDescent="0.45">
      <c r="A7" s="128">
        <v>72</v>
      </c>
      <c r="B7" s="129">
        <v>568</v>
      </c>
      <c r="C7" s="129">
        <v>975</v>
      </c>
      <c r="D7" s="129">
        <v>1544</v>
      </c>
      <c r="E7" s="129">
        <v>2076</v>
      </c>
      <c r="F7" s="128">
        <v>67</v>
      </c>
      <c r="G7" s="129">
        <v>303</v>
      </c>
      <c r="H7" s="129">
        <v>491</v>
      </c>
      <c r="I7" s="129">
        <v>794</v>
      </c>
      <c r="J7" s="129">
        <v>2456</v>
      </c>
      <c r="K7" s="128">
        <v>73</v>
      </c>
      <c r="L7" s="129">
        <v>152</v>
      </c>
      <c r="M7" s="129">
        <v>108</v>
      </c>
      <c r="N7" s="129">
        <v>260</v>
      </c>
      <c r="O7" s="129">
        <v>632</v>
      </c>
      <c r="P7" s="128">
        <v>68</v>
      </c>
      <c r="Q7" s="129">
        <v>270</v>
      </c>
      <c r="R7" s="129">
        <v>202</v>
      </c>
      <c r="S7" s="129">
        <v>472</v>
      </c>
    </row>
    <row r="8" spans="1:19" x14ac:dyDescent="0.45">
      <c r="A8" s="128">
        <v>71</v>
      </c>
      <c r="B8" s="129">
        <v>3</v>
      </c>
      <c r="C8" s="129">
        <v>4</v>
      </c>
      <c r="D8" s="129">
        <v>7</v>
      </c>
      <c r="E8" s="129">
        <v>2083</v>
      </c>
      <c r="F8" s="128">
        <v>66</v>
      </c>
      <c r="G8" s="129">
        <v>198</v>
      </c>
      <c r="H8" s="129">
        <v>335</v>
      </c>
      <c r="I8" s="129">
        <v>533</v>
      </c>
      <c r="J8" s="129">
        <v>2989</v>
      </c>
      <c r="K8" s="128">
        <v>72</v>
      </c>
      <c r="L8" s="129">
        <v>27</v>
      </c>
      <c r="M8" s="129">
        <v>11</v>
      </c>
      <c r="N8" s="129">
        <v>38</v>
      </c>
      <c r="O8" s="129">
        <v>670</v>
      </c>
      <c r="P8" s="128">
        <v>67</v>
      </c>
      <c r="Q8" s="129">
        <v>237</v>
      </c>
      <c r="R8" s="129">
        <v>147</v>
      </c>
      <c r="S8" s="129">
        <v>384</v>
      </c>
    </row>
    <row r="9" spans="1:19" x14ac:dyDescent="0.45">
      <c r="A9" s="128">
        <v>70</v>
      </c>
      <c r="B9" s="129">
        <v>112</v>
      </c>
      <c r="C9" s="129">
        <v>208</v>
      </c>
      <c r="D9" s="129">
        <v>320</v>
      </c>
      <c r="E9" s="129">
        <v>2403</v>
      </c>
      <c r="F9" s="128">
        <v>65</v>
      </c>
      <c r="G9" s="129">
        <v>223</v>
      </c>
      <c r="H9" s="129">
        <v>479</v>
      </c>
      <c r="I9" s="129">
        <v>702</v>
      </c>
      <c r="J9" s="129">
        <v>3691</v>
      </c>
      <c r="K9" s="128">
        <v>71</v>
      </c>
      <c r="L9" s="129">
        <v>125</v>
      </c>
      <c r="M9" s="129">
        <v>87</v>
      </c>
      <c r="N9" s="129">
        <v>212</v>
      </c>
      <c r="O9" s="129">
        <v>882</v>
      </c>
      <c r="P9" s="128">
        <v>66</v>
      </c>
      <c r="Q9" s="129">
        <v>145</v>
      </c>
      <c r="R9" s="129">
        <v>122</v>
      </c>
      <c r="S9" s="129">
        <v>267</v>
      </c>
    </row>
    <row r="10" spans="1:19" x14ac:dyDescent="0.45">
      <c r="A10" s="128">
        <v>69</v>
      </c>
      <c r="B10" s="129">
        <v>859</v>
      </c>
      <c r="C10" s="129">
        <v>1563</v>
      </c>
      <c r="D10" s="129">
        <v>2424</v>
      </c>
      <c r="E10" s="129">
        <v>4827</v>
      </c>
      <c r="F10" s="128">
        <v>64</v>
      </c>
      <c r="G10" s="129">
        <v>151</v>
      </c>
      <c r="H10" s="129">
        <v>309</v>
      </c>
      <c r="I10" s="129">
        <v>460</v>
      </c>
      <c r="J10" s="129">
        <v>4151</v>
      </c>
      <c r="K10" s="128">
        <v>70</v>
      </c>
      <c r="L10" s="129">
        <v>210</v>
      </c>
      <c r="M10" s="129">
        <v>172</v>
      </c>
      <c r="N10" s="129">
        <v>382</v>
      </c>
      <c r="O10" s="129">
        <v>1264</v>
      </c>
      <c r="P10" s="128">
        <v>65</v>
      </c>
      <c r="Q10" s="129">
        <v>155</v>
      </c>
      <c r="R10" s="129">
        <v>125</v>
      </c>
      <c r="S10" s="129">
        <v>280</v>
      </c>
    </row>
    <row r="11" spans="1:19" x14ac:dyDescent="0.45">
      <c r="A11" s="128">
        <v>68</v>
      </c>
      <c r="B11" s="129">
        <v>25</v>
      </c>
      <c r="C11" s="129">
        <v>39</v>
      </c>
      <c r="D11" s="129">
        <v>64</v>
      </c>
      <c r="E11" s="129">
        <v>4891</v>
      </c>
      <c r="F11" s="128">
        <v>63</v>
      </c>
      <c r="G11" s="129">
        <v>92</v>
      </c>
      <c r="H11" s="129">
        <v>179</v>
      </c>
      <c r="I11" s="129">
        <v>272</v>
      </c>
      <c r="J11" s="129">
        <v>4423</v>
      </c>
      <c r="K11" s="128">
        <v>69</v>
      </c>
      <c r="L11" s="129">
        <v>165</v>
      </c>
      <c r="M11" s="129">
        <v>138</v>
      </c>
      <c r="N11" s="129">
        <v>303</v>
      </c>
      <c r="O11" s="129">
        <v>1567</v>
      </c>
      <c r="P11" s="128">
        <v>64</v>
      </c>
      <c r="Q11" s="129">
        <v>337</v>
      </c>
      <c r="R11" s="129">
        <v>285</v>
      </c>
      <c r="S11" s="129">
        <v>623</v>
      </c>
    </row>
    <row r="12" spans="1:19" x14ac:dyDescent="0.45">
      <c r="A12" s="128">
        <v>67</v>
      </c>
      <c r="B12" s="129">
        <v>304</v>
      </c>
      <c r="C12" s="129">
        <v>570</v>
      </c>
      <c r="D12" s="129">
        <v>875</v>
      </c>
      <c r="E12" s="129">
        <v>5766</v>
      </c>
      <c r="F12" s="128">
        <v>62</v>
      </c>
      <c r="G12" s="129">
        <v>210</v>
      </c>
      <c r="H12" s="129">
        <v>499</v>
      </c>
      <c r="I12" s="129">
        <v>709</v>
      </c>
      <c r="J12" s="129">
        <v>5132</v>
      </c>
      <c r="K12" s="128">
        <v>68</v>
      </c>
      <c r="L12" s="129">
        <v>120</v>
      </c>
      <c r="M12" s="129">
        <v>122</v>
      </c>
      <c r="N12" s="129">
        <v>242</v>
      </c>
      <c r="O12" s="129">
        <v>1809</v>
      </c>
      <c r="P12" s="128">
        <v>63</v>
      </c>
      <c r="Q12" s="129">
        <v>192</v>
      </c>
      <c r="R12" s="129">
        <v>166</v>
      </c>
      <c r="S12" s="129">
        <v>358</v>
      </c>
    </row>
    <row r="13" spans="1:19" x14ac:dyDescent="0.45">
      <c r="A13" s="128">
        <v>66</v>
      </c>
      <c r="B13" s="129">
        <v>1003</v>
      </c>
      <c r="C13" s="129">
        <v>1796</v>
      </c>
      <c r="D13" s="129">
        <v>2801</v>
      </c>
      <c r="E13" s="129">
        <v>8567</v>
      </c>
      <c r="F13" s="128">
        <v>61</v>
      </c>
      <c r="G13" s="129">
        <v>101</v>
      </c>
      <c r="H13" s="129">
        <v>215</v>
      </c>
      <c r="I13" s="129">
        <v>316</v>
      </c>
      <c r="J13" s="129">
        <v>5448</v>
      </c>
      <c r="K13" s="128">
        <v>67</v>
      </c>
      <c r="L13" s="129">
        <v>122</v>
      </c>
      <c r="M13" s="129">
        <v>111</v>
      </c>
      <c r="N13" s="129">
        <v>233</v>
      </c>
      <c r="O13" s="129">
        <v>2042</v>
      </c>
      <c r="P13" s="128">
        <v>62</v>
      </c>
      <c r="Q13" s="129">
        <v>192</v>
      </c>
      <c r="R13" s="129">
        <v>159</v>
      </c>
      <c r="S13" s="129">
        <v>352</v>
      </c>
    </row>
    <row r="14" spans="1:19" x14ac:dyDescent="0.45">
      <c r="A14" s="128">
        <v>65</v>
      </c>
      <c r="B14" s="129">
        <v>74</v>
      </c>
      <c r="C14" s="129">
        <v>183</v>
      </c>
      <c r="D14" s="129">
        <v>257</v>
      </c>
      <c r="E14" s="129">
        <v>8824</v>
      </c>
      <c r="F14" s="128">
        <v>60</v>
      </c>
      <c r="G14" s="129">
        <v>120</v>
      </c>
      <c r="H14" s="129">
        <v>240</v>
      </c>
      <c r="I14" s="129">
        <v>360</v>
      </c>
      <c r="J14" s="129">
        <v>5808</v>
      </c>
      <c r="K14" s="128">
        <v>66</v>
      </c>
      <c r="L14" s="129">
        <v>149</v>
      </c>
      <c r="M14" s="129">
        <v>166</v>
      </c>
      <c r="N14" s="129">
        <v>317</v>
      </c>
      <c r="O14" s="129">
        <v>2359</v>
      </c>
      <c r="P14" s="128">
        <v>61</v>
      </c>
      <c r="Q14" s="129">
        <v>196</v>
      </c>
      <c r="R14" s="129">
        <v>131</v>
      </c>
      <c r="S14" s="129">
        <v>327</v>
      </c>
    </row>
    <row r="15" spans="1:19" x14ac:dyDescent="0.45">
      <c r="A15" s="128">
        <v>64</v>
      </c>
      <c r="B15" s="129">
        <v>1454</v>
      </c>
      <c r="C15" s="129">
        <v>2858</v>
      </c>
      <c r="D15" s="129">
        <v>4315</v>
      </c>
      <c r="E15" s="129">
        <v>13139</v>
      </c>
      <c r="F15" s="128">
        <v>59</v>
      </c>
      <c r="G15" s="129">
        <v>204</v>
      </c>
      <c r="H15" s="129">
        <v>461</v>
      </c>
      <c r="I15" s="129">
        <v>665</v>
      </c>
      <c r="J15" s="129">
        <v>6473</v>
      </c>
      <c r="K15" s="128">
        <v>65</v>
      </c>
      <c r="L15" s="129">
        <v>135</v>
      </c>
      <c r="M15" s="129">
        <v>126</v>
      </c>
      <c r="N15" s="129">
        <v>261</v>
      </c>
      <c r="O15" s="129">
        <v>2620</v>
      </c>
      <c r="P15" s="128">
        <v>60</v>
      </c>
      <c r="Q15" s="129">
        <v>430</v>
      </c>
      <c r="R15" s="129">
        <v>333</v>
      </c>
      <c r="S15" s="129">
        <v>765</v>
      </c>
    </row>
    <row r="16" spans="1:19" x14ac:dyDescent="0.45">
      <c r="A16" s="128">
        <v>63</v>
      </c>
      <c r="B16" s="129">
        <v>194</v>
      </c>
      <c r="C16" s="129">
        <v>394</v>
      </c>
      <c r="D16" s="129">
        <v>589</v>
      </c>
      <c r="E16" s="129">
        <v>13728</v>
      </c>
      <c r="F16" s="128">
        <v>58</v>
      </c>
      <c r="G16" s="129">
        <v>113</v>
      </c>
      <c r="H16" s="129">
        <v>215</v>
      </c>
      <c r="I16" s="129">
        <v>328</v>
      </c>
      <c r="J16" s="129">
        <v>6801</v>
      </c>
      <c r="K16" s="128">
        <v>64</v>
      </c>
      <c r="L16" s="129">
        <v>144</v>
      </c>
      <c r="M16" s="129">
        <v>147</v>
      </c>
      <c r="N16" s="129">
        <v>292</v>
      </c>
      <c r="O16" s="129">
        <v>2912</v>
      </c>
      <c r="P16" s="128">
        <v>59</v>
      </c>
      <c r="Q16" s="129">
        <v>225</v>
      </c>
      <c r="R16" s="129">
        <v>170</v>
      </c>
      <c r="S16" s="129">
        <v>396</v>
      </c>
    </row>
    <row r="17" spans="1:19" x14ac:dyDescent="0.45">
      <c r="A17" s="128">
        <v>62</v>
      </c>
      <c r="B17" s="129">
        <v>718</v>
      </c>
      <c r="C17" s="129">
        <v>1534</v>
      </c>
      <c r="D17" s="129">
        <v>2253</v>
      </c>
      <c r="E17" s="129">
        <v>15981</v>
      </c>
      <c r="F17" s="128">
        <v>57</v>
      </c>
      <c r="G17" s="129">
        <v>213</v>
      </c>
      <c r="H17" s="129">
        <v>506</v>
      </c>
      <c r="I17" s="129">
        <v>721</v>
      </c>
      <c r="J17" s="129">
        <v>7522</v>
      </c>
      <c r="K17" s="128">
        <v>63</v>
      </c>
      <c r="L17" s="129">
        <v>335</v>
      </c>
      <c r="M17" s="129">
        <v>335</v>
      </c>
      <c r="N17" s="129">
        <v>672</v>
      </c>
      <c r="O17" s="129">
        <v>3584</v>
      </c>
      <c r="P17" s="128">
        <v>58</v>
      </c>
      <c r="Q17" s="129">
        <v>208</v>
      </c>
      <c r="R17" s="129">
        <v>183</v>
      </c>
      <c r="S17" s="129">
        <v>392</v>
      </c>
    </row>
    <row r="18" spans="1:19" x14ac:dyDescent="0.45">
      <c r="A18" s="128">
        <v>61</v>
      </c>
      <c r="B18" s="129">
        <v>810</v>
      </c>
      <c r="C18" s="129">
        <v>1667</v>
      </c>
      <c r="D18" s="129">
        <v>2477</v>
      </c>
      <c r="E18" s="129">
        <v>18458</v>
      </c>
      <c r="F18" s="128">
        <v>56</v>
      </c>
      <c r="G18" s="129">
        <v>130</v>
      </c>
      <c r="H18" s="129">
        <v>250</v>
      </c>
      <c r="I18" s="129">
        <v>380</v>
      </c>
      <c r="J18" s="129">
        <v>7902</v>
      </c>
      <c r="K18" s="128">
        <v>62</v>
      </c>
      <c r="L18" s="129">
        <v>185</v>
      </c>
      <c r="M18" s="129">
        <v>186</v>
      </c>
      <c r="N18" s="129">
        <v>372</v>
      </c>
      <c r="O18" s="129">
        <v>3956</v>
      </c>
      <c r="P18" s="128">
        <v>57</v>
      </c>
      <c r="Q18" s="129">
        <v>209</v>
      </c>
      <c r="R18" s="129">
        <v>161</v>
      </c>
      <c r="S18" s="129">
        <v>370</v>
      </c>
    </row>
    <row r="19" spans="1:19" x14ac:dyDescent="0.45">
      <c r="A19" s="128">
        <v>60</v>
      </c>
      <c r="B19" s="129">
        <v>388</v>
      </c>
      <c r="C19" s="129">
        <v>773</v>
      </c>
      <c r="D19" s="129">
        <v>1161</v>
      </c>
      <c r="E19" s="129">
        <v>19619</v>
      </c>
      <c r="F19" s="128">
        <v>55</v>
      </c>
      <c r="G19" s="129">
        <v>133</v>
      </c>
      <c r="H19" s="129">
        <v>251</v>
      </c>
      <c r="I19" s="129">
        <v>384</v>
      </c>
      <c r="J19" s="129">
        <v>8286</v>
      </c>
      <c r="K19" s="128">
        <v>61</v>
      </c>
      <c r="L19" s="129">
        <v>172</v>
      </c>
      <c r="M19" s="129">
        <v>197</v>
      </c>
      <c r="N19" s="129">
        <v>369</v>
      </c>
      <c r="O19" s="129">
        <v>4325</v>
      </c>
      <c r="P19" s="128">
        <v>56</v>
      </c>
      <c r="Q19" s="129">
        <v>456</v>
      </c>
      <c r="R19" s="129">
        <v>348</v>
      </c>
      <c r="S19" s="129">
        <v>804</v>
      </c>
    </row>
    <row r="20" spans="1:19" x14ac:dyDescent="0.45">
      <c r="A20" s="128">
        <v>59</v>
      </c>
      <c r="B20" s="129">
        <v>958</v>
      </c>
      <c r="C20" s="129">
        <v>1859</v>
      </c>
      <c r="D20" s="129">
        <v>2820</v>
      </c>
      <c r="E20" s="129">
        <v>22439</v>
      </c>
      <c r="F20" s="128">
        <v>54</v>
      </c>
      <c r="G20" s="129">
        <v>285</v>
      </c>
      <c r="H20" s="129">
        <v>587</v>
      </c>
      <c r="I20" s="129">
        <v>873</v>
      </c>
      <c r="J20" s="129">
        <v>9159</v>
      </c>
      <c r="K20" s="128">
        <v>60</v>
      </c>
      <c r="L20" s="129">
        <v>188</v>
      </c>
      <c r="M20" s="129">
        <v>195</v>
      </c>
      <c r="N20" s="129">
        <v>383</v>
      </c>
      <c r="O20" s="129">
        <v>4708</v>
      </c>
      <c r="P20" s="128">
        <v>55</v>
      </c>
      <c r="Q20" s="129">
        <v>206</v>
      </c>
      <c r="R20" s="129">
        <v>193</v>
      </c>
      <c r="S20" s="129">
        <v>400</v>
      </c>
    </row>
    <row r="21" spans="1:19" x14ac:dyDescent="0.45">
      <c r="A21" s="128">
        <v>58</v>
      </c>
      <c r="B21" s="129">
        <v>749</v>
      </c>
      <c r="C21" s="129">
        <v>1546</v>
      </c>
      <c r="D21" s="129">
        <v>2296</v>
      </c>
      <c r="E21" s="129">
        <v>24735</v>
      </c>
      <c r="F21" s="128">
        <v>53</v>
      </c>
      <c r="G21" s="129">
        <v>132</v>
      </c>
      <c r="H21" s="129">
        <v>254</v>
      </c>
      <c r="I21" s="129">
        <v>387</v>
      </c>
      <c r="J21" s="129">
        <v>9546</v>
      </c>
      <c r="K21" s="128">
        <v>59</v>
      </c>
      <c r="L21" s="129">
        <v>182</v>
      </c>
      <c r="M21" s="129">
        <v>211</v>
      </c>
      <c r="N21" s="129">
        <v>393</v>
      </c>
      <c r="O21" s="129">
        <v>5101</v>
      </c>
      <c r="P21" s="128">
        <v>54</v>
      </c>
      <c r="Q21" s="129">
        <v>251</v>
      </c>
      <c r="R21" s="129">
        <v>176</v>
      </c>
      <c r="S21" s="129">
        <v>427</v>
      </c>
    </row>
    <row r="22" spans="1:19" x14ac:dyDescent="0.45">
      <c r="A22" s="128">
        <v>57</v>
      </c>
      <c r="B22" s="129">
        <v>652</v>
      </c>
      <c r="C22" s="129">
        <v>1295</v>
      </c>
      <c r="D22" s="129">
        <v>1948</v>
      </c>
      <c r="E22" s="129">
        <v>26683</v>
      </c>
      <c r="F22" s="128">
        <v>52</v>
      </c>
      <c r="G22" s="129">
        <v>122</v>
      </c>
      <c r="H22" s="129">
        <v>265</v>
      </c>
      <c r="I22" s="129">
        <v>388</v>
      </c>
      <c r="J22" s="129">
        <v>9934</v>
      </c>
      <c r="K22" s="128">
        <v>58</v>
      </c>
      <c r="L22" s="129">
        <v>186</v>
      </c>
      <c r="M22" s="129">
        <v>197</v>
      </c>
      <c r="N22" s="129">
        <v>383</v>
      </c>
      <c r="O22" s="129">
        <v>5484</v>
      </c>
      <c r="P22" s="128">
        <v>53</v>
      </c>
      <c r="Q22" s="129">
        <v>202</v>
      </c>
      <c r="R22" s="129">
        <v>195</v>
      </c>
      <c r="S22" s="129">
        <v>397</v>
      </c>
    </row>
    <row r="23" spans="1:19" x14ac:dyDescent="0.45">
      <c r="A23" s="128">
        <v>56</v>
      </c>
      <c r="B23" s="129">
        <v>1068</v>
      </c>
      <c r="C23" s="129">
        <v>1979</v>
      </c>
      <c r="D23" s="129">
        <v>3051</v>
      </c>
      <c r="E23" s="129">
        <v>29734</v>
      </c>
      <c r="F23" s="128">
        <v>51</v>
      </c>
      <c r="G23" s="129">
        <v>277</v>
      </c>
      <c r="H23" s="129">
        <v>576</v>
      </c>
      <c r="I23" s="129">
        <v>854</v>
      </c>
      <c r="J23" s="129">
        <v>10788</v>
      </c>
      <c r="K23" s="128">
        <v>57</v>
      </c>
      <c r="L23" s="129">
        <v>225</v>
      </c>
      <c r="M23" s="129">
        <v>228</v>
      </c>
      <c r="N23" s="129">
        <v>454</v>
      </c>
      <c r="O23" s="129">
        <v>5938</v>
      </c>
      <c r="P23" s="128">
        <v>52</v>
      </c>
      <c r="Q23" s="129">
        <v>460</v>
      </c>
      <c r="R23" s="129">
        <v>428</v>
      </c>
      <c r="S23" s="129">
        <v>889</v>
      </c>
    </row>
    <row r="24" spans="1:19" x14ac:dyDescent="0.45">
      <c r="A24" s="128">
        <v>55</v>
      </c>
      <c r="B24" s="129">
        <v>829</v>
      </c>
      <c r="C24" s="129">
        <v>1494</v>
      </c>
      <c r="D24" s="129">
        <v>2324</v>
      </c>
      <c r="E24" s="129">
        <v>32058</v>
      </c>
      <c r="F24" s="128">
        <v>50</v>
      </c>
      <c r="G24" s="129">
        <v>159</v>
      </c>
      <c r="H24" s="129">
        <v>286</v>
      </c>
      <c r="I24" s="129">
        <v>445</v>
      </c>
      <c r="J24" s="129">
        <v>11233</v>
      </c>
      <c r="K24" s="128">
        <v>56</v>
      </c>
      <c r="L24" s="129">
        <v>231</v>
      </c>
      <c r="M24" s="129">
        <v>267</v>
      </c>
      <c r="N24" s="129">
        <v>499</v>
      </c>
      <c r="O24" s="129">
        <v>6437</v>
      </c>
      <c r="P24" s="128">
        <v>51</v>
      </c>
      <c r="Q24" s="129">
        <v>253</v>
      </c>
      <c r="R24" s="129">
        <v>222</v>
      </c>
      <c r="S24" s="129">
        <v>476</v>
      </c>
    </row>
    <row r="25" spans="1:19" x14ac:dyDescent="0.45">
      <c r="A25" s="128">
        <v>54</v>
      </c>
      <c r="B25" s="129">
        <v>1976</v>
      </c>
      <c r="C25" s="129">
        <v>3813</v>
      </c>
      <c r="D25" s="129">
        <v>5796</v>
      </c>
      <c r="E25" s="129">
        <v>37854</v>
      </c>
      <c r="F25" s="128">
        <v>49</v>
      </c>
      <c r="G25" s="129">
        <v>322</v>
      </c>
      <c r="H25" s="129">
        <v>666</v>
      </c>
      <c r="I25" s="129">
        <v>989</v>
      </c>
      <c r="J25" s="129">
        <v>12222</v>
      </c>
      <c r="K25" s="128">
        <v>55</v>
      </c>
      <c r="L25" s="129">
        <v>451</v>
      </c>
      <c r="M25" s="129">
        <v>505</v>
      </c>
      <c r="N25" s="129">
        <v>958</v>
      </c>
      <c r="O25" s="129">
        <v>7395</v>
      </c>
      <c r="P25" s="128">
        <v>50</v>
      </c>
      <c r="Q25" s="129">
        <v>275</v>
      </c>
      <c r="R25" s="129">
        <v>228</v>
      </c>
      <c r="S25" s="129">
        <v>505</v>
      </c>
    </row>
    <row r="26" spans="1:19" x14ac:dyDescent="0.45">
      <c r="A26" s="128">
        <v>53</v>
      </c>
      <c r="B26" s="129">
        <v>920</v>
      </c>
      <c r="C26" s="129">
        <v>1711</v>
      </c>
      <c r="D26" s="129">
        <v>2631</v>
      </c>
      <c r="E26" s="129">
        <v>40485</v>
      </c>
      <c r="F26" s="128">
        <v>48</v>
      </c>
      <c r="G26" s="129">
        <v>213</v>
      </c>
      <c r="H26" s="129">
        <v>354</v>
      </c>
      <c r="I26" s="129">
        <v>567</v>
      </c>
      <c r="J26" s="129">
        <v>12789</v>
      </c>
      <c r="K26" s="128">
        <v>54</v>
      </c>
      <c r="L26" s="129">
        <v>269</v>
      </c>
      <c r="M26" s="129">
        <v>288</v>
      </c>
      <c r="N26" s="129">
        <v>557</v>
      </c>
      <c r="O26" s="129">
        <v>7952</v>
      </c>
      <c r="P26" s="128">
        <v>49</v>
      </c>
      <c r="Q26" s="129">
        <v>216</v>
      </c>
      <c r="R26" s="129">
        <v>225</v>
      </c>
      <c r="S26" s="129">
        <v>441</v>
      </c>
    </row>
    <row r="27" spans="1:19" x14ac:dyDescent="0.45">
      <c r="A27" s="128">
        <v>52</v>
      </c>
      <c r="B27" s="129">
        <v>1165</v>
      </c>
      <c r="C27" s="129">
        <v>2088</v>
      </c>
      <c r="D27" s="129">
        <v>3255</v>
      </c>
      <c r="E27" s="129">
        <v>43740</v>
      </c>
      <c r="F27" s="128">
        <v>47</v>
      </c>
      <c r="G27" s="129">
        <v>234</v>
      </c>
      <c r="H27" s="129">
        <v>358</v>
      </c>
      <c r="I27" s="129">
        <v>592</v>
      </c>
      <c r="J27" s="129">
        <v>13381</v>
      </c>
      <c r="K27" s="128">
        <v>53</v>
      </c>
      <c r="L27" s="129">
        <v>250</v>
      </c>
      <c r="M27" s="129">
        <v>286</v>
      </c>
      <c r="N27" s="129">
        <v>536</v>
      </c>
      <c r="O27" s="129">
        <v>8488</v>
      </c>
      <c r="P27" s="128">
        <v>48</v>
      </c>
      <c r="Q27" s="129">
        <v>554</v>
      </c>
      <c r="R27" s="129">
        <v>474</v>
      </c>
      <c r="S27" s="129">
        <v>1029</v>
      </c>
    </row>
    <row r="28" spans="1:19" x14ac:dyDescent="0.45">
      <c r="A28" s="128">
        <v>51</v>
      </c>
      <c r="B28" s="129">
        <v>1062</v>
      </c>
      <c r="C28" s="129">
        <v>1802</v>
      </c>
      <c r="D28" s="129">
        <v>2865</v>
      </c>
      <c r="E28" s="129">
        <v>46605</v>
      </c>
      <c r="F28" s="128">
        <v>46</v>
      </c>
      <c r="G28" s="129">
        <v>508</v>
      </c>
      <c r="H28" s="129">
        <v>780</v>
      </c>
      <c r="I28" s="129">
        <v>1290</v>
      </c>
      <c r="J28" s="129">
        <v>14671</v>
      </c>
      <c r="K28" s="128">
        <v>52</v>
      </c>
      <c r="L28" s="129">
        <v>279</v>
      </c>
      <c r="M28" s="129">
        <v>314</v>
      </c>
      <c r="N28" s="129">
        <v>593</v>
      </c>
      <c r="O28" s="129">
        <v>9081</v>
      </c>
      <c r="P28" s="128">
        <v>47</v>
      </c>
      <c r="Q28" s="129">
        <v>331</v>
      </c>
      <c r="R28" s="129">
        <v>264</v>
      </c>
      <c r="S28" s="129">
        <v>595</v>
      </c>
    </row>
    <row r="29" spans="1:19" x14ac:dyDescent="0.45">
      <c r="A29" s="128">
        <v>50</v>
      </c>
      <c r="B29" s="129">
        <v>1100</v>
      </c>
      <c r="C29" s="129">
        <v>2008</v>
      </c>
      <c r="D29" s="129">
        <v>3109</v>
      </c>
      <c r="E29" s="129">
        <v>49714</v>
      </c>
      <c r="F29" s="128">
        <v>45</v>
      </c>
      <c r="G29" s="129">
        <v>296</v>
      </c>
      <c r="H29" s="129">
        <v>407</v>
      </c>
      <c r="I29" s="129">
        <v>704</v>
      </c>
      <c r="J29" s="129">
        <v>15375</v>
      </c>
      <c r="K29" s="128">
        <v>51</v>
      </c>
      <c r="L29" s="129">
        <v>288</v>
      </c>
      <c r="M29" s="129">
        <v>328</v>
      </c>
      <c r="N29" s="129">
        <v>616</v>
      </c>
      <c r="O29" s="129">
        <v>9697</v>
      </c>
      <c r="P29" s="128">
        <v>46</v>
      </c>
      <c r="Q29" s="129">
        <v>330</v>
      </c>
      <c r="R29" s="129">
        <v>267</v>
      </c>
      <c r="S29" s="129">
        <v>597</v>
      </c>
    </row>
    <row r="30" spans="1:19" x14ac:dyDescent="0.45">
      <c r="A30" s="128">
        <v>49</v>
      </c>
      <c r="B30" s="129">
        <v>1141</v>
      </c>
      <c r="C30" s="129">
        <v>2065</v>
      </c>
      <c r="D30" s="129">
        <v>3210</v>
      </c>
      <c r="E30" s="129">
        <v>52924</v>
      </c>
      <c r="F30" s="128">
        <v>44</v>
      </c>
      <c r="G30" s="129">
        <v>278</v>
      </c>
      <c r="H30" s="129">
        <v>409</v>
      </c>
      <c r="I30" s="129">
        <v>687</v>
      </c>
      <c r="J30" s="129">
        <v>16062</v>
      </c>
      <c r="K30" s="128">
        <v>50</v>
      </c>
      <c r="L30" s="129">
        <v>281</v>
      </c>
      <c r="M30" s="129">
        <v>271</v>
      </c>
      <c r="N30" s="129">
        <v>552</v>
      </c>
      <c r="O30" s="129">
        <v>10249</v>
      </c>
      <c r="P30" s="128">
        <v>45</v>
      </c>
      <c r="Q30" s="129">
        <v>343</v>
      </c>
      <c r="R30" s="129">
        <v>299</v>
      </c>
      <c r="S30" s="129">
        <v>643</v>
      </c>
    </row>
    <row r="31" spans="1:19" x14ac:dyDescent="0.45">
      <c r="A31" s="128">
        <v>48</v>
      </c>
      <c r="B31" s="129">
        <v>1127</v>
      </c>
      <c r="C31" s="129">
        <v>1848</v>
      </c>
      <c r="D31" s="129">
        <v>2978</v>
      </c>
      <c r="E31" s="129">
        <v>55902</v>
      </c>
      <c r="F31" s="128">
        <v>43</v>
      </c>
      <c r="G31" s="129">
        <v>679</v>
      </c>
      <c r="H31" s="129">
        <v>786</v>
      </c>
      <c r="I31" s="129">
        <v>1467</v>
      </c>
      <c r="J31" s="129">
        <v>17529</v>
      </c>
      <c r="K31" s="128">
        <v>49</v>
      </c>
      <c r="L31" s="129">
        <v>345</v>
      </c>
      <c r="M31" s="129">
        <v>356</v>
      </c>
      <c r="N31" s="129">
        <v>701</v>
      </c>
      <c r="O31" s="129">
        <v>10950</v>
      </c>
      <c r="P31" s="128">
        <v>44</v>
      </c>
      <c r="Q31" s="129">
        <v>321</v>
      </c>
      <c r="R31" s="129">
        <v>266</v>
      </c>
      <c r="S31" s="129">
        <v>588</v>
      </c>
    </row>
    <row r="32" spans="1:19" x14ac:dyDescent="0.45">
      <c r="A32" s="128">
        <v>47</v>
      </c>
      <c r="B32" s="129">
        <v>1198</v>
      </c>
      <c r="C32" s="129">
        <v>2040</v>
      </c>
      <c r="D32" s="129">
        <v>3242</v>
      </c>
      <c r="E32" s="129">
        <v>59144</v>
      </c>
      <c r="F32" s="128">
        <v>42</v>
      </c>
      <c r="G32" s="129">
        <v>1671</v>
      </c>
      <c r="H32" s="129">
        <v>1068</v>
      </c>
      <c r="I32" s="129">
        <v>2746</v>
      </c>
      <c r="J32" s="129">
        <v>20275</v>
      </c>
      <c r="K32" s="128">
        <v>48</v>
      </c>
      <c r="L32" s="129">
        <v>297</v>
      </c>
      <c r="M32" s="129">
        <v>322</v>
      </c>
      <c r="N32" s="129">
        <v>620</v>
      </c>
      <c r="O32" s="129">
        <v>11570</v>
      </c>
      <c r="P32" s="128">
        <v>43</v>
      </c>
      <c r="Q32" s="129">
        <v>688</v>
      </c>
      <c r="R32" s="129">
        <v>578</v>
      </c>
      <c r="S32" s="129">
        <v>1266</v>
      </c>
    </row>
    <row r="33" spans="1:19" x14ac:dyDescent="0.45">
      <c r="A33" s="128">
        <v>46</v>
      </c>
      <c r="B33" s="129">
        <v>1155</v>
      </c>
      <c r="C33" s="129">
        <v>1879</v>
      </c>
      <c r="D33" s="129">
        <v>3036</v>
      </c>
      <c r="E33" s="129">
        <v>62180</v>
      </c>
      <c r="F33" s="128">
        <v>41</v>
      </c>
      <c r="G33" s="129">
        <v>1446</v>
      </c>
      <c r="H33" s="129">
        <v>1209</v>
      </c>
      <c r="I33" s="129">
        <v>2665</v>
      </c>
      <c r="J33" s="129">
        <v>22940</v>
      </c>
      <c r="K33" s="128">
        <v>47</v>
      </c>
      <c r="L33" s="129">
        <v>779</v>
      </c>
      <c r="M33" s="129">
        <v>749</v>
      </c>
      <c r="N33" s="129">
        <v>1530</v>
      </c>
      <c r="O33" s="129">
        <v>13100</v>
      </c>
      <c r="P33" s="128">
        <v>42</v>
      </c>
      <c r="Q33" s="129">
        <v>696</v>
      </c>
      <c r="R33" s="129">
        <v>436</v>
      </c>
      <c r="S33" s="129">
        <v>1133</v>
      </c>
    </row>
    <row r="34" spans="1:19" x14ac:dyDescent="0.45">
      <c r="A34" s="128">
        <v>45</v>
      </c>
      <c r="B34" s="129">
        <v>2380</v>
      </c>
      <c r="C34" s="129">
        <v>3724</v>
      </c>
      <c r="D34" s="129">
        <v>6112</v>
      </c>
      <c r="E34" s="129">
        <v>68292</v>
      </c>
      <c r="F34" s="128">
        <v>40</v>
      </c>
      <c r="G34" s="129">
        <v>609</v>
      </c>
      <c r="H34" s="129">
        <v>537</v>
      </c>
      <c r="I34" s="129">
        <v>1151</v>
      </c>
      <c r="J34" s="129">
        <v>24091</v>
      </c>
      <c r="K34" s="128">
        <v>46</v>
      </c>
      <c r="L34" s="129">
        <v>366</v>
      </c>
      <c r="M34" s="129">
        <v>345</v>
      </c>
      <c r="N34" s="129">
        <v>712</v>
      </c>
      <c r="O34" s="129">
        <v>13812</v>
      </c>
      <c r="P34" s="128">
        <v>41</v>
      </c>
      <c r="Q34" s="129">
        <v>312</v>
      </c>
      <c r="R34" s="129">
        <v>242</v>
      </c>
      <c r="S34" s="129">
        <v>554</v>
      </c>
    </row>
    <row r="35" spans="1:19" x14ac:dyDescent="0.45">
      <c r="A35" s="128">
        <v>44</v>
      </c>
      <c r="B35" s="129">
        <v>1096</v>
      </c>
      <c r="C35" s="129">
        <v>1634</v>
      </c>
      <c r="D35" s="129">
        <v>2733</v>
      </c>
      <c r="E35" s="129">
        <v>71025</v>
      </c>
      <c r="F35" s="128">
        <v>39</v>
      </c>
      <c r="G35" s="129">
        <v>280</v>
      </c>
      <c r="H35" s="129">
        <v>279</v>
      </c>
      <c r="I35" s="129">
        <v>559</v>
      </c>
      <c r="J35" s="129">
        <v>24650</v>
      </c>
      <c r="K35" s="128">
        <v>45</v>
      </c>
      <c r="L35" s="129">
        <v>488</v>
      </c>
      <c r="M35" s="129">
        <v>423</v>
      </c>
      <c r="N35" s="129">
        <v>914</v>
      </c>
      <c r="O35" s="129">
        <v>14726</v>
      </c>
      <c r="P35" s="128">
        <v>40</v>
      </c>
      <c r="Q35" s="129">
        <v>407</v>
      </c>
      <c r="R35" s="129">
        <v>283</v>
      </c>
      <c r="S35" s="129">
        <v>693</v>
      </c>
    </row>
    <row r="36" spans="1:19" x14ac:dyDescent="0.45">
      <c r="A36" s="128">
        <v>43</v>
      </c>
      <c r="B36" s="129">
        <v>2563</v>
      </c>
      <c r="C36" s="129">
        <v>2721</v>
      </c>
      <c r="D36" s="129">
        <v>5294</v>
      </c>
      <c r="E36" s="129">
        <v>76319</v>
      </c>
      <c r="F36" s="128">
        <v>38</v>
      </c>
      <c r="G36" s="129">
        <v>476</v>
      </c>
      <c r="H36" s="129">
        <v>437</v>
      </c>
      <c r="I36" s="129">
        <v>913</v>
      </c>
      <c r="J36" s="129">
        <v>25563</v>
      </c>
      <c r="K36" s="128">
        <v>44</v>
      </c>
      <c r="L36" s="129">
        <v>401</v>
      </c>
      <c r="M36" s="129">
        <v>412</v>
      </c>
      <c r="N36" s="129">
        <v>813</v>
      </c>
      <c r="O36" s="129">
        <v>15539</v>
      </c>
      <c r="P36" s="128">
        <v>39</v>
      </c>
      <c r="Q36" s="129">
        <v>1354</v>
      </c>
      <c r="R36" s="129">
        <v>661</v>
      </c>
      <c r="S36" s="129">
        <v>2021</v>
      </c>
    </row>
    <row r="37" spans="1:19" x14ac:dyDescent="0.45">
      <c r="A37" s="128">
        <v>42</v>
      </c>
      <c r="B37" s="129">
        <v>1014</v>
      </c>
      <c r="C37" s="129">
        <v>1413</v>
      </c>
      <c r="D37" s="129">
        <v>2435</v>
      </c>
      <c r="E37" s="129">
        <v>78754</v>
      </c>
      <c r="F37" s="128">
        <v>37</v>
      </c>
      <c r="G37" s="129">
        <v>207</v>
      </c>
      <c r="H37" s="129">
        <v>164</v>
      </c>
      <c r="I37" s="129">
        <v>371</v>
      </c>
      <c r="J37" s="129">
        <v>25934</v>
      </c>
      <c r="K37" s="128">
        <v>43</v>
      </c>
      <c r="L37" s="129">
        <v>475</v>
      </c>
      <c r="M37" s="129">
        <v>441</v>
      </c>
      <c r="N37" s="129">
        <v>919</v>
      </c>
      <c r="O37" s="129">
        <v>16458</v>
      </c>
      <c r="P37" s="128">
        <v>38</v>
      </c>
      <c r="Q37" s="129">
        <v>336</v>
      </c>
      <c r="R37" s="129">
        <v>170</v>
      </c>
      <c r="S37" s="129">
        <v>507</v>
      </c>
    </row>
    <row r="38" spans="1:19" x14ac:dyDescent="0.45">
      <c r="A38" s="128">
        <v>41</v>
      </c>
      <c r="B38" s="129">
        <v>992</v>
      </c>
      <c r="C38" s="129">
        <v>1334</v>
      </c>
      <c r="D38" s="129">
        <v>2326</v>
      </c>
      <c r="E38" s="129">
        <v>81080</v>
      </c>
      <c r="F38" s="128">
        <v>36</v>
      </c>
      <c r="G38" s="129">
        <v>73</v>
      </c>
      <c r="H38" s="129">
        <v>69</v>
      </c>
      <c r="I38" s="129">
        <v>142</v>
      </c>
      <c r="J38" s="129">
        <v>26076</v>
      </c>
      <c r="K38" s="128">
        <v>42</v>
      </c>
      <c r="L38" s="129">
        <v>975</v>
      </c>
      <c r="M38" s="129">
        <v>687</v>
      </c>
      <c r="N38" s="129">
        <v>1665</v>
      </c>
      <c r="O38" s="129">
        <v>18123</v>
      </c>
      <c r="P38" s="128">
        <v>37</v>
      </c>
      <c r="Q38" s="129">
        <v>196</v>
      </c>
      <c r="R38" s="129">
        <v>118</v>
      </c>
      <c r="S38" s="129">
        <v>315</v>
      </c>
    </row>
    <row r="39" spans="1:19" x14ac:dyDescent="0.45">
      <c r="A39" s="128">
        <v>40</v>
      </c>
      <c r="B39" s="129">
        <v>858</v>
      </c>
      <c r="C39" s="129">
        <v>1185</v>
      </c>
      <c r="D39" s="129">
        <v>2044</v>
      </c>
      <c r="E39" s="129">
        <v>83124</v>
      </c>
      <c r="F39" s="128">
        <v>35</v>
      </c>
      <c r="G39" s="129">
        <v>136</v>
      </c>
      <c r="H39" s="129">
        <v>136</v>
      </c>
      <c r="I39" s="129">
        <v>272</v>
      </c>
      <c r="J39" s="129">
        <v>26348</v>
      </c>
      <c r="K39" s="128">
        <v>41</v>
      </c>
      <c r="L39" s="129">
        <v>1359</v>
      </c>
      <c r="M39" s="129">
        <v>700</v>
      </c>
      <c r="N39" s="129">
        <v>2065</v>
      </c>
      <c r="O39" s="129">
        <v>20188</v>
      </c>
      <c r="P39" s="128">
        <v>36</v>
      </c>
      <c r="Q39" s="129">
        <v>253</v>
      </c>
      <c r="R39" s="129">
        <v>142</v>
      </c>
      <c r="S39" s="129">
        <v>398</v>
      </c>
    </row>
    <row r="40" spans="1:19" x14ac:dyDescent="0.45">
      <c r="A40" s="128">
        <v>39</v>
      </c>
      <c r="B40" s="129">
        <v>1210</v>
      </c>
      <c r="C40" s="129">
        <v>1346</v>
      </c>
      <c r="D40" s="129">
        <v>2560</v>
      </c>
      <c r="E40" s="129">
        <v>85684</v>
      </c>
      <c r="F40" s="128">
        <v>33</v>
      </c>
      <c r="G40" s="129">
        <v>29</v>
      </c>
      <c r="H40" s="129">
        <v>23</v>
      </c>
      <c r="I40" s="129">
        <v>53</v>
      </c>
      <c r="J40" s="129">
        <v>26401</v>
      </c>
      <c r="K40" s="128">
        <v>40</v>
      </c>
      <c r="L40" s="129">
        <v>937</v>
      </c>
      <c r="M40" s="129">
        <v>668</v>
      </c>
      <c r="N40" s="129">
        <v>1612</v>
      </c>
      <c r="O40" s="129">
        <v>21800</v>
      </c>
      <c r="P40" s="128">
        <v>35</v>
      </c>
      <c r="Q40" s="129">
        <v>214</v>
      </c>
      <c r="R40" s="129">
        <v>123</v>
      </c>
      <c r="S40" s="129">
        <v>338</v>
      </c>
    </row>
    <row r="41" spans="1:19" x14ac:dyDescent="0.45">
      <c r="A41" s="128">
        <v>38</v>
      </c>
      <c r="B41" s="129">
        <v>837</v>
      </c>
      <c r="C41" s="129">
        <v>991</v>
      </c>
      <c r="D41" s="129">
        <v>1832</v>
      </c>
      <c r="E41" s="129">
        <v>87516</v>
      </c>
      <c r="F41" s="128"/>
      <c r="G41" s="129"/>
      <c r="H41" s="129"/>
      <c r="I41" s="129"/>
      <c r="J41" s="129"/>
      <c r="K41" s="128">
        <v>39</v>
      </c>
      <c r="L41" s="129">
        <v>324</v>
      </c>
      <c r="M41" s="129">
        <v>254</v>
      </c>
      <c r="N41" s="129">
        <v>578</v>
      </c>
      <c r="O41" s="129">
        <v>22378</v>
      </c>
      <c r="P41" s="128">
        <v>34</v>
      </c>
      <c r="Q41" s="129">
        <v>68</v>
      </c>
      <c r="R41" s="129">
        <v>44</v>
      </c>
      <c r="S41" s="129">
        <v>112</v>
      </c>
    </row>
    <row r="42" spans="1:19" x14ac:dyDescent="0.45">
      <c r="A42" s="128">
        <v>37</v>
      </c>
      <c r="B42" s="129">
        <v>1167</v>
      </c>
      <c r="C42" s="129">
        <v>1178</v>
      </c>
      <c r="D42" s="129">
        <v>2352</v>
      </c>
      <c r="E42" s="129">
        <v>89868</v>
      </c>
      <c r="F42" s="128"/>
      <c r="G42" s="129"/>
      <c r="H42" s="129"/>
      <c r="I42" s="129"/>
      <c r="J42" s="129"/>
      <c r="K42" s="128">
        <v>38</v>
      </c>
      <c r="L42" s="129">
        <v>351</v>
      </c>
      <c r="M42" s="129">
        <v>226</v>
      </c>
      <c r="N42" s="129">
        <v>579</v>
      </c>
      <c r="O42" s="129">
        <v>22957</v>
      </c>
      <c r="P42" s="128">
        <v>33</v>
      </c>
      <c r="Q42" s="129">
        <v>27</v>
      </c>
      <c r="R42" s="129">
        <v>12</v>
      </c>
      <c r="S42" s="129">
        <v>39</v>
      </c>
    </row>
    <row r="43" spans="1:19" x14ac:dyDescent="0.45">
      <c r="A43" s="128">
        <v>36</v>
      </c>
      <c r="B43" s="129">
        <v>3735</v>
      </c>
      <c r="C43" s="129">
        <v>2450</v>
      </c>
      <c r="D43" s="129">
        <v>6200</v>
      </c>
      <c r="E43" s="129">
        <v>96068</v>
      </c>
      <c r="F43" s="128"/>
      <c r="G43" s="129"/>
      <c r="H43" s="129"/>
      <c r="I43" s="129"/>
      <c r="J43" s="129"/>
      <c r="K43" s="128">
        <v>37</v>
      </c>
      <c r="L43" s="129">
        <v>160</v>
      </c>
      <c r="M43" s="129">
        <v>107</v>
      </c>
      <c r="N43" s="129">
        <v>267</v>
      </c>
      <c r="O43" s="129">
        <v>23224</v>
      </c>
      <c r="P43" s="128">
        <v>32</v>
      </c>
      <c r="Q43" s="129">
        <v>39</v>
      </c>
      <c r="R43" s="129">
        <v>23</v>
      </c>
      <c r="S43" s="129">
        <v>62</v>
      </c>
    </row>
    <row r="44" spans="1:19" x14ac:dyDescent="0.45">
      <c r="A44" s="128">
        <v>35</v>
      </c>
      <c r="B44" s="129">
        <v>1550</v>
      </c>
      <c r="C44" s="129">
        <v>1456</v>
      </c>
      <c r="D44" s="129">
        <v>3016</v>
      </c>
      <c r="E44" s="129">
        <v>99084</v>
      </c>
      <c r="F44" s="128"/>
      <c r="G44" s="129"/>
      <c r="H44" s="129"/>
      <c r="I44" s="129"/>
      <c r="J44" s="129"/>
      <c r="K44" s="128">
        <v>36</v>
      </c>
      <c r="L44" s="129">
        <v>184</v>
      </c>
      <c r="M44" s="129">
        <v>105</v>
      </c>
      <c r="N44" s="129">
        <v>290</v>
      </c>
      <c r="O44" s="129">
        <v>23514</v>
      </c>
      <c r="P44" s="128">
        <v>31</v>
      </c>
      <c r="Q44" s="129">
        <v>11</v>
      </c>
      <c r="R44" s="129">
        <v>4</v>
      </c>
      <c r="S44" s="129">
        <v>15</v>
      </c>
    </row>
    <row r="45" spans="1:19" x14ac:dyDescent="0.45">
      <c r="A45" s="128">
        <v>34</v>
      </c>
      <c r="B45" s="129">
        <v>441</v>
      </c>
      <c r="C45" s="129">
        <v>421</v>
      </c>
      <c r="D45" s="129">
        <v>863</v>
      </c>
      <c r="E45" s="129">
        <v>99947</v>
      </c>
      <c r="F45" s="128"/>
      <c r="G45" s="129"/>
      <c r="H45" s="129"/>
      <c r="I45" s="129"/>
      <c r="J45" s="129"/>
      <c r="K45" s="128">
        <v>35</v>
      </c>
      <c r="L45" s="129">
        <v>108</v>
      </c>
      <c r="M45" s="129">
        <v>67</v>
      </c>
      <c r="N45" s="129">
        <v>176</v>
      </c>
      <c r="O45" s="129">
        <v>23690</v>
      </c>
      <c r="P45" s="128"/>
      <c r="Q45" s="129"/>
      <c r="R45" s="129"/>
      <c r="S45" s="129"/>
    </row>
    <row r="46" spans="1:19" x14ac:dyDescent="0.45">
      <c r="A46" s="128">
        <v>33</v>
      </c>
      <c r="B46" s="129">
        <v>273</v>
      </c>
      <c r="C46" s="129">
        <v>289</v>
      </c>
      <c r="D46" s="129">
        <v>565</v>
      </c>
      <c r="E46" s="129">
        <v>100512</v>
      </c>
      <c r="F46" s="128"/>
      <c r="G46" s="129"/>
      <c r="H46" s="129"/>
      <c r="I46" s="129"/>
      <c r="J46" s="129"/>
      <c r="K46" s="128">
        <v>34</v>
      </c>
      <c r="L46" s="129">
        <v>61</v>
      </c>
      <c r="M46" s="129">
        <v>36</v>
      </c>
      <c r="N46" s="129">
        <v>97</v>
      </c>
      <c r="O46" s="129">
        <v>23787</v>
      </c>
      <c r="P46" s="128"/>
      <c r="Q46" s="129"/>
      <c r="R46" s="129"/>
      <c r="S46" s="129"/>
    </row>
    <row r="47" spans="1:19" x14ac:dyDescent="0.45">
      <c r="A47" s="128">
        <v>32</v>
      </c>
      <c r="B47" s="129">
        <v>143</v>
      </c>
      <c r="C47" s="129">
        <v>110</v>
      </c>
      <c r="D47" s="129">
        <v>253</v>
      </c>
      <c r="E47" s="129">
        <v>100765</v>
      </c>
      <c r="F47" s="128"/>
      <c r="G47" s="129"/>
      <c r="H47" s="129"/>
      <c r="I47" s="129"/>
      <c r="J47" s="129"/>
      <c r="K47" s="128">
        <v>33</v>
      </c>
      <c r="L47" s="129">
        <v>73</v>
      </c>
      <c r="M47" s="129">
        <v>35</v>
      </c>
      <c r="N47" s="129">
        <v>109</v>
      </c>
      <c r="O47" s="129">
        <v>23896</v>
      </c>
      <c r="P47" s="128"/>
      <c r="Q47" s="129"/>
      <c r="R47" s="129"/>
      <c r="S47" s="129"/>
    </row>
    <row r="48" spans="1:19" x14ac:dyDescent="0.45">
      <c r="A48" s="126">
        <v>31</v>
      </c>
      <c r="B48" s="127">
        <v>227</v>
      </c>
      <c r="C48" s="127">
        <v>160</v>
      </c>
      <c r="D48" s="127">
        <v>388</v>
      </c>
      <c r="E48" s="127">
        <v>101153</v>
      </c>
      <c r="F48" s="128"/>
      <c r="G48" s="129"/>
      <c r="H48" s="129"/>
      <c r="I48" s="129"/>
      <c r="J48" s="129"/>
      <c r="K48" s="128">
        <v>32</v>
      </c>
      <c r="L48" s="129">
        <v>15</v>
      </c>
      <c r="M48" s="129">
        <v>16</v>
      </c>
      <c r="N48" s="129">
        <v>32</v>
      </c>
      <c r="O48" s="129">
        <v>23928</v>
      </c>
      <c r="P48" s="128"/>
      <c r="Q48" s="129"/>
      <c r="R48" s="129"/>
      <c r="S48" s="129"/>
    </row>
    <row r="49" spans="1:20" x14ac:dyDescent="0.45">
      <c r="A49" s="126">
        <v>29</v>
      </c>
      <c r="B49" s="127">
        <v>69</v>
      </c>
      <c r="C49" s="127">
        <v>50</v>
      </c>
      <c r="D49" s="127">
        <v>119</v>
      </c>
      <c r="E49" s="127">
        <v>101272</v>
      </c>
      <c r="F49" s="128"/>
      <c r="G49" s="129"/>
      <c r="H49" s="129"/>
      <c r="I49" s="129"/>
      <c r="J49" s="129"/>
      <c r="K49" s="128"/>
      <c r="L49" s="129"/>
      <c r="M49" s="129"/>
      <c r="N49" s="129"/>
      <c r="O49" s="129"/>
      <c r="P49" s="128"/>
      <c r="Q49" s="129"/>
      <c r="R49" s="129"/>
      <c r="S49" s="129"/>
    </row>
    <row r="50" spans="1:20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20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 x14ac:dyDescent="0.5">
      <c r="A52" s="8"/>
      <c r="B52" s="9"/>
      <c r="C52" s="9"/>
      <c r="D52" s="2"/>
      <c r="F52" s="8"/>
      <c r="G52" s="9"/>
      <c r="H52" s="9"/>
      <c r="I52" s="2"/>
      <c r="K52" s="8"/>
      <c r="L52" s="9"/>
      <c r="M52" s="9"/>
      <c r="N52" s="2"/>
      <c r="P52" s="8"/>
      <c r="Q52" s="9"/>
      <c r="R52" s="9"/>
      <c r="S52" s="2"/>
    </row>
    <row r="61" spans="1:20" ht="17.5" thickBot="1" x14ac:dyDescent="0.5"/>
    <row r="62" spans="1:20" x14ac:dyDescent="0.45">
      <c r="A62" s="12" t="s">
        <v>13</v>
      </c>
      <c r="B62" s="13"/>
      <c r="C62" s="13"/>
      <c r="D62" s="14"/>
      <c r="F62" s="12" t="s">
        <v>14</v>
      </c>
      <c r="G62" s="13"/>
      <c r="H62" s="13"/>
      <c r="I62" s="14"/>
      <c r="K62" s="12" t="s">
        <v>15</v>
      </c>
      <c r="L62" s="13"/>
      <c r="M62" s="13"/>
      <c r="N62" s="14"/>
      <c r="P62" s="12" t="s">
        <v>62</v>
      </c>
      <c r="Q62" s="13"/>
      <c r="R62" s="13"/>
      <c r="S62" s="14"/>
    </row>
    <row r="63" spans="1:20" x14ac:dyDescent="0.45">
      <c r="A63" s="6" t="s">
        <v>1</v>
      </c>
      <c r="B63" s="1"/>
      <c r="C63" s="1"/>
      <c r="D63" s="7" t="s">
        <v>0</v>
      </c>
      <c r="F63" s="6" t="s">
        <v>1</v>
      </c>
      <c r="G63" s="1"/>
      <c r="H63" s="1"/>
      <c r="I63" s="7" t="s">
        <v>0</v>
      </c>
      <c r="K63" s="6" t="s">
        <v>1</v>
      </c>
      <c r="L63" s="1"/>
      <c r="M63" s="1"/>
      <c r="N63" s="7" t="s">
        <v>0</v>
      </c>
      <c r="P63" s="6" t="s">
        <v>1</v>
      </c>
      <c r="Q63" s="1"/>
      <c r="R63" s="1"/>
      <c r="S63" s="7" t="s">
        <v>0</v>
      </c>
    </row>
    <row r="64" spans="1:20" x14ac:dyDescent="0.45">
      <c r="A64" s="130">
        <v>68</v>
      </c>
      <c r="B64" s="131">
        <v>401</v>
      </c>
      <c r="C64" s="131">
        <v>170</v>
      </c>
      <c r="D64" s="131">
        <v>571</v>
      </c>
      <c r="E64" s="131">
        <v>571</v>
      </c>
      <c r="F64" s="130">
        <v>70</v>
      </c>
      <c r="G64" s="131">
        <v>301</v>
      </c>
      <c r="H64" s="131">
        <v>97</v>
      </c>
      <c r="I64" s="131">
        <v>398</v>
      </c>
      <c r="J64" s="131">
        <v>398</v>
      </c>
      <c r="K64" s="130">
        <v>78</v>
      </c>
      <c r="L64" s="131">
        <v>29</v>
      </c>
      <c r="M64" s="131">
        <v>10</v>
      </c>
      <c r="N64" s="131">
        <v>39</v>
      </c>
      <c r="O64" s="131">
        <v>39</v>
      </c>
      <c r="P64" s="130">
        <v>72</v>
      </c>
      <c r="Q64" s="131">
        <v>197</v>
      </c>
      <c r="R64" s="131">
        <v>192</v>
      </c>
      <c r="S64" s="131">
        <v>389</v>
      </c>
      <c r="T64" s="131">
        <v>389</v>
      </c>
    </row>
    <row r="65" spans="1:20" x14ac:dyDescent="0.45">
      <c r="A65" s="130">
        <v>67</v>
      </c>
      <c r="B65" s="131">
        <v>79</v>
      </c>
      <c r="C65" s="131">
        <v>43</v>
      </c>
      <c r="D65" s="131">
        <v>122</v>
      </c>
      <c r="E65" s="131">
        <v>693</v>
      </c>
      <c r="F65" s="130">
        <v>69</v>
      </c>
      <c r="G65" s="131">
        <v>85</v>
      </c>
      <c r="H65" s="131">
        <v>24</v>
      </c>
      <c r="I65" s="131">
        <v>109</v>
      </c>
      <c r="J65" s="131">
        <v>507</v>
      </c>
      <c r="K65" s="130">
        <v>77</v>
      </c>
      <c r="L65" s="131">
        <v>12</v>
      </c>
      <c r="M65" s="131">
        <v>4</v>
      </c>
      <c r="N65" s="131">
        <v>16</v>
      </c>
      <c r="O65" s="131">
        <v>55</v>
      </c>
      <c r="P65" s="130">
        <v>70</v>
      </c>
      <c r="Q65" s="131">
        <v>284</v>
      </c>
      <c r="R65" s="131">
        <v>307</v>
      </c>
      <c r="S65" s="131">
        <v>591</v>
      </c>
      <c r="T65" s="131">
        <v>980</v>
      </c>
    </row>
    <row r="66" spans="1:20" x14ac:dyDescent="0.45">
      <c r="A66" s="130">
        <v>66</v>
      </c>
      <c r="B66" s="131">
        <v>249</v>
      </c>
      <c r="C66" s="131">
        <v>125</v>
      </c>
      <c r="D66" s="131">
        <v>375</v>
      </c>
      <c r="E66" s="131">
        <v>1068</v>
      </c>
      <c r="F66" s="130">
        <v>68</v>
      </c>
      <c r="G66" s="131">
        <v>230</v>
      </c>
      <c r="H66" s="131">
        <v>98</v>
      </c>
      <c r="I66" s="131">
        <v>328</v>
      </c>
      <c r="J66" s="131">
        <v>835</v>
      </c>
      <c r="K66" s="130">
        <v>76</v>
      </c>
      <c r="L66" s="131">
        <v>45</v>
      </c>
      <c r="M66" s="131">
        <v>10</v>
      </c>
      <c r="N66" s="131">
        <v>55</v>
      </c>
      <c r="O66" s="131">
        <v>110</v>
      </c>
      <c r="P66" s="130">
        <v>69</v>
      </c>
      <c r="Q66" s="131">
        <v>6</v>
      </c>
      <c r="R66" s="131">
        <v>5</v>
      </c>
      <c r="S66" s="131">
        <v>11</v>
      </c>
      <c r="T66" s="131">
        <v>991</v>
      </c>
    </row>
    <row r="67" spans="1:20" x14ac:dyDescent="0.45">
      <c r="A67" s="130">
        <v>65</v>
      </c>
      <c r="B67" s="131">
        <v>173</v>
      </c>
      <c r="C67" s="131">
        <v>87</v>
      </c>
      <c r="D67" s="131">
        <v>260</v>
      </c>
      <c r="E67" s="131">
        <v>1328</v>
      </c>
      <c r="F67" s="130">
        <v>67</v>
      </c>
      <c r="G67" s="131">
        <v>16</v>
      </c>
      <c r="H67" s="131">
        <v>8</v>
      </c>
      <c r="I67" s="131">
        <v>24</v>
      </c>
      <c r="J67" s="131">
        <v>859</v>
      </c>
      <c r="K67" s="130">
        <v>75</v>
      </c>
      <c r="L67" s="131">
        <v>1</v>
      </c>
      <c r="M67" s="131">
        <v>1</v>
      </c>
      <c r="N67" s="131">
        <v>2</v>
      </c>
      <c r="O67" s="131">
        <v>112</v>
      </c>
      <c r="P67" s="130">
        <v>68</v>
      </c>
      <c r="Q67" s="131">
        <v>81</v>
      </c>
      <c r="R67" s="131">
        <v>100</v>
      </c>
      <c r="S67" s="131">
        <v>181</v>
      </c>
      <c r="T67" s="131">
        <v>1172</v>
      </c>
    </row>
    <row r="68" spans="1:20" x14ac:dyDescent="0.45">
      <c r="A68" s="130">
        <v>64</v>
      </c>
      <c r="B68" s="131">
        <v>166</v>
      </c>
      <c r="C68" s="131">
        <v>95</v>
      </c>
      <c r="D68" s="131">
        <v>261</v>
      </c>
      <c r="E68" s="131">
        <v>1589</v>
      </c>
      <c r="F68" s="130">
        <v>66</v>
      </c>
      <c r="G68" s="131">
        <v>276</v>
      </c>
      <c r="H68" s="131">
        <v>123</v>
      </c>
      <c r="I68" s="131">
        <v>399</v>
      </c>
      <c r="J68" s="131">
        <v>1258</v>
      </c>
      <c r="K68" s="130">
        <v>74</v>
      </c>
      <c r="L68" s="131">
        <v>38</v>
      </c>
      <c r="M68" s="131">
        <v>9</v>
      </c>
      <c r="N68" s="131">
        <v>47</v>
      </c>
      <c r="O68" s="131">
        <v>159</v>
      </c>
      <c r="P68" s="130">
        <v>67</v>
      </c>
      <c r="Q68" s="131">
        <v>206</v>
      </c>
      <c r="R68" s="131">
        <v>221</v>
      </c>
      <c r="S68" s="131">
        <v>428</v>
      </c>
      <c r="T68" s="131">
        <v>1600</v>
      </c>
    </row>
    <row r="69" spans="1:20" x14ac:dyDescent="0.45">
      <c r="A69" s="130">
        <v>63</v>
      </c>
      <c r="B69" s="131">
        <v>48</v>
      </c>
      <c r="C69" s="131">
        <v>24</v>
      </c>
      <c r="D69" s="131">
        <v>72</v>
      </c>
      <c r="E69" s="131">
        <v>1661</v>
      </c>
      <c r="F69" s="130">
        <v>65</v>
      </c>
      <c r="G69" s="131">
        <v>53</v>
      </c>
      <c r="H69" s="131">
        <v>26</v>
      </c>
      <c r="I69" s="131">
        <v>79</v>
      </c>
      <c r="J69" s="131">
        <v>1337</v>
      </c>
      <c r="K69" s="130">
        <v>73</v>
      </c>
      <c r="L69" s="131">
        <v>52</v>
      </c>
      <c r="M69" s="131">
        <v>12</v>
      </c>
      <c r="N69" s="131">
        <v>64</v>
      </c>
      <c r="O69" s="131">
        <v>223</v>
      </c>
      <c r="P69" s="130">
        <v>66</v>
      </c>
      <c r="Q69" s="131">
        <v>23</v>
      </c>
      <c r="R69" s="131">
        <v>27</v>
      </c>
      <c r="S69" s="131">
        <v>50</v>
      </c>
      <c r="T69" s="131">
        <v>1650</v>
      </c>
    </row>
    <row r="70" spans="1:20" x14ac:dyDescent="0.45">
      <c r="A70" s="130">
        <v>62</v>
      </c>
      <c r="B70" s="131">
        <v>275</v>
      </c>
      <c r="C70" s="131">
        <v>180</v>
      </c>
      <c r="D70" s="131">
        <v>458</v>
      </c>
      <c r="E70" s="131">
        <v>2119</v>
      </c>
      <c r="F70" s="130">
        <v>64</v>
      </c>
      <c r="G70" s="131">
        <v>130</v>
      </c>
      <c r="H70" s="131">
        <v>83</v>
      </c>
      <c r="I70" s="131">
        <v>214</v>
      </c>
      <c r="J70" s="131">
        <v>1551</v>
      </c>
      <c r="K70" s="130">
        <v>72</v>
      </c>
      <c r="L70" s="131">
        <v>9</v>
      </c>
      <c r="M70" s="131">
        <v>0</v>
      </c>
      <c r="N70" s="131">
        <v>9</v>
      </c>
      <c r="O70" s="131">
        <v>232</v>
      </c>
      <c r="P70" s="130">
        <v>65</v>
      </c>
      <c r="Q70" s="131">
        <v>358</v>
      </c>
      <c r="R70" s="131">
        <v>424</v>
      </c>
      <c r="S70" s="131">
        <v>784</v>
      </c>
      <c r="T70" s="131">
        <v>2434</v>
      </c>
    </row>
    <row r="71" spans="1:20" x14ac:dyDescent="0.45">
      <c r="A71" s="130">
        <v>61</v>
      </c>
      <c r="B71" s="131">
        <v>87</v>
      </c>
      <c r="C71" s="131">
        <v>49</v>
      </c>
      <c r="D71" s="131">
        <v>136</v>
      </c>
      <c r="E71" s="131">
        <v>2255</v>
      </c>
      <c r="F71" s="130">
        <v>63</v>
      </c>
      <c r="G71" s="131">
        <v>170</v>
      </c>
      <c r="H71" s="131">
        <v>86</v>
      </c>
      <c r="I71" s="131">
        <v>257</v>
      </c>
      <c r="J71" s="131">
        <v>1808</v>
      </c>
      <c r="K71" s="130">
        <v>71</v>
      </c>
      <c r="L71" s="131">
        <v>41</v>
      </c>
      <c r="M71" s="131">
        <v>10</v>
      </c>
      <c r="N71" s="131">
        <v>51</v>
      </c>
      <c r="O71" s="131">
        <v>283</v>
      </c>
      <c r="P71" s="130">
        <v>64</v>
      </c>
      <c r="Q71" s="131">
        <v>74</v>
      </c>
      <c r="R71" s="131">
        <v>75</v>
      </c>
      <c r="S71" s="131">
        <v>150</v>
      </c>
      <c r="T71" s="131">
        <v>2584</v>
      </c>
    </row>
    <row r="72" spans="1:20" x14ac:dyDescent="0.45">
      <c r="A72" s="130">
        <v>60</v>
      </c>
      <c r="B72" s="131">
        <v>174</v>
      </c>
      <c r="C72" s="131">
        <v>106</v>
      </c>
      <c r="D72" s="131">
        <v>280</v>
      </c>
      <c r="E72" s="131">
        <v>2535</v>
      </c>
      <c r="F72" s="130">
        <v>62</v>
      </c>
      <c r="G72" s="131">
        <v>117</v>
      </c>
      <c r="H72" s="131">
        <v>62</v>
      </c>
      <c r="I72" s="131">
        <v>179</v>
      </c>
      <c r="J72" s="131">
        <v>1987</v>
      </c>
      <c r="K72" s="130">
        <v>70</v>
      </c>
      <c r="L72" s="131">
        <v>34</v>
      </c>
      <c r="M72" s="131">
        <v>11</v>
      </c>
      <c r="N72" s="131">
        <v>45</v>
      </c>
      <c r="O72" s="131">
        <v>328</v>
      </c>
      <c r="P72" s="130">
        <v>63</v>
      </c>
      <c r="Q72" s="131">
        <v>175</v>
      </c>
      <c r="R72" s="131">
        <v>239</v>
      </c>
      <c r="S72" s="131">
        <v>414</v>
      </c>
      <c r="T72" s="131">
        <v>2998</v>
      </c>
    </row>
    <row r="73" spans="1:20" x14ac:dyDescent="0.45">
      <c r="A73" s="130">
        <v>59</v>
      </c>
      <c r="B73" s="131">
        <v>233</v>
      </c>
      <c r="C73" s="131">
        <v>153</v>
      </c>
      <c r="D73" s="131">
        <v>386</v>
      </c>
      <c r="E73" s="131">
        <v>2921</v>
      </c>
      <c r="F73" s="130">
        <v>61</v>
      </c>
      <c r="G73" s="131">
        <v>74</v>
      </c>
      <c r="H73" s="131">
        <v>65</v>
      </c>
      <c r="I73" s="131">
        <v>139</v>
      </c>
      <c r="J73" s="131">
        <v>2126</v>
      </c>
      <c r="K73" s="130">
        <v>69</v>
      </c>
      <c r="L73" s="131">
        <v>17</v>
      </c>
      <c r="M73" s="131">
        <v>5</v>
      </c>
      <c r="N73" s="131">
        <v>22</v>
      </c>
      <c r="O73" s="131">
        <v>350</v>
      </c>
      <c r="P73" s="130">
        <v>62</v>
      </c>
      <c r="Q73" s="131">
        <v>118</v>
      </c>
      <c r="R73" s="131">
        <v>179</v>
      </c>
      <c r="S73" s="131">
        <v>298</v>
      </c>
      <c r="T73" s="131">
        <v>3296</v>
      </c>
    </row>
    <row r="74" spans="1:20" x14ac:dyDescent="0.45">
      <c r="A74" s="130">
        <v>58</v>
      </c>
      <c r="B74" s="131">
        <v>124</v>
      </c>
      <c r="C74" s="131">
        <v>107</v>
      </c>
      <c r="D74" s="131">
        <v>232</v>
      </c>
      <c r="E74" s="131">
        <v>3153</v>
      </c>
      <c r="F74" s="130">
        <v>60</v>
      </c>
      <c r="G74" s="131">
        <v>200</v>
      </c>
      <c r="H74" s="131">
        <v>108</v>
      </c>
      <c r="I74" s="131">
        <v>309</v>
      </c>
      <c r="J74" s="131">
        <v>2435</v>
      </c>
      <c r="K74" s="130">
        <v>68</v>
      </c>
      <c r="L74" s="131">
        <v>37</v>
      </c>
      <c r="M74" s="131">
        <v>21</v>
      </c>
      <c r="N74" s="131">
        <v>58</v>
      </c>
      <c r="O74" s="131">
        <v>408</v>
      </c>
      <c r="P74" s="130">
        <v>61</v>
      </c>
      <c r="Q74" s="131">
        <v>299</v>
      </c>
      <c r="R74" s="131">
        <v>395</v>
      </c>
      <c r="S74" s="131">
        <v>694</v>
      </c>
      <c r="T74" s="131">
        <v>3990</v>
      </c>
    </row>
    <row r="75" spans="1:20" x14ac:dyDescent="0.45">
      <c r="A75" s="130">
        <v>57</v>
      </c>
      <c r="B75" s="131">
        <v>100</v>
      </c>
      <c r="C75" s="131">
        <v>65</v>
      </c>
      <c r="D75" s="131">
        <v>165</v>
      </c>
      <c r="E75" s="131">
        <v>3318</v>
      </c>
      <c r="F75" s="130">
        <v>59</v>
      </c>
      <c r="G75" s="131">
        <v>104</v>
      </c>
      <c r="H75" s="131">
        <v>37</v>
      </c>
      <c r="I75" s="131">
        <v>141</v>
      </c>
      <c r="J75" s="131">
        <v>2576</v>
      </c>
      <c r="K75" s="130">
        <v>67</v>
      </c>
      <c r="L75" s="131">
        <v>31</v>
      </c>
      <c r="M75" s="131">
        <v>15</v>
      </c>
      <c r="N75" s="131">
        <v>46</v>
      </c>
      <c r="O75" s="131">
        <v>454</v>
      </c>
      <c r="P75" s="130">
        <v>60</v>
      </c>
      <c r="Q75" s="131">
        <v>122</v>
      </c>
      <c r="R75" s="131">
        <v>167</v>
      </c>
      <c r="S75" s="131">
        <v>291</v>
      </c>
      <c r="T75" s="131">
        <v>4281</v>
      </c>
    </row>
    <row r="76" spans="1:20" x14ac:dyDescent="0.45">
      <c r="A76" s="130">
        <v>56</v>
      </c>
      <c r="B76" s="131">
        <v>262</v>
      </c>
      <c r="C76" s="131">
        <v>220</v>
      </c>
      <c r="D76" s="131">
        <v>482</v>
      </c>
      <c r="E76" s="131">
        <v>3800</v>
      </c>
      <c r="F76" s="130">
        <v>58</v>
      </c>
      <c r="G76" s="131">
        <v>93</v>
      </c>
      <c r="H76" s="131">
        <v>66</v>
      </c>
      <c r="I76" s="131">
        <v>159</v>
      </c>
      <c r="J76" s="131">
        <v>2735</v>
      </c>
      <c r="K76" s="130">
        <v>66</v>
      </c>
      <c r="L76" s="131">
        <v>84</v>
      </c>
      <c r="M76" s="131">
        <v>23</v>
      </c>
      <c r="N76" s="131">
        <v>107</v>
      </c>
      <c r="O76" s="131">
        <v>561</v>
      </c>
      <c r="P76" s="130">
        <v>59</v>
      </c>
      <c r="Q76" s="131">
        <v>140</v>
      </c>
      <c r="R76" s="131">
        <v>197</v>
      </c>
      <c r="S76" s="131">
        <v>337</v>
      </c>
      <c r="T76" s="131">
        <v>4618</v>
      </c>
    </row>
    <row r="77" spans="1:20" x14ac:dyDescent="0.45">
      <c r="A77" s="130">
        <v>55</v>
      </c>
      <c r="B77" s="131">
        <v>126</v>
      </c>
      <c r="C77" s="131">
        <v>100</v>
      </c>
      <c r="D77" s="131">
        <v>226</v>
      </c>
      <c r="E77" s="131">
        <v>4026</v>
      </c>
      <c r="F77" s="130">
        <v>57</v>
      </c>
      <c r="G77" s="131">
        <v>200</v>
      </c>
      <c r="H77" s="131">
        <v>114</v>
      </c>
      <c r="I77" s="131">
        <v>315</v>
      </c>
      <c r="J77" s="131">
        <v>3050</v>
      </c>
      <c r="K77" s="130">
        <v>65</v>
      </c>
      <c r="L77" s="131">
        <v>30</v>
      </c>
      <c r="M77" s="131">
        <v>12</v>
      </c>
      <c r="N77" s="131">
        <v>42</v>
      </c>
      <c r="O77" s="131">
        <v>603</v>
      </c>
      <c r="P77" s="130">
        <v>58</v>
      </c>
      <c r="Q77" s="131">
        <v>164</v>
      </c>
      <c r="R77" s="131">
        <v>246</v>
      </c>
      <c r="S77" s="131">
        <v>410</v>
      </c>
      <c r="T77" s="131">
        <v>5028</v>
      </c>
    </row>
    <row r="78" spans="1:20" x14ac:dyDescent="0.45">
      <c r="A78" s="130">
        <v>54</v>
      </c>
      <c r="B78" s="131">
        <v>124</v>
      </c>
      <c r="C78" s="131">
        <v>95</v>
      </c>
      <c r="D78" s="131">
        <v>219</v>
      </c>
      <c r="E78" s="131">
        <v>4245</v>
      </c>
      <c r="F78" s="130">
        <v>56</v>
      </c>
      <c r="G78" s="131">
        <v>103</v>
      </c>
      <c r="H78" s="131">
        <v>70</v>
      </c>
      <c r="I78" s="131">
        <v>173</v>
      </c>
      <c r="J78" s="131">
        <v>3223</v>
      </c>
      <c r="K78" s="130">
        <v>64</v>
      </c>
      <c r="L78" s="131">
        <v>47</v>
      </c>
      <c r="M78" s="131">
        <v>20</v>
      </c>
      <c r="N78" s="131">
        <v>68</v>
      </c>
      <c r="O78" s="131">
        <v>671</v>
      </c>
      <c r="P78" s="130">
        <v>57</v>
      </c>
      <c r="Q78" s="131">
        <v>298</v>
      </c>
      <c r="R78" s="131">
        <v>444</v>
      </c>
      <c r="S78" s="131">
        <v>743</v>
      </c>
      <c r="T78" s="131">
        <v>5771</v>
      </c>
    </row>
    <row r="79" spans="1:20" x14ac:dyDescent="0.45">
      <c r="A79" s="130">
        <v>53</v>
      </c>
      <c r="B79" s="131">
        <v>277</v>
      </c>
      <c r="C79" s="131">
        <v>186</v>
      </c>
      <c r="D79" s="131">
        <v>467</v>
      </c>
      <c r="E79" s="131">
        <v>4712</v>
      </c>
      <c r="F79" s="130">
        <v>55</v>
      </c>
      <c r="G79" s="131">
        <v>103</v>
      </c>
      <c r="H79" s="131">
        <v>77</v>
      </c>
      <c r="I79" s="131">
        <v>181</v>
      </c>
      <c r="J79" s="131">
        <v>3404</v>
      </c>
      <c r="K79" s="130">
        <v>63</v>
      </c>
      <c r="L79" s="131">
        <v>53</v>
      </c>
      <c r="M79" s="131">
        <v>20</v>
      </c>
      <c r="N79" s="131">
        <v>73</v>
      </c>
      <c r="O79" s="131">
        <v>744</v>
      </c>
      <c r="P79" s="130">
        <v>56</v>
      </c>
      <c r="Q79" s="131">
        <v>140</v>
      </c>
      <c r="R79" s="131">
        <v>218</v>
      </c>
      <c r="S79" s="131">
        <v>359</v>
      </c>
      <c r="T79" s="131">
        <v>6130</v>
      </c>
    </row>
    <row r="80" spans="1:20" x14ac:dyDescent="0.45">
      <c r="A80" s="130">
        <v>52</v>
      </c>
      <c r="B80" s="131">
        <v>113</v>
      </c>
      <c r="C80" s="131">
        <v>119</v>
      </c>
      <c r="D80" s="131">
        <v>232</v>
      </c>
      <c r="E80" s="131">
        <v>4944</v>
      </c>
      <c r="F80" s="130">
        <v>54</v>
      </c>
      <c r="G80" s="131">
        <v>219</v>
      </c>
      <c r="H80" s="131">
        <v>121</v>
      </c>
      <c r="I80" s="131">
        <v>341</v>
      </c>
      <c r="J80" s="131">
        <v>3745</v>
      </c>
      <c r="K80" s="130">
        <v>62</v>
      </c>
      <c r="L80" s="131">
        <v>47</v>
      </c>
      <c r="M80" s="131">
        <v>20</v>
      </c>
      <c r="N80" s="131">
        <v>67</v>
      </c>
      <c r="O80" s="131">
        <v>811</v>
      </c>
      <c r="P80" s="130">
        <v>55</v>
      </c>
      <c r="Q80" s="131">
        <v>153</v>
      </c>
      <c r="R80" s="131">
        <v>211</v>
      </c>
      <c r="S80" s="131">
        <v>364</v>
      </c>
      <c r="T80" s="131">
        <v>6494</v>
      </c>
    </row>
    <row r="81" spans="1:20" x14ac:dyDescent="0.45">
      <c r="A81" s="130">
        <v>51</v>
      </c>
      <c r="B81" s="131">
        <v>108</v>
      </c>
      <c r="C81" s="131">
        <v>120</v>
      </c>
      <c r="D81" s="131">
        <v>228</v>
      </c>
      <c r="E81" s="131">
        <v>5172</v>
      </c>
      <c r="F81" s="130">
        <v>53</v>
      </c>
      <c r="G81" s="131">
        <v>136</v>
      </c>
      <c r="H81" s="131">
        <v>71</v>
      </c>
      <c r="I81" s="131">
        <v>208</v>
      </c>
      <c r="J81" s="131">
        <v>3953</v>
      </c>
      <c r="K81" s="130">
        <v>61</v>
      </c>
      <c r="L81" s="131">
        <v>77</v>
      </c>
      <c r="M81" s="131">
        <v>26</v>
      </c>
      <c r="N81" s="131">
        <v>103</v>
      </c>
      <c r="O81" s="131">
        <v>914</v>
      </c>
      <c r="P81" s="130">
        <v>54</v>
      </c>
      <c r="Q81" s="131">
        <v>191</v>
      </c>
      <c r="R81" s="131">
        <v>261</v>
      </c>
      <c r="S81" s="131">
        <v>452</v>
      </c>
      <c r="T81" s="131">
        <v>6946</v>
      </c>
    </row>
    <row r="82" spans="1:20" x14ac:dyDescent="0.45">
      <c r="A82" s="130">
        <v>50</v>
      </c>
      <c r="B82" s="131">
        <v>255</v>
      </c>
      <c r="C82" s="131">
        <v>231</v>
      </c>
      <c r="D82" s="131">
        <v>486</v>
      </c>
      <c r="E82" s="131">
        <v>5658</v>
      </c>
      <c r="F82" s="130">
        <v>52</v>
      </c>
      <c r="G82" s="131">
        <v>134</v>
      </c>
      <c r="H82" s="131">
        <v>69</v>
      </c>
      <c r="I82" s="131">
        <v>203</v>
      </c>
      <c r="J82" s="131">
        <v>4156</v>
      </c>
      <c r="K82" s="130">
        <v>60</v>
      </c>
      <c r="L82" s="131">
        <v>62</v>
      </c>
      <c r="M82" s="131">
        <v>18</v>
      </c>
      <c r="N82" s="131">
        <v>80</v>
      </c>
      <c r="O82" s="131">
        <v>994</v>
      </c>
      <c r="P82" s="130">
        <v>53</v>
      </c>
      <c r="Q82" s="131">
        <v>343</v>
      </c>
      <c r="R82" s="131">
        <v>495</v>
      </c>
      <c r="S82" s="131">
        <v>838</v>
      </c>
      <c r="T82" s="131">
        <v>7784</v>
      </c>
    </row>
    <row r="83" spans="1:20" x14ac:dyDescent="0.45">
      <c r="A83" s="130">
        <v>49</v>
      </c>
      <c r="B83" s="131">
        <v>121</v>
      </c>
      <c r="C83" s="131">
        <v>120</v>
      </c>
      <c r="D83" s="131">
        <v>241</v>
      </c>
      <c r="E83" s="131">
        <v>5899</v>
      </c>
      <c r="F83" s="130">
        <v>51</v>
      </c>
      <c r="G83" s="131">
        <v>267</v>
      </c>
      <c r="H83" s="131">
        <v>165</v>
      </c>
      <c r="I83" s="131">
        <v>432</v>
      </c>
      <c r="J83" s="131">
        <v>4588</v>
      </c>
      <c r="K83" s="130">
        <v>59</v>
      </c>
      <c r="L83" s="131">
        <v>65</v>
      </c>
      <c r="M83" s="131">
        <v>22</v>
      </c>
      <c r="N83" s="131">
        <v>87</v>
      </c>
      <c r="O83" s="131">
        <v>1081</v>
      </c>
      <c r="P83" s="130">
        <v>52</v>
      </c>
      <c r="Q83" s="131">
        <v>178</v>
      </c>
      <c r="R83" s="131">
        <v>281</v>
      </c>
      <c r="S83" s="131">
        <v>459</v>
      </c>
      <c r="T83" s="131">
        <v>8243</v>
      </c>
    </row>
    <row r="84" spans="1:20" x14ac:dyDescent="0.45">
      <c r="A84" s="130">
        <v>48</v>
      </c>
      <c r="B84" s="131">
        <v>117</v>
      </c>
      <c r="C84" s="131">
        <v>107</v>
      </c>
      <c r="D84" s="131">
        <v>224</v>
      </c>
      <c r="E84" s="131">
        <v>6123</v>
      </c>
      <c r="F84" s="130">
        <v>50</v>
      </c>
      <c r="G84" s="131">
        <v>146</v>
      </c>
      <c r="H84" s="131">
        <v>68</v>
      </c>
      <c r="I84" s="131">
        <v>215</v>
      </c>
      <c r="J84" s="131">
        <v>4803</v>
      </c>
      <c r="K84" s="130">
        <v>58</v>
      </c>
      <c r="L84" s="131">
        <v>66</v>
      </c>
      <c r="M84" s="131">
        <v>26</v>
      </c>
      <c r="N84" s="131">
        <v>93</v>
      </c>
      <c r="O84" s="131">
        <v>1174</v>
      </c>
      <c r="P84" s="130">
        <v>51</v>
      </c>
      <c r="Q84" s="131">
        <v>194</v>
      </c>
      <c r="R84" s="131">
        <v>288</v>
      </c>
      <c r="S84" s="131">
        <v>482</v>
      </c>
      <c r="T84" s="131">
        <v>8725</v>
      </c>
    </row>
    <row r="85" spans="1:20" x14ac:dyDescent="0.45">
      <c r="A85" s="130">
        <v>47</v>
      </c>
      <c r="B85" s="131">
        <v>285</v>
      </c>
      <c r="C85" s="131">
        <v>250</v>
      </c>
      <c r="D85" s="131">
        <v>536</v>
      </c>
      <c r="E85" s="131">
        <v>6659</v>
      </c>
      <c r="F85" s="130">
        <v>49</v>
      </c>
      <c r="G85" s="131">
        <v>157</v>
      </c>
      <c r="H85" s="131">
        <v>99</v>
      </c>
      <c r="I85" s="131">
        <v>256</v>
      </c>
      <c r="J85" s="131">
        <v>5059</v>
      </c>
      <c r="K85" s="130">
        <v>57</v>
      </c>
      <c r="L85" s="131">
        <v>62</v>
      </c>
      <c r="M85" s="131">
        <v>32</v>
      </c>
      <c r="N85" s="131">
        <v>94</v>
      </c>
      <c r="O85" s="131">
        <v>1268</v>
      </c>
      <c r="P85" s="130">
        <v>50</v>
      </c>
      <c r="Q85" s="131">
        <v>167</v>
      </c>
      <c r="R85" s="131">
        <v>329</v>
      </c>
      <c r="S85" s="131">
        <v>496</v>
      </c>
      <c r="T85" s="131">
        <v>9221</v>
      </c>
    </row>
    <row r="86" spans="1:20" x14ac:dyDescent="0.45">
      <c r="A86" s="130">
        <v>46</v>
      </c>
      <c r="B86" s="131">
        <v>132</v>
      </c>
      <c r="C86" s="131">
        <v>127</v>
      </c>
      <c r="D86" s="131">
        <v>259</v>
      </c>
      <c r="E86" s="131">
        <v>6918</v>
      </c>
      <c r="F86" s="130">
        <v>48</v>
      </c>
      <c r="G86" s="131">
        <v>316</v>
      </c>
      <c r="H86" s="131">
        <v>209</v>
      </c>
      <c r="I86" s="131">
        <v>527</v>
      </c>
      <c r="J86" s="131">
        <v>5586</v>
      </c>
      <c r="K86" s="130">
        <v>56</v>
      </c>
      <c r="L86" s="131">
        <v>69</v>
      </c>
      <c r="M86" s="131">
        <v>18</v>
      </c>
      <c r="N86" s="131">
        <v>87</v>
      </c>
      <c r="O86" s="131">
        <v>1355</v>
      </c>
      <c r="P86" s="130">
        <v>49</v>
      </c>
      <c r="Q86" s="131">
        <v>200</v>
      </c>
      <c r="R86" s="131">
        <v>304</v>
      </c>
      <c r="S86" s="131">
        <v>505</v>
      </c>
      <c r="T86" s="131">
        <v>9726</v>
      </c>
    </row>
    <row r="87" spans="1:20" x14ac:dyDescent="0.45">
      <c r="A87" s="130">
        <v>45</v>
      </c>
      <c r="B87" s="131">
        <v>136</v>
      </c>
      <c r="C87" s="131">
        <v>131</v>
      </c>
      <c r="D87" s="131">
        <v>267</v>
      </c>
      <c r="E87" s="131">
        <v>7185</v>
      </c>
      <c r="F87" s="130">
        <v>47</v>
      </c>
      <c r="G87" s="131">
        <v>173</v>
      </c>
      <c r="H87" s="131">
        <v>99</v>
      </c>
      <c r="I87" s="131">
        <v>272</v>
      </c>
      <c r="J87" s="131">
        <v>5858</v>
      </c>
      <c r="K87" s="130">
        <v>55</v>
      </c>
      <c r="L87" s="131">
        <v>151</v>
      </c>
      <c r="M87" s="131">
        <v>67</v>
      </c>
      <c r="N87" s="131">
        <v>218</v>
      </c>
      <c r="O87" s="131">
        <v>1573</v>
      </c>
      <c r="P87" s="130">
        <v>48</v>
      </c>
      <c r="Q87" s="131">
        <v>391</v>
      </c>
      <c r="R87" s="131">
        <v>646</v>
      </c>
      <c r="S87" s="131">
        <v>1037</v>
      </c>
      <c r="T87" s="131">
        <v>10763</v>
      </c>
    </row>
    <row r="88" spans="1:20" x14ac:dyDescent="0.45">
      <c r="A88" s="130">
        <v>44</v>
      </c>
      <c r="B88" s="131">
        <v>240</v>
      </c>
      <c r="C88" s="131">
        <v>244</v>
      </c>
      <c r="D88" s="131">
        <v>484</v>
      </c>
      <c r="E88" s="131">
        <v>7669</v>
      </c>
      <c r="F88" s="130">
        <v>46</v>
      </c>
      <c r="G88" s="131">
        <v>169</v>
      </c>
      <c r="H88" s="131">
        <v>121</v>
      </c>
      <c r="I88" s="131">
        <v>290</v>
      </c>
      <c r="J88" s="131">
        <v>6148</v>
      </c>
      <c r="K88" s="130">
        <v>54</v>
      </c>
      <c r="L88" s="131">
        <v>89</v>
      </c>
      <c r="M88" s="131">
        <v>31</v>
      </c>
      <c r="N88" s="131">
        <v>121</v>
      </c>
      <c r="O88" s="131">
        <v>1694</v>
      </c>
      <c r="P88" s="130">
        <v>47</v>
      </c>
      <c r="Q88" s="131">
        <v>211</v>
      </c>
      <c r="R88" s="131">
        <v>325</v>
      </c>
      <c r="S88" s="131">
        <v>536</v>
      </c>
      <c r="T88" s="131">
        <v>11299</v>
      </c>
    </row>
    <row r="89" spans="1:20" x14ac:dyDescent="0.45">
      <c r="A89" s="130">
        <v>43</v>
      </c>
      <c r="B89" s="131">
        <v>146</v>
      </c>
      <c r="C89" s="131">
        <v>148</v>
      </c>
      <c r="D89" s="131">
        <v>294</v>
      </c>
      <c r="E89" s="131">
        <v>7963</v>
      </c>
      <c r="F89" s="130">
        <v>45</v>
      </c>
      <c r="G89" s="131">
        <v>159</v>
      </c>
      <c r="H89" s="131">
        <v>124</v>
      </c>
      <c r="I89" s="131">
        <v>283</v>
      </c>
      <c r="J89" s="131">
        <v>6431</v>
      </c>
      <c r="K89" s="130">
        <v>53</v>
      </c>
      <c r="L89" s="131">
        <v>64</v>
      </c>
      <c r="M89" s="131">
        <v>30</v>
      </c>
      <c r="N89" s="131">
        <v>95</v>
      </c>
      <c r="O89" s="131">
        <v>1789</v>
      </c>
      <c r="P89" s="130">
        <v>46</v>
      </c>
      <c r="Q89" s="131">
        <v>211</v>
      </c>
      <c r="R89" s="131">
        <v>361</v>
      </c>
      <c r="S89" s="131">
        <v>573</v>
      </c>
      <c r="T89" s="131">
        <v>11872</v>
      </c>
    </row>
    <row r="90" spans="1:20" x14ac:dyDescent="0.45">
      <c r="A90" s="130">
        <v>42</v>
      </c>
      <c r="B90" s="131">
        <v>150</v>
      </c>
      <c r="C90" s="131">
        <v>145</v>
      </c>
      <c r="D90" s="131">
        <v>295</v>
      </c>
      <c r="E90" s="131">
        <v>8258</v>
      </c>
      <c r="F90" s="130">
        <v>44</v>
      </c>
      <c r="G90" s="131">
        <v>365</v>
      </c>
      <c r="H90" s="131">
        <v>303</v>
      </c>
      <c r="I90" s="131">
        <v>668</v>
      </c>
      <c r="J90" s="131">
        <v>7099</v>
      </c>
      <c r="K90" s="130">
        <v>52</v>
      </c>
      <c r="L90" s="131">
        <v>75</v>
      </c>
      <c r="M90" s="131">
        <v>45</v>
      </c>
      <c r="N90" s="131">
        <v>120</v>
      </c>
      <c r="O90" s="131">
        <v>1909</v>
      </c>
      <c r="P90" s="130">
        <v>45</v>
      </c>
      <c r="Q90" s="131">
        <v>215</v>
      </c>
      <c r="R90" s="131">
        <v>329</v>
      </c>
      <c r="S90" s="131">
        <v>544</v>
      </c>
      <c r="T90" s="131">
        <v>12416</v>
      </c>
    </row>
    <row r="91" spans="1:20" x14ac:dyDescent="0.45">
      <c r="A91" s="130">
        <v>41</v>
      </c>
      <c r="B91" s="131">
        <v>286</v>
      </c>
      <c r="C91" s="131">
        <v>256</v>
      </c>
      <c r="D91" s="131">
        <v>543</v>
      </c>
      <c r="E91" s="131">
        <v>8801</v>
      </c>
      <c r="F91" s="130">
        <v>43</v>
      </c>
      <c r="G91" s="131">
        <v>188</v>
      </c>
      <c r="H91" s="131">
        <v>128</v>
      </c>
      <c r="I91" s="131">
        <v>317</v>
      </c>
      <c r="J91" s="131">
        <v>7416</v>
      </c>
      <c r="K91" s="130">
        <v>51</v>
      </c>
      <c r="L91" s="131">
        <v>90</v>
      </c>
      <c r="M91" s="131">
        <v>46</v>
      </c>
      <c r="N91" s="131">
        <v>136</v>
      </c>
      <c r="O91" s="131">
        <v>2045</v>
      </c>
      <c r="P91" s="130">
        <v>44</v>
      </c>
      <c r="Q91" s="131">
        <v>560</v>
      </c>
      <c r="R91" s="131">
        <v>702</v>
      </c>
      <c r="S91" s="131">
        <v>1263</v>
      </c>
      <c r="T91" s="131">
        <v>13679</v>
      </c>
    </row>
    <row r="92" spans="1:20" x14ac:dyDescent="0.45">
      <c r="A92" s="130">
        <v>40</v>
      </c>
      <c r="B92" s="131">
        <v>600</v>
      </c>
      <c r="C92" s="131">
        <v>300</v>
      </c>
      <c r="D92" s="131">
        <v>901</v>
      </c>
      <c r="E92" s="131">
        <v>9702</v>
      </c>
      <c r="F92" s="130">
        <v>42</v>
      </c>
      <c r="G92" s="131">
        <v>205</v>
      </c>
      <c r="H92" s="131">
        <v>142</v>
      </c>
      <c r="I92" s="131">
        <v>348</v>
      </c>
      <c r="J92" s="131">
        <v>7764</v>
      </c>
      <c r="K92" s="130">
        <v>50</v>
      </c>
      <c r="L92" s="131">
        <v>80</v>
      </c>
      <c r="M92" s="131">
        <v>36</v>
      </c>
      <c r="N92" s="131">
        <v>116</v>
      </c>
      <c r="O92" s="131">
        <v>2161</v>
      </c>
      <c r="P92" s="130">
        <v>43</v>
      </c>
      <c r="Q92" s="131">
        <v>628</v>
      </c>
      <c r="R92" s="131">
        <v>575</v>
      </c>
      <c r="S92" s="131">
        <v>1204</v>
      </c>
      <c r="T92" s="131">
        <v>14883</v>
      </c>
    </row>
    <row r="93" spans="1:20" x14ac:dyDescent="0.45">
      <c r="A93" s="130">
        <v>39</v>
      </c>
      <c r="B93" s="131">
        <v>152</v>
      </c>
      <c r="C93" s="131">
        <v>118</v>
      </c>
      <c r="D93" s="131">
        <v>271</v>
      </c>
      <c r="E93" s="131">
        <v>9973</v>
      </c>
      <c r="F93" s="130">
        <v>41</v>
      </c>
      <c r="G93" s="131">
        <v>1016</v>
      </c>
      <c r="H93" s="131">
        <v>514</v>
      </c>
      <c r="I93" s="131">
        <v>1538</v>
      </c>
      <c r="J93" s="131">
        <v>9302</v>
      </c>
      <c r="K93" s="130">
        <v>49</v>
      </c>
      <c r="L93" s="131">
        <v>98</v>
      </c>
      <c r="M93" s="131">
        <v>48</v>
      </c>
      <c r="N93" s="131">
        <v>146</v>
      </c>
      <c r="O93" s="131">
        <v>2307</v>
      </c>
      <c r="P93" s="130">
        <v>42</v>
      </c>
      <c r="Q93" s="131">
        <v>312</v>
      </c>
      <c r="R93" s="131">
        <v>328</v>
      </c>
      <c r="S93" s="131">
        <v>640</v>
      </c>
      <c r="T93" s="131">
        <v>15523</v>
      </c>
    </row>
    <row r="94" spans="1:20" x14ac:dyDescent="0.45">
      <c r="A94" s="130">
        <v>38</v>
      </c>
      <c r="B94" s="131">
        <v>498</v>
      </c>
      <c r="C94" s="131">
        <v>329</v>
      </c>
      <c r="D94" s="131">
        <v>831</v>
      </c>
      <c r="E94" s="131">
        <v>10804</v>
      </c>
      <c r="F94" s="130">
        <v>40</v>
      </c>
      <c r="G94" s="131">
        <v>242</v>
      </c>
      <c r="H94" s="131">
        <v>146</v>
      </c>
      <c r="I94" s="131">
        <v>389</v>
      </c>
      <c r="J94" s="131">
        <v>9691</v>
      </c>
      <c r="K94" s="130">
        <v>48</v>
      </c>
      <c r="L94" s="131">
        <v>99</v>
      </c>
      <c r="M94" s="131">
        <v>54</v>
      </c>
      <c r="N94" s="131">
        <v>153</v>
      </c>
      <c r="O94" s="131">
        <v>2460</v>
      </c>
      <c r="P94" s="130">
        <v>41</v>
      </c>
      <c r="Q94" s="131">
        <v>240</v>
      </c>
      <c r="R94" s="131">
        <v>276</v>
      </c>
      <c r="S94" s="131">
        <v>517</v>
      </c>
      <c r="T94" s="131">
        <v>16040</v>
      </c>
    </row>
    <row r="95" spans="1:20" x14ac:dyDescent="0.45">
      <c r="A95" s="130">
        <v>37</v>
      </c>
      <c r="B95" s="131">
        <v>95</v>
      </c>
      <c r="C95" s="131">
        <v>65</v>
      </c>
      <c r="D95" s="131">
        <v>160</v>
      </c>
      <c r="E95" s="131">
        <v>10964</v>
      </c>
      <c r="F95" s="130">
        <v>39</v>
      </c>
      <c r="G95" s="131">
        <v>225</v>
      </c>
      <c r="H95" s="131">
        <v>120</v>
      </c>
      <c r="I95" s="131">
        <v>347</v>
      </c>
      <c r="J95" s="131">
        <v>10038</v>
      </c>
      <c r="K95" s="130">
        <v>47</v>
      </c>
      <c r="L95" s="131">
        <v>115</v>
      </c>
      <c r="M95" s="131">
        <v>56</v>
      </c>
      <c r="N95" s="131">
        <v>171</v>
      </c>
      <c r="O95" s="131">
        <v>2631</v>
      </c>
      <c r="P95" s="130">
        <v>40</v>
      </c>
      <c r="Q95" s="131">
        <v>642</v>
      </c>
      <c r="R95" s="131">
        <v>632</v>
      </c>
      <c r="S95" s="131">
        <v>1279</v>
      </c>
      <c r="T95" s="131">
        <v>17319</v>
      </c>
    </row>
    <row r="96" spans="1:20" x14ac:dyDescent="0.45">
      <c r="A96" s="130">
        <v>36</v>
      </c>
      <c r="B96" s="131">
        <v>165</v>
      </c>
      <c r="C96" s="131">
        <v>88</v>
      </c>
      <c r="D96" s="131">
        <v>253</v>
      </c>
      <c r="E96" s="131">
        <v>11217</v>
      </c>
      <c r="F96" s="130">
        <v>38</v>
      </c>
      <c r="G96" s="131">
        <v>240</v>
      </c>
      <c r="H96" s="131">
        <v>209</v>
      </c>
      <c r="I96" s="131">
        <v>450</v>
      </c>
      <c r="J96" s="131">
        <v>10488</v>
      </c>
      <c r="K96" s="130">
        <v>46</v>
      </c>
      <c r="L96" s="131">
        <v>140</v>
      </c>
      <c r="M96" s="131">
        <v>45</v>
      </c>
      <c r="N96" s="131">
        <v>185</v>
      </c>
      <c r="O96" s="131">
        <v>2816</v>
      </c>
      <c r="P96" s="130">
        <v>39</v>
      </c>
      <c r="Q96" s="131">
        <v>189</v>
      </c>
      <c r="R96" s="131">
        <v>214</v>
      </c>
      <c r="S96" s="131">
        <v>404</v>
      </c>
      <c r="T96" s="131">
        <v>17723</v>
      </c>
    </row>
    <row r="97" spans="1:20" x14ac:dyDescent="0.45">
      <c r="A97" s="130">
        <v>35</v>
      </c>
      <c r="B97" s="131">
        <v>115</v>
      </c>
      <c r="C97" s="131">
        <v>80</v>
      </c>
      <c r="D97" s="131">
        <v>195</v>
      </c>
      <c r="E97" s="131">
        <v>11412</v>
      </c>
      <c r="F97" s="130">
        <v>37</v>
      </c>
      <c r="G97" s="131">
        <v>56</v>
      </c>
      <c r="H97" s="131">
        <v>49</v>
      </c>
      <c r="I97" s="131">
        <v>105</v>
      </c>
      <c r="J97" s="131">
        <v>10593</v>
      </c>
      <c r="K97" s="130">
        <v>45</v>
      </c>
      <c r="L97" s="131">
        <v>127</v>
      </c>
      <c r="M97" s="131">
        <v>71</v>
      </c>
      <c r="N97" s="131">
        <v>198</v>
      </c>
      <c r="O97" s="131">
        <v>3014</v>
      </c>
      <c r="P97" s="130">
        <v>38</v>
      </c>
      <c r="Q97" s="131">
        <v>172</v>
      </c>
      <c r="R97" s="131">
        <v>146</v>
      </c>
      <c r="S97" s="131">
        <v>318</v>
      </c>
      <c r="T97" s="131">
        <v>18041</v>
      </c>
    </row>
    <row r="98" spans="1:20" x14ac:dyDescent="0.45">
      <c r="A98" s="130">
        <v>34</v>
      </c>
      <c r="B98" s="131">
        <v>35</v>
      </c>
      <c r="C98" s="131">
        <v>20</v>
      </c>
      <c r="D98" s="131">
        <v>55</v>
      </c>
      <c r="E98" s="131">
        <v>11467</v>
      </c>
      <c r="F98" s="130">
        <v>36</v>
      </c>
      <c r="G98" s="131">
        <v>84</v>
      </c>
      <c r="H98" s="131">
        <v>47</v>
      </c>
      <c r="I98" s="131">
        <v>133</v>
      </c>
      <c r="J98" s="131">
        <v>10726</v>
      </c>
      <c r="K98" s="130">
        <v>44</v>
      </c>
      <c r="L98" s="131">
        <v>532</v>
      </c>
      <c r="M98" s="131">
        <v>182</v>
      </c>
      <c r="N98" s="131">
        <v>717</v>
      </c>
      <c r="O98" s="131">
        <v>3731</v>
      </c>
      <c r="P98" s="130">
        <v>37</v>
      </c>
      <c r="Q98" s="131">
        <v>878</v>
      </c>
      <c r="R98" s="131">
        <v>589</v>
      </c>
      <c r="S98" s="131">
        <v>1473</v>
      </c>
      <c r="T98" s="131">
        <v>19514</v>
      </c>
    </row>
    <row r="99" spans="1:20" x14ac:dyDescent="0.45">
      <c r="A99" s="130">
        <v>33</v>
      </c>
      <c r="B99" s="131">
        <v>35</v>
      </c>
      <c r="C99" s="131">
        <v>15</v>
      </c>
      <c r="D99" s="131">
        <v>50</v>
      </c>
      <c r="E99" s="131">
        <v>11517</v>
      </c>
      <c r="F99" s="130">
        <v>35</v>
      </c>
      <c r="G99" s="131">
        <v>65</v>
      </c>
      <c r="H99" s="131">
        <v>56</v>
      </c>
      <c r="I99" s="131">
        <v>121</v>
      </c>
      <c r="J99" s="131">
        <v>10847</v>
      </c>
      <c r="K99" s="130">
        <v>43</v>
      </c>
      <c r="L99" s="131">
        <v>134</v>
      </c>
      <c r="M99" s="131">
        <v>46</v>
      </c>
      <c r="N99" s="131">
        <v>181</v>
      </c>
      <c r="O99" s="131">
        <v>3912</v>
      </c>
      <c r="P99" s="130">
        <v>36</v>
      </c>
      <c r="Q99" s="131">
        <v>267</v>
      </c>
      <c r="R99" s="131">
        <v>192</v>
      </c>
      <c r="S99" s="131">
        <v>463</v>
      </c>
      <c r="T99" s="131">
        <v>19977</v>
      </c>
    </row>
    <row r="100" spans="1:20" x14ac:dyDescent="0.45">
      <c r="A100" s="130">
        <v>32</v>
      </c>
      <c r="B100" s="131">
        <v>18</v>
      </c>
      <c r="C100" s="131">
        <v>13</v>
      </c>
      <c r="D100" s="131">
        <v>31</v>
      </c>
      <c r="E100" s="131">
        <v>11548</v>
      </c>
      <c r="F100" s="130">
        <v>34</v>
      </c>
      <c r="G100" s="131">
        <v>27</v>
      </c>
      <c r="H100" s="131">
        <v>16</v>
      </c>
      <c r="I100" s="131">
        <v>43</v>
      </c>
      <c r="J100" s="131">
        <v>10890</v>
      </c>
      <c r="K100" s="130">
        <v>42</v>
      </c>
      <c r="L100" s="131">
        <v>507</v>
      </c>
      <c r="M100" s="131">
        <v>159</v>
      </c>
      <c r="N100" s="131">
        <v>668</v>
      </c>
      <c r="O100" s="131">
        <v>4580</v>
      </c>
      <c r="P100" s="130">
        <v>35</v>
      </c>
      <c r="Q100" s="131">
        <v>62</v>
      </c>
      <c r="R100" s="131">
        <v>54</v>
      </c>
      <c r="S100" s="131">
        <v>116</v>
      </c>
      <c r="T100" s="131">
        <v>20093</v>
      </c>
    </row>
    <row r="101" spans="1:20" x14ac:dyDescent="0.45">
      <c r="A101" s="130">
        <v>31</v>
      </c>
      <c r="B101" s="131">
        <v>13</v>
      </c>
      <c r="C101" s="131">
        <v>5</v>
      </c>
      <c r="D101" s="131">
        <v>18</v>
      </c>
      <c r="E101" s="131">
        <v>11566</v>
      </c>
      <c r="F101" s="130">
        <v>32</v>
      </c>
      <c r="G101" s="131">
        <v>9</v>
      </c>
      <c r="H101" s="131">
        <v>7</v>
      </c>
      <c r="I101" s="131">
        <v>16</v>
      </c>
      <c r="J101" s="131">
        <v>10906</v>
      </c>
      <c r="K101" s="130">
        <v>41</v>
      </c>
      <c r="L101" s="131">
        <v>156</v>
      </c>
      <c r="M101" s="131">
        <v>49</v>
      </c>
      <c r="N101" s="131">
        <v>205</v>
      </c>
      <c r="O101" s="131">
        <v>4785</v>
      </c>
      <c r="P101" s="130">
        <v>34</v>
      </c>
      <c r="Q101" s="131">
        <v>33</v>
      </c>
      <c r="R101" s="131">
        <v>20</v>
      </c>
      <c r="S101" s="131">
        <v>53</v>
      </c>
      <c r="T101" s="131">
        <v>20146</v>
      </c>
    </row>
    <row r="102" spans="1:20" x14ac:dyDescent="0.45">
      <c r="A102" s="130"/>
      <c r="B102" s="131"/>
      <c r="C102" s="131"/>
      <c r="D102" s="131"/>
      <c r="E102" s="131"/>
      <c r="F102" s="130"/>
      <c r="G102" s="131"/>
      <c r="H102" s="131"/>
      <c r="I102" s="131"/>
      <c r="J102" s="131"/>
      <c r="K102" s="130">
        <v>40</v>
      </c>
      <c r="L102" s="131">
        <v>106</v>
      </c>
      <c r="M102" s="131">
        <v>36</v>
      </c>
      <c r="N102" s="131">
        <v>142</v>
      </c>
      <c r="O102" s="131">
        <v>4927</v>
      </c>
      <c r="P102" s="130">
        <v>33</v>
      </c>
      <c r="Q102" s="131">
        <v>40</v>
      </c>
      <c r="R102" s="131">
        <v>28</v>
      </c>
      <c r="S102" s="131">
        <v>68</v>
      </c>
      <c r="T102" s="131">
        <v>20214</v>
      </c>
    </row>
    <row r="103" spans="1:20" x14ac:dyDescent="0.45">
      <c r="A103" s="130"/>
      <c r="B103" s="131"/>
      <c r="C103" s="131"/>
      <c r="D103" s="131"/>
      <c r="E103" s="131"/>
      <c r="F103" s="130"/>
      <c r="G103" s="131"/>
      <c r="H103" s="131"/>
      <c r="I103" s="131"/>
      <c r="J103" s="131"/>
      <c r="K103" s="130">
        <v>39</v>
      </c>
      <c r="L103" s="131">
        <v>86</v>
      </c>
      <c r="M103" s="131">
        <v>24</v>
      </c>
      <c r="N103" s="131">
        <v>110</v>
      </c>
      <c r="O103" s="131">
        <v>5037</v>
      </c>
      <c r="P103" s="130">
        <v>31</v>
      </c>
      <c r="Q103" s="131">
        <v>17</v>
      </c>
      <c r="R103" s="131">
        <v>11</v>
      </c>
      <c r="S103" s="131">
        <v>28</v>
      </c>
      <c r="T103" s="131">
        <v>20242</v>
      </c>
    </row>
    <row r="104" spans="1:20" x14ac:dyDescent="0.45">
      <c r="A104" s="130"/>
      <c r="B104" s="131"/>
      <c r="C104" s="131"/>
      <c r="D104" s="131"/>
      <c r="E104" s="131"/>
      <c r="F104" s="130"/>
      <c r="G104" s="131"/>
      <c r="H104" s="131"/>
      <c r="I104" s="131"/>
      <c r="J104" s="131"/>
      <c r="K104" s="130">
        <v>38</v>
      </c>
      <c r="L104" s="131">
        <v>60</v>
      </c>
      <c r="M104" s="131">
        <v>30</v>
      </c>
      <c r="N104" s="131">
        <v>90</v>
      </c>
      <c r="O104" s="131">
        <v>5127</v>
      </c>
      <c r="P104" s="130"/>
      <c r="Q104" s="131"/>
      <c r="R104" s="131"/>
      <c r="S104" s="131"/>
      <c r="T104" s="131"/>
    </row>
    <row r="105" spans="1:20" x14ac:dyDescent="0.45">
      <c r="A105" s="130"/>
      <c r="B105" s="131"/>
      <c r="C105" s="131"/>
      <c r="D105" s="131"/>
      <c r="E105" s="131"/>
      <c r="F105" s="130"/>
      <c r="G105" s="131"/>
      <c r="H105" s="131"/>
      <c r="I105" s="131"/>
      <c r="J105" s="131"/>
      <c r="K105" s="130">
        <v>37</v>
      </c>
      <c r="L105" s="131">
        <v>72</v>
      </c>
      <c r="M105" s="131">
        <v>25</v>
      </c>
      <c r="N105" s="131">
        <v>97</v>
      </c>
      <c r="O105" s="131">
        <v>5224</v>
      </c>
      <c r="P105" s="130"/>
      <c r="Q105" s="131"/>
      <c r="R105" s="131"/>
      <c r="S105" s="131"/>
      <c r="T105" s="131"/>
    </row>
    <row r="106" spans="1:20" x14ac:dyDescent="0.45">
      <c r="A106" s="130"/>
      <c r="B106" s="131"/>
      <c r="C106" s="131"/>
      <c r="D106" s="131"/>
      <c r="E106" s="131"/>
      <c r="F106" s="130"/>
      <c r="G106" s="131"/>
      <c r="H106" s="131"/>
      <c r="I106" s="131"/>
      <c r="J106" s="131"/>
      <c r="K106" s="130">
        <v>36</v>
      </c>
      <c r="L106" s="131">
        <v>22</v>
      </c>
      <c r="M106" s="131">
        <v>6</v>
      </c>
      <c r="N106" s="131">
        <v>28</v>
      </c>
      <c r="O106" s="131">
        <v>5252</v>
      </c>
      <c r="P106" s="130"/>
      <c r="Q106" s="131"/>
      <c r="R106" s="131"/>
      <c r="S106" s="131"/>
      <c r="T106" s="131"/>
    </row>
    <row r="107" spans="1:20" x14ac:dyDescent="0.45">
      <c r="A107" s="130"/>
      <c r="B107" s="131"/>
      <c r="C107" s="131"/>
      <c r="D107" s="131"/>
      <c r="E107" s="131"/>
      <c r="F107" s="130"/>
      <c r="G107" s="131"/>
      <c r="H107" s="131"/>
      <c r="I107" s="131"/>
      <c r="J107" s="131"/>
      <c r="K107" s="130">
        <v>35</v>
      </c>
      <c r="L107" s="131">
        <v>18</v>
      </c>
      <c r="M107" s="131">
        <v>6</v>
      </c>
      <c r="N107" s="131">
        <v>24</v>
      </c>
      <c r="O107" s="131">
        <v>5276</v>
      </c>
      <c r="P107" s="130"/>
      <c r="Q107" s="131"/>
      <c r="R107" s="131"/>
      <c r="S107" s="131"/>
      <c r="T107" s="131"/>
    </row>
    <row r="108" spans="1:20" x14ac:dyDescent="0.45">
      <c r="A108" s="130"/>
      <c r="B108" s="131"/>
      <c r="C108" s="131"/>
      <c r="D108" s="131"/>
      <c r="E108" s="131"/>
      <c r="F108" s="130"/>
      <c r="G108" s="131"/>
      <c r="H108" s="131"/>
      <c r="I108" s="131"/>
      <c r="J108" s="131"/>
      <c r="K108" s="130">
        <v>34</v>
      </c>
      <c r="L108" s="131">
        <v>19</v>
      </c>
      <c r="M108" s="131">
        <v>4</v>
      </c>
      <c r="N108" s="131">
        <v>23</v>
      </c>
      <c r="O108" s="131">
        <v>5299</v>
      </c>
      <c r="P108" s="130"/>
      <c r="Q108" s="131"/>
      <c r="R108" s="131"/>
      <c r="S108" s="131"/>
      <c r="T108" s="131"/>
    </row>
    <row r="109" spans="1:20" x14ac:dyDescent="0.45">
      <c r="A109" s="131"/>
      <c r="B109" s="131"/>
      <c r="C109" s="131"/>
      <c r="D109" s="131"/>
      <c r="E109" s="131"/>
      <c r="F109" s="130"/>
      <c r="G109" s="131"/>
      <c r="H109" s="131"/>
      <c r="I109" s="131"/>
      <c r="J109" s="131"/>
      <c r="K109" s="130">
        <v>33</v>
      </c>
      <c r="L109" s="131">
        <v>5</v>
      </c>
      <c r="M109" s="131">
        <v>2</v>
      </c>
      <c r="N109" s="131">
        <v>7</v>
      </c>
      <c r="O109" s="131">
        <v>5306</v>
      </c>
      <c r="P109" s="130"/>
      <c r="Q109" s="131"/>
      <c r="R109" s="131"/>
      <c r="S109" s="131"/>
      <c r="T109" s="131"/>
    </row>
    <row r="110" spans="1:20" x14ac:dyDescent="0.45">
      <c r="A110" s="6"/>
      <c r="B110" s="1"/>
      <c r="C110" s="1"/>
      <c r="D110" s="7"/>
      <c r="F110" s="6"/>
      <c r="G110" s="1"/>
      <c r="H110" s="1"/>
      <c r="I110" s="7"/>
      <c r="K110" s="6"/>
      <c r="L110" s="1"/>
      <c r="M110" s="1"/>
      <c r="N110" s="7"/>
      <c r="P110" s="6"/>
      <c r="Q110" s="1"/>
      <c r="R110" s="1"/>
      <c r="S110" s="7"/>
    </row>
    <row r="111" spans="1:20" ht="17.5" thickBot="1" x14ac:dyDescent="0.5">
      <c r="A111" s="8"/>
      <c r="B111" s="9"/>
      <c r="C111" s="9"/>
      <c r="D111" s="2"/>
      <c r="F111" s="8"/>
      <c r="G111" s="9"/>
      <c r="H111" s="9"/>
      <c r="I111" s="2"/>
      <c r="K111" s="8"/>
      <c r="L111" s="9"/>
      <c r="M111" s="9"/>
      <c r="N111" s="2"/>
      <c r="P111" s="8"/>
      <c r="Q111" s="9"/>
      <c r="R111" s="9"/>
      <c r="S111" s="2"/>
    </row>
    <row r="118" spans="1:5" ht="17.5" thickBot="1" x14ac:dyDescent="0.5"/>
    <row r="119" spans="1:5" x14ac:dyDescent="0.45">
      <c r="A119" s="12" t="s">
        <v>16</v>
      </c>
      <c r="B119" s="13"/>
      <c r="C119" s="13"/>
      <c r="D119" s="14"/>
    </row>
    <row r="120" spans="1:5" x14ac:dyDescent="0.45">
      <c r="A120" s="6" t="s">
        <v>1</v>
      </c>
      <c r="B120" s="1"/>
      <c r="C120" s="1"/>
      <c r="D120" s="7" t="s">
        <v>0</v>
      </c>
    </row>
    <row r="121" spans="1:5" x14ac:dyDescent="0.45">
      <c r="A121" s="136">
        <v>77</v>
      </c>
      <c r="B121" s="137">
        <v>48</v>
      </c>
      <c r="C121" s="137">
        <v>44</v>
      </c>
      <c r="D121" s="137">
        <v>93</v>
      </c>
      <c r="E121" s="137">
        <v>93</v>
      </c>
    </row>
    <row r="122" spans="1:5" x14ac:dyDescent="0.45">
      <c r="A122" s="136">
        <v>75</v>
      </c>
      <c r="B122" s="137">
        <v>17</v>
      </c>
      <c r="C122" s="137">
        <v>19</v>
      </c>
      <c r="D122" s="137">
        <v>36</v>
      </c>
      <c r="E122" s="137">
        <v>129</v>
      </c>
    </row>
    <row r="123" spans="1:5" x14ac:dyDescent="0.45">
      <c r="A123" s="136">
        <v>74</v>
      </c>
      <c r="B123" s="137">
        <v>239</v>
      </c>
      <c r="C123" s="137">
        <v>276</v>
      </c>
      <c r="D123" s="137">
        <v>515</v>
      </c>
      <c r="E123" s="137">
        <v>644</v>
      </c>
    </row>
    <row r="124" spans="1:5" x14ac:dyDescent="0.45">
      <c r="A124" s="136">
        <v>73</v>
      </c>
      <c r="B124" s="137">
        <v>4</v>
      </c>
      <c r="C124" s="137">
        <v>4</v>
      </c>
      <c r="D124" s="137">
        <v>8</v>
      </c>
      <c r="E124" s="137">
        <v>652</v>
      </c>
    </row>
    <row r="125" spans="1:5" x14ac:dyDescent="0.45">
      <c r="A125" s="136">
        <v>72</v>
      </c>
      <c r="B125" s="137">
        <v>132</v>
      </c>
      <c r="C125" s="137">
        <v>162</v>
      </c>
      <c r="D125" s="137">
        <v>294</v>
      </c>
      <c r="E125" s="137">
        <v>946</v>
      </c>
    </row>
    <row r="126" spans="1:5" x14ac:dyDescent="0.45">
      <c r="A126" s="136">
        <v>71</v>
      </c>
      <c r="B126" s="137">
        <v>423</v>
      </c>
      <c r="C126" s="137">
        <v>590</v>
      </c>
      <c r="D126" s="137">
        <v>1013</v>
      </c>
      <c r="E126" s="137">
        <v>1959</v>
      </c>
    </row>
    <row r="127" spans="1:5" x14ac:dyDescent="0.45">
      <c r="A127" s="136">
        <v>70</v>
      </c>
      <c r="B127" s="137">
        <v>43</v>
      </c>
      <c r="C127" s="137">
        <v>55</v>
      </c>
      <c r="D127" s="137">
        <v>98</v>
      </c>
      <c r="E127" s="137">
        <v>2057</v>
      </c>
    </row>
    <row r="128" spans="1:5" x14ac:dyDescent="0.45">
      <c r="A128" s="136">
        <v>69</v>
      </c>
      <c r="B128" s="137">
        <v>380</v>
      </c>
      <c r="C128" s="137">
        <v>474</v>
      </c>
      <c r="D128" s="137">
        <v>855</v>
      </c>
      <c r="E128" s="137">
        <v>2912</v>
      </c>
    </row>
    <row r="129" spans="1:5" x14ac:dyDescent="0.45">
      <c r="A129" s="136">
        <v>68</v>
      </c>
      <c r="B129" s="137">
        <v>553</v>
      </c>
      <c r="C129" s="137">
        <v>896</v>
      </c>
      <c r="D129" s="137">
        <v>1450</v>
      </c>
      <c r="E129" s="137">
        <v>4362</v>
      </c>
    </row>
    <row r="130" spans="1:5" x14ac:dyDescent="0.45">
      <c r="A130" s="136">
        <v>67</v>
      </c>
      <c r="B130" s="137">
        <v>170</v>
      </c>
      <c r="C130" s="137">
        <v>234</v>
      </c>
      <c r="D130" s="137">
        <v>404</v>
      </c>
      <c r="E130" s="137">
        <v>4766</v>
      </c>
    </row>
    <row r="131" spans="1:5" x14ac:dyDescent="0.45">
      <c r="A131" s="136">
        <v>66</v>
      </c>
      <c r="B131" s="137">
        <v>687</v>
      </c>
      <c r="C131" s="137">
        <v>1020</v>
      </c>
      <c r="D131" s="137">
        <v>1707</v>
      </c>
      <c r="E131" s="137">
        <v>6473</v>
      </c>
    </row>
    <row r="132" spans="1:5" x14ac:dyDescent="0.45">
      <c r="A132" s="136">
        <v>65</v>
      </c>
      <c r="B132" s="137">
        <v>639</v>
      </c>
      <c r="C132" s="137">
        <v>1061</v>
      </c>
      <c r="D132" s="137">
        <v>1702</v>
      </c>
      <c r="E132" s="137">
        <v>8175</v>
      </c>
    </row>
    <row r="133" spans="1:5" x14ac:dyDescent="0.45">
      <c r="A133" s="136">
        <v>64</v>
      </c>
      <c r="B133" s="137">
        <v>483</v>
      </c>
      <c r="C133" s="137">
        <v>787</v>
      </c>
      <c r="D133" s="137">
        <v>1270</v>
      </c>
      <c r="E133" s="137">
        <v>9445</v>
      </c>
    </row>
    <row r="134" spans="1:5" x14ac:dyDescent="0.45">
      <c r="A134" s="136">
        <v>63</v>
      </c>
      <c r="B134" s="137">
        <v>999</v>
      </c>
      <c r="C134" s="137">
        <v>1639</v>
      </c>
      <c r="D134" s="137">
        <v>2640</v>
      </c>
      <c r="E134" s="137">
        <v>12085</v>
      </c>
    </row>
    <row r="135" spans="1:5" x14ac:dyDescent="0.45">
      <c r="A135" s="136">
        <v>62</v>
      </c>
      <c r="B135" s="137">
        <v>738</v>
      </c>
      <c r="C135" s="137">
        <v>1217</v>
      </c>
      <c r="D135" s="137">
        <v>1956</v>
      </c>
      <c r="E135" s="137">
        <v>14041</v>
      </c>
    </row>
    <row r="136" spans="1:5" x14ac:dyDescent="0.45">
      <c r="A136" s="136">
        <v>61</v>
      </c>
      <c r="B136" s="137">
        <v>940</v>
      </c>
      <c r="C136" s="137">
        <v>1541</v>
      </c>
      <c r="D136" s="137">
        <v>2483</v>
      </c>
      <c r="E136" s="137">
        <v>16524</v>
      </c>
    </row>
    <row r="137" spans="1:5" x14ac:dyDescent="0.45">
      <c r="A137" s="136">
        <v>60</v>
      </c>
      <c r="B137" s="137">
        <v>1069</v>
      </c>
      <c r="C137" s="137">
        <v>1881</v>
      </c>
      <c r="D137" s="137">
        <v>2954</v>
      </c>
      <c r="E137" s="137">
        <v>19478</v>
      </c>
    </row>
    <row r="138" spans="1:5" x14ac:dyDescent="0.45">
      <c r="A138" s="136">
        <v>59</v>
      </c>
      <c r="B138" s="137">
        <v>912</v>
      </c>
      <c r="C138" s="137">
        <v>1596</v>
      </c>
      <c r="D138" s="137">
        <v>2509</v>
      </c>
      <c r="E138" s="137">
        <v>21987</v>
      </c>
    </row>
    <row r="139" spans="1:5" x14ac:dyDescent="0.45">
      <c r="A139" s="136">
        <v>58</v>
      </c>
      <c r="B139" s="137">
        <v>1270</v>
      </c>
      <c r="C139" s="137">
        <v>2262</v>
      </c>
      <c r="D139" s="137">
        <v>3533</v>
      </c>
      <c r="E139" s="137">
        <v>25520</v>
      </c>
    </row>
    <row r="140" spans="1:5" x14ac:dyDescent="0.45">
      <c r="A140" s="136">
        <v>57</v>
      </c>
      <c r="B140" s="137">
        <v>1106</v>
      </c>
      <c r="C140" s="137">
        <v>1849</v>
      </c>
      <c r="D140" s="137">
        <v>2959</v>
      </c>
      <c r="E140" s="137">
        <v>28479</v>
      </c>
    </row>
    <row r="141" spans="1:5" x14ac:dyDescent="0.45">
      <c r="A141" s="136">
        <v>56</v>
      </c>
      <c r="B141" s="137">
        <v>1311</v>
      </c>
      <c r="C141" s="137">
        <v>2207</v>
      </c>
      <c r="D141" s="137">
        <v>3522</v>
      </c>
      <c r="E141" s="137">
        <v>32001</v>
      </c>
    </row>
    <row r="142" spans="1:5" x14ac:dyDescent="0.45">
      <c r="A142" s="136">
        <v>55</v>
      </c>
      <c r="B142" s="137">
        <v>1172</v>
      </c>
      <c r="C142" s="137">
        <v>2213</v>
      </c>
      <c r="D142" s="137">
        <v>3388</v>
      </c>
      <c r="E142" s="137">
        <v>35389</v>
      </c>
    </row>
    <row r="143" spans="1:5" x14ac:dyDescent="0.45">
      <c r="A143" s="136">
        <v>54</v>
      </c>
      <c r="B143" s="137">
        <v>1139</v>
      </c>
      <c r="C143" s="137">
        <v>2046</v>
      </c>
      <c r="D143" s="137">
        <v>3190</v>
      </c>
      <c r="E143" s="137">
        <v>38579</v>
      </c>
    </row>
    <row r="144" spans="1:5" x14ac:dyDescent="0.45">
      <c r="A144" s="136">
        <v>53</v>
      </c>
      <c r="B144" s="137">
        <v>1437</v>
      </c>
      <c r="C144" s="137">
        <v>2488</v>
      </c>
      <c r="D144" s="137">
        <v>3926</v>
      </c>
      <c r="E144" s="137">
        <v>42505</v>
      </c>
    </row>
    <row r="145" spans="1:5" x14ac:dyDescent="0.45">
      <c r="A145" s="136">
        <v>52</v>
      </c>
      <c r="B145" s="137">
        <v>1195</v>
      </c>
      <c r="C145" s="137">
        <v>1901</v>
      </c>
      <c r="D145" s="137">
        <v>3099</v>
      </c>
      <c r="E145" s="137">
        <v>45604</v>
      </c>
    </row>
    <row r="146" spans="1:5" x14ac:dyDescent="0.45">
      <c r="A146" s="136">
        <v>51</v>
      </c>
      <c r="B146" s="137">
        <v>1307</v>
      </c>
      <c r="C146" s="137">
        <v>2221</v>
      </c>
      <c r="D146" s="137">
        <v>3531</v>
      </c>
      <c r="E146" s="137">
        <v>49135</v>
      </c>
    </row>
    <row r="147" spans="1:5" x14ac:dyDescent="0.45">
      <c r="A147" s="136">
        <v>50</v>
      </c>
      <c r="B147" s="137">
        <v>1215</v>
      </c>
      <c r="C147" s="137">
        <v>1996</v>
      </c>
      <c r="D147" s="137">
        <v>3215</v>
      </c>
      <c r="E147" s="137">
        <v>52350</v>
      </c>
    </row>
    <row r="148" spans="1:5" x14ac:dyDescent="0.45">
      <c r="A148" s="136">
        <v>49</v>
      </c>
      <c r="B148" s="137">
        <v>1289</v>
      </c>
      <c r="C148" s="137">
        <v>2022</v>
      </c>
      <c r="D148" s="137">
        <v>3313</v>
      </c>
      <c r="E148" s="137">
        <v>55663</v>
      </c>
    </row>
    <row r="149" spans="1:5" x14ac:dyDescent="0.45">
      <c r="A149" s="136">
        <v>48</v>
      </c>
      <c r="B149" s="137">
        <v>1473</v>
      </c>
      <c r="C149" s="137">
        <v>2095</v>
      </c>
      <c r="D149" s="137">
        <v>3571</v>
      </c>
      <c r="E149" s="137">
        <v>59234</v>
      </c>
    </row>
    <row r="150" spans="1:5" x14ac:dyDescent="0.45">
      <c r="A150" s="136">
        <v>47</v>
      </c>
      <c r="B150" s="137">
        <v>1291</v>
      </c>
      <c r="C150" s="137">
        <v>1778</v>
      </c>
      <c r="D150" s="137">
        <v>3072</v>
      </c>
      <c r="E150" s="137">
        <v>62306</v>
      </c>
    </row>
    <row r="151" spans="1:5" x14ac:dyDescent="0.45">
      <c r="A151" s="136">
        <v>46</v>
      </c>
      <c r="B151" s="137">
        <v>1387</v>
      </c>
      <c r="C151" s="137">
        <v>1988</v>
      </c>
      <c r="D151" s="137">
        <v>3377</v>
      </c>
      <c r="E151" s="137">
        <v>65683</v>
      </c>
    </row>
    <row r="152" spans="1:5" x14ac:dyDescent="0.45">
      <c r="A152" s="136">
        <v>45</v>
      </c>
      <c r="B152" s="137">
        <v>1310</v>
      </c>
      <c r="C152" s="137">
        <v>1753</v>
      </c>
      <c r="D152" s="137">
        <v>3067</v>
      </c>
      <c r="E152" s="137">
        <v>68750</v>
      </c>
    </row>
    <row r="153" spans="1:5" x14ac:dyDescent="0.45">
      <c r="A153" s="136">
        <v>44</v>
      </c>
      <c r="B153" s="137">
        <v>1310</v>
      </c>
      <c r="C153" s="137">
        <v>1722</v>
      </c>
      <c r="D153" s="137">
        <v>3039</v>
      </c>
      <c r="E153" s="137">
        <v>71789</v>
      </c>
    </row>
    <row r="154" spans="1:5" x14ac:dyDescent="0.45">
      <c r="A154" s="136">
        <v>43</v>
      </c>
      <c r="B154" s="137">
        <v>1115</v>
      </c>
      <c r="C154" s="137">
        <v>1498</v>
      </c>
      <c r="D154" s="137">
        <v>2615</v>
      </c>
      <c r="E154" s="137">
        <v>74404</v>
      </c>
    </row>
    <row r="155" spans="1:5" x14ac:dyDescent="0.45">
      <c r="A155" s="136">
        <v>42</v>
      </c>
      <c r="B155" s="137">
        <v>2672</v>
      </c>
      <c r="C155" s="137">
        <v>2652</v>
      </c>
      <c r="D155" s="137">
        <v>5334</v>
      </c>
      <c r="E155" s="137">
        <v>79738</v>
      </c>
    </row>
    <row r="156" spans="1:5" x14ac:dyDescent="0.45">
      <c r="A156" s="136">
        <v>41</v>
      </c>
      <c r="B156" s="137">
        <v>1118</v>
      </c>
      <c r="C156" s="137">
        <v>1286</v>
      </c>
      <c r="D156" s="137">
        <v>2409</v>
      </c>
      <c r="E156" s="137">
        <v>82147</v>
      </c>
    </row>
    <row r="157" spans="1:5" x14ac:dyDescent="0.45">
      <c r="A157" s="136">
        <v>40</v>
      </c>
      <c r="B157" s="137">
        <v>1086</v>
      </c>
      <c r="C157" s="137">
        <v>1179</v>
      </c>
      <c r="D157" s="137">
        <v>2267</v>
      </c>
      <c r="E157" s="137">
        <v>84414</v>
      </c>
    </row>
    <row r="158" spans="1:5" x14ac:dyDescent="0.45">
      <c r="A158" s="136">
        <v>39</v>
      </c>
      <c r="B158" s="137">
        <v>1044</v>
      </c>
      <c r="C158" s="137">
        <v>1129</v>
      </c>
      <c r="D158" s="137">
        <v>2175</v>
      </c>
      <c r="E158" s="137">
        <v>86589</v>
      </c>
    </row>
    <row r="159" spans="1:5" x14ac:dyDescent="0.45">
      <c r="A159" s="136">
        <v>38</v>
      </c>
      <c r="B159" s="137">
        <v>826</v>
      </c>
      <c r="C159" s="137">
        <v>923</v>
      </c>
      <c r="D159" s="137">
        <v>1755</v>
      </c>
      <c r="E159" s="137">
        <v>88344</v>
      </c>
    </row>
    <row r="160" spans="1:5" x14ac:dyDescent="0.45">
      <c r="A160" s="136">
        <v>37</v>
      </c>
      <c r="B160" s="137">
        <v>1301</v>
      </c>
      <c r="C160" s="137">
        <v>1207</v>
      </c>
      <c r="D160" s="137">
        <v>2513</v>
      </c>
      <c r="E160" s="137">
        <v>90857</v>
      </c>
    </row>
    <row r="161" spans="1:19" x14ac:dyDescent="0.45">
      <c r="A161" s="136">
        <v>36</v>
      </c>
      <c r="B161" s="137">
        <v>915</v>
      </c>
      <c r="C161" s="137">
        <v>843</v>
      </c>
      <c r="D161" s="137">
        <v>1761</v>
      </c>
      <c r="E161" s="137">
        <v>92618</v>
      </c>
    </row>
    <row r="162" spans="1:19" x14ac:dyDescent="0.45">
      <c r="A162" s="136">
        <v>35</v>
      </c>
      <c r="B162" s="137">
        <v>3474</v>
      </c>
      <c r="C162" s="137">
        <v>2387</v>
      </c>
      <c r="D162" s="137">
        <v>5873</v>
      </c>
      <c r="E162" s="137">
        <v>98491</v>
      </c>
    </row>
    <row r="163" spans="1:19" x14ac:dyDescent="0.45">
      <c r="A163" s="136">
        <v>34</v>
      </c>
      <c r="B163" s="137">
        <v>594</v>
      </c>
      <c r="C163" s="137">
        <v>515</v>
      </c>
      <c r="D163" s="137">
        <v>1109</v>
      </c>
      <c r="E163" s="137">
        <v>99600</v>
      </c>
    </row>
    <row r="164" spans="1:19" x14ac:dyDescent="0.45">
      <c r="A164" s="139">
        <v>33</v>
      </c>
      <c r="B164" s="132">
        <v>327</v>
      </c>
      <c r="C164" s="132">
        <v>283</v>
      </c>
      <c r="D164" s="132">
        <v>610</v>
      </c>
      <c r="E164" s="132">
        <v>100210</v>
      </c>
    </row>
    <row r="165" spans="1:19" x14ac:dyDescent="0.45">
      <c r="A165" s="139">
        <v>32</v>
      </c>
      <c r="B165" s="132">
        <v>513</v>
      </c>
      <c r="C165" s="132">
        <v>401</v>
      </c>
      <c r="D165" s="132">
        <v>914</v>
      </c>
      <c r="E165" s="132">
        <v>101124</v>
      </c>
    </row>
    <row r="166" spans="1:19" x14ac:dyDescent="0.45">
      <c r="A166" s="136">
        <v>31</v>
      </c>
      <c r="B166" s="137">
        <v>199</v>
      </c>
      <c r="C166" s="137">
        <v>165</v>
      </c>
      <c r="D166" s="137">
        <v>364</v>
      </c>
      <c r="E166" s="137">
        <v>101488</v>
      </c>
    </row>
    <row r="167" spans="1:19" x14ac:dyDescent="0.45">
      <c r="A167" s="138">
        <v>30</v>
      </c>
      <c r="B167" s="133">
        <v>180</v>
      </c>
      <c r="C167" s="133">
        <v>160</v>
      </c>
      <c r="D167" s="133">
        <v>341</v>
      </c>
      <c r="E167" s="133">
        <v>101829</v>
      </c>
    </row>
    <row r="168" spans="1:19" x14ac:dyDescent="0.45">
      <c r="A168" s="134">
        <v>29</v>
      </c>
      <c r="B168" s="135">
        <v>163</v>
      </c>
      <c r="C168" s="135">
        <v>135</v>
      </c>
      <c r="D168" s="135">
        <v>299</v>
      </c>
      <c r="E168" s="135">
        <v>102128</v>
      </c>
    </row>
    <row r="169" spans="1:19" x14ac:dyDescent="0.45">
      <c r="A169" s="134">
        <v>27</v>
      </c>
      <c r="B169" s="135">
        <v>58</v>
      </c>
      <c r="C169" s="135">
        <v>40</v>
      </c>
      <c r="D169" s="135">
        <v>98</v>
      </c>
      <c r="E169" s="135">
        <v>102226</v>
      </c>
    </row>
    <row r="174" spans="1:19" ht="17.5" thickBot="1" x14ac:dyDescent="0.5"/>
    <row r="175" spans="1:19" x14ac:dyDescent="0.45">
      <c r="A175" s="12" t="s">
        <v>18</v>
      </c>
      <c r="B175" s="13"/>
      <c r="C175" s="13"/>
      <c r="D175" s="14"/>
      <c r="F175" s="12" t="s">
        <v>17</v>
      </c>
      <c r="G175" s="13"/>
      <c r="H175" s="13"/>
      <c r="I175" s="14"/>
      <c r="K175" s="12" t="s">
        <v>19</v>
      </c>
      <c r="L175" s="13"/>
      <c r="M175" s="13"/>
      <c r="N175" s="14"/>
      <c r="P175" s="12" t="s">
        <v>20</v>
      </c>
      <c r="Q175" s="13"/>
      <c r="R175" s="13"/>
      <c r="S175" s="14"/>
    </row>
    <row r="176" spans="1:19" x14ac:dyDescent="0.45">
      <c r="A176" s="6" t="s">
        <v>7</v>
      </c>
      <c r="B176" s="1"/>
      <c r="C176" s="1"/>
      <c r="D176" s="7" t="s">
        <v>8</v>
      </c>
      <c r="F176" s="6" t="s">
        <v>7</v>
      </c>
      <c r="G176" s="1"/>
      <c r="H176" s="1"/>
      <c r="I176" s="7" t="s">
        <v>8</v>
      </c>
      <c r="K176" s="6" t="s">
        <v>7</v>
      </c>
      <c r="L176" s="1"/>
      <c r="M176" s="1"/>
      <c r="N176" s="7" t="s">
        <v>8</v>
      </c>
      <c r="P176" s="6" t="s">
        <v>7</v>
      </c>
      <c r="Q176" s="1"/>
      <c r="R176" s="1"/>
      <c r="S176" s="7" t="s">
        <v>8</v>
      </c>
    </row>
    <row r="177" spans="1:20" x14ac:dyDescent="0.45">
      <c r="A177" s="142">
        <v>69</v>
      </c>
      <c r="B177" s="143">
        <v>1073</v>
      </c>
      <c r="C177" s="143">
        <v>152</v>
      </c>
      <c r="D177" s="143">
        <v>1225</v>
      </c>
      <c r="E177" s="143">
        <v>1225</v>
      </c>
      <c r="F177" s="142">
        <v>74</v>
      </c>
      <c r="G177" s="143">
        <v>194</v>
      </c>
      <c r="H177" s="143">
        <v>77</v>
      </c>
      <c r="I177" s="143">
        <v>272</v>
      </c>
      <c r="J177" s="143">
        <v>272</v>
      </c>
      <c r="K177" s="142">
        <v>77</v>
      </c>
      <c r="L177" s="143">
        <v>47</v>
      </c>
      <c r="M177" s="143">
        <v>18</v>
      </c>
      <c r="N177" s="143">
        <v>65</v>
      </c>
      <c r="O177" s="143">
        <v>65</v>
      </c>
      <c r="P177" s="142">
        <v>74</v>
      </c>
      <c r="Q177" s="143">
        <v>825</v>
      </c>
      <c r="R177" s="143">
        <v>187</v>
      </c>
      <c r="S177" s="143">
        <v>1012</v>
      </c>
      <c r="T177" s="143">
        <v>1012</v>
      </c>
    </row>
    <row r="178" spans="1:20" x14ac:dyDescent="0.45">
      <c r="A178" s="142">
        <v>67</v>
      </c>
      <c r="B178" s="143">
        <v>172</v>
      </c>
      <c r="C178" s="143">
        <v>29</v>
      </c>
      <c r="D178" s="143">
        <v>201</v>
      </c>
      <c r="E178" s="143">
        <v>1426</v>
      </c>
      <c r="F178" s="142">
        <v>72</v>
      </c>
      <c r="G178" s="143">
        <v>49</v>
      </c>
      <c r="H178" s="143">
        <v>16</v>
      </c>
      <c r="I178" s="143">
        <v>65</v>
      </c>
      <c r="J178" s="143">
        <v>337</v>
      </c>
      <c r="K178" s="142">
        <v>75</v>
      </c>
      <c r="L178" s="143">
        <v>34</v>
      </c>
      <c r="M178" s="143">
        <v>18</v>
      </c>
      <c r="N178" s="143">
        <v>52</v>
      </c>
      <c r="O178" s="143">
        <v>117</v>
      </c>
      <c r="P178" s="142">
        <v>72</v>
      </c>
      <c r="Q178" s="143">
        <v>518</v>
      </c>
      <c r="R178" s="143">
        <v>180</v>
      </c>
      <c r="S178" s="143">
        <v>699</v>
      </c>
      <c r="T178" s="143">
        <v>1711</v>
      </c>
    </row>
    <row r="179" spans="1:20" x14ac:dyDescent="0.45">
      <c r="A179" s="142">
        <v>66</v>
      </c>
      <c r="B179" s="143">
        <v>1221</v>
      </c>
      <c r="C179" s="143">
        <v>192</v>
      </c>
      <c r="D179" s="143">
        <v>1415</v>
      </c>
      <c r="E179" s="143">
        <v>2841</v>
      </c>
      <c r="F179" s="142">
        <v>71</v>
      </c>
      <c r="G179" s="143">
        <v>329</v>
      </c>
      <c r="H179" s="143">
        <v>105</v>
      </c>
      <c r="I179" s="143">
        <v>434</v>
      </c>
      <c r="J179" s="143">
        <v>771</v>
      </c>
      <c r="K179" s="142">
        <v>74</v>
      </c>
      <c r="L179" s="143">
        <v>137</v>
      </c>
      <c r="M179" s="143">
        <v>51</v>
      </c>
      <c r="N179" s="143">
        <v>188</v>
      </c>
      <c r="O179" s="143">
        <v>305</v>
      </c>
      <c r="P179" s="142">
        <v>71</v>
      </c>
      <c r="Q179" s="143">
        <v>780</v>
      </c>
      <c r="R179" s="143">
        <v>258</v>
      </c>
      <c r="S179" s="143">
        <v>1038</v>
      </c>
      <c r="T179" s="143">
        <v>2749</v>
      </c>
    </row>
    <row r="180" spans="1:20" x14ac:dyDescent="0.45">
      <c r="A180" s="142">
        <v>65</v>
      </c>
      <c r="B180" s="143">
        <v>407</v>
      </c>
      <c r="C180" s="143">
        <v>98</v>
      </c>
      <c r="D180" s="143">
        <v>505</v>
      </c>
      <c r="E180" s="143">
        <v>3346</v>
      </c>
      <c r="F180" s="142">
        <v>70</v>
      </c>
      <c r="G180" s="143">
        <v>9</v>
      </c>
      <c r="H180" s="143">
        <v>1</v>
      </c>
      <c r="I180" s="143">
        <v>10</v>
      </c>
      <c r="J180" s="143">
        <v>781</v>
      </c>
      <c r="K180" s="142">
        <v>73</v>
      </c>
      <c r="L180" s="143">
        <v>12</v>
      </c>
      <c r="M180" s="143">
        <v>10</v>
      </c>
      <c r="N180" s="143">
        <v>22</v>
      </c>
      <c r="O180" s="143">
        <v>327</v>
      </c>
      <c r="P180" s="142">
        <v>70</v>
      </c>
      <c r="Q180" s="143">
        <v>190</v>
      </c>
      <c r="R180" s="143">
        <v>89</v>
      </c>
      <c r="S180" s="143">
        <v>279</v>
      </c>
      <c r="T180" s="143">
        <v>3028</v>
      </c>
    </row>
    <row r="181" spans="1:20" x14ac:dyDescent="0.45">
      <c r="A181" s="142">
        <v>64</v>
      </c>
      <c r="B181" s="143">
        <v>1042</v>
      </c>
      <c r="C181" s="143">
        <v>210</v>
      </c>
      <c r="D181" s="143">
        <v>1252</v>
      </c>
      <c r="E181" s="143">
        <v>4598</v>
      </c>
      <c r="F181" s="142">
        <v>69</v>
      </c>
      <c r="G181" s="143">
        <v>128</v>
      </c>
      <c r="H181" s="143">
        <v>38</v>
      </c>
      <c r="I181" s="143">
        <v>166</v>
      </c>
      <c r="J181" s="143">
        <v>947</v>
      </c>
      <c r="K181" s="142">
        <v>72</v>
      </c>
      <c r="L181" s="143">
        <v>164</v>
      </c>
      <c r="M181" s="143">
        <v>102</v>
      </c>
      <c r="N181" s="143">
        <v>266</v>
      </c>
      <c r="O181" s="143">
        <v>593</v>
      </c>
      <c r="P181" s="142">
        <v>69</v>
      </c>
      <c r="Q181" s="143">
        <v>1415</v>
      </c>
      <c r="R181" s="143">
        <v>575</v>
      </c>
      <c r="S181" s="143">
        <v>1992</v>
      </c>
      <c r="T181" s="143">
        <v>5020</v>
      </c>
    </row>
    <row r="182" spans="1:20" x14ac:dyDescent="0.45">
      <c r="A182" s="142">
        <v>63</v>
      </c>
      <c r="B182" s="143">
        <v>759</v>
      </c>
      <c r="C182" s="143">
        <v>149</v>
      </c>
      <c r="D182" s="143">
        <v>908</v>
      </c>
      <c r="E182" s="143">
        <v>5506</v>
      </c>
      <c r="F182" s="142">
        <v>68</v>
      </c>
      <c r="G182" s="143">
        <v>425</v>
      </c>
      <c r="H182" s="143">
        <v>216</v>
      </c>
      <c r="I182" s="143">
        <v>641</v>
      </c>
      <c r="J182" s="143">
        <v>1588</v>
      </c>
      <c r="K182" s="142">
        <v>71</v>
      </c>
      <c r="L182" s="143">
        <v>254</v>
      </c>
      <c r="M182" s="143">
        <v>159</v>
      </c>
      <c r="N182" s="143">
        <v>413</v>
      </c>
      <c r="O182" s="143">
        <v>1006</v>
      </c>
      <c r="P182" s="142">
        <v>68</v>
      </c>
      <c r="Q182" s="143">
        <v>498</v>
      </c>
      <c r="R182" s="143">
        <v>190</v>
      </c>
      <c r="S182" s="143">
        <v>688</v>
      </c>
      <c r="T182" s="143">
        <v>5708</v>
      </c>
    </row>
    <row r="183" spans="1:20" x14ac:dyDescent="0.45">
      <c r="A183" s="142">
        <v>62</v>
      </c>
      <c r="B183" s="143">
        <v>845</v>
      </c>
      <c r="C183" s="143">
        <v>168</v>
      </c>
      <c r="D183" s="143">
        <v>1015</v>
      </c>
      <c r="E183" s="143">
        <v>6521</v>
      </c>
      <c r="F183" s="142">
        <v>67</v>
      </c>
      <c r="G183" s="143">
        <v>239</v>
      </c>
      <c r="H183" s="143">
        <v>113</v>
      </c>
      <c r="I183" s="143">
        <v>353</v>
      </c>
      <c r="J183" s="143">
        <v>1941</v>
      </c>
      <c r="K183" s="142">
        <v>70</v>
      </c>
      <c r="L183" s="143">
        <v>107</v>
      </c>
      <c r="M183" s="143">
        <v>75</v>
      </c>
      <c r="N183" s="143">
        <v>182</v>
      </c>
      <c r="O183" s="143">
        <v>1188</v>
      </c>
      <c r="P183" s="142">
        <v>67</v>
      </c>
      <c r="Q183" s="143">
        <v>851</v>
      </c>
      <c r="R183" s="143">
        <v>423</v>
      </c>
      <c r="S183" s="143">
        <v>1275</v>
      </c>
      <c r="T183" s="143">
        <v>6983</v>
      </c>
    </row>
    <row r="184" spans="1:20" x14ac:dyDescent="0.45">
      <c r="A184" s="142">
        <v>61</v>
      </c>
      <c r="B184" s="143">
        <v>233</v>
      </c>
      <c r="C184" s="143">
        <v>64</v>
      </c>
      <c r="D184" s="143">
        <v>297</v>
      </c>
      <c r="E184" s="143">
        <v>6818</v>
      </c>
      <c r="F184" s="142">
        <v>66</v>
      </c>
      <c r="G184" s="143">
        <v>386</v>
      </c>
      <c r="H184" s="143">
        <v>217</v>
      </c>
      <c r="I184" s="143">
        <v>604</v>
      </c>
      <c r="J184" s="143">
        <v>2545</v>
      </c>
      <c r="K184" s="142">
        <v>69</v>
      </c>
      <c r="L184" s="143">
        <v>472</v>
      </c>
      <c r="M184" s="143">
        <v>407</v>
      </c>
      <c r="N184" s="143">
        <v>880</v>
      </c>
      <c r="O184" s="143">
        <v>2068</v>
      </c>
      <c r="P184" s="142">
        <v>66</v>
      </c>
      <c r="Q184" s="143">
        <v>526</v>
      </c>
      <c r="R184" s="143">
        <v>235</v>
      </c>
      <c r="S184" s="143">
        <v>761</v>
      </c>
      <c r="T184" s="143">
        <v>7744</v>
      </c>
    </row>
    <row r="185" spans="1:20" x14ac:dyDescent="0.45">
      <c r="A185" s="142">
        <v>60</v>
      </c>
      <c r="B185" s="143">
        <v>707</v>
      </c>
      <c r="C185" s="143">
        <v>171</v>
      </c>
      <c r="D185" s="143">
        <v>878</v>
      </c>
      <c r="E185" s="143">
        <v>7696</v>
      </c>
      <c r="F185" s="142">
        <v>65</v>
      </c>
      <c r="G185" s="143">
        <v>79</v>
      </c>
      <c r="H185" s="143">
        <v>56</v>
      </c>
      <c r="I185" s="143">
        <v>135</v>
      </c>
      <c r="J185" s="143">
        <v>2680</v>
      </c>
      <c r="K185" s="142">
        <v>68</v>
      </c>
      <c r="L185" s="143">
        <v>271</v>
      </c>
      <c r="M185" s="143">
        <v>268</v>
      </c>
      <c r="N185" s="143">
        <v>540</v>
      </c>
      <c r="O185" s="143">
        <v>2608</v>
      </c>
      <c r="P185" s="142">
        <v>65</v>
      </c>
      <c r="Q185" s="143">
        <v>627</v>
      </c>
      <c r="R185" s="143">
        <v>344</v>
      </c>
      <c r="S185" s="143">
        <v>972</v>
      </c>
      <c r="T185" s="143">
        <v>8716</v>
      </c>
    </row>
    <row r="186" spans="1:20" x14ac:dyDescent="0.45">
      <c r="A186" s="142">
        <v>59</v>
      </c>
      <c r="B186" s="143">
        <v>918</v>
      </c>
      <c r="C186" s="143">
        <v>257</v>
      </c>
      <c r="D186" s="143">
        <v>1178</v>
      </c>
      <c r="E186" s="143">
        <v>8874</v>
      </c>
      <c r="F186" s="142">
        <v>64</v>
      </c>
      <c r="G186" s="143">
        <v>357</v>
      </c>
      <c r="H186" s="143">
        <v>212</v>
      </c>
      <c r="I186" s="143">
        <v>570</v>
      </c>
      <c r="J186" s="143">
        <v>3250</v>
      </c>
      <c r="K186" s="142">
        <v>67</v>
      </c>
      <c r="L186" s="143">
        <v>359</v>
      </c>
      <c r="M186" s="143">
        <v>346</v>
      </c>
      <c r="N186" s="143">
        <v>705</v>
      </c>
      <c r="O186" s="143">
        <v>3313</v>
      </c>
      <c r="P186" s="142">
        <v>64</v>
      </c>
      <c r="Q186" s="143">
        <v>834</v>
      </c>
      <c r="R186" s="143">
        <v>433</v>
      </c>
      <c r="S186" s="143">
        <v>1268</v>
      </c>
      <c r="T186" s="143">
        <v>9984</v>
      </c>
    </row>
    <row r="187" spans="1:20" x14ac:dyDescent="0.45">
      <c r="A187" s="142">
        <v>58</v>
      </c>
      <c r="B187" s="143">
        <v>767</v>
      </c>
      <c r="C187" s="143">
        <v>196</v>
      </c>
      <c r="D187" s="143">
        <v>965</v>
      </c>
      <c r="E187" s="143">
        <v>9839</v>
      </c>
      <c r="F187" s="142">
        <v>63</v>
      </c>
      <c r="G187" s="143">
        <v>275</v>
      </c>
      <c r="H187" s="143">
        <v>180</v>
      </c>
      <c r="I187" s="143">
        <v>455</v>
      </c>
      <c r="J187" s="143">
        <v>3705</v>
      </c>
      <c r="K187" s="142">
        <v>66</v>
      </c>
      <c r="L187" s="143">
        <v>940</v>
      </c>
      <c r="M187" s="143">
        <v>798</v>
      </c>
      <c r="N187" s="143">
        <v>1739</v>
      </c>
      <c r="O187" s="143">
        <v>5052</v>
      </c>
      <c r="P187" s="142">
        <v>63</v>
      </c>
      <c r="Q187" s="143">
        <v>1330</v>
      </c>
      <c r="R187" s="143">
        <v>696</v>
      </c>
      <c r="S187" s="143">
        <v>2028</v>
      </c>
      <c r="T187" s="143">
        <v>12012</v>
      </c>
    </row>
    <row r="188" spans="1:20" x14ac:dyDescent="0.45">
      <c r="A188" s="142">
        <v>57</v>
      </c>
      <c r="B188" s="143">
        <v>483</v>
      </c>
      <c r="C188" s="143">
        <v>132</v>
      </c>
      <c r="D188" s="143">
        <v>615</v>
      </c>
      <c r="E188" s="143">
        <v>10454</v>
      </c>
      <c r="F188" s="142">
        <v>62</v>
      </c>
      <c r="G188" s="143">
        <v>223</v>
      </c>
      <c r="H188" s="143">
        <v>132</v>
      </c>
      <c r="I188" s="143">
        <v>355</v>
      </c>
      <c r="J188" s="143">
        <v>4060</v>
      </c>
      <c r="K188" s="142">
        <v>65</v>
      </c>
      <c r="L188" s="143">
        <v>368</v>
      </c>
      <c r="M188" s="143">
        <v>380</v>
      </c>
      <c r="N188" s="143">
        <v>749</v>
      </c>
      <c r="O188" s="143">
        <v>5801</v>
      </c>
      <c r="P188" s="142">
        <v>62</v>
      </c>
      <c r="Q188" s="143">
        <v>780</v>
      </c>
      <c r="R188" s="143">
        <v>437</v>
      </c>
      <c r="S188" s="143">
        <v>1218</v>
      </c>
      <c r="T188" s="143">
        <v>13230</v>
      </c>
    </row>
    <row r="189" spans="1:20" x14ac:dyDescent="0.45">
      <c r="A189" s="142">
        <v>56</v>
      </c>
      <c r="B189" s="143">
        <v>1301</v>
      </c>
      <c r="C189" s="143">
        <v>335</v>
      </c>
      <c r="D189" s="143">
        <v>1637</v>
      </c>
      <c r="E189" s="143">
        <v>12091</v>
      </c>
      <c r="F189" s="142">
        <v>61</v>
      </c>
      <c r="G189" s="143">
        <v>637</v>
      </c>
      <c r="H189" s="143">
        <v>426</v>
      </c>
      <c r="I189" s="143">
        <v>1063</v>
      </c>
      <c r="J189" s="143">
        <v>5123</v>
      </c>
      <c r="K189" s="142">
        <v>64</v>
      </c>
      <c r="L189" s="143">
        <v>895</v>
      </c>
      <c r="M189" s="143">
        <v>1044</v>
      </c>
      <c r="N189" s="143">
        <v>1939</v>
      </c>
      <c r="O189" s="143">
        <v>7740</v>
      </c>
      <c r="P189" s="142">
        <v>61</v>
      </c>
      <c r="Q189" s="143">
        <v>666</v>
      </c>
      <c r="R189" s="143">
        <v>372</v>
      </c>
      <c r="S189" s="143">
        <v>1039</v>
      </c>
      <c r="T189" s="143">
        <v>14269</v>
      </c>
    </row>
    <row r="190" spans="1:20" x14ac:dyDescent="0.45">
      <c r="A190" s="142">
        <v>55</v>
      </c>
      <c r="B190" s="143">
        <v>446</v>
      </c>
      <c r="C190" s="143">
        <v>146</v>
      </c>
      <c r="D190" s="143">
        <v>593</v>
      </c>
      <c r="E190" s="143">
        <v>12684</v>
      </c>
      <c r="F190" s="142">
        <v>60</v>
      </c>
      <c r="G190" s="143">
        <v>330</v>
      </c>
      <c r="H190" s="143">
        <v>243</v>
      </c>
      <c r="I190" s="143">
        <v>574</v>
      </c>
      <c r="J190" s="143">
        <v>5697</v>
      </c>
      <c r="K190" s="142">
        <v>62</v>
      </c>
      <c r="L190" s="143">
        <v>1124</v>
      </c>
      <c r="M190" s="143">
        <v>1075</v>
      </c>
      <c r="N190" s="143">
        <v>2200</v>
      </c>
      <c r="O190" s="143">
        <v>9940</v>
      </c>
      <c r="P190" s="142">
        <v>60</v>
      </c>
      <c r="Q190" s="143">
        <v>836</v>
      </c>
      <c r="R190" s="143">
        <v>512</v>
      </c>
      <c r="S190" s="143">
        <v>1349</v>
      </c>
      <c r="T190" s="143">
        <v>15618</v>
      </c>
    </row>
    <row r="191" spans="1:20" x14ac:dyDescent="0.45">
      <c r="A191" s="142">
        <v>54</v>
      </c>
      <c r="B191" s="143">
        <v>598</v>
      </c>
      <c r="C191" s="143">
        <v>185</v>
      </c>
      <c r="D191" s="143">
        <v>783</v>
      </c>
      <c r="E191" s="143">
        <v>13467</v>
      </c>
      <c r="F191" s="142">
        <v>59</v>
      </c>
      <c r="G191" s="143">
        <v>347</v>
      </c>
      <c r="H191" s="143">
        <v>272</v>
      </c>
      <c r="I191" s="143">
        <v>619</v>
      </c>
      <c r="J191" s="143">
        <v>6316</v>
      </c>
      <c r="K191" s="142">
        <v>61</v>
      </c>
      <c r="L191" s="143">
        <v>643</v>
      </c>
      <c r="M191" s="143">
        <v>734</v>
      </c>
      <c r="N191" s="143">
        <v>1377</v>
      </c>
      <c r="O191" s="143">
        <v>11317</v>
      </c>
      <c r="P191" s="142">
        <v>59</v>
      </c>
      <c r="Q191" s="143">
        <v>744</v>
      </c>
      <c r="R191" s="143">
        <v>386</v>
      </c>
      <c r="S191" s="143">
        <v>1130</v>
      </c>
      <c r="T191" s="143">
        <v>16748</v>
      </c>
    </row>
    <row r="192" spans="1:20" x14ac:dyDescent="0.45">
      <c r="A192" s="142">
        <v>53</v>
      </c>
      <c r="B192" s="143">
        <v>600</v>
      </c>
      <c r="C192" s="143">
        <v>190</v>
      </c>
      <c r="D192" s="143">
        <v>790</v>
      </c>
      <c r="E192" s="143">
        <v>14257</v>
      </c>
      <c r="F192" s="142">
        <v>58</v>
      </c>
      <c r="G192" s="143">
        <v>288</v>
      </c>
      <c r="H192" s="143">
        <v>217</v>
      </c>
      <c r="I192" s="143">
        <v>507</v>
      </c>
      <c r="J192" s="143">
        <v>6823</v>
      </c>
      <c r="K192" s="142">
        <v>60</v>
      </c>
      <c r="L192" s="143">
        <v>1611</v>
      </c>
      <c r="M192" s="143">
        <v>1775</v>
      </c>
      <c r="N192" s="143">
        <v>3395</v>
      </c>
      <c r="O192" s="143">
        <v>14712</v>
      </c>
      <c r="P192" s="142">
        <v>58</v>
      </c>
      <c r="Q192" s="143">
        <v>734</v>
      </c>
      <c r="R192" s="143">
        <v>494</v>
      </c>
      <c r="S192" s="143">
        <v>1228</v>
      </c>
      <c r="T192" s="143">
        <v>17976</v>
      </c>
    </row>
    <row r="193" spans="1:20" x14ac:dyDescent="0.45">
      <c r="A193" s="142">
        <v>52</v>
      </c>
      <c r="B193" s="143">
        <v>1068</v>
      </c>
      <c r="C193" s="143">
        <v>387</v>
      </c>
      <c r="D193" s="143">
        <v>1458</v>
      </c>
      <c r="E193" s="143">
        <v>15715</v>
      </c>
      <c r="F193" s="142">
        <v>57</v>
      </c>
      <c r="G193" s="143">
        <v>372</v>
      </c>
      <c r="H193" s="143">
        <v>257</v>
      </c>
      <c r="I193" s="143">
        <v>629</v>
      </c>
      <c r="J193" s="143">
        <v>7452</v>
      </c>
      <c r="K193" s="142">
        <v>59</v>
      </c>
      <c r="L193" s="143">
        <v>983</v>
      </c>
      <c r="M193" s="143">
        <v>1085</v>
      </c>
      <c r="N193" s="143">
        <v>2069</v>
      </c>
      <c r="O193" s="143">
        <v>16781</v>
      </c>
      <c r="P193" s="142">
        <v>57</v>
      </c>
      <c r="Q193" s="143">
        <v>1609</v>
      </c>
      <c r="R193" s="143">
        <v>1013</v>
      </c>
      <c r="S193" s="143">
        <v>2624</v>
      </c>
      <c r="T193" s="143">
        <v>20600</v>
      </c>
    </row>
    <row r="194" spans="1:20" x14ac:dyDescent="0.45">
      <c r="A194" s="142">
        <v>51</v>
      </c>
      <c r="B194" s="143">
        <v>529</v>
      </c>
      <c r="C194" s="143">
        <v>205</v>
      </c>
      <c r="D194" s="143">
        <v>735</v>
      </c>
      <c r="E194" s="143">
        <v>16450</v>
      </c>
      <c r="F194" s="142">
        <v>56</v>
      </c>
      <c r="G194" s="143">
        <v>282</v>
      </c>
      <c r="H194" s="143">
        <v>239</v>
      </c>
      <c r="I194" s="143">
        <v>521</v>
      </c>
      <c r="J194" s="143">
        <v>7973</v>
      </c>
      <c r="K194" s="142">
        <v>58</v>
      </c>
      <c r="L194" s="143">
        <v>1191</v>
      </c>
      <c r="M194" s="143">
        <v>1497</v>
      </c>
      <c r="N194" s="143">
        <v>2690</v>
      </c>
      <c r="O194" s="143">
        <v>19471</v>
      </c>
      <c r="P194" s="142">
        <v>56</v>
      </c>
      <c r="Q194" s="143">
        <v>820</v>
      </c>
      <c r="R194" s="143">
        <v>639</v>
      </c>
      <c r="S194" s="143">
        <v>1461</v>
      </c>
      <c r="T194" s="143">
        <v>22061</v>
      </c>
    </row>
    <row r="195" spans="1:20" x14ac:dyDescent="0.45">
      <c r="A195" s="142">
        <v>50</v>
      </c>
      <c r="B195" s="143">
        <v>531</v>
      </c>
      <c r="C195" s="143">
        <v>170</v>
      </c>
      <c r="D195" s="143">
        <v>703</v>
      </c>
      <c r="E195" s="143">
        <v>17153</v>
      </c>
      <c r="F195" s="142">
        <v>55</v>
      </c>
      <c r="G195" s="143">
        <v>315</v>
      </c>
      <c r="H195" s="143">
        <v>300</v>
      </c>
      <c r="I195" s="143">
        <v>616</v>
      </c>
      <c r="J195" s="143">
        <v>8589</v>
      </c>
      <c r="K195" s="142">
        <v>57</v>
      </c>
      <c r="L195" s="143">
        <v>1405</v>
      </c>
      <c r="M195" s="143">
        <v>1717</v>
      </c>
      <c r="N195" s="143">
        <v>3126</v>
      </c>
      <c r="O195" s="143">
        <v>22597</v>
      </c>
      <c r="P195" s="142">
        <v>55</v>
      </c>
      <c r="Q195" s="143">
        <v>921</v>
      </c>
      <c r="R195" s="143">
        <v>578</v>
      </c>
      <c r="S195" s="143">
        <v>1503</v>
      </c>
      <c r="T195" s="143">
        <v>23564</v>
      </c>
    </row>
    <row r="196" spans="1:20" x14ac:dyDescent="0.45">
      <c r="A196" s="142">
        <v>49</v>
      </c>
      <c r="B196" s="143">
        <v>1105</v>
      </c>
      <c r="C196" s="143">
        <v>427</v>
      </c>
      <c r="D196" s="143">
        <v>1535</v>
      </c>
      <c r="E196" s="143">
        <v>18688</v>
      </c>
      <c r="F196" s="142">
        <v>54</v>
      </c>
      <c r="G196" s="143">
        <v>666</v>
      </c>
      <c r="H196" s="143">
        <v>562</v>
      </c>
      <c r="I196" s="143">
        <v>1229</v>
      </c>
      <c r="J196" s="143">
        <v>9818</v>
      </c>
      <c r="K196" s="142">
        <v>56</v>
      </c>
      <c r="L196" s="143">
        <v>1031</v>
      </c>
      <c r="M196" s="143">
        <v>1231</v>
      </c>
      <c r="N196" s="143">
        <v>2265</v>
      </c>
      <c r="O196" s="143">
        <v>24862</v>
      </c>
      <c r="P196" s="142">
        <v>54</v>
      </c>
      <c r="Q196" s="143">
        <v>952</v>
      </c>
      <c r="R196" s="143">
        <v>629</v>
      </c>
      <c r="S196" s="143">
        <v>1582</v>
      </c>
      <c r="T196" s="143">
        <v>25146</v>
      </c>
    </row>
    <row r="197" spans="1:20" x14ac:dyDescent="0.45">
      <c r="A197" s="142">
        <v>48</v>
      </c>
      <c r="B197" s="143">
        <v>610</v>
      </c>
      <c r="C197" s="143">
        <v>213</v>
      </c>
      <c r="D197" s="143">
        <v>823</v>
      </c>
      <c r="E197" s="143">
        <v>19511</v>
      </c>
      <c r="F197" s="142">
        <v>53</v>
      </c>
      <c r="G197" s="143">
        <v>382</v>
      </c>
      <c r="H197" s="143">
        <v>337</v>
      </c>
      <c r="I197" s="143">
        <v>721</v>
      </c>
      <c r="J197" s="143">
        <v>10539</v>
      </c>
      <c r="K197" s="142">
        <v>55</v>
      </c>
      <c r="L197" s="143">
        <v>1391</v>
      </c>
      <c r="M197" s="143">
        <v>1794</v>
      </c>
      <c r="N197" s="143">
        <v>3189</v>
      </c>
      <c r="O197" s="143">
        <v>28051</v>
      </c>
      <c r="P197" s="142">
        <v>53</v>
      </c>
      <c r="Q197" s="143">
        <v>1004</v>
      </c>
      <c r="R197" s="143">
        <v>797</v>
      </c>
      <c r="S197" s="143">
        <v>1802</v>
      </c>
      <c r="T197" s="143">
        <v>26948</v>
      </c>
    </row>
    <row r="198" spans="1:20" x14ac:dyDescent="0.45">
      <c r="A198" s="142">
        <v>47</v>
      </c>
      <c r="B198" s="143">
        <v>596</v>
      </c>
      <c r="C198" s="143">
        <v>203</v>
      </c>
      <c r="D198" s="143">
        <v>799</v>
      </c>
      <c r="E198" s="143">
        <v>20310</v>
      </c>
      <c r="F198" s="142">
        <v>52</v>
      </c>
      <c r="G198" s="143">
        <v>322</v>
      </c>
      <c r="H198" s="143">
        <v>284</v>
      </c>
      <c r="I198" s="143">
        <v>607</v>
      </c>
      <c r="J198" s="143">
        <v>11146</v>
      </c>
      <c r="K198" s="142">
        <v>54</v>
      </c>
      <c r="L198" s="143">
        <v>1047</v>
      </c>
      <c r="M198" s="143">
        <v>1380</v>
      </c>
      <c r="N198" s="143">
        <v>2431</v>
      </c>
      <c r="O198" s="143">
        <v>30482</v>
      </c>
      <c r="P198" s="142">
        <v>52</v>
      </c>
      <c r="Q198" s="143">
        <v>2075</v>
      </c>
      <c r="R198" s="143">
        <v>1546</v>
      </c>
      <c r="S198" s="143">
        <v>3623</v>
      </c>
      <c r="T198" s="143">
        <v>30571</v>
      </c>
    </row>
    <row r="199" spans="1:20" x14ac:dyDescent="0.45">
      <c r="A199" s="142">
        <v>46</v>
      </c>
      <c r="B199" s="143">
        <v>1180</v>
      </c>
      <c r="C199" s="143">
        <v>431</v>
      </c>
      <c r="D199" s="143">
        <v>1613</v>
      </c>
      <c r="E199" s="143">
        <v>21923</v>
      </c>
      <c r="F199" s="142">
        <v>51</v>
      </c>
      <c r="G199" s="143">
        <v>366</v>
      </c>
      <c r="H199" s="143">
        <v>371</v>
      </c>
      <c r="I199" s="143">
        <v>738</v>
      </c>
      <c r="J199" s="143">
        <v>11884</v>
      </c>
      <c r="K199" s="142">
        <v>53</v>
      </c>
      <c r="L199" s="143">
        <v>1267</v>
      </c>
      <c r="M199" s="143">
        <v>1559</v>
      </c>
      <c r="N199" s="143">
        <v>2829</v>
      </c>
      <c r="O199" s="143">
        <v>33311</v>
      </c>
      <c r="P199" s="142">
        <v>51</v>
      </c>
      <c r="Q199" s="143">
        <v>1136</v>
      </c>
      <c r="R199" s="143">
        <v>890</v>
      </c>
      <c r="S199" s="143">
        <v>2030</v>
      </c>
      <c r="T199" s="143">
        <v>32601</v>
      </c>
    </row>
    <row r="200" spans="1:20" x14ac:dyDescent="0.45">
      <c r="A200" s="142">
        <v>45</v>
      </c>
      <c r="B200" s="143">
        <v>616</v>
      </c>
      <c r="C200" s="143">
        <v>234</v>
      </c>
      <c r="D200" s="143">
        <v>850</v>
      </c>
      <c r="E200" s="143">
        <v>22773</v>
      </c>
      <c r="F200" s="142">
        <v>50</v>
      </c>
      <c r="G200" s="143">
        <v>361</v>
      </c>
      <c r="H200" s="143">
        <v>362</v>
      </c>
      <c r="I200" s="143">
        <v>725</v>
      </c>
      <c r="J200" s="143">
        <v>12609</v>
      </c>
      <c r="K200" s="142">
        <v>52</v>
      </c>
      <c r="L200" s="143">
        <v>1071</v>
      </c>
      <c r="M200" s="143">
        <v>1491</v>
      </c>
      <c r="N200" s="143">
        <v>2565</v>
      </c>
      <c r="O200" s="143">
        <v>35876</v>
      </c>
      <c r="P200" s="142">
        <v>50</v>
      </c>
      <c r="Q200" s="143">
        <v>1185</v>
      </c>
      <c r="R200" s="143">
        <v>905</v>
      </c>
      <c r="S200" s="143">
        <v>2090</v>
      </c>
      <c r="T200" s="143">
        <v>34691</v>
      </c>
    </row>
    <row r="201" spans="1:20" x14ac:dyDescent="0.45">
      <c r="A201" s="142">
        <v>44</v>
      </c>
      <c r="B201" s="143">
        <v>707</v>
      </c>
      <c r="C201" s="143">
        <v>232</v>
      </c>
      <c r="D201" s="143">
        <v>940</v>
      </c>
      <c r="E201" s="143">
        <v>23713</v>
      </c>
      <c r="F201" s="142">
        <v>49</v>
      </c>
      <c r="G201" s="143">
        <v>358</v>
      </c>
      <c r="H201" s="143">
        <v>328</v>
      </c>
      <c r="I201" s="143">
        <v>686</v>
      </c>
      <c r="J201" s="143">
        <v>13295</v>
      </c>
      <c r="K201" s="142">
        <v>51</v>
      </c>
      <c r="L201" s="143">
        <v>1032</v>
      </c>
      <c r="M201" s="143">
        <v>1398</v>
      </c>
      <c r="N201" s="143">
        <v>2433</v>
      </c>
      <c r="O201" s="143">
        <v>38309</v>
      </c>
      <c r="P201" s="142">
        <v>49</v>
      </c>
      <c r="Q201" s="143">
        <v>1273</v>
      </c>
      <c r="R201" s="143">
        <v>1052</v>
      </c>
      <c r="S201" s="143">
        <v>2327</v>
      </c>
      <c r="T201" s="143">
        <v>37018</v>
      </c>
    </row>
    <row r="202" spans="1:20" x14ac:dyDescent="0.45">
      <c r="A202" s="142">
        <v>43</v>
      </c>
      <c r="B202" s="143">
        <v>648</v>
      </c>
      <c r="C202" s="143">
        <v>211</v>
      </c>
      <c r="D202" s="143">
        <v>860</v>
      </c>
      <c r="E202" s="143">
        <v>24573</v>
      </c>
      <c r="F202" s="142">
        <v>48</v>
      </c>
      <c r="G202" s="143">
        <v>398</v>
      </c>
      <c r="H202" s="143">
        <v>388</v>
      </c>
      <c r="I202" s="143">
        <v>787</v>
      </c>
      <c r="J202" s="143">
        <v>14082</v>
      </c>
      <c r="K202" s="142">
        <v>50</v>
      </c>
      <c r="L202" s="143">
        <v>1107</v>
      </c>
      <c r="M202" s="143">
        <v>1554</v>
      </c>
      <c r="N202" s="143">
        <v>2662</v>
      </c>
      <c r="O202" s="143">
        <v>40971</v>
      </c>
      <c r="P202" s="142">
        <v>48</v>
      </c>
      <c r="Q202" s="143">
        <v>1260</v>
      </c>
      <c r="R202" s="143">
        <v>992</v>
      </c>
      <c r="S202" s="143">
        <v>2256</v>
      </c>
      <c r="T202" s="143">
        <v>39274</v>
      </c>
    </row>
    <row r="203" spans="1:20" x14ac:dyDescent="0.45">
      <c r="A203" s="142">
        <v>42</v>
      </c>
      <c r="B203" s="143">
        <v>1402</v>
      </c>
      <c r="C203" s="143">
        <v>432</v>
      </c>
      <c r="D203" s="143">
        <v>1838</v>
      </c>
      <c r="E203" s="143">
        <v>26411</v>
      </c>
      <c r="F203" s="142">
        <v>47</v>
      </c>
      <c r="G203" s="143">
        <v>771</v>
      </c>
      <c r="H203" s="143">
        <v>786</v>
      </c>
      <c r="I203" s="143">
        <v>1557</v>
      </c>
      <c r="J203" s="143">
        <v>15639</v>
      </c>
      <c r="K203" s="142">
        <v>49</v>
      </c>
      <c r="L203" s="143">
        <v>1010</v>
      </c>
      <c r="M203" s="143">
        <v>1330</v>
      </c>
      <c r="N203" s="143">
        <v>2341</v>
      </c>
      <c r="O203" s="143">
        <v>43312</v>
      </c>
      <c r="P203" s="142">
        <v>47</v>
      </c>
      <c r="Q203" s="143">
        <v>1339</v>
      </c>
      <c r="R203" s="143">
        <v>1182</v>
      </c>
      <c r="S203" s="143">
        <v>2521</v>
      </c>
      <c r="T203" s="143">
        <v>41795</v>
      </c>
    </row>
    <row r="204" spans="1:20" x14ac:dyDescent="0.45">
      <c r="A204" s="142">
        <v>41</v>
      </c>
      <c r="B204" s="143">
        <v>766</v>
      </c>
      <c r="C204" s="143">
        <v>234</v>
      </c>
      <c r="D204" s="143">
        <v>1003</v>
      </c>
      <c r="E204" s="143">
        <v>27414</v>
      </c>
      <c r="F204" s="142">
        <v>46</v>
      </c>
      <c r="G204" s="143">
        <v>436</v>
      </c>
      <c r="H204" s="143">
        <v>366</v>
      </c>
      <c r="I204" s="143">
        <v>802</v>
      </c>
      <c r="J204" s="143">
        <v>16441</v>
      </c>
      <c r="K204" s="142">
        <v>48</v>
      </c>
      <c r="L204" s="143">
        <v>1222</v>
      </c>
      <c r="M204" s="143">
        <v>1519</v>
      </c>
      <c r="N204" s="143">
        <v>2746</v>
      </c>
      <c r="O204" s="143">
        <v>46058</v>
      </c>
      <c r="P204" s="142">
        <v>46</v>
      </c>
      <c r="Q204" s="143">
        <v>2811</v>
      </c>
      <c r="R204" s="143">
        <v>2406</v>
      </c>
      <c r="S204" s="143">
        <v>5224</v>
      </c>
      <c r="T204" s="143">
        <v>47019</v>
      </c>
    </row>
    <row r="205" spans="1:20" x14ac:dyDescent="0.45">
      <c r="A205" s="142">
        <v>40</v>
      </c>
      <c r="B205" s="143">
        <v>639</v>
      </c>
      <c r="C205" s="143">
        <v>175</v>
      </c>
      <c r="D205" s="143">
        <v>814</v>
      </c>
      <c r="E205" s="143">
        <v>28228</v>
      </c>
      <c r="F205" s="142">
        <v>45</v>
      </c>
      <c r="G205" s="143">
        <v>580</v>
      </c>
      <c r="H205" s="143">
        <v>459</v>
      </c>
      <c r="I205" s="143">
        <v>1039</v>
      </c>
      <c r="J205" s="143">
        <v>17480</v>
      </c>
      <c r="K205" s="142">
        <v>47</v>
      </c>
      <c r="L205" s="143">
        <v>957</v>
      </c>
      <c r="M205" s="143">
        <v>1280</v>
      </c>
      <c r="N205" s="143">
        <v>2241</v>
      </c>
      <c r="O205" s="143">
        <v>48299</v>
      </c>
      <c r="P205" s="142">
        <v>45</v>
      </c>
      <c r="Q205" s="143">
        <v>1462</v>
      </c>
      <c r="R205" s="143">
        <v>1281</v>
      </c>
      <c r="S205" s="143">
        <v>2746</v>
      </c>
      <c r="T205" s="143">
        <v>49765</v>
      </c>
    </row>
    <row r="206" spans="1:20" x14ac:dyDescent="0.45">
      <c r="A206" s="142">
        <v>39</v>
      </c>
      <c r="B206" s="143">
        <v>1586</v>
      </c>
      <c r="C206" s="143">
        <v>492</v>
      </c>
      <c r="D206" s="143">
        <v>2083</v>
      </c>
      <c r="E206" s="143">
        <v>30311</v>
      </c>
      <c r="F206" s="142">
        <v>44</v>
      </c>
      <c r="G206" s="143">
        <v>459</v>
      </c>
      <c r="H206" s="143">
        <v>386</v>
      </c>
      <c r="I206" s="143">
        <v>846</v>
      </c>
      <c r="J206" s="143">
        <v>18326</v>
      </c>
      <c r="K206" s="142">
        <v>46</v>
      </c>
      <c r="L206" s="143">
        <v>1051</v>
      </c>
      <c r="M206" s="143">
        <v>1365</v>
      </c>
      <c r="N206" s="143">
        <v>2416</v>
      </c>
      <c r="O206" s="143">
        <v>50715</v>
      </c>
      <c r="P206" s="142">
        <v>44</v>
      </c>
      <c r="Q206" s="143">
        <v>1483</v>
      </c>
      <c r="R206" s="143">
        <v>1202</v>
      </c>
      <c r="S206" s="143">
        <v>2689</v>
      </c>
      <c r="T206" s="143">
        <v>52454</v>
      </c>
    </row>
    <row r="207" spans="1:20" x14ac:dyDescent="0.45">
      <c r="A207" s="142">
        <v>38</v>
      </c>
      <c r="B207" s="143">
        <v>2176</v>
      </c>
      <c r="C207" s="143">
        <v>420</v>
      </c>
      <c r="D207" s="143">
        <v>2605</v>
      </c>
      <c r="E207" s="143">
        <v>32916</v>
      </c>
      <c r="F207" s="142">
        <v>43</v>
      </c>
      <c r="G207" s="143">
        <v>589</v>
      </c>
      <c r="H207" s="143">
        <v>445</v>
      </c>
      <c r="I207" s="143">
        <v>1036</v>
      </c>
      <c r="J207" s="143">
        <v>19362</v>
      </c>
      <c r="K207" s="142">
        <v>45</v>
      </c>
      <c r="L207" s="143">
        <v>1083</v>
      </c>
      <c r="M207" s="143">
        <v>1380</v>
      </c>
      <c r="N207" s="143">
        <v>2465</v>
      </c>
      <c r="O207" s="143">
        <v>53180</v>
      </c>
      <c r="P207" s="142">
        <v>43</v>
      </c>
      <c r="Q207" s="143">
        <v>1678</v>
      </c>
      <c r="R207" s="143">
        <v>1306</v>
      </c>
      <c r="S207" s="143">
        <v>2987</v>
      </c>
      <c r="T207" s="143">
        <v>55441</v>
      </c>
    </row>
    <row r="208" spans="1:20" x14ac:dyDescent="0.45">
      <c r="A208" s="142">
        <v>37</v>
      </c>
      <c r="B208" s="143">
        <v>531</v>
      </c>
      <c r="C208" s="143">
        <v>130</v>
      </c>
      <c r="D208" s="143">
        <v>662</v>
      </c>
      <c r="E208" s="143">
        <v>33578</v>
      </c>
      <c r="F208" s="142">
        <v>42</v>
      </c>
      <c r="G208" s="143">
        <v>477</v>
      </c>
      <c r="H208" s="143">
        <v>407</v>
      </c>
      <c r="I208" s="143">
        <v>886</v>
      </c>
      <c r="J208" s="143">
        <v>20248</v>
      </c>
      <c r="K208" s="142">
        <v>44</v>
      </c>
      <c r="L208" s="143">
        <v>994</v>
      </c>
      <c r="M208" s="143">
        <v>1119</v>
      </c>
      <c r="N208" s="143">
        <v>2115</v>
      </c>
      <c r="O208" s="143">
        <v>55295</v>
      </c>
      <c r="P208" s="142">
        <v>42</v>
      </c>
      <c r="Q208" s="143">
        <v>1431</v>
      </c>
      <c r="R208" s="143">
        <v>1185</v>
      </c>
      <c r="S208" s="143">
        <v>2619</v>
      </c>
      <c r="T208" s="143">
        <v>58060</v>
      </c>
    </row>
    <row r="209" spans="1:20" x14ac:dyDescent="0.45">
      <c r="A209" s="142">
        <v>36</v>
      </c>
      <c r="B209" s="143">
        <v>922</v>
      </c>
      <c r="C209" s="143">
        <v>221</v>
      </c>
      <c r="D209" s="143">
        <v>1145</v>
      </c>
      <c r="E209" s="143">
        <v>34723</v>
      </c>
      <c r="F209" s="142">
        <v>41</v>
      </c>
      <c r="G209" s="143">
        <v>1223</v>
      </c>
      <c r="H209" s="143">
        <v>544</v>
      </c>
      <c r="I209" s="143">
        <v>1770</v>
      </c>
      <c r="J209" s="143">
        <v>22018</v>
      </c>
      <c r="K209" s="142">
        <v>43</v>
      </c>
      <c r="L209" s="143">
        <v>1154</v>
      </c>
      <c r="M209" s="143">
        <v>1354</v>
      </c>
      <c r="N209" s="143">
        <v>2510</v>
      </c>
      <c r="O209" s="143">
        <v>57805</v>
      </c>
      <c r="P209" s="142">
        <v>41</v>
      </c>
      <c r="Q209" s="143">
        <v>4651</v>
      </c>
      <c r="R209" s="143">
        <v>2890</v>
      </c>
      <c r="S209" s="143">
        <v>7555</v>
      </c>
      <c r="T209" s="143">
        <v>65615</v>
      </c>
    </row>
    <row r="210" spans="1:20" x14ac:dyDescent="0.45">
      <c r="A210" s="142">
        <v>35</v>
      </c>
      <c r="B210" s="143">
        <v>223</v>
      </c>
      <c r="C210" s="143">
        <v>55</v>
      </c>
      <c r="D210" s="143">
        <v>280</v>
      </c>
      <c r="E210" s="143">
        <v>35003</v>
      </c>
      <c r="F210" s="142">
        <v>40</v>
      </c>
      <c r="G210" s="143">
        <v>849</v>
      </c>
      <c r="H210" s="143">
        <v>633</v>
      </c>
      <c r="I210" s="143">
        <v>1487</v>
      </c>
      <c r="J210" s="143">
        <v>23505</v>
      </c>
      <c r="K210" s="142">
        <v>42</v>
      </c>
      <c r="L210" s="143">
        <v>941</v>
      </c>
      <c r="M210" s="143">
        <v>1059</v>
      </c>
      <c r="N210" s="143">
        <v>2002</v>
      </c>
      <c r="O210" s="143">
        <v>59807</v>
      </c>
      <c r="P210" s="142">
        <v>40</v>
      </c>
      <c r="Q210" s="143">
        <v>1249</v>
      </c>
      <c r="R210" s="143">
        <v>930</v>
      </c>
      <c r="S210" s="143">
        <v>2184</v>
      </c>
      <c r="T210" s="143">
        <v>67799</v>
      </c>
    </row>
    <row r="211" spans="1:20" x14ac:dyDescent="0.45">
      <c r="A211" s="142">
        <v>34</v>
      </c>
      <c r="B211" s="143">
        <v>264</v>
      </c>
      <c r="C211" s="143">
        <v>58</v>
      </c>
      <c r="D211" s="143">
        <v>323</v>
      </c>
      <c r="E211" s="143">
        <v>35326</v>
      </c>
      <c r="F211" s="142">
        <v>39</v>
      </c>
      <c r="G211" s="143">
        <v>447</v>
      </c>
      <c r="H211" s="143">
        <v>308</v>
      </c>
      <c r="I211" s="143">
        <v>756</v>
      </c>
      <c r="J211" s="143">
        <v>24261</v>
      </c>
      <c r="K211" s="142">
        <v>41</v>
      </c>
      <c r="L211" s="143">
        <v>1095</v>
      </c>
      <c r="M211" s="143">
        <v>1080</v>
      </c>
      <c r="N211" s="143">
        <v>2176</v>
      </c>
      <c r="O211" s="143">
        <v>61983</v>
      </c>
      <c r="P211" s="142">
        <v>39</v>
      </c>
      <c r="Q211" s="143">
        <v>1624</v>
      </c>
      <c r="R211" s="143">
        <v>1060</v>
      </c>
      <c r="S211" s="143">
        <v>2687</v>
      </c>
      <c r="T211" s="143">
        <v>70486</v>
      </c>
    </row>
    <row r="212" spans="1:20" x14ac:dyDescent="0.45">
      <c r="A212" s="142">
        <v>33</v>
      </c>
      <c r="B212" s="143">
        <v>148</v>
      </c>
      <c r="C212" s="143">
        <v>23</v>
      </c>
      <c r="D212" s="143">
        <v>171</v>
      </c>
      <c r="E212" s="143">
        <v>35497</v>
      </c>
      <c r="F212" s="142">
        <v>38</v>
      </c>
      <c r="G212" s="143">
        <v>320</v>
      </c>
      <c r="H212" s="143">
        <v>208</v>
      </c>
      <c r="I212" s="143">
        <v>528</v>
      </c>
      <c r="J212" s="143">
        <v>24789</v>
      </c>
      <c r="K212" s="142">
        <v>40</v>
      </c>
      <c r="L212" s="143">
        <v>994</v>
      </c>
      <c r="M212" s="143">
        <v>976</v>
      </c>
      <c r="N212" s="143">
        <v>1970</v>
      </c>
      <c r="O212" s="143">
        <v>63953</v>
      </c>
      <c r="P212" s="142">
        <v>38</v>
      </c>
      <c r="Q212" s="143">
        <v>1824</v>
      </c>
      <c r="R212" s="143">
        <v>1086</v>
      </c>
      <c r="S212" s="143">
        <v>2917</v>
      </c>
      <c r="T212" s="143">
        <v>73403</v>
      </c>
    </row>
    <row r="213" spans="1:20" x14ac:dyDescent="0.45">
      <c r="A213" s="142">
        <v>32</v>
      </c>
      <c r="B213" s="143">
        <v>162</v>
      </c>
      <c r="C213" s="143">
        <v>23</v>
      </c>
      <c r="D213" s="143">
        <v>185</v>
      </c>
      <c r="E213" s="143">
        <v>35682</v>
      </c>
      <c r="F213" s="142">
        <v>37</v>
      </c>
      <c r="G213" s="143">
        <v>405</v>
      </c>
      <c r="H213" s="143">
        <v>210</v>
      </c>
      <c r="I213" s="143">
        <v>618</v>
      </c>
      <c r="J213" s="143">
        <v>25407</v>
      </c>
      <c r="K213" s="142">
        <v>39</v>
      </c>
      <c r="L213" s="143">
        <v>1115</v>
      </c>
      <c r="M213" s="143">
        <v>991</v>
      </c>
      <c r="N213" s="143">
        <v>2110</v>
      </c>
      <c r="O213" s="143">
        <v>66063</v>
      </c>
      <c r="P213" s="142">
        <v>37</v>
      </c>
      <c r="Q213" s="143">
        <v>881</v>
      </c>
      <c r="R213" s="143">
        <v>626</v>
      </c>
      <c r="S213" s="143">
        <v>1508</v>
      </c>
      <c r="T213" s="143">
        <v>74911</v>
      </c>
    </row>
    <row r="214" spans="1:20" x14ac:dyDescent="0.45">
      <c r="A214" s="142">
        <v>30</v>
      </c>
      <c r="B214" s="143">
        <v>35</v>
      </c>
      <c r="C214" s="143">
        <v>7</v>
      </c>
      <c r="D214" s="143">
        <v>42</v>
      </c>
      <c r="E214" s="143">
        <v>35724</v>
      </c>
      <c r="F214" s="142">
        <v>36</v>
      </c>
      <c r="G214" s="143">
        <v>228</v>
      </c>
      <c r="H214" s="143">
        <v>143</v>
      </c>
      <c r="I214" s="143">
        <v>372</v>
      </c>
      <c r="J214" s="143">
        <v>25779</v>
      </c>
      <c r="K214" s="142">
        <v>37</v>
      </c>
      <c r="L214" s="143">
        <v>2254</v>
      </c>
      <c r="M214" s="143">
        <v>1391</v>
      </c>
      <c r="N214" s="143">
        <v>3653</v>
      </c>
      <c r="O214" s="143">
        <v>69716</v>
      </c>
      <c r="P214" s="142">
        <v>36</v>
      </c>
      <c r="Q214" s="143">
        <v>533</v>
      </c>
      <c r="R214" s="143">
        <v>312</v>
      </c>
      <c r="S214" s="143">
        <v>845</v>
      </c>
      <c r="T214" s="143">
        <v>75756</v>
      </c>
    </row>
    <row r="215" spans="1:20" x14ac:dyDescent="0.45">
      <c r="A215" s="142"/>
      <c r="B215" s="143"/>
      <c r="C215" s="143"/>
      <c r="D215" s="143"/>
      <c r="E215" s="143"/>
      <c r="F215" s="142">
        <v>35</v>
      </c>
      <c r="G215" s="143">
        <v>546</v>
      </c>
      <c r="H215" s="143">
        <v>261</v>
      </c>
      <c r="I215" s="143">
        <v>811</v>
      </c>
      <c r="J215" s="143">
        <v>26590</v>
      </c>
      <c r="K215" s="142">
        <v>36</v>
      </c>
      <c r="L215" s="143">
        <v>732</v>
      </c>
      <c r="M215" s="143">
        <v>663</v>
      </c>
      <c r="N215" s="143">
        <v>1396</v>
      </c>
      <c r="O215" s="143">
        <v>71112</v>
      </c>
      <c r="P215" s="142">
        <v>35</v>
      </c>
      <c r="Q215" s="143">
        <v>802</v>
      </c>
      <c r="R215" s="143">
        <v>512</v>
      </c>
      <c r="S215" s="143">
        <v>1314</v>
      </c>
      <c r="T215" s="143">
        <v>77070</v>
      </c>
    </row>
    <row r="216" spans="1:20" x14ac:dyDescent="0.45">
      <c r="A216" s="142"/>
      <c r="B216" s="143"/>
      <c r="C216" s="143"/>
      <c r="D216" s="143"/>
      <c r="E216" s="143"/>
      <c r="F216" s="142">
        <v>34</v>
      </c>
      <c r="G216" s="143">
        <v>139</v>
      </c>
      <c r="H216" s="143">
        <v>71</v>
      </c>
      <c r="I216" s="143">
        <v>210</v>
      </c>
      <c r="J216" s="143">
        <v>26800</v>
      </c>
      <c r="K216" s="142">
        <v>35</v>
      </c>
      <c r="L216" s="143">
        <v>1361</v>
      </c>
      <c r="M216" s="143">
        <v>967</v>
      </c>
      <c r="N216" s="143">
        <v>2334</v>
      </c>
      <c r="O216" s="143">
        <v>73446</v>
      </c>
      <c r="P216" s="142">
        <v>34</v>
      </c>
      <c r="Q216" s="143">
        <v>142</v>
      </c>
      <c r="R216" s="143">
        <v>73</v>
      </c>
      <c r="S216" s="143">
        <v>215</v>
      </c>
      <c r="T216" s="143">
        <v>77285</v>
      </c>
    </row>
    <row r="217" spans="1:20" x14ac:dyDescent="0.45">
      <c r="A217" s="142"/>
      <c r="B217" s="143"/>
      <c r="C217" s="143"/>
      <c r="D217" s="143"/>
      <c r="E217" s="143"/>
      <c r="F217" s="142">
        <v>33</v>
      </c>
      <c r="G217" s="143">
        <v>160</v>
      </c>
      <c r="H217" s="143">
        <v>89</v>
      </c>
      <c r="I217" s="143">
        <v>250</v>
      </c>
      <c r="J217" s="143">
        <v>27050</v>
      </c>
      <c r="K217" s="142">
        <v>34</v>
      </c>
      <c r="L217" s="143">
        <v>601</v>
      </c>
      <c r="M217" s="143">
        <v>499</v>
      </c>
      <c r="N217" s="143">
        <v>1103</v>
      </c>
      <c r="O217" s="143">
        <v>74549</v>
      </c>
      <c r="P217" s="142">
        <v>33</v>
      </c>
      <c r="Q217" s="143">
        <v>162</v>
      </c>
      <c r="R217" s="143">
        <v>111</v>
      </c>
      <c r="S217" s="143">
        <v>274</v>
      </c>
      <c r="T217" s="143">
        <v>77559</v>
      </c>
    </row>
    <row r="218" spans="1:20" x14ac:dyDescent="0.45">
      <c r="A218" s="142"/>
      <c r="B218" s="143"/>
      <c r="C218" s="143"/>
      <c r="D218" s="143"/>
      <c r="E218" s="143"/>
      <c r="F218" s="142">
        <v>32</v>
      </c>
      <c r="G218" s="143">
        <v>62</v>
      </c>
      <c r="H218" s="143">
        <v>40</v>
      </c>
      <c r="I218" s="143">
        <v>103</v>
      </c>
      <c r="J218" s="143">
        <v>27153</v>
      </c>
      <c r="K218" s="142">
        <v>33</v>
      </c>
      <c r="L218" s="143">
        <v>507</v>
      </c>
      <c r="M218" s="143">
        <v>378</v>
      </c>
      <c r="N218" s="143">
        <v>889</v>
      </c>
      <c r="O218" s="143">
        <v>75438</v>
      </c>
      <c r="P218" s="142">
        <v>31</v>
      </c>
      <c r="Q218" s="143">
        <v>62</v>
      </c>
      <c r="R218" s="143">
        <v>28</v>
      </c>
      <c r="S218" s="143">
        <v>90</v>
      </c>
      <c r="T218" s="143">
        <v>77649</v>
      </c>
    </row>
    <row r="219" spans="1:20" x14ac:dyDescent="0.45">
      <c r="A219" s="142"/>
      <c r="B219" s="143"/>
      <c r="C219" s="143"/>
      <c r="D219" s="143"/>
      <c r="E219" s="143"/>
      <c r="F219" s="142">
        <v>30</v>
      </c>
      <c r="G219" s="143">
        <v>12</v>
      </c>
      <c r="H219" s="143">
        <v>6</v>
      </c>
      <c r="I219" s="143">
        <v>18</v>
      </c>
      <c r="J219" s="143">
        <v>27171</v>
      </c>
      <c r="K219" s="142">
        <v>32</v>
      </c>
      <c r="L219" s="143">
        <v>582</v>
      </c>
      <c r="M219" s="143">
        <v>417</v>
      </c>
      <c r="N219" s="143">
        <v>1001</v>
      </c>
      <c r="O219" s="143">
        <v>76439</v>
      </c>
      <c r="P219" s="142"/>
      <c r="Q219" s="143"/>
      <c r="R219" s="143"/>
      <c r="S219" s="143"/>
      <c r="T219" s="143"/>
    </row>
    <row r="220" spans="1:20" x14ac:dyDescent="0.45">
      <c r="A220" s="142"/>
      <c r="B220" s="143"/>
      <c r="C220" s="143"/>
      <c r="D220" s="143"/>
      <c r="E220" s="143"/>
      <c r="F220" s="142"/>
      <c r="G220" s="143"/>
      <c r="H220" s="143"/>
      <c r="I220" s="143"/>
      <c r="J220" s="143"/>
      <c r="K220" s="142">
        <v>31</v>
      </c>
      <c r="L220" s="143">
        <v>226</v>
      </c>
      <c r="M220" s="143">
        <v>162</v>
      </c>
      <c r="N220" s="143">
        <v>389</v>
      </c>
      <c r="O220" s="143">
        <v>76828</v>
      </c>
      <c r="P220" s="142"/>
      <c r="Q220" s="143"/>
      <c r="R220" s="143"/>
      <c r="S220" s="143"/>
      <c r="T220" s="143"/>
    </row>
    <row r="221" spans="1:20" x14ac:dyDescent="0.45">
      <c r="A221" s="142"/>
      <c r="B221" s="143"/>
      <c r="C221" s="143"/>
      <c r="D221" s="143"/>
      <c r="E221" s="143"/>
      <c r="F221" s="142"/>
      <c r="G221" s="143"/>
      <c r="H221" s="143"/>
      <c r="I221" s="143"/>
      <c r="J221" s="143"/>
      <c r="K221" s="142">
        <v>30</v>
      </c>
      <c r="L221" s="143">
        <v>244</v>
      </c>
      <c r="M221" s="143">
        <v>180</v>
      </c>
      <c r="N221" s="143">
        <v>427</v>
      </c>
      <c r="O221" s="143">
        <v>77255</v>
      </c>
      <c r="P221" s="142"/>
      <c r="Q221" s="143"/>
      <c r="R221" s="143"/>
      <c r="S221" s="143"/>
      <c r="T221" s="143"/>
    </row>
    <row r="222" spans="1:20" x14ac:dyDescent="0.45">
      <c r="A222" s="142"/>
      <c r="B222" s="143"/>
      <c r="C222" s="143"/>
      <c r="D222" s="143"/>
      <c r="E222" s="143"/>
      <c r="F222" s="142"/>
      <c r="G222" s="143"/>
      <c r="H222" s="143"/>
      <c r="I222" s="143"/>
      <c r="J222" s="143"/>
      <c r="K222" s="142">
        <v>29</v>
      </c>
      <c r="L222" s="143">
        <v>128</v>
      </c>
      <c r="M222" s="143">
        <v>90</v>
      </c>
      <c r="N222" s="143">
        <v>219</v>
      </c>
      <c r="O222" s="143">
        <v>77474</v>
      </c>
      <c r="P222" s="142"/>
      <c r="Q222" s="143"/>
      <c r="R222" s="143"/>
      <c r="S222" s="143"/>
      <c r="T222" s="143"/>
    </row>
    <row r="223" spans="1:20" x14ac:dyDescent="0.45">
      <c r="A223" s="142"/>
      <c r="B223" s="143"/>
      <c r="C223" s="143"/>
      <c r="D223" s="143"/>
      <c r="E223" s="143"/>
      <c r="F223" s="142"/>
      <c r="G223" s="143"/>
      <c r="H223" s="143"/>
      <c r="I223" s="143"/>
      <c r="J223" s="143"/>
      <c r="K223" s="142">
        <v>28</v>
      </c>
      <c r="L223" s="143">
        <v>69</v>
      </c>
      <c r="M223" s="143">
        <v>47</v>
      </c>
      <c r="N223" s="143">
        <v>116</v>
      </c>
      <c r="O223" s="143">
        <v>77590</v>
      </c>
      <c r="P223" s="142"/>
      <c r="Q223" s="143"/>
      <c r="R223" s="143"/>
      <c r="S223" s="143"/>
      <c r="T223" s="143"/>
    </row>
    <row r="224" spans="1:20" x14ac:dyDescent="0.45">
      <c r="A224" s="140"/>
      <c r="B224" s="141"/>
      <c r="C224" s="141"/>
      <c r="D224" s="141"/>
      <c r="E224" s="141"/>
      <c r="F224" s="142"/>
      <c r="G224" s="143"/>
      <c r="H224" s="143"/>
      <c r="I224" s="143"/>
      <c r="J224" s="143"/>
      <c r="K224" s="142">
        <v>27</v>
      </c>
      <c r="L224" s="143">
        <v>101</v>
      </c>
      <c r="M224" s="143">
        <v>39</v>
      </c>
      <c r="N224" s="143">
        <v>141</v>
      </c>
      <c r="O224" s="143">
        <v>77731</v>
      </c>
      <c r="P224" s="142"/>
      <c r="Q224" s="143"/>
      <c r="R224" s="143"/>
      <c r="S224" s="143"/>
      <c r="T224" s="143"/>
    </row>
    <row r="225" spans="1:20" x14ac:dyDescent="0.45">
      <c r="A225" s="140"/>
      <c r="B225" s="141"/>
      <c r="C225" s="141"/>
      <c r="D225" s="141"/>
      <c r="E225" s="141"/>
      <c r="F225" s="142"/>
      <c r="G225" s="143"/>
      <c r="H225" s="143"/>
      <c r="I225" s="143"/>
      <c r="J225" s="143"/>
      <c r="K225" s="142">
        <v>25</v>
      </c>
      <c r="L225" s="143">
        <v>35</v>
      </c>
      <c r="M225" s="143">
        <v>21</v>
      </c>
      <c r="N225" s="143">
        <v>56</v>
      </c>
      <c r="O225" s="143">
        <v>77787</v>
      </c>
      <c r="P225" s="142"/>
      <c r="Q225" s="143"/>
      <c r="R225" s="143"/>
      <c r="S225" s="143"/>
      <c r="T225" s="143"/>
    </row>
    <row r="233" spans="1:20" ht="17.5" thickBot="1" x14ac:dyDescent="0.5"/>
    <row r="234" spans="1:20" x14ac:dyDescent="0.45">
      <c r="A234" s="12" t="s">
        <v>21</v>
      </c>
      <c r="B234" s="13"/>
      <c r="C234" s="13"/>
      <c r="D234" s="14"/>
      <c r="F234" s="12" t="s">
        <v>22</v>
      </c>
      <c r="G234" s="13"/>
      <c r="H234" s="13"/>
      <c r="I234" s="14"/>
      <c r="K234" s="12" t="s">
        <v>23</v>
      </c>
      <c r="L234" s="13"/>
      <c r="M234" s="13"/>
      <c r="N234" s="14"/>
      <c r="P234" s="12" t="s">
        <v>24</v>
      </c>
      <c r="Q234" s="13"/>
      <c r="R234" s="13"/>
      <c r="S234" s="14"/>
    </row>
    <row r="235" spans="1:20" x14ac:dyDescent="0.45">
      <c r="A235" s="6" t="s">
        <v>7</v>
      </c>
      <c r="B235" s="1"/>
      <c r="C235" s="1"/>
      <c r="D235" s="7" t="s">
        <v>8</v>
      </c>
      <c r="F235" s="6" t="s">
        <v>7</v>
      </c>
      <c r="G235" s="1"/>
      <c r="H235" s="1"/>
      <c r="I235" s="7" t="s">
        <v>8</v>
      </c>
      <c r="K235" s="6" t="s">
        <v>7</v>
      </c>
      <c r="L235" s="1"/>
      <c r="M235" s="1"/>
      <c r="N235" s="7" t="s">
        <v>8</v>
      </c>
      <c r="P235" s="6" t="s">
        <v>7</v>
      </c>
      <c r="Q235" s="1"/>
      <c r="R235" s="1"/>
      <c r="S235" s="7" t="s">
        <v>8</v>
      </c>
    </row>
    <row r="236" spans="1:20" x14ac:dyDescent="0.45">
      <c r="A236" s="144">
        <v>88</v>
      </c>
      <c r="B236" s="145">
        <v>45</v>
      </c>
      <c r="C236" s="145">
        <v>0</v>
      </c>
      <c r="D236" s="145">
        <v>45</v>
      </c>
      <c r="E236" s="145">
        <v>45</v>
      </c>
      <c r="F236" s="144">
        <v>88</v>
      </c>
      <c r="G236" s="145">
        <v>18</v>
      </c>
      <c r="H236" s="145">
        <v>0</v>
      </c>
      <c r="I236" s="145">
        <v>18</v>
      </c>
      <c r="J236" s="145">
        <v>18</v>
      </c>
      <c r="K236" s="144">
        <v>87</v>
      </c>
      <c r="L236" s="145">
        <v>37</v>
      </c>
      <c r="M236" s="145">
        <v>9</v>
      </c>
      <c r="N236" s="145">
        <v>46</v>
      </c>
      <c r="O236" s="145">
        <v>46</v>
      </c>
      <c r="P236" s="144">
        <v>99</v>
      </c>
      <c r="Q236" s="146">
        <v>33</v>
      </c>
      <c r="R236" s="146">
        <v>1</v>
      </c>
      <c r="S236" s="146">
        <v>34</v>
      </c>
      <c r="T236" s="146">
        <v>34</v>
      </c>
    </row>
    <row r="237" spans="1:20" x14ac:dyDescent="0.45">
      <c r="A237" s="144">
        <v>86</v>
      </c>
      <c r="B237" s="145">
        <v>24</v>
      </c>
      <c r="C237" s="145">
        <v>2</v>
      </c>
      <c r="D237" s="145">
        <v>26</v>
      </c>
      <c r="E237" s="145">
        <v>71</v>
      </c>
      <c r="F237" s="144">
        <v>86</v>
      </c>
      <c r="G237" s="145">
        <v>3</v>
      </c>
      <c r="H237" s="145">
        <v>3</v>
      </c>
      <c r="I237" s="145">
        <v>6</v>
      </c>
      <c r="J237" s="145">
        <v>24</v>
      </c>
      <c r="K237" s="144">
        <v>84</v>
      </c>
      <c r="L237" s="145">
        <v>10</v>
      </c>
      <c r="M237" s="145">
        <v>5</v>
      </c>
      <c r="N237" s="145">
        <v>15</v>
      </c>
      <c r="O237" s="145">
        <v>61</v>
      </c>
      <c r="P237" s="144">
        <v>96</v>
      </c>
      <c r="Q237" s="146">
        <v>8</v>
      </c>
      <c r="R237" s="146">
        <v>0</v>
      </c>
      <c r="S237" s="146">
        <v>8</v>
      </c>
      <c r="T237" s="146">
        <v>42</v>
      </c>
    </row>
    <row r="238" spans="1:20" x14ac:dyDescent="0.45">
      <c r="A238" s="144">
        <v>85</v>
      </c>
      <c r="B238" s="145">
        <v>23</v>
      </c>
      <c r="C238" s="145">
        <v>2</v>
      </c>
      <c r="D238" s="145">
        <v>25</v>
      </c>
      <c r="E238" s="145">
        <v>96</v>
      </c>
      <c r="F238" s="144">
        <v>85</v>
      </c>
      <c r="G238" s="145">
        <v>15</v>
      </c>
      <c r="H238" s="145">
        <v>1</v>
      </c>
      <c r="I238" s="145">
        <v>16</v>
      </c>
      <c r="J238" s="145">
        <v>40</v>
      </c>
      <c r="K238" s="144">
        <v>83</v>
      </c>
      <c r="L238" s="145">
        <v>33</v>
      </c>
      <c r="M238" s="145">
        <v>13</v>
      </c>
      <c r="N238" s="145">
        <v>46</v>
      </c>
      <c r="O238" s="145">
        <v>107</v>
      </c>
      <c r="P238" s="144">
        <v>95</v>
      </c>
      <c r="Q238" s="146">
        <v>9</v>
      </c>
      <c r="R238" s="146">
        <v>2</v>
      </c>
      <c r="S238" s="146">
        <v>11</v>
      </c>
      <c r="T238" s="146">
        <v>53</v>
      </c>
    </row>
    <row r="239" spans="1:20" x14ac:dyDescent="0.45">
      <c r="A239" s="144">
        <v>84</v>
      </c>
      <c r="B239" s="145">
        <v>14</v>
      </c>
      <c r="C239" s="145">
        <v>0</v>
      </c>
      <c r="D239" s="145">
        <v>14</v>
      </c>
      <c r="E239" s="145">
        <v>110</v>
      </c>
      <c r="F239" s="144">
        <v>84</v>
      </c>
      <c r="G239" s="145">
        <v>1</v>
      </c>
      <c r="H239" s="145">
        <v>2</v>
      </c>
      <c r="I239" s="145">
        <v>3</v>
      </c>
      <c r="J239" s="145">
        <v>43</v>
      </c>
      <c r="K239" s="144">
        <v>82</v>
      </c>
      <c r="L239" s="145">
        <v>4</v>
      </c>
      <c r="M239" s="145">
        <v>1</v>
      </c>
      <c r="N239" s="145">
        <v>5</v>
      </c>
      <c r="O239" s="145">
        <v>112</v>
      </c>
      <c r="P239" s="144">
        <v>92</v>
      </c>
      <c r="Q239" s="146">
        <v>15</v>
      </c>
      <c r="R239" s="146">
        <v>0</v>
      </c>
      <c r="S239" s="146">
        <v>15</v>
      </c>
      <c r="T239" s="146">
        <v>68</v>
      </c>
    </row>
    <row r="240" spans="1:20" x14ac:dyDescent="0.45">
      <c r="A240" s="144">
        <v>83</v>
      </c>
      <c r="B240" s="145">
        <v>23</v>
      </c>
      <c r="C240" s="145">
        <v>1</v>
      </c>
      <c r="D240" s="145">
        <v>24</v>
      </c>
      <c r="E240" s="145">
        <v>134</v>
      </c>
      <c r="F240" s="144">
        <v>83</v>
      </c>
      <c r="G240" s="145">
        <v>15</v>
      </c>
      <c r="H240" s="145">
        <v>3</v>
      </c>
      <c r="I240" s="145">
        <v>18</v>
      </c>
      <c r="J240" s="145">
        <v>61</v>
      </c>
      <c r="K240" s="144">
        <v>81</v>
      </c>
      <c r="L240" s="145">
        <v>16</v>
      </c>
      <c r="M240" s="145">
        <v>8</v>
      </c>
      <c r="N240" s="145">
        <v>24</v>
      </c>
      <c r="O240" s="145">
        <v>136</v>
      </c>
      <c r="P240" s="144">
        <v>91</v>
      </c>
      <c r="Q240" s="146">
        <v>8</v>
      </c>
      <c r="R240" s="146">
        <v>1</v>
      </c>
      <c r="S240" s="146">
        <v>9</v>
      </c>
      <c r="T240" s="146">
        <v>77</v>
      </c>
    </row>
    <row r="241" spans="1:20" x14ac:dyDescent="0.45">
      <c r="A241" s="144">
        <v>82</v>
      </c>
      <c r="B241" s="145">
        <v>21</v>
      </c>
      <c r="C241" s="145">
        <v>1</v>
      </c>
      <c r="D241" s="145">
        <v>22</v>
      </c>
      <c r="E241" s="145">
        <v>156</v>
      </c>
      <c r="F241" s="144">
        <v>82</v>
      </c>
      <c r="G241" s="145">
        <v>27</v>
      </c>
      <c r="H241" s="145">
        <v>6</v>
      </c>
      <c r="I241" s="145">
        <v>33</v>
      </c>
      <c r="J241" s="145">
        <v>94</v>
      </c>
      <c r="K241" s="144">
        <v>80</v>
      </c>
      <c r="L241" s="145">
        <v>27</v>
      </c>
      <c r="M241" s="145">
        <v>10</v>
      </c>
      <c r="N241" s="145">
        <v>37</v>
      </c>
      <c r="O241" s="145">
        <v>173</v>
      </c>
      <c r="P241" s="144">
        <v>89</v>
      </c>
      <c r="Q241" s="146">
        <v>3</v>
      </c>
      <c r="R241" s="146">
        <v>1</v>
      </c>
      <c r="S241" s="146">
        <v>4</v>
      </c>
      <c r="T241" s="146">
        <v>81</v>
      </c>
    </row>
    <row r="242" spans="1:20" x14ac:dyDescent="0.45">
      <c r="A242" s="144">
        <v>81</v>
      </c>
      <c r="B242" s="145">
        <v>12</v>
      </c>
      <c r="C242" s="145">
        <v>2</v>
      </c>
      <c r="D242" s="145">
        <v>14</v>
      </c>
      <c r="E242" s="145">
        <v>170</v>
      </c>
      <c r="F242" s="144">
        <v>81</v>
      </c>
      <c r="G242" s="145">
        <v>7</v>
      </c>
      <c r="H242" s="145">
        <v>1</v>
      </c>
      <c r="I242" s="145">
        <v>8</v>
      </c>
      <c r="J242" s="145">
        <v>102</v>
      </c>
      <c r="K242" s="144">
        <v>79</v>
      </c>
      <c r="L242" s="145">
        <v>9</v>
      </c>
      <c r="M242" s="145">
        <v>7</v>
      </c>
      <c r="N242" s="145">
        <v>16</v>
      </c>
      <c r="O242" s="145">
        <v>189</v>
      </c>
      <c r="P242" s="144">
        <v>88</v>
      </c>
      <c r="Q242" s="146">
        <v>9</v>
      </c>
      <c r="R242" s="146">
        <v>0</v>
      </c>
      <c r="S242" s="146">
        <v>9</v>
      </c>
      <c r="T242" s="146">
        <v>90</v>
      </c>
    </row>
    <row r="243" spans="1:20" x14ac:dyDescent="0.45">
      <c r="A243" s="144">
        <v>80</v>
      </c>
      <c r="B243" s="145">
        <v>18</v>
      </c>
      <c r="C243" s="145">
        <v>2</v>
      </c>
      <c r="D243" s="145">
        <v>20</v>
      </c>
      <c r="E243" s="145">
        <v>190</v>
      </c>
      <c r="F243" s="144">
        <v>79</v>
      </c>
      <c r="G243" s="145">
        <v>28</v>
      </c>
      <c r="H243" s="145">
        <v>2</v>
      </c>
      <c r="I243" s="145">
        <v>30</v>
      </c>
      <c r="J243" s="145">
        <v>132</v>
      </c>
      <c r="K243" s="144">
        <v>78</v>
      </c>
      <c r="L243" s="145">
        <v>26</v>
      </c>
      <c r="M243" s="145">
        <v>13</v>
      </c>
      <c r="N243" s="145">
        <v>39</v>
      </c>
      <c r="O243" s="145">
        <v>228</v>
      </c>
      <c r="P243" s="144">
        <v>87</v>
      </c>
      <c r="Q243" s="146">
        <v>10</v>
      </c>
      <c r="R243" s="146">
        <v>2</v>
      </c>
      <c r="S243" s="146">
        <v>12</v>
      </c>
      <c r="T243" s="146">
        <v>102</v>
      </c>
    </row>
    <row r="244" spans="1:20" x14ac:dyDescent="0.45">
      <c r="A244" s="144">
        <v>79</v>
      </c>
      <c r="B244" s="145">
        <v>18</v>
      </c>
      <c r="C244" s="145">
        <v>3</v>
      </c>
      <c r="D244" s="145">
        <v>21</v>
      </c>
      <c r="E244" s="145">
        <v>211</v>
      </c>
      <c r="F244" s="144">
        <v>78</v>
      </c>
      <c r="G244" s="145">
        <v>17</v>
      </c>
      <c r="H244" s="145">
        <v>3</v>
      </c>
      <c r="I244" s="145">
        <v>20</v>
      </c>
      <c r="J244" s="145">
        <v>152</v>
      </c>
      <c r="K244" s="144">
        <v>77</v>
      </c>
      <c r="L244" s="145">
        <v>14</v>
      </c>
      <c r="M244" s="145">
        <v>9</v>
      </c>
      <c r="N244" s="145">
        <v>23</v>
      </c>
      <c r="O244" s="145">
        <v>251</v>
      </c>
      <c r="P244" s="144">
        <v>85</v>
      </c>
      <c r="Q244" s="146">
        <v>11</v>
      </c>
      <c r="R244" s="146">
        <v>0</v>
      </c>
      <c r="S244" s="146">
        <v>11</v>
      </c>
      <c r="T244" s="146">
        <v>113</v>
      </c>
    </row>
    <row r="245" spans="1:20" x14ac:dyDescent="0.45">
      <c r="A245" s="144">
        <v>78</v>
      </c>
      <c r="B245" s="145">
        <v>19</v>
      </c>
      <c r="C245" s="145">
        <v>2</v>
      </c>
      <c r="D245" s="145">
        <v>21</v>
      </c>
      <c r="E245" s="145">
        <v>232</v>
      </c>
      <c r="F245" s="144">
        <v>77</v>
      </c>
      <c r="G245" s="145">
        <v>8</v>
      </c>
      <c r="H245" s="145">
        <v>1</v>
      </c>
      <c r="I245" s="145">
        <v>9</v>
      </c>
      <c r="J245" s="145">
        <v>161</v>
      </c>
      <c r="K245" s="144">
        <v>76</v>
      </c>
      <c r="L245" s="145">
        <v>19</v>
      </c>
      <c r="M245" s="145">
        <v>9</v>
      </c>
      <c r="N245" s="145">
        <v>28</v>
      </c>
      <c r="O245" s="145">
        <v>279</v>
      </c>
      <c r="P245" s="144">
        <v>84</v>
      </c>
      <c r="Q245" s="146">
        <v>11</v>
      </c>
      <c r="R245" s="146">
        <v>3</v>
      </c>
      <c r="S245" s="146">
        <v>14</v>
      </c>
      <c r="T245" s="146">
        <v>127</v>
      </c>
    </row>
    <row r="246" spans="1:20" x14ac:dyDescent="0.45">
      <c r="A246" s="144">
        <v>77</v>
      </c>
      <c r="B246" s="145">
        <v>19</v>
      </c>
      <c r="C246" s="145">
        <v>1</v>
      </c>
      <c r="D246" s="145">
        <v>20</v>
      </c>
      <c r="E246" s="145">
        <v>252</v>
      </c>
      <c r="F246" s="144">
        <v>76</v>
      </c>
      <c r="G246" s="145">
        <v>16</v>
      </c>
      <c r="H246" s="145">
        <v>2</v>
      </c>
      <c r="I246" s="145">
        <v>18</v>
      </c>
      <c r="J246" s="145">
        <v>179</v>
      </c>
      <c r="K246" s="144">
        <v>75</v>
      </c>
      <c r="L246" s="145">
        <v>19</v>
      </c>
      <c r="M246" s="145">
        <v>14</v>
      </c>
      <c r="N246" s="145">
        <v>34</v>
      </c>
      <c r="O246" s="145">
        <v>313</v>
      </c>
      <c r="P246" s="144">
        <v>83</v>
      </c>
      <c r="Q246" s="146">
        <v>6</v>
      </c>
      <c r="R246" s="146">
        <v>2</v>
      </c>
      <c r="S246" s="146">
        <v>8</v>
      </c>
      <c r="T246" s="146">
        <v>135</v>
      </c>
    </row>
    <row r="247" spans="1:20" x14ac:dyDescent="0.45">
      <c r="A247" s="144">
        <v>76</v>
      </c>
      <c r="B247" s="145">
        <v>8</v>
      </c>
      <c r="C247" s="145">
        <v>3</v>
      </c>
      <c r="D247" s="145">
        <v>11</v>
      </c>
      <c r="E247" s="145">
        <v>263</v>
      </c>
      <c r="F247" s="144">
        <v>75</v>
      </c>
      <c r="G247" s="145">
        <v>22</v>
      </c>
      <c r="H247" s="145">
        <v>3</v>
      </c>
      <c r="I247" s="145">
        <v>25</v>
      </c>
      <c r="J247" s="145">
        <v>204</v>
      </c>
      <c r="K247" s="144">
        <v>74</v>
      </c>
      <c r="L247" s="145">
        <v>14</v>
      </c>
      <c r="M247" s="145">
        <v>13</v>
      </c>
      <c r="N247" s="145">
        <v>27</v>
      </c>
      <c r="O247" s="145">
        <v>340</v>
      </c>
      <c r="P247" s="144">
        <v>81</v>
      </c>
      <c r="Q247" s="146">
        <v>12</v>
      </c>
      <c r="R247" s="146">
        <v>3</v>
      </c>
      <c r="S247" s="146">
        <v>15</v>
      </c>
      <c r="T247" s="146">
        <v>150</v>
      </c>
    </row>
    <row r="248" spans="1:20" x14ac:dyDescent="0.45">
      <c r="A248" s="144">
        <v>75</v>
      </c>
      <c r="B248" s="145">
        <v>18</v>
      </c>
      <c r="C248" s="145">
        <v>1</v>
      </c>
      <c r="D248" s="145">
        <v>19</v>
      </c>
      <c r="E248" s="145">
        <v>282</v>
      </c>
      <c r="F248" s="144">
        <v>74</v>
      </c>
      <c r="G248" s="145">
        <v>15</v>
      </c>
      <c r="H248" s="145">
        <v>4</v>
      </c>
      <c r="I248" s="145">
        <v>19</v>
      </c>
      <c r="J248" s="145">
        <v>223</v>
      </c>
      <c r="K248" s="144">
        <v>73</v>
      </c>
      <c r="L248" s="145">
        <v>20</v>
      </c>
      <c r="M248" s="145">
        <v>12</v>
      </c>
      <c r="N248" s="145">
        <v>32</v>
      </c>
      <c r="O248" s="145">
        <v>372</v>
      </c>
      <c r="P248" s="144">
        <v>80</v>
      </c>
      <c r="Q248" s="146">
        <v>10</v>
      </c>
      <c r="R248" s="146">
        <v>1</v>
      </c>
      <c r="S248" s="146">
        <v>11</v>
      </c>
      <c r="T248" s="146">
        <v>161</v>
      </c>
    </row>
    <row r="249" spans="1:20" x14ac:dyDescent="0.45">
      <c r="A249" s="144">
        <v>73</v>
      </c>
      <c r="B249" s="145">
        <v>18</v>
      </c>
      <c r="C249" s="145">
        <v>0</v>
      </c>
      <c r="D249" s="145">
        <v>18</v>
      </c>
      <c r="E249" s="145">
        <v>300</v>
      </c>
      <c r="F249" s="144">
        <v>73</v>
      </c>
      <c r="G249" s="145">
        <v>22</v>
      </c>
      <c r="H249" s="145">
        <v>6</v>
      </c>
      <c r="I249" s="145">
        <v>28</v>
      </c>
      <c r="J249" s="145">
        <v>251</v>
      </c>
      <c r="K249" s="144">
        <v>72</v>
      </c>
      <c r="L249" s="145">
        <v>22</v>
      </c>
      <c r="M249" s="145">
        <v>17</v>
      </c>
      <c r="N249" s="145">
        <v>39</v>
      </c>
      <c r="O249" s="145">
        <v>411</v>
      </c>
      <c r="P249" s="144">
        <v>79</v>
      </c>
      <c r="Q249" s="146">
        <v>7</v>
      </c>
      <c r="R249" s="146">
        <v>1</v>
      </c>
      <c r="S249" s="146">
        <v>8</v>
      </c>
      <c r="T249" s="146">
        <v>169</v>
      </c>
    </row>
    <row r="250" spans="1:20" x14ac:dyDescent="0.45">
      <c r="A250" s="144">
        <v>72</v>
      </c>
      <c r="B250" s="145">
        <v>20</v>
      </c>
      <c r="C250" s="145">
        <v>1</v>
      </c>
      <c r="D250" s="145">
        <v>21</v>
      </c>
      <c r="E250" s="145">
        <v>321</v>
      </c>
      <c r="F250" s="144">
        <v>72</v>
      </c>
      <c r="G250" s="145">
        <v>18</v>
      </c>
      <c r="H250" s="145">
        <v>6</v>
      </c>
      <c r="I250" s="145">
        <v>24</v>
      </c>
      <c r="J250" s="145">
        <v>275</v>
      </c>
      <c r="K250" s="144">
        <v>71</v>
      </c>
      <c r="L250" s="145">
        <v>21</v>
      </c>
      <c r="M250" s="145">
        <v>16</v>
      </c>
      <c r="N250" s="145">
        <v>37</v>
      </c>
      <c r="O250" s="145">
        <v>448</v>
      </c>
      <c r="P250" s="144">
        <v>78</v>
      </c>
      <c r="Q250" s="146">
        <v>3</v>
      </c>
      <c r="R250" s="146">
        <v>3</v>
      </c>
      <c r="S250" s="146">
        <v>6</v>
      </c>
      <c r="T250" s="146">
        <v>175</v>
      </c>
    </row>
    <row r="251" spans="1:20" x14ac:dyDescent="0.45">
      <c r="A251" s="144">
        <v>71</v>
      </c>
      <c r="B251" s="145">
        <v>15</v>
      </c>
      <c r="C251" s="145">
        <v>1</v>
      </c>
      <c r="D251" s="145">
        <v>16</v>
      </c>
      <c r="E251" s="145">
        <v>337</v>
      </c>
      <c r="F251" s="144">
        <v>71</v>
      </c>
      <c r="G251" s="145">
        <v>23</v>
      </c>
      <c r="H251" s="145">
        <v>4</v>
      </c>
      <c r="I251" s="145">
        <v>27</v>
      </c>
      <c r="J251" s="145">
        <v>302</v>
      </c>
      <c r="K251" s="144">
        <v>70</v>
      </c>
      <c r="L251" s="145">
        <v>38</v>
      </c>
      <c r="M251" s="145">
        <v>17</v>
      </c>
      <c r="N251" s="145">
        <v>55</v>
      </c>
      <c r="O251" s="145">
        <v>503</v>
      </c>
      <c r="P251" s="144">
        <v>76</v>
      </c>
      <c r="Q251" s="146">
        <v>9</v>
      </c>
      <c r="R251" s="146">
        <v>2</v>
      </c>
      <c r="S251" s="146">
        <v>11</v>
      </c>
      <c r="T251" s="146">
        <v>186</v>
      </c>
    </row>
    <row r="252" spans="1:20" x14ac:dyDescent="0.45">
      <c r="A252" s="144">
        <v>70</v>
      </c>
      <c r="B252" s="145">
        <v>17</v>
      </c>
      <c r="C252" s="145">
        <v>1</v>
      </c>
      <c r="D252" s="145">
        <v>18</v>
      </c>
      <c r="E252" s="145">
        <v>355</v>
      </c>
      <c r="F252" s="144">
        <v>69</v>
      </c>
      <c r="G252" s="145">
        <v>25</v>
      </c>
      <c r="H252" s="145">
        <v>7</v>
      </c>
      <c r="I252" s="145">
        <v>32</v>
      </c>
      <c r="J252" s="145">
        <v>334</v>
      </c>
      <c r="K252" s="144">
        <v>69</v>
      </c>
      <c r="L252" s="145">
        <v>18</v>
      </c>
      <c r="M252" s="145">
        <v>28</v>
      </c>
      <c r="N252" s="145">
        <v>46</v>
      </c>
      <c r="O252" s="145">
        <v>549</v>
      </c>
      <c r="P252" s="144">
        <v>75</v>
      </c>
      <c r="Q252" s="146">
        <v>9</v>
      </c>
      <c r="R252" s="146">
        <v>2</v>
      </c>
      <c r="S252" s="146">
        <v>11</v>
      </c>
      <c r="T252" s="146">
        <v>197</v>
      </c>
    </row>
    <row r="253" spans="1:20" x14ac:dyDescent="0.45">
      <c r="A253" s="144">
        <v>69</v>
      </c>
      <c r="B253" s="145">
        <v>16</v>
      </c>
      <c r="C253" s="145">
        <v>1</v>
      </c>
      <c r="D253" s="145">
        <v>17</v>
      </c>
      <c r="E253" s="145">
        <v>372</v>
      </c>
      <c r="F253" s="144">
        <v>68</v>
      </c>
      <c r="G253" s="145">
        <v>18</v>
      </c>
      <c r="H253" s="145">
        <v>5</v>
      </c>
      <c r="I253" s="145">
        <v>23</v>
      </c>
      <c r="J253" s="145">
        <v>357</v>
      </c>
      <c r="K253" s="144">
        <v>68</v>
      </c>
      <c r="L253" s="145">
        <v>22</v>
      </c>
      <c r="M253" s="145">
        <v>29</v>
      </c>
      <c r="N253" s="145">
        <v>51</v>
      </c>
      <c r="O253" s="145">
        <v>600</v>
      </c>
      <c r="P253" s="144">
        <v>74</v>
      </c>
      <c r="Q253" s="146">
        <v>5</v>
      </c>
      <c r="R253" s="146">
        <v>0</v>
      </c>
      <c r="S253" s="146">
        <v>5</v>
      </c>
      <c r="T253" s="146">
        <v>202</v>
      </c>
    </row>
    <row r="254" spans="1:20" x14ac:dyDescent="0.45">
      <c r="A254" s="144">
        <v>68</v>
      </c>
      <c r="B254" s="145">
        <v>14</v>
      </c>
      <c r="C254" s="145">
        <v>0</v>
      </c>
      <c r="D254" s="145">
        <v>14</v>
      </c>
      <c r="E254" s="145">
        <v>386</v>
      </c>
      <c r="F254" s="144">
        <v>67</v>
      </c>
      <c r="G254" s="145">
        <v>24</v>
      </c>
      <c r="H254" s="145">
        <v>13</v>
      </c>
      <c r="I254" s="145">
        <v>37</v>
      </c>
      <c r="J254" s="145">
        <v>394</v>
      </c>
      <c r="K254" s="144">
        <v>67</v>
      </c>
      <c r="L254" s="145">
        <v>30</v>
      </c>
      <c r="M254" s="145">
        <v>29</v>
      </c>
      <c r="N254" s="145">
        <v>59</v>
      </c>
      <c r="O254" s="145">
        <v>659</v>
      </c>
      <c r="P254" s="144">
        <v>72</v>
      </c>
      <c r="Q254" s="146">
        <v>12</v>
      </c>
      <c r="R254" s="146">
        <v>4</v>
      </c>
      <c r="S254" s="146">
        <v>16</v>
      </c>
      <c r="T254" s="146">
        <v>218</v>
      </c>
    </row>
    <row r="255" spans="1:20" x14ac:dyDescent="0.45">
      <c r="A255" s="144">
        <v>67</v>
      </c>
      <c r="B255" s="145">
        <v>15</v>
      </c>
      <c r="C255" s="145">
        <v>3</v>
      </c>
      <c r="D255" s="145">
        <v>18</v>
      </c>
      <c r="E255" s="145">
        <v>404</v>
      </c>
      <c r="F255" s="144">
        <v>66</v>
      </c>
      <c r="G255" s="145">
        <v>28</v>
      </c>
      <c r="H255" s="145">
        <v>7</v>
      </c>
      <c r="I255" s="145">
        <v>35</v>
      </c>
      <c r="J255" s="145">
        <v>429</v>
      </c>
      <c r="K255" s="144">
        <v>66</v>
      </c>
      <c r="L255" s="145">
        <v>24</v>
      </c>
      <c r="M255" s="145">
        <v>23</v>
      </c>
      <c r="N255" s="145">
        <v>47</v>
      </c>
      <c r="O255" s="145">
        <v>706</v>
      </c>
      <c r="P255" s="144">
        <v>71</v>
      </c>
      <c r="Q255" s="146">
        <v>6</v>
      </c>
      <c r="R255" s="146">
        <v>4</v>
      </c>
      <c r="S255" s="146">
        <v>10</v>
      </c>
      <c r="T255" s="146">
        <v>228</v>
      </c>
    </row>
    <row r="256" spans="1:20" x14ac:dyDescent="0.45">
      <c r="A256" s="144">
        <v>66</v>
      </c>
      <c r="B256" s="145">
        <v>21</v>
      </c>
      <c r="C256" s="145">
        <v>3</v>
      </c>
      <c r="D256" s="145">
        <v>24</v>
      </c>
      <c r="E256" s="145">
        <v>428</v>
      </c>
      <c r="F256" s="144">
        <v>65</v>
      </c>
      <c r="G256" s="145">
        <v>26</v>
      </c>
      <c r="H256" s="145">
        <v>5</v>
      </c>
      <c r="I256" s="145">
        <v>31</v>
      </c>
      <c r="J256" s="145">
        <v>460</v>
      </c>
      <c r="K256" s="144">
        <v>65</v>
      </c>
      <c r="L256" s="145">
        <v>30</v>
      </c>
      <c r="M256" s="145">
        <v>32</v>
      </c>
      <c r="N256" s="145">
        <v>62</v>
      </c>
      <c r="O256" s="145">
        <v>768</v>
      </c>
      <c r="P256" s="144">
        <v>70</v>
      </c>
      <c r="Q256" s="146">
        <v>11</v>
      </c>
      <c r="R256" s="146">
        <v>5</v>
      </c>
      <c r="S256" s="146">
        <v>16</v>
      </c>
      <c r="T256" s="146">
        <v>244</v>
      </c>
    </row>
    <row r="257" spans="1:20" x14ac:dyDescent="0.45">
      <c r="A257" s="144">
        <v>65</v>
      </c>
      <c r="B257" s="145">
        <v>18</v>
      </c>
      <c r="C257" s="145">
        <v>1</v>
      </c>
      <c r="D257" s="145">
        <v>19</v>
      </c>
      <c r="E257" s="145">
        <v>447</v>
      </c>
      <c r="F257" s="144">
        <v>64</v>
      </c>
      <c r="G257" s="145">
        <v>35</v>
      </c>
      <c r="H257" s="145">
        <v>12</v>
      </c>
      <c r="I257" s="145">
        <v>47</v>
      </c>
      <c r="J257" s="145">
        <v>507</v>
      </c>
      <c r="K257" s="144">
        <v>64</v>
      </c>
      <c r="L257" s="145">
        <v>26</v>
      </c>
      <c r="M257" s="145">
        <v>29</v>
      </c>
      <c r="N257" s="145">
        <v>55</v>
      </c>
      <c r="O257" s="145">
        <v>823</v>
      </c>
      <c r="P257" s="144">
        <v>68</v>
      </c>
      <c r="Q257" s="146">
        <v>17</v>
      </c>
      <c r="R257" s="146">
        <v>8</v>
      </c>
      <c r="S257" s="146">
        <v>25</v>
      </c>
      <c r="T257" s="146">
        <v>269</v>
      </c>
    </row>
    <row r="258" spans="1:20" x14ac:dyDescent="0.45">
      <c r="A258" s="144">
        <v>64</v>
      </c>
      <c r="B258" s="145">
        <v>18</v>
      </c>
      <c r="C258" s="145">
        <v>4</v>
      </c>
      <c r="D258" s="145">
        <v>22</v>
      </c>
      <c r="E258" s="145">
        <v>469</v>
      </c>
      <c r="F258" s="144">
        <v>63</v>
      </c>
      <c r="G258" s="145">
        <v>30</v>
      </c>
      <c r="H258" s="145">
        <v>13</v>
      </c>
      <c r="I258" s="145">
        <v>43</v>
      </c>
      <c r="J258" s="145">
        <v>550</v>
      </c>
      <c r="K258" s="144">
        <v>63</v>
      </c>
      <c r="L258" s="145">
        <v>38</v>
      </c>
      <c r="M258" s="145">
        <v>49</v>
      </c>
      <c r="N258" s="145">
        <v>87</v>
      </c>
      <c r="O258" s="145">
        <v>910</v>
      </c>
      <c r="P258" s="144">
        <v>67</v>
      </c>
      <c r="Q258" s="146">
        <v>13</v>
      </c>
      <c r="R258" s="146">
        <v>6</v>
      </c>
      <c r="S258" s="146">
        <v>19</v>
      </c>
      <c r="T258" s="146">
        <v>288</v>
      </c>
    </row>
    <row r="259" spans="1:20" x14ac:dyDescent="0.45">
      <c r="A259" s="144">
        <v>63</v>
      </c>
      <c r="B259" s="145">
        <v>18</v>
      </c>
      <c r="C259" s="145">
        <v>3</v>
      </c>
      <c r="D259" s="145">
        <v>21</v>
      </c>
      <c r="E259" s="145">
        <v>490</v>
      </c>
      <c r="F259" s="144">
        <v>62</v>
      </c>
      <c r="G259" s="145">
        <v>35</v>
      </c>
      <c r="H259" s="145">
        <v>23</v>
      </c>
      <c r="I259" s="145">
        <v>58</v>
      </c>
      <c r="J259" s="145">
        <v>608</v>
      </c>
      <c r="K259" s="144">
        <v>62</v>
      </c>
      <c r="L259" s="145">
        <v>33</v>
      </c>
      <c r="M259" s="145">
        <v>37</v>
      </c>
      <c r="N259" s="145">
        <v>70</v>
      </c>
      <c r="O259" s="145">
        <v>980</v>
      </c>
      <c r="P259" s="144">
        <v>66</v>
      </c>
      <c r="Q259" s="146">
        <v>16</v>
      </c>
      <c r="R259" s="146">
        <v>6</v>
      </c>
      <c r="S259" s="146">
        <v>22</v>
      </c>
      <c r="T259" s="146">
        <v>310</v>
      </c>
    </row>
    <row r="260" spans="1:20" x14ac:dyDescent="0.45">
      <c r="A260" s="144">
        <v>62</v>
      </c>
      <c r="B260" s="145">
        <v>28</v>
      </c>
      <c r="C260" s="145">
        <v>2</v>
      </c>
      <c r="D260" s="145">
        <v>30</v>
      </c>
      <c r="E260" s="145">
        <v>520</v>
      </c>
      <c r="F260" s="144">
        <v>60</v>
      </c>
      <c r="G260" s="145">
        <v>28</v>
      </c>
      <c r="H260" s="145">
        <v>22</v>
      </c>
      <c r="I260" s="145">
        <v>50</v>
      </c>
      <c r="J260" s="145">
        <v>658</v>
      </c>
      <c r="K260" s="144">
        <v>61</v>
      </c>
      <c r="L260" s="145">
        <v>49</v>
      </c>
      <c r="M260" s="145">
        <v>46</v>
      </c>
      <c r="N260" s="145">
        <v>95</v>
      </c>
      <c r="O260" s="145">
        <v>1075</v>
      </c>
      <c r="P260" s="144">
        <v>64</v>
      </c>
      <c r="Q260" s="146">
        <v>21</v>
      </c>
      <c r="R260" s="146">
        <v>13</v>
      </c>
      <c r="S260" s="146">
        <v>34</v>
      </c>
      <c r="T260" s="146">
        <v>344</v>
      </c>
    </row>
    <row r="261" spans="1:20" x14ac:dyDescent="0.45">
      <c r="A261" s="144">
        <v>61</v>
      </c>
      <c r="B261" s="145">
        <v>26</v>
      </c>
      <c r="C261" s="145">
        <v>5</v>
      </c>
      <c r="D261" s="145">
        <v>31</v>
      </c>
      <c r="E261" s="145">
        <v>551</v>
      </c>
      <c r="F261" s="144">
        <v>59</v>
      </c>
      <c r="G261" s="145">
        <v>51</v>
      </c>
      <c r="H261" s="145">
        <v>18</v>
      </c>
      <c r="I261" s="145">
        <v>69</v>
      </c>
      <c r="J261" s="145">
        <v>727</v>
      </c>
      <c r="K261" s="144">
        <v>59</v>
      </c>
      <c r="L261" s="145">
        <v>33</v>
      </c>
      <c r="M261" s="145">
        <v>53</v>
      </c>
      <c r="N261" s="145">
        <v>86</v>
      </c>
      <c r="O261" s="145">
        <v>1161</v>
      </c>
      <c r="P261" s="144">
        <v>63</v>
      </c>
      <c r="Q261" s="146">
        <v>16</v>
      </c>
      <c r="R261" s="146">
        <v>12</v>
      </c>
      <c r="S261" s="146">
        <v>28</v>
      </c>
      <c r="T261" s="146">
        <v>372</v>
      </c>
    </row>
    <row r="262" spans="1:20" x14ac:dyDescent="0.45">
      <c r="A262" s="144">
        <v>60</v>
      </c>
      <c r="B262" s="145">
        <v>32</v>
      </c>
      <c r="C262" s="145">
        <v>5</v>
      </c>
      <c r="D262" s="145">
        <v>37</v>
      </c>
      <c r="E262" s="145">
        <v>588</v>
      </c>
      <c r="F262" s="144">
        <v>58</v>
      </c>
      <c r="G262" s="145">
        <v>56</v>
      </c>
      <c r="H262" s="145">
        <v>41</v>
      </c>
      <c r="I262" s="145">
        <v>97</v>
      </c>
      <c r="J262" s="145">
        <v>824</v>
      </c>
      <c r="K262" s="144">
        <v>58</v>
      </c>
      <c r="L262" s="145">
        <v>52</v>
      </c>
      <c r="M262" s="145">
        <v>63</v>
      </c>
      <c r="N262" s="145">
        <v>115</v>
      </c>
      <c r="O262" s="145">
        <v>1276</v>
      </c>
      <c r="P262" s="144">
        <v>62</v>
      </c>
      <c r="Q262" s="146">
        <v>32</v>
      </c>
      <c r="R262" s="146">
        <v>12</v>
      </c>
      <c r="S262" s="146">
        <v>44</v>
      </c>
      <c r="T262" s="146">
        <v>416</v>
      </c>
    </row>
    <row r="263" spans="1:20" x14ac:dyDescent="0.45">
      <c r="A263" s="144">
        <v>59</v>
      </c>
      <c r="B263" s="145">
        <v>46</v>
      </c>
      <c r="C263" s="145">
        <v>6</v>
      </c>
      <c r="D263" s="145">
        <v>52</v>
      </c>
      <c r="E263" s="145">
        <v>640</v>
      </c>
      <c r="F263" s="144">
        <v>57</v>
      </c>
      <c r="G263" s="145">
        <v>53</v>
      </c>
      <c r="H263" s="145">
        <v>30</v>
      </c>
      <c r="I263" s="145">
        <v>83</v>
      </c>
      <c r="J263" s="145">
        <v>907</v>
      </c>
      <c r="K263" s="144">
        <v>57</v>
      </c>
      <c r="L263" s="145">
        <v>54</v>
      </c>
      <c r="M263" s="145">
        <v>92</v>
      </c>
      <c r="N263" s="145">
        <v>146</v>
      </c>
      <c r="O263" s="145">
        <v>1422</v>
      </c>
      <c r="P263" s="144">
        <v>60</v>
      </c>
      <c r="Q263" s="146">
        <v>34</v>
      </c>
      <c r="R263" s="146">
        <v>19</v>
      </c>
      <c r="S263" s="146">
        <v>53</v>
      </c>
      <c r="T263" s="146">
        <v>469</v>
      </c>
    </row>
    <row r="264" spans="1:20" x14ac:dyDescent="0.45">
      <c r="A264" s="144">
        <v>57</v>
      </c>
      <c r="B264" s="145">
        <v>55</v>
      </c>
      <c r="C264" s="145">
        <v>12</v>
      </c>
      <c r="D264" s="145">
        <v>67</v>
      </c>
      <c r="E264" s="145">
        <v>707</v>
      </c>
      <c r="F264" s="144">
        <v>56</v>
      </c>
      <c r="G264" s="145">
        <v>67</v>
      </c>
      <c r="H264" s="145">
        <v>50</v>
      </c>
      <c r="I264" s="145">
        <v>118</v>
      </c>
      <c r="J264" s="145">
        <v>1025</v>
      </c>
      <c r="K264" s="144">
        <v>56</v>
      </c>
      <c r="L264" s="145">
        <v>71</v>
      </c>
      <c r="M264" s="145">
        <v>108</v>
      </c>
      <c r="N264" s="145">
        <v>179</v>
      </c>
      <c r="O264" s="145">
        <v>1601</v>
      </c>
      <c r="P264" s="144">
        <v>59</v>
      </c>
      <c r="Q264" s="146">
        <v>69</v>
      </c>
      <c r="R264" s="146">
        <v>27</v>
      </c>
      <c r="S264" s="146">
        <v>96</v>
      </c>
      <c r="T264" s="146">
        <v>565</v>
      </c>
    </row>
    <row r="265" spans="1:20" x14ac:dyDescent="0.45">
      <c r="A265" s="144">
        <v>56</v>
      </c>
      <c r="B265" s="145">
        <v>62</v>
      </c>
      <c r="C265" s="145">
        <v>11</v>
      </c>
      <c r="D265" s="145">
        <v>73</v>
      </c>
      <c r="E265" s="145">
        <v>780</v>
      </c>
      <c r="F265" s="144">
        <v>55</v>
      </c>
      <c r="G265" s="145">
        <v>72</v>
      </c>
      <c r="H265" s="145">
        <v>45</v>
      </c>
      <c r="I265" s="145">
        <v>117</v>
      </c>
      <c r="J265" s="145">
        <v>1142</v>
      </c>
      <c r="K265" s="144">
        <v>55</v>
      </c>
      <c r="L265" s="145">
        <v>78</v>
      </c>
      <c r="M265" s="145">
        <v>106</v>
      </c>
      <c r="N265" s="145">
        <v>184</v>
      </c>
      <c r="O265" s="145">
        <v>1785</v>
      </c>
      <c r="P265" s="144">
        <v>58</v>
      </c>
      <c r="Q265" s="146">
        <v>72</v>
      </c>
      <c r="R265" s="146">
        <v>36</v>
      </c>
      <c r="S265" s="146">
        <v>108</v>
      </c>
      <c r="T265" s="146">
        <v>673</v>
      </c>
    </row>
    <row r="266" spans="1:20" x14ac:dyDescent="0.45">
      <c r="A266" s="144">
        <v>55</v>
      </c>
      <c r="B266" s="145">
        <v>87</v>
      </c>
      <c r="C266" s="145">
        <v>16</v>
      </c>
      <c r="D266" s="145">
        <v>104</v>
      </c>
      <c r="E266" s="145">
        <v>884</v>
      </c>
      <c r="F266" s="144">
        <v>54</v>
      </c>
      <c r="G266" s="145">
        <v>94</v>
      </c>
      <c r="H266" s="145">
        <v>60</v>
      </c>
      <c r="I266" s="145">
        <v>154</v>
      </c>
      <c r="J266" s="145">
        <v>1296</v>
      </c>
      <c r="K266" s="144">
        <v>54</v>
      </c>
      <c r="L266" s="145">
        <v>84</v>
      </c>
      <c r="M266" s="145">
        <v>106</v>
      </c>
      <c r="N266" s="145">
        <v>191</v>
      </c>
      <c r="O266" s="145">
        <v>1976</v>
      </c>
      <c r="P266" s="144">
        <v>56</v>
      </c>
      <c r="Q266" s="146">
        <v>89</v>
      </c>
      <c r="R266" s="146">
        <v>38</v>
      </c>
      <c r="S266" s="146">
        <v>128</v>
      </c>
      <c r="T266" s="146">
        <v>801</v>
      </c>
    </row>
    <row r="267" spans="1:20" x14ac:dyDescent="0.45">
      <c r="A267" s="144">
        <v>54</v>
      </c>
      <c r="B267" s="145">
        <v>85</v>
      </c>
      <c r="C267" s="145">
        <v>24</v>
      </c>
      <c r="D267" s="145">
        <v>109</v>
      </c>
      <c r="E267" s="145">
        <v>993</v>
      </c>
      <c r="F267" s="144">
        <v>53</v>
      </c>
      <c r="G267" s="145">
        <v>83</v>
      </c>
      <c r="H267" s="145">
        <v>57</v>
      </c>
      <c r="I267" s="145">
        <v>140</v>
      </c>
      <c r="J267" s="145">
        <v>1436</v>
      </c>
      <c r="K267" s="144">
        <v>53</v>
      </c>
      <c r="L267" s="145">
        <v>88</v>
      </c>
      <c r="M267" s="145">
        <v>122</v>
      </c>
      <c r="N267" s="145">
        <v>210</v>
      </c>
      <c r="O267" s="145">
        <v>2186</v>
      </c>
      <c r="P267" s="144">
        <v>55</v>
      </c>
      <c r="Q267" s="146">
        <v>107</v>
      </c>
      <c r="R267" s="146">
        <v>54</v>
      </c>
      <c r="S267" s="146">
        <v>162</v>
      </c>
      <c r="T267" s="146">
        <v>963</v>
      </c>
    </row>
    <row r="268" spans="1:20" x14ac:dyDescent="0.45">
      <c r="A268" s="144">
        <v>53</v>
      </c>
      <c r="B268" s="145">
        <v>128</v>
      </c>
      <c r="C268" s="145">
        <v>40</v>
      </c>
      <c r="D268" s="145">
        <v>169</v>
      </c>
      <c r="E268" s="145">
        <v>1162</v>
      </c>
      <c r="F268" s="144">
        <v>52</v>
      </c>
      <c r="G268" s="145">
        <v>110</v>
      </c>
      <c r="H268" s="145">
        <v>69</v>
      </c>
      <c r="I268" s="145">
        <v>179</v>
      </c>
      <c r="J268" s="145">
        <v>1615</v>
      </c>
      <c r="K268" s="144">
        <v>52</v>
      </c>
      <c r="L268" s="145">
        <v>113</v>
      </c>
      <c r="M268" s="145">
        <v>121</v>
      </c>
      <c r="N268" s="145">
        <v>235</v>
      </c>
      <c r="O268" s="145">
        <v>2421</v>
      </c>
      <c r="P268" s="144">
        <v>54</v>
      </c>
      <c r="Q268" s="146">
        <v>132</v>
      </c>
      <c r="R268" s="146">
        <v>58</v>
      </c>
      <c r="S268" s="146">
        <v>191</v>
      </c>
      <c r="T268" s="146">
        <v>1154</v>
      </c>
    </row>
    <row r="269" spans="1:20" x14ac:dyDescent="0.45">
      <c r="A269" s="144">
        <v>52</v>
      </c>
      <c r="B269" s="145">
        <v>138</v>
      </c>
      <c r="C269" s="145">
        <v>39</v>
      </c>
      <c r="D269" s="145">
        <v>177</v>
      </c>
      <c r="E269" s="145">
        <v>1339</v>
      </c>
      <c r="F269" s="144">
        <v>50</v>
      </c>
      <c r="G269" s="145">
        <v>145</v>
      </c>
      <c r="H269" s="145">
        <v>71</v>
      </c>
      <c r="I269" s="145">
        <v>216</v>
      </c>
      <c r="J269" s="145">
        <v>1831</v>
      </c>
      <c r="K269" s="144">
        <v>51</v>
      </c>
      <c r="L269" s="145">
        <v>131</v>
      </c>
      <c r="M269" s="145">
        <v>171</v>
      </c>
      <c r="N269" s="145">
        <v>302</v>
      </c>
      <c r="O269" s="145">
        <v>2723</v>
      </c>
      <c r="P269" s="144">
        <v>52</v>
      </c>
      <c r="Q269" s="146">
        <v>156</v>
      </c>
      <c r="R269" s="146">
        <v>84</v>
      </c>
      <c r="S269" s="146">
        <v>241</v>
      </c>
      <c r="T269" s="146">
        <v>1395</v>
      </c>
    </row>
    <row r="270" spans="1:20" x14ac:dyDescent="0.45">
      <c r="A270" s="144">
        <v>51</v>
      </c>
      <c r="B270" s="145">
        <v>149</v>
      </c>
      <c r="C270" s="145">
        <v>48</v>
      </c>
      <c r="D270" s="145">
        <v>197</v>
      </c>
      <c r="E270" s="145">
        <v>1536</v>
      </c>
      <c r="F270" s="144">
        <v>49</v>
      </c>
      <c r="G270" s="145">
        <v>168</v>
      </c>
      <c r="H270" s="145">
        <v>90</v>
      </c>
      <c r="I270" s="145">
        <v>259</v>
      </c>
      <c r="J270" s="145">
        <v>2090</v>
      </c>
      <c r="K270" s="144">
        <v>50</v>
      </c>
      <c r="L270" s="145">
        <v>131</v>
      </c>
      <c r="M270" s="145">
        <v>150</v>
      </c>
      <c r="N270" s="145">
        <v>281</v>
      </c>
      <c r="O270" s="145">
        <v>3004</v>
      </c>
      <c r="P270" s="144">
        <v>51</v>
      </c>
      <c r="Q270" s="146">
        <v>381</v>
      </c>
      <c r="R270" s="146">
        <v>124</v>
      </c>
      <c r="S270" s="146">
        <v>507</v>
      </c>
      <c r="T270" s="146">
        <v>1902</v>
      </c>
    </row>
    <row r="271" spans="1:20" x14ac:dyDescent="0.45">
      <c r="A271" s="144">
        <v>50</v>
      </c>
      <c r="B271" s="145">
        <v>180</v>
      </c>
      <c r="C271" s="145">
        <v>55</v>
      </c>
      <c r="D271" s="145">
        <v>235</v>
      </c>
      <c r="E271" s="145">
        <v>1771</v>
      </c>
      <c r="F271" s="144">
        <v>48</v>
      </c>
      <c r="G271" s="145">
        <v>191</v>
      </c>
      <c r="H271" s="145">
        <v>77</v>
      </c>
      <c r="I271" s="145">
        <v>268</v>
      </c>
      <c r="J271" s="145">
        <v>2358</v>
      </c>
      <c r="K271" s="144">
        <v>49</v>
      </c>
      <c r="L271" s="145">
        <v>175</v>
      </c>
      <c r="M271" s="145">
        <v>172</v>
      </c>
      <c r="N271" s="145">
        <v>347</v>
      </c>
      <c r="O271" s="145">
        <v>3351</v>
      </c>
      <c r="P271" s="144">
        <v>50</v>
      </c>
      <c r="Q271" s="146">
        <v>235</v>
      </c>
      <c r="R271" s="146">
        <v>92</v>
      </c>
      <c r="S271" s="146">
        <v>328</v>
      </c>
      <c r="T271" s="146">
        <v>2230</v>
      </c>
    </row>
    <row r="272" spans="1:20" x14ac:dyDescent="0.45">
      <c r="A272" s="144">
        <v>49</v>
      </c>
      <c r="B272" s="145">
        <v>194</v>
      </c>
      <c r="C272" s="145">
        <v>55</v>
      </c>
      <c r="D272" s="145">
        <v>249</v>
      </c>
      <c r="E272" s="145">
        <v>2020</v>
      </c>
      <c r="F272" s="144">
        <v>47</v>
      </c>
      <c r="G272" s="145">
        <v>147</v>
      </c>
      <c r="H272" s="145">
        <v>84</v>
      </c>
      <c r="I272" s="145">
        <v>232</v>
      </c>
      <c r="J272" s="145">
        <v>2590</v>
      </c>
      <c r="K272" s="144">
        <v>48</v>
      </c>
      <c r="L272" s="145">
        <v>211</v>
      </c>
      <c r="M272" s="145">
        <v>178</v>
      </c>
      <c r="N272" s="145">
        <v>390</v>
      </c>
      <c r="O272" s="145">
        <v>3741</v>
      </c>
      <c r="P272" s="144">
        <v>49</v>
      </c>
      <c r="Q272" s="146">
        <v>223</v>
      </c>
      <c r="R272" s="146">
        <v>87</v>
      </c>
      <c r="S272" s="146">
        <v>310</v>
      </c>
      <c r="T272" s="146">
        <v>2540</v>
      </c>
    </row>
    <row r="273" spans="1:20" x14ac:dyDescent="0.45">
      <c r="A273" s="144">
        <v>48</v>
      </c>
      <c r="B273" s="145">
        <v>340</v>
      </c>
      <c r="C273" s="145">
        <v>74</v>
      </c>
      <c r="D273" s="145">
        <v>414</v>
      </c>
      <c r="E273" s="145">
        <v>2434</v>
      </c>
      <c r="F273" s="144">
        <v>46</v>
      </c>
      <c r="G273" s="145">
        <v>452</v>
      </c>
      <c r="H273" s="145">
        <v>121</v>
      </c>
      <c r="I273" s="145">
        <v>576</v>
      </c>
      <c r="J273" s="145">
        <v>3166</v>
      </c>
      <c r="K273" s="144">
        <v>47</v>
      </c>
      <c r="L273" s="145">
        <v>209</v>
      </c>
      <c r="M273" s="145">
        <v>197</v>
      </c>
      <c r="N273" s="145">
        <v>407</v>
      </c>
      <c r="O273" s="145">
        <v>4148</v>
      </c>
      <c r="P273" s="144">
        <v>47</v>
      </c>
      <c r="Q273" s="146">
        <v>288</v>
      </c>
      <c r="R273" s="146">
        <v>77</v>
      </c>
      <c r="S273" s="146">
        <v>366</v>
      </c>
      <c r="T273" s="146">
        <v>2906</v>
      </c>
    </row>
    <row r="274" spans="1:20" x14ac:dyDescent="0.45">
      <c r="A274" s="144">
        <v>47</v>
      </c>
      <c r="B274" s="145">
        <v>278</v>
      </c>
      <c r="C274" s="145">
        <v>64</v>
      </c>
      <c r="D274" s="145">
        <v>342</v>
      </c>
      <c r="E274" s="145">
        <v>2776</v>
      </c>
      <c r="F274" s="144">
        <v>45</v>
      </c>
      <c r="G274" s="145">
        <v>253</v>
      </c>
      <c r="H274" s="145">
        <v>101</v>
      </c>
      <c r="I274" s="145">
        <v>354</v>
      </c>
      <c r="J274" s="145">
        <v>3520</v>
      </c>
      <c r="K274" s="144">
        <v>46</v>
      </c>
      <c r="L274" s="145">
        <v>416</v>
      </c>
      <c r="M274" s="145">
        <v>239</v>
      </c>
      <c r="N274" s="145">
        <v>657</v>
      </c>
      <c r="O274" s="145">
        <v>4805</v>
      </c>
      <c r="P274" s="144">
        <v>46</v>
      </c>
      <c r="Q274" s="146">
        <v>234</v>
      </c>
      <c r="R274" s="146">
        <v>87</v>
      </c>
      <c r="S274" s="146">
        <v>322</v>
      </c>
      <c r="T274" s="146">
        <v>3228</v>
      </c>
    </row>
    <row r="275" spans="1:20" x14ac:dyDescent="0.45">
      <c r="A275" s="144">
        <v>46</v>
      </c>
      <c r="B275" s="145">
        <v>446</v>
      </c>
      <c r="C275" s="145">
        <v>101</v>
      </c>
      <c r="D275" s="145">
        <v>550</v>
      </c>
      <c r="E275" s="145">
        <v>3326</v>
      </c>
      <c r="F275" s="144">
        <v>44</v>
      </c>
      <c r="G275" s="145">
        <v>176</v>
      </c>
      <c r="H275" s="145">
        <v>71</v>
      </c>
      <c r="I275" s="145">
        <v>247</v>
      </c>
      <c r="J275" s="145">
        <v>3767</v>
      </c>
      <c r="K275" s="144">
        <v>45</v>
      </c>
      <c r="L275" s="145">
        <v>198</v>
      </c>
      <c r="M275" s="145">
        <v>163</v>
      </c>
      <c r="N275" s="145">
        <v>361</v>
      </c>
      <c r="O275" s="145">
        <v>5166</v>
      </c>
      <c r="P275" s="144">
        <v>45</v>
      </c>
      <c r="Q275" s="146">
        <v>639</v>
      </c>
      <c r="R275" s="146">
        <v>191</v>
      </c>
      <c r="S275" s="146">
        <v>832</v>
      </c>
      <c r="T275" s="146">
        <v>4060</v>
      </c>
    </row>
    <row r="276" spans="1:20" x14ac:dyDescent="0.45">
      <c r="A276" s="144">
        <v>45</v>
      </c>
      <c r="B276" s="145">
        <v>599</v>
      </c>
      <c r="C276" s="145">
        <v>104</v>
      </c>
      <c r="D276" s="145">
        <v>705</v>
      </c>
      <c r="E276" s="145">
        <v>4031</v>
      </c>
      <c r="F276" s="144">
        <v>43</v>
      </c>
      <c r="G276" s="145">
        <v>214</v>
      </c>
      <c r="H276" s="145">
        <v>80</v>
      </c>
      <c r="I276" s="145">
        <v>294</v>
      </c>
      <c r="J276" s="145">
        <v>4061</v>
      </c>
      <c r="K276" s="144">
        <v>44</v>
      </c>
      <c r="L276" s="145">
        <v>609</v>
      </c>
      <c r="M276" s="145">
        <v>288</v>
      </c>
      <c r="N276" s="145">
        <v>897</v>
      </c>
      <c r="O276" s="145">
        <v>6063</v>
      </c>
      <c r="P276" s="144">
        <v>43</v>
      </c>
      <c r="Q276" s="146">
        <v>192</v>
      </c>
      <c r="R276" s="146">
        <v>84</v>
      </c>
      <c r="S276" s="146">
        <v>276</v>
      </c>
      <c r="T276" s="146">
        <v>4336</v>
      </c>
    </row>
    <row r="277" spans="1:20" x14ac:dyDescent="0.45">
      <c r="A277" s="144">
        <v>44</v>
      </c>
      <c r="B277" s="145">
        <v>230</v>
      </c>
      <c r="C277" s="145">
        <v>62</v>
      </c>
      <c r="D277" s="145">
        <v>292</v>
      </c>
      <c r="E277" s="145">
        <v>4323</v>
      </c>
      <c r="F277" s="144">
        <v>41</v>
      </c>
      <c r="G277" s="145">
        <v>95</v>
      </c>
      <c r="H277" s="145">
        <v>47</v>
      </c>
      <c r="I277" s="145">
        <v>142</v>
      </c>
      <c r="J277" s="145">
        <v>4203</v>
      </c>
      <c r="K277" s="144">
        <v>43</v>
      </c>
      <c r="L277" s="145">
        <v>252</v>
      </c>
      <c r="M277" s="145">
        <v>167</v>
      </c>
      <c r="N277" s="145">
        <v>419</v>
      </c>
      <c r="O277" s="145">
        <v>6482</v>
      </c>
      <c r="P277" s="144">
        <v>42</v>
      </c>
      <c r="Q277" s="146">
        <v>191</v>
      </c>
      <c r="R277" s="146">
        <v>76</v>
      </c>
      <c r="S277" s="146">
        <v>267</v>
      </c>
      <c r="T277" s="146">
        <v>4603</v>
      </c>
    </row>
    <row r="278" spans="1:20" x14ac:dyDescent="0.45">
      <c r="A278" s="144">
        <v>43</v>
      </c>
      <c r="B278" s="145">
        <v>216</v>
      </c>
      <c r="C278" s="145">
        <v>54</v>
      </c>
      <c r="D278" s="145">
        <v>270</v>
      </c>
      <c r="E278" s="145">
        <v>4593</v>
      </c>
      <c r="F278" s="144">
        <v>40</v>
      </c>
      <c r="G278" s="145">
        <v>275</v>
      </c>
      <c r="H278" s="145">
        <v>81</v>
      </c>
      <c r="I278" s="145">
        <v>358</v>
      </c>
      <c r="J278" s="145">
        <v>4561</v>
      </c>
      <c r="K278" s="144">
        <v>42</v>
      </c>
      <c r="L278" s="145">
        <v>175</v>
      </c>
      <c r="M278" s="145">
        <v>161</v>
      </c>
      <c r="N278" s="145">
        <v>336</v>
      </c>
      <c r="O278" s="145">
        <v>6818</v>
      </c>
      <c r="P278" s="144">
        <v>41</v>
      </c>
      <c r="Q278" s="146">
        <v>74</v>
      </c>
      <c r="R278" s="146">
        <v>29</v>
      </c>
      <c r="S278" s="146">
        <v>103</v>
      </c>
      <c r="T278" s="146">
        <v>4706</v>
      </c>
    </row>
    <row r="279" spans="1:20" x14ac:dyDescent="0.45">
      <c r="A279" s="144">
        <v>41</v>
      </c>
      <c r="B279" s="145">
        <v>92</v>
      </c>
      <c r="C279" s="145">
        <v>20</v>
      </c>
      <c r="D279" s="145">
        <v>112</v>
      </c>
      <c r="E279" s="145">
        <v>4705</v>
      </c>
      <c r="F279" s="144">
        <v>39</v>
      </c>
      <c r="G279" s="145">
        <v>68</v>
      </c>
      <c r="H279" s="145">
        <v>36</v>
      </c>
      <c r="I279" s="145">
        <v>104</v>
      </c>
      <c r="J279" s="145">
        <v>4665</v>
      </c>
      <c r="K279" s="144">
        <v>41</v>
      </c>
      <c r="L279" s="145">
        <v>127</v>
      </c>
      <c r="M279" s="145">
        <v>92</v>
      </c>
      <c r="N279" s="145">
        <v>220</v>
      </c>
      <c r="O279" s="145">
        <v>7038</v>
      </c>
      <c r="P279" s="144">
        <v>39</v>
      </c>
      <c r="Q279" s="146">
        <v>122</v>
      </c>
      <c r="R279" s="146">
        <v>50</v>
      </c>
      <c r="S279" s="146">
        <v>173</v>
      </c>
      <c r="T279" s="146">
        <v>4879</v>
      </c>
    </row>
    <row r="280" spans="1:20" x14ac:dyDescent="0.45">
      <c r="A280" s="144">
        <v>40</v>
      </c>
      <c r="B280" s="145">
        <v>132</v>
      </c>
      <c r="C280" s="145">
        <v>39</v>
      </c>
      <c r="D280" s="145">
        <v>171</v>
      </c>
      <c r="E280" s="145">
        <v>4876</v>
      </c>
      <c r="F280" s="144">
        <v>38</v>
      </c>
      <c r="G280" s="145">
        <v>62</v>
      </c>
      <c r="H280" s="145">
        <v>39</v>
      </c>
      <c r="I280" s="145">
        <v>101</v>
      </c>
      <c r="J280" s="145">
        <v>4766</v>
      </c>
      <c r="K280" s="144">
        <v>40</v>
      </c>
      <c r="L280" s="145">
        <v>139</v>
      </c>
      <c r="M280" s="145">
        <v>112</v>
      </c>
      <c r="N280" s="145">
        <v>252</v>
      </c>
      <c r="O280" s="145">
        <v>7290</v>
      </c>
      <c r="P280" s="144">
        <v>38</v>
      </c>
      <c r="Q280" s="146">
        <v>47</v>
      </c>
      <c r="R280" s="146">
        <v>12</v>
      </c>
      <c r="S280" s="146">
        <v>59</v>
      </c>
      <c r="T280" s="146">
        <v>4938</v>
      </c>
    </row>
    <row r="281" spans="1:20" x14ac:dyDescent="0.45">
      <c r="A281" s="144">
        <v>39</v>
      </c>
      <c r="B281" s="145">
        <v>75</v>
      </c>
      <c r="C281" s="145">
        <v>25</v>
      </c>
      <c r="D281" s="145">
        <v>101</v>
      </c>
      <c r="E281" s="145">
        <v>4977</v>
      </c>
      <c r="F281" s="144">
        <v>37</v>
      </c>
      <c r="G281" s="145">
        <v>45</v>
      </c>
      <c r="H281" s="145">
        <v>12</v>
      </c>
      <c r="I281" s="145">
        <v>57</v>
      </c>
      <c r="J281" s="145">
        <v>4823</v>
      </c>
      <c r="K281" s="144">
        <v>39</v>
      </c>
      <c r="L281" s="145">
        <v>81</v>
      </c>
      <c r="M281" s="145">
        <v>55</v>
      </c>
      <c r="N281" s="145">
        <v>136</v>
      </c>
      <c r="O281" s="145">
        <v>7426</v>
      </c>
      <c r="P281" s="144">
        <v>37</v>
      </c>
      <c r="Q281" s="146">
        <v>23</v>
      </c>
      <c r="R281" s="146">
        <v>9</v>
      </c>
      <c r="S281" s="146">
        <v>32</v>
      </c>
      <c r="T281" s="146">
        <v>4970</v>
      </c>
    </row>
    <row r="282" spans="1:20" x14ac:dyDescent="0.45">
      <c r="A282" s="144">
        <v>38</v>
      </c>
      <c r="B282" s="145">
        <v>35</v>
      </c>
      <c r="C282" s="145">
        <v>8</v>
      </c>
      <c r="D282" s="145">
        <v>43</v>
      </c>
      <c r="E282" s="145">
        <v>5020</v>
      </c>
      <c r="F282" s="144">
        <v>36</v>
      </c>
      <c r="G282" s="145">
        <v>23</v>
      </c>
      <c r="H282" s="145">
        <v>5</v>
      </c>
      <c r="I282" s="145">
        <v>28</v>
      </c>
      <c r="J282" s="145">
        <v>4851</v>
      </c>
      <c r="K282" s="144">
        <v>38</v>
      </c>
      <c r="L282" s="145">
        <v>70</v>
      </c>
      <c r="M282" s="145">
        <v>83</v>
      </c>
      <c r="N282" s="145">
        <v>153</v>
      </c>
      <c r="O282" s="145">
        <v>7579</v>
      </c>
      <c r="P282" s="144">
        <v>35</v>
      </c>
      <c r="Q282" s="146">
        <v>40</v>
      </c>
      <c r="R282" s="146">
        <v>18</v>
      </c>
      <c r="S282" s="146">
        <v>58</v>
      </c>
      <c r="T282" s="146">
        <v>5028</v>
      </c>
    </row>
    <row r="283" spans="1:20" x14ac:dyDescent="0.45">
      <c r="A283" s="144">
        <v>37</v>
      </c>
      <c r="B283" s="145">
        <v>40</v>
      </c>
      <c r="C283" s="145">
        <v>10</v>
      </c>
      <c r="D283" s="145">
        <v>50</v>
      </c>
      <c r="E283" s="145">
        <v>5070</v>
      </c>
      <c r="F283" s="144">
        <v>35</v>
      </c>
      <c r="G283" s="145">
        <v>32</v>
      </c>
      <c r="H283" s="145">
        <v>3</v>
      </c>
      <c r="I283" s="145">
        <v>35</v>
      </c>
      <c r="J283" s="145">
        <v>4886</v>
      </c>
      <c r="K283" s="144">
        <v>37</v>
      </c>
      <c r="L283" s="145">
        <v>72</v>
      </c>
      <c r="M283" s="145">
        <v>53</v>
      </c>
      <c r="N283" s="145">
        <v>125</v>
      </c>
      <c r="O283" s="145">
        <v>7704</v>
      </c>
      <c r="P283" s="144">
        <v>33</v>
      </c>
      <c r="Q283" s="146">
        <v>24</v>
      </c>
      <c r="R283" s="146">
        <v>3</v>
      </c>
      <c r="S283" s="146">
        <v>27</v>
      </c>
      <c r="T283" s="146">
        <v>5055</v>
      </c>
    </row>
    <row r="284" spans="1:20" x14ac:dyDescent="0.45">
      <c r="A284" s="144">
        <v>35</v>
      </c>
      <c r="B284" s="145">
        <v>22</v>
      </c>
      <c r="C284" s="145">
        <v>4</v>
      </c>
      <c r="D284" s="145">
        <v>26</v>
      </c>
      <c r="E284" s="145">
        <v>5096</v>
      </c>
      <c r="F284" s="144">
        <v>32</v>
      </c>
      <c r="G284" s="145">
        <v>3</v>
      </c>
      <c r="H284" s="145">
        <v>3</v>
      </c>
      <c r="I284" s="145">
        <v>6</v>
      </c>
      <c r="J284" s="145">
        <v>4892</v>
      </c>
      <c r="K284" s="144">
        <v>34</v>
      </c>
      <c r="L284" s="145">
        <v>34</v>
      </c>
      <c r="M284" s="145">
        <v>37</v>
      </c>
      <c r="N284" s="145">
        <v>71</v>
      </c>
      <c r="O284" s="145">
        <v>7775</v>
      </c>
      <c r="P284" s="144"/>
      <c r="Q284" s="146"/>
      <c r="R284" s="146"/>
      <c r="S284" s="146"/>
      <c r="T284" s="14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4"/>
  <dimension ref="A3:V174"/>
  <sheetViews>
    <sheetView topLeftCell="A2" workbookViewId="0">
      <selection activeCell="C4" sqref="C4:D174"/>
    </sheetView>
  </sheetViews>
  <sheetFormatPr defaultRowHeight="17" x14ac:dyDescent="0.45"/>
  <cols>
    <col min="2" max="2" width="12.58203125" customWidth="1"/>
    <col min="3" max="3" width="18" customWidth="1"/>
    <col min="4" max="22" width="12.58203125" customWidth="1"/>
  </cols>
  <sheetData>
    <row r="3" spans="1:22" ht="17.5" thickBot="1" x14ac:dyDescent="0.5">
      <c r="C3" s="1" t="s">
        <v>60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25</v>
      </c>
      <c r="P3" s="1" t="s">
        <v>17</v>
      </c>
      <c r="Q3" s="1" t="s">
        <v>19</v>
      </c>
      <c r="R3" s="1" t="s">
        <v>20</v>
      </c>
      <c r="S3" s="1" t="s">
        <v>26</v>
      </c>
      <c r="T3" s="1" t="s">
        <v>22</v>
      </c>
      <c r="U3" s="1" t="s">
        <v>23</v>
      </c>
      <c r="V3" s="1" t="s">
        <v>24</v>
      </c>
    </row>
    <row r="4" spans="1:22" x14ac:dyDescent="0.45">
      <c r="A4" t="s">
        <v>66</v>
      </c>
      <c r="B4" s="1" t="s">
        <v>27</v>
      </c>
      <c r="C4" s="150">
        <v>90</v>
      </c>
      <c r="D4" s="152">
        <v>16466</v>
      </c>
    </row>
    <row r="5" spans="1:22" x14ac:dyDescent="0.45">
      <c r="B5" s="1" t="s">
        <v>28</v>
      </c>
      <c r="C5" s="147">
        <v>80</v>
      </c>
      <c r="D5" s="151">
        <v>29600</v>
      </c>
    </row>
    <row r="6" spans="1:22" x14ac:dyDescent="0.45">
      <c r="B6" s="1" t="s">
        <v>29</v>
      </c>
      <c r="C6" s="147">
        <v>70</v>
      </c>
      <c r="D6" s="151">
        <v>42568</v>
      </c>
    </row>
    <row r="7" spans="1:22" x14ac:dyDescent="0.45">
      <c r="B7" s="1" t="s">
        <v>30</v>
      </c>
      <c r="C7" s="147">
        <v>60</v>
      </c>
      <c r="D7" s="151">
        <v>47247</v>
      </c>
    </row>
    <row r="8" spans="1:22" x14ac:dyDescent="0.45">
      <c r="B8" s="1" t="s">
        <v>31</v>
      </c>
      <c r="C8" s="147">
        <v>50</v>
      </c>
      <c r="D8" s="151">
        <v>42568</v>
      </c>
    </row>
    <row r="9" spans="1:22" x14ac:dyDescent="0.45">
      <c r="B9" s="1" t="s">
        <v>32</v>
      </c>
      <c r="C9" s="147">
        <v>40</v>
      </c>
      <c r="D9" s="151">
        <v>35054</v>
      </c>
    </row>
    <row r="10" spans="1:22" x14ac:dyDescent="0.45">
      <c r="B10" s="1" t="s">
        <v>33</v>
      </c>
      <c r="C10" s="147">
        <v>30</v>
      </c>
      <c r="D10" s="151">
        <v>26813</v>
      </c>
    </row>
    <row r="11" spans="1:22" x14ac:dyDescent="0.45">
      <c r="B11" s="1" t="s">
        <v>34</v>
      </c>
      <c r="C11" s="147">
        <v>20</v>
      </c>
      <c r="D11" s="151">
        <v>25012</v>
      </c>
    </row>
    <row r="12" spans="1:22" ht="17.5" thickBot="1" x14ac:dyDescent="0.5">
      <c r="B12" s="1" t="s">
        <v>36</v>
      </c>
      <c r="C12" s="149">
        <v>0</v>
      </c>
      <c r="D12" s="153">
        <v>18653</v>
      </c>
    </row>
    <row r="13" spans="1:22" x14ac:dyDescent="0.45">
      <c r="A13" t="s">
        <v>67</v>
      </c>
      <c r="B13" s="1" t="s">
        <v>27</v>
      </c>
      <c r="C13" s="150">
        <v>40</v>
      </c>
      <c r="D13" s="152">
        <v>33833</v>
      </c>
    </row>
    <row r="14" spans="1:22" x14ac:dyDescent="0.45">
      <c r="B14" s="1" t="s">
        <v>28</v>
      </c>
      <c r="C14" s="147">
        <v>35</v>
      </c>
      <c r="D14" s="151">
        <v>28032</v>
      </c>
    </row>
    <row r="15" spans="1:22" x14ac:dyDescent="0.45">
      <c r="B15" s="1" t="s">
        <v>29</v>
      </c>
      <c r="C15" s="147">
        <v>30</v>
      </c>
      <c r="D15" s="151">
        <v>38004</v>
      </c>
    </row>
    <row r="16" spans="1:22" x14ac:dyDescent="0.45">
      <c r="B16" s="1" t="s">
        <v>30</v>
      </c>
      <c r="C16" s="147">
        <v>25</v>
      </c>
      <c r="D16" s="151">
        <v>48272</v>
      </c>
    </row>
    <row r="17" spans="1:4" x14ac:dyDescent="0.45">
      <c r="B17" s="1" t="s">
        <v>31</v>
      </c>
      <c r="C17" s="147">
        <v>20</v>
      </c>
      <c r="D17" s="151">
        <v>45734</v>
      </c>
    </row>
    <row r="18" spans="1:4" x14ac:dyDescent="0.45">
      <c r="B18" s="1" t="s">
        <v>32</v>
      </c>
      <c r="C18" s="147">
        <v>15</v>
      </c>
      <c r="D18" s="151">
        <v>32230</v>
      </c>
    </row>
    <row r="19" spans="1:4" x14ac:dyDescent="0.45">
      <c r="B19" s="1" t="s">
        <v>33</v>
      </c>
      <c r="C19" s="147">
        <v>10</v>
      </c>
      <c r="D19" s="151">
        <v>27282</v>
      </c>
    </row>
    <row r="20" spans="1:4" x14ac:dyDescent="0.45">
      <c r="B20" s="1" t="s">
        <v>34</v>
      </c>
      <c r="C20" s="147">
        <v>5</v>
      </c>
      <c r="D20" s="151">
        <v>28161</v>
      </c>
    </row>
    <row r="21" spans="1:4" ht="17.5" thickBot="1" x14ac:dyDescent="0.5">
      <c r="B21" s="1" t="s">
        <v>36</v>
      </c>
      <c r="C21" s="149">
        <v>0</v>
      </c>
      <c r="D21" s="153">
        <v>3141</v>
      </c>
    </row>
    <row r="22" spans="1:4" x14ac:dyDescent="0.45">
      <c r="A22" t="s">
        <v>45</v>
      </c>
      <c r="B22" s="1" t="s">
        <v>37</v>
      </c>
      <c r="C22" s="148">
        <v>69</v>
      </c>
      <c r="D22" s="154">
        <v>4827</v>
      </c>
    </row>
    <row r="23" spans="1:4" x14ac:dyDescent="0.45">
      <c r="B23" s="1" t="s">
        <v>38</v>
      </c>
      <c r="C23" s="147">
        <v>64</v>
      </c>
      <c r="D23" s="151">
        <v>8312</v>
      </c>
    </row>
    <row r="24" spans="1:4" x14ac:dyDescent="0.45">
      <c r="B24" s="1" t="s">
        <v>39</v>
      </c>
      <c r="C24" s="147">
        <v>58</v>
      </c>
      <c r="D24" s="151">
        <v>11596</v>
      </c>
    </row>
    <row r="25" spans="1:4" x14ac:dyDescent="0.45">
      <c r="B25" s="1" t="s">
        <v>40</v>
      </c>
      <c r="C25" s="147">
        <v>52</v>
      </c>
      <c r="D25" s="151">
        <v>19005</v>
      </c>
    </row>
    <row r="26" spans="1:4" x14ac:dyDescent="0.45">
      <c r="B26" s="1" t="s">
        <v>41</v>
      </c>
      <c r="C26" s="147">
        <v>46</v>
      </c>
      <c r="D26" s="151">
        <v>18440</v>
      </c>
    </row>
    <row r="27" spans="1:4" x14ac:dyDescent="0.45">
      <c r="B27" s="1" t="s">
        <v>42</v>
      </c>
      <c r="C27" s="147">
        <v>42</v>
      </c>
      <c r="D27" s="151">
        <v>16574</v>
      </c>
    </row>
    <row r="28" spans="1:4" x14ac:dyDescent="0.45">
      <c r="B28" s="1" t="s">
        <v>43</v>
      </c>
      <c r="C28" s="147">
        <v>36</v>
      </c>
      <c r="D28" s="151">
        <v>17314</v>
      </c>
    </row>
    <row r="29" spans="1:4" x14ac:dyDescent="0.45">
      <c r="B29" s="1" t="s">
        <v>44</v>
      </c>
      <c r="C29" s="147">
        <v>35</v>
      </c>
      <c r="D29" s="151">
        <v>3016</v>
      </c>
    </row>
    <row r="30" spans="1:4" x14ac:dyDescent="0.45">
      <c r="B30" s="1" t="s">
        <v>35</v>
      </c>
      <c r="C30" s="147">
        <v>29</v>
      </c>
      <c r="D30" s="151">
        <v>2188</v>
      </c>
    </row>
    <row r="31" spans="1:4" x14ac:dyDescent="0.45">
      <c r="A31" t="s">
        <v>46</v>
      </c>
      <c r="B31" s="1" t="s">
        <v>27</v>
      </c>
      <c r="C31" s="147">
        <v>70</v>
      </c>
      <c r="D31" s="151">
        <v>1120</v>
      </c>
    </row>
    <row r="32" spans="1:4" x14ac:dyDescent="0.45">
      <c r="B32" s="1" t="s">
        <v>28</v>
      </c>
      <c r="C32" s="147">
        <v>66</v>
      </c>
      <c r="D32" s="151">
        <v>1869</v>
      </c>
    </row>
    <row r="33" spans="1:4" x14ac:dyDescent="0.45">
      <c r="B33" s="1" t="s">
        <v>29</v>
      </c>
      <c r="C33" s="147">
        <v>59</v>
      </c>
      <c r="D33" s="151">
        <v>3484</v>
      </c>
    </row>
    <row r="34" spans="1:4" x14ac:dyDescent="0.45">
      <c r="B34" s="1" t="s">
        <v>30</v>
      </c>
      <c r="C34" s="147">
        <v>51</v>
      </c>
      <c r="D34" s="151">
        <v>4315</v>
      </c>
    </row>
    <row r="35" spans="1:4" x14ac:dyDescent="0.45">
      <c r="B35" s="1" t="s">
        <v>31</v>
      </c>
      <c r="C35" s="147">
        <v>44</v>
      </c>
      <c r="D35" s="151">
        <v>5274</v>
      </c>
    </row>
    <row r="36" spans="1:4" x14ac:dyDescent="0.45">
      <c r="B36" s="1" t="s">
        <v>32</v>
      </c>
      <c r="C36" s="147">
        <v>41</v>
      </c>
      <c r="D36" s="151">
        <v>6878</v>
      </c>
    </row>
    <row r="37" spans="1:4" x14ac:dyDescent="0.45">
      <c r="B37" s="1" t="s">
        <v>33</v>
      </c>
      <c r="C37" s="147">
        <v>40</v>
      </c>
      <c r="D37" s="151">
        <v>1151</v>
      </c>
    </row>
    <row r="38" spans="1:4" x14ac:dyDescent="0.45">
      <c r="B38" s="1" t="s">
        <v>34</v>
      </c>
      <c r="C38" s="147">
        <v>38</v>
      </c>
      <c r="D38" s="151">
        <v>1472</v>
      </c>
    </row>
    <row r="39" spans="1:4" x14ac:dyDescent="0.45">
      <c r="B39" s="1" t="s">
        <v>36</v>
      </c>
      <c r="C39" s="147">
        <v>33</v>
      </c>
      <c r="D39" s="151">
        <v>838</v>
      </c>
    </row>
    <row r="40" spans="1:4" x14ac:dyDescent="0.45">
      <c r="A40" t="s">
        <v>47</v>
      </c>
      <c r="B40" s="1" t="s">
        <v>37</v>
      </c>
      <c r="C40" s="147">
        <v>70</v>
      </c>
      <c r="D40" s="151">
        <v>1264</v>
      </c>
    </row>
    <row r="41" spans="1:4" x14ac:dyDescent="0.45">
      <c r="B41" s="1" t="s">
        <v>38</v>
      </c>
      <c r="C41" s="147">
        <v>64</v>
      </c>
      <c r="D41" s="151">
        <v>1648</v>
      </c>
    </row>
    <row r="42" spans="1:4" x14ac:dyDescent="0.45">
      <c r="B42" s="1" t="s">
        <v>39</v>
      </c>
      <c r="C42" s="147">
        <v>57</v>
      </c>
      <c r="D42" s="151">
        <v>3026</v>
      </c>
    </row>
    <row r="43" spans="1:4" x14ac:dyDescent="0.45">
      <c r="B43" s="1" t="s">
        <v>40</v>
      </c>
      <c r="C43" s="147">
        <v>51</v>
      </c>
      <c r="D43" s="151">
        <v>3759</v>
      </c>
    </row>
    <row r="44" spans="1:4" x14ac:dyDescent="0.45">
      <c r="B44" s="1" t="s">
        <v>41</v>
      </c>
      <c r="C44" s="147">
        <v>45</v>
      </c>
      <c r="D44" s="151">
        <v>5029</v>
      </c>
    </row>
    <row r="45" spans="1:4" x14ac:dyDescent="0.45">
      <c r="B45" s="1" t="s">
        <v>42</v>
      </c>
      <c r="C45" s="147">
        <v>41</v>
      </c>
      <c r="D45" s="151">
        <v>5462</v>
      </c>
    </row>
    <row r="46" spans="1:4" x14ac:dyDescent="0.45">
      <c r="B46" s="1" t="s">
        <v>43</v>
      </c>
      <c r="C46" s="147">
        <v>40</v>
      </c>
      <c r="D46" s="151">
        <v>1612</v>
      </c>
    </row>
    <row r="47" spans="1:4" x14ac:dyDescent="0.45">
      <c r="B47" s="1" t="s">
        <v>44</v>
      </c>
      <c r="C47" s="147">
        <v>37</v>
      </c>
      <c r="D47" s="151">
        <v>1424</v>
      </c>
    </row>
    <row r="48" spans="1:4" x14ac:dyDescent="0.45">
      <c r="B48" s="1" t="s">
        <v>35</v>
      </c>
      <c r="C48" s="147">
        <v>32</v>
      </c>
      <c r="D48" s="151">
        <v>704</v>
      </c>
    </row>
    <row r="49" spans="1:4" x14ac:dyDescent="0.45">
      <c r="A49" t="s">
        <v>48</v>
      </c>
      <c r="B49" s="1" t="s">
        <v>27</v>
      </c>
      <c r="C49" s="147">
        <v>68</v>
      </c>
      <c r="D49" s="151">
        <v>1300</v>
      </c>
    </row>
    <row r="50" spans="1:4" x14ac:dyDescent="0.45">
      <c r="B50" s="1" t="s">
        <v>28</v>
      </c>
      <c r="C50" s="147">
        <v>64</v>
      </c>
      <c r="D50" s="151">
        <v>1554</v>
      </c>
    </row>
    <row r="51" spans="1:4" x14ac:dyDescent="0.45">
      <c r="B51" s="1" t="s">
        <v>29</v>
      </c>
      <c r="C51" s="147">
        <v>59</v>
      </c>
      <c r="D51" s="151">
        <v>2198</v>
      </c>
    </row>
    <row r="52" spans="1:4" x14ac:dyDescent="0.45">
      <c r="B52" s="1" t="s">
        <v>30</v>
      </c>
      <c r="C52" s="147">
        <v>52</v>
      </c>
      <c r="D52" s="151">
        <v>3679</v>
      </c>
    </row>
    <row r="53" spans="1:4" x14ac:dyDescent="0.45">
      <c r="B53" s="1" t="s">
        <v>31</v>
      </c>
      <c r="C53" s="147">
        <v>45</v>
      </c>
      <c r="D53" s="151">
        <v>4286</v>
      </c>
    </row>
    <row r="54" spans="1:4" x14ac:dyDescent="0.45">
      <c r="B54" s="1" t="s">
        <v>32</v>
      </c>
      <c r="C54" s="147">
        <v>41</v>
      </c>
      <c r="D54" s="151">
        <v>3541</v>
      </c>
    </row>
    <row r="55" spans="1:4" x14ac:dyDescent="0.45">
      <c r="B55" s="1" t="s">
        <v>33</v>
      </c>
      <c r="C55" s="147">
        <v>39</v>
      </c>
      <c r="D55" s="151">
        <v>2714</v>
      </c>
    </row>
    <row r="56" spans="1:4" x14ac:dyDescent="0.45">
      <c r="B56" s="1" t="s">
        <v>34</v>
      </c>
      <c r="C56" s="147">
        <v>36</v>
      </c>
      <c r="D56" s="151">
        <v>1220</v>
      </c>
    </row>
    <row r="57" spans="1:4" x14ac:dyDescent="0.45">
      <c r="B57" s="1" t="s">
        <v>36</v>
      </c>
      <c r="C57" s="147">
        <v>31</v>
      </c>
      <c r="D57" s="151">
        <v>566</v>
      </c>
    </row>
    <row r="58" spans="1:4" x14ac:dyDescent="0.45">
      <c r="A58" t="s">
        <v>49</v>
      </c>
      <c r="B58" s="1" t="s">
        <v>37</v>
      </c>
      <c r="C58" s="147">
        <v>68</v>
      </c>
      <c r="D58" s="151">
        <v>571</v>
      </c>
    </row>
    <row r="59" spans="1:4" x14ac:dyDescent="0.45">
      <c r="B59" s="1" t="s">
        <v>38</v>
      </c>
      <c r="C59" s="147">
        <v>65</v>
      </c>
      <c r="D59" s="151">
        <v>757</v>
      </c>
    </row>
    <row r="60" spans="1:4" x14ac:dyDescent="0.45">
      <c r="B60" s="1" t="s">
        <v>39</v>
      </c>
      <c r="C60" s="147">
        <v>59</v>
      </c>
      <c r="D60" s="151">
        <v>1593</v>
      </c>
    </row>
    <row r="61" spans="1:4" x14ac:dyDescent="0.45">
      <c r="B61" s="1" t="s">
        <v>40</v>
      </c>
      <c r="C61" s="147">
        <v>53</v>
      </c>
      <c r="D61" s="151">
        <v>1791</v>
      </c>
    </row>
    <row r="62" spans="1:4" x14ac:dyDescent="0.45">
      <c r="B62" s="1" t="s">
        <v>41</v>
      </c>
      <c r="C62" s="147">
        <v>45</v>
      </c>
      <c r="D62" s="151">
        <v>2473</v>
      </c>
    </row>
    <row r="63" spans="1:4" x14ac:dyDescent="0.45">
      <c r="B63" s="1" t="s">
        <v>42</v>
      </c>
      <c r="C63" s="147">
        <v>40</v>
      </c>
      <c r="D63" s="151">
        <v>2517</v>
      </c>
    </row>
    <row r="64" spans="1:4" x14ac:dyDescent="0.45">
      <c r="B64" s="1" t="s">
        <v>43</v>
      </c>
      <c r="C64" s="147">
        <v>38</v>
      </c>
      <c r="D64" s="151">
        <v>1102</v>
      </c>
    </row>
    <row r="65" spans="1:4" x14ac:dyDescent="0.45">
      <c r="B65" s="1" t="s">
        <v>44</v>
      </c>
      <c r="C65" s="147">
        <v>36</v>
      </c>
      <c r="D65" s="151">
        <v>413</v>
      </c>
    </row>
    <row r="66" spans="1:4" x14ac:dyDescent="0.45">
      <c r="B66" s="1" t="s">
        <v>35</v>
      </c>
      <c r="C66" s="147">
        <v>31</v>
      </c>
      <c r="D66" s="151">
        <v>349</v>
      </c>
    </row>
    <row r="67" spans="1:4" x14ac:dyDescent="0.45">
      <c r="A67" t="s">
        <v>48</v>
      </c>
      <c r="B67" s="1" t="s">
        <v>27</v>
      </c>
      <c r="C67" s="147">
        <v>69</v>
      </c>
      <c r="D67" s="151">
        <v>507</v>
      </c>
    </row>
    <row r="68" spans="1:4" x14ac:dyDescent="0.45">
      <c r="B68" s="1" t="s">
        <v>28</v>
      </c>
      <c r="C68" s="147">
        <v>66</v>
      </c>
      <c r="D68" s="151">
        <v>751</v>
      </c>
    </row>
    <row r="69" spans="1:4" x14ac:dyDescent="0.45">
      <c r="B69" s="1" t="s">
        <v>29</v>
      </c>
      <c r="C69" s="147">
        <v>59</v>
      </c>
      <c r="D69" s="151">
        <v>1318</v>
      </c>
    </row>
    <row r="70" spans="1:4" x14ac:dyDescent="0.45">
      <c r="B70" s="1" t="s">
        <v>30</v>
      </c>
      <c r="C70" s="147">
        <v>51</v>
      </c>
      <c r="D70" s="151">
        <v>2012</v>
      </c>
    </row>
    <row r="71" spans="1:4" x14ac:dyDescent="0.45">
      <c r="B71" s="1" t="s">
        <v>31</v>
      </c>
      <c r="C71" s="147">
        <v>44</v>
      </c>
      <c r="D71" s="151">
        <v>2511</v>
      </c>
    </row>
    <row r="72" spans="1:4" x14ac:dyDescent="0.45">
      <c r="B72" s="1" t="s">
        <v>32</v>
      </c>
      <c r="C72" s="147">
        <v>41</v>
      </c>
      <c r="D72" s="151">
        <v>2203</v>
      </c>
    </row>
    <row r="73" spans="1:4" x14ac:dyDescent="0.45">
      <c r="B73" s="1" t="s">
        <v>33</v>
      </c>
      <c r="C73" s="147">
        <v>39</v>
      </c>
      <c r="D73" s="151">
        <v>736</v>
      </c>
    </row>
    <row r="74" spans="1:4" x14ac:dyDescent="0.45">
      <c r="B74" s="1" t="s">
        <v>34</v>
      </c>
      <c r="C74" s="147">
        <v>38</v>
      </c>
      <c r="D74" s="151">
        <v>450</v>
      </c>
    </row>
    <row r="75" spans="1:4" x14ac:dyDescent="0.45">
      <c r="B75" s="1" t="s">
        <v>36</v>
      </c>
      <c r="C75" s="147">
        <v>32</v>
      </c>
      <c r="D75" s="151">
        <v>418</v>
      </c>
    </row>
    <row r="76" spans="1:4" x14ac:dyDescent="0.45">
      <c r="A76" t="s">
        <v>50</v>
      </c>
      <c r="B76" s="1" t="s">
        <v>37</v>
      </c>
      <c r="C76" s="147">
        <v>73</v>
      </c>
      <c r="D76" s="151">
        <v>223</v>
      </c>
    </row>
    <row r="77" spans="1:4" x14ac:dyDescent="0.45">
      <c r="B77" s="1" t="s">
        <v>38</v>
      </c>
      <c r="C77" s="147">
        <v>65</v>
      </c>
      <c r="D77" s="151">
        <v>380</v>
      </c>
    </row>
    <row r="78" spans="1:4" x14ac:dyDescent="0.45">
      <c r="B78" s="1" t="s">
        <v>39</v>
      </c>
      <c r="C78" s="147">
        <v>57</v>
      </c>
      <c r="D78" s="151">
        <v>665</v>
      </c>
    </row>
    <row r="79" spans="1:4" x14ac:dyDescent="0.45">
      <c r="B79" s="1" t="s">
        <v>40</v>
      </c>
      <c r="C79" s="147">
        <v>50</v>
      </c>
      <c r="D79" s="151">
        <v>893</v>
      </c>
    </row>
    <row r="80" spans="1:4" x14ac:dyDescent="0.45">
      <c r="B80" s="1" t="s">
        <v>41</v>
      </c>
      <c r="C80" s="147">
        <v>44</v>
      </c>
      <c r="D80" s="151">
        <v>1570</v>
      </c>
    </row>
    <row r="81" spans="1:4" x14ac:dyDescent="0.45">
      <c r="B81" s="1" t="s">
        <v>42</v>
      </c>
      <c r="C81" s="147">
        <v>42</v>
      </c>
      <c r="D81" s="151">
        <v>849</v>
      </c>
    </row>
    <row r="82" spans="1:4" x14ac:dyDescent="0.45">
      <c r="B82" s="1" t="s">
        <v>43</v>
      </c>
      <c r="C82" s="147">
        <v>41</v>
      </c>
      <c r="D82" s="151">
        <v>205</v>
      </c>
    </row>
    <row r="83" spans="1:4" x14ac:dyDescent="0.45">
      <c r="B83" s="1" t="s">
        <v>44</v>
      </c>
      <c r="C83" s="147">
        <v>38</v>
      </c>
      <c r="D83" s="151">
        <v>342</v>
      </c>
    </row>
    <row r="84" spans="1:4" x14ac:dyDescent="0.45">
      <c r="B84" s="1" t="s">
        <v>35</v>
      </c>
      <c r="C84" s="147">
        <v>33</v>
      </c>
      <c r="D84" s="151">
        <v>179</v>
      </c>
    </row>
    <row r="85" spans="1:4" x14ac:dyDescent="0.45">
      <c r="A85" t="s">
        <v>65</v>
      </c>
      <c r="B85" s="1" t="s">
        <v>27</v>
      </c>
      <c r="C85" s="147">
        <v>70</v>
      </c>
      <c r="D85" s="151">
        <v>980</v>
      </c>
    </row>
    <row r="86" spans="1:4" x14ac:dyDescent="0.45">
      <c r="B86" s="1" t="s">
        <v>28</v>
      </c>
      <c r="C86" s="147">
        <v>65</v>
      </c>
      <c r="D86" s="151">
        <v>1454</v>
      </c>
    </row>
    <row r="87" spans="1:4" x14ac:dyDescent="0.45">
      <c r="B87" s="1" t="s">
        <v>29</v>
      </c>
      <c r="C87" s="147">
        <v>58</v>
      </c>
      <c r="D87" s="151">
        <v>2594</v>
      </c>
    </row>
    <row r="88" spans="1:4" x14ac:dyDescent="0.45">
      <c r="B88" s="1" t="s">
        <v>30</v>
      </c>
      <c r="C88" s="147">
        <v>52</v>
      </c>
      <c r="D88" s="151">
        <v>3215</v>
      </c>
    </row>
    <row r="89" spans="1:4" x14ac:dyDescent="0.45">
      <c r="B89" s="1" t="s">
        <v>31</v>
      </c>
      <c r="C89" s="147">
        <v>45</v>
      </c>
      <c r="D89" s="151">
        <v>4173</v>
      </c>
    </row>
    <row r="90" spans="1:4" x14ac:dyDescent="0.45">
      <c r="B90" s="1" t="s">
        <v>32</v>
      </c>
      <c r="C90" s="147">
        <v>41</v>
      </c>
      <c r="D90" s="151">
        <v>3624</v>
      </c>
    </row>
    <row r="91" spans="1:4" x14ac:dyDescent="0.45">
      <c r="B91" s="1" t="s">
        <v>33</v>
      </c>
      <c r="C91" s="147">
        <v>38</v>
      </c>
      <c r="D91" s="151">
        <v>2001</v>
      </c>
    </row>
    <row r="92" spans="1:4" x14ac:dyDescent="0.45">
      <c r="B92" s="1" t="s">
        <v>34</v>
      </c>
      <c r="C92" s="147">
        <v>37</v>
      </c>
      <c r="D92" s="151">
        <v>1473</v>
      </c>
    </row>
    <row r="93" spans="1:4" x14ac:dyDescent="0.45">
      <c r="B93" s="1" t="s">
        <v>36</v>
      </c>
      <c r="C93" s="147">
        <v>31</v>
      </c>
      <c r="D93" s="151">
        <v>728</v>
      </c>
    </row>
    <row r="94" spans="1:4" x14ac:dyDescent="0.45">
      <c r="A94" t="s">
        <v>51</v>
      </c>
      <c r="B94" s="1" t="s">
        <v>37</v>
      </c>
      <c r="C94" s="147">
        <v>68</v>
      </c>
      <c r="D94" s="151">
        <v>4362</v>
      </c>
    </row>
    <row r="95" spans="1:4" x14ac:dyDescent="0.45">
      <c r="B95" s="1" t="s">
        <v>38</v>
      </c>
      <c r="C95" s="147">
        <v>63</v>
      </c>
      <c r="D95" s="151">
        <v>7723</v>
      </c>
    </row>
    <row r="96" spans="1:4" x14ac:dyDescent="0.45">
      <c r="B96" s="1" t="s">
        <v>39</v>
      </c>
      <c r="C96" s="147">
        <v>58</v>
      </c>
      <c r="D96" s="151">
        <v>13435</v>
      </c>
    </row>
    <row r="97" spans="1:4" x14ac:dyDescent="0.45">
      <c r="B97" s="1" t="s">
        <v>40</v>
      </c>
      <c r="C97" s="147">
        <v>53</v>
      </c>
      <c r="D97" s="151">
        <v>16985</v>
      </c>
    </row>
    <row r="98" spans="1:4" x14ac:dyDescent="0.45">
      <c r="B98" s="1" t="s">
        <v>41</v>
      </c>
      <c r="C98" s="147">
        <v>47</v>
      </c>
      <c r="D98" s="151">
        <v>19801</v>
      </c>
    </row>
    <row r="99" spans="1:4" x14ac:dyDescent="0.45">
      <c r="B99" s="1" t="s">
        <v>42</v>
      </c>
      <c r="C99" s="147">
        <v>42</v>
      </c>
      <c r="D99" s="151">
        <v>17432</v>
      </c>
    </row>
    <row r="100" spans="1:4" x14ac:dyDescent="0.45">
      <c r="B100" s="1" t="s">
        <v>43</v>
      </c>
      <c r="C100" s="147">
        <v>36</v>
      </c>
      <c r="D100" s="151">
        <v>12880</v>
      </c>
    </row>
    <row r="101" spans="1:4" x14ac:dyDescent="0.45">
      <c r="B101" s="1" t="s">
        <v>44</v>
      </c>
      <c r="C101" s="147">
        <v>35</v>
      </c>
      <c r="D101" s="151">
        <v>5873</v>
      </c>
    </row>
    <row r="102" spans="1:4" x14ac:dyDescent="0.45">
      <c r="B102" s="1" t="s">
        <v>35</v>
      </c>
      <c r="C102" s="147">
        <v>27</v>
      </c>
      <c r="D102" s="151">
        <v>3735</v>
      </c>
    </row>
    <row r="103" spans="1:4" x14ac:dyDescent="0.45">
      <c r="A103" t="s">
        <v>52</v>
      </c>
      <c r="B103" s="1" t="s">
        <v>27</v>
      </c>
      <c r="C103" s="147">
        <v>66</v>
      </c>
      <c r="D103" s="151">
        <v>2841</v>
      </c>
    </row>
    <row r="104" spans="1:4" x14ac:dyDescent="0.45">
      <c r="B104" s="1" t="s">
        <v>28</v>
      </c>
      <c r="C104" s="147">
        <v>64</v>
      </c>
      <c r="D104" s="151">
        <v>1757</v>
      </c>
    </row>
    <row r="105" spans="1:4" x14ac:dyDescent="0.45">
      <c r="B105" s="1" t="s">
        <v>29</v>
      </c>
      <c r="C105" s="147">
        <v>59</v>
      </c>
      <c r="D105" s="151">
        <v>4276</v>
      </c>
    </row>
    <row r="106" spans="1:4" x14ac:dyDescent="0.45">
      <c r="B106" s="1" t="s">
        <v>30</v>
      </c>
      <c r="C106" s="147">
        <v>52</v>
      </c>
      <c r="D106" s="151">
        <v>6841</v>
      </c>
    </row>
    <row r="107" spans="1:4" x14ac:dyDescent="0.45">
      <c r="B107" s="1" t="s">
        <v>31</v>
      </c>
      <c r="C107" s="147">
        <v>46</v>
      </c>
      <c r="D107" s="151">
        <v>6208</v>
      </c>
    </row>
    <row r="108" spans="1:4" x14ac:dyDescent="0.45">
      <c r="B108" s="1" t="s">
        <v>32</v>
      </c>
      <c r="C108" s="147">
        <v>40</v>
      </c>
      <c r="D108" s="151">
        <v>6305</v>
      </c>
    </row>
    <row r="109" spans="1:4" x14ac:dyDescent="0.45">
      <c r="B109" s="1" t="s">
        <v>33</v>
      </c>
      <c r="C109" s="147">
        <v>38</v>
      </c>
      <c r="D109" s="151">
        <v>4688</v>
      </c>
    </row>
    <row r="110" spans="1:4" x14ac:dyDescent="0.45">
      <c r="B110" s="1" t="s">
        <v>34</v>
      </c>
      <c r="C110" s="147">
        <v>36</v>
      </c>
      <c r="D110" s="151">
        <v>1807</v>
      </c>
    </row>
    <row r="111" spans="1:4" x14ac:dyDescent="0.45">
      <c r="B111" s="1" t="s">
        <v>36</v>
      </c>
      <c r="C111" s="147">
        <v>30</v>
      </c>
      <c r="D111" s="151">
        <v>1001</v>
      </c>
    </row>
    <row r="112" spans="1:4" x14ac:dyDescent="0.45">
      <c r="A112" t="s">
        <v>53</v>
      </c>
      <c r="B112" s="1" t="s">
        <v>37</v>
      </c>
      <c r="C112" s="147">
        <v>68</v>
      </c>
      <c r="D112" s="151">
        <v>1588</v>
      </c>
    </row>
    <row r="113" spans="1:4" x14ac:dyDescent="0.45">
      <c r="B113" s="1" t="s">
        <v>38</v>
      </c>
      <c r="C113" s="147">
        <v>64</v>
      </c>
      <c r="D113" s="151">
        <v>1662</v>
      </c>
    </row>
    <row r="114" spans="1:4" x14ac:dyDescent="0.45">
      <c r="B114" s="1" t="s">
        <v>39</v>
      </c>
      <c r="C114" s="147">
        <v>59</v>
      </c>
      <c r="D114" s="151">
        <v>3066</v>
      </c>
    </row>
    <row r="115" spans="1:4" x14ac:dyDescent="0.45">
      <c r="B115" s="1" t="s">
        <v>40</v>
      </c>
      <c r="C115" s="147">
        <v>52</v>
      </c>
      <c r="D115" s="151">
        <v>4830</v>
      </c>
    </row>
    <row r="116" spans="1:4" x14ac:dyDescent="0.45">
      <c r="B116" s="1" t="s">
        <v>41</v>
      </c>
      <c r="C116" s="147">
        <v>46</v>
      </c>
      <c r="D116" s="151">
        <v>5295</v>
      </c>
    </row>
    <row r="117" spans="1:4" x14ac:dyDescent="0.45">
      <c r="B117" s="1" t="s">
        <v>42</v>
      </c>
      <c r="C117" s="147">
        <v>41</v>
      </c>
      <c r="D117" s="151">
        <v>5577</v>
      </c>
    </row>
    <row r="118" spans="1:4" x14ac:dyDescent="0.45">
      <c r="B118" s="1" t="s">
        <v>43</v>
      </c>
      <c r="C118" s="147">
        <v>39</v>
      </c>
      <c r="D118" s="151">
        <v>2243</v>
      </c>
    </row>
    <row r="119" spans="1:4" x14ac:dyDescent="0.45">
      <c r="B119" s="1" t="s">
        <v>44</v>
      </c>
      <c r="C119" s="147">
        <v>35</v>
      </c>
      <c r="D119" s="151">
        <v>2329</v>
      </c>
    </row>
    <row r="120" spans="1:4" x14ac:dyDescent="0.45">
      <c r="B120" s="1" t="s">
        <v>35</v>
      </c>
      <c r="C120" s="147">
        <v>30</v>
      </c>
      <c r="D120" s="151">
        <v>581</v>
      </c>
    </row>
    <row r="121" spans="1:4" x14ac:dyDescent="0.45">
      <c r="A121" t="s">
        <v>54</v>
      </c>
      <c r="B121" s="1" t="s">
        <v>27</v>
      </c>
      <c r="C121" s="147">
        <v>67</v>
      </c>
      <c r="D121" s="151">
        <v>3313</v>
      </c>
    </row>
    <row r="122" spans="1:4" x14ac:dyDescent="0.45">
      <c r="B122" s="1" t="s">
        <v>28</v>
      </c>
      <c r="C122" s="147">
        <v>62</v>
      </c>
      <c r="D122" s="151">
        <v>6627</v>
      </c>
    </row>
    <row r="123" spans="1:4" x14ac:dyDescent="0.45">
      <c r="B123" s="1" t="s">
        <v>29</v>
      </c>
      <c r="C123" s="147">
        <v>58</v>
      </c>
      <c r="D123" s="151">
        <v>9531</v>
      </c>
    </row>
    <row r="124" spans="1:4" x14ac:dyDescent="0.45">
      <c r="B124" s="1" t="s">
        <v>30</v>
      </c>
      <c r="C124" s="147">
        <v>53</v>
      </c>
      <c r="D124" s="151">
        <v>13840</v>
      </c>
    </row>
    <row r="125" spans="1:4" x14ac:dyDescent="0.45">
      <c r="B125" s="1" t="s">
        <v>31</v>
      </c>
      <c r="C125" s="147">
        <v>47</v>
      </c>
      <c r="D125" s="151">
        <v>14988</v>
      </c>
    </row>
    <row r="126" spans="1:4" x14ac:dyDescent="0.45">
      <c r="B126" s="1" t="s">
        <v>32</v>
      </c>
      <c r="C126" s="147">
        <v>41</v>
      </c>
      <c r="D126" s="151">
        <v>13684</v>
      </c>
    </row>
    <row r="127" spans="1:4" x14ac:dyDescent="0.45">
      <c r="B127" s="1" t="s">
        <v>33</v>
      </c>
      <c r="C127" s="147">
        <v>37</v>
      </c>
      <c r="D127" s="151">
        <v>7733</v>
      </c>
    </row>
    <row r="128" spans="1:4" x14ac:dyDescent="0.45">
      <c r="B128" s="1" t="s">
        <v>34</v>
      </c>
      <c r="C128" s="147">
        <v>33</v>
      </c>
      <c r="D128" s="151">
        <v>5722</v>
      </c>
    </row>
    <row r="129" spans="1:4" x14ac:dyDescent="0.45">
      <c r="B129" s="1" t="s">
        <v>36</v>
      </c>
      <c r="C129" s="147">
        <v>25</v>
      </c>
      <c r="D129" s="151">
        <v>2349</v>
      </c>
    </row>
    <row r="130" spans="1:4" x14ac:dyDescent="0.45">
      <c r="A130" t="s">
        <v>55</v>
      </c>
      <c r="B130" s="1" t="s">
        <v>37</v>
      </c>
      <c r="C130" s="147">
        <v>69</v>
      </c>
      <c r="D130" s="151">
        <v>5020</v>
      </c>
    </row>
    <row r="131" spans="1:4" x14ac:dyDescent="0.45">
      <c r="B131" s="1" t="s">
        <v>38</v>
      </c>
      <c r="C131" s="147">
        <v>65</v>
      </c>
      <c r="D131" s="151">
        <v>3696</v>
      </c>
    </row>
    <row r="132" spans="1:4" x14ac:dyDescent="0.45">
      <c r="B132" s="1" t="s">
        <v>39</v>
      </c>
      <c r="C132" s="147">
        <v>58</v>
      </c>
      <c r="D132" s="151">
        <v>9260</v>
      </c>
    </row>
    <row r="133" spans="1:4" x14ac:dyDescent="0.45">
      <c r="B133" s="1" t="s">
        <v>40</v>
      </c>
      <c r="C133" s="147">
        <v>51</v>
      </c>
      <c r="D133" s="151">
        <v>14625</v>
      </c>
    </row>
    <row r="134" spans="1:4" x14ac:dyDescent="0.45">
      <c r="B134" s="1" t="s">
        <v>41</v>
      </c>
      <c r="C134" s="147">
        <v>46</v>
      </c>
      <c r="D134" s="151">
        <v>14418</v>
      </c>
    </row>
    <row r="135" spans="1:4" x14ac:dyDescent="0.45">
      <c r="B135" s="1" t="s">
        <v>42</v>
      </c>
      <c r="C135" s="147">
        <v>41</v>
      </c>
      <c r="D135" s="151">
        <v>18596</v>
      </c>
    </row>
    <row r="136" spans="1:4" x14ac:dyDescent="0.45">
      <c r="B136" s="1" t="s">
        <v>43</v>
      </c>
      <c r="C136" s="147">
        <v>39</v>
      </c>
      <c r="D136" s="151">
        <v>4871</v>
      </c>
    </row>
    <row r="137" spans="1:4" x14ac:dyDescent="0.45">
      <c r="B137" s="1" t="s">
        <v>44</v>
      </c>
      <c r="C137" s="147">
        <v>37</v>
      </c>
      <c r="D137" s="151">
        <v>4425</v>
      </c>
    </row>
    <row r="138" spans="1:4" x14ac:dyDescent="0.45">
      <c r="B138" s="1" t="s">
        <v>35</v>
      </c>
      <c r="C138" s="147">
        <v>31</v>
      </c>
      <c r="D138" s="151">
        <v>2738</v>
      </c>
    </row>
    <row r="139" spans="1:4" x14ac:dyDescent="0.45">
      <c r="A139" t="s">
        <v>56</v>
      </c>
      <c r="B139" s="1" t="s">
        <v>27</v>
      </c>
      <c r="C139" s="147">
        <v>79</v>
      </c>
      <c r="D139" s="151">
        <v>211</v>
      </c>
    </row>
    <row r="140" spans="1:4" x14ac:dyDescent="0.45">
      <c r="B140" s="1" t="s">
        <v>28</v>
      </c>
      <c r="C140" s="147">
        <v>60</v>
      </c>
      <c r="D140" s="151">
        <v>377</v>
      </c>
    </row>
    <row r="141" spans="1:4" x14ac:dyDescent="0.45">
      <c r="B141" s="1" t="s">
        <v>29</v>
      </c>
      <c r="C141" s="147">
        <v>52</v>
      </c>
      <c r="D141" s="151">
        <v>751</v>
      </c>
    </row>
    <row r="142" spans="1:4" x14ac:dyDescent="0.45">
      <c r="B142" s="1" t="s">
        <v>30</v>
      </c>
      <c r="C142" s="147">
        <v>48</v>
      </c>
      <c r="D142" s="151">
        <v>1095</v>
      </c>
    </row>
    <row r="143" spans="1:4" x14ac:dyDescent="0.45">
      <c r="B143" s="1" t="s">
        <v>31</v>
      </c>
      <c r="C143" s="147">
        <v>46</v>
      </c>
      <c r="D143" s="151">
        <v>892</v>
      </c>
    </row>
    <row r="144" spans="1:4" x14ac:dyDescent="0.45">
      <c r="B144" s="1" t="s">
        <v>32</v>
      </c>
      <c r="C144" s="147">
        <v>45</v>
      </c>
      <c r="D144" s="151">
        <v>705</v>
      </c>
    </row>
    <row r="145" spans="1:4" x14ac:dyDescent="0.45">
      <c r="B145" s="1" t="s">
        <v>33</v>
      </c>
      <c r="C145" s="147">
        <v>43</v>
      </c>
      <c r="D145" s="151">
        <v>562</v>
      </c>
    </row>
    <row r="146" spans="1:4" x14ac:dyDescent="0.45">
      <c r="B146" s="1" t="s">
        <v>34</v>
      </c>
      <c r="C146" s="147">
        <v>39</v>
      </c>
      <c r="D146" s="151">
        <v>384</v>
      </c>
    </row>
    <row r="147" spans="1:4" x14ac:dyDescent="0.45">
      <c r="B147" s="1" t="s">
        <v>36</v>
      </c>
      <c r="C147" s="147">
        <v>35</v>
      </c>
      <c r="D147" s="151">
        <v>119</v>
      </c>
    </row>
    <row r="148" spans="1:4" x14ac:dyDescent="0.45">
      <c r="A148" t="s">
        <v>57</v>
      </c>
      <c r="B148" s="1" t="s">
        <v>37</v>
      </c>
      <c r="C148" s="147">
        <v>75</v>
      </c>
      <c r="D148" s="151">
        <v>204</v>
      </c>
    </row>
    <row r="149" spans="1:4" x14ac:dyDescent="0.45">
      <c r="B149" s="1" t="s">
        <v>38</v>
      </c>
      <c r="C149" s="147">
        <v>63</v>
      </c>
      <c r="D149" s="151">
        <v>346</v>
      </c>
    </row>
    <row r="150" spans="1:4" x14ac:dyDescent="0.45">
      <c r="B150" s="1" t="s">
        <v>39</v>
      </c>
      <c r="C150" s="147">
        <v>55</v>
      </c>
      <c r="D150" s="151">
        <v>592</v>
      </c>
    </row>
    <row r="151" spans="1:4" x14ac:dyDescent="0.45">
      <c r="B151" s="1" t="s">
        <v>40</v>
      </c>
      <c r="C151" s="147">
        <v>49</v>
      </c>
      <c r="D151" s="151">
        <v>948</v>
      </c>
    </row>
    <row r="152" spans="1:4" x14ac:dyDescent="0.45">
      <c r="B152" s="1" t="s">
        <v>41</v>
      </c>
      <c r="C152" s="147">
        <v>46</v>
      </c>
      <c r="D152" s="151">
        <v>1076</v>
      </c>
    </row>
    <row r="153" spans="1:4" x14ac:dyDescent="0.45">
      <c r="B153" s="1" t="s">
        <v>42</v>
      </c>
      <c r="C153" s="147">
        <v>44</v>
      </c>
      <c r="D153" s="151">
        <v>601</v>
      </c>
    </row>
    <row r="154" spans="1:4" x14ac:dyDescent="0.45">
      <c r="B154" s="1" t="s">
        <v>43</v>
      </c>
      <c r="C154" s="147">
        <v>40</v>
      </c>
      <c r="D154" s="151">
        <v>794</v>
      </c>
    </row>
    <row r="155" spans="1:4" x14ac:dyDescent="0.45">
      <c r="B155" s="1" t="s">
        <v>44</v>
      </c>
      <c r="C155" s="147">
        <v>38</v>
      </c>
      <c r="D155" s="151">
        <v>205</v>
      </c>
    </row>
    <row r="156" spans="1:4" x14ac:dyDescent="0.45">
      <c r="B156" s="1" t="s">
        <v>35</v>
      </c>
      <c r="C156" s="147">
        <v>32</v>
      </c>
      <c r="D156" s="151">
        <v>126</v>
      </c>
    </row>
    <row r="157" spans="1:4" x14ac:dyDescent="0.45">
      <c r="A157" t="s">
        <v>58</v>
      </c>
      <c r="B157" s="1" t="s">
        <v>27</v>
      </c>
      <c r="C157" s="147">
        <v>75</v>
      </c>
      <c r="D157" s="151">
        <v>313</v>
      </c>
    </row>
    <row r="158" spans="1:4" x14ac:dyDescent="0.45">
      <c r="B158" s="1" t="s">
        <v>28</v>
      </c>
      <c r="C158" s="147">
        <v>63</v>
      </c>
      <c r="D158" s="151">
        <v>597</v>
      </c>
    </row>
    <row r="159" spans="1:4" x14ac:dyDescent="0.45">
      <c r="B159" s="1" t="s">
        <v>29</v>
      </c>
      <c r="C159" s="147">
        <v>54</v>
      </c>
      <c r="D159" s="151">
        <v>1066</v>
      </c>
    </row>
    <row r="160" spans="1:4" x14ac:dyDescent="0.45">
      <c r="B160" s="1" t="s">
        <v>30</v>
      </c>
      <c r="C160" s="147">
        <v>49</v>
      </c>
      <c r="D160" s="151">
        <v>1375</v>
      </c>
    </row>
    <row r="161" spans="1:4" x14ac:dyDescent="0.45">
      <c r="B161" s="1" t="s">
        <v>31</v>
      </c>
      <c r="C161" s="147">
        <v>46</v>
      </c>
      <c r="D161" s="151">
        <v>1454</v>
      </c>
    </row>
    <row r="162" spans="1:4" x14ac:dyDescent="0.45">
      <c r="B162" s="1" t="s">
        <v>32</v>
      </c>
      <c r="C162" s="147">
        <v>44</v>
      </c>
      <c r="D162" s="151">
        <v>1258</v>
      </c>
    </row>
    <row r="163" spans="1:4" x14ac:dyDescent="0.45">
      <c r="B163" s="1" t="s">
        <v>33</v>
      </c>
      <c r="C163" s="147">
        <v>41</v>
      </c>
      <c r="D163" s="151">
        <v>975</v>
      </c>
    </row>
    <row r="164" spans="1:4" x14ac:dyDescent="0.45">
      <c r="B164" s="1" t="s">
        <v>34</v>
      </c>
      <c r="C164" s="147">
        <v>38</v>
      </c>
      <c r="D164" s="151">
        <v>541</v>
      </c>
    </row>
    <row r="165" spans="1:4" x14ac:dyDescent="0.45">
      <c r="B165" s="1" t="s">
        <v>36</v>
      </c>
      <c r="C165" s="147">
        <v>34</v>
      </c>
      <c r="D165" s="151">
        <v>196</v>
      </c>
    </row>
    <row r="166" spans="1:4" x14ac:dyDescent="0.45">
      <c r="A166" t="s">
        <v>59</v>
      </c>
      <c r="B166" s="1" t="s">
        <v>37</v>
      </c>
      <c r="C166" s="147">
        <v>72</v>
      </c>
      <c r="D166" s="151">
        <v>218</v>
      </c>
    </row>
    <row r="167" spans="1:4" x14ac:dyDescent="0.45">
      <c r="B167" s="1" t="s">
        <v>38</v>
      </c>
      <c r="C167" s="147">
        <v>59</v>
      </c>
      <c r="D167" s="151">
        <v>347</v>
      </c>
    </row>
    <row r="168" spans="1:4" x14ac:dyDescent="0.45">
      <c r="B168" s="1" t="s">
        <v>39</v>
      </c>
      <c r="C168" s="147">
        <v>52</v>
      </c>
      <c r="D168" s="151">
        <v>830</v>
      </c>
    </row>
    <row r="169" spans="1:4" x14ac:dyDescent="0.45">
      <c r="B169" s="1" t="s">
        <v>40</v>
      </c>
      <c r="C169" s="147">
        <v>50</v>
      </c>
      <c r="D169" s="151">
        <v>835</v>
      </c>
    </row>
    <row r="170" spans="1:4" x14ac:dyDescent="0.45">
      <c r="B170" s="1" t="s">
        <v>41</v>
      </c>
      <c r="C170" s="147">
        <v>46</v>
      </c>
      <c r="D170" s="151">
        <v>998</v>
      </c>
    </row>
    <row r="171" spans="1:4" x14ac:dyDescent="0.45">
      <c r="B171" s="1" t="s">
        <v>42</v>
      </c>
      <c r="C171" s="147">
        <v>45</v>
      </c>
      <c r="D171" s="151">
        <v>832</v>
      </c>
    </row>
    <row r="172" spans="1:4" x14ac:dyDescent="0.45">
      <c r="B172" s="1" t="s">
        <v>43</v>
      </c>
      <c r="C172" s="147">
        <v>42</v>
      </c>
      <c r="D172" s="151">
        <v>543</v>
      </c>
    </row>
    <row r="173" spans="1:4" x14ac:dyDescent="0.45">
      <c r="B173" s="1" t="s">
        <v>44</v>
      </c>
      <c r="C173" s="147">
        <v>39</v>
      </c>
      <c r="D173" s="151">
        <v>276</v>
      </c>
    </row>
    <row r="174" spans="1:4" ht="17.5" thickBot="1" x14ac:dyDescent="0.5">
      <c r="B174" s="1" t="s">
        <v>35</v>
      </c>
      <c r="C174" s="149">
        <v>33</v>
      </c>
      <c r="D174" s="153">
        <v>176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5"/>
  <dimension ref="A1:L16"/>
  <sheetViews>
    <sheetView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70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</row>
    <row r="3" spans="1:12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기능'!D4</f>
        <v>56.16</v>
      </c>
      <c r="I3" s="15" t="s">
        <v>73</v>
      </c>
      <c r="J3" s="35">
        <f>'통계 및 응시자 수 입력 기능'!C4</f>
        <v>283981</v>
      </c>
      <c r="K3" s="28"/>
    </row>
    <row r="4" spans="1:12" ht="25" customHeight="1" thickBot="1" x14ac:dyDescent="0.5">
      <c r="A4" s="4"/>
      <c r="B4" s="19"/>
      <c r="C4" s="36" t="s">
        <v>74</v>
      </c>
      <c r="D4" s="107" t="s">
        <v>75</v>
      </c>
      <c r="E4" s="108"/>
      <c r="F4" s="109"/>
      <c r="G4" s="37" t="s">
        <v>76</v>
      </c>
      <c r="H4" s="38" t="str">
        <f>'통계 및 응시자 수 입력 기능'!E4</f>
        <v>22.34</v>
      </c>
      <c r="I4" s="16"/>
      <c r="J4" s="29"/>
      <c r="K4" s="28"/>
    </row>
    <row r="5" spans="1:12" ht="25" customHeight="1" thickBot="1" x14ac:dyDescent="0.5">
      <c r="A5" s="4"/>
      <c r="B5" s="19"/>
      <c r="C5" s="29"/>
      <c r="D5" s="29"/>
      <c r="E5" s="29"/>
      <c r="F5" s="29"/>
      <c r="G5" s="110" t="s">
        <v>136</v>
      </c>
      <c r="H5" s="110"/>
      <c r="I5" s="111"/>
      <c r="J5" s="111"/>
      <c r="K5" s="28"/>
    </row>
    <row r="6" spans="1:12" ht="25" customHeight="1" thickBot="1" x14ac:dyDescent="0.5">
      <c r="A6" s="4"/>
      <c r="B6" s="19"/>
      <c r="C6" s="39" t="s">
        <v>78</v>
      </c>
      <c r="D6" s="40" t="s">
        <v>79</v>
      </c>
      <c r="E6" s="41" t="s">
        <v>80</v>
      </c>
      <c r="F6" s="42" t="s">
        <v>81</v>
      </c>
      <c r="G6" s="42" t="s">
        <v>82</v>
      </c>
      <c r="H6" s="43" t="s">
        <v>83</v>
      </c>
      <c r="I6" s="29"/>
      <c r="J6" s="29"/>
      <c r="K6" s="28"/>
      <c r="L6" s="4"/>
    </row>
    <row r="7" spans="1:12" ht="25" customHeight="1" x14ac:dyDescent="0.45">
      <c r="A7" s="4"/>
      <c r="B7" s="19"/>
      <c r="C7" s="44">
        <v>1</v>
      </c>
      <c r="D7" s="45">
        <v>90</v>
      </c>
      <c r="E7" s="46">
        <f>'표준점수 등급컷 입력기능'!D4</f>
        <v>16466</v>
      </c>
      <c r="F7" s="47">
        <f>E7/$J$3</f>
        <v>5.7982752367235837E-2</v>
      </c>
      <c r="G7" s="48">
        <f>SUM($E$7:E7)</f>
        <v>16466</v>
      </c>
      <c r="H7" s="49">
        <f>G7/$J$3</f>
        <v>5.7982752367235837E-2</v>
      </c>
      <c r="I7" s="29"/>
      <c r="J7" s="29"/>
      <c r="K7" s="28"/>
      <c r="L7" s="4"/>
    </row>
    <row r="8" spans="1:12" ht="25" customHeight="1" x14ac:dyDescent="0.45">
      <c r="A8" s="4"/>
      <c r="B8" s="19"/>
      <c r="C8" s="50">
        <v>2</v>
      </c>
      <c r="D8" s="51">
        <v>80</v>
      </c>
      <c r="E8" s="52">
        <f>'표준점수 등급컷 입력기능'!D5</f>
        <v>29600</v>
      </c>
      <c r="F8" s="53">
        <f t="shared" ref="F8:F15" si="0">E8/$J$3</f>
        <v>0.10423232540205155</v>
      </c>
      <c r="G8" s="54">
        <f>SUM($E$7:E8)</f>
        <v>46066</v>
      </c>
      <c r="H8" s="55">
        <f t="shared" ref="H8:H15" si="1">G8/$J$3</f>
        <v>0.16221507776928737</v>
      </c>
      <c r="I8" s="29"/>
      <c r="J8" s="29"/>
      <c r="K8" s="28"/>
      <c r="L8" s="4"/>
    </row>
    <row r="9" spans="1:12" ht="25" customHeight="1" x14ac:dyDescent="0.45">
      <c r="A9" s="4"/>
      <c r="B9" s="19"/>
      <c r="C9" s="50">
        <v>3</v>
      </c>
      <c r="D9" s="51">
        <v>70</v>
      </c>
      <c r="E9" s="52">
        <f>'표준점수 등급컷 입력기능'!D6</f>
        <v>42568</v>
      </c>
      <c r="F9" s="53">
        <f t="shared" si="0"/>
        <v>0.14989735228765305</v>
      </c>
      <c r="G9" s="54">
        <f>SUM($E$7:E9)</f>
        <v>88634</v>
      </c>
      <c r="H9" s="55">
        <f t="shared" si="1"/>
        <v>0.31211243005694045</v>
      </c>
      <c r="I9" s="29"/>
      <c r="J9" s="29"/>
      <c r="K9" s="28"/>
      <c r="L9" s="4"/>
    </row>
    <row r="10" spans="1:12" ht="25" customHeight="1" x14ac:dyDescent="0.45">
      <c r="A10" s="4"/>
      <c r="B10" s="19"/>
      <c r="C10" s="50">
        <v>4</v>
      </c>
      <c r="D10" s="51">
        <v>60</v>
      </c>
      <c r="E10" s="52">
        <f>'표준점수 등급컷 입력기능'!D7</f>
        <v>47247</v>
      </c>
      <c r="F10" s="53">
        <f t="shared" si="0"/>
        <v>0.16637380669833546</v>
      </c>
      <c r="G10" s="54">
        <f>SUM($E$7:E10)</f>
        <v>135881</v>
      </c>
      <c r="H10" s="55">
        <f t="shared" si="1"/>
        <v>0.47848623675527591</v>
      </c>
      <c r="I10" s="29"/>
      <c r="J10" s="29"/>
      <c r="K10" s="28"/>
      <c r="L10" s="4"/>
    </row>
    <row r="11" spans="1:12" ht="25" customHeight="1" x14ac:dyDescent="0.45">
      <c r="A11" s="4"/>
      <c r="B11" s="19"/>
      <c r="C11" s="50">
        <v>5</v>
      </c>
      <c r="D11" s="51">
        <v>50</v>
      </c>
      <c r="E11" s="52">
        <f>'표준점수 등급컷 입력기능'!D8</f>
        <v>42568</v>
      </c>
      <c r="F11" s="53">
        <f t="shared" si="0"/>
        <v>0.14989735228765305</v>
      </c>
      <c r="G11" s="54">
        <f>SUM($E$7:E11)</f>
        <v>178449</v>
      </c>
      <c r="H11" s="55">
        <f t="shared" si="1"/>
        <v>0.6283835890429289</v>
      </c>
      <c r="I11" s="29"/>
      <c r="J11" s="29"/>
      <c r="K11" s="28"/>
      <c r="L11" s="4"/>
    </row>
    <row r="12" spans="1:12" ht="25" customHeight="1" x14ac:dyDescent="0.45">
      <c r="A12" s="4"/>
      <c r="B12" s="19"/>
      <c r="C12" s="50">
        <v>6</v>
      </c>
      <c r="D12" s="51">
        <v>40</v>
      </c>
      <c r="E12" s="52">
        <f>'표준점수 등급컷 입력기능'!D9</f>
        <v>35054</v>
      </c>
      <c r="F12" s="53">
        <f t="shared" si="0"/>
        <v>0.12343783562984847</v>
      </c>
      <c r="G12" s="54">
        <f>SUM($E$7:E12)</f>
        <v>213503</v>
      </c>
      <c r="H12" s="55">
        <f t="shared" si="1"/>
        <v>0.75182142467277735</v>
      </c>
      <c r="I12" s="29"/>
      <c r="J12" s="29"/>
      <c r="K12" s="28"/>
      <c r="L12" s="4"/>
    </row>
    <row r="13" spans="1:12" ht="25" customHeight="1" x14ac:dyDescent="0.45">
      <c r="A13" s="4"/>
      <c r="B13" s="19"/>
      <c r="C13" s="50">
        <v>7</v>
      </c>
      <c r="D13" s="51">
        <v>30</v>
      </c>
      <c r="E13" s="52">
        <f>'표준점수 등급컷 입력기능'!D10</f>
        <v>26813</v>
      </c>
      <c r="F13" s="53">
        <f t="shared" si="0"/>
        <v>9.441828854747325E-2</v>
      </c>
      <c r="G13" s="54">
        <f>SUM($E$7:E13)</f>
        <v>240316</v>
      </c>
      <c r="H13" s="55">
        <f t="shared" si="1"/>
        <v>0.8462397132202506</v>
      </c>
      <c r="I13" s="29"/>
      <c r="J13" s="29"/>
      <c r="K13" s="28"/>
      <c r="L13" s="4"/>
    </row>
    <row r="14" spans="1:12" ht="25" customHeight="1" x14ac:dyDescent="0.45">
      <c r="A14" s="4"/>
      <c r="B14" s="19"/>
      <c r="C14" s="50">
        <v>8</v>
      </c>
      <c r="D14" s="51">
        <v>20</v>
      </c>
      <c r="E14" s="52">
        <f>'표준점수 등급컷 입력기능'!D11</f>
        <v>25012</v>
      </c>
      <c r="F14" s="53">
        <f t="shared" si="0"/>
        <v>8.807631496473356E-2</v>
      </c>
      <c r="G14" s="54">
        <f>SUM($E$7:E14)</f>
        <v>265328</v>
      </c>
      <c r="H14" s="55">
        <f t="shared" si="1"/>
        <v>0.93431602818498416</v>
      </c>
      <c r="I14" s="29"/>
      <c r="J14" s="29"/>
      <c r="K14" s="28"/>
      <c r="L14" s="4"/>
    </row>
    <row r="15" spans="1:12" ht="25" customHeight="1" thickBot="1" x14ac:dyDescent="0.5">
      <c r="A15" s="4"/>
      <c r="B15" s="19"/>
      <c r="C15" s="56">
        <v>9</v>
      </c>
      <c r="D15" s="57">
        <v>0</v>
      </c>
      <c r="E15" s="58">
        <f>'표준점수 등급컷 입력기능'!D12</f>
        <v>18653</v>
      </c>
      <c r="F15" s="59">
        <f t="shared" si="0"/>
        <v>6.5683971815015799E-2</v>
      </c>
      <c r="G15" s="60">
        <f>SUM($E$7:E15)</f>
        <v>283981</v>
      </c>
      <c r="H15" s="61">
        <f t="shared" si="1"/>
        <v>1</v>
      </c>
      <c r="I15" s="29"/>
      <c r="J15" s="29"/>
      <c r="K15" s="28"/>
      <c r="L15" s="4"/>
    </row>
    <row r="16" spans="1:12" ht="6" customHeight="1" x14ac:dyDescent="0.45">
      <c r="A16" s="4"/>
      <c r="B16" s="22"/>
      <c r="C16" s="23"/>
      <c r="D16" s="23"/>
      <c r="E16" s="23"/>
      <c r="F16" s="23"/>
      <c r="G16" s="23"/>
      <c r="H16" s="23"/>
      <c r="I16" s="23"/>
      <c r="J16" s="23"/>
      <c r="K16" s="2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6"/>
  <dimension ref="A1:L16"/>
  <sheetViews>
    <sheetView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2" x14ac:dyDescent="0.45">
      <c r="A1" s="4" t="s">
        <v>70</v>
      </c>
      <c r="C1" s="4"/>
      <c r="D1" s="4"/>
      <c r="E1" s="4"/>
      <c r="F1" s="4"/>
      <c r="G1" s="4"/>
      <c r="H1" s="4"/>
      <c r="I1" s="4"/>
      <c r="J1" s="4"/>
      <c r="K1" s="4"/>
    </row>
    <row r="2" spans="1:12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</row>
    <row r="3" spans="1:12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기능'!D5</f>
        <v>25.23</v>
      </c>
      <c r="I3" s="15" t="s">
        <v>73</v>
      </c>
      <c r="J3" s="35">
        <f>'통계 및 응시자 수 입력 기능'!C5</f>
        <v>284689</v>
      </c>
      <c r="K3" s="28"/>
    </row>
    <row r="4" spans="1:12" ht="25" customHeight="1" thickBot="1" x14ac:dyDescent="0.5">
      <c r="A4" s="4"/>
      <c r="B4" s="19"/>
      <c r="C4" s="36" t="s">
        <v>74</v>
      </c>
      <c r="D4" s="107" t="s">
        <v>77</v>
      </c>
      <c r="E4" s="108"/>
      <c r="F4" s="109"/>
      <c r="G4" s="37" t="s">
        <v>76</v>
      </c>
      <c r="H4" s="38" t="str">
        <f>'통계 및 응시자 수 입력 기능'!E5</f>
        <v>11.30</v>
      </c>
      <c r="I4" s="16"/>
      <c r="J4" s="29"/>
      <c r="K4" s="28"/>
    </row>
    <row r="5" spans="1:12" ht="25" customHeight="1" thickBot="1" x14ac:dyDescent="0.5">
      <c r="A5" s="4"/>
      <c r="B5" s="19"/>
      <c r="C5" s="29"/>
      <c r="D5" s="29"/>
      <c r="E5" s="29"/>
      <c r="F5" s="29"/>
      <c r="G5" s="110" t="s">
        <v>136</v>
      </c>
      <c r="H5" s="110"/>
      <c r="I5" s="111"/>
      <c r="J5" s="111"/>
      <c r="K5" s="28"/>
    </row>
    <row r="6" spans="1:12" ht="25" customHeight="1" thickBot="1" x14ac:dyDescent="0.5">
      <c r="A6" s="4"/>
      <c r="B6" s="19"/>
      <c r="C6" s="39" t="s">
        <v>78</v>
      </c>
      <c r="D6" s="40" t="s">
        <v>79</v>
      </c>
      <c r="E6" s="41" t="s">
        <v>80</v>
      </c>
      <c r="F6" s="42" t="s">
        <v>81</v>
      </c>
      <c r="G6" s="42" t="s">
        <v>82</v>
      </c>
      <c r="H6" s="43" t="s">
        <v>83</v>
      </c>
      <c r="I6" s="29"/>
      <c r="J6" s="29"/>
      <c r="K6" s="28"/>
      <c r="L6" s="4"/>
    </row>
    <row r="7" spans="1:12" ht="25" customHeight="1" x14ac:dyDescent="0.45">
      <c r="A7" s="4"/>
      <c r="B7" s="19"/>
      <c r="C7" s="62">
        <v>1</v>
      </c>
      <c r="D7" s="63">
        <v>40</v>
      </c>
      <c r="E7" s="46">
        <f>'표준점수 등급컷 입력기능'!D13</f>
        <v>33833</v>
      </c>
      <c r="F7" s="47">
        <f>E7/$J$3</f>
        <v>0.11884196438921069</v>
      </c>
      <c r="G7" s="48">
        <f>SUM($E$7:E7)</f>
        <v>33833</v>
      </c>
      <c r="H7" s="49">
        <f>G7/$J$3</f>
        <v>0.11884196438921069</v>
      </c>
      <c r="I7" s="29"/>
      <c r="J7" s="29"/>
      <c r="K7" s="28"/>
      <c r="L7" s="4"/>
    </row>
    <row r="8" spans="1:12" ht="25" customHeight="1" x14ac:dyDescent="0.45">
      <c r="A8" s="4"/>
      <c r="B8" s="19"/>
      <c r="C8" s="64">
        <v>2</v>
      </c>
      <c r="D8" s="65">
        <v>35</v>
      </c>
      <c r="E8" s="52">
        <f>'표준점수 등급컷 입력기능'!D14</f>
        <v>28032</v>
      </c>
      <c r="F8" s="53">
        <f t="shared" ref="F8:F15" si="0">E8/$J$3</f>
        <v>9.8465342882935417E-2</v>
      </c>
      <c r="G8" s="54">
        <f>SUM($E$7:E8)</f>
        <v>61865</v>
      </c>
      <c r="H8" s="55">
        <f t="shared" ref="H8:H15" si="1">G8/$J$3</f>
        <v>0.21730730727214609</v>
      </c>
      <c r="I8" s="29"/>
      <c r="J8" s="29"/>
      <c r="K8" s="28"/>
      <c r="L8" s="4"/>
    </row>
    <row r="9" spans="1:12" ht="25" customHeight="1" x14ac:dyDescent="0.45">
      <c r="A9" s="4"/>
      <c r="B9" s="19"/>
      <c r="C9" s="64">
        <v>3</v>
      </c>
      <c r="D9" s="65">
        <v>30</v>
      </c>
      <c r="E9" s="52">
        <f>'표준점수 등급컷 입력기능'!D15</f>
        <v>38004</v>
      </c>
      <c r="F9" s="53">
        <f t="shared" si="0"/>
        <v>0.13349303977322621</v>
      </c>
      <c r="G9" s="54">
        <f>SUM($E$7:E9)</f>
        <v>99869</v>
      </c>
      <c r="H9" s="55">
        <f t="shared" si="1"/>
        <v>0.35080034704537233</v>
      </c>
      <c r="I9" s="29"/>
      <c r="J9" s="29"/>
      <c r="K9" s="28"/>
      <c r="L9" s="4"/>
    </row>
    <row r="10" spans="1:12" ht="25" customHeight="1" x14ac:dyDescent="0.45">
      <c r="A10" s="4"/>
      <c r="B10" s="19"/>
      <c r="C10" s="64">
        <v>4</v>
      </c>
      <c r="D10" s="65">
        <v>25</v>
      </c>
      <c r="E10" s="52">
        <f>'표준점수 등급컷 입력기능'!D16</f>
        <v>48272</v>
      </c>
      <c r="F10" s="53">
        <f t="shared" si="0"/>
        <v>0.16956046773847952</v>
      </c>
      <c r="G10" s="54">
        <f>SUM($E$7:E10)</f>
        <v>148141</v>
      </c>
      <c r="H10" s="55">
        <f t="shared" si="1"/>
        <v>0.52036081478385188</v>
      </c>
      <c r="I10" s="29"/>
      <c r="J10" s="29"/>
      <c r="K10" s="28"/>
      <c r="L10" s="4"/>
    </row>
    <row r="11" spans="1:12" ht="25" customHeight="1" x14ac:dyDescent="0.45">
      <c r="A11" s="4"/>
      <c r="B11" s="19"/>
      <c r="C11" s="64">
        <v>5</v>
      </c>
      <c r="D11" s="65">
        <v>20</v>
      </c>
      <c r="E11" s="52">
        <f>'표준점수 등급컷 입력기능'!D17</f>
        <v>45734</v>
      </c>
      <c r="F11" s="53">
        <f t="shared" si="0"/>
        <v>0.16064547629167267</v>
      </c>
      <c r="G11" s="54">
        <f>SUM($E$7:E11)</f>
        <v>193875</v>
      </c>
      <c r="H11" s="55">
        <f t="shared" si="1"/>
        <v>0.68100629107552457</v>
      </c>
      <c r="I11" s="29"/>
      <c r="J11" s="29"/>
      <c r="K11" s="28"/>
      <c r="L11" s="4"/>
    </row>
    <row r="12" spans="1:12" ht="25" customHeight="1" x14ac:dyDescent="0.45">
      <c r="A12" s="4"/>
      <c r="B12" s="19"/>
      <c r="C12" s="64">
        <v>6</v>
      </c>
      <c r="D12" s="65">
        <v>15</v>
      </c>
      <c r="E12" s="52">
        <f>'표준점수 등급컷 입력기능'!D18</f>
        <v>32230</v>
      </c>
      <c r="F12" s="53">
        <f t="shared" si="0"/>
        <v>0.11321125860149145</v>
      </c>
      <c r="G12" s="54">
        <f>SUM($E$7:E12)</f>
        <v>226105</v>
      </c>
      <c r="H12" s="55">
        <f t="shared" si="1"/>
        <v>0.79421754967701597</v>
      </c>
      <c r="I12" s="29"/>
      <c r="J12" s="29"/>
      <c r="K12" s="28"/>
      <c r="L12" s="4"/>
    </row>
    <row r="13" spans="1:12" ht="25" customHeight="1" x14ac:dyDescent="0.45">
      <c r="A13" s="4"/>
      <c r="B13" s="19"/>
      <c r="C13" s="64">
        <v>7</v>
      </c>
      <c r="D13" s="65">
        <v>10</v>
      </c>
      <c r="E13" s="52">
        <f>'표준점수 등급컷 입력기능'!D19</f>
        <v>27282</v>
      </c>
      <c r="F13" s="53">
        <f t="shared" si="0"/>
        <v>9.5830889145699344E-2</v>
      </c>
      <c r="G13" s="54">
        <f>SUM($E$7:E13)</f>
        <v>253387</v>
      </c>
      <c r="H13" s="55">
        <f t="shared" si="1"/>
        <v>0.89004843882271534</v>
      </c>
      <c r="I13" s="29"/>
      <c r="J13" s="29"/>
      <c r="K13" s="28"/>
      <c r="L13" s="4"/>
    </row>
    <row r="14" spans="1:12" ht="25" customHeight="1" x14ac:dyDescent="0.45">
      <c r="A14" s="4"/>
      <c r="B14" s="19"/>
      <c r="C14" s="64">
        <v>8</v>
      </c>
      <c r="D14" s="65">
        <v>5</v>
      </c>
      <c r="E14" s="52">
        <f>'표준점수 등급컷 입력기능'!D20</f>
        <v>28161</v>
      </c>
      <c r="F14" s="53">
        <f t="shared" si="0"/>
        <v>9.8918468925740022E-2</v>
      </c>
      <c r="G14" s="54">
        <f>SUM($E$7:E14)</f>
        <v>281548</v>
      </c>
      <c r="H14" s="55">
        <f t="shared" si="1"/>
        <v>0.9889669077484553</v>
      </c>
      <c r="I14" s="29"/>
      <c r="J14" s="29"/>
      <c r="K14" s="28"/>
      <c r="L14" s="4"/>
    </row>
    <row r="15" spans="1:12" ht="25" customHeight="1" thickBot="1" x14ac:dyDescent="0.5">
      <c r="A15" s="4"/>
      <c r="B15" s="19"/>
      <c r="C15" s="66">
        <v>9</v>
      </c>
      <c r="D15" s="67">
        <v>0</v>
      </c>
      <c r="E15" s="58">
        <f>'표준점수 등급컷 입력기능'!D21</f>
        <v>3141</v>
      </c>
      <c r="F15" s="59">
        <f t="shared" si="0"/>
        <v>1.1033092251544668E-2</v>
      </c>
      <c r="G15" s="60">
        <f>SUM($E$7:E15)</f>
        <v>284689</v>
      </c>
      <c r="H15" s="61">
        <f t="shared" si="1"/>
        <v>1</v>
      </c>
      <c r="I15" s="29"/>
      <c r="J15" s="29"/>
      <c r="K15" s="28"/>
      <c r="L15" s="4"/>
    </row>
    <row r="16" spans="1:12" ht="6" customHeight="1" x14ac:dyDescent="0.45">
      <c r="A16" s="4"/>
      <c r="B16" s="22"/>
      <c r="C16" s="23"/>
      <c r="D16" s="23"/>
      <c r="E16" s="23"/>
      <c r="F16" s="23"/>
      <c r="G16" s="23"/>
      <c r="H16" s="23"/>
      <c r="I16" s="23"/>
      <c r="J16" s="23"/>
      <c r="K16" s="2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7"/>
  <dimension ref="A1:Q105"/>
  <sheetViews>
    <sheetView zoomScale="70" zoomScaleNormal="7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기능'!D6</f>
        <v>23.06</v>
      </c>
      <c r="I3" s="15" t="s">
        <v>84</v>
      </c>
      <c r="J3" s="35">
        <f>'통계 및 응시자 수 입력 기능'!C6</f>
        <v>101272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86</v>
      </c>
      <c r="E4" s="108"/>
      <c r="F4" s="109"/>
      <c r="G4" s="37" t="s">
        <v>87</v>
      </c>
      <c r="H4" s="38" t="str">
        <f>'통계 및 응시자 수 입력 기능'!E6</f>
        <v>11.07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74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99.77</v>
      </c>
      <c r="G7" s="72">
        <f>_xlfn.IFNA(VLOOKUP(D7,'인원 입력 기능 (사과탐)'!$A$5:$D$53,4,FALSE),0)</f>
        <v>471</v>
      </c>
      <c r="H7" s="73">
        <f>G7/$J$3</f>
        <v>4.6508412986807808E-3</v>
      </c>
      <c r="I7" s="74">
        <f>G7</f>
        <v>471</v>
      </c>
      <c r="J7" s="75">
        <f>I7/$J$3</f>
        <v>4.6508412986807808E-3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입력기능'!C22</f>
        <v>69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입력기능'!C23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73</v>
      </c>
      <c r="E9" s="70">
        <f t="shared" si="0"/>
        <v>1</v>
      </c>
      <c r="F9" s="71">
        <f>IF(I8=0,ROUND(100*(1-(I7+I9)/2/$J$3),2),ROUND(100*(1-(I8+I9)/2/$J$3),2))</f>
        <v>99.5</v>
      </c>
      <c r="G9" s="72">
        <f>_xlfn.IFNA(VLOOKUP(D9,'인원 입력 기능 (사과탐)'!$A$5:$D$53,4,FALSE),0)</f>
        <v>61</v>
      </c>
      <c r="H9" s="73">
        <f>G9/$J$3</f>
        <v>6.0233825736630069E-4</v>
      </c>
      <c r="I9" s="77">
        <f>SUM($G$7:G9)</f>
        <v>532</v>
      </c>
      <c r="J9" s="75">
        <f>I9/$J$3</f>
        <v>5.253179556047081E-3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입력기능'!C24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72</v>
      </c>
      <c r="E10" s="70">
        <f t="shared" si="0"/>
        <v>1</v>
      </c>
      <c r="F10" s="71">
        <f t="shared" ref="F10:F55" si="3">IF(I9=0,ROUND(100*(1-(I8+I10)/2/$J$3),2),ROUND(100*(1-(I9+I10)/2/$J$3),2))</f>
        <v>98.71</v>
      </c>
      <c r="G10" s="72">
        <f>IF(D10=D9,"",_xlfn.IFNA(VLOOKUP(D10,'인원 입력 기능 (사과탐)'!$A$5:$D$53,4,FALSE),0))</f>
        <v>1544</v>
      </c>
      <c r="H10" s="73">
        <f t="shared" ref="H10:H55" si="4">G10/$J$3</f>
        <v>1.5246069989730627E-2</v>
      </c>
      <c r="I10" s="77">
        <f>SUM($G$7:G10)</f>
        <v>2076</v>
      </c>
      <c r="J10" s="75">
        <f t="shared" ref="J10:J55" si="5">I10/$J$3</f>
        <v>2.0499249545777708E-2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입력기능'!C25</f>
        <v>52</v>
      </c>
    </row>
    <row r="11" spans="1:17" ht="25" customHeight="1" x14ac:dyDescent="0.45">
      <c r="A11" s="4"/>
      <c r="B11" s="19"/>
      <c r="C11" s="69">
        <v>46</v>
      </c>
      <c r="D11" s="70">
        <f t="shared" si="2"/>
        <v>71</v>
      </c>
      <c r="E11" s="70">
        <f t="shared" si="0"/>
        <v>1</v>
      </c>
      <c r="F11" s="71">
        <f t="shared" si="3"/>
        <v>97.95</v>
      </c>
      <c r="G11" s="72">
        <f>IF(D11=D10,"",_xlfn.IFNA(VLOOKUP(D11,'인원 입력 기능 (사과탐)'!$A$5:$D$53,4,FALSE),0))</f>
        <v>7</v>
      </c>
      <c r="H11" s="73">
        <f t="shared" si="4"/>
        <v>6.912078363219844E-5</v>
      </c>
      <c r="I11" s="77">
        <f>SUM($G$7:G11)</f>
        <v>2083</v>
      </c>
      <c r="J11" s="75">
        <f t="shared" si="5"/>
        <v>2.0568370329409905E-2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입력기능'!C26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70</v>
      </c>
      <c r="E12" s="70">
        <f t="shared" si="0"/>
        <v>1</v>
      </c>
      <c r="F12" s="71">
        <f t="shared" si="3"/>
        <v>97.79</v>
      </c>
      <c r="G12" s="72">
        <f>IF(D12=D11,"",_xlfn.IFNA(VLOOKUP(D12,'인원 입력 기능 (사과탐)'!$A$5:$D$53,4,FALSE),0))</f>
        <v>320</v>
      </c>
      <c r="H12" s="73">
        <f t="shared" si="4"/>
        <v>3.1598072517576427E-3</v>
      </c>
      <c r="I12" s="77">
        <f>SUM($G$7:G12)</f>
        <v>2403</v>
      </c>
      <c r="J12" s="75">
        <f t="shared" si="5"/>
        <v>2.3728177581167548E-2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입력기능'!C27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69</v>
      </c>
      <c r="E13" s="70">
        <f t="shared" si="0"/>
        <v>1</v>
      </c>
      <c r="F13" s="71">
        <f t="shared" si="3"/>
        <v>96.43</v>
      </c>
      <c r="G13" s="72">
        <f>IF(D13=D12,"",_xlfn.IFNA(VLOOKUP(D13,'인원 입력 기능 (사과탐)'!$A$5:$D$53,4,FALSE),0))</f>
        <v>2424</v>
      </c>
      <c r="H13" s="73">
        <f t="shared" si="4"/>
        <v>2.3935539932064143E-2</v>
      </c>
      <c r="I13" s="77">
        <f>SUM($G$7:G13)</f>
        <v>4827</v>
      </c>
      <c r="J13" s="75">
        <f t="shared" si="5"/>
        <v>4.7663717513231695E-2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입력기능'!C28</f>
        <v>36</v>
      </c>
    </row>
    <row r="14" spans="1:17" ht="25" customHeight="1" x14ac:dyDescent="0.45">
      <c r="A14" s="4"/>
      <c r="B14" s="19"/>
      <c r="C14" s="76">
        <v>43</v>
      </c>
      <c r="D14" s="70">
        <f t="shared" si="2"/>
        <v>68</v>
      </c>
      <c r="E14" s="70">
        <f t="shared" si="0"/>
        <v>2</v>
      </c>
      <c r="F14" s="71">
        <f t="shared" si="3"/>
        <v>95.2</v>
      </c>
      <c r="G14" s="72">
        <f>IF(D14=D13,"",_xlfn.IFNA(VLOOKUP(D14,'인원 입력 기능 (사과탐)'!$A$5:$D$53,4,FALSE),0))</f>
        <v>64</v>
      </c>
      <c r="H14" s="73">
        <f t="shared" si="4"/>
        <v>6.3196145035152853E-4</v>
      </c>
      <c r="I14" s="77">
        <f>SUM($G$7:G14)</f>
        <v>4891</v>
      </c>
      <c r="J14" s="75">
        <f t="shared" si="5"/>
        <v>4.8295678963583222E-2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입력기능'!C29</f>
        <v>35</v>
      </c>
    </row>
    <row r="15" spans="1:17" ht="25" customHeight="1" x14ac:dyDescent="0.45">
      <c r="A15" s="4"/>
      <c r="B15" s="19"/>
      <c r="C15" s="69">
        <v>42</v>
      </c>
      <c r="D15" s="70">
        <f t="shared" si="2"/>
        <v>67</v>
      </c>
      <c r="E15" s="70">
        <f t="shared" si="0"/>
        <v>2</v>
      </c>
      <c r="F15" s="71">
        <f t="shared" si="3"/>
        <v>94.74</v>
      </c>
      <c r="G15" s="72">
        <f>IF(D15=D14,"",_xlfn.IFNA(VLOOKUP(D15,'인원 입력 기능 (사과탐)'!$A$5:$D$53,4,FALSE),0))</f>
        <v>875</v>
      </c>
      <c r="H15" s="73">
        <f t="shared" si="4"/>
        <v>8.6400979540248047E-3</v>
      </c>
      <c r="I15" s="77">
        <f>SUM($G$7:G15)</f>
        <v>5766</v>
      </c>
      <c r="J15" s="75">
        <f t="shared" si="5"/>
        <v>5.6935776917608025E-2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92.92</v>
      </c>
      <c r="G16" s="72">
        <f>IF(D16=D15,"",_xlfn.IFNA(VLOOKUP(D16,'인원 입력 기능 (사과탐)'!$A$5:$D$53,4,FALSE),0))</f>
        <v>2801</v>
      </c>
      <c r="H16" s="73">
        <f t="shared" si="4"/>
        <v>2.7658187850541117E-2</v>
      </c>
      <c r="I16" s="77">
        <f>SUM($G$7:G16)</f>
        <v>8567</v>
      </c>
      <c r="J16" s="75">
        <f t="shared" si="5"/>
        <v>8.4593964768149149E-2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91.41</v>
      </c>
      <c r="G17" s="72">
        <f>IF(D17=D16,"",_xlfn.IFNA(VLOOKUP(D17,'인원 입력 기능 (사과탐)'!$A$5:$D$53,4,FALSE),0))</f>
        <v>257</v>
      </c>
      <c r="H17" s="73">
        <f t="shared" si="4"/>
        <v>2.5377201990678571E-3</v>
      </c>
      <c r="I17" s="77">
        <f>SUM($G$7:G17)</f>
        <v>8824</v>
      </c>
      <c r="J17" s="75">
        <f t="shared" si="5"/>
        <v>8.7131684967217002E-2</v>
      </c>
      <c r="K17" s="28"/>
      <c r="L17" s="5" t="str">
        <f t="shared" si="1"/>
        <v/>
      </c>
      <c r="N17" s="1"/>
      <c r="P17" s="1">
        <f>Q7*H3*H4*J3*IFERROR(IF(J57=1, 1, 0), 0)</f>
        <v>1783796885.9856</v>
      </c>
    </row>
    <row r="18" spans="1:16" ht="25" customHeight="1" x14ac:dyDescent="0.45">
      <c r="A18" s="4"/>
      <c r="B18" s="19"/>
      <c r="C18" s="76">
        <v>39</v>
      </c>
      <c r="D18" s="121">
        <f t="shared" si="2"/>
        <v>64</v>
      </c>
      <c r="E18" s="121">
        <f t="shared" si="0"/>
        <v>2</v>
      </c>
      <c r="F18" s="155">
        <f t="shared" si="3"/>
        <v>89.16</v>
      </c>
      <c r="G18" s="157">
        <f>IF(D18=D17,"",_xlfn.IFNA(VLOOKUP(D18,'인원 입력 기능 (사과탐)'!$A$5:$D$53,4,FALSE),0))</f>
        <v>4315</v>
      </c>
      <c r="H18" s="158">
        <f t="shared" si="4"/>
        <v>4.2608025910419463E-2</v>
      </c>
      <c r="I18" s="160">
        <f>SUM($G$7:G18)</f>
        <v>13139</v>
      </c>
      <c r="J18" s="162">
        <f t="shared" si="5"/>
        <v>0.12973971087763647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22"/>
      <c r="E19" s="122"/>
      <c r="F19" s="125"/>
      <c r="G19" s="156"/>
      <c r="H19" s="159"/>
      <c r="I19" s="161"/>
      <c r="J19" s="163"/>
      <c r="K19" s="28"/>
      <c r="L19" s="5" t="str">
        <f t="shared" si="1"/>
        <v>경고</v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63</v>
      </c>
      <c r="E20" s="70">
        <f t="shared" si="0"/>
        <v>3</v>
      </c>
      <c r="F20" s="71">
        <f t="shared" si="3"/>
        <v>86.74</v>
      </c>
      <c r="G20" s="72">
        <f>IF(D20=D19,"",_xlfn.IFNA(VLOOKUP(D20,'인원 입력 기능 (사과탐)'!$A$5:$D$53,4,FALSE),0))</f>
        <v>589</v>
      </c>
      <c r="H20" s="73">
        <f t="shared" si="4"/>
        <v>5.8160202227664111E-3</v>
      </c>
      <c r="I20" s="77">
        <f>SUM($G$7:G20)</f>
        <v>13728</v>
      </c>
      <c r="J20" s="75">
        <f t="shared" si="5"/>
        <v>0.13555573110040287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62</v>
      </c>
      <c r="E21" s="79">
        <f t="shared" si="0"/>
        <v>3</v>
      </c>
      <c r="F21" s="71">
        <f t="shared" si="3"/>
        <v>85.33</v>
      </c>
      <c r="G21" s="72">
        <f>IF(D21=D20,"",_xlfn.IFNA(VLOOKUP(D21,'인원 입력 기능 (사과탐)'!$A$5:$D$53,4,FALSE),0))</f>
        <v>2253</v>
      </c>
      <c r="H21" s="73">
        <f t="shared" si="4"/>
        <v>2.2247017931906154E-2</v>
      </c>
      <c r="I21" s="77">
        <f>SUM($G$7:G21)</f>
        <v>15981</v>
      </c>
      <c r="J21" s="75">
        <f t="shared" si="5"/>
        <v>0.15780274903230904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61</v>
      </c>
      <c r="E22" s="79">
        <f t="shared" si="0"/>
        <v>3</v>
      </c>
      <c r="F22" s="71">
        <f t="shared" si="3"/>
        <v>83</v>
      </c>
      <c r="G22" s="72">
        <f>IF(D22=D21,"",_xlfn.IFNA(VLOOKUP(D22,'인원 입력 기능 (사과탐)'!$A$5:$D$53,4,FALSE),0))</f>
        <v>2477</v>
      </c>
      <c r="H22" s="73">
        <f t="shared" si="4"/>
        <v>2.4458883008136503E-2</v>
      </c>
      <c r="I22" s="77">
        <f>SUM($G$7:G22)</f>
        <v>18458</v>
      </c>
      <c r="J22" s="75">
        <f t="shared" si="5"/>
        <v>0.18226163204044554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60</v>
      </c>
      <c r="E23" s="79">
        <f t="shared" si="0"/>
        <v>3</v>
      </c>
      <c r="F23" s="71">
        <f t="shared" si="3"/>
        <v>81.2</v>
      </c>
      <c r="G23" s="72">
        <f>IF(D23=D22,"",_xlfn.IFNA(VLOOKUP(D23,'인원 입력 기능 (사과탐)'!$A$5:$D$53,4,FALSE),0))</f>
        <v>1161</v>
      </c>
      <c r="H23" s="73">
        <f t="shared" si="4"/>
        <v>1.1464175685283198E-2</v>
      </c>
      <c r="I23" s="77">
        <f>SUM($G$7:G23)</f>
        <v>19619</v>
      </c>
      <c r="J23" s="75">
        <f t="shared" si="5"/>
        <v>0.19372580772572873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79.239999999999995</v>
      </c>
      <c r="G24" s="72">
        <f>IF(D24=D23,"",_xlfn.IFNA(VLOOKUP(D24,'인원 입력 기능 (사과탐)'!$A$5:$D$53,4,FALSE),0))</f>
        <v>2820</v>
      </c>
      <c r="H24" s="73">
        <f t="shared" si="4"/>
        <v>2.7845801406114225E-2</v>
      </c>
      <c r="I24" s="77">
        <f>SUM($G$7:G24)</f>
        <v>22439</v>
      </c>
      <c r="J24" s="75">
        <f t="shared" si="5"/>
        <v>0.22157160913184296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58</v>
      </c>
      <c r="E25" s="79">
        <f t="shared" si="0"/>
        <v>3</v>
      </c>
      <c r="F25" s="71">
        <f t="shared" si="3"/>
        <v>76.709999999999994</v>
      </c>
      <c r="G25" s="72">
        <f>IF(D25=D24,"",_xlfn.IFNA(VLOOKUP(D25,'인원 입력 기능 (사과탐)'!$A$5:$D$53,4,FALSE),0))</f>
        <v>2296</v>
      </c>
      <c r="H25" s="73">
        <f t="shared" si="4"/>
        <v>2.2671617031361085E-2</v>
      </c>
      <c r="I25" s="77">
        <f>SUM($G$7:G25)</f>
        <v>24735</v>
      </c>
      <c r="J25" s="75">
        <f t="shared" si="5"/>
        <v>0.24424322616320404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57</v>
      </c>
      <c r="E26" s="79">
        <f t="shared" si="0"/>
        <v>4</v>
      </c>
      <c r="F26" s="71">
        <f t="shared" si="3"/>
        <v>74.61</v>
      </c>
      <c r="G26" s="72">
        <f>IF(D26=D25,"",_xlfn.IFNA(VLOOKUP(D26,'인원 입력 기능 (사과탐)'!$A$5:$D$53,4,FALSE),0))</f>
        <v>1948</v>
      </c>
      <c r="H26" s="73">
        <f t="shared" si="4"/>
        <v>1.923532664507465E-2</v>
      </c>
      <c r="I26" s="77">
        <f>SUM($G$7:G26)</f>
        <v>26683</v>
      </c>
      <c r="J26" s="75">
        <f t="shared" si="5"/>
        <v>0.2634785528082787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56</v>
      </c>
      <c r="E27" s="79">
        <f t="shared" si="0"/>
        <v>4</v>
      </c>
      <c r="F27" s="71">
        <f t="shared" si="3"/>
        <v>72.150000000000006</v>
      </c>
      <c r="G27" s="72">
        <f>IF(D27=D26,"",_xlfn.IFNA(VLOOKUP(D27,'인원 입력 기능 (사과탐)'!$A$5:$D$53,4,FALSE),0))</f>
        <v>3051</v>
      </c>
      <c r="H27" s="73">
        <f t="shared" si="4"/>
        <v>3.0126787265976774E-2</v>
      </c>
      <c r="I27" s="77">
        <f>SUM($G$7:G27)</f>
        <v>29734</v>
      </c>
      <c r="J27" s="75">
        <f t="shared" si="5"/>
        <v>0.29360534007425548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69.489999999999995</v>
      </c>
      <c r="G28" s="72">
        <f>IF(D28=D27,"",_xlfn.IFNA(VLOOKUP(D28,'인원 입력 기능 (사과탐)'!$A$5:$D$53,4,FALSE),0))</f>
        <v>2324</v>
      </c>
      <c r="H28" s="73">
        <f t="shared" si="4"/>
        <v>2.2948100165889881E-2</v>
      </c>
      <c r="I28" s="77">
        <f>SUM($G$7:G28)</f>
        <v>32058</v>
      </c>
      <c r="J28" s="75">
        <f t="shared" si="5"/>
        <v>0.31655344024014537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65">
        <f t="shared" si="2"/>
        <v>54</v>
      </c>
      <c r="E29" s="165">
        <f t="shared" si="0"/>
        <v>4</v>
      </c>
      <c r="F29" s="155">
        <f t="shared" si="3"/>
        <v>65.48</v>
      </c>
      <c r="G29" s="157">
        <f>IF(D29=D28,"",_xlfn.IFNA(VLOOKUP(D29,'인원 입력 기능 (사과탐)'!$A$5:$D$53,4,FALSE),0))</f>
        <v>5796</v>
      </c>
      <c r="H29" s="158">
        <f t="shared" si="4"/>
        <v>5.7232008847460304E-2</v>
      </c>
      <c r="I29" s="160">
        <f>SUM($G$7:G29)</f>
        <v>37854</v>
      </c>
      <c r="J29" s="162">
        <f t="shared" si="5"/>
        <v>0.37378544908760564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64"/>
      <c r="E30" s="164"/>
      <c r="F30" s="125"/>
      <c r="G30" s="156"/>
      <c r="H30" s="159"/>
      <c r="I30" s="161"/>
      <c r="J30" s="163"/>
      <c r="K30" s="28"/>
      <c r="L30" s="5" t="str">
        <f t="shared" si="1"/>
        <v>경고</v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53</v>
      </c>
      <c r="E31" s="79">
        <f t="shared" si="0"/>
        <v>4</v>
      </c>
      <c r="F31" s="71">
        <f t="shared" si="3"/>
        <v>61.32</v>
      </c>
      <c r="G31" s="72">
        <f>IF(D31=D30,"",_xlfn.IFNA(VLOOKUP(D31,'인원 입력 기능 (사과탐)'!$A$5:$D$53,4,FALSE),0))</f>
        <v>2631</v>
      </c>
      <c r="H31" s="73">
        <f t="shared" si="4"/>
        <v>2.5979540248044868E-2</v>
      </c>
      <c r="I31" s="77">
        <f>SUM($G$7:G31)</f>
        <v>40485</v>
      </c>
      <c r="J31" s="75">
        <f t="shared" si="5"/>
        <v>0.39976498933565052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52</v>
      </c>
      <c r="E32" s="79">
        <f t="shared" si="0"/>
        <v>4</v>
      </c>
      <c r="F32" s="71">
        <f t="shared" si="3"/>
        <v>58.42</v>
      </c>
      <c r="G32" s="72">
        <f>IF(D32=D31,"",_xlfn.IFNA(VLOOKUP(D32,'인원 입력 기능 (사과탐)'!$A$5:$D$53,4,FALSE),0))</f>
        <v>3255</v>
      </c>
      <c r="H32" s="73">
        <f t="shared" si="4"/>
        <v>3.2141164388972271E-2</v>
      </c>
      <c r="I32" s="77">
        <f>SUM($G$7:G32)</f>
        <v>43740</v>
      </c>
      <c r="J32" s="75">
        <f t="shared" si="5"/>
        <v>0.43190615372462282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51</v>
      </c>
      <c r="E33" s="79">
        <f t="shared" si="0"/>
        <v>5</v>
      </c>
      <c r="F33" s="71">
        <f t="shared" si="3"/>
        <v>55.39</v>
      </c>
      <c r="G33" s="72">
        <f>IF(D33=D32,"",_xlfn.IFNA(VLOOKUP(D33,'인원 입력 기능 (사과탐)'!$A$5:$D$53,4,FALSE),0))</f>
        <v>2865</v>
      </c>
      <c r="H33" s="73">
        <f t="shared" si="4"/>
        <v>2.8290149300892645E-2</v>
      </c>
      <c r="I33" s="77">
        <f>SUM($G$7:G33)</f>
        <v>46605</v>
      </c>
      <c r="J33" s="75">
        <f t="shared" si="5"/>
        <v>0.46019630302551545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52.45</v>
      </c>
      <c r="G34" s="72">
        <f>IF(D34=D33,"",_xlfn.IFNA(VLOOKUP(D34,'인원 입력 기능 (사과탐)'!$A$5:$D$53,4,FALSE),0))</f>
        <v>3109</v>
      </c>
      <c r="H34" s="73">
        <f t="shared" si="4"/>
        <v>3.0699502330357849E-2</v>
      </c>
      <c r="I34" s="77">
        <f>SUM($G$7:G34)</f>
        <v>49714</v>
      </c>
      <c r="J34" s="75">
        <f t="shared" si="5"/>
        <v>0.49089580535587329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49.33</v>
      </c>
      <c r="G35" s="72">
        <f>IF(D35=D34,"",_xlfn.IFNA(VLOOKUP(D35,'인원 입력 기능 (사과탐)'!$A$5:$D$53,4,FALSE),0))</f>
        <v>3210</v>
      </c>
      <c r="H35" s="73">
        <f t="shared" si="4"/>
        <v>3.1696816494193855E-2</v>
      </c>
      <c r="I35" s="77">
        <f>SUM($G$7:G35)</f>
        <v>52924</v>
      </c>
      <c r="J35" s="75">
        <f t="shared" si="5"/>
        <v>0.52259262185006716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46.27</v>
      </c>
      <c r="G36" s="72">
        <f>IF(D36=D35,"",_xlfn.IFNA(VLOOKUP(D36,'인원 입력 기능 (사과탐)'!$A$5:$D$53,4,FALSE),0))</f>
        <v>2978</v>
      </c>
      <c r="H36" s="73">
        <f t="shared" si="4"/>
        <v>2.9405956236669563E-2</v>
      </c>
      <c r="I36" s="77">
        <f>SUM($G$7:G36)</f>
        <v>55902</v>
      </c>
      <c r="J36" s="75">
        <f t="shared" si="5"/>
        <v>0.55199857808673669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47</v>
      </c>
      <c r="E37" s="79">
        <f t="shared" si="0"/>
        <v>5</v>
      </c>
      <c r="F37" s="71">
        <f t="shared" si="3"/>
        <v>43.2</v>
      </c>
      <c r="G37" s="72">
        <f>IF(D37=D36,"",_xlfn.IFNA(VLOOKUP(D37,'인원 입력 기능 (사과탐)'!$A$5:$D$53,4,FALSE),0))</f>
        <v>3242</v>
      </c>
      <c r="H37" s="73">
        <f t="shared" si="4"/>
        <v>3.2012797219369615E-2</v>
      </c>
      <c r="I37" s="77">
        <f>SUM($G$7:G37)</f>
        <v>59144</v>
      </c>
      <c r="J37" s="75">
        <f t="shared" si="5"/>
        <v>0.58401137530610636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46</v>
      </c>
      <c r="E38" s="79">
        <f t="shared" si="0"/>
        <v>5</v>
      </c>
      <c r="F38" s="71">
        <f t="shared" si="3"/>
        <v>40.1</v>
      </c>
      <c r="G38" s="72">
        <f>IF(D38=D37,"",_xlfn.IFNA(VLOOKUP(D38,'인원 입력 기능 (사과탐)'!$A$5:$D$53,4,FALSE),0))</f>
        <v>3036</v>
      </c>
      <c r="H38" s="73">
        <f t="shared" si="4"/>
        <v>2.9978671301050634E-2</v>
      </c>
      <c r="I38" s="77">
        <f>SUM($G$7:G38)</f>
        <v>62180</v>
      </c>
      <c r="J38" s="75">
        <f t="shared" si="5"/>
        <v>0.61399004660715695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165">
        <f t="shared" si="2"/>
        <v>45</v>
      </c>
      <c r="E39" s="165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55">
        <f t="shared" si="3"/>
        <v>35.58</v>
      </c>
      <c r="G39" s="157">
        <f>IF(D39=D38,"",_xlfn.IFNA(VLOOKUP(D39,'인원 입력 기능 (사과탐)'!$A$5:$D$53,4,FALSE),0))</f>
        <v>6112</v>
      </c>
      <c r="H39" s="158">
        <f t="shared" si="4"/>
        <v>6.0352318508570979E-2</v>
      </c>
      <c r="I39" s="160">
        <f>SUM($G$7:G39)</f>
        <v>68292</v>
      </c>
      <c r="J39" s="162">
        <f t="shared" si="5"/>
        <v>0.67434236511572798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164"/>
      <c r="E40" s="164"/>
      <c r="F40" s="125"/>
      <c r="G40" s="156"/>
      <c r="H40" s="159"/>
      <c r="I40" s="161"/>
      <c r="J40" s="163"/>
      <c r="K40" s="28"/>
      <c r="L40" s="5" t="str">
        <f t="shared" si="1"/>
        <v>경고</v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44</v>
      </c>
      <c r="E41" s="79">
        <f t="shared" si="6"/>
        <v>6</v>
      </c>
      <c r="F41" s="71">
        <f t="shared" si="3"/>
        <v>31.22</v>
      </c>
      <c r="G41" s="72">
        <f>IF(D41=D40,"",_xlfn.IFNA(VLOOKUP(D41,'인원 입력 기능 (사과탐)'!$A$5:$D$53,4,FALSE),0))</f>
        <v>2733</v>
      </c>
      <c r="H41" s="73">
        <f t="shared" si="4"/>
        <v>2.6986728809542618E-2</v>
      </c>
      <c r="I41" s="77">
        <f>SUM($G$7:G41)</f>
        <v>71025</v>
      </c>
      <c r="J41" s="75">
        <f t="shared" si="5"/>
        <v>0.70132909392527054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43</v>
      </c>
      <c r="E42" s="79">
        <f t="shared" si="6"/>
        <v>6</v>
      </c>
      <c r="F42" s="71">
        <f t="shared" si="3"/>
        <v>27.25</v>
      </c>
      <c r="G42" s="72">
        <f>IF(D42=D41,"",_xlfn.IFNA(VLOOKUP(D42,'인원 입력 기능 (사과탐)'!$A$5:$D$53,4,FALSE),0))</f>
        <v>5294</v>
      </c>
      <c r="H42" s="73">
        <f t="shared" si="4"/>
        <v>5.2275061221265504E-2</v>
      </c>
      <c r="I42" s="77">
        <f>SUM($G$7:G42)</f>
        <v>76319</v>
      </c>
      <c r="J42" s="75">
        <f t="shared" si="5"/>
        <v>0.75360415514653611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42</v>
      </c>
      <c r="E43" s="79">
        <f t="shared" si="6"/>
        <v>6</v>
      </c>
      <c r="F43" s="71">
        <f t="shared" si="3"/>
        <v>23.44</v>
      </c>
      <c r="G43" s="72">
        <f>IF(D43=D42,"",_xlfn.IFNA(VLOOKUP(D43,'인원 입력 기능 (사과탐)'!$A$5:$D$53,4,FALSE),0))</f>
        <v>2435</v>
      </c>
      <c r="H43" s="73">
        <f t="shared" si="4"/>
        <v>2.4044158306343311E-2</v>
      </c>
      <c r="I43" s="77">
        <f>SUM($G$7:G43)</f>
        <v>78754</v>
      </c>
      <c r="J43" s="75">
        <f t="shared" si="5"/>
        <v>0.77764831345287933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41</v>
      </c>
      <c r="E44" s="79">
        <f t="shared" si="6"/>
        <v>7</v>
      </c>
      <c r="F44" s="71">
        <f t="shared" si="3"/>
        <v>21.09</v>
      </c>
      <c r="G44" s="72">
        <f>IF(D44=D43,"",_xlfn.IFNA(VLOOKUP(D44,'인원 입력 기능 (사과탐)'!$A$5:$D$53,4,FALSE),0))</f>
        <v>2326</v>
      </c>
      <c r="H44" s="73">
        <f t="shared" si="4"/>
        <v>2.2967848961213365E-2</v>
      </c>
      <c r="I44" s="77">
        <f>SUM($G$7:G44)</f>
        <v>81080</v>
      </c>
      <c r="J44" s="75">
        <f t="shared" si="5"/>
        <v>0.80061616241409272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40</v>
      </c>
      <c r="E45" s="79">
        <f t="shared" si="6"/>
        <v>7</v>
      </c>
      <c r="F45" s="71">
        <f t="shared" si="3"/>
        <v>18.93</v>
      </c>
      <c r="G45" s="72">
        <f>IF(D45=D44,"",_xlfn.IFNA(VLOOKUP(D45,'인원 입력 기능 (사과탐)'!$A$5:$D$53,4,FALSE),0))</f>
        <v>2044</v>
      </c>
      <c r="H45" s="73">
        <f t="shared" si="4"/>
        <v>2.0183268820601945E-2</v>
      </c>
      <c r="I45" s="77">
        <f>SUM($G$7:G45)</f>
        <v>83124</v>
      </c>
      <c r="J45" s="75">
        <f t="shared" si="5"/>
        <v>0.82079943123469468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39</v>
      </c>
      <c r="E46" s="79">
        <f t="shared" si="6"/>
        <v>7</v>
      </c>
      <c r="F46" s="71">
        <f t="shared" si="3"/>
        <v>16.66</v>
      </c>
      <c r="G46" s="72">
        <f>IF(D46=D45,"",_xlfn.IFNA(VLOOKUP(D46,'인원 입력 기능 (사과탐)'!$A$5:$D$53,4,FALSE),0))</f>
        <v>2560</v>
      </c>
      <c r="H46" s="73">
        <f t="shared" si="4"/>
        <v>2.5278458014061141E-2</v>
      </c>
      <c r="I46" s="77">
        <f>SUM($G$7:G46)</f>
        <v>85684</v>
      </c>
      <c r="J46" s="75">
        <f t="shared" si="5"/>
        <v>0.84607788924875582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38</v>
      </c>
      <c r="E47" s="79">
        <f t="shared" si="6"/>
        <v>7</v>
      </c>
      <c r="F47" s="71">
        <f t="shared" si="3"/>
        <v>14.49</v>
      </c>
      <c r="G47" s="72">
        <f>IF(D47=D46,"",_xlfn.IFNA(VLOOKUP(D47,'인원 입력 기능 (사과탐)'!$A$5:$D$53,4,FALSE),0))</f>
        <v>1832</v>
      </c>
      <c r="H47" s="73">
        <f t="shared" si="4"/>
        <v>1.8089896516312504E-2</v>
      </c>
      <c r="I47" s="77">
        <f>SUM($G$7:G47)</f>
        <v>87516</v>
      </c>
      <c r="J47" s="75">
        <f t="shared" si="5"/>
        <v>0.86416778576506836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37</v>
      </c>
      <c r="E48" s="79">
        <f t="shared" si="6"/>
        <v>7</v>
      </c>
      <c r="F48" s="71">
        <f t="shared" si="3"/>
        <v>12.42</v>
      </c>
      <c r="G48" s="72">
        <f>IF(D48=D47,"",_xlfn.IFNA(VLOOKUP(D48,'인원 입력 기능 (사과탐)'!$A$5:$D$53,4,FALSE),0))</f>
        <v>2352</v>
      </c>
      <c r="H48" s="73">
        <f t="shared" si="4"/>
        <v>2.3224583300418676E-2</v>
      </c>
      <c r="I48" s="77">
        <f>SUM($G$7:G48)</f>
        <v>89868</v>
      </c>
      <c r="J48" s="75">
        <f t="shared" si="5"/>
        <v>0.88739236906548702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36</v>
      </c>
      <c r="E49" s="79">
        <f t="shared" si="6"/>
        <v>7</v>
      </c>
      <c r="F49" s="71">
        <f t="shared" si="3"/>
        <v>8.1999999999999993</v>
      </c>
      <c r="G49" s="72">
        <f>IF(D49=D48,"",_xlfn.IFNA(VLOOKUP(D49,'인원 입력 기능 (사과탐)'!$A$5:$D$53,4,FALSE),0))</f>
        <v>6200</v>
      </c>
      <c r="H49" s="73">
        <f t="shared" si="4"/>
        <v>6.122126550280433E-2</v>
      </c>
      <c r="I49" s="77">
        <f>SUM($G$7:G49)</f>
        <v>96068</v>
      </c>
      <c r="J49" s="75">
        <f t="shared" si="5"/>
        <v>0.94861363456829129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65">
        <f t="shared" si="2"/>
        <v>35</v>
      </c>
      <c r="E50" s="165">
        <f t="shared" si="6"/>
        <v>8</v>
      </c>
      <c r="F50" s="155">
        <f t="shared" si="3"/>
        <v>3.65</v>
      </c>
      <c r="G50" s="157">
        <f>IF(D50=D49,"",_xlfn.IFNA(VLOOKUP(D50,'인원 입력 기능 (사과탐)'!$A$5:$D$53,4,FALSE),0))</f>
        <v>3016</v>
      </c>
      <c r="H50" s="158">
        <f t="shared" si="4"/>
        <v>2.9781183347815782E-2</v>
      </c>
      <c r="I50" s="160">
        <f>SUM($G$7:G50)</f>
        <v>99084</v>
      </c>
      <c r="J50" s="162">
        <f t="shared" si="5"/>
        <v>0.97839481791610716</v>
      </c>
      <c r="K50" s="28"/>
      <c r="L50" s="5" t="str">
        <f t="shared" si="1"/>
        <v>경고</v>
      </c>
      <c r="N50" s="1"/>
    </row>
    <row r="51" spans="1:14" ht="25" customHeight="1" x14ac:dyDescent="0.45">
      <c r="A51" s="4"/>
      <c r="B51" s="19"/>
      <c r="C51" s="78">
        <v>6</v>
      </c>
      <c r="D51" s="164"/>
      <c r="E51" s="164"/>
      <c r="F51" s="125"/>
      <c r="G51" s="156"/>
      <c r="H51" s="159"/>
      <c r="I51" s="161"/>
      <c r="J51" s="163"/>
      <c r="K51" s="28"/>
      <c r="L51" s="5" t="str">
        <f t="shared" si="1"/>
        <v>경고</v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34</v>
      </c>
      <c r="E52" s="79">
        <f t="shared" si="6"/>
        <v>9</v>
      </c>
      <c r="F52" s="71">
        <f t="shared" si="3"/>
        <v>1.73</v>
      </c>
      <c r="G52" s="72">
        <f>IF(D52=D51,"",_xlfn.IFNA(VLOOKUP(D52,'인원 입력 기능 (사과탐)'!$A$5:$D$53,4,FALSE),0))</f>
        <v>863</v>
      </c>
      <c r="H52" s="73">
        <f t="shared" si="4"/>
        <v>8.5216051820838929E-3</v>
      </c>
      <c r="I52" s="77">
        <f>SUM($G$7:G52)</f>
        <v>99947</v>
      </c>
      <c r="J52" s="75">
        <f t="shared" si="5"/>
        <v>0.98691642309819105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33</v>
      </c>
      <c r="E53" s="70">
        <f t="shared" si="6"/>
        <v>9</v>
      </c>
      <c r="F53" s="71">
        <f t="shared" si="3"/>
        <v>1.03</v>
      </c>
      <c r="G53" s="72">
        <f>IF(D53=D52,"",_xlfn.IFNA(VLOOKUP(D53,'인원 입력 기능 (사과탐)'!$A$5:$D$53,4,FALSE),0))</f>
        <v>565</v>
      </c>
      <c r="H53" s="73">
        <f t="shared" si="4"/>
        <v>5.5790346788845884E-3</v>
      </c>
      <c r="I53" s="77">
        <f>SUM($G$7:G53)</f>
        <v>100512</v>
      </c>
      <c r="J53" s="75">
        <f t="shared" si="5"/>
        <v>0.9924954577770756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32</v>
      </c>
      <c r="E54" s="70">
        <f t="shared" si="6"/>
        <v>9</v>
      </c>
      <c r="F54" s="71">
        <f t="shared" si="3"/>
        <v>0.63</v>
      </c>
      <c r="G54" s="72">
        <f>IF(D54=D53,"",_xlfn.IFNA(VLOOKUP(D54,'인원 입력 기능 (사과탐)'!$A$5:$D$53,4,FALSE),0))</f>
        <v>253</v>
      </c>
      <c r="H54" s="73">
        <f t="shared" si="4"/>
        <v>2.4982226084208862E-3</v>
      </c>
      <c r="I54" s="77">
        <f>SUM($G$7:G54)</f>
        <v>100765</v>
      </c>
      <c r="J54" s="75">
        <f t="shared" si="5"/>
        <v>0.99499368038549652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31</v>
      </c>
      <c r="E55" s="70">
        <f t="shared" si="6"/>
        <v>9</v>
      </c>
      <c r="F55" s="71">
        <f t="shared" si="3"/>
        <v>0.31</v>
      </c>
      <c r="G55" s="72">
        <f>IF(D55=D54,"",_xlfn.IFNA(VLOOKUP(D55,'인원 입력 기능 (사과탐)'!$A$5:$D$53,4,FALSE),0))</f>
        <v>388</v>
      </c>
      <c r="H55" s="73">
        <f t="shared" si="4"/>
        <v>3.8312662927561421E-3</v>
      </c>
      <c r="I55" s="77">
        <f>SUM($G$7:G55)</f>
        <v>101153</v>
      </c>
      <c r="J55" s="75">
        <f t="shared" si="5"/>
        <v>0.99882494667825261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29</v>
      </c>
      <c r="E57" s="83">
        <f t="shared" si="6"/>
        <v>9</v>
      </c>
      <c r="F57" s="84">
        <f>IF(I55=0,ROUND(100*(1-(I54+I57)/2/$J$3),2),ROUND(100*(1-(I55+I57)/2/$J$3),2))</f>
        <v>0.06</v>
      </c>
      <c r="G57" s="85">
        <f>_xlfn.IFNA(VLOOKUP(D57,'인원 입력 기능 (사과탐)'!$A$5:$D$53,4,FALSE),0)</f>
        <v>119</v>
      </c>
      <c r="H57" s="86">
        <f>G57/$J$3</f>
        <v>1.1750533217473734E-3</v>
      </c>
      <c r="I57" s="87">
        <f>SUM($G$7:G57)</f>
        <v>101272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3">
    <mergeCell ref="I50:I51"/>
    <mergeCell ref="J50:J51"/>
    <mergeCell ref="D50:D51"/>
    <mergeCell ref="E50:E51"/>
    <mergeCell ref="F50:F51"/>
    <mergeCell ref="G50:G51"/>
    <mergeCell ref="H50:H51"/>
    <mergeCell ref="H29:H30"/>
    <mergeCell ref="I29:I30"/>
    <mergeCell ref="J29:J30"/>
    <mergeCell ref="D39:D40"/>
    <mergeCell ref="E39:E40"/>
    <mergeCell ref="F39:F40"/>
    <mergeCell ref="G39:G40"/>
    <mergeCell ref="H39:H40"/>
    <mergeCell ref="I39:I40"/>
    <mergeCell ref="J39:J40"/>
    <mergeCell ref="D3:F3"/>
    <mergeCell ref="D4:F4"/>
    <mergeCell ref="D8:J8"/>
    <mergeCell ref="D56:J56"/>
    <mergeCell ref="G5:J5"/>
    <mergeCell ref="D18:D19"/>
    <mergeCell ref="E18:E19"/>
    <mergeCell ref="F18:F19"/>
    <mergeCell ref="G18:G19"/>
    <mergeCell ref="H18:H19"/>
    <mergeCell ref="I18:I19"/>
    <mergeCell ref="J18:J19"/>
    <mergeCell ref="D29:D30"/>
    <mergeCell ref="E29:E30"/>
    <mergeCell ref="F29:F30"/>
    <mergeCell ref="G29:G30"/>
  </mergeCells>
  <phoneticPr fontId="1" type="noConversion"/>
  <conditionalFormatting sqref="D7:D18 D20:D29 D31:D39 D41:D50 D52:D57">
    <cfRule type="expression" dxfId="52" priority="1">
      <formula>$D7=$D8</formula>
    </cfRule>
  </conditionalFormatting>
  <conditionalFormatting sqref="C7:C57">
    <cfRule type="expression" dxfId="51" priority="3">
      <formula>OR(AND($D7=0,OR($D6=$Q$7:$Q$14)),AND($D8&gt;0,OR($D7=$Q$7:$Q$14)))</formula>
    </cfRule>
  </conditionalFormatting>
  <conditionalFormatting sqref="D7:J7 D8 D57:J57 D56 D9:J18 D20:J29 D31:J39 D41:J50 D52:J55">
    <cfRule type="expression" dxfId="50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기능'!D7</f>
        <v>23.01</v>
      </c>
      <c r="I3" s="15" t="s">
        <v>84</v>
      </c>
      <c r="J3" s="35">
        <f>'통계 및 응시자 수 입력 기능'!C7</f>
        <v>26401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103</v>
      </c>
      <c r="E4" s="108"/>
      <c r="F4" s="109"/>
      <c r="G4" s="37" t="s">
        <v>87</v>
      </c>
      <c r="H4" s="38" t="str">
        <f>'통계 및 응시자 수 입력 기능'!E7</f>
        <v>13.74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97.88</v>
      </c>
      <c r="G7" s="72">
        <f>_xlfn.IFNA(VLOOKUP(D7,'인원 입력 기능 (사과탐)'!$F$5:$I$53,4,FALSE),0)</f>
        <v>1120</v>
      </c>
      <c r="H7" s="73">
        <f>G7/$J$3</f>
        <v>4.2422635506230821E-2</v>
      </c>
      <c r="I7" s="74">
        <f>G7</f>
        <v>1120</v>
      </c>
      <c r="J7" s="75">
        <f>I7/$J$3</f>
        <v>4.2422635506230821E-2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입력기능'!C31</f>
        <v>70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입력기능'!C32</f>
        <v>66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68</v>
      </c>
      <c r="E9" s="70">
        <f t="shared" si="0"/>
        <v>2</v>
      </c>
      <c r="F9" s="71">
        <f>IF(I8=0,ROUND(100*(1-(I7+I9)/2/$J$3),2),ROUND(100*(1-(I8+I9)/2/$J$3),2))</f>
        <v>94.73</v>
      </c>
      <c r="G9" s="72">
        <f>_xlfn.IFNA(VLOOKUP(D9,'인원 입력 기능 (사과탐)'!$F$5:$I$53,4,FALSE),0)</f>
        <v>542</v>
      </c>
      <c r="H9" s="73">
        <f>G9/$J$3</f>
        <v>2.0529525396765273E-2</v>
      </c>
      <c r="I9" s="77">
        <f>SUM($G$7:G9)</f>
        <v>1662</v>
      </c>
      <c r="J9" s="75">
        <f>I9/$J$3</f>
        <v>6.2952160902996102E-2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입력기능'!C33</f>
        <v>59</v>
      </c>
    </row>
    <row r="10" spans="1:17" ht="25" customHeight="1" x14ac:dyDescent="0.45">
      <c r="A10" s="4"/>
      <c r="B10" s="19"/>
      <c r="C10" s="76">
        <v>47</v>
      </c>
      <c r="D10" s="121">
        <f t="shared" ref="D10:D55" si="2">ROUND(10*(C10-$H$3)/$H$4+50,0)</f>
        <v>67</v>
      </c>
      <c r="E10" s="121">
        <f t="shared" si="0"/>
        <v>2</v>
      </c>
      <c r="F10" s="155">
        <f t="shared" ref="F10:F55" si="3">IF(I9=0,ROUND(100*(1-(I8+I10)/2/$J$3),2),ROUND(100*(1-(I9+I10)/2/$J$3),2))</f>
        <v>92.2</v>
      </c>
      <c r="G10" s="157">
        <f>IF(D10=D9,"",_xlfn.IFNA(VLOOKUP(D10,'인원 입력 기능 (사과탐)'!$F$5:$I$53,4,FALSE),0))</f>
        <v>794</v>
      </c>
      <c r="H10" s="158">
        <f t="shared" ref="H10:H55" si="4">G10/$J$3</f>
        <v>3.0074618385667211E-2</v>
      </c>
      <c r="I10" s="160">
        <f>SUM($G$7:G10)</f>
        <v>2456</v>
      </c>
      <c r="J10" s="162">
        <f t="shared" ref="J10:J55" si="5">I10/$J$3</f>
        <v>9.3026779288663305E-2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입력기능'!C34</f>
        <v>51</v>
      </c>
    </row>
    <row r="11" spans="1:17" ht="25" customHeight="1" x14ac:dyDescent="0.45">
      <c r="A11" s="4"/>
      <c r="B11" s="19"/>
      <c r="C11" s="69">
        <v>46</v>
      </c>
      <c r="D11" s="122"/>
      <c r="E11" s="122"/>
      <c r="F11" s="125"/>
      <c r="G11" s="156"/>
      <c r="H11" s="159"/>
      <c r="I11" s="161"/>
      <c r="J11" s="163"/>
      <c r="K11" s="28"/>
      <c r="L11" s="5" t="str">
        <f t="shared" si="1"/>
        <v>경고</v>
      </c>
      <c r="N11" s="1"/>
      <c r="P11" s="1">
        <v>5</v>
      </c>
      <c r="Q11" s="1">
        <f>'표준점수 등급컷 입력기능'!C35</f>
        <v>44</v>
      </c>
    </row>
    <row r="12" spans="1:17" ht="25" customHeight="1" x14ac:dyDescent="0.45">
      <c r="A12" s="4"/>
      <c r="B12" s="19"/>
      <c r="C12" s="76">
        <v>45</v>
      </c>
      <c r="D12" s="70">
        <f t="shared" si="2"/>
        <v>66</v>
      </c>
      <c r="E12" s="70">
        <f t="shared" si="0"/>
        <v>2</v>
      </c>
      <c r="F12" s="71">
        <f t="shared" si="3"/>
        <v>89.69</v>
      </c>
      <c r="G12" s="72">
        <f>IF(D12=D11,"",_xlfn.IFNA(VLOOKUP(D12,'인원 입력 기능 (사과탐)'!$F$5:$I$53,4,FALSE),0))</f>
        <v>533</v>
      </c>
      <c r="H12" s="73">
        <f t="shared" si="4"/>
        <v>2.0188629218590205E-2</v>
      </c>
      <c r="I12" s="77">
        <f>SUM($G$7:G12)</f>
        <v>2989</v>
      </c>
      <c r="J12" s="75">
        <f t="shared" si="5"/>
        <v>0.11321540850725351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입력기능'!C36</f>
        <v>41</v>
      </c>
    </row>
    <row r="13" spans="1:17" ht="25" customHeight="1" x14ac:dyDescent="0.45">
      <c r="A13" s="4"/>
      <c r="B13" s="19"/>
      <c r="C13" s="69">
        <v>44</v>
      </c>
      <c r="D13" s="121">
        <f t="shared" si="2"/>
        <v>65</v>
      </c>
      <c r="E13" s="121">
        <f t="shared" si="0"/>
        <v>3</v>
      </c>
      <c r="F13" s="155">
        <f t="shared" si="3"/>
        <v>87.35</v>
      </c>
      <c r="G13" s="157">
        <f>IF(D13=D12,"",_xlfn.IFNA(VLOOKUP(D13,'인원 입력 기능 (사과탐)'!$F$5:$I$53,4,FALSE),0))</f>
        <v>702</v>
      </c>
      <c r="H13" s="158">
        <f t="shared" si="4"/>
        <v>2.658990189765539E-2</v>
      </c>
      <c r="I13" s="160">
        <f>SUM($G$7:G13)</f>
        <v>3691</v>
      </c>
      <c r="J13" s="162">
        <f t="shared" si="5"/>
        <v>0.1398053104049089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입력기능'!C37</f>
        <v>40</v>
      </c>
    </row>
    <row r="14" spans="1:17" ht="25" customHeight="1" x14ac:dyDescent="0.45">
      <c r="A14" s="4"/>
      <c r="B14" s="19"/>
      <c r="C14" s="76">
        <v>43</v>
      </c>
      <c r="D14" s="122"/>
      <c r="E14" s="122"/>
      <c r="F14" s="125"/>
      <c r="G14" s="156"/>
      <c r="H14" s="159"/>
      <c r="I14" s="161"/>
      <c r="J14" s="163"/>
      <c r="K14" s="28"/>
      <c r="L14" s="5" t="str">
        <f t="shared" si="1"/>
        <v>경고</v>
      </c>
      <c r="N14" s="1"/>
      <c r="P14" s="1">
        <v>8</v>
      </c>
      <c r="Q14" s="1">
        <f>'표준점수 등급컷 입력기능'!C38</f>
        <v>38</v>
      </c>
    </row>
    <row r="15" spans="1:17" ht="25" customHeight="1" x14ac:dyDescent="0.45">
      <c r="A15" s="4"/>
      <c r="B15" s="19"/>
      <c r="C15" s="69">
        <v>42</v>
      </c>
      <c r="D15" s="70">
        <f t="shared" si="2"/>
        <v>64</v>
      </c>
      <c r="E15" s="70">
        <f t="shared" si="0"/>
        <v>3</v>
      </c>
      <c r="F15" s="71">
        <f t="shared" si="3"/>
        <v>85.15</v>
      </c>
      <c r="G15" s="72">
        <f>IF(D15=D14,"",_xlfn.IFNA(VLOOKUP(D15,'인원 입력 기능 (사과탐)'!$F$5:$I$53,4,FALSE),0))</f>
        <v>460</v>
      </c>
      <c r="H15" s="73">
        <f t="shared" si="4"/>
        <v>1.742358244005909E-2</v>
      </c>
      <c r="I15" s="77">
        <f>SUM($G$7:G15)</f>
        <v>4151</v>
      </c>
      <c r="J15" s="75">
        <f t="shared" si="5"/>
        <v>0.15722889284496799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63</v>
      </c>
      <c r="E16" s="70">
        <f t="shared" si="0"/>
        <v>3</v>
      </c>
      <c r="F16" s="71">
        <f t="shared" si="3"/>
        <v>83.76</v>
      </c>
      <c r="G16" s="72">
        <f>IF(D16=D15,"",_xlfn.IFNA(VLOOKUP(D16,'인원 입력 기능 (사과탐)'!$F$5:$I$53,4,FALSE),0))</f>
        <v>272</v>
      </c>
      <c r="H16" s="73">
        <f t="shared" si="4"/>
        <v>1.03026400515132E-2</v>
      </c>
      <c r="I16" s="77">
        <f>SUM($G$7:G16)</f>
        <v>4423</v>
      </c>
      <c r="J16" s="75">
        <f t="shared" si="5"/>
        <v>0.16753153289648121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121">
        <f t="shared" si="2"/>
        <v>62</v>
      </c>
      <c r="E17" s="121">
        <f t="shared" si="0"/>
        <v>3</v>
      </c>
      <c r="F17" s="155">
        <f t="shared" si="3"/>
        <v>81.900000000000006</v>
      </c>
      <c r="G17" s="157">
        <f>IF(D17=D16,"",_xlfn.IFNA(VLOOKUP(D17,'인원 입력 기능 (사과탐)'!$F$5:$I$53,4,FALSE),0))</f>
        <v>709</v>
      </c>
      <c r="H17" s="158">
        <f t="shared" si="4"/>
        <v>2.6855043369569336E-2</v>
      </c>
      <c r="I17" s="160">
        <f>SUM($G$7:G17)</f>
        <v>5132</v>
      </c>
      <c r="J17" s="162">
        <f t="shared" si="5"/>
        <v>0.19438657626605052</v>
      </c>
      <c r="K17" s="28"/>
      <c r="L17" s="5" t="str">
        <f t="shared" si="1"/>
        <v/>
      </c>
      <c r="N17" s="1"/>
      <c r="P17" s="1">
        <f>Q7*H3*H4*J3*IFERROR(IF(J57=1, 1, 0), 0)</f>
        <v>584281006.21800005</v>
      </c>
    </row>
    <row r="18" spans="1:16" ht="25" customHeight="1" x14ac:dyDescent="0.45">
      <c r="A18" s="4"/>
      <c r="B18" s="19"/>
      <c r="C18" s="76">
        <v>39</v>
      </c>
      <c r="D18" s="122"/>
      <c r="E18" s="122"/>
      <c r="F18" s="125"/>
      <c r="G18" s="156"/>
      <c r="H18" s="159"/>
      <c r="I18" s="161"/>
      <c r="J18" s="163"/>
      <c r="K18" s="28"/>
      <c r="L18" s="5" t="str">
        <f t="shared" si="1"/>
        <v>경고</v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61</v>
      </c>
      <c r="E19" s="70">
        <f t="shared" si="0"/>
        <v>3</v>
      </c>
      <c r="F19" s="71">
        <f t="shared" si="3"/>
        <v>79.959999999999994</v>
      </c>
      <c r="G19" s="72">
        <f>IF(D19=D18,"",_xlfn.IFNA(VLOOKUP(D19,'인원 입력 기능 (사과탐)'!$F$5:$I$53,4,FALSE),0))</f>
        <v>316</v>
      </c>
      <c r="H19" s="73">
        <f t="shared" si="4"/>
        <v>1.1969243589257982E-2</v>
      </c>
      <c r="I19" s="77">
        <f>SUM($G$7:G19)</f>
        <v>5448</v>
      </c>
      <c r="J19" s="75">
        <f t="shared" si="5"/>
        <v>0.20635581985530851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60</v>
      </c>
      <c r="E20" s="70">
        <f t="shared" si="0"/>
        <v>3</v>
      </c>
      <c r="F20" s="71">
        <f t="shared" si="3"/>
        <v>78.680000000000007</v>
      </c>
      <c r="G20" s="72">
        <f>IF(D20=D19,"",_xlfn.IFNA(VLOOKUP(D20,'인원 입력 기능 (사과탐)'!$F$5:$I$53,4,FALSE),0))</f>
        <v>360</v>
      </c>
      <c r="H20" s="73">
        <f t="shared" si="4"/>
        <v>1.3635847127002765E-2</v>
      </c>
      <c r="I20" s="77">
        <f>SUM($G$7:G20)</f>
        <v>5808</v>
      </c>
      <c r="J20" s="75">
        <f t="shared" si="5"/>
        <v>0.21999166698231126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65">
        <f t="shared" si="2"/>
        <v>59</v>
      </c>
      <c r="E21" s="165">
        <f t="shared" si="0"/>
        <v>3</v>
      </c>
      <c r="F21" s="155">
        <f t="shared" si="3"/>
        <v>76.739999999999995</v>
      </c>
      <c r="G21" s="157">
        <f>IF(D21=D20,"",_xlfn.IFNA(VLOOKUP(D21,'인원 입력 기능 (사과탐)'!$F$5:$I$53,4,FALSE),0))</f>
        <v>665</v>
      </c>
      <c r="H21" s="158">
        <f t="shared" si="4"/>
        <v>2.5188439831824554E-2</v>
      </c>
      <c r="I21" s="160">
        <f>SUM($G$7:G21)</f>
        <v>6473</v>
      </c>
      <c r="J21" s="162">
        <f t="shared" si="5"/>
        <v>0.24518010681413582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164"/>
      <c r="E22" s="164"/>
      <c r="F22" s="125"/>
      <c r="G22" s="156"/>
      <c r="H22" s="159"/>
      <c r="I22" s="161"/>
      <c r="J22" s="163"/>
      <c r="K22" s="28"/>
      <c r="L22" s="5" t="str">
        <f t="shared" si="1"/>
        <v>경고</v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58</v>
      </c>
      <c r="E23" s="79">
        <f t="shared" si="0"/>
        <v>4</v>
      </c>
      <c r="F23" s="71">
        <f t="shared" si="3"/>
        <v>74.86</v>
      </c>
      <c r="G23" s="72">
        <f>IF(D23=D22,"",_xlfn.IFNA(VLOOKUP(D23,'인원 입력 기능 (사과탐)'!$F$5:$I$53,4,FALSE),0))</f>
        <v>328</v>
      </c>
      <c r="H23" s="73">
        <f t="shared" si="4"/>
        <v>1.2423771826824741E-2</v>
      </c>
      <c r="I23" s="77">
        <f>SUM($G$7:G23)</f>
        <v>6801</v>
      </c>
      <c r="J23" s="75">
        <f t="shared" si="5"/>
        <v>0.25760387864096057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65">
        <f t="shared" si="2"/>
        <v>57</v>
      </c>
      <c r="E24" s="165">
        <f t="shared" si="0"/>
        <v>4</v>
      </c>
      <c r="F24" s="155">
        <f t="shared" si="3"/>
        <v>72.87</v>
      </c>
      <c r="G24" s="157">
        <f>IF(D24=D23,"",_xlfn.IFNA(VLOOKUP(D24,'인원 입력 기능 (사과탐)'!$F$5:$I$53,4,FALSE),0))</f>
        <v>721</v>
      </c>
      <c r="H24" s="158">
        <f t="shared" si="4"/>
        <v>2.7309571607136093E-2</v>
      </c>
      <c r="I24" s="160">
        <f>SUM($G$7:G24)</f>
        <v>7522</v>
      </c>
      <c r="J24" s="162">
        <f t="shared" si="5"/>
        <v>0.28491345024809667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64"/>
      <c r="E25" s="164"/>
      <c r="F25" s="125"/>
      <c r="G25" s="156"/>
      <c r="H25" s="159"/>
      <c r="I25" s="161"/>
      <c r="J25" s="163"/>
      <c r="K25" s="28"/>
      <c r="L25" s="5" t="str">
        <f t="shared" si="1"/>
        <v>경고</v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56</v>
      </c>
      <c r="E26" s="79">
        <f t="shared" si="0"/>
        <v>4</v>
      </c>
      <c r="F26" s="71">
        <f t="shared" si="3"/>
        <v>70.790000000000006</v>
      </c>
      <c r="G26" s="72">
        <f>IF(D26=D25,"",_xlfn.IFNA(VLOOKUP(D26,'인원 입력 기능 (사과탐)'!$F$5:$I$53,4,FALSE),0))</f>
        <v>380</v>
      </c>
      <c r="H26" s="73">
        <f t="shared" si="4"/>
        <v>1.439339418961403E-2</v>
      </c>
      <c r="I26" s="77">
        <f>SUM($G$7:G26)</f>
        <v>7902</v>
      </c>
      <c r="J26" s="75">
        <f t="shared" si="5"/>
        <v>0.29930684443771072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69.34</v>
      </c>
      <c r="G27" s="72">
        <f>IF(D27=D26,"",_xlfn.IFNA(VLOOKUP(D27,'인원 입력 기능 (사과탐)'!$F$5:$I$53,4,FALSE),0))</f>
        <v>384</v>
      </c>
      <c r="H27" s="73">
        <f t="shared" si="4"/>
        <v>1.4544903602136283E-2</v>
      </c>
      <c r="I27" s="77">
        <f>SUM($G$7:G27)</f>
        <v>8286</v>
      </c>
      <c r="J27" s="75">
        <f t="shared" si="5"/>
        <v>0.313851748039847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165">
        <f t="shared" si="2"/>
        <v>54</v>
      </c>
      <c r="E28" s="165">
        <f t="shared" si="0"/>
        <v>4</v>
      </c>
      <c r="F28" s="155">
        <f t="shared" si="3"/>
        <v>66.959999999999994</v>
      </c>
      <c r="G28" s="157">
        <f>IF(D28=D27,"",_xlfn.IFNA(VLOOKUP(D28,'인원 입력 기능 (사과탐)'!$F$5:$I$53,4,FALSE),0))</f>
        <v>873</v>
      </c>
      <c r="H28" s="158">
        <f t="shared" si="4"/>
        <v>3.3066929282981702E-2</v>
      </c>
      <c r="I28" s="160">
        <f>SUM($G$7:G28)</f>
        <v>9159</v>
      </c>
      <c r="J28" s="162">
        <f t="shared" si="5"/>
        <v>0.34691867732282866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64"/>
      <c r="E29" s="164"/>
      <c r="F29" s="125"/>
      <c r="G29" s="156"/>
      <c r="H29" s="159"/>
      <c r="I29" s="161"/>
      <c r="J29" s="163"/>
      <c r="K29" s="28"/>
      <c r="L29" s="5" t="str">
        <f t="shared" si="1"/>
        <v>경고</v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64.58</v>
      </c>
      <c r="G30" s="72">
        <f>IF(D30=D29,"",_xlfn.IFNA(VLOOKUP(D30,'인원 입력 기능 (사과탐)'!$F$5:$I$53,4,FALSE),0))</f>
        <v>387</v>
      </c>
      <c r="H30" s="73">
        <f t="shared" si="4"/>
        <v>1.4658535661527972E-2</v>
      </c>
      <c r="I30" s="77">
        <f>SUM($G$7:G30)</f>
        <v>9546</v>
      </c>
      <c r="J30" s="75">
        <f t="shared" si="5"/>
        <v>0.36157721298435663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52</v>
      </c>
      <c r="E31" s="79">
        <f t="shared" si="0"/>
        <v>4</v>
      </c>
      <c r="F31" s="71">
        <f t="shared" si="3"/>
        <v>63.11</v>
      </c>
      <c r="G31" s="72">
        <f>IF(D31=D30,"",_xlfn.IFNA(VLOOKUP(D31,'인원 입력 기능 (사과탐)'!$F$5:$I$53,4,FALSE),0))</f>
        <v>388</v>
      </c>
      <c r="H31" s="73">
        <f t="shared" si="4"/>
        <v>1.4696413014658535E-2</v>
      </c>
      <c r="I31" s="77">
        <f>SUM($G$7:G31)</f>
        <v>9934</v>
      </c>
      <c r="J31" s="75">
        <f t="shared" si="5"/>
        <v>0.3762736259990152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65">
        <f t="shared" si="2"/>
        <v>51</v>
      </c>
      <c r="E32" s="165">
        <f t="shared" si="0"/>
        <v>4</v>
      </c>
      <c r="F32" s="155">
        <f t="shared" si="3"/>
        <v>60.76</v>
      </c>
      <c r="G32" s="157">
        <f>IF(D32=D31,"",_xlfn.IFNA(VLOOKUP(D32,'인원 입력 기능 (사과탐)'!$F$5:$I$53,4,FALSE),0))</f>
        <v>854</v>
      </c>
      <c r="H32" s="158">
        <f t="shared" si="4"/>
        <v>3.2347259573501007E-2</v>
      </c>
      <c r="I32" s="160">
        <f>SUM($G$7:G32)</f>
        <v>10788</v>
      </c>
      <c r="J32" s="162">
        <f t="shared" si="5"/>
        <v>0.40862088557251619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64"/>
      <c r="E33" s="164"/>
      <c r="F33" s="125"/>
      <c r="G33" s="156"/>
      <c r="H33" s="159"/>
      <c r="I33" s="161"/>
      <c r="J33" s="163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58.3</v>
      </c>
      <c r="G34" s="72">
        <f>IF(D34=D33,"",_xlfn.IFNA(VLOOKUP(D34,'인원 입력 기능 (사과탐)'!$F$5:$I$53,4,FALSE),0))</f>
        <v>445</v>
      </c>
      <c r="H34" s="73">
        <f t="shared" si="4"/>
        <v>1.6855422143100641E-2</v>
      </c>
      <c r="I34" s="77">
        <f>SUM($G$7:G34)</f>
        <v>11233</v>
      </c>
      <c r="J34" s="75">
        <f t="shared" si="5"/>
        <v>0.42547630771561684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65">
        <f t="shared" si="2"/>
        <v>49</v>
      </c>
      <c r="E35" s="165">
        <f t="shared" si="0"/>
        <v>5</v>
      </c>
      <c r="F35" s="155">
        <f t="shared" si="3"/>
        <v>55.58</v>
      </c>
      <c r="G35" s="157">
        <f>IF(D35=D34,"",_xlfn.IFNA(VLOOKUP(D35,'인원 입력 기능 (사과탐)'!$F$5:$I$53,4,FALSE),0))</f>
        <v>989</v>
      </c>
      <c r="H35" s="158">
        <f t="shared" si="4"/>
        <v>3.7460702246127041E-2</v>
      </c>
      <c r="I35" s="160">
        <f>SUM($G$7:G35)</f>
        <v>12222</v>
      </c>
      <c r="J35" s="162">
        <f t="shared" si="5"/>
        <v>0.46293700996174386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64"/>
      <c r="E36" s="164"/>
      <c r="F36" s="125"/>
      <c r="G36" s="156"/>
      <c r="H36" s="159"/>
      <c r="I36" s="161"/>
      <c r="J36" s="163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48</v>
      </c>
      <c r="E37" s="79">
        <f t="shared" si="0"/>
        <v>5</v>
      </c>
      <c r="F37" s="71">
        <f t="shared" si="3"/>
        <v>52.63</v>
      </c>
      <c r="G37" s="72">
        <f>IF(D37=D36,"",_xlfn.IFNA(VLOOKUP(D37,'인원 입력 기능 (사과탐)'!$F$5:$I$53,4,FALSE),0))</f>
        <v>567</v>
      </c>
      <c r="H37" s="73">
        <f t="shared" si="4"/>
        <v>2.1476459225029356E-2</v>
      </c>
      <c r="I37" s="77">
        <f>SUM($G$7:G37)</f>
        <v>12789</v>
      </c>
      <c r="J37" s="75">
        <f t="shared" si="5"/>
        <v>0.48441346918677325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50.44</v>
      </c>
      <c r="G38" s="72">
        <f>IF(D38=D37,"",_xlfn.IFNA(VLOOKUP(D38,'인원 입력 기능 (사과탐)'!$F$5:$I$53,4,FALSE),0))</f>
        <v>592</v>
      </c>
      <c r="H38" s="73">
        <f t="shared" si="4"/>
        <v>2.2423393053293435E-2</v>
      </c>
      <c r="I38" s="77">
        <f>SUM($G$7:G38)</f>
        <v>13381</v>
      </c>
      <c r="J38" s="75">
        <f t="shared" si="5"/>
        <v>0.50683686224006663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165">
        <f t="shared" si="2"/>
        <v>46</v>
      </c>
      <c r="E39" s="165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55">
        <f t="shared" si="3"/>
        <v>46.87</v>
      </c>
      <c r="G39" s="157">
        <f>IF(D39=D38,"",_xlfn.IFNA(VLOOKUP(D39,'인원 입력 기능 (사과탐)'!$F$5:$I$53,4,FALSE),0))</f>
        <v>1290</v>
      </c>
      <c r="H39" s="158">
        <f t="shared" si="4"/>
        <v>4.8861785538426572E-2</v>
      </c>
      <c r="I39" s="160">
        <f>SUM($G$7:G39)</f>
        <v>14671</v>
      </c>
      <c r="J39" s="162">
        <f t="shared" si="5"/>
        <v>0.5556986477784932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164"/>
      <c r="E40" s="164"/>
      <c r="F40" s="125"/>
      <c r="G40" s="156"/>
      <c r="H40" s="159"/>
      <c r="I40" s="161"/>
      <c r="J40" s="163"/>
      <c r="K40" s="28"/>
      <c r="L40" s="5" t="str">
        <f t="shared" si="1"/>
        <v>경고</v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45</v>
      </c>
      <c r="E41" s="79">
        <f t="shared" si="6"/>
        <v>5</v>
      </c>
      <c r="F41" s="71">
        <f t="shared" si="3"/>
        <v>43.1</v>
      </c>
      <c r="G41" s="72">
        <f>IF(D41=D40,"",_xlfn.IFNA(VLOOKUP(D41,'인원 입력 기능 (사과탐)'!$F$5:$I$53,4,FALSE),0))</f>
        <v>704</v>
      </c>
      <c r="H41" s="73">
        <f t="shared" si="4"/>
        <v>2.6665656603916517E-2</v>
      </c>
      <c r="I41" s="77">
        <f>SUM($G$7:G41)</f>
        <v>15375</v>
      </c>
      <c r="J41" s="75">
        <f t="shared" si="5"/>
        <v>0.58236430438240971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44</v>
      </c>
      <c r="E42" s="79">
        <f t="shared" si="6"/>
        <v>5</v>
      </c>
      <c r="F42" s="71">
        <f t="shared" si="3"/>
        <v>40.46</v>
      </c>
      <c r="G42" s="72">
        <f>IF(D42=D41,"",_xlfn.IFNA(VLOOKUP(D42,'인원 입력 기능 (사과탐)'!$F$5:$I$53,4,FALSE),0))</f>
        <v>687</v>
      </c>
      <c r="H42" s="73">
        <f t="shared" si="4"/>
        <v>2.6021741600696945E-2</v>
      </c>
      <c r="I42" s="77">
        <f>SUM($G$7:G42)</f>
        <v>16062</v>
      </c>
      <c r="J42" s="75">
        <f t="shared" si="5"/>
        <v>0.60838604598310675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65">
        <f t="shared" si="2"/>
        <v>43</v>
      </c>
      <c r="E43" s="165">
        <f t="shared" si="6"/>
        <v>6</v>
      </c>
      <c r="F43" s="155">
        <f t="shared" si="3"/>
        <v>36.380000000000003</v>
      </c>
      <c r="G43" s="157">
        <f>IF(D43=D42,"",_xlfn.IFNA(VLOOKUP(D43,'인원 입력 기능 (사과탐)'!$F$5:$I$53,4,FALSE),0))</f>
        <v>1467</v>
      </c>
      <c r="H43" s="158">
        <f t="shared" si="4"/>
        <v>5.5566077042536265E-2</v>
      </c>
      <c r="I43" s="160">
        <f>SUM($G$7:G43)</f>
        <v>17529</v>
      </c>
      <c r="J43" s="162">
        <f t="shared" si="5"/>
        <v>0.66395212302564299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164"/>
      <c r="E44" s="164"/>
      <c r="F44" s="125"/>
      <c r="G44" s="156"/>
      <c r="H44" s="159"/>
      <c r="I44" s="161"/>
      <c r="J44" s="163"/>
      <c r="K44" s="28"/>
      <c r="L44" s="5" t="str">
        <f t="shared" si="1"/>
        <v>경고</v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42</v>
      </c>
      <c r="E45" s="79">
        <f t="shared" si="6"/>
        <v>6</v>
      </c>
      <c r="F45" s="71">
        <f t="shared" si="3"/>
        <v>28.4</v>
      </c>
      <c r="G45" s="72">
        <f>IF(D45=D44,"",_xlfn.IFNA(VLOOKUP(D45,'인원 입력 기능 (사과탐)'!$F$5:$I$53,4,FALSE),0))</f>
        <v>2746</v>
      </c>
      <c r="H45" s="73">
        <f t="shared" si="4"/>
        <v>0.10401121169652665</v>
      </c>
      <c r="I45" s="77">
        <f>SUM($G$7:G45)</f>
        <v>20275</v>
      </c>
      <c r="J45" s="75">
        <f t="shared" si="5"/>
        <v>0.7679633347221696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5">
        <f t="shared" si="2"/>
        <v>41</v>
      </c>
      <c r="E46" s="165">
        <f t="shared" si="6"/>
        <v>6</v>
      </c>
      <c r="F46" s="155">
        <f t="shared" si="3"/>
        <v>18.16</v>
      </c>
      <c r="G46" s="157">
        <f>IF(D46=D45,"",_xlfn.IFNA(VLOOKUP(D46,'인원 입력 기능 (사과탐)'!$F$5:$I$53,4,FALSE),0))</f>
        <v>2665</v>
      </c>
      <c r="H46" s="158">
        <f t="shared" si="4"/>
        <v>0.10094314609295102</v>
      </c>
      <c r="I46" s="160">
        <f>SUM($G$7:G46)</f>
        <v>22940</v>
      </c>
      <c r="J46" s="162">
        <f t="shared" si="5"/>
        <v>0.86890648081512067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64"/>
      <c r="E47" s="164"/>
      <c r="F47" s="125"/>
      <c r="G47" s="156"/>
      <c r="H47" s="159"/>
      <c r="I47" s="161"/>
      <c r="J47" s="163"/>
      <c r="K47" s="28"/>
      <c r="L47" s="5" t="str">
        <f t="shared" si="1"/>
        <v>경고</v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40</v>
      </c>
      <c r="E48" s="79">
        <f t="shared" si="6"/>
        <v>7</v>
      </c>
      <c r="F48" s="71">
        <f t="shared" si="3"/>
        <v>10.93</v>
      </c>
      <c r="G48" s="72">
        <f>IF(D48=D47,"",_xlfn.IFNA(VLOOKUP(D48,'인원 입력 기능 (사과탐)'!$F$5:$I$53,4,FALSE),0))</f>
        <v>1151</v>
      </c>
      <c r="H48" s="73">
        <f t="shared" si="4"/>
        <v>4.3596833453278284E-2</v>
      </c>
      <c r="I48" s="77">
        <f>SUM($G$7:G48)</f>
        <v>24091</v>
      </c>
      <c r="J48" s="75">
        <f t="shared" si="5"/>
        <v>0.91250331426839892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39</v>
      </c>
      <c r="E49" s="79">
        <f t="shared" si="6"/>
        <v>8</v>
      </c>
      <c r="F49" s="71">
        <f t="shared" si="3"/>
        <v>7.69</v>
      </c>
      <c r="G49" s="72">
        <f>IF(D49=D48,"",_xlfn.IFNA(VLOOKUP(D49,'인원 입력 기능 (사과탐)'!$F$5:$I$53,4,FALSE),0))</f>
        <v>559</v>
      </c>
      <c r="H49" s="73">
        <f t="shared" si="4"/>
        <v>2.1173440399984849E-2</v>
      </c>
      <c r="I49" s="77">
        <f>SUM($G$7:G49)</f>
        <v>24650</v>
      </c>
      <c r="J49" s="75">
        <f t="shared" si="5"/>
        <v>0.93367675466838373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65">
        <f t="shared" si="2"/>
        <v>38</v>
      </c>
      <c r="E50" s="165">
        <f t="shared" si="6"/>
        <v>8</v>
      </c>
      <c r="F50" s="155">
        <f t="shared" si="3"/>
        <v>4.9000000000000004</v>
      </c>
      <c r="G50" s="157">
        <f>IF(D50=D49,"",_xlfn.IFNA(VLOOKUP(D50,'인원 입력 기능 (사과탐)'!$F$5:$I$53,4,FALSE),0))</f>
        <v>913</v>
      </c>
      <c r="H50" s="158">
        <f t="shared" si="4"/>
        <v>3.4582023408204238E-2</v>
      </c>
      <c r="I50" s="160">
        <f>SUM($G$7:G50)</f>
        <v>25563</v>
      </c>
      <c r="J50" s="162">
        <f t="shared" si="5"/>
        <v>0.968258778076588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64"/>
      <c r="E51" s="164"/>
      <c r="F51" s="125"/>
      <c r="G51" s="156"/>
      <c r="H51" s="159"/>
      <c r="I51" s="161"/>
      <c r="J51" s="163"/>
      <c r="K51" s="28"/>
      <c r="L51" s="5" t="str">
        <f t="shared" si="1"/>
        <v>경고</v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37</v>
      </c>
      <c r="E52" s="79">
        <f t="shared" si="6"/>
        <v>9</v>
      </c>
      <c r="F52" s="71">
        <f t="shared" si="3"/>
        <v>2.4700000000000002</v>
      </c>
      <c r="G52" s="72">
        <f>IF(D52=D51,"",_xlfn.IFNA(VLOOKUP(D52,'인원 입력 기능 (사과탐)'!$F$5:$I$53,4,FALSE),0))</f>
        <v>371</v>
      </c>
      <c r="H52" s="73">
        <f t="shared" si="4"/>
        <v>1.4052498011438961E-2</v>
      </c>
      <c r="I52" s="77">
        <f>SUM($G$7:G52)</f>
        <v>25934</v>
      </c>
      <c r="J52" s="75">
        <f t="shared" si="5"/>
        <v>0.98231127608802693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36</v>
      </c>
      <c r="E53" s="70">
        <f t="shared" si="6"/>
        <v>9</v>
      </c>
      <c r="F53" s="71">
        <f t="shared" si="3"/>
        <v>1.5</v>
      </c>
      <c r="G53" s="72">
        <f>IF(D53=D52,"",_xlfn.IFNA(VLOOKUP(D53,'인원 입력 기능 (사과탐)'!$F$5:$I$53,4,FALSE),0))</f>
        <v>142</v>
      </c>
      <c r="H53" s="73">
        <f t="shared" si="4"/>
        <v>5.3785841445399794E-3</v>
      </c>
      <c r="I53" s="77">
        <f>SUM($G$7:G53)</f>
        <v>26076</v>
      </c>
      <c r="J53" s="75">
        <f t="shared" si="5"/>
        <v>0.987689860232567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121">
        <f t="shared" si="2"/>
        <v>35</v>
      </c>
      <c r="E54" s="121">
        <f t="shared" si="6"/>
        <v>9</v>
      </c>
      <c r="F54" s="155">
        <f t="shared" si="3"/>
        <v>0.72</v>
      </c>
      <c r="G54" s="157">
        <f>IF(D54=D53,"",_xlfn.IFNA(VLOOKUP(D54,'인원 입력 기능 (사과탐)'!$F$5:$I$53,4,FALSE),0))</f>
        <v>272</v>
      </c>
      <c r="H54" s="158">
        <f t="shared" si="4"/>
        <v>1.03026400515132E-2</v>
      </c>
      <c r="I54" s="160">
        <f>SUM($G$7:G54)</f>
        <v>26348</v>
      </c>
      <c r="J54" s="162">
        <f t="shared" si="5"/>
        <v>0.99799250028408015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122"/>
      <c r="E55" s="122"/>
      <c r="F55" s="125"/>
      <c r="G55" s="156"/>
      <c r="H55" s="159"/>
      <c r="I55" s="161"/>
      <c r="J55" s="163"/>
      <c r="K55" s="28"/>
      <c r="L55" s="5" t="str">
        <f t="shared" si="1"/>
        <v>경고</v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33</v>
      </c>
      <c r="E57" s="83">
        <f t="shared" si="6"/>
        <v>9</v>
      </c>
      <c r="F57" s="84">
        <f>IF(I55=0,ROUND(100*(1-(I54+I57)/2/$J$3),2),ROUND(100*(1-(I55+I57)/2/$J$3),2))</f>
        <v>0.1</v>
      </c>
      <c r="G57" s="85">
        <f>_xlfn.IFNA(VLOOKUP(D57,'인원 입력 기능 (사과탐)'!$F$5:$I$53,4,FALSE),0)</f>
        <v>53</v>
      </c>
      <c r="H57" s="86">
        <f>G57/$J$3</f>
        <v>2.0074997159198514E-3</v>
      </c>
      <c r="I57" s="87">
        <f>SUM($G$7:G57)</f>
        <v>26401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96">
    <mergeCell ref="I50:I51"/>
    <mergeCell ref="J50:J51"/>
    <mergeCell ref="D54:D55"/>
    <mergeCell ref="E54:E55"/>
    <mergeCell ref="F54:F55"/>
    <mergeCell ref="G54:G55"/>
    <mergeCell ref="H54:H55"/>
    <mergeCell ref="I54:I55"/>
    <mergeCell ref="J54:J55"/>
    <mergeCell ref="D50:D51"/>
    <mergeCell ref="E50:E51"/>
    <mergeCell ref="F50:F51"/>
    <mergeCell ref="G50:G51"/>
    <mergeCell ref="H50:H51"/>
    <mergeCell ref="I43:I44"/>
    <mergeCell ref="J43:J44"/>
    <mergeCell ref="D46:D47"/>
    <mergeCell ref="E46:E47"/>
    <mergeCell ref="F46:F47"/>
    <mergeCell ref="G46:G47"/>
    <mergeCell ref="H46:H47"/>
    <mergeCell ref="I46:I47"/>
    <mergeCell ref="J46:J47"/>
    <mergeCell ref="D43:D44"/>
    <mergeCell ref="E43:E44"/>
    <mergeCell ref="F43:F44"/>
    <mergeCell ref="G43:G44"/>
    <mergeCell ref="H43:H44"/>
    <mergeCell ref="I35:I36"/>
    <mergeCell ref="J35:J36"/>
    <mergeCell ref="D39:D40"/>
    <mergeCell ref="E39:E40"/>
    <mergeCell ref="F39:F40"/>
    <mergeCell ref="G39:G40"/>
    <mergeCell ref="H39:H40"/>
    <mergeCell ref="I39:I40"/>
    <mergeCell ref="J39:J40"/>
    <mergeCell ref="D35:D36"/>
    <mergeCell ref="E35:E36"/>
    <mergeCell ref="F35:F36"/>
    <mergeCell ref="G35:G36"/>
    <mergeCell ref="H35:H36"/>
    <mergeCell ref="I28:I29"/>
    <mergeCell ref="J28:J29"/>
    <mergeCell ref="D32:D33"/>
    <mergeCell ref="E32:E33"/>
    <mergeCell ref="F32:F33"/>
    <mergeCell ref="G32:G33"/>
    <mergeCell ref="H32:H33"/>
    <mergeCell ref="I32:I33"/>
    <mergeCell ref="J32:J33"/>
    <mergeCell ref="D28:D29"/>
    <mergeCell ref="E28:E29"/>
    <mergeCell ref="F28:F29"/>
    <mergeCell ref="G28:G29"/>
    <mergeCell ref="H28:H29"/>
    <mergeCell ref="I21:I22"/>
    <mergeCell ref="J21:J22"/>
    <mergeCell ref="D24:D25"/>
    <mergeCell ref="E24:E25"/>
    <mergeCell ref="F24:F25"/>
    <mergeCell ref="G24:G25"/>
    <mergeCell ref="H24:H25"/>
    <mergeCell ref="I24:I25"/>
    <mergeCell ref="J24:J25"/>
    <mergeCell ref="D21:D22"/>
    <mergeCell ref="E21:E22"/>
    <mergeCell ref="F21:F22"/>
    <mergeCell ref="G21:G22"/>
    <mergeCell ref="H21:H22"/>
    <mergeCell ref="H13:H14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3:D14"/>
    <mergeCell ref="E13:E14"/>
    <mergeCell ref="F13:F14"/>
    <mergeCell ref="G13:G14"/>
  </mergeCells>
  <phoneticPr fontId="1" type="noConversion"/>
  <conditionalFormatting sqref="D7:D10 D12:D13 D15:D17 D19:D21 D23:D24 D26:D28 D30:D32 D34:D35 D37:D39 D41:D43 D45:D46 D48:D50 D52:D54 D56:D57">
    <cfRule type="expression" dxfId="49" priority="1">
      <formula>$D7=$D8</formula>
    </cfRule>
  </conditionalFormatting>
  <conditionalFormatting sqref="C7:C57">
    <cfRule type="expression" dxfId="48" priority="3">
      <formula>OR(AND($D7=0,OR($D6=$Q$7:$Q$14)),AND($D8&gt;0,OR($D7=$Q$7:$Q$14)))</formula>
    </cfRule>
  </conditionalFormatting>
  <conditionalFormatting sqref="D7:J7 D8 D57:J57 D56 D9:J10 D12:J13 D15:J17 D19:J21 D23:J24 D26:J28 D30:J32 D34:J35 D37:J39 D41:J43 D45:J46 D48:J50 D52:J54">
    <cfRule type="expression" dxfId="47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기능'!D8</f>
        <v>20.83</v>
      </c>
      <c r="I3" s="15" t="s">
        <v>84</v>
      </c>
      <c r="J3" s="35">
        <f>'통계 및 응시자 수 입력 기능'!C8</f>
        <v>23928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102</v>
      </c>
      <c r="E4" s="108"/>
      <c r="F4" s="109"/>
      <c r="G4" s="37" t="s">
        <v>87</v>
      </c>
      <c r="H4" s="38" t="str">
        <f>'통계 및 응시자 수 입력 기능'!E8</f>
        <v>11.31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76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99.46</v>
      </c>
      <c r="G7" s="72">
        <f>_xlfn.IFNA(VLOOKUP(D7,'인원 입력 기능 (사과탐)'!$K$5:$N$53,4,FALSE),0)</f>
        <v>259</v>
      </c>
      <c r="H7" s="73">
        <f>G7/$J$3</f>
        <v>1.0824139083918423E-2</v>
      </c>
      <c r="I7" s="74">
        <f>G7</f>
        <v>259</v>
      </c>
      <c r="J7" s="75">
        <f>I7/$J$3</f>
        <v>1.0824139083918423E-2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입력기능'!C40</f>
        <v>70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입력기능'!C41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74</v>
      </c>
      <c r="E9" s="70">
        <f t="shared" si="0"/>
        <v>1</v>
      </c>
      <c r="F9" s="71">
        <f>IF(I8=0,ROUND(100*(1-(I7+I9)/2/$J$3),2),ROUND(100*(1-(I8+I9)/2/$J$3),2))</f>
        <v>98.68</v>
      </c>
      <c r="G9" s="72">
        <f>_xlfn.IFNA(VLOOKUP(D9,'인원 입력 기능 (사과탐)'!$K$5:$N$53,4,FALSE),0)</f>
        <v>113</v>
      </c>
      <c r="H9" s="73">
        <f>G9/$J$3</f>
        <v>4.7225008358408559E-3</v>
      </c>
      <c r="I9" s="77">
        <f>SUM($G$7:G9)</f>
        <v>372</v>
      </c>
      <c r="J9" s="75">
        <f>I9/$J$3</f>
        <v>1.5546639919759278E-2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입력기능'!C42</f>
        <v>57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73</v>
      </c>
      <c r="E10" s="70">
        <f t="shared" si="0"/>
        <v>1</v>
      </c>
      <c r="F10" s="71">
        <f t="shared" ref="F10:F55" si="3">IF(I9=0,ROUND(100*(1-(I8+I10)/2/$J$3),2),ROUND(100*(1-(I9+I10)/2/$J$3),2))</f>
        <v>97.9</v>
      </c>
      <c r="G10" s="72">
        <f>IF(D10=D9,"",_xlfn.IFNA(VLOOKUP(D10,'인원 입력 기능 (사과탐)'!$K$5:$N$53,4,FALSE),0))</f>
        <v>260</v>
      </c>
      <c r="H10" s="73">
        <f t="shared" ref="H10:H55" si="4">G10/$J$3</f>
        <v>1.0865931126713474E-2</v>
      </c>
      <c r="I10" s="77">
        <f>SUM($G$7:G10)</f>
        <v>632</v>
      </c>
      <c r="J10" s="75">
        <f t="shared" ref="J10:J55" si="5">I10/$J$3</f>
        <v>2.6412571046472752E-2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입력기능'!C43</f>
        <v>51</v>
      </c>
    </row>
    <row r="11" spans="1:17" ht="25" customHeight="1" x14ac:dyDescent="0.45">
      <c r="A11" s="4"/>
      <c r="B11" s="19"/>
      <c r="C11" s="69">
        <v>46</v>
      </c>
      <c r="D11" s="70">
        <f t="shared" si="2"/>
        <v>72</v>
      </c>
      <c r="E11" s="70">
        <f t="shared" si="0"/>
        <v>1</v>
      </c>
      <c r="F11" s="71">
        <f t="shared" si="3"/>
        <v>97.28</v>
      </c>
      <c r="G11" s="72">
        <f>IF(D11=D10,"",_xlfn.IFNA(VLOOKUP(D11,'인원 입력 기능 (사과탐)'!$K$5:$N$53,4,FALSE),0))</f>
        <v>38</v>
      </c>
      <c r="H11" s="73">
        <f t="shared" si="4"/>
        <v>1.5880976262119693E-3</v>
      </c>
      <c r="I11" s="77">
        <f>SUM($G$7:G11)</f>
        <v>670</v>
      </c>
      <c r="J11" s="75">
        <f t="shared" si="5"/>
        <v>2.800066867268472E-2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입력기능'!C44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71</v>
      </c>
      <c r="E12" s="70">
        <f t="shared" si="0"/>
        <v>1</v>
      </c>
      <c r="F12" s="71">
        <f t="shared" si="3"/>
        <v>96.76</v>
      </c>
      <c r="G12" s="72">
        <f>IF(D12=D11,"",_xlfn.IFNA(VLOOKUP(D12,'인원 입력 기능 (사과탐)'!$K$5:$N$53,4,FALSE),0))</f>
        <v>212</v>
      </c>
      <c r="H12" s="73">
        <f t="shared" si="4"/>
        <v>8.8599130725509866E-3</v>
      </c>
      <c r="I12" s="77">
        <f>SUM($G$7:G12)</f>
        <v>882</v>
      </c>
      <c r="J12" s="75">
        <f t="shared" si="5"/>
        <v>3.686058174523571E-2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입력기능'!C45</f>
        <v>41</v>
      </c>
    </row>
    <row r="13" spans="1:17" ht="25" customHeight="1" x14ac:dyDescent="0.45">
      <c r="A13" s="4"/>
      <c r="B13" s="19"/>
      <c r="C13" s="69">
        <v>44</v>
      </c>
      <c r="D13" s="121">
        <f t="shared" si="2"/>
        <v>70</v>
      </c>
      <c r="E13" s="121">
        <f t="shared" si="0"/>
        <v>1</v>
      </c>
      <c r="F13" s="155">
        <f t="shared" si="3"/>
        <v>95.52</v>
      </c>
      <c r="G13" s="157">
        <f>IF(D13=D12,"",_xlfn.IFNA(VLOOKUP(D13,'인원 입력 기능 (사과탐)'!$K$5:$N$53,4,FALSE),0))</f>
        <v>382</v>
      </c>
      <c r="H13" s="158">
        <f t="shared" si="4"/>
        <v>1.5964560347709798E-2</v>
      </c>
      <c r="I13" s="160">
        <f>SUM($G$7:G13)</f>
        <v>1264</v>
      </c>
      <c r="J13" s="162">
        <f t="shared" si="5"/>
        <v>5.2825142092945504E-2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입력기능'!C46</f>
        <v>40</v>
      </c>
    </row>
    <row r="14" spans="1:17" ht="25" customHeight="1" x14ac:dyDescent="0.45">
      <c r="A14" s="4"/>
      <c r="B14" s="19"/>
      <c r="C14" s="76">
        <v>43</v>
      </c>
      <c r="D14" s="122"/>
      <c r="E14" s="122"/>
      <c r="F14" s="125"/>
      <c r="G14" s="156"/>
      <c r="H14" s="159"/>
      <c r="I14" s="161"/>
      <c r="J14" s="163"/>
      <c r="K14" s="28"/>
      <c r="L14" s="5" t="str">
        <f t="shared" si="1"/>
        <v>경고</v>
      </c>
      <c r="N14" s="1"/>
      <c r="P14" s="1">
        <v>8</v>
      </c>
      <c r="Q14" s="1">
        <f>'표준점수 등급컷 입력기능'!C47</f>
        <v>37</v>
      </c>
    </row>
    <row r="15" spans="1:17" ht="25" customHeight="1" x14ac:dyDescent="0.45">
      <c r="A15" s="4"/>
      <c r="B15" s="19"/>
      <c r="C15" s="69">
        <v>42</v>
      </c>
      <c r="D15" s="70">
        <f t="shared" si="2"/>
        <v>69</v>
      </c>
      <c r="E15" s="70">
        <f t="shared" si="0"/>
        <v>2</v>
      </c>
      <c r="F15" s="71">
        <f t="shared" si="3"/>
        <v>94.08</v>
      </c>
      <c r="G15" s="72">
        <f>IF(D15=D14,"",_xlfn.IFNA(VLOOKUP(D15,'인원 입력 기능 (사과탐)'!$K$5:$N$53,4,FALSE),0))</f>
        <v>303</v>
      </c>
      <c r="H15" s="73">
        <f t="shared" si="4"/>
        <v>1.2662988966900702E-2</v>
      </c>
      <c r="I15" s="77">
        <f>SUM($G$7:G15)</f>
        <v>1567</v>
      </c>
      <c r="J15" s="75">
        <f t="shared" si="5"/>
        <v>6.5488131059846202E-2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68</v>
      </c>
      <c r="E16" s="70">
        <f t="shared" si="0"/>
        <v>2</v>
      </c>
      <c r="F16" s="71">
        <f t="shared" si="3"/>
        <v>92.95</v>
      </c>
      <c r="G16" s="72">
        <f>IF(D16=D15,"",_xlfn.IFNA(VLOOKUP(D16,'인원 입력 기능 (사과탐)'!$K$5:$N$53,4,FALSE),0))</f>
        <v>242</v>
      </c>
      <c r="H16" s="73">
        <f t="shared" si="4"/>
        <v>1.0113674356402541E-2</v>
      </c>
      <c r="I16" s="77">
        <f>SUM($G$7:G16)</f>
        <v>1809</v>
      </c>
      <c r="J16" s="75">
        <f t="shared" si="5"/>
        <v>7.5601805416248752E-2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67</v>
      </c>
      <c r="E17" s="70">
        <f t="shared" si="0"/>
        <v>2</v>
      </c>
      <c r="F17" s="71">
        <f t="shared" si="3"/>
        <v>91.95</v>
      </c>
      <c r="G17" s="72">
        <f>IF(D17=D16,"",_xlfn.IFNA(VLOOKUP(D17,'인원 입력 기능 (사과탐)'!$K$5:$N$53,4,FALSE),0))</f>
        <v>233</v>
      </c>
      <c r="H17" s="73">
        <f t="shared" si="4"/>
        <v>9.7375459712470743E-3</v>
      </c>
      <c r="I17" s="77">
        <f>SUM($G$7:G17)</f>
        <v>2042</v>
      </c>
      <c r="J17" s="75">
        <f t="shared" si="5"/>
        <v>8.5339351387495821E-2</v>
      </c>
      <c r="K17" s="28"/>
      <c r="L17" s="5" t="str">
        <f t="shared" si="1"/>
        <v/>
      </c>
      <c r="N17" s="1"/>
      <c r="P17" s="1">
        <f>Q7*H3*H4*J3*IFERROR(IF(J57=1, 1, 0), 0)</f>
        <v>394599304.00800002</v>
      </c>
    </row>
    <row r="18" spans="1:16" ht="25" customHeight="1" x14ac:dyDescent="0.45">
      <c r="A18" s="4"/>
      <c r="B18" s="19"/>
      <c r="C18" s="76">
        <v>39</v>
      </c>
      <c r="D18" s="70">
        <f t="shared" si="2"/>
        <v>66</v>
      </c>
      <c r="E18" s="70">
        <f t="shared" si="0"/>
        <v>2</v>
      </c>
      <c r="F18" s="71">
        <f t="shared" si="3"/>
        <v>90.8</v>
      </c>
      <c r="G18" s="72">
        <f>IF(D18=D17,"",_xlfn.IFNA(VLOOKUP(D18,'인원 입력 기능 (사과탐)'!$K$5:$N$53,4,FALSE),0))</f>
        <v>317</v>
      </c>
      <c r="H18" s="73">
        <f t="shared" si="4"/>
        <v>1.3248077566031427E-2</v>
      </c>
      <c r="I18" s="77">
        <f>SUM($G$7:G18)</f>
        <v>2359</v>
      </c>
      <c r="J18" s="75">
        <f t="shared" si="5"/>
        <v>9.8587428953527248E-2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65</v>
      </c>
      <c r="E19" s="70">
        <f t="shared" si="0"/>
        <v>2</v>
      </c>
      <c r="F19" s="71">
        <f t="shared" si="3"/>
        <v>89.6</v>
      </c>
      <c r="G19" s="72">
        <f>IF(D19=D18,"",_xlfn.IFNA(VLOOKUP(D19,'인원 입력 기능 (사과탐)'!$K$5:$N$53,4,FALSE),0))</f>
        <v>261</v>
      </c>
      <c r="H19" s="73">
        <f t="shared" si="4"/>
        <v>1.0907723169508526E-2</v>
      </c>
      <c r="I19" s="77">
        <f>SUM($G$7:G19)</f>
        <v>2620</v>
      </c>
      <c r="J19" s="75">
        <f t="shared" si="5"/>
        <v>0.10949515212303577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64</v>
      </c>
      <c r="E20" s="70">
        <f t="shared" si="0"/>
        <v>2</v>
      </c>
      <c r="F20" s="71">
        <f t="shared" si="3"/>
        <v>88.44</v>
      </c>
      <c r="G20" s="72">
        <f>IF(D20=D19,"",_xlfn.IFNA(VLOOKUP(D20,'인원 입력 기능 (사과탐)'!$K$5:$N$53,4,FALSE),0))</f>
        <v>292</v>
      </c>
      <c r="H20" s="73">
        <f t="shared" si="4"/>
        <v>1.2203276496155132E-2</v>
      </c>
      <c r="I20" s="77">
        <f>SUM($G$7:G20)</f>
        <v>2912</v>
      </c>
      <c r="J20" s="75">
        <f t="shared" si="5"/>
        <v>0.1216984286191909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65">
        <f t="shared" si="2"/>
        <v>63</v>
      </c>
      <c r="E21" s="165">
        <f t="shared" si="0"/>
        <v>3</v>
      </c>
      <c r="F21" s="155">
        <f t="shared" si="3"/>
        <v>86.43</v>
      </c>
      <c r="G21" s="157">
        <f>IF(D21=D20,"",_xlfn.IFNA(VLOOKUP(D21,'인원 입력 기능 (사과탐)'!$K$5:$N$53,4,FALSE),0))</f>
        <v>672</v>
      </c>
      <c r="H21" s="158">
        <f t="shared" si="4"/>
        <v>2.8084252758274825E-2</v>
      </c>
      <c r="I21" s="160">
        <f>SUM($G$7:G21)</f>
        <v>3584</v>
      </c>
      <c r="J21" s="162">
        <f t="shared" si="5"/>
        <v>0.14978268137746573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164"/>
      <c r="E22" s="164"/>
      <c r="F22" s="125"/>
      <c r="G22" s="156"/>
      <c r="H22" s="159"/>
      <c r="I22" s="161"/>
      <c r="J22" s="163"/>
      <c r="K22" s="28"/>
      <c r="L22" s="5" t="str">
        <f t="shared" si="1"/>
        <v>경고</v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62</v>
      </c>
      <c r="E23" s="79">
        <f t="shared" si="0"/>
        <v>3</v>
      </c>
      <c r="F23" s="71">
        <f t="shared" si="3"/>
        <v>84.24</v>
      </c>
      <c r="G23" s="72">
        <f>IF(D23=D22,"",_xlfn.IFNA(VLOOKUP(D23,'인원 입력 기능 (사과탐)'!$K$5:$N$53,4,FALSE),0))</f>
        <v>372</v>
      </c>
      <c r="H23" s="73">
        <f t="shared" si="4"/>
        <v>1.5546639919759278E-2</v>
      </c>
      <c r="I23" s="77">
        <f>SUM($G$7:G23)</f>
        <v>3956</v>
      </c>
      <c r="J23" s="75">
        <f t="shared" si="5"/>
        <v>0.165329321297225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61</v>
      </c>
      <c r="E24" s="79">
        <f t="shared" si="0"/>
        <v>3</v>
      </c>
      <c r="F24" s="71">
        <f t="shared" si="3"/>
        <v>82.7</v>
      </c>
      <c r="G24" s="72">
        <f>IF(D24=D23,"",_xlfn.IFNA(VLOOKUP(D24,'인원 입력 기능 (사과탐)'!$K$5:$N$53,4,FALSE),0))</f>
        <v>369</v>
      </c>
      <c r="H24" s="73">
        <f t="shared" si="4"/>
        <v>1.5421263791374122E-2</v>
      </c>
      <c r="I24" s="77">
        <f>SUM($G$7:G24)</f>
        <v>4325</v>
      </c>
      <c r="J24" s="75">
        <f t="shared" si="5"/>
        <v>0.18075058508859912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60</v>
      </c>
      <c r="E25" s="79">
        <f t="shared" si="0"/>
        <v>3</v>
      </c>
      <c r="F25" s="71">
        <f t="shared" si="3"/>
        <v>81.12</v>
      </c>
      <c r="G25" s="72">
        <f>IF(D25=D24,"",_xlfn.IFNA(VLOOKUP(D25,'인원 입력 기능 (사과탐)'!$K$5:$N$53,4,FALSE),0))</f>
        <v>383</v>
      </c>
      <c r="H25" s="73">
        <f t="shared" si="4"/>
        <v>1.6006352390504849E-2</v>
      </c>
      <c r="I25" s="77">
        <f>SUM($G$7:G25)</f>
        <v>4708</v>
      </c>
      <c r="J25" s="75">
        <f t="shared" si="5"/>
        <v>0.19675693747910397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59</v>
      </c>
      <c r="E26" s="79">
        <f t="shared" si="0"/>
        <v>3</v>
      </c>
      <c r="F26" s="71">
        <f t="shared" si="3"/>
        <v>79.5</v>
      </c>
      <c r="G26" s="72">
        <f>IF(D26=D25,"",_xlfn.IFNA(VLOOKUP(D26,'인원 입력 기능 (사과탐)'!$K$5:$N$53,4,FALSE),0))</f>
        <v>393</v>
      </c>
      <c r="H26" s="73">
        <f t="shared" si="4"/>
        <v>1.6424272818455366E-2</v>
      </c>
      <c r="I26" s="77">
        <f>SUM($G$7:G26)</f>
        <v>5101</v>
      </c>
      <c r="J26" s="75">
        <f t="shared" si="5"/>
        <v>0.21318121029755935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58</v>
      </c>
      <c r="E27" s="79">
        <f t="shared" si="0"/>
        <v>3</v>
      </c>
      <c r="F27" s="71">
        <f t="shared" si="3"/>
        <v>77.88</v>
      </c>
      <c r="G27" s="72">
        <f>IF(D27=D26,"",_xlfn.IFNA(VLOOKUP(D27,'인원 입력 기능 (사과탐)'!$K$5:$N$53,4,FALSE),0))</f>
        <v>383</v>
      </c>
      <c r="H27" s="73">
        <f t="shared" si="4"/>
        <v>1.6006352390504849E-2</v>
      </c>
      <c r="I27" s="77">
        <f>SUM($G$7:G27)</f>
        <v>5484</v>
      </c>
      <c r="J27" s="75">
        <f t="shared" si="5"/>
        <v>0.2291875626880642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57</v>
      </c>
      <c r="E28" s="79">
        <f t="shared" si="0"/>
        <v>3</v>
      </c>
      <c r="F28" s="71">
        <f t="shared" si="3"/>
        <v>76.13</v>
      </c>
      <c r="G28" s="72">
        <f>IF(D28=D27,"",_xlfn.IFNA(VLOOKUP(D28,'인원 입력 기능 (사과탐)'!$K$5:$N$53,4,FALSE),0))</f>
        <v>454</v>
      </c>
      <c r="H28" s="73">
        <f t="shared" si="4"/>
        <v>1.8973587428953526E-2</v>
      </c>
      <c r="I28" s="77">
        <f>SUM($G$7:G28)</f>
        <v>5938</v>
      </c>
      <c r="J28" s="75">
        <f t="shared" si="5"/>
        <v>0.24816115011701773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56</v>
      </c>
      <c r="E29" s="79">
        <f t="shared" si="0"/>
        <v>4</v>
      </c>
      <c r="F29" s="71">
        <f t="shared" si="3"/>
        <v>74.14</v>
      </c>
      <c r="G29" s="72">
        <f>IF(D29=D28,"",_xlfn.IFNA(VLOOKUP(D29,'인원 입력 기능 (사과탐)'!$K$5:$N$53,4,FALSE),0))</f>
        <v>499</v>
      </c>
      <c r="H29" s="73">
        <f t="shared" si="4"/>
        <v>2.0854229354730858E-2</v>
      </c>
      <c r="I29" s="77">
        <f>SUM($G$7:G29)</f>
        <v>6437</v>
      </c>
      <c r="J29" s="75">
        <f t="shared" si="5"/>
        <v>0.26901537947174858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65">
        <f t="shared" si="2"/>
        <v>55</v>
      </c>
      <c r="E30" s="165">
        <f t="shared" si="0"/>
        <v>4</v>
      </c>
      <c r="F30" s="155">
        <f t="shared" si="3"/>
        <v>71.099999999999994</v>
      </c>
      <c r="G30" s="157">
        <f>IF(D30=D29,"",_xlfn.IFNA(VLOOKUP(D30,'인원 입력 기능 (사과탐)'!$K$5:$N$53,4,FALSE),0))</f>
        <v>958</v>
      </c>
      <c r="H30" s="158">
        <f t="shared" si="4"/>
        <v>4.0036776997659645E-2</v>
      </c>
      <c r="I30" s="160">
        <f>SUM($G$7:G30)</f>
        <v>7395</v>
      </c>
      <c r="J30" s="162">
        <f t="shared" si="5"/>
        <v>0.3090521564694082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64"/>
      <c r="E31" s="164"/>
      <c r="F31" s="125"/>
      <c r="G31" s="156"/>
      <c r="H31" s="159"/>
      <c r="I31" s="161"/>
      <c r="J31" s="163"/>
      <c r="K31" s="28"/>
      <c r="L31" s="5" t="str">
        <f t="shared" si="1"/>
        <v>경고</v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54</v>
      </c>
      <c r="E32" s="79">
        <f t="shared" si="0"/>
        <v>4</v>
      </c>
      <c r="F32" s="71">
        <f t="shared" si="3"/>
        <v>67.930000000000007</v>
      </c>
      <c r="G32" s="72">
        <f>IF(D32=D31,"",_xlfn.IFNA(VLOOKUP(D32,'인원 입력 기능 (사과탐)'!$K$5:$N$53,4,FALSE),0))</f>
        <v>557</v>
      </c>
      <c r="H32" s="73">
        <f t="shared" si="4"/>
        <v>2.3278167836843864E-2</v>
      </c>
      <c r="I32" s="77">
        <f>SUM($G$7:G32)</f>
        <v>7952</v>
      </c>
      <c r="J32" s="75">
        <f t="shared" si="5"/>
        <v>0.33233032430625209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53</v>
      </c>
      <c r="E33" s="79">
        <f t="shared" si="0"/>
        <v>4</v>
      </c>
      <c r="F33" s="71">
        <f t="shared" si="3"/>
        <v>65.650000000000006</v>
      </c>
      <c r="G33" s="72">
        <f>IF(D33=D32,"",_xlfn.IFNA(VLOOKUP(D33,'인원 입력 기능 (사과탐)'!$K$5:$N$53,4,FALSE),0))</f>
        <v>536</v>
      </c>
      <c r="H33" s="73">
        <f t="shared" si="4"/>
        <v>2.2400534938147778E-2</v>
      </c>
      <c r="I33" s="77">
        <f>SUM($G$7:G33)</f>
        <v>8488</v>
      </c>
      <c r="J33" s="75">
        <f t="shared" si="5"/>
        <v>0.35473085924439984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52</v>
      </c>
      <c r="E34" s="79">
        <f t="shared" si="0"/>
        <v>4</v>
      </c>
      <c r="F34" s="71">
        <f t="shared" si="3"/>
        <v>63.29</v>
      </c>
      <c r="G34" s="72">
        <f>IF(D34=D33,"",_xlfn.IFNA(VLOOKUP(D34,'인원 입력 기능 (사과탐)'!$K$5:$N$53,4,FALSE),0))</f>
        <v>593</v>
      </c>
      <c r="H34" s="73">
        <f t="shared" si="4"/>
        <v>2.478268137746573E-2</v>
      </c>
      <c r="I34" s="77">
        <f>SUM($G$7:G34)</f>
        <v>9081</v>
      </c>
      <c r="J34" s="75">
        <f t="shared" si="5"/>
        <v>0.3795135406218656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51</v>
      </c>
      <c r="E35" s="79">
        <f t="shared" si="0"/>
        <v>4</v>
      </c>
      <c r="F35" s="71">
        <f t="shared" si="3"/>
        <v>60.76</v>
      </c>
      <c r="G35" s="72">
        <f>IF(D35=D34,"",_xlfn.IFNA(VLOOKUP(D35,'인원 입력 기능 (사과탐)'!$K$5:$N$53,4,FALSE),0))</f>
        <v>616</v>
      </c>
      <c r="H35" s="73">
        <f t="shared" si="4"/>
        <v>2.5743898361751921E-2</v>
      </c>
      <c r="I35" s="77">
        <f>SUM($G$7:G35)</f>
        <v>9697</v>
      </c>
      <c r="J35" s="75">
        <f t="shared" si="5"/>
        <v>0.40525743898361755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50</v>
      </c>
      <c r="E36" s="79">
        <f t="shared" si="0"/>
        <v>5</v>
      </c>
      <c r="F36" s="71">
        <f t="shared" si="3"/>
        <v>58.32</v>
      </c>
      <c r="G36" s="72">
        <f>IF(D36=D35,"",_xlfn.IFNA(VLOOKUP(D36,'인원 입력 기능 (사과탐)'!$K$5:$N$53,4,FALSE),0))</f>
        <v>552</v>
      </c>
      <c r="H36" s="73">
        <f t="shared" si="4"/>
        <v>2.3069207622868605E-2</v>
      </c>
      <c r="I36" s="77">
        <f>SUM($G$7:G36)</f>
        <v>10249</v>
      </c>
      <c r="J36" s="75">
        <f t="shared" si="5"/>
        <v>0.42832664660648612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49</v>
      </c>
      <c r="E37" s="79">
        <f t="shared" si="0"/>
        <v>5</v>
      </c>
      <c r="F37" s="71">
        <f t="shared" si="3"/>
        <v>55.7</v>
      </c>
      <c r="G37" s="72">
        <f>IF(D37=D36,"",_xlfn.IFNA(VLOOKUP(D37,'인원 입력 기능 (사과탐)'!$K$5:$N$53,4,FALSE),0))</f>
        <v>701</v>
      </c>
      <c r="H37" s="73">
        <f t="shared" si="4"/>
        <v>2.9296221999331327E-2</v>
      </c>
      <c r="I37" s="77">
        <f>SUM($G$7:G37)</f>
        <v>10950</v>
      </c>
      <c r="J37" s="75">
        <f t="shared" si="5"/>
        <v>0.45762286860581747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48</v>
      </c>
      <c r="E38" s="79">
        <f t="shared" si="0"/>
        <v>5</v>
      </c>
      <c r="F38" s="71">
        <f t="shared" si="3"/>
        <v>52.94</v>
      </c>
      <c r="G38" s="72">
        <f>IF(D38=D37,"",_xlfn.IFNA(VLOOKUP(D38,'인원 입력 기능 (사과탐)'!$K$5:$N$53,4,FALSE),0))</f>
        <v>620</v>
      </c>
      <c r="H38" s="73">
        <f t="shared" si="4"/>
        <v>2.5911066532932129E-2</v>
      </c>
      <c r="I38" s="77">
        <f>SUM($G$7:G38)</f>
        <v>11570</v>
      </c>
      <c r="J38" s="75">
        <f t="shared" si="5"/>
        <v>0.48353393513874959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165">
        <f t="shared" si="2"/>
        <v>47</v>
      </c>
      <c r="E39" s="165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55">
        <f t="shared" si="3"/>
        <v>48.45</v>
      </c>
      <c r="G39" s="157">
        <f>IF(D39=D38,"",_xlfn.IFNA(VLOOKUP(D39,'인원 입력 기능 (사과탐)'!$K$5:$N$53,4,FALSE),0))</f>
        <v>1530</v>
      </c>
      <c r="H39" s="158">
        <f t="shared" si="4"/>
        <v>6.3941825476429293E-2</v>
      </c>
      <c r="I39" s="160">
        <f>SUM($G$7:G39)</f>
        <v>13100</v>
      </c>
      <c r="J39" s="162">
        <f t="shared" si="5"/>
        <v>0.54747576061517889</v>
      </c>
      <c r="K39" s="28"/>
      <c r="L39" s="5" t="str">
        <f t="shared" si="1"/>
        <v>경고</v>
      </c>
      <c r="N39" s="1"/>
    </row>
    <row r="40" spans="1:14" ht="25" customHeight="1" x14ac:dyDescent="0.45">
      <c r="A40" s="4"/>
      <c r="B40" s="19"/>
      <c r="C40" s="80">
        <v>17</v>
      </c>
      <c r="D40" s="164"/>
      <c r="E40" s="164"/>
      <c r="F40" s="125"/>
      <c r="G40" s="156"/>
      <c r="H40" s="159"/>
      <c r="I40" s="161"/>
      <c r="J40" s="163"/>
      <c r="K40" s="28"/>
      <c r="L40" s="5" t="str">
        <f t="shared" si="1"/>
        <v>경고</v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46</v>
      </c>
      <c r="E41" s="79">
        <f t="shared" si="6"/>
        <v>5</v>
      </c>
      <c r="F41" s="71">
        <f t="shared" si="3"/>
        <v>43.76</v>
      </c>
      <c r="G41" s="72">
        <f>IF(D41=D40,"",_xlfn.IFNA(VLOOKUP(D41,'인원 입력 기능 (사과탐)'!$K$5:$N$53,4,FALSE),0))</f>
        <v>712</v>
      </c>
      <c r="H41" s="73">
        <f t="shared" si="4"/>
        <v>2.9755934470076899E-2</v>
      </c>
      <c r="I41" s="77">
        <f>SUM($G$7:G41)</f>
        <v>13812</v>
      </c>
      <c r="J41" s="75">
        <f t="shared" si="5"/>
        <v>0.57723169508525574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45</v>
      </c>
      <c r="E42" s="79">
        <f t="shared" si="6"/>
        <v>5</v>
      </c>
      <c r="F42" s="71">
        <f t="shared" si="3"/>
        <v>40.369999999999997</v>
      </c>
      <c r="G42" s="72">
        <f>IF(D42=D41,"",_xlfn.IFNA(VLOOKUP(D42,'인원 입력 기능 (사과탐)'!$K$5:$N$53,4,FALSE),0))</f>
        <v>914</v>
      </c>
      <c r="H42" s="73">
        <f t="shared" si="4"/>
        <v>3.8197927114677364E-2</v>
      </c>
      <c r="I42" s="77">
        <f>SUM($G$7:G42)</f>
        <v>14726</v>
      </c>
      <c r="J42" s="75">
        <f t="shared" si="5"/>
        <v>0.61542962219993314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44</v>
      </c>
      <c r="E43" s="79">
        <f t="shared" si="6"/>
        <v>6</v>
      </c>
      <c r="F43" s="71">
        <f t="shared" si="3"/>
        <v>36.76</v>
      </c>
      <c r="G43" s="72">
        <f>IF(D43=D42,"",_xlfn.IFNA(VLOOKUP(D43,'인원 입력 기능 (사과탐)'!$K$5:$N$53,4,FALSE),0))</f>
        <v>813</v>
      </c>
      <c r="H43" s="73">
        <f t="shared" si="4"/>
        <v>3.3976930792377132E-2</v>
      </c>
      <c r="I43" s="77">
        <f>SUM($G$7:G43)</f>
        <v>15539</v>
      </c>
      <c r="J43" s="75">
        <f t="shared" si="5"/>
        <v>0.64940655299231032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43</v>
      </c>
      <c r="E44" s="79">
        <f t="shared" si="6"/>
        <v>6</v>
      </c>
      <c r="F44" s="71">
        <f t="shared" si="3"/>
        <v>33.14</v>
      </c>
      <c r="G44" s="72">
        <f>IF(D44=D43,"",_xlfn.IFNA(VLOOKUP(D44,'인원 입력 기능 (사과탐)'!$K$5:$N$53,4,FALSE),0))</f>
        <v>919</v>
      </c>
      <c r="H44" s="73">
        <f t="shared" si="4"/>
        <v>3.8406887328652627E-2</v>
      </c>
      <c r="I44" s="77">
        <f>SUM($G$7:G44)</f>
        <v>16458</v>
      </c>
      <c r="J44" s="75">
        <f t="shared" si="5"/>
        <v>0.68781344032096292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42</v>
      </c>
      <c r="E45" s="79">
        <f t="shared" si="6"/>
        <v>6</v>
      </c>
      <c r="F45" s="71">
        <f t="shared" si="3"/>
        <v>27.74</v>
      </c>
      <c r="G45" s="72">
        <f>IF(D45=D44,"",_xlfn.IFNA(VLOOKUP(D45,'인원 입력 기능 (사과탐)'!$K$5:$N$53,4,FALSE),0))</f>
        <v>1665</v>
      </c>
      <c r="H45" s="73">
        <f t="shared" si="4"/>
        <v>6.9583751253761289E-2</v>
      </c>
      <c r="I45" s="77">
        <f>SUM($G$7:G45)</f>
        <v>18123</v>
      </c>
      <c r="J45" s="75">
        <f t="shared" si="5"/>
        <v>0.75739719157472418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41</v>
      </c>
      <c r="E46" s="79">
        <f t="shared" si="6"/>
        <v>6</v>
      </c>
      <c r="F46" s="71">
        <f t="shared" si="3"/>
        <v>19.95</v>
      </c>
      <c r="G46" s="72">
        <f>IF(D46=D45,"",_xlfn.IFNA(VLOOKUP(D46,'인원 입력 기능 (사과탐)'!$K$5:$N$53,4,FALSE),0))</f>
        <v>2065</v>
      </c>
      <c r="H46" s="73">
        <f t="shared" si="4"/>
        <v>8.6300568371782016E-2</v>
      </c>
      <c r="I46" s="77">
        <f>SUM($G$7:G46)</f>
        <v>20188</v>
      </c>
      <c r="J46" s="75">
        <f t="shared" si="5"/>
        <v>0.8436977599465062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65">
        <f t="shared" si="2"/>
        <v>40</v>
      </c>
      <c r="E47" s="165">
        <f t="shared" si="6"/>
        <v>7</v>
      </c>
      <c r="F47" s="155">
        <f t="shared" si="3"/>
        <v>12.26</v>
      </c>
      <c r="G47" s="157">
        <f>IF(D47=D46,"",_xlfn.IFNA(VLOOKUP(D47,'인원 입력 기능 (사과탐)'!$K$5:$N$53,4,FALSE),0))</f>
        <v>1612</v>
      </c>
      <c r="H47" s="158">
        <f t="shared" si="4"/>
        <v>6.7368772985623535E-2</v>
      </c>
      <c r="I47" s="160">
        <f>SUM($G$7:G47)</f>
        <v>21800</v>
      </c>
      <c r="J47" s="162">
        <f t="shared" si="5"/>
        <v>0.91106653293212969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164"/>
      <c r="E48" s="164"/>
      <c r="F48" s="125"/>
      <c r="G48" s="156"/>
      <c r="H48" s="159"/>
      <c r="I48" s="161"/>
      <c r="J48" s="163"/>
      <c r="K48" s="28"/>
      <c r="L48" s="5" t="str">
        <f t="shared" si="1"/>
        <v>경고</v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39</v>
      </c>
      <c r="E49" s="79">
        <f t="shared" si="6"/>
        <v>8</v>
      </c>
      <c r="F49" s="71">
        <f t="shared" si="3"/>
        <v>7.69</v>
      </c>
      <c r="G49" s="72">
        <f>IF(D49=D48,"",_xlfn.IFNA(VLOOKUP(D49,'인원 입력 기능 (사과탐)'!$K$5:$N$53,4,FALSE),0))</f>
        <v>578</v>
      </c>
      <c r="H49" s="73">
        <f t="shared" si="4"/>
        <v>2.4155800735539953E-2</v>
      </c>
      <c r="I49" s="77">
        <f>SUM($G$7:G49)</f>
        <v>22378</v>
      </c>
      <c r="J49" s="75">
        <f t="shared" si="5"/>
        <v>0.93522233366766971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38</v>
      </c>
      <c r="E50" s="79">
        <f t="shared" si="6"/>
        <v>8</v>
      </c>
      <c r="F50" s="71">
        <f t="shared" si="3"/>
        <v>5.27</v>
      </c>
      <c r="G50" s="72">
        <f>IF(D50=D49,"",_xlfn.IFNA(VLOOKUP(D50,'인원 입력 기능 (사과탐)'!$K$5:$N$53,4,FALSE),0))</f>
        <v>579</v>
      </c>
      <c r="H50" s="73">
        <f t="shared" si="4"/>
        <v>2.4197592778335004E-2</v>
      </c>
      <c r="I50" s="77">
        <f>SUM($G$7:G50)</f>
        <v>22957</v>
      </c>
      <c r="J50" s="75">
        <f t="shared" si="5"/>
        <v>0.95941992644600471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37</v>
      </c>
      <c r="E51" s="79">
        <f t="shared" si="6"/>
        <v>8</v>
      </c>
      <c r="F51" s="71">
        <f t="shared" si="3"/>
        <v>3.5</v>
      </c>
      <c r="G51" s="72">
        <f>IF(D51=D50,"",_xlfn.IFNA(VLOOKUP(D51,'인원 입력 기능 (사과탐)'!$K$5:$N$53,4,FALSE),0))</f>
        <v>267</v>
      </c>
      <c r="H51" s="73">
        <f t="shared" si="4"/>
        <v>1.1158475426278836E-2</v>
      </c>
      <c r="I51" s="77">
        <f>SUM($G$7:G51)</f>
        <v>23224</v>
      </c>
      <c r="J51" s="75">
        <f t="shared" si="5"/>
        <v>0.9705784018722835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36</v>
      </c>
      <c r="E52" s="79">
        <f t="shared" si="6"/>
        <v>9</v>
      </c>
      <c r="F52" s="71">
        <f t="shared" si="3"/>
        <v>2.34</v>
      </c>
      <c r="G52" s="72">
        <f>IF(D52=D51,"",_xlfn.IFNA(VLOOKUP(D52,'인원 입력 기능 (사과탐)'!$K$5:$N$53,4,FALSE),0))</f>
        <v>290</v>
      </c>
      <c r="H52" s="73">
        <f t="shared" si="4"/>
        <v>1.2119692410565028E-2</v>
      </c>
      <c r="I52" s="77">
        <f>SUM($G$7:G52)</f>
        <v>23514</v>
      </c>
      <c r="J52" s="75">
        <f t="shared" si="5"/>
        <v>0.9826980942828486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35</v>
      </c>
      <c r="E53" s="70">
        <f t="shared" si="6"/>
        <v>9</v>
      </c>
      <c r="F53" s="71">
        <f t="shared" si="3"/>
        <v>1.36</v>
      </c>
      <c r="G53" s="72">
        <f>IF(D53=D52,"",_xlfn.IFNA(VLOOKUP(D53,'인원 입력 기능 (사과탐)'!$K$5:$N$53,4,FALSE),0))</f>
        <v>176</v>
      </c>
      <c r="H53" s="73">
        <f t="shared" si="4"/>
        <v>7.3553995319291209E-3</v>
      </c>
      <c r="I53" s="77">
        <f>SUM($G$7:G53)</f>
        <v>23690</v>
      </c>
      <c r="J53" s="75">
        <f t="shared" si="5"/>
        <v>0.9900534938147777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34</v>
      </c>
      <c r="E54" s="70">
        <f t="shared" si="6"/>
        <v>9</v>
      </c>
      <c r="F54" s="71">
        <f t="shared" si="3"/>
        <v>0.79</v>
      </c>
      <c r="G54" s="72">
        <f>IF(D54=D53,"",_xlfn.IFNA(VLOOKUP(D54,'인원 입력 기능 (사과탐)'!$K$5:$N$53,4,FALSE),0))</f>
        <v>97</v>
      </c>
      <c r="H54" s="73">
        <f t="shared" si="4"/>
        <v>4.0538281511200269E-3</v>
      </c>
      <c r="I54" s="77">
        <f>SUM($G$7:G54)</f>
        <v>23787</v>
      </c>
      <c r="J54" s="75">
        <f t="shared" si="5"/>
        <v>0.99410732196589768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33</v>
      </c>
      <c r="E55" s="70">
        <f t="shared" si="6"/>
        <v>9</v>
      </c>
      <c r="F55" s="71">
        <f t="shared" si="3"/>
        <v>0.36</v>
      </c>
      <c r="G55" s="72">
        <f>IF(D55=D54,"",_xlfn.IFNA(VLOOKUP(D55,'인원 입력 기능 (사과탐)'!$K$5:$N$53,4,FALSE),0))</f>
        <v>109</v>
      </c>
      <c r="H55" s="73">
        <f t="shared" si="4"/>
        <v>4.5553326646606482E-3</v>
      </c>
      <c r="I55" s="77">
        <f>SUM($G$7:G55)</f>
        <v>23896</v>
      </c>
      <c r="J55" s="75">
        <f t="shared" si="5"/>
        <v>0.99866265463055837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7.0000000000000007E-2</v>
      </c>
      <c r="G57" s="85">
        <f>_xlfn.IFNA(VLOOKUP(D57,'인원 입력 기능 (사과탐)'!$K$5:$N$53,4,FALSE),0)</f>
        <v>32</v>
      </c>
      <c r="H57" s="86">
        <f>G57/$J$3</f>
        <v>1.3373453694416582E-3</v>
      </c>
      <c r="I57" s="87">
        <f>SUM($G$7:G57)</f>
        <v>23928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0">
    <mergeCell ref="I39:I40"/>
    <mergeCell ref="J39:J40"/>
    <mergeCell ref="D47:D48"/>
    <mergeCell ref="E47:E48"/>
    <mergeCell ref="F47:F48"/>
    <mergeCell ref="G47:G48"/>
    <mergeCell ref="H47:H48"/>
    <mergeCell ref="I47:I48"/>
    <mergeCell ref="J47:J48"/>
    <mergeCell ref="D39:D40"/>
    <mergeCell ref="E39:E40"/>
    <mergeCell ref="F39:F40"/>
    <mergeCell ref="G39:G40"/>
    <mergeCell ref="H39:H40"/>
    <mergeCell ref="H21:H22"/>
    <mergeCell ref="I21:I22"/>
    <mergeCell ref="J21:J22"/>
    <mergeCell ref="D30:D31"/>
    <mergeCell ref="E30:E31"/>
    <mergeCell ref="F30:F31"/>
    <mergeCell ref="G30:G31"/>
    <mergeCell ref="H30:H31"/>
    <mergeCell ref="I30:I31"/>
    <mergeCell ref="J30:J31"/>
    <mergeCell ref="D3:F3"/>
    <mergeCell ref="D4:F4"/>
    <mergeCell ref="D8:J8"/>
    <mergeCell ref="D56:J56"/>
    <mergeCell ref="G5:J5"/>
    <mergeCell ref="D13:D14"/>
    <mergeCell ref="E13:E14"/>
    <mergeCell ref="F13:F14"/>
    <mergeCell ref="G13:G14"/>
    <mergeCell ref="H13:H14"/>
    <mergeCell ref="I13:I14"/>
    <mergeCell ref="J13:J14"/>
    <mergeCell ref="D21:D22"/>
    <mergeCell ref="E21:E22"/>
    <mergeCell ref="F21:F22"/>
    <mergeCell ref="G21:G22"/>
  </mergeCells>
  <phoneticPr fontId="1" type="noConversion"/>
  <conditionalFormatting sqref="D7:D13 D15:D21 D23:D30 D32:D39 D41:D47 D49:D57">
    <cfRule type="expression" dxfId="46" priority="1">
      <formula>$D7=$D8</formula>
    </cfRule>
  </conditionalFormatting>
  <conditionalFormatting sqref="C7:C57">
    <cfRule type="expression" dxfId="45" priority="2">
      <formula>OR(AND($D7=0,OR($D6=$Q$7:$Q$14)),AND($D8&gt;0,OR($D7=$Q$7:$Q$14)))</formula>
    </cfRule>
  </conditionalFormatting>
  <conditionalFormatting sqref="D7:J7 D8 D57:J57 D56 D9:J13 D15:J21 D23:J30 D32:J39 D41:J47 D49:J55">
    <cfRule type="expression" dxfId="44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기능'!D9</f>
        <v>24.09</v>
      </c>
      <c r="I3" s="15" t="s">
        <v>84</v>
      </c>
      <c r="J3" s="35">
        <f>'통계 및 응시자 수 입력 기능'!C9</f>
        <v>21058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101</v>
      </c>
      <c r="E4" s="108"/>
      <c r="F4" s="109"/>
      <c r="G4" s="37" t="s">
        <v>87</v>
      </c>
      <c r="H4" s="38" t="str">
        <f>'통계 및 응시자 수 입력 기능'!E9</f>
        <v>12.44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71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98.83</v>
      </c>
      <c r="G7" s="72">
        <f>_xlfn.IFNA(VLOOKUP(D7,'인원 입력 기능 (사과탐)'!$P$5:$S$53,4,FALSE),0)</f>
        <v>494</v>
      </c>
      <c r="H7" s="73">
        <f>G7/$J$3</f>
        <v>2.3459017950422642E-2</v>
      </c>
      <c r="I7" s="74">
        <f>G7</f>
        <v>494</v>
      </c>
      <c r="J7" s="75">
        <f>I7/$J$3</f>
        <v>2.3459017950422642E-2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입력기능'!C49</f>
        <v>68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입력기능'!C50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69</v>
      </c>
      <c r="E9" s="70">
        <f t="shared" si="0"/>
        <v>1</v>
      </c>
      <c r="F9" s="71">
        <f>IF(I8=0,ROUND(100*(1-(I7+I9)/2/$J$3),2),ROUND(100*(1-(I8+I9)/2/$J$3),2))</f>
        <v>96.86</v>
      </c>
      <c r="G9" s="72">
        <f>_xlfn.IFNA(VLOOKUP(D9,'인원 입력 기능 (사과탐)'!$P$5:$S$53,4,FALSE),0)</f>
        <v>334</v>
      </c>
      <c r="H9" s="73">
        <f>G9/$J$3</f>
        <v>1.5860955456358627E-2</v>
      </c>
      <c r="I9" s="77">
        <f>SUM($G$7:G9)</f>
        <v>828</v>
      </c>
      <c r="J9" s="75">
        <f>I9/$J$3</f>
        <v>3.931997340678127E-2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입력기능'!C51</f>
        <v>59</v>
      </c>
    </row>
    <row r="10" spans="1:17" ht="25" customHeight="1" x14ac:dyDescent="0.45">
      <c r="A10" s="4"/>
      <c r="B10" s="19"/>
      <c r="C10" s="76">
        <v>47</v>
      </c>
      <c r="D10" s="121">
        <f t="shared" ref="D10:D55" si="2">ROUND(10*(C10-$H$3)/$H$4+50,0)</f>
        <v>68</v>
      </c>
      <c r="E10" s="121">
        <f t="shared" si="0"/>
        <v>1</v>
      </c>
      <c r="F10" s="155">
        <f t="shared" ref="F10:F55" si="3">IF(I9=0,ROUND(100*(1-(I8+I10)/2/$J$3),2),ROUND(100*(1-(I9+I10)/2/$J$3),2))</f>
        <v>94.95</v>
      </c>
      <c r="G10" s="157">
        <f>IF(D10=D9,"",_xlfn.IFNA(VLOOKUP(D10,'인원 입력 기능 (사과탐)'!$P$5:$S$53,4,FALSE),0))</f>
        <v>472</v>
      </c>
      <c r="H10" s="158">
        <f t="shared" ref="H10:H55" si="4">G10/$J$3</f>
        <v>2.241428435748884E-2</v>
      </c>
      <c r="I10" s="160">
        <f>SUM($G$7:G10)</f>
        <v>1300</v>
      </c>
      <c r="J10" s="162">
        <f t="shared" ref="J10:J55" si="5">I10/$J$3</f>
        <v>6.1734257764270113E-2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입력기능'!C52</f>
        <v>52</v>
      </c>
    </row>
    <row r="11" spans="1:17" ht="25" customHeight="1" x14ac:dyDescent="0.45">
      <c r="A11" s="4"/>
      <c r="B11" s="19"/>
      <c r="C11" s="69">
        <v>46</v>
      </c>
      <c r="D11" s="122"/>
      <c r="E11" s="122"/>
      <c r="F11" s="125"/>
      <c r="G11" s="156"/>
      <c r="H11" s="159"/>
      <c r="I11" s="161"/>
      <c r="J11" s="163"/>
      <c r="K11" s="28"/>
      <c r="L11" s="5" t="str">
        <f t="shared" si="1"/>
        <v>경고</v>
      </c>
      <c r="N11" s="1"/>
      <c r="P11" s="1">
        <v>5</v>
      </c>
      <c r="Q11" s="1">
        <f>'표준점수 등급컷 입력기능'!C53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67</v>
      </c>
      <c r="E12" s="70">
        <f t="shared" si="0"/>
        <v>2</v>
      </c>
      <c r="F12" s="71">
        <f t="shared" si="3"/>
        <v>92.91</v>
      </c>
      <c r="G12" s="72">
        <f>IF(D12=D11,"",_xlfn.IFNA(VLOOKUP(D12,'인원 입력 기능 (사과탐)'!$P$5:$S$53,4,FALSE),0))</f>
        <v>384</v>
      </c>
      <c r="H12" s="73">
        <f t="shared" si="4"/>
        <v>1.8235349985753633E-2</v>
      </c>
      <c r="I12" s="77">
        <f>SUM($G$7:G12)</f>
        <v>1684</v>
      </c>
      <c r="J12" s="75">
        <f t="shared" si="5"/>
        <v>7.996960775002375E-2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입력기능'!C54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66</v>
      </c>
      <c r="E13" s="70">
        <f t="shared" si="0"/>
        <v>2</v>
      </c>
      <c r="F13" s="71">
        <f t="shared" si="3"/>
        <v>91.37</v>
      </c>
      <c r="G13" s="72">
        <f>IF(D13=D12,"",_xlfn.IFNA(VLOOKUP(D13,'인원 입력 기능 (사과탐)'!$P$5:$S$53,4,FALSE),0))</f>
        <v>267</v>
      </c>
      <c r="H13" s="73">
        <f t="shared" si="4"/>
        <v>1.2679266786969323E-2</v>
      </c>
      <c r="I13" s="77">
        <f>SUM($G$7:G13)</f>
        <v>1951</v>
      </c>
      <c r="J13" s="75">
        <f t="shared" si="5"/>
        <v>9.2648874536993067E-2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입력기능'!C55</f>
        <v>39</v>
      </c>
    </row>
    <row r="14" spans="1:17" ht="25" customHeight="1" x14ac:dyDescent="0.45">
      <c r="A14" s="4"/>
      <c r="B14" s="19"/>
      <c r="C14" s="76">
        <v>43</v>
      </c>
      <c r="D14" s="70">
        <f t="shared" si="2"/>
        <v>65</v>
      </c>
      <c r="E14" s="70">
        <f t="shared" si="0"/>
        <v>2</v>
      </c>
      <c r="F14" s="71">
        <f t="shared" si="3"/>
        <v>90.07</v>
      </c>
      <c r="G14" s="72">
        <f>IF(D14=D13,"",_xlfn.IFNA(VLOOKUP(D14,'인원 입력 기능 (사과탐)'!$P$5:$S$53,4,FALSE),0))</f>
        <v>280</v>
      </c>
      <c r="H14" s="73">
        <f t="shared" si="4"/>
        <v>1.3296609364612024E-2</v>
      </c>
      <c r="I14" s="77">
        <f>SUM($G$7:G14)</f>
        <v>2231</v>
      </c>
      <c r="J14" s="75">
        <f t="shared" si="5"/>
        <v>0.10594548390160509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입력기능'!C56</f>
        <v>36</v>
      </c>
    </row>
    <row r="15" spans="1:17" ht="25" customHeight="1" x14ac:dyDescent="0.45">
      <c r="A15" s="4"/>
      <c r="B15" s="19"/>
      <c r="C15" s="69">
        <v>42</v>
      </c>
      <c r="D15" s="121">
        <f t="shared" si="2"/>
        <v>64</v>
      </c>
      <c r="E15" s="121">
        <f t="shared" si="0"/>
        <v>2</v>
      </c>
      <c r="F15" s="155">
        <f t="shared" si="3"/>
        <v>87.93</v>
      </c>
      <c r="G15" s="157">
        <f>IF(D15=D14,"",_xlfn.IFNA(VLOOKUP(D15,'인원 입력 기능 (사과탐)'!$P$5:$S$53,4,FALSE),0))</f>
        <v>623</v>
      </c>
      <c r="H15" s="158">
        <f t="shared" si="4"/>
        <v>2.9584955836261754E-2</v>
      </c>
      <c r="I15" s="160">
        <f>SUM($G$7:G15)</f>
        <v>2854</v>
      </c>
      <c r="J15" s="162">
        <f t="shared" si="5"/>
        <v>0.13553043973786685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2"/>
      <c r="E16" s="122"/>
      <c r="F16" s="125"/>
      <c r="G16" s="156"/>
      <c r="H16" s="159"/>
      <c r="I16" s="161"/>
      <c r="J16" s="163"/>
      <c r="K16" s="28"/>
      <c r="L16" s="5" t="str">
        <f t="shared" si="1"/>
        <v>경고</v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63</v>
      </c>
      <c r="E17" s="70">
        <f t="shared" si="0"/>
        <v>3</v>
      </c>
      <c r="F17" s="71">
        <f t="shared" si="3"/>
        <v>85.6</v>
      </c>
      <c r="G17" s="72">
        <f>IF(D17=D16,"",_xlfn.IFNA(VLOOKUP(D17,'인원 입력 기능 (사과탐)'!$P$5:$S$53,4,FALSE),0))</f>
        <v>358</v>
      </c>
      <c r="H17" s="73">
        <f t="shared" si="4"/>
        <v>1.7000664830468231E-2</v>
      </c>
      <c r="I17" s="77">
        <f>SUM($G$7:G17)</f>
        <v>3212</v>
      </c>
      <c r="J17" s="75">
        <f t="shared" si="5"/>
        <v>0.15253110456833507</v>
      </c>
      <c r="K17" s="28"/>
      <c r="L17" s="5" t="str">
        <f t="shared" si="1"/>
        <v/>
      </c>
      <c r="N17" s="1"/>
      <c r="P17" s="1">
        <f>Q7*H3*H4*J3*IFERROR(IF(J57=1, 1, 0), 0)</f>
        <v>429124405.14239997</v>
      </c>
    </row>
    <row r="18" spans="1:16" ht="25" customHeight="1" x14ac:dyDescent="0.45">
      <c r="A18" s="4"/>
      <c r="B18" s="19"/>
      <c r="C18" s="76">
        <v>39</v>
      </c>
      <c r="D18" s="70">
        <f t="shared" si="2"/>
        <v>62</v>
      </c>
      <c r="E18" s="70">
        <f t="shared" si="0"/>
        <v>3</v>
      </c>
      <c r="F18" s="71">
        <f t="shared" si="3"/>
        <v>83.91</v>
      </c>
      <c r="G18" s="72">
        <f>IF(D18=D17,"",_xlfn.IFNA(VLOOKUP(D18,'인원 입력 기능 (사과탐)'!$P$5:$S$53,4,FALSE),0))</f>
        <v>352</v>
      </c>
      <c r="H18" s="73">
        <f t="shared" si="4"/>
        <v>1.6715737486940829E-2</v>
      </c>
      <c r="I18" s="77">
        <f>SUM($G$7:G18)</f>
        <v>3564</v>
      </c>
      <c r="J18" s="75">
        <f t="shared" si="5"/>
        <v>0.1692468420552759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61</v>
      </c>
      <c r="E19" s="70">
        <f t="shared" si="0"/>
        <v>3</v>
      </c>
      <c r="F19" s="71">
        <f t="shared" si="3"/>
        <v>82.3</v>
      </c>
      <c r="G19" s="72">
        <f>IF(D19=D18,"",_xlfn.IFNA(VLOOKUP(D19,'인원 입력 기능 (사과탐)'!$P$5:$S$53,4,FALSE),0))</f>
        <v>327</v>
      </c>
      <c r="H19" s="73">
        <f t="shared" si="4"/>
        <v>1.5528540222243328E-2</v>
      </c>
      <c r="I19" s="77">
        <f>SUM($G$7:G19)</f>
        <v>3891</v>
      </c>
      <c r="J19" s="75">
        <f t="shared" si="5"/>
        <v>0.18477538227751925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1">
        <f t="shared" si="2"/>
        <v>60</v>
      </c>
      <c r="E20" s="121">
        <f t="shared" si="0"/>
        <v>3</v>
      </c>
      <c r="F20" s="155">
        <f t="shared" si="3"/>
        <v>79.709999999999994</v>
      </c>
      <c r="G20" s="157">
        <f>IF(D20=D19,"",_xlfn.IFNA(VLOOKUP(D20,'인원 입력 기능 (사과탐)'!$P$5:$S$53,4,FALSE),0))</f>
        <v>765</v>
      </c>
      <c r="H20" s="158">
        <f t="shared" si="4"/>
        <v>3.6328236299743563E-2</v>
      </c>
      <c r="I20" s="160">
        <f>SUM($G$7:G20)</f>
        <v>4656</v>
      </c>
      <c r="J20" s="162">
        <f t="shared" si="5"/>
        <v>0.22110361857726279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22"/>
      <c r="E21" s="122"/>
      <c r="F21" s="125"/>
      <c r="G21" s="156"/>
      <c r="H21" s="159"/>
      <c r="I21" s="161"/>
      <c r="J21" s="163"/>
      <c r="K21" s="28"/>
      <c r="L21" s="5" t="str">
        <f t="shared" si="1"/>
        <v>경고</v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59</v>
      </c>
      <c r="E22" s="79">
        <f t="shared" si="0"/>
        <v>3</v>
      </c>
      <c r="F22" s="71">
        <f t="shared" si="3"/>
        <v>76.95</v>
      </c>
      <c r="G22" s="72">
        <f>IF(D22=D21,"",_xlfn.IFNA(VLOOKUP(D22,'인원 입력 기능 (사과탐)'!$P$5:$S$53,4,FALSE),0))</f>
        <v>396</v>
      </c>
      <c r="H22" s="73">
        <f t="shared" si="4"/>
        <v>1.8805204672808433E-2</v>
      </c>
      <c r="I22" s="77">
        <f>SUM($G$7:G22)</f>
        <v>5052</v>
      </c>
      <c r="J22" s="75">
        <f t="shared" si="5"/>
        <v>0.23990882325007123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58</v>
      </c>
      <c r="E23" s="79">
        <f t="shared" si="0"/>
        <v>4</v>
      </c>
      <c r="F23" s="71">
        <f t="shared" si="3"/>
        <v>75.08</v>
      </c>
      <c r="G23" s="72">
        <f>IF(D23=D22,"",_xlfn.IFNA(VLOOKUP(D23,'인원 입력 기능 (사과탐)'!$P$5:$S$53,4,FALSE),0))</f>
        <v>392</v>
      </c>
      <c r="H23" s="73">
        <f t="shared" si="4"/>
        <v>1.8615253110456833E-2</v>
      </c>
      <c r="I23" s="77">
        <f>SUM($G$7:G23)</f>
        <v>5444</v>
      </c>
      <c r="J23" s="75">
        <f t="shared" si="5"/>
        <v>0.25852407636052804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57</v>
      </c>
      <c r="E24" s="79">
        <f t="shared" si="0"/>
        <v>4</v>
      </c>
      <c r="F24" s="71">
        <f t="shared" si="3"/>
        <v>73.27</v>
      </c>
      <c r="G24" s="72">
        <f>IF(D24=D23,"",_xlfn.IFNA(VLOOKUP(D24,'인원 입력 기능 (사과탐)'!$P$5:$S$53,4,FALSE),0))</f>
        <v>370</v>
      </c>
      <c r="H24" s="73">
        <f t="shared" si="4"/>
        <v>1.7570519517523031E-2</v>
      </c>
      <c r="I24" s="77">
        <f>SUM($G$7:G24)</f>
        <v>5814</v>
      </c>
      <c r="J24" s="75">
        <f t="shared" si="5"/>
        <v>0.27609459587805107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65">
        <f t="shared" si="2"/>
        <v>56</v>
      </c>
      <c r="E25" s="165">
        <f t="shared" si="0"/>
        <v>4</v>
      </c>
      <c r="F25" s="155">
        <f t="shared" si="3"/>
        <v>70.48</v>
      </c>
      <c r="G25" s="157">
        <f>IF(D25=D24,"",_xlfn.IFNA(VLOOKUP(D25,'인원 입력 기능 (사과탐)'!$P$5:$S$53,4,FALSE),0))</f>
        <v>804</v>
      </c>
      <c r="H25" s="158">
        <f t="shared" si="4"/>
        <v>3.8180264032671669E-2</v>
      </c>
      <c r="I25" s="160">
        <f>SUM($G$7:G25)</f>
        <v>6618</v>
      </c>
      <c r="J25" s="162">
        <f t="shared" si="5"/>
        <v>0.31427485991072279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64"/>
      <c r="E26" s="164"/>
      <c r="F26" s="125"/>
      <c r="G26" s="156"/>
      <c r="H26" s="159"/>
      <c r="I26" s="161"/>
      <c r="J26" s="163"/>
      <c r="K26" s="28"/>
      <c r="L26" s="5" t="str">
        <f t="shared" si="1"/>
        <v>경고</v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67.62</v>
      </c>
      <c r="G27" s="72">
        <f>IF(D27=D26,"",_xlfn.IFNA(VLOOKUP(D27,'인원 입력 기능 (사과탐)'!$P$5:$S$53,4,FALSE),0))</f>
        <v>400</v>
      </c>
      <c r="H27" s="73">
        <f t="shared" si="4"/>
        <v>1.8995156235160033E-2</v>
      </c>
      <c r="I27" s="77">
        <f>SUM($G$7:G27)</f>
        <v>7018</v>
      </c>
      <c r="J27" s="75">
        <f t="shared" si="5"/>
        <v>0.33327001614588281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54</v>
      </c>
      <c r="E28" s="79">
        <f t="shared" si="0"/>
        <v>4</v>
      </c>
      <c r="F28" s="71">
        <f t="shared" si="3"/>
        <v>65.66</v>
      </c>
      <c r="G28" s="72">
        <f>IF(D28=D27,"",_xlfn.IFNA(VLOOKUP(D28,'인원 입력 기능 (사과탐)'!$P$5:$S$53,4,FALSE),0))</f>
        <v>427</v>
      </c>
      <c r="H28" s="73">
        <f t="shared" si="4"/>
        <v>2.0277329281033336E-2</v>
      </c>
      <c r="I28" s="77">
        <f>SUM($G$7:G28)</f>
        <v>7445</v>
      </c>
      <c r="J28" s="75">
        <f t="shared" si="5"/>
        <v>0.35354734542691613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53</v>
      </c>
      <c r="E29" s="79">
        <f t="shared" si="0"/>
        <v>4</v>
      </c>
      <c r="F29" s="71">
        <f t="shared" si="3"/>
        <v>63.7</v>
      </c>
      <c r="G29" s="72">
        <f>IF(D29=D28,"",_xlfn.IFNA(VLOOKUP(D29,'인원 입력 기능 (사과탐)'!$P$5:$S$53,4,FALSE),0))</f>
        <v>397</v>
      </c>
      <c r="H29" s="73">
        <f t="shared" si="4"/>
        <v>1.8852692563396334E-2</v>
      </c>
      <c r="I29" s="77">
        <f>SUM($G$7:G29)</f>
        <v>7842</v>
      </c>
      <c r="J29" s="75">
        <f t="shared" si="5"/>
        <v>0.37240003799031246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65">
        <f t="shared" si="2"/>
        <v>52</v>
      </c>
      <c r="E30" s="165">
        <f t="shared" si="0"/>
        <v>4</v>
      </c>
      <c r="F30" s="155">
        <f t="shared" si="3"/>
        <v>60.65</v>
      </c>
      <c r="G30" s="157">
        <f>IF(D30=D29,"",_xlfn.IFNA(VLOOKUP(D30,'인원 입력 기능 (사과탐)'!$P$5:$S$53,4,FALSE),0))</f>
        <v>889</v>
      </c>
      <c r="H30" s="158">
        <f t="shared" si="4"/>
        <v>4.2216734732643174E-2</v>
      </c>
      <c r="I30" s="160">
        <f>SUM($G$7:G30)</f>
        <v>8731</v>
      </c>
      <c r="J30" s="162">
        <f t="shared" si="5"/>
        <v>0.41461677272295566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64"/>
      <c r="E31" s="164"/>
      <c r="F31" s="125"/>
      <c r="G31" s="156"/>
      <c r="H31" s="159"/>
      <c r="I31" s="161"/>
      <c r="J31" s="163"/>
      <c r="K31" s="28"/>
      <c r="L31" s="5" t="str">
        <f t="shared" si="1"/>
        <v>경고</v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51</v>
      </c>
      <c r="E32" s="79">
        <f t="shared" si="0"/>
        <v>5</v>
      </c>
      <c r="F32" s="71">
        <f t="shared" si="3"/>
        <v>57.41</v>
      </c>
      <c r="G32" s="72">
        <f>IF(D32=D31,"",_xlfn.IFNA(VLOOKUP(D32,'인원 입력 기능 (사과탐)'!$P$5:$S$53,4,FALSE),0))</f>
        <v>476</v>
      </c>
      <c r="H32" s="73">
        <f t="shared" si="4"/>
        <v>2.260423591984044E-2</v>
      </c>
      <c r="I32" s="77">
        <f>SUM($G$7:G32)</f>
        <v>9207</v>
      </c>
      <c r="J32" s="75">
        <f t="shared" si="5"/>
        <v>0.43722100864279606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50</v>
      </c>
      <c r="E33" s="79">
        <f t="shared" si="0"/>
        <v>5</v>
      </c>
      <c r="F33" s="71">
        <f t="shared" si="3"/>
        <v>55.08</v>
      </c>
      <c r="G33" s="72">
        <f>IF(D33=D32,"",_xlfn.IFNA(VLOOKUP(D33,'인원 입력 기능 (사과탐)'!$P$5:$S$53,4,FALSE),0))</f>
        <v>505</v>
      </c>
      <c r="H33" s="73">
        <f t="shared" si="4"/>
        <v>2.3981384746889545E-2</v>
      </c>
      <c r="I33" s="77">
        <f>SUM($G$7:G33)</f>
        <v>9712</v>
      </c>
      <c r="J33" s="75">
        <f t="shared" si="5"/>
        <v>0.46120239338968561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49</v>
      </c>
      <c r="E34" s="79">
        <f t="shared" si="0"/>
        <v>5</v>
      </c>
      <c r="F34" s="71">
        <f t="shared" si="3"/>
        <v>52.83</v>
      </c>
      <c r="G34" s="72">
        <f>IF(D34=D33,"",_xlfn.IFNA(VLOOKUP(D34,'인원 입력 기능 (사과탐)'!$P$5:$S$53,4,FALSE),0))</f>
        <v>441</v>
      </c>
      <c r="H34" s="73">
        <f t="shared" si="4"/>
        <v>2.0942159749263937E-2</v>
      </c>
      <c r="I34" s="77">
        <f>SUM($G$7:G34)</f>
        <v>10153</v>
      </c>
      <c r="J34" s="75">
        <f t="shared" si="5"/>
        <v>0.48214455313894955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65">
        <f t="shared" si="2"/>
        <v>48</v>
      </c>
      <c r="E35" s="165">
        <f t="shared" si="0"/>
        <v>5</v>
      </c>
      <c r="F35" s="155">
        <f t="shared" si="3"/>
        <v>49.34</v>
      </c>
      <c r="G35" s="157">
        <f>IF(D35=D34,"",_xlfn.IFNA(VLOOKUP(D35,'인원 입력 기능 (사과탐)'!$P$5:$S$53,4,FALSE),0))</f>
        <v>1029</v>
      </c>
      <c r="H35" s="158">
        <f t="shared" si="4"/>
        <v>4.8865039414949185E-2</v>
      </c>
      <c r="I35" s="160">
        <f>SUM($G$7:G35)</f>
        <v>11182</v>
      </c>
      <c r="J35" s="162">
        <f t="shared" si="5"/>
        <v>0.53100959255389879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64"/>
      <c r="E36" s="164"/>
      <c r="F36" s="125"/>
      <c r="G36" s="156"/>
      <c r="H36" s="159"/>
      <c r="I36" s="161"/>
      <c r="J36" s="163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47</v>
      </c>
      <c r="E37" s="79">
        <f t="shared" si="0"/>
        <v>5</v>
      </c>
      <c r="F37" s="71">
        <f t="shared" si="3"/>
        <v>45.49</v>
      </c>
      <c r="G37" s="72">
        <f>IF(D37=D36,"",_xlfn.IFNA(VLOOKUP(D37,'인원 입력 기능 (사과탐)'!$P$5:$S$53,4,FALSE),0))</f>
        <v>595</v>
      </c>
      <c r="H37" s="73">
        <f t="shared" si="4"/>
        <v>2.825529489980055E-2</v>
      </c>
      <c r="I37" s="77">
        <f>SUM($G$7:G37)</f>
        <v>11777</v>
      </c>
      <c r="J37" s="75">
        <f t="shared" si="5"/>
        <v>0.55926488745369929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46</v>
      </c>
      <c r="E38" s="79">
        <f t="shared" si="0"/>
        <v>5</v>
      </c>
      <c r="F38" s="71">
        <f t="shared" si="3"/>
        <v>42.66</v>
      </c>
      <c r="G38" s="72">
        <f>IF(D38=D37,"",_xlfn.IFNA(VLOOKUP(D38,'인원 입력 기능 (사과탐)'!$P$5:$S$53,4,FALSE),0))</f>
        <v>597</v>
      </c>
      <c r="H38" s="73">
        <f t="shared" si="4"/>
        <v>2.8350270680976352E-2</v>
      </c>
      <c r="I38" s="77">
        <f>SUM($G$7:G38)</f>
        <v>12374</v>
      </c>
      <c r="J38" s="75">
        <f t="shared" si="5"/>
        <v>0.58761515813467569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45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39.71</v>
      </c>
      <c r="G39" s="72">
        <f>IF(D39=D38,"",_xlfn.IFNA(VLOOKUP(D39,'인원 입력 기능 (사과탐)'!$P$5:$S$53,4,FALSE),0))</f>
        <v>643</v>
      </c>
      <c r="H39" s="73">
        <f t="shared" si="4"/>
        <v>3.0534713648019754E-2</v>
      </c>
      <c r="I39" s="77">
        <f>SUM($G$7:G39)</f>
        <v>13017</v>
      </c>
      <c r="J39" s="75">
        <f t="shared" si="5"/>
        <v>0.61814987178269543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44</v>
      </c>
      <c r="E40" s="79">
        <f t="shared" si="6"/>
        <v>6</v>
      </c>
      <c r="F40" s="71">
        <f t="shared" si="3"/>
        <v>36.79</v>
      </c>
      <c r="G40" s="72">
        <f>IF(D40=D39,"",_xlfn.IFNA(VLOOKUP(D40,'인원 입력 기능 (사과탐)'!$P$5:$S$53,4,FALSE),0))</f>
        <v>588</v>
      </c>
      <c r="H40" s="73">
        <f t="shared" si="4"/>
        <v>2.7922879665685251E-2</v>
      </c>
      <c r="I40" s="77">
        <f>SUM($G$7:G40)</f>
        <v>13605</v>
      </c>
      <c r="J40" s="75">
        <f t="shared" si="5"/>
        <v>0.64607275144838061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65">
        <f t="shared" si="2"/>
        <v>43</v>
      </c>
      <c r="E41" s="165">
        <f t="shared" si="6"/>
        <v>6</v>
      </c>
      <c r="F41" s="155">
        <f t="shared" si="3"/>
        <v>32.39</v>
      </c>
      <c r="G41" s="157">
        <f>IF(D41=D40,"",_xlfn.IFNA(VLOOKUP(D41,'인원 입력 기능 (사과탐)'!$P$5:$S$53,4,FALSE),0))</f>
        <v>1266</v>
      </c>
      <c r="H41" s="158">
        <f t="shared" si="4"/>
        <v>6.0119669484281511E-2</v>
      </c>
      <c r="I41" s="160">
        <f>SUM($G$7:G41)</f>
        <v>14871</v>
      </c>
      <c r="J41" s="162">
        <f t="shared" si="5"/>
        <v>0.70619242093266221</v>
      </c>
      <c r="K41" s="28"/>
      <c r="L41" s="5" t="str">
        <f t="shared" si="1"/>
        <v>경고</v>
      </c>
      <c r="N41" s="1"/>
    </row>
    <row r="42" spans="1:14" ht="25" customHeight="1" x14ac:dyDescent="0.45">
      <c r="A42" s="4"/>
      <c r="B42" s="19"/>
      <c r="C42" s="80">
        <v>15</v>
      </c>
      <c r="D42" s="164"/>
      <c r="E42" s="164"/>
      <c r="F42" s="125"/>
      <c r="G42" s="156"/>
      <c r="H42" s="159"/>
      <c r="I42" s="161"/>
      <c r="J42" s="163"/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42</v>
      </c>
      <c r="E43" s="79">
        <f t="shared" si="6"/>
        <v>6</v>
      </c>
      <c r="F43" s="71">
        <f t="shared" si="3"/>
        <v>26.69</v>
      </c>
      <c r="G43" s="72">
        <f>IF(D43=D42,"",_xlfn.IFNA(VLOOKUP(D43,'인원 입력 기능 (사과탐)'!$P$5:$S$53,4,FALSE),0))</f>
        <v>1133</v>
      </c>
      <c r="H43" s="73">
        <f t="shared" si="4"/>
        <v>5.3803780036090799E-2</v>
      </c>
      <c r="I43" s="77">
        <f>SUM($G$7:G43)</f>
        <v>16004</v>
      </c>
      <c r="J43" s="75">
        <f t="shared" si="5"/>
        <v>0.75999620096875298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41</v>
      </c>
      <c r="E44" s="79">
        <f t="shared" si="6"/>
        <v>6</v>
      </c>
      <c r="F44" s="71">
        <f t="shared" si="3"/>
        <v>22.68</v>
      </c>
      <c r="G44" s="72">
        <f>IF(D44=D43,"",_xlfn.IFNA(VLOOKUP(D44,'인원 입력 기능 (사과탐)'!$P$5:$S$53,4,FALSE),0))</f>
        <v>554</v>
      </c>
      <c r="H44" s="73">
        <f t="shared" si="4"/>
        <v>2.6308291385696646E-2</v>
      </c>
      <c r="I44" s="77">
        <f>SUM($G$7:G44)</f>
        <v>16558</v>
      </c>
      <c r="J44" s="75">
        <f t="shared" si="5"/>
        <v>0.78630449235444966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40</v>
      </c>
      <c r="E45" s="79">
        <f t="shared" si="6"/>
        <v>7</v>
      </c>
      <c r="F45" s="71">
        <f t="shared" si="3"/>
        <v>19.72</v>
      </c>
      <c r="G45" s="72">
        <f>IF(D45=D44,"",_xlfn.IFNA(VLOOKUP(D45,'인원 입력 기능 (사과탐)'!$P$5:$S$53,4,FALSE),0))</f>
        <v>693</v>
      </c>
      <c r="H45" s="73">
        <f t="shared" si="4"/>
        <v>3.2909108177414756E-2</v>
      </c>
      <c r="I45" s="77">
        <f>SUM($G$7:G45)</f>
        <v>17251</v>
      </c>
      <c r="J45" s="75">
        <f t="shared" si="5"/>
        <v>0.81921360053186443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5">
        <f t="shared" si="2"/>
        <v>39</v>
      </c>
      <c r="E46" s="165">
        <f t="shared" si="6"/>
        <v>7</v>
      </c>
      <c r="F46" s="155">
        <f t="shared" si="3"/>
        <v>13.28</v>
      </c>
      <c r="G46" s="157">
        <f>IF(D46=D45,"",_xlfn.IFNA(VLOOKUP(D46,'인원 입력 기능 (사과탐)'!$P$5:$S$53,4,FALSE),0))</f>
        <v>2021</v>
      </c>
      <c r="H46" s="158">
        <f t="shared" si="4"/>
        <v>9.5973026878146073E-2</v>
      </c>
      <c r="I46" s="160">
        <f>SUM($G$7:G46)</f>
        <v>19272</v>
      </c>
      <c r="J46" s="162">
        <f t="shared" si="5"/>
        <v>0.91518662741001044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64"/>
      <c r="E47" s="164"/>
      <c r="F47" s="125"/>
      <c r="G47" s="156"/>
      <c r="H47" s="159"/>
      <c r="I47" s="161"/>
      <c r="J47" s="163"/>
      <c r="K47" s="28"/>
      <c r="L47" s="5" t="str">
        <f t="shared" si="1"/>
        <v>경고</v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38</v>
      </c>
      <c r="E48" s="79">
        <f t="shared" si="6"/>
        <v>8</v>
      </c>
      <c r="F48" s="71">
        <f t="shared" si="3"/>
        <v>7.28</v>
      </c>
      <c r="G48" s="72">
        <f>IF(D48=D47,"",_xlfn.IFNA(VLOOKUP(D48,'인원 입력 기능 (사과탐)'!$P$5:$S$53,4,FALSE),0))</f>
        <v>507</v>
      </c>
      <c r="H48" s="73">
        <f t="shared" si="4"/>
        <v>2.4076360528065343E-2</v>
      </c>
      <c r="I48" s="77">
        <f>SUM($G$7:G48)</f>
        <v>19779</v>
      </c>
      <c r="J48" s="75">
        <f t="shared" si="5"/>
        <v>0.93926298793807583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5.33</v>
      </c>
      <c r="G49" s="72">
        <f>IF(D49=D48,"",_xlfn.IFNA(VLOOKUP(D49,'인원 입력 기능 (사과탐)'!$P$5:$S$53,4,FALSE),0))</f>
        <v>315</v>
      </c>
      <c r="H49" s="73">
        <f t="shared" si="4"/>
        <v>1.4958685535188527E-2</v>
      </c>
      <c r="I49" s="77">
        <f>SUM($G$7:G49)</f>
        <v>20094</v>
      </c>
      <c r="J49" s="75">
        <f t="shared" si="5"/>
        <v>0.95422167347326436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6"/>
        <v>8</v>
      </c>
      <c r="F50" s="71">
        <f t="shared" si="3"/>
        <v>3.63</v>
      </c>
      <c r="G50" s="72">
        <f>IF(D50=D49,"",_xlfn.IFNA(VLOOKUP(D50,'인원 입력 기능 (사과탐)'!$P$5:$S$53,4,FALSE),0))</f>
        <v>398</v>
      </c>
      <c r="H50" s="73">
        <f t="shared" si="4"/>
        <v>1.8900180453984235E-2</v>
      </c>
      <c r="I50" s="77">
        <f>SUM($G$7:G50)</f>
        <v>20492</v>
      </c>
      <c r="J50" s="75">
        <f t="shared" si="5"/>
        <v>0.97312185392724859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65">
        <f t="shared" si="2"/>
        <v>35</v>
      </c>
      <c r="E51" s="165">
        <f t="shared" si="6"/>
        <v>9</v>
      </c>
      <c r="F51" s="155">
        <f t="shared" si="3"/>
        <v>1.89</v>
      </c>
      <c r="G51" s="157">
        <f>IF(D51=D50,"",_xlfn.IFNA(VLOOKUP(D51,'인원 입력 기능 (사과탐)'!$P$5:$S$53,4,FALSE),0))</f>
        <v>338</v>
      </c>
      <c r="H51" s="158">
        <f t="shared" si="4"/>
        <v>1.6050907018710227E-2</v>
      </c>
      <c r="I51" s="160">
        <f>SUM($G$7:G51)</f>
        <v>20830</v>
      </c>
      <c r="J51" s="162">
        <f t="shared" si="5"/>
        <v>0.98917276094595874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64"/>
      <c r="E52" s="164"/>
      <c r="F52" s="125"/>
      <c r="G52" s="156"/>
      <c r="H52" s="159"/>
      <c r="I52" s="161"/>
      <c r="J52" s="163"/>
      <c r="K52" s="28"/>
      <c r="L52" s="5" t="str">
        <f t="shared" si="1"/>
        <v>경고</v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0.82</v>
      </c>
      <c r="G53" s="72">
        <f>IF(D53=D52,"",_xlfn.IFNA(VLOOKUP(D53,'인원 입력 기능 (사과탐)'!$P$5:$S$53,4,FALSE),0))</f>
        <v>112</v>
      </c>
      <c r="H53" s="73">
        <f t="shared" si="4"/>
        <v>5.3186437458448092E-3</v>
      </c>
      <c r="I53" s="77">
        <f>SUM($G$7:G53)</f>
        <v>20942</v>
      </c>
      <c r="J53" s="75">
        <f t="shared" si="5"/>
        <v>0.99449140469180364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0.46</v>
      </c>
      <c r="G54" s="72">
        <f>IF(D54=D53,"",_xlfn.IFNA(VLOOKUP(D54,'인원 입력 기능 (사과탐)'!$P$5:$S$53,4,FALSE),0))</f>
        <v>39</v>
      </c>
      <c r="H54" s="73">
        <f t="shared" si="4"/>
        <v>1.8520277329281034E-3</v>
      </c>
      <c r="I54" s="77">
        <f>SUM($G$7:G54)</f>
        <v>20981</v>
      </c>
      <c r="J54" s="75">
        <f t="shared" si="5"/>
        <v>0.99634343242473167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0.22</v>
      </c>
      <c r="G55" s="72">
        <f>IF(D55=D54,"",_xlfn.IFNA(VLOOKUP(D55,'인원 입력 기능 (사과탐)'!$P$5:$S$53,4,FALSE),0))</f>
        <v>62</v>
      </c>
      <c r="H55" s="73">
        <f t="shared" si="4"/>
        <v>2.9442492164498055E-3</v>
      </c>
      <c r="I55" s="77">
        <f>SUM($G$7:G55)</f>
        <v>21043</v>
      </c>
      <c r="J55" s="75">
        <f t="shared" si="5"/>
        <v>0.99928768164118154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(사과탐)'!$P$5:$S$53,4,FALSE),0)</f>
        <v>15</v>
      </c>
      <c r="H57" s="86">
        <f>G57/$J$3</f>
        <v>7.1231835881850126E-4</v>
      </c>
      <c r="I57" s="87">
        <f>SUM($G$7:G57)</f>
        <v>21058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8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5:I36"/>
    <mergeCell ref="J35:J36"/>
    <mergeCell ref="D41:D42"/>
    <mergeCell ref="E41:E42"/>
    <mergeCell ref="F41:F42"/>
    <mergeCell ref="G41:G42"/>
    <mergeCell ref="H41:H42"/>
    <mergeCell ref="I41:I42"/>
    <mergeCell ref="J41:J42"/>
    <mergeCell ref="D35:D36"/>
    <mergeCell ref="E35:E36"/>
    <mergeCell ref="F35:F36"/>
    <mergeCell ref="G35:G36"/>
    <mergeCell ref="H35:H36"/>
    <mergeCell ref="I25:I26"/>
    <mergeCell ref="J25:J26"/>
    <mergeCell ref="D30:D31"/>
    <mergeCell ref="E30:E31"/>
    <mergeCell ref="F30:F31"/>
    <mergeCell ref="G30:G31"/>
    <mergeCell ref="H30:H31"/>
    <mergeCell ref="I30:I31"/>
    <mergeCell ref="J30:J31"/>
    <mergeCell ref="D25:D26"/>
    <mergeCell ref="E25:E26"/>
    <mergeCell ref="F25:F26"/>
    <mergeCell ref="G25:G26"/>
    <mergeCell ref="H25:H26"/>
    <mergeCell ref="H15:H16"/>
    <mergeCell ref="I15:I16"/>
    <mergeCell ref="J15:J16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</mergeCells>
  <phoneticPr fontId="1" type="noConversion"/>
  <conditionalFormatting sqref="D7:D10 D12:D15 D17:D20 D22:D25 D27:D30 D32:D35 D37:D41 D43:D46 D48:D51 D53:D57">
    <cfRule type="expression" dxfId="43" priority="1">
      <formula>$D7=$D8</formula>
    </cfRule>
  </conditionalFormatting>
  <conditionalFormatting sqref="C7:C57">
    <cfRule type="expression" dxfId="42" priority="4">
      <formula>OR(AND($D7=0,OR($D6=$Q$7:$Q$14)),AND($D8&gt;0,OR($D7=$Q$7:$Q$14)))</formula>
    </cfRule>
  </conditionalFormatting>
  <conditionalFormatting sqref="D7:J7 D8 D57:J57 D56 D9:J10 D12:J15 D17:J20 D22:J25 D27:J30 D32:J35 D37:J41 D43:J46 D48:J51 D53:J55">
    <cfRule type="expression" dxfId="41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1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기능'!D10</f>
        <v>25.51</v>
      </c>
      <c r="I3" s="15" t="s">
        <v>84</v>
      </c>
      <c r="J3" s="35">
        <f>'통계 및 응시자 수 입력 기능'!C10</f>
        <v>11566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100</v>
      </c>
      <c r="E4" s="108"/>
      <c r="F4" s="109"/>
      <c r="G4" s="37" t="s">
        <v>87</v>
      </c>
      <c r="H4" s="38" t="str">
        <f>'통계 및 응시자 수 입력 기능'!E10</f>
        <v>13.38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68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97.53</v>
      </c>
      <c r="G7" s="72">
        <f>_xlfn.IFNA(VLOOKUP(D7,'인원 입력 기능 (사과탐)'!$A$64:$D$112,4,FALSE),0)</f>
        <v>571</v>
      </c>
      <c r="H7" s="73">
        <f>G7/$J$3</f>
        <v>4.9368839702576515E-2</v>
      </c>
      <c r="I7" s="74">
        <f>G7</f>
        <v>571</v>
      </c>
      <c r="J7" s="75">
        <f>I7/$J$3</f>
        <v>4.9368839702576515E-2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입력기능'!C58</f>
        <v>68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입력기능'!C59</f>
        <v>65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67</v>
      </c>
      <c r="E9" s="70">
        <f t="shared" si="0"/>
        <v>2</v>
      </c>
      <c r="F9" s="71">
        <f>IF(I8=0,ROUND(100*(1-(I7+I9)/2/$J$3),2),ROUND(100*(1-(I8+I9)/2/$J$3),2))</f>
        <v>94.54</v>
      </c>
      <c r="G9" s="72">
        <f>_xlfn.IFNA(VLOOKUP(D9,'인원 입력 기능 (사과탐)'!$A$64:$D$112,4,FALSE),0)</f>
        <v>122</v>
      </c>
      <c r="H9" s="73">
        <f>G9/$J$3</f>
        <v>1.054815839529656E-2</v>
      </c>
      <c r="I9" s="77">
        <f>SUM($G$7:G9)</f>
        <v>693</v>
      </c>
      <c r="J9" s="75">
        <f>I9/$J$3</f>
        <v>5.9916998097873077E-2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입력기능'!C60</f>
        <v>59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66</v>
      </c>
      <c r="E10" s="70">
        <f t="shared" si="0"/>
        <v>2</v>
      </c>
      <c r="F10" s="71">
        <f t="shared" ref="F10:F55" si="3">IF(I9=0,ROUND(100*(1-(I8+I10)/2/$J$3),2),ROUND(100*(1-(I9+I10)/2/$J$3),2))</f>
        <v>92.39</v>
      </c>
      <c r="G10" s="72">
        <f>IF(D10=D9,"",_xlfn.IFNA(VLOOKUP(D10,'인원 입력 기능 (사과탐)'!$A$64:$D$112,4,FALSE),0))</f>
        <v>375</v>
      </c>
      <c r="H10" s="73">
        <f t="shared" ref="H10:H55" si="4">G10/$J$3</f>
        <v>3.2422618018329588E-2</v>
      </c>
      <c r="I10" s="77">
        <f>SUM($G$7:G10)</f>
        <v>1068</v>
      </c>
      <c r="J10" s="75">
        <f t="shared" ref="J10:J55" si="5">I10/$J$3</f>
        <v>9.2339616116202658E-2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입력기능'!C61</f>
        <v>53</v>
      </c>
    </row>
    <row r="11" spans="1:17" ht="25" customHeight="1" x14ac:dyDescent="0.45">
      <c r="A11" s="4"/>
      <c r="B11" s="19"/>
      <c r="C11" s="69">
        <v>46</v>
      </c>
      <c r="D11" s="121">
        <f t="shared" si="2"/>
        <v>65</v>
      </c>
      <c r="E11" s="121">
        <f t="shared" si="0"/>
        <v>2</v>
      </c>
      <c r="F11" s="155">
        <f t="shared" si="3"/>
        <v>89.64</v>
      </c>
      <c r="G11" s="157">
        <f>IF(D11=D10,"",_xlfn.IFNA(VLOOKUP(D11,'인원 입력 기능 (사과탐)'!$A$64:$D$112,4,FALSE),0))</f>
        <v>260</v>
      </c>
      <c r="H11" s="158">
        <f t="shared" si="4"/>
        <v>2.2479681826041847E-2</v>
      </c>
      <c r="I11" s="160">
        <f>SUM($G$7:G11)</f>
        <v>1328</v>
      </c>
      <c r="J11" s="162">
        <f t="shared" si="5"/>
        <v>0.11481929794224451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입력기능'!C62</f>
        <v>45</v>
      </c>
    </row>
    <row r="12" spans="1:17" ht="25" customHeight="1" x14ac:dyDescent="0.45">
      <c r="A12" s="4"/>
      <c r="B12" s="19"/>
      <c r="C12" s="76">
        <v>45</v>
      </c>
      <c r="D12" s="122"/>
      <c r="E12" s="122"/>
      <c r="F12" s="125"/>
      <c r="G12" s="156"/>
      <c r="H12" s="159"/>
      <c r="I12" s="161"/>
      <c r="J12" s="163"/>
      <c r="K12" s="28"/>
      <c r="L12" s="5" t="str">
        <f t="shared" si="1"/>
        <v>경고</v>
      </c>
      <c r="N12" s="1"/>
      <c r="P12" s="1">
        <v>6</v>
      </c>
      <c r="Q12" s="1">
        <f>'표준점수 등급컷 입력기능'!C63</f>
        <v>40</v>
      </c>
    </row>
    <row r="13" spans="1:17" ht="25" customHeight="1" x14ac:dyDescent="0.45">
      <c r="A13" s="4"/>
      <c r="B13" s="19"/>
      <c r="C13" s="69">
        <v>44</v>
      </c>
      <c r="D13" s="70">
        <f t="shared" si="2"/>
        <v>64</v>
      </c>
      <c r="E13" s="70">
        <f t="shared" si="0"/>
        <v>3</v>
      </c>
      <c r="F13" s="71">
        <f t="shared" si="3"/>
        <v>87.39</v>
      </c>
      <c r="G13" s="72">
        <f>IF(D13=D12,"",_xlfn.IFNA(VLOOKUP(D13,'인원 입력 기능 (사과탐)'!$A$64:$D$112,4,FALSE),0))</f>
        <v>261</v>
      </c>
      <c r="H13" s="73">
        <f t="shared" si="4"/>
        <v>2.2566142140757393E-2</v>
      </c>
      <c r="I13" s="77">
        <f>SUM($G$7:G13)</f>
        <v>1589</v>
      </c>
      <c r="J13" s="75">
        <f t="shared" si="5"/>
        <v>0.13738544008300191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입력기능'!C64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63</v>
      </c>
      <c r="E14" s="70">
        <f t="shared" si="0"/>
        <v>3</v>
      </c>
      <c r="F14" s="71">
        <f t="shared" si="3"/>
        <v>85.95</v>
      </c>
      <c r="G14" s="72">
        <f>IF(D14=D13,"",_xlfn.IFNA(VLOOKUP(D14,'인원 입력 기능 (사과탐)'!$A$64:$D$112,4,FALSE),0))</f>
        <v>72</v>
      </c>
      <c r="H14" s="73">
        <f t="shared" si="4"/>
        <v>6.2251426595192807E-3</v>
      </c>
      <c r="I14" s="77">
        <f>SUM($G$7:G14)</f>
        <v>1661</v>
      </c>
      <c r="J14" s="75">
        <f t="shared" si="5"/>
        <v>0.14361058274252117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입력기능'!C65</f>
        <v>36</v>
      </c>
    </row>
    <row r="15" spans="1:17" ht="25" customHeight="1" x14ac:dyDescent="0.45">
      <c r="A15" s="4"/>
      <c r="B15" s="19"/>
      <c r="C15" s="69">
        <v>42</v>
      </c>
      <c r="D15" s="121">
        <f t="shared" si="2"/>
        <v>62</v>
      </c>
      <c r="E15" s="121">
        <f t="shared" si="0"/>
        <v>3</v>
      </c>
      <c r="F15" s="155">
        <f t="shared" si="3"/>
        <v>83.66</v>
      </c>
      <c r="G15" s="157">
        <f>IF(D15=D14,"",_xlfn.IFNA(VLOOKUP(D15,'인원 입력 기능 (사과탐)'!$A$64:$D$112,4,FALSE),0))</f>
        <v>458</v>
      </c>
      <c r="H15" s="158">
        <f t="shared" si="4"/>
        <v>3.9598824139719865E-2</v>
      </c>
      <c r="I15" s="160">
        <f>SUM($G$7:G15)</f>
        <v>2119</v>
      </c>
      <c r="J15" s="162">
        <f t="shared" si="5"/>
        <v>0.18320940688224105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2"/>
      <c r="E16" s="122"/>
      <c r="F16" s="125"/>
      <c r="G16" s="156"/>
      <c r="H16" s="159"/>
      <c r="I16" s="161"/>
      <c r="J16" s="163"/>
      <c r="K16" s="28"/>
      <c r="L16" s="5" t="str">
        <f t="shared" si="1"/>
        <v>경고</v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61</v>
      </c>
      <c r="E17" s="70">
        <f t="shared" si="0"/>
        <v>3</v>
      </c>
      <c r="F17" s="71">
        <f t="shared" si="3"/>
        <v>81.09</v>
      </c>
      <c r="G17" s="72">
        <f>IF(D17=D16,"",_xlfn.IFNA(VLOOKUP(D17,'인원 입력 기능 (사과탐)'!$A$64:$D$112,4,FALSE),0))</f>
        <v>136</v>
      </c>
      <c r="H17" s="73">
        <f t="shared" si="4"/>
        <v>1.1758602801314197E-2</v>
      </c>
      <c r="I17" s="77">
        <f>SUM($G$7:G17)</f>
        <v>2255</v>
      </c>
      <c r="J17" s="75">
        <f t="shared" si="5"/>
        <v>0.19496800968355524</v>
      </c>
      <c r="K17" s="28"/>
      <c r="L17" s="5" t="str">
        <f t="shared" si="1"/>
        <v/>
      </c>
      <c r="N17" s="1"/>
      <c r="P17" s="1">
        <f>Q7*H3*H4*J3*IFERROR(IF(J57=1, 1, 0), 0)</f>
        <v>268447072.81440002</v>
      </c>
    </row>
    <row r="18" spans="1:16" ht="25" customHeight="1" x14ac:dyDescent="0.45">
      <c r="A18" s="4"/>
      <c r="B18" s="19"/>
      <c r="C18" s="76">
        <v>39</v>
      </c>
      <c r="D18" s="70">
        <f t="shared" si="2"/>
        <v>60</v>
      </c>
      <c r="E18" s="70">
        <f t="shared" si="0"/>
        <v>3</v>
      </c>
      <c r="F18" s="71">
        <f t="shared" si="3"/>
        <v>79.290000000000006</v>
      </c>
      <c r="G18" s="72">
        <f>IF(D18=D17,"",_xlfn.IFNA(VLOOKUP(D18,'인원 입력 기능 (사과탐)'!$A$64:$D$112,4,FALSE),0))</f>
        <v>280</v>
      </c>
      <c r="H18" s="73">
        <f t="shared" si="4"/>
        <v>2.4208888120352757E-2</v>
      </c>
      <c r="I18" s="77">
        <f>SUM($G$7:G18)</f>
        <v>2535</v>
      </c>
      <c r="J18" s="75">
        <f t="shared" si="5"/>
        <v>0.21917689780390801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21">
        <f t="shared" si="2"/>
        <v>59</v>
      </c>
      <c r="E19" s="121">
        <f t="shared" si="0"/>
        <v>3</v>
      </c>
      <c r="F19" s="155">
        <f t="shared" si="3"/>
        <v>76.41</v>
      </c>
      <c r="G19" s="157">
        <f>IF(D19=D18,"",_xlfn.IFNA(VLOOKUP(D19,'인원 입력 기능 (사과탐)'!$A$64:$D$112,4,FALSE),0))</f>
        <v>386</v>
      </c>
      <c r="H19" s="158">
        <f t="shared" si="4"/>
        <v>3.337368148020059E-2</v>
      </c>
      <c r="I19" s="160">
        <f>SUM($G$7:G19)</f>
        <v>2921</v>
      </c>
      <c r="J19" s="162">
        <f t="shared" si="5"/>
        <v>0.25255057928410857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2"/>
      <c r="E20" s="122"/>
      <c r="F20" s="125"/>
      <c r="G20" s="156"/>
      <c r="H20" s="159"/>
      <c r="I20" s="161"/>
      <c r="J20" s="163"/>
      <c r="K20" s="28"/>
      <c r="L20" s="5" t="str">
        <f t="shared" si="1"/>
        <v>경고</v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58</v>
      </c>
      <c r="E21" s="79">
        <f t="shared" si="0"/>
        <v>4</v>
      </c>
      <c r="F21" s="71">
        <f t="shared" si="3"/>
        <v>73.739999999999995</v>
      </c>
      <c r="G21" s="72">
        <f>IF(D21=D20,"",_xlfn.IFNA(VLOOKUP(D21,'인원 입력 기능 (사과탐)'!$A$64:$D$112,4,FALSE),0))</f>
        <v>232</v>
      </c>
      <c r="H21" s="73">
        <f t="shared" si="4"/>
        <v>2.0058793014006572E-2</v>
      </c>
      <c r="I21" s="77">
        <f>SUM($G$7:G21)</f>
        <v>3153</v>
      </c>
      <c r="J21" s="75">
        <f t="shared" si="5"/>
        <v>0.27260937229811516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57</v>
      </c>
      <c r="E22" s="79">
        <f t="shared" si="0"/>
        <v>4</v>
      </c>
      <c r="F22" s="71">
        <f t="shared" si="3"/>
        <v>72.03</v>
      </c>
      <c r="G22" s="72">
        <f>IF(D22=D21,"",_xlfn.IFNA(VLOOKUP(D22,'인원 입력 기능 (사과탐)'!$A$64:$D$112,4,FALSE),0))</f>
        <v>165</v>
      </c>
      <c r="H22" s="73">
        <f t="shared" si="4"/>
        <v>1.4265951928065018E-2</v>
      </c>
      <c r="I22" s="77">
        <f>SUM($G$7:G22)</f>
        <v>3318</v>
      </c>
      <c r="J22" s="75">
        <f t="shared" si="5"/>
        <v>0.28687532422618017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165">
        <f t="shared" si="2"/>
        <v>56</v>
      </c>
      <c r="E23" s="165">
        <f t="shared" si="0"/>
        <v>4</v>
      </c>
      <c r="F23" s="155">
        <f t="shared" si="3"/>
        <v>69.23</v>
      </c>
      <c r="G23" s="157">
        <f>IF(D23=D22,"",_xlfn.IFNA(VLOOKUP(D23,'인원 입력 기능 (사과탐)'!$A$64:$D$112,4,FALSE),0))</f>
        <v>482</v>
      </c>
      <c r="H23" s="158">
        <f t="shared" si="4"/>
        <v>4.167387169289296E-2</v>
      </c>
      <c r="I23" s="160">
        <f>SUM($G$7:G23)</f>
        <v>3800</v>
      </c>
      <c r="J23" s="162">
        <f t="shared" si="5"/>
        <v>0.32854919591907317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64"/>
      <c r="E24" s="164"/>
      <c r="F24" s="125"/>
      <c r="G24" s="156"/>
      <c r="H24" s="159"/>
      <c r="I24" s="161"/>
      <c r="J24" s="163"/>
      <c r="K24" s="28"/>
      <c r="L24" s="5" t="str">
        <f t="shared" si="1"/>
        <v>경고</v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55</v>
      </c>
      <c r="E25" s="79">
        <f t="shared" si="0"/>
        <v>4</v>
      </c>
      <c r="F25" s="71">
        <f t="shared" si="3"/>
        <v>66.17</v>
      </c>
      <c r="G25" s="72">
        <f>IF(D25=D24,"",_xlfn.IFNA(VLOOKUP(D25,'인원 입력 기능 (사과탐)'!$A$64:$D$112,4,FALSE),0))</f>
        <v>226</v>
      </c>
      <c r="H25" s="73">
        <f t="shared" si="4"/>
        <v>1.9540031125713297E-2</v>
      </c>
      <c r="I25" s="77">
        <f>SUM($G$7:G25)</f>
        <v>4026</v>
      </c>
      <c r="J25" s="75">
        <f t="shared" si="5"/>
        <v>0.34808922704478645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54</v>
      </c>
      <c r="E26" s="79">
        <f t="shared" si="0"/>
        <v>4</v>
      </c>
      <c r="F26" s="71">
        <f t="shared" si="3"/>
        <v>64.239999999999995</v>
      </c>
      <c r="G26" s="72">
        <f>IF(D26=D25,"",_xlfn.IFNA(VLOOKUP(D26,'인원 입력 기능 (사과탐)'!$A$64:$D$112,4,FALSE),0))</f>
        <v>219</v>
      </c>
      <c r="H26" s="73">
        <f t="shared" si="4"/>
        <v>1.893480892270448E-2</v>
      </c>
      <c r="I26" s="77">
        <f>SUM($G$7:G26)</f>
        <v>4245</v>
      </c>
      <c r="J26" s="75">
        <f t="shared" si="5"/>
        <v>0.36702403596749095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165">
        <f t="shared" si="2"/>
        <v>53</v>
      </c>
      <c r="E27" s="165">
        <f t="shared" si="0"/>
        <v>4</v>
      </c>
      <c r="F27" s="155">
        <f t="shared" si="3"/>
        <v>61.28</v>
      </c>
      <c r="G27" s="157">
        <f>IF(D27=D26,"",_xlfn.IFNA(VLOOKUP(D27,'인원 입력 기능 (사과탐)'!$A$64:$D$112,4,FALSE),0))</f>
        <v>467</v>
      </c>
      <c r="H27" s="158">
        <f t="shared" si="4"/>
        <v>4.0376966972159777E-2</v>
      </c>
      <c r="I27" s="160">
        <f>SUM($G$7:G27)</f>
        <v>4712</v>
      </c>
      <c r="J27" s="162">
        <f t="shared" si="5"/>
        <v>0.4074010029396507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164"/>
      <c r="E28" s="164"/>
      <c r="F28" s="125"/>
      <c r="G28" s="156"/>
      <c r="H28" s="159"/>
      <c r="I28" s="161"/>
      <c r="J28" s="163"/>
      <c r="K28" s="28"/>
      <c r="L28" s="5" t="str">
        <f t="shared" si="1"/>
        <v>경고</v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52</v>
      </c>
      <c r="E29" s="79">
        <f t="shared" si="0"/>
        <v>5</v>
      </c>
      <c r="F29" s="71">
        <f t="shared" si="3"/>
        <v>58.26</v>
      </c>
      <c r="G29" s="72">
        <f>IF(D29=D28,"",_xlfn.IFNA(VLOOKUP(D29,'인원 입력 기능 (사과탐)'!$A$64:$D$112,4,FALSE),0))</f>
        <v>232</v>
      </c>
      <c r="H29" s="73">
        <f t="shared" si="4"/>
        <v>2.0058793014006572E-2</v>
      </c>
      <c r="I29" s="77">
        <f>SUM($G$7:G29)</f>
        <v>4944</v>
      </c>
      <c r="J29" s="75">
        <f t="shared" si="5"/>
        <v>0.4274597959536573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51</v>
      </c>
      <c r="E30" s="79">
        <f t="shared" si="0"/>
        <v>5</v>
      </c>
      <c r="F30" s="71">
        <f t="shared" si="3"/>
        <v>56.27</v>
      </c>
      <c r="G30" s="72">
        <f>IF(D30=D29,"",_xlfn.IFNA(VLOOKUP(D30,'인원 입력 기능 (사과탐)'!$A$64:$D$112,4,FALSE),0))</f>
        <v>228</v>
      </c>
      <c r="H30" s="73">
        <f t="shared" si="4"/>
        <v>1.9712951755144387E-2</v>
      </c>
      <c r="I30" s="77">
        <f>SUM($G$7:G30)</f>
        <v>5172</v>
      </c>
      <c r="J30" s="75">
        <f t="shared" si="5"/>
        <v>0.44717274770880167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65">
        <f t="shared" si="2"/>
        <v>50</v>
      </c>
      <c r="E31" s="165">
        <f t="shared" si="0"/>
        <v>5</v>
      </c>
      <c r="F31" s="155">
        <f t="shared" si="3"/>
        <v>53.18</v>
      </c>
      <c r="G31" s="157">
        <f>IF(D31=D30,"",_xlfn.IFNA(VLOOKUP(D31,'인원 입력 기능 (사과탐)'!$A$64:$D$112,4,FALSE),0))</f>
        <v>486</v>
      </c>
      <c r="H31" s="158">
        <f t="shared" si="4"/>
        <v>4.2019712951755148E-2</v>
      </c>
      <c r="I31" s="160">
        <f>SUM($G$7:G31)</f>
        <v>5658</v>
      </c>
      <c r="J31" s="162">
        <f t="shared" si="5"/>
        <v>0.48919246066055683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64"/>
      <c r="E32" s="164"/>
      <c r="F32" s="125"/>
      <c r="G32" s="156"/>
      <c r="H32" s="159"/>
      <c r="I32" s="161"/>
      <c r="J32" s="163"/>
      <c r="K32" s="28"/>
      <c r="L32" s="5" t="str">
        <f t="shared" si="1"/>
        <v>경고</v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49</v>
      </c>
      <c r="E33" s="79">
        <f t="shared" si="0"/>
        <v>5</v>
      </c>
      <c r="F33" s="71">
        <f t="shared" si="3"/>
        <v>50.04</v>
      </c>
      <c r="G33" s="72">
        <f>IF(D33=D32,"",_xlfn.IFNA(VLOOKUP(D33,'인원 입력 기능 (사과탐)'!$A$64:$D$112,4,FALSE),0))</f>
        <v>241</v>
      </c>
      <c r="H33" s="73">
        <f t="shared" si="4"/>
        <v>2.083693584644648E-2</v>
      </c>
      <c r="I33" s="77">
        <f>SUM($G$7:G33)</f>
        <v>5899</v>
      </c>
      <c r="J33" s="75">
        <f t="shared" si="5"/>
        <v>0.5100293965070033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48</v>
      </c>
      <c r="E34" s="79">
        <f t="shared" si="0"/>
        <v>5</v>
      </c>
      <c r="F34" s="71">
        <f t="shared" si="3"/>
        <v>48.03</v>
      </c>
      <c r="G34" s="72">
        <f>IF(D34=D33,"",_xlfn.IFNA(VLOOKUP(D34,'인원 입력 기능 (사과탐)'!$A$64:$D$112,4,FALSE),0))</f>
        <v>224</v>
      </c>
      <c r="H34" s="73">
        <f t="shared" si="4"/>
        <v>1.9367110496282206E-2</v>
      </c>
      <c r="I34" s="77">
        <f>SUM($G$7:G34)</f>
        <v>6123</v>
      </c>
      <c r="J34" s="75">
        <f t="shared" si="5"/>
        <v>0.52939650700328544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165">
        <f t="shared" si="2"/>
        <v>47</v>
      </c>
      <c r="E35" s="165">
        <f t="shared" si="0"/>
        <v>5</v>
      </c>
      <c r="F35" s="155">
        <f t="shared" si="3"/>
        <v>44.74</v>
      </c>
      <c r="G35" s="157">
        <f>IF(D35=D34,"",_xlfn.IFNA(VLOOKUP(D35,'인원 입력 기능 (사과탐)'!$A$64:$D$112,4,FALSE),0))</f>
        <v>536</v>
      </c>
      <c r="H35" s="158">
        <f t="shared" si="4"/>
        <v>4.634272868753242E-2</v>
      </c>
      <c r="I35" s="160">
        <f>SUM($G$7:G35)</f>
        <v>6659</v>
      </c>
      <c r="J35" s="162">
        <f t="shared" si="5"/>
        <v>0.57573923569081786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64"/>
      <c r="E36" s="164"/>
      <c r="F36" s="125"/>
      <c r="G36" s="156"/>
      <c r="H36" s="159"/>
      <c r="I36" s="161"/>
      <c r="J36" s="163"/>
      <c r="K36" s="28"/>
      <c r="L36" s="5" t="str">
        <f t="shared" si="1"/>
        <v>경고</v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46</v>
      </c>
      <c r="E37" s="79">
        <f t="shared" si="0"/>
        <v>5</v>
      </c>
      <c r="F37" s="71">
        <f t="shared" si="3"/>
        <v>41.31</v>
      </c>
      <c r="G37" s="72">
        <f>IF(D37=D36,"",_xlfn.IFNA(VLOOKUP(D37,'인원 입력 기능 (사과탐)'!$A$64:$D$112,4,FALSE),0))</f>
        <v>259</v>
      </c>
      <c r="H37" s="73">
        <f t="shared" si="4"/>
        <v>2.2393221511326302E-2</v>
      </c>
      <c r="I37" s="77">
        <f>SUM($G$7:G37)</f>
        <v>6918</v>
      </c>
      <c r="J37" s="75">
        <f t="shared" si="5"/>
        <v>0.59813245720214425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45</v>
      </c>
      <c r="E38" s="79">
        <f t="shared" si="0"/>
        <v>5</v>
      </c>
      <c r="F38" s="71">
        <f t="shared" si="3"/>
        <v>39.03</v>
      </c>
      <c r="G38" s="72">
        <f>IF(D38=D37,"",_xlfn.IFNA(VLOOKUP(D38,'인원 입력 기능 (사과탐)'!$A$64:$D$112,4,FALSE),0))</f>
        <v>267</v>
      </c>
      <c r="H38" s="73">
        <f t="shared" si="4"/>
        <v>2.3084904029050664E-2</v>
      </c>
      <c r="I38" s="77">
        <f>SUM($G$7:G38)</f>
        <v>7185</v>
      </c>
      <c r="J38" s="75">
        <f t="shared" si="5"/>
        <v>0.62121736123119486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165">
        <f t="shared" si="2"/>
        <v>44</v>
      </c>
      <c r="E39" s="165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55">
        <f t="shared" si="3"/>
        <v>35.79</v>
      </c>
      <c r="G39" s="157">
        <f>IF(D39=D38,"",_xlfn.IFNA(VLOOKUP(D39,'인원 입력 기능 (사과탐)'!$A$64:$D$112,4,FALSE),0))</f>
        <v>484</v>
      </c>
      <c r="H39" s="158">
        <f t="shared" si="4"/>
        <v>4.184679232232405E-2</v>
      </c>
      <c r="I39" s="160">
        <f>SUM($G$7:G39)</f>
        <v>7669</v>
      </c>
      <c r="J39" s="162">
        <f t="shared" si="5"/>
        <v>0.66306415355351889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164"/>
      <c r="E40" s="164"/>
      <c r="F40" s="125"/>
      <c r="G40" s="156"/>
      <c r="H40" s="159"/>
      <c r="I40" s="161"/>
      <c r="J40" s="163"/>
      <c r="K40" s="28"/>
      <c r="L40" s="5" t="str">
        <f t="shared" si="1"/>
        <v>경고</v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43</v>
      </c>
      <c r="E41" s="79">
        <f t="shared" si="6"/>
        <v>6</v>
      </c>
      <c r="F41" s="71">
        <f t="shared" si="3"/>
        <v>32.42</v>
      </c>
      <c r="G41" s="72">
        <f>IF(D41=D40,"",_xlfn.IFNA(VLOOKUP(D41,'인원 입력 기능 (사과탐)'!$A$64:$D$112,4,FALSE),0))</f>
        <v>294</v>
      </c>
      <c r="H41" s="73">
        <f t="shared" si="4"/>
        <v>2.5419332526370395E-2</v>
      </c>
      <c r="I41" s="77">
        <f>SUM($G$7:G41)</f>
        <v>7963</v>
      </c>
      <c r="J41" s="75">
        <f t="shared" si="5"/>
        <v>0.6884834860798893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42</v>
      </c>
      <c r="E42" s="79">
        <f t="shared" si="6"/>
        <v>6</v>
      </c>
      <c r="F42" s="71">
        <f t="shared" si="3"/>
        <v>29.88</v>
      </c>
      <c r="G42" s="72">
        <f>IF(D42=D41,"",_xlfn.IFNA(VLOOKUP(D42,'인원 입력 기능 (사과탐)'!$A$64:$D$112,4,FALSE),0))</f>
        <v>295</v>
      </c>
      <c r="H42" s="73">
        <f t="shared" si="4"/>
        <v>2.550579284108594E-2</v>
      </c>
      <c r="I42" s="77">
        <f>SUM($G$7:G42)</f>
        <v>8258</v>
      </c>
      <c r="J42" s="75">
        <f t="shared" si="5"/>
        <v>0.7139892789209753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165">
        <f t="shared" si="2"/>
        <v>41</v>
      </c>
      <c r="E43" s="165">
        <f t="shared" si="6"/>
        <v>6</v>
      </c>
      <c r="F43" s="155">
        <f t="shared" si="3"/>
        <v>26.25</v>
      </c>
      <c r="G43" s="157">
        <f>IF(D43=D42,"",_xlfn.IFNA(VLOOKUP(D43,'인원 입력 기능 (사과탐)'!$A$64:$D$112,4,FALSE),0))</f>
        <v>543</v>
      </c>
      <c r="H43" s="158">
        <f t="shared" si="4"/>
        <v>4.694795089054124E-2</v>
      </c>
      <c r="I43" s="160">
        <f>SUM($G$7:G43)</f>
        <v>8801</v>
      </c>
      <c r="J43" s="162">
        <f t="shared" si="5"/>
        <v>0.76093722981151657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164"/>
      <c r="E44" s="164"/>
      <c r="F44" s="125"/>
      <c r="G44" s="156"/>
      <c r="H44" s="159"/>
      <c r="I44" s="161"/>
      <c r="J44" s="163"/>
      <c r="K44" s="28"/>
      <c r="L44" s="5" t="str">
        <f t="shared" si="1"/>
        <v>경고</v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40</v>
      </c>
      <c r="E45" s="79">
        <f t="shared" si="6"/>
        <v>6</v>
      </c>
      <c r="F45" s="71">
        <f t="shared" si="3"/>
        <v>20.010000000000002</v>
      </c>
      <c r="G45" s="72">
        <f>IF(D45=D44,"",_xlfn.IFNA(VLOOKUP(D45,'인원 입력 기능 (사과탐)'!$A$64:$D$112,4,FALSE),0))</f>
        <v>901</v>
      </c>
      <c r="H45" s="73">
        <f t="shared" si="4"/>
        <v>7.7900743558706548E-2</v>
      </c>
      <c r="I45" s="77">
        <f>SUM($G$7:G45)</f>
        <v>9702</v>
      </c>
      <c r="J45" s="75">
        <f t="shared" si="5"/>
        <v>0.83883797337022303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39</v>
      </c>
      <c r="E46" s="79">
        <f t="shared" si="6"/>
        <v>7</v>
      </c>
      <c r="F46" s="71">
        <f t="shared" si="3"/>
        <v>14.94</v>
      </c>
      <c r="G46" s="72">
        <f>IF(D46=D45,"",_xlfn.IFNA(VLOOKUP(D46,'인원 입력 기능 (사과탐)'!$A$64:$D$112,4,FALSE),0))</f>
        <v>271</v>
      </c>
      <c r="H46" s="73">
        <f t="shared" si="4"/>
        <v>2.3430745287912849E-2</v>
      </c>
      <c r="I46" s="77">
        <f>SUM($G$7:G46)</f>
        <v>9973</v>
      </c>
      <c r="J46" s="75">
        <f t="shared" si="5"/>
        <v>0.86226871865813592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65">
        <f t="shared" si="2"/>
        <v>38</v>
      </c>
      <c r="E47" s="165">
        <f t="shared" si="6"/>
        <v>7</v>
      </c>
      <c r="F47" s="155">
        <f t="shared" si="3"/>
        <v>10.18</v>
      </c>
      <c r="G47" s="157">
        <f>IF(D47=D46,"",_xlfn.IFNA(VLOOKUP(D47,'인원 입력 기능 (사과탐)'!$A$64:$D$112,4,FALSE),0))</f>
        <v>831</v>
      </c>
      <c r="H47" s="158">
        <f t="shared" si="4"/>
        <v>7.184852152861837E-2</v>
      </c>
      <c r="I47" s="160">
        <f>SUM($G$7:G47)</f>
        <v>10804</v>
      </c>
      <c r="J47" s="162">
        <f t="shared" si="5"/>
        <v>0.93411724018675424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164"/>
      <c r="E48" s="164"/>
      <c r="F48" s="125"/>
      <c r="G48" s="156"/>
      <c r="H48" s="159"/>
      <c r="I48" s="161"/>
      <c r="J48" s="163"/>
      <c r="K48" s="28"/>
      <c r="L48" s="5" t="str">
        <f t="shared" si="1"/>
        <v>경고</v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5.9</v>
      </c>
      <c r="G49" s="72">
        <f>IF(D49=D48,"",_xlfn.IFNA(VLOOKUP(D49,'인원 입력 기능 (사과탐)'!$A$64:$D$112,4,FALSE),0))</f>
        <v>160</v>
      </c>
      <c r="H49" s="73">
        <f t="shared" si="4"/>
        <v>1.383365035448729E-2</v>
      </c>
      <c r="I49" s="77">
        <f>SUM($G$7:G49)</f>
        <v>10964</v>
      </c>
      <c r="J49" s="75">
        <f t="shared" si="5"/>
        <v>0.9479508905412416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6"/>
        <v>8</v>
      </c>
      <c r="F50" s="71">
        <f t="shared" si="3"/>
        <v>4.1100000000000003</v>
      </c>
      <c r="G50" s="72">
        <f>IF(D50=D49,"",_xlfn.IFNA(VLOOKUP(D50,'인원 입력 기능 (사과탐)'!$A$64:$D$112,4,FALSE),0))</f>
        <v>253</v>
      </c>
      <c r="H50" s="73">
        <f t="shared" si="4"/>
        <v>2.1874459623033027E-2</v>
      </c>
      <c r="I50" s="77">
        <f>SUM($G$7:G50)</f>
        <v>11217</v>
      </c>
      <c r="J50" s="75">
        <f t="shared" si="5"/>
        <v>0.96982535016427462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65">
        <f t="shared" si="2"/>
        <v>35</v>
      </c>
      <c r="E51" s="165">
        <f t="shared" si="6"/>
        <v>9</v>
      </c>
      <c r="F51" s="155">
        <f t="shared" si="3"/>
        <v>2.17</v>
      </c>
      <c r="G51" s="157">
        <f>IF(D51=D50,"",_xlfn.IFNA(VLOOKUP(D51,'인원 입력 기능 (사과탐)'!$A$64:$D$112,4,FALSE),0))</f>
        <v>195</v>
      </c>
      <c r="H51" s="158">
        <f t="shared" si="4"/>
        <v>1.6859761369531386E-2</v>
      </c>
      <c r="I51" s="160">
        <f>SUM($G$7:G51)</f>
        <v>11412</v>
      </c>
      <c r="J51" s="162">
        <f t="shared" si="5"/>
        <v>0.986685111533806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64"/>
      <c r="E52" s="164"/>
      <c r="F52" s="125"/>
      <c r="G52" s="156"/>
      <c r="H52" s="159"/>
      <c r="I52" s="161"/>
      <c r="J52" s="163"/>
      <c r="K52" s="28"/>
      <c r="L52" s="5" t="str">
        <f t="shared" si="1"/>
        <v>경고</v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34</v>
      </c>
      <c r="E53" s="70">
        <f t="shared" si="6"/>
        <v>9</v>
      </c>
      <c r="F53" s="71">
        <f t="shared" si="3"/>
        <v>1.0900000000000001</v>
      </c>
      <c r="G53" s="72">
        <f>IF(D53=D52,"",_xlfn.IFNA(VLOOKUP(D53,'인원 입력 기능 (사과탐)'!$A$64:$D$112,4,FALSE),0))</f>
        <v>55</v>
      </c>
      <c r="H53" s="73">
        <f t="shared" si="4"/>
        <v>4.7553173093550062E-3</v>
      </c>
      <c r="I53" s="77">
        <f>SUM($G$7:G53)</f>
        <v>11467</v>
      </c>
      <c r="J53" s="75">
        <f t="shared" si="5"/>
        <v>0.99144042884316097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33</v>
      </c>
      <c r="E54" s="70">
        <f t="shared" si="6"/>
        <v>9</v>
      </c>
      <c r="F54" s="71">
        <f t="shared" si="3"/>
        <v>0.64</v>
      </c>
      <c r="G54" s="72">
        <f>IF(D54=D53,"",_xlfn.IFNA(VLOOKUP(D54,'인원 입력 기능 (사과탐)'!$A$64:$D$112,4,FALSE),0))</f>
        <v>50</v>
      </c>
      <c r="H54" s="73">
        <f t="shared" si="4"/>
        <v>4.323015735777278E-3</v>
      </c>
      <c r="I54" s="77">
        <f>SUM($G$7:G54)</f>
        <v>11517</v>
      </c>
      <c r="J54" s="75">
        <f t="shared" si="5"/>
        <v>0.99576344457893828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0.28999999999999998</v>
      </c>
      <c r="G55" s="72">
        <f>IF(D55=D54,"",_xlfn.IFNA(VLOOKUP(D55,'인원 입력 기능 (사과탐)'!$A$64:$D$112,4,FALSE),0))</f>
        <v>31</v>
      </c>
      <c r="H55" s="73">
        <f t="shared" si="4"/>
        <v>2.6802697561819125E-3</v>
      </c>
      <c r="I55" s="77">
        <f>SUM($G$7:G55)</f>
        <v>11548</v>
      </c>
      <c r="J55" s="75">
        <f t="shared" si="5"/>
        <v>0.99844371433512014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0.08</v>
      </c>
      <c r="G57" s="85">
        <f>_xlfn.IFNA(VLOOKUP(D57,'인원 입력 기능 (사과탐)'!$A$64:$D$112,4,FALSE),0)</f>
        <v>18</v>
      </c>
      <c r="H57" s="86">
        <f>G57/$J$3</f>
        <v>1.5562856648798202E-3</v>
      </c>
      <c r="I57" s="87">
        <f>SUM($G$7:G57)</f>
        <v>11566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2">
    <mergeCell ref="I47:I48"/>
    <mergeCell ref="J47:J48"/>
    <mergeCell ref="D51:D52"/>
    <mergeCell ref="E51:E52"/>
    <mergeCell ref="F51:F52"/>
    <mergeCell ref="G51:G52"/>
    <mergeCell ref="H51:H52"/>
    <mergeCell ref="I51:I52"/>
    <mergeCell ref="J51:J52"/>
    <mergeCell ref="D47:D48"/>
    <mergeCell ref="E47:E48"/>
    <mergeCell ref="F47:F48"/>
    <mergeCell ref="G47:G48"/>
    <mergeCell ref="H47:H48"/>
    <mergeCell ref="I39:I40"/>
    <mergeCell ref="J39:J40"/>
    <mergeCell ref="D43:D44"/>
    <mergeCell ref="E43:E44"/>
    <mergeCell ref="F43:F44"/>
    <mergeCell ref="G43:G44"/>
    <mergeCell ref="H43:H44"/>
    <mergeCell ref="I43:I44"/>
    <mergeCell ref="J43:J44"/>
    <mergeCell ref="D39:D40"/>
    <mergeCell ref="E39:E40"/>
    <mergeCell ref="F39:F40"/>
    <mergeCell ref="G39:G40"/>
    <mergeCell ref="H39:H40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3:I24"/>
    <mergeCell ref="J23:J24"/>
    <mergeCell ref="D27:D28"/>
    <mergeCell ref="E27:E28"/>
    <mergeCell ref="F27:F28"/>
    <mergeCell ref="G27:G28"/>
    <mergeCell ref="H27:H28"/>
    <mergeCell ref="I27:I28"/>
    <mergeCell ref="J27:J28"/>
    <mergeCell ref="D23:D24"/>
    <mergeCell ref="E23:E24"/>
    <mergeCell ref="F23:F24"/>
    <mergeCell ref="G23:G24"/>
    <mergeCell ref="H23:H24"/>
    <mergeCell ref="H15:H16"/>
    <mergeCell ref="I15:I16"/>
    <mergeCell ref="J15:J16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1:D12"/>
    <mergeCell ref="E11:E12"/>
    <mergeCell ref="F11:F12"/>
    <mergeCell ref="G11:G12"/>
    <mergeCell ref="H11:H12"/>
    <mergeCell ref="I11:I12"/>
    <mergeCell ref="J11:J12"/>
    <mergeCell ref="D15:D16"/>
    <mergeCell ref="E15:E16"/>
    <mergeCell ref="F15:F16"/>
    <mergeCell ref="G15:G16"/>
  </mergeCells>
  <phoneticPr fontId="1" type="noConversion"/>
  <conditionalFormatting sqref="D7:D11 D13:D15 D17:D19 D21:D23 D25:D27 D29:D31 D33:D35 D37:D39 D41:D43 D45:D47 D49:D51 D53:D57">
    <cfRule type="expression" dxfId="40" priority="1">
      <formula>$D7=$D8</formula>
    </cfRule>
  </conditionalFormatting>
  <conditionalFormatting sqref="C7:C57">
    <cfRule type="expression" dxfId="39" priority="3">
      <formula>OR(AND($D7=0,OR($D6=$Q$7:$Q$14)),AND($D8&gt;0,OR($D7=$Q$7:$Q$14)))</formula>
    </cfRule>
  </conditionalFormatting>
  <conditionalFormatting sqref="D7:J7 D8 D57:J57 D56 D9:J11 D13:J15 D17:J19 D21:J23 D25:J27 D29:J31 D33:J35 D37:J39 D41:J43 D45:J47 D49:J51 D53:J55">
    <cfRule type="expression" dxfId="38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2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기능'!D11</f>
        <v>23.26</v>
      </c>
      <c r="I3" s="15" t="s">
        <v>84</v>
      </c>
      <c r="J3" s="35">
        <f>'통계 및 응시자 수 입력 기능'!C11</f>
        <v>10906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99</v>
      </c>
      <c r="E4" s="108"/>
      <c r="F4" s="109"/>
      <c r="G4" s="37" t="s">
        <v>87</v>
      </c>
      <c r="H4" s="38" t="str">
        <f>'통계 및 응시자 수 입력 기능'!E11</f>
        <v>13.18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70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98.18</v>
      </c>
      <c r="G7" s="72">
        <f>_xlfn.IFNA(VLOOKUP(D7,'인원 입력 기능 (사과탐)'!$F$64:$I$112,4,FALSE),0)</f>
        <v>398</v>
      </c>
      <c r="H7" s="73">
        <f>G7/$J$3</f>
        <v>3.6493673207408768E-2</v>
      </c>
      <c r="I7" s="74">
        <f>G7</f>
        <v>398</v>
      </c>
      <c r="J7" s="75">
        <f>I7/$J$3</f>
        <v>3.6493673207408768E-2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입력기능'!C67</f>
        <v>69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입력기능'!C68</f>
        <v>66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69</v>
      </c>
      <c r="E9" s="70">
        <f t="shared" si="0"/>
        <v>1</v>
      </c>
      <c r="F9" s="71">
        <f>IF(I8=0,ROUND(100*(1-(I7+I9)/2/$J$3),2),ROUND(100*(1-(I8+I9)/2/$J$3),2))</f>
        <v>95.85</v>
      </c>
      <c r="G9" s="72">
        <f>_xlfn.IFNA(VLOOKUP(D9,'인원 입력 기능 (사과탐)'!$F$64:$I$112,4,FALSE),0)</f>
        <v>109</v>
      </c>
      <c r="H9" s="73">
        <f>G9/$J$3</f>
        <v>9.9944984412250141E-3</v>
      </c>
      <c r="I9" s="77">
        <f>SUM($G$7:G9)</f>
        <v>507</v>
      </c>
      <c r="J9" s="75">
        <f>I9/$J$3</f>
        <v>4.648817164863378E-2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입력기능'!C69</f>
        <v>59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68</v>
      </c>
      <c r="E10" s="70">
        <f t="shared" si="0"/>
        <v>2</v>
      </c>
      <c r="F10" s="71">
        <f t="shared" ref="F10:F55" si="3">IF(I9=0,ROUND(100*(1-(I8+I10)/2/$J$3),2),ROUND(100*(1-(I9+I10)/2/$J$3),2))</f>
        <v>93.85</v>
      </c>
      <c r="G10" s="72">
        <f>IF(D10=D9,"",_xlfn.IFNA(VLOOKUP(D10,'인원 입력 기능 (사과탐)'!$F$64:$I$112,4,FALSE),0))</f>
        <v>328</v>
      </c>
      <c r="H10" s="73">
        <f t="shared" ref="H10:H55" si="4">G10/$J$3</f>
        <v>3.007518796992481E-2</v>
      </c>
      <c r="I10" s="77">
        <f>SUM($G$7:G10)</f>
        <v>835</v>
      </c>
      <c r="J10" s="75">
        <f t="shared" ref="J10:J55" si="5">I10/$J$3</f>
        <v>7.6563359618558591E-2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입력기능'!C70</f>
        <v>51</v>
      </c>
    </row>
    <row r="11" spans="1:17" ht="25" customHeight="1" x14ac:dyDescent="0.45">
      <c r="A11" s="4"/>
      <c r="B11" s="19"/>
      <c r="C11" s="69">
        <v>46</v>
      </c>
      <c r="D11" s="70">
        <f t="shared" si="2"/>
        <v>67</v>
      </c>
      <c r="E11" s="70">
        <f t="shared" si="0"/>
        <v>2</v>
      </c>
      <c r="F11" s="71">
        <f t="shared" si="3"/>
        <v>92.23</v>
      </c>
      <c r="G11" s="72">
        <f>IF(D11=D10,"",_xlfn.IFNA(VLOOKUP(D11,'인원 입력 기능 (사과탐)'!$F$64:$I$112,4,FALSE),0))</f>
        <v>24</v>
      </c>
      <c r="H11" s="73">
        <f t="shared" si="4"/>
        <v>2.2006235099944985E-3</v>
      </c>
      <c r="I11" s="77">
        <f>SUM($G$7:G11)</f>
        <v>859</v>
      </c>
      <c r="J11" s="75">
        <f t="shared" si="5"/>
        <v>7.8763983128553094E-2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입력기능'!C71</f>
        <v>44</v>
      </c>
    </row>
    <row r="12" spans="1:17" ht="25" customHeight="1" x14ac:dyDescent="0.45">
      <c r="A12" s="4"/>
      <c r="B12" s="19"/>
      <c r="C12" s="76">
        <v>45</v>
      </c>
      <c r="D12" s="121">
        <f t="shared" si="2"/>
        <v>66</v>
      </c>
      <c r="E12" s="121">
        <f t="shared" si="0"/>
        <v>2</v>
      </c>
      <c r="F12" s="155">
        <f t="shared" si="3"/>
        <v>90.29</v>
      </c>
      <c r="G12" s="157">
        <f>IF(D12=D11,"",_xlfn.IFNA(VLOOKUP(D12,'인원 입력 기능 (사과탐)'!$F$64:$I$112,4,FALSE),0))</f>
        <v>399</v>
      </c>
      <c r="H12" s="158">
        <f t="shared" si="4"/>
        <v>3.6585365853658534E-2</v>
      </c>
      <c r="I12" s="160">
        <f>SUM($G$7:G12)</f>
        <v>1258</v>
      </c>
      <c r="J12" s="162">
        <f t="shared" si="5"/>
        <v>0.11534934898221162</v>
      </c>
      <c r="K12" s="28"/>
      <c r="L12" s="5" t="str">
        <f t="shared" si="1"/>
        <v>경고</v>
      </c>
      <c r="N12" s="1"/>
      <c r="P12" s="1">
        <v>6</v>
      </c>
      <c r="Q12" s="1">
        <f>'표준점수 등급컷 입력기능'!C72</f>
        <v>41</v>
      </c>
    </row>
    <row r="13" spans="1:17" ht="25" customHeight="1" x14ac:dyDescent="0.45">
      <c r="A13" s="4"/>
      <c r="B13" s="19"/>
      <c r="C13" s="69">
        <v>44</v>
      </c>
      <c r="D13" s="122"/>
      <c r="E13" s="122"/>
      <c r="F13" s="125"/>
      <c r="G13" s="156"/>
      <c r="H13" s="159"/>
      <c r="I13" s="161"/>
      <c r="J13" s="163"/>
      <c r="K13" s="28"/>
      <c r="L13" s="5" t="str">
        <f t="shared" si="1"/>
        <v>경고</v>
      </c>
      <c r="N13" s="1"/>
      <c r="P13" s="1">
        <v>7</v>
      </c>
      <c r="Q13" s="1">
        <f>'표준점수 등급컷 입력기능'!C73</f>
        <v>39</v>
      </c>
    </row>
    <row r="14" spans="1:17" ht="25" customHeight="1" x14ac:dyDescent="0.45">
      <c r="A14" s="4"/>
      <c r="B14" s="19"/>
      <c r="C14" s="76">
        <v>43</v>
      </c>
      <c r="D14" s="70">
        <f t="shared" si="2"/>
        <v>65</v>
      </c>
      <c r="E14" s="70">
        <f t="shared" si="0"/>
        <v>3</v>
      </c>
      <c r="F14" s="71">
        <f t="shared" si="3"/>
        <v>88.1</v>
      </c>
      <c r="G14" s="72">
        <f>IF(D14=D13,"",_xlfn.IFNA(VLOOKUP(D14,'인원 입력 기능 (사과탐)'!$F$64:$I$112,4,FALSE),0))</f>
        <v>79</v>
      </c>
      <c r="H14" s="73">
        <f t="shared" si="4"/>
        <v>7.2437190537318905E-3</v>
      </c>
      <c r="I14" s="77">
        <f>SUM($G$7:G14)</f>
        <v>1337</v>
      </c>
      <c r="J14" s="75">
        <f t="shared" si="5"/>
        <v>0.12259306803594351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입력기능'!C74</f>
        <v>38</v>
      </c>
    </row>
    <row r="15" spans="1:17" ht="25" customHeight="1" x14ac:dyDescent="0.45">
      <c r="A15" s="4"/>
      <c r="B15" s="19"/>
      <c r="C15" s="69">
        <v>42</v>
      </c>
      <c r="D15" s="70">
        <f t="shared" si="2"/>
        <v>64</v>
      </c>
      <c r="E15" s="70">
        <f t="shared" si="0"/>
        <v>3</v>
      </c>
      <c r="F15" s="71">
        <f t="shared" si="3"/>
        <v>86.76</v>
      </c>
      <c r="G15" s="72">
        <f>IF(D15=D14,"",_xlfn.IFNA(VLOOKUP(D15,'인원 입력 기능 (사과탐)'!$F$64:$I$112,4,FALSE),0))</f>
        <v>214</v>
      </c>
      <c r="H15" s="73">
        <f t="shared" si="4"/>
        <v>1.9622226297450945E-2</v>
      </c>
      <c r="I15" s="77">
        <f>SUM($G$7:G15)</f>
        <v>1551</v>
      </c>
      <c r="J15" s="75">
        <f t="shared" si="5"/>
        <v>0.14221529433339447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1">
        <f t="shared" si="2"/>
        <v>63</v>
      </c>
      <c r="E16" s="121">
        <f t="shared" si="0"/>
        <v>3</v>
      </c>
      <c r="F16" s="155">
        <f t="shared" si="3"/>
        <v>84.6</v>
      </c>
      <c r="G16" s="157">
        <f>IF(D16=D15,"",_xlfn.IFNA(VLOOKUP(D16,'인원 입력 기능 (사과탐)'!$F$64:$I$112,4,FALSE),0))</f>
        <v>257</v>
      </c>
      <c r="H16" s="158">
        <f t="shared" si="4"/>
        <v>2.3565010086191086E-2</v>
      </c>
      <c r="I16" s="160">
        <f>SUM($G$7:G16)</f>
        <v>1808</v>
      </c>
      <c r="J16" s="162">
        <f t="shared" si="5"/>
        <v>0.16578030441958555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122"/>
      <c r="E17" s="122"/>
      <c r="F17" s="125"/>
      <c r="G17" s="156"/>
      <c r="H17" s="159"/>
      <c r="I17" s="161"/>
      <c r="J17" s="163"/>
      <c r="K17" s="28"/>
      <c r="L17" s="5" t="str">
        <f t="shared" si="1"/>
        <v>경고</v>
      </c>
      <c r="N17" s="1"/>
      <c r="P17" s="1">
        <f>Q7*H3*H4*J3*IFERROR(IF(J57=1, 1, 0), 0)</f>
        <v>230695808.93519998</v>
      </c>
    </row>
    <row r="18" spans="1:16" ht="25" customHeight="1" x14ac:dyDescent="0.45">
      <c r="A18" s="4"/>
      <c r="B18" s="19"/>
      <c r="C18" s="76">
        <v>39</v>
      </c>
      <c r="D18" s="70">
        <f t="shared" si="2"/>
        <v>62</v>
      </c>
      <c r="E18" s="70">
        <f t="shared" si="0"/>
        <v>3</v>
      </c>
      <c r="F18" s="71">
        <f t="shared" si="3"/>
        <v>82.6</v>
      </c>
      <c r="G18" s="72">
        <f>IF(D18=D17,"",_xlfn.IFNA(VLOOKUP(D18,'인원 입력 기능 (사과탐)'!$F$64:$I$112,4,FALSE),0))</f>
        <v>179</v>
      </c>
      <c r="H18" s="73">
        <f t="shared" si="4"/>
        <v>1.6412983678708967E-2</v>
      </c>
      <c r="I18" s="77">
        <f>SUM($G$7:G18)</f>
        <v>1987</v>
      </c>
      <c r="J18" s="75">
        <f t="shared" si="5"/>
        <v>0.18219328809829452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61</v>
      </c>
      <c r="E19" s="70">
        <f t="shared" si="0"/>
        <v>3</v>
      </c>
      <c r="F19" s="71">
        <f t="shared" si="3"/>
        <v>81.14</v>
      </c>
      <c r="G19" s="72">
        <f>IF(D19=D18,"",_xlfn.IFNA(VLOOKUP(D19,'인원 입력 기능 (사과탐)'!$F$64:$I$112,4,FALSE),0))</f>
        <v>139</v>
      </c>
      <c r="H19" s="73">
        <f t="shared" si="4"/>
        <v>1.2745277828718137E-2</v>
      </c>
      <c r="I19" s="77">
        <f>SUM($G$7:G19)</f>
        <v>2126</v>
      </c>
      <c r="J19" s="75">
        <f t="shared" si="5"/>
        <v>0.19493856592701264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1">
        <f t="shared" si="2"/>
        <v>60</v>
      </c>
      <c r="E20" s="121">
        <f t="shared" si="0"/>
        <v>3</v>
      </c>
      <c r="F20" s="155">
        <f t="shared" si="3"/>
        <v>79.09</v>
      </c>
      <c r="G20" s="157">
        <f>IF(D20=D19,"",_xlfn.IFNA(VLOOKUP(D20,'인원 입력 기능 (사과탐)'!$F$64:$I$112,4,FALSE),0))</f>
        <v>309</v>
      </c>
      <c r="H20" s="158">
        <f t="shared" si="4"/>
        <v>2.8333027691179166E-2</v>
      </c>
      <c r="I20" s="160">
        <f>SUM($G$7:G20)</f>
        <v>2435</v>
      </c>
      <c r="J20" s="162">
        <f t="shared" si="5"/>
        <v>0.22327159361819182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22"/>
      <c r="E21" s="122"/>
      <c r="F21" s="125"/>
      <c r="G21" s="156"/>
      <c r="H21" s="159"/>
      <c r="I21" s="161"/>
      <c r="J21" s="163"/>
      <c r="K21" s="28"/>
      <c r="L21" s="5" t="str">
        <f t="shared" si="1"/>
        <v>경고</v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59</v>
      </c>
      <c r="E22" s="79">
        <f t="shared" si="0"/>
        <v>3</v>
      </c>
      <c r="F22" s="71">
        <f t="shared" si="3"/>
        <v>77.03</v>
      </c>
      <c r="G22" s="72">
        <f>IF(D22=D21,"",_xlfn.IFNA(VLOOKUP(D22,'인원 입력 기능 (사과탐)'!$F$64:$I$112,4,FALSE),0))</f>
        <v>141</v>
      </c>
      <c r="H22" s="73">
        <f t="shared" si="4"/>
        <v>1.2928663121217678E-2</v>
      </c>
      <c r="I22" s="77">
        <f>SUM($G$7:G22)</f>
        <v>2576</v>
      </c>
      <c r="J22" s="75">
        <f t="shared" si="5"/>
        <v>0.2362002567394095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58</v>
      </c>
      <c r="E23" s="79">
        <f t="shared" si="0"/>
        <v>4</v>
      </c>
      <c r="F23" s="71">
        <f t="shared" si="3"/>
        <v>75.650000000000006</v>
      </c>
      <c r="G23" s="72">
        <f>IF(D23=D22,"",_xlfn.IFNA(VLOOKUP(D23,'인원 입력 기능 (사과탐)'!$F$64:$I$112,4,FALSE),0))</f>
        <v>159</v>
      </c>
      <c r="H23" s="73">
        <f t="shared" si="4"/>
        <v>1.4579130753713553E-2</v>
      </c>
      <c r="I23" s="77">
        <f>SUM($G$7:G23)</f>
        <v>2735</v>
      </c>
      <c r="J23" s="75">
        <f t="shared" si="5"/>
        <v>0.25077938749312306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65">
        <f t="shared" si="2"/>
        <v>57</v>
      </c>
      <c r="E24" s="165">
        <f t="shared" si="0"/>
        <v>4</v>
      </c>
      <c r="F24" s="155">
        <f t="shared" si="3"/>
        <v>73.48</v>
      </c>
      <c r="G24" s="157">
        <f>IF(D24=D23,"",_xlfn.IFNA(VLOOKUP(D24,'인원 입력 기능 (사과탐)'!$F$64:$I$112,4,FALSE),0))</f>
        <v>315</v>
      </c>
      <c r="H24" s="158">
        <f t="shared" si="4"/>
        <v>2.8883183568677792E-2</v>
      </c>
      <c r="I24" s="160">
        <f>SUM($G$7:G24)</f>
        <v>3050</v>
      </c>
      <c r="J24" s="162">
        <f t="shared" si="5"/>
        <v>0.27966257106180087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64"/>
      <c r="E25" s="164"/>
      <c r="F25" s="125"/>
      <c r="G25" s="156"/>
      <c r="H25" s="159"/>
      <c r="I25" s="161"/>
      <c r="J25" s="163"/>
      <c r="K25" s="28"/>
      <c r="L25" s="5" t="str">
        <f t="shared" si="1"/>
        <v>경고</v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56</v>
      </c>
      <c r="E26" s="79">
        <f t="shared" si="0"/>
        <v>4</v>
      </c>
      <c r="F26" s="71">
        <f t="shared" si="3"/>
        <v>71.239999999999995</v>
      </c>
      <c r="G26" s="72">
        <f>IF(D26=D25,"",_xlfn.IFNA(VLOOKUP(D26,'인원 입력 기능 (사과탐)'!$F$64:$I$112,4,FALSE),0))</f>
        <v>173</v>
      </c>
      <c r="H26" s="73">
        <f t="shared" si="4"/>
        <v>1.5862827801210344E-2</v>
      </c>
      <c r="I26" s="77">
        <f>SUM($G$7:G26)</f>
        <v>3223</v>
      </c>
      <c r="J26" s="75">
        <f t="shared" si="5"/>
        <v>0.29552539886301121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55</v>
      </c>
      <c r="E27" s="79">
        <f t="shared" si="0"/>
        <v>4</v>
      </c>
      <c r="F27" s="71">
        <f t="shared" si="3"/>
        <v>69.62</v>
      </c>
      <c r="G27" s="72">
        <f>IF(D27=D26,"",_xlfn.IFNA(VLOOKUP(D27,'인원 입력 기능 (사과탐)'!$F$64:$I$112,4,FALSE),0))</f>
        <v>181</v>
      </c>
      <c r="H27" s="73">
        <f t="shared" si="4"/>
        <v>1.659636897120851E-2</v>
      </c>
      <c r="I27" s="77">
        <f>SUM($G$7:G27)</f>
        <v>3404</v>
      </c>
      <c r="J27" s="75">
        <f t="shared" si="5"/>
        <v>0.31212176783421969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165">
        <f t="shared" si="2"/>
        <v>54</v>
      </c>
      <c r="E28" s="165">
        <f t="shared" si="0"/>
        <v>4</v>
      </c>
      <c r="F28" s="155">
        <f t="shared" si="3"/>
        <v>67.22</v>
      </c>
      <c r="G28" s="157">
        <f>IF(D28=D27,"",_xlfn.IFNA(VLOOKUP(D28,'인원 입력 기능 (사과탐)'!$F$64:$I$112,4,FALSE),0))</f>
        <v>341</v>
      </c>
      <c r="H28" s="158">
        <f t="shared" si="4"/>
        <v>3.1267192371171829E-2</v>
      </c>
      <c r="I28" s="160">
        <f>SUM($G$7:G28)</f>
        <v>3745</v>
      </c>
      <c r="J28" s="162">
        <f t="shared" si="5"/>
        <v>0.3433889602053915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64"/>
      <c r="E29" s="164"/>
      <c r="F29" s="125"/>
      <c r="G29" s="156"/>
      <c r="H29" s="159"/>
      <c r="I29" s="161"/>
      <c r="J29" s="163"/>
      <c r="K29" s="28"/>
      <c r="L29" s="5" t="str">
        <f t="shared" si="1"/>
        <v>경고</v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64.709999999999994</v>
      </c>
      <c r="G30" s="72">
        <f>IF(D30=D29,"",_xlfn.IFNA(VLOOKUP(D30,'인원 입력 기능 (사과탐)'!$F$64:$I$112,4,FALSE),0))</f>
        <v>208</v>
      </c>
      <c r="H30" s="73">
        <f t="shared" si="4"/>
        <v>1.9072070419952319E-2</v>
      </c>
      <c r="I30" s="77">
        <f>SUM($G$7:G30)</f>
        <v>3953</v>
      </c>
      <c r="J30" s="75">
        <f t="shared" si="5"/>
        <v>0.36246103062534385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52</v>
      </c>
      <c r="E31" s="79">
        <f t="shared" si="0"/>
        <v>4</v>
      </c>
      <c r="F31" s="71">
        <f t="shared" si="3"/>
        <v>62.82</v>
      </c>
      <c r="G31" s="72">
        <f>IF(D31=D30,"",_xlfn.IFNA(VLOOKUP(D31,'인원 입력 기능 (사과탐)'!$F$64:$I$112,4,FALSE),0))</f>
        <v>203</v>
      </c>
      <c r="H31" s="73">
        <f t="shared" si="4"/>
        <v>1.8613607188703467E-2</v>
      </c>
      <c r="I31" s="77">
        <f>SUM($G$7:G31)</f>
        <v>4156</v>
      </c>
      <c r="J31" s="75">
        <f t="shared" si="5"/>
        <v>0.38107463781404732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65">
        <f t="shared" si="2"/>
        <v>51</v>
      </c>
      <c r="E32" s="165">
        <f t="shared" si="0"/>
        <v>4</v>
      </c>
      <c r="F32" s="155">
        <f t="shared" si="3"/>
        <v>59.91</v>
      </c>
      <c r="G32" s="157">
        <f>IF(D32=D31,"",_xlfn.IFNA(VLOOKUP(D32,'인원 입력 기능 (사과탐)'!$F$64:$I$112,4,FALSE),0))</f>
        <v>432</v>
      </c>
      <c r="H32" s="158">
        <f t="shared" si="4"/>
        <v>3.961122317990097E-2</v>
      </c>
      <c r="I32" s="160">
        <f>SUM($G$7:G32)</f>
        <v>4588</v>
      </c>
      <c r="J32" s="162">
        <f t="shared" si="5"/>
        <v>0.42068586099394828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64"/>
      <c r="E33" s="164"/>
      <c r="F33" s="125"/>
      <c r="G33" s="156"/>
      <c r="H33" s="159"/>
      <c r="I33" s="161"/>
      <c r="J33" s="163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56.95</v>
      </c>
      <c r="G34" s="72">
        <f>IF(D34=D33,"",_xlfn.IFNA(VLOOKUP(D34,'인원 입력 기능 (사과탐)'!$F$64:$I$112,4,FALSE),0))</f>
        <v>215</v>
      </c>
      <c r="H34" s="73">
        <f t="shared" si="4"/>
        <v>1.9713918943700715E-2</v>
      </c>
      <c r="I34" s="77">
        <f>SUM($G$7:G34)</f>
        <v>4803</v>
      </c>
      <c r="J34" s="75">
        <f t="shared" si="5"/>
        <v>0.44039977993764901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54.79</v>
      </c>
      <c r="G35" s="72">
        <f>IF(D35=D34,"",_xlfn.IFNA(VLOOKUP(D35,'인원 입력 기능 (사과탐)'!$F$64:$I$112,4,FALSE),0))</f>
        <v>256</v>
      </c>
      <c r="H35" s="73">
        <f t="shared" si="4"/>
        <v>2.3473317439941317E-2</v>
      </c>
      <c r="I35" s="77">
        <f>SUM($G$7:G35)</f>
        <v>5059</v>
      </c>
      <c r="J35" s="75">
        <f t="shared" si="5"/>
        <v>0.4638730973775903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65">
        <f t="shared" si="2"/>
        <v>48</v>
      </c>
      <c r="E36" s="165">
        <f t="shared" si="0"/>
        <v>5</v>
      </c>
      <c r="F36" s="155">
        <f t="shared" si="3"/>
        <v>51.2</v>
      </c>
      <c r="G36" s="157">
        <f>IF(D36=D35,"",_xlfn.IFNA(VLOOKUP(D36,'인원 입력 기능 (사과탐)'!$F$64:$I$112,4,FALSE),0))</f>
        <v>527</v>
      </c>
      <c r="H36" s="158">
        <f t="shared" si="4"/>
        <v>4.8322024573629198E-2</v>
      </c>
      <c r="I36" s="160">
        <f>SUM($G$7:G36)</f>
        <v>5586</v>
      </c>
      <c r="J36" s="162">
        <f t="shared" si="5"/>
        <v>0.51219512195121952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64"/>
      <c r="E37" s="164"/>
      <c r="F37" s="125"/>
      <c r="G37" s="156"/>
      <c r="H37" s="159"/>
      <c r="I37" s="161"/>
      <c r="J37" s="163"/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47.53</v>
      </c>
      <c r="G38" s="72">
        <f>IF(D38=D37,"",_xlfn.IFNA(VLOOKUP(D38,'인원 입력 기능 (사과탐)'!$F$64:$I$112,4,FALSE),0))</f>
        <v>272</v>
      </c>
      <c r="H38" s="73">
        <f t="shared" si="4"/>
        <v>2.4940399779937648E-2</v>
      </c>
      <c r="I38" s="77">
        <f>SUM($G$7:G38)</f>
        <v>5858</v>
      </c>
      <c r="J38" s="75">
        <f t="shared" si="5"/>
        <v>0.5371355217311572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44.96</v>
      </c>
      <c r="G39" s="72">
        <f>IF(D39=D38,"",_xlfn.IFNA(VLOOKUP(D39,'인원 입력 기능 (사과탐)'!$F$64:$I$112,4,FALSE),0))</f>
        <v>290</v>
      </c>
      <c r="H39" s="73">
        <f t="shared" si="4"/>
        <v>2.6590867412433522E-2</v>
      </c>
      <c r="I39" s="77">
        <f>SUM($G$7:G39)</f>
        <v>6148</v>
      </c>
      <c r="J39" s="75">
        <f t="shared" si="5"/>
        <v>0.56372638914359063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6"/>
        <v>5</v>
      </c>
      <c r="F40" s="71">
        <f t="shared" si="3"/>
        <v>42.33</v>
      </c>
      <c r="G40" s="72">
        <f>IF(D40=D39,"",_xlfn.IFNA(VLOOKUP(D40,'인원 입력 기능 (사과탐)'!$F$64:$I$112,4,FALSE),0))</f>
        <v>283</v>
      </c>
      <c r="H40" s="73">
        <f t="shared" si="4"/>
        <v>2.5949018888685126E-2</v>
      </c>
      <c r="I40" s="77">
        <f>SUM($G$7:G40)</f>
        <v>6431</v>
      </c>
      <c r="J40" s="75">
        <f t="shared" si="5"/>
        <v>0.58967540803227581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65">
        <f t="shared" si="2"/>
        <v>44</v>
      </c>
      <c r="E41" s="165">
        <f t="shared" si="6"/>
        <v>5</v>
      </c>
      <c r="F41" s="155">
        <f t="shared" si="3"/>
        <v>37.97</v>
      </c>
      <c r="G41" s="157">
        <f>IF(D41=D40,"",_xlfn.IFNA(VLOOKUP(D41,'인원 입력 기능 (사과탐)'!$F$64:$I$112,4,FALSE),0))</f>
        <v>668</v>
      </c>
      <c r="H41" s="158">
        <f t="shared" si="4"/>
        <v>6.1250687694846873E-2</v>
      </c>
      <c r="I41" s="160">
        <f>SUM($G$7:G41)</f>
        <v>7099</v>
      </c>
      <c r="J41" s="162">
        <f t="shared" si="5"/>
        <v>0.65092609572712268</v>
      </c>
      <c r="K41" s="28"/>
      <c r="L41" s="5" t="str">
        <f t="shared" si="1"/>
        <v>경고</v>
      </c>
      <c r="N41" s="1"/>
    </row>
    <row r="42" spans="1:14" ht="25" customHeight="1" x14ac:dyDescent="0.45">
      <c r="A42" s="4"/>
      <c r="B42" s="19"/>
      <c r="C42" s="80">
        <v>15</v>
      </c>
      <c r="D42" s="164"/>
      <c r="E42" s="164"/>
      <c r="F42" s="125"/>
      <c r="G42" s="156"/>
      <c r="H42" s="159"/>
      <c r="I42" s="161"/>
      <c r="J42" s="163"/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33.450000000000003</v>
      </c>
      <c r="G43" s="72">
        <f>IF(D43=D42,"",_xlfn.IFNA(VLOOKUP(D43,'인원 입력 기능 (사과탐)'!$F$64:$I$112,4,FALSE),0))</f>
        <v>317</v>
      </c>
      <c r="H43" s="73">
        <f t="shared" si="4"/>
        <v>2.9066568861177335E-2</v>
      </c>
      <c r="I43" s="77">
        <f>SUM($G$7:G43)</f>
        <v>7416</v>
      </c>
      <c r="J43" s="75">
        <f t="shared" si="5"/>
        <v>0.67999266458829999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30.41</v>
      </c>
      <c r="G44" s="72">
        <f>IF(D44=D43,"",_xlfn.IFNA(VLOOKUP(D44,'인원 입력 기능 (사과탐)'!$F$64:$I$112,4,FALSE),0))</f>
        <v>348</v>
      </c>
      <c r="H44" s="73">
        <f t="shared" si="4"/>
        <v>3.1909040894920228E-2</v>
      </c>
      <c r="I44" s="77">
        <f>SUM($G$7:G44)</f>
        <v>7764</v>
      </c>
      <c r="J44" s="75">
        <f t="shared" si="5"/>
        <v>0.71190170548322029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65">
        <f t="shared" si="2"/>
        <v>41</v>
      </c>
      <c r="E45" s="165">
        <f t="shared" si="6"/>
        <v>6</v>
      </c>
      <c r="F45" s="155">
        <f t="shared" si="3"/>
        <v>21.76</v>
      </c>
      <c r="G45" s="157">
        <f>IF(D45=D44,"",_xlfn.IFNA(VLOOKUP(D45,'인원 입력 기능 (사과탐)'!$F$64:$I$112,4,FALSE),0))</f>
        <v>1538</v>
      </c>
      <c r="H45" s="158">
        <f t="shared" si="4"/>
        <v>0.14102328993214744</v>
      </c>
      <c r="I45" s="160">
        <f>SUM($G$7:G45)</f>
        <v>9302</v>
      </c>
      <c r="J45" s="162">
        <f t="shared" si="5"/>
        <v>0.8529249954153677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4"/>
      <c r="E46" s="164"/>
      <c r="F46" s="125"/>
      <c r="G46" s="156"/>
      <c r="H46" s="159"/>
      <c r="I46" s="161"/>
      <c r="J46" s="163"/>
      <c r="K46" s="28"/>
      <c r="L46" s="5" t="str">
        <f t="shared" si="1"/>
        <v>경고</v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40</v>
      </c>
      <c r="E47" s="79">
        <f t="shared" si="6"/>
        <v>7</v>
      </c>
      <c r="F47" s="71">
        <f t="shared" si="3"/>
        <v>12.92</v>
      </c>
      <c r="G47" s="72">
        <f>IF(D47=D46,"",_xlfn.IFNA(VLOOKUP(D47,'인원 입력 기능 (사과탐)'!$F$64:$I$112,4,FALSE),0))</f>
        <v>389</v>
      </c>
      <c r="H47" s="73">
        <f t="shared" si="4"/>
        <v>3.5668439391160829E-2</v>
      </c>
      <c r="I47" s="77">
        <f>SUM($G$7:G47)</f>
        <v>9691</v>
      </c>
      <c r="J47" s="75">
        <f t="shared" si="5"/>
        <v>0.88859343480652853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39</v>
      </c>
      <c r="E48" s="79">
        <f t="shared" si="6"/>
        <v>7</v>
      </c>
      <c r="F48" s="71">
        <f t="shared" si="3"/>
        <v>9.5500000000000007</v>
      </c>
      <c r="G48" s="72">
        <f>IF(D48=D47,"",_xlfn.IFNA(VLOOKUP(D48,'인원 입력 기능 (사과탐)'!$F$64:$I$112,4,FALSE),0))</f>
        <v>347</v>
      </c>
      <c r="H48" s="73">
        <f t="shared" si="4"/>
        <v>3.1817348248670455E-2</v>
      </c>
      <c r="I48" s="77">
        <f>SUM($G$7:G48)</f>
        <v>10038</v>
      </c>
      <c r="J48" s="75">
        <f t="shared" si="5"/>
        <v>0.92041078305519897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165">
        <f t="shared" si="2"/>
        <v>38</v>
      </c>
      <c r="E49" s="165">
        <f t="shared" si="6"/>
        <v>8</v>
      </c>
      <c r="F49" s="155">
        <f t="shared" si="3"/>
        <v>5.9</v>
      </c>
      <c r="G49" s="157">
        <f>IF(D49=D48,"",_xlfn.IFNA(VLOOKUP(D49,'인원 입력 기능 (사과탐)'!$F$64:$I$112,4,FALSE),0))</f>
        <v>450</v>
      </c>
      <c r="H49" s="158">
        <f t="shared" si="4"/>
        <v>4.1261690812396848E-2</v>
      </c>
      <c r="I49" s="160">
        <f>SUM($G$7:G49)</f>
        <v>10488</v>
      </c>
      <c r="J49" s="162">
        <f t="shared" si="5"/>
        <v>0.9616724738675958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64"/>
      <c r="E50" s="164"/>
      <c r="F50" s="125"/>
      <c r="G50" s="156"/>
      <c r="H50" s="159"/>
      <c r="I50" s="161"/>
      <c r="J50" s="163"/>
      <c r="K50" s="28"/>
      <c r="L50" s="5" t="str">
        <f t="shared" si="1"/>
        <v>경고</v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37</v>
      </c>
      <c r="E51" s="79">
        <f t="shared" si="6"/>
        <v>9</v>
      </c>
      <c r="F51" s="71">
        <f t="shared" si="3"/>
        <v>3.35</v>
      </c>
      <c r="G51" s="72">
        <f>IF(D51=D50,"",_xlfn.IFNA(VLOOKUP(D51,'인원 입력 기능 (사과탐)'!$F$64:$I$112,4,FALSE),0))</f>
        <v>105</v>
      </c>
      <c r="H51" s="73">
        <f t="shared" si="4"/>
        <v>9.6277278562259313E-3</v>
      </c>
      <c r="I51" s="77">
        <f>SUM($G$7:G51)</f>
        <v>10593</v>
      </c>
      <c r="J51" s="75">
        <f t="shared" si="5"/>
        <v>0.9713002017238217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36</v>
      </c>
      <c r="E52" s="79">
        <f t="shared" si="6"/>
        <v>9</v>
      </c>
      <c r="F52" s="71">
        <f t="shared" si="3"/>
        <v>2.2599999999999998</v>
      </c>
      <c r="G52" s="72">
        <f>IF(D52=D51,"",_xlfn.IFNA(VLOOKUP(D52,'인원 입력 기능 (사과탐)'!$F$64:$I$112,4,FALSE),0))</f>
        <v>133</v>
      </c>
      <c r="H52" s="73">
        <f t="shared" si="4"/>
        <v>1.2195121951219513E-2</v>
      </c>
      <c r="I52" s="77">
        <f>SUM($G$7:G52)</f>
        <v>10726</v>
      </c>
      <c r="J52" s="75">
        <f t="shared" si="5"/>
        <v>0.98349532367504122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121">
        <f t="shared" si="2"/>
        <v>35</v>
      </c>
      <c r="E53" s="121">
        <f t="shared" si="6"/>
        <v>9</v>
      </c>
      <c r="F53" s="155">
        <f t="shared" si="3"/>
        <v>1.1000000000000001</v>
      </c>
      <c r="G53" s="157">
        <f>IF(D53=D52,"",_xlfn.IFNA(VLOOKUP(D53,'인원 입력 기능 (사과탐)'!$F$64:$I$112,4,FALSE),0))</f>
        <v>121</v>
      </c>
      <c r="H53" s="158">
        <f t="shared" si="4"/>
        <v>1.1094810196222262E-2</v>
      </c>
      <c r="I53" s="160">
        <f>SUM($G$7:G53)</f>
        <v>10847</v>
      </c>
      <c r="J53" s="162">
        <f t="shared" si="5"/>
        <v>0.99459013387126349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122"/>
      <c r="E54" s="122"/>
      <c r="F54" s="125"/>
      <c r="G54" s="156"/>
      <c r="H54" s="159"/>
      <c r="I54" s="161"/>
      <c r="J54" s="163"/>
      <c r="K54" s="28"/>
      <c r="L54" s="5" t="str">
        <f t="shared" si="1"/>
        <v>경고</v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34</v>
      </c>
      <c r="E55" s="70">
        <f t="shared" si="6"/>
        <v>9</v>
      </c>
      <c r="F55" s="71">
        <f t="shared" si="3"/>
        <v>0.34</v>
      </c>
      <c r="G55" s="72">
        <f>IF(D55=D54,"",_xlfn.IFNA(VLOOKUP(D55,'인원 입력 기능 (사과탐)'!$F$64:$I$112,4,FALSE),0))</f>
        <v>43</v>
      </c>
      <c r="H55" s="73">
        <f t="shared" si="4"/>
        <v>3.9427837887401427E-3</v>
      </c>
      <c r="I55" s="77">
        <f>SUM($G$7:G55)</f>
        <v>10890</v>
      </c>
      <c r="J55" s="75">
        <f t="shared" si="5"/>
        <v>0.99853291766000363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7.0000000000000007E-2</v>
      </c>
      <c r="G57" s="85">
        <f>_xlfn.IFNA(VLOOKUP(D57,'인원 입력 기능 (사과탐)'!$F$64:$I$112,4,FALSE),0)</f>
        <v>16</v>
      </c>
      <c r="H57" s="86">
        <f>G57/$J$3</f>
        <v>1.4670823399963323E-3</v>
      </c>
      <c r="I57" s="87">
        <f>SUM($G$7:G57)</f>
        <v>10906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2">
    <mergeCell ref="I49:I50"/>
    <mergeCell ref="J49:J50"/>
    <mergeCell ref="D53:D54"/>
    <mergeCell ref="E53:E54"/>
    <mergeCell ref="F53:F54"/>
    <mergeCell ref="G53:G54"/>
    <mergeCell ref="H53:H54"/>
    <mergeCell ref="I53:I54"/>
    <mergeCell ref="J53:J54"/>
    <mergeCell ref="D49:D50"/>
    <mergeCell ref="E49:E50"/>
    <mergeCell ref="F49:F50"/>
    <mergeCell ref="G49:G50"/>
    <mergeCell ref="H49:H50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4:I25"/>
    <mergeCell ref="J24:J25"/>
    <mergeCell ref="D28:D29"/>
    <mergeCell ref="E28:E29"/>
    <mergeCell ref="F28:F29"/>
    <mergeCell ref="G28:G29"/>
    <mergeCell ref="H28:H29"/>
    <mergeCell ref="I28:I29"/>
    <mergeCell ref="J28:J29"/>
    <mergeCell ref="D24:D25"/>
    <mergeCell ref="E24:E25"/>
    <mergeCell ref="F24:F25"/>
    <mergeCell ref="G24:G25"/>
    <mergeCell ref="H24:H25"/>
    <mergeCell ref="H16:H17"/>
    <mergeCell ref="I16:I17"/>
    <mergeCell ref="J16:J17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8:J8"/>
    <mergeCell ref="D56:J56"/>
    <mergeCell ref="G5:J5"/>
    <mergeCell ref="D12:D13"/>
    <mergeCell ref="E12:E13"/>
    <mergeCell ref="F12:F13"/>
    <mergeCell ref="G12:G13"/>
    <mergeCell ref="H12:H13"/>
    <mergeCell ref="I12:I13"/>
    <mergeCell ref="J12:J13"/>
    <mergeCell ref="D16:D17"/>
    <mergeCell ref="E16:E17"/>
    <mergeCell ref="F16:F17"/>
    <mergeCell ref="G16:G17"/>
  </mergeCells>
  <phoneticPr fontId="1" type="noConversion"/>
  <conditionalFormatting sqref="D7:D12 D14:D16 D18:D20 D22:D24 D26:D28 D30:D32 D34:D36 D38:D41 D43:D45 D47:D49 D51:D53 D55:D57">
    <cfRule type="expression" dxfId="37" priority="1">
      <formula>$D7=$D8</formula>
    </cfRule>
  </conditionalFormatting>
  <conditionalFormatting sqref="C7:C57">
    <cfRule type="expression" dxfId="36" priority="3">
      <formula>OR(AND($D7=0,OR($D6=$Q$7:$Q$14)),AND($D8&gt;0,OR($D7=$Q$7:$Q$14)))</formula>
    </cfRule>
  </conditionalFormatting>
  <conditionalFormatting sqref="D7:J7 D8 D57:J57 D56 D9:J12 D14:J16 D18:J20 D22:J24 D26:J28 D30:J32 D34:J36 D38:J41 D43:J45 D47:J49 D51:J53 D55:J55">
    <cfRule type="expression" dxfId="35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3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기능'!D12</f>
        <v>19.07</v>
      </c>
      <c r="I3" s="15" t="s">
        <v>84</v>
      </c>
      <c r="J3" s="35">
        <f>'통계 및 응시자 수 입력 기능'!C12</f>
        <v>5306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98</v>
      </c>
      <c r="E4" s="108"/>
      <c r="F4" s="109"/>
      <c r="G4" s="37" t="s">
        <v>87</v>
      </c>
      <c r="H4" s="38" t="str">
        <f>'통계 및 응시자 수 입력 기능'!E12</f>
        <v>10.90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99.63</v>
      </c>
      <c r="G7" s="72">
        <f>_xlfn.IFNA(VLOOKUP(D7,'인원 입력 기능 (사과탐)'!$K$64:$N$112,4,FALSE),0)</f>
        <v>39</v>
      </c>
      <c r="H7" s="73">
        <f>G7/$J$3</f>
        <v>7.3501696192989066E-3</v>
      </c>
      <c r="I7" s="74">
        <f>G7</f>
        <v>39</v>
      </c>
      <c r="J7" s="75">
        <f>I7/$J$3</f>
        <v>7.3501696192989066E-3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입력기능'!C76</f>
        <v>73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입력기능'!C77</f>
        <v>65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77</v>
      </c>
      <c r="E9" s="70">
        <f t="shared" si="0"/>
        <v>1</v>
      </c>
      <c r="F9" s="71">
        <f>IF(I8=0,ROUND(100*(1-(I7+I9)/2/$J$3),2),ROUND(100*(1-(I8+I9)/2/$J$3),2))</f>
        <v>99.11</v>
      </c>
      <c r="G9" s="72">
        <f>_xlfn.IFNA(VLOOKUP(D9,'인원 입력 기능 (사과탐)'!$K$64:$N$112,4,FALSE),0)</f>
        <v>16</v>
      </c>
      <c r="H9" s="73">
        <f>G9/$J$3</f>
        <v>3.0154542027892952E-3</v>
      </c>
      <c r="I9" s="77">
        <f>SUM($G$7:G9)</f>
        <v>55</v>
      </c>
      <c r="J9" s="75">
        <f>I9/$J$3</f>
        <v>1.0365623822088202E-2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입력기능'!C78</f>
        <v>57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76</v>
      </c>
      <c r="E10" s="70">
        <f t="shared" si="0"/>
        <v>1</v>
      </c>
      <c r="F10" s="71">
        <f t="shared" ref="F10:F55" si="3">IF(I9=0,ROUND(100*(1-(I8+I10)/2/$J$3),2),ROUND(100*(1-(I9+I10)/2/$J$3),2))</f>
        <v>98.45</v>
      </c>
      <c r="G10" s="72">
        <f>IF(D10=D9,"",_xlfn.IFNA(VLOOKUP(D10,'인원 입력 기능 (사과탐)'!$K$64:$N$112,4,FALSE),0))</f>
        <v>55</v>
      </c>
      <c r="H10" s="73">
        <f t="shared" ref="H10:H55" si="4">G10/$J$3</f>
        <v>1.0365623822088202E-2</v>
      </c>
      <c r="I10" s="77">
        <f>SUM($G$7:G10)</f>
        <v>110</v>
      </c>
      <c r="J10" s="75">
        <f t="shared" ref="J10:J55" si="5">I10/$J$3</f>
        <v>2.0731247644176404E-2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입력기능'!C79</f>
        <v>50</v>
      </c>
    </row>
    <row r="11" spans="1:17" ht="25" customHeight="1" x14ac:dyDescent="0.45">
      <c r="A11" s="4"/>
      <c r="B11" s="19"/>
      <c r="C11" s="69">
        <v>46</v>
      </c>
      <c r="D11" s="70">
        <f t="shared" si="2"/>
        <v>75</v>
      </c>
      <c r="E11" s="70">
        <f t="shared" si="0"/>
        <v>1</v>
      </c>
      <c r="F11" s="71">
        <f t="shared" si="3"/>
        <v>97.91</v>
      </c>
      <c r="G11" s="72">
        <f>IF(D11=D10,"",_xlfn.IFNA(VLOOKUP(D11,'인원 입력 기능 (사과탐)'!$K$64:$N$112,4,FALSE),0))</f>
        <v>2</v>
      </c>
      <c r="H11" s="73">
        <f t="shared" si="4"/>
        <v>3.769317753486619E-4</v>
      </c>
      <c r="I11" s="77">
        <f>SUM($G$7:G11)</f>
        <v>112</v>
      </c>
      <c r="J11" s="75">
        <f t="shared" si="5"/>
        <v>2.1108179419525065E-2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입력기능'!C80</f>
        <v>44</v>
      </c>
    </row>
    <row r="12" spans="1:17" ht="25" customHeight="1" x14ac:dyDescent="0.45">
      <c r="A12" s="4"/>
      <c r="B12" s="19"/>
      <c r="C12" s="76">
        <v>45</v>
      </c>
      <c r="D12" s="70">
        <f t="shared" si="2"/>
        <v>74</v>
      </c>
      <c r="E12" s="70">
        <f t="shared" si="0"/>
        <v>1</v>
      </c>
      <c r="F12" s="71">
        <f t="shared" si="3"/>
        <v>97.45</v>
      </c>
      <c r="G12" s="72">
        <f>IF(D12=D11,"",_xlfn.IFNA(VLOOKUP(D12,'인원 입력 기능 (사과탐)'!$K$64:$N$112,4,FALSE),0))</f>
        <v>47</v>
      </c>
      <c r="H12" s="73">
        <f t="shared" si="4"/>
        <v>8.857896720693554E-3</v>
      </c>
      <c r="I12" s="77">
        <f>SUM($G$7:G12)</f>
        <v>159</v>
      </c>
      <c r="J12" s="75">
        <f t="shared" si="5"/>
        <v>2.9966076140218619E-2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입력기능'!C81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73</v>
      </c>
      <c r="E13" s="70">
        <f t="shared" si="0"/>
        <v>1</v>
      </c>
      <c r="F13" s="71">
        <f t="shared" si="3"/>
        <v>96.4</v>
      </c>
      <c r="G13" s="72">
        <f>IF(D13=D12,"",_xlfn.IFNA(VLOOKUP(D13,'인원 입력 기능 (사과탐)'!$K$64:$N$112,4,FALSE),0))</f>
        <v>64</v>
      </c>
      <c r="H13" s="73">
        <f t="shared" si="4"/>
        <v>1.2061816811157181E-2</v>
      </c>
      <c r="I13" s="77">
        <f>SUM($G$7:G13)</f>
        <v>223</v>
      </c>
      <c r="J13" s="75">
        <f t="shared" si="5"/>
        <v>4.2027892951375802E-2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입력기능'!C82</f>
        <v>41</v>
      </c>
    </row>
    <row r="14" spans="1:17" ht="25" customHeight="1" x14ac:dyDescent="0.45">
      <c r="A14" s="4"/>
      <c r="B14" s="19"/>
      <c r="C14" s="76">
        <v>43</v>
      </c>
      <c r="D14" s="70">
        <f t="shared" si="2"/>
        <v>72</v>
      </c>
      <c r="E14" s="70">
        <f t="shared" si="0"/>
        <v>2</v>
      </c>
      <c r="F14" s="71">
        <f t="shared" si="3"/>
        <v>95.71</v>
      </c>
      <c r="G14" s="72">
        <f>IF(D14=D13,"",_xlfn.IFNA(VLOOKUP(D14,'인원 입력 기능 (사과탐)'!$K$64:$N$112,4,FALSE),0))</f>
        <v>9</v>
      </c>
      <c r="H14" s="73">
        <f t="shared" si="4"/>
        <v>1.6961929890689784E-3</v>
      </c>
      <c r="I14" s="77">
        <f>SUM($G$7:G14)</f>
        <v>232</v>
      </c>
      <c r="J14" s="75">
        <f t="shared" si="5"/>
        <v>4.372408594044478E-2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입력기능'!C83</f>
        <v>38</v>
      </c>
    </row>
    <row r="15" spans="1:17" ht="25" customHeight="1" x14ac:dyDescent="0.45">
      <c r="A15" s="4"/>
      <c r="B15" s="19"/>
      <c r="C15" s="69">
        <v>42</v>
      </c>
      <c r="D15" s="70">
        <f t="shared" si="2"/>
        <v>71</v>
      </c>
      <c r="E15" s="70">
        <f t="shared" si="0"/>
        <v>2</v>
      </c>
      <c r="F15" s="71">
        <f t="shared" si="3"/>
        <v>95.15</v>
      </c>
      <c r="G15" s="72">
        <f>IF(D15=D14,"",_xlfn.IFNA(VLOOKUP(D15,'인원 입력 기능 (사과탐)'!$K$64:$N$112,4,FALSE),0))</f>
        <v>51</v>
      </c>
      <c r="H15" s="73">
        <f t="shared" si="4"/>
        <v>9.611760271390879E-3</v>
      </c>
      <c r="I15" s="77">
        <f>SUM($G$7:G15)</f>
        <v>283</v>
      </c>
      <c r="J15" s="75">
        <f t="shared" si="5"/>
        <v>5.3335846211835659E-2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70</v>
      </c>
      <c r="E16" s="70">
        <f t="shared" si="0"/>
        <v>2</v>
      </c>
      <c r="F16" s="71">
        <f t="shared" si="3"/>
        <v>94.24</v>
      </c>
      <c r="G16" s="72">
        <f>IF(D16=D15,"",_xlfn.IFNA(VLOOKUP(D16,'인원 입력 기능 (사과탐)'!$K$64:$N$112,4,FALSE),0))</f>
        <v>45</v>
      </c>
      <c r="H16" s="73">
        <f t="shared" si="4"/>
        <v>8.4809649453448932E-3</v>
      </c>
      <c r="I16" s="77">
        <f>SUM($G$7:G16)</f>
        <v>328</v>
      </c>
      <c r="J16" s="75">
        <f t="shared" si="5"/>
        <v>6.1816811157180553E-2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69</v>
      </c>
      <c r="E17" s="70">
        <f t="shared" si="0"/>
        <v>2</v>
      </c>
      <c r="F17" s="71">
        <f t="shared" si="3"/>
        <v>93.61</v>
      </c>
      <c r="G17" s="72">
        <f>IF(D17=D16,"",_xlfn.IFNA(VLOOKUP(D17,'인원 입력 기능 (사과탐)'!$K$64:$N$112,4,FALSE),0))</f>
        <v>22</v>
      </c>
      <c r="H17" s="73">
        <f t="shared" si="4"/>
        <v>4.1462495288352805E-3</v>
      </c>
      <c r="I17" s="77">
        <f>SUM($G$7:G17)</f>
        <v>350</v>
      </c>
      <c r="J17" s="75">
        <f t="shared" si="5"/>
        <v>6.5963060686015831E-2</v>
      </c>
      <c r="K17" s="28"/>
      <c r="L17" s="5" t="str">
        <f t="shared" si="1"/>
        <v/>
      </c>
      <c r="N17" s="1"/>
      <c r="P17" s="1">
        <f>Q7*H3*H4*J3*IFERROR(IF(J57=1, 1, 0), 0)</f>
        <v>80513238.694000006</v>
      </c>
    </row>
    <row r="18" spans="1:16" ht="25" customHeight="1" x14ac:dyDescent="0.45">
      <c r="A18" s="4"/>
      <c r="B18" s="19"/>
      <c r="C18" s="76">
        <v>39</v>
      </c>
      <c r="D18" s="70">
        <f t="shared" si="2"/>
        <v>68</v>
      </c>
      <c r="E18" s="70">
        <f t="shared" si="0"/>
        <v>2</v>
      </c>
      <c r="F18" s="71">
        <f t="shared" si="3"/>
        <v>92.86</v>
      </c>
      <c r="G18" s="72">
        <f>IF(D18=D17,"",_xlfn.IFNA(VLOOKUP(D18,'인원 입력 기능 (사과탐)'!$K$64:$N$112,4,FALSE),0))</f>
        <v>58</v>
      </c>
      <c r="H18" s="73">
        <f t="shared" si="4"/>
        <v>1.0931021485111195E-2</v>
      </c>
      <c r="I18" s="77">
        <f>SUM($G$7:G18)</f>
        <v>408</v>
      </c>
      <c r="J18" s="75">
        <f t="shared" si="5"/>
        <v>7.6894082171127032E-2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67</v>
      </c>
      <c r="E19" s="70">
        <f t="shared" si="0"/>
        <v>2</v>
      </c>
      <c r="F19" s="71">
        <f t="shared" si="3"/>
        <v>91.88</v>
      </c>
      <c r="G19" s="72">
        <f>IF(D19=D18,"",_xlfn.IFNA(VLOOKUP(D19,'인원 입력 기능 (사과탐)'!$K$64:$N$112,4,FALSE),0))</f>
        <v>46</v>
      </c>
      <c r="H19" s="73">
        <f t="shared" si="4"/>
        <v>8.6694308330192236E-3</v>
      </c>
      <c r="I19" s="77">
        <f>SUM($G$7:G19)</f>
        <v>454</v>
      </c>
      <c r="J19" s="75">
        <f t="shared" si="5"/>
        <v>8.5563513004146247E-2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1">
        <f t="shared" si="2"/>
        <v>66</v>
      </c>
      <c r="E20" s="121">
        <f t="shared" si="0"/>
        <v>2</v>
      </c>
      <c r="F20" s="155">
        <f t="shared" si="3"/>
        <v>90.44</v>
      </c>
      <c r="G20" s="157">
        <f>IF(D20=D19,"",_xlfn.IFNA(VLOOKUP(D20,'인원 입력 기능 (사과탐)'!$K$64:$N$112,4,FALSE),0))</f>
        <v>107</v>
      </c>
      <c r="H20" s="158">
        <f t="shared" si="4"/>
        <v>2.0165849981153412E-2</v>
      </c>
      <c r="I20" s="160">
        <f>SUM($G$7:G20)</f>
        <v>561</v>
      </c>
      <c r="J20" s="162">
        <f t="shared" si="5"/>
        <v>0.10572936298529965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22"/>
      <c r="E21" s="122"/>
      <c r="F21" s="125"/>
      <c r="G21" s="156"/>
      <c r="H21" s="159"/>
      <c r="I21" s="161"/>
      <c r="J21" s="163"/>
      <c r="K21" s="28"/>
      <c r="L21" s="5" t="str">
        <f t="shared" si="1"/>
        <v>경고</v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65</v>
      </c>
      <c r="E22" s="79">
        <f t="shared" si="0"/>
        <v>2</v>
      </c>
      <c r="F22" s="71">
        <f t="shared" si="3"/>
        <v>89.03</v>
      </c>
      <c r="G22" s="72">
        <f>IF(D22=D21,"",_xlfn.IFNA(VLOOKUP(D22,'인원 입력 기능 (사과탐)'!$K$64:$N$112,4,FALSE),0))</f>
        <v>42</v>
      </c>
      <c r="H22" s="73">
        <f t="shared" si="4"/>
        <v>7.9155672823219003E-3</v>
      </c>
      <c r="I22" s="77">
        <f>SUM($G$7:G22)</f>
        <v>603</v>
      </c>
      <c r="J22" s="75">
        <f t="shared" si="5"/>
        <v>0.11364493026762156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64</v>
      </c>
      <c r="E23" s="79">
        <f t="shared" si="0"/>
        <v>3</v>
      </c>
      <c r="F23" s="71">
        <f t="shared" si="3"/>
        <v>87.99</v>
      </c>
      <c r="G23" s="72">
        <f>IF(D23=D22,"",_xlfn.IFNA(VLOOKUP(D23,'인원 입력 기능 (사과탐)'!$K$64:$N$112,4,FALSE),0))</f>
        <v>68</v>
      </c>
      <c r="H23" s="73">
        <f t="shared" si="4"/>
        <v>1.2815680361854504E-2</v>
      </c>
      <c r="I23" s="77">
        <f>SUM($G$7:G23)</f>
        <v>671</v>
      </c>
      <c r="J23" s="75">
        <f t="shared" si="5"/>
        <v>0.12646061062947606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63</v>
      </c>
      <c r="E24" s="79">
        <f t="shared" si="0"/>
        <v>3</v>
      </c>
      <c r="F24" s="71">
        <f t="shared" si="3"/>
        <v>86.67</v>
      </c>
      <c r="G24" s="72">
        <f>IF(D24=D23,"",_xlfn.IFNA(VLOOKUP(D24,'인원 입력 기능 (사과탐)'!$K$64:$N$112,4,FALSE),0))</f>
        <v>73</v>
      </c>
      <c r="H24" s="73">
        <f t="shared" si="4"/>
        <v>1.375800980022616E-2</v>
      </c>
      <c r="I24" s="77">
        <f>SUM($G$7:G24)</f>
        <v>744</v>
      </c>
      <c r="J24" s="75">
        <f t="shared" si="5"/>
        <v>0.14021862042970223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62</v>
      </c>
      <c r="E25" s="79">
        <f t="shared" si="0"/>
        <v>3</v>
      </c>
      <c r="F25" s="71">
        <f t="shared" si="3"/>
        <v>85.35</v>
      </c>
      <c r="G25" s="72">
        <f>IF(D25=D24,"",_xlfn.IFNA(VLOOKUP(D25,'인원 입력 기능 (사과탐)'!$K$64:$N$112,4,FALSE),0))</f>
        <v>67</v>
      </c>
      <c r="H25" s="73">
        <f t="shared" si="4"/>
        <v>1.2627214474180174E-2</v>
      </c>
      <c r="I25" s="77">
        <f>SUM($G$7:G25)</f>
        <v>811</v>
      </c>
      <c r="J25" s="75">
        <f t="shared" si="5"/>
        <v>0.1528458349038824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61</v>
      </c>
      <c r="E26" s="79">
        <f t="shared" si="0"/>
        <v>3</v>
      </c>
      <c r="F26" s="71">
        <f t="shared" si="3"/>
        <v>83.74</v>
      </c>
      <c r="G26" s="72">
        <f>IF(D26=D25,"",_xlfn.IFNA(VLOOKUP(D26,'인원 입력 기능 (사과탐)'!$K$64:$N$112,4,FALSE),0))</f>
        <v>103</v>
      </c>
      <c r="H26" s="73">
        <f t="shared" si="4"/>
        <v>1.9411986430456087E-2</v>
      </c>
      <c r="I26" s="77">
        <f>SUM($G$7:G26)</f>
        <v>914</v>
      </c>
      <c r="J26" s="75">
        <f t="shared" si="5"/>
        <v>0.17225782133433848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60</v>
      </c>
      <c r="E27" s="79">
        <f t="shared" si="0"/>
        <v>3</v>
      </c>
      <c r="F27" s="71">
        <f t="shared" si="3"/>
        <v>82.02</v>
      </c>
      <c r="G27" s="72">
        <f>IF(D27=D26,"",_xlfn.IFNA(VLOOKUP(D27,'인원 입력 기능 (사과탐)'!$K$64:$N$112,4,FALSE),0))</f>
        <v>80</v>
      </c>
      <c r="H27" s="73">
        <f t="shared" si="4"/>
        <v>1.5077271013946476E-2</v>
      </c>
      <c r="I27" s="77">
        <f>SUM($G$7:G27)</f>
        <v>994</v>
      </c>
      <c r="J27" s="75">
        <f t="shared" si="5"/>
        <v>0.18733509234828497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59</v>
      </c>
      <c r="E28" s="79">
        <f t="shared" si="0"/>
        <v>3</v>
      </c>
      <c r="F28" s="71">
        <f t="shared" si="3"/>
        <v>80.45</v>
      </c>
      <c r="G28" s="72">
        <f>IF(D28=D27,"",_xlfn.IFNA(VLOOKUP(D28,'인원 입력 기능 (사과탐)'!$K$64:$N$112,4,FALSE),0))</f>
        <v>87</v>
      </c>
      <c r="H28" s="73">
        <f t="shared" si="4"/>
        <v>1.6396532227666794E-2</v>
      </c>
      <c r="I28" s="77">
        <f>SUM($G$7:G28)</f>
        <v>1081</v>
      </c>
      <c r="J28" s="75">
        <f t="shared" si="5"/>
        <v>0.20373162457595176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58</v>
      </c>
      <c r="E29" s="79">
        <f t="shared" si="0"/>
        <v>3</v>
      </c>
      <c r="F29" s="71">
        <f t="shared" si="3"/>
        <v>78.75</v>
      </c>
      <c r="G29" s="72">
        <f>IF(D29=D28,"",_xlfn.IFNA(VLOOKUP(D29,'인원 입력 기능 (사과탐)'!$K$64:$N$112,4,FALSE),0))</f>
        <v>93</v>
      </c>
      <c r="H29" s="73">
        <f t="shared" si="4"/>
        <v>1.7527327553712779E-2</v>
      </c>
      <c r="I29" s="77">
        <f>SUM($G$7:G29)</f>
        <v>1174</v>
      </c>
      <c r="J29" s="75">
        <f t="shared" si="5"/>
        <v>0.22125895212966454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57</v>
      </c>
      <c r="E30" s="79">
        <f t="shared" si="0"/>
        <v>3</v>
      </c>
      <c r="F30" s="71">
        <f t="shared" si="3"/>
        <v>76.989999999999995</v>
      </c>
      <c r="G30" s="72">
        <f>IF(D30=D29,"",_xlfn.IFNA(VLOOKUP(D30,'인원 입력 기능 (사과탐)'!$K$64:$N$112,4,FALSE),0))</f>
        <v>94</v>
      </c>
      <c r="H30" s="73">
        <f t="shared" si="4"/>
        <v>1.7715793441387108E-2</v>
      </c>
      <c r="I30" s="77">
        <f>SUM($G$7:G30)</f>
        <v>1268</v>
      </c>
      <c r="J30" s="75">
        <f t="shared" si="5"/>
        <v>0.23897474557105164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56</v>
      </c>
      <c r="E31" s="79">
        <f t="shared" si="0"/>
        <v>4</v>
      </c>
      <c r="F31" s="71">
        <f t="shared" si="3"/>
        <v>75.28</v>
      </c>
      <c r="G31" s="72">
        <f>IF(D31=D30,"",_xlfn.IFNA(VLOOKUP(D31,'인원 입력 기능 (사과탐)'!$K$64:$N$112,4,FALSE),0))</f>
        <v>87</v>
      </c>
      <c r="H31" s="73">
        <f t="shared" si="4"/>
        <v>1.6396532227666794E-2</v>
      </c>
      <c r="I31" s="77">
        <f>SUM($G$7:G31)</f>
        <v>1355</v>
      </c>
      <c r="J31" s="75">
        <f t="shared" si="5"/>
        <v>0.25537127779871843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65">
        <f t="shared" si="2"/>
        <v>55</v>
      </c>
      <c r="E32" s="165">
        <f t="shared" si="0"/>
        <v>4</v>
      </c>
      <c r="F32" s="155">
        <f t="shared" si="3"/>
        <v>72.41</v>
      </c>
      <c r="G32" s="157">
        <f>IF(D32=D31,"",_xlfn.IFNA(VLOOKUP(D32,'인원 입력 기능 (사과탐)'!$K$64:$N$112,4,FALSE),0))</f>
        <v>218</v>
      </c>
      <c r="H32" s="158">
        <f t="shared" si="4"/>
        <v>4.1085563513004145E-2</v>
      </c>
      <c r="I32" s="160">
        <f>SUM($G$7:G32)</f>
        <v>1573</v>
      </c>
      <c r="J32" s="162">
        <f t="shared" si="5"/>
        <v>0.29645684131172256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64"/>
      <c r="E33" s="164"/>
      <c r="F33" s="125"/>
      <c r="G33" s="156"/>
      <c r="H33" s="159"/>
      <c r="I33" s="161"/>
      <c r="J33" s="163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54</v>
      </c>
      <c r="E34" s="79">
        <f t="shared" si="0"/>
        <v>4</v>
      </c>
      <c r="F34" s="71">
        <f t="shared" si="3"/>
        <v>69.209999999999994</v>
      </c>
      <c r="G34" s="72">
        <f>IF(D34=D33,"",_xlfn.IFNA(VLOOKUP(D34,'인원 입력 기능 (사과탐)'!$K$64:$N$112,4,FALSE),0))</f>
        <v>121</v>
      </c>
      <c r="H34" s="73">
        <f t="shared" si="4"/>
        <v>2.2804372408594044E-2</v>
      </c>
      <c r="I34" s="77">
        <f>SUM($G$7:G34)</f>
        <v>1694</v>
      </c>
      <c r="J34" s="75">
        <f t="shared" si="5"/>
        <v>0.31926121372031663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53</v>
      </c>
      <c r="E35" s="79">
        <f t="shared" si="0"/>
        <v>4</v>
      </c>
      <c r="F35" s="71">
        <f t="shared" si="3"/>
        <v>67.180000000000007</v>
      </c>
      <c r="G35" s="72">
        <f>IF(D35=D34,"",_xlfn.IFNA(VLOOKUP(D35,'인원 입력 기능 (사과탐)'!$K$64:$N$112,4,FALSE),0))</f>
        <v>95</v>
      </c>
      <c r="H35" s="73">
        <f t="shared" si="4"/>
        <v>1.790425932906144E-2</v>
      </c>
      <c r="I35" s="77">
        <f>SUM($G$7:G35)</f>
        <v>1789</v>
      </c>
      <c r="J35" s="75">
        <f t="shared" si="5"/>
        <v>0.33716547304937805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52</v>
      </c>
      <c r="E36" s="79">
        <f t="shared" si="0"/>
        <v>4</v>
      </c>
      <c r="F36" s="71">
        <f t="shared" si="3"/>
        <v>65.150000000000006</v>
      </c>
      <c r="G36" s="72">
        <f>IF(D36=D35,"",_xlfn.IFNA(VLOOKUP(D36,'인원 입력 기능 (사과탐)'!$K$64:$N$112,4,FALSE),0))</f>
        <v>120</v>
      </c>
      <c r="H36" s="73">
        <f t="shared" si="4"/>
        <v>2.2615906520919715E-2</v>
      </c>
      <c r="I36" s="77">
        <f>SUM($G$7:G36)</f>
        <v>1909</v>
      </c>
      <c r="J36" s="75">
        <f t="shared" si="5"/>
        <v>0.35978137957029777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51</v>
      </c>
      <c r="E37" s="79">
        <f t="shared" si="0"/>
        <v>4</v>
      </c>
      <c r="F37" s="71">
        <f t="shared" si="3"/>
        <v>62.74</v>
      </c>
      <c r="G37" s="72">
        <f>IF(D37=D36,"",_xlfn.IFNA(VLOOKUP(D37,'인원 입력 기능 (사과탐)'!$K$64:$N$112,4,FALSE),0))</f>
        <v>136</v>
      </c>
      <c r="H37" s="73">
        <f t="shared" si="4"/>
        <v>2.5631360723709008E-2</v>
      </c>
      <c r="I37" s="77">
        <f>SUM($G$7:G37)</f>
        <v>2045</v>
      </c>
      <c r="J37" s="75">
        <f t="shared" si="5"/>
        <v>0.38541274029400679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50</v>
      </c>
      <c r="E38" s="79">
        <f t="shared" si="0"/>
        <v>4</v>
      </c>
      <c r="F38" s="71">
        <f t="shared" si="3"/>
        <v>60.37</v>
      </c>
      <c r="G38" s="72">
        <f>IF(D38=D37,"",_xlfn.IFNA(VLOOKUP(D38,'인원 입력 기능 (사과탐)'!$K$64:$N$112,4,FALSE),0))</f>
        <v>116</v>
      </c>
      <c r="H38" s="73">
        <f t="shared" si="4"/>
        <v>2.186204297022239E-2</v>
      </c>
      <c r="I38" s="77">
        <f>SUM($G$7:G38)</f>
        <v>2161</v>
      </c>
      <c r="J38" s="75">
        <f t="shared" si="5"/>
        <v>0.40727478326422917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49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57.9</v>
      </c>
      <c r="G39" s="72">
        <f>IF(D39=D38,"",_xlfn.IFNA(VLOOKUP(D39,'인원 입력 기능 (사과탐)'!$K$64:$N$112,4,FALSE),0))</f>
        <v>146</v>
      </c>
      <c r="H39" s="73">
        <f t="shared" si="4"/>
        <v>2.7516019600452319E-2</v>
      </c>
      <c r="I39" s="77">
        <f>SUM($G$7:G39)</f>
        <v>2307</v>
      </c>
      <c r="J39" s="75">
        <f t="shared" si="5"/>
        <v>0.43479080286468147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48</v>
      </c>
      <c r="E40" s="79">
        <f t="shared" si="6"/>
        <v>5</v>
      </c>
      <c r="F40" s="71">
        <f t="shared" si="3"/>
        <v>55.08</v>
      </c>
      <c r="G40" s="72">
        <f>IF(D40=D39,"",_xlfn.IFNA(VLOOKUP(D40,'인원 입력 기능 (사과탐)'!$K$64:$N$112,4,FALSE),0))</f>
        <v>153</v>
      </c>
      <c r="H40" s="73">
        <f t="shared" si="4"/>
        <v>2.8835280814172633E-2</v>
      </c>
      <c r="I40" s="77">
        <f>SUM($G$7:G40)</f>
        <v>2460</v>
      </c>
      <c r="J40" s="75">
        <f t="shared" si="5"/>
        <v>0.46362608367885411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47</v>
      </c>
      <c r="E41" s="79">
        <f t="shared" si="6"/>
        <v>5</v>
      </c>
      <c r="F41" s="71">
        <f t="shared" si="3"/>
        <v>52.03</v>
      </c>
      <c r="G41" s="72">
        <f>IF(D41=D40,"",_xlfn.IFNA(VLOOKUP(D41,'인원 입력 기능 (사과탐)'!$K$64:$N$112,4,FALSE),0))</f>
        <v>171</v>
      </c>
      <c r="H41" s="73">
        <f t="shared" si="4"/>
        <v>3.2227666792310594E-2</v>
      </c>
      <c r="I41" s="77">
        <f>SUM($G$7:G41)</f>
        <v>2631</v>
      </c>
      <c r="J41" s="75">
        <f t="shared" si="5"/>
        <v>0.4958537504711647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46</v>
      </c>
      <c r="E42" s="79">
        <f t="shared" si="6"/>
        <v>5</v>
      </c>
      <c r="F42" s="71">
        <f t="shared" si="3"/>
        <v>48.67</v>
      </c>
      <c r="G42" s="72">
        <f>IF(D42=D41,"",_xlfn.IFNA(VLOOKUP(D42,'인원 입력 기능 (사과탐)'!$K$64:$N$112,4,FALSE),0))</f>
        <v>185</v>
      </c>
      <c r="H42" s="73">
        <f t="shared" si="4"/>
        <v>3.4866189219751223E-2</v>
      </c>
      <c r="I42" s="77">
        <f>SUM($G$7:G42)</f>
        <v>2816</v>
      </c>
      <c r="J42" s="75">
        <f t="shared" si="5"/>
        <v>0.53071993969091591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45</v>
      </c>
      <c r="E43" s="79">
        <f t="shared" si="6"/>
        <v>5</v>
      </c>
      <c r="F43" s="71">
        <f t="shared" si="3"/>
        <v>45.06</v>
      </c>
      <c r="G43" s="72">
        <f>IF(D43=D42,"",_xlfn.IFNA(VLOOKUP(D43,'인원 입력 기능 (사과탐)'!$K$64:$N$112,4,FALSE),0))</f>
        <v>198</v>
      </c>
      <c r="H43" s="73">
        <f t="shared" si="4"/>
        <v>3.731624575951753E-2</v>
      </c>
      <c r="I43" s="77">
        <f>SUM($G$7:G43)</f>
        <v>3014</v>
      </c>
      <c r="J43" s="75">
        <f t="shared" si="5"/>
        <v>0.56803618545043344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165">
        <f t="shared" si="2"/>
        <v>44</v>
      </c>
      <c r="E44" s="165">
        <f t="shared" si="6"/>
        <v>5</v>
      </c>
      <c r="F44" s="155">
        <f t="shared" si="3"/>
        <v>36.44</v>
      </c>
      <c r="G44" s="157">
        <f>IF(D44=D43,"",_xlfn.IFNA(VLOOKUP(D44,'인원 입력 기능 (사과탐)'!$K$64:$N$112,4,FALSE),0))</f>
        <v>717</v>
      </c>
      <c r="H44" s="158">
        <f t="shared" si="4"/>
        <v>0.1351300414624953</v>
      </c>
      <c r="I44" s="160">
        <f>SUM($G$7:G44)</f>
        <v>3731</v>
      </c>
      <c r="J44" s="162">
        <f t="shared" si="5"/>
        <v>0.70316622691292874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64"/>
      <c r="E45" s="164"/>
      <c r="F45" s="125"/>
      <c r="G45" s="156"/>
      <c r="H45" s="159"/>
      <c r="I45" s="161"/>
      <c r="J45" s="163"/>
      <c r="K45" s="28"/>
      <c r="L45" s="5" t="str">
        <f t="shared" si="1"/>
        <v>경고</v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43</v>
      </c>
      <c r="E46" s="79">
        <f t="shared" si="6"/>
        <v>6</v>
      </c>
      <c r="F46" s="71">
        <f t="shared" si="3"/>
        <v>27.98</v>
      </c>
      <c r="G46" s="72">
        <f>IF(D46=D45,"",_xlfn.IFNA(VLOOKUP(D46,'인원 입력 기능 (사과탐)'!$K$64:$N$112,4,FALSE),0))</f>
        <v>181</v>
      </c>
      <c r="H46" s="73">
        <f t="shared" si="4"/>
        <v>3.4112325669053901E-2</v>
      </c>
      <c r="I46" s="77">
        <f>SUM($G$7:G46)</f>
        <v>3912</v>
      </c>
      <c r="J46" s="75">
        <f t="shared" si="5"/>
        <v>0.73727855258198272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42</v>
      </c>
      <c r="E47" s="79">
        <f t="shared" si="6"/>
        <v>6</v>
      </c>
      <c r="F47" s="71">
        <f t="shared" si="3"/>
        <v>19.98</v>
      </c>
      <c r="G47" s="72">
        <f>IF(D47=D46,"",_xlfn.IFNA(VLOOKUP(D47,'인원 입력 기능 (사과탐)'!$K$64:$N$112,4,FALSE),0))</f>
        <v>668</v>
      </c>
      <c r="H47" s="73">
        <f t="shared" si="4"/>
        <v>0.12589521296645306</v>
      </c>
      <c r="I47" s="77">
        <f>SUM($G$7:G47)</f>
        <v>4580</v>
      </c>
      <c r="J47" s="75">
        <f t="shared" si="5"/>
        <v>0.86317376554843572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41</v>
      </c>
      <c r="E48" s="79">
        <f t="shared" si="6"/>
        <v>7</v>
      </c>
      <c r="F48" s="71">
        <f t="shared" si="3"/>
        <v>11.75</v>
      </c>
      <c r="G48" s="72">
        <f>IF(D48=D47,"",_xlfn.IFNA(VLOOKUP(D48,'인원 입력 기능 (사과탐)'!$K$64:$N$112,4,FALSE),0))</f>
        <v>205</v>
      </c>
      <c r="H48" s="73">
        <f t="shared" si="4"/>
        <v>3.8635506973237844E-2</v>
      </c>
      <c r="I48" s="77">
        <f>SUM($G$7:G48)</f>
        <v>4785</v>
      </c>
      <c r="J48" s="75">
        <f t="shared" si="5"/>
        <v>0.90180927252167353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40</v>
      </c>
      <c r="E49" s="79">
        <f t="shared" si="6"/>
        <v>8</v>
      </c>
      <c r="F49" s="71">
        <f t="shared" si="3"/>
        <v>8.48</v>
      </c>
      <c r="G49" s="72">
        <f>IF(D49=D48,"",_xlfn.IFNA(VLOOKUP(D49,'인원 입력 기능 (사과탐)'!$K$64:$N$112,4,FALSE),0))</f>
        <v>142</v>
      </c>
      <c r="H49" s="73">
        <f t="shared" si="4"/>
        <v>2.6762156049754994E-2</v>
      </c>
      <c r="I49" s="77">
        <f>SUM($G$7:G49)</f>
        <v>4927</v>
      </c>
      <c r="J49" s="75">
        <f t="shared" si="5"/>
        <v>0.9285714285714286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39</v>
      </c>
      <c r="E50" s="79">
        <f t="shared" si="6"/>
        <v>8</v>
      </c>
      <c r="F50" s="71">
        <f t="shared" si="3"/>
        <v>6.11</v>
      </c>
      <c r="G50" s="72">
        <f>IF(D50=D49,"",_xlfn.IFNA(VLOOKUP(D50,'인원 입력 기능 (사과탐)'!$K$64:$N$112,4,FALSE),0))</f>
        <v>110</v>
      </c>
      <c r="H50" s="73">
        <f t="shared" si="4"/>
        <v>2.0731247644176404E-2</v>
      </c>
      <c r="I50" s="77">
        <f>SUM($G$7:G50)</f>
        <v>5037</v>
      </c>
      <c r="J50" s="75">
        <f t="shared" si="5"/>
        <v>0.94930267621560493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38</v>
      </c>
      <c r="E51" s="79">
        <f t="shared" si="6"/>
        <v>8</v>
      </c>
      <c r="F51" s="71">
        <f t="shared" si="3"/>
        <v>4.22</v>
      </c>
      <c r="G51" s="72">
        <f>IF(D51=D50,"",_xlfn.IFNA(VLOOKUP(D51,'인원 입력 기능 (사과탐)'!$K$64:$N$112,4,FALSE),0))</f>
        <v>90</v>
      </c>
      <c r="H51" s="73">
        <f t="shared" si="4"/>
        <v>1.6961929890689786E-2</v>
      </c>
      <c r="I51" s="77">
        <f>SUM($G$7:G51)</f>
        <v>5127</v>
      </c>
      <c r="J51" s="75">
        <f t="shared" si="5"/>
        <v>0.96626460610629472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37</v>
      </c>
      <c r="E52" s="79">
        <f t="shared" si="6"/>
        <v>9</v>
      </c>
      <c r="F52" s="71">
        <f t="shared" si="3"/>
        <v>2.46</v>
      </c>
      <c r="G52" s="72">
        <f>IF(D52=D51,"",_xlfn.IFNA(VLOOKUP(D52,'인원 입력 기능 (사과탐)'!$K$64:$N$112,4,FALSE),0))</f>
        <v>97</v>
      </c>
      <c r="H52" s="73">
        <f t="shared" si="4"/>
        <v>1.8281191104410101E-2</v>
      </c>
      <c r="I52" s="77">
        <f>SUM($G$7:G52)</f>
        <v>5224</v>
      </c>
      <c r="J52" s="75">
        <f t="shared" si="5"/>
        <v>0.9845457972107049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36</v>
      </c>
      <c r="E53" s="70">
        <f t="shared" si="6"/>
        <v>9</v>
      </c>
      <c r="F53" s="71">
        <f t="shared" si="3"/>
        <v>1.28</v>
      </c>
      <c r="G53" s="72">
        <f>IF(D53=D52,"",_xlfn.IFNA(VLOOKUP(D53,'인원 입력 기능 (사과탐)'!$K$64:$N$112,4,FALSE),0))</f>
        <v>28</v>
      </c>
      <c r="H53" s="73">
        <f t="shared" si="4"/>
        <v>5.2770448548812663E-3</v>
      </c>
      <c r="I53" s="77">
        <f>SUM($G$7:G53)</f>
        <v>5252</v>
      </c>
      <c r="J53" s="75">
        <f t="shared" si="5"/>
        <v>0.98982284206558613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35</v>
      </c>
      <c r="E54" s="70">
        <f t="shared" si="6"/>
        <v>9</v>
      </c>
      <c r="F54" s="71">
        <f t="shared" si="3"/>
        <v>0.79</v>
      </c>
      <c r="G54" s="72">
        <f>IF(D54=D53,"",_xlfn.IFNA(VLOOKUP(D54,'인원 입력 기능 (사과탐)'!$K$64:$N$112,4,FALSE),0))</f>
        <v>24</v>
      </c>
      <c r="H54" s="73">
        <f t="shared" si="4"/>
        <v>4.523181304183943E-3</v>
      </c>
      <c r="I54" s="77">
        <f>SUM($G$7:G54)</f>
        <v>5276</v>
      </c>
      <c r="J54" s="75">
        <f t="shared" si="5"/>
        <v>0.99434602336977007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34</v>
      </c>
      <c r="E55" s="70">
        <f t="shared" si="6"/>
        <v>9</v>
      </c>
      <c r="F55" s="71">
        <f t="shared" si="3"/>
        <v>0.35</v>
      </c>
      <c r="G55" s="72">
        <f>IF(D55=D54,"",_xlfn.IFNA(VLOOKUP(D55,'인원 입력 기능 (사과탐)'!$K$64:$N$112,4,FALSE),0))</f>
        <v>23</v>
      </c>
      <c r="H55" s="73">
        <f t="shared" si="4"/>
        <v>4.3347154165096118E-3</v>
      </c>
      <c r="I55" s="77">
        <f>SUM($G$7:G55)</f>
        <v>5299</v>
      </c>
      <c r="J55" s="75">
        <f t="shared" si="5"/>
        <v>0.99868073878627972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33</v>
      </c>
      <c r="E57" s="83">
        <f t="shared" si="6"/>
        <v>9</v>
      </c>
      <c r="F57" s="84">
        <f>IF(I55=0,ROUND(100*(1-(I54+I57)/2/$J$3),2),ROUND(100*(1-(I55+I57)/2/$J$3),2))</f>
        <v>7.0000000000000007E-2</v>
      </c>
      <c r="G57" s="85">
        <f>_xlfn.IFNA(VLOOKUP(D57,'인원 입력 기능 (사과탐)'!$K$64:$N$112,4,FALSE),0)</f>
        <v>7</v>
      </c>
      <c r="H57" s="86">
        <f>G57/$J$3</f>
        <v>1.3192612137203166E-3</v>
      </c>
      <c r="I57" s="87">
        <f>SUM($G$7:G57)</f>
        <v>5306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6">
    <mergeCell ref="H32:H33"/>
    <mergeCell ref="I32:I33"/>
    <mergeCell ref="J32:J33"/>
    <mergeCell ref="D44:D45"/>
    <mergeCell ref="E44:E45"/>
    <mergeCell ref="F44:F45"/>
    <mergeCell ref="G44:G45"/>
    <mergeCell ref="H44:H45"/>
    <mergeCell ref="I44:I45"/>
    <mergeCell ref="J44:J45"/>
    <mergeCell ref="D3:F3"/>
    <mergeCell ref="D4:F4"/>
    <mergeCell ref="D8:J8"/>
    <mergeCell ref="D56:J56"/>
    <mergeCell ref="G5:J5"/>
    <mergeCell ref="D20:D21"/>
    <mergeCell ref="E20:E21"/>
    <mergeCell ref="F20:F21"/>
    <mergeCell ref="G20:G21"/>
    <mergeCell ref="H20:H21"/>
    <mergeCell ref="I20:I21"/>
    <mergeCell ref="J20:J21"/>
    <mergeCell ref="D32:D33"/>
    <mergeCell ref="E32:E33"/>
    <mergeCell ref="F32:F33"/>
    <mergeCell ref="G32:G33"/>
  </mergeCells>
  <phoneticPr fontId="1" type="noConversion"/>
  <conditionalFormatting sqref="D7:D20 D22:D32 D34:D44 D46:D57">
    <cfRule type="expression" dxfId="34" priority="1">
      <formula>$D7=$D8</formula>
    </cfRule>
  </conditionalFormatting>
  <conditionalFormatting sqref="C7:C57">
    <cfRule type="expression" dxfId="33" priority="3">
      <formula>OR(AND($D7=0,OR($D6=$Q$7:$Q$14)),AND($D8&gt;0,OR($D7=$Q$7:$Q$14)))</formula>
    </cfRule>
  </conditionalFormatting>
  <conditionalFormatting sqref="D7:J7 D8 D57:J57 D56 D9:J20 D22:J32 D34:J44 D46:J55">
    <cfRule type="expression" dxfId="32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4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기능'!D13</f>
        <v>22.91</v>
      </c>
      <c r="I3" s="15" t="s">
        <v>84</v>
      </c>
      <c r="J3" s="35">
        <f>'통계 및 응시자 수 입력 기능'!C13</f>
        <v>20242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97</v>
      </c>
      <c r="E4" s="108"/>
      <c r="F4" s="109"/>
      <c r="G4" s="37" t="s">
        <v>87</v>
      </c>
      <c r="H4" s="38" t="str">
        <f>'통계 및 응시자 수 입력 기능'!E13</f>
        <v>12.35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72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99.04</v>
      </c>
      <c r="G7" s="72">
        <f>_xlfn.IFNA(VLOOKUP(D7,'인원 입력 기능 (사과탐)'!$P$64:$S$112,4,FALSE),0)</f>
        <v>389</v>
      </c>
      <c r="H7" s="73">
        <f>G7/$J$3</f>
        <v>1.9217468629582058E-2</v>
      </c>
      <c r="I7" s="74">
        <f>G7</f>
        <v>389</v>
      </c>
      <c r="J7" s="75">
        <f>I7/$J$3</f>
        <v>1.9217468629582058E-2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입력기능'!C85</f>
        <v>70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입력기능'!C86</f>
        <v>65</v>
      </c>
    </row>
    <row r="9" spans="1:17" ht="25" customHeight="1" x14ac:dyDescent="0.45">
      <c r="A9" s="4"/>
      <c r="B9" s="19"/>
      <c r="C9" s="69">
        <v>48</v>
      </c>
      <c r="D9" s="121">
        <f>ROUND(10*(C9-$H$3)/$H$4+50,0)</f>
        <v>70</v>
      </c>
      <c r="E9" s="121">
        <f t="shared" si="0"/>
        <v>1</v>
      </c>
      <c r="F9" s="155">
        <f>IF(I8=0,ROUND(100*(1-(I7+I9)/2/$J$3),2),ROUND(100*(1-(I8+I9)/2/$J$3),2))</f>
        <v>96.62</v>
      </c>
      <c r="G9" s="157">
        <f>_xlfn.IFNA(VLOOKUP(D9,'인원 입력 기능 (사과탐)'!$P$64:$S$112,4,FALSE),0)</f>
        <v>591</v>
      </c>
      <c r="H9" s="158">
        <f>G9/$J$3</f>
        <v>2.9196719691730065E-2</v>
      </c>
      <c r="I9" s="160">
        <f>SUM($G$7:G9)</f>
        <v>980</v>
      </c>
      <c r="J9" s="162">
        <f>I9/$J$3</f>
        <v>4.8414188321312127E-2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입력기능'!C87</f>
        <v>58</v>
      </c>
    </row>
    <row r="10" spans="1:17" ht="25" customHeight="1" x14ac:dyDescent="0.45">
      <c r="A10" s="4"/>
      <c r="B10" s="19"/>
      <c r="C10" s="76">
        <v>47</v>
      </c>
      <c r="D10" s="122"/>
      <c r="E10" s="122"/>
      <c r="F10" s="125"/>
      <c r="G10" s="156"/>
      <c r="H10" s="159"/>
      <c r="I10" s="161"/>
      <c r="J10" s="163"/>
      <c r="K10" s="28"/>
      <c r="L10" s="5" t="str">
        <f t="shared" si="1"/>
        <v>경고</v>
      </c>
      <c r="N10" s="1"/>
      <c r="P10" s="1">
        <v>4</v>
      </c>
      <c r="Q10" s="1">
        <f>'표준점수 등급컷 입력기능'!C88</f>
        <v>52</v>
      </c>
    </row>
    <row r="11" spans="1:17" ht="25" customHeight="1" x14ac:dyDescent="0.45">
      <c r="A11" s="4"/>
      <c r="B11" s="19"/>
      <c r="C11" s="69">
        <v>46</v>
      </c>
      <c r="D11" s="70">
        <f t="shared" ref="D10:D55" si="2">ROUND(10*(C11-$H$3)/$H$4+50,0)</f>
        <v>69</v>
      </c>
      <c r="E11" s="70">
        <f t="shared" si="0"/>
        <v>2</v>
      </c>
      <c r="F11" s="71">
        <f t="shared" ref="F10:F55" si="3">IF(I10=0,ROUND(100*(1-(I9+I11)/2/$J$3),2),ROUND(100*(1-(I10+I11)/2/$J$3),2))</f>
        <v>95.13</v>
      </c>
      <c r="G11" s="72">
        <f>IF(D11=D10,"",_xlfn.IFNA(VLOOKUP(D11,'인원 입력 기능 (사과탐)'!$P$64:$S$112,4,FALSE),0))</f>
        <v>11</v>
      </c>
      <c r="H11" s="73">
        <f t="shared" ref="H10:H55" si="4">G11/$J$3</f>
        <v>5.4342456279023817E-4</v>
      </c>
      <c r="I11" s="77">
        <f>SUM($G$7:G11)</f>
        <v>991</v>
      </c>
      <c r="J11" s="75">
        <f t="shared" ref="J10:J55" si="5">I11/$J$3</f>
        <v>4.8957612884102358E-2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입력기능'!C89</f>
        <v>45</v>
      </c>
    </row>
    <row r="12" spans="1:17" ht="25" customHeight="1" x14ac:dyDescent="0.45">
      <c r="A12" s="4"/>
      <c r="B12" s="19"/>
      <c r="C12" s="76">
        <v>45</v>
      </c>
      <c r="D12" s="70">
        <f t="shared" si="2"/>
        <v>68</v>
      </c>
      <c r="E12" s="70">
        <f t="shared" si="0"/>
        <v>2</v>
      </c>
      <c r="F12" s="71">
        <f t="shared" si="3"/>
        <v>94.66</v>
      </c>
      <c r="G12" s="72">
        <f>IF(D12=D11,"",_xlfn.IFNA(VLOOKUP(D12,'인원 입력 기능 (사과탐)'!$P$64:$S$112,4,FALSE),0))</f>
        <v>181</v>
      </c>
      <c r="H12" s="73">
        <f t="shared" si="4"/>
        <v>8.9418041695484632E-3</v>
      </c>
      <c r="I12" s="77">
        <f>SUM($G$7:G12)</f>
        <v>1172</v>
      </c>
      <c r="J12" s="75">
        <f t="shared" si="5"/>
        <v>5.7899417053650828E-2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입력기능'!C90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67</v>
      </c>
      <c r="E13" s="70">
        <f t="shared" si="0"/>
        <v>2</v>
      </c>
      <c r="F13" s="71">
        <f t="shared" si="3"/>
        <v>93.15</v>
      </c>
      <c r="G13" s="72">
        <f>IF(D13=D12,"",_xlfn.IFNA(VLOOKUP(D13,'인원 입력 기능 (사과탐)'!$P$64:$S$112,4,FALSE),0))</f>
        <v>428</v>
      </c>
      <c r="H13" s="73">
        <f t="shared" si="4"/>
        <v>2.1144155715838355E-2</v>
      </c>
      <c r="I13" s="77">
        <f>SUM($G$7:G13)</f>
        <v>1600</v>
      </c>
      <c r="J13" s="75">
        <f t="shared" si="5"/>
        <v>7.9043572769489187E-2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입력기능'!C91</f>
        <v>38</v>
      </c>
    </row>
    <row r="14" spans="1:17" ht="25" customHeight="1" x14ac:dyDescent="0.45">
      <c r="A14" s="4"/>
      <c r="B14" s="19"/>
      <c r="C14" s="76">
        <v>43</v>
      </c>
      <c r="D14" s="70">
        <f t="shared" si="2"/>
        <v>66</v>
      </c>
      <c r="E14" s="70">
        <f t="shared" si="0"/>
        <v>2</v>
      </c>
      <c r="F14" s="71">
        <f t="shared" si="3"/>
        <v>91.97</v>
      </c>
      <c r="G14" s="72">
        <f>IF(D14=D13,"",_xlfn.IFNA(VLOOKUP(D14,'인원 입력 기능 (사과탐)'!$P$64:$S$112,4,FALSE),0))</f>
        <v>50</v>
      </c>
      <c r="H14" s="73">
        <f t="shared" si="4"/>
        <v>2.4701116490465371E-3</v>
      </c>
      <c r="I14" s="77">
        <f>SUM($G$7:G14)</f>
        <v>1650</v>
      </c>
      <c r="J14" s="75">
        <f t="shared" si="5"/>
        <v>8.1513684418535723E-2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입력기능'!C92</f>
        <v>37</v>
      </c>
    </row>
    <row r="15" spans="1:17" ht="25" customHeight="1" x14ac:dyDescent="0.45">
      <c r="A15" s="4"/>
      <c r="B15" s="19"/>
      <c r="C15" s="69">
        <v>42</v>
      </c>
      <c r="D15" s="121">
        <f t="shared" si="2"/>
        <v>65</v>
      </c>
      <c r="E15" s="121">
        <f t="shared" si="0"/>
        <v>2</v>
      </c>
      <c r="F15" s="155">
        <f t="shared" si="3"/>
        <v>89.91</v>
      </c>
      <c r="G15" s="157">
        <f>IF(D15=D14,"",_xlfn.IFNA(VLOOKUP(D15,'인원 입력 기능 (사과탐)'!$P$64:$S$112,4,FALSE),0))</f>
        <v>784</v>
      </c>
      <c r="H15" s="158">
        <f t="shared" si="4"/>
        <v>3.8731350657049697E-2</v>
      </c>
      <c r="I15" s="160">
        <f>SUM($G$7:G15)</f>
        <v>2434</v>
      </c>
      <c r="J15" s="162">
        <f t="shared" si="5"/>
        <v>0.12024503507558541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122"/>
      <c r="E16" s="122"/>
      <c r="F16" s="125"/>
      <c r="G16" s="156"/>
      <c r="H16" s="159"/>
      <c r="I16" s="161"/>
      <c r="J16" s="163"/>
      <c r="K16" s="28"/>
      <c r="L16" s="5" t="str">
        <f t="shared" si="1"/>
        <v>경고</v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64</v>
      </c>
      <c r="E17" s="70">
        <f t="shared" si="0"/>
        <v>3</v>
      </c>
      <c r="F17" s="71">
        <f t="shared" si="3"/>
        <v>87.6</v>
      </c>
      <c r="G17" s="72">
        <f>IF(D17=D16,"",_xlfn.IFNA(VLOOKUP(D17,'인원 입력 기능 (사과탐)'!$P$64:$S$112,4,FALSE),0))</f>
        <v>150</v>
      </c>
      <c r="H17" s="73">
        <f t="shared" si="4"/>
        <v>7.4103349471396109E-3</v>
      </c>
      <c r="I17" s="77">
        <f>SUM($G$7:G17)</f>
        <v>2584</v>
      </c>
      <c r="J17" s="75">
        <f t="shared" si="5"/>
        <v>0.12765537002272503</v>
      </c>
      <c r="K17" s="28"/>
      <c r="L17" s="5" t="str">
        <f t="shared" si="1"/>
        <v/>
      </c>
      <c r="N17" s="1"/>
      <c r="P17" s="1">
        <f>Q7*H3*H4*J3*IFERROR(IF(J57=1, 1, 0), 0)</f>
        <v>400906878.19</v>
      </c>
    </row>
    <row r="18" spans="1:16" ht="25" customHeight="1" x14ac:dyDescent="0.45">
      <c r="A18" s="4"/>
      <c r="B18" s="19"/>
      <c r="C18" s="76">
        <v>39</v>
      </c>
      <c r="D18" s="70">
        <f t="shared" si="2"/>
        <v>63</v>
      </c>
      <c r="E18" s="70">
        <f t="shared" si="0"/>
        <v>3</v>
      </c>
      <c r="F18" s="71">
        <f t="shared" si="3"/>
        <v>86.21</v>
      </c>
      <c r="G18" s="72">
        <f>IF(D18=D17,"",_xlfn.IFNA(VLOOKUP(D18,'인원 입력 기능 (사과탐)'!$P$64:$S$112,4,FALSE),0))</f>
        <v>414</v>
      </c>
      <c r="H18" s="73">
        <f t="shared" si="4"/>
        <v>2.0452524454105326E-2</v>
      </c>
      <c r="I18" s="77">
        <f>SUM($G$7:G18)</f>
        <v>2998</v>
      </c>
      <c r="J18" s="75">
        <f t="shared" si="5"/>
        <v>0.14810789447683034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62</v>
      </c>
      <c r="E19" s="70">
        <f t="shared" si="0"/>
        <v>3</v>
      </c>
      <c r="F19" s="71">
        <f t="shared" si="3"/>
        <v>84.45</v>
      </c>
      <c r="G19" s="72">
        <f>IF(D19=D18,"",_xlfn.IFNA(VLOOKUP(D19,'인원 입력 기능 (사과탐)'!$P$64:$S$112,4,FALSE),0))</f>
        <v>298</v>
      </c>
      <c r="H19" s="73">
        <f t="shared" si="4"/>
        <v>1.472186542831736E-2</v>
      </c>
      <c r="I19" s="77">
        <f>SUM($G$7:G19)</f>
        <v>3296</v>
      </c>
      <c r="J19" s="75">
        <f t="shared" si="5"/>
        <v>0.16282975990514773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1">
        <f t="shared" si="2"/>
        <v>61</v>
      </c>
      <c r="E20" s="121">
        <f t="shared" si="0"/>
        <v>3</v>
      </c>
      <c r="F20" s="155">
        <f t="shared" si="3"/>
        <v>82</v>
      </c>
      <c r="G20" s="157">
        <f>IF(D20=D19,"",_xlfn.IFNA(VLOOKUP(D20,'인원 입력 기능 (사과탐)'!$P$64:$S$112,4,FALSE),0))</f>
        <v>694</v>
      </c>
      <c r="H20" s="158">
        <f t="shared" si="4"/>
        <v>3.4285149688765934E-2</v>
      </c>
      <c r="I20" s="160">
        <f>SUM($G$7:G20)</f>
        <v>3990</v>
      </c>
      <c r="J20" s="162">
        <f t="shared" si="5"/>
        <v>0.19711490959391365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22"/>
      <c r="E21" s="122"/>
      <c r="F21" s="125"/>
      <c r="G21" s="156"/>
      <c r="H21" s="159"/>
      <c r="I21" s="161"/>
      <c r="J21" s="163"/>
      <c r="K21" s="28"/>
      <c r="L21" s="5" t="str">
        <f t="shared" si="1"/>
        <v>경고</v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60</v>
      </c>
      <c r="E22" s="79">
        <f t="shared" si="0"/>
        <v>3</v>
      </c>
      <c r="F22" s="71">
        <f t="shared" si="3"/>
        <v>79.569999999999993</v>
      </c>
      <c r="G22" s="72">
        <f>IF(D22=D21,"",_xlfn.IFNA(VLOOKUP(D22,'인원 입력 기능 (사과탐)'!$P$64:$S$112,4,FALSE),0))</f>
        <v>291</v>
      </c>
      <c r="H22" s="73">
        <f t="shared" si="4"/>
        <v>1.4376049797450845E-2</v>
      </c>
      <c r="I22" s="77">
        <f>SUM($G$7:G22)</f>
        <v>4281</v>
      </c>
      <c r="J22" s="75">
        <f t="shared" si="5"/>
        <v>0.2114909593913645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59</v>
      </c>
      <c r="E23" s="79">
        <f t="shared" si="0"/>
        <v>3</v>
      </c>
      <c r="F23" s="71">
        <f t="shared" si="3"/>
        <v>78.02</v>
      </c>
      <c r="G23" s="72">
        <f>IF(D23=D22,"",_xlfn.IFNA(VLOOKUP(D23,'인원 입력 기능 (사과탐)'!$P$64:$S$112,4,FALSE),0))</f>
        <v>337</v>
      </c>
      <c r="H23" s="73">
        <f t="shared" si="4"/>
        <v>1.6648552514573658E-2</v>
      </c>
      <c r="I23" s="77">
        <f>SUM($G$7:G23)</f>
        <v>4618</v>
      </c>
      <c r="J23" s="75">
        <f t="shared" si="5"/>
        <v>0.22813951190593815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58</v>
      </c>
      <c r="E24" s="79">
        <f t="shared" si="0"/>
        <v>3</v>
      </c>
      <c r="F24" s="71">
        <f t="shared" si="3"/>
        <v>76.17</v>
      </c>
      <c r="G24" s="72">
        <f>IF(D24=D23,"",_xlfn.IFNA(VLOOKUP(D24,'인원 입력 기능 (사과탐)'!$P$64:$S$112,4,FALSE),0))</f>
        <v>410</v>
      </c>
      <c r="H24" s="73">
        <f t="shared" si="4"/>
        <v>2.0254915522181602E-2</v>
      </c>
      <c r="I24" s="77">
        <f>SUM($G$7:G24)</f>
        <v>5028</v>
      </c>
      <c r="J24" s="75">
        <f t="shared" si="5"/>
        <v>0.24839442742811976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165">
        <f t="shared" si="2"/>
        <v>57</v>
      </c>
      <c r="E25" s="165">
        <f t="shared" si="0"/>
        <v>4</v>
      </c>
      <c r="F25" s="155">
        <f t="shared" si="3"/>
        <v>73.33</v>
      </c>
      <c r="G25" s="157">
        <f>IF(D25=D24,"",_xlfn.IFNA(VLOOKUP(D25,'인원 입력 기능 (사과탐)'!$P$64:$S$112,4,FALSE),0))</f>
        <v>743</v>
      </c>
      <c r="H25" s="158">
        <f t="shared" si="4"/>
        <v>3.670585910483154E-2</v>
      </c>
      <c r="I25" s="160">
        <f>SUM($G$7:G25)</f>
        <v>5771</v>
      </c>
      <c r="J25" s="162">
        <f t="shared" si="5"/>
        <v>0.28510028653295127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64"/>
      <c r="E26" s="164"/>
      <c r="F26" s="125"/>
      <c r="G26" s="156"/>
      <c r="H26" s="159"/>
      <c r="I26" s="161"/>
      <c r="J26" s="163"/>
      <c r="K26" s="28"/>
      <c r="L26" s="5" t="str">
        <f t="shared" si="1"/>
        <v>경고</v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56</v>
      </c>
      <c r="E27" s="79">
        <f t="shared" si="0"/>
        <v>4</v>
      </c>
      <c r="F27" s="71">
        <f t="shared" si="3"/>
        <v>70.599999999999994</v>
      </c>
      <c r="G27" s="72">
        <f>IF(D27=D26,"",_xlfn.IFNA(VLOOKUP(D27,'인원 입력 기능 (사과탐)'!$P$64:$S$112,4,FALSE),0))</f>
        <v>359</v>
      </c>
      <c r="H27" s="73">
        <f t="shared" si="4"/>
        <v>1.7735401640154136E-2</v>
      </c>
      <c r="I27" s="77">
        <f>SUM($G$7:G27)</f>
        <v>6130</v>
      </c>
      <c r="J27" s="75">
        <f t="shared" si="5"/>
        <v>0.30283568817310541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68.819999999999993</v>
      </c>
      <c r="G28" s="72">
        <f>IF(D28=D27,"",_xlfn.IFNA(VLOOKUP(D28,'인원 입력 기능 (사과탐)'!$P$64:$S$112,4,FALSE),0))</f>
        <v>364</v>
      </c>
      <c r="H28" s="73">
        <f t="shared" si="4"/>
        <v>1.798241280505879E-2</v>
      </c>
      <c r="I28" s="77">
        <f>SUM($G$7:G28)</f>
        <v>6494</v>
      </c>
      <c r="J28" s="75">
        <f t="shared" si="5"/>
        <v>0.32081810097816421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54</v>
      </c>
      <c r="E29" s="79">
        <f t="shared" si="0"/>
        <v>4</v>
      </c>
      <c r="F29" s="71">
        <f t="shared" si="3"/>
        <v>66.8</v>
      </c>
      <c r="G29" s="72">
        <f>IF(D29=D28,"",_xlfn.IFNA(VLOOKUP(D29,'인원 입력 기능 (사과탐)'!$P$64:$S$112,4,FALSE),0))</f>
        <v>452</v>
      </c>
      <c r="H29" s="73">
        <f t="shared" si="4"/>
        <v>2.2329809307380693E-2</v>
      </c>
      <c r="I29" s="77">
        <f>SUM($G$7:G29)</f>
        <v>6946</v>
      </c>
      <c r="J29" s="75">
        <f t="shared" si="5"/>
        <v>0.34314791028554492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65">
        <f t="shared" si="2"/>
        <v>53</v>
      </c>
      <c r="E30" s="165">
        <f t="shared" si="0"/>
        <v>4</v>
      </c>
      <c r="F30" s="155">
        <f t="shared" si="3"/>
        <v>63.62</v>
      </c>
      <c r="G30" s="157">
        <f>IF(D30=D29,"",_xlfn.IFNA(VLOOKUP(D30,'인원 입력 기능 (사과탐)'!$P$64:$S$112,4,FALSE),0))</f>
        <v>838</v>
      </c>
      <c r="H30" s="158">
        <f t="shared" si="4"/>
        <v>4.139907123801996E-2</v>
      </c>
      <c r="I30" s="160">
        <f>SUM($G$7:G30)</f>
        <v>7784</v>
      </c>
      <c r="J30" s="162">
        <f t="shared" si="5"/>
        <v>0.38454698152356487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164"/>
      <c r="E31" s="164"/>
      <c r="F31" s="125"/>
      <c r="G31" s="156"/>
      <c r="H31" s="159"/>
      <c r="I31" s="161"/>
      <c r="J31" s="163"/>
      <c r="K31" s="28"/>
      <c r="L31" s="5" t="str">
        <f t="shared" si="1"/>
        <v>경고</v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52</v>
      </c>
      <c r="E32" s="79">
        <f t="shared" si="0"/>
        <v>4</v>
      </c>
      <c r="F32" s="71">
        <f t="shared" si="3"/>
        <v>60.41</v>
      </c>
      <c r="G32" s="72">
        <f>IF(D32=D31,"",_xlfn.IFNA(VLOOKUP(D32,'인원 입력 기능 (사과탐)'!$P$64:$S$112,4,FALSE),0))</f>
        <v>459</v>
      </c>
      <c r="H32" s="73">
        <f t="shared" si="4"/>
        <v>2.2675624938247207E-2</v>
      </c>
      <c r="I32" s="77">
        <f>SUM($G$7:G32)</f>
        <v>8243</v>
      </c>
      <c r="J32" s="75">
        <f t="shared" si="5"/>
        <v>0.40722260646181208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51</v>
      </c>
      <c r="E33" s="79">
        <f t="shared" si="0"/>
        <v>5</v>
      </c>
      <c r="F33" s="71">
        <f t="shared" si="3"/>
        <v>58.09</v>
      </c>
      <c r="G33" s="72">
        <f>IF(D33=D32,"",_xlfn.IFNA(VLOOKUP(D33,'인원 입력 기능 (사과탐)'!$P$64:$S$112,4,FALSE),0))</f>
        <v>482</v>
      </c>
      <c r="H33" s="73">
        <f t="shared" si="4"/>
        <v>2.3811876296808615E-2</v>
      </c>
      <c r="I33" s="77">
        <f>SUM($G$7:G33)</f>
        <v>8725</v>
      </c>
      <c r="J33" s="75">
        <f t="shared" si="5"/>
        <v>0.43103448275862066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55.67</v>
      </c>
      <c r="G34" s="72">
        <f>IF(D34=D33,"",_xlfn.IFNA(VLOOKUP(D34,'인원 입력 기능 (사과탐)'!$P$64:$S$112,4,FALSE),0))</f>
        <v>496</v>
      </c>
      <c r="H34" s="73">
        <f t="shared" si="4"/>
        <v>2.4503507558541648E-2</v>
      </c>
      <c r="I34" s="77">
        <f>SUM($G$7:G34)</f>
        <v>9221</v>
      </c>
      <c r="J34" s="75">
        <f t="shared" si="5"/>
        <v>0.45553799031716236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53.2</v>
      </c>
      <c r="G35" s="72">
        <f>IF(D35=D34,"",_xlfn.IFNA(VLOOKUP(D35,'인원 입력 기능 (사과탐)'!$P$64:$S$112,4,FALSE),0))</f>
        <v>505</v>
      </c>
      <c r="H35" s="73">
        <f t="shared" si="4"/>
        <v>2.4948127655370023E-2</v>
      </c>
      <c r="I35" s="77">
        <f>SUM($G$7:G35)</f>
        <v>9726</v>
      </c>
      <c r="J35" s="75">
        <f t="shared" si="5"/>
        <v>0.48048611797253238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65">
        <f t="shared" si="2"/>
        <v>48</v>
      </c>
      <c r="E36" s="165">
        <f t="shared" si="0"/>
        <v>5</v>
      </c>
      <c r="F36" s="155">
        <f t="shared" si="3"/>
        <v>49.39</v>
      </c>
      <c r="G36" s="157">
        <f>IF(D36=D35,"",_xlfn.IFNA(VLOOKUP(D36,'인원 입력 기능 (사과탐)'!$P$64:$S$112,4,FALSE),0))</f>
        <v>1037</v>
      </c>
      <c r="H36" s="158">
        <f t="shared" si="4"/>
        <v>5.1230115601225173E-2</v>
      </c>
      <c r="I36" s="160">
        <f>SUM($G$7:G36)</f>
        <v>10763</v>
      </c>
      <c r="J36" s="162">
        <f t="shared" si="5"/>
        <v>0.53171623357375752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64"/>
      <c r="E37" s="164"/>
      <c r="F37" s="125"/>
      <c r="G37" s="156"/>
      <c r="H37" s="159"/>
      <c r="I37" s="161"/>
      <c r="J37" s="163"/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45.5</v>
      </c>
      <c r="G38" s="72">
        <f>IF(D38=D37,"",_xlfn.IFNA(VLOOKUP(D38,'인원 입력 기능 (사과탐)'!$P$64:$S$112,4,FALSE),0))</f>
        <v>536</v>
      </c>
      <c r="H38" s="73">
        <f t="shared" si="4"/>
        <v>2.6479596877778875E-2</v>
      </c>
      <c r="I38" s="77">
        <f>SUM($G$7:G38)</f>
        <v>11299</v>
      </c>
      <c r="J38" s="75">
        <f t="shared" si="5"/>
        <v>0.55819583045153642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42.77</v>
      </c>
      <c r="G39" s="72">
        <f>IF(D39=D38,"",_xlfn.IFNA(VLOOKUP(D39,'인원 입력 기능 (사과탐)'!$P$64:$S$112,4,FALSE),0))</f>
        <v>573</v>
      </c>
      <c r="H39" s="73">
        <f t="shared" si="4"/>
        <v>2.8307479498073312E-2</v>
      </c>
      <c r="I39" s="77">
        <f>SUM($G$7:G39)</f>
        <v>11872</v>
      </c>
      <c r="J39" s="75">
        <f t="shared" si="5"/>
        <v>0.58650330994960975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6"/>
        <v>5</v>
      </c>
      <c r="F40" s="71">
        <f t="shared" si="3"/>
        <v>40.01</v>
      </c>
      <c r="G40" s="72">
        <f>IF(D40=D39,"",_xlfn.IFNA(VLOOKUP(D40,'인원 입력 기능 (사과탐)'!$P$64:$S$112,4,FALSE),0))</f>
        <v>544</v>
      </c>
      <c r="H40" s="73">
        <f t="shared" si="4"/>
        <v>2.6874814741626323E-2</v>
      </c>
      <c r="I40" s="77">
        <f>SUM($G$7:G40)</f>
        <v>12416</v>
      </c>
      <c r="J40" s="75">
        <f t="shared" si="5"/>
        <v>0.61337812469123609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65">
        <f t="shared" si="2"/>
        <v>44</v>
      </c>
      <c r="E41" s="165">
        <f t="shared" si="6"/>
        <v>6</v>
      </c>
      <c r="F41" s="155">
        <f t="shared" si="3"/>
        <v>35.54</v>
      </c>
      <c r="G41" s="157">
        <f>IF(D41=D40,"",_xlfn.IFNA(VLOOKUP(D41,'인원 입력 기능 (사과탐)'!$P$64:$S$112,4,FALSE),0))</f>
        <v>1263</v>
      </c>
      <c r="H41" s="158">
        <f t="shared" si="4"/>
        <v>6.2395020254915522E-2</v>
      </c>
      <c r="I41" s="160">
        <f>SUM($G$7:G41)</f>
        <v>13679</v>
      </c>
      <c r="J41" s="162">
        <f t="shared" si="5"/>
        <v>0.67577314494615159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64"/>
      <c r="E42" s="164"/>
      <c r="F42" s="125"/>
      <c r="G42" s="156"/>
      <c r="H42" s="159"/>
      <c r="I42" s="161"/>
      <c r="J42" s="163"/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29.45</v>
      </c>
      <c r="G43" s="72">
        <f>IF(D43=D42,"",_xlfn.IFNA(VLOOKUP(D43,'인원 입력 기능 (사과탐)'!$P$64:$S$112,4,FALSE),0))</f>
        <v>1204</v>
      </c>
      <c r="H43" s="73">
        <f t="shared" si="4"/>
        <v>5.9480288509040607E-2</v>
      </c>
      <c r="I43" s="77">
        <f>SUM($G$7:G43)</f>
        <v>14883</v>
      </c>
      <c r="J43" s="75">
        <f t="shared" si="5"/>
        <v>0.73525343345519223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24.89</v>
      </c>
      <c r="G44" s="72">
        <f>IF(D44=D43,"",_xlfn.IFNA(VLOOKUP(D44,'인원 입력 기능 (사과탐)'!$P$64:$S$112,4,FALSE),0))</f>
        <v>640</v>
      </c>
      <c r="H44" s="73">
        <f t="shared" si="4"/>
        <v>3.1617429107795671E-2</v>
      </c>
      <c r="I44" s="77">
        <f>SUM($G$7:G44)</f>
        <v>15523</v>
      </c>
      <c r="J44" s="75">
        <f t="shared" si="5"/>
        <v>0.76687086256298787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41</v>
      </c>
      <c r="E45" s="79">
        <f t="shared" si="6"/>
        <v>6</v>
      </c>
      <c r="F45" s="71">
        <f t="shared" si="3"/>
        <v>22.04</v>
      </c>
      <c r="G45" s="72">
        <f>IF(D45=D44,"",_xlfn.IFNA(VLOOKUP(D45,'인원 입력 기능 (사과탐)'!$P$64:$S$112,4,FALSE),0))</f>
        <v>517</v>
      </c>
      <c r="H45" s="73">
        <f t="shared" si="4"/>
        <v>2.5540954451141192E-2</v>
      </c>
      <c r="I45" s="77">
        <f>SUM($G$7:G45)</f>
        <v>16040</v>
      </c>
      <c r="J45" s="75">
        <f t="shared" si="5"/>
        <v>0.79241181701412899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5">
        <f t="shared" si="2"/>
        <v>40</v>
      </c>
      <c r="E46" s="165">
        <f t="shared" si="6"/>
        <v>7</v>
      </c>
      <c r="F46" s="155">
        <f t="shared" si="3"/>
        <v>17.600000000000001</v>
      </c>
      <c r="G46" s="157">
        <f>IF(D46=D45,"",_xlfn.IFNA(VLOOKUP(D46,'인원 입력 기능 (사과탐)'!$P$64:$S$112,4,FALSE),0))</f>
        <v>1279</v>
      </c>
      <c r="H46" s="158">
        <f t="shared" si="4"/>
        <v>6.3185455982610411E-2</v>
      </c>
      <c r="I46" s="160">
        <f>SUM($G$7:G46)</f>
        <v>17319</v>
      </c>
      <c r="J46" s="162">
        <f t="shared" si="5"/>
        <v>0.85559727299673949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164"/>
      <c r="E47" s="164"/>
      <c r="F47" s="125"/>
      <c r="G47" s="156"/>
      <c r="H47" s="159"/>
      <c r="I47" s="161"/>
      <c r="J47" s="163"/>
      <c r="K47" s="28"/>
      <c r="L47" s="5" t="str">
        <f t="shared" si="1"/>
        <v>경고</v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39</v>
      </c>
      <c r="E48" s="79">
        <f t="shared" si="6"/>
        <v>7</v>
      </c>
      <c r="F48" s="71">
        <f t="shared" si="3"/>
        <v>13.44</v>
      </c>
      <c r="G48" s="72">
        <f>IF(D48=D47,"",_xlfn.IFNA(VLOOKUP(D48,'인원 입력 기능 (사과탐)'!$P$64:$S$112,4,FALSE),0))</f>
        <v>404</v>
      </c>
      <c r="H48" s="73">
        <f t="shared" si="4"/>
        <v>1.9958502124296017E-2</v>
      </c>
      <c r="I48" s="77">
        <f>SUM($G$7:G48)</f>
        <v>17723</v>
      </c>
      <c r="J48" s="75">
        <f t="shared" si="5"/>
        <v>0.87555577512103544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38</v>
      </c>
      <c r="E49" s="79">
        <f t="shared" si="6"/>
        <v>7</v>
      </c>
      <c r="F49" s="71">
        <f t="shared" si="3"/>
        <v>11.66</v>
      </c>
      <c r="G49" s="72">
        <f>IF(D49=D48,"",_xlfn.IFNA(VLOOKUP(D49,'인원 입력 기능 (사과탐)'!$P$64:$S$112,4,FALSE),0))</f>
        <v>318</v>
      </c>
      <c r="H49" s="73">
        <f t="shared" si="4"/>
        <v>1.5709910087935975E-2</v>
      </c>
      <c r="I49" s="77">
        <f>SUM($G$7:G49)</f>
        <v>18041</v>
      </c>
      <c r="J49" s="75">
        <f t="shared" si="5"/>
        <v>0.89126568520897143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37</v>
      </c>
      <c r="E50" s="79">
        <f t="shared" si="6"/>
        <v>8</v>
      </c>
      <c r="F50" s="71">
        <f t="shared" si="3"/>
        <v>7.23</v>
      </c>
      <c r="G50" s="72">
        <f>IF(D50=D49,"",_xlfn.IFNA(VLOOKUP(D50,'인원 입력 기능 (사과탐)'!$P$64:$S$112,4,FALSE),0))</f>
        <v>1473</v>
      </c>
      <c r="H50" s="73">
        <f t="shared" si="4"/>
        <v>7.2769489180910973E-2</v>
      </c>
      <c r="I50" s="77">
        <f>SUM($G$7:G50)</f>
        <v>19514</v>
      </c>
      <c r="J50" s="75">
        <f t="shared" si="5"/>
        <v>0.9640351743898824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165">
        <f t="shared" si="2"/>
        <v>36</v>
      </c>
      <c r="E51" s="165">
        <f t="shared" si="6"/>
        <v>9</v>
      </c>
      <c r="F51" s="155">
        <f t="shared" si="3"/>
        <v>2.4500000000000002</v>
      </c>
      <c r="G51" s="157">
        <f>IF(D51=D50,"",_xlfn.IFNA(VLOOKUP(D51,'인원 입력 기능 (사과탐)'!$P$64:$S$112,4,FALSE),0))</f>
        <v>463</v>
      </c>
      <c r="H51" s="158">
        <f t="shared" si="4"/>
        <v>2.2873233870170932E-2</v>
      </c>
      <c r="I51" s="160">
        <f>SUM($G$7:G51)</f>
        <v>19977</v>
      </c>
      <c r="J51" s="162">
        <f t="shared" si="5"/>
        <v>0.98690840826005333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64"/>
      <c r="E52" s="164"/>
      <c r="F52" s="125"/>
      <c r="G52" s="156"/>
      <c r="H52" s="159"/>
      <c r="I52" s="161"/>
      <c r="J52" s="163"/>
      <c r="K52" s="28"/>
      <c r="L52" s="5" t="str">
        <f t="shared" si="1"/>
        <v>경고</v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35</v>
      </c>
      <c r="E53" s="70">
        <f t="shared" si="6"/>
        <v>9</v>
      </c>
      <c r="F53" s="71">
        <f t="shared" si="3"/>
        <v>1.02</v>
      </c>
      <c r="G53" s="72">
        <f>IF(D53=D52,"",_xlfn.IFNA(VLOOKUP(D53,'인원 입력 기능 (사과탐)'!$P$64:$S$112,4,FALSE),0))</f>
        <v>116</v>
      </c>
      <c r="H53" s="73">
        <f t="shared" si="4"/>
        <v>5.7306590257879654E-3</v>
      </c>
      <c r="I53" s="77">
        <f>SUM($G$7:G53)</f>
        <v>20093</v>
      </c>
      <c r="J53" s="75">
        <f t="shared" si="5"/>
        <v>0.99263906728584128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34</v>
      </c>
      <c r="E54" s="70">
        <f t="shared" si="6"/>
        <v>9</v>
      </c>
      <c r="F54" s="71">
        <f t="shared" si="3"/>
        <v>0.61</v>
      </c>
      <c r="G54" s="72">
        <f>IF(D54=D53,"",_xlfn.IFNA(VLOOKUP(D54,'인원 입력 기능 (사과탐)'!$P$64:$S$112,4,FALSE),0))</f>
        <v>53</v>
      </c>
      <c r="H54" s="73">
        <f t="shared" si="4"/>
        <v>2.6183183479893293E-3</v>
      </c>
      <c r="I54" s="77">
        <f>SUM($G$7:G54)</f>
        <v>20146</v>
      </c>
      <c r="J54" s="75">
        <f t="shared" si="5"/>
        <v>0.9952573856338307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33</v>
      </c>
      <c r="E55" s="70">
        <f t="shared" si="6"/>
        <v>9</v>
      </c>
      <c r="F55" s="71">
        <f t="shared" si="3"/>
        <v>0.31</v>
      </c>
      <c r="G55" s="72">
        <f>IF(D55=D54,"",_xlfn.IFNA(VLOOKUP(D55,'인원 입력 기능 (사과탐)'!$P$64:$S$112,4,FALSE),0))</f>
        <v>68</v>
      </c>
      <c r="H55" s="73">
        <f t="shared" si="4"/>
        <v>3.3593518427032904E-3</v>
      </c>
      <c r="I55" s="77">
        <f>SUM($G$7:G55)</f>
        <v>20214</v>
      </c>
      <c r="J55" s="75">
        <f t="shared" si="5"/>
        <v>0.9986167374765339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7.0000000000000007E-2</v>
      </c>
      <c r="G57" s="85">
        <f>_xlfn.IFNA(VLOOKUP(D57,'인원 입력 기능 (사과탐)'!$P$64:$S$112,4,FALSE),0)</f>
        <v>28</v>
      </c>
      <c r="H57" s="86">
        <f>G57/$J$3</f>
        <v>1.3832625234660608E-3</v>
      </c>
      <c r="I57" s="87">
        <f>SUM($G$7:G57)</f>
        <v>20242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8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25:I26"/>
    <mergeCell ref="J25:J26"/>
    <mergeCell ref="D30:D31"/>
    <mergeCell ref="E30:E31"/>
    <mergeCell ref="F30:F31"/>
    <mergeCell ref="G30:G31"/>
    <mergeCell ref="H30:H31"/>
    <mergeCell ref="I30:I31"/>
    <mergeCell ref="J30:J31"/>
    <mergeCell ref="D25:D26"/>
    <mergeCell ref="E25:E26"/>
    <mergeCell ref="F25:F26"/>
    <mergeCell ref="G25:G26"/>
    <mergeCell ref="H25:H26"/>
    <mergeCell ref="H15:H16"/>
    <mergeCell ref="I15:I16"/>
    <mergeCell ref="J15:J16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8:J8"/>
    <mergeCell ref="D56:J56"/>
    <mergeCell ref="G5:J5"/>
    <mergeCell ref="D9:D10"/>
    <mergeCell ref="E9:E10"/>
    <mergeCell ref="F9:F10"/>
    <mergeCell ref="G9:G10"/>
    <mergeCell ref="H9:H10"/>
    <mergeCell ref="I9:I10"/>
    <mergeCell ref="J9:J10"/>
    <mergeCell ref="D15:D16"/>
    <mergeCell ref="E15:E16"/>
    <mergeCell ref="F15:F16"/>
    <mergeCell ref="G15:G16"/>
  </mergeCells>
  <phoneticPr fontId="1" type="noConversion"/>
  <conditionalFormatting sqref="D7:D9 D11:D15 D17:D20 D22:D25 D27:D30 D32:D36 D38:D41 D43:D46 D48:D51 D53:D57">
    <cfRule type="expression" dxfId="31" priority="1">
      <formula>$D7=$D8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J7 D8 D57:J57 D56 D9:J9 D11:J15 D17:J20 D22:J25 D27:J30 D32:J36 D38:J41 D43:J46 D48:J51 D53:J55">
    <cfRule type="expression" dxfId="29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5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기능'!D14</f>
        <v>22.95</v>
      </c>
      <c r="I3" s="15" t="s">
        <v>84</v>
      </c>
      <c r="J3" s="35">
        <f>'통계 및 응시자 수 입력 기능'!C14</f>
        <v>102226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96</v>
      </c>
      <c r="E4" s="108"/>
      <c r="F4" s="109"/>
      <c r="G4" s="37" t="s">
        <v>87</v>
      </c>
      <c r="H4" s="38" t="str">
        <f>'통계 및 응시자 수 입력 기능'!E14</f>
        <v xml:space="preserve"> 9.98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99.95</v>
      </c>
      <c r="G7" s="72">
        <f>_xlfn.IFNA(VLOOKUP(D7,'인원 입력 기능 (사과탐)'!$A$121:$D$169,4,FALSE),0)</f>
        <v>93</v>
      </c>
      <c r="H7" s="73">
        <f>G7/$J$3</f>
        <v>9.0974898753741712E-4</v>
      </c>
      <c r="I7" s="74">
        <f>G7</f>
        <v>93</v>
      </c>
      <c r="J7" s="75">
        <f>I7/$J$3</f>
        <v>9.0974898753741712E-4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입력기능'!C94</f>
        <v>68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입력기능'!C95</f>
        <v>63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75</v>
      </c>
      <c r="E9" s="70">
        <f t="shared" si="0"/>
        <v>1</v>
      </c>
      <c r="F9" s="71">
        <f>IF(I8=0,ROUND(100*(1-(I7+I9)/2/$J$3),2),ROUND(100*(1-(I8+I9)/2/$J$3),2))</f>
        <v>99.89</v>
      </c>
      <c r="G9" s="72">
        <f>_xlfn.IFNA(VLOOKUP(D9,'인원 입력 기능 (사과탐)'!$A$121:$D$169,4,FALSE),0)</f>
        <v>36</v>
      </c>
      <c r="H9" s="73">
        <f>G9/$J$3</f>
        <v>3.5216089840158079E-4</v>
      </c>
      <c r="I9" s="77">
        <f>SUM($G$7:G9)</f>
        <v>129</v>
      </c>
      <c r="J9" s="75">
        <f>I9/$J$3</f>
        <v>1.2619098859389978E-3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입력기능'!C96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74</v>
      </c>
      <c r="E10" s="70">
        <f t="shared" si="0"/>
        <v>1</v>
      </c>
      <c r="F10" s="71">
        <f t="shared" ref="F10:F55" si="3">IF(I9=0,ROUND(100*(1-(I8+I10)/2/$J$3),2),ROUND(100*(1-(I9+I10)/2/$J$3),2))</f>
        <v>99.62</v>
      </c>
      <c r="G10" s="72">
        <f>IF(D10=D9,"",_xlfn.IFNA(VLOOKUP(D10,'인원 입력 기능 (사과탐)'!$A$121:$D$169,4,FALSE),0))</f>
        <v>515</v>
      </c>
      <c r="H10" s="73">
        <f t="shared" ref="H10:H55" si="4">G10/$J$3</f>
        <v>5.0378572965781698E-3</v>
      </c>
      <c r="I10" s="77">
        <f>SUM($G$7:G10)</f>
        <v>644</v>
      </c>
      <c r="J10" s="75">
        <f t="shared" ref="J10:J55" si="5">I10/$J$3</f>
        <v>6.2997671825171676E-3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입력기능'!C97</f>
        <v>53</v>
      </c>
    </row>
    <row r="11" spans="1:17" ht="25" customHeight="1" x14ac:dyDescent="0.45">
      <c r="A11" s="4"/>
      <c r="B11" s="19"/>
      <c r="C11" s="69">
        <v>46</v>
      </c>
      <c r="D11" s="70">
        <f t="shared" si="2"/>
        <v>73</v>
      </c>
      <c r="E11" s="70">
        <f t="shared" si="0"/>
        <v>1</v>
      </c>
      <c r="F11" s="71">
        <f t="shared" si="3"/>
        <v>99.37</v>
      </c>
      <c r="G11" s="72">
        <f>IF(D11=D10,"",_xlfn.IFNA(VLOOKUP(D11,'인원 입력 기능 (사과탐)'!$A$121:$D$169,4,FALSE),0))</f>
        <v>8</v>
      </c>
      <c r="H11" s="73">
        <f t="shared" si="4"/>
        <v>7.8257977422573508E-5</v>
      </c>
      <c r="I11" s="77">
        <f>SUM($G$7:G11)</f>
        <v>652</v>
      </c>
      <c r="J11" s="75">
        <f t="shared" si="5"/>
        <v>6.378025159939741E-3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입력기능'!C98</f>
        <v>47</v>
      </c>
    </row>
    <row r="12" spans="1:17" ht="25" customHeight="1" x14ac:dyDescent="0.45">
      <c r="A12" s="4"/>
      <c r="B12" s="19"/>
      <c r="C12" s="76">
        <v>45</v>
      </c>
      <c r="D12" s="70">
        <f t="shared" si="2"/>
        <v>72</v>
      </c>
      <c r="E12" s="70">
        <f t="shared" si="0"/>
        <v>1</v>
      </c>
      <c r="F12" s="71">
        <f t="shared" si="3"/>
        <v>99.22</v>
      </c>
      <c r="G12" s="72">
        <f>IF(D12=D11,"",_xlfn.IFNA(VLOOKUP(D12,'인원 입력 기능 (사과탐)'!$A$121:$D$169,4,FALSE),0))</f>
        <v>294</v>
      </c>
      <c r="H12" s="73">
        <f t="shared" si="4"/>
        <v>2.8759806702795768E-3</v>
      </c>
      <c r="I12" s="77">
        <f>SUM($G$7:G12)</f>
        <v>946</v>
      </c>
      <c r="J12" s="75">
        <f t="shared" si="5"/>
        <v>9.2540058302193178E-3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입력기능'!C99</f>
        <v>42</v>
      </c>
    </row>
    <row r="13" spans="1:17" ht="25" customHeight="1" x14ac:dyDescent="0.45">
      <c r="A13" s="4"/>
      <c r="B13" s="19"/>
      <c r="C13" s="69">
        <v>44</v>
      </c>
      <c r="D13" s="70">
        <f t="shared" si="2"/>
        <v>71</v>
      </c>
      <c r="E13" s="70">
        <f t="shared" si="0"/>
        <v>1</v>
      </c>
      <c r="F13" s="71">
        <f t="shared" si="3"/>
        <v>98.58</v>
      </c>
      <c r="G13" s="72">
        <f>IF(D13=D12,"",_xlfn.IFNA(VLOOKUP(D13,'인원 입력 기능 (사과탐)'!$A$121:$D$169,4,FALSE),0))</f>
        <v>1013</v>
      </c>
      <c r="H13" s="73">
        <f t="shared" si="4"/>
        <v>9.9094163911333712E-3</v>
      </c>
      <c r="I13" s="77">
        <f>SUM($G$7:G13)</f>
        <v>1959</v>
      </c>
      <c r="J13" s="75">
        <f t="shared" si="5"/>
        <v>1.9163422221352689E-2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입력기능'!C100</f>
        <v>36</v>
      </c>
    </row>
    <row r="14" spans="1:17" ht="25" customHeight="1" x14ac:dyDescent="0.45">
      <c r="A14" s="4"/>
      <c r="B14" s="19"/>
      <c r="C14" s="76">
        <v>43</v>
      </c>
      <c r="D14" s="70">
        <f t="shared" si="2"/>
        <v>70</v>
      </c>
      <c r="E14" s="70">
        <f t="shared" si="0"/>
        <v>1</v>
      </c>
      <c r="F14" s="71">
        <f t="shared" si="3"/>
        <v>98.04</v>
      </c>
      <c r="G14" s="72">
        <f>IF(D14=D13,"",_xlfn.IFNA(VLOOKUP(D14,'인원 입력 기능 (사과탐)'!$A$121:$D$169,4,FALSE),0))</f>
        <v>98</v>
      </c>
      <c r="H14" s="73">
        <f t="shared" si="4"/>
        <v>9.586602234265255E-4</v>
      </c>
      <c r="I14" s="77">
        <f>SUM($G$7:G14)</f>
        <v>2057</v>
      </c>
      <c r="J14" s="75">
        <f t="shared" si="5"/>
        <v>2.0122082444779216E-2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입력기능'!C101</f>
        <v>35</v>
      </c>
    </row>
    <row r="15" spans="1:17" ht="25" customHeight="1" x14ac:dyDescent="0.45">
      <c r="A15" s="4"/>
      <c r="B15" s="19"/>
      <c r="C15" s="69">
        <v>42</v>
      </c>
      <c r="D15" s="70">
        <f t="shared" si="2"/>
        <v>69</v>
      </c>
      <c r="E15" s="70">
        <f t="shared" si="0"/>
        <v>1</v>
      </c>
      <c r="F15" s="71">
        <f t="shared" si="3"/>
        <v>97.57</v>
      </c>
      <c r="G15" s="72">
        <f>IF(D15=D14,"",_xlfn.IFNA(VLOOKUP(D15,'인원 입력 기능 (사과탐)'!$A$121:$D$169,4,FALSE),0))</f>
        <v>855</v>
      </c>
      <c r="H15" s="73">
        <f t="shared" si="4"/>
        <v>8.3638213370375442E-3</v>
      </c>
      <c r="I15" s="77">
        <f>SUM($G$7:G15)</f>
        <v>2912</v>
      </c>
      <c r="J15" s="75">
        <f t="shared" si="5"/>
        <v>2.8485903781816761E-2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68</v>
      </c>
      <c r="E16" s="70">
        <f t="shared" si="0"/>
        <v>1</v>
      </c>
      <c r="F16" s="71">
        <f t="shared" si="3"/>
        <v>96.44</v>
      </c>
      <c r="G16" s="72">
        <f>IF(D16=D15,"",_xlfn.IFNA(VLOOKUP(D16,'인원 입력 기능 (사과탐)'!$A$121:$D$169,4,FALSE),0))</f>
        <v>1450</v>
      </c>
      <c r="H16" s="73">
        <f t="shared" si="4"/>
        <v>1.418425840784145E-2</v>
      </c>
      <c r="I16" s="77">
        <f>SUM($G$7:G16)</f>
        <v>4362</v>
      </c>
      <c r="J16" s="75">
        <f t="shared" si="5"/>
        <v>4.267016218965821E-2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67</v>
      </c>
      <c r="E17" s="70">
        <f t="shared" si="0"/>
        <v>2</v>
      </c>
      <c r="F17" s="71">
        <f t="shared" si="3"/>
        <v>95.54</v>
      </c>
      <c r="G17" s="72">
        <f>IF(D17=D16,"",_xlfn.IFNA(VLOOKUP(D17,'인원 입력 기능 (사과탐)'!$A$121:$D$169,4,FALSE),0))</f>
        <v>404</v>
      </c>
      <c r="H17" s="73">
        <f t="shared" si="4"/>
        <v>3.9520278598399626E-3</v>
      </c>
      <c r="I17" s="77">
        <f>SUM($G$7:G17)</f>
        <v>4766</v>
      </c>
      <c r="J17" s="75">
        <f t="shared" si="5"/>
        <v>4.662219004949817E-2</v>
      </c>
      <c r="K17" s="28"/>
      <c r="L17" s="5" t="str">
        <f t="shared" si="1"/>
        <v/>
      </c>
      <c r="N17" s="1"/>
      <c r="P17" s="1">
        <f>Q7*H3*H4*J3*IFERROR(IF(J57=1, 1, 0), 0)</f>
        <v>1592148278.0880001</v>
      </c>
    </row>
    <row r="18" spans="1:16" ht="25" customHeight="1" x14ac:dyDescent="0.45">
      <c r="A18" s="4"/>
      <c r="B18" s="19"/>
      <c r="C18" s="76">
        <v>39</v>
      </c>
      <c r="D18" s="70">
        <f t="shared" si="2"/>
        <v>66</v>
      </c>
      <c r="E18" s="70">
        <f t="shared" si="0"/>
        <v>2</v>
      </c>
      <c r="F18" s="71">
        <f t="shared" si="3"/>
        <v>94.5</v>
      </c>
      <c r="G18" s="72">
        <f>IF(D18=D17,"",_xlfn.IFNA(VLOOKUP(D18,'인원 입력 기능 (사과탐)'!$A$121:$D$169,4,FALSE),0))</f>
        <v>1707</v>
      </c>
      <c r="H18" s="73">
        <f t="shared" si="4"/>
        <v>1.6698295932541622E-2</v>
      </c>
      <c r="I18" s="77">
        <f>SUM($G$7:G18)</f>
        <v>6473</v>
      </c>
      <c r="J18" s="75">
        <f t="shared" si="5"/>
        <v>6.3320485982039793E-2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65</v>
      </c>
      <c r="E19" s="70">
        <f t="shared" si="0"/>
        <v>2</v>
      </c>
      <c r="F19" s="71">
        <f t="shared" si="3"/>
        <v>92.84</v>
      </c>
      <c r="G19" s="72">
        <f>IF(D19=D18,"",_xlfn.IFNA(VLOOKUP(D19,'인원 입력 기능 (사과탐)'!$A$121:$D$169,4,FALSE),0))</f>
        <v>1702</v>
      </c>
      <c r="H19" s="73">
        <f t="shared" si="4"/>
        <v>1.6649384696652517E-2</v>
      </c>
      <c r="I19" s="77">
        <f>SUM($G$7:G19)</f>
        <v>8175</v>
      </c>
      <c r="J19" s="75">
        <f t="shared" si="5"/>
        <v>7.9969870678692309E-2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64</v>
      </c>
      <c r="E20" s="70">
        <f t="shared" si="0"/>
        <v>2</v>
      </c>
      <c r="F20" s="71">
        <f t="shared" si="3"/>
        <v>91.38</v>
      </c>
      <c r="G20" s="72">
        <f>IF(D20=D19,"",_xlfn.IFNA(VLOOKUP(D20,'인원 입력 기능 (사과탐)'!$A$121:$D$169,4,FALSE),0))</f>
        <v>1270</v>
      </c>
      <c r="H20" s="73">
        <f t="shared" si="4"/>
        <v>1.2423453915833545E-2</v>
      </c>
      <c r="I20" s="77">
        <f>SUM($G$7:G20)</f>
        <v>9445</v>
      </c>
      <c r="J20" s="75">
        <f t="shared" si="5"/>
        <v>9.2393324594525858E-2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63</v>
      </c>
      <c r="E21" s="79">
        <f t="shared" si="0"/>
        <v>2</v>
      </c>
      <c r="F21" s="71">
        <f t="shared" si="3"/>
        <v>89.47</v>
      </c>
      <c r="G21" s="72">
        <f>IF(D21=D20,"",_xlfn.IFNA(VLOOKUP(D21,'인원 입력 기능 (사과탐)'!$A$121:$D$169,4,FALSE),0))</f>
        <v>2640</v>
      </c>
      <c r="H21" s="73">
        <f t="shared" si="4"/>
        <v>2.5825132549449261E-2</v>
      </c>
      <c r="I21" s="77">
        <f>SUM($G$7:G21)</f>
        <v>12085</v>
      </c>
      <c r="J21" s="75">
        <f t="shared" si="5"/>
        <v>0.11821845714397511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62</v>
      </c>
      <c r="E22" s="79">
        <f t="shared" si="0"/>
        <v>3</v>
      </c>
      <c r="F22" s="71">
        <f t="shared" si="3"/>
        <v>87.22</v>
      </c>
      <c r="G22" s="72">
        <f>IF(D22=D21,"",_xlfn.IFNA(VLOOKUP(D22,'인원 입력 기능 (사과탐)'!$A$121:$D$169,4,FALSE),0))</f>
        <v>1956</v>
      </c>
      <c r="H22" s="73">
        <f t="shared" si="4"/>
        <v>1.9134075479819223E-2</v>
      </c>
      <c r="I22" s="77">
        <f>SUM($G$7:G22)</f>
        <v>14041</v>
      </c>
      <c r="J22" s="75">
        <f t="shared" si="5"/>
        <v>0.13735253262379435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61</v>
      </c>
      <c r="E23" s="79">
        <f t="shared" si="0"/>
        <v>3</v>
      </c>
      <c r="F23" s="71">
        <f t="shared" si="3"/>
        <v>85.05</v>
      </c>
      <c r="G23" s="72">
        <f>IF(D23=D22,"",_xlfn.IFNA(VLOOKUP(D23,'인원 입력 기능 (사과탐)'!$A$121:$D$169,4,FALSE),0))</f>
        <v>2483</v>
      </c>
      <c r="H23" s="73">
        <f t="shared" si="4"/>
        <v>2.4289319742531255E-2</v>
      </c>
      <c r="I23" s="77">
        <f>SUM($G$7:G23)</f>
        <v>16524</v>
      </c>
      <c r="J23" s="75">
        <f t="shared" si="5"/>
        <v>0.16164185236632558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60</v>
      </c>
      <c r="E24" s="79">
        <f t="shared" si="0"/>
        <v>3</v>
      </c>
      <c r="F24" s="71">
        <f t="shared" si="3"/>
        <v>82.39</v>
      </c>
      <c r="G24" s="72">
        <f>IF(D24=D23,"",_xlfn.IFNA(VLOOKUP(D24,'인원 입력 기능 (사과탐)'!$A$121:$D$169,4,FALSE),0))</f>
        <v>2954</v>
      </c>
      <c r="H24" s="73">
        <f t="shared" si="4"/>
        <v>2.8896758163285269E-2</v>
      </c>
      <c r="I24" s="77">
        <f>SUM($G$7:G24)</f>
        <v>19478</v>
      </c>
      <c r="J24" s="75">
        <f t="shared" si="5"/>
        <v>0.19053861052961085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59</v>
      </c>
      <c r="E25" s="79">
        <f t="shared" si="0"/>
        <v>3</v>
      </c>
      <c r="F25" s="71">
        <f t="shared" si="3"/>
        <v>79.72</v>
      </c>
      <c r="G25" s="72">
        <f>IF(D25=D24,"",_xlfn.IFNA(VLOOKUP(D25,'인원 입력 기능 (사과탐)'!$A$121:$D$169,4,FALSE),0))</f>
        <v>2509</v>
      </c>
      <c r="H25" s="73">
        <f t="shared" si="4"/>
        <v>2.4543658169154617E-2</v>
      </c>
      <c r="I25" s="77">
        <f>SUM($G$7:G25)</f>
        <v>21987</v>
      </c>
      <c r="J25" s="75">
        <f t="shared" si="5"/>
        <v>0.21508226869876548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58</v>
      </c>
      <c r="E26" s="79">
        <f t="shared" si="0"/>
        <v>3</v>
      </c>
      <c r="F26" s="71">
        <f t="shared" si="3"/>
        <v>76.760000000000005</v>
      </c>
      <c r="G26" s="72">
        <f>IF(D26=D25,"",_xlfn.IFNA(VLOOKUP(D26,'인원 입력 기능 (사과탐)'!$A$121:$D$169,4,FALSE),0))</f>
        <v>3533</v>
      </c>
      <c r="H26" s="73">
        <f t="shared" si="4"/>
        <v>3.4560679279244028E-2</v>
      </c>
      <c r="I26" s="77">
        <f>SUM($G$7:G26)</f>
        <v>25520</v>
      </c>
      <c r="J26" s="75">
        <f t="shared" si="5"/>
        <v>0.24964294797800951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57</v>
      </c>
      <c r="E27" s="79">
        <f t="shared" si="0"/>
        <v>4</v>
      </c>
      <c r="F27" s="71">
        <f t="shared" si="3"/>
        <v>73.59</v>
      </c>
      <c r="G27" s="72">
        <f>IF(D27=D26,"",_xlfn.IFNA(VLOOKUP(D27,'인원 입력 기능 (사과탐)'!$A$121:$D$169,4,FALSE),0))</f>
        <v>2959</v>
      </c>
      <c r="H27" s="73">
        <f t="shared" si="4"/>
        <v>2.8945669399174378E-2</v>
      </c>
      <c r="I27" s="77">
        <f>SUM($G$7:G27)</f>
        <v>28479</v>
      </c>
      <c r="J27" s="75">
        <f t="shared" si="5"/>
        <v>0.27858861737718388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56</v>
      </c>
      <c r="E28" s="79">
        <f t="shared" si="0"/>
        <v>4</v>
      </c>
      <c r="F28" s="71">
        <f t="shared" si="3"/>
        <v>70.42</v>
      </c>
      <c r="G28" s="72">
        <f>IF(D28=D27,"",_xlfn.IFNA(VLOOKUP(D28,'인원 입력 기능 (사과탐)'!$A$121:$D$169,4,FALSE),0))</f>
        <v>3522</v>
      </c>
      <c r="H28" s="73">
        <f t="shared" si="4"/>
        <v>3.445307456028799E-2</v>
      </c>
      <c r="I28" s="77">
        <f>SUM($G$7:G28)</f>
        <v>32001</v>
      </c>
      <c r="J28" s="75">
        <f t="shared" si="5"/>
        <v>0.31304169193747189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55</v>
      </c>
      <c r="E29" s="79">
        <f t="shared" si="0"/>
        <v>4</v>
      </c>
      <c r="F29" s="71">
        <f t="shared" si="3"/>
        <v>67.040000000000006</v>
      </c>
      <c r="G29" s="72">
        <f>IF(D29=D28,"",_xlfn.IFNA(VLOOKUP(D29,'인원 입력 기능 (사과탐)'!$A$121:$D$169,4,FALSE),0))</f>
        <v>3388</v>
      </c>
      <c r="H29" s="73">
        <f t="shared" si="4"/>
        <v>3.3142253438459883E-2</v>
      </c>
      <c r="I29" s="77">
        <f>SUM($G$7:G29)</f>
        <v>35389</v>
      </c>
      <c r="J29" s="75">
        <f t="shared" si="5"/>
        <v>0.34618394537593178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54</v>
      </c>
      <c r="E30" s="79">
        <f t="shared" si="0"/>
        <v>4</v>
      </c>
      <c r="F30" s="71">
        <f t="shared" si="3"/>
        <v>63.82</v>
      </c>
      <c r="G30" s="72">
        <f>IF(D30=D29,"",_xlfn.IFNA(VLOOKUP(D30,'인원 입력 기능 (사과탐)'!$A$121:$D$169,4,FALSE),0))</f>
        <v>3190</v>
      </c>
      <c r="H30" s="73">
        <f t="shared" si="4"/>
        <v>3.1205368497251189E-2</v>
      </c>
      <c r="I30" s="77">
        <f>SUM($G$7:G30)</f>
        <v>38579</v>
      </c>
      <c r="J30" s="75">
        <f t="shared" si="5"/>
        <v>0.37738931387318297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53</v>
      </c>
      <c r="E31" s="79">
        <f t="shared" si="0"/>
        <v>4</v>
      </c>
      <c r="F31" s="71">
        <f t="shared" si="3"/>
        <v>60.34</v>
      </c>
      <c r="G31" s="72">
        <f>IF(D31=D30,"",_xlfn.IFNA(VLOOKUP(D31,'인원 입력 기능 (사과탐)'!$A$121:$D$169,4,FALSE),0))</f>
        <v>3926</v>
      </c>
      <c r="H31" s="73">
        <f t="shared" si="4"/>
        <v>3.840510242012795E-2</v>
      </c>
      <c r="I31" s="77">
        <f>SUM($G$7:G31)</f>
        <v>42505</v>
      </c>
      <c r="J31" s="75">
        <f t="shared" si="5"/>
        <v>0.41579441629331088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52</v>
      </c>
      <c r="E32" s="79">
        <f t="shared" si="0"/>
        <v>5</v>
      </c>
      <c r="F32" s="71">
        <f t="shared" si="3"/>
        <v>56.9</v>
      </c>
      <c r="G32" s="72">
        <f>IF(D32=D31,"",_xlfn.IFNA(VLOOKUP(D32,'인원 입력 기능 (사과탐)'!$A$121:$D$169,4,FALSE),0))</f>
        <v>3099</v>
      </c>
      <c r="H32" s="73">
        <f t="shared" si="4"/>
        <v>3.0315184004069413E-2</v>
      </c>
      <c r="I32" s="77">
        <f>SUM($G$7:G32)</f>
        <v>45604</v>
      </c>
      <c r="J32" s="75">
        <f t="shared" si="5"/>
        <v>0.44610960029738034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51</v>
      </c>
      <c r="E33" s="79">
        <f t="shared" si="0"/>
        <v>5</v>
      </c>
      <c r="F33" s="71">
        <f t="shared" si="3"/>
        <v>53.66</v>
      </c>
      <c r="G33" s="72">
        <f>IF(D33=D32,"",_xlfn.IFNA(VLOOKUP(D33,'인원 입력 기능 (사과탐)'!$A$121:$D$169,4,FALSE),0))</f>
        <v>3531</v>
      </c>
      <c r="H33" s="73">
        <f t="shared" si="4"/>
        <v>3.4541114784888381E-2</v>
      </c>
      <c r="I33" s="77">
        <f>SUM($G$7:G33)</f>
        <v>49135</v>
      </c>
      <c r="J33" s="75">
        <f t="shared" si="5"/>
        <v>0.4806507150822687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50.36</v>
      </c>
      <c r="G34" s="72">
        <f>IF(D34=D33,"",_xlfn.IFNA(VLOOKUP(D34,'인원 입력 기능 (사과탐)'!$A$121:$D$169,4,FALSE),0))</f>
        <v>3215</v>
      </c>
      <c r="H34" s="73">
        <f t="shared" si="4"/>
        <v>3.1449924676696731E-2</v>
      </c>
      <c r="I34" s="77">
        <f>SUM($G$7:G34)</f>
        <v>52350</v>
      </c>
      <c r="J34" s="75">
        <f t="shared" si="5"/>
        <v>0.51210063975896547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47.17</v>
      </c>
      <c r="G35" s="72">
        <f>IF(D35=D34,"",_xlfn.IFNA(VLOOKUP(D35,'인원 입력 기능 (사과탐)'!$A$121:$D$169,4,FALSE),0))</f>
        <v>3313</v>
      </c>
      <c r="H35" s="73">
        <f t="shared" si="4"/>
        <v>3.2408584900123258E-2</v>
      </c>
      <c r="I35" s="77">
        <f>SUM($G$7:G35)</f>
        <v>55663</v>
      </c>
      <c r="J35" s="75">
        <f t="shared" si="5"/>
        <v>0.54450922465908869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43.8</v>
      </c>
      <c r="G36" s="72">
        <f>IF(D36=D35,"",_xlfn.IFNA(VLOOKUP(D36,'인원 입력 기능 (사과탐)'!$A$121:$D$169,4,FALSE),0))</f>
        <v>3571</v>
      </c>
      <c r="H36" s="73">
        <f t="shared" si="4"/>
        <v>3.4932404672001253E-2</v>
      </c>
      <c r="I36" s="77">
        <f>SUM($G$7:G36)</f>
        <v>59234</v>
      </c>
      <c r="J36" s="75">
        <f t="shared" si="5"/>
        <v>0.57944162933108989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47</v>
      </c>
      <c r="E37" s="79">
        <f t="shared" si="0"/>
        <v>5</v>
      </c>
      <c r="F37" s="71">
        <f t="shared" si="3"/>
        <v>40.549999999999997</v>
      </c>
      <c r="G37" s="72">
        <f>IF(D37=D36,"",_xlfn.IFNA(VLOOKUP(D37,'인원 입력 기능 (사과탐)'!$A$121:$D$169,4,FALSE),0))</f>
        <v>3072</v>
      </c>
      <c r="H37" s="73">
        <f t="shared" si="4"/>
        <v>3.0051063330268229E-2</v>
      </c>
      <c r="I37" s="77">
        <f>SUM($G$7:G37)</f>
        <v>62306</v>
      </c>
      <c r="J37" s="75">
        <f t="shared" si="5"/>
        <v>0.60949269266135819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46</v>
      </c>
      <c r="E38" s="79">
        <f t="shared" si="0"/>
        <v>6</v>
      </c>
      <c r="F38" s="71">
        <f t="shared" si="3"/>
        <v>37.4</v>
      </c>
      <c r="G38" s="72">
        <f>IF(D38=D37,"",_xlfn.IFNA(VLOOKUP(D38,'인원 입력 기능 (사과탐)'!$A$121:$D$169,4,FALSE),0))</f>
        <v>3377</v>
      </c>
      <c r="H38" s="73">
        <f t="shared" si="4"/>
        <v>3.3034648719503845E-2</v>
      </c>
      <c r="I38" s="77">
        <f>SUM($G$7:G38)</f>
        <v>65683</v>
      </c>
      <c r="J38" s="75">
        <f t="shared" si="5"/>
        <v>0.64252734138086198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45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34.25</v>
      </c>
      <c r="G39" s="72">
        <f>IF(D39=D38,"",_xlfn.IFNA(VLOOKUP(D39,'인원 입력 기능 (사과탐)'!$A$121:$D$169,4,FALSE),0))</f>
        <v>3067</v>
      </c>
      <c r="H39" s="73">
        <f t="shared" si="4"/>
        <v>3.000215209437912E-2</v>
      </c>
      <c r="I39" s="77">
        <f>SUM($G$7:G39)</f>
        <v>68750</v>
      </c>
      <c r="J39" s="75">
        <f t="shared" si="5"/>
        <v>0.67252949347524116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44</v>
      </c>
      <c r="E40" s="79">
        <f t="shared" si="6"/>
        <v>6</v>
      </c>
      <c r="F40" s="71">
        <f t="shared" si="3"/>
        <v>31.26</v>
      </c>
      <c r="G40" s="72">
        <f>IF(D40=D39,"",_xlfn.IFNA(VLOOKUP(D40,'인원 입력 기능 (사과탐)'!$A$121:$D$169,4,FALSE),0))</f>
        <v>3039</v>
      </c>
      <c r="H40" s="73">
        <f t="shared" si="4"/>
        <v>2.9728249173400112E-2</v>
      </c>
      <c r="I40" s="77">
        <f>SUM($G$7:G40)</f>
        <v>71789</v>
      </c>
      <c r="J40" s="75">
        <f t="shared" si="5"/>
        <v>0.70225774264864127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43</v>
      </c>
      <c r="E41" s="79">
        <f t="shared" si="6"/>
        <v>6</v>
      </c>
      <c r="F41" s="71">
        <f t="shared" si="3"/>
        <v>28.5</v>
      </c>
      <c r="G41" s="72">
        <f>IF(D41=D40,"",_xlfn.IFNA(VLOOKUP(D41,'인원 입력 기능 (사과탐)'!$A$121:$D$169,4,FALSE),0))</f>
        <v>2615</v>
      </c>
      <c r="H41" s="73">
        <f t="shared" si="4"/>
        <v>2.5580576370003716E-2</v>
      </c>
      <c r="I41" s="77">
        <f>SUM($G$7:G41)</f>
        <v>74404</v>
      </c>
      <c r="J41" s="75">
        <f t="shared" si="5"/>
        <v>0.72783831901864493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42</v>
      </c>
      <c r="E42" s="79">
        <f t="shared" si="6"/>
        <v>6</v>
      </c>
      <c r="F42" s="71">
        <f t="shared" si="3"/>
        <v>24.61</v>
      </c>
      <c r="G42" s="72">
        <f>IF(D42=D41,"",_xlfn.IFNA(VLOOKUP(D42,'인원 입력 기능 (사과탐)'!$A$121:$D$169,4,FALSE),0))</f>
        <v>5334</v>
      </c>
      <c r="H42" s="73">
        <f t="shared" si="4"/>
        <v>5.2178506446500891E-2</v>
      </c>
      <c r="I42" s="77">
        <f>SUM($G$7:G42)</f>
        <v>79738</v>
      </c>
      <c r="J42" s="75">
        <f t="shared" si="5"/>
        <v>0.78001682546514584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41</v>
      </c>
      <c r="E43" s="79">
        <f t="shared" si="6"/>
        <v>7</v>
      </c>
      <c r="F43" s="71">
        <f t="shared" si="3"/>
        <v>20.82</v>
      </c>
      <c r="G43" s="72">
        <f>IF(D43=D42,"",_xlfn.IFNA(VLOOKUP(D43,'인원 입력 기능 (사과탐)'!$A$121:$D$169,4,FALSE),0))</f>
        <v>2409</v>
      </c>
      <c r="H43" s="73">
        <f t="shared" si="4"/>
        <v>2.356543345137245E-2</v>
      </c>
      <c r="I43" s="77">
        <f>SUM($G$7:G43)</f>
        <v>82147</v>
      </c>
      <c r="J43" s="75">
        <f t="shared" si="5"/>
        <v>0.80358225891651835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40</v>
      </c>
      <c r="E44" s="79">
        <f t="shared" si="6"/>
        <v>7</v>
      </c>
      <c r="F44" s="71">
        <f t="shared" si="3"/>
        <v>18.53</v>
      </c>
      <c r="G44" s="72">
        <f>IF(D44=D43,"",_xlfn.IFNA(VLOOKUP(D44,'인원 입력 기능 (사과탐)'!$A$121:$D$169,4,FALSE),0))</f>
        <v>2267</v>
      </c>
      <c r="H44" s="73">
        <f t="shared" si="4"/>
        <v>2.2176354352121768E-2</v>
      </c>
      <c r="I44" s="77">
        <f>SUM($G$7:G44)</f>
        <v>84414</v>
      </c>
      <c r="J44" s="75">
        <f t="shared" si="5"/>
        <v>0.82575861326864008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39</v>
      </c>
      <c r="E45" s="79">
        <f t="shared" si="6"/>
        <v>7</v>
      </c>
      <c r="F45" s="71">
        <f t="shared" si="3"/>
        <v>16.36</v>
      </c>
      <c r="G45" s="72">
        <f>IF(D45=D44,"",_xlfn.IFNA(VLOOKUP(D45,'인원 입력 기능 (사과탐)'!$A$121:$D$169,4,FALSE),0))</f>
        <v>2175</v>
      </c>
      <c r="H45" s="73">
        <f t="shared" si="4"/>
        <v>2.1276387611762173E-2</v>
      </c>
      <c r="I45" s="77">
        <f>SUM($G$7:G45)</f>
        <v>86589</v>
      </c>
      <c r="J45" s="75">
        <f t="shared" si="5"/>
        <v>0.84703500088040229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38</v>
      </c>
      <c r="E46" s="79">
        <f t="shared" si="6"/>
        <v>7</v>
      </c>
      <c r="F46" s="71">
        <f t="shared" si="3"/>
        <v>14.44</v>
      </c>
      <c r="G46" s="72">
        <f>IF(D46=D45,"",_xlfn.IFNA(VLOOKUP(D46,'인원 입력 기능 (사과탐)'!$A$121:$D$169,4,FALSE),0))</f>
        <v>1755</v>
      </c>
      <c r="H46" s="73">
        <f t="shared" si="4"/>
        <v>1.7167843797077066E-2</v>
      </c>
      <c r="I46" s="77">
        <f>SUM($G$7:G46)</f>
        <v>88344</v>
      </c>
      <c r="J46" s="75">
        <f t="shared" si="5"/>
        <v>0.86420284467747932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37</v>
      </c>
      <c r="E47" s="79">
        <f t="shared" si="6"/>
        <v>7</v>
      </c>
      <c r="F47" s="71">
        <f t="shared" si="3"/>
        <v>12.35</v>
      </c>
      <c r="G47" s="72">
        <f>IF(D47=D46,"",_xlfn.IFNA(VLOOKUP(D47,'인원 입력 기능 (사과탐)'!$A$121:$D$169,4,FALSE),0))</f>
        <v>2513</v>
      </c>
      <c r="H47" s="73">
        <f t="shared" si="4"/>
        <v>2.4582787157865906E-2</v>
      </c>
      <c r="I47" s="77">
        <f>SUM($G$7:G47)</f>
        <v>90857</v>
      </c>
      <c r="J47" s="75">
        <f t="shared" si="5"/>
        <v>0.8887856318353452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36</v>
      </c>
      <c r="E48" s="79">
        <f t="shared" si="6"/>
        <v>7</v>
      </c>
      <c r="F48" s="71">
        <f t="shared" si="3"/>
        <v>10.26</v>
      </c>
      <c r="G48" s="72">
        <f>IF(D48=D47,"",_xlfn.IFNA(VLOOKUP(D48,'인원 입력 기능 (사과탐)'!$A$121:$D$169,4,FALSE),0))</f>
        <v>1761</v>
      </c>
      <c r="H48" s="73">
        <f t="shared" si="4"/>
        <v>1.7226537280143995E-2</v>
      </c>
      <c r="I48" s="77">
        <f>SUM($G$7:G48)</f>
        <v>92618</v>
      </c>
      <c r="J48" s="75">
        <f t="shared" si="5"/>
        <v>0.90601216911548921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35</v>
      </c>
      <c r="E49" s="79">
        <f t="shared" si="6"/>
        <v>8</v>
      </c>
      <c r="F49" s="71">
        <f t="shared" si="3"/>
        <v>6.53</v>
      </c>
      <c r="G49" s="72">
        <f>IF(D49=D48,"",_xlfn.IFNA(VLOOKUP(D49,'인원 입력 기능 (사과탐)'!$A$121:$D$169,4,FALSE),0))</f>
        <v>5873</v>
      </c>
      <c r="H49" s="73">
        <f t="shared" si="4"/>
        <v>5.7451137675346778E-2</v>
      </c>
      <c r="I49" s="77">
        <f>SUM($G$7:G49)</f>
        <v>98491</v>
      </c>
      <c r="J49" s="75">
        <f t="shared" si="5"/>
        <v>0.96346330679083603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34</v>
      </c>
      <c r="E50" s="79">
        <f t="shared" si="6"/>
        <v>9</v>
      </c>
      <c r="F50" s="71">
        <f t="shared" si="3"/>
        <v>3.11</v>
      </c>
      <c r="G50" s="72">
        <f>IF(D50=D49,"",_xlfn.IFNA(VLOOKUP(D50,'인원 입력 기능 (사과탐)'!$A$121:$D$169,4,FALSE),0))</f>
        <v>1109</v>
      </c>
      <c r="H50" s="73">
        <f t="shared" si="4"/>
        <v>1.0848512120204254E-2</v>
      </c>
      <c r="I50" s="77">
        <f>SUM($G$7:G50)</f>
        <v>99600</v>
      </c>
      <c r="J50" s="75">
        <f t="shared" si="5"/>
        <v>0.97431181891104024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33</v>
      </c>
      <c r="E51" s="79">
        <f t="shared" si="6"/>
        <v>9</v>
      </c>
      <c r="F51" s="71">
        <f t="shared" si="3"/>
        <v>2.27</v>
      </c>
      <c r="G51" s="72">
        <f>IF(D51=D50,"",_xlfn.IFNA(VLOOKUP(D51,'인원 입력 기능 (사과탐)'!$A$121:$D$169,4,FALSE),0))</f>
        <v>610</v>
      </c>
      <c r="H51" s="73">
        <f t="shared" si="4"/>
        <v>5.9671707784712301E-3</v>
      </c>
      <c r="I51" s="77">
        <f>SUM($G$7:G51)</f>
        <v>100210</v>
      </c>
      <c r="J51" s="75">
        <f t="shared" si="5"/>
        <v>0.98027898968951144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32</v>
      </c>
      <c r="E52" s="79">
        <f t="shared" si="6"/>
        <v>9</v>
      </c>
      <c r="F52" s="71">
        <f t="shared" si="3"/>
        <v>1.53</v>
      </c>
      <c r="G52" s="72">
        <f>IF(D52=D51,"",_xlfn.IFNA(VLOOKUP(D52,'인원 입력 기능 (사과탐)'!$A$121:$D$169,4,FALSE),0))</f>
        <v>914</v>
      </c>
      <c r="H52" s="73">
        <f t="shared" si="4"/>
        <v>8.9409739205290242E-3</v>
      </c>
      <c r="I52" s="77">
        <f>SUM($G$7:G52)</f>
        <v>101124</v>
      </c>
      <c r="J52" s="75">
        <f t="shared" si="5"/>
        <v>0.9892199636100405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31</v>
      </c>
      <c r="E53" s="70">
        <f t="shared" si="6"/>
        <v>9</v>
      </c>
      <c r="F53" s="71">
        <f t="shared" si="3"/>
        <v>0.9</v>
      </c>
      <c r="G53" s="72">
        <f>IF(D53=D52,"",_xlfn.IFNA(VLOOKUP(D53,'인원 입력 기능 (사과탐)'!$A$121:$D$169,4,FALSE),0))</f>
        <v>364</v>
      </c>
      <c r="H53" s="73">
        <f t="shared" si="4"/>
        <v>3.5607379727270951E-3</v>
      </c>
      <c r="I53" s="77">
        <f>SUM($G$7:G53)</f>
        <v>101488</v>
      </c>
      <c r="J53" s="75">
        <f t="shared" si="5"/>
        <v>0.99278070158276754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30</v>
      </c>
      <c r="E54" s="70">
        <f t="shared" si="6"/>
        <v>9</v>
      </c>
      <c r="F54" s="71">
        <f t="shared" si="3"/>
        <v>0.56000000000000005</v>
      </c>
      <c r="G54" s="72">
        <f>IF(D54=D53,"",_xlfn.IFNA(VLOOKUP(D54,'인원 입력 기능 (사과탐)'!$A$121:$D$169,4,FALSE),0))</f>
        <v>341</v>
      </c>
      <c r="H54" s="73">
        <f t="shared" si="4"/>
        <v>3.3357462876371959E-3</v>
      </c>
      <c r="I54" s="77">
        <f>SUM($G$7:G54)</f>
        <v>101829</v>
      </c>
      <c r="J54" s="75">
        <f t="shared" si="5"/>
        <v>0.99611644787040476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29</v>
      </c>
      <c r="E55" s="70">
        <f t="shared" si="6"/>
        <v>9</v>
      </c>
      <c r="F55" s="71">
        <f t="shared" si="3"/>
        <v>0.24</v>
      </c>
      <c r="G55" s="72">
        <f>IF(D55=D54,"",_xlfn.IFNA(VLOOKUP(D55,'인원 입력 기능 (사과탐)'!$A$121:$D$169,4,FALSE),0))</f>
        <v>299</v>
      </c>
      <c r="H55" s="73">
        <f t="shared" si="4"/>
        <v>2.924891906168685E-3</v>
      </c>
      <c r="I55" s="77">
        <f>SUM($G$7:G55)</f>
        <v>102128</v>
      </c>
      <c r="J55" s="75">
        <f t="shared" si="5"/>
        <v>0.9990413397765735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27</v>
      </c>
      <c r="E57" s="83">
        <f t="shared" si="6"/>
        <v>9</v>
      </c>
      <c r="F57" s="84">
        <f>IF(I55=0,ROUND(100*(1-(I54+I57)/2/$J$3),2),ROUND(100*(1-(I55+I57)/2/$J$3),2))</f>
        <v>0.05</v>
      </c>
      <c r="G57" s="85">
        <f>_xlfn.IFNA(VLOOKUP(D57,'인원 입력 기능 (사과탐)'!$A$121:$D$169,4,FALSE),0)</f>
        <v>98</v>
      </c>
      <c r="H57" s="86">
        <f>G57/$J$3</f>
        <v>9.586602234265255E-4</v>
      </c>
      <c r="I57" s="87">
        <f>SUM($G$7:G57)</f>
        <v>102226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D57">
    <cfRule type="expression" dxfId="28" priority="1">
      <formula>$D7=$D8</formula>
    </cfRule>
  </conditionalFormatting>
  <conditionalFormatting sqref="C7:C57">
    <cfRule type="expression" dxfId="27" priority="2">
      <formula>OR(AND($D7=0,OR($D6=$Q$7:$Q$14)),AND($D8&gt;0,OR($D7=$Q$7:$Q$14)))</formula>
    </cfRule>
  </conditionalFormatting>
  <conditionalFormatting sqref="D7:J7 D8 D57:J57 D56 D9:J55">
    <cfRule type="expression" dxfId="26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6"/>
  <dimension ref="A1:Q105"/>
  <sheetViews>
    <sheetView tabSelected="1" zoomScale="85" zoomScaleNormal="85" workbookViewId="0">
      <selection activeCell="D10" sqref="D10:J11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기능'!D15</f>
        <v>25.76</v>
      </c>
      <c r="I3" s="15" t="s">
        <v>84</v>
      </c>
      <c r="J3" s="35">
        <f>'통계 및 응시자 수 입력 기능'!C15</f>
        <v>35724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95</v>
      </c>
      <c r="E4" s="108"/>
      <c r="F4" s="109"/>
      <c r="G4" s="37" t="s">
        <v>87</v>
      </c>
      <c r="H4" s="38" t="str">
        <f>'통계 및 응시자 수 입력 기능'!E15</f>
        <v>12.98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69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98.29</v>
      </c>
      <c r="G7" s="72">
        <f>_xlfn.IFNA(VLOOKUP(D7,'인원 입력 기능 (사과탐)'!$A$177:$D$225,4,FALSE),0)</f>
        <v>1225</v>
      </c>
      <c r="H7" s="73">
        <f>G7/$J$3</f>
        <v>3.4290672936961149E-2</v>
      </c>
      <c r="I7" s="74">
        <f>G7</f>
        <v>1225</v>
      </c>
      <c r="J7" s="75">
        <f>I7/$J$3</f>
        <v>3.4290672936961149E-2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입력기능'!C103</f>
        <v>66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입력기능'!C104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67</v>
      </c>
      <c r="E9" s="70">
        <f t="shared" si="0"/>
        <v>1</v>
      </c>
      <c r="F9" s="71">
        <f>IF(I8=0,ROUND(100*(1-(I7+I9)/2/$J$3),2),ROUND(100*(1-(I8+I9)/2/$J$3),2))</f>
        <v>96.29</v>
      </c>
      <c r="G9" s="72">
        <f>_xlfn.IFNA(VLOOKUP(D9,'인원 입력 기능 (사과탐)'!$A$177:$D$225,4,FALSE),0)</f>
        <v>201</v>
      </c>
      <c r="H9" s="73">
        <f>G9/$J$3</f>
        <v>5.6264696002687265E-3</v>
      </c>
      <c r="I9" s="77">
        <f>SUM($G$7:G9)</f>
        <v>1426</v>
      </c>
      <c r="J9" s="75">
        <f>I9/$J$3</f>
        <v>3.9917142537229874E-2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입력기능'!C105</f>
        <v>59</v>
      </c>
    </row>
    <row r="10" spans="1:17" ht="25" customHeight="1" x14ac:dyDescent="0.45">
      <c r="A10" s="4"/>
      <c r="B10" s="19"/>
      <c r="C10" s="76">
        <v>47</v>
      </c>
      <c r="D10" s="121">
        <f t="shared" ref="D10:D55" si="2">ROUND(10*(C10-$H$3)/$H$4+50,0)</f>
        <v>66</v>
      </c>
      <c r="E10" s="121">
        <f t="shared" si="0"/>
        <v>1</v>
      </c>
      <c r="F10" s="155">
        <f t="shared" ref="F10:F55" si="3">IF(I9=0,ROUND(100*(1-(I8+I10)/2/$J$3),2),ROUND(100*(1-(I9+I10)/2/$J$3),2))</f>
        <v>94.03</v>
      </c>
      <c r="G10" s="157">
        <f>IF(D10=D9,"",_xlfn.IFNA(VLOOKUP(D10,'인원 입력 기능 (사과탐)'!$A$177:$D$225,4,FALSE),0))</f>
        <v>1415</v>
      </c>
      <c r="H10" s="158">
        <f t="shared" ref="H10:H55" si="4">G10/$J$3</f>
        <v>3.9609226290448996E-2</v>
      </c>
      <c r="I10" s="160">
        <f>SUM($G$7:G10)</f>
        <v>2841</v>
      </c>
      <c r="J10" s="162">
        <f t="shared" ref="J10:J55" si="5">I10/$J$3</f>
        <v>7.952636882767887E-2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입력기능'!C106</f>
        <v>52</v>
      </c>
    </row>
    <row r="11" spans="1:17" ht="25" customHeight="1" x14ac:dyDescent="0.45">
      <c r="A11" s="4"/>
      <c r="B11" s="19"/>
      <c r="C11" s="69">
        <v>46</v>
      </c>
      <c r="D11" s="122"/>
      <c r="E11" s="122"/>
      <c r="F11" s="125"/>
      <c r="G11" s="156"/>
      <c r="H11" s="159"/>
      <c r="I11" s="161"/>
      <c r="J11" s="163"/>
      <c r="K11" s="28"/>
      <c r="L11" s="5" t="str">
        <f t="shared" si="1"/>
        <v>경고</v>
      </c>
      <c r="N11" s="1"/>
      <c r="P11" s="1">
        <v>5</v>
      </c>
      <c r="Q11" s="1">
        <f>'표준점수 등급컷 입력기능'!C107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65</v>
      </c>
      <c r="E12" s="70">
        <f t="shared" si="0"/>
        <v>2</v>
      </c>
      <c r="F12" s="71">
        <f t="shared" si="3"/>
        <v>91.34</v>
      </c>
      <c r="G12" s="72">
        <f>IF(D12=D11,"",_xlfn.IFNA(VLOOKUP(D12,'인원 입력 기능 (사과탐)'!$A$177:$D$225,4,FALSE),0))</f>
        <v>505</v>
      </c>
      <c r="H12" s="73">
        <f t="shared" si="4"/>
        <v>1.4136154965849289E-2</v>
      </c>
      <c r="I12" s="77">
        <f>SUM($G$7:G12)</f>
        <v>3346</v>
      </c>
      <c r="J12" s="75">
        <f t="shared" si="5"/>
        <v>9.3662523793528157E-2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입력기능'!C108</f>
        <v>40</v>
      </c>
    </row>
    <row r="13" spans="1:17" ht="25" customHeight="1" x14ac:dyDescent="0.45">
      <c r="A13" s="4"/>
      <c r="B13" s="19"/>
      <c r="C13" s="69">
        <v>44</v>
      </c>
      <c r="D13" s="70">
        <f t="shared" si="2"/>
        <v>64</v>
      </c>
      <c r="E13" s="70">
        <f t="shared" si="0"/>
        <v>2</v>
      </c>
      <c r="F13" s="71">
        <f t="shared" si="3"/>
        <v>88.88</v>
      </c>
      <c r="G13" s="72">
        <f>IF(D13=D12,"",_xlfn.IFNA(VLOOKUP(D13,'인원 입력 기능 (사과탐)'!$A$177:$D$225,4,FALSE),0))</f>
        <v>1252</v>
      </c>
      <c r="H13" s="73">
        <f t="shared" si="4"/>
        <v>3.5046467360877839E-2</v>
      </c>
      <c r="I13" s="77">
        <f>SUM($G$7:G13)</f>
        <v>4598</v>
      </c>
      <c r="J13" s="75">
        <f t="shared" si="5"/>
        <v>0.12870899115440601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입력기능'!C109</f>
        <v>38</v>
      </c>
    </row>
    <row r="14" spans="1:17" ht="25" customHeight="1" x14ac:dyDescent="0.45">
      <c r="A14" s="4"/>
      <c r="B14" s="19"/>
      <c r="C14" s="80">
        <v>43</v>
      </c>
      <c r="D14" s="121">
        <f t="shared" si="2"/>
        <v>63</v>
      </c>
      <c r="E14" s="121">
        <f t="shared" si="0"/>
        <v>3</v>
      </c>
      <c r="F14" s="155">
        <f t="shared" si="3"/>
        <v>85.86</v>
      </c>
      <c r="G14" s="157">
        <f>IF(D14=D13,"",_xlfn.IFNA(VLOOKUP(D14,'인원 입력 기능 (사과탐)'!$A$177:$D$225,4,FALSE),0))</f>
        <v>908</v>
      </c>
      <c r="H14" s="158">
        <f t="shared" si="4"/>
        <v>2.5417086552457731E-2</v>
      </c>
      <c r="I14" s="160">
        <f>SUM($G$7:G14)</f>
        <v>5506</v>
      </c>
      <c r="J14" s="162">
        <f t="shared" si="5"/>
        <v>0.15412607770686373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입력기능'!C110</f>
        <v>36</v>
      </c>
    </row>
    <row r="15" spans="1:17" ht="25" customHeight="1" x14ac:dyDescent="0.45">
      <c r="A15" s="4"/>
      <c r="B15" s="19"/>
      <c r="C15" s="69">
        <v>42</v>
      </c>
      <c r="D15" s="122"/>
      <c r="E15" s="122"/>
      <c r="F15" s="125"/>
      <c r="G15" s="156"/>
      <c r="H15" s="159"/>
      <c r="I15" s="161"/>
      <c r="J15" s="163"/>
      <c r="K15" s="28"/>
      <c r="L15" s="5" t="str">
        <f t="shared" si="1"/>
        <v>경고</v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62</v>
      </c>
      <c r="E16" s="70">
        <f t="shared" si="0"/>
        <v>3</v>
      </c>
      <c r="F16" s="71">
        <f t="shared" si="3"/>
        <v>83.17</v>
      </c>
      <c r="G16" s="72">
        <f>IF(D16=D15,"",_xlfn.IFNA(VLOOKUP(D16,'인원 입력 기능 (사과탐)'!$A$177:$D$225,4,FALSE),0))</f>
        <v>1015</v>
      </c>
      <c r="H16" s="73">
        <f t="shared" si="4"/>
        <v>2.8412271862053522E-2</v>
      </c>
      <c r="I16" s="77">
        <f>SUM($G$7:G16)</f>
        <v>6521</v>
      </c>
      <c r="J16" s="75">
        <f t="shared" si="5"/>
        <v>0.18253834956891726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61</v>
      </c>
      <c r="E17" s="70">
        <f t="shared" si="0"/>
        <v>3</v>
      </c>
      <c r="F17" s="71">
        <f t="shared" si="3"/>
        <v>81.33</v>
      </c>
      <c r="G17" s="72">
        <f>IF(D17=D16,"",_xlfn.IFNA(VLOOKUP(D17,'인원 입력 기능 (사과탐)'!$A$177:$D$225,4,FALSE),0))</f>
        <v>297</v>
      </c>
      <c r="H17" s="73">
        <f t="shared" si="4"/>
        <v>8.3137386630836412E-3</v>
      </c>
      <c r="I17" s="77">
        <f>SUM($G$7:G17)</f>
        <v>6818</v>
      </c>
      <c r="J17" s="75">
        <f t="shared" si="5"/>
        <v>0.19085208823200089</v>
      </c>
      <c r="K17" s="28"/>
      <c r="L17" s="5" t="str">
        <f t="shared" si="1"/>
        <v/>
      </c>
      <c r="N17" s="1"/>
      <c r="P17" s="1">
        <f>Q7*H3*H4*J3*IFERROR(IF(J57=1, 1, 0), 0)</f>
        <v>788359975.60320008</v>
      </c>
    </row>
    <row r="18" spans="1:16" ht="25" customHeight="1" x14ac:dyDescent="0.45">
      <c r="A18" s="4"/>
      <c r="B18" s="19"/>
      <c r="C18" s="76">
        <v>39</v>
      </c>
      <c r="D18" s="70">
        <f t="shared" si="2"/>
        <v>60</v>
      </c>
      <c r="E18" s="70">
        <f t="shared" si="0"/>
        <v>3</v>
      </c>
      <c r="F18" s="71">
        <f t="shared" si="3"/>
        <v>79.69</v>
      </c>
      <c r="G18" s="72">
        <f>IF(D18=D17,"",_xlfn.IFNA(VLOOKUP(D18,'인원 입력 기능 (사과탐)'!$A$177:$D$225,4,FALSE),0))</f>
        <v>878</v>
      </c>
      <c r="H18" s="73">
        <f t="shared" si="4"/>
        <v>2.4577314970328071E-2</v>
      </c>
      <c r="I18" s="77">
        <f>SUM($G$7:G18)</f>
        <v>7696</v>
      </c>
      <c r="J18" s="75">
        <f t="shared" si="5"/>
        <v>0.21542940320232898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21">
        <f t="shared" si="2"/>
        <v>59</v>
      </c>
      <c r="E19" s="121">
        <f t="shared" si="0"/>
        <v>3</v>
      </c>
      <c r="F19" s="155">
        <f t="shared" si="3"/>
        <v>76.81</v>
      </c>
      <c r="G19" s="157">
        <f>IF(D19=D18,"",_xlfn.IFNA(VLOOKUP(D19,'인원 입력 기능 (사과탐)'!$A$177:$D$225,4,FALSE),0))</f>
        <v>1178</v>
      </c>
      <c r="H19" s="158">
        <f t="shared" si="4"/>
        <v>3.2975030791624678E-2</v>
      </c>
      <c r="I19" s="160">
        <f>SUM($G$7:G19)</f>
        <v>8874</v>
      </c>
      <c r="J19" s="162">
        <f t="shared" si="5"/>
        <v>0.24840443399395365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2"/>
      <c r="E20" s="122"/>
      <c r="F20" s="125"/>
      <c r="G20" s="156"/>
      <c r="H20" s="159"/>
      <c r="I20" s="161"/>
      <c r="J20" s="163"/>
      <c r="K20" s="28"/>
      <c r="L20" s="5" t="str">
        <f t="shared" si="1"/>
        <v>경고</v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58</v>
      </c>
      <c r="E21" s="79">
        <f t="shared" si="0"/>
        <v>4</v>
      </c>
      <c r="F21" s="71">
        <f t="shared" si="3"/>
        <v>73.81</v>
      </c>
      <c r="G21" s="72">
        <f>IF(D21=D20,"",_xlfn.IFNA(VLOOKUP(D21,'인원 입력 기능 (사과탐)'!$A$177:$D$225,4,FALSE),0))</f>
        <v>965</v>
      </c>
      <c r="H21" s="73">
        <f t="shared" si="4"/>
        <v>2.7012652558504088E-2</v>
      </c>
      <c r="I21" s="77">
        <f>SUM($G$7:G21)</f>
        <v>9839</v>
      </c>
      <c r="J21" s="75">
        <f t="shared" si="5"/>
        <v>0.27541708655245772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57</v>
      </c>
      <c r="E22" s="79">
        <f t="shared" si="0"/>
        <v>4</v>
      </c>
      <c r="F22" s="71">
        <f t="shared" si="3"/>
        <v>71.599999999999994</v>
      </c>
      <c r="G22" s="72">
        <f>IF(D22=D21,"",_xlfn.IFNA(VLOOKUP(D22,'인원 입력 기능 (사과탐)'!$A$177:$D$225,4,FALSE),0))</f>
        <v>615</v>
      </c>
      <c r="H22" s="73">
        <f t="shared" si="4"/>
        <v>1.7215317433658044E-2</v>
      </c>
      <c r="I22" s="77">
        <f>SUM($G$7:G22)</f>
        <v>10454</v>
      </c>
      <c r="J22" s="75">
        <f t="shared" si="5"/>
        <v>0.29263240398611579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165">
        <f t="shared" si="2"/>
        <v>56</v>
      </c>
      <c r="E23" s="165">
        <f t="shared" si="0"/>
        <v>4</v>
      </c>
      <c r="F23" s="155">
        <f t="shared" si="3"/>
        <v>68.45</v>
      </c>
      <c r="G23" s="157">
        <f>IF(D23=D22,"",_xlfn.IFNA(VLOOKUP(D23,'인원 입력 기능 (사과탐)'!$A$177:$D$225,4,FALSE),0))</f>
        <v>1637</v>
      </c>
      <c r="H23" s="158">
        <f t="shared" si="4"/>
        <v>4.5823535998208487E-2</v>
      </c>
      <c r="I23" s="160">
        <f>SUM($G$7:G23)</f>
        <v>12091</v>
      </c>
      <c r="J23" s="162">
        <f t="shared" si="5"/>
        <v>0.33845593998432427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164"/>
      <c r="E24" s="164"/>
      <c r="F24" s="125"/>
      <c r="G24" s="156"/>
      <c r="H24" s="159"/>
      <c r="I24" s="161"/>
      <c r="J24" s="163"/>
      <c r="K24" s="28"/>
      <c r="L24" s="5" t="str">
        <f t="shared" si="1"/>
        <v>경고</v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55</v>
      </c>
      <c r="E25" s="79">
        <f t="shared" si="0"/>
        <v>4</v>
      </c>
      <c r="F25" s="71">
        <f t="shared" si="3"/>
        <v>65.319999999999993</v>
      </c>
      <c r="G25" s="72">
        <f>IF(D25=D24,"",_xlfn.IFNA(VLOOKUP(D25,'인원 입력 기능 (사과탐)'!$A$177:$D$225,4,FALSE),0))</f>
        <v>593</v>
      </c>
      <c r="H25" s="73">
        <f t="shared" si="4"/>
        <v>1.6599484940096294E-2</v>
      </c>
      <c r="I25" s="77">
        <f>SUM($G$7:G25)</f>
        <v>12684</v>
      </c>
      <c r="J25" s="75">
        <f t="shared" si="5"/>
        <v>0.35505542492442055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54</v>
      </c>
      <c r="E26" s="79">
        <f t="shared" si="0"/>
        <v>4</v>
      </c>
      <c r="F26" s="71">
        <f t="shared" si="3"/>
        <v>63.4</v>
      </c>
      <c r="G26" s="72">
        <f>IF(D26=D25,"",_xlfn.IFNA(VLOOKUP(D26,'인원 입력 기능 (사과탐)'!$A$177:$D$225,4,FALSE),0))</f>
        <v>783</v>
      </c>
      <c r="H26" s="73">
        <f t="shared" si="4"/>
        <v>2.1918038293584144E-2</v>
      </c>
      <c r="I26" s="77">
        <f>SUM($G$7:G26)</f>
        <v>13467</v>
      </c>
      <c r="J26" s="75">
        <f t="shared" si="5"/>
        <v>0.37697346321800468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53</v>
      </c>
      <c r="E27" s="79">
        <f t="shared" si="0"/>
        <v>4</v>
      </c>
      <c r="F27" s="71">
        <f t="shared" si="3"/>
        <v>61.2</v>
      </c>
      <c r="G27" s="72">
        <f>IF(D27=D26,"",_xlfn.IFNA(VLOOKUP(D27,'인원 입력 기능 (사과탐)'!$A$177:$D$225,4,FALSE),0))</f>
        <v>790</v>
      </c>
      <c r="H27" s="73">
        <f t="shared" si="4"/>
        <v>2.2113984996081065E-2</v>
      </c>
      <c r="I27" s="77">
        <f>SUM($G$7:G27)</f>
        <v>14257</v>
      </c>
      <c r="J27" s="75">
        <f t="shared" si="5"/>
        <v>0.39908744821408576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165">
        <f t="shared" si="2"/>
        <v>52</v>
      </c>
      <c r="E28" s="165">
        <f t="shared" si="0"/>
        <v>4</v>
      </c>
      <c r="F28" s="155">
        <f t="shared" si="3"/>
        <v>58.05</v>
      </c>
      <c r="G28" s="157">
        <f>IF(D28=D27,"",_xlfn.IFNA(VLOOKUP(D28,'인원 입력 기능 (사과탐)'!$A$177:$D$225,4,FALSE),0))</f>
        <v>1458</v>
      </c>
      <c r="H28" s="158">
        <f t="shared" si="4"/>
        <v>4.0812898891501512E-2</v>
      </c>
      <c r="I28" s="160">
        <f>SUM($G$7:G28)</f>
        <v>15715</v>
      </c>
      <c r="J28" s="162">
        <f t="shared" si="5"/>
        <v>0.43990034710558729</v>
      </c>
      <c r="K28" s="28"/>
      <c r="L28" s="5" t="str">
        <f t="shared" si="1"/>
        <v>경고</v>
      </c>
      <c r="N28" s="1"/>
    </row>
    <row r="29" spans="1:16" ht="25" customHeight="1" x14ac:dyDescent="0.45">
      <c r="A29" s="4"/>
      <c r="B29" s="19"/>
      <c r="C29" s="78">
        <v>28</v>
      </c>
      <c r="D29" s="164"/>
      <c r="E29" s="164"/>
      <c r="F29" s="125"/>
      <c r="G29" s="156"/>
      <c r="H29" s="159"/>
      <c r="I29" s="161"/>
      <c r="J29" s="163"/>
      <c r="K29" s="28"/>
      <c r="L29" s="5" t="str">
        <f t="shared" si="1"/>
        <v>경고</v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51</v>
      </c>
      <c r="E30" s="79">
        <f t="shared" si="0"/>
        <v>5</v>
      </c>
      <c r="F30" s="71">
        <f t="shared" si="3"/>
        <v>54.98</v>
      </c>
      <c r="G30" s="72">
        <f>IF(D30=D29,"",_xlfn.IFNA(VLOOKUP(D30,'인원 입력 기능 (사과탐)'!$A$177:$D$225,4,FALSE),0))</f>
        <v>735</v>
      </c>
      <c r="H30" s="73">
        <f t="shared" si="4"/>
        <v>2.0574403762176688E-2</v>
      </c>
      <c r="I30" s="77">
        <f>SUM($G$7:G30)</f>
        <v>16450</v>
      </c>
      <c r="J30" s="75">
        <f t="shared" si="5"/>
        <v>0.46047475086776396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50</v>
      </c>
      <c r="E31" s="79">
        <f t="shared" si="0"/>
        <v>5</v>
      </c>
      <c r="F31" s="71">
        <f t="shared" si="3"/>
        <v>52.97</v>
      </c>
      <c r="G31" s="72">
        <f>IF(D31=D30,"",_xlfn.IFNA(VLOOKUP(D31,'인원 입력 기능 (사과탐)'!$A$177:$D$225,4,FALSE),0))</f>
        <v>703</v>
      </c>
      <c r="H31" s="73">
        <f t="shared" si="4"/>
        <v>1.9678647407905051E-2</v>
      </c>
      <c r="I31" s="77">
        <f>SUM($G$7:G31)</f>
        <v>17153</v>
      </c>
      <c r="J31" s="75">
        <f t="shared" si="5"/>
        <v>0.480153398275669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65">
        <f t="shared" si="2"/>
        <v>49</v>
      </c>
      <c r="E32" s="165">
        <f t="shared" si="0"/>
        <v>5</v>
      </c>
      <c r="F32" s="155">
        <f t="shared" si="3"/>
        <v>49.84</v>
      </c>
      <c r="G32" s="157">
        <f>IF(D32=D31,"",_xlfn.IFNA(VLOOKUP(D32,'인원 입력 기능 (사과탐)'!$A$177:$D$225,4,FALSE),0))</f>
        <v>1535</v>
      </c>
      <c r="H32" s="158">
        <f t="shared" si="4"/>
        <v>4.2968312618967643E-2</v>
      </c>
      <c r="I32" s="160">
        <f>SUM($G$7:G32)</f>
        <v>18688</v>
      </c>
      <c r="J32" s="162">
        <f t="shared" si="5"/>
        <v>0.52312171089463666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64"/>
      <c r="E33" s="164"/>
      <c r="F33" s="125"/>
      <c r="G33" s="156"/>
      <c r="H33" s="159"/>
      <c r="I33" s="161"/>
      <c r="J33" s="163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48</v>
      </c>
      <c r="E34" s="79">
        <f t="shared" si="0"/>
        <v>5</v>
      </c>
      <c r="F34" s="71">
        <f t="shared" si="3"/>
        <v>46.54</v>
      </c>
      <c r="G34" s="72">
        <f>IF(D34=D33,"",_xlfn.IFNA(VLOOKUP(D34,'인원 입력 기능 (사과탐)'!$A$177:$D$225,4,FALSE),0))</f>
        <v>823</v>
      </c>
      <c r="H34" s="73">
        <f t="shared" si="4"/>
        <v>2.3037733736423694E-2</v>
      </c>
      <c r="I34" s="77">
        <f>SUM($G$7:G34)</f>
        <v>19511</v>
      </c>
      <c r="J34" s="75">
        <f t="shared" si="5"/>
        <v>0.54615944463106036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47</v>
      </c>
      <c r="E35" s="79">
        <f t="shared" si="0"/>
        <v>5</v>
      </c>
      <c r="F35" s="71">
        <f t="shared" si="3"/>
        <v>44.27</v>
      </c>
      <c r="G35" s="72">
        <f>IF(D35=D34,"",_xlfn.IFNA(VLOOKUP(D35,'인원 입력 기능 (사과탐)'!$A$177:$D$225,4,FALSE),0))</f>
        <v>799</v>
      </c>
      <c r="H35" s="73">
        <f t="shared" si="4"/>
        <v>2.2365916470719963E-2</v>
      </c>
      <c r="I35" s="77">
        <f>SUM($G$7:G35)</f>
        <v>20310</v>
      </c>
      <c r="J35" s="75">
        <f t="shared" si="5"/>
        <v>0.56852536110178031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165">
        <f t="shared" si="2"/>
        <v>46</v>
      </c>
      <c r="E36" s="165">
        <f t="shared" si="0"/>
        <v>5</v>
      </c>
      <c r="F36" s="155">
        <f t="shared" si="3"/>
        <v>40.89</v>
      </c>
      <c r="G36" s="157">
        <f>IF(D36=D35,"",_xlfn.IFNA(VLOOKUP(D36,'인원 입력 기능 (사과탐)'!$A$177:$D$225,4,FALSE),0))</f>
        <v>1613</v>
      </c>
      <c r="H36" s="158">
        <f t="shared" si="4"/>
        <v>4.5151718732504759E-2</v>
      </c>
      <c r="I36" s="160">
        <f>SUM($G$7:G36)</f>
        <v>21923</v>
      </c>
      <c r="J36" s="162">
        <f t="shared" si="5"/>
        <v>0.6136770798342851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64"/>
      <c r="E37" s="164"/>
      <c r="F37" s="125"/>
      <c r="G37" s="156"/>
      <c r="H37" s="159"/>
      <c r="I37" s="161"/>
      <c r="J37" s="163"/>
      <c r="K37" s="28"/>
      <c r="L37" s="5" t="str">
        <f t="shared" si="1"/>
        <v>경고</v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45</v>
      </c>
      <c r="E38" s="79">
        <f t="shared" si="0"/>
        <v>6</v>
      </c>
      <c r="F38" s="71">
        <f t="shared" si="3"/>
        <v>37.44</v>
      </c>
      <c r="G38" s="72">
        <f>IF(D38=D37,"",_xlfn.IFNA(VLOOKUP(D38,'인원 입력 기능 (사과탐)'!$A$177:$D$225,4,FALSE),0))</f>
        <v>850</v>
      </c>
      <c r="H38" s="73">
        <f t="shared" si="4"/>
        <v>2.3793528160340388E-2</v>
      </c>
      <c r="I38" s="77">
        <f>SUM($G$7:G38)</f>
        <v>22773</v>
      </c>
      <c r="J38" s="75">
        <f t="shared" si="5"/>
        <v>0.63747060799462552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34.94</v>
      </c>
      <c r="G39" s="72">
        <f>IF(D39=D38,"",_xlfn.IFNA(VLOOKUP(D39,'인원 입력 기능 (사과탐)'!$A$177:$D$225,4,FALSE),0))</f>
        <v>940</v>
      </c>
      <c r="H39" s="73">
        <f t="shared" si="4"/>
        <v>2.6312842906729368E-2</v>
      </c>
      <c r="I39" s="77">
        <f>SUM($G$7:G39)</f>
        <v>23713</v>
      </c>
      <c r="J39" s="75">
        <f t="shared" si="5"/>
        <v>0.66378345090135482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43</v>
      </c>
      <c r="E40" s="79">
        <f t="shared" si="6"/>
        <v>6</v>
      </c>
      <c r="F40" s="71">
        <f t="shared" si="3"/>
        <v>32.42</v>
      </c>
      <c r="G40" s="72">
        <f>IF(D40=D39,"",_xlfn.IFNA(VLOOKUP(D40,'인원 입력 기능 (사과탐)'!$A$177:$D$225,4,FALSE),0))</f>
        <v>860</v>
      </c>
      <c r="H40" s="73">
        <f t="shared" si="4"/>
        <v>2.4073452021050275E-2</v>
      </c>
      <c r="I40" s="77">
        <f>SUM($G$7:G40)</f>
        <v>24573</v>
      </c>
      <c r="J40" s="75">
        <f t="shared" si="5"/>
        <v>0.68785690292240509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165">
        <f t="shared" si="2"/>
        <v>42</v>
      </c>
      <c r="E41" s="165">
        <f t="shared" si="6"/>
        <v>6</v>
      </c>
      <c r="F41" s="155">
        <f t="shared" si="3"/>
        <v>28.64</v>
      </c>
      <c r="G41" s="157">
        <f>IF(D41=D40,"",_xlfn.IFNA(VLOOKUP(D41,'인원 입력 기능 (사과탐)'!$A$177:$D$225,4,FALSE),0))</f>
        <v>1838</v>
      </c>
      <c r="H41" s="158">
        <f t="shared" si="4"/>
        <v>5.1450005598477212E-2</v>
      </c>
      <c r="I41" s="160">
        <f>SUM($G$7:G41)</f>
        <v>26411</v>
      </c>
      <c r="J41" s="162">
        <f t="shared" si="5"/>
        <v>0.73930690852088232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164"/>
      <c r="E42" s="164"/>
      <c r="F42" s="125"/>
      <c r="G42" s="156"/>
      <c r="H42" s="159"/>
      <c r="I42" s="161"/>
      <c r="J42" s="163"/>
      <c r="K42" s="28"/>
      <c r="L42" s="5" t="str">
        <f t="shared" si="1"/>
        <v>경고</v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41</v>
      </c>
      <c r="E43" s="79">
        <f t="shared" si="6"/>
        <v>6</v>
      </c>
      <c r="F43" s="71">
        <f t="shared" si="3"/>
        <v>24.67</v>
      </c>
      <c r="G43" s="72">
        <f>IF(D43=D42,"",_xlfn.IFNA(VLOOKUP(D43,'인원 입력 기능 (사과탐)'!$A$177:$D$225,4,FALSE),0))</f>
        <v>1003</v>
      </c>
      <c r="H43" s="73">
        <f t="shared" si="4"/>
        <v>2.8076363229201658E-2</v>
      </c>
      <c r="I43" s="77">
        <f>SUM($G$7:G43)</f>
        <v>27414</v>
      </c>
      <c r="J43" s="75">
        <f t="shared" si="5"/>
        <v>0.76738327175008403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40</v>
      </c>
      <c r="E44" s="79">
        <f t="shared" si="6"/>
        <v>6</v>
      </c>
      <c r="F44" s="71">
        <f t="shared" si="3"/>
        <v>22.12</v>
      </c>
      <c r="G44" s="72">
        <f>IF(D44=D43,"",_xlfn.IFNA(VLOOKUP(D44,'인원 입력 기능 (사과탐)'!$A$177:$D$225,4,FALSE),0))</f>
        <v>814</v>
      </c>
      <c r="H44" s="73">
        <f t="shared" si="4"/>
        <v>2.2785802261784796E-2</v>
      </c>
      <c r="I44" s="77">
        <f>SUM($G$7:G44)</f>
        <v>28228</v>
      </c>
      <c r="J44" s="75">
        <f t="shared" si="5"/>
        <v>0.79016907401186876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65">
        <f t="shared" si="2"/>
        <v>39</v>
      </c>
      <c r="E45" s="165">
        <f t="shared" si="6"/>
        <v>7</v>
      </c>
      <c r="F45" s="155">
        <f t="shared" si="3"/>
        <v>18.07</v>
      </c>
      <c r="G45" s="157">
        <f>IF(D45=D44,"",_xlfn.IFNA(VLOOKUP(D45,'인원 입력 기능 (사과탐)'!$A$177:$D$225,4,FALSE),0))</f>
        <v>2083</v>
      </c>
      <c r="H45" s="158">
        <f t="shared" si="4"/>
        <v>5.8308140185869446E-2</v>
      </c>
      <c r="I45" s="160">
        <f>SUM($G$7:G45)</f>
        <v>30311</v>
      </c>
      <c r="J45" s="162">
        <f t="shared" si="5"/>
        <v>0.84847721419773825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4"/>
      <c r="E46" s="164"/>
      <c r="F46" s="125"/>
      <c r="G46" s="156"/>
      <c r="H46" s="159"/>
      <c r="I46" s="161"/>
      <c r="J46" s="163"/>
      <c r="K46" s="28"/>
      <c r="L46" s="5" t="str">
        <f t="shared" si="1"/>
        <v>경고</v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38</v>
      </c>
      <c r="E47" s="79">
        <f t="shared" si="6"/>
        <v>7</v>
      </c>
      <c r="F47" s="71">
        <f t="shared" si="3"/>
        <v>11.51</v>
      </c>
      <c r="G47" s="72">
        <f>IF(D47=D46,"",_xlfn.IFNA(VLOOKUP(D47,'인원 입력 기능 (사과탐)'!$A$177:$D$225,4,FALSE),0))</f>
        <v>2605</v>
      </c>
      <c r="H47" s="73">
        <f t="shared" si="4"/>
        <v>7.2920165714925544E-2</v>
      </c>
      <c r="I47" s="77">
        <f>SUM($G$7:G47)</f>
        <v>32916</v>
      </c>
      <c r="J47" s="75">
        <f t="shared" si="5"/>
        <v>0.92139737991266379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37</v>
      </c>
      <c r="E48" s="79">
        <f t="shared" si="6"/>
        <v>8</v>
      </c>
      <c r="F48" s="71">
        <f t="shared" si="3"/>
        <v>6.93</v>
      </c>
      <c r="G48" s="72">
        <f>IF(D48=D47,"",_xlfn.IFNA(VLOOKUP(D48,'인원 입력 기능 (사과탐)'!$A$177:$D$225,4,FALSE),0))</f>
        <v>662</v>
      </c>
      <c r="H48" s="73">
        <f t="shared" si="4"/>
        <v>1.8530959578994515E-2</v>
      </c>
      <c r="I48" s="77">
        <f>SUM($G$7:G48)</f>
        <v>33578</v>
      </c>
      <c r="J48" s="75">
        <f t="shared" si="5"/>
        <v>0.93992833949165822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165">
        <f t="shared" si="2"/>
        <v>36</v>
      </c>
      <c r="E49" s="165">
        <f t="shared" si="6"/>
        <v>8</v>
      </c>
      <c r="F49" s="155">
        <f t="shared" si="3"/>
        <v>4.4000000000000004</v>
      </c>
      <c r="G49" s="157">
        <f>IF(D49=D48,"",_xlfn.IFNA(VLOOKUP(D49,'인원 입력 기능 (사과탐)'!$A$177:$D$225,4,FALSE),0))</f>
        <v>1145</v>
      </c>
      <c r="H49" s="158">
        <f t="shared" si="4"/>
        <v>3.2051282051282048E-2</v>
      </c>
      <c r="I49" s="160">
        <f>SUM($G$7:G49)</f>
        <v>34723</v>
      </c>
      <c r="J49" s="162">
        <f t="shared" si="5"/>
        <v>0.97197962154294038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164"/>
      <c r="E50" s="164"/>
      <c r="F50" s="125"/>
      <c r="G50" s="156"/>
      <c r="H50" s="159"/>
      <c r="I50" s="161"/>
      <c r="J50" s="163"/>
      <c r="K50" s="28"/>
      <c r="L50" s="5" t="str">
        <f t="shared" si="1"/>
        <v>경고</v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35</v>
      </c>
      <c r="E51" s="79">
        <f t="shared" si="6"/>
        <v>9</v>
      </c>
      <c r="F51" s="71">
        <f t="shared" si="3"/>
        <v>2.41</v>
      </c>
      <c r="G51" s="72">
        <f>IF(D51=D50,"",_xlfn.IFNA(VLOOKUP(D51,'인원 입력 기능 (사과탐)'!$A$177:$D$225,4,FALSE),0))</f>
        <v>280</v>
      </c>
      <c r="H51" s="73">
        <f t="shared" si="4"/>
        <v>7.8378680998768338E-3</v>
      </c>
      <c r="I51" s="77">
        <f>SUM($G$7:G51)</f>
        <v>35003</v>
      </c>
      <c r="J51" s="75">
        <f t="shared" si="5"/>
        <v>0.97981748964281712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34</v>
      </c>
      <c r="E52" s="79">
        <f t="shared" si="6"/>
        <v>9</v>
      </c>
      <c r="F52" s="71">
        <f t="shared" si="3"/>
        <v>1.57</v>
      </c>
      <c r="G52" s="72">
        <f>IF(D52=D51,"",_xlfn.IFNA(VLOOKUP(D52,'인원 입력 기능 (사과탐)'!$A$177:$D$225,4,FALSE),0))</f>
        <v>323</v>
      </c>
      <c r="H52" s="73">
        <f t="shared" si="4"/>
        <v>9.0415407009293465E-3</v>
      </c>
      <c r="I52" s="77">
        <f>SUM($G$7:G52)</f>
        <v>35326</v>
      </c>
      <c r="J52" s="75">
        <f t="shared" si="5"/>
        <v>0.98885903034374645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78">
        <v>4</v>
      </c>
      <c r="D53" s="70">
        <f t="shared" si="2"/>
        <v>33</v>
      </c>
      <c r="E53" s="70">
        <f t="shared" si="6"/>
        <v>9</v>
      </c>
      <c r="F53" s="71">
        <f t="shared" si="3"/>
        <v>0.87</v>
      </c>
      <c r="G53" s="72">
        <f>IF(D53=D52,"",_xlfn.IFNA(VLOOKUP(D53,'인원 입력 기능 (사과탐)'!$A$177:$D$225,4,FALSE),0))</f>
        <v>171</v>
      </c>
      <c r="H53" s="73">
        <f t="shared" si="4"/>
        <v>4.7866980181390665E-3</v>
      </c>
      <c r="I53" s="77">
        <f>SUM($G$7:G53)</f>
        <v>35497</v>
      </c>
      <c r="J53" s="75">
        <f t="shared" si="5"/>
        <v>0.99364572836188558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121">
        <f t="shared" si="2"/>
        <v>32</v>
      </c>
      <c r="E54" s="121">
        <f t="shared" si="6"/>
        <v>9</v>
      </c>
      <c r="F54" s="155">
        <f t="shared" si="3"/>
        <v>0.38</v>
      </c>
      <c r="G54" s="157">
        <f>IF(D54=D53,"",_xlfn.IFNA(VLOOKUP(D54,'인원 입력 기능 (사과탐)'!$A$177:$D$225,4,FALSE),0))</f>
        <v>185</v>
      </c>
      <c r="H54" s="158">
        <f t="shared" si="4"/>
        <v>5.1785914231329078E-3</v>
      </c>
      <c r="I54" s="160">
        <f>SUM($G$7:G54)</f>
        <v>35682</v>
      </c>
      <c r="J54" s="162">
        <f t="shared" si="5"/>
        <v>0.99882431978501851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122"/>
      <c r="E55" s="122"/>
      <c r="F55" s="125"/>
      <c r="G55" s="156"/>
      <c r="H55" s="159"/>
      <c r="I55" s="161"/>
      <c r="J55" s="163"/>
      <c r="K55" s="28"/>
      <c r="L55" s="5" t="str">
        <f t="shared" si="1"/>
        <v>경고</v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0.06</v>
      </c>
      <c r="G57" s="85">
        <f>_xlfn.IFNA(VLOOKUP(D57,'인원 입력 기능 (사과탐)'!$A$177:$D$225,4,FALSE),0)</f>
        <v>42</v>
      </c>
      <c r="H57" s="86">
        <f>G57/$J$3</f>
        <v>1.1756802149815251E-3</v>
      </c>
      <c r="I57" s="87">
        <f>SUM($G$7:G57)</f>
        <v>35724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2">
    <mergeCell ref="I49:I50"/>
    <mergeCell ref="J49:J50"/>
    <mergeCell ref="D54:D55"/>
    <mergeCell ref="E54:E55"/>
    <mergeCell ref="F54:F55"/>
    <mergeCell ref="G54:G55"/>
    <mergeCell ref="H54:H55"/>
    <mergeCell ref="I54:I55"/>
    <mergeCell ref="J54:J55"/>
    <mergeCell ref="D49:D50"/>
    <mergeCell ref="E49:E50"/>
    <mergeCell ref="F49:F50"/>
    <mergeCell ref="G49:G50"/>
    <mergeCell ref="H49:H50"/>
    <mergeCell ref="I41:I42"/>
    <mergeCell ref="J41:J42"/>
    <mergeCell ref="D45:D46"/>
    <mergeCell ref="E45:E46"/>
    <mergeCell ref="F45:F46"/>
    <mergeCell ref="G45:G46"/>
    <mergeCell ref="H45:H46"/>
    <mergeCell ref="I45:I46"/>
    <mergeCell ref="J45:J46"/>
    <mergeCell ref="D41:D42"/>
    <mergeCell ref="E41:E42"/>
    <mergeCell ref="F41:F42"/>
    <mergeCell ref="G41:G42"/>
    <mergeCell ref="H41:H42"/>
    <mergeCell ref="I32:I33"/>
    <mergeCell ref="J32:J33"/>
    <mergeCell ref="D36:D37"/>
    <mergeCell ref="E36:E37"/>
    <mergeCell ref="F36:F37"/>
    <mergeCell ref="G36:G37"/>
    <mergeCell ref="H36:H37"/>
    <mergeCell ref="I36:I37"/>
    <mergeCell ref="J36:J37"/>
    <mergeCell ref="D32:D33"/>
    <mergeCell ref="E32:E33"/>
    <mergeCell ref="F32:F33"/>
    <mergeCell ref="G32:G33"/>
    <mergeCell ref="H32:H33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H14:H15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8:J8"/>
    <mergeCell ref="D56:J56"/>
    <mergeCell ref="G5:J5"/>
    <mergeCell ref="D10:D11"/>
    <mergeCell ref="E10:E11"/>
    <mergeCell ref="F10:F11"/>
    <mergeCell ref="G10:G11"/>
    <mergeCell ref="H10:H11"/>
    <mergeCell ref="I10:I11"/>
    <mergeCell ref="J10:J11"/>
    <mergeCell ref="D14:D15"/>
    <mergeCell ref="E14:E15"/>
    <mergeCell ref="F14:F15"/>
    <mergeCell ref="G14:G15"/>
  </mergeCells>
  <phoneticPr fontId="1" type="noConversion"/>
  <conditionalFormatting sqref="D7:D10 D12:D14 D16:D19 D21:D23 D25:D28 D30:D32 D34:D36 D38:D41 D43:D45 D47:D49 D51:D54 D56:D57">
    <cfRule type="expression" dxfId="1" priority="1">
      <formula>$D7=$D8</formula>
    </cfRule>
  </conditionalFormatting>
  <conditionalFormatting sqref="C7:C57">
    <cfRule type="expression" dxfId="24" priority="2">
      <formula>OR(AND($D7=0,OR($D6=$Q$7:$Q$14)),AND($D8&gt;0,OR($D7=$Q$7:$Q$14)))</formula>
    </cfRule>
  </conditionalFormatting>
  <conditionalFormatting sqref="D7:J7 D8 D57:J57 D56 D9:J10 D12:J14 D16:J19 D21:J23 D25:J28 D30:J32 D34:J36 D38:J41 D43:J45 D47:J49 D51:J54">
    <cfRule type="expression" dxfId="0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7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기능'!D16</f>
        <v>22.91</v>
      </c>
      <c r="I3" s="15" t="s">
        <v>84</v>
      </c>
      <c r="J3" s="35">
        <f>'통계 및 응시자 수 입력 기능'!C16</f>
        <v>27171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94</v>
      </c>
      <c r="E4" s="108"/>
      <c r="F4" s="109"/>
      <c r="G4" s="37" t="s">
        <v>87</v>
      </c>
      <c r="H4" s="38" t="str">
        <f>'통계 및 응시자 수 입력 기능'!E16</f>
        <v>11.43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74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99.5</v>
      </c>
      <c r="G7" s="72">
        <f>_xlfn.IFNA(VLOOKUP(D7,'인원 입력 기능 (사과탐)'!$F$177:$I$225,4,FALSE),0)</f>
        <v>272</v>
      </c>
      <c r="H7" s="73">
        <f>G7/$J$3</f>
        <v>1.0010673144161054E-2</v>
      </c>
      <c r="I7" s="74">
        <f>G7</f>
        <v>272</v>
      </c>
      <c r="J7" s="75">
        <f>I7/$J$3</f>
        <v>1.0010673144161054E-2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입력기능'!C112</f>
        <v>68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입력기능'!C113</f>
        <v>64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72</v>
      </c>
      <c r="E9" s="70">
        <f t="shared" si="0"/>
        <v>1</v>
      </c>
      <c r="F9" s="71">
        <f>IF(I8=0,ROUND(100*(1-(I7+I9)/2/$J$3),2),ROUND(100*(1-(I8+I9)/2/$J$3),2))</f>
        <v>98.88</v>
      </c>
      <c r="G9" s="72">
        <f>_xlfn.IFNA(VLOOKUP(D9,'인원 입력 기능 (사과탐)'!$F$177:$I$225,4,FALSE),0)</f>
        <v>65</v>
      </c>
      <c r="H9" s="73">
        <f>G9/$J$3</f>
        <v>2.3922564498914285E-3</v>
      </c>
      <c r="I9" s="77">
        <f>SUM($G$7:G9)</f>
        <v>337</v>
      </c>
      <c r="J9" s="75">
        <f>I9/$J$3</f>
        <v>1.2402929594052483E-2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입력기능'!C114</f>
        <v>59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71</v>
      </c>
      <c r="E10" s="70">
        <f t="shared" si="0"/>
        <v>1</v>
      </c>
      <c r="F10" s="71">
        <f t="shared" ref="F10:F55" si="3">IF(I9=0,ROUND(100*(1-(I8+I10)/2/$J$3),2),ROUND(100*(1-(I9+I10)/2/$J$3),2))</f>
        <v>97.96</v>
      </c>
      <c r="G10" s="72">
        <f>IF(D10=D9,"",_xlfn.IFNA(VLOOKUP(D10,'인원 입력 기능 (사과탐)'!$F$177:$I$225,4,FALSE),0))</f>
        <v>434</v>
      </c>
      <c r="H10" s="73">
        <f t="shared" ref="H10:H55" si="4">G10/$J$3</f>
        <v>1.5972912296198152E-2</v>
      </c>
      <c r="I10" s="77">
        <f>SUM($G$7:G10)</f>
        <v>771</v>
      </c>
      <c r="J10" s="75">
        <f t="shared" ref="J10:J55" si="5">I10/$J$3</f>
        <v>2.8375841890250636E-2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입력기능'!C115</f>
        <v>52</v>
      </c>
    </row>
    <row r="11" spans="1:17" ht="25" customHeight="1" x14ac:dyDescent="0.45">
      <c r="A11" s="4"/>
      <c r="B11" s="19"/>
      <c r="C11" s="69">
        <v>46</v>
      </c>
      <c r="D11" s="70">
        <f t="shared" si="2"/>
        <v>70</v>
      </c>
      <c r="E11" s="70">
        <f t="shared" si="0"/>
        <v>1</v>
      </c>
      <c r="F11" s="71">
        <f t="shared" si="3"/>
        <v>97.14</v>
      </c>
      <c r="G11" s="72">
        <f>IF(D11=D10,"",_xlfn.IFNA(VLOOKUP(D11,'인원 입력 기능 (사과탐)'!$F$177:$I$225,4,FALSE),0))</f>
        <v>10</v>
      </c>
      <c r="H11" s="73">
        <f t="shared" si="4"/>
        <v>3.6803945382945049E-4</v>
      </c>
      <c r="I11" s="77">
        <f>SUM($G$7:G11)</f>
        <v>781</v>
      </c>
      <c r="J11" s="75">
        <f t="shared" si="5"/>
        <v>2.8743881344080086E-2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입력기능'!C116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69</v>
      </c>
      <c r="E12" s="70">
        <f t="shared" si="0"/>
        <v>1</v>
      </c>
      <c r="F12" s="71">
        <f t="shared" si="3"/>
        <v>96.82</v>
      </c>
      <c r="G12" s="72">
        <f>IF(D12=D11,"",_xlfn.IFNA(VLOOKUP(D12,'인원 입력 기능 (사과탐)'!$F$177:$I$225,4,FALSE),0))</f>
        <v>166</v>
      </c>
      <c r="H12" s="73">
        <f t="shared" si="4"/>
        <v>6.1094549335688787E-3</v>
      </c>
      <c r="I12" s="77">
        <f>SUM($G$7:G12)</f>
        <v>947</v>
      </c>
      <c r="J12" s="75">
        <f t="shared" si="5"/>
        <v>3.4853336277648965E-2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입력기능'!C117</f>
        <v>41</v>
      </c>
    </row>
    <row r="13" spans="1:17" ht="25" customHeight="1" x14ac:dyDescent="0.45">
      <c r="A13" s="4"/>
      <c r="B13" s="19"/>
      <c r="C13" s="69">
        <v>44</v>
      </c>
      <c r="D13" s="121">
        <f t="shared" si="2"/>
        <v>68</v>
      </c>
      <c r="E13" s="121">
        <f t="shared" si="0"/>
        <v>1</v>
      </c>
      <c r="F13" s="155">
        <f t="shared" si="3"/>
        <v>95.34</v>
      </c>
      <c r="G13" s="157">
        <f>IF(D13=D12,"",_xlfn.IFNA(VLOOKUP(D13,'인원 입력 기능 (사과탐)'!$F$177:$I$225,4,FALSE),0))</f>
        <v>641</v>
      </c>
      <c r="H13" s="158">
        <f t="shared" si="4"/>
        <v>2.3591328990467779E-2</v>
      </c>
      <c r="I13" s="160">
        <f>SUM($G$7:G13)</f>
        <v>1588</v>
      </c>
      <c r="J13" s="162">
        <f t="shared" si="5"/>
        <v>5.8444665268116744E-2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입력기능'!C118</f>
        <v>39</v>
      </c>
    </row>
    <row r="14" spans="1:17" ht="25" customHeight="1" x14ac:dyDescent="0.45">
      <c r="A14" s="4"/>
      <c r="B14" s="19"/>
      <c r="C14" s="76">
        <v>43</v>
      </c>
      <c r="D14" s="122"/>
      <c r="E14" s="122"/>
      <c r="F14" s="125"/>
      <c r="G14" s="156"/>
      <c r="H14" s="159"/>
      <c r="I14" s="161"/>
      <c r="J14" s="163"/>
      <c r="K14" s="28"/>
      <c r="L14" s="5" t="str">
        <f t="shared" si="1"/>
        <v>경고</v>
      </c>
      <c r="N14" s="1"/>
      <c r="P14" s="1">
        <v>8</v>
      </c>
      <c r="Q14" s="1">
        <f>'표준점수 등급컷 입력기능'!C119</f>
        <v>35</v>
      </c>
    </row>
    <row r="15" spans="1:17" ht="25" customHeight="1" x14ac:dyDescent="0.45">
      <c r="A15" s="4"/>
      <c r="B15" s="19"/>
      <c r="C15" s="69">
        <v>42</v>
      </c>
      <c r="D15" s="70">
        <f t="shared" si="2"/>
        <v>67</v>
      </c>
      <c r="E15" s="70">
        <f t="shared" si="0"/>
        <v>2</v>
      </c>
      <c r="F15" s="71">
        <f t="shared" si="3"/>
        <v>93.51</v>
      </c>
      <c r="G15" s="72">
        <f>IF(D15=D14,"",_xlfn.IFNA(VLOOKUP(D15,'인원 입력 기능 (사과탐)'!$F$177:$I$225,4,FALSE),0))</f>
        <v>353</v>
      </c>
      <c r="H15" s="73">
        <f t="shared" si="4"/>
        <v>1.2991792720179604E-2</v>
      </c>
      <c r="I15" s="77">
        <f>SUM($G$7:G15)</f>
        <v>1941</v>
      </c>
      <c r="J15" s="75">
        <f t="shared" si="5"/>
        <v>7.1436457988296342E-2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91.74</v>
      </c>
      <c r="G16" s="72">
        <f>IF(D16=D15,"",_xlfn.IFNA(VLOOKUP(D16,'인원 입력 기능 (사과탐)'!$F$177:$I$225,4,FALSE),0))</f>
        <v>604</v>
      </c>
      <c r="H16" s="73">
        <f t="shared" si="4"/>
        <v>2.222958301129881E-2</v>
      </c>
      <c r="I16" s="77">
        <f>SUM($G$7:G16)</f>
        <v>2545</v>
      </c>
      <c r="J16" s="75">
        <f t="shared" si="5"/>
        <v>9.3666040999595163E-2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90.38</v>
      </c>
      <c r="G17" s="72">
        <f>IF(D17=D16,"",_xlfn.IFNA(VLOOKUP(D17,'인원 입력 기능 (사과탐)'!$F$177:$I$225,4,FALSE),0))</f>
        <v>135</v>
      </c>
      <c r="H17" s="73">
        <f t="shared" si="4"/>
        <v>4.9685326266975822E-3</v>
      </c>
      <c r="I17" s="77">
        <f>SUM($G$7:G17)</f>
        <v>2680</v>
      </c>
      <c r="J17" s="75">
        <f t="shared" si="5"/>
        <v>9.8634573626292743E-2</v>
      </c>
      <c r="K17" s="28"/>
      <c r="L17" s="5" t="str">
        <f t="shared" si="1"/>
        <v/>
      </c>
      <c r="N17" s="1"/>
      <c r="P17" s="1">
        <f>Q7*H3*H4*J3*IFERROR(IF(J57=1, 1, 0), 0)</f>
        <v>483822269.9964</v>
      </c>
    </row>
    <row r="18" spans="1:16" ht="25" customHeight="1" x14ac:dyDescent="0.45">
      <c r="A18" s="4"/>
      <c r="B18" s="19"/>
      <c r="C18" s="76">
        <v>39</v>
      </c>
      <c r="D18" s="70">
        <f t="shared" si="2"/>
        <v>64</v>
      </c>
      <c r="E18" s="70">
        <f t="shared" si="0"/>
        <v>2</v>
      </c>
      <c r="F18" s="71">
        <f t="shared" si="3"/>
        <v>89.09</v>
      </c>
      <c r="G18" s="72">
        <f>IF(D18=D17,"",_xlfn.IFNA(VLOOKUP(D18,'인원 입력 기능 (사과탐)'!$F$177:$I$225,4,FALSE),0))</f>
        <v>570</v>
      </c>
      <c r="H18" s="73">
        <f t="shared" si="4"/>
        <v>2.097824886827868E-2</v>
      </c>
      <c r="I18" s="77">
        <f>SUM($G$7:G18)</f>
        <v>3250</v>
      </c>
      <c r="J18" s="75">
        <f t="shared" si="5"/>
        <v>0.11961282249457142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63</v>
      </c>
      <c r="E19" s="70">
        <f t="shared" si="0"/>
        <v>3</v>
      </c>
      <c r="F19" s="71">
        <f t="shared" si="3"/>
        <v>87.2</v>
      </c>
      <c r="G19" s="72">
        <f>IF(D19=D18,"",_xlfn.IFNA(VLOOKUP(D19,'인원 입력 기능 (사과탐)'!$F$177:$I$225,4,FALSE),0))</f>
        <v>455</v>
      </c>
      <c r="H19" s="73">
        <f t="shared" si="4"/>
        <v>1.674579514924E-2</v>
      </c>
      <c r="I19" s="77">
        <f>SUM($G$7:G19)</f>
        <v>3705</v>
      </c>
      <c r="J19" s="75">
        <f t="shared" si="5"/>
        <v>0.13635861764381141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62</v>
      </c>
      <c r="E20" s="70">
        <f t="shared" si="0"/>
        <v>3</v>
      </c>
      <c r="F20" s="71">
        <f t="shared" si="3"/>
        <v>85.71</v>
      </c>
      <c r="G20" s="72">
        <f>IF(D20=D19,"",_xlfn.IFNA(VLOOKUP(D20,'인원 입력 기능 (사과탐)'!$F$177:$I$225,4,FALSE),0))</f>
        <v>355</v>
      </c>
      <c r="H20" s="73">
        <f t="shared" si="4"/>
        <v>1.3065400610945493E-2</v>
      </c>
      <c r="I20" s="77">
        <f>SUM($G$7:G20)</f>
        <v>4060</v>
      </c>
      <c r="J20" s="75">
        <f t="shared" si="5"/>
        <v>0.1494240182547569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165">
        <f t="shared" si="2"/>
        <v>61</v>
      </c>
      <c r="E21" s="165">
        <f t="shared" si="0"/>
        <v>3</v>
      </c>
      <c r="F21" s="155">
        <f t="shared" si="3"/>
        <v>83.1</v>
      </c>
      <c r="G21" s="157">
        <f>IF(D21=D20,"",_xlfn.IFNA(VLOOKUP(D21,'인원 입력 기능 (사과탐)'!$F$177:$I$225,4,FALSE),0))</f>
        <v>1063</v>
      </c>
      <c r="H21" s="158">
        <f t="shared" si="4"/>
        <v>3.9122593942070592E-2</v>
      </c>
      <c r="I21" s="160">
        <f>SUM($G$7:G21)</f>
        <v>5123</v>
      </c>
      <c r="J21" s="162">
        <f t="shared" si="5"/>
        <v>0.1885466121968275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164"/>
      <c r="E22" s="164"/>
      <c r="F22" s="125"/>
      <c r="G22" s="156"/>
      <c r="H22" s="159"/>
      <c r="I22" s="161"/>
      <c r="J22" s="163"/>
      <c r="K22" s="28"/>
      <c r="L22" s="5" t="str">
        <f t="shared" si="1"/>
        <v>경고</v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60</v>
      </c>
      <c r="E23" s="79">
        <f t="shared" si="0"/>
        <v>3</v>
      </c>
      <c r="F23" s="71">
        <f t="shared" si="3"/>
        <v>80.09</v>
      </c>
      <c r="G23" s="72">
        <f>IF(D23=D22,"",_xlfn.IFNA(VLOOKUP(D23,'인원 입력 기능 (사과탐)'!$F$177:$I$225,4,FALSE),0))</f>
        <v>574</v>
      </c>
      <c r="H23" s="73">
        <f t="shared" si="4"/>
        <v>2.1125464649810459E-2</v>
      </c>
      <c r="I23" s="77">
        <f>SUM($G$7:G23)</f>
        <v>5697</v>
      </c>
      <c r="J23" s="75">
        <f t="shared" si="5"/>
        <v>0.20967207684663797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77.89</v>
      </c>
      <c r="G24" s="72">
        <f>IF(D24=D23,"",_xlfn.IFNA(VLOOKUP(D24,'인원 입력 기능 (사과탐)'!$F$177:$I$225,4,FALSE),0))</f>
        <v>619</v>
      </c>
      <c r="H24" s="73">
        <f t="shared" si="4"/>
        <v>2.2781642192042987E-2</v>
      </c>
      <c r="I24" s="77">
        <f>SUM($G$7:G24)</f>
        <v>6316</v>
      </c>
      <c r="J24" s="75">
        <f t="shared" si="5"/>
        <v>0.23245371903868095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58</v>
      </c>
      <c r="E25" s="79">
        <f t="shared" si="0"/>
        <v>4</v>
      </c>
      <c r="F25" s="71">
        <f t="shared" si="3"/>
        <v>75.819999999999993</v>
      </c>
      <c r="G25" s="72">
        <f>IF(D25=D24,"",_xlfn.IFNA(VLOOKUP(D25,'인원 입력 기능 (사과탐)'!$F$177:$I$225,4,FALSE),0))</f>
        <v>507</v>
      </c>
      <c r="H25" s="73">
        <f t="shared" si="4"/>
        <v>1.8659600309153142E-2</v>
      </c>
      <c r="I25" s="77">
        <f>SUM($G$7:G25)</f>
        <v>6823</v>
      </c>
      <c r="J25" s="75">
        <f t="shared" si="5"/>
        <v>0.2511133193478341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57</v>
      </c>
      <c r="E26" s="79">
        <f t="shared" si="0"/>
        <v>4</v>
      </c>
      <c r="F26" s="71">
        <f t="shared" si="3"/>
        <v>73.73</v>
      </c>
      <c r="G26" s="72">
        <f>IF(D26=D25,"",_xlfn.IFNA(VLOOKUP(D26,'인원 입력 기능 (사과탐)'!$F$177:$I$225,4,FALSE),0))</f>
        <v>629</v>
      </c>
      <c r="H26" s="73">
        <f t="shared" si="4"/>
        <v>2.3149681645872437E-2</v>
      </c>
      <c r="I26" s="77">
        <f>SUM($G$7:G26)</f>
        <v>7452</v>
      </c>
      <c r="J26" s="75">
        <f t="shared" si="5"/>
        <v>0.27426300099370654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56</v>
      </c>
      <c r="E27" s="79">
        <f t="shared" si="0"/>
        <v>4</v>
      </c>
      <c r="F27" s="71">
        <f t="shared" si="3"/>
        <v>71.61</v>
      </c>
      <c r="G27" s="72">
        <f>IF(D27=D26,"",_xlfn.IFNA(VLOOKUP(D27,'인원 입력 기능 (사과탐)'!$F$177:$I$225,4,FALSE),0))</f>
        <v>521</v>
      </c>
      <c r="H27" s="73">
        <f t="shared" si="4"/>
        <v>1.9174855544514372E-2</v>
      </c>
      <c r="I27" s="77">
        <f>SUM($G$7:G27)</f>
        <v>7973</v>
      </c>
      <c r="J27" s="75">
        <f t="shared" si="5"/>
        <v>0.29343785653822091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69.52</v>
      </c>
      <c r="G28" s="72">
        <f>IF(D28=D27,"",_xlfn.IFNA(VLOOKUP(D28,'인원 입력 기능 (사과탐)'!$F$177:$I$225,4,FALSE),0))</f>
        <v>616</v>
      </c>
      <c r="H28" s="73">
        <f t="shared" si="4"/>
        <v>2.2671230355894152E-2</v>
      </c>
      <c r="I28" s="77">
        <f>SUM($G$7:G28)</f>
        <v>8589</v>
      </c>
      <c r="J28" s="75">
        <f t="shared" si="5"/>
        <v>0.31610908689411504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165">
        <f t="shared" si="2"/>
        <v>54</v>
      </c>
      <c r="E29" s="165">
        <f t="shared" si="0"/>
        <v>4</v>
      </c>
      <c r="F29" s="155">
        <f t="shared" si="3"/>
        <v>66.13</v>
      </c>
      <c r="G29" s="157">
        <f>IF(D29=D28,"",_xlfn.IFNA(VLOOKUP(D29,'인원 입력 기능 (사과탐)'!$F$177:$I$225,4,FALSE),0))</f>
        <v>1229</v>
      </c>
      <c r="H29" s="158">
        <f t="shared" si="4"/>
        <v>4.5232048875639468E-2</v>
      </c>
      <c r="I29" s="160">
        <f>SUM($G$7:G29)</f>
        <v>9818</v>
      </c>
      <c r="J29" s="162">
        <f t="shared" si="5"/>
        <v>0.36134113576975452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164"/>
      <c r="E30" s="164"/>
      <c r="F30" s="125"/>
      <c r="G30" s="156"/>
      <c r="H30" s="159"/>
      <c r="I30" s="161"/>
      <c r="J30" s="163"/>
      <c r="K30" s="28"/>
      <c r="L30" s="5" t="str">
        <f t="shared" si="1"/>
        <v>경고</v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53</v>
      </c>
      <c r="E31" s="79">
        <f t="shared" si="0"/>
        <v>4</v>
      </c>
      <c r="F31" s="71">
        <f t="shared" si="3"/>
        <v>62.54</v>
      </c>
      <c r="G31" s="72">
        <f>IF(D31=D30,"",_xlfn.IFNA(VLOOKUP(D31,'인원 입력 기능 (사과탐)'!$F$177:$I$225,4,FALSE),0))</f>
        <v>721</v>
      </c>
      <c r="H31" s="73">
        <f t="shared" si="4"/>
        <v>2.6535644621103381E-2</v>
      </c>
      <c r="I31" s="77">
        <f>SUM($G$7:G31)</f>
        <v>10539</v>
      </c>
      <c r="J31" s="75">
        <f t="shared" si="5"/>
        <v>0.38787678039085788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52</v>
      </c>
      <c r="E32" s="79">
        <f t="shared" si="0"/>
        <v>4</v>
      </c>
      <c r="F32" s="71">
        <f t="shared" si="3"/>
        <v>60.1</v>
      </c>
      <c r="G32" s="72">
        <f>IF(D32=D31,"",_xlfn.IFNA(VLOOKUP(D32,'인원 입력 기능 (사과탐)'!$F$177:$I$225,4,FALSE),0))</f>
        <v>607</v>
      </c>
      <c r="H32" s="73">
        <f t="shared" si="4"/>
        <v>2.2339994847447645E-2</v>
      </c>
      <c r="I32" s="77">
        <f>SUM($G$7:G32)</f>
        <v>11146</v>
      </c>
      <c r="J32" s="75">
        <f t="shared" si="5"/>
        <v>0.41021677523830552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51</v>
      </c>
      <c r="E33" s="79">
        <f t="shared" si="0"/>
        <v>5</v>
      </c>
      <c r="F33" s="71">
        <f t="shared" si="3"/>
        <v>57.62</v>
      </c>
      <c r="G33" s="72">
        <f>IF(D33=D32,"",_xlfn.IFNA(VLOOKUP(D33,'인원 입력 기능 (사과탐)'!$F$177:$I$225,4,FALSE),0))</f>
        <v>738</v>
      </c>
      <c r="H33" s="73">
        <f t="shared" si="4"/>
        <v>2.716131169261345E-2</v>
      </c>
      <c r="I33" s="77">
        <f>SUM($G$7:G33)</f>
        <v>11884</v>
      </c>
      <c r="J33" s="75">
        <f t="shared" si="5"/>
        <v>0.43737808693091901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50</v>
      </c>
      <c r="E34" s="79">
        <f t="shared" si="0"/>
        <v>5</v>
      </c>
      <c r="F34" s="71">
        <f t="shared" si="3"/>
        <v>54.93</v>
      </c>
      <c r="G34" s="72">
        <f>IF(D34=D33,"",_xlfn.IFNA(VLOOKUP(D34,'인원 입력 기능 (사과탐)'!$F$177:$I$225,4,FALSE),0))</f>
        <v>725</v>
      </c>
      <c r="H34" s="73">
        <f t="shared" si="4"/>
        <v>2.6682860402635164E-2</v>
      </c>
      <c r="I34" s="77">
        <f>SUM($G$7:G34)</f>
        <v>12609</v>
      </c>
      <c r="J34" s="75">
        <f t="shared" si="5"/>
        <v>0.46406094733355413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49</v>
      </c>
      <c r="E35" s="79">
        <f t="shared" si="0"/>
        <v>5</v>
      </c>
      <c r="F35" s="71">
        <f t="shared" si="3"/>
        <v>52.33</v>
      </c>
      <c r="G35" s="72">
        <f>IF(D35=D34,"",_xlfn.IFNA(VLOOKUP(D35,'인원 입력 기능 (사과탐)'!$F$177:$I$225,4,FALSE),0))</f>
        <v>686</v>
      </c>
      <c r="H35" s="73">
        <f t="shared" si="4"/>
        <v>2.5247506532700307E-2</v>
      </c>
      <c r="I35" s="77">
        <f>SUM($G$7:G35)</f>
        <v>13295</v>
      </c>
      <c r="J35" s="75">
        <f t="shared" si="5"/>
        <v>0.48930845386625449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48</v>
      </c>
      <c r="E36" s="79">
        <f t="shared" si="0"/>
        <v>5</v>
      </c>
      <c r="F36" s="71">
        <f t="shared" si="3"/>
        <v>49.62</v>
      </c>
      <c r="G36" s="72">
        <f>IF(D36=D35,"",_xlfn.IFNA(VLOOKUP(D36,'인원 입력 기능 (사과탐)'!$F$177:$I$225,4,FALSE),0))</f>
        <v>787</v>
      </c>
      <c r="H36" s="73">
        <f t="shared" si="4"/>
        <v>2.8964705016377757E-2</v>
      </c>
      <c r="I36" s="77">
        <f>SUM($G$7:G36)</f>
        <v>14082</v>
      </c>
      <c r="J36" s="75">
        <f t="shared" si="5"/>
        <v>0.51827315888263226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165">
        <f t="shared" si="2"/>
        <v>47</v>
      </c>
      <c r="E37" s="165">
        <f t="shared" si="0"/>
        <v>5</v>
      </c>
      <c r="F37" s="155">
        <f t="shared" si="3"/>
        <v>45.31</v>
      </c>
      <c r="G37" s="157">
        <f>IF(D37=D36,"",_xlfn.IFNA(VLOOKUP(D37,'인원 입력 기능 (사과탐)'!$F$177:$I$225,4,FALSE),0))</f>
        <v>1557</v>
      </c>
      <c r="H37" s="158">
        <f t="shared" si="4"/>
        <v>5.7303742961245442E-2</v>
      </c>
      <c r="I37" s="160">
        <f>SUM($G$7:G37)</f>
        <v>15639</v>
      </c>
      <c r="J37" s="162">
        <f t="shared" si="5"/>
        <v>0.57557690184387766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164"/>
      <c r="E38" s="164"/>
      <c r="F38" s="125"/>
      <c r="G38" s="156"/>
      <c r="H38" s="159"/>
      <c r="I38" s="161"/>
      <c r="J38" s="163"/>
      <c r="K38" s="28"/>
      <c r="L38" s="5" t="str">
        <f t="shared" si="1"/>
        <v>경고</v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71">
        <f t="shared" si="3"/>
        <v>40.97</v>
      </c>
      <c r="G39" s="72">
        <f>IF(D39=D38,"",_xlfn.IFNA(VLOOKUP(D39,'인원 입력 기능 (사과탐)'!$F$177:$I$225,4,FALSE),0))</f>
        <v>802</v>
      </c>
      <c r="H39" s="73">
        <f t="shared" si="4"/>
        <v>2.9516764197121931E-2</v>
      </c>
      <c r="I39" s="77">
        <f>SUM($G$7:G39)</f>
        <v>16441</v>
      </c>
      <c r="J39" s="75">
        <f t="shared" si="5"/>
        <v>0.60509366604099957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45</v>
      </c>
      <c r="E40" s="79">
        <f t="shared" si="6"/>
        <v>6</v>
      </c>
      <c r="F40" s="71">
        <f t="shared" si="3"/>
        <v>37.58</v>
      </c>
      <c r="G40" s="72">
        <f>IF(D40=D39,"",_xlfn.IFNA(VLOOKUP(D40,'인원 입력 기능 (사과탐)'!$F$177:$I$225,4,FALSE),0))</f>
        <v>1039</v>
      </c>
      <c r="H40" s="73">
        <f t="shared" si="4"/>
        <v>3.8239299252879909E-2</v>
      </c>
      <c r="I40" s="77">
        <f>SUM($G$7:G40)</f>
        <v>17480</v>
      </c>
      <c r="J40" s="75">
        <f t="shared" si="5"/>
        <v>0.64333296529387951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44</v>
      </c>
      <c r="E41" s="79">
        <f t="shared" si="6"/>
        <v>6</v>
      </c>
      <c r="F41" s="71">
        <f t="shared" si="3"/>
        <v>34.11</v>
      </c>
      <c r="G41" s="72">
        <f>IF(D41=D40,"",_xlfn.IFNA(VLOOKUP(D41,'인원 입력 기능 (사과탐)'!$F$177:$I$225,4,FALSE),0))</f>
        <v>846</v>
      </c>
      <c r="H41" s="73">
        <f t="shared" si="4"/>
        <v>3.1136137793971515E-2</v>
      </c>
      <c r="I41" s="77">
        <f>SUM($G$7:G41)</f>
        <v>18326</v>
      </c>
      <c r="J41" s="75">
        <f t="shared" si="5"/>
        <v>0.67446910308785102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43</v>
      </c>
      <c r="E42" s="79">
        <f t="shared" si="6"/>
        <v>6</v>
      </c>
      <c r="F42" s="71">
        <f t="shared" si="3"/>
        <v>30.65</v>
      </c>
      <c r="G42" s="72">
        <f>IF(D42=D41,"",_xlfn.IFNA(VLOOKUP(D42,'인원 입력 기능 (사과탐)'!$F$177:$I$225,4,FALSE),0))</f>
        <v>1036</v>
      </c>
      <c r="H42" s="73">
        <f t="shared" si="4"/>
        <v>3.8128887416731073E-2</v>
      </c>
      <c r="I42" s="77">
        <f>SUM($G$7:G42)</f>
        <v>19362</v>
      </c>
      <c r="J42" s="75">
        <f t="shared" si="5"/>
        <v>0.71259799050458206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42</v>
      </c>
      <c r="E43" s="79">
        <f t="shared" si="6"/>
        <v>6</v>
      </c>
      <c r="F43" s="71">
        <f t="shared" si="3"/>
        <v>27.11</v>
      </c>
      <c r="G43" s="72">
        <f>IF(D43=D42,"",_xlfn.IFNA(VLOOKUP(D43,'인원 입력 기능 (사과탐)'!$F$177:$I$225,4,FALSE),0))</f>
        <v>886</v>
      </c>
      <c r="H43" s="73">
        <f t="shared" si="4"/>
        <v>3.2608295609289316E-2</v>
      </c>
      <c r="I43" s="77">
        <f>SUM($G$7:G43)</f>
        <v>20248</v>
      </c>
      <c r="J43" s="75">
        <f t="shared" si="5"/>
        <v>0.74520628611387141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41</v>
      </c>
      <c r="E44" s="79">
        <f t="shared" si="6"/>
        <v>6</v>
      </c>
      <c r="F44" s="71">
        <f t="shared" si="3"/>
        <v>22.22</v>
      </c>
      <c r="G44" s="72">
        <f>IF(D44=D43,"",_xlfn.IFNA(VLOOKUP(D44,'인원 입력 기능 (사과탐)'!$F$177:$I$225,4,FALSE),0))</f>
        <v>1770</v>
      </c>
      <c r="H44" s="73">
        <f t="shared" si="4"/>
        <v>6.5142983327812737E-2</v>
      </c>
      <c r="I44" s="77">
        <f>SUM($G$7:G44)</f>
        <v>22018</v>
      </c>
      <c r="J44" s="75">
        <f t="shared" si="5"/>
        <v>0.81034926944168417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65">
        <f t="shared" si="2"/>
        <v>40</v>
      </c>
      <c r="E45" s="165">
        <f t="shared" si="6"/>
        <v>7</v>
      </c>
      <c r="F45" s="155">
        <f t="shared" si="3"/>
        <v>16.23</v>
      </c>
      <c r="G45" s="157">
        <f>IF(D45=D44,"",_xlfn.IFNA(VLOOKUP(D45,'인원 입력 기능 (사과탐)'!$F$177:$I$225,4,FALSE),0))</f>
        <v>1487</v>
      </c>
      <c r="H45" s="158">
        <f t="shared" si="4"/>
        <v>5.4727466784439294E-2</v>
      </c>
      <c r="I45" s="160">
        <f>SUM($G$7:G45)</f>
        <v>23505</v>
      </c>
      <c r="J45" s="162">
        <f t="shared" si="5"/>
        <v>0.86507673622612347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4"/>
      <c r="E46" s="164"/>
      <c r="F46" s="125"/>
      <c r="G46" s="156"/>
      <c r="H46" s="159"/>
      <c r="I46" s="161"/>
      <c r="J46" s="163"/>
      <c r="K46" s="28"/>
      <c r="L46" s="5" t="str">
        <f t="shared" si="1"/>
        <v>경고</v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39</v>
      </c>
      <c r="E47" s="79">
        <f t="shared" si="6"/>
        <v>7</v>
      </c>
      <c r="F47" s="71">
        <f t="shared" si="3"/>
        <v>12.1</v>
      </c>
      <c r="G47" s="72">
        <f>IF(D47=D46,"",_xlfn.IFNA(VLOOKUP(D47,'인원 입력 기능 (사과탐)'!$F$177:$I$225,4,FALSE),0))</f>
        <v>756</v>
      </c>
      <c r="H47" s="73">
        <f t="shared" si="4"/>
        <v>2.7823782709506459E-2</v>
      </c>
      <c r="I47" s="77">
        <f>SUM($G$7:G47)</f>
        <v>24261</v>
      </c>
      <c r="J47" s="75">
        <f t="shared" si="5"/>
        <v>0.89290051893562994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38</v>
      </c>
      <c r="E48" s="79">
        <f t="shared" si="6"/>
        <v>8</v>
      </c>
      <c r="F48" s="71">
        <f t="shared" si="3"/>
        <v>9.74</v>
      </c>
      <c r="G48" s="72">
        <f>IF(D48=D47,"",_xlfn.IFNA(VLOOKUP(D48,'인원 입력 기능 (사과탐)'!$F$177:$I$225,4,FALSE),0))</f>
        <v>528</v>
      </c>
      <c r="H48" s="73">
        <f t="shared" si="4"/>
        <v>1.9432483162194987E-2</v>
      </c>
      <c r="I48" s="77">
        <f>SUM($G$7:G48)</f>
        <v>24789</v>
      </c>
      <c r="J48" s="75">
        <f t="shared" si="5"/>
        <v>0.91233300209782486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37</v>
      </c>
      <c r="E49" s="79">
        <f t="shared" si="6"/>
        <v>8</v>
      </c>
      <c r="F49" s="71">
        <f t="shared" si="3"/>
        <v>7.63</v>
      </c>
      <c r="G49" s="72">
        <f>IF(D49=D48,"",_xlfn.IFNA(VLOOKUP(D49,'인원 입력 기능 (사과탐)'!$F$177:$I$225,4,FALSE),0))</f>
        <v>618</v>
      </c>
      <c r="H49" s="73">
        <f t="shared" si="4"/>
        <v>2.2744838246660043E-2</v>
      </c>
      <c r="I49" s="77">
        <f>SUM($G$7:G49)</f>
        <v>25407</v>
      </c>
      <c r="J49" s="75">
        <f t="shared" si="5"/>
        <v>0.93507784034448493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36</v>
      </c>
      <c r="E50" s="79">
        <f t="shared" si="6"/>
        <v>8</v>
      </c>
      <c r="F50" s="71">
        <f t="shared" si="3"/>
        <v>5.81</v>
      </c>
      <c r="G50" s="72">
        <f>IF(D50=D49,"",_xlfn.IFNA(VLOOKUP(D50,'인원 입력 기능 (사과탐)'!$F$177:$I$225,4,FALSE),0))</f>
        <v>372</v>
      </c>
      <c r="H50" s="73">
        <f t="shared" si="4"/>
        <v>1.3691067682455559E-2</v>
      </c>
      <c r="I50" s="77">
        <f>SUM($G$7:G50)</f>
        <v>25779</v>
      </c>
      <c r="J50" s="75">
        <f t="shared" si="5"/>
        <v>0.94876890802694047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35</v>
      </c>
      <c r="E51" s="79">
        <f t="shared" si="6"/>
        <v>8</v>
      </c>
      <c r="F51" s="71">
        <f t="shared" si="3"/>
        <v>3.63</v>
      </c>
      <c r="G51" s="72">
        <f>IF(D51=D50,"",_xlfn.IFNA(VLOOKUP(D51,'인원 입력 기능 (사과탐)'!$F$177:$I$225,4,FALSE),0))</f>
        <v>811</v>
      </c>
      <c r="H51" s="73">
        <f t="shared" si="4"/>
        <v>2.9847999705568437E-2</v>
      </c>
      <c r="I51" s="77">
        <f>SUM($G$7:G51)</f>
        <v>26590</v>
      </c>
      <c r="J51" s="75">
        <f t="shared" si="5"/>
        <v>0.97861690773250898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34</v>
      </c>
      <c r="E52" s="79">
        <f t="shared" si="6"/>
        <v>9</v>
      </c>
      <c r="F52" s="71">
        <f t="shared" si="3"/>
        <v>1.75</v>
      </c>
      <c r="G52" s="72">
        <f>IF(D52=D51,"",_xlfn.IFNA(VLOOKUP(D52,'인원 입력 기능 (사과탐)'!$F$177:$I$225,4,FALSE),0))</f>
        <v>210</v>
      </c>
      <c r="H52" s="73">
        <f t="shared" si="4"/>
        <v>7.728828530418461E-3</v>
      </c>
      <c r="I52" s="77">
        <f>SUM($G$7:G52)</f>
        <v>26800</v>
      </c>
      <c r="J52" s="75">
        <f t="shared" si="5"/>
        <v>0.98634573626292743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121">
        <f t="shared" si="2"/>
        <v>33</v>
      </c>
      <c r="E53" s="121">
        <f t="shared" si="6"/>
        <v>9</v>
      </c>
      <c r="F53" s="155">
        <f t="shared" si="3"/>
        <v>0.91</v>
      </c>
      <c r="G53" s="157">
        <f>IF(D53=D52,"",_xlfn.IFNA(VLOOKUP(D53,'인원 입력 기능 (사과탐)'!$F$177:$I$225,4,FALSE),0))</f>
        <v>250</v>
      </c>
      <c r="H53" s="158">
        <f t="shared" si="4"/>
        <v>9.2009863457362621E-3</v>
      </c>
      <c r="I53" s="160">
        <f>SUM($G$7:G53)</f>
        <v>27050</v>
      </c>
      <c r="J53" s="162">
        <f t="shared" si="5"/>
        <v>0.99554672260866361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122"/>
      <c r="E54" s="122"/>
      <c r="F54" s="125"/>
      <c r="G54" s="156"/>
      <c r="H54" s="159"/>
      <c r="I54" s="161"/>
      <c r="J54" s="163"/>
      <c r="K54" s="28"/>
      <c r="L54" s="5" t="str">
        <f t="shared" si="1"/>
        <v>경고</v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32</v>
      </c>
      <c r="E55" s="70">
        <f t="shared" si="6"/>
        <v>9</v>
      </c>
      <c r="F55" s="71">
        <f t="shared" si="3"/>
        <v>0.26</v>
      </c>
      <c r="G55" s="72">
        <f>IF(D55=D54,"",_xlfn.IFNA(VLOOKUP(D55,'인원 입력 기능 (사과탐)'!$F$177:$I$225,4,FALSE),0))</f>
        <v>103</v>
      </c>
      <c r="H55" s="73">
        <f t="shared" si="4"/>
        <v>3.7908063744433403E-3</v>
      </c>
      <c r="I55" s="77">
        <f>SUM($G$7:G55)</f>
        <v>27153</v>
      </c>
      <c r="J55" s="75">
        <f t="shared" si="5"/>
        <v>0.99933752898310702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30</v>
      </c>
      <c r="E57" s="83">
        <f t="shared" si="6"/>
        <v>9</v>
      </c>
      <c r="F57" s="84">
        <f>IF(I55=0,ROUND(100*(1-(I54+I57)/2/$J$3),2),ROUND(100*(1-(I55+I57)/2/$J$3),2))</f>
        <v>0.03</v>
      </c>
      <c r="G57" s="85">
        <f>_xlfn.IFNA(VLOOKUP(D57,'인원 입력 기능 (사과탐)'!$F$177:$I$225,4,FALSE),0)</f>
        <v>18</v>
      </c>
      <c r="H57" s="86">
        <f>G57/$J$3</f>
        <v>6.6247101689301095E-4</v>
      </c>
      <c r="I57" s="87">
        <f>SUM($G$7:G57)</f>
        <v>27171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7">
    <mergeCell ref="I53:I54"/>
    <mergeCell ref="J53:J54"/>
    <mergeCell ref="D53:D54"/>
    <mergeCell ref="E53:E54"/>
    <mergeCell ref="F53:F54"/>
    <mergeCell ref="G53:G54"/>
    <mergeCell ref="H53:H54"/>
    <mergeCell ref="I37:I38"/>
    <mergeCell ref="J37:J38"/>
    <mergeCell ref="D45:D46"/>
    <mergeCell ref="E45:E46"/>
    <mergeCell ref="F45:F46"/>
    <mergeCell ref="G45:G46"/>
    <mergeCell ref="H45:H46"/>
    <mergeCell ref="I45:I46"/>
    <mergeCell ref="J45:J46"/>
    <mergeCell ref="D37:D38"/>
    <mergeCell ref="E37:E38"/>
    <mergeCell ref="F37:F38"/>
    <mergeCell ref="G37:G38"/>
    <mergeCell ref="H37:H38"/>
    <mergeCell ref="H21:H22"/>
    <mergeCell ref="I21:I22"/>
    <mergeCell ref="J21:J22"/>
    <mergeCell ref="D29:D30"/>
    <mergeCell ref="E29:E30"/>
    <mergeCell ref="F29:F30"/>
    <mergeCell ref="G29:G30"/>
    <mergeCell ref="H29:H30"/>
    <mergeCell ref="I29:I30"/>
    <mergeCell ref="J29:J30"/>
    <mergeCell ref="D3:F3"/>
    <mergeCell ref="D4:F4"/>
    <mergeCell ref="D8:J8"/>
    <mergeCell ref="D56:J56"/>
    <mergeCell ref="G5:J5"/>
    <mergeCell ref="D13:D14"/>
    <mergeCell ref="E13:E14"/>
    <mergeCell ref="F13:F14"/>
    <mergeCell ref="G13:G14"/>
    <mergeCell ref="H13:H14"/>
    <mergeCell ref="I13:I14"/>
    <mergeCell ref="J13:J14"/>
    <mergeCell ref="D21:D22"/>
    <mergeCell ref="E21:E22"/>
    <mergeCell ref="F21:F22"/>
    <mergeCell ref="G21:G22"/>
  </mergeCells>
  <phoneticPr fontId="1" type="noConversion"/>
  <conditionalFormatting sqref="D7:D13 D15:D21 D23:D29 D31:D37 D39:D45 D47:D53 D55:D57">
    <cfRule type="expression" dxfId="22" priority="1">
      <formula>$D7=$D8</formula>
    </cfRule>
  </conditionalFormatting>
  <conditionalFormatting sqref="C7:C57">
    <cfRule type="expression" dxfId="21" priority="3">
      <formula>OR(AND($D7=0,OR($D6=$Q$7:$Q$14)),AND($D8&gt;0,OR($D7=$Q$7:$Q$14)))</formula>
    </cfRule>
  </conditionalFormatting>
  <conditionalFormatting sqref="D7:J7 D8 D57:J57 D56 D9:J13 D15:J21 D23:J29 D31:J37 D39:J45 D47:J53 D55:J55">
    <cfRule type="expression" dxfId="20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8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기능'!D17</f>
        <v>24.02</v>
      </c>
      <c r="I3" s="15" t="s">
        <v>84</v>
      </c>
      <c r="J3" s="35">
        <f>'통계 및 응시자 수 입력 기능'!C17</f>
        <v>77787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93</v>
      </c>
      <c r="E4" s="108"/>
      <c r="F4" s="109"/>
      <c r="G4" s="37" t="s">
        <v>87</v>
      </c>
      <c r="H4" s="38" t="str">
        <f>'통계 및 응시자 수 입력 기능'!E17</f>
        <v xml:space="preserve"> 9.60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99.96</v>
      </c>
      <c r="G7" s="72">
        <f>_xlfn.IFNA(VLOOKUP(D7,'인원 입력 기능 (사과탐)'!$K$177:$N$225,4,FALSE),0)</f>
        <v>65</v>
      </c>
      <c r="H7" s="73">
        <f>G7/$J$3</f>
        <v>8.3561520562561869E-4</v>
      </c>
      <c r="I7" s="74">
        <f>G7</f>
        <v>65</v>
      </c>
      <c r="J7" s="75">
        <f>I7/$J$3</f>
        <v>8.3561520562561869E-4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입력기능'!C121</f>
        <v>67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입력기능'!C122</f>
        <v>62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75</v>
      </c>
      <c r="E9" s="70">
        <f t="shared" si="0"/>
        <v>1</v>
      </c>
      <c r="F9" s="71">
        <f>IF(I8=0,ROUND(100*(1-(I7+I9)/2/$J$3),2),ROUND(100*(1-(I8+I9)/2/$J$3),2))</f>
        <v>99.88</v>
      </c>
      <c r="G9" s="72">
        <f>_xlfn.IFNA(VLOOKUP(D9,'인원 입력 기능 (사과탐)'!$K$177:$N$225,4,FALSE),0)</f>
        <v>52</v>
      </c>
      <c r="H9" s="73">
        <f>G9/$J$3</f>
        <v>6.6849216450049495E-4</v>
      </c>
      <c r="I9" s="77">
        <f>SUM($G$7:G9)</f>
        <v>117</v>
      </c>
      <c r="J9" s="75">
        <f>I9/$J$3</f>
        <v>1.5041073701261135E-3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입력기능'!C123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74</v>
      </c>
      <c r="E10" s="70">
        <f t="shared" si="0"/>
        <v>1</v>
      </c>
      <c r="F10" s="71">
        <f t="shared" ref="F10:F55" si="3">IF(I9=0,ROUND(100*(1-(I8+I10)/2/$J$3),2),ROUND(100*(1-(I9+I10)/2/$J$3),2))</f>
        <v>99.73</v>
      </c>
      <c r="G10" s="72">
        <f>IF(D10=D9,"",_xlfn.IFNA(VLOOKUP(D10,'인원 입력 기능 (사과탐)'!$K$177:$N$225,4,FALSE),0))</f>
        <v>188</v>
      </c>
      <c r="H10" s="73">
        <f t="shared" ref="H10:H55" si="4">G10/$J$3</f>
        <v>2.4168562870402512E-3</v>
      </c>
      <c r="I10" s="77">
        <f>SUM($G$7:G10)</f>
        <v>305</v>
      </c>
      <c r="J10" s="75">
        <f t="shared" ref="J10:J55" si="5">I10/$J$3</f>
        <v>3.9209636571663643E-3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입력기능'!C124</f>
        <v>53</v>
      </c>
    </row>
    <row r="11" spans="1:17" ht="25" customHeight="1" x14ac:dyDescent="0.45">
      <c r="A11" s="4"/>
      <c r="B11" s="19"/>
      <c r="C11" s="69">
        <v>46</v>
      </c>
      <c r="D11" s="70">
        <f t="shared" si="2"/>
        <v>73</v>
      </c>
      <c r="E11" s="70">
        <f t="shared" si="0"/>
        <v>1</v>
      </c>
      <c r="F11" s="71">
        <f t="shared" si="3"/>
        <v>99.59</v>
      </c>
      <c r="G11" s="72">
        <f>IF(D11=D10,"",_xlfn.IFNA(VLOOKUP(D11,'인원 입력 기능 (사과탐)'!$K$177:$N$225,4,FALSE),0))</f>
        <v>22</v>
      </c>
      <c r="H11" s="73">
        <f t="shared" si="4"/>
        <v>2.8282360805790169E-4</v>
      </c>
      <c r="I11" s="77">
        <f>SUM($G$7:G11)</f>
        <v>327</v>
      </c>
      <c r="J11" s="75">
        <f t="shared" si="5"/>
        <v>4.2037872652242667E-3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입력기능'!C125</f>
        <v>47</v>
      </c>
    </row>
    <row r="12" spans="1:17" ht="25" customHeight="1" x14ac:dyDescent="0.45">
      <c r="A12" s="4"/>
      <c r="B12" s="19"/>
      <c r="C12" s="76">
        <v>45</v>
      </c>
      <c r="D12" s="70">
        <f t="shared" si="2"/>
        <v>72</v>
      </c>
      <c r="E12" s="70">
        <f t="shared" si="0"/>
        <v>1</v>
      </c>
      <c r="F12" s="71">
        <f t="shared" si="3"/>
        <v>99.41</v>
      </c>
      <c r="G12" s="72">
        <f>IF(D12=D11,"",_xlfn.IFNA(VLOOKUP(D12,'인원 입력 기능 (사과탐)'!$K$177:$N$225,4,FALSE),0))</f>
        <v>266</v>
      </c>
      <c r="H12" s="73">
        <f t="shared" si="4"/>
        <v>3.4195945337909934E-3</v>
      </c>
      <c r="I12" s="77">
        <f>SUM($G$7:G12)</f>
        <v>593</v>
      </c>
      <c r="J12" s="75">
        <f t="shared" si="5"/>
        <v>7.6233817990152596E-3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입력기능'!C126</f>
        <v>41</v>
      </c>
    </row>
    <row r="13" spans="1:17" ht="25" customHeight="1" x14ac:dyDescent="0.45">
      <c r="A13" s="4"/>
      <c r="B13" s="19"/>
      <c r="C13" s="69">
        <v>44</v>
      </c>
      <c r="D13" s="70">
        <f t="shared" si="2"/>
        <v>71</v>
      </c>
      <c r="E13" s="70">
        <f t="shared" si="0"/>
        <v>1</v>
      </c>
      <c r="F13" s="71">
        <f t="shared" si="3"/>
        <v>98.97</v>
      </c>
      <c r="G13" s="72">
        <f>IF(D13=D12,"",_xlfn.IFNA(VLOOKUP(D13,'인원 입력 기능 (사과탐)'!$K$177:$N$225,4,FALSE),0))</f>
        <v>413</v>
      </c>
      <c r="H13" s="73">
        <f t="shared" si="4"/>
        <v>5.3093704603596999E-3</v>
      </c>
      <c r="I13" s="77">
        <f>SUM($G$7:G13)</f>
        <v>1006</v>
      </c>
      <c r="J13" s="75">
        <f t="shared" si="5"/>
        <v>1.2932752259374959E-2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입력기능'!C127</f>
        <v>37</v>
      </c>
    </row>
    <row r="14" spans="1:17" ht="25" customHeight="1" x14ac:dyDescent="0.45">
      <c r="A14" s="4"/>
      <c r="B14" s="19"/>
      <c r="C14" s="76">
        <v>43</v>
      </c>
      <c r="D14" s="70">
        <f t="shared" si="2"/>
        <v>70</v>
      </c>
      <c r="E14" s="70">
        <f t="shared" si="0"/>
        <v>1</v>
      </c>
      <c r="F14" s="71">
        <f t="shared" si="3"/>
        <v>98.59</v>
      </c>
      <c r="G14" s="72">
        <f>IF(D14=D13,"",_xlfn.IFNA(VLOOKUP(D14,'인원 입력 기능 (사과탐)'!$K$177:$N$225,4,FALSE),0))</f>
        <v>182</v>
      </c>
      <c r="H14" s="73">
        <f t="shared" si="4"/>
        <v>2.3397225757517321E-3</v>
      </c>
      <c r="I14" s="77">
        <f>SUM($G$7:G14)</f>
        <v>1188</v>
      </c>
      <c r="J14" s="75">
        <f t="shared" si="5"/>
        <v>1.5272474835126693E-2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입력기능'!C128</f>
        <v>33</v>
      </c>
    </row>
    <row r="15" spans="1:17" ht="25" customHeight="1" x14ac:dyDescent="0.45">
      <c r="A15" s="4"/>
      <c r="B15" s="19"/>
      <c r="C15" s="69">
        <v>42</v>
      </c>
      <c r="D15" s="70">
        <f t="shared" si="2"/>
        <v>69</v>
      </c>
      <c r="E15" s="70">
        <f t="shared" si="0"/>
        <v>1</v>
      </c>
      <c r="F15" s="71">
        <f t="shared" si="3"/>
        <v>97.91</v>
      </c>
      <c r="G15" s="72">
        <f>IF(D15=D14,"",_xlfn.IFNA(VLOOKUP(D15,'인원 입력 기능 (사과탐)'!$K$177:$N$225,4,FALSE),0))</f>
        <v>880</v>
      </c>
      <c r="H15" s="73">
        <f t="shared" si="4"/>
        <v>1.1312944322316068E-2</v>
      </c>
      <c r="I15" s="77">
        <f>SUM($G$7:G15)</f>
        <v>2068</v>
      </c>
      <c r="J15" s="75">
        <f t="shared" si="5"/>
        <v>2.6585419157442759E-2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68</v>
      </c>
      <c r="E16" s="70">
        <f t="shared" si="0"/>
        <v>1</v>
      </c>
      <c r="F16" s="71">
        <f t="shared" si="3"/>
        <v>96.99</v>
      </c>
      <c r="G16" s="72">
        <f>IF(D16=D15,"",_xlfn.IFNA(VLOOKUP(D16,'인원 입력 기능 (사과탐)'!$K$177:$N$225,4,FALSE),0))</f>
        <v>540</v>
      </c>
      <c r="H16" s="73">
        <f t="shared" si="4"/>
        <v>6.9420340159666782E-3</v>
      </c>
      <c r="I16" s="77">
        <f>SUM($G$7:G16)</f>
        <v>2608</v>
      </c>
      <c r="J16" s="75">
        <f t="shared" si="5"/>
        <v>3.3527453173409438E-2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67</v>
      </c>
      <c r="E17" s="70">
        <f t="shared" si="0"/>
        <v>1</v>
      </c>
      <c r="F17" s="71">
        <f t="shared" si="3"/>
        <v>96.19</v>
      </c>
      <c r="G17" s="72">
        <f>IF(D17=D16,"",_xlfn.IFNA(VLOOKUP(D17,'인원 입력 기능 (사과탐)'!$K$177:$N$225,4,FALSE),0))</f>
        <v>705</v>
      </c>
      <c r="H17" s="73">
        <f t="shared" si="4"/>
        <v>9.063211076400941E-3</v>
      </c>
      <c r="I17" s="77">
        <f>SUM($G$7:G17)</f>
        <v>3313</v>
      </c>
      <c r="J17" s="75">
        <f t="shared" si="5"/>
        <v>4.2590664249810381E-2</v>
      </c>
      <c r="K17" s="28"/>
      <c r="L17" s="5" t="str">
        <f t="shared" si="1"/>
        <v/>
      </c>
      <c r="N17" s="1"/>
      <c r="P17" s="1">
        <f>Q7*H3*H4*J3*IFERROR(IF(J57=1, 1, 0), 0)</f>
        <v>1201783013.5679998</v>
      </c>
    </row>
    <row r="18" spans="1:16" ht="25" customHeight="1" x14ac:dyDescent="0.45">
      <c r="A18" s="4"/>
      <c r="B18" s="19"/>
      <c r="C18" s="76">
        <v>39</v>
      </c>
      <c r="D18" s="70">
        <f t="shared" si="2"/>
        <v>66</v>
      </c>
      <c r="E18" s="70">
        <f t="shared" si="0"/>
        <v>2</v>
      </c>
      <c r="F18" s="71">
        <f t="shared" si="3"/>
        <v>94.62</v>
      </c>
      <c r="G18" s="72">
        <f>IF(D18=D17,"",_xlfn.IFNA(VLOOKUP(D18,'인원 입력 기능 (사과탐)'!$K$177:$N$225,4,FALSE),0))</f>
        <v>1739</v>
      </c>
      <c r="H18" s="73">
        <f t="shared" si="4"/>
        <v>2.2355920655122322E-2</v>
      </c>
      <c r="I18" s="77">
        <f>SUM($G$7:G18)</f>
        <v>5052</v>
      </c>
      <c r="J18" s="75">
        <f t="shared" si="5"/>
        <v>6.49465849049327E-2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65</v>
      </c>
      <c r="E19" s="70">
        <f t="shared" si="0"/>
        <v>2</v>
      </c>
      <c r="F19" s="71">
        <f t="shared" si="3"/>
        <v>93.02</v>
      </c>
      <c r="G19" s="72">
        <f>IF(D19=D18,"",_xlfn.IFNA(VLOOKUP(D19,'인원 입력 기능 (사과탐)'!$K$177:$N$225,4,FALSE),0))</f>
        <v>749</v>
      </c>
      <c r="H19" s="73">
        <f t="shared" si="4"/>
        <v>9.628858292516744E-3</v>
      </c>
      <c r="I19" s="77">
        <f>SUM($G$7:G19)</f>
        <v>5801</v>
      </c>
      <c r="J19" s="75">
        <f t="shared" si="5"/>
        <v>7.4575443197449451E-2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64</v>
      </c>
      <c r="E20" s="70">
        <f t="shared" si="0"/>
        <v>2</v>
      </c>
      <c r="F20" s="71">
        <f t="shared" si="3"/>
        <v>91.3</v>
      </c>
      <c r="G20" s="72">
        <f>IF(D20=D19,"",_xlfn.IFNA(VLOOKUP(D20,'인원 입력 기능 (사과탐)'!$K$177:$N$225,4,FALSE),0))</f>
        <v>1939</v>
      </c>
      <c r="H20" s="73">
        <f t="shared" si="4"/>
        <v>2.4927044364739609E-2</v>
      </c>
      <c r="I20" s="77">
        <f>SUM($G$7:G20)</f>
        <v>7740</v>
      </c>
      <c r="J20" s="75">
        <f t="shared" si="5"/>
        <v>9.950248756218906E-2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62</v>
      </c>
      <c r="E21" s="79">
        <f t="shared" si="0"/>
        <v>2</v>
      </c>
      <c r="F21" s="71">
        <f t="shared" si="3"/>
        <v>88.64</v>
      </c>
      <c r="G21" s="72">
        <f>IF(D21=D20,"",_xlfn.IFNA(VLOOKUP(D21,'인원 입력 기능 (사과탐)'!$K$177:$N$225,4,FALSE),0))</f>
        <v>2200</v>
      </c>
      <c r="H21" s="73">
        <f t="shared" si="4"/>
        <v>2.828236080579017E-2</v>
      </c>
      <c r="I21" s="77">
        <f>SUM($G$7:G21)</f>
        <v>9940</v>
      </c>
      <c r="J21" s="75">
        <f t="shared" si="5"/>
        <v>0.12778484836797924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61</v>
      </c>
      <c r="E22" s="79">
        <f t="shared" si="0"/>
        <v>3</v>
      </c>
      <c r="F22" s="71">
        <f t="shared" si="3"/>
        <v>86.34</v>
      </c>
      <c r="G22" s="72">
        <f>IF(D22=D21,"",_xlfn.IFNA(VLOOKUP(D22,'인원 입력 기능 (사과탐)'!$K$177:$N$225,4,FALSE),0))</f>
        <v>1377</v>
      </c>
      <c r="H22" s="73">
        <f t="shared" si="4"/>
        <v>1.7702186740715029E-2</v>
      </c>
      <c r="I22" s="77">
        <f>SUM($G$7:G22)</f>
        <v>11317</v>
      </c>
      <c r="J22" s="75">
        <f t="shared" si="5"/>
        <v>0.14548703510869426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60</v>
      </c>
      <c r="E23" s="79">
        <f t="shared" si="0"/>
        <v>3</v>
      </c>
      <c r="F23" s="71">
        <f t="shared" si="3"/>
        <v>83.27</v>
      </c>
      <c r="G23" s="72">
        <f>IF(D23=D22,"",_xlfn.IFNA(VLOOKUP(D23,'인원 입력 기능 (사과탐)'!$K$177:$N$225,4,FALSE),0))</f>
        <v>3395</v>
      </c>
      <c r="H23" s="73">
        <f t="shared" si="4"/>
        <v>4.3644824970753469E-2</v>
      </c>
      <c r="I23" s="77">
        <f>SUM($G$7:G23)</f>
        <v>14712</v>
      </c>
      <c r="J23" s="75">
        <f t="shared" si="5"/>
        <v>0.18913186007944771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79.760000000000005</v>
      </c>
      <c r="G24" s="72">
        <f>IF(D24=D23,"",_xlfn.IFNA(VLOOKUP(D24,'인원 입력 기능 (사과탐)'!$K$177:$N$225,4,FALSE),0))</f>
        <v>2069</v>
      </c>
      <c r="H24" s="73">
        <f t="shared" si="4"/>
        <v>2.6598274775990846E-2</v>
      </c>
      <c r="I24" s="77">
        <f>SUM($G$7:G24)</f>
        <v>16781</v>
      </c>
      <c r="J24" s="75">
        <f t="shared" si="5"/>
        <v>0.21573013485543857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58</v>
      </c>
      <c r="E25" s="79">
        <f t="shared" si="0"/>
        <v>3</v>
      </c>
      <c r="F25" s="71">
        <f t="shared" si="3"/>
        <v>76.7</v>
      </c>
      <c r="G25" s="72">
        <f>IF(D25=D24,"",_xlfn.IFNA(VLOOKUP(D25,'인원 입력 기능 (사과탐)'!$K$177:$N$225,4,FALSE),0))</f>
        <v>2690</v>
      </c>
      <c r="H25" s="73">
        <f t="shared" si="4"/>
        <v>3.4581613894352527E-2</v>
      </c>
      <c r="I25" s="77">
        <f>SUM($G$7:G25)</f>
        <v>19471</v>
      </c>
      <c r="J25" s="75">
        <f t="shared" si="5"/>
        <v>0.25031174874979112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57</v>
      </c>
      <c r="E26" s="79">
        <f t="shared" si="0"/>
        <v>4</v>
      </c>
      <c r="F26" s="71">
        <f t="shared" si="3"/>
        <v>72.959999999999994</v>
      </c>
      <c r="G26" s="72">
        <f>IF(D26=D25,"",_xlfn.IFNA(VLOOKUP(D26,'인원 입력 기능 (사과탐)'!$K$177:$N$225,4,FALSE),0))</f>
        <v>3126</v>
      </c>
      <c r="H26" s="73">
        <f t="shared" si="4"/>
        <v>4.0186663581318213E-2</v>
      </c>
      <c r="I26" s="77">
        <f>SUM($G$7:G26)</f>
        <v>22597</v>
      </c>
      <c r="J26" s="75">
        <f t="shared" si="5"/>
        <v>0.29049841233110929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56</v>
      </c>
      <c r="E27" s="79">
        <f t="shared" si="0"/>
        <v>4</v>
      </c>
      <c r="F27" s="71">
        <f t="shared" si="3"/>
        <v>69.489999999999995</v>
      </c>
      <c r="G27" s="72">
        <f>IF(D27=D26,"",_xlfn.IFNA(VLOOKUP(D27,'인원 입력 기능 (사과탐)'!$K$177:$N$225,4,FALSE),0))</f>
        <v>2265</v>
      </c>
      <c r="H27" s="73">
        <f t="shared" si="4"/>
        <v>2.9117976011415789E-2</v>
      </c>
      <c r="I27" s="77">
        <f>SUM($G$7:G27)</f>
        <v>24862</v>
      </c>
      <c r="J27" s="75">
        <f t="shared" si="5"/>
        <v>0.31961638834252509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55</v>
      </c>
      <c r="E28" s="79">
        <f t="shared" si="0"/>
        <v>4</v>
      </c>
      <c r="F28" s="71">
        <f t="shared" si="3"/>
        <v>65.989999999999995</v>
      </c>
      <c r="G28" s="72">
        <f>IF(D28=D27,"",_xlfn.IFNA(VLOOKUP(D28,'인원 입력 기능 (사과탐)'!$K$177:$N$225,4,FALSE),0))</f>
        <v>3189</v>
      </c>
      <c r="H28" s="73">
        <f t="shared" si="4"/>
        <v>4.0996567549847658E-2</v>
      </c>
      <c r="I28" s="77">
        <f>SUM($G$7:G28)</f>
        <v>28051</v>
      </c>
      <c r="J28" s="75">
        <f t="shared" si="5"/>
        <v>0.36061295589237274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54</v>
      </c>
      <c r="E29" s="79">
        <f t="shared" si="0"/>
        <v>4</v>
      </c>
      <c r="F29" s="71">
        <f t="shared" si="3"/>
        <v>62.38</v>
      </c>
      <c r="G29" s="72">
        <f>IF(D29=D28,"",_xlfn.IFNA(VLOOKUP(D29,'인원 입력 기능 (사과탐)'!$K$177:$N$225,4,FALSE),0))</f>
        <v>2431</v>
      </c>
      <c r="H29" s="73">
        <f t="shared" si="4"/>
        <v>3.1252008690398139E-2</v>
      </c>
      <c r="I29" s="77">
        <f>SUM($G$7:G29)</f>
        <v>30482</v>
      </c>
      <c r="J29" s="75">
        <f t="shared" si="5"/>
        <v>0.39186496458277092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53</v>
      </c>
      <c r="E30" s="79">
        <f t="shared" si="0"/>
        <v>4</v>
      </c>
      <c r="F30" s="71">
        <f t="shared" si="3"/>
        <v>59</v>
      </c>
      <c r="G30" s="72">
        <f>IF(D30=D29,"",_xlfn.IFNA(VLOOKUP(D30,'인원 입력 기능 (사과탐)'!$K$177:$N$225,4,FALSE),0))</f>
        <v>2829</v>
      </c>
      <c r="H30" s="73">
        <f t="shared" si="4"/>
        <v>3.6368544872536539E-2</v>
      </c>
      <c r="I30" s="77">
        <f>SUM($G$7:G30)</f>
        <v>33311</v>
      </c>
      <c r="J30" s="75">
        <f t="shared" si="5"/>
        <v>0.42823350945530742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52</v>
      </c>
      <c r="E31" s="79">
        <f t="shared" si="0"/>
        <v>5</v>
      </c>
      <c r="F31" s="71">
        <f t="shared" si="3"/>
        <v>55.53</v>
      </c>
      <c r="G31" s="72">
        <f>IF(D31=D30,"",_xlfn.IFNA(VLOOKUP(D31,'인원 입력 기능 (사과탐)'!$K$177:$N$225,4,FALSE),0))</f>
        <v>2565</v>
      </c>
      <c r="H31" s="73">
        <f t="shared" si="4"/>
        <v>3.2974661575841724E-2</v>
      </c>
      <c r="I31" s="77">
        <f>SUM($G$7:G31)</f>
        <v>35876</v>
      </c>
      <c r="J31" s="75">
        <f t="shared" si="5"/>
        <v>0.46120817103114914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51</v>
      </c>
      <c r="E32" s="79">
        <f t="shared" si="0"/>
        <v>5</v>
      </c>
      <c r="F32" s="71">
        <f t="shared" si="3"/>
        <v>52.32</v>
      </c>
      <c r="G32" s="72">
        <f>IF(D32=D31,"",_xlfn.IFNA(VLOOKUP(D32,'인원 입력 기능 (사과탐)'!$K$177:$N$225,4,FALSE),0))</f>
        <v>2433</v>
      </c>
      <c r="H32" s="73">
        <f t="shared" si="4"/>
        <v>3.1277719927494313E-2</v>
      </c>
      <c r="I32" s="77">
        <f>SUM($G$7:G32)</f>
        <v>38309</v>
      </c>
      <c r="J32" s="75">
        <f t="shared" si="5"/>
        <v>0.49248589095864348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50</v>
      </c>
      <c r="E33" s="79">
        <f t="shared" si="0"/>
        <v>5</v>
      </c>
      <c r="F33" s="71">
        <f t="shared" si="3"/>
        <v>49.04</v>
      </c>
      <c r="G33" s="72">
        <f>IF(D33=D32,"",_xlfn.IFNA(VLOOKUP(D33,'인원 입력 기능 (사과탐)'!$K$177:$N$225,4,FALSE),0))</f>
        <v>2662</v>
      </c>
      <c r="H33" s="73">
        <f t="shared" si="4"/>
        <v>3.4221656575006108E-2</v>
      </c>
      <c r="I33" s="77">
        <f>SUM($G$7:G33)</f>
        <v>40971</v>
      </c>
      <c r="J33" s="75">
        <f t="shared" si="5"/>
        <v>0.52670754753364957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49</v>
      </c>
      <c r="E34" s="79">
        <f t="shared" si="0"/>
        <v>5</v>
      </c>
      <c r="F34" s="71">
        <f t="shared" si="3"/>
        <v>45.82</v>
      </c>
      <c r="G34" s="72">
        <f>IF(D34=D33,"",_xlfn.IFNA(VLOOKUP(D34,'인원 입력 기능 (사과탐)'!$K$177:$N$225,4,FALSE),0))</f>
        <v>2341</v>
      </c>
      <c r="H34" s="73">
        <f t="shared" si="4"/>
        <v>3.0095003021070359E-2</v>
      </c>
      <c r="I34" s="77">
        <f>SUM($G$7:G34)</f>
        <v>43312</v>
      </c>
      <c r="J34" s="75">
        <f t="shared" si="5"/>
        <v>0.55680255055471994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48</v>
      </c>
      <c r="E35" s="79">
        <f t="shared" si="0"/>
        <v>5</v>
      </c>
      <c r="F35" s="71">
        <f t="shared" si="3"/>
        <v>42.55</v>
      </c>
      <c r="G35" s="72">
        <f>IF(D35=D34,"",_xlfn.IFNA(VLOOKUP(D35,'인원 입력 기능 (사과탐)'!$K$177:$N$225,4,FALSE),0))</f>
        <v>2746</v>
      </c>
      <c r="H35" s="73">
        <f t="shared" si="4"/>
        <v>3.530152853304537E-2</v>
      </c>
      <c r="I35" s="77">
        <f>SUM($G$7:G35)</f>
        <v>46058</v>
      </c>
      <c r="J35" s="75">
        <f t="shared" si="5"/>
        <v>0.5921040790877653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47</v>
      </c>
      <c r="E36" s="79">
        <f t="shared" si="0"/>
        <v>5</v>
      </c>
      <c r="F36" s="71">
        <f t="shared" si="3"/>
        <v>39.35</v>
      </c>
      <c r="G36" s="72">
        <f>IF(D36=D35,"",_xlfn.IFNA(VLOOKUP(D36,'인원 입력 기능 (사과탐)'!$K$177:$N$225,4,FALSE),0))</f>
        <v>2241</v>
      </c>
      <c r="H36" s="73">
        <f t="shared" si="4"/>
        <v>2.8809441166261714E-2</v>
      </c>
      <c r="I36" s="77">
        <f>SUM($G$7:G36)</f>
        <v>48299</v>
      </c>
      <c r="J36" s="75">
        <f t="shared" si="5"/>
        <v>0.62091352025402702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46</v>
      </c>
      <c r="E37" s="79">
        <f t="shared" si="0"/>
        <v>6</v>
      </c>
      <c r="F37" s="71">
        <f t="shared" si="3"/>
        <v>36.36</v>
      </c>
      <c r="G37" s="72">
        <f>IF(D37=D36,"",_xlfn.IFNA(VLOOKUP(D37,'인원 입력 기능 (사과탐)'!$K$177:$N$225,4,FALSE),0))</f>
        <v>2416</v>
      </c>
      <c r="H37" s="73">
        <f t="shared" si="4"/>
        <v>3.1059174412176843E-2</v>
      </c>
      <c r="I37" s="77">
        <f>SUM($G$7:G37)</f>
        <v>50715</v>
      </c>
      <c r="J37" s="75">
        <f t="shared" si="5"/>
        <v>0.65197269466620389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45</v>
      </c>
      <c r="E38" s="79">
        <f t="shared" si="0"/>
        <v>6</v>
      </c>
      <c r="F38" s="71">
        <f t="shared" si="3"/>
        <v>33.22</v>
      </c>
      <c r="G38" s="72">
        <f>IF(D38=D37,"",_xlfn.IFNA(VLOOKUP(D38,'인원 입력 기능 (사과탐)'!$K$177:$N$225,4,FALSE),0))</f>
        <v>2465</v>
      </c>
      <c r="H38" s="73">
        <f t="shared" si="4"/>
        <v>3.1689099721033079E-2</v>
      </c>
      <c r="I38" s="77">
        <f>SUM($G$7:G38)</f>
        <v>53180</v>
      </c>
      <c r="J38" s="75">
        <f t="shared" si="5"/>
        <v>0.68366179438723695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44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71">
        <f t="shared" si="3"/>
        <v>30.27</v>
      </c>
      <c r="G39" s="72">
        <f>IF(D39=D38,"",_xlfn.IFNA(VLOOKUP(D39,'인원 입력 기능 (사과탐)'!$K$177:$N$225,4,FALSE),0))</f>
        <v>2115</v>
      </c>
      <c r="H39" s="73">
        <f t="shared" si="4"/>
        <v>2.7189633229202825E-2</v>
      </c>
      <c r="I39" s="77">
        <f>SUM($G$7:G39)</f>
        <v>55295</v>
      </c>
      <c r="J39" s="75">
        <f t="shared" si="5"/>
        <v>0.71085142761643971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43</v>
      </c>
      <c r="E40" s="79">
        <f t="shared" si="6"/>
        <v>6</v>
      </c>
      <c r="F40" s="71">
        <f t="shared" si="3"/>
        <v>27.3</v>
      </c>
      <c r="G40" s="72">
        <f>IF(D40=D39,"",_xlfn.IFNA(VLOOKUP(D40,'인원 입력 기능 (사과탐)'!$K$177:$N$225,4,FALSE),0))</f>
        <v>2510</v>
      </c>
      <c r="H40" s="73">
        <f t="shared" si="4"/>
        <v>3.2267602555696967E-2</v>
      </c>
      <c r="I40" s="77">
        <f>SUM($G$7:G40)</f>
        <v>57805</v>
      </c>
      <c r="J40" s="75">
        <f t="shared" si="5"/>
        <v>0.74311903017213676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42</v>
      </c>
      <c r="E41" s="79">
        <f t="shared" si="6"/>
        <v>6</v>
      </c>
      <c r="F41" s="71">
        <f t="shared" si="3"/>
        <v>24.4</v>
      </c>
      <c r="G41" s="72">
        <f>IF(D41=D40,"",_xlfn.IFNA(VLOOKUP(D41,'인원 입력 기능 (사과탐)'!$K$177:$N$225,4,FALSE),0))</f>
        <v>2002</v>
      </c>
      <c r="H41" s="73">
        <f t="shared" si="4"/>
        <v>2.5736948333269054E-2</v>
      </c>
      <c r="I41" s="77">
        <f>SUM($G$7:G41)</f>
        <v>59807</v>
      </c>
      <c r="J41" s="75">
        <f t="shared" si="5"/>
        <v>0.76885597850540577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41</v>
      </c>
      <c r="E42" s="79">
        <f t="shared" si="6"/>
        <v>6</v>
      </c>
      <c r="F42" s="71">
        <f t="shared" si="3"/>
        <v>21.72</v>
      </c>
      <c r="G42" s="72">
        <f>IF(D42=D41,"",_xlfn.IFNA(VLOOKUP(D42,'인원 입력 기능 (사과탐)'!$K$177:$N$225,4,FALSE),0))</f>
        <v>2176</v>
      </c>
      <c r="H42" s="73">
        <f t="shared" si="4"/>
        <v>2.7973825960636096E-2</v>
      </c>
      <c r="I42" s="77">
        <f>SUM($G$7:G42)</f>
        <v>61983</v>
      </c>
      <c r="J42" s="75">
        <f t="shared" si="5"/>
        <v>0.7968298044660419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40</v>
      </c>
      <c r="E43" s="79">
        <f t="shared" si="6"/>
        <v>7</v>
      </c>
      <c r="F43" s="71">
        <f t="shared" si="3"/>
        <v>19.05</v>
      </c>
      <c r="G43" s="72">
        <f>IF(D43=D42,"",_xlfn.IFNA(VLOOKUP(D43,'인원 입력 기능 (사과탐)'!$K$177:$N$225,4,FALSE),0))</f>
        <v>1970</v>
      </c>
      <c r="H43" s="73">
        <f t="shared" si="4"/>
        <v>2.5325568539730288E-2</v>
      </c>
      <c r="I43" s="77">
        <f>SUM($G$7:G43)</f>
        <v>63953</v>
      </c>
      <c r="J43" s="75">
        <f t="shared" si="5"/>
        <v>0.82215537300577213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39</v>
      </c>
      <c r="E44" s="79">
        <f t="shared" si="6"/>
        <v>7</v>
      </c>
      <c r="F44" s="71">
        <f t="shared" si="3"/>
        <v>16.43</v>
      </c>
      <c r="G44" s="72">
        <f>IF(D44=D43,"",_xlfn.IFNA(VLOOKUP(D44,'인원 입력 기능 (사과탐)'!$K$177:$N$225,4,FALSE),0))</f>
        <v>2110</v>
      </c>
      <c r="H44" s="73">
        <f t="shared" si="4"/>
        <v>2.712535513646239E-2</v>
      </c>
      <c r="I44" s="77">
        <f>SUM($G$7:G44)</f>
        <v>66063</v>
      </c>
      <c r="J44" s="75">
        <f t="shared" si="5"/>
        <v>0.84928072814223454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37</v>
      </c>
      <c r="E45" s="79">
        <f t="shared" si="6"/>
        <v>7</v>
      </c>
      <c r="F45" s="71">
        <f t="shared" si="3"/>
        <v>12.72</v>
      </c>
      <c r="G45" s="72">
        <f>IF(D45=D44,"",_xlfn.IFNA(VLOOKUP(D45,'인원 입력 기능 (사과탐)'!$K$177:$N$225,4,FALSE),0))</f>
        <v>3653</v>
      </c>
      <c r="H45" s="73">
        <f t="shared" si="4"/>
        <v>4.696157455615977E-2</v>
      </c>
      <c r="I45" s="77">
        <f>SUM($G$7:G45)</f>
        <v>69716</v>
      </c>
      <c r="J45" s="75">
        <f t="shared" si="5"/>
        <v>0.89624230269839433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36</v>
      </c>
      <c r="E46" s="79">
        <f t="shared" si="6"/>
        <v>8</v>
      </c>
      <c r="F46" s="71">
        <f t="shared" si="3"/>
        <v>9.48</v>
      </c>
      <c r="G46" s="72">
        <f>IF(D46=D45,"",_xlfn.IFNA(VLOOKUP(D46,'인원 입력 기능 (사과탐)'!$K$177:$N$225,4,FALSE),0))</f>
        <v>1396</v>
      </c>
      <c r="H46" s="73">
        <f t="shared" si="4"/>
        <v>1.7946443493128673E-2</v>
      </c>
      <c r="I46" s="77">
        <f>SUM($G$7:G46)</f>
        <v>71112</v>
      </c>
      <c r="J46" s="75">
        <f t="shared" si="5"/>
        <v>0.91418874619152302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35</v>
      </c>
      <c r="E47" s="79">
        <f t="shared" si="6"/>
        <v>8</v>
      </c>
      <c r="F47" s="71">
        <f t="shared" si="3"/>
        <v>7.08</v>
      </c>
      <c r="G47" s="72">
        <f>IF(D47=D46,"",_xlfn.IFNA(VLOOKUP(D47,'인원 입력 기능 (사과탐)'!$K$177:$N$225,4,FALSE),0))</f>
        <v>2334</v>
      </c>
      <c r="H47" s="73">
        <f t="shared" si="4"/>
        <v>3.0005013691233755E-2</v>
      </c>
      <c r="I47" s="77">
        <f>SUM($G$7:G47)</f>
        <v>73446</v>
      </c>
      <c r="J47" s="75">
        <f t="shared" si="5"/>
        <v>0.94419375988275678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34</v>
      </c>
      <c r="E48" s="79">
        <f t="shared" si="6"/>
        <v>8</v>
      </c>
      <c r="F48" s="71">
        <f t="shared" si="3"/>
        <v>4.87</v>
      </c>
      <c r="G48" s="72">
        <f>IF(D48=D47,"",_xlfn.IFNA(VLOOKUP(D48,'인원 입력 기능 (사과탐)'!$K$177:$N$225,4,FALSE),0))</f>
        <v>1103</v>
      </c>
      <c r="H48" s="73">
        <f t="shared" si="4"/>
        <v>1.4179747258539344E-2</v>
      </c>
      <c r="I48" s="77">
        <f>SUM($G$7:G48)</f>
        <v>74549</v>
      </c>
      <c r="J48" s="75">
        <f t="shared" si="5"/>
        <v>0.9583735071412961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33</v>
      </c>
      <c r="E49" s="79">
        <f t="shared" si="6"/>
        <v>8</v>
      </c>
      <c r="F49" s="71">
        <f t="shared" si="3"/>
        <v>3.59</v>
      </c>
      <c r="G49" s="72">
        <f>IF(D49=D48,"",_xlfn.IFNA(VLOOKUP(D49,'인원 입력 기능 (사과탐)'!$K$177:$N$225,4,FALSE),0))</f>
        <v>889</v>
      </c>
      <c r="H49" s="73">
        <f t="shared" si="4"/>
        <v>1.1428644889248846E-2</v>
      </c>
      <c r="I49" s="77">
        <f>SUM($G$7:G49)</f>
        <v>75438</v>
      </c>
      <c r="J49" s="75">
        <f t="shared" si="5"/>
        <v>0.96980215203054498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32</v>
      </c>
      <c r="E50" s="79">
        <f t="shared" si="6"/>
        <v>9</v>
      </c>
      <c r="F50" s="71">
        <f t="shared" si="3"/>
        <v>2.38</v>
      </c>
      <c r="G50" s="72">
        <f>IF(D50=D49,"",_xlfn.IFNA(VLOOKUP(D50,'인원 입력 기능 (사과탐)'!$K$177:$N$225,4,FALSE),0))</f>
        <v>1001</v>
      </c>
      <c r="H50" s="73">
        <f t="shared" si="4"/>
        <v>1.2868474166634527E-2</v>
      </c>
      <c r="I50" s="77">
        <f>SUM($G$7:G50)</f>
        <v>76439</v>
      </c>
      <c r="J50" s="75">
        <f t="shared" si="5"/>
        <v>0.98267062619717949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31</v>
      </c>
      <c r="E51" s="79">
        <f t="shared" si="6"/>
        <v>9</v>
      </c>
      <c r="F51" s="71">
        <f t="shared" si="3"/>
        <v>1.48</v>
      </c>
      <c r="G51" s="72">
        <f>IF(D51=D50,"",_xlfn.IFNA(VLOOKUP(D51,'인원 입력 기능 (사과탐)'!$K$177:$N$225,4,FALSE),0))</f>
        <v>389</v>
      </c>
      <c r="H51" s="73">
        <f t="shared" si="4"/>
        <v>5.0008356152056255E-3</v>
      </c>
      <c r="I51" s="77">
        <f>SUM($G$7:G51)</f>
        <v>76828</v>
      </c>
      <c r="J51" s="75">
        <f t="shared" si="5"/>
        <v>0.98767146181238508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30</v>
      </c>
      <c r="E52" s="79">
        <f t="shared" si="6"/>
        <v>9</v>
      </c>
      <c r="F52" s="71">
        <f t="shared" si="3"/>
        <v>0.96</v>
      </c>
      <c r="G52" s="72">
        <f>IF(D52=D51,"",_xlfn.IFNA(VLOOKUP(D52,'인원 입력 기능 (사과탐)'!$K$177:$N$225,4,FALSE),0))</f>
        <v>427</v>
      </c>
      <c r="H52" s="73">
        <f t="shared" si="4"/>
        <v>5.48934912003291E-3</v>
      </c>
      <c r="I52" s="77">
        <f>SUM($G$7:G52)</f>
        <v>77255</v>
      </c>
      <c r="J52" s="75">
        <f t="shared" si="5"/>
        <v>0.99316081093241804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29</v>
      </c>
      <c r="E53" s="70">
        <f t="shared" si="6"/>
        <v>9</v>
      </c>
      <c r="F53" s="71">
        <f t="shared" si="3"/>
        <v>0.54</v>
      </c>
      <c r="G53" s="72">
        <f>IF(D53=D52,"",_xlfn.IFNA(VLOOKUP(D53,'인원 입력 기능 (사과탐)'!$K$177:$N$225,4,FALSE),0))</f>
        <v>219</v>
      </c>
      <c r="H53" s="73">
        <f t="shared" si="4"/>
        <v>2.8153804620309306E-3</v>
      </c>
      <c r="I53" s="77">
        <f>SUM($G$7:G53)</f>
        <v>77474</v>
      </c>
      <c r="J53" s="75">
        <f t="shared" si="5"/>
        <v>0.99597619139444893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28</v>
      </c>
      <c r="E54" s="70">
        <f t="shared" si="6"/>
        <v>9</v>
      </c>
      <c r="F54" s="71">
        <f t="shared" si="3"/>
        <v>0.33</v>
      </c>
      <c r="G54" s="72">
        <f>IF(D54=D53,"",_xlfn.IFNA(VLOOKUP(D54,'인원 입력 기능 (사과탐)'!$K$177:$N$225,4,FALSE),0))</f>
        <v>116</v>
      </c>
      <c r="H54" s="73">
        <f t="shared" si="4"/>
        <v>1.4912517515780271E-3</v>
      </c>
      <c r="I54" s="77">
        <f>SUM($G$7:G54)</f>
        <v>77590</v>
      </c>
      <c r="J54" s="75">
        <f t="shared" si="5"/>
        <v>0.99746744314602698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27</v>
      </c>
      <c r="E55" s="70">
        <f t="shared" si="6"/>
        <v>9</v>
      </c>
      <c r="F55" s="71">
        <f t="shared" si="3"/>
        <v>0.16</v>
      </c>
      <c r="G55" s="72">
        <f>IF(D55=D54,"",_xlfn.IFNA(VLOOKUP(D55,'인원 입력 기능 (사과탐)'!$K$177:$N$225,4,FALSE),0))</f>
        <v>141</v>
      </c>
      <c r="H55" s="73">
        <f t="shared" si="4"/>
        <v>1.8126422152801881E-3</v>
      </c>
      <c r="I55" s="77">
        <f>SUM($G$7:G55)</f>
        <v>77731</v>
      </c>
      <c r="J55" s="75">
        <f t="shared" si="5"/>
        <v>0.99928008536130719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25</v>
      </c>
      <c r="E57" s="83">
        <f t="shared" si="6"/>
        <v>9</v>
      </c>
      <c r="F57" s="84">
        <f>IF(I55=0,ROUND(100*(1-(I54+I57)/2/$J$3),2),ROUND(100*(1-(I55+I57)/2/$J$3),2))</f>
        <v>0.04</v>
      </c>
      <c r="G57" s="85">
        <f>_xlfn.IFNA(VLOOKUP(D57,'인원 입력 기능 (사과탐)'!$K$177:$N$225,4,FALSE),0)</f>
        <v>56</v>
      </c>
      <c r="H57" s="86">
        <f>G57/$J$3</f>
        <v>7.1991463869284069E-4</v>
      </c>
      <c r="I57" s="87">
        <f>SUM($G$7:G57)</f>
        <v>77787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D57">
    <cfRule type="expression" dxfId="19" priority="1">
      <formula>$D7=$D8</formula>
    </cfRule>
  </conditionalFormatting>
  <conditionalFormatting sqref="C7:C57">
    <cfRule type="expression" dxfId="18" priority="2">
      <formula>OR(AND($D7=0,OR($D6=$Q$7:$Q$14)),AND($D8&gt;0,OR($D7=$Q$7:$Q$14)))</formula>
    </cfRule>
  </conditionalFormatting>
  <conditionalFormatting sqref="D7:J7 D8 D57:J57 D56 D9:J55">
    <cfRule type="expression" dxfId="17" priority="3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19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기능'!D18</f>
        <v>22.19</v>
      </c>
      <c r="I3" s="15" t="s">
        <v>84</v>
      </c>
      <c r="J3" s="35">
        <f>'통계 및 응시자 수 입력 기능'!C18</f>
        <v>77649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92</v>
      </c>
      <c r="E4" s="108"/>
      <c r="F4" s="109"/>
      <c r="G4" s="37" t="s">
        <v>87</v>
      </c>
      <c r="H4" s="38" t="str">
        <f>'통계 및 응시자 수 입력 기능'!E18</f>
        <v>11.78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74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99.35</v>
      </c>
      <c r="G7" s="72">
        <f>_xlfn.IFNA(VLOOKUP(D7,'인원 입력 기능 (사과탐)'!$P$177:$S$225,4,FALSE),0)</f>
        <v>1012</v>
      </c>
      <c r="H7" s="73">
        <f>G7/$J$3</f>
        <v>1.3033007508145629E-2</v>
      </c>
      <c r="I7" s="74">
        <f>G7</f>
        <v>1012</v>
      </c>
      <c r="J7" s="75">
        <f>I7/$J$3</f>
        <v>1.3033007508145629E-2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입력기능'!C130</f>
        <v>69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입력기능'!C131</f>
        <v>65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72</v>
      </c>
      <c r="E9" s="70">
        <f t="shared" si="0"/>
        <v>1</v>
      </c>
      <c r="F9" s="71">
        <f>IF(I8=0,ROUND(100*(1-(I7+I9)/2/$J$3),2),ROUND(100*(1-(I8+I9)/2/$J$3),2))</f>
        <v>98.25</v>
      </c>
      <c r="G9" s="72">
        <f>_xlfn.IFNA(VLOOKUP(D9,'인원 입력 기능 (사과탐)'!$P$177:$S$225,4,FALSE),0)</f>
        <v>699</v>
      </c>
      <c r="H9" s="73">
        <f>G9/$J$3</f>
        <v>9.0020476760808259E-3</v>
      </c>
      <c r="I9" s="77">
        <f>SUM($G$7:G9)</f>
        <v>1711</v>
      </c>
      <c r="J9" s="75">
        <f>I9/$J$3</f>
        <v>2.2035055184226455E-2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입력기능'!C132</f>
        <v>58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71</v>
      </c>
      <c r="E10" s="70">
        <f t="shared" si="0"/>
        <v>1</v>
      </c>
      <c r="F10" s="71">
        <f t="shared" ref="F10:F55" si="3">IF(I9=0,ROUND(100*(1-(I8+I10)/2/$J$3),2),ROUND(100*(1-(I9+I10)/2/$J$3),2))</f>
        <v>97.13</v>
      </c>
      <c r="G10" s="72">
        <f>IF(D10=D9,"",_xlfn.IFNA(VLOOKUP(D10,'인원 입력 기능 (사과탐)'!$P$177:$S$225,4,FALSE),0))</f>
        <v>1038</v>
      </c>
      <c r="H10" s="73">
        <f t="shared" ref="H10:H55" si="4">G10/$J$3</f>
        <v>1.3367847621991268E-2</v>
      </c>
      <c r="I10" s="77">
        <f>SUM($G$7:G10)</f>
        <v>2749</v>
      </c>
      <c r="J10" s="75">
        <f t="shared" ref="J10:J55" si="5">I10/$J$3</f>
        <v>3.5402902806217725E-2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입력기능'!C133</f>
        <v>51</v>
      </c>
    </row>
    <row r="11" spans="1:17" ht="25" customHeight="1" x14ac:dyDescent="0.45">
      <c r="A11" s="4"/>
      <c r="B11" s="19"/>
      <c r="C11" s="69">
        <v>46</v>
      </c>
      <c r="D11" s="70">
        <f t="shared" si="2"/>
        <v>70</v>
      </c>
      <c r="E11" s="70">
        <f t="shared" si="0"/>
        <v>1</v>
      </c>
      <c r="F11" s="71">
        <f t="shared" si="3"/>
        <v>96.28</v>
      </c>
      <c r="G11" s="72">
        <f>IF(D11=D10,"",_xlfn.IFNA(VLOOKUP(D11,'인원 입력 기능 (사과탐)'!$P$177:$S$225,4,FALSE),0))</f>
        <v>279</v>
      </c>
      <c r="H11" s="73">
        <f t="shared" si="4"/>
        <v>3.5930919908820462E-3</v>
      </c>
      <c r="I11" s="77">
        <f>SUM($G$7:G11)</f>
        <v>3028</v>
      </c>
      <c r="J11" s="75">
        <f t="shared" si="5"/>
        <v>3.8995994797099767E-2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입력기능'!C134</f>
        <v>46</v>
      </c>
    </row>
    <row r="12" spans="1:17" ht="25" customHeight="1" x14ac:dyDescent="0.45">
      <c r="A12" s="4"/>
      <c r="B12" s="19"/>
      <c r="C12" s="76">
        <v>45</v>
      </c>
      <c r="D12" s="121">
        <f t="shared" si="2"/>
        <v>69</v>
      </c>
      <c r="E12" s="121">
        <f t="shared" si="0"/>
        <v>1</v>
      </c>
      <c r="F12" s="155">
        <f t="shared" si="3"/>
        <v>94.82</v>
      </c>
      <c r="G12" s="157">
        <f>IF(D12=D11,"",_xlfn.IFNA(VLOOKUP(D12,'인원 입력 기능 (사과탐)'!$P$177:$S$225,4,FALSE),0))</f>
        <v>1992</v>
      </c>
      <c r="H12" s="158">
        <f t="shared" si="4"/>
        <v>2.5653904106942783E-2</v>
      </c>
      <c r="I12" s="160">
        <f>SUM($G$7:G12)</f>
        <v>5020</v>
      </c>
      <c r="J12" s="162">
        <f t="shared" si="5"/>
        <v>6.4649898904042546E-2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입력기능'!C135</f>
        <v>41</v>
      </c>
    </row>
    <row r="13" spans="1:17" ht="25" customHeight="1" x14ac:dyDescent="0.45">
      <c r="A13" s="4"/>
      <c r="B13" s="19"/>
      <c r="C13" s="69">
        <v>44</v>
      </c>
      <c r="D13" s="122"/>
      <c r="E13" s="122"/>
      <c r="F13" s="125"/>
      <c r="G13" s="156"/>
      <c r="H13" s="159"/>
      <c r="I13" s="161"/>
      <c r="J13" s="163"/>
      <c r="K13" s="28"/>
      <c r="L13" s="5" t="str">
        <f t="shared" si="1"/>
        <v>경고</v>
      </c>
      <c r="N13" s="1"/>
      <c r="P13" s="1">
        <v>7</v>
      </c>
      <c r="Q13" s="1">
        <f>'표준점수 등급컷 입력기능'!C136</f>
        <v>39</v>
      </c>
    </row>
    <row r="14" spans="1:17" ht="25" customHeight="1" x14ac:dyDescent="0.45">
      <c r="A14" s="4"/>
      <c r="B14" s="19"/>
      <c r="C14" s="76">
        <v>43</v>
      </c>
      <c r="D14" s="70">
        <f t="shared" si="2"/>
        <v>68</v>
      </c>
      <c r="E14" s="70">
        <f t="shared" si="0"/>
        <v>2</v>
      </c>
      <c r="F14" s="71">
        <f t="shared" si="3"/>
        <v>93.09</v>
      </c>
      <c r="G14" s="72">
        <f>IF(D14=D13,"",_xlfn.IFNA(VLOOKUP(D14,'인원 입력 기능 (사과탐)'!$P$177:$S$225,4,FALSE),0))</f>
        <v>688</v>
      </c>
      <c r="H14" s="73">
        <f t="shared" si="4"/>
        <v>8.8603845509922854E-3</v>
      </c>
      <c r="I14" s="77">
        <f>SUM($G$7:G14)</f>
        <v>5708</v>
      </c>
      <c r="J14" s="75">
        <f t="shared" si="5"/>
        <v>7.3510283455034839E-2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입력기능'!C137</f>
        <v>37</v>
      </c>
    </row>
    <row r="15" spans="1:17" ht="25" customHeight="1" x14ac:dyDescent="0.45">
      <c r="A15" s="4"/>
      <c r="B15" s="19"/>
      <c r="C15" s="69">
        <v>42</v>
      </c>
      <c r="D15" s="70">
        <f t="shared" si="2"/>
        <v>67</v>
      </c>
      <c r="E15" s="70">
        <f t="shared" si="0"/>
        <v>2</v>
      </c>
      <c r="F15" s="71">
        <f t="shared" si="3"/>
        <v>91.83</v>
      </c>
      <c r="G15" s="72">
        <f>IF(D15=D14,"",_xlfn.IFNA(VLOOKUP(D15,'인원 입력 기능 (사과탐)'!$P$177:$S$225,4,FALSE),0))</f>
        <v>1275</v>
      </c>
      <c r="H15" s="73">
        <f t="shared" si="4"/>
        <v>1.6420044044353436E-2</v>
      </c>
      <c r="I15" s="77">
        <f>SUM($G$7:G15)</f>
        <v>6983</v>
      </c>
      <c r="J15" s="75">
        <f t="shared" si="5"/>
        <v>8.9930327499388271E-2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66</v>
      </c>
      <c r="E16" s="70">
        <f t="shared" si="0"/>
        <v>2</v>
      </c>
      <c r="F16" s="71">
        <f t="shared" si="3"/>
        <v>90.52</v>
      </c>
      <c r="G16" s="72">
        <f>IF(D16=D15,"",_xlfn.IFNA(VLOOKUP(D16,'인원 입력 기능 (사과탐)'!$P$177:$S$225,4,FALSE),0))</f>
        <v>761</v>
      </c>
      <c r="H16" s="73">
        <f t="shared" si="4"/>
        <v>9.8005125629435016E-3</v>
      </c>
      <c r="I16" s="77">
        <f>SUM($G$7:G16)</f>
        <v>7744</v>
      </c>
      <c r="J16" s="75">
        <f t="shared" si="5"/>
        <v>9.973084006233178E-2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65</v>
      </c>
      <c r="E17" s="70">
        <f t="shared" si="0"/>
        <v>2</v>
      </c>
      <c r="F17" s="71">
        <f t="shared" si="3"/>
        <v>89.4</v>
      </c>
      <c r="G17" s="72">
        <f>IF(D17=D16,"",_xlfn.IFNA(VLOOKUP(D17,'인원 입력 기능 (사과탐)'!$P$177:$S$225,4,FALSE),0))</f>
        <v>972</v>
      </c>
      <c r="H17" s="73">
        <f t="shared" si="4"/>
        <v>1.2517868871460032E-2</v>
      </c>
      <c r="I17" s="77">
        <f>SUM($G$7:G17)</f>
        <v>8716</v>
      </c>
      <c r="J17" s="75">
        <f t="shared" si="5"/>
        <v>0.11224870893379181</v>
      </c>
      <c r="K17" s="28"/>
      <c r="L17" s="5" t="str">
        <f t="shared" si="1"/>
        <v/>
      </c>
      <c r="N17" s="1"/>
      <c r="P17" s="1">
        <f>Q7*H3*H4*J3*IFERROR(IF(J57=1, 1, 0), 0)</f>
        <v>1400514309.3942001</v>
      </c>
    </row>
    <row r="18" spans="1:16" ht="25" customHeight="1" x14ac:dyDescent="0.45">
      <c r="A18" s="4"/>
      <c r="B18" s="19"/>
      <c r="C18" s="76">
        <v>39</v>
      </c>
      <c r="D18" s="70">
        <f t="shared" si="2"/>
        <v>64</v>
      </c>
      <c r="E18" s="70">
        <f t="shared" si="0"/>
        <v>3</v>
      </c>
      <c r="F18" s="71">
        <f t="shared" si="3"/>
        <v>87.96</v>
      </c>
      <c r="G18" s="72">
        <f>IF(D18=D17,"",_xlfn.IFNA(VLOOKUP(D18,'인원 입력 기능 (사과탐)'!$P$177:$S$225,4,FALSE),0))</f>
        <v>1268</v>
      </c>
      <c r="H18" s="73">
        <f t="shared" si="4"/>
        <v>1.6329894782933459E-2</v>
      </c>
      <c r="I18" s="77">
        <f>SUM($G$7:G18)</f>
        <v>9984</v>
      </c>
      <c r="J18" s="75">
        <f t="shared" si="5"/>
        <v>0.12857860371672528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121">
        <f t="shared" si="2"/>
        <v>63</v>
      </c>
      <c r="E19" s="121">
        <f t="shared" si="0"/>
        <v>3</v>
      </c>
      <c r="F19" s="155">
        <f t="shared" si="3"/>
        <v>85.84</v>
      </c>
      <c r="G19" s="157">
        <f>IF(D19=D18,"",_xlfn.IFNA(VLOOKUP(D19,'인원 입력 기능 (사과탐)'!$P$177:$S$225,4,FALSE),0))</f>
        <v>2028</v>
      </c>
      <c r="H19" s="158">
        <f t="shared" si="4"/>
        <v>2.6117528879959818E-2</v>
      </c>
      <c r="I19" s="160">
        <f>SUM($G$7:G19)</f>
        <v>12012</v>
      </c>
      <c r="J19" s="162">
        <f t="shared" si="5"/>
        <v>0.15469613259668508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122"/>
      <c r="E20" s="122"/>
      <c r="F20" s="125"/>
      <c r="G20" s="156"/>
      <c r="H20" s="159"/>
      <c r="I20" s="161"/>
      <c r="J20" s="163"/>
      <c r="K20" s="28"/>
      <c r="L20" s="5" t="str">
        <f t="shared" si="1"/>
        <v>경고</v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62</v>
      </c>
      <c r="E21" s="79">
        <f t="shared" si="0"/>
        <v>3</v>
      </c>
      <c r="F21" s="71">
        <f t="shared" si="3"/>
        <v>83.75</v>
      </c>
      <c r="G21" s="72">
        <f>IF(D21=D20,"",_xlfn.IFNA(VLOOKUP(D21,'인원 입력 기능 (사과탐)'!$P$177:$S$225,4,FALSE),0))</f>
        <v>1218</v>
      </c>
      <c r="H21" s="73">
        <f t="shared" si="4"/>
        <v>1.5685971487076459E-2</v>
      </c>
      <c r="I21" s="77">
        <f>SUM($G$7:G21)</f>
        <v>13230</v>
      </c>
      <c r="J21" s="75">
        <f t="shared" si="5"/>
        <v>0.17038210408376153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61</v>
      </c>
      <c r="E22" s="79">
        <f t="shared" si="0"/>
        <v>3</v>
      </c>
      <c r="F22" s="71">
        <f t="shared" si="3"/>
        <v>82.29</v>
      </c>
      <c r="G22" s="72">
        <f>IF(D22=D21,"",_xlfn.IFNA(VLOOKUP(D22,'인원 입력 기능 (사과탐)'!$P$177:$S$225,4,FALSE),0))</f>
        <v>1039</v>
      </c>
      <c r="H22" s="73">
        <f t="shared" si="4"/>
        <v>1.3380726087908409E-2</v>
      </c>
      <c r="I22" s="77">
        <f>SUM($G$7:G22)</f>
        <v>14269</v>
      </c>
      <c r="J22" s="75">
        <f t="shared" si="5"/>
        <v>0.18376283017166994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60</v>
      </c>
      <c r="E23" s="79">
        <f t="shared" si="0"/>
        <v>3</v>
      </c>
      <c r="F23" s="71">
        <f t="shared" si="3"/>
        <v>80.760000000000005</v>
      </c>
      <c r="G23" s="72">
        <f>IF(D23=D22,"",_xlfn.IFNA(VLOOKUP(D23,'인원 입력 기능 (사과탐)'!$P$177:$S$225,4,FALSE),0))</f>
        <v>1349</v>
      </c>
      <c r="H23" s="73">
        <f t="shared" si="4"/>
        <v>1.7373050522221795E-2</v>
      </c>
      <c r="I23" s="77">
        <f>SUM($G$7:G23)</f>
        <v>15618</v>
      </c>
      <c r="J23" s="75">
        <f t="shared" si="5"/>
        <v>0.20113588069389174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59</v>
      </c>
      <c r="E24" s="79">
        <f t="shared" si="0"/>
        <v>3</v>
      </c>
      <c r="F24" s="71">
        <f t="shared" si="3"/>
        <v>79.16</v>
      </c>
      <c r="G24" s="72">
        <f>IF(D24=D23,"",_xlfn.IFNA(VLOOKUP(D24,'인원 입력 기능 (사과탐)'!$P$177:$S$225,4,FALSE),0))</f>
        <v>1130</v>
      </c>
      <c r="H24" s="73">
        <f t="shared" si="4"/>
        <v>1.4552666486368144E-2</v>
      </c>
      <c r="I24" s="77">
        <f>SUM($G$7:G24)</f>
        <v>16748</v>
      </c>
      <c r="J24" s="75">
        <f t="shared" si="5"/>
        <v>0.2156885471802599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58</v>
      </c>
      <c r="E25" s="79">
        <f t="shared" si="0"/>
        <v>3</v>
      </c>
      <c r="F25" s="71">
        <f t="shared" si="3"/>
        <v>77.64</v>
      </c>
      <c r="G25" s="72">
        <f>IF(D25=D24,"",_xlfn.IFNA(VLOOKUP(D25,'인원 입력 기능 (사과탐)'!$P$177:$S$225,4,FALSE),0))</f>
        <v>1228</v>
      </c>
      <c r="H25" s="73">
        <f t="shared" si="4"/>
        <v>1.581475614624786E-2</v>
      </c>
      <c r="I25" s="77">
        <f>SUM($G$7:G25)</f>
        <v>17976</v>
      </c>
      <c r="J25" s="75">
        <f t="shared" si="5"/>
        <v>0.23150330332650776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165">
        <f t="shared" si="2"/>
        <v>57</v>
      </c>
      <c r="E26" s="165">
        <f t="shared" si="0"/>
        <v>4</v>
      </c>
      <c r="F26" s="155">
        <f t="shared" si="3"/>
        <v>75.16</v>
      </c>
      <c r="G26" s="157">
        <f>IF(D26=D25,"",_xlfn.IFNA(VLOOKUP(D26,'인원 입력 기능 (사과탐)'!$P$177:$S$225,4,FALSE),0))</f>
        <v>2624</v>
      </c>
      <c r="H26" s="158">
        <f t="shared" si="4"/>
        <v>3.3793094566575227E-2</v>
      </c>
      <c r="I26" s="160">
        <f>SUM($G$7:G26)</f>
        <v>20600</v>
      </c>
      <c r="J26" s="162">
        <f t="shared" si="5"/>
        <v>0.26529639789308296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164"/>
      <c r="E27" s="164"/>
      <c r="F27" s="125"/>
      <c r="G27" s="156"/>
      <c r="H27" s="159"/>
      <c r="I27" s="161"/>
      <c r="J27" s="163"/>
      <c r="K27" s="28"/>
      <c r="L27" s="5" t="str">
        <f t="shared" si="1"/>
        <v>경고</v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56</v>
      </c>
      <c r="E28" s="79">
        <f t="shared" si="0"/>
        <v>4</v>
      </c>
      <c r="F28" s="71">
        <f t="shared" si="3"/>
        <v>72.53</v>
      </c>
      <c r="G28" s="72">
        <f>IF(D28=D27,"",_xlfn.IFNA(VLOOKUP(D28,'인원 입력 기능 (사과탐)'!$P$177:$S$225,4,FALSE),0))</f>
        <v>1461</v>
      </c>
      <c r="H28" s="73">
        <f t="shared" si="4"/>
        <v>1.8815438704941467E-2</v>
      </c>
      <c r="I28" s="77">
        <f>SUM($G$7:G28)</f>
        <v>22061</v>
      </c>
      <c r="J28" s="75">
        <f t="shared" si="5"/>
        <v>0.28411183659802447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55</v>
      </c>
      <c r="E29" s="79">
        <f t="shared" si="0"/>
        <v>4</v>
      </c>
      <c r="F29" s="71">
        <f t="shared" si="3"/>
        <v>70.62</v>
      </c>
      <c r="G29" s="72">
        <f>IF(D29=D28,"",_xlfn.IFNA(VLOOKUP(D29,'인원 입력 기능 (사과탐)'!$P$177:$S$225,4,FALSE),0))</f>
        <v>1503</v>
      </c>
      <c r="H29" s="73">
        <f t="shared" si="4"/>
        <v>1.9356334273461347E-2</v>
      </c>
      <c r="I29" s="77">
        <f>SUM($G$7:G29)</f>
        <v>23564</v>
      </c>
      <c r="J29" s="75">
        <f t="shared" si="5"/>
        <v>0.30346817087148581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54</v>
      </c>
      <c r="E30" s="79">
        <f t="shared" si="0"/>
        <v>4</v>
      </c>
      <c r="F30" s="71">
        <f t="shared" si="3"/>
        <v>68.63</v>
      </c>
      <c r="G30" s="72">
        <f>IF(D30=D29,"",_xlfn.IFNA(VLOOKUP(D30,'인원 입력 기능 (사과탐)'!$P$177:$S$225,4,FALSE),0))</f>
        <v>1582</v>
      </c>
      <c r="H30" s="73">
        <f t="shared" si="4"/>
        <v>2.0373733080915401E-2</v>
      </c>
      <c r="I30" s="77">
        <f>SUM($G$7:G30)</f>
        <v>25146</v>
      </c>
      <c r="J30" s="75">
        <f t="shared" si="5"/>
        <v>0.3238419039524012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53</v>
      </c>
      <c r="E31" s="79">
        <f t="shared" si="0"/>
        <v>4</v>
      </c>
      <c r="F31" s="71">
        <f t="shared" si="3"/>
        <v>66.459999999999994</v>
      </c>
      <c r="G31" s="72">
        <f>IF(D31=D30,"",_xlfn.IFNA(VLOOKUP(D31,'인원 입력 기능 (사과탐)'!$P$177:$S$225,4,FALSE),0))</f>
        <v>1802</v>
      </c>
      <c r="H31" s="73">
        <f t="shared" si="4"/>
        <v>2.3206995582686192E-2</v>
      </c>
      <c r="I31" s="77">
        <f>SUM($G$7:G31)</f>
        <v>26948</v>
      </c>
      <c r="J31" s="75">
        <f t="shared" si="5"/>
        <v>0.34704889953508739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165">
        <f t="shared" si="2"/>
        <v>52</v>
      </c>
      <c r="E32" s="165">
        <f t="shared" si="0"/>
        <v>4</v>
      </c>
      <c r="F32" s="155">
        <f t="shared" si="3"/>
        <v>62.96</v>
      </c>
      <c r="G32" s="157">
        <f>IF(D32=D31,"",_xlfn.IFNA(VLOOKUP(D32,'인원 입력 기능 (사과탐)'!$P$177:$S$225,4,FALSE),0))</f>
        <v>3623</v>
      </c>
      <c r="H32" s="158">
        <f t="shared" si="4"/>
        <v>4.6658682017798041E-2</v>
      </c>
      <c r="I32" s="160">
        <f>SUM($G$7:G32)</f>
        <v>30571</v>
      </c>
      <c r="J32" s="162">
        <f t="shared" si="5"/>
        <v>0.39370758155288543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164"/>
      <c r="E33" s="164"/>
      <c r="F33" s="125"/>
      <c r="G33" s="156"/>
      <c r="H33" s="159"/>
      <c r="I33" s="161"/>
      <c r="J33" s="163"/>
      <c r="K33" s="28"/>
      <c r="L33" s="5" t="str">
        <f t="shared" si="1"/>
        <v>경고</v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51</v>
      </c>
      <c r="E34" s="79">
        <f t="shared" si="0"/>
        <v>4</v>
      </c>
      <c r="F34" s="71">
        <f t="shared" si="3"/>
        <v>59.32</v>
      </c>
      <c r="G34" s="72">
        <f>IF(D34=D33,"",_xlfn.IFNA(VLOOKUP(D34,'인원 입력 기능 (사과탐)'!$P$177:$S$225,4,FALSE),0))</f>
        <v>2030</v>
      </c>
      <c r="H34" s="73">
        <f t="shared" si="4"/>
        <v>2.6143285811794099E-2</v>
      </c>
      <c r="I34" s="77">
        <f>SUM($G$7:G34)</f>
        <v>32601</v>
      </c>
      <c r="J34" s="75">
        <f t="shared" si="5"/>
        <v>0.41985086736467953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50</v>
      </c>
      <c r="E35" s="79">
        <f t="shared" si="0"/>
        <v>5</v>
      </c>
      <c r="F35" s="71">
        <f t="shared" si="3"/>
        <v>56.67</v>
      </c>
      <c r="G35" s="72">
        <f>IF(D35=D34,"",_xlfn.IFNA(VLOOKUP(D35,'인원 입력 기능 (사과탐)'!$P$177:$S$225,4,FALSE),0))</f>
        <v>2090</v>
      </c>
      <c r="H35" s="73">
        <f t="shared" si="4"/>
        <v>2.6915993766822497E-2</v>
      </c>
      <c r="I35" s="77">
        <f>SUM($G$7:G35)</f>
        <v>34691</v>
      </c>
      <c r="J35" s="75">
        <f t="shared" si="5"/>
        <v>0.44676686113150199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49</v>
      </c>
      <c r="E36" s="79">
        <f t="shared" si="0"/>
        <v>5</v>
      </c>
      <c r="F36" s="71">
        <f t="shared" si="3"/>
        <v>53.82</v>
      </c>
      <c r="G36" s="72">
        <f>IF(D36=D35,"",_xlfn.IFNA(VLOOKUP(D36,'인원 입력 기능 (사과탐)'!$P$177:$S$225,4,FALSE),0))</f>
        <v>2327</v>
      </c>
      <c r="H36" s="73">
        <f t="shared" si="4"/>
        <v>2.9968190189184663E-2</v>
      </c>
      <c r="I36" s="77">
        <f>SUM($G$7:G36)</f>
        <v>37018</v>
      </c>
      <c r="J36" s="75">
        <f t="shared" si="5"/>
        <v>0.47673505132068666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48</v>
      </c>
      <c r="E37" s="79">
        <f t="shared" si="0"/>
        <v>5</v>
      </c>
      <c r="F37" s="71">
        <f t="shared" si="3"/>
        <v>50.87</v>
      </c>
      <c r="G37" s="72">
        <f>IF(D37=D36,"",_xlfn.IFNA(VLOOKUP(D37,'인원 입력 기능 (사과탐)'!$P$177:$S$225,4,FALSE),0))</f>
        <v>2256</v>
      </c>
      <c r="H37" s="73">
        <f t="shared" si="4"/>
        <v>2.9053819109067729E-2</v>
      </c>
      <c r="I37" s="77">
        <f>SUM($G$7:G37)</f>
        <v>39274</v>
      </c>
      <c r="J37" s="75">
        <f t="shared" si="5"/>
        <v>0.5057888704297544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47</v>
      </c>
      <c r="E38" s="79">
        <f t="shared" si="0"/>
        <v>5</v>
      </c>
      <c r="F38" s="71">
        <f t="shared" si="3"/>
        <v>47.8</v>
      </c>
      <c r="G38" s="72">
        <f>IF(D38=D37,"",_xlfn.IFNA(VLOOKUP(D38,'인원 입력 기능 (사과탐)'!$P$177:$S$225,4,FALSE),0))</f>
        <v>2521</v>
      </c>
      <c r="H38" s="73">
        <f t="shared" si="4"/>
        <v>3.2466612577109817E-2</v>
      </c>
      <c r="I38" s="77">
        <f>SUM($G$7:G38)</f>
        <v>41795</v>
      </c>
      <c r="J38" s="75">
        <f t="shared" si="5"/>
        <v>0.53825548300686421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165">
        <f t="shared" si="2"/>
        <v>46</v>
      </c>
      <c r="E39" s="165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55">
        <f t="shared" si="3"/>
        <v>42.81</v>
      </c>
      <c r="G39" s="157">
        <f>IF(D39=D38,"",_xlfn.IFNA(VLOOKUP(D39,'인원 입력 기능 (사과탐)'!$P$177:$S$225,4,FALSE),0))</f>
        <v>5224</v>
      </c>
      <c r="H39" s="158">
        <f t="shared" si="4"/>
        <v>6.7277105951139102E-2</v>
      </c>
      <c r="I39" s="160">
        <f>SUM($G$7:G39)</f>
        <v>47019</v>
      </c>
      <c r="J39" s="162">
        <f t="shared" si="5"/>
        <v>0.60553258895800333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164"/>
      <c r="E40" s="164"/>
      <c r="F40" s="125"/>
      <c r="G40" s="156"/>
      <c r="H40" s="159"/>
      <c r="I40" s="161"/>
      <c r="J40" s="163"/>
      <c r="K40" s="28"/>
      <c r="L40" s="5" t="str">
        <f t="shared" si="1"/>
        <v>경고</v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45</v>
      </c>
      <c r="E41" s="79">
        <f t="shared" si="6"/>
        <v>6</v>
      </c>
      <c r="F41" s="71">
        <f t="shared" si="3"/>
        <v>37.68</v>
      </c>
      <c r="G41" s="72">
        <f>IF(D41=D40,"",_xlfn.IFNA(VLOOKUP(D41,'인원 입력 기능 (사과탐)'!$P$177:$S$225,4,FALSE),0))</f>
        <v>2746</v>
      </c>
      <c r="H41" s="73">
        <f t="shared" si="4"/>
        <v>3.53642674084663E-2</v>
      </c>
      <c r="I41" s="77">
        <f>SUM($G$7:G41)</f>
        <v>49765</v>
      </c>
      <c r="J41" s="75">
        <f t="shared" si="5"/>
        <v>0.64089685636646965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44</v>
      </c>
      <c r="E42" s="79">
        <f t="shared" si="6"/>
        <v>6</v>
      </c>
      <c r="F42" s="71">
        <f t="shared" si="3"/>
        <v>34.18</v>
      </c>
      <c r="G42" s="72">
        <f>IF(D42=D41,"",_xlfn.IFNA(VLOOKUP(D42,'인원 입력 기능 (사과탐)'!$P$177:$S$225,4,FALSE),0))</f>
        <v>2689</v>
      </c>
      <c r="H42" s="73">
        <f t="shared" si="4"/>
        <v>3.4630194851189323E-2</v>
      </c>
      <c r="I42" s="77">
        <f>SUM($G$7:G42)</f>
        <v>52454</v>
      </c>
      <c r="J42" s="75">
        <f t="shared" si="5"/>
        <v>0.67552705121765899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43</v>
      </c>
      <c r="E43" s="79">
        <f t="shared" si="6"/>
        <v>6</v>
      </c>
      <c r="F43" s="71">
        <f t="shared" si="3"/>
        <v>30.52</v>
      </c>
      <c r="G43" s="72">
        <f>IF(D43=D42,"",_xlfn.IFNA(VLOOKUP(D43,'인원 입력 기능 (사과탐)'!$P$177:$S$225,4,FALSE),0))</f>
        <v>2987</v>
      </c>
      <c r="H43" s="73">
        <f t="shared" si="4"/>
        <v>3.846797769449703E-2</v>
      </c>
      <c r="I43" s="77">
        <f>SUM($G$7:G43)</f>
        <v>55441</v>
      </c>
      <c r="J43" s="75">
        <f t="shared" si="5"/>
        <v>0.71399502891215594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42</v>
      </c>
      <c r="E44" s="79">
        <f t="shared" si="6"/>
        <v>6</v>
      </c>
      <c r="F44" s="71">
        <f t="shared" si="3"/>
        <v>26.91</v>
      </c>
      <c r="G44" s="72">
        <f>IF(D44=D43,"",_xlfn.IFNA(VLOOKUP(D44,'인원 입력 기능 (사과탐)'!$P$177:$S$225,4,FALSE),0))</f>
        <v>2619</v>
      </c>
      <c r="H44" s="73">
        <f t="shared" si="4"/>
        <v>3.3728702236989531E-2</v>
      </c>
      <c r="I44" s="77">
        <f>SUM($G$7:G44)</f>
        <v>58060</v>
      </c>
      <c r="J44" s="75">
        <f t="shared" si="5"/>
        <v>0.74772373114914548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165">
        <f t="shared" si="2"/>
        <v>41</v>
      </c>
      <c r="E45" s="165">
        <f t="shared" si="6"/>
        <v>6</v>
      </c>
      <c r="F45" s="155">
        <f t="shared" si="3"/>
        <v>20.36</v>
      </c>
      <c r="G45" s="157">
        <f>IF(D45=D44,"",_xlfn.IFNA(VLOOKUP(D45,'인원 입력 기능 (사과탐)'!$P$177:$S$225,4,FALSE),0))</f>
        <v>7555</v>
      </c>
      <c r="H45" s="158">
        <f t="shared" si="4"/>
        <v>9.7296810003992318E-2</v>
      </c>
      <c r="I45" s="160">
        <f>SUM($G$7:G45)</f>
        <v>65615</v>
      </c>
      <c r="J45" s="162">
        <f t="shared" si="5"/>
        <v>0.84502054115313785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164"/>
      <c r="E46" s="164"/>
      <c r="F46" s="125"/>
      <c r="G46" s="156"/>
      <c r="H46" s="159"/>
      <c r="I46" s="161"/>
      <c r="J46" s="163"/>
      <c r="K46" s="28"/>
      <c r="L46" s="5" t="str">
        <f t="shared" si="1"/>
        <v>경고</v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40</v>
      </c>
      <c r="E47" s="79">
        <f t="shared" si="6"/>
        <v>7</v>
      </c>
      <c r="F47" s="71">
        <f t="shared" si="3"/>
        <v>14.09</v>
      </c>
      <c r="G47" s="72">
        <f>IF(D47=D46,"",_xlfn.IFNA(VLOOKUP(D47,'인원 입력 기능 (사과탐)'!$P$177:$S$225,4,FALSE),0))</f>
        <v>2184</v>
      </c>
      <c r="H47" s="73">
        <f t="shared" si="4"/>
        <v>2.8126569563033652E-2</v>
      </c>
      <c r="I47" s="77">
        <f>SUM($G$7:G47)</f>
        <v>67799</v>
      </c>
      <c r="J47" s="75">
        <f t="shared" si="5"/>
        <v>0.87314711071617146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39</v>
      </c>
      <c r="E48" s="79">
        <f t="shared" si="6"/>
        <v>7</v>
      </c>
      <c r="F48" s="71">
        <f t="shared" si="3"/>
        <v>10.96</v>
      </c>
      <c r="G48" s="72">
        <f>IF(D48=D47,"",_xlfn.IFNA(VLOOKUP(D48,'인원 입력 기능 (사과탐)'!$P$177:$S$225,4,FALSE),0))</f>
        <v>2687</v>
      </c>
      <c r="H48" s="73">
        <f t="shared" si="4"/>
        <v>3.4604437919355045E-2</v>
      </c>
      <c r="I48" s="77">
        <f>SUM($G$7:G48)</f>
        <v>70486</v>
      </c>
      <c r="J48" s="75">
        <f t="shared" si="5"/>
        <v>0.90775154863552654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38</v>
      </c>
      <c r="E49" s="79">
        <f t="shared" si="6"/>
        <v>8</v>
      </c>
      <c r="F49" s="71">
        <f t="shared" si="3"/>
        <v>7.35</v>
      </c>
      <c r="G49" s="72">
        <f>IF(D49=D48,"",_xlfn.IFNA(VLOOKUP(D49,'인원 입력 기능 (사과탐)'!$P$177:$S$225,4,FALSE),0))</f>
        <v>2917</v>
      </c>
      <c r="H49" s="73">
        <f t="shared" si="4"/>
        <v>3.7566485080297238E-2</v>
      </c>
      <c r="I49" s="77">
        <f>SUM($G$7:G49)</f>
        <v>73403</v>
      </c>
      <c r="J49" s="75">
        <f t="shared" si="5"/>
        <v>0.94531803371582379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37</v>
      </c>
      <c r="E50" s="79">
        <f t="shared" si="6"/>
        <v>8</v>
      </c>
      <c r="F50" s="71">
        <f t="shared" si="3"/>
        <v>4.5</v>
      </c>
      <c r="G50" s="72">
        <f>IF(D50=D49,"",_xlfn.IFNA(VLOOKUP(D50,'인원 입력 기능 (사과탐)'!$P$177:$S$225,4,FALSE),0))</f>
        <v>1508</v>
      </c>
      <c r="H50" s="73">
        <f t="shared" si="4"/>
        <v>1.9420726603047046E-2</v>
      </c>
      <c r="I50" s="77">
        <f>SUM($G$7:G50)</f>
        <v>74911</v>
      </c>
      <c r="J50" s="75">
        <f t="shared" si="5"/>
        <v>0.96473876031887085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36</v>
      </c>
      <c r="E51" s="79">
        <f t="shared" si="6"/>
        <v>9</v>
      </c>
      <c r="F51" s="71">
        <f t="shared" si="3"/>
        <v>2.98</v>
      </c>
      <c r="G51" s="72">
        <f>IF(D51=D50,"",_xlfn.IFNA(VLOOKUP(D51,'인원 입력 기능 (사과탐)'!$P$177:$S$225,4,FALSE),0))</f>
        <v>845</v>
      </c>
      <c r="H51" s="73">
        <f t="shared" si="4"/>
        <v>1.0882303699983258E-2</v>
      </c>
      <c r="I51" s="77">
        <f>SUM($G$7:G51)</f>
        <v>75756</v>
      </c>
      <c r="J51" s="75">
        <f t="shared" si="5"/>
        <v>0.97562106401885407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165">
        <f t="shared" si="2"/>
        <v>35</v>
      </c>
      <c r="E52" s="165">
        <f t="shared" si="6"/>
        <v>9</v>
      </c>
      <c r="F52" s="155">
        <f t="shared" si="3"/>
        <v>1.59</v>
      </c>
      <c r="G52" s="157">
        <f>IF(D52=D51,"",_xlfn.IFNA(VLOOKUP(D52,'인원 입력 기능 (사과탐)'!$P$177:$S$225,4,FALSE),0))</f>
        <v>1314</v>
      </c>
      <c r="H52" s="158">
        <f t="shared" si="4"/>
        <v>1.6922304215121895E-2</v>
      </c>
      <c r="I52" s="160">
        <f>SUM($G$7:G52)</f>
        <v>77070</v>
      </c>
      <c r="J52" s="162">
        <f t="shared" si="5"/>
        <v>0.99254336823397593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164"/>
      <c r="E53" s="164"/>
      <c r="F53" s="125"/>
      <c r="G53" s="156"/>
      <c r="H53" s="159"/>
      <c r="I53" s="161"/>
      <c r="J53" s="163"/>
      <c r="K53" s="28"/>
      <c r="L53" s="5" t="str">
        <f t="shared" si="1"/>
        <v>경고</v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34</v>
      </c>
      <c r="E54" s="70">
        <f t="shared" si="6"/>
        <v>9</v>
      </c>
      <c r="F54" s="71">
        <f t="shared" si="3"/>
        <v>0.61</v>
      </c>
      <c r="G54" s="72">
        <f>IF(D54=D53,"",_xlfn.IFNA(VLOOKUP(D54,'인원 입력 기능 (사과탐)'!$P$177:$S$225,4,FALSE),0))</f>
        <v>215</v>
      </c>
      <c r="H54" s="73">
        <f t="shared" si="4"/>
        <v>2.7688701721850892E-3</v>
      </c>
      <c r="I54" s="77">
        <f>SUM($G$7:G54)</f>
        <v>77285</v>
      </c>
      <c r="J54" s="75">
        <f t="shared" si="5"/>
        <v>0.99531223840616101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33</v>
      </c>
      <c r="E55" s="70">
        <f t="shared" si="6"/>
        <v>9</v>
      </c>
      <c r="F55" s="71">
        <f t="shared" si="3"/>
        <v>0.28999999999999998</v>
      </c>
      <c r="G55" s="72">
        <f>IF(D55=D54,"",_xlfn.IFNA(VLOOKUP(D55,'인원 입력 기능 (사과탐)'!$P$177:$S$225,4,FALSE),0))</f>
        <v>274</v>
      </c>
      <c r="H55" s="73">
        <f t="shared" si="4"/>
        <v>3.5286996612963464E-3</v>
      </c>
      <c r="I55" s="77">
        <f>SUM($G$7:G55)</f>
        <v>77559</v>
      </c>
      <c r="J55" s="75">
        <f t="shared" si="5"/>
        <v>0.99884093806745744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31</v>
      </c>
      <c r="E57" s="83">
        <f t="shared" si="6"/>
        <v>9</v>
      </c>
      <c r="F57" s="84">
        <f>IF(I55=0,ROUND(100*(1-(I54+I57)/2/$J$3),2),ROUND(100*(1-(I55+I57)/2/$J$3),2))</f>
        <v>0.06</v>
      </c>
      <c r="G57" s="85">
        <f>_xlfn.IFNA(VLOOKUP(D57,'인원 입력 기능 (사과탐)'!$P$177:$S$225,4,FALSE),0)</f>
        <v>90</v>
      </c>
      <c r="H57" s="86">
        <f>G57/$J$3</f>
        <v>1.1590619325425955E-3</v>
      </c>
      <c r="I57" s="87">
        <f>SUM($G$7:G57)</f>
        <v>77649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4">
    <mergeCell ref="I45:I46"/>
    <mergeCell ref="J45:J46"/>
    <mergeCell ref="D52:D53"/>
    <mergeCell ref="E52:E53"/>
    <mergeCell ref="F52:F53"/>
    <mergeCell ref="G52:G53"/>
    <mergeCell ref="H52:H53"/>
    <mergeCell ref="I52:I53"/>
    <mergeCell ref="J52:J53"/>
    <mergeCell ref="D45:D46"/>
    <mergeCell ref="E45:E46"/>
    <mergeCell ref="F45:F46"/>
    <mergeCell ref="G45:G46"/>
    <mergeCell ref="H45:H46"/>
    <mergeCell ref="I32:I33"/>
    <mergeCell ref="J32:J33"/>
    <mergeCell ref="D39:D40"/>
    <mergeCell ref="E39:E40"/>
    <mergeCell ref="F39:F40"/>
    <mergeCell ref="G39:G40"/>
    <mergeCell ref="H39:H40"/>
    <mergeCell ref="I39:I40"/>
    <mergeCell ref="J39:J40"/>
    <mergeCell ref="D32:D33"/>
    <mergeCell ref="E32:E33"/>
    <mergeCell ref="F32:F33"/>
    <mergeCell ref="G32:G33"/>
    <mergeCell ref="H32:H33"/>
    <mergeCell ref="H19:H20"/>
    <mergeCell ref="I19:I20"/>
    <mergeCell ref="J19:J20"/>
    <mergeCell ref="D26:D27"/>
    <mergeCell ref="E26:E27"/>
    <mergeCell ref="F26:F27"/>
    <mergeCell ref="G26:G27"/>
    <mergeCell ref="H26:H27"/>
    <mergeCell ref="I26:I27"/>
    <mergeCell ref="J26:J27"/>
    <mergeCell ref="D3:F3"/>
    <mergeCell ref="D4:F4"/>
    <mergeCell ref="D8:J8"/>
    <mergeCell ref="D56:J56"/>
    <mergeCell ref="G5:J5"/>
    <mergeCell ref="D12:D13"/>
    <mergeCell ref="E12:E13"/>
    <mergeCell ref="F12:F13"/>
    <mergeCell ref="G12:G13"/>
    <mergeCell ref="H12:H13"/>
    <mergeCell ref="I12:I13"/>
    <mergeCell ref="J12:J13"/>
    <mergeCell ref="D19:D20"/>
    <mergeCell ref="E19:E20"/>
    <mergeCell ref="F19:F20"/>
    <mergeCell ref="G19:G20"/>
  </mergeCells>
  <phoneticPr fontId="1" type="noConversion"/>
  <conditionalFormatting sqref="D7:D12 D14:D19 D21:D26 D28:D32 D34:D39 D41:D45 D47:D52 D54:D57">
    <cfRule type="expression" dxfId="16" priority="1">
      <formula>$D7=$D8</formula>
    </cfRule>
  </conditionalFormatting>
  <conditionalFormatting sqref="C7:C57">
    <cfRule type="expression" dxfId="15" priority="3">
      <formula>OR(AND($D7=0,OR($D6=$Q$7:$Q$14)),AND($D8&gt;0,OR($D7=$Q$7:$Q$14)))</formula>
    </cfRule>
  </conditionalFormatting>
  <conditionalFormatting sqref="D7:J7 D8 D57:J57 D56 D9:J12 D14:J19 D21:J26 D28:J32 D34:J39 D41:J45 D47:J52 D54:J55">
    <cfRule type="expression" dxfId="14" priority="2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5A5CF-70CF-4702-9339-D6937B6FF4BA}">
  <sheetPr codeName="Sheet20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기능'!D19</f>
        <v>13.98</v>
      </c>
      <c r="I3" s="15" t="s">
        <v>84</v>
      </c>
      <c r="J3" s="35">
        <f>'통계 및 응시자 수 입력 기능'!C19</f>
        <v>5096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91</v>
      </c>
      <c r="E4" s="108"/>
      <c r="F4" s="109"/>
      <c r="G4" s="37" t="s">
        <v>87</v>
      </c>
      <c r="H4" s="38" t="str">
        <f>'통계 및 응시자 수 입력 기능'!E19</f>
        <v xml:space="preserve"> 9.39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99.56</v>
      </c>
      <c r="G7" s="72">
        <f>_xlfn.IFNA(VLOOKUP(D7,'인원 입력 기능 (사과탐)'!$A$236:$D$284,4,FALSE),0)</f>
        <v>45</v>
      </c>
      <c r="H7" s="73">
        <f>G7/$J$3</f>
        <v>8.8304552590266882E-3</v>
      </c>
      <c r="I7" s="74">
        <f>G7</f>
        <v>45</v>
      </c>
      <c r="J7" s="75">
        <f>I7/$J$3</f>
        <v>8.8304552590266882E-3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입력기능'!C139</f>
        <v>79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입력기능'!C140</f>
        <v>60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86</v>
      </c>
      <c r="E9" s="70">
        <f t="shared" si="0"/>
        <v>1</v>
      </c>
      <c r="F9" s="71">
        <f>IF(I8=0,ROUND(100*(1-(I7+I9)/2/$J$3),2),ROUND(100*(1-(I8+I9)/2/$J$3),2))</f>
        <v>98.86</v>
      </c>
      <c r="G9" s="72">
        <f>_xlfn.IFNA(VLOOKUP(D9,'인원 입력 기능 (사과탐)'!$A$236:$D$284,4,FALSE),0)</f>
        <v>26</v>
      </c>
      <c r="H9" s="73">
        <f>G9/$J$3</f>
        <v>5.1020408163265302E-3</v>
      </c>
      <c r="I9" s="77">
        <f>SUM($G$7:G9)</f>
        <v>71</v>
      </c>
      <c r="J9" s="75">
        <f>I9/$J$3</f>
        <v>1.3932496075353218E-2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입력기능'!C141</f>
        <v>52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85</v>
      </c>
      <c r="E10" s="70">
        <f t="shared" si="0"/>
        <v>1</v>
      </c>
      <c r="F10" s="71">
        <f t="shared" ref="F10:F55" si="3">IF(I9=0,ROUND(100*(1-(I8+I10)/2/$J$3),2),ROUND(100*(1-(I9+I10)/2/$J$3),2))</f>
        <v>98.36</v>
      </c>
      <c r="G10" s="72">
        <f>IF(D10=D9,"",_xlfn.IFNA(VLOOKUP(D10,'인원 입력 기능 (사과탐)'!$A$236:$D$284,4,FALSE),0))</f>
        <v>25</v>
      </c>
      <c r="H10" s="73">
        <f t="shared" ref="H10:H55" si="4">G10/$J$3</f>
        <v>4.9058084772370487E-3</v>
      </c>
      <c r="I10" s="77">
        <f>SUM($G$7:G10)</f>
        <v>96</v>
      </c>
      <c r="J10" s="75">
        <f t="shared" ref="J10:J55" si="5">I10/$J$3</f>
        <v>1.8838304552590265E-2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입력기능'!C142</f>
        <v>48</v>
      </c>
    </row>
    <row r="11" spans="1:17" ht="25" customHeight="1" x14ac:dyDescent="0.45">
      <c r="A11" s="4"/>
      <c r="B11" s="19"/>
      <c r="C11" s="69">
        <v>46</v>
      </c>
      <c r="D11" s="70">
        <f t="shared" si="2"/>
        <v>84</v>
      </c>
      <c r="E11" s="70">
        <f t="shared" si="0"/>
        <v>1</v>
      </c>
      <c r="F11" s="71">
        <f t="shared" si="3"/>
        <v>97.98</v>
      </c>
      <c r="G11" s="72">
        <f>IF(D11=D10,"",_xlfn.IFNA(VLOOKUP(D11,'인원 입력 기능 (사과탐)'!$A$236:$D$284,4,FALSE),0))</f>
        <v>14</v>
      </c>
      <c r="H11" s="73">
        <f t="shared" si="4"/>
        <v>2.7472527472527475E-3</v>
      </c>
      <c r="I11" s="77">
        <f>SUM($G$7:G11)</f>
        <v>110</v>
      </c>
      <c r="J11" s="75">
        <f t="shared" si="5"/>
        <v>2.1585557299843013E-2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입력기능'!C143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83</v>
      </c>
      <c r="E12" s="70">
        <f t="shared" si="0"/>
        <v>1</v>
      </c>
      <c r="F12" s="71">
        <f t="shared" si="3"/>
        <v>97.61</v>
      </c>
      <c r="G12" s="72">
        <f>IF(D12=D11,"",_xlfn.IFNA(VLOOKUP(D12,'인원 입력 기능 (사과탐)'!$A$236:$D$284,4,FALSE),0))</f>
        <v>24</v>
      </c>
      <c r="H12" s="73">
        <f t="shared" si="4"/>
        <v>4.7095761381475663E-3</v>
      </c>
      <c r="I12" s="77">
        <f>SUM($G$7:G12)</f>
        <v>134</v>
      </c>
      <c r="J12" s="75">
        <f t="shared" si="5"/>
        <v>2.629513343799058E-2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입력기능'!C144</f>
        <v>45</v>
      </c>
    </row>
    <row r="13" spans="1:17" ht="25" customHeight="1" x14ac:dyDescent="0.45">
      <c r="A13" s="4"/>
      <c r="B13" s="19"/>
      <c r="C13" s="69">
        <v>44</v>
      </c>
      <c r="D13" s="70">
        <f t="shared" si="2"/>
        <v>82</v>
      </c>
      <c r="E13" s="70">
        <f t="shared" si="0"/>
        <v>1</v>
      </c>
      <c r="F13" s="71">
        <f t="shared" si="3"/>
        <v>97.15</v>
      </c>
      <c r="G13" s="72">
        <f>IF(D13=D12,"",_xlfn.IFNA(VLOOKUP(D13,'인원 입력 기능 (사과탐)'!$A$236:$D$284,4,FALSE),0))</f>
        <v>22</v>
      </c>
      <c r="H13" s="73">
        <f t="shared" si="4"/>
        <v>4.3171114599686025E-3</v>
      </c>
      <c r="I13" s="77">
        <f>SUM($G$7:G13)</f>
        <v>156</v>
      </c>
      <c r="J13" s="75">
        <f t="shared" si="5"/>
        <v>3.0612244897959183E-2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입력기능'!C145</f>
        <v>43</v>
      </c>
    </row>
    <row r="14" spans="1:17" ht="25" customHeight="1" x14ac:dyDescent="0.45">
      <c r="A14" s="4"/>
      <c r="B14" s="19"/>
      <c r="C14" s="76">
        <v>43</v>
      </c>
      <c r="D14" s="70">
        <f t="shared" si="2"/>
        <v>81</v>
      </c>
      <c r="E14" s="70">
        <f t="shared" si="0"/>
        <v>1</v>
      </c>
      <c r="F14" s="71">
        <f t="shared" si="3"/>
        <v>96.8</v>
      </c>
      <c r="G14" s="72">
        <f>IF(D14=D13,"",_xlfn.IFNA(VLOOKUP(D14,'인원 입력 기능 (사과탐)'!$A$236:$D$284,4,FALSE),0))</f>
        <v>14</v>
      </c>
      <c r="H14" s="73">
        <f t="shared" si="4"/>
        <v>2.7472527472527475E-3</v>
      </c>
      <c r="I14" s="77">
        <f>SUM($G$7:G14)</f>
        <v>170</v>
      </c>
      <c r="J14" s="75">
        <f t="shared" si="5"/>
        <v>3.3359497645211934E-2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입력기능'!C146</f>
        <v>39</v>
      </c>
    </row>
    <row r="15" spans="1:17" ht="25" customHeight="1" x14ac:dyDescent="0.45">
      <c r="A15" s="4"/>
      <c r="B15" s="19"/>
      <c r="C15" s="69">
        <v>42</v>
      </c>
      <c r="D15" s="70">
        <f t="shared" si="2"/>
        <v>80</v>
      </c>
      <c r="E15" s="70">
        <f t="shared" si="0"/>
        <v>1</v>
      </c>
      <c r="F15" s="71">
        <f t="shared" si="3"/>
        <v>96.47</v>
      </c>
      <c r="G15" s="72">
        <f>IF(D15=D14,"",_xlfn.IFNA(VLOOKUP(D15,'인원 입력 기능 (사과탐)'!$A$236:$D$284,4,FALSE),0))</f>
        <v>20</v>
      </c>
      <c r="H15" s="73">
        <f t="shared" si="4"/>
        <v>3.9246467817896386E-3</v>
      </c>
      <c r="I15" s="77">
        <f>SUM($G$7:G15)</f>
        <v>190</v>
      </c>
      <c r="J15" s="75">
        <f t="shared" si="5"/>
        <v>3.7284144427001571E-2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79</v>
      </c>
      <c r="E16" s="70">
        <f t="shared" si="0"/>
        <v>1</v>
      </c>
      <c r="F16" s="71">
        <f t="shared" si="3"/>
        <v>96.07</v>
      </c>
      <c r="G16" s="72">
        <f>IF(D16=D15,"",_xlfn.IFNA(VLOOKUP(D16,'인원 입력 기능 (사과탐)'!$A$236:$D$284,4,FALSE),0))</f>
        <v>21</v>
      </c>
      <c r="H16" s="73">
        <f t="shared" si="4"/>
        <v>4.120879120879121E-3</v>
      </c>
      <c r="I16" s="77">
        <f>SUM($G$7:G16)</f>
        <v>211</v>
      </c>
      <c r="J16" s="75">
        <f t="shared" si="5"/>
        <v>4.1405023547880691E-2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78</v>
      </c>
      <c r="E17" s="70">
        <f t="shared" si="0"/>
        <v>2</v>
      </c>
      <c r="F17" s="71">
        <f t="shared" si="3"/>
        <v>95.65</v>
      </c>
      <c r="G17" s="72">
        <f>IF(D17=D16,"",_xlfn.IFNA(VLOOKUP(D17,'인원 입력 기능 (사과탐)'!$A$236:$D$284,4,FALSE),0))</f>
        <v>21</v>
      </c>
      <c r="H17" s="73">
        <f t="shared" si="4"/>
        <v>4.120879120879121E-3</v>
      </c>
      <c r="I17" s="77">
        <f>SUM($G$7:G17)</f>
        <v>232</v>
      </c>
      <c r="J17" s="75">
        <f t="shared" si="5"/>
        <v>4.5525902668759811E-2</v>
      </c>
      <c r="K17" s="28"/>
      <c r="L17" s="5" t="str">
        <f t="shared" si="1"/>
        <v/>
      </c>
      <c r="N17" s="1"/>
      <c r="P17" s="1">
        <f>Q7*H3*H4*J3*IFERROR(IF(J57=1, 1, 0), 0)</f>
        <v>52848087.364799999</v>
      </c>
    </row>
    <row r="18" spans="1:16" ht="25" customHeight="1" x14ac:dyDescent="0.45">
      <c r="A18" s="4"/>
      <c r="B18" s="19"/>
      <c r="C18" s="76">
        <v>39</v>
      </c>
      <c r="D18" s="70">
        <f t="shared" si="2"/>
        <v>77</v>
      </c>
      <c r="E18" s="70">
        <f t="shared" si="0"/>
        <v>2</v>
      </c>
      <c r="F18" s="71">
        <f t="shared" si="3"/>
        <v>95.25</v>
      </c>
      <c r="G18" s="72">
        <f>IF(D18=D17,"",_xlfn.IFNA(VLOOKUP(D18,'인원 입력 기능 (사과탐)'!$A$236:$D$284,4,FALSE),0))</f>
        <v>20</v>
      </c>
      <c r="H18" s="73">
        <f t="shared" si="4"/>
        <v>3.9246467817896386E-3</v>
      </c>
      <c r="I18" s="77">
        <f>SUM($G$7:G18)</f>
        <v>252</v>
      </c>
      <c r="J18" s="75">
        <f t="shared" si="5"/>
        <v>4.9450549450549448E-2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76</v>
      </c>
      <c r="E19" s="70">
        <f t="shared" si="0"/>
        <v>2</v>
      </c>
      <c r="F19" s="71">
        <f t="shared" si="3"/>
        <v>94.95</v>
      </c>
      <c r="G19" s="72">
        <f>IF(D19=D18,"",_xlfn.IFNA(VLOOKUP(D19,'인원 입력 기능 (사과탐)'!$A$236:$D$284,4,FALSE),0))</f>
        <v>11</v>
      </c>
      <c r="H19" s="73">
        <f t="shared" si="4"/>
        <v>2.1585557299843012E-3</v>
      </c>
      <c r="I19" s="77">
        <f>SUM($G$7:G19)</f>
        <v>263</v>
      </c>
      <c r="J19" s="75">
        <f t="shared" si="5"/>
        <v>5.160910518053375E-2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75</v>
      </c>
      <c r="E20" s="70">
        <f t="shared" si="0"/>
        <v>2</v>
      </c>
      <c r="F20" s="71">
        <f t="shared" si="3"/>
        <v>94.65</v>
      </c>
      <c r="G20" s="72">
        <f>IF(D20=D19,"",_xlfn.IFNA(VLOOKUP(D20,'인원 입력 기능 (사과탐)'!$A$236:$D$284,4,FALSE),0))</f>
        <v>19</v>
      </c>
      <c r="H20" s="73">
        <f t="shared" si="4"/>
        <v>3.7284144427001571E-3</v>
      </c>
      <c r="I20" s="77">
        <f>SUM($G$7:G20)</f>
        <v>282</v>
      </c>
      <c r="J20" s="75">
        <f t="shared" si="5"/>
        <v>5.5337519623233911E-2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73</v>
      </c>
      <c r="E21" s="79">
        <f t="shared" si="0"/>
        <v>2</v>
      </c>
      <c r="F21" s="71">
        <f t="shared" si="3"/>
        <v>94.29</v>
      </c>
      <c r="G21" s="72">
        <f>IF(D21=D20,"",_xlfn.IFNA(VLOOKUP(D21,'인원 입력 기능 (사과탐)'!$A$236:$D$284,4,FALSE),0))</f>
        <v>18</v>
      </c>
      <c r="H21" s="73">
        <f t="shared" si="4"/>
        <v>3.5321821036106752E-3</v>
      </c>
      <c r="I21" s="77">
        <f>SUM($G$7:G21)</f>
        <v>300</v>
      </c>
      <c r="J21" s="75">
        <f t="shared" si="5"/>
        <v>5.8869701726844581E-2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72</v>
      </c>
      <c r="E22" s="79">
        <f t="shared" si="0"/>
        <v>2</v>
      </c>
      <c r="F22" s="71">
        <f t="shared" si="3"/>
        <v>93.91</v>
      </c>
      <c r="G22" s="72">
        <f>IF(D22=D21,"",_xlfn.IFNA(VLOOKUP(D22,'인원 입력 기능 (사과탐)'!$A$236:$D$284,4,FALSE),0))</f>
        <v>21</v>
      </c>
      <c r="H22" s="73">
        <f t="shared" si="4"/>
        <v>4.120879120879121E-3</v>
      </c>
      <c r="I22" s="77">
        <f>SUM($G$7:G22)</f>
        <v>321</v>
      </c>
      <c r="J22" s="75">
        <f t="shared" si="5"/>
        <v>6.2990580847723701E-2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71</v>
      </c>
      <c r="E23" s="79">
        <f t="shared" si="0"/>
        <v>2</v>
      </c>
      <c r="F23" s="71">
        <f t="shared" si="3"/>
        <v>93.54</v>
      </c>
      <c r="G23" s="72">
        <f>IF(D23=D22,"",_xlfn.IFNA(VLOOKUP(D23,'인원 입력 기능 (사과탐)'!$A$236:$D$284,4,FALSE),0))</f>
        <v>16</v>
      </c>
      <c r="H23" s="73">
        <f t="shared" si="4"/>
        <v>3.1397174254317113E-3</v>
      </c>
      <c r="I23" s="77">
        <f>SUM($G$7:G23)</f>
        <v>337</v>
      </c>
      <c r="J23" s="75">
        <f t="shared" si="5"/>
        <v>6.6130298273155419E-2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70</v>
      </c>
      <c r="E24" s="79">
        <f t="shared" si="0"/>
        <v>2</v>
      </c>
      <c r="F24" s="71">
        <f t="shared" si="3"/>
        <v>93.21</v>
      </c>
      <c r="G24" s="72">
        <f>IF(D24=D23,"",_xlfn.IFNA(VLOOKUP(D24,'인원 입력 기능 (사과탐)'!$A$236:$D$284,4,FALSE),0))</f>
        <v>18</v>
      </c>
      <c r="H24" s="73">
        <f t="shared" si="4"/>
        <v>3.5321821036106752E-3</v>
      </c>
      <c r="I24" s="77">
        <f>SUM($G$7:G24)</f>
        <v>355</v>
      </c>
      <c r="J24" s="75">
        <f t="shared" si="5"/>
        <v>6.9662480376766089E-2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69</v>
      </c>
      <c r="E25" s="79">
        <f t="shared" si="0"/>
        <v>2</v>
      </c>
      <c r="F25" s="71">
        <f t="shared" si="3"/>
        <v>92.87</v>
      </c>
      <c r="G25" s="72">
        <f>IF(D25=D24,"",_xlfn.IFNA(VLOOKUP(D25,'인원 입력 기능 (사과탐)'!$A$236:$D$284,4,FALSE),0))</f>
        <v>17</v>
      </c>
      <c r="H25" s="73">
        <f t="shared" si="4"/>
        <v>3.3359497645211933E-3</v>
      </c>
      <c r="I25" s="77">
        <f>SUM($G$7:G25)</f>
        <v>372</v>
      </c>
      <c r="J25" s="75">
        <f t="shared" si="5"/>
        <v>7.299843014128729E-2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68</v>
      </c>
      <c r="E26" s="79">
        <f t="shared" si="0"/>
        <v>2</v>
      </c>
      <c r="F26" s="71">
        <f t="shared" si="3"/>
        <v>92.56</v>
      </c>
      <c r="G26" s="72">
        <f>IF(D26=D25,"",_xlfn.IFNA(VLOOKUP(D26,'인원 입력 기능 (사과탐)'!$A$236:$D$284,4,FALSE),0))</f>
        <v>14</v>
      </c>
      <c r="H26" s="73">
        <f t="shared" si="4"/>
        <v>2.7472527472527475E-3</v>
      </c>
      <c r="I26" s="77">
        <f>SUM($G$7:G26)</f>
        <v>386</v>
      </c>
      <c r="J26" s="75">
        <f t="shared" si="5"/>
        <v>7.5745682888540028E-2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67</v>
      </c>
      <c r="E27" s="79">
        <f t="shared" si="0"/>
        <v>2</v>
      </c>
      <c r="F27" s="71">
        <f t="shared" si="3"/>
        <v>92.25</v>
      </c>
      <c r="G27" s="72">
        <f>IF(D27=D26,"",_xlfn.IFNA(VLOOKUP(D27,'인원 입력 기능 (사과탐)'!$A$236:$D$284,4,FALSE),0))</f>
        <v>18</v>
      </c>
      <c r="H27" s="73">
        <f t="shared" si="4"/>
        <v>3.5321821036106752E-3</v>
      </c>
      <c r="I27" s="77">
        <f>SUM($G$7:G27)</f>
        <v>404</v>
      </c>
      <c r="J27" s="75">
        <f t="shared" si="5"/>
        <v>7.9277864992150712E-2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66</v>
      </c>
      <c r="E28" s="79">
        <f t="shared" si="0"/>
        <v>2</v>
      </c>
      <c r="F28" s="71">
        <f t="shared" si="3"/>
        <v>91.84</v>
      </c>
      <c r="G28" s="72">
        <f>IF(D28=D27,"",_xlfn.IFNA(VLOOKUP(D28,'인원 입력 기능 (사과탐)'!$A$236:$D$284,4,FALSE),0))</f>
        <v>24</v>
      </c>
      <c r="H28" s="73">
        <f t="shared" si="4"/>
        <v>4.7095761381475663E-3</v>
      </c>
      <c r="I28" s="77">
        <f>SUM($G$7:G28)</f>
        <v>428</v>
      </c>
      <c r="J28" s="75">
        <f t="shared" si="5"/>
        <v>8.3987441130298268E-2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65</v>
      </c>
      <c r="E29" s="79">
        <f t="shared" si="0"/>
        <v>2</v>
      </c>
      <c r="F29" s="71">
        <f t="shared" si="3"/>
        <v>91.41</v>
      </c>
      <c r="G29" s="72">
        <f>IF(D29=D28,"",_xlfn.IFNA(VLOOKUP(D29,'인원 입력 기능 (사과탐)'!$A$236:$D$284,4,FALSE),0))</f>
        <v>19</v>
      </c>
      <c r="H29" s="73">
        <f t="shared" si="4"/>
        <v>3.7284144427001571E-3</v>
      </c>
      <c r="I29" s="77">
        <f>SUM($G$7:G29)</f>
        <v>447</v>
      </c>
      <c r="J29" s="75">
        <f t="shared" si="5"/>
        <v>8.7715855572998436E-2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64</v>
      </c>
      <c r="E30" s="79">
        <f t="shared" si="0"/>
        <v>2</v>
      </c>
      <c r="F30" s="71">
        <f t="shared" si="3"/>
        <v>91.01</v>
      </c>
      <c r="G30" s="72">
        <f>IF(D30=D29,"",_xlfn.IFNA(VLOOKUP(D30,'인원 입력 기능 (사과탐)'!$A$236:$D$284,4,FALSE),0))</f>
        <v>22</v>
      </c>
      <c r="H30" s="73">
        <f t="shared" si="4"/>
        <v>4.3171114599686025E-3</v>
      </c>
      <c r="I30" s="77">
        <f>SUM($G$7:G30)</f>
        <v>469</v>
      </c>
      <c r="J30" s="75">
        <f t="shared" si="5"/>
        <v>9.2032967032967039E-2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63</v>
      </c>
      <c r="E31" s="79">
        <f t="shared" si="0"/>
        <v>2</v>
      </c>
      <c r="F31" s="71">
        <f t="shared" si="3"/>
        <v>90.59</v>
      </c>
      <c r="G31" s="72">
        <f>IF(D31=D30,"",_xlfn.IFNA(VLOOKUP(D31,'인원 입력 기능 (사과탐)'!$A$236:$D$284,4,FALSE),0))</f>
        <v>21</v>
      </c>
      <c r="H31" s="73">
        <f t="shared" si="4"/>
        <v>4.120879120879121E-3</v>
      </c>
      <c r="I31" s="77">
        <f>SUM($G$7:G31)</f>
        <v>490</v>
      </c>
      <c r="J31" s="75">
        <f t="shared" si="5"/>
        <v>9.6153846153846159E-2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62</v>
      </c>
      <c r="E32" s="79">
        <f t="shared" si="0"/>
        <v>2</v>
      </c>
      <c r="F32" s="71">
        <f t="shared" si="3"/>
        <v>90.09</v>
      </c>
      <c r="G32" s="72">
        <f>IF(D32=D31,"",_xlfn.IFNA(VLOOKUP(D32,'인원 입력 기능 (사과탐)'!$A$236:$D$284,4,FALSE),0))</f>
        <v>30</v>
      </c>
      <c r="H32" s="73">
        <f t="shared" si="4"/>
        <v>5.8869701726844588E-3</v>
      </c>
      <c r="I32" s="77">
        <f>SUM($G$7:G32)</f>
        <v>520</v>
      </c>
      <c r="J32" s="75">
        <f t="shared" si="5"/>
        <v>0.10204081632653061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61</v>
      </c>
      <c r="E33" s="79">
        <f t="shared" si="0"/>
        <v>2</v>
      </c>
      <c r="F33" s="71">
        <f t="shared" si="3"/>
        <v>89.49</v>
      </c>
      <c r="G33" s="72">
        <f>IF(D33=D32,"",_xlfn.IFNA(VLOOKUP(D33,'인원 입력 기능 (사과탐)'!$A$236:$D$284,4,FALSE),0))</f>
        <v>31</v>
      </c>
      <c r="H33" s="73">
        <f t="shared" si="4"/>
        <v>6.0832025117739403E-3</v>
      </c>
      <c r="I33" s="77">
        <f>SUM($G$7:G33)</f>
        <v>551</v>
      </c>
      <c r="J33" s="75">
        <f t="shared" si="5"/>
        <v>0.10812401883830455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60</v>
      </c>
      <c r="E34" s="79">
        <f t="shared" si="0"/>
        <v>2</v>
      </c>
      <c r="F34" s="71">
        <f t="shared" si="3"/>
        <v>88.82</v>
      </c>
      <c r="G34" s="72">
        <f>IF(D34=D33,"",_xlfn.IFNA(VLOOKUP(D34,'인원 입력 기능 (사과탐)'!$A$236:$D$284,4,FALSE),0))</f>
        <v>37</v>
      </c>
      <c r="H34" s="73">
        <f t="shared" si="4"/>
        <v>7.2605965463108319E-3</v>
      </c>
      <c r="I34" s="77">
        <f>SUM($G$7:G34)</f>
        <v>588</v>
      </c>
      <c r="J34" s="75">
        <f t="shared" si="5"/>
        <v>0.11538461538461539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59</v>
      </c>
      <c r="E35" s="79">
        <f t="shared" si="0"/>
        <v>3</v>
      </c>
      <c r="F35" s="71">
        <f t="shared" si="3"/>
        <v>87.95</v>
      </c>
      <c r="G35" s="72">
        <f>IF(D35=D34,"",_xlfn.IFNA(VLOOKUP(D35,'인원 입력 기능 (사과탐)'!$A$236:$D$284,4,FALSE),0))</f>
        <v>52</v>
      </c>
      <c r="H35" s="73">
        <f t="shared" si="4"/>
        <v>1.020408163265306E-2</v>
      </c>
      <c r="I35" s="77">
        <f>SUM($G$7:G35)</f>
        <v>640</v>
      </c>
      <c r="J35" s="75">
        <f t="shared" si="5"/>
        <v>0.12558869701726844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57</v>
      </c>
      <c r="E36" s="79">
        <f t="shared" si="0"/>
        <v>3</v>
      </c>
      <c r="F36" s="71">
        <f t="shared" si="3"/>
        <v>86.78</v>
      </c>
      <c r="G36" s="72">
        <f>IF(D36=D35,"",_xlfn.IFNA(VLOOKUP(D36,'인원 입력 기능 (사과탐)'!$A$236:$D$284,4,FALSE),0))</f>
        <v>67</v>
      </c>
      <c r="H36" s="73">
        <f t="shared" si="4"/>
        <v>1.314756671899529E-2</v>
      </c>
      <c r="I36" s="77">
        <f>SUM($G$7:G36)</f>
        <v>707</v>
      </c>
      <c r="J36" s="75">
        <f t="shared" si="5"/>
        <v>0.13873626373626374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56</v>
      </c>
      <c r="E37" s="79">
        <f t="shared" si="0"/>
        <v>3</v>
      </c>
      <c r="F37" s="71">
        <f t="shared" si="3"/>
        <v>85.41</v>
      </c>
      <c r="G37" s="72">
        <f>IF(D37=D36,"",_xlfn.IFNA(VLOOKUP(D37,'인원 입력 기능 (사과탐)'!$A$236:$D$284,4,FALSE),0))</f>
        <v>73</v>
      </c>
      <c r="H37" s="73">
        <f t="shared" si="4"/>
        <v>1.4324960753532182E-2</v>
      </c>
      <c r="I37" s="77">
        <f>SUM($G$7:G37)</f>
        <v>780</v>
      </c>
      <c r="J37" s="75">
        <f t="shared" si="5"/>
        <v>0.15306122448979592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55</v>
      </c>
      <c r="E38" s="79">
        <f t="shared" si="0"/>
        <v>3</v>
      </c>
      <c r="F38" s="71">
        <f t="shared" si="3"/>
        <v>83.67</v>
      </c>
      <c r="G38" s="72">
        <f>IF(D38=D37,"",_xlfn.IFNA(VLOOKUP(D38,'인원 입력 기능 (사과탐)'!$A$236:$D$284,4,FALSE),0))</f>
        <v>104</v>
      </c>
      <c r="H38" s="73">
        <f t="shared" si="4"/>
        <v>2.0408163265306121E-2</v>
      </c>
      <c r="I38" s="77">
        <f>SUM($G$7:G38)</f>
        <v>884</v>
      </c>
      <c r="J38" s="75">
        <f t="shared" si="5"/>
        <v>0.17346938775510204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54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81.58</v>
      </c>
      <c r="G39" s="72">
        <f>IF(D39=D38,"",_xlfn.IFNA(VLOOKUP(D39,'인원 입력 기능 (사과탐)'!$A$236:$D$284,4,FALSE),0))</f>
        <v>109</v>
      </c>
      <c r="H39" s="73">
        <f t="shared" si="4"/>
        <v>2.1389324960753534E-2</v>
      </c>
      <c r="I39" s="77">
        <f>SUM($G$7:G39)</f>
        <v>993</v>
      </c>
      <c r="J39" s="75">
        <f t="shared" si="5"/>
        <v>0.19485871271585559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53</v>
      </c>
      <c r="E40" s="79">
        <f t="shared" si="6"/>
        <v>3</v>
      </c>
      <c r="F40" s="71">
        <f t="shared" si="3"/>
        <v>78.86</v>
      </c>
      <c r="G40" s="72">
        <f>IF(D40=D39,"",_xlfn.IFNA(VLOOKUP(D40,'인원 입력 기능 (사과탐)'!$A$236:$D$284,4,FALSE),0))</f>
        <v>169</v>
      </c>
      <c r="H40" s="73">
        <f t="shared" si="4"/>
        <v>3.3163265306122451E-2</v>
      </c>
      <c r="I40" s="77">
        <f>SUM($G$7:G40)</f>
        <v>1162</v>
      </c>
      <c r="J40" s="75">
        <f t="shared" si="5"/>
        <v>0.22802197802197802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52</v>
      </c>
      <c r="E41" s="79">
        <f t="shared" si="6"/>
        <v>3</v>
      </c>
      <c r="F41" s="71">
        <f t="shared" si="3"/>
        <v>75.459999999999994</v>
      </c>
      <c r="G41" s="72">
        <f>IF(D41=D40,"",_xlfn.IFNA(VLOOKUP(D41,'인원 입력 기능 (사과탐)'!$A$236:$D$284,4,FALSE),0))</f>
        <v>177</v>
      </c>
      <c r="H41" s="73">
        <f t="shared" si="4"/>
        <v>3.4733124018838303E-2</v>
      </c>
      <c r="I41" s="77">
        <f>SUM($G$7:G41)</f>
        <v>1339</v>
      </c>
      <c r="J41" s="75">
        <f t="shared" si="5"/>
        <v>0.26275510204081631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51</v>
      </c>
      <c r="E42" s="79">
        <f t="shared" si="6"/>
        <v>4</v>
      </c>
      <c r="F42" s="71">
        <f t="shared" si="3"/>
        <v>71.790000000000006</v>
      </c>
      <c r="G42" s="72">
        <f>IF(D42=D41,"",_xlfn.IFNA(VLOOKUP(D42,'인원 입력 기능 (사과탐)'!$A$236:$D$284,4,FALSE),0))</f>
        <v>197</v>
      </c>
      <c r="H42" s="73">
        <f t="shared" si="4"/>
        <v>3.8657770800627947E-2</v>
      </c>
      <c r="I42" s="77">
        <f>SUM($G$7:G42)</f>
        <v>1536</v>
      </c>
      <c r="J42" s="75">
        <f t="shared" si="5"/>
        <v>0.30141287284144425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50</v>
      </c>
      <c r="E43" s="79">
        <f t="shared" si="6"/>
        <v>4</v>
      </c>
      <c r="F43" s="71">
        <f t="shared" si="3"/>
        <v>67.55</v>
      </c>
      <c r="G43" s="72">
        <f>IF(D43=D42,"",_xlfn.IFNA(VLOOKUP(D43,'인원 입력 기능 (사과탐)'!$A$236:$D$284,4,FALSE),0))</f>
        <v>235</v>
      </c>
      <c r="H43" s="73">
        <f t="shared" si="4"/>
        <v>4.6114599686028254E-2</v>
      </c>
      <c r="I43" s="77">
        <f>SUM($G$7:G43)</f>
        <v>1771</v>
      </c>
      <c r="J43" s="75">
        <f t="shared" si="5"/>
        <v>0.34752747252747251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49</v>
      </c>
      <c r="E44" s="79">
        <f t="shared" si="6"/>
        <v>4</v>
      </c>
      <c r="F44" s="71">
        <f t="shared" si="3"/>
        <v>62.8</v>
      </c>
      <c r="G44" s="72">
        <f>IF(D44=D43,"",_xlfn.IFNA(VLOOKUP(D44,'인원 입력 기능 (사과탐)'!$A$236:$D$284,4,FALSE),0))</f>
        <v>249</v>
      </c>
      <c r="H44" s="73">
        <f t="shared" si="4"/>
        <v>4.8861852433281006E-2</v>
      </c>
      <c r="I44" s="77">
        <f>SUM($G$7:G44)</f>
        <v>2020</v>
      </c>
      <c r="J44" s="75">
        <f t="shared" si="5"/>
        <v>0.39638932496075352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48</v>
      </c>
      <c r="E45" s="79">
        <f t="shared" si="6"/>
        <v>4</v>
      </c>
      <c r="F45" s="71">
        <f t="shared" si="3"/>
        <v>56.3</v>
      </c>
      <c r="G45" s="72">
        <f>IF(D45=D44,"",_xlfn.IFNA(VLOOKUP(D45,'인원 입력 기능 (사과탐)'!$A$236:$D$284,4,FALSE),0))</f>
        <v>414</v>
      </c>
      <c r="H45" s="73">
        <f t="shared" si="4"/>
        <v>8.1240188383045531E-2</v>
      </c>
      <c r="I45" s="77">
        <f>SUM($G$7:G45)</f>
        <v>2434</v>
      </c>
      <c r="J45" s="75">
        <f t="shared" si="5"/>
        <v>0.47762951334379905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47</v>
      </c>
      <c r="E46" s="79">
        <f t="shared" si="6"/>
        <v>5</v>
      </c>
      <c r="F46" s="71">
        <f t="shared" si="3"/>
        <v>48.88</v>
      </c>
      <c r="G46" s="72">
        <f>IF(D46=D45,"",_xlfn.IFNA(VLOOKUP(D46,'인원 입력 기능 (사과탐)'!$A$236:$D$284,4,FALSE),0))</f>
        <v>342</v>
      </c>
      <c r="H46" s="73">
        <f t="shared" si="4"/>
        <v>6.7111459968602821E-2</v>
      </c>
      <c r="I46" s="77">
        <f>SUM($G$7:G46)</f>
        <v>2776</v>
      </c>
      <c r="J46" s="75">
        <f t="shared" si="5"/>
        <v>0.5447409733124019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46</v>
      </c>
      <c r="E47" s="79">
        <f t="shared" si="6"/>
        <v>5</v>
      </c>
      <c r="F47" s="71">
        <f t="shared" si="3"/>
        <v>40.130000000000003</v>
      </c>
      <c r="G47" s="72">
        <f>IF(D47=D46,"",_xlfn.IFNA(VLOOKUP(D47,'인원 입력 기능 (사과탐)'!$A$236:$D$284,4,FALSE),0))</f>
        <v>550</v>
      </c>
      <c r="H47" s="73">
        <f t="shared" si="4"/>
        <v>0.10792778649921507</v>
      </c>
      <c r="I47" s="77">
        <f>SUM($G$7:G47)</f>
        <v>3326</v>
      </c>
      <c r="J47" s="75">
        <f t="shared" si="5"/>
        <v>0.65266875981161698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45</v>
      </c>
      <c r="E48" s="79">
        <f t="shared" si="6"/>
        <v>6</v>
      </c>
      <c r="F48" s="71">
        <f t="shared" si="3"/>
        <v>27.82</v>
      </c>
      <c r="G48" s="72">
        <f>IF(D48=D47,"",_xlfn.IFNA(VLOOKUP(D48,'인원 입력 기능 (사과탐)'!$A$236:$D$284,4,FALSE),0))</f>
        <v>705</v>
      </c>
      <c r="H48" s="73">
        <f t="shared" si="4"/>
        <v>0.13834379905808478</v>
      </c>
      <c r="I48" s="77">
        <f>SUM($G$7:G48)</f>
        <v>4031</v>
      </c>
      <c r="J48" s="75">
        <f t="shared" si="5"/>
        <v>0.79101255886970168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44</v>
      </c>
      <c r="E49" s="79">
        <f t="shared" si="6"/>
        <v>7</v>
      </c>
      <c r="F49" s="71">
        <f t="shared" si="3"/>
        <v>18.03</v>
      </c>
      <c r="G49" s="72">
        <f>IF(D49=D48,"",_xlfn.IFNA(VLOOKUP(D49,'인원 입력 기능 (사과탐)'!$A$236:$D$284,4,FALSE),0))</f>
        <v>292</v>
      </c>
      <c r="H49" s="73">
        <f t="shared" si="4"/>
        <v>5.7299843014128729E-2</v>
      </c>
      <c r="I49" s="77">
        <f>SUM($G$7:G49)</f>
        <v>4323</v>
      </c>
      <c r="J49" s="75">
        <f t="shared" si="5"/>
        <v>0.8483124018838305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43</v>
      </c>
      <c r="E50" s="79">
        <f t="shared" si="6"/>
        <v>7</v>
      </c>
      <c r="F50" s="71">
        <f t="shared" si="3"/>
        <v>12.52</v>
      </c>
      <c r="G50" s="72">
        <f>IF(D50=D49,"",_xlfn.IFNA(VLOOKUP(D50,'인원 입력 기능 (사과탐)'!$A$236:$D$284,4,FALSE),0))</f>
        <v>270</v>
      </c>
      <c r="H50" s="73">
        <f t="shared" si="4"/>
        <v>5.2982731554160126E-2</v>
      </c>
      <c r="I50" s="77">
        <f>SUM($G$7:G50)</f>
        <v>4593</v>
      </c>
      <c r="J50" s="75">
        <f t="shared" si="5"/>
        <v>0.90129513343799061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v>41</v>
      </c>
      <c r="E51" s="79">
        <f t="shared" si="6"/>
        <v>8</v>
      </c>
      <c r="F51" s="71">
        <f t="shared" si="3"/>
        <v>8.77</v>
      </c>
      <c r="G51" s="72">
        <f>IF(D51=D50,"",_xlfn.IFNA(VLOOKUP(D51,'인원 입력 기능 (사과탐)'!$A$236:$D$284,4,FALSE),0))</f>
        <v>112</v>
      </c>
      <c r="H51" s="73">
        <f t="shared" si="4"/>
        <v>2.197802197802198E-2</v>
      </c>
      <c r="I51" s="77">
        <f>SUM($G$7:G51)</f>
        <v>4705</v>
      </c>
      <c r="J51" s="75">
        <f t="shared" si="5"/>
        <v>0.92327315541601251</v>
      </c>
      <c r="K51" s="28"/>
      <c r="L51" s="5" t="str">
        <f t="shared" si="1"/>
        <v>경고</v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40</v>
      </c>
      <c r="E52" s="79">
        <f t="shared" si="6"/>
        <v>8</v>
      </c>
      <c r="F52" s="71">
        <f t="shared" si="3"/>
        <v>5.99</v>
      </c>
      <c r="G52" s="72">
        <f>IF(D52=D51,"",_xlfn.IFNA(VLOOKUP(D52,'인원 입력 기능 (사과탐)'!$A$236:$D$284,4,FALSE),0))</f>
        <v>171</v>
      </c>
      <c r="H52" s="73">
        <f t="shared" si="4"/>
        <v>3.3555729984301411E-2</v>
      </c>
      <c r="I52" s="77">
        <f>SUM($G$7:G52)</f>
        <v>4876</v>
      </c>
      <c r="J52" s="75">
        <f t="shared" si="5"/>
        <v>0.95682888540031397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39</v>
      </c>
      <c r="E53" s="70">
        <f t="shared" si="6"/>
        <v>8</v>
      </c>
      <c r="F53" s="71">
        <f t="shared" si="3"/>
        <v>3.33</v>
      </c>
      <c r="G53" s="72">
        <f>IF(D53=D52,"",_xlfn.IFNA(VLOOKUP(D53,'인원 입력 기능 (사과탐)'!$A$236:$D$284,4,FALSE),0))</f>
        <v>101</v>
      </c>
      <c r="H53" s="73">
        <f t="shared" si="4"/>
        <v>1.9819466248037678E-2</v>
      </c>
      <c r="I53" s="77">
        <f>SUM($G$7:G53)</f>
        <v>4977</v>
      </c>
      <c r="J53" s="75">
        <f t="shared" si="5"/>
        <v>0.97664835164835162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38</v>
      </c>
      <c r="E54" s="70">
        <f t="shared" si="6"/>
        <v>9</v>
      </c>
      <c r="F54" s="71">
        <f t="shared" si="3"/>
        <v>1.91</v>
      </c>
      <c r="G54" s="72">
        <f>IF(D54=D53,"",_xlfn.IFNA(VLOOKUP(D54,'인원 입력 기능 (사과탐)'!$A$236:$D$284,4,FALSE),0))</f>
        <v>43</v>
      </c>
      <c r="H54" s="73">
        <f t="shared" si="4"/>
        <v>8.4379905808477235E-3</v>
      </c>
      <c r="I54" s="77">
        <f>SUM($G$7:G54)</f>
        <v>5020</v>
      </c>
      <c r="J54" s="75">
        <f t="shared" si="5"/>
        <v>0.98508634222919933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37</v>
      </c>
      <c r="E55" s="70">
        <f t="shared" si="6"/>
        <v>9</v>
      </c>
      <c r="F55" s="71">
        <f t="shared" si="3"/>
        <v>1</v>
      </c>
      <c r="G55" s="72">
        <f>IF(D55=D54,"",_xlfn.IFNA(VLOOKUP(D55,'인원 입력 기능 (사과탐)'!$A$236:$D$284,4,FALSE),0))</f>
        <v>50</v>
      </c>
      <c r="H55" s="73">
        <f t="shared" si="4"/>
        <v>9.8116169544740974E-3</v>
      </c>
      <c r="I55" s="77">
        <f>SUM($G$7:G55)</f>
        <v>5070</v>
      </c>
      <c r="J55" s="75">
        <f t="shared" si="5"/>
        <v>0.99489795918367352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35</v>
      </c>
      <c r="E57" s="83">
        <f t="shared" si="6"/>
        <v>9</v>
      </c>
      <c r="F57" s="84">
        <f>IF(I55=0,ROUND(100*(1-(I54+I57)/2/$J$3),2),ROUND(100*(1-(I55+I57)/2/$J$3),2))</f>
        <v>0.26</v>
      </c>
      <c r="G57" s="85">
        <f>_xlfn.IFNA(VLOOKUP(D57,'인원 입력 기능 (사과탐)'!$A$236:$D$284,4,FALSE),0)</f>
        <v>26</v>
      </c>
      <c r="H57" s="86">
        <f>G57/$J$3</f>
        <v>5.1020408163265302E-3</v>
      </c>
      <c r="I57" s="87">
        <f>SUM($G$7:G57)</f>
        <v>5096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13" priority="3">
      <formula>OR($D7=$Q$7:$Q$14)</formula>
    </cfRule>
  </conditionalFormatting>
  <conditionalFormatting sqref="C7:C57">
    <cfRule type="expression" dxfId="12" priority="2">
      <formula>OR(AND($D7=0,OR($D6=$Q$7:$Q$14)),AND($D8&gt;0,OR($D7=$Q$7:$Q$14)))</formula>
    </cfRule>
  </conditionalFormatting>
  <conditionalFormatting sqref="D7:D57">
    <cfRule type="expression" dxfId="11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기능'!D20</f>
        <v>15.65</v>
      </c>
      <c r="I3" s="15" t="s">
        <v>84</v>
      </c>
      <c r="J3" s="35">
        <f>'통계 및 응시자 수 입력 기능'!C20</f>
        <v>4892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66" t="s">
        <v>90</v>
      </c>
      <c r="E4" s="108"/>
      <c r="F4" s="109"/>
      <c r="G4" s="37" t="s">
        <v>87</v>
      </c>
      <c r="H4" s="38" t="str">
        <f>'통계 및 응시자 수 입력 기능'!E20</f>
        <v xml:space="preserve"> 8.94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88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99.82</v>
      </c>
      <c r="G7" s="72">
        <f>_xlfn.IFNA(VLOOKUP(D7,'인원 입력 기능 (사과탐)'!$F$236:$I$284,4,FALSE),0)</f>
        <v>18</v>
      </c>
      <c r="H7" s="73">
        <f>G7/$J$3</f>
        <v>3.6794766966475878E-3</v>
      </c>
      <c r="I7" s="74">
        <f>G7</f>
        <v>18</v>
      </c>
      <c r="J7" s="75">
        <f>I7/$J$3</f>
        <v>3.6794766966475878E-3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입력기능'!C148</f>
        <v>75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입력기능'!C149</f>
        <v>63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86</v>
      </c>
      <c r="E9" s="70">
        <f t="shared" si="0"/>
        <v>1</v>
      </c>
      <c r="F9" s="71">
        <f>IF(I8=0,ROUND(100*(1-(I7+I9)/2/$J$3),2),ROUND(100*(1-(I8+I9)/2/$J$3),2))</f>
        <v>99.57</v>
      </c>
      <c r="G9" s="72">
        <f>_xlfn.IFNA(VLOOKUP(D9,'인원 입력 기능 (사과탐)'!$F$236:$I$284,4,FALSE),0)</f>
        <v>6</v>
      </c>
      <c r="H9" s="73">
        <f>G9/$J$3</f>
        <v>1.2264922322158627E-3</v>
      </c>
      <c r="I9" s="77">
        <f>SUM($G$7:G9)</f>
        <v>24</v>
      </c>
      <c r="J9" s="75">
        <f>I9/$J$3</f>
        <v>4.9059689288634507E-3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입력기능'!C150</f>
        <v>55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85</v>
      </c>
      <c r="E10" s="70">
        <f t="shared" si="0"/>
        <v>1</v>
      </c>
      <c r="F10" s="71">
        <f t="shared" ref="F10:F55" si="3">IF(I9=0,ROUND(100*(1-(I8+I10)/2/$J$3),2),ROUND(100*(1-(I9+I10)/2/$J$3),2))</f>
        <v>99.35</v>
      </c>
      <c r="G10" s="72">
        <f>IF(D10=D9,"",_xlfn.IFNA(VLOOKUP(D10,'인원 입력 기능 (사과탐)'!$F$236:$I$284,4,FALSE),0))</f>
        <v>16</v>
      </c>
      <c r="H10" s="73">
        <f t="shared" ref="H10:H55" si="4">G10/$J$3</f>
        <v>3.2706459525756338E-3</v>
      </c>
      <c r="I10" s="77">
        <f>SUM($G$7:G10)</f>
        <v>40</v>
      </c>
      <c r="J10" s="75">
        <f t="shared" ref="J10:J55" si="5">I10/$J$3</f>
        <v>8.1766148814390836E-3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입력기능'!C151</f>
        <v>49</v>
      </c>
    </row>
    <row r="11" spans="1:17" ht="25" customHeight="1" x14ac:dyDescent="0.45">
      <c r="A11" s="4"/>
      <c r="B11" s="19"/>
      <c r="C11" s="69">
        <v>46</v>
      </c>
      <c r="D11" s="70">
        <f t="shared" si="2"/>
        <v>84</v>
      </c>
      <c r="E11" s="70">
        <f t="shared" si="0"/>
        <v>1</v>
      </c>
      <c r="F11" s="71">
        <f t="shared" si="3"/>
        <v>99.15</v>
      </c>
      <c r="G11" s="72">
        <f>IF(D11=D10,"",_xlfn.IFNA(VLOOKUP(D11,'인원 입력 기능 (사과탐)'!$F$236:$I$284,4,FALSE),0))</f>
        <v>3</v>
      </c>
      <c r="H11" s="73">
        <f t="shared" si="4"/>
        <v>6.1324611610793134E-4</v>
      </c>
      <c r="I11" s="77">
        <f>SUM($G$7:G11)</f>
        <v>43</v>
      </c>
      <c r="J11" s="75">
        <f t="shared" si="5"/>
        <v>8.7898609975470155E-3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입력기능'!C152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83</v>
      </c>
      <c r="E12" s="70">
        <f t="shared" si="0"/>
        <v>1</v>
      </c>
      <c r="F12" s="71">
        <f t="shared" si="3"/>
        <v>98.94</v>
      </c>
      <c r="G12" s="72">
        <f>IF(D12=D11,"",_xlfn.IFNA(VLOOKUP(D12,'인원 입력 기능 (사과탐)'!$F$236:$I$284,4,FALSE),0))</f>
        <v>18</v>
      </c>
      <c r="H12" s="73">
        <f t="shared" si="4"/>
        <v>3.6794766966475878E-3</v>
      </c>
      <c r="I12" s="77">
        <f>SUM($G$7:G12)</f>
        <v>61</v>
      </c>
      <c r="J12" s="75">
        <f t="shared" si="5"/>
        <v>1.2469337694194603E-2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입력기능'!C153</f>
        <v>44</v>
      </c>
    </row>
    <row r="13" spans="1:17" ht="25" customHeight="1" x14ac:dyDescent="0.45">
      <c r="A13" s="4"/>
      <c r="B13" s="19"/>
      <c r="C13" s="69">
        <v>44</v>
      </c>
      <c r="D13" s="70">
        <f t="shared" si="2"/>
        <v>82</v>
      </c>
      <c r="E13" s="70">
        <f t="shared" si="0"/>
        <v>1</v>
      </c>
      <c r="F13" s="71">
        <f t="shared" si="3"/>
        <v>98.42</v>
      </c>
      <c r="G13" s="72">
        <f>IF(D13=D12,"",_xlfn.IFNA(VLOOKUP(D13,'인원 입력 기능 (사과탐)'!$F$236:$I$284,4,FALSE),0))</f>
        <v>33</v>
      </c>
      <c r="H13" s="73">
        <f t="shared" si="4"/>
        <v>6.7457072771872446E-3</v>
      </c>
      <c r="I13" s="77">
        <f>SUM($G$7:G13)</f>
        <v>94</v>
      </c>
      <c r="J13" s="75">
        <f t="shared" si="5"/>
        <v>1.9215044971381847E-2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입력기능'!C154</f>
        <v>40</v>
      </c>
    </row>
    <row r="14" spans="1:17" ht="25" customHeight="1" x14ac:dyDescent="0.45">
      <c r="A14" s="4"/>
      <c r="B14" s="19"/>
      <c r="C14" s="76">
        <v>43</v>
      </c>
      <c r="D14" s="70">
        <f t="shared" si="2"/>
        <v>81</v>
      </c>
      <c r="E14" s="70">
        <f t="shared" si="0"/>
        <v>1</v>
      </c>
      <c r="F14" s="71">
        <f t="shared" si="3"/>
        <v>98</v>
      </c>
      <c r="G14" s="72">
        <f>IF(D14=D13,"",_xlfn.IFNA(VLOOKUP(D14,'인원 입력 기능 (사과탐)'!$F$236:$I$284,4,FALSE),0))</f>
        <v>8</v>
      </c>
      <c r="H14" s="73">
        <f t="shared" si="4"/>
        <v>1.6353229762878169E-3</v>
      </c>
      <c r="I14" s="77">
        <f>SUM($G$7:G14)</f>
        <v>102</v>
      </c>
      <c r="J14" s="75">
        <f t="shared" si="5"/>
        <v>2.0850367947669663E-2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입력기능'!C155</f>
        <v>38</v>
      </c>
    </row>
    <row r="15" spans="1:17" ht="25" customHeight="1" x14ac:dyDescent="0.45">
      <c r="A15" s="4"/>
      <c r="B15" s="19"/>
      <c r="C15" s="69">
        <v>42</v>
      </c>
      <c r="D15" s="70">
        <f t="shared" si="2"/>
        <v>79</v>
      </c>
      <c r="E15" s="70">
        <f t="shared" si="0"/>
        <v>1</v>
      </c>
      <c r="F15" s="71">
        <f t="shared" si="3"/>
        <v>97.61</v>
      </c>
      <c r="G15" s="72">
        <f>IF(D15=D14,"",_xlfn.IFNA(VLOOKUP(D15,'인원 입력 기능 (사과탐)'!$F$236:$I$284,4,FALSE),0))</f>
        <v>30</v>
      </c>
      <c r="H15" s="73">
        <f t="shared" si="4"/>
        <v>6.1324611610793136E-3</v>
      </c>
      <c r="I15" s="77">
        <f>SUM($G$7:G15)</f>
        <v>132</v>
      </c>
      <c r="J15" s="75">
        <f t="shared" si="5"/>
        <v>2.6982829108748978E-2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78</v>
      </c>
      <c r="E16" s="70">
        <f t="shared" si="0"/>
        <v>1</v>
      </c>
      <c r="F16" s="71">
        <f t="shared" si="3"/>
        <v>97.1</v>
      </c>
      <c r="G16" s="72">
        <f>IF(D16=D15,"",_xlfn.IFNA(VLOOKUP(D16,'인원 입력 기능 (사과탐)'!$F$236:$I$284,4,FALSE),0))</f>
        <v>20</v>
      </c>
      <c r="H16" s="73">
        <f t="shared" si="4"/>
        <v>4.0883074407195418E-3</v>
      </c>
      <c r="I16" s="77">
        <f>SUM($G$7:G16)</f>
        <v>152</v>
      </c>
      <c r="J16" s="75">
        <f t="shared" si="5"/>
        <v>3.1071136549468518E-2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77</v>
      </c>
      <c r="E17" s="70">
        <f t="shared" si="0"/>
        <v>1</v>
      </c>
      <c r="F17" s="71">
        <f t="shared" si="3"/>
        <v>96.8</v>
      </c>
      <c r="G17" s="72">
        <f>IF(D17=D16,"",_xlfn.IFNA(VLOOKUP(D17,'인원 입력 기능 (사과탐)'!$F$236:$I$284,4,FALSE),0))</f>
        <v>9</v>
      </c>
      <c r="H17" s="73">
        <f t="shared" si="4"/>
        <v>1.8397383483237939E-3</v>
      </c>
      <c r="I17" s="77">
        <f>SUM($G$7:G17)</f>
        <v>161</v>
      </c>
      <c r="J17" s="75">
        <f t="shared" si="5"/>
        <v>3.2910874897792312E-2</v>
      </c>
      <c r="K17" s="28"/>
      <c r="L17" s="5" t="str">
        <f t="shared" si="1"/>
        <v/>
      </c>
      <c r="N17" s="1"/>
      <c r="P17" s="1">
        <f>Q7*H3*H4*J3*IFERROR(IF(J57=1, 1, 0), 0)</f>
        <v>51333345.899999991</v>
      </c>
    </row>
    <row r="18" spans="1:16" ht="25" customHeight="1" x14ac:dyDescent="0.45">
      <c r="A18" s="4"/>
      <c r="B18" s="19"/>
      <c r="C18" s="76">
        <v>39</v>
      </c>
      <c r="D18" s="70">
        <f t="shared" si="2"/>
        <v>76</v>
      </c>
      <c r="E18" s="70">
        <f t="shared" si="0"/>
        <v>1</v>
      </c>
      <c r="F18" s="71">
        <f t="shared" si="3"/>
        <v>96.52</v>
      </c>
      <c r="G18" s="72">
        <f>IF(D18=D17,"",_xlfn.IFNA(VLOOKUP(D18,'인원 입력 기능 (사과탐)'!$F$236:$I$284,4,FALSE),0))</f>
        <v>18</v>
      </c>
      <c r="H18" s="73">
        <f t="shared" si="4"/>
        <v>3.6794766966475878E-3</v>
      </c>
      <c r="I18" s="77">
        <f>SUM($G$7:G18)</f>
        <v>179</v>
      </c>
      <c r="J18" s="75">
        <f t="shared" si="5"/>
        <v>3.65903515944399E-2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75</v>
      </c>
      <c r="E19" s="70">
        <f t="shared" si="0"/>
        <v>1</v>
      </c>
      <c r="F19" s="71">
        <f t="shared" si="3"/>
        <v>96.09</v>
      </c>
      <c r="G19" s="72">
        <f>IF(D19=D18,"",_xlfn.IFNA(VLOOKUP(D19,'인원 입력 기능 (사과탐)'!$F$236:$I$284,4,FALSE),0))</f>
        <v>25</v>
      </c>
      <c r="H19" s="73">
        <f t="shared" si="4"/>
        <v>5.1103843008994277E-3</v>
      </c>
      <c r="I19" s="77">
        <f>SUM($G$7:G19)</f>
        <v>204</v>
      </c>
      <c r="J19" s="75">
        <f t="shared" si="5"/>
        <v>4.1700735895339326E-2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74</v>
      </c>
      <c r="E20" s="70">
        <f t="shared" si="0"/>
        <v>2</v>
      </c>
      <c r="F20" s="71">
        <f t="shared" si="3"/>
        <v>95.64</v>
      </c>
      <c r="G20" s="72">
        <f>IF(D20=D19,"",_xlfn.IFNA(VLOOKUP(D20,'인원 입력 기능 (사과탐)'!$F$236:$I$284,4,FALSE),0))</f>
        <v>19</v>
      </c>
      <c r="H20" s="73">
        <f t="shared" si="4"/>
        <v>3.8838920686835648E-3</v>
      </c>
      <c r="I20" s="77">
        <f>SUM($G$7:G20)</f>
        <v>223</v>
      </c>
      <c r="J20" s="75">
        <f t="shared" si="5"/>
        <v>4.5584627964022892E-2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73</v>
      </c>
      <c r="E21" s="79">
        <f t="shared" si="0"/>
        <v>2</v>
      </c>
      <c r="F21" s="71">
        <f t="shared" si="3"/>
        <v>95.16</v>
      </c>
      <c r="G21" s="72">
        <f>IF(D21=D20,"",_xlfn.IFNA(VLOOKUP(D21,'인원 입력 기능 (사과탐)'!$F$236:$I$284,4,FALSE),0))</f>
        <v>28</v>
      </c>
      <c r="H21" s="73">
        <f t="shared" si="4"/>
        <v>5.7236304170073587E-3</v>
      </c>
      <c r="I21" s="77">
        <f>SUM($G$7:G21)</f>
        <v>251</v>
      </c>
      <c r="J21" s="75">
        <f t="shared" si="5"/>
        <v>5.1308258381030251E-2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72</v>
      </c>
      <c r="E22" s="79">
        <f t="shared" si="0"/>
        <v>2</v>
      </c>
      <c r="F22" s="71">
        <f t="shared" si="3"/>
        <v>94.62</v>
      </c>
      <c r="G22" s="72">
        <f>IF(D22=D21,"",_xlfn.IFNA(VLOOKUP(D22,'인원 입력 기능 (사과탐)'!$F$236:$I$284,4,FALSE),0))</f>
        <v>24</v>
      </c>
      <c r="H22" s="73">
        <f t="shared" si="4"/>
        <v>4.9059689288634507E-3</v>
      </c>
      <c r="I22" s="77">
        <f>SUM($G$7:G22)</f>
        <v>275</v>
      </c>
      <c r="J22" s="75">
        <f t="shared" si="5"/>
        <v>5.6214227309893706E-2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71</v>
      </c>
      <c r="E23" s="79">
        <f t="shared" si="0"/>
        <v>2</v>
      </c>
      <c r="F23" s="71">
        <f t="shared" si="3"/>
        <v>94.1</v>
      </c>
      <c r="G23" s="72">
        <f>IF(D23=D22,"",_xlfn.IFNA(VLOOKUP(D23,'인원 입력 기능 (사과탐)'!$F$236:$I$284,4,FALSE),0))</f>
        <v>27</v>
      </c>
      <c r="H23" s="73">
        <f t="shared" si="4"/>
        <v>5.5192150449713817E-3</v>
      </c>
      <c r="I23" s="77">
        <f>SUM($G$7:G23)</f>
        <v>302</v>
      </c>
      <c r="J23" s="75">
        <f t="shared" si="5"/>
        <v>6.1733442354865088E-2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69</v>
      </c>
      <c r="E24" s="79">
        <f t="shared" si="0"/>
        <v>2</v>
      </c>
      <c r="F24" s="71">
        <f t="shared" si="3"/>
        <v>93.5</v>
      </c>
      <c r="G24" s="72">
        <f>IF(D24=D23,"",_xlfn.IFNA(VLOOKUP(D24,'인원 입력 기능 (사과탐)'!$F$236:$I$284,4,FALSE),0))</f>
        <v>32</v>
      </c>
      <c r="H24" s="73">
        <f t="shared" si="4"/>
        <v>6.5412919051512676E-3</v>
      </c>
      <c r="I24" s="77">
        <f>SUM($G$7:G24)</f>
        <v>334</v>
      </c>
      <c r="J24" s="75">
        <f t="shared" si="5"/>
        <v>6.8274734260016359E-2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68</v>
      </c>
      <c r="E25" s="79">
        <f t="shared" si="0"/>
        <v>2</v>
      </c>
      <c r="F25" s="71">
        <f t="shared" si="3"/>
        <v>92.94</v>
      </c>
      <c r="G25" s="72">
        <f>IF(D25=D24,"",_xlfn.IFNA(VLOOKUP(D25,'인원 입력 기능 (사과탐)'!$F$236:$I$284,4,FALSE),0))</f>
        <v>23</v>
      </c>
      <c r="H25" s="73">
        <f t="shared" si="4"/>
        <v>4.7015535568274737E-3</v>
      </c>
      <c r="I25" s="77">
        <f>SUM($G$7:G25)</f>
        <v>357</v>
      </c>
      <c r="J25" s="75">
        <f t="shared" si="5"/>
        <v>7.2976287816843829E-2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67</v>
      </c>
      <c r="E26" s="79">
        <f t="shared" si="0"/>
        <v>2</v>
      </c>
      <c r="F26" s="71">
        <f t="shared" si="3"/>
        <v>92.32</v>
      </c>
      <c r="G26" s="72">
        <f>IF(D26=D25,"",_xlfn.IFNA(VLOOKUP(D26,'인원 입력 기능 (사과탐)'!$F$236:$I$284,4,FALSE),0))</f>
        <v>37</v>
      </c>
      <c r="H26" s="73">
        <f t="shared" si="4"/>
        <v>7.5633687653311526E-3</v>
      </c>
      <c r="I26" s="77">
        <f>SUM($G$7:G26)</f>
        <v>394</v>
      </c>
      <c r="J26" s="75">
        <f t="shared" si="5"/>
        <v>8.0539656582174976E-2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66</v>
      </c>
      <c r="E27" s="79">
        <f t="shared" si="0"/>
        <v>2</v>
      </c>
      <c r="F27" s="71">
        <f t="shared" si="3"/>
        <v>91.59</v>
      </c>
      <c r="G27" s="72">
        <f>IF(D27=D26,"",_xlfn.IFNA(VLOOKUP(D27,'인원 입력 기능 (사과탐)'!$F$236:$I$284,4,FALSE),0))</f>
        <v>35</v>
      </c>
      <c r="H27" s="73">
        <f t="shared" si="4"/>
        <v>7.1545380212591986E-3</v>
      </c>
      <c r="I27" s="77">
        <f>SUM($G$7:G27)</f>
        <v>429</v>
      </c>
      <c r="J27" s="75">
        <f t="shared" si="5"/>
        <v>8.7694194603434181E-2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65</v>
      </c>
      <c r="E28" s="79">
        <f t="shared" si="0"/>
        <v>2</v>
      </c>
      <c r="F28" s="71">
        <f t="shared" si="3"/>
        <v>90.91</v>
      </c>
      <c r="G28" s="72">
        <f>IF(D28=D27,"",_xlfn.IFNA(VLOOKUP(D28,'인원 입력 기능 (사과탐)'!$F$236:$I$284,4,FALSE),0))</f>
        <v>31</v>
      </c>
      <c r="H28" s="73">
        <f t="shared" si="4"/>
        <v>6.3368765331152906E-3</v>
      </c>
      <c r="I28" s="77">
        <f>SUM($G$7:G28)</f>
        <v>460</v>
      </c>
      <c r="J28" s="75">
        <f t="shared" si="5"/>
        <v>9.4031071136549474E-2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64</v>
      </c>
      <c r="E29" s="79">
        <f t="shared" si="0"/>
        <v>2</v>
      </c>
      <c r="F29" s="71">
        <f t="shared" si="3"/>
        <v>90.12</v>
      </c>
      <c r="G29" s="72">
        <f>IF(D29=D28,"",_xlfn.IFNA(VLOOKUP(D29,'인원 입력 기능 (사과탐)'!$F$236:$I$284,4,FALSE),0))</f>
        <v>47</v>
      </c>
      <c r="H29" s="73">
        <f t="shared" si="4"/>
        <v>9.6075224856909235E-3</v>
      </c>
      <c r="I29" s="77">
        <f>SUM($G$7:G29)</f>
        <v>507</v>
      </c>
      <c r="J29" s="75">
        <f t="shared" si="5"/>
        <v>0.1036385936222404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63</v>
      </c>
      <c r="E30" s="79">
        <f t="shared" si="0"/>
        <v>2</v>
      </c>
      <c r="F30" s="71">
        <f t="shared" si="3"/>
        <v>89.2</v>
      </c>
      <c r="G30" s="72">
        <f>IF(D30=D29,"",_xlfn.IFNA(VLOOKUP(D30,'인원 입력 기능 (사과탐)'!$F$236:$I$284,4,FALSE),0))</f>
        <v>43</v>
      </c>
      <c r="H30" s="73">
        <f t="shared" si="4"/>
        <v>8.7898609975470155E-3</v>
      </c>
      <c r="I30" s="77">
        <f>SUM($G$7:G30)</f>
        <v>550</v>
      </c>
      <c r="J30" s="75">
        <f t="shared" si="5"/>
        <v>0.11242845461978741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62</v>
      </c>
      <c r="E31" s="79">
        <f t="shared" si="0"/>
        <v>3</v>
      </c>
      <c r="F31" s="71">
        <f t="shared" si="3"/>
        <v>88.16</v>
      </c>
      <c r="G31" s="72">
        <f>IF(D31=D30,"",_xlfn.IFNA(VLOOKUP(D31,'인원 입력 기능 (사과탐)'!$F$236:$I$284,4,FALSE),0))</f>
        <v>58</v>
      </c>
      <c r="H31" s="73">
        <f t="shared" si="4"/>
        <v>1.1856091578086671E-2</v>
      </c>
      <c r="I31" s="77">
        <f>SUM($G$7:G31)</f>
        <v>608</v>
      </c>
      <c r="J31" s="75">
        <f t="shared" si="5"/>
        <v>0.12428454619787407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60</v>
      </c>
      <c r="E32" s="79">
        <f t="shared" si="0"/>
        <v>3</v>
      </c>
      <c r="F32" s="71">
        <f t="shared" si="3"/>
        <v>87.06</v>
      </c>
      <c r="G32" s="72">
        <f>IF(D32=D31,"",_xlfn.IFNA(VLOOKUP(D32,'인원 입력 기능 (사과탐)'!$F$236:$I$284,4,FALSE),0))</f>
        <v>50</v>
      </c>
      <c r="H32" s="73">
        <f t="shared" si="4"/>
        <v>1.0220768601798855E-2</v>
      </c>
      <c r="I32" s="77">
        <f>SUM($G$7:G32)</f>
        <v>658</v>
      </c>
      <c r="J32" s="75">
        <f t="shared" si="5"/>
        <v>0.13450531479967293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59</v>
      </c>
      <c r="E33" s="79">
        <f t="shared" si="0"/>
        <v>3</v>
      </c>
      <c r="F33" s="71">
        <f t="shared" si="3"/>
        <v>85.84</v>
      </c>
      <c r="G33" s="72">
        <f>IF(D33=D32,"",_xlfn.IFNA(VLOOKUP(D33,'인원 입력 기능 (사과탐)'!$F$236:$I$284,4,FALSE),0))</f>
        <v>69</v>
      </c>
      <c r="H33" s="73">
        <f t="shared" si="4"/>
        <v>1.4104660670482421E-2</v>
      </c>
      <c r="I33" s="77">
        <f>SUM($G$7:G33)</f>
        <v>727</v>
      </c>
      <c r="J33" s="75">
        <f t="shared" si="5"/>
        <v>0.14860997547015536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58</v>
      </c>
      <c r="E34" s="79">
        <f t="shared" si="0"/>
        <v>3</v>
      </c>
      <c r="F34" s="71">
        <f t="shared" si="3"/>
        <v>84.15</v>
      </c>
      <c r="G34" s="72">
        <f>IF(D34=D33,"",_xlfn.IFNA(VLOOKUP(D34,'인원 입력 기능 (사과탐)'!$F$236:$I$284,4,FALSE),0))</f>
        <v>97</v>
      </c>
      <c r="H34" s="73">
        <f t="shared" si="4"/>
        <v>1.9828291087489781E-2</v>
      </c>
      <c r="I34" s="77">
        <f>SUM($G$7:G34)</f>
        <v>824</v>
      </c>
      <c r="J34" s="75">
        <f t="shared" si="5"/>
        <v>0.16843826655764513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57</v>
      </c>
      <c r="E35" s="79">
        <f t="shared" si="0"/>
        <v>3</v>
      </c>
      <c r="F35" s="71">
        <f t="shared" si="3"/>
        <v>82.31</v>
      </c>
      <c r="G35" s="72">
        <f>IF(D35=D34,"",_xlfn.IFNA(VLOOKUP(D35,'인원 입력 기능 (사과탐)'!$F$236:$I$284,4,FALSE),0))</f>
        <v>83</v>
      </c>
      <c r="H35" s="73">
        <f t="shared" si="4"/>
        <v>1.6966475878986101E-2</v>
      </c>
      <c r="I35" s="77">
        <f>SUM($G$7:G35)</f>
        <v>907</v>
      </c>
      <c r="J35" s="75">
        <f t="shared" si="5"/>
        <v>0.18540474243663124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56</v>
      </c>
      <c r="E36" s="79">
        <f t="shared" si="0"/>
        <v>3</v>
      </c>
      <c r="F36" s="71">
        <f t="shared" si="3"/>
        <v>80.25</v>
      </c>
      <c r="G36" s="72">
        <f>IF(D36=D35,"",_xlfn.IFNA(VLOOKUP(D36,'인원 입력 기능 (사과탐)'!$F$236:$I$284,4,FALSE),0))</f>
        <v>118</v>
      </c>
      <c r="H36" s="73">
        <f t="shared" si="4"/>
        <v>2.4121013900245299E-2</v>
      </c>
      <c r="I36" s="77">
        <f>SUM($G$7:G36)</f>
        <v>1025</v>
      </c>
      <c r="J36" s="75">
        <f t="shared" si="5"/>
        <v>0.20952575633687653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55</v>
      </c>
      <c r="E37" s="79">
        <f t="shared" si="0"/>
        <v>3</v>
      </c>
      <c r="F37" s="71">
        <f t="shared" si="3"/>
        <v>77.849999999999994</v>
      </c>
      <c r="G37" s="72">
        <f>IF(D37=D36,"",_xlfn.IFNA(VLOOKUP(D37,'인원 입력 기능 (사과탐)'!$F$236:$I$284,4,FALSE),0))</f>
        <v>117</v>
      </c>
      <c r="H37" s="73">
        <f t="shared" si="4"/>
        <v>2.3916598528209321E-2</v>
      </c>
      <c r="I37" s="77">
        <f>SUM($G$7:G37)</f>
        <v>1142</v>
      </c>
      <c r="J37" s="75">
        <f t="shared" si="5"/>
        <v>0.23344235486508585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54</v>
      </c>
      <c r="E38" s="79">
        <f t="shared" si="0"/>
        <v>4</v>
      </c>
      <c r="F38" s="71">
        <f t="shared" si="3"/>
        <v>75.08</v>
      </c>
      <c r="G38" s="72">
        <f>IF(D38=D37,"",_xlfn.IFNA(VLOOKUP(D38,'인원 입력 기능 (사과탐)'!$F$236:$I$284,4,FALSE),0))</f>
        <v>154</v>
      </c>
      <c r="H38" s="73">
        <f t="shared" si="4"/>
        <v>3.1479967293540474E-2</v>
      </c>
      <c r="I38" s="77">
        <f>SUM($G$7:G38)</f>
        <v>1296</v>
      </c>
      <c r="J38" s="75">
        <f t="shared" si="5"/>
        <v>0.26492232215862632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53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1">
        <f t="shared" si="3"/>
        <v>72.08</v>
      </c>
      <c r="G39" s="72">
        <f>IF(D39=D38,"",_xlfn.IFNA(VLOOKUP(D39,'인원 입력 기능 (사과탐)'!$F$236:$I$284,4,FALSE),0))</f>
        <v>140</v>
      </c>
      <c r="H39" s="73">
        <f t="shared" si="4"/>
        <v>2.8618152085036794E-2</v>
      </c>
      <c r="I39" s="77">
        <f>SUM($G$7:G39)</f>
        <v>1436</v>
      </c>
      <c r="J39" s="75">
        <f t="shared" si="5"/>
        <v>0.29354047424366314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52</v>
      </c>
      <c r="E40" s="79">
        <f t="shared" si="6"/>
        <v>4</v>
      </c>
      <c r="F40" s="71">
        <f t="shared" si="3"/>
        <v>68.819999999999993</v>
      </c>
      <c r="G40" s="72">
        <f>IF(D40=D39,"",_xlfn.IFNA(VLOOKUP(D40,'인원 입력 기능 (사과탐)'!$F$236:$I$284,4,FALSE),0))</f>
        <v>179</v>
      </c>
      <c r="H40" s="73">
        <f t="shared" si="4"/>
        <v>3.65903515944399E-2</v>
      </c>
      <c r="I40" s="77">
        <f>SUM($G$7:G40)</f>
        <v>1615</v>
      </c>
      <c r="J40" s="75">
        <f t="shared" si="5"/>
        <v>0.33013082583810305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50</v>
      </c>
      <c r="E41" s="79">
        <f t="shared" si="6"/>
        <v>4</v>
      </c>
      <c r="F41" s="71">
        <f t="shared" si="3"/>
        <v>64.78</v>
      </c>
      <c r="G41" s="72">
        <f>IF(D41=D40,"",_xlfn.IFNA(VLOOKUP(D41,'인원 입력 기능 (사과탐)'!$F$236:$I$284,4,FALSE),0))</f>
        <v>216</v>
      </c>
      <c r="H41" s="73">
        <f t="shared" si="4"/>
        <v>4.4153720359771054E-2</v>
      </c>
      <c r="I41" s="77">
        <f>SUM($G$7:G41)</f>
        <v>1831</v>
      </c>
      <c r="J41" s="75">
        <f t="shared" si="5"/>
        <v>0.3742845461978741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49</v>
      </c>
      <c r="E42" s="79">
        <f t="shared" si="6"/>
        <v>4</v>
      </c>
      <c r="F42" s="71">
        <f t="shared" si="3"/>
        <v>59.92</v>
      </c>
      <c r="G42" s="72">
        <f>IF(D42=D41,"",_xlfn.IFNA(VLOOKUP(D42,'인원 입력 기능 (사과탐)'!$F$236:$I$284,4,FALSE),0))</f>
        <v>259</v>
      </c>
      <c r="H42" s="73">
        <f t="shared" si="4"/>
        <v>5.2943581357318067E-2</v>
      </c>
      <c r="I42" s="77">
        <f>SUM($G$7:G42)</f>
        <v>2090</v>
      </c>
      <c r="J42" s="75">
        <f t="shared" si="5"/>
        <v>0.42722812755519213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48</v>
      </c>
      <c r="E43" s="79">
        <f t="shared" si="6"/>
        <v>5</v>
      </c>
      <c r="F43" s="71">
        <f t="shared" si="3"/>
        <v>54.54</v>
      </c>
      <c r="G43" s="72">
        <f>IF(D43=D42,"",_xlfn.IFNA(VLOOKUP(D43,'인원 입력 기능 (사과탐)'!$F$236:$I$284,4,FALSE),0))</f>
        <v>268</v>
      </c>
      <c r="H43" s="73">
        <f t="shared" si="4"/>
        <v>5.4783319705641861E-2</v>
      </c>
      <c r="I43" s="77">
        <f>SUM($G$7:G43)</f>
        <v>2358</v>
      </c>
      <c r="J43" s="75">
        <f t="shared" si="5"/>
        <v>0.482011447260834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47</v>
      </c>
      <c r="E44" s="79">
        <f t="shared" si="6"/>
        <v>5</v>
      </c>
      <c r="F44" s="71">
        <f t="shared" si="3"/>
        <v>49.43</v>
      </c>
      <c r="G44" s="72">
        <f>IF(D44=D43,"",_xlfn.IFNA(VLOOKUP(D44,'인원 입력 기능 (사과탐)'!$F$236:$I$284,4,FALSE),0))</f>
        <v>232</v>
      </c>
      <c r="H44" s="73">
        <f t="shared" si="4"/>
        <v>4.7424366312346686E-2</v>
      </c>
      <c r="I44" s="77">
        <f>SUM($G$7:G44)</f>
        <v>2590</v>
      </c>
      <c r="J44" s="75">
        <f t="shared" si="5"/>
        <v>0.5294358135731807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46</v>
      </c>
      <c r="E45" s="79">
        <f t="shared" si="6"/>
        <v>5</v>
      </c>
      <c r="F45" s="71">
        <f t="shared" si="3"/>
        <v>41.17</v>
      </c>
      <c r="G45" s="72">
        <f>IF(D45=D44,"",_xlfn.IFNA(VLOOKUP(D45,'인원 입력 기능 (사과탐)'!$F$236:$I$284,4,FALSE),0))</f>
        <v>576</v>
      </c>
      <c r="H45" s="73">
        <f t="shared" si="4"/>
        <v>0.11774325429272281</v>
      </c>
      <c r="I45" s="77">
        <f>SUM($G$7:G45)</f>
        <v>3166</v>
      </c>
      <c r="J45" s="75">
        <f t="shared" si="5"/>
        <v>0.64717906786590351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45</v>
      </c>
      <c r="E46" s="79">
        <f t="shared" si="6"/>
        <v>6</v>
      </c>
      <c r="F46" s="71">
        <f t="shared" si="3"/>
        <v>31.66</v>
      </c>
      <c r="G46" s="72">
        <f>IF(D46=D45,"",_xlfn.IFNA(VLOOKUP(D46,'인원 입력 기능 (사과탐)'!$F$236:$I$284,4,FALSE),0))</f>
        <v>354</v>
      </c>
      <c r="H46" s="73">
        <f t="shared" si="4"/>
        <v>7.2363041700735889E-2</v>
      </c>
      <c r="I46" s="77">
        <f>SUM($G$7:G46)</f>
        <v>3520</v>
      </c>
      <c r="J46" s="75">
        <f t="shared" si="5"/>
        <v>0.71954210956663944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44</v>
      </c>
      <c r="E47" s="79">
        <f t="shared" si="6"/>
        <v>6</v>
      </c>
      <c r="F47" s="71">
        <f t="shared" si="3"/>
        <v>25.52</v>
      </c>
      <c r="G47" s="72">
        <f>IF(D47=D46,"",_xlfn.IFNA(VLOOKUP(D47,'인원 입력 기능 (사과탐)'!$F$236:$I$284,4,FALSE),0))</f>
        <v>247</v>
      </c>
      <c r="H47" s="73">
        <f t="shared" si="4"/>
        <v>5.0490596892886347E-2</v>
      </c>
      <c r="I47" s="77">
        <f>SUM($G$7:G47)</f>
        <v>3767</v>
      </c>
      <c r="J47" s="75">
        <f t="shared" si="5"/>
        <v>0.77003270645952571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43</v>
      </c>
      <c r="E48" s="79">
        <f t="shared" si="6"/>
        <v>7</v>
      </c>
      <c r="F48" s="71">
        <f t="shared" si="3"/>
        <v>19.989999999999998</v>
      </c>
      <c r="G48" s="72">
        <f>IF(D48=D47,"",_xlfn.IFNA(VLOOKUP(D48,'인원 입력 기능 (사과탐)'!$F$236:$I$284,4,FALSE),0))</f>
        <v>294</v>
      </c>
      <c r="H48" s="73">
        <f t="shared" si="4"/>
        <v>6.0098119378577272E-2</v>
      </c>
      <c r="I48" s="77">
        <f>SUM($G$7:G48)</f>
        <v>4061</v>
      </c>
      <c r="J48" s="75">
        <f t="shared" si="5"/>
        <v>0.83013082583810305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41</v>
      </c>
      <c r="E49" s="79">
        <f t="shared" si="6"/>
        <v>7</v>
      </c>
      <c r="F49" s="71">
        <f t="shared" si="3"/>
        <v>15.54</v>
      </c>
      <c r="G49" s="72">
        <f>IF(D49=D48,"",_xlfn.IFNA(VLOOKUP(D49,'인원 입력 기능 (사과탐)'!$F$236:$I$284,4,FALSE),0))</f>
        <v>142</v>
      </c>
      <c r="H49" s="73">
        <f t="shared" si="4"/>
        <v>2.902698282910875E-2</v>
      </c>
      <c r="I49" s="77">
        <f>SUM($G$7:G49)</f>
        <v>4203</v>
      </c>
      <c r="J49" s="75">
        <f t="shared" si="5"/>
        <v>0.85915780866721181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40</v>
      </c>
      <c r="E50" s="79">
        <f t="shared" si="6"/>
        <v>7</v>
      </c>
      <c r="F50" s="71">
        <f t="shared" si="3"/>
        <v>10.43</v>
      </c>
      <c r="G50" s="72">
        <f>IF(D50=D49,"",_xlfn.IFNA(VLOOKUP(D50,'인원 입력 기능 (사과탐)'!$F$236:$I$284,4,FALSE),0))</f>
        <v>358</v>
      </c>
      <c r="H50" s="73">
        <f t="shared" si="4"/>
        <v>7.31807031888798E-2</v>
      </c>
      <c r="I50" s="77">
        <f>SUM($G$7:G50)</f>
        <v>4561</v>
      </c>
      <c r="J50" s="75">
        <f t="shared" si="5"/>
        <v>0.93233851185609162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39</v>
      </c>
      <c r="E51" s="79">
        <f t="shared" si="6"/>
        <v>8</v>
      </c>
      <c r="F51" s="71">
        <f t="shared" si="3"/>
        <v>5.7</v>
      </c>
      <c r="G51" s="72">
        <f>IF(D51=D50,"",_xlfn.IFNA(VLOOKUP(D51,'인원 입력 기능 (사과탐)'!$F$236:$I$284,4,FALSE),0))</f>
        <v>104</v>
      </c>
      <c r="H51" s="73">
        <f t="shared" si="4"/>
        <v>2.1259198691741619E-2</v>
      </c>
      <c r="I51" s="77">
        <f>SUM($G$7:G51)</f>
        <v>4665</v>
      </c>
      <c r="J51" s="75">
        <f t="shared" si="5"/>
        <v>0.95359771054783316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38</v>
      </c>
      <c r="E52" s="79">
        <f t="shared" si="6"/>
        <v>8</v>
      </c>
      <c r="F52" s="71">
        <f t="shared" si="3"/>
        <v>3.61</v>
      </c>
      <c r="G52" s="72">
        <f>IF(D52=D51,"",_xlfn.IFNA(VLOOKUP(D52,'인원 입력 기능 (사과탐)'!$F$236:$I$284,4,FALSE),0))</f>
        <v>101</v>
      </c>
      <c r="H52" s="73">
        <f t="shared" si="4"/>
        <v>2.0645952575633689E-2</v>
      </c>
      <c r="I52" s="77">
        <f>SUM($G$7:G52)</f>
        <v>4766</v>
      </c>
      <c r="J52" s="75">
        <f t="shared" si="5"/>
        <v>0.97424366312346689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37</v>
      </c>
      <c r="E53" s="70">
        <f t="shared" si="6"/>
        <v>9</v>
      </c>
      <c r="F53" s="71">
        <f t="shared" si="3"/>
        <v>1.99</v>
      </c>
      <c r="G53" s="72">
        <f>IF(D53=D52,"",_xlfn.IFNA(VLOOKUP(D53,'인원 입력 기능 (사과탐)'!$F$236:$I$284,4,FALSE),0))</f>
        <v>57</v>
      </c>
      <c r="H53" s="73">
        <f t="shared" si="4"/>
        <v>1.1651676206050695E-2</v>
      </c>
      <c r="I53" s="77">
        <f>SUM($G$7:G53)</f>
        <v>4823</v>
      </c>
      <c r="J53" s="75">
        <f t="shared" si="5"/>
        <v>0.98589533932951756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36</v>
      </c>
      <c r="E54" s="70">
        <f t="shared" si="6"/>
        <v>9</v>
      </c>
      <c r="F54" s="71">
        <f t="shared" si="3"/>
        <v>1.1200000000000001</v>
      </c>
      <c r="G54" s="72">
        <f>IF(D54=D53,"",_xlfn.IFNA(VLOOKUP(D54,'인원 입력 기능 (사과탐)'!$F$236:$I$284,4,FALSE),0))</f>
        <v>28</v>
      </c>
      <c r="H54" s="73">
        <f t="shared" si="4"/>
        <v>5.7236304170073587E-3</v>
      </c>
      <c r="I54" s="77">
        <f>SUM($G$7:G54)</f>
        <v>4851</v>
      </c>
      <c r="J54" s="75">
        <f t="shared" si="5"/>
        <v>0.99161896974652497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35</v>
      </c>
      <c r="E55" s="70">
        <f t="shared" si="6"/>
        <v>9</v>
      </c>
      <c r="F55" s="71">
        <f t="shared" si="3"/>
        <v>0.48</v>
      </c>
      <c r="G55" s="72">
        <f>IF(D55=D54,"",_xlfn.IFNA(VLOOKUP(D55,'인원 입력 기능 (사과탐)'!$F$236:$I$284,4,FALSE),0))</f>
        <v>35</v>
      </c>
      <c r="H55" s="73">
        <f t="shared" si="4"/>
        <v>7.1545380212591986E-3</v>
      </c>
      <c r="I55" s="77">
        <f>SUM($G$7:G55)</f>
        <v>4886</v>
      </c>
      <c r="J55" s="75">
        <f t="shared" si="5"/>
        <v>0.99877350776778417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32</v>
      </c>
      <c r="E57" s="83">
        <f t="shared" si="6"/>
        <v>9</v>
      </c>
      <c r="F57" s="84">
        <f>IF(I55=0,ROUND(100*(1-(I54+I57)/2/$J$3),2),ROUND(100*(1-(I55+I57)/2/$J$3),2))</f>
        <v>0.06</v>
      </c>
      <c r="G57" s="85">
        <f>_xlfn.IFNA(VLOOKUP(D57,'인원 입력 기능 (사과탐)'!$F$236:$I$284,4,FALSE),0)</f>
        <v>6</v>
      </c>
      <c r="H57" s="86">
        <f>G57/$J$3</f>
        <v>1.2264922322158627E-3</v>
      </c>
      <c r="I57" s="87">
        <f>SUM($G$7:G57)</f>
        <v>4892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10" priority="3">
      <formula>OR($D7=$Q$7:$Q$14)</formula>
    </cfRule>
  </conditionalFormatting>
  <conditionalFormatting sqref="C7:C57">
    <cfRule type="expression" dxfId="9" priority="2">
      <formula>OR(AND($D7=0,OR($D6=$Q$7:$Q$14)),AND($D8&gt;0,OR($D7=$Q$7:$Q$14)))</formula>
    </cfRule>
  </conditionalFormatting>
  <conditionalFormatting sqref="D7:D57">
    <cfRule type="expression" dxfId="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Q105"/>
  <sheetViews>
    <sheetView zoomScale="85" zoomScaleNormal="85" workbookViewId="0">
      <selection activeCell="B2" sqref="B2:K58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기능'!D21</f>
        <v>14.91</v>
      </c>
      <c r="I3" s="15" t="s">
        <v>84</v>
      </c>
      <c r="J3" s="35">
        <f>'통계 및 응시자 수 입력 기능'!C21</f>
        <v>7775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89</v>
      </c>
      <c r="E4" s="108"/>
      <c r="F4" s="109"/>
      <c r="G4" s="37" t="s">
        <v>87</v>
      </c>
      <c r="H4" s="38" t="str">
        <f>'통계 및 응시자 수 입력 기능'!E21</f>
        <v xml:space="preserve"> 9.60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87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99.7</v>
      </c>
      <c r="G7" s="72">
        <f>_xlfn.IFNA(VLOOKUP(D7,'인원 입력 기능 (사과탐)'!$K$236:$N$284,4,FALSE),0)</f>
        <v>46</v>
      </c>
      <c r="H7" s="73">
        <f>G7/$J$3</f>
        <v>5.9163987138263667E-3</v>
      </c>
      <c r="I7" s="74">
        <f>G7</f>
        <v>46</v>
      </c>
      <c r="J7" s="75">
        <f>I7/$J$3</f>
        <v>5.9163987138263667E-3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입력기능'!C157</f>
        <v>75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입력기능'!C158</f>
        <v>63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84</v>
      </c>
      <c r="E9" s="70">
        <f t="shared" si="0"/>
        <v>1</v>
      </c>
      <c r="F9" s="71">
        <f>IF(I8=0,ROUND(100*(1-(I7+I9)/2/$J$3),2),ROUND(100*(1-(I8+I9)/2/$J$3),2))</f>
        <v>99.31</v>
      </c>
      <c r="G9" s="72">
        <f>_xlfn.IFNA(VLOOKUP(D9,'인원 입력 기능 (사과탐)'!$K$236:$N$284,4,FALSE),0)</f>
        <v>15</v>
      </c>
      <c r="H9" s="73">
        <f>G9/$J$3</f>
        <v>1.9292604501607716E-3</v>
      </c>
      <c r="I9" s="77">
        <f>SUM($G$7:G9)</f>
        <v>61</v>
      </c>
      <c r="J9" s="75">
        <f>I9/$J$3</f>
        <v>7.8456591639871377E-3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입력기능'!C159</f>
        <v>54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83</v>
      </c>
      <c r="E10" s="70">
        <f t="shared" si="0"/>
        <v>1</v>
      </c>
      <c r="F10" s="71">
        <f t="shared" ref="F10:F55" si="3">IF(I9=0,ROUND(100*(1-(I8+I10)/2/$J$3),2),ROUND(100*(1-(I9+I10)/2/$J$3),2))</f>
        <v>98.92</v>
      </c>
      <c r="G10" s="72">
        <f>IF(D10=D9,"",_xlfn.IFNA(VLOOKUP(D10,'인원 입력 기능 (사과탐)'!$K$236:$N$284,4,FALSE),0))</f>
        <v>46</v>
      </c>
      <c r="H10" s="73">
        <f t="shared" ref="H10:H55" si="4">G10/$J$3</f>
        <v>5.9163987138263667E-3</v>
      </c>
      <c r="I10" s="77">
        <f>SUM($G$7:G10)</f>
        <v>107</v>
      </c>
      <c r="J10" s="75">
        <f t="shared" ref="J10:J55" si="5">I10/$J$3</f>
        <v>1.3762057877813505E-2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입력기능'!C160</f>
        <v>49</v>
      </c>
    </row>
    <row r="11" spans="1:17" ht="25" customHeight="1" x14ac:dyDescent="0.45">
      <c r="A11" s="4"/>
      <c r="B11" s="19"/>
      <c r="C11" s="69">
        <v>46</v>
      </c>
      <c r="D11" s="70">
        <f t="shared" si="2"/>
        <v>82</v>
      </c>
      <c r="E11" s="70">
        <f t="shared" si="0"/>
        <v>1</v>
      </c>
      <c r="F11" s="71">
        <f t="shared" si="3"/>
        <v>98.59</v>
      </c>
      <c r="G11" s="72">
        <f>IF(D11=D10,"",_xlfn.IFNA(VLOOKUP(D11,'인원 입력 기능 (사과탐)'!$K$236:$N$284,4,FALSE),0))</f>
        <v>5</v>
      </c>
      <c r="H11" s="73">
        <f t="shared" si="4"/>
        <v>6.4308681672025725E-4</v>
      </c>
      <c r="I11" s="77">
        <f>SUM($G$7:G11)</f>
        <v>112</v>
      </c>
      <c r="J11" s="75">
        <f t="shared" si="5"/>
        <v>1.4405144694533762E-2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입력기능'!C161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81</v>
      </c>
      <c r="E12" s="70">
        <f t="shared" si="0"/>
        <v>1</v>
      </c>
      <c r="F12" s="71">
        <f t="shared" si="3"/>
        <v>98.41</v>
      </c>
      <c r="G12" s="72">
        <f>IF(D12=D11,"",_xlfn.IFNA(VLOOKUP(D12,'인원 입력 기능 (사과탐)'!$K$236:$N$284,4,FALSE),0))</f>
        <v>24</v>
      </c>
      <c r="H12" s="73">
        <f t="shared" si="4"/>
        <v>3.0868167202572345E-3</v>
      </c>
      <c r="I12" s="77">
        <f>SUM($G$7:G12)</f>
        <v>136</v>
      </c>
      <c r="J12" s="75">
        <f t="shared" si="5"/>
        <v>1.7491961414790997E-2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입력기능'!C162</f>
        <v>44</v>
      </c>
    </row>
    <row r="13" spans="1:17" ht="25" customHeight="1" x14ac:dyDescent="0.45">
      <c r="A13" s="4"/>
      <c r="B13" s="19"/>
      <c r="C13" s="69">
        <v>44</v>
      </c>
      <c r="D13" s="70">
        <f t="shared" si="2"/>
        <v>80</v>
      </c>
      <c r="E13" s="70">
        <f t="shared" si="0"/>
        <v>1</v>
      </c>
      <c r="F13" s="71">
        <f t="shared" si="3"/>
        <v>98.01</v>
      </c>
      <c r="G13" s="72">
        <f>IF(D13=D12,"",_xlfn.IFNA(VLOOKUP(D13,'인원 입력 기능 (사과탐)'!$K$236:$N$284,4,FALSE),0))</f>
        <v>37</v>
      </c>
      <c r="H13" s="73">
        <f t="shared" si="4"/>
        <v>4.7588424437299036E-3</v>
      </c>
      <c r="I13" s="77">
        <f>SUM($G$7:G13)</f>
        <v>173</v>
      </c>
      <c r="J13" s="75">
        <f t="shared" si="5"/>
        <v>2.22508038585209E-2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입력기능'!C163</f>
        <v>41</v>
      </c>
    </row>
    <row r="14" spans="1:17" ht="25" customHeight="1" x14ac:dyDescent="0.45">
      <c r="A14" s="4"/>
      <c r="B14" s="19"/>
      <c r="C14" s="76">
        <v>43</v>
      </c>
      <c r="D14" s="70">
        <f t="shared" si="2"/>
        <v>79</v>
      </c>
      <c r="E14" s="70">
        <f t="shared" si="0"/>
        <v>1</v>
      </c>
      <c r="F14" s="71">
        <f t="shared" si="3"/>
        <v>97.67</v>
      </c>
      <c r="G14" s="72">
        <f>IF(D14=D13,"",_xlfn.IFNA(VLOOKUP(D14,'인원 입력 기능 (사과탐)'!$K$236:$N$284,4,FALSE),0))</f>
        <v>16</v>
      </c>
      <c r="H14" s="73">
        <f t="shared" si="4"/>
        <v>2.057877813504823E-3</v>
      </c>
      <c r="I14" s="77">
        <f>SUM($G$7:G14)</f>
        <v>189</v>
      </c>
      <c r="J14" s="75">
        <f t="shared" si="5"/>
        <v>2.4308681672025722E-2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입력기능'!C164</f>
        <v>38</v>
      </c>
    </row>
    <row r="15" spans="1:17" ht="25" customHeight="1" x14ac:dyDescent="0.45">
      <c r="A15" s="4"/>
      <c r="B15" s="19"/>
      <c r="C15" s="69">
        <v>42</v>
      </c>
      <c r="D15" s="70">
        <f t="shared" si="2"/>
        <v>78</v>
      </c>
      <c r="E15" s="70">
        <f t="shared" si="0"/>
        <v>1</v>
      </c>
      <c r="F15" s="71">
        <f t="shared" si="3"/>
        <v>97.32</v>
      </c>
      <c r="G15" s="72">
        <f>IF(D15=D14,"",_xlfn.IFNA(VLOOKUP(D15,'인원 입력 기능 (사과탐)'!$K$236:$N$284,4,FALSE),0))</f>
        <v>39</v>
      </c>
      <c r="H15" s="73">
        <f t="shared" si="4"/>
        <v>5.0160771704180068E-3</v>
      </c>
      <c r="I15" s="77">
        <f>SUM($G$7:G15)</f>
        <v>228</v>
      </c>
      <c r="J15" s="75">
        <f t="shared" si="5"/>
        <v>2.9324758842443729E-2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77</v>
      </c>
      <c r="E16" s="70">
        <f t="shared" si="0"/>
        <v>1</v>
      </c>
      <c r="F16" s="71">
        <f t="shared" si="3"/>
        <v>96.92</v>
      </c>
      <c r="G16" s="72">
        <f>IF(D16=D15,"",_xlfn.IFNA(VLOOKUP(D16,'인원 입력 기능 (사과탐)'!$K$236:$N$284,4,FALSE),0))</f>
        <v>23</v>
      </c>
      <c r="H16" s="73">
        <f t="shared" si="4"/>
        <v>2.9581993569131834E-3</v>
      </c>
      <c r="I16" s="77">
        <f>SUM($G$7:G16)</f>
        <v>251</v>
      </c>
      <c r="J16" s="75">
        <f t="shared" si="5"/>
        <v>3.2282958199356913E-2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76</v>
      </c>
      <c r="E17" s="70">
        <f t="shared" si="0"/>
        <v>1</v>
      </c>
      <c r="F17" s="71">
        <f t="shared" si="3"/>
        <v>96.59</v>
      </c>
      <c r="G17" s="72">
        <f>IF(D17=D16,"",_xlfn.IFNA(VLOOKUP(D17,'인원 입력 기능 (사과탐)'!$K$236:$N$284,4,FALSE),0))</f>
        <v>28</v>
      </c>
      <c r="H17" s="73">
        <f t="shared" si="4"/>
        <v>3.6012861736334405E-3</v>
      </c>
      <c r="I17" s="77">
        <f>SUM($G$7:G17)</f>
        <v>279</v>
      </c>
      <c r="J17" s="75">
        <f t="shared" si="5"/>
        <v>3.5884244372990357E-2</v>
      </c>
      <c r="K17" s="28"/>
      <c r="L17" s="5" t="str">
        <f t="shared" si="1"/>
        <v/>
      </c>
      <c r="N17" s="1"/>
      <c r="P17" s="1">
        <f>Q7*H3*H4*J3*IFERROR(IF(J57=1, 1, 0), 0)</f>
        <v>83466179.999999985</v>
      </c>
    </row>
    <row r="18" spans="1:16" ht="25" customHeight="1" x14ac:dyDescent="0.45">
      <c r="A18" s="4"/>
      <c r="B18" s="19"/>
      <c r="C18" s="76">
        <v>39</v>
      </c>
      <c r="D18" s="70">
        <f t="shared" si="2"/>
        <v>75</v>
      </c>
      <c r="E18" s="70">
        <f t="shared" si="0"/>
        <v>1</v>
      </c>
      <c r="F18" s="71">
        <f t="shared" si="3"/>
        <v>96.19</v>
      </c>
      <c r="G18" s="72">
        <f>IF(D18=D17,"",_xlfn.IFNA(VLOOKUP(D18,'인원 입력 기능 (사과탐)'!$K$236:$N$284,4,FALSE),0))</f>
        <v>34</v>
      </c>
      <c r="H18" s="73">
        <f t="shared" si="4"/>
        <v>4.3729903536977493E-3</v>
      </c>
      <c r="I18" s="77">
        <f>SUM($G$7:G18)</f>
        <v>313</v>
      </c>
      <c r="J18" s="75">
        <f t="shared" si="5"/>
        <v>4.0257234726688101E-2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74</v>
      </c>
      <c r="E19" s="70">
        <f t="shared" si="0"/>
        <v>2</v>
      </c>
      <c r="F19" s="71">
        <f t="shared" si="3"/>
        <v>95.8</v>
      </c>
      <c r="G19" s="72">
        <f>IF(D19=D18,"",_xlfn.IFNA(VLOOKUP(D19,'인원 입력 기능 (사과탐)'!$K$236:$N$284,4,FALSE),0))</f>
        <v>27</v>
      </c>
      <c r="H19" s="73">
        <f t="shared" si="4"/>
        <v>3.4726688102893889E-3</v>
      </c>
      <c r="I19" s="77">
        <f>SUM($G$7:G19)</f>
        <v>340</v>
      </c>
      <c r="J19" s="75">
        <f t="shared" si="5"/>
        <v>4.3729903536977491E-2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f t="shared" si="2"/>
        <v>73</v>
      </c>
      <c r="E20" s="70">
        <f t="shared" si="0"/>
        <v>2</v>
      </c>
      <c r="F20" s="71">
        <f t="shared" si="3"/>
        <v>95.42</v>
      </c>
      <c r="G20" s="72">
        <f>IF(D20=D19,"",_xlfn.IFNA(VLOOKUP(D20,'인원 입력 기능 (사과탐)'!$K$236:$N$284,4,FALSE),0))</f>
        <v>32</v>
      </c>
      <c r="H20" s="73">
        <f t="shared" si="4"/>
        <v>4.115755627009646E-3</v>
      </c>
      <c r="I20" s="77">
        <f>SUM($G$7:G20)</f>
        <v>372</v>
      </c>
      <c r="J20" s="75">
        <f t="shared" si="5"/>
        <v>4.7845659163987135E-2</v>
      </c>
      <c r="K20" s="28"/>
      <c r="L20" s="5" t="str">
        <f t="shared" si="1"/>
        <v/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72</v>
      </c>
      <c r="E21" s="79">
        <f t="shared" si="0"/>
        <v>2</v>
      </c>
      <c r="F21" s="71">
        <f t="shared" si="3"/>
        <v>94.96</v>
      </c>
      <c r="G21" s="72">
        <f>IF(D21=D20,"",_xlfn.IFNA(VLOOKUP(D21,'인원 입력 기능 (사과탐)'!$K$236:$N$284,4,FALSE),0))</f>
        <v>39</v>
      </c>
      <c r="H21" s="73">
        <f t="shared" si="4"/>
        <v>5.0160771704180068E-3</v>
      </c>
      <c r="I21" s="77">
        <f>SUM($G$7:G21)</f>
        <v>411</v>
      </c>
      <c r="J21" s="75">
        <f t="shared" si="5"/>
        <v>5.2861736334405142E-2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71</v>
      </c>
      <c r="E22" s="79">
        <f t="shared" si="0"/>
        <v>2</v>
      </c>
      <c r="F22" s="71">
        <f t="shared" si="3"/>
        <v>94.48</v>
      </c>
      <c r="G22" s="72">
        <f>IF(D22=D21,"",_xlfn.IFNA(VLOOKUP(D22,'인원 입력 기능 (사과탐)'!$K$236:$N$284,4,FALSE),0))</f>
        <v>37</v>
      </c>
      <c r="H22" s="73">
        <f t="shared" si="4"/>
        <v>4.7588424437299036E-3</v>
      </c>
      <c r="I22" s="77">
        <f>SUM($G$7:G22)</f>
        <v>448</v>
      </c>
      <c r="J22" s="75">
        <f t="shared" si="5"/>
        <v>5.7620578778135048E-2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70</v>
      </c>
      <c r="E23" s="79">
        <f t="shared" si="0"/>
        <v>2</v>
      </c>
      <c r="F23" s="71">
        <f t="shared" si="3"/>
        <v>93.88</v>
      </c>
      <c r="G23" s="72">
        <f>IF(D23=D22,"",_xlfn.IFNA(VLOOKUP(D23,'인원 입력 기능 (사과탐)'!$K$236:$N$284,4,FALSE),0))</f>
        <v>55</v>
      </c>
      <c r="H23" s="73">
        <f t="shared" si="4"/>
        <v>7.0739549839228298E-3</v>
      </c>
      <c r="I23" s="77">
        <f>SUM($G$7:G23)</f>
        <v>503</v>
      </c>
      <c r="J23" s="75">
        <f t="shared" si="5"/>
        <v>6.4694533762057874E-2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69</v>
      </c>
      <c r="E24" s="79">
        <f t="shared" si="0"/>
        <v>2</v>
      </c>
      <c r="F24" s="71">
        <f t="shared" si="3"/>
        <v>93.23</v>
      </c>
      <c r="G24" s="72">
        <f>IF(D24=D23,"",_xlfn.IFNA(VLOOKUP(D24,'인원 입력 기능 (사과탐)'!$K$236:$N$284,4,FALSE),0))</f>
        <v>46</v>
      </c>
      <c r="H24" s="73">
        <f t="shared" si="4"/>
        <v>5.9163987138263667E-3</v>
      </c>
      <c r="I24" s="77">
        <f>SUM($G$7:G24)</f>
        <v>549</v>
      </c>
      <c r="J24" s="75">
        <f t="shared" si="5"/>
        <v>7.061093247588425E-2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68</v>
      </c>
      <c r="E25" s="79">
        <f t="shared" si="0"/>
        <v>2</v>
      </c>
      <c r="F25" s="71">
        <f t="shared" si="3"/>
        <v>92.61</v>
      </c>
      <c r="G25" s="72">
        <f>IF(D25=D24,"",_xlfn.IFNA(VLOOKUP(D25,'인원 입력 기능 (사과탐)'!$K$236:$N$284,4,FALSE),0))</f>
        <v>51</v>
      </c>
      <c r="H25" s="73">
        <f t="shared" si="4"/>
        <v>6.5594855305466234E-3</v>
      </c>
      <c r="I25" s="77">
        <f>SUM($G$7:G25)</f>
        <v>600</v>
      </c>
      <c r="J25" s="75">
        <f t="shared" si="5"/>
        <v>7.7170418006430874E-2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67</v>
      </c>
      <c r="E26" s="79">
        <f t="shared" si="0"/>
        <v>2</v>
      </c>
      <c r="F26" s="71">
        <f t="shared" si="3"/>
        <v>91.9</v>
      </c>
      <c r="G26" s="72">
        <f>IF(D26=D25,"",_xlfn.IFNA(VLOOKUP(D26,'인원 입력 기능 (사과탐)'!$K$236:$N$284,4,FALSE),0))</f>
        <v>59</v>
      </c>
      <c r="H26" s="73">
        <f t="shared" si="4"/>
        <v>7.5884244372990354E-3</v>
      </c>
      <c r="I26" s="77">
        <f>SUM($G$7:G26)</f>
        <v>659</v>
      </c>
      <c r="J26" s="75">
        <f t="shared" si="5"/>
        <v>8.4758842443729901E-2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66</v>
      </c>
      <c r="E27" s="79">
        <f t="shared" si="0"/>
        <v>2</v>
      </c>
      <c r="F27" s="71">
        <f t="shared" si="3"/>
        <v>91.22</v>
      </c>
      <c r="G27" s="72">
        <f>IF(D27=D26,"",_xlfn.IFNA(VLOOKUP(D27,'인원 입력 기능 (사과탐)'!$K$236:$N$284,4,FALSE),0))</f>
        <v>47</v>
      </c>
      <c r="H27" s="73">
        <f t="shared" si="4"/>
        <v>6.0450160771704179E-3</v>
      </c>
      <c r="I27" s="77">
        <f>SUM($G$7:G27)</f>
        <v>706</v>
      </c>
      <c r="J27" s="75">
        <f t="shared" si="5"/>
        <v>9.0803858520900324E-2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65</v>
      </c>
      <c r="E28" s="79">
        <f t="shared" si="0"/>
        <v>2</v>
      </c>
      <c r="F28" s="71">
        <f t="shared" si="3"/>
        <v>90.52</v>
      </c>
      <c r="G28" s="72">
        <f>IF(D28=D27,"",_xlfn.IFNA(VLOOKUP(D28,'인원 입력 기능 (사과탐)'!$K$236:$N$284,4,FALSE),0))</f>
        <v>62</v>
      </c>
      <c r="H28" s="73">
        <f t="shared" si="4"/>
        <v>7.9742765273311898E-3</v>
      </c>
      <c r="I28" s="77">
        <f>SUM($G$7:G28)</f>
        <v>768</v>
      </c>
      <c r="J28" s="75">
        <f t="shared" si="5"/>
        <v>9.8778135048231505E-2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64</v>
      </c>
      <c r="E29" s="79">
        <f t="shared" si="0"/>
        <v>2</v>
      </c>
      <c r="F29" s="71">
        <f t="shared" si="3"/>
        <v>89.77</v>
      </c>
      <c r="G29" s="72">
        <f>IF(D29=D28,"",_xlfn.IFNA(VLOOKUP(D29,'인원 입력 기능 (사과탐)'!$K$236:$N$284,4,FALSE),0))</f>
        <v>55</v>
      </c>
      <c r="H29" s="73">
        <f t="shared" si="4"/>
        <v>7.0739549839228298E-3</v>
      </c>
      <c r="I29" s="77">
        <f>SUM($G$7:G29)</f>
        <v>823</v>
      </c>
      <c r="J29" s="75">
        <f t="shared" si="5"/>
        <v>0.10585209003215434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63</v>
      </c>
      <c r="E30" s="79">
        <f t="shared" si="0"/>
        <v>2</v>
      </c>
      <c r="F30" s="71">
        <f t="shared" si="3"/>
        <v>88.86</v>
      </c>
      <c r="G30" s="72">
        <f>IF(D30=D29,"",_xlfn.IFNA(VLOOKUP(D30,'인원 입력 기능 (사과탐)'!$K$236:$N$284,4,FALSE),0))</f>
        <v>87</v>
      </c>
      <c r="H30" s="73">
        <f t="shared" si="4"/>
        <v>1.1189710610932475E-2</v>
      </c>
      <c r="I30" s="77">
        <f>SUM($G$7:G30)</f>
        <v>910</v>
      </c>
      <c r="J30" s="75">
        <f t="shared" si="5"/>
        <v>0.11704180064308682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62</v>
      </c>
      <c r="E31" s="79">
        <f t="shared" si="0"/>
        <v>3</v>
      </c>
      <c r="F31" s="71">
        <f t="shared" si="3"/>
        <v>87.85</v>
      </c>
      <c r="G31" s="72">
        <f>IF(D31=D30,"",_xlfn.IFNA(VLOOKUP(D31,'인원 입력 기능 (사과탐)'!$K$236:$N$284,4,FALSE),0))</f>
        <v>70</v>
      </c>
      <c r="H31" s="73">
        <f t="shared" si="4"/>
        <v>9.0032154340836008E-3</v>
      </c>
      <c r="I31" s="77">
        <f>SUM($G$7:G31)</f>
        <v>980</v>
      </c>
      <c r="J31" s="75">
        <f t="shared" si="5"/>
        <v>0.12604501607717042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61</v>
      </c>
      <c r="E32" s="79">
        <f t="shared" si="0"/>
        <v>3</v>
      </c>
      <c r="F32" s="71">
        <f t="shared" si="3"/>
        <v>86.78</v>
      </c>
      <c r="G32" s="72">
        <f>IF(D32=D31,"",_xlfn.IFNA(VLOOKUP(D32,'인원 입력 기능 (사과탐)'!$K$236:$N$284,4,FALSE),0))</f>
        <v>95</v>
      </c>
      <c r="H32" s="73">
        <f t="shared" si="4"/>
        <v>1.2218649517684888E-2</v>
      </c>
      <c r="I32" s="77">
        <f>SUM($G$7:G32)</f>
        <v>1075</v>
      </c>
      <c r="J32" s="75">
        <f t="shared" si="5"/>
        <v>0.13826366559485531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59</v>
      </c>
      <c r="E33" s="79">
        <f t="shared" si="0"/>
        <v>3</v>
      </c>
      <c r="F33" s="71">
        <f t="shared" si="3"/>
        <v>85.62</v>
      </c>
      <c r="G33" s="72">
        <f>IF(D33=D32,"",_xlfn.IFNA(VLOOKUP(D33,'인원 입력 기능 (사과탐)'!$K$236:$N$284,4,FALSE),0))</f>
        <v>86</v>
      </c>
      <c r="H33" s="73">
        <f t="shared" si="4"/>
        <v>1.1061093247588425E-2</v>
      </c>
      <c r="I33" s="77">
        <f>SUM($G$7:G33)</f>
        <v>1161</v>
      </c>
      <c r="J33" s="75">
        <f t="shared" si="5"/>
        <v>0.14932475884244373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58</v>
      </c>
      <c r="E34" s="79">
        <f t="shared" si="0"/>
        <v>3</v>
      </c>
      <c r="F34" s="71">
        <f t="shared" si="3"/>
        <v>84.33</v>
      </c>
      <c r="G34" s="72">
        <f>IF(D34=D33,"",_xlfn.IFNA(VLOOKUP(D34,'인원 입력 기능 (사과탐)'!$K$236:$N$284,4,FALSE),0))</f>
        <v>115</v>
      </c>
      <c r="H34" s="73">
        <f t="shared" si="4"/>
        <v>1.4790996784565916E-2</v>
      </c>
      <c r="I34" s="77">
        <f>SUM($G$7:G34)</f>
        <v>1276</v>
      </c>
      <c r="J34" s="75">
        <f t="shared" si="5"/>
        <v>0.16411575562700964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57</v>
      </c>
      <c r="E35" s="79">
        <f t="shared" si="0"/>
        <v>3</v>
      </c>
      <c r="F35" s="71">
        <f t="shared" si="3"/>
        <v>82.65</v>
      </c>
      <c r="G35" s="72">
        <f>IF(D35=D34,"",_xlfn.IFNA(VLOOKUP(D35,'인원 입력 기능 (사과탐)'!$K$236:$N$284,4,FALSE),0))</f>
        <v>146</v>
      </c>
      <c r="H35" s="73">
        <f t="shared" si="4"/>
        <v>1.877813504823151E-2</v>
      </c>
      <c r="I35" s="77">
        <f>SUM($G$7:G35)</f>
        <v>1422</v>
      </c>
      <c r="J35" s="75">
        <f t="shared" si="5"/>
        <v>0.18289389067524114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56</v>
      </c>
      <c r="E36" s="79">
        <f t="shared" si="0"/>
        <v>3</v>
      </c>
      <c r="F36" s="71">
        <f t="shared" si="3"/>
        <v>80.56</v>
      </c>
      <c r="G36" s="72">
        <f>IF(D36=D35,"",_xlfn.IFNA(VLOOKUP(D36,'인원 입력 기능 (사과탐)'!$K$236:$N$284,4,FALSE),0))</f>
        <v>179</v>
      </c>
      <c r="H36" s="73">
        <f t="shared" si="4"/>
        <v>2.3022508038585209E-2</v>
      </c>
      <c r="I36" s="77">
        <f>SUM($G$7:G36)</f>
        <v>1601</v>
      </c>
      <c r="J36" s="75">
        <f t="shared" si="5"/>
        <v>0.20591639871382636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55</v>
      </c>
      <c r="E37" s="79">
        <f t="shared" si="0"/>
        <v>3</v>
      </c>
      <c r="F37" s="71">
        <f t="shared" si="3"/>
        <v>78.23</v>
      </c>
      <c r="G37" s="72">
        <f>IF(D37=D36,"",_xlfn.IFNA(VLOOKUP(D37,'인원 입력 기능 (사과탐)'!$K$236:$N$284,4,FALSE),0))</f>
        <v>184</v>
      </c>
      <c r="H37" s="73">
        <f t="shared" si="4"/>
        <v>2.3665594855305467E-2</v>
      </c>
      <c r="I37" s="77">
        <f>SUM($G$7:G37)</f>
        <v>1785</v>
      </c>
      <c r="J37" s="75">
        <f t="shared" si="5"/>
        <v>0.22958199356913184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54</v>
      </c>
      <c r="E38" s="79">
        <f t="shared" si="0"/>
        <v>3</v>
      </c>
      <c r="F38" s="71">
        <f t="shared" si="3"/>
        <v>75.81</v>
      </c>
      <c r="G38" s="72">
        <f>IF(D38=D37,"",_xlfn.IFNA(VLOOKUP(D38,'인원 입력 기능 (사과탐)'!$K$236:$N$284,4,FALSE),0))</f>
        <v>191</v>
      </c>
      <c r="H38" s="73">
        <f t="shared" si="4"/>
        <v>2.4565916398713826E-2</v>
      </c>
      <c r="I38" s="77">
        <f>SUM($G$7:G38)</f>
        <v>1976</v>
      </c>
      <c r="J38" s="75">
        <f t="shared" si="5"/>
        <v>0.25414790996784564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53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71">
        <f t="shared" si="3"/>
        <v>73.23</v>
      </c>
      <c r="G39" s="72">
        <f>IF(D39=D38,"",_xlfn.IFNA(VLOOKUP(D39,'인원 입력 기능 (사과탐)'!$K$236:$N$284,4,FALSE),0))</f>
        <v>210</v>
      </c>
      <c r="H39" s="73">
        <f t="shared" si="4"/>
        <v>2.7009646302250803E-2</v>
      </c>
      <c r="I39" s="77">
        <f>SUM($G$7:G39)</f>
        <v>2186</v>
      </c>
      <c r="J39" s="75">
        <f t="shared" si="5"/>
        <v>0.28115755627009648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52</v>
      </c>
      <c r="E40" s="79">
        <f t="shared" si="6"/>
        <v>4</v>
      </c>
      <c r="F40" s="71">
        <f t="shared" si="3"/>
        <v>70.37</v>
      </c>
      <c r="G40" s="72">
        <f>IF(D40=D39,"",_xlfn.IFNA(VLOOKUP(D40,'인원 입력 기능 (사과탐)'!$K$236:$N$284,4,FALSE),0))</f>
        <v>235</v>
      </c>
      <c r="H40" s="73">
        <f t="shared" si="4"/>
        <v>3.0225080385852091E-2</v>
      </c>
      <c r="I40" s="77">
        <f>SUM($G$7:G40)</f>
        <v>2421</v>
      </c>
      <c r="J40" s="75">
        <f t="shared" si="5"/>
        <v>0.31138263665594856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51</v>
      </c>
      <c r="E41" s="79">
        <f t="shared" si="6"/>
        <v>4</v>
      </c>
      <c r="F41" s="71">
        <f t="shared" si="3"/>
        <v>66.92</v>
      </c>
      <c r="G41" s="72">
        <f>IF(D41=D40,"",_xlfn.IFNA(VLOOKUP(D41,'인원 입력 기능 (사과탐)'!$K$236:$N$284,4,FALSE),0))</f>
        <v>302</v>
      </c>
      <c r="H41" s="73">
        <f t="shared" si="4"/>
        <v>3.8842443729903538E-2</v>
      </c>
      <c r="I41" s="77">
        <f>SUM($G$7:G41)</f>
        <v>2723</v>
      </c>
      <c r="J41" s="75">
        <f t="shared" si="5"/>
        <v>0.35022508038585209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50</v>
      </c>
      <c r="E42" s="79">
        <f t="shared" si="6"/>
        <v>4</v>
      </c>
      <c r="F42" s="71">
        <f t="shared" si="3"/>
        <v>63.17</v>
      </c>
      <c r="G42" s="72">
        <f>IF(D42=D41,"",_xlfn.IFNA(VLOOKUP(D42,'인원 입력 기능 (사과탐)'!$K$236:$N$284,4,FALSE),0))</f>
        <v>281</v>
      </c>
      <c r="H42" s="73">
        <f t="shared" si="4"/>
        <v>3.6141479099678457E-2</v>
      </c>
      <c r="I42" s="77">
        <f>SUM($G$7:G42)</f>
        <v>3004</v>
      </c>
      <c r="J42" s="75">
        <f t="shared" si="5"/>
        <v>0.38636655948553056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49</v>
      </c>
      <c r="E43" s="79">
        <f t="shared" si="6"/>
        <v>4</v>
      </c>
      <c r="F43" s="71">
        <f t="shared" si="3"/>
        <v>59.13</v>
      </c>
      <c r="G43" s="72">
        <f>IF(D43=D42,"",_xlfn.IFNA(VLOOKUP(D43,'인원 입력 기능 (사과탐)'!$K$236:$N$284,4,FALSE),0))</f>
        <v>347</v>
      </c>
      <c r="H43" s="73">
        <f t="shared" si="4"/>
        <v>4.4630225080385853E-2</v>
      </c>
      <c r="I43" s="77">
        <f>SUM($G$7:G43)</f>
        <v>3351</v>
      </c>
      <c r="J43" s="75">
        <f t="shared" si="5"/>
        <v>0.43099678456591639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48</v>
      </c>
      <c r="E44" s="79">
        <f t="shared" si="6"/>
        <v>5</v>
      </c>
      <c r="F44" s="71">
        <f t="shared" si="3"/>
        <v>54.39</v>
      </c>
      <c r="G44" s="72">
        <f>IF(D44=D43,"",_xlfn.IFNA(VLOOKUP(D44,'인원 입력 기능 (사과탐)'!$K$236:$N$284,4,FALSE),0))</f>
        <v>390</v>
      </c>
      <c r="H44" s="73">
        <f t="shared" si="4"/>
        <v>5.0160771704180061E-2</v>
      </c>
      <c r="I44" s="77">
        <f>SUM($G$7:G44)</f>
        <v>3741</v>
      </c>
      <c r="J44" s="75">
        <f t="shared" si="5"/>
        <v>0.48115755627009649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47</v>
      </c>
      <c r="E45" s="79">
        <f t="shared" si="6"/>
        <v>5</v>
      </c>
      <c r="F45" s="71">
        <f t="shared" si="3"/>
        <v>49.27</v>
      </c>
      <c r="G45" s="72">
        <f>IF(D45=D44,"",_xlfn.IFNA(VLOOKUP(D45,'인원 입력 기능 (사과탐)'!$K$236:$N$284,4,FALSE),0))</f>
        <v>407</v>
      </c>
      <c r="H45" s="73">
        <f t="shared" si="4"/>
        <v>5.2347266881028941E-2</v>
      </c>
      <c r="I45" s="77">
        <f>SUM($G$7:G45)</f>
        <v>4148</v>
      </c>
      <c r="J45" s="75">
        <f t="shared" si="5"/>
        <v>0.53350482315112535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46</v>
      </c>
      <c r="E46" s="79">
        <f t="shared" si="6"/>
        <v>5</v>
      </c>
      <c r="F46" s="71">
        <f t="shared" si="3"/>
        <v>42.42</v>
      </c>
      <c r="G46" s="72">
        <f>IF(D46=D45,"",_xlfn.IFNA(VLOOKUP(D46,'인원 입력 기능 (사과탐)'!$K$236:$N$284,4,FALSE),0))</f>
        <v>657</v>
      </c>
      <c r="H46" s="73">
        <f t="shared" si="4"/>
        <v>8.4501607717041807E-2</v>
      </c>
      <c r="I46" s="77">
        <f>SUM($G$7:G46)</f>
        <v>4805</v>
      </c>
      <c r="J46" s="75">
        <f t="shared" si="5"/>
        <v>0.6180064308681672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45</v>
      </c>
      <c r="E47" s="79">
        <f t="shared" si="6"/>
        <v>6</v>
      </c>
      <c r="F47" s="71">
        <f t="shared" si="3"/>
        <v>35.880000000000003</v>
      </c>
      <c r="G47" s="72">
        <f>IF(D47=D46,"",_xlfn.IFNA(VLOOKUP(D47,'인원 입력 기능 (사과탐)'!$K$236:$N$284,4,FALSE),0))</f>
        <v>361</v>
      </c>
      <c r="H47" s="73">
        <f t="shared" si="4"/>
        <v>4.6430868167202571E-2</v>
      </c>
      <c r="I47" s="77">
        <f>SUM($G$7:G47)</f>
        <v>5166</v>
      </c>
      <c r="J47" s="75">
        <f t="shared" si="5"/>
        <v>0.66443729903536974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44</v>
      </c>
      <c r="E48" s="79">
        <f t="shared" si="6"/>
        <v>6</v>
      </c>
      <c r="F48" s="71">
        <f t="shared" si="3"/>
        <v>27.79</v>
      </c>
      <c r="G48" s="72">
        <f>IF(D48=D47,"",_xlfn.IFNA(VLOOKUP(D48,'인원 입력 기능 (사과탐)'!$K$236:$N$284,4,FALSE),0))</f>
        <v>897</v>
      </c>
      <c r="H48" s="73">
        <f t="shared" si="4"/>
        <v>0.11536977491961414</v>
      </c>
      <c r="I48" s="77">
        <f>SUM($G$7:G48)</f>
        <v>6063</v>
      </c>
      <c r="J48" s="75">
        <f t="shared" si="5"/>
        <v>0.77980707395498394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43</v>
      </c>
      <c r="E49" s="79">
        <f t="shared" si="6"/>
        <v>7</v>
      </c>
      <c r="F49" s="71">
        <f t="shared" si="3"/>
        <v>19.32</v>
      </c>
      <c r="G49" s="72">
        <f>IF(D49=D48,"",_xlfn.IFNA(VLOOKUP(D49,'인원 입력 기능 (사과탐)'!$K$236:$N$284,4,FALSE),0))</f>
        <v>419</v>
      </c>
      <c r="H49" s="73">
        <f t="shared" si="4"/>
        <v>5.3890675241157558E-2</v>
      </c>
      <c r="I49" s="77">
        <f>SUM($G$7:G49)</f>
        <v>6482</v>
      </c>
      <c r="J49" s="75">
        <f t="shared" si="5"/>
        <v>0.83369774919614148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42</v>
      </c>
      <c r="E50" s="79">
        <f t="shared" si="6"/>
        <v>7</v>
      </c>
      <c r="F50" s="71">
        <f t="shared" si="3"/>
        <v>14.47</v>
      </c>
      <c r="G50" s="72">
        <f>IF(D50=D49,"",_xlfn.IFNA(VLOOKUP(D50,'인원 입력 기능 (사과탐)'!$K$236:$N$284,4,FALSE),0))</f>
        <v>336</v>
      </c>
      <c r="H50" s="73">
        <f t="shared" si="4"/>
        <v>4.321543408360129E-2</v>
      </c>
      <c r="I50" s="77">
        <f>SUM($G$7:G50)</f>
        <v>6818</v>
      </c>
      <c r="J50" s="75">
        <f t="shared" si="5"/>
        <v>0.87691318327974277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41</v>
      </c>
      <c r="E51" s="79">
        <f t="shared" si="6"/>
        <v>7</v>
      </c>
      <c r="F51" s="71">
        <f t="shared" si="3"/>
        <v>10.89</v>
      </c>
      <c r="G51" s="72">
        <f>IF(D51=D50,"",_xlfn.IFNA(VLOOKUP(D51,'인원 입력 기능 (사과탐)'!$K$236:$N$284,4,FALSE),0))</f>
        <v>220</v>
      </c>
      <c r="H51" s="73">
        <f t="shared" si="4"/>
        <v>2.8295819935691319E-2</v>
      </c>
      <c r="I51" s="77">
        <f>SUM($G$7:G51)</f>
        <v>7038</v>
      </c>
      <c r="J51" s="75">
        <f t="shared" si="5"/>
        <v>0.90520900321543407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40</v>
      </c>
      <c r="E52" s="79">
        <f t="shared" si="6"/>
        <v>8</v>
      </c>
      <c r="F52" s="71">
        <f t="shared" si="3"/>
        <v>7.86</v>
      </c>
      <c r="G52" s="72">
        <f>IF(D52=D51,"",_xlfn.IFNA(VLOOKUP(D52,'인원 입력 기능 (사과탐)'!$K$236:$N$284,4,FALSE),0))</f>
        <v>252</v>
      </c>
      <c r="H52" s="73">
        <f t="shared" si="4"/>
        <v>3.2411575562700967E-2</v>
      </c>
      <c r="I52" s="77">
        <f>SUM($G$7:G52)</f>
        <v>7290</v>
      </c>
      <c r="J52" s="75">
        <f t="shared" si="5"/>
        <v>0.93762057877813509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39</v>
      </c>
      <c r="E53" s="70">
        <f t="shared" si="6"/>
        <v>8</v>
      </c>
      <c r="F53" s="71">
        <f t="shared" si="3"/>
        <v>5.36</v>
      </c>
      <c r="G53" s="72">
        <f>IF(D53=D52,"",_xlfn.IFNA(VLOOKUP(D53,'인원 입력 기능 (사과탐)'!$K$236:$N$284,4,FALSE),0))</f>
        <v>136</v>
      </c>
      <c r="H53" s="73">
        <f t="shared" si="4"/>
        <v>1.7491961414790997E-2</v>
      </c>
      <c r="I53" s="77">
        <f>SUM($G$7:G53)</f>
        <v>7426</v>
      </c>
      <c r="J53" s="75">
        <f t="shared" si="5"/>
        <v>0.95511254019292602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38</v>
      </c>
      <c r="E54" s="70">
        <f t="shared" si="6"/>
        <v>8</v>
      </c>
      <c r="F54" s="71">
        <f t="shared" si="3"/>
        <v>3.5</v>
      </c>
      <c r="G54" s="72">
        <f>IF(D54=D53,"",_xlfn.IFNA(VLOOKUP(D54,'인원 입력 기능 (사과탐)'!$K$236:$N$284,4,FALSE),0))</f>
        <v>153</v>
      </c>
      <c r="H54" s="73">
        <f t="shared" si="4"/>
        <v>1.9678456591639873E-2</v>
      </c>
      <c r="I54" s="77">
        <f>SUM($G$7:G54)</f>
        <v>7579</v>
      </c>
      <c r="J54" s="75">
        <f t="shared" si="5"/>
        <v>0.97479099678456593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37</v>
      </c>
      <c r="E55" s="70">
        <f t="shared" si="6"/>
        <v>9</v>
      </c>
      <c r="F55" s="71">
        <f t="shared" si="3"/>
        <v>1.72</v>
      </c>
      <c r="G55" s="72">
        <f>IF(D55=D54,"",_xlfn.IFNA(VLOOKUP(D55,'인원 입력 기능 (사과탐)'!$K$236:$N$284,4,FALSE),0))</f>
        <v>125</v>
      </c>
      <c r="H55" s="73">
        <f t="shared" si="4"/>
        <v>1.607717041800643E-2</v>
      </c>
      <c r="I55" s="77">
        <f>SUM($G$7:G55)</f>
        <v>7704</v>
      </c>
      <c r="J55" s="75">
        <f t="shared" si="5"/>
        <v>0.99086816720257231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34</v>
      </c>
      <c r="E57" s="83">
        <f t="shared" si="6"/>
        <v>9</v>
      </c>
      <c r="F57" s="84">
        <f>IF(I55=0,ROUND(100*(1-(I54+I57)/2/$J$3),2),ROUND(100*(1-(I55+I57)/2/$J$3),2))</f>
        <v>0.46</v>
      </c>
      <c r="G57" s="85">
        <f>_xlfn.IFNA(VLOOKUP(D57,'인원 입력 기능 (사과탐)'!$K$236:$N$284,4,FALSE),0)</f>
        <v>71</v>
      </c>
      <c r="H57" s="86">
        <f>G57/$J$3</f>
        <v>9.1318327974276529E-3</v>
      </c>
      <c r="I57" s="87">
        <f>SUM($G$7:G57)</f>
        <v>7775</v>
      </c>
      <c r="J57" s="88">
        <f>I57/$J$3</f>
        <v>1</v>
      </c>
      <c r="K57" s="28"/>
      <c r="L57" s="5" t="str">
        <f t="shared" ref="L57" si="7">IF(ABS((C57-$H$3)/$H$4*10+50-D57-0.5)&lt;0.1, "경고", "")</f>
        <v>경고</v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7" priority="3">
      <formula>OR($D7=$Q$7:$Q$14)</formula>
    </cfRule>
  </conditionalFormatting>
  <conditionalFormatting sqref="C7:C57">
    <cfRule type="expression" dxfId="6" priority="2">
      <formula>OR(AND($D7=0,OR($D6=$Q$7:$Q$14)),AND($D8&gt;0,OR($D7=$Q$7:$Q$14)))</formula>
    </cfRule>
  </conditionalFormatting>
  <conditionalFormatting sqref="D7:D57">
    <cfRule type="expression" dxfId="5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Q105"/>
  <sheetViews>
    <sheetView zoomScale="85" zoomScaleNormal="85" workbookViewId="0">
      <selection activeCell="D3" sqref="D3:F3"/>
    </sheetView>
  </sheetViews>
  <sheetFormatPr defaultRowHeight="17" x14ac:dyDescent="0.45"/>
  <cols>
    <col min="2" max="2" width="1" style="4" customWidth="1"/>
    <col min="3" max="10" width="14.1640625" customWidth="1"/>
    <col min="11" max="11" width="1" style="4" customWidth="1"/>
    <col min="12" max="12" width="14.1640625" style="1" customWidth="1"/>
  </cols>
  <sheetData>
    <row r="1" spans="1:17" x14ac:dyDescent="0.45">
      <c r="A1" s="4" t="s">
        <v>69</v>
      </c>
      <c r="C1" s="4"/>
      <c r="D1" s="4"/>
      <c r="E1" s="4"/>
      <c r="F1" s="4"/>
      <c r="G1" s="4"/>
      <c r="H1" s="4"/>
      <c r="I1" s="4"/>
      <c r="J1" s="4"/>
      <c r="L1" s="5"/>
    </row>
    <row r="2" spans="1:17" s="4" customFormat="1" ht="6" customHeight="1" thickBot="1" x14ac:dyDescent="0.5">
      <c r="B2" s="17"/>
      <c r="C2" s="25"/>
      <c r="D2" s="25"/>
      <c r="E2" s="25"/>
      <c r="F2" s="25"/>
      <c r="G2" s="25"/>
      <c r="H2" s="25"/>
      <c r="I2" s="25"/>
      <c r="J2" s="25"/>
      <c r="K2" s="18"/>
      <c r="L2" s="5"/>
    </row>
    <row r="3" spans="1:17" ht="25" customHeight="1" thickBot="1" x14ac:dyDescent="0.5">
      <c r="A3" s="4"/>
      <c r="B3" s="19"/>
      <c r="C3" s="33" t="s">
        <v>71</v>
      </c>
      <c r="D3" s="104" t="s">
        <v>174</v>
      </c>
      <c r="E3" s="105"/>
      <c r="F3" s="106"/>
      <c r="G3" s="33" t="s">
        <v>72</v>
      </c>
      <c r="H3" s="34" t="str">
        <f>'통계 및 응시자 수 입력 기능'!D22</f>
        <v>13.12</v>
      </c>
      <c r="I3" s="15" t="s">
        <v>84</v>
      </c>
      <c r="J3" s="35">
        <f>'통계 및 응시자 수 입력 기능'!C22</f>
        <v>5055</v>
      </c>
      <c r="K3" s="28"/>
      <c r="L3" s="5"/>
    </row>
    <row r="4" spans="1:17" ht="25" customHeight="1" thickBot="1" x14ac:dyDescent="0.5">
      <c r="A4" s="4"/>
      <c r="B4" s="19"/>
      <c r="C4" s="36" t="s">
        <v>85</v>
      </c>
      <c r="D4" s="107" t="s">
        <v>88</v>
      </c>
      <c r="E4" s="108"/>
      <c r="F4" s="109"/>
      <c r="G4" s="37" t="s">
        <v>87</v>
      </c>
      <c r="H4" s="38" t="str">
        <f>'통계 및 응시자 수 입력 기능'!E22</f>
        <v xml:space="preserve"> 7.58</v>
      </c>
      <c r="I4" s="16"/>
      <c r="J4" s="29"/>
      <c r="K4" s="28"/>
      <c r="L4" s="5"/>
    </row>
    <row r="5" spans="1:17" ht="25" customHeight="1" thickBot="1" x14ac:dyDescent="0.5">
      <c r="A5" s="4"/>
      <c r="B5" s="19"/>
      <c r="C5" s="20"/>
      <c r="D5" s="20"/>
      <c r="E5" s="20"/>
      <c r="F5" s="20"/>
      <c r="G5" s="110" t="s">
        <v>136</v>
      </c>
      <c r="H5" s="110"/>
      <c r="I5" s="110"/>
      <c r="J5" s="110"/>
      <c r="K5" s="28"/>
      <c r="L5" s="5"/>
    </row>
    <row r="6" spans="1:17" ht="25" customHeight="1" thickBot="1" x14ac:dyDescent="0.5">
      <c r="A6" s="4"/>
      <c r="B6" s="19"/>
      <c r="C6" s="39" t="s">
        <v>104</v>
      </c>
      <c r="D6" s="42" t="s">
        <v>105</v>
      </c>
      <c r="E6" s="42" t="s">
        <v>78</v>
      </c>
      <c r="F6" s="42" t="s">
        <v>106</v>
      </c>
      <c r="G6" s="42" t="s">
        <v>80</v>
      </c>
      <c r="H6" s="68" t="s">
        <v>81</v>
      </c>
      <c r="I6" s="68" t="s">
        <v>82</v>
      </c>
      <c r="J6" s="43" t="s">
        <v>83</v>
      </c>
      <c r="K6" s="32"/>
      <c r="L6" s="5" t="s">
        <v>68</v>
      </c>
      <c r="N6" s="3"/>
    </row>
    <row r="7" spans="1:17" ht="25" customHeight="1" x14ac:dyDescent="0.45">
      <c r="A7" s="4"/>
      <c r="B7" s="19"/>
      <c r="C7" s="69">
        <v>50</v>
      </c>
      <c r="D7" s="70">
        <f>ROUND(10*(C7-$H$3)/$H$4+50,0)</f>
        <v>99</v>
      </c>
      <c r="E7" s="70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71">
        <f>ROUND(100*(1-(0+I7)/2/$J$3),2)</f>
        <v>99.66</v>
      </c>
      <c r="G7" s="72">
        <f>_xlfn.IFNA(VLOOKUP(D7,'인원 입력 기능 (사과탐)'!$P$236:$S$284,4,FALSE),0)</f>
        <v>34</v>
      </c>
      <c r="H7" s="73">
        <f>G7/$J$3</f>
        <v>6.7260138476755689E-3</v>
      </c>
      <c r="I7" s="74">
        <f>G7</f>
        <v>34</v>
      </c>
      <c r="J7" s="75">
        <f>I7/$J$3</f>
        <v>6.7260138476755689E-3</v>
      </c>
      <c r="K7" s="28"/>
      <c r="L7" s="5" t="str">
        <f>IF(ABS((C7-$H$3)/$H$4*10+50-D7)&gt;0.49, "경고", "")</f>
        <v/>
      </c>
      <c r="N7" s="1"/>
      <c r="P7" s="1">
        <v>1</v>
      </c>
      <c r="Q7" s="1">
        <f>'표준점수 등급컷 입력기능'!C166</f>
        <v>72</v>
      </c>
    </row>
    <row r="8" spans="1:17" ht="25" customHeight="1" x14ac:dyDescent="0.45">
      <c r="A8" s="4"/>
      <c r="B8" s="19"/>
      <c r="C8" s="76">
        <v>49</v>
      </c>
      <c r="D8" s="112" t="s">
        <v>61</v>
      </c>
      <c r="E8" s="113"/>
      <c r="F8" s="113"/>
      <c r="G8" s="113"/>
      <c r="H8" s="113"/>
      <c r="I8" s="113"/>
      <c r="J8" s="114"/>
      <c r="K8" s="28"/>
      <c r="L8" s="5"/>
      <c r="N8" s="1"/>
      <c r="P8" s="1">
        <v>2</v>
      </c>
      <c r="Q8" s="1">
        <f>'표준점수 등급컷 입력기능'!C167</f>
        <v>59</v>
      </c>
    </row>
    <row r="9" spans="1:17" ht="25" customHeight="1" x14ac:dyDescent="0.45">
      <c r="A9" s="4"/>
      <c r="B9" s="19"/>
      <c r="C9" s="69">
        <v>48</v>
      </c>
      <c r="D9" s="70">
        <f>ROUND(10*(C9-$H$3)/$H$4+50,0)</f>
        <v>96</v>
      </c>
      <c r="E9" s="70">
        <f t="shared" si="0"/>
        <v>1</v>
      </c>
      <c r="F9" s="71">
        <f>IF(I8=0,ROUND(100*(1-(I7+I9)/2/$J$3),2),ROUND(100*(1-(I8+I9)/2/$J$3),2))</f>
        <v>99.25</v>
      </c>
      <c r="G9" s="72">
        <f>_xlfn.IFNA(VLOOKUP(D9,'인원 입력 기능 (사과탐)'!$P$236:$S$284,4,FALSE),0)</f>
        <v>8</v>
      </c>
      <c r="H9" s="73">
        <f>G9/$J$3</f>
        <v>1.582591493570722E-3</v>
      </c>
      <c r="I9" s="77">
        <f>SUM($G$7:G9)</f>
        <v>42</v>
      </c>
      <c r="J9" s="75">
        <f>I9/$J$3</f>
        <v>8.3086053412462901E-3</v>
      </c>
      <c r="K9" s="28"/>
      <c r="L9" s="5" t="str">
        <f t="shared" ref="L9:L55" si="1">IF(ABS((C9-$H$3)/$H$4*10+50-D9)&gt;0.49, "경고", "")</f>
        <v/>
      </c>
      <c r="N9" s="1"/>
      <c r="P9" s="1">
        <v>3</v>
      </c>
      <c r="Q9" s="1">
        <f>'표준점수 등급컷 입력기능'!C168</f>
        <v>52</v>
      </c>
    </row>
    <row r="10" spans="1:17" ht="25" customHeight="1" x14ac:dyDescent="0.45">
      <c r="A10" s="4"/>
      <c r="B10" s="19"/>
      <c r="C10" s="76">
        <v>47</v>
      </c>
      <c r="D10" s="70">
        <f t="shared" ref="D10:D55" si="2">ROUND(10*(C10-$H$3)/$H$4+50,0)</f>
        <v>95</v>
      </c>
      <c r="E10" s="70">
        <f t="shared" si="0"/>
        <v>1</v>
      </c>
      <c r="F10" s="71">
        <f t="shared" ref="F10:F55" si="3">IF(I9=0,ROUND(100*(1-(I8+I10)/2/$J$3),2),ROUND(100*(1-(I9+I10)/2/$J$3),2))</f>
        <v>99.06</v>
      </c>
      <c r="G10" s="72">
        <f>IF(D10=D9,"",_xlfn.IFNA(VLOOKUP(D10,'인원 입력 기능 (사과탐)'!$P$236:$S$284,4,FALSE),0))</f>
        <v>11</v>
      </c>
      <c r="H10" s="73">
        <f t="shared" ref="H10:H55" si="4">G10/$J$3</f>
        <v>2.176063303659743E-3</v>
      </c>
      <c r="I10" s="77">
        <f>SUM($G$7:G10)</f>
        <v>53</v>
      </c>
      <c r="J10" s="75">
        <f t="shared" ref="J10:J55" si="5">I10/$J$3</f>
        <v>1.0484668644906034E-2</v>
      </c>
      <c r="K10" s="28"/>
      <c r="L10" s="5" t="str">
        <f t="shared" si="1"/>
        <v/>
      </c>
      <c r="N10" s="1"/>
      <c r="P10" s="1">
        <v>4</v>
      </c>
      <c r="Q10" s="1">
        <f>'표준점수 등급컷 입력기능'!C169</f>
        <v>50</v>
      </c>
    </row>
    <row r="11" spans="1:17" ht="25" customHeight="1" x14ac:dyDescent="0.45">
      <c r="A11" s="4"/>
      <c r="B11" s="19"/>
      <c r="C11" s="69">
        <v>46</v>
      </c>
      <c r="D11" s="70">
        <f t="shared" si="2"/>
        <v>93</v>
      </c>
      <c r="E11" s="70">
        <f t="shared" si="0"/>
        <v>1</v>
      </c>
      <c r="F11" s="71">
        <f t="shared" si="3"/>
        <v>98.95</v>
      </c>
      <c r="G11" s="72">
        <f>IF(D11=D10,"",_xlfn.IFNA(VLOOKUP(D11,'인원 입력 기능 (사과탐)'!$P$236:$S$284,4,FALSE),0))</f>
        <v>0</v>
      </c>
      <c r="H11" s="73">
        <f t="shared" si="4"/>
        <v>0</v>
      </c>
      <c r="I11" s="77">
        <f>SUM($G$7:G11)</f>
        <v>53</v>
      </c>
      <c r="J11" s="75">
        <f t="shared" si="5"/>
        <v>1.0484668644906034E-2</v>
      </c>
      <c r="K11" s="28"/>
      <c r="L11" s="5" t="str">
        <f t="shared" si="1"/>
        <v/>
      </c>
      <c r="N11" s="1"/>
      <c r="P11" s="1">
        <v>5</v>
      </c>
      <c r="Q11" s="1">
        <f>'표준점수 등급컷 입력기능'!C170</f>
        <v>46</v>
      </c>
    </row>
    <row r="12" spans="1:17" ht="25" customHeight="1" x14ac:dyDescent="0.45">
      <c r="A12" s="4"/>
      <c r="B12" s="19"/>
      <c r="C12" s="76">
        <v>45</v>
      </c>
      <c r="D12" s="70">
        <f t="shared" si="2"/>
        <v>92</v>
      </c>
      <c r="E12" s="70">
        <f t="shared" si="0"/>
        <v>1</v>
      </c>
      <c r="F12" s="71">
        <f t="shared" si="3"/>
        <v>98.8</v>
      </c>
      <c r="G12" s="72">
        <f>IF(D12=D11,"",_xlfn.IFNA(VLOOKUP(D12,'인원 입력 기능 (사과탐)'!$P$236:$S$284,4,FALSE),0))</f>
        <v>15</v>
      </c>
      <c r="H12" s="73">
        <f t="shared" si="4"/>
        <v>2.967359050445104E-3</v>
      </c>
      <c r="I12" s="77">
        <f>SUM($G$7:G12)</f>
        <v>68</v>
      </c>
      <c r="J12" s="75">
        <f t="shared" si="5"/>
        <v>1.3452027695351138E-2</v>
      </c>
      <c r="K12" s="28"/>
      <c r="L12" s="5" t="str">
        <f t="shared" si="1"/>
        <v/>
      </c>
      <c r="N12" s="1"/>
      <c r="P12" s="1">
        <v>6</v>
      </c>
      <c r="Q12" s="1">
        <f>'표준점수 등급컷 입력기능'!C171</f>
        <v>45</v>
      </c>
    </row>
    <row r="13" spans="1:17" ht="25" customHeight="1" x14ac:dyDescent="0.45">
      <c r="A13" s="4"/>
      <c r="B13" s="19"/>
      <c r="C13" s="69">
        <v>44</v>
      </c>
      <c r="D13" s="70">
        <f t="shared" si="2"/>
        <v>91</v>
      </c>
      <c r="E13" s="70">
        <f t="shared" si="0"/>
        <v>1</v>
      </c>
      <c r="F13" s="71">
        <f t="shared" si="3"/>
        <v>98.57</v>
      </c>
      <c r="G13" s="72">
        <f>IF(D13=D12,"",_xlfn.IFNA(VLOOKUP(D13,'인원 입력 기능 (사과탐)'!$P$236:$S$284,4,FALSE),0))</f>
        <v>9</v>
      </c>
      <c r="H13" s="73">
        <f t="shared" si="4"/>
        <v>1.7804154302670622E-3</v>
      </c>
      <c r="I13" s="77">
        <f>SUM($G$7:G13)</f>
        <v>77</v>
      </c>
      <c r="J13" s="75">
        <f t="shared" si="5"/>
        <v>1.52324431256182E-2</v>
      </c>
      <c r="K13" s="28"/>
      <c r="L13" s="5" t="str">
        <f t="shared" si="1"/>
        <v/>
      </c>
      <c r="N13" s="1"/>
      <c r="P13" s="1">
        <v>7</v>
      </c>
      <c r="Q13" s="1">
        <f>'표준점수 등급컷 입력기능'!C172</f>
        <v>42</v>
      </c>
    </row>
    <row r="14" spans="1:17" ht="25" customHeight="1" x14ac:dyDescent="0.45">
      <c r="A14" s="4"/>
      <c r="B14" s="19"/>
      <c r="C14" s="76">
        <v>43</v>
      </c>
      <c r="D14" s="70">
        <f t="shared" si="2"/>
        <v>89</v>
      </c>
      <c r="E14" s="70">
        <f t="shared" si="0"/>
        <v>1</v>
      </c>
      <c r="F14" s="71">
        <f t="shared" si="3"/>
        <v>98.44</v>
      </c>
      <c r="G14" s="72">
        <f>IF(D14=D13,"",_xlfn.IFNA(VLOOKUP(D14,'인원 입력 기능 (사과탐)'!$P$236:$S$284,4,FALSE),0))</f>
        <v>4</v>
      </c>
      <c r="H14" s="73">
        <f t="shared" si="4"/>
        <v>7.91295746785361E-4</v>
      </c>
      <c r="I14" s="77">
        <f>SUM($G$7:G14)</f>
        <v>81</v>
      </c>
      <c r="J14" s="75">
        <f t="shared" si="5"/>
        <v>1.6023738872403562E-2</v>
      </c>
      <c r="K14" s="28"/>
      <c r="L14" s="5" t="str">
        <f t="shared" si="1"/>
        <v/>
      </c>
      <c r="N14" s="1"/>
      <c r="P14" s="1">
        <v>8</v>
      </c>
      <c r="Q14" s="1">
        <f>'표준점수 등급컷 입력기능'!C173</f>
        <v>39</v>
      </c>
    </row>
    <row r="15" spans="1:17" ht="25" customHeight="1" x14ac:dyDescent="0.45">
      <c r="A15" s="4"/>
      <c r="B15" s="19"/>
      <c r="C15" s="69">
        <v>42</v>
      </c>
      <c r="D15" s="70">
        <f t="shared" si="2"/>
        <v>88</v>
      </c>
      <c r="E15" s="70">
        <f t="shared" si="0"/>
        <v>1</v>
      </c>
      <c r="F15" s="71">
        <f t="shared" si="3"/>
        <v>98.31</v>
      </c>
      <c r="G15" s="72">
        <f>IF(D15=D14,"",_xlfn.IFNA(VLOOKUP(D15,'인원 입력 기능 (사과탐)'!$P$236:$S$284,4,FALSE),0))</f>
        <v>9</v>
      </c>
      <c r="H15" s="73">
        <f t="shared" si="4"/>
        <v>1.7804154302670622E-3</v>
      </c>
      <c r="I15" s="77">
        <f>SUM($G$7:G15)</f>
        <v>90</v>
      </c>
      <c r="J15" s="75">
        <f t="shared" si="5"/>
        <v>1.7804154302670624E-2</v>
      </c>
      <c r="K15" s="28"/>
      <c r="L15" s="5" t="str">
        <f t="shared" si="1"/>
        <v/>
      </c>
      <c r="N15" s="1"/>
      <c r="P15" s="1">
        <v>9</v>
      </c>
      <c r="Q15" s="1"/>
    </row>
    <row r="16" spans="1:17" ht="25" customHeight="1" x14ac:dyDescent="0.45">
      <c r="A16" s="4"/>
      <c r="B16" s="19"/>
      <c r="C16" s="76">
        <v>41</v>
      </c>
      <c r="D16" s="70">
        <f t="shared" si="2"/>
        <v>87</v>
      </c>
      <c r="E16" s="70">
        <f t="shared" si="0"/>
        <v>1</v>
      </c>
      <c r="F16" s="71">
        <f t="shared" si="3"/>
        <v>98.1</v>
      </c>
      <c r="G16" s="72">
        <f>IF(D16=D15,"",_xlfn.IFNA(VLOOKUP(D16,'인원 입력 기능 (사과탐)'!$P$236:$S$284,4,FALSE),0))</f>
        <v>12</v>
      </c>
      <c r="H16" s="73">
        <f t="shared" si="4"/>
        <v>2.373887240356083E-3</v>
      </c>
      <c r="I16" s="77">
        <f>SUM($G$7:G16)</f>
        <v>102</v>
      </c>
      <c r="J16" s="75">
        <f t="shared" si="5"/>
        <v>2.0178041543026708E-2</v>
      </c>
      <c r="K16" s="28"/>
      <c r="L16" s="5" t="str">
        <f t="shared" si="1"/>
        <v/>
      </c>
      <c r="N16" s="1"/>
    </row>
    <row r="17" spans="1:16" ht="25" customHeight="1" x14ac:dyDescent="0.45">
      <c r="A17" s="4"/>
      <c r="B17" s="19"/>
      <c r="C17" s="69">
        <v>40</v>
      </c>
      <c r="D17" s="70">
        <f t="shared" si="2"/>
        <v>85</v>
      </c>
      <c r="E17" s="70">
        <f t="shared" si="0"/>
        <v>1</v>
      </c>
      <c r="F17" s="71">
        <f t="shared" si="3"/>
        <v>97.87</v>
      </c>
      <c r="G17" s="72">
        <f>IF(D17=D16,"",_xlfn.IFNA(VLOOKUP(D17,'인원 입력 기능 (사과탐)'!$P$236:$S$284,4,FALSE),0))</f>
        <v>11</v>
      </c>
      <c r="H17" s="73">
        <f t="shared" si="4"/>
        <v>2.176063303659743E-3</v>
      </c>
      <c r="I17" s="77">
        <f>SUM($G$7:G17)</f>
        <v>113</v>
      </c>
      <c r="J17" s="75">
        <f t="shared" si="5"/>
        <v>2.235410484668645E-2</v>
      </c>
      <c r="K17" s="28"/>
      <c r="L17" s="5" t="str">
        <f t="shared" si="1"/>
        <v/>
      </c>
      <c r="N17" s="1"/>
      <c r="P17" s="1">
        <f>Q7*H3*H4*J3*IFERROR(IF(J57=1, 1, 0), 0)</f>
        <v>36195676.416000001</v>
      </c>
    </row>
    <row r="18" spans="1:16" ht="25" customHeight="1" x14ac:dyDescent="0.45">
      <c r="A18" s="4"/>
      <c r="B18" s="19"/>
      <c r="C18" s="76">
        <v>39</v>
      </c>
      <c r="D18" s="70">
        <f t="shared" si="2"/>
        <v>84</v>
      </c>
      <c r="E18" s="70">
        <f t="shared" si="0"/>
        <v>1</v>
      </c>
      <c r="F18" s="71">
        <f t="shared" si="3"/>
        <v>97.63</v>
      </c>
      <c r="G18" s="72">
        <f>IF(D18=D17,"",_xlfn.IFNA(VLOOKUP(D18,'인원 입력 기능 (사과탐)'!$P$236:$S$284,4,FALSE),0))</f>
        <v>14</v>
      </c>
      <c r="H18" s="73">
        <f t="shared" si="4"/>
        <v>2.7695351137487635E-3</v>
      </c>
      <c r="I18" s="77">
        <f>SUM($G$7:G18)</f>
        <v>127</v>
      </c>
      <c r="J18" s="75">
        <f t="shared" si="5"/>
        <v>2.5123639960435214E-2</v>
      </c>
      <c r="K18" s="28"/>
      <c r="L18" s="5" t="str">
        <f t="shared" si="1"/>
        <v/>
      </c>
      <c r="N18" s="1"/>
    </row>
    <row r="19" spans="1:16" ht="25" customHeight="1" x14ac:dyDescent="0.45">
      <c r="A19" s="4"/>
      <c r="B19" s="19"/>
      <c r="C19" s="69">
        <v>38</v>
      </c>
      <c r="D19" s="70">
        <f t="shared" si="2"/>
        <v>83</v>
      </c>
      <c r="E19" s="70">
        <f t="shared" si="0"/>
        <v>1</v>
      </c>
      <c r="F19" s="71">
        <f t="shared" si="3"/>
        <v>97.41</v>
      </c>
      <c r="G19" s="72">
        <f>IF(D19=D18,"",_xlfn.IFNA(VLOOKUP(D19,'인원 입력 기능 (사과탐)'!$P$236:$S$284,4,FALSE),0))</f>
        <v>8</v>
      </c>
      <c r="H19" s="73">
        <f t="shared" si="4"/>
        <v>1.582591493570722E-3</v>
      </c>
      <c r="I19" s="77">
        <f>SUM($G$7:G19)</f>
        <v>135</v>
      </c>
      <c r="J19" s="75">
        <f t="shared" si="5"/>
        <v>2.6706231454005934E-2</v>
      </c>
      <c r="K19" s="28"/>
      <c r="L19" s="5" t="str">
        <f t="shared" si="1"/>
        <v/>
      </c>
      <c r="N19" s="1"/>
    </row>
    <row r="20" spans="1:16" ht="25" customHeight="1" x14ac:dyDescent="0.45">
      <c r="A20" s="4"/>
      <c r="B20" s="19"/>
      <c r="C20" s="76">
        <v>37</v>
      </c>
      <c r="D20" s="70">
        <v>81</v>
      </c>
      <c r="E20" s="70">
        <f t="shared" si="0"/>
        <v>1</v>
      </c>
      <c r="F20" s="71">
        <f t="shared" si="3"/>
        <v>97.18</v>
      </c>
      <c r="G20" s="72">
        <f>IF(D20=D19,"",_xlfn.IFNA(VLOOKUP(D20,'인원 입력 기능 (사과탐)'!$P$236:$S$284,4,FALSE),0))</f>
        <v>15</v>
      </c>
      <c r="H20" s="73">
        <f t="shared" si="4"/>
        <v>2.967359050445104E-3</v>
      </c>
      <c r="I20" s="77">
        <f>SUM($G$7:G20)</f>
        <v>150</v>
      </c>
      <c r="J20" s="75">
        <f t="shared" si="5"/>
        <v>2.967359050445104E-2</v>
      </c>
      <c r="K20" s="28"/>
      <c r="L20" s="5" t="str">
        <f t="shared" si="1"/>
        <v>경고</v>
      </c>
      <c r="N20" s="1"/>
    </row>
    <row r="21" spans="1:16" ht="25" customHeight="1" x14ac:dyDescent="0.45">
      <c r="A21" s="4"/>
      <c r="B21" s="19"/>
      <c r="C21" s="78">
        <v>36</v>
      </c>
      <c r="D21" s="79">
        <f t="shared" si="2"/>
        <v>80</v>
      </c>
      <c r="E21" s="79">
        <f t="shared" si="0"/>
        <v>1</v>
      </c>
      <c r="F21" s="71">
        <f t="shared" si="3"/>
        <v>96.92</v>
      </c>
      <c r="G21" s="72">
        <f>IF(D21=D20,"",_xlfn.IFNA(VLOOKUP(D21,'인원 입력 기능 (사과탐)'!$P$236:$S$284,4,FALSE),0))</f>
        <v>11</v>
      </c>
      <c r="H21" s="73">
        <f t="shared" si="4"/>
        <v>2.176063303659743E-3</v>
      </c>
      <c r="I21" s="77">
        <f>SUM($G$7:G21)</f>
        <v>161</v>
      </c>
      <c r="J21" s="75">
        <f t="shared" si="5"/>
        <v>3.1849653808110778E-2</v>
      </c>
      <c r="K21" s="28"/>
      <c r="L21" s="5" t="str">
        <f t="shared" si="1"/>
        <v/>
      </c>
      <c r="N21" s="1"/>
    </row>
    <row r="22" spans="1:16" ht="25" customHeight="1" x14ac:dyDescent="0.45">
      <c r="A22" s="4"/>
      <c r="B22" s="19"/>
      <c r="C22" s="80">
        <v>35</v>
      </c>
      <c r="D22" s="79">
        <f t="shared" si="2"/>
        <v>79</v>
      </c>
      <c r="E22" s="79">
        <f t="shared" si="0"/>
        <v>1</v>
      </c>
      <c r="F22" s="71">
        <f t="shared" si="3"/>
        <v>96.74</v>
      </c>
      <c r="G22" s="72">
        <f>IF(D22=D21,"",_xlfn.IFNA(VLOOKUP(D22,'인원 입력 기능 (사과탐)'!$P$236:$S$284,4,FALSE),0))</f>
        <v>8</v>
      </c>
      <c r="H22" s="73">
        <f t="shared" si="4"/>
        <v>1.582591493570722E-3</v>
      </c>
      <c r="I22" s="77">
        <f>SUM($G$7:G22)</f>
        <v>169</v>
      </c>
      <c r="J22" s="75">
        <f t="shared" si="5"/>
        <v>3.3432245301681505E-2</v>
      </c>
      <c r="K22" s="28"/>
      <c r="L22" s="5" t="str">
        <f t="shared" si="1"/>
        <v/>
      </c>
      <c r="N22" s="1"/>
    </row>
    <row r="23" spans="1:16" ht="25" customHeight="1" x14ac:dyDescent="0.45">
      <c r="A23" s="4"/>
      <c r="B23" s="19"/>
      <c r="C23" s="78">
        <v>34</v>
      </c>
      <c r="D23" s="79">
        <f t="shared" si="2"/>
        <v>78</v>
      </c>
      <c r="E23" s="79">
        <f t="shared" si="0"/>
        <v>1</v>
      </c>
      <c r="F23" s="71">
        <f t="shared" si="3"/>
        <v>96.6</v>
      </c>
      <c r="G23" s="72">
        <f>IF(D23=D22,"",_xlfn.IFNA(VLOOKUP(D23,'인원 입력 기능 (사과탐)'!$P$236:$S$284,4,FALSE),0))</f>
        <v>6</v>
      </c>
      <c r="H23" s="73">
        <f t="shared" si="4"/>
        <v>1.1869436201780415E-3</v>
      </c>
      <c r="I23" s="77">
        <f>SUM($G$7:G23)</f>
        <v>175</v>
      </c>
      <c r="J23" s="75">
        <f t="shared" si="5"/>
        <v>3.4619188921859542E-2</v>
      </c>
      <c r="K23" s="28"/>
      <c r="L23" s="5" t="str">
        <f t="shared" si="1"/>
        <v/>
      </c>
      <c r="N23" s="1"/>
    </row>
    <row r="24" spans="1:16" ht="25" customHeight="1" x14ac:dyDescent="0.45">
      <c r="A24" s="4"/>
      <c r="B24" s="19"/>
      <c r="C24" s="80">
        <v>33</v>
      </c>
      <c r="D24" s="79">
        <f t="shared" si="2"/>
        <v>76</v>
      </c>
      <c r="E24" s="79">
        <f t="shared" si="0"/>
        <v>1</v>
      </c>
      <c r="F24" s="71">
        <f t="shared" si="3"/>
        <v>96.43</v>
      </c>
      <c r="G24" s="72">
        <f>IF(D24=D23,"",_xlfn.IFNA(VLOOKUP(D24,'인원 입력 기능 (사과탐)'!$P$236:$S$284,4,FALSE),0))</f>
        <v>11</v>
      </c>
      <c r="H24" s="73">
        <f t="shared" si="4"/>
        <v>2.176063303659743E-3</v>
      </c>
      <c r="I24" s="77">
        <f>SUM($G$7:G24)</f>
        <v>186</v>
      </c>
      <c r="J24" s="75">
        <f t="shared" si="5"/>
        <v>3.6795252225519291E-2</v>
      </c>
      <c r="K24" s="28"/>
      <c r="L24" s="5" t="str">
        <f t="shared" si="1"/>
        <v/>
      </c>
      <c r="N24" s="1"/>
    </row>
    <row r="25" spans="1:16" ht="25" customHeight="1" x14ac:dyDescent="0.45">
      <c r="A25" s="4"/>
      <c r="B25" s="19"/>
      <c r="C25" s="78">
        <v>32</v>
      </c>
      <c r="D25" s="79">
        <f t="shared" si="2"/>
        <v>75</v>
      </c>
      <c r="E25" s="79">
        <f t="shared" si="0"/>
        <v>1</v>
      </c>
      <c r="F25" s="71">
        <f t="shared" si="3"/>
        <v>96.21</v>
      </c>
      <c r="G25" s="72">
        <f>IF(D25=D24,"",_xlfn.IFNA(VLOOKUP(D25,'인원 입력 기능 (사과탐)'!$P$236:$S$284,4,FALSE),0))</f>
        <v>11</v>
      </c>
      <c r="H25" s="73">
        <f t="shared" si="4"/>
        <v>2.176063303659743E-3</v>
      </c>
      <c r="I25" s="77">
        <f>SUM($G$7:G25)</f>
        <v>197</v>
      </c>
      <c r="J25" s="75">
        <f t="shared" si="5"/>
        <v>3.8971315529179033E-2</v>
      </c>
      <c r="K25" s="28"/>
      <c r="L25" s="5" t="str">
        <f t="shared" si="1"/>
        <v/>
      </c>
      <c r="N25" s="1"/>
    </row>
    <row r="26" spans="1:16" ht="25" customHeight="1" x14ac:dyDescent="0.45">
      <c r="A26" s="4"/>
      <c r="B26" s="19"/>
      <c r="C26" s="80">
        <v>31</v>
      </c>
      <c r="D26" s="79">
        <f t="shared" si="2"/>
        <v>74</v>
      </c>
      <c r="E26" s="79">
        <f t="shared" si="0"/>
        <v>1</v>
      </c>
      <c r="F26" s="71">
        <f t="shared" si="3"/>
        <v>96.05</v>
      </c>
      <c r="G26" s="72">
        <f>IF(D26=D25,"",_xlfn.IFNA(VLOOKUP(D26,'인원 입력 기능 (사과탐)'!$P$236:$S$284,4,FALSE),0))</f>
        <v>5</v>
      </c>
      <c r="H26" s="73">
        <f t="shared" si="4"/>
        <v>9.8911968348170125E-4</v>
      </c>
      <c r="I26" s="77">
        <f>SUM($G$7:G26)</f>
        <v>202</v>
      </c>
      <c r="J26" s="75">
        <f t="shared" si="5"/>
        <v>3.9960435212660732E-2</v>
      </c>
      <c r="K26" s="28"/>
      <c r="L26" s="5" t="str">
        <f t="shared" si="1"/>
        <v/>
      </c>
      <c r="N26" s="1"/>
    </row>
    <row r="27" spans="1:16" ht="25" customHeight="1" x14ac:dyDescent="0.45">
      <c r="A27" s="4"/>
      <c r="B27" s="19"/>
      <c r="C27" s="78">
        <v>30</v>
      </c>
      <c r="D27" s="79">
        <f t="shared" si="2"/>
        <v>72</v>
      </c>
      <c r="E27" s="79">
        <f t="shared" si="0"/>
        <v>1</v>
      </c>
      <c r="F27" s="71">
        <f t="shared" si="3"/>
        <v>95.85</v>
      </c>
      <c r="G27" s="72">
        <f>IF(D27=D26,"",_xlfn.IFNA(VLOOKUP(D27,'인원 입력 기능 (사과탐)'!$P$236:$S$284,4,FALSE),0))</f>
        <v>16</v>
      </c>
      <c r="H27" s="73">
        <f t="shared" si="4"/>
        <v>3.165182987141444E-3</v>
      </c>
      <c r="I27" s="77">
        <f>SUM($G$7:G27)</f>
        <v>218</v>
      </c>
      <c r="J27" s="75">
        <f t="shared" si="5"/>
        <v>4.3125618199802179E-2</v>
      </c>
      <c r="K27" s="28"/>
      <c r="L27" s="5" t="str">
        <f t="shared" si="1"/>
        <v/>
      </c>
      <c r="N27" s="1"/>
    </row>
    <row r="28" spans="1:16" ht="25" customHeight="1" x14ac:dyDescent="0.45">
      <c r="A28" s="4"/>
      <c r="B28" s="19"/>
      <c r="C28" s="80">
        <v>29</v>
      </c>
      <c r="D28" s="79">
        <f t="shared" si="2"/>
        <v>71</v>
      </c>
      <c r="E28" s="79">
        <f t="shared" si="0"/>
        <v>2</v>
      </c>
      <c r="F28" s="71">
        <f t="shared" si="3"/>
        <v>95.59</v>
      </c>
      <c r="G28" s="72">
        <f>IF(D28=D27,"",_xlfn.IFNA(VLOOKUP(D28,'인원 입력 기능 (사과탐)'!$P$236:$S$284,4,FALSE),0))</f>
        <v>10</v>
      </c>
      <c r="H28" s="73">
        <f t="shared" si="4"/>
        <v>1.9782393669634025E-3</v>
      </c>
      <c r="I28" s="77">
        <f>SUM($G$7:G28)</f>
        <v>228</v>
      </c>
      <c r="J28" s="75">
        <f t="shared" si="5"/>
        <v>4.5103857566765576E-2</v>
      </c>
      <c r="K28" s="28"/>
      <c r="L28" s="5" t="str">
        <f t="shared" si="1"/>
        <v/>
      </c>
      <c r="N28" s="1"/>
    </row>
    <row r="29" spans="1:16" ht="25" customHeight="1" x14ac:dyDescent="0.45">
      <c r="A29" s="4"/>
      <c r="B29" s="19"/>
      <c r="C29" s="78">
        <v>28</v>
      </c>
      <c r="D29" s="79">
        <f t="shared" si="2"/>
        <v>70</v>
      </c>
      <c r="E29" s="79">
        <f t="shared" si="0"/>
        <v>2</v>
      </c>
      <c r="F29" s="71">
        <f t="shared" si="3"/>
        <v>95.33</v>
      </c>
      <c r="G29" s="72">
        <f>IF(D29=D28,"",_xlfn.IFNA(VLOOKUP(D29,'인원 입력 기능 (사과탐)'!$P$236:$S$284,4,FALSE),0))</f>
        <v>16</v>
      </c>
      <c r="H29" s="73">
        <f t="shared" si="4"/>
        <v>3.165182987141444E-3</v>
      </c>
      <c r="I29" s="77">
        <f>SUM($G$7:G29)</f>
        <v>244</v>
      </c>
      <c r="J29" s="75">
        <f t="shared" si="5"/>
        <v>4.8269040553907024E-2</v>
      </c>
      <c r="K29" s="28"/>
      <c r="L29" s="5" t="str">
        <f t="shared" si="1"/>
        <v/>
      </c>
      <c r="N29" s="1"/>
    </row>
    <row r="30" spans="1:16" ht="25" customHeight="1" x14ac:dyDescent="0.45">
      <c r="A30" s="4"/>
      <c r="B30" s="19"/>
      <c r="C30" s="80">
        <v>27</v>
      </c>
      <c r="D30" s="79">
        <f t="shared" si="2"/>
        <v>68</v>
      </c>
      <c r="E30" s="79">
        <f t="shared" si="0"/>
        <v>2</v>
      </c>
      <c r="F30" s="71">
        <f t="shared" si="3"/>
        <v>94.93</v>
      </c>
      <c r="G30" s="72">
        <f>IF(D30=D29,"",_xlfn.IFNA(VLOOKUP(D30,'인원 입력 기능 (사과탐)'!$P$236:$S$284,4,FALSE),0))</f>
        <v>25</v>
      </c>
      <c r="H30" s="73">
        <f t="shared" si="4"/>
        <v>4.945598417408506E-3</v>
      </c>
      <c r="I30" s="77">
        <f>SUM($G$7:G30)</f>
        <v>269</v>
      </c>
      <c r="J30" s="75">
        <f t="shared" si="5"/>
        <v>5.321463897131553E-2</v>
      </c>
      <c r="K30" s="28"/>
      <c r="L30" s="5" t="str">
        <f t="shared" si="1"/>
        <v/>
      </c>
      <c r="N30" s="1"/>
    </row>
    <row r="31" spans="1:16" ht="25" customHeight="1" x14ac:dyDescent="0.45">
      <c r="A31" s="4"/>
      <c r="B31" s="19"/>
      <c r="C31" s="78">
        <v>26</v>
      </c>
      <c r="D31" s="79">
        <f t="shared" si="2"/>
        <v>67</v>
      </c>
      <c r="E31" s="79">
        <f t="shared" si="0"/>
        <v>2</v>
      </c>
      <c r="F31" s="71">
        <f t="shared" si="3"/>
        <v>94.49</v>
      </c>
      <c r="G31" s="72">
        <f>IF(D31=D30,"",_xlfn.IFNA(VLOOKUP(D31,'인원 입력 기능 (사과탐)'!$P$236:$S$284,4,FALSE),0))</f>
        <v>19</v>
      </c>
      <c r="H31" s="73">
        <f t="shared" si="4"/>
        <v>3.758654797230465E-3</v>
      </c>
      <c r="I31" s="77">
        <f>SUM($G$7:G31)</f>
        <v>288</v>
      </c>
      <c r="J31" s="75">
        <f t="shared" si="5"/>
        <v>5.6973293768545992E-2</v>
      </c>
      <c r="K31" s="28"/>
      <c r="L31" s="5" t="str">
        <f t="shared" si="1"/>
        <v/>
      </c>
      <c r="N31" s="1"/>
    </row>
    <row r="32" spans="1:16" ht="25" customHeight="1" x14ac:dyDescent="0.45">
      <c r="A32" s="4"/>
      <c r="B32" s="19"/>
      <c r="C32" s="80">
        <v>25</v>
      </c>
      <c r="D32" s="79">
        <f t="shared" si="2"/>
        <v>66</v>
      </c>
      <c r="E32" s="79">
        <f t="shared" si="0"/>
        <v>2</v>
      </c>
      <c r="F32" s="71">
        <f t="shared" si="3"/>
        <v>94.09</v>
      </c>
      <c r="G32" s="72">
        <f>IF(D32=D31,"",_xlfn.IFNA(VLOOKUP(D32,'인원 입력 기능 (사과탐)'!$P$236:$S$284,4,FALSE),0))</f>
        <v>22</v>
      </c>
      <c r="H32" s="73">
        <f t="shared" si="4"/>
        <v>4.3521266073194859E-3</v>
      </c>
      <c r="I32" s="77">
        <f>SUM($G$7:G32)</f>
        <v>310</v>
      </c>
      <c r="J32" s="75">
        <f t="shared" si="5"/>
        <v>6.1325420375865483E-2</v>
      </c>
      <c r="K32" s="28"/>
      <c r="L32" s="5" t="str">
        <f t="shared" si="1"/>
        <v/>
      </c>
      <c r="N32" s="1"/>
    </row>
    <row r="33" spans="1:14" ht="25" customHeight="1" x14ac:dyDescent="0.45">
      <c r="A33" s="4"/>
      <c r="B33" s="19"/>
      <c r="C33" s="78">
        <v>24</v>
      </c>
      <c r="D33" s="79">
        <f t="shared" si="2"/>
        <v>64</v>
      </c>
      <c r="E33" s="79">
        <f t="shared" si="0"/>
        <v>2</v>
      </c>
      <c r="F33" s="71">
        <f t="shared" si="3"/>
        <v>93.53</v>
      </c>
      <c r="G33" s="72">
        <f>IF(D33=D32,"",_xlfn.IFNA(VLOOKUP(D33,'인원 입력 기능 (사과탐)'!$P$236:$S$284,4,FALSE),0))</f>
        <v>34</v>
      </c>
      <c r="H33" s="73">
        <f t="shared" si="4"/>
        <v>6.7260138476755689E-3</v>
      </c>
      <c r="I33" s="77">
        <f>SUM($G$7:G33)</f>
        <v>344</v>
      </c>
      <c r="J33" s="75">
        <f t="shared" si="5"/>
        <v>6.8051434223541055E-2</v>
      </c>
      <c r="K33" s="28"/>
      <c r="L33" s="5" t="str">
        <f t="shared" si="1"/>
        <v/>
      </c>
      <c r="N33" s="1"/>
    </row>
    <row r="34" spans="1:14" ht="25" customHeight="1" x14ac:dyDescent="0.45">
      <c r="A34" s="4"/>
      <c r="B34" s="19"/>
      <c r="C34" s="80">
        <v>23</v>
      </c>
      <c r="D34" s="79">
        <f t="shared" si="2"/>
        <v>63</v>
      </c>
      <c r="E34" s="79">
        <f t="shared" si="0"/>
        <v>2</v>
      </c>
      <c r="F34" s="71">
        <f t="shared" si="3"/>
        <v>92.92</v>
      </c>
      <c r="G34" s="72">
        <f>IF(D34=D33,"",_xlfn.IFNA(VLOOKUP(D34,'인원 입력 기능 (사과탐)'!$P$236:$S$284,4,FALSE),0))</f>
        <v>28</v>
      </c>
      <c r="H34" s="73">
        <f t="shared" si="4"/>
        <v>5.539070227497527E-3</v>
      </c>
      <c r="I34" s="77">
        <f>SUM($G$7:G34)</f>
        <v>372</v>
      </c>
      <c r="J34" s="75">
        <f t="shared" si="5"/>
        <v>7.3590504451038583E-2</v>
      </c>
      <c r="K34" s="28"/>
      <c r="L34" s="5" t="str">
        <f t="shared" si="1"/>
        <v/>
      </c>
      <c r="N34" s="1"/>
    </row>
    <row r="35" spans="1:14" ht="25" customHeight="1" x14ac:dyDescent="0.45">
      <c r="A35" s="4"/>
      <c r="B35" s="19"/>
      <c r="C35" s="78">
        <v>22</v>
      </c>
      <c r="D35" s="79">
        <f t="shared" si="2"/>
        <v>62</v>
      </c>
      <c r="E35" s="79">
        <f t="shared" si="0"/>
        <v>2</v>
      </c>
      <c r="F35" s="71">
        <f t="shared" si="3"/>
        <v>92.21</v>
      </c>
      <c r="G35" s="72">
        <f>IF(D35=D34,"",_xlfn.IFNA(VLOOKUP(D35,'인원 입력 기능 (사과탐)'!$P$236:$S$284,4,FALSE),0))</f>
        <v>44</v>
      </c>
      <c r="H35" s="73">
        <f t="shared" si="4"/>
        <v>8.7042532146389719E-3</v>
      </c>
      <c r="I35" s="77">
        <f>SUM($G$7:G35)</f>
        <v>416</v>
      </c>
      <c r="J35" s="75">
        <f t="shared" si="5"/>
        <v>8.2294757665677551E-2</v>
      </c>
      <c r="K35" s="28"/>
      <c r="L35" s="5" t="str">
        <f t="shared" si="1"/>
        <v/>
      </c>
      <c r="N35" s="1"/>
    </row>
    <row r="36" spans="1:14" ht="25" customHeight="1" x14ac:dyDescent="0.45">
      <c r="A36" s="4"/>
      <c r="B36" s="19"/>
      <c r="C36" s="80">
        <v>21</v>
      </c>
      <c r="D36" s="79">
        <f t="shared" si="2"/>
        <v>60</v>
      </c>
      <c r="E36" s="79">
        <f t="shared" si="0"/>
        <v>2</v>
      </c>
      <c r="F36" s="71">
        <f t="shared" si="3"/>
        <v>91.25</v>
      </c>
      <c r="G36" s="72">
        <f>IF(D36=D35,"",_xlfn.IFNA(VLOOKUP(D36,'인원 입력 기능 (사과탐)'!$P$236:$S$284,4,FALSE),0))</f>
        <v>53</v>
      </c>
      <c r="H36" s="73">
        <f t="shared" si="4"/>
        <v>1.0484668644906034E-2</v>
      </c>
      <c r="I36" s="77">
        <f>SUM($G$7:G36)</f>
        <v>469</v>
      </c>
      <c r="J36" s="75">
        <f t="shared" si="5"/>
        <v>9.2779426310583585E-2</v>
      </c>
      <c r="K36" s="28"/>
      <c r="L36" s="5" t="str">
        <f t="shared" si="1"/>
        <v/>
      </c>
      <c r="N36" s="1"/>
    </row>
    <row r="37" spans="1:14" ht="25" customHeight="1" x14ac:dyDescent="0.45">
      <c r="A37" s="4"/>
      <c r="B37" s="19"/>
      <c r="C37" s="78">
        <v>20</v>
      </c>
      <c r="D37" s="79">
        <f t="shared" si="2"/>
        <v>59</v>
      </c>
      <c r="E37" s="79">
        <f t="shared" si="0"/>
        <v>2</v>
      </c>
      <c r="F37" s="71">
        <f t="shared" si="3"/>
        <v>89.77</v>
      </c>
      <c r="G37" s="72">
        <f>IF(D37=D36,"",_xlfn.IFNA(VLOOKUP(D37,'인원 입력 기능 (사과탐)'!$P$236:$S$284,4,FALSE),0))</f>
        <v>96</v>
      </c>
      <c r="H37" s="73">
        <f t="shared" si="4"/>
        <v>1.8991097922848664E-2</v>
      </c>
      <c r="I37" s="77">
        <f>SUM($G$7:G37)</f>
        <v>565</v>
      </c>
      <c r="J37" s="75">
        <f t="shared" si="5"/>
        <v>0.11177052423343224</v>
      </c>
      <c r="K37" s="28"/>
      <c r="L37" s="5" t="str">
        <f t="shared" si="1"/>
        <v/>
      </c>
      <c r="N37" s="1"/>
    </row>
    <row r="38" spans="1:14" ht="25" customHeight="1" x14ac:dyDescent="0.45">
      <c r="A38" s="4"/>
      <c r="B38" s="19"/>
      <c r="C38" s="80">
        <v>19</v>
      </c>
      <c r="D38" s="79">
        <f t="shared" si="2"/>
        <v>58</v>
      </c>
      <c r="E38" s="79">
        <f t="shared" si="0"/>
        <v>3</v>
      </c>
      <c r="F38" s="71">
        <f t="shared" si="3"/>
        <v>87.75</v>
      </c>
      <c r="G38" s="72">
        <f>IF(D38=D37,"",_xlfn.IFNA(VLOOKUP(D38,'인원 입력 기능 (사과탐)'!$P$236:$S$284,4,FALSE),0))</f>
        <v>108</v>
      </c>
      <c r="H38" s="73">
        <f t="shared" si="4"/>
        <v>2.1364985163204748E-2</v>
      </c>
      <c r="I38" s="77">
        <f>SUM($G$7:G38)</f>
        <v>673</v>
      </c>
      <c r="J38" s="75">
        <f t="shared" si="5"/>
        <v>0.13313550939663699</v>
      </c>
      <c r="K38" s="28"/>
      <c r="L38" s="5" t="str">
        <f t="shared" si="1"/>
        <v/>
      </c>
      <c r="N38" s="1"/>
    </row>
    <row r="39" spans="1:14" ht="25" customHeight="1" x14ac:dyDescent="0.45">
      <c r="A39" s="4"/>
      <c r="B39" s="19"/>
      <c r="C39" s="78">
        <v>18</v>
      </c>
      <c r="D39" s="79">
        <f t="shared" si="2"/>
        <v>56</v>
      </c>
      <c r="E39" s="79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71">
        <f t="shared" si="3"/>
        <v>85.42</v>
      </c>
      <c r="G39" s="72">
        <f>IF(D39=D38,"",_xlfn.IFNA(VLOOKUP(D39,'인원 입력 기능 (사과탐)'!$P$236:$S$284,4,FALSE),0))</f>
        <v>128</v>
      </c>
      <c r="H39" s="73">
        <f t="shared" si="4"/>
        <v>2.5321463897131552E-2</v>
      </c>
      <c r="I39" s="77">
        <f>SUM($G$7:G39)</f>
        <v>801</v>
      </c>
      <c r="J39" s="75">
        <f t="shared" si="5"/>
        <v>0.15845697329376854</v>
      </c>
      <c r="K39" s="28"/>
      <c r="L39" s="5" t="str">
        <f t="shared" si="1"/>
        <v/>
      </c>
      <c r="N39" s="1"/>
    </row>
    <row r="40" spans="1:14" ht="25" customHeight="1" x14ac:dyDescent="0.45">
      <c r="A40" s="4"/>
      <c r="B40" s="19"/>
      <c r="C40" s="80">
        <v>17</v>
      </c>
      <c r="D40" s="79">
        <f t="shared" si="2"/>
        <v>55</v>
      </c>
      <c r="E40" s="79">
        <f t="shared" si="6"/>
        <v>3</v>
      </c>
      <c r="F40" s="71">
        <f t="shared" si="3"/>
        <v>82.55</v>
      </c>
      <c r="G40" s="72">
        <f>IF(D40=D39,"",_xlfn.IFNA(VLOOKUP(D40,'인원 입력 기능 (사과탐)'!$P$236:$S$284,4,FALSE),0))</f>
        <v>162</v>
      </c>
      <c r="H40" s="73">
        <f t="shared" si="4"/>
        <v>3.2047477744807124E-2</v>
      </c>
      <c r="I40" s="77">
        <f>SUM($G$7:G40)</f>
        <v>963</v>
      </c>
      <c r="J40" s="75">
        <f t="shared" si="5"/>
        <v>0.19050445103857566</v>
      </c>
      <c r="K40" s="28"/>
      <c r="L40" s="5" t="str">
        <f t="shared" si="1"/>
        <v/>
      </c>
      <c r="N40" s="1"/>
    </row>
    <row r="41" spans="1:14" ht="25" customHeight="1" x14ac:dyDescent="0.45">
      <c r="A41" s="4"/>
      <c r="B41" s="19"/>
      <c r="C41" s="78">
        <v>16</v>
      </c>
      <c r="D41" s="79">
        <f t="shared" si="2"/>
        <v>54</v>
      </c>
      <c r="E41" s="79">
        <f t="shared" si="6"/>
        <v>3</v>
      </c>
      <c r="F41" s="71">
        <f t="shared" si="3"/>
        <v>79.06</v>
      </c>
      <c r="G41" s="72">
        <f>IF(D41=D40,"",_xlfn.IFNA(VLOOKUP(D41,'인원 입력 기능 (사과탐)'!$P$236:$S$284,4,FALSE),0))</f>
        <v>191</v>
      </c>
      <c r="H41" s="73">
        <f t="shared" si="4"/>
        <v>3.778437190900099E-2</v>
      </c>
      <c r="I41" s="77">
        <f>SUM($G$7:G41)</f>
        <v>1154</v>
      </c>
      <c r="J41" s="75">
        <f t="shared" si="5"/>
        <v>0.22828882294757666</v>
      </c>
      <c r="K41" s="28"/>
      <c r="L41" s="5" t="str">
        <f t="shared" si="1"/>
        <v/>
      </c>
      <c r="N41" s="1"/>
    </row>
    <row r="42" spans="1:14" ht="25" customHeight="1" x14ac:dyDescent="0.45">
      <c r="A42" s="4"/>
      <c r="B42" s="19"/>
      <c r="C42" s="80">
        <v>15</v>
      </c>
      <c r="D42" s="79">
        <f t="shared" si="2"/>
        <v>52</v>
      </c>
      <c r="E42" s="79">
        <f t="shared" si="6"/>
        <v>3</v>
      </c>
      <c r="F42" s="71">
        <f t="shared" si="3"/>
        <v>74.790000000000006</v>
      </c>
      <c r="G42" s="72">
        <f>IF(D42=D41,"",_xlfn.IFNA(VLOOKUP(D42,'인원 입력 기능 (사과탐)'!$P$236:$S$284,4,FALSE),0))</f>
        <v>241</v>
      </c>
      <c r="H42" s="73">
        <f t="shared" si="4"/>
        <v>4.7675568743818002E-2</v>
      </c>
      <c r="I42" s="77">
        <f>SUM($G$7:G42)</f>
        <v>1395</v>
      </c>
      <c r="J42" s="75">
        <f t="shared" si="5"/>
        <v>0.27596439169139464</v>
      </c>
      <c r="K42" s="28"/>
      <c r="L42" s="5" t="str">
        <f t="shared" si="1"/>
        <v/>
      </c>
      <c r="N42" s="1"/>
    </row>
    <row r="43" spans="1:14" ht="25" customHeight="1" x14ac:dyDescent="0.45">
      <c r="A43" s="4"/>
      <c r="B43" s="19"/>
      <c r="C43" s="78">
        <v>14</v>
      </c>
      <c r="D43" s="79">
        <f t="shared" si="2"/>
        <v>51</v>
      </c>
      <c r="E43" s="79">
        <f t="shared" si="6"/>
        <v>4</v>
      </c>
      <c r="F43" s="71">
        <f t="shared" si="3"/>
        <v>67.39</v>
      </c>
      <c r="G43" s="72">
        <f>IF(D43=D42,"",_xlfn.IFNA(VLOOKUP(D43,'인원 입력 기능 (사과탐)'!$P$236:$S$284,4,FALSE),0))</f>
        <v>507</v>
      </c>
      <c r="H43" s="73">
        <f t="shared" si="4"/>
        <v>0.10029673590504451</v>
      </c>
      <c r="I43" s="77">
        <f>SUM($G$7:G43)</f>
        <v>1902</v>
      </c>
      <c r="J43" s="75">
        <f t="shared" si="5"/>
        <v>0.37626112759643915</v>
      </c>
      <c r="K43" s="28"/>
      <c r="L43" s="5" t="str">
        <f t="shared" si="1"/>
        <v/>
      </c>
      <c r="N43" s="1"/>
    </row>
    <row r="44" spans="1:14" ht="25" customHeight="1" x14ac:dyDescent="0.45">
      <c r="A44" s="4"/>
      <c r="B44" s="19"/>
      <c r="C44" s="80">
        <v>13</v>
      </c>
      <c r="D44" s="79">
        <f t="shared" si="2"/>
        <v>50</v>
      </c>
      <c r="E44" s="79">
        <f t="shared" si="6"/>
        <v>4</v>
      </c>
      <c r="F44" s="71">
        <f t="shared" si="3"/>
        <v>59.13</v>
      </c>
      <c r="G44" s="72">
        <f>IF(D44=D43,"",_xlfn.IFNA(VLOOKUP(D44,'인원 입력 기능 (사과탐)'!$P$236:$S$284,4,FALSE),0))</f>
        <v>328</v>
      </c>
      <c r="H44" s="73">
        <f t="shared" si="4"/>
        <v>6.48862512363996E-2</v>
      </c>
      <c r="I44" s="77">
        <f>SUM($G$7:G44)</f>
        <v>2230</v>
      </c>
      <c r="J44" s="75">
        <f t="shared" si="5"/>
        <v>0.44114737883283878</v>
      </c>
      <c r="K44" s="28"/>
      <c r="L44" s="5" t="str">
        <f t="shared" si="1"/>
        <v/>
      </c>
      <c r="N44" s="1"/>
    </row>
    <row r="45" spans="1:14" ht="25" customHeight="1" x14ac:dyDescent="0.45">
      <c r="A45" s="4"/>
      <c r="B45" s="19"/>
      <c r="C45" s="78">
        <v>12</v>
      </c>
      <c r="D45" s="79">
        <f t="shared" si="2"/>
        <v>49</v>
      </c>
      <c r="E45" s="79">
        <f t="shared" si="6"/>
        <v>5</v>
      </c>
      <c r="F45" s="71">
        <f t="shared" si="3"/>
        <v>52.82</v>
      </c>
      <c r="G45" s="72">
        <f>IF(D45=D44,"",_xlfn.IFNA(VLOOKUP(D45,'인원 입력 기능 (사과탐)'!$P$236:$S$284,4,FALSE),0))</f>
        <v>310</v>
      </c>
      <c r="H45" s="73">
        <f t="shared" si="4"/>
        <v>6.1325420375865483E-2</v>
      </c>
      <c r="I45" s="77">
        <f>SUM($G$7:G45)</f>
        <v>2540</v>
      </c>
      <c r="J45" s="75">
        <f t="shared" si="5"/>
        <v>0.50247279920870425</v>
      </c>
      <c r="K45" s="28"/>
      <c r="L45" s="5" t="str">
        <f t="shared" si="1"/>
        <v/>
      </c>
      <c r="N45" s="1"/>
    </row>
    <row r="46" spans="1:14" ht="25" customHeight="1" x14ac:dyDescent="0.45">
      <c r="A46" s="4"/>
      <c r="B46" s="19"/>
      <c r="C46" s="80">
        <v>11</v>
      </c>
      <c r="D46" s="79">
        <f t="shared" si="2"/>
        <v>47</v>
      </c>
      <c r="E46" s="79">
        <f t="shared" si="6"/>
        <v>5</v>
      </c>
      <c r="F46" s="71">
        <f t="shared" si="3"/>
        <v>46.13</v>
      </c>
      <c r="G46" s="72">
        <f>IF(D46=D45,"",_xlfn.IFNA(VLOOKUP(D46,'인원 입력 기능 (사과탐)'!$P$236:$S$284,4,FALSE),0))</f>
        <v>366</v>
      </c>
      <c r="H46" s="73">
        <f t="shared" si="4"/>
        <v>7.2403560830860539E-2</v>
      </c>
      <c r="I46" s="77">
        <f>SUM($G$7:G46)</f>
        <v>2906</v>
      </c>
      <c r="J46" s="75">
        <f t="shared" si="5"/>
        <v>0.57487636003956477</v>
      </c>
      <c r="K46" s="28"/>
      <c r="L46" s="5" t="str">
        <f t="shared" si="1"/>
        <v/>
      </c>
      <c r="N46" s="1"/>
    </row>
    <row r="47" spans="1:14" ht="25" customHeight="1" x14ac:dyDescent="0.45">
      <c r="A47" s="4"/>
      <c r="B47" s="19"/>
      <c r="C47" s="78">
        <v>10</v>
      </c>
      <c r="D47" s="79">
        <f t="shared" si="2"/>
        <v>46</v>
      </c>
      <c r="E47" s="79">
        <f t="shared" si="6"/>
        <v>5</v>
      </c>
      <c r="F47" s="71">
        <f t="shared" si="3"/>
        <v>39.33</v>
      </c>
      <c r="G47" s="72">
        <f>IF(D47=D46,"",_xlfn.IFNA(VLOOKUP(D47,'인원 입력 기능 (사과탐)'!$P$236:$S$284,4,FALSE),0))</f>
        <v>322</v>
      </c>
      <c r="H47" s="73">
        <f t="shared" si="4"/>
        <v>6.3699307616221557E-2</v>
      </c>
      <c r="I47" s="77">
        <f>SUM($G$7:G47)</f>
        <v>3228</v>
      </c>
      <c r="J47" s="75">
        <f t="shared" si="5"/>
        <v>0.63857566765578633</v>
      </c>
      <c r="K47" s="28"/>
      <c r="L47" s="5" t="str">
        <f t="shared" si="1"/>
        <v/>
      </c>
      <c r="N47" s="1"/>
    </row>
    <row r="48" spans="1:14" ht="25" customHeight="1" x14ac:dyDescent="0.45">
      <c r="A48" s="4"/>
      <c r="B48" s="19"/>
      <c r="C48" s="80">
        <v>9</v>
      </c>
      <c r="D48" s="79">
        <f t="shared" si="2"/>
        <v>45</v>
      </c>
      <c r="E48" s="79">
        <f t="shared" si="6"/>
        <v>6</v>
      </c>
      <c r="F48" s="71">
        <f t="shared" si="3"/>
        <v>27.91</v>
      </c>
      <c r="G48" s="72">
        <f>IF(D48=D47,"",_xlfn.IFNA(VLOOKUP(D48,'인원 입력 기능 (사과탐)'!$P$236:$S$284,4,FALSE),0))</f>
        <v>832</v>
      </c>
      <c r="H48" s="73">
        <f t="shared" si="4"/>
        <v>0.1645895153313551</v>
      </c>
      <c r="I48" s="77">
        <f>SUM($G$7:G48)</f>
        <v>4060</v>
      </c>
      <c r="J48" s="75">
        <f t="shared" si="5"/>
        <v>0.80316518298714146</v>
      </c>
      <c r="K48" s="28"/>
      <c r="L48" s="5" t="str">
        <f t="shared" si="1"/>
        <v/>
      </c>
      <c r="N48" s="1"/>
    </row>
    <row r="49" spans="1:14" ht="25" customHeight="1" x14ac:dyDescent="0.45">
      <c r="A49" s="4"/>
      <c r="B49" s="19"/>
      <c r="C49" s="78">
        <v>8</v>
      </c>
      <c r="D49" s="79">
        <f t="shared" si="2"/>
        <v>43</v>
      </c>
      <c r="E49" s="79">
        <f t="shared" si="6"/>
        <v>7</v>
      </c>
      <c r="F49" s="71">
        <f t="shared" si="3"/>
        <v>16.95</v>
      </c>
      <c r="G49" s="72">
        <f>IF(D49=D48,"",_xlfn.IFNA(VLOOKUP(D49,'인원 입력 기능 (사과탐)'!$P$236:$S$284,4,FALSE),0))</f>
        <v>276</v>
      </c>
      <c r="H49" s="73">
        <f t="shared" si="4"/>
        <v>5.4599406528189912E-2</v>
      </c>
      <c r="I49" s="77">
        <f>SUM($G$7:G49)</f>
        <v>4336</v>
      </c>
      <c r="J49" s="75">
        <f t="shared" si="5"/>
        <v>0.85776458951533141</v>
      </c>
      <c r="K49" s="28"/>
      <c r="L49" s="5" t="str">
        <f t="shared" si="1"/>
        <v/>
      </c>
      <c r="N49" s="1"/>
    </row>
    <row r="50" spans="1:14" ht="25" customHeight="1" x14ac:dyDescent="0.45">
      <c r="A50" s="4"/>
      <c r="B50" s="19"/>
      <c r="C50" s="80">
        <v>7</v>
      </c>
      <c r="D50" s="79">
        <f t="shared" si="2"/>
        <v>42</v>
      </c>
      <c r="E50" s="79">
        <f t="shared" si="6"/>
        <v>7</v>
      </c>
      <c r="F50" s="71">
        <f t="shared" si="3"/>
        <v>11.58</v>
      </c>
      <c r="G50" s="72">
        <f>IF(D50=D49,"",_xlfn.IFNA(VLOOKUP(D50,'인원 입력 기능 (사과탐)'!$P$236:$S$284,4,FALSE),0))</f>
        <v>267</v>
      </c>
      <c r="H50" s="73">
        <f t="shared" si="4"/>
        <v>5.2818991097922846E-2</v>
      </c>
      <c r="I50" s="77">
        <f>SUM($G$7:G50)</f>
        <v>4603</v>
      </c>
      <c r="J50" s="75">
        <f t="shared" si="5"/>
        <v>0.91058358061325417</v>
      </c>
      <c r="K50" s="28"/>
      <c r="L50" s="5" t="str">
        <f t="shared" si="1"/>
        <v/>
      </c>
      <c r="N50" s="1"/>
    </row>
    <row r="51" spans="1:14" ht="25" customHeight="1" x14ac:dyDescent="0.45">
      <c r="A51" s="4"/>
      <c r="B51" s="19"/>
      <c r="C51" s="78">
        <v>6</v>
      </c>
      <c r="D51" s="79">
        <f t="shared" si="2"/>
        <v>41</v>
      </c>
      <c r="E51" s="79">
        <f t="shared" si="6"/>
        <v>8</v>
      </c>
      <c r="F51" s="71">
        <f t="shared" si="3"/>
        <v>7.92</v>
      </c>
      <c r="G51" s="72">
        <f>IF(D51=D50,"",_xlfn.IFNA(VLOOKUP(D51,'인원 입력 기능 (사과탐)'!$P$236:$S$284,4,FALSE),0))</f>
        <v>103</v>
      </c>
      <c r="H51" s="73">
        <f t="shared" si="4"/>
        <v>2.0375865479723046E-2</v>
      </c>
      <c r="I51" s="77">
        <f>SUM($G$7:G51)</f>
        <v>4706</v>
      </c>
      <c r="J51" s="75">
        <f t="shared" si="5"/>
        <v>0.93095944609297721</v>
      </c>
      <c r="K51" s="28"/>
      <c r="L51" s="5" t="str">
        <f t="shared" si="1"/>
        <v/>
      </c>
      <c r="N51" s="1"/>
    </row>
    <row r="52" spans="1:14" ht="25" customHeight="1" x14ac:dyDescent="0.45">
      <c r="A52" s="4"/>
      <c r="B52" s="19"/>
      <c r="C52" s="80">
        <v>5</v>
      </c>
      <c r="D52" s="79">
        <f t="shared" si="2"/>
        <v>39</v>
      </c>
      <c r="E52" s="79">
        <f t="shared" si="6"/>
        <v>8</v>
      </c>
      <c r="F52" s="71">
        <f t="shared" si="3"/>
        <v>5.19</v>
      </c>
      <c r="G52" s="72">
        <f>IF(D52=D51,"",_xlfn.IFNA(VLOOKUP(D52,'인원 입력 기능 (사과탐)'!$P$236:$S$284,4,FALSE),0))</f>
        <v>173</v>
      </c>
      <c r="H52" s="73">
        <f t="shared" si="4"/>
        <v>3.4223541048466866E-2</v>
      </c>
      <c r="I52" s="77">
        <f>SUM($G$7:G52)</f>
        <v>4879</v>
      </c>
      <c r="J52" s="75">
        <f t="shared" si="5"/>
        <v>0.96518298714144413</v>
      </c>
      <c r="K52" s="28"/>
      <c r="L52" s="5" t="str">
        <f t="shared" si="1"/>
        <v/>
      </c>
      <c r="N52" s="1"/>
    </row>
    <row r="53" spans="1:14" ht="25" customHeight="1" x14ac:dyDescent="0.45">
      <c r="A53" s="4"/>
      <c r="B53" s="19"/>
      <c r="C53" s="69">
        <v>4</v>
      </c>
      <c r="D53" s="70">
        <f t="shared" si="2"/>
        <v>38</v>
      </c>
      <c r="E53" s="70">
        <f t="shared" si="6"/>
        <v>9</v>
      </c>
      <c r="F53" s="71">
        <f t="shared" si="3"/>
        <v>2.9</v>
      </c>
      <c r="G53" s="72">
        <f>IF(D53=D52,"",_xlfn.IFNA(VLOOKUP(D53,'인원 입력 기능 (사과탐)'!$P$236:$S$284,4,FALSE),0))</f>
        <v>59</v>
      </c>
      <c r="H53" s="73">
        <f t="shared" si="4"/>
        <v>1.1671612265084076E-2</v>
      </c>
      <c r="I53" s="77">
        <f>SUM($G$7:G53)</f>
        <v>4938</v>
      </c>
      <c r="J53" s="75">
        <f t="shared" si="5"/>
        <v>0.97685459940652819</v>
      </c>
      <c r="K53" s="28"/>
      <c r="L53" s="5" t="str">
        <f t="shared" si="1"/>
        <v/>
      </c>
      <c r="N53" s="1"/>
    </row>
    <row r="54" spans="1:14" ht="25" customHeight="1" x14ac:dyDescent="0.45">
      <c r="A54" s="4"/>
      <c r="B54" s="19"/>
      <c r="C54" s="76">
        <v>3</v>
      </c>
      <c r="D54" s="70">
        <f t="shared" si="2"/>
        <v>37</v>
      </c>
      <c r="E54" s="70">
        <f t="shared" si="6"/>
        <v>9</v>
      </c>
      <c r="F54" s="71">
        <f t="shared" si="3"/>
        <v>2</v>
      </c>
      <c r="G54" s="72">
        <f>IF(D54=D53,"",_xlfn.IFNA(VLOOKUP(D54,'인원 입력 기능 (사과탐)'!$P$236:$S$284,4,FALSE),0))</f>
        <v>32</v>
      </c>
      <c r="H54" s="73">
        <f t="shared" si="4"/>
        <v>6.330365974282888E-3</v>
      </c>
      <c r="I54" s="77">
        <f>SUM($G$7:G54)</f>
        <v>4970</v>
      </c>
      <c r="J54" s="75">
        <f t="shared" si="5"/>
        <v>0.98318496538081113</v>
      </c>
      <c r="K54" s="28"/>
      <c r="L54" s="5" t="str">
        <f t="shared" si="1"/>
        <v/>
      </c>
      <c r="N54" s="1"/>
    </row>
    <row r="55" spans="1:14" ht="25" customHeight="1" x14ac:dyDescent="0.45">
      <c r="A55" s="4"/>
      <c r="B55" s="19"/>
      <c r="C55" s="69">
        <v>2</v>
      </c>
      <c r="D55" s="70">
        <f t="shared" si="2"/>
        <v>35</v>
      </c>
      <c r="E55" s="70">
        <f t="shared" si="6"/>
        <v>9</v>
      </c>
      <c r="F55" s="71">
        <f t="shared" si="3"/>
        <v>1.1100000000000001</v>
      </c>
      <c r="G55" s="72">
        <f>IF(D55=D54,"",_xlfn.IFNA(VLOOKUP(D55,'인원 입력 기능 (사과탐)'!$P$236:$S$284,4,FALSE),0))</f>
        <v>58</v>
      </c>
      <c r="H55" s="73">
        <f t="shared" si="4"/>
        <v>1.1473788328387734E-2</v>
      </c>
      <c r="I55" s="77">
        <f>SUM($G$7:G55)</f>
        <v>5028</v>
      </c>
      <c r="J55" s="75">
        <f t="shared" si="5"/>
        <v>0.99465875370919876</v>
      </c>
      <c r="K55" s="28"/>
      <c r="L55" s="5" t="str">
        <f t="shared" si="1"/>
        <v/>
      </c>
      <c r="N55" s="1"/>
    </row>
    <row r="56" spans="1:14" ht="25" customHeight="1" x14ac:dyDescent="0.45">
      <c r="A56" s="4"/>
      <c r="B56" s="19"/>
      <c r="C56" s="76">
        <v>1</v>
      </c>
      <c r="D56" s="112" t="s">
        <v>61</v>
      </c>
      <c r="E56" s="113"/>
      <c r="F56" s="113"/>
      <c r="G56" s="113"/>
      <c r="H56" s="113"/>
      <c r="I56" s="113"/>
      <c r="J56" s="114"/>
      <c r="K56" s="28"/>
      <c r="L56" s="5"/>
      <c r="N56" s="1"/>
    </row>
    <row r="57" spans="1:14" ht="25" customHeight="1" thickBot="1" x14ac:dyDescent="0.5">
      <c r="A57" s="4"/>
      <c r="B57" s="19"/>
      <c r="C57" s="81">
        <v>0</v>
      </c>
      <c r="D57" s="82">
        <f>ROUND(10*(C57-$H$3)/$H$4+50,0)</f>
        <v>33</v>
      </c>
      <c r="E57" s="83">
        <f t="shared" si="6"/>
        <v>9</v>
      </c>
      <c r="F57" s="84">
        <f>IF(I55=0,ROUND(100*(1-(I54+I57)/2/$J$3),2),ROUND(100*(1-(I55+I57)/2/$J$3),2))</f>
        <v>0.27</v>
      </c>
      <c r="G57" s="85">
        <f>_xlfn.IFNA(VLOOKUP(D57,'인원 입력 기능 (사과탐)'!$P$236:$S$284,4,FALSE),0)</f>
        <v>27</v>
      </c>
      <c r="H57" s="86">
        <f>G57/$J$3</f>
        <v>5.341246290801187E-3</v>
      </c>
      <c r="I57" s="87">
        <f>SUM($G$7:G57)</f>
        <v>5055</v>
      </c>
      <c r="J57" s="88">
        <f>I57/$J$3</f>
        <v>1</v>
      </c>
      <c r="K57" s="28"/>
      <c r="L57" s="5" t="str">
        <f t="shared" ref="L57" si="7">IF(ABS((C57-$H$3)/$H$4*10+50-D57-0.5)&lt;0.1, "경고", "")</f>
        <v/>
      </c>
      <c r="N57" s="1"/>
    </row>
    <row r="58" spans="1:14" ht="6" customHeight="1" x14ac:dyDescent="0.45">
      <c r="A58" s="4"/>
      <c r="B58" s="22"/>
      <c r="C58" s="23"/>
      <c r="D58" s="23"/>
      <c r="E58" s="23"/>
      <c r="F58" s="23"/>
      <c r="G58" s="23"/>
      <c r="H58" s="23"/>
      <c r="I58" s="23"/>
      <c r="J58" s="23"/>
      <c r="K58" s="2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">
    <mergeCell ref="D3:F3"/>
    <mergeCell ref="D4:F4"/>
    <mergeCell ref="D8:J8"/>
    <mergeCell ref="D56:J56"/>
    <mergeCell ref="G5:J5"/>
  </mergeCells>
  <phoneticPr fontId="1" type="noConversion"/>
  <conditionalFormatting sqref="D7:J57">
    <cfRule type="expression" dxfId="4" priority="3">
      <formula>OR($D7=$Q$7:$Q$14)</formula>
    </cfRule>
  </conditionalFormatting>
  <conditionalFormatting sqref="C7:C57">
    <cfRule type="expression" dxfId="3" priority="2">
      <formula>OR(AND($D7=0,OR($D6=$Q$7:$Q$14)),AND($D8&gt;0,OR($D7=$Q$7:$Q$14)))</formula>
    </cfRule>
  </conditionalFormatting>
  <conditionalFormatting sqref="D7:D57">
    <cfRule type="expression" dxfId="2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2FA2-E637-4335-8706-D1AEEBF067D6}">
  <sheetPr codeName="Sheet30">
    <tabColor rgb="FF00B050"/>
    <pageSetUpPr fitToPage="1"/>
  </sheetPr>
  <dimension ref="A1:N33"/>
  <sheetViews>
    <sheetView topLeftCell="A16" zoomScale="85" zoomScaleNormal="85" workbookViewId="0">
      <selection activeCell="B3" sqref="B3:M28"/>
    </sheetView>
  </sheetViews>
  <sheetFormatPr defaultRowHeight="17" x14ac:dyDescent="0.45"/>
  <cols>
    <col min="1" max="1" width="8.6640625" style="4"/>
    <col min="2" max="2" width="1" customWidth="1"/>
    <col min="3" max="3" width="11.4140625" style="11" customWidth="1"/>
    <col min="4" max="11" width="12.4140625" style="1" customWidth="1"/>
    <col min="12" max="12" width="12.4140625" customWidth="1"/>
    <col min="13" max="13" width="1" customWidth="1"/>
    <col min="14" max="14" width="8.6640625" style="4"/>
  </cols>
  <sheetData>
    <row r="1" spans="2:13" s="4" customFormat="1" x14ac:dyDescent="0.45">
      <c r="C1" s="10"/>
      <c r="D1" s="5"/>
      <c r="E1" s="5"/>
      <c r="F1" s="5"/>
      <c r="G1" s="5"/>
      <c r="H1" s="5"/>
      <c r="I1" s="5"/>
      <c r="J1" s="5"/>
      <c r="K1" s="5"/>
    </row>
    <row r="2" spans="2:13" x14ac:dyDescent="0.45">
      <c r="B2" s="4"/>
      <c r="C2" s="10"/>
      <c r="D2" s="5"/>
      <c r="E2" s="5"/>
      <c r="F2" s="5"/>
      <c r="G2" s="5"/>
      <c r="H2" s="5"/>
      <c r="I2" s="5"/>
      <c r="J2" s="5"/>
      <c r="K2" s="5"/>
      <c r="L2" s="4"/>
      <c r="M2" s="4"/>
    </row>
    <row r="3" spans="2:13" ht="6" customHeight="1" thickBot="1" x14ac:dyDescent="0.5">
      <c r="B3" s="17"/>
      <c r="C3" s="26"/>
      <c r="D3" s="27"/>
      <c r="E3" s="27"/>
      <c r="F3" s="27"/>
      <c r="G3" s="27"/>
      <c r="H3" s="27"/>
      <c r="I3" s="27"/>
      <c r="J3" s="27"/>
      <c r="K3" s="27"/>
      <c r="L3" s="25"/>
      <c r="M3" s="18"/>
    </row>
    <row r="4" spans="2:13" ht="25" customHeight="1" x14ac:dyDescent="0.45">
      <c r="B4" s="19"/>
      <c r="C4" s="33" t="s">
        <v>71</v>
      </c>
      <c r="D4" s="115" t="s">
        <v>175</v>
      </c>
      <c r="E4" s="115"/>
      <c r="F4" s="115"/>
      <c r="G4" s="116"/>
      <c r="H4" s="20"/>
      <c r="I4" s="20"/>
      <c r="J4" s="20"/>
      <c r="K4" s="20"/>
      <c r="L4" s="21"/>
      <c r="M4" s="28"/>
    </row>
    <row r="5" spans="2:13" ht="25" customHeight="1" thickBot="1" x14ac:dyDescent="0.5">
      <c r="B5" s="19"/>
      <c r="C5" s="36" t="s">
        <v>107</v>
      </c>
      <c r="D5" s="117" t="s">
        <v>135</v>
      </c>
      <c r="E5" s="117"/>
      <c r="F5" s="117"/>
      <c r="G5" s="118"/>
      <c r="H5" s="20"/>
      <c r="I5" s="20"/>
      <c r="J5" s="20"/>
      <c r="K5" s="20"/>
      <c r="L5" s="21"/>
      <c r="M5" s="28"/>
    </row>
    <row r="6" spans="2:13" ht="25" customHeight="1" x14ac:dyDescent="0.45">
      <c r="B6" s="19"/>
      <c r="C6" s="119" t="s">
        <v>137</v>
      </c>
      <c r="D6" s="119"/>
      <c r="E6" s="119"/>
      <c r="F6" s="119"/>
      <c r="G6" s="119"/>
      <c r="H6" s="119"/>
      <c r="I6" s="119"/>
      <c r="J6" s="119"/>
      <c r="K6" s="119"/>
      <c r="L6" s="119"/>
      <c r="M6" s="28"/>
    </row>
    <row r="7" spans="2:13" ht="25" customHeight="1" thickBot="1" x14ac:dyDescent="0.5">
      <c r="B7" s="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28"/>
    </row>
    <row r="8" spans="2:13" ht="25" customHeight="1" thickBot="1" x14ac:dyDescent="0.5">
      <c r="B8" s="19"/>
      <c r="C8" s="89" t="s">
        <v>108</v>
      </c>
      <c r="D8" s="90" t="s">
        <v>109</v>
      </c>
      <c r="E8" s="91" t="s">
        <v>110</v>
      </c>
      <c r="F8" s="91" t="s">
        <v>111</v>
      </c>
      <c r="G8" s="91" t="s">
        <v>112</v>
      </c>
      <c r="H8" s="91" t="s">
        <v>113</v>
      </c>
      <c r="I8" s="91" t="s">
        <v>114</v>
      </c>
      <c r="J8" s="91" t="s">
        <v>115</v>
      </c>
      <c r="K8" s="91" t="s">
        <v>116</v>
      </c>
      <c r="L8" s="92" t="s">
        <v>117</v>
      </c>
      <c r="M8" s="28"/>
    </row>
    <row r="9" spans="2:13" ht="25" customHeight="1" x14ac:dyDescent="0.45">
      <c r="B9" s="19"/>
      <c r="C9" s="93" t="s">
        <v>118</v>
      </c>
      <c r="D9" s="78">
        <f>ROUNDUP(('생활과 윤리'!$Q7-0.5-50)/10*'생활과 윤리'!$H$4+'생활과 윤리'!$H$3, 0)</f>
        <v>44</v>
      </c>
      <c r="E9" s="79">
        <f>ROUNDUP(('윤리와 사상'!$Q7-0.5-50)/10*'윤리와 사상'!$H$4+'윤리와 사상'!$H$3, 0)</f>
        <v>50</v>
      </c>
      <c r="F9" s="79">
        <f>ROUNDUP((한국지리!$Q7-0.5-50)/10*한국지리!$H$4+한국지리!$H$3, 0)</f>
        <v>43</v>
      </c>
      <c r="G9" s="79">
        <f>ROUNDUP((세계지리!$Q7-0.5-50)/10*세계지리!$H$4+세계지리!$H$3, 0)</f>
        <v>46</v>
      </c>
      <c r="H9" s="79">
        <f>ROUNDUP((동아시아사!$Q7-0.5-50)/10*동아시아사!$H$4+동아시아사!$H$3, 0)</f>
        <v>49</v>
      </c>
      <c r="I9" s="79">
        <f>ROUNDUP((세계사!$Q7-0.5-50)/10*세계사!$H$4+세계사!$H$3, 0)</f>
        <v>48</v>
      </c>
      <c r="J9" s="79">
        <f>ROUNDUP((경제!$Q7-0.5-50)/10*경제!$H$4+경제!$H$3, 0)</f>
        <v>44</v>
      </c>
      <c r="K9" s="79">
        <f>ROUNDUP(('정치와 법'!$Q7-0.5-50)/10*'정치와 법'!$H$4+'정치와 법'!$H$3, 0)</f>
        <v>47</v>
      </c>
      <c r="L9" s="94">
        <f>ROUNDUP((사회∙문화!$Q7-0.5-50)/10*사회∙문화!$H$4+사회∙문화!$H$3, 0)</f>
        <v>41</v>
      </c>
      <c r="M9" s="28"/>
    </row>
    <row r="10" spans="2:13" ht="25" customHeight="1" x14ac:dyDescent="0.45">
      <c r="B10" s="19"/>
      <c r="C10" s="95" t="s">
        <v>119</v>
      </c>
      <c r="D10" s="80">
        <v>38</v>
      </c>
      <c r="E10" s="96">
        <f>ROUNDUP(('윤리와 사상'!$Q8-0.5-50)/10*'윤리와 사상'!$H$4+'윤리와 사상'!$H$3, 0)</f>
        <v>45</v>
      </c>
      <c r="F10" s="96">
        <f>ROUNDUP((한국지리!$Q8-0.5-50)/10*한국지리!$H$4+한국지리!$H$3, 0)</f>
        <v>37</v>
      </c>
      <c r="G10" s="96">
        <f>ROUNDUP((세계지리!$Q8-0.5-50)/10*세계지리!$H$4+세계지리!$H$3, 0)</f>
        <v>41</v>
      </c>
      <c r="H10" s="96">
        <f>ROUNDUP((동아시아사!$Q8-0.5-50)/10*동아시아사!$H$4+동아시아사!$H$3, 0)</f>
        <v>45</v>
      </c>
      <c r="I10" s="96">
        <f>ROUNDUP((세계사!$Q8-0.5-50)/10*세계사!$H$4+세계사!$H$3, 0)</f>
        <v>44</v>
      </c>
      <c r="J10" s="96">
        <f>ROUNDUP((경제!$Q8-0.5-50)/10*경제!$H$4+경제!$H$3, 0)</f>
        <v>35</v>
      </c>
      <c r="K10" s="96">
        <f>ROUNDUP(('정치와 법'!$Q8-0.5-50)/10*'정치와 법'!$H$4+'정치와 법'!$H$3, 0)</f>
        <v>41</v>
      </c>
      <c r="L10" s="97">
        <f>ROUNDUP((사회∙문화!$Q8-0.5-50)/10*사회∙문화!$H$4+사회∙문화!$H$3, 0)</f>
        <v>36</v>
      </c>
      <c r="M10" s="28"/>
    </row>
    <row r="11" spans="2:13" ht="25" customHeight="1" x14ac:dyDescent="0.45">
      <c r="B11" s="19"/>
      <c r="C11" s="95" t="s">
        <v>120</v>
      </c>
      <c r="D11" s="80">
        <f>ROUNDUP(('생활과 윤리'!$Q9-0.5-50)/10*'생활과 윤리'!$H$4+'생활과 윤리'!$H$3, 0)</f>
        <v>32</v>
      </c>
      <c r="E11" s="96">
        <f>ROUNDUP(('윤리와 사상'!$Q9-0.5-50)/10*'윤리와 사상'!$H$4+'윤리와 사상'!$H$3, 0)</f>
        <v>35</v>
      </c>
      <c r="F11" s="96">
        <f>ROUNDUP((한국지리!$Q9-0.5-50)/10*한국지리!$H$4+한국지리!$H$3, 0)</f>
        <v>29</v>
      </c>
      <c r="G11" s="96">
        <f>ROUNDUP((세계지리!$Q9-0.5-50)/10*세계지리!$H$4+세계지리!$H$3, 0)</f>
        <v>35</v>
      </c>
      <c r="H11" s="96">
        <f>ROUNDUP((동아시아사!$Q9-0.5-50)/10*동아시아사!$H$4+동아시아사!$H$3, 0)</f>
        <v>37</v>
      </c>
      <c r="I11" s="96">
        <f>ROUNDUP((세계사!$Q9-0.5-50)/10*세계사!$H$4+세계사!$H$3, 0)</f>
        <v>35</v>
      </c>
      <c r="J11" s="96">
        <f>ROUNDUP((경제!$Q9-0.5-50)/10*경제!$H$4+경제!$H$3, 0)</f>
        <v>27</v>
      </c>
      <c r="K11" s="96">
        <f>ROUNDUP(('정치와 법'!$Q9-0.5-50)/10*'정치와 법'!$H$4+'정치와 법'!$H$3, 0)</f>
        <v>33</v>
      </c>
      <c r="L11" s="97">
        <f>ROUNDUP((사회∙문화!$Q9-0.5-50)/10*사회∙문화!$H$4+사회∙문화!$H$3, 0)</f>
        <v>31</v>
      </c>
      <c r="M11" s="28"/>
    </row>
    <row r="12" spans="2:13" ht="25" customHeight="1" x14ac:dyDescent="0.45">
      <c r="B12" s="19"/>
      <c r="C12" s="95" t="s">
        <v>121</v>
      </c>
      <c r="D12" s="80">
        <f>ROUNDUP(('생활과 윤리'!$Q10-0.5-50)/10*'생활과 윤리'!$H$4+'생활과 윤리'!$H$3, 0)</f>
        <v>25</v>
      </c>
      <c r="E12" s="96">
        <f>ROUNDUP(('윤리와 사상'!$Q10-0.5-50)/10*'윤리와 사상'!$H$4+'윤리와 사상'!$H$3, 0)</f>
        <v>24</v>
      </c>
      <c r="F12" s="96">
        <f>ROUNDUP((한국지리!$Q10-0.5-50)/10*한국지리!$H$4+한국지리!$H$3, 0)</f>
        <v>22</v>
      </c>
      <c r="G12" s="96">
        <f>ROUNDUP((세계지리!$Q10-0.5-50)/10*세계지리!$H$4+세계지리!$H$3, 0)</f>
        <v>26</v>
      </c>
      <c r="H12" s="96">
        <f>ROUNDUP((동아시아사!$Q10-0.5-50)/10*동아시아사!$H$4+동아시아사!$H$3, 0)</f>
        <v>29</v>
      </c>
      <c r="I12" s="96">
        <f>ROUNDUP((세계사!$Q10-0.5-50)/10*세계사!$H$4+세계사!$H$3, 0)</f>
        <v>24</v>
      </c>
      <c r="J12" s="96">
        <f>ROUNDUP((경제!$Q10-0.5-50)/10*경제!$H$4+경제!$H$3, 0)</f>
        <v>19</v>
      </c>
      <c r="K12" s="96">
        <f>ROUNDUP(('정치와 법'!$Q10-0.5-50)/10*'정치와 법'!$H$4+'정치와 법'!$H$3, 0)</f>
        <v>25</v>
      </c>
      <c r="L12" s="97">
        <f>ROUNDUP((사회∙문화!$Q10-0.5-50)/10*사회∙문화!$H$4+사회∙문화!$H$3, 0)</f>
        <v>26</v>
      </c>
      <c r="M12" s="28"/>
    </row>
    <row r="13" spans="2:13" ht="25" customHeight="1" x14ac:dyDescent="0.45">
      <c r="B13" s="19"/>
      <c r="C13" s="95" t="s">
        <v>122</v>
      </c>
      <c r="D13" s="80">
        <f>ROUNDUP(('생활과 윤리'!$Q11-0.5-50)/10*'생활과 윤리'!$H$4+'생활과 윤리'!$H$3, 0)</f>
        <v>19</v>
      </c>
      <c r="E13" s="96">
        <f>ROUNDUP(('윤리와 사상'!$Q11-0.5-50)/10*'윤리와 사상'!$H$4+'윤리와 사상'!$H$3, 0)</f>
        <v>15</v>
      </c>
      <c r="F13" s="96">
        <f>ROUNDUP((한국지리!$Q11-0.5-50)/10*한국지리!$H$4+한국지리!$H$3, 0)</f>
        <v>15</v>
      </c>
      <c r="G13" s="96">
        <f>ROUNDUP((세계지리!$Q11-0.5-50)/10*세계지리!$H$4+세계지리!$H$3, 0)</f>
        <v>18</v>
      </c>
      <c r="H13" s="96">
        <f>ROUNDUP((동아시아사!$Q11-0.5-50)/10*동아시아사!$H$4+동아시아사!$H$3, 0)</f>
        <v>19</v>
      </c>
      <c r="I13" s="96">
        <f>ROUNDUP((세계사!$Q11-0.5-50)/10*세계사!$H$4+세계사!$H$3, 0)</f>
        <v>15</v>
      </c>
      <c r="J13" s="96">
        <f>ROUNDUP((경제!$Q11-0.5-50)/10*경제!$H$4+경제!$H$3, 0)</f>
        <v>12</v>
      </c>
      <c r="K13" s="96">
        <f>ROUNDUP(('정치와 법'!$Q11-0.5-50)/10*'정치와 법'!$H$4+'정치와 법'!$H$3, 0)</f>
        <v>17</v>
      </c>
      <c r="L13" s="97">
        <f>ROUNDUP((사회∙문화!$Q11-0.5-50)/10*사회∙문화!$H$4+사회∙문화!$H$3, 0)</f>
        <v>20</v>
      </c>
      <c r="M13" s="28"/>
    </row>
    <row r="14" spans="2:13" ht="25" customHeight="1" x14ac:dyDescent="0.45">
      <c r="B14" s="19"/>
      <c r="C14" s="95" t="s">
        <v>123</v>
      </c>
      <c r="D14" s="80">
        <f>ROUNDUP(('생활과 윤리'!$Q12-0.5-50)/10*'생활과 윤리'!$H$4+'생활과 윤리'!$H$3, 0)</f>
        <v>14</v>
      </c>
      <c r="E14" s="96">
        <f>ROUNDUP(('윤리와 사상'!$Q12-0.5-50)/10*'윤리와 사상'!$H$4+'윤리와 사상'!$H$3, 0)</f>
        <v>10</v>
      </c>
      <c r="F14" s="96">
        <f>ROUNDUP((한국지리!$Q12-0.5-50)/10*한국지리!$H$4+한국지리!$H$3, 0)</f>
        <v>11</v>
      </c>
      <c r="G14" s="96">
        <f>ROUNDUP((세계지리!$Q12-0.5-50)/10*세계지리!$H$4+세계지리!$H$3, 0)</f>
        <v>13</v>
      </c>
      <c r="H14" s="96">
        <f>ROUNDUP((동아시아사!$Q12-0.5-50)/10*동아시아사!$H$4+동아시아사!$H$3, 0)</f>
        <v>12</v>
      </c>
      <c r="I14" s="96">
        <f>ROUNDUP((세계사!$Q12-0.5-50)/10*세계사!$H$4+세계사!$H$3, 0)</f>
        <v>11</v>
      </c>
      <c r="J14" s="96">
        <f>ROUNDUP((경제!$Q12-0.5-50)/10*경제!$H$4+경제!$H$3, 0)</f>
        <v>10</v>
      </c>
      <c r="K14" s="96">
        <f>ROUNDUP(('정치와 법'!$Q12-0.5-50)/10*'정치와 법'!$H$4+'정치와 법'!$H$3, 0)</f>
        <v>12</v>
      </c>
      <c r="L14" s="97">
        <f>ROUNDUP((사회∙문화!$Q12-0.5-50)/10*사회∙문화!$H$4+사회∙문화!$H$3, 0)</f>
        <v>15</v>
      </c>
      <c r="M14" s="28"/>
    </row>
    <row r="15" spans="2:13" ht="25" customHeight="1" x14ac:dyDescent="0.45">
      <c r="B15" s="19"/>
      <c r="C15" s="95" t="s">
        <v>124</v>
      </c>
      <c r="D15" s="80">
        <f>ROUNDUP(('생활과 윤리'!$Q13-0.5-50)/10*'생활과 윤리'!$H$4+'생활과 윤리'!$H$3, 0)</f>
        <v>8</v>
      </c>
      <c r="E15" s="96">
        <f>ROUNDUP(('윤리와 사상'!$Q13-0.5-50)/10*'윤리와 사상'!$H$4+'윤리와 사상'!$H$3, 0)</f>
        <v>9</v>
      </c>
      <c r="F15" s="96">
        <f>ROUNDUP((한국지리!$Q13-0.5-50)/10*한국지리!$H$4+한국지리!$H$3, 0)</f>
        <v>9</v>
      </c>
      <c r="G15" s="96">
        <f>ROUNDUP((세계지리!$Q13-0.5-50)/10*세계지리!$H$4+세계지리!$H$3, 0)</f>
        <v>10</v>
      </c>
      <c r="H15" s="96">
        <f>ROUNDUP((동아시아사!$Q13-0.5-50)/10*동아시아사!$H$4+동아시아사!$H$3, 0)</f>
        <v>9</v>
      </c>
      <c r="I15" s="96">
        <f>ROUNDUP((세계사!$Q13-0.5-50)/10*세계사!$H$4+세계사!$H$3, 0)</f>
        <v>9</v>
      </c>
      <c r="J15" s="96">
        <f>ROUNDUP((경제!$Q13-0.5-50)/10*경제!$H$4+경제!$H$3, 0)</f>
        <v>9</v>
      </c>
      <c r="K15" s="96">
        <f>ROUNDUP(('정치와 법'!$Q13-0.5-50)/10*'정치와 법'!$H$4+'정치와 법'!$H$3, 0)</f>
        <v>8</v>
      </c>
      <c r="L15" s="97">
        <f>ROUNDUP((사회∙문화!$Q13-0.5-50)/10*사회∙문화!$H$4+사회∙문화!$H$3, 0)</f>
        <v>9</v>
      </c>
      <c r="M15" s="28"/>
    </row>
    <row r="16" spans="2:13" ht="25" customHeight="1" thickBot="1" x14ac:dyDescent="0.5">
      <c r="B16" s="19"/>
      <c r="C16" s="98" t="s">
        <v>125</v>
      </c>
      <c r="D16" s="99">
        <f>ROUNDUP(('생활과 윤리'!$Q14-0.5-50)/10*'생활과 윤리'!$H$4+'생활과 윤리'!$H$3, 0)</f>
        <v>6</v>
      </c>
      <c r="E16" s="100">
        <f>ROUNDUP(('윤리와 사상'!$Q14-0.5-50)/10*'윤리와 사상'!$H$4+'윤리와 사상'!$H$3, 0)</f>
        <v>6</v>
      </c>
      <c r="F16" s="100">
        <f>ROUNDUP((한국지리!$Q14-0.5-50)/10*한국지리!$H$4+한국지리!$H$3, 0)</f>
        <v>6</v>
      </c>
      <c r="G16" s="100">
        <f>ROUNDUP((세계지리!$Q14-0.5-50)/10*세계지리!$H$4+세계지리!$H$3, 0)</f>
        <v>7</v>
      </c>
      <c r="H16" s="100">
        <f>ROUNDUP((동아시아사!$Q14-0.5-50)/10*동아시아사!$H$4+동아시아사!$H$3, 0)</f>
        <v>7</v>
      </c>
      <c r="I16" s="100">
        <f>ROUNDUP((세계사!$Q14-0.5-50)/10*세계사!$H$4+세계사!$H$3, 0)</f>
        <v>7</v>
      </c>
      <c r="J16" s="100">
        <f>ROUNDUP((경제!$Q14-0.5-50)/10*경제!$H$4+경제!$H$3, 0)</f>
        <v>6</v>
      </c>
      <c r="K16" s="100">
        <f>ROUNDUP(('정치와 법'!$Q14-0.5-50)/10*'정치와 법'!$H$4+'정치와 법'!$H$3, 0)</f>
        <v>7</v>
      </c>
      <c r="L16" s="101">
        <f>ROUNDUP((사회∙문화!$Q14-0.5-50)/10*사회∙문화!$H$4+사회∙문화!$H$3, 0)</f>
        <v>8</v>
      </c>
      <c r="M16" s="28"/>
    </row>
    <row r="17" spans="2:13" ht="25" customHeight="1" x14ac:dyDescent="0.45">
      <c r="B17" s="19"/>
      <c r="C17" s="102"/>
      <c r="D17" s="102"/>
      <c r="E17" s="102"/>
      <c r="F17" s="102"/>
      <c r="G17" s="102"/>
      <c r="H17" s="102"/>
      <c r="I17" s="102"/>
      <c r="J17" s="102"/>
      <c r="K17" s="102"/>
      <c r="L17" s="103"/>
      <c r="M17" s="28"/>
    </row>
    <row r="18" spans="2:13" ht="25" customHeight="1" thickBot="1" x14ac:dyDescent="0.5">
      <c r="B18" s="19"/>
      <c r="C18" s="102"/>
      <c r="D18" s="102"/>
      <c r="E18" s="102"/>
      <c r="F18" s="102"/>
      <c r="G18" s="102"/>
      <c r="H18" s="102"/>
      <c r="I18" s="102"/>
      <c r="J18" s="102"/>
      <c r="K18" s="102"/>
      <c r="L18" s="103"/>
      <c r="M18" s="28"/>
    </row>
    <row r="19" spans="2:13" ht="25" customHeight="1" thickBot="1" x14ac:dyDescent="0.5">
      <c r="B19" s="19"/>
      <c r="C19" s="89" t="s">
        <v>126</v>
      </c>
      <c r="D19" s="90" t="s">
        <v>127</v>
      </c>
      <c r="E19" s="91" t="s">
        <v>128</v>
      </c>
      <c r="F19" s="91" t="s">
        <v>129</v>
      </c>
      <c r="G19" s="91" t="s">
        <v>130</v>
      </c>
      <c r="H19" s="91" t="s">
        <v>131</v>
      </c>
      <c r="I19" s="91" t="s">
        <v>132</v>
      </c>
      <c r="J19" s="91" t="s">
        <v>133</v>
      </c>
      <c r="K19" s="92" t="s">
        <v>134</v>
      </c>
      <c r="L19" s="103"/>
      <c r="M19" s="28"/>
    </row>
    <row r="20" spans="2:13" ht="25" customHeight="1" x14ac:dyDescent="0.45">
      <c r="B20" s="19"/>
      <c r="C20" s="93" t="s">
        <v>118</v>
      </c>
      <c r="D20" s="78">
        <f>ROUNDUP((물리학Ⅰ!$Q7-0.5-50)/10*물리학Ⅰ!$H$4+물리학Ⅰ!$H$3, 0)</f>
        <v>46</v>
      </c>
      <c r="E20" s="79">
        <f>ROUNDUP((화학Ⅰ!$Q7-0.5-50)/10*화학Ⅰ!$H$4+화학Ⅰ!$H$3, 0)</f>
        <v>43</v>
      </c>
      <c r="F20" s="79">
        <f>ROUNDUP((생명과학Ⅰ!$Q7-0.5-50)/10*생명과학Ⅰ!$H$4+생명과학Ⅰ!$H$3, 0)</f>
        <v>40</v>
      </c>
      <c r="G20" s="79">
        <f>ROUNDUP((지구과학Ⅰ!$Q7-0.5-50)/10*지구과학Ⅰ!$H$4+지구과학Ⅰ!$H$3, 0)</f>
        <v>44</v>
      </c>
      <c r="H20" s="79">
        <f>ROUNDUP((물리학Ⅱ!$Q7-0.5-50)/10*물리학Ⅱ!$H$4+물리학Ⅱ!$H$3, 0)</f>
        <v>41</v>
      </c>
      <c r="I20" s="79">
        <f>ROUNDUP((화학Ⅱ!$Q7-0.5-50)/10*화학Ⅱ!$H$4+화학Ⅱ!$H$3, 0)</f>
        <v>38</v>
      </c>
      <c r="J20" s="79">
        <f>ROUNDUP((생명과학Ⅱ!$Q7-0.5-50)/10*생명과학Ⅱ!$H$4+생명과학Ⅱ!$H$3, 0)</f>
        <v>39</v>
      </c>
      <c r="K20" s="94">
        <f>ROUNDUP((지구과학Ⅱ!$Q7-0.5-50)/10*지구과학Ⅱ!$H$4+지구과학Ⅱ!$H$3, 0)</f>
        <v>30</v>
      </c>
      <c r="L20" s="103"/>
      <c r="M20" s="28"/>
    </row>
    <row r="21" spans="2:13" ht="25" customHeight="1" x14ac:dyDescent="0.45">
      <c r="B21" s="19"/>
      <c r="C21" s="95" t="s">
        <v>119</v>
      </c>
      <c r="D21" s="80">
        <f>ROUNDUP((물리학Ⅰ!$Q8-0.5-50)/10*물리학Ⅰ!$H$4+물리학Ⅰ!$H$3, 0)</f>
        <v>44</v>
      </c>
      <c r="E21" s="96">
        <f>ROUNDUP((화학Ⅰ!$Q8-0.5-50)/10*화학Ⅰ!$H$4+화학Ⅰ!$H$3, 0)</f>
        <v>39</v>
      </c>
      <c r="F21" s="96">
        <f>ROUNDUP((생명과학Ⅰ!$Q8-0.5-50)/10*생명과학Ⅰ!$H$4+생명과학Ⅰ!$H$3, 0)</f>
        <v>36</v>
      </c>
      <c r="G21" s="96">
        <f>ROUNDUP((지구과학Ⅰ!$Q8-0.5-50)/10*지구과학Ⅰ!$H$4+지구과학Ⅰ!$H$3, 0)</f>
        <v>40</v>
      </c>
      <c r="H21" s="96">
        <f>ROUNDUP((물리학Ⅱ!$Q8-0.5-50)/10*물리학Ⅱ!$H$4+물리학Ⅱ!$H$3, 0)</f>
        <v>23</v>
      </c>
      <c r="I21" s="96">
        <f>ROUNDUP((화학Ⅱ!$Q8-0.5-50)/10*화학Ⅱ!$H$4+화학Ⅱ!$H$3, 0)</f>
        <v>27</v>
      </c>
      <c r="J21" s="96">
        <f>ROUNDUP((생명과학Ⅱ!$Q8-0.5-50)/10*생명과학Ⅱ!$H$4+생명과학Ⅱ!$H$3, 0)</f>
        <v>27</v>
      </c>
      <c r="K21" s="97">
        <f>ROUNDUP((지구과학Ⅱ!$Q8-0.5-50)/10*지구과학Ⅱ!$H$4+지구과학Ⅱ!$H$3, 0)</f>
        <v>20</v>
      </c>
      <c r="L21" s="103"/>
      <c r="M21" s="28"/>
    </row>
    <row r="22" spans="2:13" ht="25" customHeight="1" x14ac:dyDescent="0.45">
      <c r="B22" s="19"/>
      <c r="C22" s="95" t="s">
        <v>120</v>
      </c>
      <c r="D22" s="80">
        <f>ROUNDUP((물리학Ⅰ!$Q9-0.5-50)/10*물리학Ⅰ!$H$4+물리학Ⅰ!$H$3, 0)</f>
        <v>37</v>
      </c>
      <c r="E22" s="96">
        <f>ROUNDUP((화학Ⅰ!$Q9-0.5-50)/10*화학Ⅰ!$H$4+화학Ⅰ!$H$3, 0)</f>
        <v>33</v>
      </c>
      <c r="F22" s="96">
        <f>ROUNDUP((생명과학Ⅰ!$Q9-0.5-50)/10*생명과학Ⅰ!$H$4+생명과학Ⅰ!$H$3, 0)</f>
        <v>32</v>
      </c>
      <c r="G22" s="96">
        <f>ROUNDUP((지구과학Ⅰ!$Q9-0.5-50)/10*지구과학Ⅰ!$H$4+지구과학Ⅰ!$H$3, 0)</f>
        <v>32</v>
      </c>
      <c r="H22" s="96">
        <f>ROUNDUP((물리학Ⅱ!$Q9-0.5-50)/10*물리학Ⅱ!$H$4+물리학Ⅱ!$H$3, 0)</f>
        <v>16</v>
      </c>
      <c r="I22" s="96">
        <f>ROUNDUP((화학Ⅱ!$Q9-0.5-50)/10*화학Ⅱ!$H$4+화학Ⅱ!$H$3, 0)</f>
        <v>20</v>
      </c>
      <c r="J22" s="96">
        <f>ROUNDUP((생명과학Ⅱ!$Q9-0.5-50)/10*생명과학Ⅱ!$H$4+생명과학Ⅱ!$H$3, 0)</f>
        <v>19</v>
      </c>
      <c r="K22" s="97">
        <f>ROUNDUP((지구과학Ⅱ!$Q9-0.5-50)/10*지구과학Ⅱ!$H$4+지구과학Ⅱ!$H$3, 0)</f>
        <v>15</v>
      </c>
      <c r="L22" s="103"/>
      <c r="M22" s="28"/>
    </row>
    <row r="23" spans="2:13" ht="25" customHeight="1" x14ac:dyDescent="0.45">
      <c r="B23" s="19"/>
      <c r="C23" s="95" t="s">
        <v>121</v>
      </c>
      <c r="D23" s="80">
        <f>ROUNDUP((물리학Ⅰ!$Q10-0.5-50)/10*물리학Ⅰ!$H$4+물리학Ⅰ!$H$3, 0)</f>
        <v>28</v>
      </c>
      <c r="E23" s="96">
        <f>ROUNDUP((화학Ⅰ!$Q10-0.5-50)/10*화학Ⅰ!$H$4+화학Ⅰ!$H$3, 0)</f>
        <v>25</v>
      </c>
      <c r="F23" s="96">
        <f>ROUNDUP((생명과학Ⅰ!$Q10-0.5-50)/10*생명과학Ⅰ!$H$4+생명과학Ⅰ!$H$3, 0)</f>
        <v>27</v>
      </c>
      <c r="G23" s="96">
        <f>ROUNDUP((지구과학Ⅰ!$Q10-0.5-50)/10*지구과학Ⅰ!$H$4+지구과학Ⅰ!$H$3, 0)</f>
        <v>23</v>
      </c>
      <c r="H23" s="96">
        <f>ROUNDUP((물리학Ⅱ!$Q10-0.5-50)/10*물리학Ⅱ!$H$4+물리학Ⅱ!$H$3, 0)</f>
        <v>12</v>
      </c>
      <c r="I23" s="96">
        <f>ROUNDUP((화학Ⅱ!$Q10-0.5-50)/10*화학Ⅱ!$H$4+화학Ⅱ!$H$3, 0)</f>
        <v>15</v>
      </c>
      <c r="J23" s="96">
        <f>ROUNDUP((생명과학Ⅱ!$Q10-0.5-50)/10*생명과학Ⅱ!$H$4+생명과학Ⅱ!$H$3, 0)</f>
        <v>14</v>
      </c>
      <c r="K23" s="97">
        <f>ROUNDUP((지구과학Ⅱ!$Q10-0.5-50)/10*지구과학Ⅱ!$H$4+지구과학Ⅱ!$H$3, 0)</f>
        <v>13</v>
      </c>
      <c r="L23" s="103"/>
      <c r="M23" s="28"/>
    </row>
    <row r="24" spans="2:13" ht="25" customHeight="1" x14ac:dyDescent="0.45">
      <c r="B24" s="19"/>
      <c r="C24" s="95" t="s">
        <v>122</v>
      </c>
      <c r="D24" s="80">
        <f>ROUNDUP((물리학Ⅰ!$Q11-0.5-50)/10*물리학Ⅰ!$H$4+물리학Ⅰ!$H$3, 0)</f>
        <v>20</v>
      </c>
      <c r="E24" s="96">
        <f>ROUNDUP((화학Ⅰ!$Q11-0.5-50)/10*화학Ⅰ!$H$4+화학Ⅰ!$H$3, 0)</f>
        <v>18</v>
      </c>
      <c r="F24" s="96">
        <f>ROUNDUP((생명과학Ⅰ!$Q11-0.5-50)/10*생명과학Ⅰ!$H$4+생명과학Ⅰ!$H$3, 0)</f>
        <v>21</v>
      </c>
      <c r="G24" s="96">
        <f>ROUNDUP((지구과학Ⅰ!$Q11-0.5-50)/10*지구과학Ⅰ!$H$4+지구과학Ⅰ!$H$3, 0)</f>
        <v>17</v>
      </c>
      <c r="H24" s="96">
        <f>ROUNDUP((물리학Ⅱ!$Q11-0.5-50)/10*물리학Ⅱ!$H$4+물리학Ⅱ!$H$3, 0)</f>
        <v>10</v>
      </c>
      <c r="I24" s="96">
        <f>ROUNDUP((화학Ⅱ!$Q11-0.5-50)/10*화학Ⅱ!$H$4+화학Ⅱ!$H$3, 0)</f>
        <v>12</v>
      </c>
      <c r="J24" s="96">
        <f>ROUNDUP((생명과학Ⅱ!$Q11-0.5-50)/10*생명과학Ⅱ!$H$4+생명과학Ⅱ!$H$3, 0)</f>
        <v>11</v>
      </c>
      <c r="K24" s="97">
        <f>ROUNDUP((지구과학Ⅱ!$Q11-0.5-50)/10*지구과학Ⅱ!$H$4+지구과학Ⅱ!$H$3, 0)</f>
        <v>10</v>
      </c>
      <c r="L24" s="103"/>
      <c r="M24" s="28"/>
    </row>
    <row r="25" spans="2:13" ht="25" customHeight="1" x14ac:dyDescent="0.45">
      <c r="B25" s="19"/>
      <c r="C25" s="95" t="s">
        <v>123</v>
      </c>
      <c r="D25" s="80">
        <f>ROUNDUP((물리학Ⅰ!$Q12-0.5-50)/10*물리학Ⅰ!$H$4+물리학Ⅰ!$H$3, 0)</f>
        <v>13</v>
      </c>
      <c r="E25" s="96">
        <f>ROUNDUP((화학Ⅰ!$Q12-0.5-50)/10*화학Ⅰ!$H$4+화학Ⅰ!$H$3, 0)</f>
        <v>13</v>
      </c>
      <c r="F25" s="96">
        <f>ROUNDUP((생명과학Ⅰ!$Q12-0.5-50)/10*생명과학Ⅰ!$H$4+생명과학Ⅰ!$H$3, 0)</f>
        <v>15</v>
      </c>
      <c r="G25" s="96">
        <f>ROUNDUP((지구과학Ⅰ!$Q12-0.5-50)/10*지구과학Ⅰ!$H$4+지구과학Ⅰ!$H$3, 0)</f>
        <v>11</v>
      </c>
      <c r="H25" s="96">
        <f>ROUNDUP((물리학Ⅱ!$Q12-0.5-50)/10*물리학Ⅱ!$H$4+물리학Ⅱ!$H$3, 0)</f>
        <v>9</v>
      </c>
      <c r="I25" s="96">
        <f>ROUNDUP((화학Ⅱ!$Q12-0.5-50)/10*화학Ⅱ!$H$4+화학Ⅱ!$H$3, 0)</f>
        <v>10</v>
      </c>
      <c r="J25" s="96">
        <f>ROUNDUP((생명과학Ⅱ!$Q12-0.5-50)/10*생명과학Ⅱ!$H$4+생명과학Ⅱ!$H$3, 0)</f>
        <v>9</v>
      </c>
      <c r="K25" s="97">
        <f>ROUNDUP((지구과학Ⅱ!$Q12-0.5-50)/10*지구과학Ⅱ!$H$4+지구과학Ⅱ!$H$3, 0)</f>
        <v>9</v>
      </c>
      <c r="L25" s="103"/>
      <c r="M25" s="28"/>
    </row>
    <row r="26" spans="2:13" ht="25" customHeight="1" x14ac:dyDescent="0.45">
      <c r="B26" s="19"/>
      <c r="C26" s="95" t="s">
        <v>124</v>
      </c>
      <c r="D26" s="80">
        <f>ROUNDUP((물리학Ⅰ!$Q13-0.5-50)/10*물리학Ⅰ!$H$4+물리학Ⅰ!$H$3, 0)</f>
        <v>10</v>
      </c>
      <c r="E26" s="96">
        <f>ROUNDUP((화학Ⅰ!$Q13-0.5-50)/10*화학Ⅰ!$H$4+화학Ⅰ!$H$3, 0)</f>
        <v>10</v>
      </c>
      <c r="F26" s="96">
        <f>ROUNDUP((생명과학Ⅰ!$Q13-0.5-50)/10*생명과학Ⅰ!$H$4+생명과학Ⅰ!$H$3, 0)</f>
        <v>12</v>
      </c>
      <c r="G26" s="96">
        <f>ROUNDUP((지구과학Ⅰ!$Q13-0.5-50)/10*지구과학Ⅰ!$H$4+지구과학Ⅰ!$H$3, 0)</f>
        <v>9</v>
      </c>
      <c r="H26" s="96">
        <f>ROUNDUP((물리학Ⅱ!$Q13-0.5-50)/10*물리학Ⅱ!$H$4+물리학Ⅱ!$H$3, 0)</f>
        <v>7</v>
      </c>
      <c r="I26" s="96">
        <f>ROUNDUP((화학Ⅱ!$Q13-0.5-50)/10*화학Ⅱ!$H$4+화학Ⅱ!$H$3, 0)</f>
        <v>7</v>
      </c>
      <c r="J26" s="96">
        <f>ROUNDUP((생명과학Ⅱ!$Q13-0.5-50)/10*생명과학Ⅱ!$H$4+생명과학Ⅱ!$H$3, 0)</f>
        <v>6</v>
      </c>
      <c r="K26" s="97">
        <f>ROUNDUP((지구과학Ⅱ!$Q13-0.5-50)/10*지구과학Ⅱ!$H$4+지구과학Ⅱ!$H$3, 0)</f>
        <v>7</v>
      </c>
      <c r="L26" s="103"/>
      <c r="M26" s="28"/>
    </row>
    <row r="27" spans="2:13" ht="25" customHeight="1" thickBot="1" x14ac:dyDescent="0.5">
      <c r="B27" s="19"/>
      <c r="C27" s="98" t="s">
        <v>125</v>
      </c>
      <c r="D27" s="99">
        <f>ROUNDUP((물리학Ⅰ!$Q14-0.5-50)/10*물리학Ⅰ!$H$4+물리학Ⅰ!$H$3, 0)</f>
        <v>7</v>
      </c>
      <c r="E27" s="100">
        <f>ROUNDUP((화학Ⅰ!$Q14-0.5-50)/10*화학Ⅰ!$H$4+화학Ⅰ!$H$3, 0)</f>
        <v>6</v>
      </c>
      <c r="F27" s="100">
        <f>ROUNDUP((생명과학Ⅰ!$Q14-0.5-50)/10*생명과학Ⅰ!$H$4+생명과학Ⅰ!$H$3, 0)</f>
        <v>8</v>
      </c>
      <c r="G27" s="100">
        <f>ROUNDUP((지구과학Ⅰ!$Q14-0.5-50)/10*지구과학Ⅰ!$H$4+지구과학Ⅰ!$H$3, 0)</f>
        <v>7</v>
      </c>
      <c r="H27" s="100">
        <f>ROUNDUP((물리학Ⅱ!$Q14-0.5-50)/10*물리학Ⅱ!$H$4+물리학Ⅱ!$H$3, 0)</f>
        <v>4</v>
      </c>
      <c r="I27" s="100">
        <f>ROUNDUP((화학Ⅱ!$Q14-0.5-50)/10*화학Ⅱ!$H$4+화학Ⅱ!$H$3, 0)</f>
        <v>5</v>
      </c>
      <c r="J27" s="100">
        <f>ROUNDUP((생명과학Ⅱ!$Q14-0.5-50)/10*생명과학Ⅱ!$H$4+생명과학Ⅱ!$H$3, 0)</f>
        <v>3</v>
      </c>
      <c r="K27" s="101">
        <f>ROUNDUP((지구과학Ⅱ!$Q14-0.5-50)/10*지구과학Ⅱ!$H$4+지구과학Ⅱ!$H$3, 0)</f>
        <v>5</v>
      </c>
      <c r="L27" s="103"/>
      <c r="M27" s="28"/>
    </row>
    <row r="28" spans="2:13" ht="6" customHeight="1" x14ac:dyDescent="0.45">
      <c r="B28" s="22"/>
      <c r="C28" s="30"/>
      <c r="D28" s="31"/>
      <c r="E28" s="31"/>
      <c r="F28" s="31"/>
      <c r="G28" s="31"/>
      <c r="H28" s="31"/>
      <c r="I28" s="31"/>
      <c r="J28" s="31"/>
      <c r="K28" s="31"/>
      <c r="L28" s="23"/>
      <c r="M28" s="24"/>
    </row>
    <row r="29" spans="2:13" x14ac:dyDescent="0.45">
      <c r="B29" s="4"/>
      <c r="C29" s="10"/>
      <c r="D29" s="5"/>
      <c r="E29" s="5"/>
      <c r="F29" s="5"/>
      <c r="G29" s="5"/>
      <c r="H29" s="5"/>
      <c r="I29" s="5"/>
      <c r="J29" s="5"/>
      <c r="K29" s="5"/>
      <c r="L29" s="4"/>
      <c r="M29" s="4"/>
    </row>
    <row r="30" spans="2:13" s="4" customFormat="1" x14ac:dyDescent="0.45">
      <c r="C30" s="10"/>
      <c r="D30" s="5"/>
      <c r="E30" s="5"/>
      <c r="F30" s="5"/>
      <c r="G30" s="5"/>
      <c r="H30" s="5"/>
      <c r="I30" s="5"/>
      <c r="J30" s="5"/>
      <c r="K30" s="5"/>
    </row>
    <row r="31" spans="2:13" s="4" customFormat="1" x14ac:dyDescent="0.45">
      <c r="C31" s="10"/>
      <c r="D31" s="5"/>
      <c r="E31" s="5"/>
      <c r="F31" s="5"/>
      <c r="G31" s="5"/>
      <c r="H31" s="5"/>
      <c r="I31" s="5"/>
      <c r="J31" s="5"/>
      <c r="K31" s="5"/>
    </row>
    <row r="32" spans="2:13" s="4" customFormat="1" x14ac:dyDescent="0.45">
      <c r="C32" s="10"/>
      <c r="D32" s="5"/>
      <c r="E32" s="5"/>
      <c r="F32" s="5"/>
      <c r="G32" s="5"/>
      <c r="H32" s="5"/>
      <c r="I32" s="5"/>
      <c r="J32" s="5"/>
      <c r="K32" s="5"/>
    </row>
    <row r="33" spans="3:11" s="4" customFormat="1" x14ac:dyDescent="0.45">
      <c r="C33" s="10"/>
      <c r="D33" s="5"/>
      <c r="E33" s="5"/>
      <c r="F33" s="5"/>
      <c r="G33" s="5"/>
      <c r="H33" s="5"/>
      <c r="I33" s="5"/>
      <c r="J33" s="5"/>
      <c r="K33" s="5"/>
    </row>
  </sheetData>
  <mergeCells count="3">
    <mergeCell ref="D4:G4"/>
    <mergeCell ref="D5:G5"/>
    <mergeCell ref="C6:L7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통계 및 응시자 수 입력 기능</vt:lpstr>
      <vt:lpstr>인원 입력 기능 (사과탐)</vt:lpstr>
      <vt:lpstr>표준점수 등급컷 입력기능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2024-07-24T05:21:27Z</dcterms:modified>
</cp:coreProperties>
</file>