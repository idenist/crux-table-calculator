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윤승혁\OneDrive - 홍익대학교\바탕 화면\모의고사&amp;수능 관련\2024\고2\"/>
    </mc:Choice>
  </mc:AlternateContent>
  <xr:revisionPtr revIDLastSave="0" documentId="13_ncr:1_{431A9A5A-DF3F-4C14-AED5-EB927DD5EC1C}" xr6:coauthVersionLast="47" xr6:coauthVersionMax="47" xr10:uidLastSave="{00000000-0000-0000-0000-000000000000}"/>
  <bookViews>
    <workbookView minimized="1" xWindow="4240" yWindow="4240" windowWidth="14400" windowHeight="8260" firstSheet="30" activeTab="35" xr2:uid="{AB9EE284-95EA-49B1-8133-EE4E7651E7F1}"/>
  </bookViews>
  <sheets>
    <sheet name="통계 및 응시자 수 입력 기능" sheetId="67" r:id="rId1"/>
    <sheet name="표점등급&amp;절평인원 입력 기능" sheetId="66" r:id="rId2"/>
    <sheet name="인원 입력 기능(국수)" sheetId="64" r:id="rId3"/>
    <sheet name="인원 입력 기능(사과탐)" sheetId="68" r:id="rId4"/>
    <sheet name="인원 입력 기능(직탐)" sheetId="70" r:id="rId5"/>
    <sheet name="국어" sheetId="2" r:id="rId6"/>
    <sheet name="수학" sheetId="5" r:id="rId7"/>
    <sheet name="영어" sheetId="6" r:id="rId8"/>
    <sheet name="한국사" sheetId="25" r:id="rId9"/>
    <sheet name="생활과 윤리" sheetId="3" r:id="rId10"/>
    <sheet name="윤리와 사상" sheetId="26" r:id="rId11"/>
    <sheet name="한국지리" sheetId="27" r:id="rId12"/>
    <sheet name="세계지리" sheetId="28" r:id="rId13"/>
    <sheet name="동아시아사" sheetId="29" r:id="rId14"/>
    <sheet name="세계사" sheetId="30" r:id="rId15"/>
    <sheet name="경제" sheetId="31" r:id="rId16"/>
    <sheet name="정치와 법" sheetId="32" r:id="rId17"/>
    <sheet name="사회∙문화" sheetId="33" r:id="rId18"/>
    <sheet name="물리학Ⅰ" sheetId="34" r:id="rId19"/>
    <sheet name="화학Ⅰ" sheetId="35" r:id="rId20"/>
    <sheet name="생명과학Ⅰ" sheetId="36" r:id="rId21"/>
    <sheet name="지구과학Ⅰ" sheetId="37" r:id="rId22"/>
    <sheet name="성공적인 직업생활" sheetId="72" r:id="rId23"/>
    <sheet name="농업 기초 기술" sheetId="73" r:id="rId24"/>
    <sheet name="공업 일반" sheetId="74" r:id="rId25"/>
    <sheet name="상업 경제" sheetId="75" r:id="rId26"/>
    <sheet name="수산∙해운 산업 기초" sheetId="76" r:id="rId27"/>
    <sheet name="인간 발달" sheetId="77" r:id="rId28"/>
    <sheet name="등급컷 모아보기" sheetId="79" r:id="rId29"/>
    <sheet name="독일어Ⅰ" sheetId="82" r:id="rId30"/>
    <sheet name="프랑스어Ⅰ" sheetId="83" r:id="rId31"/>
    <sheet name="스페인어Ⅰ" sheetId="84" r:id="rId32"/>
    <sheet name="중국어Ⅰ" sheetId="85" r:id="rId33"/>
    <sheet name="일본어Ⅰ" sheetId="86" r:id="rId34"/>
    <sheet name="러시아어Ⅰ" sheetId="87" r:id="rId35"/>
    <sheet name="한문Ⅰ" sheetId="88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88" l="1"/>
  <c r="H4" i="88"/>
  <c r="H3" i="88"/>
  <c r="E8" i="88"/>
  <c r="E9" i="88"/>
  <c r="E10" i="88"/>
  <c r="E11" i="88"/>
  <c r="E12" i="88"/>
  <c r="E13" i="88"/>
  <c r="E14" i="88"/>
  <c r="E15" i="88"/>
  <c r="F8" i="88"/>
  <c r="E7" i="88"/>
  <c r="E8" i="87"/>
  <c r="E9" i="87"/>
  <c r="E10" i="87"/>
  <c r="E11" i="87"/>
  <c r="E12" i="87"/>
  <c r="F12" i="87" s="1"/>
  <c r="E13" i="87"/>
  <c r="E14" i="87"/>
  <c r="E15" i="87"/>
  <c r="E7" i="87"/>
  <c r="J3" i="87"/>
  <c r="H4" i="87"/>
  <c r="H3" i="87"/>
  <c r="J3" i="86"/>
  <c r="H4" i="86"/>
  <c r="H3" i="86"/>
  <c r="E8" i="86"/>
  <c r="E9" i="86"/>
  <c r="E10" i="86"/>
  <c r="E11" i="86"/>
  <c r="E12" i="86"/>
  <c r="F12" i="86" s="1"/>
  <c r="E13" i="86"/>
  <c r="E14" i="86"/>
  <c r="E15" i="86"/>
  <c r="E7" i="86"/>
  <c r="E8" i="85"/>
  <c r="E9" i="85"/>
  <c r="E10" i="85"/>
  <c r="E11" i="85"/>
  <c r="E12" i="85"/>
  <c r="E13" i="85"/>
  <c r="E14" i="85"/>
  <c r="E15" i="85"/>
  <c r="E7" i="85"/>
  <c r="J3" i="85"/>
  <c r="H4" i="85"/>
  <c r="H3" i="85"/>
  <c r="E8" i="84"/>
  <c r="E9" i="84"/>
  <c r="E10" i="84"/>
  <c r="E11" i="84"/>
  <c r="E12" i="84"/>
  <c r="E13" i="84"/>
  <c r="E14" i="84"/>
  <c r="E15" i="84"/>
  <c r="F12" i="84"/>
  <c r="E7" i="84"/>
  <c r="J3" i="84"/>
  <c r="H3" i="84"/>
  <c r="H4" i="84"/>
  <c r="F8" i="86"/>
  <c r="J3" i="83"/>
  <c r="H4" i="83"/>
  <c r="H3" i="83"/>
  <c r="E8" i="83"/>
  <c r="E9" i="83"/>
  <c r="E10" i="83"/>
  <c r="E11" i="83"/>
  <c r="E12" i="83"/>
  <c r="E13" i="83"/>
  <c r="E14" i="83"/>
  <c r="E15" i="83"/>
  <c r="E7" i="83"/>
  <c r="E7" i="82"/>
  <c r="J3" i="82"/>
  <c r="F9" i="82" s="1"/>
  <c r="H4" i="82"/>
  <c r="H3" i="82"/>
  <c r="E8" i="82"/>
  <c r="E9" i="82"/>
  <c r="E10" i="82"/>
  <c r="E11" i="82"/>
  <c r="E12" i="82"/>
  <c r="E13" i="82"/>
  <c r="E14" i="82"/>
  <c r="E15" i="82"/>
  <c r="H3" i="3"/>
  <c r="H3" i="26"/>
  <c r="H4" i="3"/>
  <c r="F10" i="84" l="1"/>
  <c r="F11" i="84"/>
  <c r="F8" i="84"/>
  <c r="F9" i="84"/>
  <c r="F14" i="83"/>
  <c r="F13" i="82"/>
  <c r="F13" i="84"/>
  <c r="F14" i="84"/>
  <c r="F15" i="84"/>
  <c r="F11" i="87"/>
  <c r="G8" i="83"/>
  <c r="H8" i="83" s="1"/>
  <c r="G8" i="85"/>
  <c r="G8" i="82"/>
  <c r="H8" i="82" s="1"/>
  <c r="G15" i="86"/>
  <c r="H15" i="86" s="1"/>
  <c r="G9" i="85"/>
  <c r="H9" i="85" s="1"/>
  <c r="G11" i="86"/>
  <c r="H11" i="86" s="1"/>
  <c r="G12" i="82"/>
  <c r="H12" i="82" s="1"/>
  <c r="G7" i="82"/>
  <c r="H7" i="82" s="1"/>
  <c r="G7" i="85"/>
  <c r="H7" i="85" s="1"/>
  <c r="G7" i="86"/>
  <c r="H7" i="86" s="1"/>
  <c r="G14" i="83"/>
  <c r="H14" i="83" s="1"/>
  <c r="G13" i="85"/>
  <c r="H13" i="85" s="1"/>
  <c r="G15" i="88"/>
  <c r="H15" i="88" s="1"/>
  <c r="G9" i="83"/>
  <c r="H9" i="83" s="1"/>
  <c r="F10" i="85"/>
  <c r="F14" i="85"/>
  <c r="F9" i="88"/>
  <c r="G15" i="83"/>
  <c r="H15" i="83" s="1"/>
  <c r="G12" i="83"/>
  <c r="H12" i="83" s="1"/>
  <c r="G14" i="85"/>
  <c r="H14" i="85" s="1"/>
  <c r="G12" i="86"/>
  <c r="H12" i="86" s="1"/>
  <c r="F13" i="87"/>
  <c r="F10" i="82"/>
  <c r="F14" i="82"/>
  <c r="G7" i="83"/>
  <c r="H7" i="83" s="1"/>
  <c r="G15" i="85"/>
  <c r="H15" i="85" s="1"/>
  <c r="F11" i="85"/>
  <c r="F15" i="85"/>
  <c r="F9" i="86"/>
  <c r="F13" i="86"/>
  <c r="F14" i="87"/>
  <c r="F10" i="88"/>
  <c r="G13" i="82"/>
  <c r="H13" i="82" s="1"/>
  <c r="G10" i="85"/>
  <c r="H10" i="85" s="1"/>
  <c r="G8" i="86"/>
  <c r="H8" i="86" s="1"/>
  <c r="G14" i="82"/>
  <c r="H14" i="82" s="1"/>
  <c r="G10" i="83"/>
  <c r="H10" i="83" s="1"/>
  <c r="G11" i="85"/>
  <c r="H11" i="85" s="1"/>
  <c r="G9" i="86"/>
  <c r="H9" i="86" s="1"/>
  <c r="G13" i="86"/>
  <c r="H13" i="86" s="1"/>
  <c r="G15" i="87"/>
  <c r="H15" i="87" s="1"/>
  <c r="F15" i="87"/>
  <c r="F11" i="88"/>
  <c r="G9" i="82"/>
  <c r="H9" i="82" s="1"/>
  <c r="F15" i="83"/>
  <c r="G10" i="82"/>
  <c r="H10" i="82" s="1"/>
  <c r="F7" i="82"/>
  <c r="F11" i="82"/>
  <c r="F15" i="82"/>
  <c r="G13" i="83"/>
  <c r="H13" i="83" s="1"/>
  <c r="F8" i="85"/>
  <c r="F12" i="85"/>
  <c r="F10" i="86"/>
  <c r="F14" i="86"/>
  <c r="F8" i="87"/>
  <c r="F12" i="88"/>
  <c r="F13" i="88"/>
  <c r="G11" i="82"/>
  <c r="H11" i="82" s="1"/>
  <c r="G15" i="82"/>
  <c r="H15" i="82" s="1"/>
  <c r="G15" i="84"/>
  <c r="H15" i="84" s="1"/>
  <c r="H8" i="85"/>
  <c r="G12" i="85"/>
  <c r="H12" i="85" s="1"/>
  <c r="G10" i="86"/>
  <c r="H10" i="86" s="1"/>
  <c r="G14" i="86"/>
  <c r="H14" i="86" s="1"/>
  <c r="F9" i="87"/>
  <c r="F8" i="82"/>
  <c r="F12" i="82"/>
  <c r="G11" i="83"/>
  <c r="H11" i="83" s="1"/>
  <c r="F7" i="84"/>
  <c r="F9" i="85"/>
  <c r="F13" i="85"/>
  <c r="F7" i="86"/>
  <c r="F11" i="86"/>
  <c r="F15" i="86"/>
  <c r="F10" i="87"/>
  <c r="F14" i="88"/>
  <c r="F15" i="88"/>
  <c r="F7" i="88"/>
  <c r="F7" i="87"/>
  <c r="G7" i="88"/>
  <c r="H7" i="88" s="1"/>
  <c r="G8" i="88"/>
  <c r="H8" i="88" s="1"/>
  <c r="G9" i="88"/>
  <c r="H9" i="88" s="1"/>
  <c r="G10" i="88"/>
  <c r="H10" i="88" s="1"/>
  <c r="G11" i="88"/>
  <c r="H11" i="88" s="1"/>
  <c r="G12" i="88"/>
  <c r="H12" i="88" s="1"/>
  <c r="G13" i="88"/>
  <c r="H13" i="88" s="1"/>
  <c r="G14" i="88"/>
  <c r="H14" i="88" s="1"/>
  <c r="G7" i="87"/>
  <c r="H7" i="87" s="1"/>
  <c r="G8" i="87"/>
  <c r="H8" i="87" s="1"/>
  <c r="G9" i="87"/>
  <c r="H9" i="87" s="1"/>
  <c r="G10" i="87"/>
  <c r="H10" i="87" s="1"/>
  <c r="G11" i="87"/>
  <c r="H11" i="87" s="1"/>
  <c r="G12" i="87"/>
  <c r="H12" i="87" s="1"/>
  <c r="G13" i="87"/>
  <c r="H13" i="87" s="1"/>
  <c r="G14" i="87"/>
  <c r="H14" i="87" s="1"/>
  <c r="F7" i="85"/>
  <c r="G7" i="84"/>
  <c r="H7" i="84" s="1"/>
  <c r="G8" i="84"/>
  <c r="H8" i="84" s="1"/>
  <c r="G9" i="84"/>
  <c r="H9" i="84" s="1"/>
  <c r="G10" i="84"/>
  <c r="H10" i="84" s="1"/>
  <c r="G11" i="84"/>
  <c r="H11" i="84" s="1"/>
  <c r="G12" i="84"/>
  <c r="H12" i="84" s="1"/>
  <c r="G13" i="84"/>
  <c r="H13" i="84" s="1"/>
  <c r="G14" i="84"/>
  <c r="H14" i="84" s="1"/>
  <c r="F7" i="83"/>
  <c r="F8" i="83"/>
  <c r="F9" i="83"/>
  <c r="F10" i="83"/>
  <c r="F11" i="83"/>
  <c r="F12" i="83"/>
  <c r="F13" i="83"/>
  <c r="Q8" i="72"/>
  <c r="Q9" i="72"/>
  <c r="Q10" i="72"/>
  <c r="Q11" i="72"/>
  <c r="Q12" i="72"/>
  <c r="Q13" i="72"/>
  <c r="Q14" i="72"/>
  <c r="Q8" i="73"/>
  <c r="Q9" i="73"/>
  <c r="Q10" i="73"/>
  <c r="Q11" i="73"/>
  <c r="Q12" i="73"/>
  <c r="Q13" i="73"/>
  <c r="Q14" i="73"/>
  <c r="Q8" i="74"/>
  <c r="Q9" i="74"/>
  <c r="Q10" i="74"/>
  <c r="Q11" i="74"/>
  <c r="Q12" i="74"/>
  <c r="Q13" i="74"/>
  <c r="Q14" i="74"/>
  <c r="Q8" i="75"/>
  <c r="Q9" i="75"/>
  <c r="Q10" i="75"/>
  <c r="Q11" i="75"/>
  <c r="Q12" i="75"/>
  <c r="Q13" i="75"/>
  <c r="Q14" i="75"/>
  <c r="Q8" i="76"/>
  <c r="Q9" i="76"/>
  <c r="Q10" i="76"/>
  <c r="Q11" i="76"/>
  <c r="Q12" i="76"/>
  <c r="Q13" i="76"/>
  <c r="Q14" i="76"/>
  <c r="Q8" i="77"/>
  <c r="Q9" i="77"/>
  <c r="Q10" i="77"/>
  <c r="Q11" i="77"/>
  <c r="Q12" i="77"/>
  <c r="Q13" i="77"/>
  <c r="Q14" i="77"/>
  <c r="Q7" i="77"/>
  <c r="Q7" i="76"/>
  <c r="Q7" i="75"/>
  <c r="Q7" i="74"/>
  <c r="J3" i="74"/>
  <c r="Q7" i="73"/>
  <c r="Q7" i="72"/>
  <c r="J3" i="77"/>
  <c r="H4" i="77"/>
  <c r="H3" i="77"/>
  <c r="J3" i="76"/>
  <c r="H4" i="76"/>
  <c r="H3" i="76"/>
  <c r="J3" i="75"/>
  <c r="H4" i="75"/>
  <c r="H3" i="75"/>
  <c r="H4" i="74"/>
  <c r="H3" i="74"/>
  <c r="J3" i="73"/>
  <c r="H4" i="73"/>
  <c r="H3" i="73"/>
  <c r="D22" i="73" s="1"/>
  <c r="J3" i="72"/>
  <c r="H4" i="72"/>
  <c r="H3" i="72"/>
  <c r="D29" i="72" s="1"/>
  <c r="D25" i="75"/>
  <c r="D54" i="73"/>
  <c r="J3" i="2"/>
  <c r="J3" i="5"/>
  <c r="D46" i="74" l="1"/>
  <c r="D41" i="77"/>
  <c r="D48" i="72"/>
  <c r="D25" i="73"/>
  <c r="D52" i="75"/>
  <c r="E52" i="75" s="1"/>
  <c r="D35" i="73"/>
  <c r="E35" i="73" s="1"/>
  <c r="D12" i="74"/>
  <c r="L12" i="74" s="1"/>
  <c r="D19" i="74"/>
  <c r="I49" i="79"/>
  <c r="D53" i="77"/>
  <c r="D20" i="74"/>
  <c r="D24" i="74"/>
  <c r="D19" i="72"/>
  <c r="L19" i="72" s="1"/>
  <c r="D26" i="74"/>
  <c r="D38" i="74"/>
  <c r="D55" i="74"/>
  <c r="I45" i="79"/>
  <c r="F42" i="79"/>
  <c r="H44" i="79"/>
  <c r="G43" i="79"/>
  <c r="E49" i="79"/>
  <c r="D48" i="79"/>
  <c r="D10" i="73"/>
  <c r="D14" i="74"/>
  <c r="L14" i="74" s="1"/>
  <c r="D22" i="74"/>
  <c r="E22" i="74" s="1"/>
  <c r="D32" i="74"/>
  <c r="E32" i="74" s="1"/>
  <c r="D50" i="74"/>
  <c r="D42" i="79"/>
  <c r="G42" i="79"/>
  <c r="I48" i="79"/>
  <c r="I44" i="79"/>
  <c r="H47" i="79"/>
  <c r="H43" i="79"/>
  <c r="G46" i="79"/>
  <c r="F49" i="79"/>
  <c r="F45" i="79"/>
  <c r="E48" i="79"/>
  <c r="E44" i="79"/>
  <c r="D47" i="79"/>
  <c r="D43" i="79"/>
  <c r="L29" i="72"/>
  <c r="L48" i="72"/>
  <c r="L20" i="75"/>
  <c r="L25" i="75"/>
  <c r="L52" i="75"/>
  <c r="G47" i="79"/>
  <c r="F46" i="79"/>
  <c r="E45" i="79"/>
  <c r="D44" i="79"/>
  <c r="D45" i="72"/>
  <c r="E45" i="72" s="1"/>
  <c r="D16" i="74"/>
  <c r="D23" i="74"/>
  <c r="G24" i="74" s="1"/>
  <c r="H24" i="74" s="1"/>
  <c r="D35" i="74"/>
  <c r="D49" i="77"/>
  <c r="L26" i="74"/>
  <c r="L38" i="74"/>
  <c r="L46" i="74"/>
  <c r="L50" i="74"/>
  <c r="L19" i="74"/>
  <c r="L35" i="74"/>
  <c r="L55" i="74"/>
  <c r="L16" i="74"/>
  <c r="L20" i="74"/>
  <c r="L24" i="74"/>
  <c r="L41" i="77"/>
  <c r="L49" i="77"/>
  <c r="L53" i="77"/>
  <c r="E42" i="79"/>
  <c r="H42" i="79"/>
  <c r="I47" i="79"/>
  <c r="I43" i="79"/>
  <c r="H46" i="79"/>
  <c r="G49" i="79"/>
  <c r="G45" i="79"/>
  <c r="F48" i="79"/>
  <c r="F44" i="79"/>
  <c r="E47" i="79"/>
  <c r="E43" i="79"/>
  <c r="D46" i="79"/>
  <c r="L10" i="73"/>
  <c r="L22" i="73"/>
  <c r="L54" i="73"/>
  <c r="L12" i="73"/>
  <c r="L25" i="73"/>
  <c r="I42" i="79"/>
  <c r="I46" i="79"/>
  <c r="H49" i="79"/>
  <c r="H45" i="79"/>
  <c r="G48" i="79"/>
  <c r="G44" i="79"/>
  <c r="F47" i="79"/>
  <c r="F43" i="79"/>
  <c r="E46" i="79"/>
  <c r="D49" i="79"/>
  <c r="D45" i="79"/>
  <c r="E25" i="73"/>
  <c r="D21" i="77"/>
  <c r="L21" i="77" s="1"/>
  <c r="D25" i="77"/>
  <c r="L25" i="77" s="1"/>
  <c r="G20" i="74"/>
  <c r="D19" i="73"/>
  <c r="L19" i="73" s="1"/>
  <c r="D38" i="73"/>
  <c r="L38" i="73" s="1"/>
  <c r="D41" i="73"/>
  <c r="E41" i="73" s="1"/>
  <c r="D14" i="73"/>
  <c r="E14" i="73" s="1"/>
  <c r="D35" i="72"/>
  <c r="L35" i="72" s="1"/>
  <c r="E35" i="72"/>
  <c r="D7" i="72"/>
  <c r="G7" i="72" s="1"/>
  <c r="D32" i="72"/>
  <c r="L32" i="72" s="1"/>
  <c r="D51" i="72"/>
  <c r="L51" i="72" s="1"/>
  <c r="D16" i="72"/>
  <c r="L16" i="72" s="1"/>
  <c r="E16" i="72"/>
  <c r="E54" i="73"/>
  <c r="E38" i="74"/>
  <c r="L54" i="72"/>
  <c r="D50" i="72"/>
  <c r="L50" i="72" s="1"/>
  <c r="D46" i="72"/>
  <c r="D42" i="72"/>
  <c r="L42" i="72" s="1"/>
  <c r="D38" i="72"/>
  <c r="L38" i="72" s="1"/>
  <c r="D34" i="72"/>
  <c r="G35" i="72" s="1"/>
  <c r="D30" i="72"/>
  <c r="G30" i="72" s="1"/>
  <c r="D26" i="72"/>
  <c r="L26" i="72" s="1"/>
  <c r="L22" i="72"/>
  <c r="D18" i="72"/>
  <c r="D10" i="72"/>
  <c r="L10" i="72" s="1"/>
  <c r="L12" i="72"/>
  <c r="D14" i="72"/>
  <c r="L14" i="72" s="1"/>
  <c r="D17" i="72"/>
  <c r="D20" i="72"/>
  <c r="D23" i="72"/>
  <c r="L23" i="72" s="1"/>
  <c r="E29" i="72"/>
  <c r="L33" i="72"/>
  <c r="D36" i="72"/>
  <c r="G36" i="72" s="1"/>
  <c r="D39" i="72"/>
  <c r="L39" i="72" s="1"/>
  <c r="E48" i="72"/>
  <c r="D49" i="72"/>
  <c r="G49" i="72" s="1"/>
  <c r="D52" i="72"/>
  <c r="D55" i="72"/>
  <c r="L55" i="72" s="1"/>
  <c r="D9" i="73"/>
  <c r="G9" i="73" s="1"/>
  <c r="H9" i="73" s="1"/>
  <c r="E10" i="73"/>
  <c r="D13" i="73"/>
  <c r="L13" i="73" s="1"/>
  <c r="E19" i="73"/>
  <c r="E22" i="73"/>
  <c r="D23" i="73"/>
  <c r="G23" i="73" s="1"/>
  <c r="D26" i="73"/>
  <c r="G26" i="73" s="1"/>
  <c r="D29" i="73"/>
  <c r="L29" i="73" s="1"/>
  <c r="D39" i="73"/>
  <c r="D42" i="73"/>
  <c r="L42" i="73" s="1"/>
  <c r="D45" i="73"/>
  <c r="L45" i="73" s="1"/>
  <c r="E12" i="74"/>
  <c r="H20" i="74"/>
  <c r="E24" i="74"/>
  <c r="E26" i="74"/>
  <c r="E35" i="74"/>
  <c r="E46" i="74"/>
  <c r="E50" i="74"/>
  <c r="E55" i="74"/>
  <c r="E25" i="75"/>
  <c r="D53" i="76"/>
  <c r="L53" i="76" s="1"/>
  <c r="D49" i="76"/>
  <c r="L49" i="76" s="1"/>
  <c r="D45" i="76"/>
  <c r="L45" i="76" s="1"/>
  <c r="D41" i="76"/>
  <c r="L41" i="76" s="1"/>
  <c r="D37" i="76"/>
  <c r="L37" i="76" s="1"/>
  <c r="D33" i="76"/>
  <c r="L33" i="76" s="1"/>
  <c r="D29" i="76"/>
  <c r="L29" i="76" s="1"/>
  <c r="D25" i="76"/>
  <c r="L25" i="76" s="1"/>
  <c r="D21" i="76"/>
  <c r="D54" i="76"/>
  <c r="L54" i="76" s="1"/>
  <c r="D50" i="76"/>
  <c r="L50" i="76" s="1"/>
  <c r="D46" i="76"/>
  <c r="D42" i="76"/>
  <c r="D38" i="76"/>
  <c r="L38" i="76" s="1"/>
  <c r="D34" i="76"/>
  <c r="L34" i="76" s="1"/>
  <c r="D30" i="76"/>
  <c r="G30" i="76" s="1"/>
  <c r="D26" i="76"/>
  <c r="D22" i="76"/>
  <c r="L22" i="76" s="1"/>
  <c r="D52" i="76"/>
  <c r="L52" i="76" s="1"/>
  <c r="D44" i="76"/>
  <c r="L44" i="76" s="1"/>
  <c r="D36" i="76"/>
  <c r="L36" i="76" s="1"/>
  <c r="D28" i="76"/>
  <c r="L28" i="76" s="1"/>
  <c r="L16" i="76"/>
  <c r="G7" i="76"/>
  <c r="D55" i="76"/>
  <c r="D47" i="76"/>
  <c r="L47" i="76" s="1"/>
  <c r="D39" i="76"/>
  <c r="L39" i="76" s="1"/>
  <c r="D31" i="76"/>
  <c r="D23" i="76"/>
  <c r="L23" i="76" s="1"/>
  <c r="L17" i="76"/>
  <c r="D48" i="76"/>
  <c r="D32" i="76"/>
  <c r="L32" i="76" s="1"/>
  <c r="L14" i="76"/>
  <c r="L10" i="76"/>
  <c r="D43" i="76"/>
  <c r="L43" i="76" s="1"/>
  <c r="D27" i="76"/>
  <c r="D19" i="76"/>
  <c r="L19" i="76" s="1"/>
  <c r="L13" i="76"/>
  <c r="G9" i="76"/>
  <c r="H9" i="76" s="1"/>
  <c r="D57" i="76"/>
  <c r="G57" i="76" s="1"/>
  <c r="D24" i="76"/>
  <c r="L24" i="76" s="1"/>
  <c r="D20" i="76"/>
  <c r="L20" i="76" s="1"/>
  <c r="D51" i="76"/>
  <c r="L11" i="76"/>
  <c r="D21" i="72"/>
  <c r="L21" i="72" s="1"/>
  <c r="D24" i="72"/>
  <c r="D27" i="72"/>
  <c r="L27" i="72" s="1"/>
  <c r="D37" i="72"/>
  <c r="D40" i="72"/>
  <c r="L40" i="72" s="1"/>
  <c r="L43" i="72"/>
  <c r="D53" i="72"/>
  <c r="L53" i="72" s="1"/>
  <c r="D57" i="72"/>
  <c r="G57" i="72" s="1"/>
  <c r="D12" i="73"/>
  <c r="D17" i="73"/>
  <c r="L17" i="73" s="1"/>
  <c r="D27" i="73"/>
  <c r="L27" i="73" s="1"/>
  <c r="D30" i="73"/>
  <c r="L30" i="73" s="1"/>
  <c r="D33" i="73"/>
  <c r="L33" i="73" s="1"/>
  <c r="D43" i="73"/>
  <c r="L43" i="73" s="1"/>
  <c r="D46" i="73"/>
  <c r="D57" i="74"/>
  <c r="G57" i="74" s="1"/>
  <c r="D52" i="74"/>
  <c r="L52" i="74" s="1"/>
  <c r="D48" i="74"/>
  <c r="L48" i="74" s="1"/>
  <c r="D45" i="74"/>
  <c r="L45" i="74" s="1"/>
  <c r="D41" i="74"/>
  <c r="L41" i="74" s="1"/>
  <c r="D37" i="74"/>
  <c r="L37" i="74" s="1"/>
  <c r="D33" i="74"/>
  <c r="D29" i="74"/>
  <c r="L29" i="74" s="1"/>
  <c r="D25" i="74"/>
  <c r="G25" i="74" s="1"/>
  <c r="D21" i="74"/>
  <c r="G21" i="74" s="1"/>
  <c r="D17" i="74"/>
  <c r="G17" i="74" s="1"/>
  <c r="D54" i="74"/>
  <c r="L54" i="74" s="1"/>
  <c r="D44" i="74"/>
  <c r="L44" i="74" s="1"/>
  <c r="D34" i="74"/>
  <c r="D31" i="74"/>
  <c r="L31" i="74" s="1"/>
  <c r="D28" i="74"/>
  <c r="L28" i="74" s="1"/>
  <c r="D18" i="74"/>
  <c r="G19" i="74" s="1"/>
  <c r="H19" i="74" s="1"/>
  <c r="D15" i="74"/>
  <c r="G15" i="74" s="1"/>
  <c r="D13" i="74"/>
  <c r="G13" i="74" s="1"/>
  <c r="D11" i="74"/>
  <c r="L11" i="74" s="1"/>
  <c r="D9" i="74"/>
  <c r="G9" i="74" s="1"/>
  <c r="H9" i="74" s="1"/>
  <c r="D7" i="74"/>
  <c r="G7" i="74" s="1"/>
  <c r="D43" i="74"/>
  <c r="L43" i="74" s="1"/>
  <c r="D40" i="74"/>
  <c r="L40" i="74" s="1"/>
  <c r="D30" i="74"/>
  <c r="L30" i="74" s="1"/>
  <c r="D27" i="74"/>
  <c r="G27" i="74" s="1"/>
  <c r="E14" i="74"/>
  <c r="E16" i="74"/>
  <c r="E19" i="74"/>
  <c r="E20" i="74"/>
  <c r="E23" i="74"/>
  <c r="D47" i="74"/>
  <c r="G47" i="74" s="1"/>
  <c r="D49" i="74"/>
  <c r="G50" i="74" s="1"/>
  <c r="D51" i="74"/>
  <c r="G51" i="74" s="1"/>
  <c r="D53" i="74"/>
  <c r="G53" i="74" s="1"/>
  <c r="D53" i="75"/>
  <c r="G53" i="75" s="1"/>
  <c r="D45" i="75"/>
  <c r="L45" i="75" s="1"/>
  <c r="D37" i="75"/>
  <c r="L37" i="75" s="1"/>
  <c r="L29" i="75"/>
  <c r="D21" i="75"/>
  <c r="G21" i="75" s="1"/>
  <c r="D57" i="75"/>
  <c r="G57" i="75" s="1"/>
  <c r="L48" i="75"/>
  <c r="D40" i="75"/>
  <c r="L40" i="75" s="1"/>
  <c r="D32" i="75"/>
  <c r="L32" i="75" s="1"/>
  <c r="D24" i="75"/>
  <c r="L24" i="75" s="1"/>
  <c r="D16" i="75"/>
  <c r="L16" i="75" s="1"/>
  <c r="D7" i="75"/>
  <c r="G7" i="75" s="1"/>
  <c r="D49" i="75"/>
  <c r="D33" i="75"/>
  <c r="L33" i="75" s="1"/>
  <c r="D17" i="75"/>
  <c r="G17" i="75" s="1"/>
  <c r="D44" i="75"/>
  <c r="L44" i="75" s="1"/>
  <c r="D28" i="75"/>
  <c r="L28" i="75" s="1"/>
  <c r="D36" i="75"/>
  <c r="L36" i="75" s="1"/>
  <c r="L12" i="76"/>
  <c r="D40" i="76"/>
  <c r="G40" i="76" s="1"/>
  <c r="D9" i="72"/>
  <c r="G9" i="72" s="1"/>
  <c r="H9" i="72" s="1"/>
  <c r="D11" i="72"/>
  <c r="G11" i="72" s="1"/>
  <c r="D13" i="72"/>
  <c r="L13" i="72" s="1"/>
  <c r="D15" i="72"/>
  <c r="L15" i="72" s="1"/>
  <c r="D25" i="72"/>
  <c r="L25" i="72" s="1"/>
  <c r="D28" i="72"/>
  <c r="G29" i="72" s="1"/>
  <c r="D31" i="72"/>
  <c r="L31" i="72" s="1"/>
  <c r="D41" i="72"/>
  <c r="L41" i="72" s="1"/>
  <c r="D44" i="72"/>
  <c r="L44" i="72" s="1"/>
  <c r="D47" i="72"/>
  <c r="G47" i="72" s="1"/>
  <c r="D55" i="73"/>
  <c r="G55" i="73" s="1"/>
  <c r="D51" i="73"/>
  <c r="L51" i="73" s="1"/>
  <c r="D47" i="73"/>
  <c r="D57" i="73"/>
  <c r="G57" i="73" s="1"/>
  <c r="D53" i="73"/>
  <c r="G54" i="73" s="1"/>
  <c r="D50" i="73"/>
  <c r="L50" i="73" s="1"/>
  <c r="D44" i="73"/>
  <c r="L44" i="73" s="1"/>
  <c r="D40" i="73"/>
  <c r="G40" i="73" s="1"/>
  <c r="D36" i="73"/>
  <c r="D32" i="73"/>
  <c r="L32" i="73" s="1"/>
  <c r="D28" i="73"/>
  <c r="G28" i="73" s="1"/>
  <c r="D24" i="73"/>
  <c r="G24" i="73" s="1"/>
  <c r="D20" i="73"/>
  <c r="G20" i="73" s="1"/>
  <c r="D16" i="73"/>
  <c r="L16" i="73" s="1"/>
  <c r="D7" i="73"/>
  <c r="G7" i="73" s="1"/>
  <c r="D11" i="73"/>
  <c r="G11" i="73" s="1"/>
  <c r="D15" i="73"/>
  <c r="L15" i="73" s="1"/>
  <c r="D18" i="73"/>
  <c r="G18" i="73" s="1"/>
  <c r="D21" i="73"/>
  <c r="G22" i="73" s="1"/>
  <c r="H22" i="73" s="1"/>
  <c r="D31" i="73"/>
  <c r="G31" i="73" s="1"/>
  <c r="D34" i="73"/>
  <c r="G34" i="73" s="1"/>
  <c r="D37" i="73"/>
  <c r="G38" i="73" s="1"/>
  <c r="H38" i="73" s="1"/>
  <c r="D48" i="73"/>
  <c r="D49" i="73"/>
  <c r="L49" i="73" s="1"/>
  <c r="D52" i="73"/>
  <c r="L52" i="73" s="1"/>
  <c r="D10" i="74"/>
  <c r="L10" i="74" s="1"/>
  <c r="D36" i="74"/>
  <c r="G36" i="74" s="1"/>
  <c r="D39" i="74"/>
  <c r="G39" i="74" s="1"/>
  <c r="D42" i="74"/>
  <c r="L42" i="74" s="1"/>
  <c r="D41" i="75"/>
  <c r="D35" i="76"/>
  <c r="G35" i="76" s="1"/>
  <c r="E41" i="77"/>
  <c r="D54" i="75"/>
  <c r="L54" i="75" s="1"/>
  <c r="E21" i="77"/>
  <c r="E25" i="77"/>
  <c r="E49" i="77"/>
  <c r="E53" i="77"/>
  <c r="D9" i="75"/>
  <c r="G9" i="75" s="1"/>
  <c r="H9" i="75" s="1"/>
  <c r="D10" i="75"/>
  <c r="L10" i="75" s="1"/>
  <c r="D12" i="75"/>
  <c r="L12" i="75" s="1"/>
  <c r="D13" i="75"/>
  <c r="L13" i="75" s="1"/>
  <c r="D14" i="75"/>
  <c r="L14" i="75" s="1"/>
  <c r="D15" i="75"/>
  <c r="D19" i="75"/>
  <c r="L19" i="75" s="1"/>
  <c r="D23" i="75"/>
  <c r="L23" i="75" s="1"/>
  <c r="D27" i="75"/>
  <c r="L27" i="75" s="1"/>
  <c r="D31" i="75"/>
  <c r="L31" i="75" s="1"/>
  <c r="D35" i="75"/>
  <c r="L35" i="75" s="1"/>
  <c r="D39" i="75"/>
  <c r="L39" i="75" s="1"/>
  <c r="D43" i="75"/>
  <c r="L43" i="75" s="1"/>
  <c r="D47" i="75"/>
  <c r="L47" i="75" s="1"/>
  <c r="D51" i="75"/>
  <c r="L51" i="75" s="1"/>
  <c r="D55" i="75"/>
  <c r="D18" i="75"/>
  <c r="G18" i="75" s="1"/>
  <c r="D22" i="75"/>
  <c r="L22" i="75" s="1"/>
  <c r="D26" i="75"/>
  <c r="G26" i="75" s="1"/>
  <c r="D30" i="75"/>
  <c r="D34" i="75"/>
  <c r="L34" i="75" s="1"/>
  <c r="D42" i="75"/>
  <c r="L42" i="75" s="1"/>
  <c r="D46" i="75"/>
  <c r="D50" i="75"/>
  <c r="L50" i="75" s="1"/>
  <c r="D10" i="77"/>
  <c r="L10" i="77" s="1"/>
  <c r="D7" i="77"/>
  <c r="G7" i="77" s="1"/>
  <c r="D37" i="77"/>
  <c r="L37" i="77" s="1"/>
  <c r="D17" i="77"/>
  <c r="L17" i="77" s="1"/>
  <c r="D33" i="77"/>
  <c r="L33" i="77" s="1"/>
  <c r="D54" i="77"/>
  <c r="G54" i="77" s="1"/>
  <c r="D50" i="77"/>
  <c r="G50" i="77" s="1"/>
  <c r="D46" i="77"/>
  <c r="L46" i="77" s="1"/>
  <c r="D42" i="77"/>
  <c r="G42" i="77" s="1"/>
  <c r="D38" i="77"/>
  <c r="L38" i="77" s="1"/>
  <c r="D34" i="77"/>
  <c r="L34" i="77" s="1"/>
  <c r="D30" i="77"/>
  <c r="L30" i="77" s="1"/>
  <c r="D26" i="77"/>
  <c r="G26" i="77" s="1"/>
  <c r="D22" i="77"/>
  <c r="G22" i="77" s="1"/>
  <c r="D18" i="77"/>
  <c r="L18" i="77" s="1"/>
  <c r="D55" i="77"/>
  <c r="L55" i="77" s="1"/>
  <c r="D51" i="77"/>
  <c r="D47" i="77"/>
  <c r="L47" i="77" s="1"/>
  <c r="D43" i="77"/>
  <c r="L43" i="77" s="1"/>
  <c r="D39" i="77"/>
  <c r="L39" i="77" s="1"/>
  <c r="D35" i="77"/>
  <c r="D31" i="77"/>
  <c r="L31" i="77" s="1"/>
  <c r="D27" i="77"/>
  <c r="L27" i="77" s="1"/>
  <c r="D23" i="77"/>
  <c r="L23" i="77" s="1"/>
  <c r="D19" i="77"/>
  <c r="D15" i="77"/>
  <c r="L15" i="77" s="1"/>
  <c r="D14" i="77"/>
  <c r="D13" i="77"/>
  <c r="L13" i="77" s="1"/>
  <c r="D12" i="77"/>
  <c r="L12" i="77" s="1"/>
  <c r="D11" i="77"/>
  <c r="D57" i="77"/>
  <c r="G57" i="77" s="1"/>
  <c r="D52" i="77"/>
  <c r="G53" i="77" s="1"/>
  <c r="D48" i="77"/>
  <c r="D44" i="77"/>
  <c r="D40" i="77"/>
  <c r="L40" i="77" s="1"/>
  <c r="D36" i="77"/>
  <c r="L36" i="77" s="1"/>
  <c r="D32" i="77"/>
  <c r="D28" i="77"/>
  <c r="D24" i="77"/>
  <c r="L24" i="77" s="1"/>
  <c r="D20" i="77"/>
  <c r="L20" i="77" s="1"/>
  <c r="D16" i="77"/>
  <c r="D9" i="77"/>
  <c r="G9" i="77" s="1"/>
  <c r="H9" i="77" s="1"/>
  <c r="D29" i="77"/>
  <c r="L29" i="77" s="1"/>
  <c r="D45" i="77"/>
  <c r="L45" i="77" s="1"/>
  <c r="E15" i="25"/>
  <c r="E14" i="25"/>
  <c r="E9" i="25"/>
  <c r="E10" i="25"/>
  <c r="E11" i="25"/>
  <c r="E12" i="25"/>
  <c r="E13" i="25"/>
  <c r="E8" i="25"/>
  <c r="E7" i="25"/>
  <c r="E15" i="6"/>
  <c r="E9" i="6"/>
  <c r="E10" i="6"/>
  <c r="E11" i="6"/>
  <c r="E12" i="6"/>
  <c r="E13" i="6"/>
  <c r="E14" i="6"/>
  <c r="E8" i="6"/>
  <c r="E7" i="6"/>
  <c r="G44" i="77" l="1"/>
  <c r="G15" i="75"/>
  <c r="G20" i="72"/>
  <c r="E19" i="72"/>
  <c r="L13" i="74"/>
  <c r="G36" i="73"/>
  <c r="L35" i="73"/>
  <c r="G16" i="77"/>
  <c r="H16" i="77" s="1"/>
  <c r="G48" i="77"/>
  <c r="G19" i="77"/>
  <c r="G51" i="77"/>
  <c r="G48" i="73"/>
  <c r="G49" i="75"/>
  <c r="H49" i="75" s="1"/>
  <c r="G27" i="76"/>
  <c r="H27" i="76" s="1"/>
  <c r="G42" i="76"/>
  <c r="H42" i="76" s="1"/>
  <c r="G39" i="73"/>
  <c r="G19" i="72"/>
  <c r="L40" i="76"/>
  <c r="G55" i="75"/>
  <c r="G41" i="75"/>
  <c r="G51" i="76"/>
  <c r="G31" i="76"/>
  <c r="H31" i="76" s="1"/>
  <c r="G46" i="76"/>
  <c r="H46" i="76" s="1"/>
  <c r="L9" i="73"/>
  <c r="G33" i="74"/>
  <c r="G35" i="77"/>
  <c r="G37" i="72"/>
  <c r="L7" i="76"/>
  <c r="L30" i="76"/>
  <c r="L32" i="74"/>
  <c r="G32" i="77"/>
  <c r="H32" i="77" s="1"/>
  <c r="G47" i="73"/>
  <c r="H47" i="73" s="1"/>
  <c r="G26" i="76"/>
  <c r="G21" i="76"/>
  <c r="G53" i="76"/>
  <c r="H53" i="76" s="1"/>
  <c r="L15" i="74"/>
  <c r="G30" i="75"/>
  <c r="H30" i="75" s="1"/>
  <c r="G32" i="76"/>
  <c r="H32" i="76" s="1"/>
  <c r="G52" i="72"/>
  <c r="H52" i="72" s="1"/>
  <c r="G23" i="74"/>
  <c r="H23" i="74" s="1"/>
  <c r="L18" i="72"/>
  <c r="L45" i="72"/>
  <c r="L22" i="74"/>
  <c r="G46" i="73"/>
  <c r="G28" i="77"/>
  <c r="H28" i="77" s="1"/>
  <c r="E38" i="73"/>
  <c r="G46" i="72"/>
  <c r="H46" i="72" s="1"/>
  <c r="L42" i="76"/>
  <c r="L21" i="76"/>
  <c r="L27" i="76"/>
  <c r="L28" i="73"/>
  <c r="L11" i="73"/>
  <c r="L26" i="73"/>
  <c r="L57" i="77"/>
  <c r="L54" i="77"/>
  <c r="L22" i="77"/>
  <c r="L7" i="77"/>
  <c r="L9" i="77"/>
  <c r="L47" i="74"/>
  <c r="L57" i="75"/>
  <c r="L53" i="75"/>
  <c r="L21" i="75"/>
  <c r="L11" i="75"/>
  <c r="L26" i="75"/>
  <c r="L36" i="72"/>
  <c r="L47" i="72"/>
  <c r="G27" i="73"/>
  <c r="G55" i="76"/>
  <c r="L57" i="76"/>
  <c r="L55" i="76"/>
  <c r="L7" i="73"/>
  <c r="L41" i="73"/>
  <c r="L57" i="73"/>
  <c r="L40" i="73"/>
  <c r="L24" i="73"/>
  <c r="L55" i="73"/>
  <c r="L39" i="73"/>
  <c r="L23" i="73"/>
  <c r="L52" i="77"/>
  <c r="L51" i="77"/>
  <c r="L35" i="77"/>
  <c r="L19" i="77"/>
  <c r="L50" i="77"/>
  <c r="L7" i="74"/>
  <c r="L25" i="74"/>
  <c r="L9" i="74"/>
  <c r="L27" i="74"/>
  <c r="L49" i="75"/>
  <c r="L17" i="75"/>
  <c r="L55" i="75"/>
  <c r="L38" i="75"/>
  <c r="L7" i="72"/>
  <c r="L46" i="72"/>
  <c r="L28" i="72"/>
  <c r="L9" i="72"/>
  <c r="L11" i="72"/>
  <c r="G27" i="72"/>
  <c r="G24" i="77"/>
  <c r="H24" i="77" s="1"/>
  <c r="G40" i="77"/>
  <c r="H40" i="77" s="1"/>
  <c r="G14" i="77"/>
  <c r="H14" i="77" s="1"/>
  <c r="G18" i="77"/>
  <c r="H18" i="77" s="1"/>
  <c r="G46" i="75"/>
  <c r="H46" i="75" s="1"/>
  <c r="G24" i="72"/>
  <c r="G17" i="72"/>
  <c r="E7" i="72"/>
  <c r="L51" i="76"/>
  <c r="L26" i="76"/>
  <c r="L35" i="76"/>
  <c r="L53" i="73"/>
  <c r="L37" i="73"/>
  <c r="L21" i="73"/>
  <c r="L36" i="73"/>
  <c r="L20" i="73"/>
  <c r="L34" i="73"/>
  <c r="L18" i="73"/>
  <c r="L48" i="77"/>
  <c r="L32" i="77"/>
  <c r="L16" i="77"/>
  <c r="L14" i="77"/>
  <c r="L53" i="74"/>
  <c r="L21" i="74"/>
  <c r="L57" i="74"/>
  <c r="L39" i="74"/>
  <c r="L23" i="74"/>
  <c r="L7" i="75"/>
  <c r="L18" i="75"/>
  <c r="L57" i="72"/>
  <c r="L24" i="72"/>
  <c r="L52" i="72"/>
  <c r="L20" i="72"/>
  <c r="L34" i="72"/>
  <c r="L37" i="72"/>
  <c r="G23" i="76"/>
  <c r="H23" i="76" s="1"/>
  <c r="G11" i="77"/>
  <c r="G15" i="77"/>
  <c r="G31" i="77"/>
  <c r="H31" i="77" s="1"/>
  <c r="G47" i="77"/>
  <c r="H47" i="77" s="1"/>
  <c r="G38" i="77"/>
  <c r="H38" i="77" s="1"/>
  <c r="G31" i="72"/>
  <c r="H31" i="72" s="1"/>
  <c r="G13" i="72"/>
  <c r="H13" i="72" s="1"/>
  <c r="G34" i="74"/>
  <c r="G40" i="72"/>
  <c r="G21" i="72"/>
  <c r="G48" i="76"/>
  <c r="G39" i="76"/>
  <c r="H39" i="76" s="1"/>
  <c r="G34" i="76"/>
  <c r="H34" i="76" s="1"/>
  <c r="G50" i="76"/>
  <c r="G42" i="73"/>
  <c r="G29" i="73"/>
  <c r="G38" i="72"/>
  <c r="L48" i="76"/>
  <c r="L18" i="76"/>
  <c r="L46" i="76"/>
  <c r="L9" i="76"/>
  <c r="L31" i="76"/>
  <c r="L15" i="76"/>
  <c r="L48" i="73"/>
  <c r="L47" i="73"/>
  <c r="L31" i="73"/>
  <c r="L46" i="73"/>
  <c r="L14" i="73"/>
  <c r="L44" i="77"/>
  <c r="L28" i="77"/>
  <c r="L11" i="77"/>
  <c r="L42" i="77"/>
  <c r="L26" i="77"/>
  <c r="L49" i="74"/>
  <c r="L33" i="74"/>
  <c r="L17" i="74"/>
  <c r="L36" i="74"/>
  <c r="L51" i="74"/>
  <c r="L34" i="74"/>
  <c r="L18" i="74"/>
  <c r="L46" i="75"/>
  <c r="L41" i="75"/>
  <c r="L9" i="75"/>
  <c r="L15" i="75"/>
  <c r="L30" i="75"/>
  <c r="L30" i="72"/>
  <c r="L49" i="72"/>
  <c r="L17" i="72"/>
  <c r="G27" i="77"/>
  <c r="G43" i="77"/>
  <c r="H43" i="77" s="1"/>
  <c r="G34" i="77"/>
  <c r="H34" i="77" s="1"/>
  <c r="G37" i="77"/>
  <c r="H37" i="77" s="1"/>
  <c r="G12" i="77"/>
  <c r="H12" i="77" s="1"/>
  <c r="G33" i="77"/>
  <c r="H33" i="77" s="1"/>
  <c r="G10" i="77"/>
  <c r="G25" i="77"/>
  <c r="H25" i="77" s="1"/>
  <c r="G45" i="77"/>
  <c r="G20" i="77"/>
  <c r="H20" i="77" s="1"/>
  <c r="G36" i="77"/>
  <c r="H36" i="77" s="1"/>
  <c r="G52" i="77"/>
  <c r="G13" i="77"/>
  <c r="H13" i="77" s="1"/>
  <c r="G23" i="77"/>
  <c r="H23" i="77" s="1"/>
  <c r="G39" i="77"/>
  <c r="H39" i="77" s="1"/>
  <c r="G55" i="77"/>
  <c r="H55" i="77" s="1"/>
  <c r="G30" i="77"/>
  <c r="H30" i="77" s="1"/>
  <c r="G46" i="77"/>
  <c r="H46" i="77" s="1"/>
  <c r="G17" i="77"/>
  <c r="H17" i="77" s="1"/>
  <c r="G49" i="77"/>
  <c r="H49" i="77" s="1"/>
  <c r="G29" i="77"/>
  <c r="G21" i="77"/>
  <c r="G41" i="77"/>
  <c r="H41" i="77" s="1"/>
  <c r="G25" i="76"/>
  <c r="H25" i="76" s="1"/>
  <c r="G36" i="76"/>
  <c r="G37" i="76"/>
  <c r="G44" i="76"/>
  <c r="H44" i="76" s="1"/>
  <c r="G41" i="76"/>
  <c r="G20" i="76"/>
  <c r="H20" i="76" s="1"/>
  <c r="G52" i="76"/>
  <c r="G29" i="76"/>
  <c r="H29" i="76" s="1"/>
  <c r="G45" i="76"/>
  <c r="H45" i="76" s="1"/>
  <c r="G43" i="76"/>
  <c r="H43" i="76" s="1"/>
  <c r="G24" i="76"/>
  <c r="H24" i="76" s="1"/>
  <c r="G19" i="76"/>
  <c r="H19" i="76" s="1"/>
  <c r="G47" i="76"/>
  <c r="G28" i="76"/>
  <c r="H28" i="76" s="1"/>
  <c r="G22" i="76"/>
  <c r="G38" i="76"/>
  <c r="H38" i="76" s="1"/>
  <c r="G54" i="76"/>
  <c r="H54" i="76" s="1"/>
  <c r="G33" i="76"/>
  <c r="H33" i="76" s="1"/>
  <c r="G49" i="76"/>
  <c r="H49" i="76" s="1"/>
  <c r="G22" i="75"/>
  <c r="G54" i="75"/>
  <c r="G44" i="75"/>
  <c r="H44" i="75" s="1"/>
  <c r="G50" i="75"/>
  <c r="H50" i="75" s="1"/>
  <c r="G39" i="75"/>
  <c r="H39" i="75" s="1"/>
  <c r="G23" i="75"/>
  <c r="H23" i="75" s="1"/>
  <c r="G13" i="75"/>
  <c r="G36" i="75"/>
  <c r="H36" i="75" s="1"/>
  <c r="G33" i="75"/>
  <c r="H33" i="75" s="1"/>
  <c r="G45" i="75"/>
  <c r="G42" i="75"/>
  <c r="H42" i="75" s="1"/>
  <c r="G51" i="75"/>
  <c r="G35" i="75"/>
  <c r="H35" i="75" s="1"/>
  <c r="G19" i="75"/>
  <c r="H19" i="75" s="1"/>
  <c r="G12" i="75"/>
  <c r="H12" i="75" s="1"/>
  <c r="G28" i="75"/>
  <c r="H28" i="75" s="1"/>
  <c r="G32" i="75"/>
  <c r="H32" i="75" s="1"/>
  <c r="G52" i="75"/>
  <c r="G31" i="75"/>
  <c r="H31" i="75" s="1"/>
  <c r="G40" i="75"/>
  <c r="H40" i="75" s="1"/>
  <c r="G24" i="75"/>
  <c r="G47" i="75"/>
  <c r="H47" i="75" s="1"/>
  <c r="G34" i="75"/>
  <c r="H34" i="75" s="1"/>
  <c r="G43" i="75"/>
  <c r="G27" i="75"/>
  <c r="G14" i="75"/>
  <c r="H14" i="75" s="1"/>
  <c r="G10" i="75"/>
  <c r="H10" i="75" s="1"/>
  <c r="G16" i="75"/>
  <c r="H16" i="75" s="1"/>
  <c r="G37" i="75"/>
  <c r="H37" i="75" s="1"/>
  <c r="G25" i="75"/>
  <c r="H25" i="75" s="1"/>
  <c r="G40" i="74"/>
  <c r="G45" i="74"/>
  <c r="H45" i="74" s="1"/>
  <c r="G26" i="74"/>
  <c r="G10" i="74"/>
  <c r="H10" i="74" s="1"/>
  <c r="G31" i="74"/>
  <c r="H31" i="74" s="1"/>
  <c r="G42" i="74"/>
  <c r="G37" i="74"/>
  <c r="H37" i="74" s="1"/>
  <c r="G52" i="74"/>
  <c r="H52" i="74" s="1"/>
  <c r="G22" i="74"/>
  <c r="G35" i="74"/>
  <c r="H35" i="74" s="1"/>
  <c r="G49" i="74"/>
  <c r="G30" i="74"/>
  <c r="H30" i="74" s="1"/>
  <c r="G18" i="74"/>
  <c r="H18" i="74" s="1"/>
  <c r="G44" i="74"/>
  <c r="H44" i="74" s="1"/>
  <c r="G41" i="74"/>
  <c r="G38" i="74"/>
  <c r="H38" i="74" s="1"/>
  <c r="G16" i="74"/>
  <c r="G32" i="74"/>
  <c r="H32" i="74" s="1"/>
  <c r="G11" i="74"/>
  <c r="G28" i="74"/>
  <c r="H28" i="74" s="1"/>
  <c r="G54" i="74"/>
  <c r="H54" i="74" s="1"/>
  <c r="G29" i="74"/>
  <c r="H29" i="74" s="1"/>
  <c r="G46" i="74"/>
  <c r="H46" i="74" s="1"/>
  <c r="G12" i="74"/>
  <c r="H12" i="74" s="1"/>
  <c r="G43" i="74"/>
  <c r="G48" i="74"/>
  <c r="H48" i="74" s="1"/>
  <c r="G55" i="74"/>
  <c r="H55" i="74" s="1"/>
  <c r="G14" i="74"/>
  <c r="H14" i="74" s="1"/>
  <c r="G52" i="73"/>
  <c r="H52" i="73" s="1"/>
  <c r="G15" i="73"/>
  <c r="H15" i="73" s="1"/>
  <c r="G14" i="73"/>
  <c r="H14" i="73" s="1"/>
  <c r="G44" i="73"/>
  <c r="G25" i="73"/>
  <c r="H25" i="73" s="1"/>
  <c r="G49" i="73"/>
  <c r="H49" i="73" s="1"/>
  <c r="G33" i="73"/>
  <c r="G17" i="73"/>
  <c r="H17" i="73" s="1"/>
  <c r="G35" i="73"/>
  <c r="H35" i="73" s="1"/>
  <c r="G30" i="73"/>
  <c r="G12" i="73"/>
  <c r="H12" i="73" s="1"/>
  <c r="G13" i="73"/>
  <c r="H13" i="73" s="1"/>
  <c r="G53" i="73"/>
  <c r="H53" i="73" s="1"/>
  <c r="G21" i="73"/>
  <c r="H21" i="73" s="1"/>
  <c r="G37" i="73"/>
  <c r="G16" i="73"/>
  <c r="H16" i="73" s="1"/>
  <c r="G32" i="73"/>
  <c r="H32" i="73" s="1"/>
  <c r="G50" i="73"/>
  <c r="G51" i="73"/>
  <c r="H51" i="73" s="1"/>
  <c r="G43" i="73"/>
  <c r="H43" i="73" s="1"/>
  <c r="G45" i="73"/>
  <c r="H45" i="73" s="1"/>
  <c r="G41" i="73"/>
  <c r="H41" i="73" s="1"/>
  <c r="G10" i="73"/>
  <c r="H10" i="73" s="1"/>
  <c r="G19" i="73"/>
  <c r="H19" i="73" s="1"/>
  <c r="G14" i="72"/>
  <c r="H14" i="72" s="1"/>
  <c r="G44" i="72"/>
  <c r="H44" i="72" s="1"/>
  <c r="G25" i="72"/>
  <c r="G39" i="72"/>
  <c r="H39" i="72" s="1"/>
  <c r="G28" i="72"/>
  <c r="G32" i="72"/>
  <c r="G41" i="72"/>
  <c r="H41" i="72" s="1"/>
  <c r="G15" i="72"/>
  <c r="H15" i="72" s="1"/>
  <c r="G23" i="72"/>
  <c r="H23" i="72" s="1"/>
  <c r="G26" i="72"/>
  <c r="H26" i="72" s="1"/>
  <c r="G42" i="72"/>
  <c r="G53" i="72"/>
  <c r="H53" i="72" s="1"/>
  <c r="G10" i="72"/>
  <c r="G16" i="72"/>
  <c r="G48" i="72"/>
  <c r="H48" i="72" s="1"/>
  <c r="G55" i="72"/>
  <c r="H55" i="72" s="1"/>
  <c r="E32" i="72"/>
  <c r="G18" i="72"/>
  <c r="G34" i="72"/>
  <c r="H34" i="72" s="1"/>
  <c r="G50" i="72"/>
  <c r="H50" i="72" s="1"/>
  <c r="E51" i="72"/>
  <c r="G51" i="72"/>
  <c r="H51" i="72" s="1"/>
  <c r="G45" i="72"/>
  <c r="H45" i="72" s="1"/>
  <c r="H45" i="77"/>
  <c r="E45" i="77"/>
  <c r="E20" i="77"/>
  <c r="E36" i="77"/>
  <c r="E52" i="77"/>
  <c r="H52" i="77"/>
  <c r="E13" i="77"/>
  <c r="E23" i="77"/>
  <c r="E39" i="77"/>
  <c r="E55" i="77"/>
  <c r="E30" i="77"/>
  <c r="E46" i="77"/>
  <c r="E17" i="77"/>
  <c r="E50" i="75"/>
  <c r="E34" i="75"/>
  <c r="H18" i="75"/>
  <c r="E18" i="75"/>
  <c r="E43" i="75"/>
  <c r="H43" i="75"/>
  <c r="E27" i="75"/>
  <c r="H27" i="75"/>
  <c r="E14" i="75"/>
  <c r="E10" i="75"/>
  <c r="H39" i="74"/>
  <c r="E39" i="74"/>
  <c r="E52" i="73"/>
  <c r="H34" i="73"/>
  <c r="E34" i="73"/>
  <c r="E15" i="73"/>
  <c r="E20" i="73"/>
  <c r="H20" i="73"/>
  <c r="E36" i="73"/>
  <c r="H36" i="73"/>
  <c r="E53" i="73"/>
  <c r="E55" i="73"/>
  <c r="H55" i="73"/>
  <c r="E31" i="72"/>
  <c r="E13" i="72"/>
  <c r="H17" i="75"/>
  <c r="E17" i="75"/>
  <c r="E16" i="75"/>
  <c r="E37" i="75"/>
  <c r="H51" i="74"/>
  <c r="E51" i="74"/>
  <c r="E27" i="74"/>
  <c r="H27" i="74"/>
  <c r="E7" i="74"/>
  <c r="H15" i="74"/>
  <c r="E15" i="74"/>
  <c r="E34" i="74"/>
  <c r="H34" i="74"/>
  <c r="E21" i="74"/>
  <c r="H21" i="74"/>
  <c r="E37" i="74"/>
  <c r="E52" i="74"/>
  <c r="E53" i="72"/>
  <c r="H37" i="72"/>
  <c r="E37" i="72"/>
  <c r="H21" i="72"/>
  <c r="E21" i="72"/>
  <c r="E20" i="76"/>
  <c r="H48" i="76"/>
  <c r="E48" i="76"/>
  <c r="E39" i="76"/>
  <c r="H52" i="76"/>
  <c r="E52" i="76"/>
  <c r="E34" i="76"/>
  <c r="E50" i="76"/>
  <c r="H50" i="76"/>
  <c r="E29" i="76"/>
  <c r="E45" i="76"/>
  <c r="H39" i="73"/>
  <c r="E39" i="73"/>
  <c r="H26" i="73"/>
  <c r="E26" i="73"/>
  <c r="E55" i="72"/>
  <c r="H17" i="72"/>
  <c r="E17" i="72"/>
  <c r="E18" i="72"/>
  <c r="H18" i="72"/>
  <c r="E34" i="72"/>
  <c r="E50" i="72"/>
  <c r="I9" i="72"/>
  <c r="H7" i="72"/>
  <c r="I7" i="72"/>
  <c r="H29" i="77"/>
  <c r="E29" i="77"/>
  <c r="E24" i="77"/>
  <c r="E40" i="77"/>
  <c r="E57" i="77"/>
  <c r="H57" i="77"/>
  <c r="E14" i="77"/>
  <c r="E27" i="77"/>
  <c r="H27" i="77"/>
  <c r="E43" i="77"/>
  <c r="E18" i="77"/>
  <c r="E34" i="77"/>
  <c r="H50" i="77"/>
  <c r="E50" i="77"/>
  <c r="E37" i="77"/>
  <c r="E46" i="75"/>
  <c r="E30" i="75"/>
  <c r="E55" i="75"/>
  <c r="H55" i="75"/>
  <c r="E39" i="75"/>
  <c r="E23" i="75"/>
  <c r="E13" i="75"/>
  <c r="H13" i="75"/>
  <c r="E9" i="75"/>
  <c r="H21" i="77"/>
  <c r="E35" i="76"/>
  <c r="H35" i="76"/>
  <c r="H36" i="74"/>
  <c r="E36" i="74"/>
  <c r="E49" i="73"/>
  <c r="H31" i="73"/>
  <c r="E31" i="73"/>
  <c r="H11" i="73"/>
  <c r="E11" i="73"/>
  <c r="E24" i="73"/>
  <c r="H24" i="73"/>
  <c r="E40" i="73"/>
  <c r="H40" i="73"/>
  <c r="E57" i="73"/>
  <c r="H57" i="73"/>
  <c r="E47" i="72"/>
  <c r="H47" i="72"/>
  <c r="H28" i="72"/>
  <c r="E28" i="72"/>
  <c r="E11" i="72"/>
  <c r="H11" i="72"/>
  <c r="E36" i="75"/>
  <c r="E33" i="75"/>
  <c r="E24" i="75"/>
  <c r="H24" i="75"/>
  <c r="E57" i="75"/>
  <c r="H57" i="75"/>
  <c r="H45" i="75"/>
  <c r="E45" i="75"/>
  <c r="E49" i="74"/>
  <c r="H49" i="74"/>
  <c r="E30" i="74"/>
  <c r="E9" i="74"/>
  <c r="E18" i="74"/>
  <c r="E44" i="74"/>
  <c r="H25" i="74"/>
  <c r="E25" i="74"/>
  <c r="H41" i="74"/>
  <c r="E41" i="74"/>
  <c r="H57" i="74"/>
  <c r="E57" i="74"/>
  <c r="E33" i="73"/>
  <c r="H33" i="73"/>
  <c r="E17" i="73"/>
  <c r="H35" i="72"/>
  <c r="E24" i="76"/>
  <c r="E19" i="76"/>
  <c r="E47" i="76"/>
  <c r="H47" i="76"/>
  <c r="E28" i="76"/>
  <c r="E22" i="76"/>
  <c r="H22" i="76"/>
  <c r="E38" i="76"/>
  <c r="E54" i="76"/>
  <c r="E33" i="76"/>
  <c r="E49" i="76"/>
  <c r="H26" i="74"/>
  <c r="H23" i="73"/>
  <c r="E23" i="73"/>
  <c r="E13" i="73"/>
  <c r="E52" i="72"/>
  <c r="E39" i="72"/>
  <c r="E14" i="72"/>
  <c r="H38" i="72"/>
  <c r="E38" i="72"/>
  <c r="H19" i="72"/>
  <c r="E9" i="77"/>
  <c r="E28" i="77"/>
  <c r="E44" i="77"/>
  <c r="H44" i="77"/>
  <c r="E11" i="77"/>
  <c r="H11" i="77"/>
  <c r="E15" i="77"/>
  <c r="H15" i="77"/>
  <c r="E31" i="77"/>
  <c r="E47" i="77"/>
  <c r="H22" i="77"/>
  <c r="E22" i="77"/>
  <c r="E38" i="77"/>
  <c r="H54" i="77"/>
  <c r="E54" i="77"/>
  <c r="E7" i="77"/>
  <c r="E42" i="75"/>
  <c r="H26" i="75"/>
  <c r="E26" i="75"/>
  <c r="E51" i="75"/>
  <c r="H51" i="75"/>
  <c r="E35" i="75"/>
  <c r="E19" i="75"/>
  <c r="E12" i="75"/>
  <c r="H54" i="75"/>
  <c r="E54" i="75"/>
  <c r="H41" i="75"/>
  <c r="E41" i="75"/>
  <c r="H22" i="74"/>
  <c r="E48" i="73"/>
  <c r="H48" i="73"/>
  <c r="E21" i="73"/>
  <c r="E7" i="73"/>
  <c r="H28" i="73"/>
  <c r="E28" i="73"/>
  <c r="H44" i="73"/>
  <c r="E44" i="73"/>
  <c r="E47" i="73"/>
  <c r="E44" i="72"/>
  <c r="H25" i="72"/>
  <c r="E25" i="72"/>
  <c r="E9" i="72"/>
  <c r="E28" i="75"/>
  <c r="E49" i="75"/>
  <c r="E32" i="75"/>
  <c r="H21" i="75"/>
  <c r="E21" i="75"/>
  <c r="H53" i="75"/>
  <c r="E53" i="75"/>
  <c r="H47" i="74"/>
  <c r="E47" i="74"/>
  <c r="H40" i="74"/>
  <c r="E40" i="74"/>
  <c r="H11" i="74"/>
  <c r="E11" i="74"/>
  <c r="E28" i="74"/>
  <c r="E54" i="74"/>
  <c r="E29" i="74"/>
  <c r="E45" i="74"/>
  <c r="E46" i="73"/>
  <c r="H46" i="73"/>
  <c r="E30" i="73"/>
  <c r="H30" i="73"/>
  <c r="E12" i="73"/>
  <c r="E27" i="72"/>
  <c r="H27" i="72"/>
  <c r="H57" i="76"/>
  <c r="E57" i="76"/>
  <c r="E27" i="76"/>
  <c r="E23" i="76"/>
  <c r="E55" i="76"/>
  <c r="H55" i="76"/>
  <c r="H36" i="76"/>
  <c r="E36" i="76"/>
  <c r="E26" i="76"/>
  <c r="H26" i="76"/>
  <c r="E42" i="76"/>
  <c r="H21" i="76"/>
  <c r="E21" i="76"/>
  <c r="H37" i="76"/>
  <c r="E37" i="76"/>
  <c r="E53" i="76"/>
  <c r="E45" i="73"/>
  <c r="H49" i="72"/>
  <c r="E49" i="72"/>
  <c r="H36" i="72"/>
  <c r="E36" i="72"/>
  <c r="E23" i="72"/>
  <c r="E26" i="72"/>
  <c r="H42" i="72"/>
  <c r="E42" i="72"/>
  <c r="H50" i="74"/>
  <c r="H29" i="72"/>
  <c r="E16" i="77"/>
  <c r="E32" i="77"/>
  <c r="E48" i="77"/>
  <c r="H48" i="77"/>
  <c r="E12" i="77"/>
  <c r="E19" i="77"/>
  <c r="H19" i="77"/>
  <c r="E35" i="77"/>
  <c r="H35" i="77"/>
  <c r="E51" i="77"/>
  <c r="H51" i="77"/>
  <c r="H26" i="77"/>
  <c r="E26" i="77"/>
  <c r="H42" i="77"/>
  <c r="E42" i="77"/>
  <c r="E33" i="77"/>
  <c r="E10" i="77"/>
  <c r="H10" i="77"/>
  <c r="H22" i="75"/>
  <c r="E22" i="75"/>
  <c r="E47" i="75"/>
  <c r="E31" i="75"/>
  <c r="E15" i="75"/>
  <c r="H15" i="75"/>
  <c r="H53" i="77"/>
  <c r="E42" i="74"/>
  <c r="H42" i="74"/>
  <c r="E10" i="74"/>
  <c r="E37" i="73"/>
  <c r="H37" i="73"/>
  <c r="H18" i="73"/>
  <c r="E18" i="73"/>
  <c r="E16" i="73"/>
  <c r="E32" i="73"/>
  <c r="H50" i="73"/>
  <c r="E50" i="73"/>
  <c r="E51" i="73"/>
  <c r="E41" i="72"/>
  <c r="E15" i="72"/>
  <c r="H40" i="76"/>
  <c r="E40" i="76"/>
  <c r="E44" i="75"/>
  <c r="E7" i="75"/>
  <c r="E40" i="75"/>
  <c r="E53" i="74"/>
  <c r="H53" i="74"/>
  <c r="E43" i="74"/>
  <c r="H43" i="74"/>
  <c r="H13" i="74"/>
  <c r="E13" i="74"/>
  <c r="E31" i="74"/>
  <c r="H17" i="74"/>
  <c r="E17" i="74"/>
  <c r="E33" i="74"/>
  <c r="H33" i="74"/>
  <c r="E48" i="74"/>
  <c r="E43" i="73"/>
  <c r="H27" i="73"/>
  <c r="E27" i="73"/>
  <c r="E57" i="72"/>
  <c r="H57" i="72"/>
  <c r="E40" i="72"/>
  <c r="H40" i="72"/>
  <c r="E24" i="72"/>
  <c r="H24" i="72"/>
  <c r="E51" i="76"/>
  <c r="H51" i="76"/>
  <c r="E9" i="76"/>
  <c r="E43" i="76"/>
  <c r="E32" i="76"/>
  <c r="E31" i="76"/>
  <c r="E7" i="76"/>
  <c r="E44" i="76"/>
  <c r="E30" i="76"/>
  <c r="H30" i="76"/>
  <c r="E46" i="76"/>
  <c r="E25" i="76"/>
  <c r="H41" i="76"/>
  <c r="E41" i="76"/>
  <c r="H52" i="75"/>
  <c r="H16" i="74"/>
  <c r="H42" i="73"/>
  <c r="E42" i="73"/>
  <c r="E29" i="73"/>
  <c r="H29" i="73"/>
  <c r="E9" i="73"/>
  <c r="H20" i="72"/>
  <c r="E20" i="72"/>
  <c r="E10" i="72"/>
  <c r="E30" i="72"/>
  <c r="H30" i="72"/>
  <c r="E46" i="72"/>
  <c r="H32" i="72"/>
  <c r="H54" i="73"/>
  <c r="H16" i="72"/>
  <c r="Q8" i="26"/>
  <c r="Q9" i="26"/>
  <c r="Q10" i="26"/>
  <c r="Q11" i="26"/>
  <c r="Q12" i="26"/>
  <c r="Q13" i="26"/>
  <c r="Q14" i="26"/>
  <c r="Q8" i="27"/>
  <c r="Q9" i="27"/>
  <c r="Q10" i="27"/>
  <c r="Q11" i="27"/>
  <c r="Q12" i="27"/>
  <c r="Q13" i="27"/>
  <c r="Q14" i="27"/>
  <c r="Q8" i="28"/>
  <c r="Q9" i="28"/>
  <c r="Q10" i="28"/>
  <c r="Q11" i="28"/>
  <c r="Q12" i="28"/>
  <c r="Q13" i="28"/>
  <c r="Q14" i="28"/>
  <c r="Q8" i="29"/>
  <c r="Q9" i="29"/>
  <c r="Q10" i="29"/>
  <c r="Q11" i="29"/>
  <c r="Q12" i="29"/>
  <c r="Q13" i="29"/>
  <c r="Q14" i="29"/>
  <c r="Q8" i="30"/>
  <c r="Q9" i="30"/>
  <c r="Q10" i="30"/>
  <c r="Q11" i="30"/>
  <c r="Q12" i="30"/>
  <c r="Q13" i="30"/>
  <c r="Q14" i="30"/>
  <c r="Q8" i="31"/>
  <c r="Q9" i="31"/>
  <c r="Q10" i="31"/>
  <c r="Q11" i="31"/>
  <c r="Q12" i="31"/>
  <c r="Q13" i="31"/>
  <c r="Q14" i="31"/>
  <c r="Q8" i="32"/>
  <c r="Q9" i="32"/>
  <c r="Q10" i="32"/>
  <c r="Q11" i="32"/>
  <c r="Q12" i="32"/>
  <c r="Q13" i="32"/>
  <c r="Q14" i="32"/>
  <c r="Q8" i="33"/>
  <c r="Q9" i="33"/>
  <c r="Q10" i="33"/>
  <c r="Q11" i="33"/>
  <c r="Q12" i="33"/>
  <c r="Q13" i="33"/>
  <c r="Q14" i="33"/>
  <c r="Q8" i="34"/>
  <c r="Q9" i="34"/>
  <c r="Q10" i="34"/>
  <c r="Q11" i="34"/>
  <c r="Q12" i="34"/>
  <c r="Q13" i="34"/>
  <c r="Q14" i="34"/>
  <c r="Q8" i="35"/>
  <c r="Q9" i="35"/>
  <c r="Q10" i="35"/>
  <c r="Q11" i="35"/>
  <c r="Q12" i="35"/>
  <c r="Q13" i="35"/>
  <c r="Q14" i="35"/>
  <c r="Q8" i="36"/>
  <c r="Q9" i="36"/>
  <c r="Q10" i="36"/>
  <c r="Q11" i="36"/>
  <c r="Q12" i="36"/>
  <c r="Q13" i="36"/>
  <c r="Q14" i="36"/>
  <c r="Q8" i="37"/>
  <c r="Q9" i="37"/>
  <c r="Q10" i="37"/>
  <c r="Q11" i="37"/>
  <c r="Q12" i="37"/>
  <c r="Q13" i="37"/>
  <c r="Q14" i="37"/>
  <c r="Q8" i="3"/>
  <c r="D21" i="79" s="1"/>
  <c r="Q9" i="3"/>
  <c r="D22" i="79" s="1"/>
  <c r="Q10" i="3"/>
  <c r="D23" i="79" s="1"/>
  <c r="Q11" i="3"/>
  <c r="D24" i="79" s="1"/>
  <c r="Q12" i="3"/>
  <c r="D25" i="79" s="1"/>
  <c r="Q13" i="3"/>
  <c r="D26" i="79" s="1"/>
  <c r="Q14" i="3"/>
  <c r="D27" i="79" s="1"/>
  <c r="Q7" i="37"/>
  <c r="Q7" i="36"/>
  <c r="Q7" i="35"/>
  <c r="Q7" i="34"/>
  <c r="Q7" i="33"/>
  <c r="Q7" i="32"/>
  <c r="Q7" i="31"/>
  <c r="Q7" i="30"/>
  <c r="Q7" i="29"/>
  <c r="Q7" i="28"/>
  <c r="Q7" i="27"/>
  <c r="Q7" i="26"/>
  <c r="Q7" i="3"/>
  <c r="Q8" i="5"/>
  <c r="Q9" i="5"/>
  <c r="Q10" i="5"/>
  <c r="Q11" i="5"/>
  <c r="Q12" i="5"/>
  <c r="Q13" i="5"/>
  <c r="Q14" i="5"/>
  <c r="Q7" i="5"/>
  <c r="Q8" i="2"/>
  <c r="Q9" i="2"/>
  <c r="Q10" i="2"/>
  <c r="Q11" i="2"/>
  <c r="Q12" i="2"/>
  <c r="Q13" i="2"/>
  <c r="Q14" i="2"/>
  <c r="Q7" i="2"/>
  <c r="J3" i="37"/>
  <c r="J3" i="36"/>
  <c r="J3" i="35"/>
  <c r="J3" i="34"/>
  <c r="J3" i="33"/>
  <c r="J3" i="32"/>
  <c r="J3" i="31"/>
  <c r="J3" i="30"/>
  <c r="J3" i="29"/>
  <c r="J3" i="28"/>
  <c r="J3" i="27"/>
  <c r="J3" i="26"/>
  <c r="J3" i="3"/>
  <c r="J3" i="25"/>
  <c r="F7" i="25" s="1"/>
  <c r="J3" i="6"/>
  <c r="F8" i="6" s="1"/>
  <c r="H4" i="37"/>
  <c r="H4" i="36"/>
  <c r="H4" i="35"/>
  <c r="H4" i="34"/>
  <c r="H4" i="33"/>
  <c r="H4" i="32"/>
  <c r="H4" i="31"/>
  <c r="H4" i="30"/>
  <c r="H4" i="29"/>
  <c r="H4" i="28"/>
  <c r="H4" i="27"/>
  <c r="H4" i="26"/>
  <c r="H4" i="25"/>
  <c r="H4" i="6"/>
  <c r="H4" i="5"/>
  <c r="H4" i="2"/>
  <c r="H3" i="37"/>
  <c r="H3" i="36"/>
  <c r="H3" i="35"/>
  <c r="H3" i="34"/>
  <c r="H3" i="33"/>
  <c r="H3" i="32"/>
  <c r="H3" i="31"/>
  <c r="H3" i="30"/>
  <c r="H3" i="29"/>
  <c r="H3" i="28"/>
  <c r="H3" i="27"/>
  <c r="H3" i="25"/>
  <c r="H3" i="6"/>
  <c r="H3" i="5"/>
  <c r="H3" i="2"/>
  <c r="I51" i="72" l="1"/>
  <c r="I23" i="72"/>
  <c r="J23" i="72" s="1"/>
  <c r="I55" i="72"/>
  <c r="J55" i="72" s="1"/>
  <c r="I21" i="72"/>
  <c r="J21" i="72" s="1"/>
  <c r="I16" i="72"/>
  <c r="I20" i="72"/>
  <c r="I26" i="72"/>
  <c r="I30" i="72"/>
  <c r="J30" i="72" s="1"/>
  <c r="I24" i="72"/>
  <c r="F23" i="72"/>
  <c r="I10" i="72"/>
  <c r="I27" i="72"/>
  <c r="I29" i="72"/>
  <c r="I34" i="72"/>
  <c r="J34" i="72" s="1"/>
  <c r="I25" i="72"/>
  <c r="F26" i="72" s="1"/>
  <c r="I11" i="72"/>
  <c r="F11" i="72" s="1"/>
  <c r="I31" i="72"/>
  <c r="J31" i="72" s="1"/>
  <c r="I32" i="72"/>
  <c r="J32" i="72" s="1"/>
  <c r="I36" i="72"/>
  <c r="J36" i="72" s="1"/>
  <c r="I37" i="72"/>
  <c r="J37" i="72" s="1"/>
  <c r="I28" i="72"/>
  <c r="J28" i="72" s="1"/>
  <c r="I35" i="72"/>
  <c r="J35" i="72" s="1"/>
  <c r="I42" i="72"/>
  <c r="J42" i="72" s="1"/>
  <c r="I46" i="72"/>
  <c r="J46" i="72" s="1"/>
  <c r="I40" i="72"/>
  <c r="F41" i="72" s="1"/>
  <c r="I38" i="72"/>
  <c r="I13" i="72"/>
  <c r="I39" i="72"/>
  <c r="G35" i="79"/>
  <c r="E33" i="79"/>
  <c r="D32" i="79"/>
  <c r="J26" i="79"/>
  <c r="I25" i="79"/>
  <c r="F22" i="79"/>
  <c r="E21" i="79"/>
  <c r="H10" i="72"/>
  <c r="I45" i="72"/>
  <c r="I49" i="72"/>
  <c r="J49" i="72" s="1"/>
  <c r="I50" i="72"/>
  <c r="J50" i="72" s="1"/>
  <c r="I41" i="72"/>
  <c r="I14" i="72"/>
  <c r="I48" i="72"/>
  <c r="I52" i="72"/>
  <c r="F52" i="72" s="1"/>
  <c r="I53" i="72"/>
  <c r="I44" i="72"/>
  <c r="J44" i="72" s="1"/>
  <c r="I15" i="72"/>
  <c r="F16" i="72" s="1"/>
  <c r="I47" i="72"/>
  <c r="J47" i="72" s="1"/>
  <c r="I17" i="72"/>
  <c r="J17" i="72" s="1"/>
  <c r="I18" i="72"/>
  <c r="F19" i="72" s="1"/>
  <c r="I57" i="72"/>
  <c r="J57" i="72" s="1"/>
  <c r="Q17" i="72" s="1"/>
  <c r="I19" i="72"/>
  <c r="F20" i="72" s="1"/>
  <c r="E32" i="79"/>
  <c r="J25" i="79"/>
  <c r="I24" i="79"/>
  <c r="F21" i="79"/>
  <c r="F15" i="6"/>
  <c r="E37" i="79"/>
  <c r="D36" i="79"/>
  <c r="L24" i="79"/>
  <c r="J22" i="79"/>
  <c r="I21" i="79"/>
  <c r="F26" i="79"/>
  <c r="E25" i="79"/>
  <c r="F14" i="6"/>
  <c r="E36" i="79"/>
  <c r="D35" i="79"/>
  <c r="J21" i="79"/>
  <c r="F25" i="79"/>
  <c r="E24" i="79"/>
  <c r="F13" i="25"/>
  <c r="F10" i="6"/>
  <c r="F38" i="79"/>
  <c r="K27" i="79"/>
  <c r="H24" i="79"/>
  <c r="G27" i="79"/>
  <c r="G23" i="79"/>
  <c r="K20" i="79"/>
  <c r="F31" i="79"/>
  <c r="H20" i="79"/>
  <c r="G38" i="79"/>
  <c r="H23" i="79"/>
  <c r="G20" i="79"/>
  <c r="L20" i="79"/>
  <c r="G31" i="79"/>
  <c r="G34" i="79"/>
  <c r="F33" i="79"/>
  <c r="L23" i="79"/>
  <c r="K22" i="79"/>
  <c r="G26" i="79"/>
  <c r="E20" i="79"/>
  <c r="I20" i="79"/>
  <c r="G37" i="79"/>
  <c r="G33" i="79"/>
  <c r="F36" i="79"/>
  <c r="F32" i="79"/>
  <c r="E35" i="79"/>
  <c r="D38" i="79"/>
  <c r="D34" i="79"/>
  <c r="L26" i="79"/>
  <c r="L22" i="79"/>
  <c r="K25" i="79"/>
  <c r="K21" i="79"/>
  <c r="J24" i="79"/>
  <c r="I27" i="79"/>
  <c r="I23" i="79"/>
  <c r="H26" i="79"/>
  <c r="H22" i="79"/>
  <c r="G25" i="79"/>
  <c r="G21" i="79"/>
  <c r="F24" i="79"/>
  <c r="E27" i="79"/>
  <c r="E23" i="79"/>
  <c r="F34" i="79"/>
  <c r="K23" i="79"/>
  <c r="F37" i="79"/>
  <c r="L27" i="79"/>
  <c r="K26" i="79"/>
  <c r="H27" i="79"/>
  <c r="G22" i="79"/>
  <c r="F20" i="79"/>
  <c r="J20" i="79"/>
  <c r="E31" i="79"/>
  <c r="G36" i="79"/>
  <c r="G32" i="79"/>
  <c r="F35" i="79"/>
  <c r="E38" i="79"/>
  <c r="E34" i="79"/>
  <c r="D37" i="79"/>
  <c r="D33" i="79"/>
  <c r="L25" i="79"/>
  <c r="L21" i="79"/>
  <c r="K24" i="79"/>
  <c r="J27" i="79"/>
  <c r="J23" i="79"/>
  <c r="I26" i="79"/>
  <c r="I22" i="79"/>
  <c r="H25" i="79"/>
  <c r="H21" i="79"/>
  <c r="G24" i="79"/>
  <c r="F27" i="79"/>
  <c r="F23" i="79"/>
  <c r="E26" i="79"/>
  <c r="E22" i="79"/>
  <c r="D20" i="79"/>
  <c r="E16" i="79"/>
  <c r="E12" i="79"/>
  <c r="D16" i="79"/>
  <c r="D12" i="79"/>
  <c r="D15" i="79"/>
  <c r="D11" i="79"/>
  <c r="E15" i="79"/>
  <c r="E11" i="79"/>
  <c r="D14" i="79"/>
  <c r="E14" i="79"/>
  <c r="E10" i="79"/>
  <c r="D9" i="79"/>
  <c r="D13" i="79"/>
  <c r="E9" i="79"/>
  <c r="E13" i="79"/>
  <c r="F12" i="6"/>
  <c r="F11" i="25"/>
  <c r="F9" i="6"/>
  <c r="F15" i="25"/>
  <c r="F14" i="25"/>
  <c r="F7" i="6"/>
  <c r="F11" i="6"/>
  <c r="F13" i="6"/>
  <c r="F12" i="25"/>
  <c r="F10" i="25"/>
  <c r="F9" i="25"/>
  <c r="F8" i="25"/>
  <c r="F32" i="72"/>
  <c r="J7" i="72"/>
  <c r="F7" i="72"/>
  <c r="F9" i="72"/>
  <c r="J51" i="72"/>
  <c r="J16" i="72"/>
  <c r="F17" i="72"/>
  <c r="J20" i="72"/>
  <c r="J9" i="72"/>
  <c r="F10" i="72"/>
  <c r="I54" i="76"/>
  <c r="I50" i="76"/>
  <c r="I46" i="76"/>
  <c r="I42" i="76"/>
  <c r="I38" i="76"/>
  <c r="I34" i="76"/>
  <c r="I30" i="76"/>
  <c r="I26" i="76"/>
  <c r="I22" i="76"/>
  <c r="I55" i="76"/>
  <c r="I51" i="76"/>
  <c r="I47" i="76"/>
  <c r="I43" i="76"/>
  <c r="I39" i="76"/>
  <c r="I35" i="76"/>
  <c r="I31" i="76"/>
  <c r="I27" i="76"/>
  <c r="I23" i="76"/>
  <c r="I49" i="76"/>
  <c r="I41" i="76"/>
  <c r="I33" i="76"/>
  <c r="I25" i="76"/>
  <c r="H7" i="76"/>
  <c r="I52" i="76"/>
  <c r="I44" i="76"/>
  <c r="I36" i="76"/>
  <c r="I28" i="76"/>
  <c r="I45" i="76"/>
  <c r="I29" i="76"/>
  <c r="I20" i="76"/>
  <c r="I57" i="76"/>
  <c r="J57" i="76" s="1"/>
  <c r="Q17" i="76" s="1"/>
  <c r="I40" i="76"/>
  <c r="I24" i="76"/>
  <c r="I7" i="76"/>
  <c r="I37" i="76"/>
  <c r="I32" i="76"/>
  <c r="I19" i="76"/>
  <c r="I21" i="76"/>
  <c r="I48" i="76"/>
  <c r="I9" i="76"/>
  <c r="I53" i="76"/>
  <c r="I55" i="77"/>
  <c r="I51" i="77"/>
  <c r="I47" i="77"/>
  <c r="I43" i="77"/>
  <c r="I39" i="77"/>
  <c r="I35" i="77"/>
  <c r="I31" i="77"/>
  <c r="I27" i="77"/>
  <c r="I23" i="77"/>
  <c r="I19" i="77"/>
  <c r="I15" i="77"/>
  <c r="I14" i="77"/>
  <c r="I13" i="77"/>
  <c r="I12" i="77"/>
  <c r="I11" i="77"/>
  <c r="I10" i="77"/>
  <c r="I9" i="77"/>
  <c r="I57" i="77"/>
  <c r="J57" i="77" s="1"/>
  <c r="Q17" i="77" s="1"/>
  <c r="I52" i="77"/>
  <c r="I48" i="77"/>
  <c r="I44" i="77"/>
  <c r="I40" i="77"/>
  <c r="I36" i="77"/>
  <c r="I32" i="77"/>
  <c r="I28" i="77"/>
  <c r="I24" i="77"/>
  <c r="I20" i="77"/>
  <c r="I16" i="77"/>
  <c r="I53" i="77"/>
  <c r="I49" i="77"/>
  <c r="I45" i="77"/>
  <c r="I41" i="77"/>
  <c r="I37" i="77"/>
  <c r="I33" i="77"/>
  <c r="I29" i="77"/>
  <c r="I25" i="77"/>
  <c r="I21" i="77"/>
  <c r="I17" i="77"/>
  <c r="I42" i="77"/>
  <c r="I26" i="77"/>
  <c r="I7" i="77"/>
  <c r="I46" i="77"/>
  <c r="I30" i="77"/>
  <c r="H7" i="77"/>
  <c r="I50" i="77"/>
  <c r="I18" i="77"/>
  <c r="I54" i="77"/>
  <c r="I22" i="77"/>
  <c r="I34" i="77"/>
  <c r="I38" i="77"/>
  <c r="I57" i="73"/>
  <c r="J57" i="73" s="1"/>
  <c r="Q17" i="73" s="1"/>
  <c r="I52" i="73"/>
  <c r="I48" i="73"/>
  <c r="I53" i="73"/>
  <c r="I50" i="73"/>
  <c r="I47" i="73"/>
  <c r="I45" i="73"/>
  <c r="I41" i="73"/>
  <c r="I37" i="73"/>
  <c r="I33" i="73"/>
  <c r="I29" i="73"/>
  <c r="I25" i="73"/>
  <c r="I21" i="73"/>
  <c r="I17" i="73"/>
  <c r="H7" i="73"/>
  <c r="I44" i="73"/>
  <c r="I34" i="73"/>
  <c r="I31" i="73"/>
  <c r="I28" i="73"/>
  <c r="I18" i="73"/>
  <c r="I15" i="73"/>
  <c r="I11" i="73"/>
  <c r="I49" i="73"/>
  <c r="I46" i="73"/>
  <c r="I43" i="73"/>
  <c r="I40" i="73"/>
  <c r="I30" i="73"/>
  <c r="I27" i="73"/>
  <c r="I24" i="73"/>
  <c r="I12" i="73"/>
  <c r="I55" i="73"/>
  <c r="I54" i="73"/>
  <c r="I51" i="73"/>
  <c r="I42" i="73"/>
  <c r="I39" i="73"/>
  <c r="I36" i="73"/>
  <c r="I26" i="73"/>
  <c r="I23" i="73"/>
  <c r="I20" i="73"/>
  <c r="I13" i="73"/>
  <c r="I9" i="73"/>
  <c r="I7" i="73"/>
  <c r="I38" i="73"/>
  <c r="I35" i="73"/>
  <c r="I32" i="73"/>
  <c r="I22" i="73"/>
  <c r="I19" i="73"/>
  <c r="I16" i="73"/>
  <c r="I14" i="73"/>
  <c r="I10" i="73"/>
  <c r="I53" i="74"/>
  <c r="I49" i="74"/>
  <c r="I45" i="74"/>
  <c r="I54" i="74"/>
  <c r="I55" i="74"/>
  <c r="I52" i="74"/>
  <c r="I42" i="74"/>
  <c r="I38" i="74"/>
  <c r="I34" i="74"/>
  <c r="I30" i="74"/>
  <c r="I26" i="74"/>
  <c r="I22" i="74"/>
  <c r="I18" i="74"/>
  <c r="I51" i="74"/>
  <c r="I50" i="74"/>
  <c r="I48" i="74"/>
  <c r="I47" i="74"/>
  <c r="I46" i="74"/>
  <c r="I44" i="74"/>
  <c r="I41" i="74"/>
  <c r="I31" i="74"/>
  <c r="I28" i="74"/>
  <c r="I25" i="74"/>
  <c r="I15" i="74"/>
  <c r="I13" i="74"/>
  <c r="I11" i="74"/>
  <c r="I9" i="74"/>
  <c r="I7" i="74"/>
  <c r="I57" i="74"/>
  <c r="J57" i="74" s="1"/>
  <c r="Q17" i="74" s="1"/>
  <c r="I43" i="74"/>
  <c r="I40" i="74"/>
  <c r="I37" i="74"/>
  <c r="I27" i="74"/>
  <c r="I12" i="74"/>
  <c r="H7" i="74"/>
  <c r="I35" i="74"/>
  <c r="I32" i="74"/>
  <c r="I29" i="74"/>
  <c r="I10" i="74"/>
  <c r="I39" i="74"/>
  <c r="I36" i="74"/>
  <c r="I33" i="74"/>
  <c r="I24" i="74"/>
  <c r="I23" i="74"/>
  <c r="I21" i="74"/>
  <c r="I20" i="74"/>
  <c r="I19" i="74"/>
  <c r="I17" i="74"/>
  <c r="I16" i="74"/>
  <c r="I14" i="74"/>
  <c r="I55" i="75"/>
  <c r="I51" i="75"/>
  <c r="I47" i="75"/>
  <c r="I43" i="75"/>
  <c r="I39" i="75"/>
  <c r="I35" i="75"/>
  <c r="I31" i="75"/>
  <c r="I27" i="75"/>
  <c r="I23" i="75"/>
  <c r="I19" i="75"/>
  <c r="I15" i="75"/>
  <c r="I14" i="75"/>
  <c r="I13" i="75"/>
  <c r="I12" i="75"/>
  <c r="I10" i="75"/>
  <c r="I9" i="75"/>
  <c r="I57" i="75"/>
  <c r="J57" i="75" s="1"/>
  <c r="Q17" i="75" s="1"/>
  <c r="I52" i="75"/>
  <c r="I44" i="75"/>
  <c r="I40" i="75"/>
  <c r="I36" i="75"/>
  <c r="I32" i="75"/>
  <c r="I28" i="75"/>
  <c r="I24" i="75"/>
  <c r="I16" i="75"/>
  <c r="I7" i="75"/>
  <c r="I50" i="75"/>
  <c r="I42" i="75"/>
  <c r="I34" i="75"/>
  <c r="I26" i="75"/>
  <c r="I18" i="75"/>
  <c r="I53" i="75"/>
  <c r="I45" i="75"/>
  <c r="I37" i="75"/>
  <c r="I21" i="75"/>
  <c r="I46" i="75"/>
  <c r="I30" i="75"/>
  <c r="H7" i="75"/>
  <c r="I41" i="75"/>
  <c r="I25" i="75"/>
  <c r="I54" i="75"/>
  <c r="I22" i="75"/>
  <c r="I49" i="75"/>
  <c r="I17" i="75"/>
  <c r="I33" i="75"/>
  <c r="J41" i="72"/>
  <c r="J10" i="72"/>
  <c r="J14" i="72"/>
  <c r="D107" i="2"/>
  <c r="G107" i="2" s="1"/>
  <c r="H107" i="2" s="1"/>
  <c r="D102" i="2"/>
  <c r="L102" i="2" s="1"/>
  <c r="L102" i="5"/>
  <c r="F47" i="72" l="1"/>
  <c r="F46" i="72"/>
  <c r="F48" i="72"/>
  <c r="F53" i="72"/>
  <c r="F39" i="72"/>
  <c r="F28" i="72"/>
  <c r="F38" i="72"/>
  <c r="J48" i="72"/>
  <c r="J38" i="72"/>
  <c r="J40" i="72"/>
  <c r="F55" i="72"/>
  <c r="F25" i="72"/>
  <c r="J27" i="72"/>
  <c r="F18" i="72"/>
  <c r="F27" i="72"/>
  <c r="F40" i="72"/>
  <c r="F21" i="72"/>
  <c r="J18" i="72"/>
  <c r="J39" i="72"/>
  <c r="J24" i="72"/>
  <c r="J52" i="72"/>
  <c r="J15" i="72"/>
  <c r="F31" i="72"/>
  <c r="J25" i="72"/>
  <c r="F44" i="72"/>
  <c r="F45" i="72"/>
  <c r="J45" i="72"/>
  <c r="F35" i="72"/>
  <c r="F15" i="72"/>
  <c r="F30" i="72"/>
  <c r="F51" i="72"/>
  <c r="F36" i="72"/>
  <c r="J19" i="72"/>
  <c r="J11" i="72"/>
  <c r="F24" i="72"/>
  <c r="J26" i="72"/>
  <c r="J53" i="72"/>
  <c r="F34" i="72"/>
  <c r="F42" i="72"/>
  <c r="F13" i="72"/>
  <c r="F37" i="72"/>
  <c r="F49" i="72"/>
  <c r="F50" i="72"/>
  <c r="F29" i="72"/>
  <c r="J29" i="72"/>
  <c r="F14" i="72"/>
  <c r="J13" i="72"/>
  <c r="F57" i="72"/>
  <c r="L107" i="2"/>
  <c r="J41" i="75"/>
  <c r="F42" i="75"/>
  <c r="J53" i="75"/>
  <c r="F54" i="75"/>
  <c r="F21" i="75"/>
  <c r="J52" i="75"/>
  <c r="F53" i="75"/>
  <c r="F16" i="75"/>
  <c r="J15" i="75"/>
  <c r="J47" i="75"/>
  <c r="J21" i="74"/>
  <c r="F22" i="74"/>
  <c r="J31" i="74"/>
  <c r="F32" i="74"/>
  <c r="F19" i="74"/>
  <c r="J18" i="74"/>
  <c r="F35" i="74"/>
  <c r="J34" i="74"/>
  <c r="F54" i="74"/>
  <c r="J53" i="74"/>
  <c r="F15" i="73"/>
  <c r="J14" i="73"/>
  <c r="F10" i="73"/>
  <c r="J9" i="73"/>
  <c r="F52" i="73"/>
  <c r="J51" i="73"/>
  <c r="J43" i="73"/>
  <c r="F44" i="73"/>
  <c r="J34" i="73"/>
  <c r="F35" i="73"/>
  <c r="F38" i="73"/>
  <c r="J37" i="73"/>
  <c r="J50" i="73"/>
  <c r="F51" i="73"/>
  <c r="J30" i="77"/>
  <c r="F31" i="77"/>
  <c r="J29" i="77"/>
  <c r="F30" i="77"/>
  <c r="J20" i="77"/>
  <c r="F21" i="77"/>
  <c r="J52" i="77"/>
  <c r="F53" i="77"/>
  <c r="F48" i="77"/>
  <c r="J47" i="77"/>
  <c r="J24" i="76"/>
  <c r="F25" i="76"/>
  <c r="F19" i="76"/>
  <c r="F34" i="76"/>
  <c r="J33" i="76"/>
  <c r="J43" i="76"/>
  <c r="F44" i="76"/>
  <c r="F39" i="76"/>
  <c r="J38" i="76"/>
  <c r="J33" i="75"/>
  <c r="F34" i="75"/>
  <c r="F19" i="75"/>
  <c r="J18" i="75"/>
  <c r="J19" i="75"/>
  <c r="F18" i="74"/>
  <c r="J17" i="74"/>
  <c r="J39" i="74"/>
  <c r="F40" i="74"/>
  <c r="J37" i="74"/>
  <c r="F38" i="74"/>
  <c r="J15" i="74"/>
  <c r="F16" i="74"/>
  <c r="J48" i="74"/>
  <c r="F49" i="74"/>
  <c r="F39" i="74"/>
  <c r="J38" i="74"/>
  <c r="F17" i="73"/>
  <c r="J16" i="73"/>
  <c r="F14" i="73"/>
  <c r="J13" i="73"/>
  <c r="F55" i="73"/>
  <c r="J54" i="73"/>
  <c r="J46" i="73"/>
  <c r="F47" i="73"/>
  <c r="F45" i="73"/>
  <c r="J44" i="73"/>
  <c r="F42" i="73"/>
  <c r="J41" i="73"/>
  <c r="J18" i="77"/>
  <c r="F19" i="77"/>
  <c r="J33" i="77"/>
  <c r="F34" i="77"/>
  <c r="F20" i="77"/>
  <c r="J19" i="77"/>
  <c r="F36" i="77"/>
  <c r="J35" i="77"/>
  <c r="J20" i="76"/>
  <c r="F21" i="76"/>
  <c r="F42" i="76"/>
  <c r="J41" i="76"/>
  <c r="J47" i="76"/>
  <c r="F48" i="76"/>
  <c r="F43" i="76"/>
  <c r="J42" i="76"/>
  <c r="F39" i="75"/>
  <c r="F55" i="75"/>
  <c r="J54" i="75"/>
  <c r="F31" i="75"/>
  <c r="J30" i="75"/>
  <c r="J37" i="75"/>
  <c r="F27" i="75"/>
  <c r="J26" i="75"/>
  <c r="J7" i="75"/>
  <c r="F7" i="75"/>
  <c r="F9" i="75"/>
  <c r="J28" i="75"/>
  <c r="J44" i="75"/>
  <c r="F45" i="75"/>
  <c r="F10" i="75"/>
  <c r="J9" i="75"/>
  <c r="F14" i="75"/>
  <c r="J13" i="75"/>
  <c r="F24" i="75"/>
  <c r="J23" i="75"/>
  <c r="F40" i="75"/>
  <c r="J39" i="75"/>
  <c r="F57" i="75"/>
  <c r="J55" i="75"/>
  <c r="J19" i="74"/>
  <c r="F20" i="74"/>
  <c r="J24" i="74"/>
  <c r="F25" i="74"/>
  <c r="F11" i="74"/>
  <c r="J10" i="74"/>
  <c r="J40" i="74"/>
  <c r="F41" i="74"/>
  <c r="F10" i="74"/>
  <c r="J9" i="74"/>
  <c r="F26" i="74"/>
  <c r="J25" i="74"/>
  <c r="F45" i="74"/>
  <c r="J44" i="74"/>
  <c r="J50" i="74"/>
  <c r="F51" i="74"/>
  <c r="F27" i="74"/>
  <c r="J26" i="74"/>
  <c r="F43" i="74"/>
  <c r="J42" i="74"/>
  <c r="F46" i="74"/>
  <c r="J45" i="74"/>
  <c r="F20" i="73"/>
  <c r="J19" i="73"/>
  <c r="J38" i="73"/>
  <c r="F39" i="73"/>
  <c r="J20" i="73"/>
  <c r="F21" i="73"/>
  <c r="J39" i="73"/>
  <c r="F40" i="73"/>
  <c r="F57" i="73"/>
  <c r="J55" i="73"/>
  <c r="J30" i="73"/>
  <c r="F31" i="73"/>
  <c r="J49" i="73"/>
  <c r="F50" i="73"/>
  <c r="F29" i="73"/>
  <c r="J28" i="73"/>
  <c r="F30" i="73"/>
  <c r="J29" i="73"/>
  <c r="F46" i="73"/>
  <c r="J45" i="73"/>
  <c r="F49" i="73"/>
  <c r="J48" i="73"/>
  <c r="J34" i="77"/>
  <c r="F35" i="77"/>
  <c r="J50" i="77"/>
  <c r="F51" i="77"/>
  <c r="F9" i="77"/>
  <c r="J7" i="77"/>
  <c r="F7" i="77"/>
  <c r="J21" i="77"/>
  <c r="F22" i="77"/>
  <c r="J37" i="77"/>
  <c r="F38" i="77"/>
  <c r="J53" i="77"/>
  <c r="F54" i="77"/>
  <c r="J28" i="77"/>
  <c r="F29" i="77"/>
  <c r="J44" i="77"/>
  <c r="F45" i="77"/>
  <c r="F10" i="77"/>
  <c r="J9" i="77"/>
  <c r="F14" i="77"/>
  <c r="J13" i="77"/>
  <c r="F24" i="77"/>
  <c r="J23" i="77"/>
  <c r="F40" i="77"/>
  <c r="J39" i="77"/>
  <c r="F57" i="77"/>
  <c r="J55" i="77"/>
  <c r="J48" i="76"/>
  <c r="F49" i="76"/>
  <c r="J32" i="76"/>
  <c r="F33" i="76"/>
  <c r="F30" i="76"/>
  <c r="J29" i="76"/>
  <c r="J36" i="76"/>
  <c r="F37" i="76"/>
  <c r="F50" i="76"/>
  <c r="J49" i="76"/>
  <c r="J35" i="76"/>
  <c r="F36" i="76"/>
  <c r="J51" i="76"/>
  <c r="F52" i="76"/>
  <c r="F31" i="76"/>
  <c r="J30" i="76"/>
  <c r="F47" i="76"/>
  <c r="J46" i="76"/>
  <c r="J49" i="75"/>
  <c r="F50" i="75"/>
  <c r="J21" i="75"/>
  <c r="F22" i="75"/>
  <c r="F43" i="75"/>
  <c r="J42" i="75"/>
  <c r="J36" i="75"/>
  <c r="F37" i="75"/>
  <c r="F12" i="75"/>
  <c r="F32" i="75"/>
  <c r="J31" i="75"/>
  <c r="F17" i="74"/>
  <c r="J16" i="74"/>
  <c r="J36" i="74"/>
  <c r="F37" i="74"/>
  <c r="F33" i="74"/>
  <c r="J32" i="74"/>
  <c r="J27" i="74"/>
  <c r="F28" i="74"/>
  <c r="F14" i="74"/>
  <c r="J13" i="74"/>
  <c r="F48" i="74"/>
  <c r="J47" i="74"/>
  <c r="J55" i="74"/>
  <c r="F57" i="74"/>
  <c r="F33" i="73"/>
  <c r="J32" i="73"/>
  <c r="J26" i="73"/>
  <c r="F27" i="73"/>
  <c r="J24" i="73"/>
  <c r="F25" i="73"/>
  <c r="F16" i="73"/>
  <c r="J15" i="73"/>
  <c r="F22" i="73"/>
  <c r="J21" i="73"/>
  <c r="J54" i="77"/>
  <c r="F55" i="77"/>
  <c r="J42" i="77"/>
  <c r="F43" i="77"/>
  <c r="J45" i="77"/>
  <c r="F46" i="77"/>
  <c r="J36" i="77"/>
  <c r="F37" i="77"/>
  <c r="F12" i="77"/>
  <c r="J11" i="77"/>
  <c r="F16" i="77"/>
  <c r="J15" i="77"/>
  <c r="F32" i="77"/>
  <c r="J31" i="77"/>
  <c r="J9" i="76"/>
  <c r="F9" i="76"/>
  <c r="J7" i="76"/>
  <c r="F7" i="76"/>
  <c r="J52" i="76"/>
  <c r="F53" i="76"/>
  <c r="J27" i="76"/>
  <c r="F28" i="76"/>
  <c r="F23" i="76"/>
  <c r="J22" i="76"/>
  <c r="F55" i="76"/>
  <c r="J54" i="76"/>
  <c r="F23" i="75"/>
  <c r="J22" i="75"/>
  <c r="F30" i="75"/>
  <c r="F51" i="75"/>
  <c r="J50" i="75"/>
  <c r="J24" i="75"/>
  <c r="F25" i="75"/>
  <c r="J40" i="75"/>
  <c r="F41" i="75"/>
  <c r="F13" i="75"/>
  <c r="J12" i="75"/>
  <c r="F36" i="75"/>
  <c r="J35" i="75"/>
  <c r="F52" i="75"/>
  <c r="J51" i="75"/>
  <c r="J23" i="74"/>
  <c r="F24" i="74"/>
  <c r="J35" i="74"/>
  <c r="F36" i="74"/>
  <c r="F9" i="74"/>
  <c r="F7" i="74"/>
  <c r="J7" i="74"/>
  <c r="F42" i="74"/>
  <c r="J41" i="74"/>
  <c r="F23" i="74"/>
  <c r="J22" i="74"/>
  <c r="J54" i="74"/>
  <c r="F55" i="74"/>
  <c r="F36" i="73"/>
  <c r="J35" i="73"/>
  <c r="J36" i="73"/>
  <c r="F37" i="73"/>
  <c r="J27" i="73"/>
  <c r="F28" i="73"/>
  <c r="J18" i="73"/>
  <c r="F19" i="73"/>
  <c r="F26" i="73"/>
  <c r="J25" i="73"/>
  <c r="J53" i="73"/>
  <c r="F54" i="73"/>
  <c r="J38" i="77"/>
  <c r="F39" i="77"/>
  <c r="J46" i="77"/>
  <c r="F47" i="77"/>
  <c r="J17" i="77"/>
  <c r="F18" i="77"/>
  <c r="J49" i="77"/>
  <c r="F50" i="77"/>
  <c r="J24" i="77"/>
  <c r="F25" i="77"/>
  <c r="J40" i="77"/>
  <c r="F41" i="77"/>
  <c r="F13" i="77"/>
  <c r="J12" i="77"/>
  <c r="F52" i="77"/>
  <c r="J51" i="77"/>
  <c r="J19" i="76"/>
  <c r="F20" i="76"/>
  <c r="J40" i="76"/>
  <c r="F41" i="76"/>
  <c r="J28" i="76"/>
  <c r="F29" i="76"/>
  <c r="J31" i="76"/>
  <c r="F32" i="76"/>
  <c r="F27" i="76"/>
  <c r="J26" i="76"/>
  <c r="J17" i="75"/>
  <c r="F18" i="75"/>
  <c r="J25" i="75"/>
  <c r="F26" i="75"/>
  <c r="F47" i="75"/>
  <c r="J46" i="75"/>
  <c r="J45" i="75"/>
  <c r="F46" i="75"/>
  <c r="F35" i="75"/>
  <c r="J34" i="75"/>
  <c r="J16" i="75"/>
  <c r="F17" i="75"/>
  <c r="J32" i="75"/>
  <c r="F33" i="75"/>
  <c r="F49" i="75"/>
  <c r="J10" i="75"/>
  <c r="F15" i="75"/>
  <c r="J14" i="75"/>
  <c r="F28" i="75"/>
  <c r="J27" i="75"/>
  <c r="F44" i="75"/>
  <c r="J43" i="75"/>
  <c r="F15" i="74"/>
  <c r="J14" i="74"/>
  <c r="F21" i="74"/>
  <c r="J20" i="74"/>
  <c r="J33" i="74"/>
  <c r="F34" i="74"/>
  <c r="F30" i="74"/>
  <c r="J29" i="74"/>
  <c r="F13" i="74"/>
  <c r="J12" i="74"/>
  <c r="J43" i="74"/>
  <c r="F44" i="74"/>
  <c r="F12" i="74"/>
  <c r="J11" i="74"/>
  <c r="F29" i="74"/>
  <c r="J28" i="74"/>
  <c r="J46" i="74"/>
  <c r="F47" i="74"/>
  <c r="J51" i="74"/>
  <c r="F52" i="74"/>
  <c r="F31" i="74"/>
  <c r="J30" i="74"/>
  <c r="J52" i="74"/>
  <c r="F53" i="74"/>
  <c r="F50" i="74"/>
  <c r="J49" i="74"/>
  <c r="F11" i="73"/>
  <c r="J10" i="73"/>
  <c r="J22" i="73"/>
  <c r="F23" i="73"/>
  <c r="F9" i="73"/>
  <c r="F7" i="73"/>
  <c r="J7" i="73"/>
  <c r="J23" i="73"/>
  <c r="F24" i="73"/>
  <c r="J42" i="73"/>
  <c r="F43" i="73"/>
  <c r="F13" i="73"/>
  <c r="J12" i="73"/>
  <c r="J40" i="73"/>
  <c r="F41" i="73"/>
  <c r="F12" i="73"/>
  <c r="J11" i="73"/>
  <c r="F32" i="73"/>
  <c r="J31" i="73"/>
  <c r="F18" i="73"/>
  <c r="J17" i="73"/>
  <c r="F34" i="73"/>
  <c r="J33" i="73"/>
  <c r="J47" i="73"/>
  <c r="F48" i="73"/>
  <c r="F53" i="73"/>
  <c r="J52" i="73"/>
  <c r="J22" i="77"/>
  <c r="F23" i="77"/>
  <c r="J26" i="77"/>
  <c r="F27" i="77"/>
  <c r="J25" i="77"/>
  <c r="F26" i="77"/>
  <c r="J41" i="77"/>
  <c r="F42" i="77"/>
  <c r="J16" i="77"/>
  <c r="F17" i="77"/>
  <c r="J32" i="77"/>
  <c r="F33" i="77"/>
  <c r="J48" i="77"/>
  <c r="F49" i="77"/>
  <c r="F11" i="77"/>
  <c r="J10" i="77"/>
  <c r="F15" i="77"/>
  <c r="J14" i="77"/>
  <c r="F28" i="77"/>
  <c r="J27" i="77"/>
  <c r="F44" i="77"/>
  <c r="J43" i="77"/>
  <c r="F54" i="76"/>
  <c r="J53" i="76"/>
  <c r="F22" i="76"/>
  <c r="J21" i="76"/>
  <c r="F38" i="76"/>
  <c r="J37" i="76"/>
  <c r="F46" i="76"/>
  <c r="J45" i="76"/>
  <c r="J44" i="76"/>
  <c r="F45" i="76"/>
  <c r="J25" i="76"/>
  <c r="F26" i="76"/>
  <c r="J23" i="76"/>
  <c r="F24" i="76"/>
  <c r="J39" i="76"/>
  <c r="F40" i="76"/>
  <c r="J55" i="76"/>
  <c r="F57" i="76"/>
  <c r="F35" i="76"/>
  <c r="J34" i="76"/>
  <c r="F51" i="76"/>
  <c r="J50" i="76"/>
  <c r="E102" i="2"/>
  <c r="D15" i="34"/>
  <c r="L15" i="34" s="1"/>
  <c r="E15" i="34" l="1"/>
  <c r="D13" i="28" l="1"/>
  <c r="L13" i="28" s="1"/>
  <c r="D14" i="28"/>
  <c r="L14" i="28" s="1"/>
  <c r="L15" i="28"/>
  <c r="D16" i="28"/>
  <c r="L16" i="28" s="1"/>
  <c r="D17" i="28"/>
  <c r="L17" i="28" s="1"/>
  <c r="D18" i="28"/>
  <c r="L18" i="28" s="1"/>
  <c r="D19" i="28"/>
  <c r="L19" i="28" s="1"/>
  <c r="D20" i="28"/>
  <c r="L20" i="28" s="1"/>
  <c r="D21" i="28"/>
  <c r="L21" i="28" s="1"/>
  <c r="D22" i="28"/>
  <c r="L22" i="28" s="1"/>
  <c r="L23" i="28"/>
  <c r="D24" i="28"/>
  <c r="L24" i="28" s="1"/>
  <c r="D25" i="28"/>
  <c r="L25" i="28" s="1"/>
  <c r="D26" i="28"/>
  <c r="L26" i="28" s="1"/>
  <c r="D27" i="28"/>
  <c r="L27" i="28" s="1"/>
  <c r="D28" i="28"/>
  <c r="L28" i="28" s="1"/>
  <c r="D29" i="28"/>
  <c r="L29" i="28" s="1"/>
  <c r="D30" i="28"/>
  <c r="L30" i="28" s="1"/>
  <c r="D31" i="28"/>
  <c r="L31" i="28" s="1"/>
  <c r="L32" i="28"/>
  <c r="D33" i="28"/>
  <c r="L33" i="28" s="1"/>
  <c r="D34" i="28"/>
  <c r="L34" i="28" s="1"/>
  <c r="D35" i="28"/>
  <c r="L35" i="28" s="1"/>
  <c r="D36" i="28"/>
  <c r="L36" i="28" s="1"/>
  <c r="D37" i="28"/>
  <c r="L37" i="28" s="1"/>
  <c r="D38" i="28"/>
  <c r="L38" i="28" s="1"/>
  <c r="D39" i="28"/>
  <c r="L39" i="28" s="1"/>
  <c r="D40" i="28"/>
  <c r="L40" i="28" s="1"/>
  <c r="L41" i="28"/>
  <c r="D42" i="28"/>
  <c r="L42" i="28" s="1"/>
  <c r="D43" i="28"/>
  <c r="L43" i="28" s="1"/>
  <c r="D44" i="28"/>
  <c r="L44" i="28" s="1"/>
  <c r="D45" i="28"/>
  <c r="L45" i="28" s="1"/>
  <c r="D46" i="28"/>
  <c r="L46" i="28" s="1"/>
  <c r="D47" i="28"/>
  <c r="L47" i="28" s="1"/>
  <c r="D48" i="28"/>
  <c r="L48" i="28" s="1"/>
  <c r="L49" i="28"/>
  <c r="D50" i="28"/>
  <c r="D51" i="28"/>
  <c r="L51" i="28" s="1"/>
  <c r="D52" i="28"/>
  <c r="L52" i="28" s="1"/>
  <c r="D53" i="28"/>
  <c r="L53" i="28" s="1"/>
  <c r="D54" i="28"/>
  <c r="D55" i="28"/>
  <c r="L55" i="28" s="1"/>
  <c r="D57" i="28"/>
  <c r="G57" i="28" l="1"/>
  <c r="H57" i="28" s="1"/>
  <c r="L57" i="28"/>
  <c r="G54" i="28"/>
  <c r="H54" i="28" s="1"/>
  <c r="L54" i="28"/>
  <c r="G50" i="28"/>
  <c r="H50" i="28" s="1"/>
  <c r="L50" i="28"/>
  <c r="G55" i="28"/>
  <c r="H55" i="28" s="1"/>
  <c r="G51" i="28"/>
  <c r="H51" i="28" s="1"/>
  <c r="G47" i="28"/>
  <c r="H47" i="28" s="1"/>
  <c r="G43" i="28"/>
  <c r="H43" i="28" s="1"/>
  <c r="G39" i="28"/>
  <c r="H39" i="28" s="1"/>
  <c r="G35" i="28"/>
  <c r="H35" i="28" s="1"/>
  <c r="G31" i="28"/>
  <c r="H31" i="28" s="1"/>
  <c r="G27" i="28"/>
  <c r="H27" i="28" s="1"/>
  <c r="G19" i="28"/>
  <c r="H19" i="28" s="1"/>
  <c r="G52" i="28"/>
  <c r="H52" i="28" s="1"/>
  <c r="G48" i="28"/>
  <c r="H48" i="28" s="1"/>
  <c r="G44" i="28"/>
  <c r="H44" i="28" s="1"/>
  <c r="G40" i="28"/>
  <c r="H40" i="28" s="1"/>
  <c r="G36" i="28"/>
  <c r="H36" i="28" s="1"/>
  <c r="G28" i="28"/>
  <c r="H28" i="28" s="1"/>
  <c r="G24" i="28"/>
  <c r="H24" i="28" s="1"/>
  <c r="G20" i="28"/>
  <c r="H20" i="28" s="1"/>
  <c r="G16" i="28"/>
  <c r="H16" i="28" s="1"/>
  <c r="G46" i="28"/>
  <c r="H46" i="28" s="1"/>
  <c r="G42" i="28"/>
  <c r="H42" i="28" s="1"/>
  <c r="G38" i="28"/>
  <c r="H38" i="28" s="1"/>
  <c r="G34" i="28"/>
  <c r="H34" i="28" s="1"/>
  <c r="G30" i="28"/>
  <c r="H30" i="28" s="1"/>
  <c r="G26" i="28"/>
  <c r="H26" i="28" s="1"/>
  <c r="G22" i="28"/>
  <c r="H22" i="28" s="1"/>
  <c r="G18" i="28"/>
  <c r="H18" i="28" s="1"/>
  <c r="G14" i="28"/>
  <c r="H14" i="28" s="1"/>
  <c r="G53" i="28"/>
  <c r="H53" i="28" s="1"/>
  <c r="G45" i="28"/>
  <c r="H45" i="28" s="1"/>
  <c r="G37" i="28"/>
  <c r="H37" i="28" s="1"/>
  <c r="G33" i="28"/>
  <c r="H33" i="28" s="1"/>
  <c r="G29" i="28"/>
  <c r="H29" i="28" s="1"/>
  <c r="G25" i="28"/>
  <c r="H25" i="28" s="1"/>
  <c r="G21" i="28"/>
  <c r="H21" i="28" s="1"/>
  <c r="G17" i="28"/>
  <c r="H17" i="28" s="1"/>
  <c r="D57" i="37"/>
  <c r="D55" i="37"/>
  <c r="L55" i="37" s="1"/>
  <c r="D54" i="37"/>
  <c r="L54" i="37" s="1"/>
  <c r="L53" i="37"/>
  <c r="D52" i="37"/>
  <c r="L52" i="37" s="1"/>
  <c r="D51" i="37"/>
  <c r="L51" i="37" s="1"/>
  <c r="D50" i="37"/>
  <c r="L50" i="37" s="1"/>
  <c r="D49" i="37"/>
  <c r="L49" i="37" s="1"/>
  <c r="D48" i="37"/>
  <c r="L47" i="37"/>
  <c r="D46" i="37"/>
  <c r="L46" i="37" s="1"/>
  <c r="D45" i="37"/>
  <c r="L45" i="37" s="1"/>
  <c r="D44" i="37"/>
  <c r="D43" i="37"/>
  <c r="L43" i="37" s="1"/>
  <c r="D42" i="37"/>
  <c r="L42" i="37" s="1"/>
  <c r="L41" i="37"/>
  <c r="D40" i="37"/>
  <c r="L40" i="37" s="1"/>
  <c r="D39" i="37"/>
  <c r="L39" i="37" s="1"/>
  <c r="D38" i="37"/>
  <c r="L38" i="37" s="1"/>
  <c r="D37" i="37"/>
  <c r="L37" i="37" s="1"/>
  <c r="D36" i="37"/>
  <c r="L36" i="37" s="1"/>
  <c r="L35" i="37"/>
  <c r="D34" i="37"/>
  <c r="L34" i="37" s="1"/>
  <c r="D33" i="37"/>
  <c r="L33" i="37" s="1"/>
  <c r="D32" i="37"/>
  <c r="L32" i="37" s="1"/>
  <c r="D31" i="37"/>
  <c r="L31" i="37" s="1"/>
  <c r="L30" i="37"/>
  <c r="D29" i="37"/>
  <c r="L29" i="37" s="1"/>
  <c r="D28" i="37"/>
  <c r="L28" i="37" s="1"/>
  <c r="D27" i="37"/>
  <c r="L27" i="37" s="1"/>
  <c r="D26" i="37"/>
  <c r="L26" i="37" s="1"/>
  <c r="D25" i="37"/>
  <c r="L25" i="37" s="1"/>
  <c r="L24" i="37"/>
  <c r="D23" i="37"/>
  <c r="L23" i="37" s="1"/>
  <c r="D22" i="37"/>
  <c r="L22" i="37" s="1"/>
  <c r="D21" i="37"/>
  <c r="L21" i="37" s="1"/>
  <c r="D20" i="37"/>
  <c r="L20" i="37" s="1"/>
  <c r="D19" i="37"/>
  <c r="L19" i="37" s="1"/>
  <c r="L18" i="37"/>
  <c r="D17" i="37"/>
  <c r="L17" i="37" s="1"/>
  <c r="D16" i="37"/>
  <c r="L16" i="37" s="1"/>
  <c r="D15" i="37"/>
  <c r="L15" i="37" s="1"/>
  <c r="D14" i="37"/>
  <c r="L14" i="37" s="1"/>
  <c r="D13" i="37"/>
  <c r="L13" i="37" s="1"/>
  <c r="L12" i="37"/>
  <c r="D11" i="37"/>
  <c r="L11" i="37" s="1"/>
  <c r="D10" i="37"/>
  <c r="L10" i="37" s="1"/>
  <c r="D9" i="37"/>
  <c r="D7" i="37"/>
  <c r="D57" i="36"/>
  <c r="D55" i="36"/>
  <c r="L55" i="36" s="1"/>
  <c r="L54" i="36"/>
  <c r="D53" i="36"/>
  <c r="L53" i="36" s="1"/>
  <c r="D52" i="36"/>
  <c r="L52" i="36" s="1"/>
  <c r="D51" i="36"/>
  <c r="L51" i="36" s="1"/>
  <c r="D50" i="36"/>
  <c r="L50" i="36" s="1"/>
  <c r="D49" i="36"/>
  <c r="L49" i="36" s="1"/>
  <c r="D48" i="36"/>
  <c r="L48" i="36" s="1"/>
  <c r="D47" i="36"/>
  <c r="L47" i="36" s="1"/>
  <c r="D46" i="36"/>
  <c r="L46" i="36" s="1"/>
  <c r="D45" i="36"/>
  <c r="L45" i="36" s="1"/>
  <c r="D44" i="36"/>
  <c r="L44" i="36" s="1"/>
  <c r="D43" i="36"/>
  <c r="L43" i="36" s="1"/>
  <c r="D42" i="36"/>
  <c r="L42" i="36" s="1"/>
  <c r="D41" i="36"/>
  <c r="L41" i="36" s="1"/>
  <c r="D40" i="36"/>
  <c r="L40" i="36" s="1"/>
  <c r="D39" i="36"/>
  <c r="L39" i="36" s="1"/>
  <c r="L38" i="36"/>
  <c r="D37" i="36"/>
  <c r="L37" i="36" s="1"/>
  <c r="D36" i="36"/>
  <c r="L36" i="36" s="1"/>
  <c r="D35" i="36"/>
  <c r="L35" i="36" s="1"/>
  <c r="D34" i="36"/>
  <c r="L34" i="36" s="1"/>
  <c r="D33" i="36"/>
  <c r="L33" i="36" s="1"/>
  <c r="D32" i="36"/>
  <c r="L32" i="36" s="1"/>
  <c r="D31" i="36"/>
  <c r="L31" i="36" s="1"/>
  <c r="D30" i="36"/>
  <c r="L30" i="36" s="1"/>
  <c r="D29" i="36"/>
  <c r="L29" i="36" s="1"/>
  <c r="D28" i="36"/>
  <c r="L28" i="36" s="1"/>
  <c r="D27" i="36"/>
  <c r="L27" i="36" s="1"/>
  <c r="D26" i="36"/>
  <c r="L26" i="36" s="1"/>
  <c r="D25" i="36"/>
  <c r="L25" i="36" s="1"/>
  <c r="D24" i="36"/>
  <c r="L24" i="36" s="1"/>
  <c r="D23" i="36"/>
  <c r="L23" i="36" s="1"/>
  <c r="L22" i="36"/>
  <c r="D21" i="36"/>
  <c r="L21" i="36" s="1"/>
  <c r="D20" i="36"/>
  <c r="L20" i="36" s="1"/>
  <c r="D19" i="36"/>
  <c r="L19" i="36" s="1"/>
  <c r="D18" i="36"/>
  <c r="L18" i="36" s="1"/>
  <c r="D17" i="36"/>
  <c r="L17" i="36" s="1"/>
  <c r="D16" i="36"/>
  <c r="L16" i="36" s="1"/>
  <c r="D15" i="36"/>
  <c r="L15" i="36" s="1"/>
  <c r="D14" i="36"/>
  <c r="L14" i="36" s="1"/>
  <c r="D13" i="36"/>
  <c r="L13" i="36" s="1"/>
  <c r="D12" i="36"/>
  <c r="L12" i="36" s="1"/>
  <c r="D11" i="36"/>
  <c r="L11" i="36" s="1"/>
  <c r="D10" i="36"/>
  <c r="L10" i="36" s="1"/>
  <c r="D9" i="36"/>
  <c r="D7" i="36"/>
  <c r="D57" i="35"/>
  <c r="D55" i="35"/>
  <c r="L55" i="35" s="1"/>
  <c r="D54" i="35"/>
  <c r="L54" i="35" s="1"/>
  <c r="D53" i="35"/>
  <c r="L53" i="35" s="1"/>
  <c r="D52" i="35"/>
  <c r="L52" i="35" s="1"/>
  <c r="D51" i="35"/>
  <c r="L51" i="35" s="1"/>
  <c r="D50" i="35"/>
  <c r="L50" i="35" s="1"/>
  <c r="L49" i="35"/>
  <c r="D48" i="35"/>
  <c r="L48" i="35" s="1"/>
  <c r="D47" i="35"/>
  <c r="L47" i="35" s="1"/>
  <c r="D46" i="35"/>
  <c r="L46" i="35" s="1"/>
  <c r="D45" i="35"/>
  <c r="L45" i="35" s="1"/>
  <c r="D44" i="35"/>
  <c r="L44" i="35" s="1"/>
  <c r="D43" i="35"/>
  <c r="L43" i="35" s="1"/>
  <c r="D42" i="35"/>
  <c r="L42" i="35" s="1"/>
  <c r="D41" i="35"/>
  <c r="L41" i="35" s="1"/>
  <c r="D40" i="35"/>
  <c r="L40" i="35" s="1"/>
  <c r="D39" i="35"/>
  <c r="L39" i="35" s="1"/>
  <c r="D38" i="35"/>
  <c r="L38" i="35" s="1"/>
  <c r="D37" i="35"/>
  <c r="L37" i="35" s="1"/>
  <c r="D36" i="35"/>
  <c r="L36" i="35" s="1"/>
  <c r="L35" i="35"/>
  <c r="D34" i="35"/>
  <c r="L34" i="35" s="1"/>
  <c r="D33" i="35"/>
  <c r="L33" i="35" s="1"/>
  <c r="D32" i="35"/>
  <c r="L32" i="35" s="1"/>
  <c r="D31" i="35"/>
  <c r="L31" i="35" s="1"/>
  <c r="D30" i="35"/>
  <c r="L30" i="35" s="1"/>
  <c r="D29" i="35"/>
  <c r="L29" i="35" s="1"/>
  <c r="D28" i="35"/>
  <c r="L28" i="35" s="1"/>
  <c r="D27" i="35"/>
  <c r="L27" i="35" s="1"/>
  <c r="D26" i="35"/>
  <c r="L26" i="35" s="1"/>
  <c r="D25" i="35"/>
  <c r="L25" i="35" s="1"/>
  <c r="D24" i="35"/>
  <c r="L24" i="35" s="1"/>
  <c r="D23" i="35"/>
  <c r="L23" i="35" s="1"/>
  <c r="D22" i="35"/>
  <c r="L22" i="35" s="1"/>
  <c r="L21" i="35"/>
  <c r="D20" i="35"/>
  <c r="L20" i="35" s="1"/>
  <c r="D19" i="35"/>
  <c r="L19" i="35" s="1"/>
  <c r="D18" i="35"/>
  <c r="L18" i="35" s="1"/>
  <c r="D17" i="35"/>
  <c r="L17" i="35" s="1"/>
  <c r="D16" i="35"/>
  <c r="L16" i="35" s="1"/>
  <c r="D15" i="35"/>
  <c r="L15" i="35" s="1"/>
  <c r="D14" i="35"/>
  <c r="L14" i="35" s="1"/>
  <c r="D13" i="35"/>
  <c r="L13" i="35" s="1"/>
  <c r="D12" i="35"/>
  <c r="L12" i="35" s="1"/>
  <c r="D11" i="35"/>
  <c r="L11" i="35" s="1"/>
  <c r="D10" i="35"/>
  <c r="L10" i="35" s="1"/>
  <c r="D9" i="35"/>
  <c r="D7" i="35"/>
  <c r="D57" i="34"/>
  <c r="D55" i="34"/>
  <c r="L55" i="34" s="1"/>
  <c r="D54" i="34"/>
  <c r="L54" i="34" s="1"/>
  <c r="D53" i="34"/>
  <c r="L53" i="34" s="1"/>
  <c r="D52" i="34"/>
  <c r="L52" i="34" s="1"/>
  <c r="L51" i="34"/>
  <c r="D50" i="34"/>
  <c r="L50" i="34" s="1"/>
  <c r="D49" i="34"/>
  <c r="L49" i="34" s="1"/>
  <c r="D48" i="34"/>
  <c r="L48" i="34" s="1"/>
  <c r="L47" i="34"/>
  <c r="D46" i="34"/>
  <c r="L46" i="34" s="1"/>
  <c r="D45" i="34"/>
  <c r="L45" i="34" s="1"/>
  <c r="D44" i="34"/>
  <c r="L44" i="34" s="1"/>
  <c r="L43" i="34"/>
  <c r="D42" i="34"/>
  <c r="L42" i="34" s="1"/>
  <c r="D41" i="34"/>
  <c r="L41" i="34" s="1"/>
  <c r="D40" i="34"/>
  <c r="L40" i="34" s="1"/>
  <c r="D39" i="34"/>
  <c r="L39" i="34" s="1"/>
  <c r="L38" i="34"/>
  <c r="D37" i="34"/>
  <c r="L37" i="34" s="1"/>
  <c r="D36" i="34"/>
  <c r="L36" i="34" s="1"/>
  <c r="D35" i="34"/>
  <c r="L35" i="34" s="1"/>
  <c r="L34" i="34"/>
  <c r="D33" i="34"/>
  <c r="L33" i="34" s="1"/>
  <c r="D32" i="34"/>
  <c r="L32" i="34" s="1"/>
  <c r="D31" i="34"/>
  <c r="L31" i="34" s="1"/>
  <c r="L30" i="34"/>
  <c r="D29" i="34"/>
  <c r="L29" i="34" s="1"/>
  <c r="D28" i="34"/>
  <c r="L28" i="34" s="1"/>
  <c r="D27" i="34"/>
  <c r="L27" i="34" s="1"/>
  <c r="L26" i="34"/>
  <c r="D25" i="34"/>
  <c r="L25" i="34" s="1"/>
  <c r="D24" i="34"/>
  <c r="L24" i="34" s="1"/>
  <c r="D23" i="34"/>
  <c r="L23" i="34" s="1"/>
  <c r="D22" i="34"/>
  <c r="L22" i="34" s="1"/>
  <c r="L21" i="34"/>
  <c r="D20" i="34"/>
  <c r="L20" i="34" s="1"/>
  <c r="D19" i="34"/>
  <c r="L19" i="34" s="1"/>
  <c r="D18" i="34"/>
  <c r="L18" i="34" s="1"/>
  <c r="L17" i="34"/>
  <c r="D16" i="34"/>
  <c r="D14" i="34"/>
  <c r="L14" i="34" s="1"/>
  <c r="L13" i="34"/>
  <c r="D12" i="34"/>
  <c r="L12" i="34" s="1"/>
  <c r="D11" i="34"/>
  <c r="L11" i="34" s="1"/>
  <c r="D10" i="34"/>
  <c r="L10" i="34" s="1"/>
  <c r="D9" i="34"/>
  <c r="D7" i="34"/>
  <c r="D57" i="33"/>
  <c r="D55" i="33"/>
  <c r="L55" i="33" s="1"/>
  <c r="D54" i="33"/>
  <c r="L54" i="33" s="1"/>
  <c r="D53" i="33"/>
  <c r="L53" i="33" s="1"/>
  <c r="L52" i="33"/>
  <c r="D51" i="33"/>
  <c r="L51" i="33" s="1"/>
  <c r="D50" i="33"/>
  <c r="L50" i="33" s="1"/>
  <c r="D49" i="33"/>
  <c r="L49" i="33" s="1"/>
  <c r="L48" i="33"/>
  <c r="D47" i="33"/>
  <c r="L47" i="33" s="1"/>
  <c r="D46" i="33"/>
  <c r="L46" i="33" s="1"/>
  <c r="D45" i="33"/>
  <c r="L45" i="33" s="1"/>
  <c r="D44" i="33"/>
  <c r="L44" i="33" s="1"/>
  <c r="L43" i="33"/>
  <c r="D42" i="33"/>
  <c r="L42" i="33" s="1"/>
  <c r="D41" i="33"/>
  <c r="L41" i="33" s="1"/>
  <c r="D40" i="33"/>
  <c r="L40" i="33" s="1"/>
  <c r="L39" i="33"/>
  <c r="D38" i="33"/>
  <c r="L38" i="33" s="1"/>
  <c r="D37" i="33"/>
  <c r="L37" i="33" s="1"/>
  <c r="D36" i="33"/>
  <c r="L36" i="33" s="1"/>
  <c r="D35" i="33"/>
  <c r="L35" i="33" s="1"/>
  <c r="L34" i="33"/>
  <c r="D33" i="33"/>
  <c r="L33" i="33" s="1"/>
  <c r="D32" i="33"/>
  <c r="L32" i="33" s="1"/>
  <c r="D31" i="33"/>
  <c r="L31" i="33" s="1"/>
  <c r="L30" i="33"/>
  <c r="D29" i="33"/>
  <c r="L29" i="33" s="1"/>
  <c r="D28" i="33"/>
  <c r="L28" i="33" s="1"/>
  <c r="D27" i="33"/>
  <c r="L27" i="33" s="1"/>
  <c r="D26" i="33"/>
  <c r="L26" i="33" s="1"/>
  <c r="L25" i="33"/>
  <c r="D24" i="33"/>
  <c r="L24" i="33" s="1"/>
  <c r="D23" i="33"/>
  <c r="L23" i="33" s="1"/>
  <c r="D22" i="33"/>
  <c r="L22" i="33" s="1"/>
  <c r="L21" i="33"/>
  <c r="L20" i="33"/>
  <c r="D19" i="33"/>
  <c r="L19" i="33" s="1"/>
  <c r="D18" i="33"/>
  <c r="L18" i="33" s="1"/>
  <c r="D17" i="33"/>
  <c r="L17" i="33" s="1"/>
  <c r="L16" i="33"/>
  <c r="D15" i="33"/>
  <c r="L15" i="33" s="1"/>
  <c r="D14" i="33"/>
  <c r="L14" i="33" s="1"/>
  <c r="D13" i="33"/>
  <c r="L13" i="33" s="1"/>
  <c r="D12" i="33"/>
  <c r="L12" i="33" s="1"/>
  <c r="L11" i="33"/>
  <c r="D10" i="33"/>
  <c r="L10" i="33" s="1"/>
  <c r="D9" i="33"/>
  <c r="D7" i="33"/>
  <c r="D57" i="32"/>
  <c r="D55" i="32"/>
  <c r="L55" i="32" s="1"/>
  <c r="D54" i="32"/>
  <c r="L54" i="32" s="1"/>
  <c r="L53" i="32"/>
  <c r="D52" i="32"/>
  <c r="L52" i="32" s="1"/>
  <c r="D51" i="32"/>
  <c r="L51" i="32" s="1"/>
  <c r="D50" i="32"/>
  <c r="L50" i="32" s="1"/>
  <c r="L49" i="32"/>
  <c r="D48" i="32"/>
  <c r="L48" i="32" s="1"/>
  <c r="D47" i="32"/>
  <c r="L47" i="32" s="1"/>
  <c r="D46" i="32"/>
  <c r="L46" i="32" s="1"/>
  <c r="L45" i="32"/>
  <c r="D44" i="32"/>
  <c r="L44" i="32" s="1"/>
  <c r="D43" i="32"/>
  <c r="L43" i="32" s="1"/>
  <c r="D42" i="32"/>
  <c r="L42" i="32" s="1"/>
  <c r="D41" i="32"/>
  <c r="L41" i="32" s="1"/>
  <c r="L40" i="32"/>
  <c r="D39" i="32"/>
  <c r="L39" i="32" s="1"/>
  <c r="D38" i="32"/>
  <c r="L38" i="32" s="1"/>
  <c r="D37" i="32"/>
  <c r="L37" i="32" s="1"/>
  <c r="L36" i="32"/>
  <c r="D35" i="32"/>
  <c r="L35" i="32" s="1"/>
  <c r="D34" i="32"/>
  <c r="L34" i="32" s="1"/>
  <c r="D33" i="32"/>
  <c r="L33" i="32" s="1"/>
  <c r="L32" i="32"/>
  <c r="D31" i="32"/>
  <c r="L31" i="32" s="1"/>
  <c r="D30" i="32"/>
  <c r="L30" i="32" s="1"/>
  <c r="D29" i="32"/>
  <c r="L29" i="32" s="1"/>
  <c r="D28" i="32"/>
  <c r="L28" i="32" s="1"/>
  <c r="L27" i="32"/>
  <c r="D26" i="32"/>
  <c r="L26" i="32" s="1"/>
  <c r="D25" i="32"/>
  <c r="L25" i="32" s="1"/>
  <c r="D24" i="32"/>
  <c r="L24" i="32" s="1"/>
  <c r="L23" i="32"/>
  <c r="D22" i="32"/>
  <c r="L22" i="32" s="1"/>
  <c r="D21" i="32"/>
  <c r="L21" i="32" s="1"/>
  <c r="D20" i="32"/>
  <c r="L20" i="32" s="1"/>
  <c r="L19" i="32"/>
  <c r="D18" i="32"/>
  <c r="L18" i="32" s="1"/>
  <c r="D17" i="32"/>
  <c r="L17" i="32" s="1"/>
  <c r="D16" i="32"/>
  <c r="L16" i="32" s="1"/>
  <c r="D15" i="32"/>
  <c r="L15" i="32" s="1"/>
  <c r="L14" i="32"/>
  <c r="D13" i="32"/>
  <c r="L13" i="32" s="1"/>
  <c r="D12" i="32"/>
  <c r="L12" i="32" s="1"/>
  <c r="D11" i="32"/>
  <c r="L11" i="32" s="1"/>
  <c r="L10" i="32"/>
  <c r="D9" i="32"/>
  <c r="D7" i="32"/>
  <c r="D57" i="31"/>
  <c r="D55" i="31"/>
  <c r="L55" i="31" s="1"/>
  <c r="L54" i="31"/>
  <c r="D53" i="31"/>
  <c r="L53" i="31" s="1"/>
  <c r="D52" i="31"/>
  <c r="L52" i="31" s="1"/>
  <c r="D51" i="31"/>
  <c r="L51" i="31" s="1"/>
  <c r="D50" i="31"/>
  <c r="L50" i="31" s="1"/>
  <c r="D49" i="31"/>
  <c r="L49" i="31" s="1"/>
  <c r="L48" i="31"/>
  <c r="D47" i="31"/>
  <c r="L47" i="31" s="1"/>
  <c r="D46" i="31"/>
  <c r="L46" i="31" s="1"/>
  <c r="D45" i="31"/>
  <c r="L45" i="31" s="1"/>
  <c r="D44" i="31"/>
  <c r="L44" i="31" s="1"/>
  <c r="L43" i="31"/>
  <c r="D42" i="31"/>
  <c r="L42" i="31" s="1"/>
  <c r="D41" i="31"/>
  <c r="L41" i="31" s="1"/>
  <c r="D40" i="31"/>
  <c r="L40" i="31" s="1"/>
  <c r="D39" i="31"/>
  <c r="L39" i="31" s="1"/>
  <c r="L38" i="31"/>
  <c r="D37" i="31"/>
  <c r="L37" i="31" s="1"/>
  <c r="D36" i="31"/>
  <c r="L36" i="31" s="1"/>
  <c r="D35" i="31"/>
  <c r="L35" i="31" s="1"/>
  <c r="D34" i="31"/>
  <c r="L34" i="31" s="1"/>
  <c r="L33" i="31"/>
  <c r="D32" i="31"/>
  <c r="L32" i="31" s="1"/>
  <c r="D31" i="31"/>
  <c r="L31" i="31" s="1"/>
  <c r="D30" i="31"/>
  <c r="L30" i="31" s="1"/>
  <c r="D29" i="31"/>
  <c r="L29" i="31" s="1"/>
  <c r="L28" i="31"/>
  <c r="D27" i="31"/>
  <c r="L27" i="31" s="1"/>
  <c r="D26" i="31"/>
  <c r="L26" i="31" s="1"/>
  <c r="D25" i="31"/>
  <c r="L25" i="31" s="1"/>
  <c r="D24" i="31"/>
  <c r="L24" i="31" s="1"/>
  <c r="L23" i="31"/>
  <c r="D22" i="31"/>
  <c r="L22" i="31" s="1"/>
  <c r="D21" i="31"/>
  <c r="L21" i="31" s="1"/>
  <c r="D20" i="31"/>
  <c r="L20" i="31" s="1"/>
  <c r="D19" i="31"/>
  <c r="L19" i="31" s="1"/>
  <c r="L18" i="31"/>
  <c r="D17" i="31"/>
  <c r="L17" i="31" s="1"/>
  <c r="D16" i="31"/>
  <c r="L16" i="31" s="1"/>
  <c r="D15" i="31"/>
  <c r="L15" i="31" s="1"/>
  <c r="D14" i="31"/>
  <c r="L14" i="31" s="1"/>
  <c r="L13" i="31"/>
  <c r="D12" i="31"/>
  <c r="L12" i="31" s="1"/>
  <c r="D11" i="31"/>
  <c r="L11" i="31" s="1"/>
  <c r="D10" i="31"/>
  <c r="L10" i="31" s="1"/>
  <c r="D9" i="31"/>
  <c r="D7" i="31"/>
  <c r="D57" i="30"/>
  <c r="D55" i="30"/>
  <c r="L55" i="30" s="1"/>
  <c r="D54" i="30"/>
  <c r="L54" i="30" s="1"/>
  <c r="D53" i="30"/>
  <c r="L53" i="30" s="1"/>
  <c r="D52" i="30"/>
  <c r="L52" i="30" s="1"/>
  <c r="D51" i="30"/>
  <c r="L51" i="30" s="1"/>
  <c r="L50" i="30"/>
  <c r="D49" i="30"/>
  <c r="L49" i="30" s="1"/>
  <c r="D48" i="30"/>
  <c r="L48" i="30" s="1"/>
  <c r="D47" i="30"/>
  <c r="L47" i="30" s="1"/>
  <c r="D46" i="30"/>
  <c r="L46" i="30" s="1"/>
  <c r="D45" i="30"/>
  <c r="L45" i="30" s="1"/>
  <c r="D44" i="30"/>
  <c r="L44" i="30" s="1"/>
  <c r="L43" i="30"/>
  <c r="D42" i="30"/>
  <c r="L42" i="30" s="1"/>
  <c r="D41" i="30"/>
  <c r="L41" i="30" s="1"/>
  <c r="D40" i="30"/>
  <c r="L40" i="30" s="1"/>
  <c r="D39" i="30"/>
  <c r="L39" i="30" s="1"/>
  <c r="D38" i="30"/>
  <c r="L38" i="30" s="1"/>
  <c r="D37" i="30"/>
  <c r="L37" i="30" s="1"/>
  <c r="L36" i="30"/>
  <c r="D35" i="30"/>
  <c r="L35" i="30" s="1"/>
  <c r="D34" i="30"/>
  <c r="L34" i="30" s="1"/>
  <c r="D33" i="30"/>
  <c r="L33" i="30" s="1"/>
  <c r="D32" i="30"/>
  <c r="L32" i="30" s="1"/>
  <c r="D31" i="30"/>
  <c r="L31" i="30" s="1"/>
  <c r="D30" i="30"/>
  <c r="L30" i="30" s="1"/>
  <c r="L29" i="30"/>
  <c r="D28" i="30"/>
  <c r="L28" i="30" s="1"/>
  <c r="D27" i="30"/>
  <c r="L27" i="30" s="1"/>
  <c r="D26" i="30"/>
  <c r="L26" i="30" s="1"/>
  <c r="D25" i="30"/>
  <c r="L25" i="30" s="1"/>
  <c r="D24" i="30"/>
  <c r="L24" i="30" s="1"/>
  <c r="D23" i="30"/>
  <c r="L23" i="30" s="1"/>
  <c r="L22" i="30"/>
  <c r="D21" i="30"/>
  <c r="L21" i="30" s="1"/>
  <c r="D20" i="30"/>
  <c r="L20" i="30" s="1"/>
  <c r="D19" i="30"/>
  <c r="L19" i="30" s="1"/>
  <c r="D18" i="30"/>
  <c r="L18" i="30" s="1"/>
  <c r="D17" i="30"/>
  <c r="L17" i="30" s="1"/>
  <c r="D16" i="30"/>
  <c r="L16" i="30" s="1"/>
  <c r="L15" i="30"/>
  <c r="D14" i="30"/>
  <c r="L14" i="30" s="1"/>
  <c r="D13" i="30"/>
  <c r="L13" i="30" s="1"/>
  <c r="D12" i="30"/>
  <c r="L12" i="30" s="1"/>
  <c r="D11" i="30"/>
  <c r="L11" i="30" s="1"/>
  <c r="D10" i="30"/>
  <c r="L10" i="30" s="1"/>
  <c r="D9" i="30"/>
  <c r="D7" i="30"/>
  <c r="D57" i="29"/>
  <c r="D55" i="29"/>
  <c r="L55" i="29" s="1"/>
  <c r="L54" i="29"/>
  <c r="D53" i="29"/>
  <c r="L53" i="29" s="1"/>
  <c r="D52" i="29"/>
  <c r="L52" i="29" s="1"/>
  <c r="D51" i="29"/>
  <c r="L51" i="29" s="1"/>
  <c r="D50" i="29"/>
  <c r="L50" i="29" s="1"/>
  <c r="D49" i="29"/>
  <c r="L49" i="29" s="1"/>
  <c r="L48" i="29"/>
  <c r="D47" i="29"/>
  <c r="L47" i="29" s="1"/>
  <c r="D46" i="29"/>
  <c r="L46" i="29" s="1"/>
  <c r="D45" i="29"/>
  <c r="L45" i="29" s="1"/>
  <c r="D44" i="29"/>
  <c r="L44" i="29" s="1"/>
  <c r="D43" i="29"/>
  <c r="L43" i="29" s="1"/>
  <c r="D42" i="29"/>
  <c r="L42" i="29" s="1"/>
  <c r="L41" i="29"/>
  <c r="D40" i="29"/>
  <c r="L40" i="29" s="1"/>
  <c r="D39" i="29"/>
  <c r="L39" i="29" s="1"/>
  <c r="D38" i="29"/>
  <c r="L38" i="29" s="1"/>
  <c r="D37" i="29"/>
  <c r="L37" i="29" s="1"/>
  <c r="D36" i="29"/>
  <c r="L36" i="29" s="1"/>
  <c r="D35" i="29"/>
  <c r="L35" i="29" s="1"/>
  <c r="L34" i="29"/>
  <c r="D33" i="29"/>
  <c r="L33" i="29" s="1"/>
  <c r="D32" i="29"/>
  <c r="L32" i="29" s="1"/>
  <c r="D31" i="29"/>
  <c r="L31" i="29" s="1"/>
  <c r="D30" i="29"/>
  <c r="L30" i="29" s="1"/>
  <c r="D29" i="29"/>
  <c r="L29" i="29" s="1"/>
  <c r="D28" i="29"/>
  <c r="L28" i="29" s="1"/>
  <c r="L27" i="29"/>
  <c r="D26" i="29"/>
  <c r="L26" i="29" s="1"/>
  <c r="D25" i="29"/>
  <c r="L25" i="29" s="1"/>
  <c r="D24" i="29"/>
  <c r="L24" i="29" s="1"/>
  <c r="D23" i="29"/>
  <c r="L23" i="29" s="1"/>
  <c r="D22" i="29"/>
  <c r="L22" i="29" s="1"/>
  <c r="D21" i="29"/>
  <c r="L21" i="29" s="1"/>
  <c r="L20" i="29"/>
  <c r="D19" i="29"/>
  <c r="L19" i="29" s="1"/>
  <c r="D18" i="29"/>
  <c r="L18" i="29" s="1"/>
  <c r="D17" i="29"/>
  <c r="L17" i="29" s="1"/>
  <c r="D16" i="29"/>
  <c r="L16" i="29" s="1"/>
  <c r="D15" i="29"/>
  <c r="L15" i="29" s="1"/>
  <c r="L14" i="29"/>
  <c r="D13" i="29"/>
  <c r="L13" i="29" s="1"/>
  <c r="D12" i="29"/>
  <c r="L12" i="29" s="1"/>
  <c r="D11" i="29"/>
  <c r="L11" i="29" s="1"/>
  <c r="D10" i="29"/>
  <c r="L10" i="29" s="1"/>
  <c r="D9" i="29"/>
  <c r="D7" i="29"/>
  <c r="E57" i="28"/>
  <c r="E55" i="28"/>
  <c r="E54" i="28"/>
  <c r="E53" i="28"/>
  <c r="E52" i="28"/>
  <c r="E51" i="28"/>
  <c r="E50" i="28"/>
  <c r="E48" i="28"/>
  <c r="E47" i="28"/>
  <c r="E46" i="28"/>
  <c r="E45" i="28"/>
  <c r="E44" i="28"/>
  <c r="E43" i="28"/>
  <c r="E42" i="28"/>
  <c r="E40" i="28"/>
  <c r="E39" i="28"/>
  <c r="E38" i="28"/>
  <c r="E37" i="28"/>
  <c r="E36" i="28"/>
  <c r="E35" i="28"/>
  <c r="E34" i="28"/>
  <c r="E33" i="28"/>
  <c r="E31" i="28"/>
  <c r="E30" i="28"/>
  <c r="E29" i="28"/>
  <c r="E28" i="28"/>
  <c r="E27" i="28"/>
  <c r="E26" i="28"/>
  <c r="E25" i="28"/>
  <c r="E24" i="28"/>
  <c r="E22" i="28"/>
  <c r="E21" i="28"/>
  <c r="E20" i="28"/>
  <c r="E19" i="28"/>
  <c r="E18" i="28"/>
  <c r="E17" i="28"/>
  <c r="E16" i="28"/>
  <c r="E14" i="28"/>
  <c r="E13" i="28"/>
  <c r="D12" i="28"/>
  <c r="L12" i="28" s="1"/>
  <c r="D11" i="28"/>
  <c r="L11" i="28" s="1"/>
  <c r="D10" i="28"/>
  <c r="L10" i="28" s="1"/>
  <c r="D9" i="28"/>
  <c r="D7" i="28"/>
  <c r="D57" i="27"/>
  <c r="D55" i="27"/>
  <c r="L55" i="27" s="1"/>
  <c r="D54" i="27"/>
  <c r="L54" i="27" s="1"/>
  <c r="D53" i="27"/>
  <c r="L53" i="27" s="1"/>
  <c r="D52" i="27"/>
  <c r="L52" i="27" s="1"/>
  <c r="L51" i="27"/>
  <c r="D50" i="27"/>
  <c r="L50" i="27" s="1"/>
  <c r="D49" i="27"/>
  <c r="L49" i="27" s="1"/>
  <c r="D48" i="27"/>
  <c r="L48" i="27" s="1"/>
  <c r="D47" i="27"/>
  <c r="L47" i="27" s="1"/>
  <c r="D46" i="27"/>
  <c r="L46" i="27" s="1"/>
  <c r="D45" i="27"/>
  <c r="L45" i="27" s="1"/>
  <c r="D44" i="27"/>
  <c r="L44" i="27" s="1"/>
  <c r="L43" i="27"/>
  <c r="D42" i="27"/>
  <c r="L42" i="27" s="1"/>
  <c r="D41" i="27"/>
  <c r="L41" i="27" s="1"/>
  <c r="D40" i="27"/>
  <c r="L40" i="27" s="1"/>
  <c r="D39" i="27"/>
  <c r="L39" i="27" s="1"/>
  <c r="D38" i="27"/>
  <c r="L38" i="27" s="1"/>
  <c r="D37" i="27"/>
  <c r="L37" i="27" s="1"/>
  <c r="D36" i="27"/>
  <c r="L36" i="27" s="1"/>
  <c r="L35" i="27"/>
  <c r="D34" i="27"/>
  <c r="L34" i="27" s="1"/>
  <c r="D33" i="27"/>
  <c r="L33" i="27" s="1"/>
  <c r="D32" i="27"/>
  <c r="L32" i="27" s="1"/>
  <c r="D31" i="27"/>
  <c r="L31" i="27" s="1"/>
  <c r="D30" i="27"/>
  <c r="L30" i="27" s="1"/>
  <c r="D29" i="27"/>
  <c r="L29" i="27" s="1"/>
  <c r="D28" i="27"/>
  <c r="L28" i="27" s="1"/>
  <c r="L27" i="27"/>
  <c r="D26" i="27"/>
  <c r="L26" i="27" s="1"/>
  <c r="D25" i="27"/>
  <c r="L25" i="27" s="1"/>
  <c r="D24" i="27"/>
  <c r="L24" i="27" s="1"/>
  <c r="D23" i="27"/>
  <c r="L23" i="27" s="1"/>
  <c r="D22" i="27"/>
  <c r="L22" i="27" s="1"/>
  <c r="D21" i="27"/>
  <c r="L21" i="27" s="1"/>
  <c r="D20" i="27"/>
  <c r="L20" i="27" s="1"/>
  <c r="L19" i="27"/>
  <c r="D18" i="27"/>
  <c r="L18" i="27" s="1"/>
  <c r="D17" i="27"/>
  <c r="L17" i="27" s="1"/>
  <c r="D16" i="27"/>
  <c r="L16" i="27" s="1"/>
  <c r="D15" i="27"/>
  <c r="L15" i="27" s="1"/>
  <c r="D14" i="27"/>
  <c r="L14" i="27" s="1"/>
  <c r="D13" i="27"/>
  <c r="L13" i="27" s="1"/>
  <c r="D12" i="27"/>
  <c r="L12" i="27" s="1"/>
  <c r="L11" i="27"/>
  <c r="D10" i="27"/>
  <c r="L10" i="27" s="1"/>
  <c r="D9" i="27"/>
  <c r="D7" i="27"/>
  <c r="D57" i="26"/>
  <c r="D55" i="26"/>
  <c r="L55" i="26" s="1"/>
  <c r="D54" i="26"/>
  <c r="L54" i="26" s="1"/>
  <c r="D53" i="26"/>
  <c r="L53" i="26" s="1"/>
  <c r="D52" i="26"/>
  <c r="L52" i="26" s="1"/>
  <c r="D51" i="26"/>
  <c r="L51" i="26" s="1"/>
  <c r="D50" i="26"/>
  <c r="L50" i="26" s="1"/>
  <c r="D49" i="26"/>
  <c r="L49" i="26" s="1"/>
  <c r="D48" i="26"/>
  <c r="L48" i="26" s="1"/>
  <c r="D47" i="26"/>
  <c r="L47" i="26" s="1"/>
  <c r="D46" i="26"/>
  <c r="L46" i="26" s="1"/>
  <c r="D45" i="26"/>
  <c r="L45" i="26" s="1"/>
  <c r="D44" i="26"/>
  <c r="L44" i="26" s="1"/>
  <c r="D43" i="26"/>
  <c r="L43" i="26" s="1"/>
  <c r="D42" i="26"/>
  <c r="L42" i="26" s="1"/>
  <c r="D41" i="26"/>
  <c r="L41" i="26" s="1"/>
  <c r="D40" i="26"/>
  <c r="L40" i="26" s="1"/>
  <c r="D39" i="26"/>
  <c r="L39" i="26" s="1"/>
  <c r="D38" i="26"/>
  <c r="L38" i="26" s="1"/>
  <c r="D37" i="26"/>
  <c r="L37" i="26" s="1"/>
  <c r="D36" i="26"/>
  <c r="L36" i="26" s="1"/>
  <c r="D35" i="26"/>
  <c r="L35" i="26" s="1"/>
  <c r="D34" i="26"/>
  <c r="L34" i="26" s="1"/>
  <c r="D33" i="26"/>
  <c r="L33" i="26" s="1"/>
  <c r="D32" i="26"/>
  <c r="L32" i="26" s="1"/>
  <c r="D31" i="26"/>
  <c r="L31" i="26" s="1"/>
  <c r="D30" i="26"/>
  <c r="L30" i="26" s="1"/>
  <c r="D29" i="26"/>
  <c r="L29" i="26" s="1"/>
  <c r="D28" i="26"/>
  <c r="L28" i="26" s="1"/>
  <c r="D27" i="26"/>
  <c r="L27" i="26" s="1"/>
  <c r="D26" i="26"/>
  <c r="L26" i="26" s="1"/>
  <c r="D25" i="26"/>
  <c r="L25" i="26" s="1"/>
  <c r="D24" i="26"/>
  <c r="L24" i="26" s="1"/>
  <c r="D23" i="26"/>
  <c r="L23" i="26" s="1"/>
  <c r="D22" i="26"/>
  <c r="L22" i="26" s="1"/>
  <c r="D21" i="26"/>
  <c r="L21" i="26" s="1"/>
  <c r="D20" i="26"/>
  <c r="L20" i="26" s="1"/>
  <c r="D19" i="26"/>
  <c r="L19" i="26" s="1"/>
  <c r="D18" i="26"/>
  <c r="L18" i="26" s="1"/>
  <c r="D17" i="26"/>
  <c r="L17" i="26" s="1"/>
  <c r="D16" i="26"/>
  <c r="L16" i="26" s="1"/>
  <c r="D15" i="26"/>
  <c r="L15" i="26" s="1"/>
  <c r="D14" i="26"/>
  <c r="L14" i="26" s="1"/>
  <c r="D13" i="26"/>
  <c r="L13" i="26" s="1"/>
  <c r="D12" i="26"/>
  <c r="L12" i="26" s="1"/>
  <c r="D11" i="26"/>
  <c r="L11" i="26" s="1"/>
  <c r="D10" i="26"/>
  <c r="L10" i="26" s="1"/>
  <c r="D9" i="26"/>
  <c r="D7" i="26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7" i="31" l="1"/>
  <c r="H7" i="31" s="1"/>
  <c r="L7" i="31"/>
  <c r="G9" i="34"/>
  <c r="H9" i="34" s="1"/>
  <c r="L9" i="34"/>
  <c r="G9" i="35"/>
  <c r="H9" i="35" s="1"/>
  <c r="L9" i="35"/>
  <c r="G7" i="36"/>
  <c r="H7" i="36" s="1"/>
  <c r="L7" i="36"/>
  <c r="G57" i="36"/>
  <c r="H57" i="36" s="1"/>
  <c r="L57" i="36"/>
  <c r="G7" i="27"/>
  <c r="H7" i="27" s="1"/>
  <c r="L7" i="27"/>
  <c r="G57" i="31"/>
  <c r="H57" i="31" s="1"/>
  <c r="L57" i="31"/>
  <c r="G9" i="27"/>
  <c r="H9" i="27" s="1"/>
  <c r="L9" i="27"/>
  <c r="G7" i="28"/>
  <c r="H7" i="28" s="1"/>
  <c r="L7" i="28"/>
  <c r="G9" i="31"/>
  <c r="H9" i="31" s="1"/>
  <c r="L9" i="31"/>
  <c r="G7" i="32"/>
  <c r="H7" i="32" s="1"/>
  <c r="L7" i="32"/>
  <c r="G57" i="32"/>
  <c r="H57" i="32" s="1"/>
  <c r="L57" i="32"/>
  <c r="G9" i="36"/>
  <c r="H9" i="36" s="1"/>
  <c r="L9" i="36"/>
  <c r="G7" i="37"/>
  <c r="H7" i="37" s="1"/>
  <c r="L7" i="37"/>
  <c r="G44" i="37"/>
  <c r="H44" i="37" s="1"/>
  <c r="L44" i="37"/>
  <c r="G48" i="37"/>
  <c r="H48" i="37" s="1"/>
  <c r="L48" i="37"/>
  <c r="G57" i="37"/>
  <c r="H57" i="37" s="1"/>
  <c r="L57" i="37"/>
  <c r="G57" i="27"/>
  <c r="H57" i="27" s="1"/>
  <c r="L57" i="27"/>
  <c r="G9" i="30"/>
  <c r="H9" i="30" s="1"/>
  <c r="L9" i="30"/>
  <c r="G7" i="29"/>
  <c r="H7" i="29" s="1"/>
  <c r="L7" i="29"/>
  <c r="G57" i="29"/>
  <c r="H57" i="29" s="1"/>
  <c r="L57" i="29"/>
  <c r="G9" i="32"/>
  <c r="H9" i="32" s="1"/>
  <c r="L9" i="32"/>
  <c r="G7" i="33"/>
  <c r="H7" i="33" s="1"/>
  <c r="L7" i="33"/>
  <c r="G57" i="33"/>
  <c r="H57" i="33" s="1"/>
  <c r="L57" i="33"/>
  <c r="G16" i="34"/>
  <c r="H16" i="34" s="1"/>
  <c r="L16" i="34"/>
  <c r="G57" i="34"/>
  <c r="H57" i="34" s="1"/>
  <c r="L57" i="34"/>
  <c r="G9" i="37"/>
  <c r="H9" i="37" s="1"/>
  <c r="L9" i="37"/>
  <c r="G9" i="28"/>
  <c r="H9" i="28" s="1"/>
  <c r="L9" i="28"/>
  <c r="G9" i="29"/>
  <c r="H9" i="29" s="1"/>
  <c r="L9" i="29"/>
  <c r="G7" i="30"/>
  <c r="H7" i="30" s="1"/>
  <c r="L7" i="30"/>
  <c r="G57" i="30"/>
  <c r="H57" i="30" s="1"/>
  <c r="L57" i="30"/>
  <c r="G9" i="33"/>
  <c r="H9" i="33" s="1"/>
  <c r="L9" i="33"/>
  <c r="G7" i="34"/>
  <c r="H7" i="34" s="1"/>
  <c r="L7" i="34"/>
  <c r="G7" i="35"/>
  <c r="H7" i="35" s="1"/>
  <c r="L7" i="35"/>
  <c r="G57" i="35"/>
  <c r="H57" i="35" s="1"/>
  <c r="L57" i="35"/>
  <c r="G57" i="26"/>
  <c r="H57" i="26" s="1"/>
  <c r="L57" i="26"/>
  <c r="G9" i="26"/>
  <c r="H9" i="26" s="1"/>
  <c r="L9" i="26"/>
  <c r="G7" i="26"/>
  <c r="H7" i="26" s="1"/>
  <c r="L7" i="26"/>
  <c r="G12" i="26"/>
  <c r="H12" i="26" s="1"/>
  <c r="G16" i="26"/>
  <c r="H16" i="26" s="1"/>
  <c r="G20" i="26"/>
  <c r="H20" i="26" s="1"/>
  <c r="G24" i="26"/>
  <c r="H24" i="26" s="1"/>
  <c r="G28" i="26"/>
  <c r="H28" i="26" s="1"/>
  <c r="G32" i="26"/>
  <c r="H32" i="26" s="1"/>
  <c r="G36" i="26"/>
  <c r="H36" i="26" s="1"/>
  <c r="G40" i="26"/>
  <c r="H40" i="26" s="1"/>
  <c r="G44" i="26"/>
  <c r="H44" i="26" s="1"/>
  <c r="G48" i="26"/>
  <c r="H48" i="26" s="1"/>
  <c r="G52" i="26"/>
  <c r="H52" i="26" s="1"/>
  <c r="G15" i="27"/>
  <c r="H15" i="27" s="1"/>
  <c r="G23" i="27"/>
  <c r="H23" i="27" s="1"/>
  <c r="G31" i="27"/>
  <c r="H31" i="27" s="1"/>
  <c r="G39" i="27"/>
  <c r="H39" i="27" s="1"/>
  <c r="G47" i="27"/>
  <c r="H47" i="27" s="1"/>
  <c r="G55" i="27"/>
  <c r="H55" i="27" s="1"/>
  <c r="G10" i="28"/>
  <c r="H10" i="28" s="1"/>
  <c r="G13" i="29"/>
  <c r="H13" i="29" s="1"/>
  <c r="G17" i="29"/>
  <c r="H17" i="29" s="1"/>
  <c r="G21" i="29"/>
  <c r="H21" i="29" s="1"/>
  <c r="G25" i="29"/>
  <c r="H25" i="29" s="1"/>
  <c r="G29" i="29"/>
  <c r="H29" i="29" s="1"/>
  <c r="G33" i="29"/>
  <c r="H33" i="29" s="1"/>
  <c r="G37" i="29"/>
  <c r="H37" i="29" s="1"/>
  <c r="G45" i="29"/>
  <c r="H45" i="29" s="1"/>
  <c r="G49" i="29"/>
  <c r="H49" i="29" s="1"/>
  <c r="G53" i="29"/>
  <c r="H53" i="29" s="1"/>
  <c r="G12" i="30"/>
  <c r="H12" i="30" s="1"/>
  <c r="G16" i="30"/>
  <c r="H16" i="30" s="1"/>
  <c r="G20" i="30"/>
  <c r="H20" i="30" s="1"/>
  <c r="G24" i="30"/>
  <c r="H24" i="30" s="1"/>
  <c r="G28" i="30"/>
  <c r="H28" i="30" s="1"/>
  <c r="G32" i="30"/>
  <c r="H32" i="30" s="1"/>
  <c r="G40" i="30"/>
  <c r="H40" i="30" s="1"/>
  <c r="G44" i="30"/>
  <c r="H44" i="30" s="1"/>
  <c r="G48" i="30"/>
  <c r="H48" i="30" s="1"/>
  <c r="G52" i="30"/>
  <c r="H52" i="30" s="1"/>
  <c r="G12" i="35"/>
  <c r="H12" i="35" s="1"/>
  <c r="G16" i="35"/>
  <c r="H16" i="35" s="1"/>
  <c r="G20" i="35"/>
  <c r="H20" i="35" s="1"/>
  <c r="G24" i="35"/>
  <c r="H24" i="35" s="1"/>
  <c r="G28" i="35"/>
  <c r="H28" i="35" s="1"/>
  <c r="G32" i="35"/>
  <c r="H32" i="35" s="1"/>
  <c r="G36" i="35"/>
  <c r="H36" i="35" s="1"/>
  <c r="G40" i="35"/>
  <c r="H40" i="35" s="1"/>
  <c r="G44" i="35"/>
  <c r="H44" i="35" s="1"/>
  <c r="G48" i="35"/>
  <c r="H48" i="35" s="1"/>
  <c r="G52" i="35"/>
  <c r="H52" i="35" s="1"/>
  <c r="G54" i="37"/>
  <c r="H54" i="37" s="1"/>
  <c r="G44" i="36"/>
  <c r="H44" i="36" s="1"/>
  <c r="G48" i="36"/>
  <c r="H48" i="36" s="1"/>
  <c r="G52" i="36"/>
  <c r="H52" i="36" s="1"/>
  <c r="G11" i="37"/>
  <c r="H11" i="37" s="1"/>
  <c r="G50" i="35"/>
  <c r="H50" i="35" s="1"/>
  <c r="G54" i="35"/>
  <c r="H54" i="35" s="1"/>
  <c r="G13" i="36"/>
  <c r="H13" i="36" s="1"/>
  <c r="G17" i="36"/>
  <c r="H17" i="36" s="1"/>
  <c r="G21" i="36"/>
  <c r="H21" i="36" s="1"/>
  <c r="G25" i="36"/>
  <c r="H25" i="36" s="1"/>
  <c r="G29" i="36"/>
  <c r="H29" i="36" s="1"/>
  <c r="G33" i="36"/>
  <c r="H33" i="36" s="1"/>
  <c r="G37" i="36"/>
  <c r="H37" i="36" s="1"/>
  <c r="G41" i="36"/>
  <c r="H41" i="36" s="1"/>
  <c r="G45" i="36"/>
  <c r="H45" i="36" s="1"/>
  <c r="G49" i="36"/>
  <c r="H49" i="36" s="1"/>
  <c r="G53" i="36"/>
  <c r="H53" i="36" s="1"/>
  <c r="G16" i="37"/>
  <c r="H16" i="37" s="1"/>
  <c r="G20" i="37"/>
  <c r="H20" i="37" s="1"/>
  <c r="G28" i="37"/>
  <c r="H28" i="37" s="1"/>
  <c r="G32" i="37"/>
  <c r="H32" i="37" s="1"/>
  <c r="G36" i="37"/>
  <c r="H36" i="37" s="1"/>
  <c r="G40" i="37"/>
  <c r="H40" i="37" s="1"/>
  <c r="G52" i="37"/>
  <c r="H52" i="37" s="1"/>
  <c r="G12" i="27"/>
  <c r="H12" i="27" s="1"/>
  <c r="G16" i="27"/>
  <c r="H16" i="27" s="1"/>
  <c r="G20" i="27"/>
  <c r="H20" i="27" s="1"/>
  <c r="G24" i="27"/>
  <c r="H24" i="27" s="1"/>
  <c r="G28" i="27"/>
  <c r="H28" i="27" s="1"/>
  <c r="G32" i="27"/>
  <c r="H32" i="27" s="1"/>
  <c r="G36" i="27"/>
  <c r="H36" i="27" s="1"/>
  <c r="G40" i="27"/>
  <c r="H40" i="27" s="1"/>
  <c r="G44" i="27"/>
  <c r="H44" i="27" s="1"/>
  <c r="G48" i="27"/>
  <c r="H48" i="27" s="1"/>
  <c r="G52" i="27"/>
  <c r="H52" i="27" s="1"/>
  <c r="G11" i="28"/>
  <c r="H11" i="28" s="1"/>
  <c r="G10" i="29"/>
  <c r="H10" i="29" s="1"/>
  <c r="G18" i="29"/>
  <c r="H18" i="29" s="1"/>
  <c r="G22" i="29"/>
  <c r="H22" i="29" s="1"/>
  <c r="G26" i="29"/>
  <c r="H26" i="29" s="1"/>
  <c r="G30" i="29"/>
  <c r="H30" i="29" s="1"/>
  <c r="G38" i="29"/>
  <c r="H38" i="29" s="1"/>
  <c r="G42" i="29"/>
  <c r="H42" i="29" s="1"/>
  <c r="G46" i="29"/>
  <c r="H46" i="29" s="1"/>
  <c r="G50" i="29"/>
  <c r="H50" i="29" s="1"/>
  <c r="G13" i="30"/>
  <c r="H13" i="30" s="1"/>
  <c r="G17" i="26"/>
  <c r="H17" i="26" s="1"/>
  <c r="G25" i="26"/>
  <c r="H25" i="26" s="1"/>
  <c r="G33" i="26"/>
  <c r="H33" i="26" s="1"/>
  <c r="G41" i="26"/>
  <c r="H41" i="26" s="1"/>
  <c r="G49" i="26"/>
  <c r="H49" i="26" s="1"/>
  <c r="G13" i="26"/>
  <c r="H13" i="26" s="1"/>
  <c r="G21" i="26"/>
  <c r="H21" i="26" s="1"/>
  <c r="G29" i="26"/>
  <c r="H29" i="26" s="1"/>
  <c r="G37" i="26"/>
  <c r="H37" i="26" s="1"/>
  <c r="G45" i="26"/>
  <c r="H45" i="26" s="1"/>
  <c r="G53" i="26"/>
  <c r="H53" i="26" s="1"/>
  <c r="G17" i="30"/>
  <c r="H17" i="30" s="1"/>
  <c r="G21" i="30"/>
  <c r="H21" i="30" s="1"/>
  <c r="G25" i="30"/>
  <c r="H25" i="30" s="1"/>
  <c r="G33" i="30"/>
  <c r="H33" i="30" s="1"/>
  <c r="G37" i="30"/>
  <c r="H37" i="30" s="1"/>
  <c r="G41" i="30"/>
  <c r="H41" i="30" s="1"/>
  <c r="G45" i="30"/>
  <c r="H45" i="30" s="1"/>
  <c r="G49" i="30"/>
  <c r="H49" i="30" s="1"/>
  <c r="G53" i="30"/>
  <c r="H53" i="30" s="1"/>
  <c r="G12" i="31"/>
  <c r="H12" i="31" s="1"/>
  <c r="G16" i="31"/>
  <c r="H16" i="31" s="1"/>
  <c r="G20" i="31"/>
  <c r="H20" i="31" s="1"/>
  <c r="G24" i="31"/>
  <c r="H24" i="31" s="1"/>
  <c r="G32" i="31"/>
  <c r="H32" i="31" s="1"/>
  <c r="G36" i="31"/>
  <c r="H36" i="31" s="1"/>
  <c r="G40" i="31"/>
  <c r="H40" i="31" s="1"/>
  <c r="G44" i="31"/>
  <c r="H44" i="31" s="1"/>
  <c r="G52" i="31"/>
  <c r="H52" i="31" s="1"/>
  <c r="G11" i="32"/>
  <c r="H11" i="32" s="1"/>
  <c r="G15" i="32"/>
  <c r="H15" i="32" s="1"/>
  <c r="G31" i="32"/>
  <c r="H31" i="32" s="1"/>
  <c r="G35" i="32"/>
  <c r="H35" i="32" s="1"/>
  <c r="G39" i="32"/>
  <c r="H39" i="32" s="1"/>
  <c r="G43" i="32"/>
  <c r="H43" i="32" s="1"/>
  <c r="G47" i="32"/>
  <c r="H47" i="32" s="1"/>
  <c r="G51" i="32"/>
  <c r="H51" i="32" s="1"/>
  <c r="G55" i="32"/>
  <c r="H55" i="32" s="1"/>
  <c r="G10" i="33"/>
  <c r="H10" i="33" s="1"/>
  <c r="G14" i="33"/>
  <c r="H14" i="33" s="1"/>
  <c r="G18" i="33"/>
  <c r="H18" i="33" s="1"/>
  <c r="G22" i="33"/>
  <c r="H22" i="33" s="1"/>
  <c r="G26" i="33"/>
  <c r="H26" i="33" s="1"/>
  <c r="G38" i="33"/>
  <c r="H38" i="33" s="1"/>
  <c r="G42" i="33"/>
  <c r="H42" i="33" s="1"/>
  <c r="G46" i="33"/>
  <c r="H46" i="33" s="1"/>
  <c r="G50" i="33"/>
  <c r="H50" i="33" s="1"/>
  <c r="G54" i="33"/>
  <c r="H54" i="33" s="1"/>
  <c r="G18" i="34"/>
  <c r="H18" i="34" s="1"/>
  <c r="G22" i="34"/>
  <c r="H22" i="34" s="1"/>
  <c r="G42" i="34"/>
  <c r="H42" i="34" s="1"/>
  <c r="G46" i="34"/>
  <c r="H46" i="34" s="1"/>
  <c r="G50" i="34"/>
  <c r="H50" i="34" s="1"/>
  <c r="G54" i="34"/>
  <c r="H54" i="34" s="1"/>
  <c r="G13" i="35"/>
  <c r="H13" i="35" s="1"/>
  <c r="G17" i="35"/>
  <c r="H17" i="35" s="1"/>
  <c r="G25" i="35"/>
  <c r="H25" i="35" s="1"/>
  <c r="G29" i="35"/>
  <c r="H29" i="35" s="1"/>
  <c r="G33" i="35"/>
  <c r="H33" i="35" s="1"/>
  <c r="G37" i="35"/>
  <c r="H37" i="35" s="1"/>
  <c r="G41" i="35"/>
  <c r="H41" i="35" s="1"/>
  <c r="G45" i="35"/>
  <c r="H45" i="35" s="1"/>
  <c r="G53" i="35"/>
  <c r="H53" i="35" s="1"/>
  <c r="G12" i="36"/>
  <c r="H12" i="36" s="1"/>
  <c r="G16" i="36"/>
  <c r="H16" i="36" s="1"/>
  <c r="G20" i="36"/>
  <c r="H20" i="36" s="1"/>
  <c r="G24" i="36"/>
  <c r="H24" i="36" s="1"/>
  <c r="G28" i="36"/>
  <c r="H28" i="36" s="1"/>
  <c r="G32" i="36"/>
  <c r="H32" i="36" s="1"/>
  <c r="G36" i="36"/>
  <c r="H36" i="36" s="1"/>
  <c r="G40" i="36"/>
  <c r="H40" i="36" s="1"/>
  <c r="G15" i="37"/>
  <c r="H15" i="37" s="1"/>
  <c r="G19" i="37"/>
  <c r="H19" i="37" s="1"/>
  <c r="G23" i="37"/>
  <c r="H23" i="37" s="1"/>
  <c r="G27" i="37"/>
  <c r="H27" i="37" s="1"/>
  <c r="G31" i="37"/>
  <c r="H31" i="37" s="1"/>
  <c r="G39" i="37"/>
  <c r="H39" i="37" s="1"/>
  <c r="G43" i="37"/>
  <c r="H43" i="37" s="1"/>
  <c r="G51" i="37"/>
  <c r="H51" i="37" s="1"/>
  <c r="G55" i="37"/>
  <c r="H55" i="37" s="1"/>
  <c r="G10" i="26"/>
  <c r="H10" i="26" s="1"/>
  <c r="G14" i="26"/>
  <c r="H14" i="26" s="1"/>
  <c r="G18" i="26"/>
  <c r="H18" i="26" s="1"/>
  <c r="G22" i="26"/>
  <c r="H22" i="26" s="1"/>
  <c r="G26" i="26"/>
  <c r="H26" i="26" s="1"/>
  <c r="G30" i="26"/>
  <c r="H30" i="26" s="1"/>
  <c r="G34" i="26"/>
  <c r="H34" i="26" s="1"/>
  <c r="G38" i="26"/>
  <c r="H38" i="26" s="1"/>
  <c r="G42" i="26"/>
  <c r="H42" i="26" s="1"/>
  <c r="G46" i="26"/>
  <c r="H46" i="26" s="1"/>
  <c r="G50" i="26"/>
  <c r="H50" i="26" s="1"/>
  <c r="G54" i="26"/>
  <c r="H54" i="26" s="1"/>
  <c r="G13" i="27"/>
  <c r="H13" i="27" s="1"/>
  <c r="G17" i="27"/>
  <c r="H17" i="27" s="1"/>
  <c r="G21" i="27"/>
  <c r="H21" i="27" s="1"/>
  <c r="G25" i="27"/>
  <c r="H25" i="27" s="1"/>
  <c r="G29" i="27"/>
  <c r="H29" i="27" s="1"/>
  <c r="G33" i="27"/>
  <c r="H33" i="27" s="1"/>
  <c r="G37" i="27"/>
  <c r="H37" i="27" s="1"/>
  <c r="G41" i="27"/>
  <c r="H41" i="27" s="1"/>
  <c r="G45" i="27"/>
  <c r="H45" i="27" s="1"/>
  <c r="G49" i="27"/>
  <c r="H49" i="27" s="1"/>
  <c r="G53" i="27"/>
  <c r="H53" i="27" s="1"/>
  <c r="G12" i="28"/>
  <c r="H12" i="28" s="1"/>
  <c r="G11" i="29"/>
  <c r="H11" i="29" s="1"/>
  <c r="G15" i="29"/>
  <c r="H15" i="29" s="1"/>
  <c r="G19" i="29"/>
  <c r="H19" i="29" s="1"/>
  <c r="G23" i="29"/>
  <c r="H23" i="29" s="1"/>
  <c r="G31" i="29"/>
  <c r="H31" i="29" s="1"/>
  <c r="G35" i="29"/>
  <c r="H35" i="29" s="1"/>
  <c r="G39" i="29"/>
  <c r="H39" i="29" s="1"/>
  <c r="G43" i="29"/>
  <c r="H43" i="29" s="1"/>
  <c r="G47" i="29"/>
  <c r="H47" i="29" s="1"/>
  <c r="G51" i="29"/>
  <c r="H51" i="29" s="1"/>
  <c r="G55" i="29"/>
  <c r="H55" i="29" s="1"/>
  <c r="G10" i="30"/>
  <c r="H10" i="30" s="1"/>
  <c r="G14" i="30"/>
  <c r="H14" i="30" s="1"/>
  <c r="G18" i="30"/>
  <c r="H18" i="30" s="1"/>
  <c r="G26" i="30"/>
  <c r="H26" i="30" s="1"/>
  <c r="G30" i="30"/>
  <c r="H30" i="30" s="1"/>
  <c r="G34" i="30"/>
  <c r="H34" i="30" s="1"/>
  <c r="G38" i="30"/>
  <c r="H38" i="30" s="1"/>
  <c r="G42" i="30"/>
  <c r="H42" i="30" s="1"/>
  <c r="G46" i="30"/>
  <c r="H46" i="30" s="1"/>
  <c r="G54" i="30"/>
  <c r="H54" i="30" s="1"/>
  <c r="G17" i="31"/>
  <c r="H17" i="31" s="1"/>
  <c r="G21" i="31"/>
  <c r="H21" i="31" s="1"/>
  <c r="G25" i="31"/>
  <c r="H25" i="31" s="1"/>
  <c r="G29" i="31"/>
  <c r="H29" i="31" s="1"/>
  <c r="G37" i="31"/>
  <c r="H37" i="31" s="1"/>
  <c r="G41" i="31"/>
  <c r="H41" i="31" s="1"/>
  <c r="G45" i="31"/>
  <c r="H45" i="31" s="1"/>
  <c r="G49" i="31"/>
  <c r="H49" i="31" s="1"/>
  <c r="G53" i="31"/>
  <c r="H53" i="31" s="1"/>
  <c r="G12" i="32"/>
  <c r="H12" i="32" s="1"/>
  <c r="G16" i="32"/>
  <c r="H16" i="32" s="1"/>
  <c r="G20" i="32"/>
  <c r="H20" i="32" s="1"/>
  <c r="G24" i="32"/>
  <c r="H24" i="32" s="1"/>
  <c r="G28" i="32"/>
  <c r="H28" i="32" s="1"/>
  <c r="G44" i="32"/>
  <c r="H44" i="32" s="1"/>
  <c r="G48" i="32"/>
  <c r="H48" i="32" s="1"/>
  <c r="G52" i="32"/>
  <c r="H52" i="32" s="1"/>
  <c r="G15" i="33"/>
  <c r="H15" i="33" s="1"/>
  <c r="G19" i="33"/>
  <c r="H19" i="33" s="1"/>
  <c r="G23" i="33"/>
  <c r="H23" i="33" s="1"/>
  <c r="G27" i="33"/>
  <c r="H27" i="33" s="1"/>
  <c r="G31" i="33"/>
  <c r="H31" i="33" s="1"/>
  <c r="G35" i="33"/>
  <c r="H35" i="33" s="1"/>
  <c r="G47" i="33"/>
  <c r="H47" i="33" s="1"/>
  <c r="G51" i="33"/>
  <c r="H51" i="33" s="1"/>
  <c r="G55" i="33"/>
  <c r="H55" i="33" s="1"/>
  <c r="G10" i="34"/>
  <c r="H10" i="34" s="1"/>
  <c r="G14" i="34"/>
  <c r="H14" i="34" s="1"/>
  <c r="G15" i="34"/>
  <c r="H15" i="34" s="1"/>
  <c r="G19" i="34"/>
  <c r="H19" i="34" s="1"/>
  <c r="G23" i="34"/>
  <c r="H23" i="34" s="1"/>
  <c r="G27" i="34"/>
  <c r="H27" i="34" s="1"/>
  <c r="G31" i="34"/>
  <c r="H31" i="34" s="1"/>
  <c r="G35" i="34"/>
  <c r="H35" i="34" s="1"/>
  <c r="G39" i="34"/>
  <c r="H39" i="34" s="1"/>
  <c r="G55" i="34"/>
  <c r="H55" i="34" s="1"/>
  <c r="G10" i="35"/>
  <c r="H10" i="35" s="1"/>
  <c r="G14" i="35"/>
  <c r="H14" i="35" s="1"/>
  <c r="G18" i="35"/>
  <c r="H18" i="35" s="1"/>
  <c r="G22" i="35"/>
  <c r="H22" i="35" s="1"/>
  <c r="G26" i="35"/>
  <c r="H26" i="35" s="1"/>
  <c r="G30" i="35"/>
  <c r="H30" i="35" s="1"/>
  <c r="G34" i="35"/>
  <c r="H34" i="35" s="1"/>
  <c r="G38" i="35"/>
  <c r="H38" i="35" s="1"/>
  <c r="G42" i="35"/>
  <c r="H42" i="35" s="1"/>
  <c r="G46" i="35"/>
  <c r="H46" i="35" s="1"/>
  <c r="G13" i="28"/>
  <c r="H13" i="28" s="1"/>
  <c r="G11" i="26"/>
  <c r="H11" i="26" s="1"/>
  <c r="G15" i="26"/>
  <c r="H15" i="26" s="1"/>
  <c r="G19" i="26"/>
  <c r="H19" i="26" s="1"/>
  <c r="G23" i="26"/>
  <c r="H23" i="26" s="1"/>
  <c r="G27" i="26"/>
  <c r="H27" i="26" s="1"/>
  <c r="G31" i="26"/>
  <c r="H31" i="26" s="1"/>
  <c r="G35" i="26"/>
  <c r="H35" i="26" s="1"/>
  <c r="G39" i="26"/>
  <c r="H39" i="26" s="1"/>
  <c r="G43" i="26"/>
  <c r="H43" i="26" s="1"/>
  <c r="G47" i="26"/>
  <c r="H47" i="26" s="1"/>
  <c r="G51" i="26"/>
  <c r="H51" i="26" s="1"/>
  <c r="G55" i="26"/>
  <c r="H55" i="26" s="1"/>
  <c r="G10" i="27"/>
  <c r="H10" i="27" s="1"/>
  <c r="G14" i="27"/>
  <c r="H14" i="27" s="1"/>
  <c r="G18" i="27"/>
  <c r="H18" i="27" s="1"/>
  <c r="G22" i="27"/>
  <c r="H22" i="27" s="1"/>
  <c r="G26" i="27"/>
  <c r="H26" i="27" s="1"/>
  <c r="G30" i="27"/>
  <c r="H30" i="27" s="1"/>
  <c r="G34" i="27"/>
  <c r="H34" i="27" s="1"/>
  <c r="G38" i="27"/>
  <c r="H38" i="27" s="1"/>
  <c r="G42" i="27"/>
  <c r="H42" i="27" s="1"/>
  <c r="G46" i="27"/>
  <c r="H46" i="27" s="1"/>
  <c r="G50" i="27"/>
  <c r="H50" i="27" s="1"/>
  <c r="G54" i="27"/>
  <c r="H54" i="27" s="1"/>
  <c r="G12" i="29"/>
  <c r="H12" i="29" s="1"/>
  <c r="G16" i="29"/>
  <c r="H16" i="29" s="1"/>
  <c r="G24" i="29"/>
  <c r="H24" i="29" s="1"/>
  <c r="G28" i="29"/>
  <c r="H28" i="29" s="1"/>
  <c r="G32" i="29"/>
  <c r="H32" i="29" s="1"/>
  <c r="G36" i="29"/>
  <c r="H36" i="29" s="1"/>
  <c r="G40" i="29"/>
  <c r="H40" i="29" s="1"/>
  <c r="G44" i="29"/>
  <c r="H44" i="29" s="1"/>
  <c r="G52" i="29"/>
  <c r="H52" i="29" s="1"/>
  <c r="G11" i="30"/>
  <c r="H11" i="30" s="1"/>
  <c r="G19" i="30"/>
  <c r="H19" i="30" s="1"/>
  <c r="G23" i="30"/>
  <c r="H23" i="30" s="1"/>
  <c r="G27" i="30"/>
  <c r="H27" i="30" s="1"/>
  <c r="G31" i="30"/>
  <c r="H31" i="30" s="1"/>
  <c r="G35" i="30"/>
  <c r="H35" i="30" s="1"/>
  <c r="G39" i="30"/>
  <c r="H39" i="30" s="1"/>
  <c r="G47" i="30"/>
  <c r="H47" i="30" s="1"/>
  <c r="G51" i="30"/>
  <c r="H51" i="30" s="1"/>
  <c r="G55" i="30"/>
  <c r="H55" i="30" s="1"/>
  <c r="G10" i="31"/>
  <c r="H10" i="31" s="1"/>
  <c r="G14" i="31"/>
  <c r="H14" i="31" s="1"/>
  <c r="G22" i="31"/>
  <c r="H22" i="31" s="1"/>
  <c r="G26" i="31"/>
  <c r="H26" i="31" s="1"/>
  <c r="G30" i="31"/>
  <c r="H30" i="31" s="1"/>
  <c r="G34" i="31"/>
  <c r="H34" i="31" s="1"/>
  <c r="G42" i="31"/>
  <c r="H42" i="31" s="1"/>
  <c r="G46" i="31"/>
  <c r="H46" i="31" s="1"/>
  <c r="G50" i="31"/>
  <c r="H50" i="31" s="1"/>
  <c r="G13" i="32"/>
  <c r="H13" i="32" s="1"/>
  <c r="G17" i="32"/>
  <c r="H17" i="32" s="1"/>
  <c r="G21" i="32"/>
  <c r="H21" i="32" s="1"/>
  <c r="G25" i="32"/>
  <c r="H25" i="32" s="1"/>
  <c r="G29" i="32"/>
  <c r="H29" i="32" s="1"/>
  <c r="G33" i="32"/>
  <c r="H33" i="32" s="1"/>
  <c r="G37" i="32"/>
  <c r="H37" i="32" s="1"/>
  <c r="G41" i="32"/>
  <c r="H41" i="32" s="1"/>
  <c r="G12" i="33"/>
  <c r="H12" i="33" s="1"/>
  <c r="G20" i="33"/>
  <c r="H20" i="33" s="1"/>
  <c r="G24" i="33"/>
  <c r="H24" i="33" s="1"/>
  <c r="G28" i="33"/>
  <c r="H28" i="33" s="1"/>
  <c r="G32" i="33"/>
  <c r="H32" i="33" s="1"/>
  <c r="G36" i="33"/>
  <c r="H36" i="33" s="1"/>
  <c r="G40" i="33"/>
  <c r="H40" i="33" s="1"/>
  <c r="G44" i="33"/>
  <c r="H44" i="33" s="1"/>
  <c r="G11" i="34"/>
  <c r="H11" i="34" s="1"/>
  <c r="G20" i="34"/>
  <c r="H20" i="34" s="1"/>
  <c r="G24" i="34"/>
  <c r="H24" i="34" s="1"/>
  <c r="G28" i="34"/>
  <c r="H28" i="34" s="1"/>
  <c r="G32" i="34"/>
  <c r="H32" i="34" s="1"/>
  <c r="G36" i="34"/>
  <c r="H36" i="34" s="1"/>
  <c r="G40" i="34"/>
  <c r="H40" i="34" s="1"/>
  <c r="G44" i="34"/>
  <c r="H44" i="34" s="1"/>
  <c r="G48" i="34"/>
  <c r="H48" i="34" s="1"/>
  <c r="G52" i="34"/>
  <c r="H52" i="34" s="1"/>
  <c r="G11" i="35"/>
  <c r="H11" i="35" s="1"/>
  <c r="G15" i="35"/>
  <c r="H15" i="35" s="1"/>
  <c r="G19" i="35"/>
  <c r="H19" i="35" s="1"/>
  <c r="G23" i="35"/>
  <c r="H23" i="35" s="1"/>
  <c r="G27" i="35"/>
  <c r="H27" i="35" s="1"/>
  <c r="G31" i="35"/>
  <c r="H31" i="35" s="1"/>
  <c r="G39" i="35"/>
  <c r="H39" i="35" s="1"/>
  <c r="G43" i="35"/>
  <c r="H43" i="35" s="1"/>
  <c r="G47" i="35"/>
  <c r="H47" i="35" s="1"/>
  <c r="G51" i="35"/>
  <c r="H51" i="35" s="1"/>
  <c r="G55" i="35"/>
  <c r="H55" i="35" s="1"/>
  <c r="G10" i="36"/>
  <c r="H10" i="36" s="1"/>
  <c r="G14" i="36"/>
  <c r="H14" i="36" s="1"/>
  <c r="G18" i="36"/>
  <c r="H18" i="36" s="1"/>
  <c r="G26" i="36"/>
  <c r="H26" i="36" s="1"/>
  <c r="G30" i="36"/>
  <c r="H30" i="36" s="1"/>
  <c r="G34" i="36"/>
  <c r="H34" i="36" s="1"/>
  <c r="G42" i="36"/>
  <c r="H42" i="36" s="1"/>
  <c r="G46" i="36"/>
  <c r="H46" i="36" s="1"/>
  <c r="G50" i="36"/>
  <c r="H50" i="36" s="1"/>
  <c r="G13" i="37"/>
  <c r="H13" i="37" s="1"/>
  <c r="G17" i="37"/>
  <c r="H17" i="37" s="1"/>
  <c r="G21" i="37"/>
  <c r="H21" i="37" s="1"/>
  <c r="G25" i="37"/>
  <c r="H25" i="37" s="1"/>
  <c r="G29" i="37"/>
  <c r="H29" i="37" s="1"/>
  <c r="G33" i="37"/>
  <c r="H33" i="37" s="1"/>
  <c r="G37" i="37"/>
  <c r="H37" i="37" s="1"/>
  <c r="G45" i="37"/>
  <c r="H45" i="37" s="1"/>
  <c r="G49" i="37"/>
  <c r="H49" i="37" s="1"/>
  <c r="G11" i="31"/>
  <c r="H11" i="31" s="1"/>
  <c r="G15" i="31"/>
  <c r="H15" i="31" s="1"/>
  <c r="G19" i="31"/>
  <c r="H19" i="31" s="1"/>
  <c r="G27" i="31"/>
  <c r="H27" i="31" s="1"/>
  <c r="G31" i="31"/>
  <c r="H31" i="31" s="1"/>
  <c r="G35" i="31"/>
  <c r="H35" i="31" s="1"/>
  <c r="G39" i="31"/>
  <c r="H39" i="31" s="1"/>
  <c r="G47" i="31"/>
  <c r="H47" i="31" s="1"/>
  <c r="G51" i="31"/>
  <c r="H51" i="31" s="1"/>
  <c r="G55" i="31"/>
  <c r="H55" i="31" s="1"/>
  <c r="G18" i="32"/>
  <c r="H18" i="32" s="1"/>
  <c r="G22" i="32"/>
  <c r="H22" i="32" s="1"/>
  <c r="G26" i="32"/>
  <c r="H26" i="32" s="1"/>
  <c r="G30" i="32"/>
  <c r="H30" i="32" s="1"/>
  <c r="G34" i="32"/>
  <c r="H34" i="32" s="1"/>
  <c r="G38" i="32"/>
  <c r="H38" i="32" s="1"/>
  <c r="G42" i="32"/>
  <c r="H42" i="32" s="1"/>
  <c r="G46" i="32"/>
  <c r="H46" i="32" s="1"/>
  <c r="G50" i="32"/>
  <c r="H50" i="32" s="1"/>
  <c r="G54" i="32"/>
  <c r="H54" i="32" s="1"/>
  <c r="G13" i="33"/>
  <c r="H13" i="33" s="1"/>
  <c r="G17" i="33"/>
  <c r="H17" i="33" s="1"/>
  <c r="G29" i="33"/>
  <c r="H29" i="33" s="1"/>
  <c r="G33" i="33"/>
  <c r="H33" i="33" s="1"/>
  <c r="G37" i="33"/>
  <c r="H37" i="33" s="1"/>
  <c r="G41" i="33"/>
  <c r="H41" i="33" s="1"/>
  <c r="G45" i="33"/>
  <c r="H45" i="33" s="1"/>
  <c r="G49" i="33"/>
  <c r="H49" i="33" s="1"/>
  <c r="G53" i="33"/>
  <c r="H53" i="33" s="1"/>
  <c r="G12" i="34"/>
  <c r="H12" i="34" s="1"/>
  <c r="G25" i="34"/>
  <c r="H25" i="34" s="1"/>
  <c r="G29" i="34"/>
  <c r="H29" i="34" s="1"/>
  <c r="G33" i="34"/>
  <c r="H33" i="34" s="1"/>
  <c r="G37" i="34"/>
  <c r="H37" i="34" s="1"/>
  <c r="G41" i="34"/>
  <c r="H41" i="34" s="1"/>
  <c r="G45" i="34"/>
  <c r="H45" i="34" s="1"/>
  <c r="G49" i="34"/>
  <c r="H49" i="34" s="1"/>
  <c r="G53" i="34"/>
  <c r="H53" i="34" s="1"/>
  <c r="G11" i="36"/>
  <c r="H11" i="36" s="1"/>
  <c r="G15" i="36"/>
  <c r="H15" i="36" s="1"/>
  <c r="G19" i="36"/>
  <c r="H19" i="36" s="1"/>
  <c r="G23" i="36"/>
  <c r="H23" i="36" s="1"/>
  <c r="G27" i="36"/>
  <c r="H27" i="36" s="1"/>
  <c r="G31" i="36"/>
  <c r="H31" i="36" s="1"/>
  <c r="G35" i="36"/>
  <c r="H35" i="36" s="1"/>
  <c r="G39" i="36"/>
  <c r="H39" i="36" s="1"/>
  <c r="G43" i="36"/>
  <c r="H43" i="36" s="1"/>
  <c r="G47" i="36"/>
  <c r="H47" i="36" s="1"/>
  <c r="G51" i="36"/>
  <c r="H51" i="36" s="1"/>
  <c r="G55" i="36"/>
  <c r="H55" i="36" s="1"/>
  <c r="G10" i="37"/>
  <c r="H10" i="37" s="1"/>
  <c r="G14" i="37"/>
  <c r="H14" i="37" s="1"/>
  <c r="G22" i="37"/>
  <c r="H22" i="37" s="1"/>
  <c r="G26" i="37"/>
  <c r="H26" i="37" s="1"/>
  <c r="G34" i="37"/>
  <c r="H34" i="37" s="1"/>
  <c r="G38" i="37"/>
  <c r="H38" i="37" s="1"/>
  <c r="G42" i="37"/>
  <c r="H42" i="37" s="1"/>
  <c r="G46" i="37"/>
  <c r="H46" i="37" s="1"/>
  <c r="G50" i="37"/>
  <c r="H50" i="37" s="1"/>
  <c r="E25" i="26"/>
  <c r="E41" i="26"/>
  <c r="E55" i="32"/>
  <c r="E17" i="27"/>
  <c r="E21" i="27"/>
  <c r="E33" i="27"/>
  <c r="E37" i="27"/>
  <c r="E49" i="27"/>
  <c r="E43" i="29"/>
  <c r="E16" i="32"/>
  <c r="E39" i="32"/>
  <c r="E13" i="32"/>
  <c r="E32" i="33"/>
  <c r="E19" i="35"/>
  <c r="E51" i="35"/>
  <c r="E21" i="37"/>
  <c r="E37" i="37"/>
  <c r="E21" i="26"/>
  <c r="E37" i="26"/>
  <c r="E53" i="26"/>
  <c r="E35" i="36"/>
  <c r="E31" i="31"/>
  <c r="E35" i="31"/>
  <c r="E39" i="31"/>
  <c r="E47" i="31"/>
  <c r="E51" i="31"/>
  <c r="E7" i="32"/>
  <c r="E15" i="32"/>
  <c r="E41" i="32"/>
  <c r="E10" i="33"/>
  <c r="E50" i="33"/>
  <c r="E16" i="36"/>
  <c r="E25" i="36"/>
  <c r="E53" i="36"/>
  <c r="E42" i="37"/>
  <c r="E7" i="31"/>
  <c r="E10" i="31"/>
  <c r="E14" i="31"/>
  <c r="E22" i="31"/>
  <c r="E26" i="31"/>
  <c r="E30" i="31"/>
  <c r="E34" i="31"/>
  <c r="E42" i="31"/>
  <c r="E46" i="31"/>
  <c r="E50" i="31"/>
  <c r="E57" i="31"/>
  <c r="E9" i="32"/>
  <c r="E20" i="32"/>
  <c r="E34" i="32"/>
  <c r="E38" i="32"/>
  <c r="E47" i="32"/>
  <c r="E51" i="32"/>
  <c r="E9" i="33"/>
  <c r="E14" i="33"/>
  <c r="E19" i="33"/>
  <c r="E23" i="33"/>
  <c r="E24" i="33"/>
  <c r="E28" i="33"/>
  <c r="E33" i="33"/>
  <c r="E36" i="33"/>
  <c r="E40" i="33"/>
  <c r="E46" i="33"/>
  <c r="E53" i="33"/>
  <c r="E16" i="34"/>
  <c r="E37" i="34"/>
  <c r="E46" i="34"/>
  <c r="E9" i="35"/>
  <c r="E14" i="35"/>
  <c r="E28" i="35"/>
  <c r="E37" i="35"/>
  <c r="E11" i="36"/>
  <c r="E34" i="36"/>
  <c r="E39" i="36"/>
  <c r="E48" i="36"/>
  <c r="E15" i="37"/>
  <c r="E20" i="37"/>
  <c r="E25" i="37"/>
  <c r="E27" i="31"/>
  <c r="E24" i="32"/>
  <c r="E28" i="32"/>
  <c r="E30" i="32"/>
  <c r="E43" i="32"/>
  <c r="E7" i="33"/>
  <c r="E15" i="33"/>
  <c r="E20" i="33"/>
  <c r="E44" i="33"/>
  <c r="E10" i="34"/>
  <c r="E33" i="34"/>
  <c r="E30" i="36"/>
  <c r="E44" i="36"/>
  <c r="E9" i="37"/>
  <c r="E9" i="31"/>
  <c r="E17" i="31"/>
  <c r="E21" i="31"/>
  <c r="E25" i="31"/>
  <c r="E29" i="31"/>
  <c r="E37" i="31"/>
  <c r="E41" i="31"/>
  <c r="E45" i="31"/>
  <c r="E49" i="31"/>
  <c r="E53" i="31"/>
  <c r="E12" i="32"/>
  <c r="E25" i="32"/>
  <c r="E29" i="32"/>
  <c r="E42" i="32"/>
  <c r="E44" i="32"/>
  <c r="E46" i="32"/>
  <c r="E57" i="32"/>
  <c r="E13" i="33"/>
  <c r="E18" i="33"/>
  <c r="E22" i="33"/>
  <c r="E27" i="33"/>
  <c r="E31" i="33"/>
  <c r="E42" i="33"/>
  <c r="E45" i="33"/>
  <c r="E49" i="33"/>
  <c r="E55" i="33"/>
  <c r="E7" i="34"/>
  <c r="E11" i="34"/>
  <c r="E14" i="34"/>
  <c r="E25" i="34"/>
  <c r="E41" i="34"/>
  <c r="E50" i="34"/>
  <c r="E57" i="34"/>
  <c r="E18" i="35"/>
  <c r="E23" i="35"/>
  <c r="E32" i="35"/>
  <c r="E41" i="35"/>
  <c r="E46" i="35"/>
  <c r="E43" i="36"/>
  <c r="E10" i="37"/>
  <c r="E31" i="37"/>
  <c r="E36" i="37"/>
  <c r="E11" i="31"/>
  <c r="E15" i="31"/>
  <c r="E19" i="31"/>
  <c r="E55" i="31"/>
  <c r="E21" i="32"/>
  <c r="E26" i="32"/>
  <c r="E29" i="33"/>
  <c r="E37" i="33"/>
  <c r="E42" i="34"/>
  <c r="E12" i="31"/>
  <c r="E16" i="31"/>
  <c r="E20" i="31"/>
  <c r="E24" i="31"/>
  <c r="E32" i="31"/>
  <c r="E36" i="31"/>
  <c r="E40" i="31"/>
  <c r="E44" i="31"/>
  <c r="E52" i="31"/>
  <c r="E11" i="32"/>
  <c r="E17" i="32"/>
  <c r="E18" i="32"/>
  <c r="E22" i="32"/>
  <c r="E31" i="32"/>
  <c r="E33" i="32"/>
  <c r="E35" i="32"/>
  <c r="E37" i="32"/>
  <c r="E48" i="32"/>
  <c r="E50" i="32"/>
  <c r="E52" i="32"/>
  <c r="E54" i="32"/>
  <c r="E12" i="33"/>
  <c r="E17" i="33"/>
  <c r="E26" i="33"/>
  <c r="E35" i="33"/>
  <c r="E41" i="33"/>
  <c r="E51" i="33"/>
  <c r="E54" i="33"/>
  <c r="E29" i="34"/>
  <c r="E54" i="34"/>
  <c r="E27" i="35"/>
  <c r="E50" i="35"/>
  <c r="E55" i="35"/>
  <c r="E12" i="36"/>
  <c r="E21" i="36"/>
  <c r="E26" i="37"/>
  <c r="E52" i="37"/>
  <c r="E20" i="34"/>
  <c r="E24" i="34"/>
  <c r="E28" i="34"/>
  <c r="E32" i="34"/>
  <c r="E36" i="34"/>
  <c r="E40" i="34"/>
  <c r="E45" i="34"/>
  <c r="E49" i="34"/>
  <c r="E53" i="34"/>
  <c r="E13" i="35"/>
  <c r="E17" i="35"/>
  <c r="E22" i="35"/>
  <c r="E26" i="35"/>
  <c r="E31" i="35"/>
  <c r="E36" i="35"/>
  <c r="E40" i="35"/>
  <c r="E45" i="35"/>
  <c r="E54" i="35"/>
  <c r="E7" i="36"/>
  <c r="E10" i="36"/>
  <c r="E15" i="36"/>
  <c r="E20" i="36"/>
  <c r="E24" i="36"/>
  <c r="E29" i="36"/>
  <c r="E33" i="36"/>
  <c r="E42" i="36"/>
  <c r="E47" i="36"/>
  <c r="E52" i="36"/>
  <c r="E14" i="37"/>
  <c r="E19" i="37"/>
  <c r="E40" i="37"/>
  <c r="E46" i="37"/>
  <c r="E51" i="37"/>
  <c r="E57" i="33"/>
  <c r="E9" i="34"/>
  <c r="E19" i="34"/>
  <c r="E23" i="34"/>
  <c r="E27" i="34"/>
  <c r="E31" i="34"/>
  <c r="E35" i="34"/>
  <c r="E39" i="34"/>
  <c r="E44" i="34"/>
  <c r="E48" i="34"/>
  <c r="E52" i="34"/>
  <c r="E12" i="35"/>
  <c r="E16" i="35"/>
  <c r="E25" i="35"/>
  <c r="E30" i="35"/>
  <c r="E34" i="35"/>
  <c r="E39" i="35"/>
  <c r="E44" i="35"/>
  <c r="E48" i="35"/>
  <c r="E53" i="35"/>
  <c r="E57" i="35"/>
  <c r="E9" i="36"/>
  <c r="E14" i="36"/>
  <c r="E18" i="36"/>
  <c r="E19" i="36"/>
  <c r="E23" i="36"/>
  <c r="E28" i="36"/>
  <c r="E32" i="36"/>
  <c r="E37" i="36"/>
  <c r="E41" i="36"/>
  <c r="E46" i="36"/>
  <c r="E50" i="36"/>
  <c r="E51" i="36"/>
  <c r="E55" i="36"/>
  <c r="E7" i="37"/>
  <c r="E13" i="37"/>
  <c r="E23" i="37"/>
  <c r="E28" i="37"/>
  <c r="E29" i="37"/>
  <c r="E34" i="37"/>
  <c r="E39" i="37"/>
  <c r="E44" i="37"/>
  <c r="E45" i="37"/>
  <c r="E50" i="37"/>
  <c r="E55" i="37"/>
  <c r="E38" i="33"/>
  <c r="E47" i="33"/>
  <c r="E12" i="34"/>
  <c r="E18" i="34"/>
  <c r="E22" i="34"/>
  <c r="E55" i="34"/>
  <c r="E7" i="35"/>
  <c r="E10" i="35"/>
  <c r="E11" i="35"/>
  <c r="E15" i="35"/>
  <c r="E20" i="35"/>
  <c r="E24" i="35"/>
  <c r="E29" i="35"/>
  <c r="E33" i="35"/>
  <c r="E38" i="35"/>
  <c r="E42" i="35"/>
  <c r="E43" i="35"/>
  <c r="E47" i="35"/>
  <c r="E52" i="35"/>
  <c r="E13" i="36"/>
  <c r="E17" i="36"/>
  <c r="E26" i="36"/>
  <c r="E27" i="36"/>
  <c r="E31" i="36"/>
  <c r="E36" i="36"/>
  <c r="E40" i="36"/>
  <c r="E45" i="36"/>
  <c r="E49" i="36"/>
  <c r="E57" i="36"/>
  <c r="E11" i="37"/>
  <c r="E16" i="37"/>
  <c r="E17" i="37"/>
  <c r="E22" i="37"/>
  <c r="E27" i="37"/>
  <c r="E32" i="37"/>
  <c r="E33" i="37"/>
  <c r="E38" i="37"/>
  <c r="E43" i="37"/>
  <c r="E48" i="37"/>
  <c r="E49" i="37"/>
  <c r="E54" i="37"/>
  <c r="E57" i="37"/>
  <c r="E15" i="27"/>
  <c r="E22" i="29"/>
  <c r="E30" i="29"/>
  <c r="E38" i="29"/>
  <c r="E42" i="29"/>
  <c r="E47" i="29"/>
  <c r="E7" i="30"/>
  <c r="E14" i="30"/>
  <c r="E18" i="30"/>
  <c r="E54" i="30"/>
  <c r="E24" i="27"/>
  <c r="E40" i="27"/>
  <c r="E46" i="27"/>
  <c r="E13" i="29"/>
  <c r="E17" i="29"/>
  <c r="E21" i="29"/>
  <c r="E25" i="29"/>
  <c r="E29" i="29"/>
  <c r="E33" i="29"/>
  <c r="E37" i="29"/>
  <c r="E46" i="29"/>
  <c r="E50" i="29"/>
  <c r="E57" i="29"/>
  <c r="E9" i="30"/>
  <c r="E17" i="30"/>
  <c r="E25" i="30"/>
  <c r="E33" i="30"/>
  <c r="E41" i="30"/>
  <c r="E45" i="30"/>
  <c r="E49" i="30"/>
  <c r="E53" i="30"/>
  <c r="E7" i="27"/>
  <c r="E12" i="27"/>
  <c r="E13" i="27"/>
  <c r="E18" i="27"/>
  <c r="E23" i="27"/>
  <c r="E28" i="27"/>
  <c r="E29" i="27"/>
  <c r="E34" i="27"/>
  <c r="E39" i="27"/>
  <c r="E44" i="27"/>
  <c r="E45" i="27"/>
  <c r="E50" i="27"/>
  <c r="E54" i="27"/>
  <c r="E57" i="27"/>
  <c r="E9" i="28"/>
  <c r="E10" i="28"/>
  <c r="E12" i="29"/>
  <c r="E16" i="29"/>
  <c r="E24" i="29"/>
  <c r="E28" i="29"/>
  <c r="E32" i="29"/>
  <c r="E36" i="29"/>
  <c r="E40" i="29"/>
  <c r="E45" i="29"/>
  <c r="E49" i="29"/>
  <c r="E53" i="29"/>
  <c r="E12" i="30"/>
  <c r="E16" i="30"/>
  <c r="E20" i="30"/>
  <c r="E24" i="30"/>
  <c r="E28" i="30"/>
  <c r="E32" i="30"/>
  <c r="E40" i="30"/>
  <c r="E44" i="30"/>
  <c r="E48" i="30"/>
  <c r="E52" i="30"/>
  <c r="E10" i="27"/>
  <c r="E20" i="27"/>
  <c r="E26" i="27"/>
  <c r="E31" i="27"/>
  <c r="E36" i="27"/>
  <c r="E42" i="27"/>
  <c r="E47" i="27"/>
  <c r="E52" i="27"/>
  <c r="E12" i="28"/>
  <c r="E9" i="29"/>
  <c r="E18" i="29"/>
  <c r="E26" i="29"/>
  <c r="E51" i="29"/>
  <c r="E55" i="29"/>
  <c r="E10" i="30"/>
  <c r="E26" i="30"/>
  <c r="E30" i="30"/>
  <c r="E34" i="30"/>
  <c r="E38" i="30"/>
  <c r="E42" i="30"/>
  <c r="E46" i="30"/>
  <c r="E57" i="30"/>
  <c r="E9" i="27"/>
  <c r="E14" i="27"/>
  <c r="E25" i="27"/>
  <c r="E30" i="27"/>
  <c r="E41" i="27"/>
  <c r="E55" i="27"/>
  <c r="E7" i="28"/>
  <c r="E11" i="28"/>
  <c r="E13" i="30"/>
  <c r="E21" i="30"/>
  <c r="E37" i="30"/>
  <c r="E16" i="27"/>
  <c r="E22" i="27"/>
  <c r="E32" i="27"/>
  <c r="E38" i="27"/>
  <c r="E48" i="27"/>
  <c r="E53" i="27"/>
  <c r="E7" i="29"/>
  <c r="E10" i="29"/>
  <c r="E11" i="29"/>
  <c r="E15" i="29"/>
  <c r="E19" i="29"/>
  <c r="E23" i="29"/>
  <c r="E31" i="29"/>
  <c r="E35" i="29"/>
  <c r="E39" i="29"/>
  <c r="E44" i="29"/>
  <c r="E52" i="29"/>
  <c r="E11" i="30"/>
  <c r="E19" i="30"/>
  <c r="E23" i="30"/>
  <c r="E27" i="30"/>
  <c r="E31" i="30"/>
  <c r="E35" i="30"/>
  <c r="E39" i="30"/>
  <c r="E47" i="30"/>
  <c r="E51" i="30"/>
  <c r="E55" i="30"/>
  <c r="E9" i="26"/>
  <c r="E30" i="26"/>
  <c r="E35" i="26"/>
  <c r="E40" i="26"/>
  <c r="E7" i="26"/>
  <c r="E12" i="26"/>
  <c r="E13" i="26"/>
  <c r="E18" i="26"/>
  <c r="E23" i="26"/>
  <c r="E28" i="26"/>
  <c r="E29" i="26"/>
  <c r="E34" i="26"/>
  <c r="E39" i="26"/>
  <c r="E44" i="26"/>
  <c r="E45" i="26"/>
  <c r="E50" i="26"/>
  <c r="E55" i="26"/>
  <c r="E11" i="26"/>
  <c r="E16" i="26"/>
  <c r="E17" i="26"/>
  <c r="E22" i="26"/>
  <c r="E27" i="26"/>
  <c r="E32" i="26"/>
  <c r="E33" i="26"/>
  <c r="E38" i="26"/>
  <c r="E43" i="26"/>
  <c r="E48" i="26"/>
  <c r="E49" i="26"/>
  <c r="E54" i="26"/>
  <c r="E57" i="26"/>
  <c r="E14" i="26"/>
  <c r="E19" i="26"/>
  <c r="E24" i="26"/>
  <c r="E46" i="26"/>
  <c r="E51" i="26"/>
  <c r="E10" i="26"/>
  <c r="E15" i="26"/>
  <c r="E20" i="26"/>
  <c r="E26" i="26"/>
  <c r="E31" i="26"/>
  <c r="E36" i="26"/>
  <c r="E42" i="26"/>
  <c r="E47" i="26"/>
  <c r="E52" i="26"/>
  <c r="I38" i="29" l="1"/>
  <c r="J38" i="29" s="1"/>
  <c r="I35" i="29"/>
  <c r="I13" i="29"/>
  <c r="I39" i="29"/>
  <c r="I9" i="29"/>
  <c r="I12" i="29"/>
  <c r="I18" i="29"/>
  <c r="I7" i="29"/>
  <c r="J7" i="29" s="1"/>
  <c r="I32" i="29"/>
  <c r="I24" i="29"/>
  <c r="I33" i="29"/>
  <c r="I25" i="29"/>
  <c r="I51" i="29"/>
  <c r="I47" i="29"/>
  <c r="I37" i="29"/>
  <c r="I43" i="29"/>
  <c r="I44" i="29"/>
  <c r="I45" i="29"/>
  <c r="I36" i="29"/>
  <c r="I28" i="29"/>
  <c r="I16" i="29"/>
  <c r="I50" i="29"/>
  <c r="I31" i="29"/>
  <c r="I22" i="29"/>
  <c r="I49" i="29"/>
  <c r="I57" i="29"/>
  <c r="J57" i="29" s="1"/>
  <c r="Q17" i="29" s="1"/>
  <c r="I21" i="29"/>
  <c r="I15" i="29"/>
  <c r="I26" i="29"/>
  <c r="J26" i="29" s="1"/>
  <c r="I11" i="29"/>
  <c r="I55" i="29"/>
  <c r="J55" i="29" s="1"/>
  <c r="I53" i="29"/>
  <c r="I40" i="29"/>
  <c r="I46" i="29"/>
  <c r="I29" i="29"/>
  <c r="I17" i="29"/>
  <c r="I23" i="29"/>
  <c r="I42" i="29"/>
  <c r="I10" i="29"/>
  <c r="I52" i="29"/>
  <c r="I19" i="29"/>
  <c r="I30" i="29"/>
  <c r="I57" i="35"/>
  <c r="J57" i="35" s="1"/>
  <c r="Q17" i="35" s="1"/>
  <c r="I53" i="35"/>
  <c r="I48" i="35"/>
  <c r="I44" i="35"/>
  <c r="I39" i="35"/>
  <c r="I34" i="35"/>
  <c r="I30" i="35"/>
  <c r="I25" i="35"/>
  <c r="I16" i="35"/>
  <c r="I12" i="35"/>
  <c r="I54" i="35"/>
  <c r="I45" i="35"/>
  <c r="I40" i="35"/>
  <c r="I36" i="35"/>
  <c r="I31" i="35"/>
  <c r="I27" i="35"/>
  <c r="I26" i="35"/>
  <c r="I22" i="35"/>
  <c r="I17" i="35"/>
  <c r="I13" i="35"/>
  <c r="I55" i="35"/>
  <c r="I51" i="35"/>
  <c r="I50" i="35"/>
  <c r="I46" i="35"/>
  <c r="I41" i="35"/>
  <c r="I37" i="35"/>
  <c r="I32" i="35"/>
  <c r="I28" i="35"/>
  <c r="I23" i="35"/>
  <c r="I19" i="35"/>
  <c r="I18" i="35"/>
  <c r="I14" i="35"/>
  <c r="I9" i="35"/>
  <c r="I11" i="35"/>
  <c r="I52" i="35"/>
  <c r="I47" i="35"/>
  <c r="I42" i="35"/>
  <c r="I33" i="35"/>
  <c r="I24" i="35"/>
  <c r="I7" i="35"/>
  <c r="J7" i="35" s="1"/>
  <c r="I43" i="35"/>
  <c r="I38" i="35"/>
  <c r="I29" i="35"/>
  <c r="I20" i="35"/>
  <c r="I15" i="35"/>
  <c r="I10" i="35"/>
  <c r="I55" i="37"/>
  <c r="I50" i="37"/>
  <c r="I45" i="37"/>
  <c r="I44" i="37"/>
  <c r="I39" i="37"/>
  <c r="I34" i="37"/>
  <c r="I29" i="37"/>
  <c r="I28" i="37"/>
  <c r="I23" i="37"/>
  <c r="I13" i="37"/>
  <c r="I7" i="37"/>
  <c r="J7" i="37" s="1"/>
  <c r="I51" i="37"/>
  <c r="I46" i="37"/>
  <c r="I40" i="37"/>
  <c r="I25" i="37"/>
  <c r="I19" i="37"/>
  <c r="I14" i="37"/>
  <c r="I9" i="37"/>
  <c r="I52" i="37"/>
  <c r="I42" i="37"/>
  <c r="I37" i="37"/>
  <c r="I36" i="37"/>
  <c r="I31" i="37"/>
  <c r="I26" i="37"/>
  <c r="I21" i="37"/>
  <c r="I20" i="37"/>
  <c r="I15" i="37"/>
  <c r="I10" i="37"/>
  <c r="I43" i="37"/>
  <c r="I22" i="37"/>
  <c r="I17" i="37"/>
  <c r="I48" i="37"/>
  <c r="I27" i="37"/>
  <c r="I57" i="37"/>
  <c r="J57" i="37" s="1"/>
  <c r="Q17" i="37" s="1"/>
  <c r="I38" i="37"/>
  <c r="I33" i="37"/>
  <c r="I16" i="37"/>
  <c r="I54" i="37"/>
  <c r="I49" i="37"/>
  <c r="I32" i="37"/>
  <c r="I11" i="37"/>
  <c r="I53" i="31"/>
  <c r="I49" i="31"/>
  <c r="I45" i="31"/>
  <c r="I41" i="31"/>
  <c r="I37" i="31"/>
  <c r="I29" i="31"/>
  <c r="I25" i="31"/>
  <c r="I21" i="31"/>
  <c r="I17" i="31"/>
  <c r="I9" i="31"/>
  <c r="I24" i="31"/>
  <c r="I20" i="31"/>
  <c r="I16" i="31"/>
  <c r="I12" i="31"/>
  <c r="I57" i="31"/>
  <c r="J57" i="31" s="1"/>
  <c r="Q17" i="31" s="1"/>
  <c r="I50" i="31"/>
  <c r="I46" i="31"/>
  <c r="I42" i="31"/>
  <c r="I34" i="31"/>
  <c r="I30" i="31"/>
  <c r="I26" i="31"/>
  <c r="I22" i="31"/>
  <c r="I14" i="31"/>
  <c r="I10" i="31"/>
  <c r="I7" i="31"/>
  <c r="J7" i="31" s="1"/>
  <c r="I55" i="31"/>
  <c r="I51" i="31"/>
  <c r="I47" i="31"/>
  <c r="I39" i="31"/>
  <c r="I35" i="31"/>
  <c r="I31" i="31"/>
  <c r="I27" i="31"/>
  <c r="I19" i="31"/>
  <c r="I15" i="31"/>
  <c r="I11" i="31"/>
  <c r="I52" i="31"/>
  <c r="I44" i="31"/>
  <c r="I40" i="31"/>
  <c r="I36" i="31"/>
  <c r="I32" i="31"/>
  <c r="I55" i="36"/>
  <c r="I51" i="36"/>
  <c r="I50" i="36"/>
  <c r="I46" i="36"/>
  <c r="I41" i="36"/>
  <c r="I37" i="36"/>
  <c r="I32" i="36"/>
  <c r="I28" i="36"/>
  <c r="I23" i="36"/>
  <c r="I19" i="36"/>
  <c r="I18" i="36"/>
  <c r="I14" i="36"/>
  <c r="I9" i="36"/>
  <c r="I52" i="36"/>
  <c r="I47" i="36"/>
  <c r="I43" i="36"/>
  <c r="I42" i="36"/>
  <c r="I33" i="36"/>
  <c r="I29" i="36"/>
  <c r="I24" i="36"/>
  <c r="I20" i="36"/>
  <c r="I15" i="36"/>
  <c r="I11" i="36"/>
  <c r="I10" i="36"/>
  <c r="I7" i="36"/>
  <c r="J7" i="36" s="1"/>
  <c r="I53" i="36"/>
  <c r="I48" i="36"/>
  <c r="I44" i="36"/>
  <c r="I39" i="36"/>
  <c r="I35" i="36"/>
  <c r="I34" i="36"/>
  <c r="I30" i="36"/>
  <c r="I25" i="36"/>
  <c r="I21" i="36"/>
  <c r="I16" i="36"/>
  <c r="I12" i="36"/>
  <c r="I45" i="36"/>
  <c r="I36" i="36"/>
  <c r="I31" i="36"/>
  <c r="I26" i="36"/>
  <c r="I17" i="36"/>
  <c r="I57" i="36"/>
  <c r="J57" i="36" s="1"/>
  <c r="Q17" i="36" s="1"/>
  <c r="I27" i="36"/>
  <c r="I13" i="36"/>
  <c r="I49" i="36"/>
  <c r="I40" i="36"/>
  <c r="I13" i="32"/>
  <c r="I12" i="32"/>
  <c r="I18" i="32"/>
  <c r="I17" i="32"/>
  <c r="I20" i="32"/>
  <c r="I9" i="32"/>
  <c r="I16" i="32"/>
  <c r="I15" i="32"/>
  <c r="I7" i="32"/>
  <c r="J7" i="32" s="1"/>
  <c r="I11" i="32"/>
  <c r="I15" i="34"/>
  <c r="I52" i="34"/>
  <c r="I48" i="34"/>
  <c r="I44" i="34"/>
  <c r="I39" i="34"/>
  <c r="I35" i="34"/>
  <c r="I31" i="34"/>
  <c r="I27" i="34"/>
  <c r="I23" i="34"/>
  <c r="I19" i="34"/>
  <c r="I9" i="34"/>
  <c r="I53" i="34"/>
  <c r="I49" i="34"/>
  <c r="I45" i="34"/>
  <c r="I41" i="34"/>
  <c r="I40" i="34"/>
  <c r="I36" i="34"/>
  <c r="I32" i="34"/>
  <c r="I28" i="34"/>
  <c r="I24" i="34"/>
  <c r="I20" i="34"/>
  <c r="I16" i="34"/>
  <c r="I14" i="34"/>
  <c r="I10" i="34"/>
  <c r="I7" i="34"/>
  <c r="J7" i="34" s="1"/>
  <c r="I57" i="34"/>
  <c r="J57" i="34" s="1"/>
  <c r="Q17" i="34" s="1"/>
  <c r="I54" i="34"/>
  <c r="I50" i="34"/>
  <c r="I46" i="34"/>
  <c r="I42" i="34"/>
  <c r="I37" i="34"/>
  <c r="I33" i="34"/>
  <c r="I29" i="34"/>
  <c r="I25" i="34"/>
  <c r="I18" i="34"/>
  <c r="I11" i="34"/>
  <c r="I55" i="34"/>
  <c r="I12" i="34"/>
  <c r="I22" i="34"/>
  <c r="I57" i="33"/>
  <c r="J57" i="33" s="1"/>
  <c r="Q17" i="33" s="1"/>
  <c r="I53" i="33"/>
  <c r="I49" i="33"/>
  <c r="I44" i="33"/>
  <c r="I40" i="33"/>
  <c r="I35" i="33"/>
  <c r="I55" i="33"/>
  <c r="I45" i="33"/>
  <c r="I42" i="33"/>
  <c r="I32" i="33"/>
  <c r="I31" i="33"/>
  <c r="I27" i="33"/>
  <c r="I22" i="33"/>
  <c r="I18" i="33"/>
  <c r="I13" i="33"/>
  <c r="I54" i="33"/>
  <c r="I41" i="33"/>
  <c r="I38" i="33"/>
  <c r="I46" i="33"/>
  <c r="I36" i="33"/>
  <c r="I33" i="33"/>
  <c r="I28" i="33"/>
  <c r="I24" i="33"/>
  <c r="I23" i="33"/>
  <c r="I19" i="33"/>
  <c r="I14" i="33"/>
  <c r="I9" i="33"/>
  <c r="I17" i="33"/>
  <c r="I12" i="33"/>
  <c r="I50" i="33"/>
  <c r="I47" i="33"/>
  <c r="I37" i="33"/>
  <c r="I29" i="33"/>
  <c r="I20" i="33"/>
  <c r="I15" i="33"/>
  <c r="I10" i="33"/>
  <c r="I7" i="33"/>
  <c r="J7" i="33" s="1"/>
  <c r="I51" i="33"/>
  <c r="I26" i="33"/>
  <c r="I52" i="30"/>
  <c r="I48" i="30"/>
  <c r="I44" i="30"/>
  <c r="I40" i="30"/>
  <c r="I32" i="30"/>
  <c r="I28" i="30"/>
  <c r="I24" i="30"/>
  <c r="I20" i="30"/>
  <c r="I16" i="30"/>
  <c r="I12" i="30"/>
  <c r="I46" i="30"/>
  <c r="I38" i="30"/>
  <c r="I30" i="30"/>
  <c r="I14" i="30"/>
  <c r="I47" i="30"/>
  <c r="I39" i="30"/>
  <c r="I35" i="30"/>
  <c r="I31" i="30"/>
  <c r="I27" i="30"/>
  <c r="I23" i="30"/>
  <c r="I11" i="30"/>
  <c r="I53" i="30"/>
  <c r="I49" i="30"/>
  <c r="I45" i="30"/>
  <c r="I41" i="30"/>
  <c r="I37" i="30"/>
  <c r="I33" i="30"/>
  <c r="I25" i="30"/>
  <c r="I21" i="30"/>
  <c r="I17" i="30"/>
  <c r="I13" i="30"/>
  <c r="I9" i="30"/>
  <c r="I57" i="30"/>
  <c r="J57" i="30" s="1"/>
  <c r="Q17" i="30" s="1"/>
  <c r="I54" i="30"/>
  <c r="I42" i="30"/>
  <c r="I34" i="30"/>
  <c r="I26" i="30"/>
  <c r="I18" i="30"/>
  <c r="I10" i="30"/>
  <c r="I7" i="30"/>
  <c r="J7" i="30" s="1"/>
  <c r="I55" i="30"/>
  <c r="I51" i="30"/>
  <c r="I19" i="30"/>
  <c r="I55" i="28"/>
  <c r="I50" i="28"/>
  <c r="I46" i="28"/>
  <c r="I42" i="28"/>
  <c r="I38" i="28"/>
  <c r="I34" i="28"/>
  <c r="I30" i="28"/>
  <c r="I26" i="28"/>
  <c r="I22" i="28"/>
  <c r="I18" i="28"/>
  <c r="I14" i="28"/>
  <c r="I10" i="28"/>
  <c r="I9" i="28"/>
  <c r="I24" i="28"/>
  <c r="I20" i="28"/>
  <c r="I12" i="28"/>
  <c r="I45" i="28"/>
  <c r="I37" i="28"/>
  <c r="I29" i="28"/>
  <c r="I21" i="28"/>
  <c r="I13" i="28"/>
  <c r="I52" i="28"/>
  <c r="I51" i="28"/>
  <c r="I47" i="28"/>
  <c r="I43" i="28"/>
  <c r="I39" i="28"/>
  <c r="I35" i="28"/>
  <c r="I31" i="28"/>
  <c r="I27" i="28"/>
  <c r="I19" i="28"/>
  <c r="I11" i="28"/>
  <c r="I7" i="28"/>
  <c r="J7" i="28" s="1"/>
  <c r="I53" i="28"/>
  <c r="I48" i="28"/>
  <c r="I44" i="28"/>
  <c r="I40" i="28"/>
  <c r="I36" i="28"/>
  <c r="I28" i="28"/>
  <c r="I16" i="28"/>
  <c r="I57" i="28"/>
  <c r="J57" i="28" s="1"/>
  <c r="Q17" i="28" s="1"/>
  <c r="I54" i="28"/>
  <c r="I33" i="28"/>
  <c r="I25" i="28"/>
  <c r="I17" i="28"/>
  <c r="I57" i="27"/>
  <c r="J57" i="27" s="1"/>
  <c r="Q17" i="27" s="1"/>
  <c r="I54" i="27"/>
  <c r="I50" i="27"/>
  <c r="I45" i="27"/>
  <c r="I44" i="27"/>
  <c r="I39" i="27"/>
  <c r="I34" i="27"/>
  <c r="I29" i="27"/>
  <c r="I28" i="27"/>
  <c r="I23" i="27"/>
  <c r="I18" i="27"/>
  <c r="I13" i="27"/>
  <c r="I12" i="27"/>
  <c r="I7" i="27"/>
  <c r="J7" i="27" s="1"/>
  <c r="I42" i="27"/>
  <c r="I31" i="27"/>
  <c r="I15" i="27"/>
  <c r="I10" i="27"/>
  <c r="I53" i="27"/>
  <c r="I49" i="27"/>
  <c r="I48" i="27"/>
  <c r="I38" i="27"/>
  <c r="I33" i="27"/>
  <c r="I32" i="27"/>
  <c r="I22" i="27"/>
  <c r="I55" i="27"/>
  <c r="I46" i="27"/>
  <c r="I41" i="27"/>
  <c r="I40" i="27"/>
  <c r="I30" i="27"/>
  <c r="I25" i="27"/>
  <c r="I24" i="27"/>
  <c r="I14" i="27"/>
  <c r="I9" i="27"/>
  <c r="I52" i="27"/>
  <c r="I47" i="27"/>
  <c r="I37" i="27"/>
  <c r="I36" i="27"/>
  <c r="I26" i="27"/>
  <c r="I21" i="27"/>
  <c r="I20" i="27"/>
  <c r="I17" i="27"/>
  <c r="I16" i="27"/>
  <c r="I57" i="26"/>
  <c r="J57" i="26" s="1"/>
  <c r="Q17" i="26" s="1"/>
  <c r="I54" i="26"/>
  <c r="I49" i="26"/>
  <c r="I48" i="26"/>
  <c r="I43" i="26"/>
  <c r="I38" i="26"/>
  <c r="I33" i="26"/>
  <c r="I32" i="26"/>
  <c r="I27" i="26"/>
  <c r="I22" i="26"/>
  <c r="I17" i="26"/>
  <c r="I16" i="26"/>
  <c r="I11" i="26"/>
  <c r="I53" i="26"/>
  <c r="I52" i="26"/>
  <c r="I47" i="26"/>
  <c r="I42" i="26"/>
  <c r="I26" i="26"/>
  <c r="I21" i="26"/>
  <c r="I20" i="26"/>
  <c r="I15" i="26"/>
  <c r="I55" i="26"/>
  <c r="I50" i="26"/>
  <c r="I45" i="26"/>
  <c r="I44" i="26"/>
  <c r="I39" i="26"/>
  <c r="I34" i="26"/>
  <c r="I29" i="26"/>
  <c r="I28" i="26"/>
  <c r="I23" i="26"/>
  <c r="I18" i="26"/>
  <c r="I13" i="26"/>
  <c r="I12" i="26"/>
  <c r="I7" i="26"/>
  <c r="J7" i="26" s="1"/>
  <c r="I51" i="26"/>
  <c r="I46" i="26"/>
  <c r="I41" i="26"/>
  <c r="I40" i="26"/>
  <c r="I35" i="26"/>
  <c r="I30" i="26"/>
  <c r="I25" i="26"/>
  <c r="I24" i="26"/>
  <c r="I19" i="26"/>
  <c r="I14" i="26"/>
  <c r="I9" i="26"/>
  <c r="I37" i="26"/>
  <c r="I36" i="26"/>
  <c r="I31" i="26"/>
  <c r="I10" i="26"/>
  <c r="F39" i="29" l="1"/>
  <c r="F20" i="26"/>
  <c r="J19" i="26"/>
  <c r="F35" i="26"/>
  <c r="J34" i="26"/>
  <c r="F53" i="26"/>
  <c r="J52" i="26"/>
  <c r="F50" i="26"/>
  <c r="J49" i="26"/>
  <c r="F10" i="27"/>
  <c r="J9" i="27"/>
  <c r="F40" i="26"/>
  <c r="J39" i="26"/>
  <c r="F54" i="26"/>
  <c r="J53" i="26"/>
  <c r="F39" i="26"/>
  <c r="J38" i="26"/>
  <c r="F21" i="27"/>
  <c r="J20" i="27"/>
  <c r="F31" i="27"/>
  <c r="J30" i="27"/>
  <c r="F23" i="27"/>
  <c r="J22" i="27"/>
  <c r="F54" i="27"/>
  <c r="J53" i="27"/>
  <c r="J34" i="27"/>
  <c r="F55" i="28"/>
  <c r="J54" i="28"/>
  <c r="F48" i="28"/>
  <c r="J47" i="28"/>
  <c r="F32" i="26"/>
  <c r="J31" i="26"/>
  <c r="F15" i="26"/>
  <c r="J14" i="26"/>
  <c r="F31" i="26"/>
  <c r="J30" i="26"/>
  <c r="F47" i="26"/>
  <c r="J46" i="26"/>
  <c r="F14" i="26"/>
  <c r="J13" i="26"/>
  <c r="F30" i="26"/>
  <c r="J29" i="26"/>
  <c r="F46" i="26"/>
  <c r="J45" i="26"/>
  <c r="F21" i="26"/>
  <c r="J20" i="26"/>
  <c r="F48" i="26"/>
  <c r="J47" i="26"/>
  <c r="F17" i="26"/>
  <c r="J16" i="26"/>
  <c r="F33" i="26"/>
  <c r="J32" i="26"/>
  <c r="F49" i="26"/>
  <c r="J48" i="26"/>
  <c r="F17" i="27"/>
  <c r="J16" i="27"/>
  <c r="J26" i="27"/>
  <c r="F53" i="27"/>
  <c r="J52" i="27"/>
  <c r="F25" i="27"/>
  <c r="J24" i="27"/>
  <c r="F41" i="27"/>
  <c r="J40" i="27"/>
  <c r="F57" i="27"/>
  <c r="J55" i="27"/>
  <c r="F33" i="27"/>
  <c r="J32" i="27"/>
  <c r="F49" i="27"/>
  <c r="J48" i="27"/>
  <c r="F16" i="27"/>
  <c r="J15" i="27"/>
  <c r="F13" i="27"/>
  <c r="J12" i="27"/>
  <c r="F29" i="27"/>
  <c r="J28" i="27"/>
  <c r="F45" i="27"/>
  <c r="J44" i="27"/>
  <c r="F42" i="28"/>
  <c r="F17" i="28"/>
  <c r="J16" i="28"/>
  <c r="J40" i="28"/>
  <c r="F24" i="28"/>
  <c r="F40" i="28"/>
  <c r="J39" i="28"/>
  <c r="F53" i="28"/>
  <c r="J52" i="28"/>
  <c r="F38" i="28"/>
  <c r="J37" i="28"/>
  <c r="F25" i="28"/>
  <c r="J24" i="28"/>
  <c r="F19" i="28"/>
  <c r="J18" i="28"/>
  <c r="F35" i="28"/>
  <c r="J34" i="28"/>
  <c r="F51" i="28"/>
  <c r="J50" i="28"/>
  <c r="F52" i="30"/>
  <c r="J51" i="30"/>
  <c r="F19" i="30"/>
  <c r="J18" i="30"/>
  <c r="F51" i="30"/>
  <c r="F14" i="30"/>
  <c r="J13" i="30"/>
  <c r="F30" i="30"/>
  <c r="F46" i="30"/>
  <c r="J45" i="30"/>
  <c r="F24" i="30"/>
  <c r="J23" i="30"/>
  <c r="F40" i="30"/>
  <c r="J39" i="30"/>
  <c r="F23" i="30"/>
  <c r="F13" i="30"/>
  <c r="J12" i="30"/>
  <c r="J28" i="30"/>
  <c r="F45" i="30"/>
  <c r="J44" i="30"/>
  <c r="J51" i="33"/>
  <c r="F17" i="33"/>
  <c r="F35" i="33"/>
  <c r="F12" i="33"/>
  <c r="F49" i="33"/>
  <c r="F24" i="33"/>
  <c r="J23" i="33"/>
  <c r="F37" i="33"/>
  <c r="J36" i="33"/>
  <c r="J38" i="33"/>
  <c r="F19" i="33"/>
  <c r="J18" i="33"/>
  <c r="F33" i="33"/>
  <c r="J32" i="33"/>
  <c r="F57" i="33"/>
  <c r="J55" i="33"/>
  <c r="F45" i="33"/>
  <c r="J44" i="33"/>
  <c r="F27" i="34"/>
  <c r="F48" i="34"/>
  <c r="F18" i="34"/>
  <c r="F44" i="34"/>
  <c r="J33" i="34"/>
  <c r="J50" i="34"/>
  <c r="F11" i="34"/>
  <c r="J10" i="34"/>
  <c r="F25" i="34"/>
  <c r="J24" i="34"/>
  <c r="F41" i="34"/>
  <c r="J40" i="34"/>
  <c r="F54" i="34"/>
  <c r="J53" i="34"/>
  <c r="F24" i="34"/>
  <c r="J23" i="34"/>
  <c r="F40" i="34"/>
  <c r="J39" i="34"/>
  <c r="F16" i="34"/>
  <c r="J15" i="34"/>
  <c r="F16" i="32"/>
  <c r="J15" i="32"/>
  <c r="J20" i="32"/>
  <c r="J13" i="32"/>
  <c r="F14" i="36"/>
  <c r="J13" i="36"/>
  <c r="F18" i="36"/>
  <c r="J17" i="36"/>
  <c r="F46" i="36"/>
  <c r="J45" i="36"/>
  <c r="J21" i="36"/>
  <c r="F36" i="36"/>
  <c r="J35" i="36"/>
  <c r="J53" i="36"/>
  <c r="F16" i="36"/>
  <c r="J15" i="36"/>
  <c r="F34" i="36"/>
  <c r="J33" i="36"/>
  <c r="F48" i="36"/>
  <c r="J47" i="36"/>
  <c r="F19" i="36"/>
  <c r="J18" i="36"/>
  <c r="F33" i="36"/>
  <c r="J32" i="36"/>
  <c r="F51" i="36"/>
  <c r="J50" i="36"/>
  <c r="F37" i="31"/>
  <c r="J36" i="31"/>
  <c r="F53" i="31"/>
  <c r="J52" i="31"/>
  <c r="F24" i="31"/>
  <c r="F40" i="31"/>
  <c r="J39" i="31"/>
  <c r="F57" i="31"/>
  <c r="J55" i="31"/>
  <c r="F15" i="31"/>
  <c r="J14" i="31"/>
  <c r="F31" i="31"/>
  <c r="J30" i="31"/>
  <c r="F47" i="31"/>
  <c r="J46" i="31"/>
  <c r="J12" i="31"/>
  <c r="F10" i="31"/>
  <c r="J9" i="31"/>
  <c r="F26" i="31"/>
  <c r="J25" i="31"/>
  <c r="F42" i="31"/>
  <c r="J41" i="31"/>
  <c r="J11" i="37"/>
  <c r="F17" i="37"/>
  <c r="J16" i="37"/>
  <c r="F28" i="37"/>
  <c r="J27" i="37"/>
  <c r="F44" i="37"/>
  <c r="J43" i="37"/>
  <c r="F22" i="37"/>
  <c r="J21" i="37"/>
  <c r="F38" i="37"/>
  <c r="J37" i="37"/>
  <c r="F54" i="37"/>
  <c r="F25" i="37"/>
  <c r="J40" i="37"/>
  <c r="J23" i="37"/>
  <c r="F40" i="37"/>
  <c r="J39" i="37"/>
  <c r="F57" i="37"/>
  <c r="J55" i="37"/>
  <c r="F30" i="35"/>
  <c r="J29" i="35"/>
  <c r="F25" i="35"/>
  <c r="J24" i="35"/>
  <c r="F53" i="35"/>
  <c r="J52" i="35"/>
  <c r="F19" i="35"/>
  <c r="J18" i="35"/>
  <c r="F33" i="35"/>
  <c r="J32" i="35"/>
  <c r="F51" i="35"/>
  <c r="J50" i="35"/>
  <c r="F18" i="35"/>
  <c r="J17" i="35"/>
  <c r="F32" i="35"/>
  <c r="J31" i="35"/>
  <c r="F50" i="35"/>
  <c r="F22" i="35"/>
  <c r="F36" i="35"/>
  <c r="F54" i="35"/>
  <c r="J53" i="35"/>
  <c r="J19" i="29"/>
  <c r="F24" i="29"/>
  <c r="J23" i="29"/>
  <c r="J40" i="29"/>
  <c r="F35" i="29"/>
  <c r="F29" i="29"/>
  <c r="J28" i="29"/>
  <c r="F44" i="29"/>
  <c r="J43" i="29"/>
  <c r="F26" i="29"/>
  <c r="J25" i="29"/>
  <c r="F10" i="29"/>
  <c r="J9" i="29"/>
  <c r="F49" i="29"/>
  <c r="F52" i="26"/>
  <c r="J51" i="26"/>
  <c r="F18" i="26"/>
  <c r="J17" i="26"/>
  <c r="F18" i="27"/>
  <c r="J17" i="27"/>
  <c r="F37" i="27"/>
  <c r="J36" i="27"/>
  <c r="F42" i="27"/>
  <c r="J41" i="27"/>
  <c r="F12" i="27"/>
  <c r="F34" i="27"/>
  <c r="J33" i="27"/>
  <c r="F50" i="27"/>
  <c r="J49" i="27"/>
  <c r="F32" i="27"/>
  <c r="J31" i="27"/>
  <c r="F14" i="27"/>
  <c r="J13" i="27"/>
  <c r="F30" i="27"/>
  <c r="J29" i="27"/>
  <c r="F46" i="27"/>
  <c r="J45" i="27"/>
  <c r="F18" i="28"/>
  <c r="J17" i="28"/>
  <c r="F50" i="28"/>
  <c r="F29" i="28"/>
  <c r="J28" i="28"/>
  <c r="F45" i="28"/>
  <c r="J44" i="28"/>
  <c r="F12" i="28"/>
  <c r="J11" i="28"/>
  <c r="F28" i="28"/>
  <c r="J27" i="28"/>
  <c r="F44" i="28"/>
  <c r="J43" i="28"/>
  <c r="F14" i="28"/>
  <c r="J13" i="28"/>
  <c r="F46" i="28"/>
  <c r="J45" i="28"/>
  <c r="F10" i="28"/>
  <c r="J9" i="28"/>
  <c r="J22" i="28"/>
  <c r="F39" i="28"/>
  <c r="J38" i="28"/>
  <c r="F57" i="28"/>
  <c r="J55" i="28"/>
  <c r="F57" i="30"/>
  <c r="J55" i="30"/>
  <c r="F27" i="30"/>
  <c r="J26" i="30"/>
  <c r="F55" i="30"/>
  <c r="J54" i="30"/>
  <c r="F18" i="30"/>
  <c r="J17" i="30"/>
  <c r="F34" i="30"/>
  <c r="J33" i="30"/>
  <c r="J49" i="30"/>
  <c r="F28" i="30"/>
  <c r="J27" i="30"/>
  <c r="F44" i="30"/>
  <c r="F31" i="30"/>
  <c r="J30" i="30"/>
  <c r="F17" i="30"/>
  <c r="J16" i="30"/>
  <c r="F33" i="30"/>
  <c r="J32" i="30"/>
  <c r="F49" i="30"/>
  <c r="J48" i="30"/>
  <c r="J20" i="33"/>
  <c r="F38" i="33"/>
  <c r="J37" i="33"/>
  <c r="F13" i="33"/>
  <c r="J12" i="33"/>
  <c r="F10" i="33"/>
  <c r="J9" i="33"/>
  <c r="J24" i="33"/>
  <c r="F44" i="33"/>
  <c r="F42" i="33"/>
  <c r="J41" i="33"/>
  <c r="F23" i="33"/>
  <c r="J22" i="33"/>
  <c r="J42" i="33"/>
  <c r="F36" i="33"/>
  <c r="J35" i="33"/>
  <c r="F50" i="33"/>
  <c r="J49" i="33"/>
  <c r="F52" i="34"/>
  <c r="J12" i="34"/>
  <c r="F12" i="34"/>
  <c r="J11" i="34"/>
  <c r="F22" i="34"/>
  <c r="J37" i="34"/>
  <c r="F55" i="34"/>
  <c r="J54" i="34"/>
  <c r="F15" i="34"/>
  <c r="J14" i="34"/>
  <c r="F29" i="34"/>
  <c r="J28" i="34"/>
  <c r="F42" i="34"/>
  <c r="J41" i="34"/>
  <c r="F10" i="34"/>
  <c r="J9" i="34"/>
  <c r="F28" i="34"/>
  <c r="J27" i="34"/>
  <c r="F45" i="34"/>
  <c r="J44" i="34"/>
  <c r="F12" i="32"/>
  <c r="J11" i="32"/>
  <c r="F17" i="32"/>
  <c r="J16" i="32"/>
  <c r="F18" i="32"/>
  <c r="J17" i="32"/>
  <c r="F20" i="32"/>
  <c r="F23" i="36"/>
  <c r="F27" i="36"/>
  <c r="J26" i="36"/>
  <c r="F55" i="36"/>
  <c r="F26" i="36"/>
  <c r="J25" i="36"/>
  <c r="F40" i="36"/>
  <c r="J39" i="36"/>
  <c r="F21" i="36"/>
  <c r="J20" i="36"/>
  <c r="F39" i="36"/>
  <c r="F53" i="36"/>
  <c r="J52" i="36"/>
  <c r="F20" i="36"/>
  <c r="J19" i="36"/>
  <c r="J37" i="36"/>
  <c r="F52" i="36"/>
  <c r="J51" i="36"/>
  <c r="F41" i="31"/>
  <c r="J40" i="31"/>
  <c r="F12" i="31"/>
  <c r="J11" i="31"/>
  <c r="J27" i="31"/>
  <c r="F44" i="31"/>
  <c r="F29" i="31"/>
  <c r="F19" i="31"/>
  <c r="F35" i="31"/>
  <c r="J34" i="31"/>
  <c r="F51" i="31"/>
  <c r="J50" i="31"/>
  <c r="F17" i="31"/>
  <c r="J16" i="31"/>
  <c r="F14" i="31"/>
  <c r="F30" i="31"/>
  <c r="J29" i="31"/>
  <c r="F46" i="31"/>
  <c r="J45" i="31"/>
  <c r="F33" i="37"/>
  <c r="J32" i="37"/>
  <c r="F34" i="37"/>
  <c r="J33" i="37"/>
  <c r="F49" i="37"/>
  <c r="J48" i="37"/>
  <c r="F11" i="37"/>
  <c r="J10" i="37"/>
  <c r="F27" i="37"/>
  <c r="J26" i="37"/>
  <c r="F43" i="37"/>
  <c r="J42" i="37"/>
  <c r="F10" i="37"/>
  <c r="J9" i="37"/>
  <c r="F26" i="37"/>
  <c r="J25" i="37"/>
  <c r="F42" i="37"/>
  <c r="F13" i="37"/>
  <c r="F29" i="37"/>
  <c r="J28" i="37"/>
  <c r="F45" i="37"/>
  <c r="J44" i="37"/>
  <c r="F11" i="35"/>
  <c r="J10" i="35"/>
  <c r="F39" i="35"/>
  <c r="J38" i="35"/>
  <c r="F34" i="35"/>
  <c r="J33" i="35"/>
  <c r="F12" i="35"/>
  <c r="J11" i="35"/>
  <c r="F20" i="35"/>
  <c r="J19" i="35"/>
  <c r="F38" i="35"/>
  <c r="J37" i="35"/>
  <c r="F52" i="35"/>
  <c r="J51" i="35"/>
  <c r="F23" i="35"/>
  <c r="J22" i="35"/>
  <c r="F37" i="35"/>
  <c r="J36" i="35"/>
  <c r="F55" i="35"/>
  <c r="J54" i="35"/>
  <c r="F26" i="35"/>
  <c r="J25" i="35"/>
  <c r="F40" i="35"/>
  <c r="J39" i="35"/>
  <c r="F53" i="29"/>
  <c r="J52" i="29"/>
  <c r="F18" i="29"/>
  <c r="J17" i="29"/>
  <c r="J53" i="29"/>
  <c r="F16" i="29"/>
  <c r="J15" i="29"/>
  <c r="F50" i="29"/>
  <c r="J49" i="29"/>
  <c r="F32" i="29"/>
  <c r="J31" i="29"/>
  <c r="F37" i="29"/>
  <c r="J36" i="29"/>
  <c r="F38" i="29"/>
  <c r="J37" i="29"/>
  <c r="J33" i="29"/>
  <c r="F21" i="29"/>
  <c r="F40" i="29"/>
  <c r="J39" i="29"/>
  <c r="F36" i="29"/>
  <c r="J35" i="29"/>
  <c r="F36" i="26"/>
  <c r="J35" i="26"/>
  <c r="F51" i="26"/>
  <c r="J50" i="26"/>
  <c r="F38" i="26"/>
  <c r="J37" i="26"/>
  <c r="F27" i="26"/>
  <c r="J26" i="26"/>
  <c r="F15" i="27"/>
  <c r="J14" i="27"/>
  <c r="J18" i="27"/>
  <c r="F26" i="28"/>
  <c r="J25" i="28"/>
  <c r="J48" i="28"/>
  <c r="J31" i="28"/>
  <c r="F22" i="28"/>
  <c r="J21" i="28"/>
  <c r="F13" i="28"/>
  <c r="J12" i="28"/>
  <c r="F11" i="28"/>
  <c r="J10" i="28"/>
  <c r="F27" i="28"/>
  <c r="J26" i="28"/>
  <c r="F43" i="28"/>
  <c r="J42" i="28"/>
  <c r="F16" i="30"/>
  <c r="F35" i="30"/>
  <c r="J34" i="30"/>
  <c r="J21" i="30"/>
  <c r="F38" i="30"/>
  <c r="J37" i="30"/>
  <c r="F54" i="30"/>
  <c r="J53" i="30"/>
  <c r="F32" i="30"/>
  <c r="J31" i="30"/>
  <c r="F48" i="30"/>
  <c r="J47" i="30"/>
  <c r="F39" i="30"/>
  <c r="J38" i="30"/>
  <c r="F21" i="30"/>
  <c r="J20" i="30"/>
  <c r="F37" i="30"/>
  <c r="F53" i="30"/>
  <c r="J52" i="30"/>
  <c r="J10" i="33"/>
  <c r="F26" i="33"/>
  <c r="J47" i="33"/>
  <c r="F18" i="33"/>
  <c r="J17" i="33"/>
  <c r="F15" i="33"/>
  <c r="J14" i="33"/>
  <c r="F29" i="33"/>
  <c r="J28" i="33"/>
  <c r="F47" i="33"/>
  <c r="J46" i="33"/>
  <c r="F55" i="33"/>
  <c r="J54" i="33"/>
  <c r="F28" i="33"/>
  <c r="J27" i="33"/>
  <c r="F46" i="33"/>
  <c r="J45" i="33"/>
  <c r="F40" i="33"/>
  <c r="F54" i="33"/>
  <c r="J53" i="33"/>
  <c r="F23" i="34"/>
  <c r="J22" i="34"/>
  <c r="F31" i="34"/>
  <c r="F19" i="34"/>
  <c r="J18" i="34"/>
  <c r="J25" i="34"/>
  <c r="J42" i="34"/>
  <c r="J16" i="34"/>
  <c r="F33" i="34"/>
  <c r="J32" i="34"/>
  <c r="F46" i="34"/>
  <c r="J45" i="34"/>
  <c r="F14" i="34"/>
  <c r="F32" i="34"/>
  <c r="J31" i="34"/>
  <c r="F49" i="34"/>
  <c r="J48" i="34"/>
  <c r="J9" i="32"/>
  <c r="J18" i="32"/>
  <c r="F41" i="36"/>
  <c r="J40" i="36"/>
  <c r="F28" i="36"/>
  <c r="J27" i="36"/>
  <c r="F32" i="36"/>
  <c r="J31" i="36"/>
  <c r="F13" i="36"/>
  <c r="J12" i="36"/>
  <c r="F31" i="36"/>
  <c r="J30" i="36"/>
  <c r="F45" i="36"/>
  <c r="J44" i="36"/>
  <c r="F11" i="36"/>
  <c r="J10" i="36"/>
  <c r="F25" i="36"/>
  <c r="J24" i="36"/>
  <c r="F43" i="36"/>
  <c r="J42" i="36"/>
  <c r="F10" i="36"/>
  <c r="J9" i="36"/>
  <c r="F24" i="36"/>
  <c r="J23" i="36"/>
  <c r="F42" i="36"/>
  <c r="J41" i="36"/>
  <c r="F57" i="36"/>
  <c r="J55" i="36"/>
  <c r="F45" i="31"/>
  <c r="J44" i="31"/>
  <c r="F16" i="31"/>
  <c r="J15" i="31"/>
  <c r="F32" i="31"/>
  <c r="J31" i="31"/>
  <c r="J47" i="31"/>
  <c r="J22" i="31"/>
  <c r="F39" i="31"/>
  <c r="F55" i="31"/>
  <c r="F21" i="31"/>
  <c r="J20" i="31"/>
  <c r="J17" i="31"/>
  <c r="F34" i="31"/>
  <c r="F50" i="31"/>
  <c r="J49" i="31"/>
  <c r="F50" i="37"/>
  <c r="J49" i="37"/>
  <c r="F39" i="37"/>
  <c r="J38" i="37"/>
  <c r="J17" i="37"/>
  <c r="F16" i="37"/>
  <c r="J15" i="37"/>
  <c r="F32" i="37"/>
  <c r="J31" i="37"/>
  <c r="F48" i="37"/>
  <c r="F15" i="37"/>
  <c r="J14" i="37"/>
  <c r="F31" i="37"/>
  <c r="J46" i="37"/>
  <c r="F14" i="37"/>
  <c r="J13" i="37"/>
  <c r="J29" i="37"/>
  <c r="F46" i="37"/>
  <c r="J45" i="37"/>
  <c r="F16" i="35"/>
  <c r="J15" i="35"/>
  <c r="F44" i="35"/>
  <c r="J43" i="35"/>
  <c r="F43" i="35"/>
  <c r="J42" i="35"/>
  <c r="F10" i="35"/>
  <c r="J9" i="35"/>
  <c r="F24" i="35"/>
  <c r="J23" i="35"/>
  <c r="F42" i="35"/>
  <c r="J41" i="35"/>
  <c r="F57" i="35"/>
  <c r="J55" i="35"/>
  <c r="F27" i="35"/>
  <c r="J26" i="35"/>
  <c r="F41" i="35"/>
  <c r="J40" i="35"/>
  <c r="F13" i="35"/>
  <c r="J12" i="35"/>
  <c r="F31" i="35"/>
  <c r="J30" i="35"/>
  <c r="F45" i="35"/>
  <c r="J44" i="35"/>
  <c r="F11" i="29"/>
  <c r="J10" i="29"/>
  <c r="F30" i="29"/>
  <c r="J29" i="29"/>
  <c r="F22" i="29"/>
  <c r="J21" i="29"/>
  <c r="F23" i="29"/>
  <c r="J22" i="29"/>
  <c r="F51" i="29"/>
  <c r="J50" i="29"/>
  <c r="F46" i="29"/>
  <c r="J45" i="29"/>
  <c r="J47" i="29"/>
  <c r="F25" i="29"/>
  <c r="J24" i="29"/>
  <c r="F19" i="29"/>
  <c r="J18" i="29"/>
  <c r="J13" i="29"/>
  <c r="F37" i="26"/>
  <c r="J36" i="26"/>
  <c r="F19" i="26"/>
  <c r="J18" i="26"/>
  <c r="F22" i="26"/>
  <c r="J21" i="26"/>
  <c r="F34" i="26"/>
  <c r="J33" i="26"/>
  <c r="F26" i="27"/>
  <c r="J25" i="27"/>
  <c r="F25" i="26"/>
  <c r="J24" i="26"/>
  <c r="F41" i="26"/>
  <c r="J40" i="26"/>
  <c r="F24" i="26"/>
  <c r="J23" i="26"/>
  <c r="F57" i="26"/>
  <c r="J55" i="26"/>
  <c r="F23" i="26"/>
  <c r="J22" i="26"/>
  <c r="F55" i="26"/>
  <c r="J54" i="26"/>
  <c r="F38" i="27"/>
  <c r="J37" i="27"/>
  <c r="F47" i="27"/>
  <c r="J46" i="27"/>
  <c r="F39" i="27"/>
  <c r="J38" i="27"/>
  <c r="J42" i="27"/>
  <c r="J50" i="27"/>
  <c r="F33" i="28"/>
  <c r="F16" i="28"/>
  <c r="F11" i="26"/>
  <c r="J10" i="26"/>
  <c r="F10" i="26"/>
  <c r="J9" i="26"/>
  <c r="F26" i="26"/>
  <c r="J25" i="26"/>
  <c r="F42" i="26"/>
  <c r="J41" i="26"/>
  <c r="F13" i="26"/>
  <c r="J12" i="26"/>
  <c r="F29" i="26"/>
  <c r="J28" i="26"/>
  <c r="F45" i="26"/>
  <c r="J44" i="26"/>
  <c r="F16" i="26"/>
  <c r="J15" i="26"/>
  <c r="F43" i="26"/>
  <c r="J42" i="26"/>
  <c r="F12" i="26"/>
  <c r="J11" i="26"/>
  <c r="F28" i="26"/>
  <c r="J27" i="26"/>
  <c r="F44" i="26"/>
  <c r="J43" i="26"/>
  <c r="F22" i="27"/>
  <c r="J21" i="27"/>
  <c r="F48" i="27"/>
  <c r="J47" i="27"/>
  <c r="F20" i="27"/>
  <c r="F36" i="27"/>
  <c r="F52" i="27"/>
  <c r="F28" i="27"/>
  <c r="F44" i="27"/>
  <c r="J10" i="27"/>
  <c r="F24" i="27"/>
  <c r="J23" i="27"/>
  <c r="F40" i="27"/>
  <c r="J39" i="27"/>
  <c r="F55" i="27"/>
  <c r="J54" i="27"/>
  <c r="F34" i="28"/>
  <c r="J33" i="28"/>
  <c r="F37" i="28"/>
  <c r="J36" i="28"/>
  <c r="F54" i="28"/>
  <c r="J53" i="28"/>
  <c r="F20" i="28"/>
  <c r="J19" i="28"/>
  <c r="F36" i="28"/>
  <c r="J35" i="28"/>
  <c r="F52" i="28"/>
  <c r="J51" i="28"/>
  <c r="F30" i="28"/>
  <c r="J29" i="28"/>
  <c r="F21" i="28"/>
  <c r="J20" i="28"/>
  <c r="J14" i="28"/>
  <c r="F31" i="28"/>
  <c r="J30" i="28"/>
  <c r="F47" i="28"/>
  <c r="J46" i="28"/>
  <c r="F20" i="30"/>
  <c r="J19" i="30"/>
  <c r="F11" i="30"/>
  <c r="J10" i="30"/>
  <c r="J42" i="30"/>
  <c r="F10" i="30"/>
  <c r="J9" i="30"/>
  <c r="F26" i="30"/>
  <c r="J25" i="30"/>
  <c r="F42" i="30"/>
  <c r="J41" i="30"/>
  <c r="F12" i="30"/>
  <c r="J11" i="30"/>
  <c r="J35" i="30"/>
  <c r="J14" i="30"/>
  <c r="F47" i="30"/>
  <c r="J46" i="30"/>
  <c r="F25" i="30"/>
  <c r="J24" i="30"/>
  <c r="F41" i="30"/>
  <c r="J40" i="30"/>
  <c r="F27" i="33"/>
  <c r="J26" i="33"/>
  <c r="J15" i="33"/>
  <c r="J29" i="33"/>
  <c r="F51" i="33"/>
  <c r="J50" i="33"/>
  <c r="F22" i="33"/>
  <c r="F20" i="33"/>
  <c r="J19" i="33"/>
  <c r="J33" i="33"/>
  <c r="F31" i="33"/>
  <c r="F14" i="33"/>
  <c r="J13" i="33"/>
  <c r="F32" i="33"/>
  <c r="J31" i="33"/>
  <c r="F53" i="33"/>
  <c r="F41" i="33"/>
  <c r="J40" i="33"/>
  <c r="F39" i="34"/>
  <c r="F57" i="34"/>
  <c r="J55" i="34"/>
  <c r="F35" i="34"/>
  <c r="J29" i="34"/>
  <c r="J46" i="34"/>
  <c r="J20" i="34"/>
  <c r="F37" i="34"/>
  <c r="J36" i="34"/>
  <c r="F50" i="34"/>
  <c r="J49" i="34"/>
  <c r="F20" i="34"/>
  <c r="J19" i="34"/>
  <c r="F36" i="34"/>
  <c r="J35" i="34"/>
  <c r="F53" i="34"/>
  <c r="J52" i="34"/>
  <c r="F11" i="32"/>
  <c r="F15" i="32"/>
  <c r="F13" i="32"/>
  <c r="J12" i="32"/>
  <c r="F50" i="36"/>
  <c r="J49" i="36"/>
  <c r="F37" i="36"/>
  <c r="J36" i="36"/>
  <c r="F17" i="36"/>
  <c r="J16" i="36"/>
  <c r="F35" i="36"/>
  <c r="J34" i="36"/>
  <c r="F49" i="36"/>
  <c r="J48" i="36"/>
  <c r="F12" i="36"/>
  <c r="J11" i="36"/>
  <c r="F30" i="36"/>
  <c r="J29" i="36"/>
  <c r="F44" i="36"/>
  <c r="J43" i="36"/>
  <c r="F15" i="36"/>
  <c r="J14" i="36"/>
  <c r="F29" i="36"/>
  <c r="J28" i="36"/>
  <c r="F47" i="36"/>
  <c r="J46" i="36"/>
  <c r="J32" i="31"/>
  <c r="F49" i="31"/>
  <c r="F20" i="31"/>
  <c r="J19" i="31"/>
  <c r="F36" i="31"/>
  <c r="J35" i="31"/>
  <c r="F52" i="31"/>
  <c r="J51" i="31"/>
  <c r="F11" i="31"/>
  <c r="J10" i="31"/>
  <c r="F27" i="31"/>
  <c r="J26" i="31"/>
  <c r="J42" i="31"/>
  <c r="F25" i="31"/>
  <c r="J24" i="31"/>
  <c r="F22" i="31"/>
  <c r="J21" i="31"/>
  <c r="J37" i="31"/>
  <c r="J53" i="31"/>
  <c r="F55" i="37"/>
  <c r="J54" i="37"/>
  <c r="F23" i="37"/>
  <c r="J22" i="37"/>
  <c r="F21" i="37"/>
  <c r="J20" i="37"/>
  <c r="F37" i="37"/>
  <c r="J36" i="37"/>
  <c r="J52" i="37"/>
  <c r="F20" i="37"/>
  <c r="J19" i="37"/>
  <c r="F36" i="37"/>
  <c r="F52" i="37"/>
  <c r="J51" i="37"/>
  <c r="F19" i="37"/>
  <c r="J34" i="37"/>
  <c r="F51" i="37"/>
  <c r="J50" i="37"/>
  <c r="J20" i="35"/>
  <c r="F48" i="35"/>
  <c r="J47" i="35"/>
  <c r="F15" i="35"/>
  <c r="J14" i="35"/>
  <c r="F29" i="35"/>
  <c r="J28" i="35"/>
  <c r="F47" i="35"/>
  <c r="J46" i="35"/>
  <c r="F14" i="35"/>
  <c r="J13" i="35"/>
  <c r="F28" i="35"/>
  <c r="J27" i="35"/>
  <c r="F46" i="35"/>
  <c r="J45" i="35"/>
  <c r="F17" i="35"/>
  <c r="J16" i="35"/>
  <c r="J34" i="35"/>
  <c r="J48" i="35"/>
  <c r="F31" i="29"/>
  <c r="J30" i="29"/>
  <c r="F43" i="29"/>
  <c r="J42" i="29"/>
  <c r="F47" i="29"/>
  <c r="J46" i="29"/>
  <c r="F12" i="29"/>
  <c r="J11" i="29"/>
  <c r="F42" i="29"/>
  <c r="F28" i="29"/>
  <c r="F17" i="29"/>
  <c r="J16" i="29"/>
  <c r="F45" i="29"/>
  <c r="J44" i="29"/>
  <c r="F52" i="29"/>
  <c r="J51" i="29"/>
  <c r="F33" i="29"/>
  <c r="J32" i="29"/>
  <c r="F13" i="29"/>
  <c r="J12" i="29"/>
  <c r="F55" i="29"/>
  <c r="F9" i="29"/>
  <c r="F7" i="29"/>
  <c r="F15" i="29"/>
  <c r="F57" i="29"/>
  <c r="F9" i="33"/>
  <c r="F7" i="33"/>
  <c r="F9" i="37"/>
  <c r="F7" i="37"/>
  <c r="F9" i="27"/>
  <c r="F7" i="27"/>
  <c r="F9" i="28"/>
  <c r="F7" i="28"/>
  <c r="F9" i="32"/>
  <c r="F7" i="32"/>
  <c r="F7" i="36"/>
  <c r="F9" i="36"/>
  <c r="F9" i="31"/>
  <c r="F7" i="31"/>
  <c r="F7" i="26"/>
  <c r="F9" i="26"/>
  <c r="F7" i="34"/>
  <c r="F9" i="34"/>
  <c r="F7" i="30"/>
  <c r="F9" i="30"/>
  <c r="F9" i="35"/>
  <c r="F7" i="35"/>
  <c r="D57" i="3" l="1"/>
  <c r="D10" i="3"/>
  <c r="L10" i="3" s="1"/>
  <c r="D11" i="3"/>
  <c r="D12" i="3"/>
  <c r="L12" i="3" s="1"/>
  <c r="L13" i="3"/>
  <c r="D14" i="3"/>
  <c r="L14" i="3" s="1"/>
  <c r="D15" i="3"/>
  <c r="D16" i="3"/>
  <c r="L16" i="3" s="1"/>
  <c r="D17" i="3"/>
  <c r="L17" i="3" s="1"/>
  <c r="D18" i="3"/>
  <c r="L18" i="3" s="1"/>
  <c r="D20" i="3"/>
  <c r="L20" i="3" s="1"/>
  <c r="D21" i="3"/>
  <c r="L21" i="3" s="1"/>
  <c r="D22" i="3"/>
  <c r="L22" i="3" s="1"/>
  <c r="D23" i="3"/>
  <c r="D24" i="3"/>
  <c r="L24" i="3" s="1"/>
  <c r="D25" i="3"/>
  <c r="L25" i="3" s="1"/>
  <c r="L26" i="3"/>
  <c r="D27" i="3"/>
  <c r="D28" i="3"/>
  <c r="L28" i="3" s="1"/>
  <c r="D29" i="3"/>
  <c r="L29" i="3" s="1"/>
  <c r="D30" i="3"/>
  <c r="L30" i="3" s="1"/>
  <c r="D31" i="3"/>
  <c r="L32" i="3"/>
  <c r="D33" i="3"/>
  <c r="L33" i="3" s="1"/>
  <c r="D34" i="3"/>
  <c r="L34" i="3" s="1"/>
  <c r="D35" i="3"/>
  <c r="D36" i="3"/>
  <c r="L36" i="3" s="1"/>
  <c r="D37" i="3"/>
  <c r="L37" i="3" s="1"/>
  <c r="L38" i="3"/>
  <c r="D39" i="3"/>
  <c r="D40" i="3"/>
  <c r="L40" i="3" s="1"/>
  <c r="D41" i="3"/>
  <c r="L41" i="3" s="1"/>
  <c r="D42" i="3"/>
  <c r="L42" i="3" s="1"/>
  <c r="D43" i="3"/>
  <c r="L44" i="3"/>
  <c r="D45" i="3"/>
  <c r="L45" i="3" s="1"/>
  <c r="D46" i="3"/>
  <c r="L46" i="3" s="1"/>
  <c r="D47" i="3"/>
  <c r="D48" i="3"/>
  <c r="L48" i="3" s="1"/>
  <c r="D49" i="3"/>
  <c r="L49" i="3" s="1"/>
  <c r="D50" i="3"/>
  <c r="L50" i="3" s="1"/>
  <c r="D52" i="3"/>
  <c r="L52" i="3" s="1"/>
  <c r="D53" i="3"/>
  <c r="L53" i="3" s="1"/>
  <c r="D54" i="3"/>
  <c r="L54" i="3" s="1"/>
  <c r="D55" i="3"/>
  <c r="D9" i="3"/>
  <c r="D7" i="3"/>
  <c r="D107" i="5"/>
  <c r="D10" i="5"/>
  <c r="L10" i="5" s="1"/>
  <c r="D11" i="5"/>
  <c r="L11" i="5" s="1"/>
  <c r="D12" i="5"/>
  <c r="L12" i="5" s="1"/>
  <c r="D13" i="5"/>
  <c r="L13" i="5" s="1"/>
  <c r="D14" i="5"/>
  <c r="L14" i="5" s="1"/>
  <c r="D15" i="5"/>
  <c r="L15" i="5" s="1"/>
  <c r="D16" i="5"/>
  <c r="L16" i="5" s="1"/>
  <c r="L17" i="5"/>
  <c r="D18" i="5"/>
  <c r="L18" i="5" s="1"/>
  <c r="D19" i="5"/>
  <c r="L19" i="5" s="1"/>
  <c r="D20" i="5"/>
  <c r="L20" i="5" s="1"/>
  <c r="D21" i="5"/>
  <c r="L21" i="5" s="1"/>
  <c r="D22" i="5"/>
  <c r="L22" i="5" s="1"/>
  <c r="D23" i="5"/>
  <c r="L23" i="5" s="1"/>
  <c r="D24" i="5"/>
  <c r="L24" i="5" s="1"/>
  <c r="L25" i="5"/>
  <c r="D26" i="5"/>
  <c r="L26" i="5" s="1"/>
  <c r="D27" i="5"/>
  <c r="L27" i="5" s="1"/>
  <c r="D28" i="5"/>
  <c r="L28" i="5" s="1"/>
  <c r="D29" i="5"/>
  <c r="L29" i="5" s="1"/>
  <c r="D30" i="5"/>
  <c r="L30" i="5" s="1"/>
  <c r="D31" i="5"/>
  <c r="L31" i="5" s="1"/>
  <c r="D32" i="5"/>
  <c r="L32" i="5" s="1"/>
  <c r="D33" i="5"/>
  <c r="L33" i="5" s="1"/>
  <c r="L34" i="5"/>
  <c r="D35" i="5"/>
  <c r="L35" i="5" s="1"/>
  <c r="D36" i="5"/>
  <c r="L36" i="5" s="1"/>
  <c r="D37" i="5"/>
  <c r="L37" i="5" s="1"/>
  <c r="D38" i="5"/>
  <c r="L38" i="5" s="1"/>
  <c r="D39" i="5"/>
  <c r="L39" i="5" s="1"/>
  <c r="D40" i="5"/>
  <c r="L40" i="5" s="1"/>
  <c r="D41" i="5"/>
  <c r="L41" i="5" s="1"/>
  <c r="L42" i="5"/>
  <c r="D43" i="5"/>
  <c r="L43" i="5" s="1"/>
  <c r="D44" i="5"/>
  <c r="L44" i="5" s="1"/>
  <c r="D45" i="5"/>
  <c r="L45" i="5" s="1"/>
  <c r="D46" i="5"/>
  <c r="L46" i="5" s="1"/>
  <c r="D47" i="5"/>
  <c r="L47" i="5" s="1"/>
  <c r="D48" i="5"/>
  <c r="L48" i="5" s="1"/>
  <c r="D49" i="5"/>
  <c r="L49" i="5" s="1"/>
  <c r="D50" i="5"/>
  <c r="L50" i="5" s="1"/>
  <c r="L51" i="5"/>
  <c r="D52" i="5"/>
  <c r="L52" i="5" s="1"/>
  <c r="D53" i="5"/>
  <c r="L53" i="5" s="1"/>
  <c r="D54" i="5"/>
  <c r="L54" i="5" s="1"/>
  <c r="D55" i="5"/>
  <c r="L55" i="5" s="1"/>
  <c r="D56" i="5"/>
  <c r="L56" i="5" s="1"/>
  <c r="D57" i="5"/>
  <c r="L57" i="5" s="1"/>
  <c r="D58" i="5"/>
  <c r="L58" i="5" s="1"/>
  <c r="D59" i="5"/>
  <c r="L59" i="5" s="1"/>
  <c r="L60" i="5"/>
  <c r="D61" i="5"/>
  <c r="L61" i="5" s="1"/>
  <c r="D62" i="5"/>
  <c r="L62" i="5" s="1"/>
  <c r="D63" i="5"/>
  <c r="L63" i="5" s="1"/>
  <c r="D64" i="5"/>
  <c r="L64" i="5" s="1"/>
  <c r="D65" i="5"/>
  <c r="L65" i="5" s="1"/>
  <c r="D66" i="5"/>
  <c r="L66" i="5" s="1"/>
  <c r="D67" i="5"/>
  <c r="L67" i="5" s="1"/>
  <c r="L68" i="5"/>
  <c r="D69" i="5"/>
  <c r="L69" i="5" s="1"/>
  <c r="D70" i="5"/>
  <c r="L70" i="5" s="1"/>
  <c r="D71" i="5"/>
  <c r="L71" i="5" s="1"/>
  <c r="D72" i="5"/>
  <c r="L72" i="5" s="1"/>
  <c r="D73" i="5"/>
  <c r="L73" i="5" s="1"/>
  <c r="D74" i="5"/>
  <c r="L74" i="5" s="1"/>
  <c r="D75" i="5"/>
  <c r="L75" i="5" s="1"/>
  <c r="D76" i="5"/>
  <c r="L76" i="5" s="1"/>
  <c r="L77" i="5"/>
  <c r="D78" i="5"/>
  <c r="L78" i="5" s="1"/>
  <c r="D79" i="5"/>
  <c r="L79" i="5" s="1"/>
  <c r="D80" i="5"/>
  <c r="L80" i="5" s="1"/>
  <c r="D81" i="5"/>
  <c r="L81" i="5" s="1"/>
  <c r="D82" i="5"/>
  <c r="L82" i="5" s="1"/>
  <c r="D83" i="5"/>
  <c r="L83" i="5" s="1"/>
  <c r="D84" i="5"/>
  <c r="L84" i="5" s="1"/>
  <c r="L85" i="5"/>
  <c r="D86" i="5"/>
  <c r="L86" i="5" s="1"/>
  <c r="D87" i="5"/>
  <c r="L87" i="5" s="1"/>
  <c r="D88" i="5"/>
  <c r="L88" i="5" s="1"/>
  <c r="D89" i="5"/>
  <c r="L89" i="5" s="1"/>
  <c r="D90" i="5"/>
  <c r="L90" i="5" s="1"/>
  <c r="D91" i="5"/>
  <c r="L91" i="5" s="1"/>
  <c r="D92" i="5"/>
  <c r="L92" i="5" s="1"/>
  <c r="D93" i="5"/>
  <c r="L93" i="5" s="1"/>
  <c r="L94" i="5"/>
  <c r="D95" i="5"/>
  <c r="L95" i="5" s="1"/>
  <c r="D96" i="5"/>
  <c r="L96" i="5" s="1"/>
  <c r="D97" i="5"/>
  <c r="L97" i="5" s="1"/>
  <c r="D98" i="5"/>
  <c r="L98" i="5" s="1"/>
  <c r="D99" i="5"/>
  <c r="L99" i="5" s="1"/>
  <c r="D100" i="5"/>
  <c r="L100" i="5" s="1"/>
  <c r="D101" i="5"/>
  <c r="L101" i="5" s="1"/>
  <c r="D103" i="5"/>
  <c r="D104" i="5"/>
  <c r="L104" i="5" s="1"/>
  <c r="D105" i="5"/>
  <c r="L105" i="5" s="1"/>
  <c r="D9" i="5"/>
  <c r="D7" i="5"/>
  <c r="G7" i="5" l="1"/>
  <c r="H7" i="5" s="1"/>
  <c r="L7" i="5"/>
  <c r="G103" i="5"/>
  <c r="H103" i="5" s="1"/>
  <c r="L103" i="5"/>
  <c r="G9" i="5"/>
  <c r="H9" i="5" s="1"/>
  <c r="L9" i="5"/>
  <c r="G107" i="5"/>
  <c r="H107" i="5" s="1"/>
  <c r="L107" i="5"/>
  <c r="G55" i="3"/>
  <c r="H55" i="3" s="1"/>
  <c r="L55" i="3"/>
  <c r="L51" i="3"/>
  <c r="G47" i="3"/>
  <c r="H47" i="3" s="1"/>
  <c r="L47" i="3"/>
  <c r="G43" i="3"/>
  <c r="H43" i="3" s="1"/>
  <c r="L43" i="3"/>
  <c r="G39" i="3"/>
  <c r="H39" i="3" s="1"/>
  <c r="L39" i="3"/>
  <c r="G35" i="3"/>
  <c r="H35" i="3" s="1"/>
  <c r="L35" i="3"/>
  <c r="G31" i="3"/>
  <c r="H31" i="3" s="1"/>
  <c r="L31" i="3"/>
  <c r="G27" i="3"/>
  <c r="H27" i="3" s="1"/>
  <c r="L27" i="3"/>
  <c r="G23" i="3"/>
  <c r="H23" i="3" s="1"/>
  <c r="L23" i="3"/>
  <c r="L19" i="3"/>
  <c r="G15" i="3"/>
  <c r="H15" i="3" s="1"/>
  <c r="L15" i="3"/>
  <c r="G11" i="3"/>
  <c r="H11" i="3" s="1"/>
  <c r="L11" i="3"/>
  <c r="G9" i="3"/>
  <c r="H9" i="3" s="1"/>
  <c r="L9" i="3"/>
  <c r="G7" i="3"/>
  <c r="H7" i="3" s="1"/>
  <c r="L7" i="3"/>
  <c r="G57" i="3"/>
  <c r="H57" i="3" s="1"/>
  <c r="L57" i="3"/>
  <c r="G105" i="5"/>
  <c r="H105" i="5" s="1"/>
  <c r="G100" i="5"/>
  <c r="H100" i="5" s="1"/>
  <c r="G96" i="5"/>
  <c r="H96" i="5" s="1"/>
  <c r="G92" i="5"/>
  <c r="H92" i="5" s="1"/>
  <c r="G88" i="5"/>
  <c r="H88" i="5" s="1"/>
  <c r="G84" i="5"/>
  <c r="H84" i="5" s="1"/>
  <c r="G80" i="5"/>
  <c r="H80" i="5" s="1"/>
  <c r="G76" i="5"/>
  <c r="H76" i="5" s="1"/>
  <c r="G72" i="5"/>
  <c r="H72" i="5" s="1"/>
  <c r="G64" i="5"/>
  <c r="H64" i="5" s="1"/>
  <c r="G56" i="5"/>
  <c r="H56" i="5" s="1"/>
  <c r="G52" i="5"/>
  <c r="H52" i="5" s="1"/>
  <c r="G48" i="5"/>
  <c r="H48" i="5" s="1"/>
  <c r="G44" i="5"/>
  <c r="H44" i="5" s="1"/>
  <c r="G40" i="5"/>
  <c r="H40" i="5" s="1"/>
  <c r="G36" i="5"/>
  <c r="H36" i="5" s="1"/>
  <c r="G32" i="5"/>
  <c r="H32" i="5" s="1"/>
  <c r="G28" i="5"/>
  <c r="H28" i="5" s="1"/>
  <c r="G24" i="5"/>
  <c r="H24" i="5" s="1"/>
  <c r="G20" i="5"/>
  <c r="H20" i="5" s="1"/>
  <c r="G16" i="5"/>
  <c r="H16" i="5" s="1"/>
  <c r="G12" i="5"/>
  <c r="H12" i="5" s="1"/>
  <c r="G98" i="5"/>
  <c r="H98" i="5" s="1"/>
  <c r="G86" i="5"/>
  <c r="H86" i="5" s="1"/>
  <c r="G82" i="5"/>
  <c r="H82" i="5" s="1"/>
  <c r="G78" i="5"/>
  <c r="H78" i="5" s="1"/>
  <c r="G74" i="5"/>
  <c r="H74" i="5" s="1"/>
  <c r="G70" i="5"/>
  <c r="H70" i="5" s="1"/>
  <c r="G66" i="5"/>
  <c r="H66" i="5" s="1"/>
  <c r="G62" i="5"/>
  <c r="H62" i="5" s="1"/>
  <c r="G58" i="5"/>
  <c r="H58" i="5" s="1"/>
  <c r="G54" i="5"/>
  <c r="H54" i="5" s="1"/>
  <c r="G50" i="5"/>
  <c r="H50" i="5" s="1"/>
  <c r="G46" i="5"/>
  <c r="H46" i="5" s="1"/>
  <c r="G38" i="5"/>
  <c r="H38" i="5" s="1"/>
  <c r="G30" i="5"/>
  <c r="H30" i="5" s="1"/>
  <c r="G26" i="5"/>
  <c r="H26" i="5" s="1"/>
  <c r="G22" i="5"/>
  <c r="H22" i="5" s="1"/>
  <c r="G18" i="5"/>
  <c r="H18" i="5" s="1"/>
  <c r="G14" i="5"/>
  <c r="H14" i="5" s="1"/>
  <c r="G53" i="3"/>
  <c r="H53" i="3" s="1"/>
  <c r="G49" i="3"/>
  <c r="H49" i="3" s="1"/>
  <c r="G45" i="3"/>
  <c r="H45" i="3" s="1"/>
  <c r="G97" i="5"/>
  <c r="H97" i="5" s="1"/>
  <c r="G93" i="5"/>
  <c r="H93" i="5" s="1"/>
  <c r="G89" i="5"/>
  <c r="H89" i="5" s="1"/>
  <c r="G81" i="5"/>
  <c r="H81" i="5" s="1"/>
  <c r="G73" i="5"/>
  <c r="H73" i="5" s="1"/>
  <c r="G69" i="5"/>
  <c r="H69" i="5" s="1"/>
  <c r="G65" i="5"/>
  <c r="H65" i="5" s="1"/>
  <c r="G61" i="5"/>
  <c r="H61" i="5" s="1"/>
  <c r="G57" i="5"/>
  <c r="H57" i="5" s="1"/>
  <c r="G53" i="5"/>
  <c r="H53" i="5" s="1"/>
  <c r="G49" i="5"/>
  <c r="H49" i="5" s="1"/>
  <c r="G45" i="5"/>
  <c r="H45" i="5" s="1"/>
  <c r="G41" i="5"/>
  <c r="H41" i="5" s="1"/>
  <c r="G37" i="5"/>
  <c r="H37" i="5" s="1"/>
  <c r="G33" i="5"/>
  <c r="H33" i="5" s="1"/>
  <c r="G29" i="5"/>
  <c r="H29" i="5" s="1"/>
  <c r="G41" i="3"/>
  <c r="H41" i="3" s="1"/>
  <c r="G37" i="3"/>
  <c r="H37" i="3" s="1"/>
  <c r="G33" i="3"/>
  <c r="H33" i="3" s="1"/>
  <c r="G29" i="3"/>
  <c r="H29" i="3" s="1"/>
  <c r="G25" i="3"/>
  <c r="H25" i="3" s="1"/>
  <c r="G21" i="3"/>
  <c r="H21" i="3" s="1"/>
  <c r="G17" i="3"/>
  <c r="H17" i="3" s="1"/>
  <c r="G21" i="5"/>
  <c r="H21" i="5" s="1"/>
  <c r="G13" i="5"/>
  <c r="H13" i="5" s="1"/>
  <c r="G52" i="3"/>
  <c r="H52" i="3" s="1"/>
  <c r="G48" i="3"/>
  <c r="H48" i="3" s="1"/>
  <c r="G40" i="3"/>
  <c r="H40" i="3" s="1"/>
  <c r="G36" i="3"/>
  <c r="H36" i="3" s="1"/>
  <c r="G28" i="3"/>
  <c r="H28" i="3" s="1"/>
  <c r="G24" i="3"/>
  <c r="H24" i="3" s="1"/>
  <c r="G20" i="3"/>
  <c r="H20" i="3" s="1"/>
  <c r="G16" i="3"/>
  <c r="H16" i="3" s="1"/>
  <c r="G12" i="3"/>
  <c r="H12" i="3" s="1"/>
  <c r="G101" i="5"/>
  <c r="H101" i="5" s="1"/>
  <c r="G104" i="5"/>
  <c r="H104" i="5" s="1"/>
  <c r="G99" i="5"/>
  <c r="H99" i="5" s="1"/>
  <c r="G95" i="5"/>
  <c r="H95" i="5" s="1"/>
  <c r="G91" i="5"/>
  <c r="H91" i="5" s="1"/>
  <c r="G87" i="5"/>
  <c r="H87" i="5" s="1"/>
  <c r="G83" i="5"/>
  <c r="H83" i="5" s="1"/>
  <c r="G79" i="5"/>
  <c r="H79" i="5" s="1"/>
  <c r="G75" i="5"/>
  <c r="H75" i="5" s="1"/>
  <c r="G71" i="5"/>
  <c r="H71" i="5" s="1"/>
  <c r="G67" i="5"/>
  <c r="H67" i="5" s="1"/>
  <c r="G63" i="5"/>
  <c r="H63" i="5" s="1"/>
  <c r="G59" i="5"/>
  <c r="H59" i="5" s="1"/>
  <c r="G55" i="5"/>
  <c r="H55" i="5" s="1"/>
  <c r="G47" i="5"/>
  <c r="H47" i="5" s="1"/>
  <c r="G43" i="5"/>
  <c r="H43" i="5" s="1"/>
  <c r="G39" i="5"/>
  <c r="H39" i="5" s="1"/>
  <c r="G35" i="5"/>
  <c r="H35" i="5" s="1"/>
  <c r="G31" i="5"/>
  <c r="H31" i="5" s="1"/>
  <c r="G27" i="5"/>
  <c r="H27" i="5" s="1"/>
  <c r="G23" i="5"/>
  <c r="H23" i="5" s="1"/>
  <c r="G19" i="5"/>
  <c r="H19" i="5" s="1"/>
  <c r="G15" i="5"/>
  <c r="H15" i="5" s="1"/>
  <c r="G11" i="5"/>
  <c r="H11" i="5" s="1"/>
  <c r="G54" i="3"/>
  <c r="H54" i="3" s="1"/>
  <c r="G50" i="3"/>
  <c r="H50" i="3" s="1"/>
  <c r="G46" i="3"/>
  <c r="H46" i="3" s="1"/>
  <c r="G42" i="3"/>
  <c r="H42" i="3" s="1"/>
  <c r="G34" i="3"/>
  <c r="H34" i="3" s="1"/>
  <c r="G30" i="3"/>
  <c r="H30" i="3" s="1"/>
  <c r="G22" i="3"/>
  <c r="H22" i="3" s="1"/>
  <c r="G18" i="3"/>
  <c r="H18" i="3" s="1"/>
  <c r="G14" i="3"/>
  <c r="H14" i="3" s="1"/>
  <c r="G10" i="3"/>
  <c r="H10" i="3" s="1"/>
  <c r="G90" i="5"/>
  <c r="H90" i="5" s="1"/>
  <c r="G10" i="5"/>
  <c r="H10" i="5" s="1"/>
  <c r="I7" i="3"/>
  <c r="J7" i="3" s="1"/>
  <c r="E96" i="5"/>
  <c r="E84" i="5"/>
  <c r="E72" i="5"/>
  <c r="E48" i="5"/>
  <c r="E36" i="5"/>
  <c r="E24" i="5"/>
  <c r="E12" i="5"/>
  <c r="E7" i="5"/>
  <c r="E103" i="5"/>
  <c r="E99" i="5"/>
  <c r="E95" i="5"/>
  <c r="E91" i="5"/>
  <c r="E87" i="5"/>
  <c r="E83" i="5"/>
  <c r="E79" i="5"/>
  <c r="E75" i="5"/>
  <c r="E71" i="5"/>
  <c r="E67" i="5"/>
  <c r="E63" i="5"/>
  <c r="E59" i="5"/>
  <c r="E55" i="5"/>
  <c r="E47" i="5"/>
  <c r="E43" i="5"/>
  <c r="E39" i="5"/>
  <c r="E35" i="5"/>
  <c r="E31" i="5"/>
  <c r="E27" i="5"/>
  <c r="E23" i="5"/>
  <c r="E19" i="5"/>
  <c r="E15" i="5"/>
  <c r="E11" i="5"/>
  <c r="E104" i="5"/>
  <c r="E92" i="5"/>
  <c r="E76" i="5"/>
  <c r="E64" i="5"/>
  <c r="E52" i="5"/>
  <c r="E40" i="5"/>
  <c r="E28" i="5"/>
  <c r="E16" i="5"/>
  <c r="E9" i="5"/>
  <c r="E98" i="5"/>
  <c r="E90" i="5"/>
  <c r="E86" i="5"/>
  <c r="E82" i="5"/>
  <c r="E78" i="5"/>
  <c r="E74" i="5"/>
  <c r="E70" i="5"/>
  <c r="E66" i="5"/>
  <c r="E62" i="5"/>
  <c r="E58" i="5"/>
  <c r="E54" i="5"/>
  <c r="E50" i="5"/>
  <c r="E46" i="5"/>
  <c r="E38" i="5"/>
  <c r="E30" i="5"/>
  <c r="E26" i="5"/>
  <c r="E22" i="5"/>
  <c r="E18" i="5"/>
  <c r="E14" i="5"/>
  <c r="E10" i="5"/>
  <c r="E100" i="5"/>
  <c r="E88" i="5"/>
  <c r="E80" i="5"/>
  <c r="E56" i="5"/>
  <c r="E44" i="5"/>
  <c r="E32" i="5"/>
  <c r="E20" i="5"/>
  <c r="E105" i="5"/>
  <c r="E101" i="5"/>
  <c r="E97" i="5"/>
  <c r="E93" i="5"/>
  <c r="E89" i="5"/>
  <c r="E81" i="5"/>
  <c r="E73" i="5"/>
  <c r="E69" i="5"/>
  <c r="E65" i="5"/>
  <c r="E61" i="5"/>
  <c r="E57" i="5"/>
  <c r="E53" i="5"/>
  <c r="E49" i="5"/>
  <c r="E45" i="5"/>
  <c r="E41" i="5"/>
  <c r="E37" i="5"/>
  <c r="E33" i="5"/>
  <c r="E29" i="5"/>
  <c r="E21" i="5"/>
  <c r="E13" i="5"/>
  <c r="E107" i="5"/>
  <c r="D10" i="2"/>
  <c r="L10" i="2" s="1"/>
  <c r="D11" i="2"/>
  <c r="L11" i="2" s="1"/>
  <c r="D12" i="2"/>
  <c r="L12" i="2" s="1"/>
  <c r="D13" i="2"/>
  <c r="L13" i="2" s="1"/>
  <c r="D14" i="2"/>
  <c r="L14" i="2" s="1"/>
  <c r="L15" i="2"/>
  <c r="D16" i="2"/>
  <c r="L16" i="2" s="1"/>
  <c r="D17" i="2"/>
  <c r="L17" i="2" s="1"/>
  <c r="D18" i="2"/>
  <c r="L18" i="2" s="1"/>
  <c r="D19" i="2"/>
  <c r="L19" i="2" s="1"/>
  <c r="D20" i="2"/>
  <c r="L20" i="2" s="1"/>
  <c r="D21" i="2"/>
  <c r="L21" i="2" s="1"/>
  <c r="D22" i="2"/>
  <c r="L22" i="2" s="1"/>
  <c r="D23" i="2"/>
  <c r="L23" i="2" s="1"/>
  <c r="D24" i="2"/>
  <c r="L24" i="2" s="1"/>
  <c r="D25" i="2"/>
  <c r="L25" i="2" s="1"/>
  <c r="D26" i="2"/>
  <c r="L26" i="2" s="1"/>
  <c r="D27" i="2"/>
  <c r="L27" i="2" s="1"/>
  <c r="D28" i="2"/>
  <c r="L28" i="2" s="1"/>
  <c r="D29" i="2"/>
  <c r="L29" i="2" s="1"/>
  <c r="D30" i="2"/>
  <c r="L30" i="2" s="1"/>
  <c r="D31" i="2"/>
  <c r="L31" i="2" s="1"/>
  <c r="D32" i="2"/>
  <c r="L32" i="2" s="1"/>
  <c r="L33" i="2"/>
  <c r="D34" i="2"/>
  <c r="L34" i="2" s="1"/>
  <c r="D35" i="2"/>
  <c r="L35" i="2" s="1"/>
  <c r="D36" i="2"/>
  <c r="L36" i="2" s="1"/>
  <c r="D37" i="2"/>
  <c r="L37" i="2" s="1"/>
  <c r="D38" i="2"/>
  <c r="L38" i="2" s="1"/>
  <c r="D39" i="2"/>
  <c r="L39" i="2" s="1"/>
  <c r="D40" i="2"/>
  <c r="L40" i="2" s="1"/>
  <c r="D41" i="2"/>
  <c r="L41" i="2" s="1"/>
  <c r="D42" i="2"/>
  <c r="L42" i="2" s="1"/>
  <c r="D43" i="2"/>
  <c r="L43" i="2" s="1"/>
  <c r="D44" i="2"/>
  <c r="L44" i="2" s="1"/>
  <c r="D45" i="2"/>
  <c r="L45" i="2" s="1"/>
  <c r="D46" i="2"/>
  <c r="L46" i="2" s="1"/>
  <c r="D47" i="2"/>
  <c r="L47" i="2" s="1"/>
  <c r="D48" i="2"/>
  <c r="L48" i="2" s="1"/>
  <c r="D49" i="2"/>
  <c r="L49" i="2" s="1"/>
  <c r="D50" i="2"/>
  <c r="L50" i="2" s="1"/>
  <c r="D51" i="2"/>
  <c r="L51" i="2" s="1"/>
  <c r="L52" i="2"/>
  <c r="D53" i="2"/>
  <c r="L53" i="2" s="1"/>
  <c r="D54" i="2"/>
  <c r="L54" i="2" s="1"/>
  <c r="D55" i="2"/>
  <c r="L55" i="2" s="1"/>
  <c r="D56" i="2"/>
  <c r="L56" i="2" s="1"/>
  <c r="D57" i="2"/>
  <c r="L57" i="2" s="1"/>
  <c r="D58" i="2"/>
  <c r="L58" i="2" s="1"/>
  <c r="D59" i="2"/>
  <c r="L59" i="2" s="1"/>
  <c r="D60" i="2"/>
  <c r="L60" i="2" s="1"/>
  <c r="D61" i="2"/>
  <c r="L61" i="2" s="1"/>
  <c r="D62" i="2"/>
  <c r="L62" i="2" s="1"/>
  <c r="D63" i="2"/>
  <c r="L63" i="2" s="1"/>
  <c r="D64" i="2"/>
  <c r="L64" i="2" s="1"/>
  <c r="D65" i="2"/>
  <c r="L65" i="2" s="1"/>
  <c r="D66" i="2"/>
  <c r="L66" i="2" s="1"/>
  <c r="D67" i="2"/>
  <c r="L67" i="2" s="1"/>
  <c r="D68" i="2"/>
  <c r="L68" i="2" s="1"/>
  <c r="D69" i="2"/>
  <c r="L69" i="2" s="1"/>
  <c r="L70" i="2"/>
  <c r="D71" i="2"/>
  <c r="L71" i="2" s="1"/>
  <c r="D72" i="2"/>
  <c r="L72" i="2" s="1"/>
  <c r="D73" i="2"/>
  <c r="L73" i="2" s="1"/>
  <c r="D74" i="2"/>
  <c r="L74" i="2" s="1"/>
  <c r="D75" i="2"/>
  <c r="L75" i="2" s="1"/>
  <c r="D76" i="2"/>
  <c r="L76" i="2" s="1"/>
  <c r="D77" i="2"/>
  <c r="L77" i="2" s="1"/>
  <c r="D78" i="2"/>
  <c r="L78" i="2" s="1"/>
  <c r="D79" i="2"/>
  <c r="L79" i="2" s="1"/>
  <c r="D80" i="2"/>
  <c r="L80" i="2" s="1"/>
  <c r="D81" i="2"/>
  <c r="L81" i="2" s="1"/>
  <c r="D82" i="2"/>
  <c r="L82" i="2" s="1"/>
  <c r="D83" i="2"/>
  <c r="L83" i="2" s="1"/>
  <c r="D84" i="2"/>
  <c r="L84" i="2" s="1"/>
  <c r="D85" i="2"/>
  <c r="L85" i="2" s="1"/>
  <c r="D86" i="2"/>
  <c r="L86" i="2" s="1"/>
  <c r="D87" i="2"/>
  <c r="L87" i="2" s="1"/>
  <c r="D88" i="2"/>
  <c r="L88" i="2" s="1"/>
  <c r="L89" i="2"/>
  <c r="D90" i="2"/>
  <c r="L90" i="2" s="1"/>
  <c r="D91" i="2"/>
  <c r="L91" i="2" s="1"/>
  <c r="D92" i="2"/>
  <c r="L92" i="2" s="1"/>
  <c r="D93" i="2"/>
  <c r="L93" i="2" s="1"/>
  <c r="D94" i="2"/>
  <c r="L94" i="2" s="1"/>
  <c r="D95" i="2"/>
  <c r="L95" i="2" s="1"/>
  <c r="D96" i="2"/>
  <c r="L96" i="2" s="1"/>
  <c r="D97" i="2"/>
  <c r="L97" i="2" s="1"/>
  <c r="D98" i="2"/>
  <c r="L98" i="2" s="1"/>
  <c r="D99" i="2"/>
  <c r="L99" i="2" s="1"/>
  <c r="D100" i="2"/>
  <c r="L100" i="2" s="1"/>
  <c r="D101" i="2"/>
  <c r="L101" i="2" s="1"/>
  <c r="D103" i="2"/>
  <c r="D104" i="2"/>
  <c r="L104" i="2" s="1"/>
  <c r="D105" i="2"/>
  <c r="L105" i="2" s="1"/>
  <c r="D9" i="2"/>
  <c r="D7" i="2"/>
  <c r="I16" i="3" l="1"/>
  <c r="I21" i="3"/>
  <c r="J21" i="3" s="1"/>
  <c r="I39" i="3"/>
  <c r="I29" i="3"/>
  <c r="J29" i="3" s="1"/>
  <c r="I48" i="3"/>
  <c r="J48" i="3" s="1"/>
  <c r="I36" i="3"/>
  <c r="J36" i="3" s="1"/>
  <c r="I49" i="3"/>
  <c r="J49" i="3" s="1"/>
  <c r="I43" i="3"/>
  <c r="J43" i="3" s="1"/>
  <c r="I47" i="3"/>
  <c r="I54" i="3"/>
  <c r="J54" i="3" s="1"/>
  <c r="I25" i="3"/>
  <c r="I15" i="3"/>
  <c r="J15" i="3" s="1"/>
  <c r="I9" i="3"/>
  <c r="I35" i="3"/>
  <c r="J35" i="3" s="1"/>
  <c r="I22" i="3"/>
  <c r="I17" i="3"/>
  <c r="I53" i="3"/>
  <c r="J53" i="3" s="1"/>
  <c r="I52" i="3"/>
  <c r="J52" i="3" s="1"/>
  <c r="I20" i="3"/>
  <c r="J20" i="3" s="1"/>
  <c r="I11" i="3"/>
  <c r="J11" i="3" s="1"/>
  <c r="I10" i="3"/>
  <c r="J10" i="3" s="1"/>
  <c r="G7" i="2"/>
  <c r="H7" i="2" s="1"/>
  <c r="L7" i="2"/>
  <c r="G103" i="2"/>
  <c r="H103" i="2" s="1"/>
  <c r="L103" i="2"/>
  <c r="G9" i="2"/>
  <c r="H9" i="2" s="1"/>
  <c r="L9" i="2"/>
  <c r="I57" i="3"/>
  <c r="J57" i="3" s="1"/>
  <c r="Q17" i="3" s="1"/>
  <c r="I45" i="3"/>
  <c r="J45" i="3" s="1"/>
  <c r="I12" i="3"/>
  <c r="I27" i="3"/>
  <c r="I50" i="3"/>
  <c r="I18" i="3"/>
  <c r="I41" i="3"/>
  <c r="I31" i="3"/>
  <c r="I28" i="3"/>
  <c r="J28" i="3" s="1"/>
  <c r="I34" i="3"/>
  <c r="J34" i="3" s="1"/>
  <c r="I33" i="3"/>
  <c r="I55" i="3"/>
  <c r="J55" i="3" s="1"/>
  <c r="I23" i="3"/>
  <c r="J23" i="3" s="1"/>
  <c r="I37" i="3"/>
  <c r="J37" i="3" s="1"/>
  <c r="I40" i="3"/>
  <c r="I24" i="3"/>
  <c r="I46" i="3"/>
  <c r="I30" i="3"/>
  <c r="I14" i="3"/>
  <c r="J14" i="3" s="1"/>
  <c r="I42" i="3"/>
  <c r="J25" i="3"/>
  <c r="F12" i="3"/>
  <c r="F17" i="3"/>
  <c r="J16" i="3"/>
  <c r="J18" i="3"/>
  <c r="G97" i="2"/>
  <c r="H97" i="2" s="1"/>
  <c r="G93" i="2"/>
  <c r="H93" i="2" s="1"/>
  <c r="G85" i="2"/>
  <c r="H85" i="2" s="1"/>
  <c r="G81" i="2"/>
  <c r="H81" i="2" s="1"/>
  <c r="G77" i="2"/>
  <c r="H77" i="2" s="1"/>
  <c r="G73" i="2"/>
  <c r="H73" i="2" s="1"/>
  <c r="G69" i="2"/>
  <c r="H69" i="2" s="1"/>
  <c r="G65" i="2"/>
  <c r="H65" i="2" s="1"/>
  <c r="G61" i="2"/>
  <c r="H61" i="2" s="1"/>
  <c r="G57" i="2"/>
  <c r="H57" i="2" s="1"/>
  <c r="G53" i="2"/>
  <c r="H53" i="2" s="1"/>
  <c r="G49" i="2"/>
  <c r="H49" i="2" s="1"/>
  <c r="G45" i="2"/>
  <c r="H45" i="2" s="1"/>
  <c r="G41" i="2"/>
  <c r="H41" i="2" s="1"/>
  <c r="G37" i="2"/>
  <c r="H37" i="2" s="1"/>
  <c r="G29" i="2"/>
  <c r="H29" i="2" s="1"/>
  <c r="G25" i="2"/>
  <c r="H25" i="2" s="1"/>
  <c r="G21" i="2"/>
  <c r="H21" i="2" s="1"/>
  <c r="G17" i="2"/>
  <c r="H17" i="2" s="1"/>
  <c r="G13" i="2"/>
  <c r="H13" i="2" s="1"/>
  <c r="G105" i="2"/>
  <c r="H105" i="2" s="1"/>
  <c r="G100" i="2"/>
  <c r="H100" i="2" s="1"/>
  <c r="G96" i="2"/>
  <c r="H96" i="2" s="1"/>
  <c r="G92" i="2"/>
  <c r="H92" i="2" s="1"/>
  <c r="G88" i="2"/>
  <c r="H88" i="2" s="1"/>
  <c r="G84" i="2"/>
  <c r="H84" i="2" s="1"/>
  <c r="G80" i="2"/>
  <c r="H80" i="2" s="1"/>
  <c r="G76" i="2"/>
  <c r="H76" i="2" s="1"/>
  <c r="G72" i="2"/>
  <c r="H72" i="2" s="1"/>
  <c r="G68" i="2"/>
  <c r="H68" i="2" s="1"/>
  <c r="G64" i="2"/>
  <c r="H64" i="2" s="1"/>
  <c r="G60" i="2"/>
  <c r="H60" i="2" s="1"/>
  <c r="G56" i="2"/>
  <c r="H56" i="2" s="1"/>
  <c r="G48" i="2"/>
  <c r="H48" i="2" s="1"/>
  <c r="G44" i="2"/>
  <c r="H44" i="2" s="1"/>
  <c r="G40" i="2"/>
  <c r="H40" i="2" s="1"/>
  <c r="G36" i="2"/>
  <c r="H36" i="2" s="1"/>
  <c r="G32" i="2"/>
  <c r="H32" i="2" s="1"/>
  <c r="G28" i="2"/>
  <c r="H28" i="2" s="1"/>
  <c r="G24" i="2"/>
  <c r="H24" i="2" s="1"/>
  <c r="G16" i="2"/>
  <c r="H16" i="2" s="1"/>
  <c r="G12" i="2"/>
  <c r="H12" i="2" s="1"/>
  <c r="G104" i="2"/>
  <c r="H104" i="2" s="1"/>
  <c r="G99" i="2"/>
  <c r="H99" i="2" s="1"/>
  <c r="G95" i="2"/>
  <c r="H95" i="2" s="1"/>
  <c r="G91" i="2"/>
  <c r="H91" i="2" s="1"/>
  <c r="G11" i="2"/>
  <c r="H11" i="2" s="1"/>
  <c r="G20" i="2"/>
  <c r="H20" i="2" s="1"/>
  <c r="G101" i="2"/>
  <c r="H101" i="2" s="1"/>
  <c r="G102" i="2"/>
  <c r="H102" i="2" s="1"/>
  <c r="G87" i="2"/>
  <c r="H87" i="2" s="1"/>
  <c r="G83" i="2"/>
  <c r="H83" i="2" s="1"/>
  <c r="G79" i="2"/>
  <c r="H79" i="2" s="1"/>
  <c r="G75" i="2"/>
  <c r="H75" i="2" s="1"/>
  <c r="G71" i="2"/>
  <c r="H71" i="2" s="1"/>
  <c r="G67" i="2"/>
  <c r="H67" i="2" s="1"/>
  <c r="G63" i="2"/>
  <c r="H63" i="2" s="1"/>
  <c r="G59" i="2"/>
  <c r="H59" i="2" s="1"/>
  <c r="G55" i="2"/>
  <c r="H55" i="2" s="1"/>
  <c r="G51" i="2"/>
  <c r="H51" i="2" s="1"/>
  <c r="G47" i="2"/>
  <c r="H47" i="2" s="1"/>
  <c r="G43" i="2"/>
  <c r="H43" i="2" s="1"/>
  <c r="G39" i="2"/>
  <c r="H39" i="2" s="1"/>
  <c r="G35" i="2"/>
  <c r="H35" i="2" s="1"/>
  <c r="G31" i="2"/>
  <c r="H31" i="2" s="1"/>
  <c r="G27" i="2"/>
  <c r="H27" i="2" s="1"/>
  <c r="G23" i="2"/>
  <c r="H23" i="2" s="1"/>
  <c r="G19" i="2"/>
  <c r="H19" i="2" s="1"/>
  <c r="G98" i="2"/>
  <c r="H98" i="2" s="1"/>
  <c r="G94" i="2"/>
  <c r="H94" i="2" s="1"/>
  <c r="G90" i="2"/>
  <c r="H90" i="2" s="1"/>
  <c r="G86" i="2"/>
  <c r="H86" i="2" s="1"/>
  <c r="G82" i="2"/>
  <c r="H82" i="2" s="1"/>
  <c r="G78" i="2"/>
  <c r="H78" i="2" s="1"/>
  <c r="G74" i="2"/>
  <c r="H74" i="2" s="1"/>
  <c r="G66" i="2"/>
  <c r="H66" i="2" s="1"/>
  <c r="G62" i="2"/>
  <c r="H62" i="2" s="1"/>
  <c r="G58" i="2"/>
  <c r="H58" i="2" s="1"/>
  <c r="G54" i="2"/>
  <c r="H54" i="2" s="1"/>
  <c r="G50" i="2"/>
  <c r="H50" i="2" s="1"/>
  <c r="G46" i="2"/>
  <c r="H46" i="2" s="1"/>
  <c r="G42" i="2"/>
  <c r="H42" i="2" s="1"/>
  <c r="G38" i="2"/>
  <c r="H38" i="2" s="1"/>
  <c r="G34" i="2"/>
  <c r="H34" i="2" s="1"/>
  <c r="G30" i="2"/>
  <c r="H30" i="2" s="1"/>
  <c r="G26" i="2"/>
  <c r="H26" i="2" s="1"/>
  <c r="G22" i="2"/>
  <c r="H22" i="2" s="1"/>
  <c r="G18" i="2"/>
  <c r="H18" i="2" s="1"/>
  <c r="G14" i="2"/>
  <c r="H14" i="2" s="1"/>
  <c r="G10" i="2"/>
  <c r="H10" i="2" s="1"/>
  <c r="F7" i="3"/>
  <c r="G15" i="6"/>
  <c r="H15" i="6" s="1"/>
  <c r="G14" i="6"/>
  <c r="H14" i="6" s="1"/>
  <c r="G13" i="6"/>
  <c r="H13" i="6" s="1"/>
  <c r="G12" i="6"/>
  <c r="H12" i="6" s="1"/>
  <c r="G11" i="6"/>
  <c r="H11" i="6" s="1"/>
  <c r="G10" i="6"/>
  <c r="H10" i="6" s="1"/>
  <c r="G9" i="6"/>
  <c r="H9" i="6" s="1"/>
  <c r="G8" i="6"/>
  <c r="H8" i="6" s="1"/>
  <c r="G7" i="6"/>
  <c r="H7" i="6" s="1"/>
  <c r="F47" i="3" l="1"/>
  <c r="F57" i="3"/>
  <c r="F30" i="3"/>
  <c r="F41" i="3"/>
  <c r="F53" i="3"/>
  <c r="F29" i="3"/>
  <c r="F40" i="3"/>
  <c r="F33" i="3"/>
  <c r="F28" i="3"/>
  <c r="F18" i="3"/>
  <c r="F16" i="3"/>
  <c r="F20" i="3"/>
  <c r="F23" i="3"/>
  <c r="F48" i="3"/>
  <c r="J33" i="3"/>
  <c r="F49" i="3"/>
  <c r="F11" i="3"/>
  <c r="F55" i="3"/>
  <c r="J17" i="3"/>
  <c r="F45" i="3"/>
  <c r="J47" i="3"/>
  <c r="J9" i="3"/>
  <c r="F31" i="3"/>
  <c r="F39" i="3"/>
  <c r="F9" i="3"/>
  <c r="J31" i="3"/>
  <c r="J39" i="3"/>
  <c r="F54" i="3"/>
  <c r="F22" i="3"/>
  <c r="F52" i="3"/>
  <c r="I102" i="2"/>
  <c r="J102" i="2" s="1"/>
  <c r="F15" i="3"/>
  <c r="F25" i="3"/>
  <c r="F14" i="3"/>
  <c r="F46" i="3"/>
  <c r="J27" i="3"/>
  <c r="F10" i="3"/>
  <c r="F42" i="3"/>
  <c r="F21" i="3"/>
  <c r="F50" i="3"/>
  <c r="F24" i="3"/>
  <c r="J22" i="3"/>
  <c r="F27" i="3"/>
  <c r="J30" i="3"/>
  <c r="J46" i="3"/>
  <c r="J24" i="3"/>
  <c r="J50" i="3"/>
  <c r="J40" i="3"/>
  <c r="F35" i="3"/>
  <c r="J12" i="3"/>
  <c r="J41" i="3"/>
  <c r="J42" i="3"/>
  <c r="F43" i="3"/>
  <c r="F37" i="3"/>
  <c r="F34" i="3"/>
  <c r="F36" i="3"/>
  <c r="I14" i="2"/>
  <c r="I27" i="2"/>
  <c r="I107" i="5"/>
  <c r="J107" i="5" s="1"/>
  <c r="Q17" i="5" s="1"/>
  <c r="I105" i="5"/>
  <c r="I104" i="5"/>
  <c r="I103" i="5"/>
  <c r="I101" i="5"/>
  <c r="I100" i="5"/>
  <c r="I99" i="5"/>
  <c r="I98" i="5"/>
  <c r="I97" i="5"/>
  <c r="I96" i="5"/>
  <c r="I95" i="5"/>
  <c r="I93" i="5"/>
  <c r="I92" i="5"/>
  <c r="I91" i="5"/>
  <c r="I90" i="5"/>
  <c r="I89" i="5"/>
  <c r="I88" i="5"/>
  <c r="I87" i="5"/>
  <c r="I86" i="5"/>
  <c r="I84" i="5"/>
  <c r="I83" i="5"/>
  <c r="I82" i="5"/>
  <c r="I81" i="5"/>
  <c r="I80" i="5"/>
  <c r="I79" i="5"/>
  <c r="I78" i="5"/>
  <c r="I76" i="5"/>
  <c r="I75" i="5"/>
  <c r="I74" i="5"/>
  <c r="I73" i="5"/>
  <c r="I72" i="5"/>
  <c r="I71" i="5"/>
  <c r="I70" i="5"/>
  <c r="I69" i="5"/>
  <c r="I67" i="5"/>
  <c r="I66" i="5"/>
  <c r="I65" i="5"/>
  <c r="I64" i="5"/>
  <c r="I63" i="5"/>
  <c r="I62" i="5"/>
  <c r="I61" i="5"/>
  <c r="I59" i="5"/>
  <c r="I58" i="5"/>
  <c r="I57" i="5"/>
  <c r="I56" i="5"/>
  <c r="I55" i="5"/>
  <c r="I54" i="5"/>
  <c r="I53" i="5"/>
  <c r="I52" i="5"/>
  <c r="I50" i="5"/>
  <c r="I49" i="5"/>
  <c r="I48" i="5"/>
  <c r="I47" i="5"/>
  <c r="I46" i="5"/>
  <c r="I45" i="5"/>
  <c r="I44" i="5"/>
  <c r="I43" i="5"/>
  <c r="I41" i="5"/>
  <c r="I40" i="5"/>
  <c r="I39" i="5"/>
  <c r="I38" i="5"/>
  <c r="I37" i="5"/>
  <c r="I36" i="5"/>
  <c r="I35" i="5"/>
  <c r="I33" i="5"/>
  <c r="I32" i="5"/>
  <c r="I31" i="5"/>
  <c r="I30" i="5"/>
  <c r="I29" i="5"/>
  <c r="I28" i="5"/>
  <c r="I27" i="5"/>
  <c r="I26" i="5"/>
  <c r="I24" i="5"/>
  <c r="I23" i="5"/>
  <c r="I22" i="5"/>
  <c r="I21" i="5"/>
  <c r="I20" i="5"/>
  <c r="I19" i="5"/>
  <c r="I18" i="5"/>
  <c r="I16" i="5"/>
  <c r="I15" i="5"/>
  <c r="I14" i="5"/>
  <c r="I13" i="5"/>
  <c r="I12" i="5"/>
  <c r="I11" i="5"/>
  <c r="I10" i="5"/>
  <c r="I9" i="5"/>
  <c r="I7" i="5"/>
  <c r="E7" i="3"/>
  <c r="E9" i="3"/>
  <c r="E10" i="3"/>
  <c r="E11" i="3"/>
  <c r="E12" i="3"/>
  <c r="E14" i="3"/>
  <c r="E15" i="3"/>
  <c r="E16" i="3"/>
  <c r="E17" i="3"/>
  <c r="E18" i="3"/>
  <c r="E20" i="3"/>
  <c r="E21" i="3"/>
  <c r="E22" i="3"/>
  <c r="E23" i="3"/>
  <c r="E24" i="3"/>
  <c r="E25" i="3"/>
  <c r="E27" i="3"/>
  <c r="E28" i="3"/>
  <c r="E29" i="3"/>
  <c r="E30" i="3"/>
  <c r="E31" i="3"/>
  <c r="E33" i="3"/>
  <c r="E34" i="3"/>
  <c r="E35" i="3"/>
  <c r="E36" i="3"/>
  <c r="E37" i="3"/>
  <c r="E39" i="3"/>
  <c r="E40" i="3"/>
  <c r="E41" i="3"/>
  <c r="E42" i="3"/>
  <c r="E43" i="3"/>
  <c r="E45" i="3"/>
  <c r="E46" i="3"/>
  <c r="E47" i="3"/>
  <c r="E48" i="3"/>
  <c r="E49" i="3"/>
  <c r="E50" i="3"/>
  <c r="E52" i="3"/>
  <c r="E53" i="3"/>
  <c r="E54" i="3"/>
  <c r="E55" i="3"/>
  <c r="E57" i="3"/>
  <c r="E7" i="2"/>
  <c r="I7" i="2"/>
  <c r="E9" i="2"/>
  <c r="I9" i="2"/>
  <c r="E10" i="2"/>
  <c r="I10" i="2"/>
  <c r="E11" i="2"/>
  <c r="I11" i="2"/>
  <c r="E12" i="2"/>
  <c r="I12" i="2"/>
  <c r="E13" i="2"/>
  <c r="I13" i="2"/>
  <c r="E14" i="2"/>
  <c r="E16" i="2"/>
  <c r="I16" i="2"/>
  <c r="E17" i="2"/>
  <c r="I17" i="2"/>
  <c r="E18" i="2"/>
  <c r="I18" i="2"/>
  <c r="E19" i="2"/>
  <c r="I19" i="2"/>
  <c r="E20" i="2"/>
  <c r="I20" i="2"/>
  <c r="E21" i="2"/>
  <c r="I21" i="2"/>
  <c r="E22" i="2"/>
  <c r="I22" i="2"/>
  <c r="E23" i="2"/>
  <c r="I23" i="2"/>
  <c r="E24" i="2"/>
  <c r="I24" i="2"/>
  <c r="E25" i="2"/>
  <c r="I25" i="2"/>
  <c r="E26" i="2"/>
  <c r="I26" i="2"/>
  <c r="E27" i="2"/>
  <c r="E28" i="2"/>
  <c r="I28" i="2"/>
  <c r="E29" i="2"/>
  <c r="I29" i="2"/>
  <c r="E30" i="2"/>
  <c r="I30" i="2"/>
  <c r="E31" i="2"/>
  <c r="I31" i="2"/>
  <c r="E32" i="2"/>
  <c r="I32" i="2"/>
  <c r="E34" i="2"/>
  <c r="I34" i="2"/>
  <c r="E35" i="2"/>
  <c r="I35" i="2"/>
  <c r="E36" i="2"/>
  <c r="I36" i="2"/>
  <c r="E37" i="2"/>
  <c r="I37" i="2"/>
  <c r="E38" i="2"/>
  <c r="I38" i="2"/>
  <c r="E39" i="2"/>
  <c r="I39" i="2"/>
  <c r="E40" i="2"/>
  <c r="I40" i="2"/>
  <c r="E41" i="2"/>
  <c r="I41" i="2"/>
  <c r="E42" i="2"/>
  <c r="I42" i="2"/>
  <c r="E43" i="2"/>
  <c r="I43" i="2"/>
  <c r="E44" i="2"/>
  <c r="I44" i="2"/>
  <c r="E45" i="2"/>
  <c r="I45" i="2"/>
  <c r="E46" i="2"/>
  <c r="I46" i="2"/>
  <c r="E47" i="2"/>
  <c r="I47" i="2"/>
  <c r="E48" i="2"/>
  <c r="I48" i="2"/>
  <c r="E49" i="2"/>
  <c r="I49" i="2"/>
  <c r="E50" i="2"/>
  <c r="I50" i="2"/>
  <c r="E51" i="2"/>
  <c r="I51" i="2"/>
  <c r="E53" i="2"/>
  <c r="I53" i="2"/>
  <c r="E54" i="2"/>
  <c r="I54" i="2"/>
  <c r="E55" i="2"/>
  <c r="I55" i="2"/>
  <c r="E56" i="2"/>
  <c r="I56" i="2"/>
  <c r="E57" i="2"/>
  <c r="I57" i="2"/>
  <c r="E58" i="2"/>
  <c r="I58" i="2"/>
  <c r="E59" i="2"/>
  <c r="I59" i="2"/>
  <c r="E60" i="2"/>
  <c r="I60" i="2"/>
  <c r="E61" i="2"/>
  <c r="I61" i="2"/>
  <c r="E62" i="2"/>
  <c r="I62" i="2"/>
  <c r="E63" i="2"/>
  <c r="I63" i="2"/>
  <c r="E64" i="2"/>
  <c r="I64" i="2"/>
  <c r="E65" i="2"/>
  <c r="I65" i="2"/>
  <c r="E66" i="2"/>
  <c r="I66" i="2"/>
  <c r="E67" i="2"/>
  <c r="I67" i="2"/>
  <c r="E68" i="2"/>
  <c r="I68" i="2"/>
  <c r="E69" i="2"/>
  <c r="I69" i="2"/>
  <c r="E71" i="2"/>
  <c r="I71" i="2"/>
  <c r="E72" i="2"/>
  <c r="I72" i="2"/>
  <c r="E73" i="2"/>
  <c r="I73" i="2"/>
  <c r="E74" i="2"/>
  <c r="I74" i="2"/>
  <c r="E75" i="2"/>
  <c r="I75" i="2"/>
  <c r="E76" i="2"/>
  <c r="I76" i="2"/>
  <c r="E77" i="2"/>
  <c r="I77" i="2"/>
  <c r="E78" i="2"/>
  <c r="I78" i="2"/>
  <c r="E79" i="2"/>
  <c r="I79" i="2"/>
  <c r="E80" i="2"/>
  <c r="I80" i="2"/>
  <c r="E81" i="2"/>
  <c r="I81" i="2"/>
  <c r="E82" i="2"/>
  <c r="I82" i="2"/>
  <c r="E83" i="2"/>
  <c r="I83" i="2"/>
  <c r="E84" i="2"/>
  <c r="I84" i="2"/>
  <c r="E85" i="2"/>
  <c r="I85" i="2"/>
  <c r="E86" i="2"/>
  <c r="I86" i="2"/>
  <c r="E87" i="2"/>
  <c r="I87" i="2"/>
  <c r="E88" i="2"/>
  <c r="I88" i="2"/>
  <c r="E90" i="2"/>
  <c r="I90" i="2"/>
  <c r="E91" i="2"/>
  <c r="I91" i="2"/>
  <c r="E92" i="2"/>
  <c r="I92" i="2"/>
  <c r="E93" i="2"/>
  <c r="I93" i="2"/>
  <c r="E94" i="2"/>
  <c r="I94" i="2"/>
  <c r="E95" i="2"/>
  <c r="I95" i="2"/>
  <c r="E96" i="2"/>
  <c r="I96" i="2"/>
  <c r="E97" i="2"/>
  <c r="I97" i="2"/>
  <c r="E98" i="2"/>
  <c r="I98" i="2"/>
  <c r="E99" i="2"/>
  <c r="I99" i="2"/>
  <c r="E100" i="2"/>
  <c r="I100" i="2"/>
  <c r="E101" i="2"/>
  <c r="I101" i="2"/>
  <c r="E103" i="2"/>
  <c r="I103" i="2"/>
  <c r="E104" i="2"/>
  <c r="I104" i="2"/>
  <c r="E105" i="2"/>
  <c r="I105" i="2"/>
  <c r="E107" i="2"/>
  <c r="I107" i="2"/>
  <c r="J107" i="2" s="1"/>
  <c r="Q17" i="2" s="1"/>
  <c r="F103" i="5" l="1"/>
  <c r="F103" i="2"/>
  <c r="F105" i="2"/>
  <c r="J104" i="2"/>
  <c r="F98" i="2"/>
  <c r="J97" i="2"/>
  <c r="F92" i="2"/>
  <c r="J91" i="2"/>
  <c r="F88" i="2"/>
  <c r="J87" i="2"/>
  <c r="F82" i="2"/>
  <c r="J81" i="2"/>
  <c r="F78" i="2"/>
  <c r="J77" i="2"/>
  <c r="F72" i="2"/>
  <c r="J71" i="2"/>
  <c r="F68" i="2"/>
  <c r="J67" i="2"/>
  <c r="F64" i="2"/>
  <c r="J63" i="2"/>
  <c r="F58" i="2"/>
  <c r="J57" i="2"/>
  <c r="F54" i="2"/>
  <c r="J53" i="2"/>
  <c r="F50" i="2"/>
  <c r="J49" i="2"/>
  <c r="F44" i="2"/>
  <c r="J43" i="2"/>
  <c r="F40" i="2"/>
  <c r="J39" i="2"/>
  <c r="F36" i="2"/>
  <c r="J35" i="2"/>
  <c r="F32" i="2"/>
  <c r="J31" i="2"/>
  <c r="F13" i="2"/>
  <c r="J12" i="2"/>
  <c r="F7" i="2"/>
  <c r="J7" i="2"/>
  <c r="F14" i="5"/>
  <c r="J13" i="5"/>
  <c r="F22" i="5"/>
  <c r="J21" i="5"/>
  <c r="F30" i="5"/>
  <c r="J29" i="5"/>
  <c r="F38" i="5"/>
  <c r="J37" i="5"/>
  <c r="F46" i="5"/>
  <c r="J45" i="5"/>
  <c r="F54" i="5"/>
  <c r="J53" i="5"/>
  <c r="F58" i="5"/>
  <c r="J57" i="5"/>
  <c r="F66" i="5"/>
  <c r="J65" i="5"/>
  <c r="F74" i="5"/>
  <c r="J73" i="5"/>
  <c r="F78" i="5"/>
  <c r="F82" i="5"/>
  <c r="J81" i="5"/>
  <c r="F86" i="5"/>
  <c r="F90" i="5"/>
  <c r="J89" i="5"/>
  <c r="J93" i="5"/>
  <c r="F98" i="5"/>
  <c r="J97" i="5"/>
  <c r="J101" i="5"/>
  <c r="F27" i="2"/>
  <c r="J26" i="2"/>
  <c r="F25" i="2"/>
  <c r="J24" i="2"/>
  <c r="F23" i="2"/>
  <c r="J22" i="2"/>
  <c r="F21" i="2"/>
  <c r="J20" i="2"/>
  <c r="F19" i="2"/>
  <c r="J18" i="2"/>
  <c r="F17" i="2"/>
  <c r="J16" i="2"/>
  <c r="F11" i="5"/>
  <c r="J10" i="5"/>
  <c r="F15" i="5"/>
  <c r="J14" i="5"/>
  <c r="F19" i="5"/>
  <c r="J18" i="5"/>
  <c r="F23" i="5"/>
  <c r="J22" i="5"/>
  <c r="F27" i="5"/>
  <c r="J26" i="5"/>
  <c r="F31" i="5"/>
  <c r="J30" i="5"/>
  <c r="F35" i="5"/>
  <c r="F39" i="5"/>
  <c r="J38" i="5"/>
  <c r="F43" i="5"/>
  <c r="F47" i="5"/>
  <c r="J46" i="5"/>
  <c r="J50" i="5"/>
  <c r="F55" i="5"/>
  <c r="J54" i="5"/>
  <c r="F59" i="5"/>
  <c r="J58" i="5"/>
  <c r="F63" i="5"/>
  <c r="J62" i="5"/>
  <c r="F67" i="5"/>
  <c r="J66" i="5"/>
  <c r="F71" i="5"/>
  <c r="J70" i="5"/>
  <c r="F75" i="5"/>
  <c r="J74" i="5"/>
  <c r="F79" i="5"/>
  <c r="J78" i="5"/>
  <c r="F83" i="5"/>
  <c r="J82" i="5"/>
  <c r="F87" i="5"/>
  <c r="J86" i="5"/>
  <c r="F91" i="5"/>
  <c r="J90" i="5"/>
  <c r="F95" i="5"/>
  <c r="F99" i="5"/>
  <c r="J98" i="5"/>
  <c r="F104" i="5"/>
  <c r="J103" i="5"/>
  <c r="F28" i="2"/>
  <c r="J27" i="2"/>
  <c r="F100" i="2"/>
  <c r="J99" i="2"/>
  <c r="F96" i="2"/>
  <c r="J95" i="2"/>
  <c r="F90" i="2"/>
  <c r="F86" i="2"/>
  <c r="J85" i="2"/>
  <c r="F80" i="2"/>
  <c r="J79" i="2"/>
  <c r="F76" i="2"/>
  <c r="J75" i="2"/>
  <c r="J69" i="2"/>
  <c r="F66" i="2"/>
  <c r="J65" i="2"/>
  <c r="F60" i="2"/>
  <c r="J59" i="2"/>
  <c r="F56" i="2"/>
  <c r="J55" i="2"/>
  <c r="J51" i="2"/>
  <c r="F48" i="2"/>
  <c r="J47" i="2"/>
  <c r="F42" i="2"/>
  <c r="J41" i="2"/>
  <c r="F38" i="2"/>
  <c r="J37" i="2"/>
  <c r="F34" i="2"/>
  <c r="F30" i="2"/>
  <c r="J29" i="2"/>
  <c r="F11" i="2"/>
  <c r="J10" i="2"/>
  <c r="F10" i="5"/>
  <c r="J9" i="5"/>
  <c r="F18" i="5"/>
  <c r="F26" i="5"/>
  <c r="J33" i="5"/>
  <c r="J41" i="5"/>
  <c r="F50" i="5"/>
  <c r="J49" i="5"/>
  <c r="F62" i="5"/>
  <c r="J61" i="5"/>
  <c r="F70" i="5"/>
  <c r="J69" i="5"/>
  <c r="F107" i="2"/>
  <c r="J105" i="2"/>
  <c r="F104" i="2"/>
  <c r="J103" i="2"/>
  <c r="F101" i="2"/>
  <c r="J100" i="2"/>
  <c r="F99" i="2"/>
  <c r="J98" i="2"/>
  <c r="F97" i="2"/>
  <c r="J96" i="2"/>
  <c r="F95" i="2"/>
  <c r="J94" i="2"/>
  <c r="F93" i="2"/>
  <c r="J92" i="2"/>
  <c r="F91" i="2"/>
  <c r="J90" i="2"/>
  <c r="J88" i="2"/>
  <c r="F87" i="2"/>
  <c r="J86" i="2"/>
  <c r="F85" i="2"/>
  <c r="J84" i="2"/>
  <c r="F83" i="2"/>
  <c r="J82" i="2"/>
  <c r="F81" i="2"/>
  <c r="J80" i="2"/>
  <c r="F79" i="2"/>
  <c r="J78" i="2"/>
  <c r="F77" i="2"/>
  <c r="J76" i="2"/>
  <c r="F75" i="2"/>
  <c r="J74" i="2"/>
  <c r="F73" i="2"/>
  <c r="J72" i="2"/>
  <c r="F71" i="2"/>
  <c r="F69" i="2"/>
  <c r="J68" i="2"/>
  <c r="F67" i="2"/>
  <c r="J66" i="2"/>
  <c r="F65" i="2"/>
  <c r="J64" i="2"/>
  <c r="F63" i="2"/>
  <c r="J62" i="2"/>
  <c r="F61" i="2"/>
  <c r="J60" i="2"/>
  <c r="F59" i="2"/>
  <c r="J58" i="2"/>
  <c r="F57" i="2"/>
  <c r="J56" i="2"/>
  <c r="F55" i="2"/>
  <c r="J54" i="2"/>
  <c r="F53" i="2"/>
  <c r="F51" i="2"/>
  <c r="J50" i="2"/>
  <c r="F49" i="2"/>
  <c r="J48" i="2"/>
  <c r="F47" i="2"/>
  <c r="J46" i="2"/>
  <c r="F45" i="2"/>
  <c r="J44" i="2"/>
  <c r="F43" i="2"/>
  <c r="J42" i="2"/>
  <c r="F41" i="2"/>
  <c r="J40" i="2"/>
  <c r="F39" i="2"/>
  <c r="J38" i="2"/>
  <c r="F37" i="2"/>
  <c r="J36" i="2"/>
  <c r="F35" i="2"/>
  <c r="J34" i="2"/>
  <c r="J32" i="2"/>
  <c r="F31" i="2"/>
  <c r="J30" i="2"/>
  <c r="F29" i="2"/>
  <c r="J28" i="2"/>
  <c r="F14" i="2"/>
  <c r="J13" i="2"/>
  <c r="F12" i="2"/>
  <c r="J11" i="2"/>
  <c r="F10" i="2"/>
  <c r="J9" i="2"/>
  <c r="F12" i="5"/>
  <c r="J11" i="5"/>
  <c r="F16" i="5"/>
  <c r="J15" i="5"/>
  <c r="F20" i="5"/>
  <c r="J19" i="5"/>
  <c r="F24" i="5"/>
  <c r="J23" i="5"/>
  <c r="F28" i="5"/>
  <c r="J27" i="5"/>
  <c r="F32" i="5"/>
  <c r="J31" i="5"/>
  <c r="F36" i="5"/>
  <c r="J35" i="5"/>
  <c r="F40" i="5"/>
  <c r="J39" i="5"/>
  <c r="F44" i="5"/>
  <c r="J43" i="5"/>
  <c r="F48" i="5"/>
  <c r="J47" i="5"/>
  <c r="F52" i="5"/>
  <c r="F56" i="5"/>
  <c r="J55" i="5"/>
  <c r="J59" i="5"/>
  <c r="F64" i="5"/>
  <c r="J63" i="5"/>
  <c r="J67" i="5"/>
  <c r="F72" i="5"/>
  <c r="J71" i="5"/>
  <c r="F76" i="5"/>
  <c r="J75" i="5"/>
  <c r="F80" i="5"/>
  <c r="J79" i="5"/>
  <c r="F84" i="5"/>
  <c r="J83" i="5"/>
  <c r="F88" i="5"/>
  <c r="J87" i="5"/>
  <c r="F92" i="5"/>
  <c r="J91" i="5"/>
  <c r="F96" i="5"/>
  <c r="J95" i="5"/>
  <c r="F100" i="5"/>
  <c r="J99" i="5"/>
  <c r="F105" i="5"/>
  <c r="J104" i="5"/>
  <c r="J14" i="2"/>
  <c r="F102" i="2"/>
  <c r="J101" i="2"/>
  <c r="F94" i="2"/>
  <c r="J93" i="2"/>
  <c r="F84" i="2"/>
  <c r="J83" i="2"/>
  <c r="F74" i="2"/>
  <c r="J73" i="2"/>
  <c r="F62" i="2"/>
  <c r="J61" i="2"/>
  <c r="F46" i="2"/>
  <c r="J45" i="2"/>
  <c r="F26" i="2"/>
  <c r="J25" i="2"/>
  <c r="F24" i="2"/>
  <c r="J23" i="2"/>
  <c r="F22" i="2"/>
  <c r="J21" i="2"/>
  <c r="F20" i="2"/>
  <c r="J19" i="2"/>
  <c r="F18" i="2"/>
  <c r="J17" i="2"/>
  <c r="F16" i="2"/>
  <c r="F7" i="5"/>
  <c r="J7" i="5"/>
  <c r="F13" i="5"/>
  <c r="J12" i="5"/>
  <c r="J16" i="5"/>
  <c r="F21" i="5"/>
  <c r="J20" i="5"/>
  <c r="J24" i="5"/>
  <c r="F29" i="5"/>
  <c r="J28" i="5"/>
  <c r="F33" i="5"/>
  <c r="J32" i="5"/>
  <c r="F37" i="5"/>
  <c r="J36" i="5"/>
  <c r="F41" i="5"/>
  <c r="J40" i="5"/>
  <c r="F45" i="5"/>
  <c r="J44" i="5"/>
  <c r="F49" i="5"/>
  <c r="J48" i="5"/>
  <c r="F53" i="5"/>
  <c r="J52" i="5"/>
  <c r="F57" i="5"/>
  <c r="J56" i="5"/>
  <c r="F61" i="5"/>
  <c r="F65" i="5"/>
  <c r="J64" i="5"/>
  <c r="F69" i="5"/>
  <c r="F73" i="5"/>
  <c r="J72" i="5"/>
  <c r="J76" i="5"/>
  <c r="F81" i="5"/>
  <c r="J80" i="5"/>
  <c r="J84" i="5"/>
  <c r="F89" i="5"/>
  <c r="J88" i="5"/>
  <c r="F93" i="5"/>
  <c r="J92" i="5"/>
  <c r="F97" i="5"/>
  <c r="J96" i="5"/>
  <c r="F101" i="5"/>
  <c r="J100" i="5"/>
  <c r="F107" i="5"/>
  <c r="J105" i="5"/>
  <c r="F9" i="2"/>
  <c r="F9" i="5"/>
  <c r="I52" i="32"/>
  <c r="I46" i="32"/>
  <c r="I42" i="32"/>
  <c r="I38" i="32"/>
  <c r="I34" i="32"/>
  <c r="I30" i="32"/>
  <c r="I26" i="32"/>
  <c r="I22" i="32"/>
  <c r="I43" i="32"/>
  <c r="I33" i="32"/>
  <c r="I29" i="32"/>
  <c r="I51" i="32"/>
  <c r="I39" i="32"/>
  <c r="I50" i="32"/>
  <c r="I54" i="32"/>
  <c r="I48" i="32"/>
  <c r="I44" i="32"/>
  <c r="I28" i="32"/>
  <c r="I24" i="32"/>
  <c r="I57" i="32"/>
  <c r="J57" i="32" s="1"/>
  <c r="Q17" i="32" s="1"/>
  <c r="I41" i="32"/>
  <c r="I31" i="32"/>
  <c r="I55" i="32"/>
  <c r="I37" i="32"/>
  <c r="I25" i="32"/>
  <c r="I47" i="32"/>
  <c r="I21" i="32"/>
  <c r="F21" i="32" s="1"/>
  <c r="I35" i="32"/>
  <c r="F28" i="32" l="1"/>
  <c r="F25" i="32"/>
  <c r="J24" i="32"/>
  <c r="F41" i="32"/>
  <c r="F51" i="32"/>
  <c r="J50" i="32"/>
  <c r="F34" i="32"/>
  <c r="J33" i="32"/>
  <c r="F31" i="32"/>
  <c r="J30" i="32"/>
  <c r="F47" i="32"/>
  <c r="J46" i="32"/>
  <c r="F48" i="32"/>
  <c r="J47" i="32"/>
  <c r="F38" i="32"/>
  <c r="J37" i="32"/>
  <c r="J44" i="32"/>
  <c r="J39" i="32"/>
  <c r="F44" i="32"/>
  <c r="J43" i="32"/>
  <c r="F35" i="32"/>
  <c r="J34" i="32"/>
  <c r="J52" i="32"/>
  <c r="F24" i="32"/>
  <c r="J31" i="32"/>
  <c r="F50" i="32"/>
  <c r="F33" i="32"/>
  <c r="F52" i="32"/>
  <c r="J51" i="32"/>
  <c r="J22" i="32"/>
  <c r="F39" i="32"/>
  <c r="J38" i="32"/>
  <c r="F54" i="32"/>
  <c r="F29" i="32"/>
  <c r="J28" i="32"/>
  <c r="J35" i="32"/>
  <c r="F26" i="32"/>
  <c r="J25" i="32"/>
  <c r="F42" i="32"/>
  <c r="J41" i="32"/>
  <c r="J48" i="32"/>
  <c r="F22" i="32"/>
  <c r="J21" i="32"/>
  <c r="F46" i="32"/>
  <c r="F57" i="32"/>
  <c r="J55" i="32"/>
  <c r="F37" i="32"/>
  <c r="F55" i="32"/>
  <c r="J54" i="32"/>
  <c r="F30" i="32"/>
  <c r="J29" i="32"/>
  <c r="J26" i="32"/>
  <c r="F43" i="32"/>
  <c r="J42" i="32"/>
</calcChain>
</file>

<file path=xl/sharedStrings.xml><?xml version="1.0" encoding="utf-8"?>
<sst xmlns="http://schemas.openxmlformats.org/spreadsheetml/2006/main" count="1078" uniqueCount="253">
  <si>
    <t>인원</t>
    <phoneticPr fontId="1" type="noConversion"/>
  </si>
  <si>
    <t>표준점수</t>
    <phoneticPr fontId="1" type="noConversion"/>
  </si>
  <si>
    <t>표준편차</t>
    <phoneticPr fontId="1" type="noConversion"/>
  </si>
  <si>
    <t>응시자 수</t>
    <phoneticPr fontId="1" type="noConversion"/>
  </si>
  <si>
    <t>평균</t>
    <phoneticPr fontId="1" type="noConversion"/>
  </si>
  <si>
    <t>국어</t>
    <phoneticPr fontId="1" type="noConversion"/>
  </si>
  <si>
    <t>영어</t>
    <phoneticPr fontId="1" type="noConversion"/>
  </si>
  <si>
    <t>한국사</t>
    <phoneticPr fontId="1" type="noConversion"/>
  </si>
  <si>
    <t>B2:J57</t>
    <phoneticPr fontId="1" type="noConversion"/>
  </si>
  <si>
    <t>표준점수</t>
    <phoneticPr fontId="1" type="noConversion"/>
  </si>
  <si>
    <t>인원</t>
    <phoneticPr fontId="1" type="noConversion"/>
  </si>
  <si>
    <t>국어</t>
    <phoneticPr fontId="1" type="noConversion"/>
  </si>
  <si>
    <t>생활과 윤리</t>
    <phoneticPr fontId="1" type="noConversion"/>
  </si>
  <si>
    <t>윤리와 사상</t>
    <phoneticPr fontId="1" type="noConversion"/>
  </si>
  <si>
    <t>한국지리</t>
    <phoneticPr fontId="1" type="noConversion"/>
  </si>
  <si>
    <t>세계지리</t>
    <phoneticPr fontId="1" type="noConversion"/>
  </si>
  <si>
    <t>동아시아사</t>
    <phoneticPr fontId="1" type="noConversion"/>
  </si>
  <si>
    <t>세계사</t>
    <phoneticPr fontId="1" type="noConversion"/>
  </si>
  <si>
    <t>경제</t>
    <phoneticPr fontId="1" type="noConversion"/>
  </si>
  <si>
    <t>사회∙문화</t>
    <phoneticPr fontId="1" type="noConversion"/>
  </si>
  <si>
    <t>화학Ⅰ</t>
    <phoneticPr fontId="1" type="noConversion"/>
  </si>
  <si>
    <t>생명과학Ⅰ</t>
    <phoneticPr fontId="1" type="noConversion"/>
  </si>
  <si>
    <t>지구과학Ⅰ</t>
    <phoneticPr fontId="1" type="noConversion"/>
  </si>
  <si>
    <t>화학Ⅱ</t>
    <phoneticPr fontId="1" type="noConversion"/>
  </si>
  <si>
    <t>생명과학Ⅱ</t>
    <phoneticPr fontId="1" type="noConversion"/>
  </si>
  <si>
    <t>지구과학Ⅱ</t>
    <phoneticPr fontId="1" type="noConversion"/>
  </si>
  <si>
    <t>물리Ⅰ</t>
  </si>
  <si>
    <t>물리Ⅱ</t>
  </si>
  <si>
    <t>1등급</t>
    <phoneticPr fontId="1" type="noConversion"/>
  </si>
  <si>
    <t>2등급</t>
    <phoneticPr fontId="1" type="noConversion"/>
  </si>
  <si>
    <t>3등급</t>
    <phoneticPr fontId="1" type="noConversion"/>
  </si>
  <si>
    <t>4등급</t>
    <phoneticPr fontId="1" type="noConversion"/>
  </si>
  <si>
    <t>5등급</t>
    <phoneticPr fontId="1" type="noConversion"/>
  </si>
  <si>
    <t>6등급</t>
    <phoneticPr fontId="1" type="noConversion"/>
  </si>
  <si>
    <t>7등급</t>
    <phoneticPr fontId="1" type="noConversion"/>
  </si>
  <si>
    <t>8등급</t>
    <phoneticPr fontId="1" type="noConversion"/>
  </si>
  <si>
    <t>9등급</t>
  </si>
  <si>
    <t>9등급</t>
    <phoneticPr fontId="1" type="noConversion"/>
  </si>
  <si>
    <t>1등급</t>
    <phoneticPr fontId="1" type="noConversion"/>
  </si>
  <si>
    <t>2등급</t>
  </si>
  <si>
    <t>3등급</t>
  </si>
  <si>
    <t>4등급</t>
  </si>
  <si>
    <t>5등급</t>
  </si>
  <si>
    <t>6등급</t>
  </si>
  <si>
    <t>7등급</t>
  </si>
  <si>
    <t>8등급</t>
  </si>
  <si>
    <t>국</t>
    <phoneticPr fontId="1" type="noConversion"/>
  </si>
  <si>
    <t>생</t>
    <phoneticPr fontId="1" type="noConversion"/>
  </si>
  <si>
    <t>윤</t>
    <phoneticPr fontId="1" type="noConversion"/>
  </si>
  <si>
    <t>한</t>
    <phoneticPr fontId="1" type="noConversion"/>
  </si>
  <si>
    <t>세</t>
    <phoneticPr fontId="1" type="noConversion"/>
  </si>
  <si>
    <t>동</t>
    <phoneticPr fontId="1" type="noConversion"/>
  </si>
  <si>
    <t>경</t>
    <phoneticPr fontId="1" type="noConversion"/>
  </si>
  <si>
    <t>사</t>
    <phoneticPr fontId="1" type="noConversion"/>
  </si>
  <si>
    <t>물1</t>
    <phoneticPr fontId="1" type="noConversion"/>
  </si>
  <si>
    <t>화1</t>
    <phoneticPr fontId="1" type="noConversion"/>
  </si>
  <si>
    <t>생1</t>
    <phoneticPr fontId="1" type="noConversion"/>
  </si>
  <si>
    <t>지1</t>
    <phoneticPr fontId="1" type="noConversion"/>
  </si>
  <si>
    <t>이 아래로 붙여넣기</t>
    <phoneticPr fontId="1" type="noConversion"/>
  </si>
  <si>
    <t>.</t>
    <phoneticPr fontId="1" type="noConversion"/>
  </si>
  <si>
    <t>물리학Ⅰ</t>
    <phoneticPr fontId="1" type="noConversion"/>
  </si>
  <si>
    <t>정치와 법</t>
    <phoneticPr fontId="1" type="noConversion"/>
  </si>
  <si>
    <t>수학</t>
    <phoneticPr fontId="1" type="noConversion"/>
  </si>
  <si>
    <t>정</t>
    <phoneticPr fontId="1" type="noConversion"/>
  </si>
  <si>
    <t>수</t>
    <phoneticPr fontId="1" type="noConversion"/>
  </si>
  <si>
    <t>영</t>
    <phoneticPr fontId="1" type="noConversion"/>
  </si>
  <si>
    <t>한</t>
    <phoneticPr fontId="1" type="noConversion"/>
  </si>
  <si>
    <t>성공적인 직업생활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</si>
  <si>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</si>
  <si>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</si>
  <si>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</si>
  <si>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인간 발달</t>
    <phoneticPr fontId="1" type="noConversion"/>
  </si>
  <si>
    <t>수산∙해운 산업 기초</t>
    <phoneticPr fontId="1" type="noConversion"/>
  </si>
  <si>
    <t>성공적인 직업생활</t>
    <phoneticPr fontId="1" type="noConversion"/>
  </si>
  <si>
    <t>농업 기초 기술</t>
    <phoneticPr fontId="1" type="noConversion"/>
  </si>
  <si>
    <t>공업 일반</t>
    <phoneticPr fontId="1" type="noConversion"/>
  </si>
  <si>
    <t>상업 경제</t>
    <phoneticPr fontId="1" type="noConversion"/>
  </si>
  <si>
    <t>수산∙해운 산업 기초</t>
    <phoneticPr fontId="1" type="noConversion"/>
  </si>
  <si>
    <t>인간 발달</t>
    <phoneticPr fontId="1" type="noConversion"/>
  </si>
  <si>
    <t>성</t>
    <phoneticPr fontId="1" type="noConversion"/>
  </si>
  <si>
    <t>농</t>
    <phoneticPr fontId="1" type="noConversion"/>
  </si>
  <si>
    <t>공</t>
    <phoneticPr fontId="1" type="noConversion"/>
  </si>
  <si>
    <t>상</t>
    <phoneticPr fontId="1" type="noConversion"/>
  </si>
  <si>
    <t>수</t>
    <phoneticPr fontId="1" type="noConversion"/>
  </si>
  <si>
    <t>인</t>
    <phoneticPr fontId="1" type="noConversion"/>
  </si>
  <si>
    <r>
      <rPr>
        <sz val="11"/>
        <color theme="1"/>
        <rFont val="맑은 고딕"/>
        <family val="2"/>
        <charset val="129"/>
      </rPr>
      <t>오차</t>
    </r>
    <r>
      <rPr>
        <sz val="11"/>
        <color theme="1"/>
        <rFont val="Microsoft Sans Serif"/>
        <family val="2"/>
      </rPr>
      <t xml:space="preserve"> </t>
    </r>
    <r>
      <rPr>
        <sz val="11"/>
        <color theme="1"/>
        <rFont val="맑은 고딕"/>
        <family val="2"/>
        <charset val="129"/>
      </rPr>
      <t>경고</t>
    </r>
    <phoneticPr fontId="1" type="noConversion"/>
  </si>
  <si>
    <t>오차 경고</t>
    <phoneticPr fontId="1" type="noConversion"/>
  </si>
  <si>
    <t>B2:K108</t>
    <phoneticPr fontId="1" type="noConversion"/>
  </si>
  <si>
    <t>B2:K16</t>
    <phoneticPr fontId="1" type="noConversion"/>
  </si>
  <si>
    <t>B3:M50</t>
    <phoneticPr fontId="1" type="noConversion"/>
  </si>
  <si>
    <t>독일어Ⅰ</t>
    <phoneticPr fontId="1" type="noConversion"/>
  </si>
  <si>
    <t>프랑스어Ⅰ</t>
    <phoneticPr fontId="1" type="noConversion"/>
  </si>
  <si>
    <t>스페인어Ⅰ</t>
    <phoneticPr fontId="1" type="noConversion"/>
  </si>
  <si>
    <t>일본어Ⅰ</t>
    <phoneticPr fontId="1" type="noConversion"/>
  </si>
  <si>
    <t>중국어Ⅰ</t>
    <phoneticPr fontId="1" type="noConversion"/>
  </si>
  <si>
    <t>러시아어Ⅰ</t>
    <phoneticPr fontId="1" type="noConversion"/>
  </si>
  <si>
    <t>한문Ⅰ</t>
    <phoneticPr fontId="1" type="noConversion"/>
  </si>
  <si>
    <t>독</t>
    <phoneticPr fontId="1" type="noConversion"/>
  </si>
  <si>
    <t>프</t>
    <phoneticPr fontId="1" type="noConversion"/>
  </si>
  <si>
    <t>스</t>
    <phoneticPr fontId="1" type="noConversion"/>
  </si>
  <si>
    <t>중</t>
    <phoneticPr fontId="1" type="noConversion"/>
  </si>
  <si>
    <t>일</t>
    <phoneticPr fontId="1" type="noConversion"/>
  </si>
  <si>
    <t>러</t>
    <phoneticPr fontId="1" type="noConversion"/>
  </si>
  <si>
    <t>한문</t>
    <phoneticPr fontId="1" type="noConversion"/>
  </si>
  <si>
    <t>1등급</t>
    <phoneticPr fontId="1" type="noConversion"/>
  </si>
  <si>
    <t>제2외국어/한문 (독일어Ⅰ)</t>
    <phoneticPr fontId="1" type="noConversion"/>
  </si>
  <si>
    <t>제2외국어/한문 (프랑스어Ⅰ)</t>
    <phoneticPr fontId="1" type="noConversion"/>
  </si>
  <si>
    <t>제2외국어/한문 (스페인어Ⅰ)</t>
    <phoneticPr fontId="1" type="noConversion"/>
  </si>
  <si>
    <t>제2외국어/한문 (일본어Ⅰ)</t>
    <phoneticPr fontId="1" type="noConversion"/>
  </si>
  <si>
    <t>제2외국어/한문 (중국어Ⅰ)</t>
    <phoneticPr fontId="1" type="noConversion"/>
  </si>
  <si>
    <t>제2외국어/한문 (러시아어Ⅰ)</t>
    <phoneticPr fontId="1" type="noConversion"/>
  </si>
  <si>
    <t>제2외국어/한문 (한문Ⅰ)</t>
    <phoneticPr fontId="1" type="noConversion"/>
  </si>
  <si>
    <t>B2:K58</t>
    <phoneticPr fontId="1" type="noConversion"/>
  </si>
  <si>
    <r>
      <rPr>
        <sz val="13"/>
        <color theme="1"/>
        <rFont val="맑은 고딕"/>
        <family val="3"/>
        <charset val="129"/>
      </rPr>
      <t>원점수</t>
    </r>
    <phoneticPr fontId="1" type="noConversion"/>
  </si>
  <si>
    <r>
      <rPr>
        <sz val="13"/>
        <color theme="1"/>
        <rFont val="맑은 고딕"/>
        <family val="3"/>
        <charset val="129"/>
      </rPr>
      <t>표준점수</t>
    </r>
    <phoneticPr fontId="1" type="noConversion"/>
  </si>
  <si>
    <r>
      <rPr>
        <sz val="13"/>
        <color theme="1"/>
        <rFont val="맑은 고딕"/>
        <family val="3"/>
        <charset val="129"/>
      </rPr>
      <t>등급</t>
    </r>
    <phoneticPr fontId="1" type="noConversion"/>
  </si>
  <si>
    <r>
      <rPr>
        <sz val="13"/>
        <color theme="1"/>
        <rFont val="맑은 고딕"/>
        <family val="3"/>
        <charset val="129"/>
      </rPr>
      <t>백분위</t>
    </r>
    <phoneticPr fontId="1" type="noConversion"/>
  </si>
  <si>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</si>
  <si>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</si>
  <si>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인원</t>
    </r>
    <phoneticPr fontId="1" type="noConversion"/>
  </si>
  <si>
    <r>
      <rPr>
        <sz val="13"/>
        <color theme="1"/>
        <rFont val="맑은 고딕"/>
        <family val="3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3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</si>
  <si>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시험명</t>
    </r>
  </si>
  <si>
    <r>
      <rPr>
        <sz val="12"/>
        <color theme="1"/>
        <rFont val="맑은 고딕"/>
        <family val="2"/>
        <charset val="129"/>
      </rPr>
      <t>평균</t>
    </r>
    <phoneticPr fontId="1" type="noConversion"/>
  </si>
  <si>
    <r>
      <rPr>
        <sz val="12"/>
        <color theme="1"/>
        <rFont val="맑은 고딕"/>
        <family val="2"/>
        <charset val="129"/>
      </rPr>
      <t>응시자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수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</si>
  <si>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  <phoneticPr fontId="1" type="noConversion"/>
  </si>
  <si>
    <r>
      <rPr>
        <sz val="12"/>
        <color theme="1"/>
        <rFont val="맑은 고딕"/>
        <family val="2"/>
        <charset val="129"/>
      </rPr>
      <t>수학</t>
    </r>
    <phoneticPr fontId="1" type="noConversion"/>
  </si>
  <si>
    <r>
      <rPr>
        <sz val="12"/>
        <color theme="1"/>
        <rFont val="맑은 고딕"/>
        <family val="2"/>
        <charset val="129"/>
      </rPr>
      <t>표준편차</t>
    </r>
    <phoneticPr fontId="1" type="noConversion"/>
  </si>
  <si>
    <r>
      <rPr>
        <sz val="12"/>
        <color theme="1"/>
        <rFont val="맑은 고딕"/>
        <family val="2"/>
        <charset val="129"/>
      </rPr>
      <t>국어</t>
    </r>
    <phoneticPr fontId="1" type="noConversion"/>
  </si>
  <si>
    <r>
      <rPr>
        <sz val="12"/>
        <color theme="1"/>
        <rFont val="맑은 고딕"/>
        <family val="2"/>
        <charset val="129"/>
      </rPr>
      <t>영어</t>
    </r>
    <phoneticPr fontId="1" type="noConversion"/>
  </si>
  <si>
    <r>
      <rPr>
        <sz val="12"/>
        <color theme="1"/>
        <rFont val="맑은 고딕"/>
        <family val="2"/>
        <charset val="129"/>
      </rPr>
      <t>한국사</t>
    </r>
    <phoneticPr fontId="1" type="noConversion"/>
  </si>
  <si>
    <r>
      <rPr>
        <sz val="13"/>
        <color theme="1"/>
        <rFont val="맑은 고딕"/>
        <family val="2"/>
        <charset val="129"/>
      </rPr>
      <t>등급</t>
    </r>
    <phoneticPr fontId="1" type="noConversion"/>
  </si>
  <si>
    <r>
      <rPr>
        <sz val="13"/>
        <color theme="1"/>
        <rFont val="맑은 고딕"/>
        <family val="2"/>
        <charset val="129"/>
      </rPr>
      <t>원점수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등급컷</t>
    </r>
    <phoneticPr fontId="1" type="noConversion"/>
  </si>
  <si>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</si>
  <si>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</si>
  <si>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인원</t>
    </r>
    <phoneticPr fontId="1" type="noConversion"/>
  </si>
  <si>
    <r>
      <rPr>
        <sz val="13"/>
        <color theme="1"/>
        <rFont val="맑은 고딕"/>
        <family val="2"/>
        <charset val="129"/>
      </rPr>
      <t>누적</t>
    </r>
    <r>
      <rPr>
        <sz val="13"/>
        <color theme="1"/>
        <rFont val="Microsoft Sans Serif"/>
        <family val="2"/>
      </rPr>
      <t xml:space="preserve"> </t>
    </r>
    <r>
      <rPr>
        <sz val="13"/>
        <color theme="1"/>
        <rFont val="맑은 고딕"/>
        <family val="2"/>
        <charset val="129"/>
      </rPr>
      <t>비율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</si>
  <si>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생활과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윤리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</si>
  <si>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인간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발달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</si>
  <si>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수산∙해운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산업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</si>
  <si>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상업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</si>
  <si>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공업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일반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</si>
  <si>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농업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기초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기술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</si>
  <si>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직업탐구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성공적인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직업생활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</si>
  <si>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지구과학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</si>
  <si>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생명과학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</si>
  <si>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화학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</si>
  <si>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과학탐구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물리학</t>
    </r>
    <r>
      <rPr>
        <sz val="12"/>
        <color theme="1"/>
        <rFont val="맑은 고딕"/>
        <family val="3"/>
        <charset val="129"/>
      </rPr>
      <t>Ⅰ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</si>
  <si>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사회</t>
    </r>
    <r>
      <rPr>
        <sz val="12"/>
        <color theme="1"/>
        <rFont val="맑은 고딕"/>
        <family val="3"/>
        <charset val="129"/>
      </rPr>
      <t>∙</t>
    </r>
    <r>
      <rPr>
        <sz val="12"/>
        <color theme="1"/>
        <rFont val="맑은 고딕"/>
        <family val="2"/>
        <charset val="129"/>
      </rPr>
      <t>문화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</si>
  <si>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정치와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법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</si>
  <si>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경제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</si>
  <si>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</si>
  <si>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동아시아사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</si>
  <si>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세계지리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</si>
  <si>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한국지리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</si>
  <si>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사회탐구</t>
    </r>
    <r>
      <rPr>
        <sz val="12"/>
        <color theme="1"/>
        <rFont val="Microsoft Sans Serif"/>
        <family val="2"/>
      </rPr>
      <t xml:space="preserve"> (</t>
    </r>
    <r>
      <rPr>
        <sz val="12"/>
        <color theme="1"/>
        <rFont val="맑은 고딕"/>
        <family val="2"/>
        <charset val="129"/>
      </rPr>
      <t>윤리와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사상</t>
    </r>
    <r>
      <rPr>
        <sz val="12"/>
        <color theme="1"/>
        <rFont val="Microsoft Sans Serif"/>
        <family val="2"/>
      </rPr>
      <t>)</t>
    </r>
    <phoneticPr fontId="1" type="noConversion"/>
  </si>
  <si>
    <r>
      <rPr>
        <sz val="12"/>
        <color theme="1"/>
        <rFont val="맑은 고딕"/>
        <family val="2"/>
        <charset val="129"/>
      </rPr>
      <t>과목</t>
    </r>
  </si>
  <si>
    <r>
      <rPr>
        <sz val="12"/>
        <color theme="1"/>
        <rFont val="맑은 고딕"/>
        <family val="2"/>
        <charset val="129"/>
      </rPr>
      <t>전과목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등급컷</t>
    </r>
    <r>
      <rPr>
        <sz val="12"/>
        <color theme="1"/>
        <rFont val="Microsoft Sans Serif"/>
        <family val="2"/>
      </rPr>
      <t xml:space="preserve"> </t>
    </r>
    <r>
      <rPr>
        <sz val="12"/>
        <color theme="1"/>
        <rFont val="맑은 고딕"/>
        <family val="2"/>
        <charset val="129"/>
      </rPr>
      <t>모아보기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</si>
  <si>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r>
      <rPr>
        <b/>
        <sz val="13"/>
        <color theme="1"/>
        <rFont val="Microsoft Sans Serif"/>
        <family val="2"/>
      </rPr>
      <t>/</t>
    </r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</si>
  <si>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rPr>
        <b/>
        <sz val="13"/>
        <color theme="1"/>
        <rFont val="맑은 고딕"/>
        <family val="3"/>
        <charset val="129"/>
      </rPr>
      <t>국어</t>
    </r>
    <phoneticPr fontId="1" type="noConversion"/>
  </si>
  <si>
    <r>
      <rPr>
        <b/>
        <sz val="13"/>
        <color theme="1"/>
        <rFont val="맑은 고딕"/>
        <family val="3"/>
        <charset val="129"/>
      </rPr>
      <t>수학</t>
    </r>
    <phoneticPr fontId="1" type="noConversion"/>
  </si>
  <si>
    <r>
      <t>1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</si>
  <si>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2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</si>
  <si>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3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</si>
  <si>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4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</si>
  <si>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5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</si>
  <si>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6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</si>
  <si>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7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</si>
  <si>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t>8</t>
    </r>
    <r>
      <rPr>
        <b/>
        <sz val="13"/>
        <color theme="1"/>
        <rFont val="맑은 고딕"/>
        <family val="3"/>
        <charset val="129"/>
      </rPr>
      <t>등급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</si>
  <si>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</si>
  <si>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생활과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윤리</t>
    </r>
    <phoneticPr fontId="1" type="noConversion"/>
  </si>
  <si>
    <r>
      <rPr>
        <b/>
        <sz val="13"/>
        <color theme="1"/>
        <rFont val="맑은 고딕"/>
        <family val="3"/>
        <charset val="129"/>
      </rPr>
      <t>윤리와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사상</t>
    </r>
    <phoneticPr fontId="1" type="noConversion"/>
  </si>
  <si>
    <r>
      <rPr>
        <b/>
        <sz val="13"/>
        <color theme="1"/>
        <rFont val="맑은 고딕"/>
        <family val="3"/>
        <charset val="129"/>
      </rPr>
      <t>한국지리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</si>
  <si>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세계지리</t>
    </r>
    <phoneticPr fontId="1" type="noConversion"/>
  </si>
  <si>
    <r>
      <rPr>
        <b/>
        <sz val="13"/>
        <color theme="1"/>
        <rFont val="맑은 고딕"/>
        <family val="3"/>
        <charset val="129"/>
      </rPr>
      <t>동아시아사</t>
    </r>
    <phoneticPr fontId="1" type="noConversion"/>
  </si>
  <si>
    <r>
      <rPr>
        <b/>
        <sz val="13"/>
        <color theme="1"/>
        <rFont val="맑은 고딕"/>
        <family val="3"/>
        <charset val="129"/>
      </rPr>
      <t>세계사</t>
    </r>
    <phoneticPr fontId="1" type="noConversion"/>
  </si>
  <si>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</si>
  <si>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정치와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법</t>
    </r>
    <phoneticPr fontId="1" type="noConversion"/>
  </si>
  <si>
    <r>
      <rPr>
        <b/>
        <sz val="13"/>
        <color theme="1"/>
        <rFont val="맑은 고딕"/>
        <family val="3"/>
        <charset val="129"/>
      </rPr>
      <t>사회∙문화</t>
    </r>
    <phoneticPr fontId="1" type="noConversion"/>
  </si>
  <si>
    <r>
      <rPr>
        <b/>
        <sz val="13"/>
        <color theme="1"/>
        <rFont val="맑은 고딕"/>
        <family val="3"/>
        <charset val="129"/>
      </rPr>
      <t>과학탐구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</si>
  <si>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물리학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</si>
  <si>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화학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</si>
  <si>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생명과학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</si>
  <si>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지구과학</t>
    </r>
    <r>
      <rPr>
        <b/>
        <sz val="13"/>
        <color theme="1"/>
        <rFont val="MS PGothic"/>
        <family val="2"/>
        <charset val="128"/>
      </rPr>
      <t>Ⅰ</t>
    </r>
    <phoneticPr fontId="1" type="noConversion"/>
  </si>
  <si>
    <r>
      <rPr>
        <b/>
        <sz val="13"/>
        <color theme="1"/>
        <rFont val="맑은 고딕"/>
        <family val="3"/>
        <charset val="129"/>
      </rPr>
      <t>직업탐구</t>
    </r>
    <phoneticPr fontId="1" type="noConversion"/>
  </si>
  <si>
    <r>
      <rPr>
        <b/>
        <sz val="13"/>
        <color theme="1"/>
        <rFont val="맑은 고딕"/>
        <family val="3"/>
        <charset val="129"/>
      </rPr>
      <t>성공적인</t>
    </r>
    <r>
      <rPr>
        <b/>
        <sz val="13"/>
        <color theme="1"/>
        <rFont val="Microsoft Sans Serif"/>
        <family val="2"/>
      </rPr>
      <t xml:space="preserve">    </t>
    </r>
    <r>
      <rPr>
        <b/>
        <sz val="13"/>
        <color theme="1"/>
        <rFont val="맑은 고딕"/>
        <family val="3"/>
        <charset val="129"/>
      </rPr>
      <t>직업생활</t>
    </r>
    <phoneticPr fontId="1" type="noConversion"/>
  </si>
  <si>
    <r>
      <rPr>
        <b/>
        <sz val="13"/>
        <color theme="1"/>
        <rFont val="맑은 고딕"/>
        <family val="3"/>
        <charset val="129"/>
      </rPr>
      <t>농업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기술</t>
    </r>
    <phoneticPr fontId="1" type="noConversion"/>
  </si>
  <si>
    <r>
      <rPr>
        <b/>
        <sz val="13"/>
        <color theme="1"/>
        <rFont val="맑은 고딕"/>
        <family val="3"/>
        <charset val="129"/>
      </rPr>
      <t>공업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일반</t>
    </r>
    <phoneticPr fontId="1" type="noConversion"/>
  </si>
  <si>
    <r>
      <rPr>
        <b/>
        <sz val="13"/>
        <color theme="1"/>
        <rFont val="맑은 고딕"/>
        <family val="3"/>
        <charset val="129"/>
      </rPr>
      <t>상업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경제</t>
    </r>
    <phoneticPr fontId="1" type="noConversion"/>
  </si>
  <si>
    <r>
      <rPr>
        <b/>
        <sz val="13"/>
        <color theme="1"/>
        <rFont val="맑은 고딕"/>
        <family val="3"/>
        <charset val="129"/>
      </rPr>
      <t>수산∙해운</t>
    </r>
    <r>
      <rPr>
        <b/>
        <sz val="13"/>
        <color theme="1"/>
        <rFont val="Microsoft Sans Serif"/>
        <family val="2"/>
      </rPr>
      <t xml:space="preserve">   </t>
    </r>
    <r>
      <rPr>
        <b/>
        <sz val="13"/>
        <color theme="1"/>
        <rFont val="맑은 고딕"/>
        <family val="3"/>
        <charset val="129"/>
      </rPr>
      <t>산업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기초</t>
    </r>
    <phoneticPr fontId="1" type="noConversion"/>
  </si>
  <si>
    <r>
      <rPr>
        <b/>
        <sz val="13"/>
        <color theme="1"/>
        <rFont val="맑은 고딕"/>
        <family val="3"/>
        <charset val="129"/>
      </rPr>
      <t>인간</t>
    </r>
    <r>
      <rPr>
        <b/>
        <sz val="13"/>
        <color theme="1"/>
        <rFont val="Microsoft Sans Serif"/>
        <family val="2"/>
      </rPr>
      <t xml:space="preserve"> </t>
    </r>
    <r>
      <rPr>
        <b/>
        <sz val="13"/>
        <color theme="1"/>
        <rFont val="맑은 고딕"/>
        <family val="3"/>
        <charset val="129"/>
      </rPr>
      <t>발달</t>
    </r>
    <phoneticPr fontId="1" type="noConversion"/>
  </si>
  <si>
    <t>2024학년도 10월 고2 전국연합학력평가</t>
  </si>
  <si>
    <r>
      <t xml:space="preserve">작성자 : 크럭스 모의고사(수능)자료분석팀장 </t>
    </r>
    <r>
      <rPr>
        <b/>
        <sz val="10"/>
        <color rgb="FF888888"/>
        <rFont val="맑은 고딕"/>
        <family val="3"/>
        <charset val="129"/>
        <scheme val="minor"/>
      </rPr>
      <t>환동</t>
    </r>
    <phoneticPr fontId="1" type="noConversion"/>
  </si>
  <si>
    <r>
      <t xml:space="preserve">작성자 : 크럭스 모의고사(수능)자료분석팀장 </t>
    </r>
    <r>
      <rPr>
        <b/>
        <sz val="16"/>
        <color rgb="FF888888"/>
        <rFont val="맑은 고딕"/>
        <family val="3"/>
        <charset val="129"/>
        <scheme val="minor"/>
      </rPr>
      <t>환동</t>
    </r>
    <phoneticPr fontId="1" type="noConversion"/>
  </si>
  <si>
    <t>45.98</t>
  </si>
  <si>
    <t>21.15</t>
  </si>
  <si>
    <t>36.11</t>
  </si>
  <si>
    <t>22.65</t>
  </si>
  <si>
    <t>52.63</t>
  </si>
  <si>
    <t>21.02</t>
  </si>
  <si>
    <t>24.18</t>
  </si>
  <si>
    <t>11.86</t>
  </si>
  <si>
    <t>26.66</t>
  </si>
  <si>
    <t>11.91</t>
  </si>
  <si>
    <t>19.18</t>
  </si>
  <si>
    <t xml:space="preserve"> 9.69</t>
  </si>
  <si>
    <t>23.66</t>
  </si>
  <si>
    <t>11.43</t>
  </si>
  <si>
    <t>23.26</t>
  </si>
  <si>
    <t>11.30</t>
  </si>
  <si>
    <t>19.99</t>
  </si>
  <si>
    <t>11.72</t>
  </si>
  <si>
    <t>20.35</t>
  </si>
  <si>
    <t>11.65</t>
  </si>
  <si>
    <t>22.05</t>
  </si>
  <si>
    <t>12.44</t>
  </si>
  <si>
    <t>24.06</t>
  </si>
  <si>
    <t>13.00</t>
  </si>
  <si>
    <t>24.83</t>
  </si>
  <si>
    <t>12.81</t>
  </si>
  <si>
    <t>26.16</t>
  </si>
  <si>
    <t>13.02</t>
  </si>
  <si>
    <t>22.48</t>
  </si>
  <si>
    <t>10.77</t>
  </si>
  <si>
    <t>22.71</t>
  </si>
  <si>
    <t>10.66</t>
  </si>
  <si>
    <t>23.81</t>
  </si>
  <si>
    <t>12.08</t>
  </si>
  <si>
    <t>11.05</t>
  </si>
  <si>
    <t>13.55</t>
  </si>
  <si>
    <t xml:space="preserve"> 7.40</t>
  </si>
  <si>
    <t>21.21</t>
  </si>
  <si>
    <t xml:space="preserve"> 9.90</t>
  </si>
  <si>
    <t>21.79</t>
  </si>
  <si>
    <t>11.22</t>
  </si>
  <si>
    <t>11.98</t>
  </si>
  <si>
    <t xml:space="preserve"> 5.45</t>
  </si>
  <si>
    <t>19.89</t>
  </si>
  <si>
    <t xml:space="preserve"> 9.82</t>
  </si>
  <si>
    <t>35.54</t>
  </si>
  <si>
    <t xml:space="preserve"> 9.54</t>
  </si>
  <si>
    <t>37.05</t>
  </si>
  <si>
    <t xml:space="preserve"> 8.57</t>
  </si>
  <si>
    <t>35.67</t>
  </si>
  <si>
    <t>10.85</t>
  </si>
  <si>
    <t>34.97</t>
  </si>
  <si>
    <t xml:space="preserve"> 9.71</t>
  </si>
  <si>
    <t>32.74</t>
  </si>
  <si>
    <t>11.80</t>
  </si>
  <si>
    <t>34.71</t>
  </si>
  <si>
    <t>12.27</t>
  </si>
  <si>
    <t>27.86</t>
  </si>
  <si>
    <t>10.49</t>
  </si>
  <si>
    <t>-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</si>
</sst>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_ "/>
    <numFmt numFmtId="177" formatCode="#,##0_ "/>
    <numFmt numFmtId="178" formatCode="0.00_);[Red]\(0.00\)"/>
    <numFmt numFmtId="179" formatCode="0.00_ "/>
  </numFmts>
  <fonts count="4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sz val="11"/>
      <color rgb="FF9C6500"/>
      <name val="맑은 고딕"/>
      <family val="2"/>
      <charset val="129"/>
      <scheme val="minor"/>
    </font>
    <font>
      <u/>
      <sz val="11"/>
      <color rgb="FF0000FF"/>
      <name val="맑은 고딕"/>
      <family val="2"/>
      <charset val="129"/>
      <scheme val="minor"/>
    </font>
    <font>
      <u/>
      <sz val="11"/>
      <color rgb="FF80008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  <font>
      <sz val="11"/>
      <color theme="1"/>
      <name val="Microsoft Sans Serif"/>
      <family val="2"/>
    </font>
    <font>
      <sz val="12"/>
      <color theme="1"/>
      <name val="Microsoft Sans Serif"/>
      <family val="2"/>
    </font>
    <font>
      <sz val="12"/>
      <color theme="1"/>
      <name val="맑은 고딕"/>
      <family val="2"/>
      <charset val="129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3"/>
      <color theme="1"/>
      <name val="Microsoft Sans Serif"/>
      <family val="2"/>
    </font>
    <font>
      <sz val="13"/>
      <color theme="1"/>
      <name val="맑은 고딕"/>
      <family val="3"/>
      <charset val="129"/>
    </font>
    <font>
      <sz val="13"/>
      <name val="Microsoft Sans Serif"/>
      <family val="2"/>
    </font>
    <font>
      <sz val="13"/>
      <color theme="1"/>
      <name val="맑은 고딕"/>
      <family val="2"/>
      <charset val="129"/>
    </font>
    <font>
      <b/>
      <sz val="13"/>
      <color theme="1"/>
      <name val="Microsoft Sans Serif"/>
      <family val="2"/>
    </font>
    <font>
      <b/>
      <sz val="13"/>
      <color theme="1"/>
      <name val="맑은 고딕"/>
      <family val="3"/>
      <charset val="129"/>
    </font>
    <font>
      <b/>
      <sz val="13"/>
      <color theme="1"/>
      <name val="MS PGothic"/>
      <family val="2"/>
      <charset val="128"/>
    </font>
    <font>
      <b/>
      <sz val="13"/>
      <color indexed="8"/>
      <name val="Microsoft Sans Serif"/>
      <family val="2"/>
    </font>
    <font>
      <sz val="10"/>
      <color rgb="FF888888"/>
      <name val="맑은 고딕"/>
      <family val="3"/>
      <charset val="129"/>
      <scheme val="minor"/>
    </font>
    <font>
      <b/>
      <sz val="10"/>
      <color rgb="FF888888"/>
      <name val="맑은 고딕"/>
      <family val="3"/>
      <charset val="129"/>
      <scheme val="minor"/>
    </font>
    <font>
      <sz val="16"/>
      <color rgb="FF888888"/>
      <name val="맑은 고딕"/>
      <family val="3"/>
      <charset val="129"/>
      <scheme val="minor"/>
    </font>
    <font>
      <b/>
      <sz val="16"/>
      <color rgb="FF888888"/>
      <name val="맑은 고딕"/>
      <family val="3"/>
      <charset val="129"/>
      <scheme val="minor"/>
    </font>
    <font>
      <sz val="10"/>
      <name val="돋움"/>
      <family val="3"/>
      <charset val="129"/>
    </font>
  </fonts>
  <fills count="42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99FF"/>
        <bgColor indexed="64"/>
      </patternFill>
    </fill>
  </fills>
  <borders count="76">
    <border>
      <left/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D4D4D4"/>
      </left>
      <right/>
      <top style="thin">
        <color rgb="FFD4D4D4"/>
      </top>
      <bottom/>
      <diagonal/>
    </border>
    <border>
      <left/>
      <right/>
      <top style="thin">
        <color rgb="FFD4D4D4"/>
      </top>
      <bottom/>
      <diagonal/>
    </border>
    <border>
      <left/>
      <right style="thin">
        <color rgb="FFD4D4D4"/>
      </right>
      <top style="thin">
        <color rgb="FFD4D4D4"/>
      </top>
      <bottom/>
      <diagonal/>
    </border>
    <border>
      <left style="thin">
        <color rgb="FFD4D4D4"/>
      </left>
      <right/>
      <top/>
      <bottom/>
      <diagonal/>
    </border>
    <border>
      <left/>
      <right style="thin">
        <color rgb="FFD4D4D4"/>
      </right>
      <top/>
      <bottom/>
      <diagonal/>
    </border>
    <border>
      <left style="thin">
        <color rgb="FFD4D4D4"/>
      </left>
      <right/>
      <top/>
      <bottom style="thin">
        <color rgb="FFD4D4D4"/>
      </bottom>
      <diagonal/>
    </border>
    <border>
      <left/>
      <right/>
      <top/>
      <bottom style="thin">
        <color rgb="FFD4D4D4"/>
      </bottom>
      <diagonal/>
    </border>
    <border>
      <left/>
      <right style="thin">
        <color rgb="FFD4D4D4"/>
      </right>
      <top/>
      <bottom style="thin">
        <color rgb="FFD4D4D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51">
    <xf numFmtId="0" fontId="0" fillId="0" borderId="0">
      <alignment vertical="center"/>
    </xf>
    <xf numFmtId="0" fontId="2" fillId="0" borderId="0"/>
    <xf numFmtId="0" fontId="5" fillId="0" borderId="26" applyNumberFormat="0" applyFill="0" applyAlignment="0" applyProtection="0">
      <alignment vertical="center"/>
    </xf>
    <xf numFmtId="0" fontId="6" fillId="0" borderId="27" applyNumberFormat="0" applyFill="0" applyAlignment="0" applyProtection="0">
      <alignment vertical="center"/>
    </xf>
    <xf numFmtId="0" fontId="7" fillId="0" borderId="28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10" borderId="29" applyNumberFormat="0" applyAlignment="0" applyProtection="0">
      <alignment vertical="center"/>
    </xf>
    <xf numFmtId="0" fontId="11" fillId="11" borderId="30" applyNumberFormat="0" applyAlignment="0" applyProtection="0">
      <alignment vertical="center"/>
    </xf>
    <xf numFmtId="0" fontId="12" fillId="11" borderId="29" applyNumberFormat="0" applyAlignment="0" applyProtection="0">
      <alignment vertical="center"/>
    </xf>
    <xf numFmtId="0" fontId="13" fillId="0" borderId="31" applyNumberFormat="0" applyFill="0" applyAlignment="0" applyProtection="0">
      <alignment vertical="center"/>
    </xf>
    <xf numFmtId="0" fontId="14" fillId="12" borderId="32" applyNumberForma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34" applyNumberFormat="0" applyFill="0" applyAlignment="0" applyProtection="0">
      <alignment vertical="center"/>
    </xf>
    <xf numFmtId="0" fontId="18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4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18" fillId="26" borderId="0" applyNumberFormat="0" applyBorder="0" applyAlignment="0" applyProtection="0">
      <alignment vertical="center"/>
    </xf>
    <xf numFmtId="0" fontId="4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18" fillId="30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4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8" fillId="33" borderId="0" applyNumberFormat="0" applyBorder="0" applyAlignment="0" applyProtection="0">
      <alignment vertical="center"/>
    </xf>
    <xf numFmtId="0" fontId="18" fillId="37" borderId="0" applyNumberFormat="0" applyBorder="0" applyAlignment="0" applyProtection="0">
      <alignment vertical="center"/>
    </xf>
    <xf numFmtId="0" fontId="4" fillId="0" borderId="0">
      <alignment vertical="center"/>
    </xf>
    <xf numFmtId="0" fontId="4" fillId="13" borderId="33" applyNumberFormat="0" applyFont="0" applyAlignment="0" applyProtection="0">
      <alignment vertical="center"/>
    </xf>
    <xf numFmtId="0" fontId="2" fillId="0" borderId="0"/>
    <xf numFmtId="0" fontId="22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19" fillId="0" borderId="0"/>
    <xf numFmtId="0" fontId="19" fillId="0" borderId="0"/>
  </cellStyleXfs>
  <cellXfs count="20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quotePrefix="1" applyFill="1" applyAlignment="1">
      <alignment horizontal="center" vertical="center"/>
    </xf>
    <xf numFmtId="0" fontId="0" fillId="6" borderId="0" xfId="0" applyFill="1">
      <alignment vertical="center"/>
    </xf>
    <xf numFmtId="0" fontId="0" fillId="0" borderId="38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8" xfId="0" applyBorder="1">
      <alignment vertical="center"/>
    </xf>
    <xf numFmtId="0" fontId="0" fillId="0" borderId="35" xfId="0" applyBorder="1">
      <alignment vertical="center"/>
    </xf>
    <xf numFmtId="0" fontId="0" fillId="0" borderId="39" xfId="0" applyBorder="1">
      <alignment vertical="center"/>
    </xf>
    <xf numFmtId="0" fontId="0" fillId="0" borderId="16" xfId="0" applyBorder="1">
      <alignment vertical="center"/>
    </xf>
    <xf numFmtId="0" fontId="0" fillId="0" borderId="41" xfId="0" applyBorder="1">
      <alignment vertical="center"/>
    </xf>
    <xf numFmtId="0" fontId="0" fillId="0" borderId="41" xfId="0" applyBorder="1" applyAlignment="1">
      <alignment horizontal="center" vertical="center"/>
    </xf>
    <xf numFmtId="0" fontId="0" fillId="38" borderId="0" xfId="0" applyFill="1">
      <alignment vertical="center"/>
    </xf>
    <xf numFmtId="0" fontId="24" fillId="0" borderId="0" xfId="0" applyFont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8" fillId="6" borderId="0" xfId="0" applyFont="1" applyFill="1" applyAlignment="1">
      <alignment horizontal="center" vertical="center"/>
    </xf>
    <xf numFmtId="0" fontId="28" fillId="6" borderId="0" xfId="0" applyFont="1" applyFill="1">
      <alignment vertical="center"/>
    </xf>
    <xf numFmtId="0" fontId="29" fillId="5" borderId="15" xfId="0" applyFont="1" applyFill="1" applyBorder="1" applyAlignment="1">
      <alignment horizontal="center" vertical="center"/>
    </xf>
    <xf numFmtId="0" fontId="28" fillId="0" borderId="0" xfId="0" applyFont="1">
      <alignment vertical="center"/>
    </xf>
    <xf numFmtId="0" fontId="28" fillId="6" borderId="0" xfId="0" quotePrefix="1" applyFont="1" applyFill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5" fillId="6" borderId="0" xfId="0" applyFont="1" applyFill="1">
      <alignment vertical="center"/>
    </xf>
    <xf numFmtId="0" fontId="25" fillId="0" borderId="0" xfId="0" applyFont="1">
      <alignment vertical="center"/>
    </xf>
    <xf numFmtId="0" fontId="0" fillId="6" borderId="61" xfId="0" applyFill="1" applyBorder="1">
      <alignment vertical="center"/>
    </xf>
    <xf numFmtId="0" fontId="0" fillId="6" borderId="62" xfId="0" applyFill="1" applyBorder="1">
      <alignment vertical="center"/>
    </xf>
    <xf numFmtId="0" fontId="0" fillId="6" borderId="63" xfId="0" applyFill="1" applyBorder="1">
      <alignment vertical="center"/>
    </xf>
    <xf numFmtId="0" fontId="0" fillId="6" borderId="64" xfId="0" applyFill="1" applyBorder="1">
      <alignment vertical="center"/>
    </xf>
    <xf numFmtId="0" fontId="0" fillId="6" borderId="65" xfId="0" applyFill="1" applyBorder="1">
      <alignment vertical="center"/>
    </xf>
    <xf numFmtId="0" fontId="0" fillId="6" borderId="66" xfId="0" applyFill="1" applyBorder="1">
      <alignment vertical="center"/>
    </xf>
    <xf numFmtId="0" fontId="0" fillId="6" borderId="67" xfId="0" applyFill="1" applyBorder="1">
      <alignment vertical="center"/>
    </xf>
    <xf numFmtId="0" fontId="0" fillId="6" borderId="68" xfId="0" applyFill="1" applyBorder="1">
      <alignment vertical="center"/>
    </xf>
    <xf numFmtId="0" fontId="28" fillId="6" borderId="64" xfId="0" applyFont="1" applyFill="1" applyBorder="1">
      <alignment vertical="center"/>
    </xf>
    <xf numFmtId="0" fontId="28" fillId="6" borderId="65" xfId="0" applyFont="1" applyFill="1" applyBorder="1">
      <alignment vertical="center"/>
    </xf>
    <xf numFmtId="0" fontId="29" fillId="6" borderId="0" xfId="0" applyFont="1" applyFill="1" applyAlignment="1">
      <alignment horizontal="center" vertical="center"/>
    </xf>
    <xf numFmtId="0" fontId="29" fillId="6" borderId="0" xfId="0" applyFont="1" applyFill="1">
      <alignment vertical="center"/>
    </xf>
    <xf numFmtId="0" fontId="3" fillId="6" borderId="62" xfId="0" applyFont="1" applyFill="1" applyBorder="1" applyAlignment="1">
      <alignment horizontal="center" vertical="center"/>
    </xf>
    <xf numFmtId="0" fontId="0" fillId="6" borderId="62" xfId="0" applyFill="1" applyBorder="1" applyAlignment="1">
      <alignment horizontal="center" vertical="center"/>
    </xf>
    <xf numFmtId="0" fontId="25" fillId="6" borderId="64" xfId="0" applyFont="1" applyFill="1" applyBorder="1">
      <alignment vertical="center"/>
    </xf>
    <xf numFmtId="0" fontId="25" fillId="6" borderId="65" xfId="0" applyFont="1" applyFill="1" applyBorder="1">
      <alignment vertical="center"/>
    </xf>
    <xf numFmtId="0" fontId="3" fillId="6" borderId="67" xfId="0" applyFont="1" applyFill="1" applyBorder="1" applyAlignment="1">
      <alignment horizontal="center" vertical="center"/>
    </xf>
    <xf numFmtId="0" fontId="0" fillId="6" borderId="67" xfId="0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36" xfId="0" applyBorder="1">
      <alignment vertical="center"/>
    </xf>
    <xf numFmtId="0" fontId="0" fillId="0" borderId="40" xfId="0" applyBorder="1">
      <alignment vertical="center"/>
    </xf>
    <xf numFmtId="0" fontId="0" fillId="0" borderId="37" xfId="0" applyBorder="1">
      <alignment vertical="center"/>
    </xf>
    <xf numFmtId="0" fontId="33" fillId="5" borderId="15" xfId="0" applyFont="1" applyFill="1" applyBorder="1" applyAlignment="1">
      <alignment horizontal="center" vertical="center"/>
    </xf>
    <xf numFmtId="0" fontId="33" fillId="5" borderId="14" xfId="0" applyFont="1" applyFill="1" applyBorder="1" applyAlignment="1">
      <alignment horizontal="center" vertical="center"/>
    </xf>
    <xf numFmtId="0" fontId="33" fillId="5" borderId="13" xfId="0" applyFont="1" applyFill="1" applyBorder="1" applyAlignment="1">
      <alignment horizontal="center" vertical="center"/>
    </xf>
    <xf numFmtId="0" fontId="33" fillId="5" borderId="12" xfId="0" applyFont="1" applyFill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178" fontId="33" fillId="0" borderId="8" xfId="0" applyNumberFormat="1" applyFont="1" applyBorder="1" applyAlignment="1">
      <alignment horizontal="center" vertical="center"/>
    </xf>
    <xf numFmtId="177" fontId="35" fillId="0" borderId="8" xfId="1" applyNumberFormat="1" applyFont="1" applyBorder="1" applyAlignment="1">
      <alignment horizontal="center" vertical="center"/>
    </xf>
    <xf numFmtId="10" fontId="35" fillId="0" borderId="7" xfId="1" applyNumberFormat="1" applyFont="1" applyBorder="1" applyAlignment="1">
      <alignment horizontal="center" vertical="center"/>
    </xf>
    <xf numFmtId="177" fontId="33" fillId="0" borderId="10" xfId="0" applyNumberFormat="1" applyFont="1" applyBorder="1" applyAlignment="1">
      <alignment horizontal="center" vertical="center"/>
    </xf>
    <xf numFmtId="10" fontId="35" fillId="0" borderId="5" xfId="1" applyNumberFormat="1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0" fontId="33" fillId="4" borderId="8" xfId="0" applyFont="1" applyFill="1" applyBorder="1" applyAlignment="1">
      <alignment horizontal="center" vertical="center"/>
    </xf>
    <xf numFmtId="178" fontId="33" fillId="4" borderId="8" xfId="0" applyNumberFormat="1" applyFont="1" applyFill="1" applyBorder="1" applyAlignment="1">
      <alignment horizontal="center" vertical="center"/>
    </xf>
    <xf numFmtId="0" fontId="33" fillId="4" borderId="6" xfId="0" applyFont="1" applyFill="1" applyBorder="1">
      <alignment vertical="center"/>
    </xf>
    <xf numFmtId="0" fontId="35" fillId="4" borderId="7" xfId="1" applyFont="1" applyFill="1" applyBorder="1" applyAlignment="1">
      <alignment horizontal="center" vertical="center"/>
    </xf>
    <xf numFmtId="177" fontId="33" fillId="4" borderId="8" xfId="0" applyNumberFormat="1" applyFont="1" applyFill="1" applyBorder="1" applyAlignment="1">
      <alignment horizontal="center" vertical="center"/>
    </xf>
    <xf numFmtId="176" fontId="35" fillId="4" borderId="5" xfId="1" applyNumberFormat="1" applyFont="1" applyFill="1" applyBorder="1" applyAlignment="1">
      <alignment horizontal="center" vertical="center"/>
    </xf>
    <xf numFmtId="177" fontId="33" fillId="0" borderId="6" xfId="0" applyNumberFormat="1" applyFont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0" fontId="33" fillId="6" borderId="9" xfId="0" applyFont="1" applyFill="1" applyBorder="1" applyAlignment="1">
      <alignment horizontal="center" vertical="center"/>
    </xf>
    <xf numFmtId="177" fontId="33" fillId="6" borderId="6" xfId="0" applyNumberFormat="1" applyFont="1" applyFill="1" applyBorder="1" applyAlignment="1">
      <alignment horizontal="center" vertical="center"/>
    </xf>
    <xf numFmtId="177" fontId="33" fillId="4" borderId="6" xfId="0" applyNumberFormat="1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2" borderId="2" xfId="0" applyFont="1" applyFill="1" applyBorder="1" applyAlignment="1">
      <alignment horizontal="center" vertical="center"/>
    </xf>
    <xf numFmtId="178" fontId="33" fillId="2" borderId="2" xfId="0" applyNumberFormat="1" applyFont="1" applyFill="1" applyBorder="1" applyAlignment="1">
      <alignment horizontal="center" vertical="center"/>
    </xf>
    <xf numFmtId="177" fontId="35" fillId="2" borderId="2" xfId="1" applyNumberFormat="1" applyFont="1" applyFill="1" applyBorder="1" applyAlignment="1">
      <alignment horizontal="center" vertical="center"/>
    </xf>
    <xf numFmtId="10" fontId="35" fillId="2" borderId="2" xfId="1" applyNumberFormat="1" applyFont="1" applyFill="1" applyBorder="1" applyAlignment="1">
      <alignment horizontal="center" vertical="center"/>
    </xf>
    <xf numFmtId="177" fontId="33" fillId="2" borderId="2" xfId="0" applyNumberFormat="1" applyFont="1" applyFill="1" applyBorder="1" applyAlignment="1">
      <alignment horizontal="center" vertical="center"/>
    </xf>
    <xf numFmtId="10" fontId="35" fillId="2" borderId="1" xfId="1" applyNumberFormat="1" applyFont="1" applyFill="1" applyBorder="1" applyAlignment="1">
      <alignment horizontal="center" vertical="center"/>
    </xf>
    <xf numFmtId="0" fontId="29" fillId="5" borderId="21" xfId="0" applyFont="1" applyFill="1" applyBorder="1" applyAlignment="1">
      <alignment horizontal="center" vertical="center"/>
    </xf>
    <xf numFmtId="2" fontId="29" fillId="0" borderId="20" xfId="0" applyNumberFormat="1" applyFont="1" applyBorder="1" applyAlignment="1">
      <alignment horizontal="center" vertical="center"/>
    </xf>
    <xf numFmtId="3" fontId="29" fillId="0" borderId="19" xfId="0" applyNumberFormat="1" applyFont="1" applyBorder="1" applyAlignment="1">
      <alignment horizontal="center" vertical="center"/>
    </xf>
    <xf numFmtId="0" fontId="29" fillId="5" borderId="4" xfId="0" applyFont="1" applyFill="1" applyBorder="1" applyAlignment="1">
      <alignment horizontal="center" vertical="center"/>
    </xf>
    <xf numFmtId="0" fontId="29" fillId="5" borderId="17" xfId="0" applyFont="1" applyFill="1" applyBorder="1" applyAlignment="1">
      <alignment horizontal="center" vertical="center"/>
    </xf>
    <xf numFmtId="2" fontId="29" fillId="0" borderId="16" xfId="0" applyNumberFormat="1" applyFont="1" applyBorder="1" applyAlignment="1">
      <alignment horizontal="center" vertical="center"/>
    </xf>
    <xf numFmtId="0" fontId="33" fillId="5" borderId="19" xfId="0" applyFont="1" applyFill="1" applyBorder="1" applyAlignment="1">
      <alignment horizontal="center" vertical="center"/>
    </xf>
    <xf numFmtId="0" fontId="33" fillId="5" borderId="46" xfId="0" applyFont="1" applyFill="1" applyBorder="1" applyAlignment="1">
      <alignment horizontal="center" vertical="center"/>
    </xf>
    <xf numFmtId="0" fontId="37" fillId="39" borderId="21" xfId="0" applyFont="1" applyFill="1" applyBorder="1" applyAlignment="1">
      <alignment horizontal="center" vertical="center"/>
    </xf>
    <xf numFmtId="0" fontId="37" fillId="39" borderId="22" xfId="0" applyFont="1" applyFill="1" applyBorder="1" applyAlignment="1">
      <alignment horizontal="center" vertical="center"/>
    </xf>
    <xf numFmtId="3" fontId="33" fillId="0" borderId="48" xfId="0" applyNumberFormat="1" applyFont="1" applyBorder="1" applyAlignment="1">
      <alignment horizontal="center" vertical="center"/>
    </xf>
    <xf numFmtId="10" fontId="33" fillId="0" borderId="10" xfId="0" applyNumberFormat="1" applyFont="1" applyBorder="1" applyAlignment="1">
      <alignment horizontal="center" vertical="center"/>
    </xf>
    <xf numFmtId="3" fontId="33" fillId="0" borderId="10" xfId="0" applyNumberFormat="1" applyFont="1" applyBorder="1" applyAlignment="1">
      <alignment horizontal="center" vertical="center"/>
    </xf>
    <xf numFmtId="10" fontId="33" fillId="0" borderId="42" xfId="0" applyNumberFormat="1" applyFont="1" applyBorder="1" applyAlignment="1">
      <alignment horizontal="center" vertical="center"/>
    </xf>
    <xf numFmtId="0" fontId="37" fillId="39" borderId="9" xfId="0" applyFont="1" applyFill="1" applyBorder="1" applyAlignment="1">
      <alignment horizontal="center" vertical="center"/>
    </xf>
    <xf numFmtId="0" fontId="37" fillId="39" borderId="59" xfId="0" applyFont="1" applyFill="1" applyBorder="1" applyAlignment="1">
      <alignment horizontal="center" vertical="center"/>
    </xf>
    <xf numFmtId="3" fontId="33" fillId="0" borderId="57" xfId="0" applyNumberFormat="1" applyFont="1" applyBorder="1" applyAlignment="1">
      <alignment horizontal="center" vertical="center"/>
    </xf>
    <xf numFmtId="10" fontId="33" fillId="0" borderId="8" xfId="0" applyNumberFormat="1" applyFont="1" applyBorder="1" applyAlignment="1">
      <alignment horizontal="center" vertical="center"/>
    </xf>
    <xf numFmtId="3" fontId="33" fillId="0" borderId="6" xfId="0" applyNumberFormat="1" applyFont="1" applyBorder="1" applyAlignment="1">
      <alignment horizontal="center" vertical="center"/>
    </xf>
    <xf numFmtId="10" fontId="33" fillId="0" borderId="25" xfId="0" applyNumberFormat="1" applyFont="1" applyBorder="1" applyAlignment="1">
      <alignment horizontal="center" vertical="center"/>
    </xf>
    <xf numFmtId="0" fontId="37" fillId="39" borderId="4" xfId="0" applyFont="1" applyFill="1" applyBorder="1" applyAlignment="1">
      <alignment horizontal="center" vertical="center"/>
    </xf>
    <xf numFmtId="0" fontId="37" fillId="39" borderId="1" xfId="0" applyFont="1" applyFill="1" applyBorder="1" applyAlignment="1">
      <alignment horizontal="center" vertical="center"/>
    </xf>
    <xf numFmtId="3" fontId="33" fillId="0" borderId="58" xfId="0" applyNumberFormat="1" applyFont="1" applyBorder="1" applyAlignment="1">
      <alignment horizontal="center" vertical="center"/>
    </xf>
    <xf numFmtId="10" fontId="33" fillId="0" borderId="24" xfId="0" applyNumberFormat="1" applyFont="1" applyBorder="1" applyAlignment="1">
      <alignment horizontal="center" vertical="center"/>
    </xf>
    <xf numFmtId="3" fontId="33" fillId="0" borderId="2" xfId="0" applyNumberFormat="1" applyFont="1" applyBorder="1" applyAlignment="1">
      <alignment horizontal="center" vertical="center"/>
    </xf>
    <xf numFmtId="10" fontId="33" fillId="0" borderId="43" xfId="0" applyNumberFormat="1" applyFont="1" applyBorder="1" applyAlignment="1">
      <alignment horizontal="center" vertical="center"/>
    </xf>
    <xf numFmtId="176" fontId="35" fillId="4" borderId="7" xfId="1" applyNumberFormat="1" applyFont="1" applyFill="1" applyBorder="1" applyAlignment="1">
      <alignment horizontal="center" vertical="center"/>
    </xf>
    <xf numFmtId="0" fontId="33" fillId="6" borderId="11" xfId="0" applyFont="1" applyFill="1" applyBorder="1" applyAlignment="1">
      <alignment horizontal="center" vertical="center"/>
    </xf>
    <xf numFmtId="0" fontId="33" fillId="4" borderId="6" xfId="0" applyFont="1" applyFill="1" applyBorder="1" applyAlignment="1">
      <alignment horizontal="center" vertical="center"/>
    </xf>
    <xf numFmtId="0" fontId="33" fillId="2" borderId="17" xfId="0" applyFont="1" applyFill="1" applyBorder="1" applyAlignment="1">
      <alignment horizontal="center" vertical="center"/>
    </xf>
    <xf numFmtId="0" fontId="33" fillId="2" borderId="24" xfId="0" applyFont="1" applyFill="1" applyBorder="1" applyAlignment="1">
      <alignment horizontal="center" vertical="center"/>
    </xf>
    <xf numFmtId="177" fontId="35" fillId="2" borderId="24" xfId="1" applyNumberFormat="1" applyFont="1" applyFill="1" applyBorder="1" applyAlignment="1">
      <alignment horizontal="center" vertical="center"/>
    </xf>
    <xf numFmtId="10" fontId="35" fillId="2" borderId="16" xfId="1" applyNumberFormat="1" applyFont="1" applyFill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0" fontId="37" fillId="39" borderId="45" xfId="0" applyFont="1" applyFill="1" applyBorder="1" applyAlignment="1">
      <alignment horizontal="center" vertical="center"/>
    </xf>
    <xf numFmtId="0" fontId="37" fillId="39" borderId="46" xfId="0" applyFont="1" applyFill="1" applyBorder="1" applyAlignment="1">
      <alignment horizontal="center" vertical="center"/>
    </xf>
    <xf numFmtId="0" fontId="37" fillId="39" borderId="12" xfId="0" applyFont="1" applyFill="1" applyBorder="1" applyAlignment="1">
      <alignment horizontal="center" vertical="center"/>
    </xf>
    <xf numFmtId="0" fontId="37" fillId="39" borderId="47" xfId="0" applyFont="1" applyFill="1" applyBorder="1" applyAlignment="1">
      <alignment horizontal="center" vertical="center"/>
    </xf>
    <xf numFmtId="0" fontId="33" fillId="6" borderId="21" xfId="0" applyFont="1" applyFill="1" applyBorder="1" applyAlignment="1">
      <alignment horizontal="center" vertical="center"/>
    </xf>
    <xf numFmtId="0" fontId="33" fillId="6" borderId="22" xfId="0" applyFont="1" applyFill="1" applyBorder="1" applyAlignment="1">
      <alignment horizontal="center" vertical="center"/>
    </xf>
    <xf numFmtId="0" fontId="37" fillId="39" borderId="49" xfId="0" applyFont="1" applyFill="1" applyBorder="1" applyAlignment="1">
      <alignment horizontal="center" vertical="center"/>
    </xf>
    <xf numFmtId="0" fontId="33" fillId="6" borderId="5" xfId="0" applyFont="1" applyFill="1" applyBorder="1" applyAlignment="1">
      <alignment horizontal="center" vertical="center"/>
    </xf>
    <xf numFmtId="0" fontId="37" fillId="39" borderId="51" xfId="0" applyFont="1" applyFill="1" applyBorder="1" applyAlignment="1">
      <alignment horizontal="center" vertical="center"/>
    </xf>
    <xf numFmtId="0" fontId="33" fillId="6" borderId="17" xfId="0" applyFont="1" applyFill="1" applyBorder="1" applyAlignment="1">
      <alignment horizontal="center" vertical="center"/>
    </xf>
    <xf numFmtId="0" fontId="33" fillId="6" borderId="16" xfId="0" applyFont="1" applyFill="1" applyBorder="1" applyAlignment="1">
      <alignment horizontal="center" vertical="center"/>
    </xf>
    <xf numFmtId="0" fontId="37" fillId="39" borderId="60" xfId="0" applyFont="1" applyFill="1" applyBorder="1" applyAlignment="1">
      <alignment horizontal="center" vertical="center"/>
    </xf>
    <xf numFmtId="0" fontId="37" fillId="39" borderId="15" xfId="0" applyFont="1" applyFill="1" applyBorder="1" applyAlignment="1">
      <alignment horizontal="center" vertical="center"/>
    </xf>
    <xf numFmtId="0" fontId="37" fillId="39" borderId="14" xfId="0" applyFont="1" applyFill="1" applyBorder="1" applyAlignment="1">
      <alignment horizontal="center" vertical="center"/>
    </xf>
    <xf numFmtId="0" fontId="37" fillId="39" borderId="53" xfId="0" applyFont="1" applyFill="1" applyBorder="1" applyAlignment="1">
      <alignment horizontal="center" vertical="center"/>
    </xf>
    <xf numFmtId="0" fontId="33" fillId="6" borderId="25" xfId="0" applyFont="1" applyFill="1" applyBorder="1" applyAlignment="1">
      <alignment horizontal="center" vertical="center"/>
    </xf>
    <xf numFmtId="0" fontId="37" fillId="39" borderId="54" xfId="0" applyFont="1" applyFill="1" applyBorder="1" applyAlignment="1">
      <alignment horizontal="center" vertical="center"/>
    </xf>
    <xf numFmtId="0" fontId="33" fillId="6" borderId="6" xfId="0" applyFont="1" applyFill="1" applyBorder="1" applyAlignment="1">
      <alignment horizontal="center" vertical="center"/>
    </xf>
    <xf numFmtId="0" fontId="33" fillId="6" borderId="55" xfId="0" applyFont="1" applyFill="1" applyBorder="1" applyAlignment="1">
      <alignment horizontal="center" vertical="center"/>
    </xf>
    <xf numFmtId="0" fontId="37" fillId="39" borderId="56" xfId="0" applyFont="1" applyFill="1" applyBorder="1" applyAlignment="1">
      <alignment horizontal="center" vertical="center"/>
    </xf>
    <xf numFmtId="0" fontId="33" fillId="6" borderId="4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3" fillId="6" borderId="44" xfId="0" applyFont="1" applyFill="1" applyBorder="1" applyAlignment="1">
      <alignment horizontal="center" vertical="center"/>
    </xf>
    <xf numFmtId="0" fontId="33" fillId="6" borderId="48" xfId="0" applyFont="1" applyFill="1" applyBorder="1" applyAlignment="1">
      <alignment horizontal="center" vertical="center"/>
    </xf>
    <xf numFmtId="0" fontId="33" fillId="6" borderId="50" xfId="0" applyFont="1" applyFill="1" applyBorder="1" applyAlignment="1">
      <alignment horizontal="center" vertical="center"/>
    </xf>
    <xf numFmtId="0" fontId="33" fillId="6" borderId="52" xfId="0" applyFont="1" applyFill="1" applyBorder="1" applyAlignment="1">
      <alignment horizontal="center" vertical="center"/>
    </xf>
    <xf numFmtId="0" fontId="37" fillId="39" borderId="15" xfId="0" applyFont="1" applyFill="1" applyBorder="1" applyAlignment="1">
      <alignment horizontal="center" vertical="center" wrapText="1"/>
    </xf>
    <xf numFmtId="0" fontId="37" fillId="39" borderId="14" xfId="0" applyFont="1" applyFill="1" applyBorder="1" applyAlignment="1">
      <alignment horizontal="center" vertical="center" wrapText="1"/>
    </xf>
    <xf numFmtId="0" fontId="37" fillId="39" borderId="13" xfId="0" applyFont="1" applyFill="1" applyBorder="1" applyAlignment="1">
      <alignment horizontal="center" vertical="center" wrapText="1"/>
    </xf>
    <xf numFmtId="0" fontId="37" fillId="39" borderId="12" xfId="0" applyFont="1" applyFill="1" applyBorder="1" applyAlignment="1">
      <alignment horizontal="center" vertical="center" wrapText="1"/>
    </xf>
    <xf numFmtId="0" fontId="40" fillId="39" borderId="21" xfId="0" applyFont="1" applyFill="1" applyBorder="1" applyAlignment="1">
      <alignment horizontal="center" vertical="center"/>
    </xf>
    <xf numFmtId="0" fontId="40" fillId="39" borderId="22" xfId="0" applyFont="1" applyFill="1" applyBorder="1" applyAlignment="1">
      <alignment horizontal="center" vertical="center"/>
    </xf>
    <xf numFmtId="0" fontId="40" fillId="39" borderId="9" xfId="0" applyFont="1" applyFill="1" applyBorder="1" applyAlignment="1">
      <alignment horizontal="center" vertical="center"/>
    </xf>
    <xf numFmtId="0" fontId="40" fillId="39" borderId="59" xfId="0" applyFont="1" applyFill="1" applyBorder="1" applyAlignment="1">
      <alignment horizontal="center" vertical="center"/>
    </xf>
    <xf numFmtId="0" fontId="40" fillId="39" borderId="4" xfId="0" applyFont="1" applyFill="1" applyBorder="1" applyAlignment="1">
      <alignment horizontal="center" vertical="center"/>
    </xf>
    <xf numFmtId="0" fontId="40" fillId="39" borderId="1" xfId="0" applyFont="1" applyFill="1" applyBorder="1" applyAlignment="1">
      <alignment horizontal="center" vertical="center"/>
    </xf>
    <xf numFmtId="38" fontId="45" fillId="0" borderId="6" xfId="34" applyNumberFormat="1" applyFont="1" applyBorder="1" applyAlignment="1">
      <alignment horizontal="center" vertical="center"/>
    </xf>
    <xf numFmtId="179" fontId="45" fillId="0" borderId="6" xfId="34" applyNumberFormat="1" applyFont="1" applyBorder="1" applyAlignment="1">
      <alignment horizontal="center" vertical="center"/>
    </xf>
    <xf numFmtId="0" fontId="45" fillId="0" borderId="6" xfId="34" applyFont="1" applyBorder="1" applyAlignment="1">
      <alignment horizontal="center" vertical="center"/>
    </xf>
    <xf numFmtId="0" fontId="45" fillId="0" borderId="69" xfId="34" applyFont="1" applyBorder="1" applyAlignment="1">
      <alignment horizontal="center" vertical="center"/>
    </xf>
    <xf numFmtId="38" fontId="45" fillId="0" borderId="69" xfId="34" applyNumberFormat="1" applyFont="1" applyBorder="1" applyAlignment="1">
      <alignment horizontal="center" vertical="center"/>
    </xf>
    <xf numFmtId="0" fontId="45" fillId="0" borderId="69" xfId="45" applyFont="1" applyBorder="1" applyAlignment="1">
      <alignment horizontal="center" vertical="center"/>
    </xf>
    <xf numFmtId="38" fontId="45" fillId="0" borderId="69" xfId="45" applyNumberFormat="1" applyFont="1" applyBorder="1" applyAlignment="1">
      <alignment horizontal="center" vertical="center"/>
    </xf>
    <xf numFmtId="0" fontId="45" fillId="0" borderId="71" xfId="45" applyFont="1" applyBorder="1" applyAlignment="1">
      <alignment horizontal="center" vertical="center"/>
    </xf>
    <xf numFmtId="38" fontId="45" fillId="0" borderId="71" xfId="45" applyNumberFormat="1" applyFont="1" applyBorder="1" applyAlignment="1">
      <alignment horizontal="center" vertical="center"/>
    </xf>
    <xf numFmtId="0" fontId="45" fillId="0" borderId="70" xfId="45" applyFont="1" applyBorder="1" applyAlignment="1">
      <alignment horizontal="center" vertical="center"/>
    </xf>
    <xf numFmtId="38" fontId="45" fillId="0" borderId="70" xfId="45" applyNumberFormat="1" applyFont="1" applyBorder="1" applyAlignment="1">
      <alignment horizontal="center" vertical="center"/>
    </xf>
    <xf numFmtId="0" fontId="33" fillId="41" borderId="9" xfId="0" applyFont="1" applyFill="1" applyBorder="1" applyAlignment="1">
      <alignment horizontal="center" vertical="center"/>
    </xf>
    <xf numFmtId="0" fontId="33" fillId="41" borderId="8" xfId="0" applyFont="1" applyFill="1" applyBorder="1" applyAlignment="1">
      <alignment horizontal="center" vertical="center"/>
    </xf>
    <xf numFmtId="178" fontId="33" fillId="41" borderId="8" xfId="0" applyNumberFormat="1" applyFont="1" applyFill="1" applyBorder="1" applyAlignment="1">
      <alignment horizontal="center" vertical="center"/>
    </xf>
    <xf numFmtId="177" fontId="35" fillId="41" borderId="8" xfId="1" applyNumberFormat="1" applyFont="1" applyFill="1" applyBorder="1" applyAlignment="1">
      <alignment horizontal="center" vertical="center"/>
    </xf>
    <xf numFmtId="10" fontId="35" fillId="41" borderId="7" xfId="1" applyNumberFormat="1" applyFont="1" applyFill="1" applyBorder="1" applyAlignment="1">
      <alignment horizontal="center" vertical="center"/>
    </xf>
    <xf numFmtId="177" fontId="33" fillId="41" borderId="6" xfId="0" applyNumberFormat="1" applyFont="1" applyFill="1" applyBorder="1" applyAlignment="1">
      <alignment horizontal="center" vertical="center"/>
    </xf>
    <xf numFmtId="10" fontId="35" fillId="41" borderId="5" xfId="1" applyNumberFormat="1" applyFont="1" applyFill="1" applyBorder="1" applyAlignment="1">
      <alignment horizontal="center" vertical="center"/>
    </xf>
    <xf numFmtId="0" fontId="0" fillId="38" borderId="0" xfId="0" applyFill="1" applyAlignment="1">
      <alignment horizontal="center" vertical="center"/>
    </xf>
    <xf numFmtId="177" fontId="33" fillId="6" borderId="72" xfId="0" applyNumberFormat="1" applyFont="1" applyFill="1" applyBorder="1" applyAlignment="1">
      <alignment horizontal="center" vertical="center"/>
    </xf>
    <xf numFmtId="177" fontId="33" fillId="6" borderId="8" xfId="0" applyNumberFormat="1" applyFont="1" applyFill="1" applyBorder="1" applyAlignment="1">
      <alignment horizontal="center" vertical="center"/>
    </xf>
    <xf numFmtId="10" fontId="35" fillId="0" borderId="74" xfId="1" applyNumberFormat="1" applyFont="1" applyBorder="1" applyAlignment="1">
      <alignment horizontal="center" vertical="center"/>
    </xf>
    <xf numFmtId="10" fontId="35" fillId="0" borderId="25" xfId="1" applyNumberFormat="1" applyFont="1" applyBorder="1" applyAlignment="1">
      <alignment horizontal="center" vertical="center"/>
    </xf>
    <xf numFmtId="0" fontId="33" fillId="0" borderId="72" xfId="0" applyFont="1" applyBorder="1" applyAlignment="1">
      <alignment horizontal="center" vertical="center"/>
    </xf>
    <xf numFmtId="0" fontId="33" fillId="0" borderId="8" xfId="0" applyFont="1" applyBorder="1" applyAlignment="1">
      <alignment horizontal="center" vertical="center"/>
    </xf>
    <xf numFmtId="0" fontId="33" fillId="6" borderId="72" xfId="0" applyFont="1" applyFill="1" applyBorder="1" applyAlignment="1">
      <alignment horizontal="center" vertical="center"/>
    </xf>
    <xf numFmtId="0" fontId="33" fillId="6" borderId="8" xfId="0" applyFont="1" applyFill="1" applyBorder="1" applyAlignment="1">
      <alignment horizontal="center" vertical="center"/>
    </xf>
    <xf numFmtId="178" fontId="33" fillId="0" borderId="72" xfId="0" applyNumberFormat="1" applyFont="1" applyBorder="1" applyAlignment="1">
      <alignment horizontal="center" vertical="center"/>
    </xf>
    <xf numFmtId="178" fontId="33" fillId="0" borderId="8" xfId="0" applyNumberFormat="1" applyFont="1" applyBorder="1" applyAlignment="1">
      <alignment horizontal="center" vertical="center"/>
    </xf>
    <xf numFmtId="177" fontId="35" fillId="0" borderId="72" xfId="1" applyNumberFormat="1" applyFont="1" applyBorder="1" applyAlignment="1">
      <alignment horizontal="center" vertical="center"/>
    </xf>
    <xf numFmtId="177" fontId="35" fillId="0" borderId="8" xfId="1" applyNumberFormat="1" applyFont="1" applyBorder="1" applyAlignment="1">
      <alignment horizontal="center" vertical="center"/>
    </xf>
    <xf numFmtId="10" fontId="35" fillId="0" borderId="72" xfId="1" applyNumberFormat="1" applyFont="1" applyBorder="1" applyAlignment="1">
      <alignment horizontal="center" vertical="center"/>
    </xf>
    <xf numFmtId="10" fontId="35" fillId="0" borderId="8" xfId="1" applyNumberFormat="1" applyFont="1" applyBorder="1" applyAlignment="1">
      <alignment horizontal="center" vertical="center"/>
    </xf>
    <xf numFmtId="0" fontId="29" fillId="6" borderId="23" xfId="0" applyFont="1" applyFill="1" applyBorder="1" applyAlignment="1">
      <alignment horizontal="center" vertical="center"/>
    </xf>
    <xf numFmtId="0" fontId="29" fillId="6" borderId="20" xfId="0" applyFont="1" applyFill="1" applyBorder="1" applyAlignment="1">
      <alignment horizontal="center" vertical="center"/>
    </xf>
    <xf numFmtId="0" fontId="29" fillId="6" borderId="22" xfId="0" applyFont="1" applyFill="1" applyBorder="1" applyAlignment="1">
      <alignment horizontal="center" vertical="center"/>
    </xf>
    <xf numFmtId="0" fontId="29" fillId="6" borderId="3" xfId="0" applyFont="1" applyFill="1" applyBorder="1" applyAlignment="1">
      <alignment horizontal="center" vertical="center"/>
    </xf>
    <xf numFmtId="0" fontId="29" fillId="6" borderId="18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41" fillId="40" borderId="0" xfId="0" applyFont="1" applyFill="1" applyAlignment="1">
      <alignment horizontal="right" vertical="center" wrapText="1"/>
    </xf>
    <xf numFmtId="177" fontId="33" fillId="0" borderId="72" xfId="0" applyNumberFormat="1" applyFont="1" applyBorder="1" applyAlignment="1">
      <alignment horizontal="center" vertical="center"/>
    </xf>
    <xf numFmtId="177" fontId="33" fillId="0" borderId="8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3" fillId="0" borderId="73" xfId="0" applyFont="1" applyBorder="1" applyAlignment="1">
      <alignment horizontal="center" vertical="center"/>
    </xf>
    <xf numFmtId="10" fontId="35" fillId="0" borderId="75" xfId="1" applyNumberFormat="1" applyFont="1" applyBorder="1" applyAlignment="1">
      <alignment horizontal="center" vertical="center"/>
    </xf>
    <xf numFmtId="177" fontId="33" fillId="0" borderId="73" xfId="0" applyNumberFormat="1" applyFont="1" applyBorder="1" applyAlignment="1">
      <alignment horizontal="center" vertical="center"/>
    </xf>
    <xf numFmtId="10" fontId="35" fillId="0" borderId="73" xfId="1" applyNumberFormat="1" applyFont="1" applyBorder="1" applyAlignment="1">
      <alignment horizontal="center" vertical="center"/>
    </xf>
    <xf numFmtId="177" fontId="35" fillId="0" borderId="73" xfId="1" applyNumberFormat="1" applyFont="1" applyBorder="1" applyAlignment="1">
      <alignment horizontal="center" vertical="center"/>
    </xf>
    <xf numFmtId="178" fontId="33" fillId="0" borderId="73" xfId="0" applyNumberFormat="1" applyFont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29" fillId="6" borderId="42" xfId="0" applyFont="1" applyFill="1" applyBorder="1" applyAlignment="1">
      <alignment horizontal="center" vertical="center"/>
    </xf>
    <xf numFmtId="0" fontId="29" fillId="6" borderId="2" xfId="0" applyFont="1" applyFill="1" applyBorder="1" applyAlignment="1">
      <alignment horizontal="center" vertical="center"/>
    </xf>
    <xf numFmtId="0" fontId="29" fillId="6" borderId="44" xfId="0" applyFont="1" applyFill="1" applyBorder="1" applyAlignment="1">
      <alignment horizontal="center" vertical="center"/>
    </xf>
    <xf numFmtId="0" fontId="43" fillId="6" borderId="0" xfId="0" applyFont="1" applyFill="1" applyAlignment="1">
      <alignment horizontal="right" vertical="center" wrapText="1"/>
    </xf>
    <xf numFmtId="0" fontId="30" fillId="6" borderId="3" xfId="0" applyFont="1" applyFill="1" applyBorder="1" applyAlignment="1">
      <alignment horizontal="center" vertical="center"/>
    </xf>
  </cellXfs>
  <cellStyles count="51">
    <cellStyle name="20% - 강조색1" xfId="17" builtinId="30" customBuiltin="1"/>
    <cellStyle name="20% - 강조색2" xfId="20" builtinId="34" customBuiltin="1"/>
    <cellStyle name="20% - 강조색3" xfId="23" builtinId="38" customBuiltin="1"/>
    <cellStyle name="20% - 강조색4" xfId="26" builtinId="42" customBuiltin="1"/>
    <cellStyle name="20% - 강조색5" xfId="29" builtinId="46" customBuiltin="1"/>
    <cellStyle name="20% - 강조색6" xfId="32" builtinId="50" customBuiltin="1"/>
    <cellStyle name="40% - 강조색1" xfId="18" builtinId="31" customBuiltin="1"/>
    <cellStyle name="40% - 강조색2" xfId="21" builtinId="35" customBuiltin="1"/>
    <cellStyle name="40% - 강조색3" xfId="24" builtinId="39" customBuiltin="1"/>
    <cellStyle name="40% - 강조색4" xfId="27" builtinId="43" customBuiltin="1"/>
    <cellStyle name="40% - 강조색5" xfId="30" builtinId="47" customBuiltin="1"/>
    <cellStyle name="40% - 강조색6" xfId="33" builtinId="51" customBuiltin="1"/>
    <cellStyle name="60% - 강조색1 2" xfId="37" xr:uid="{00000000-0005-0000-0000-000032000000}"/>
    <cellStyle name="60% - 강조색2 2" xfId="38" xr:uid="{00000000-0005-0000-0000-000033000000}"/>
    <cellStyle name="60% - 강조색3 2" xfId="39" xr:uid="{00000000-0005-0000-0000-000034000000}"/>
    <cellStyle name="60% - 강조색4 2" xfId="40" xr:uid="{00000000-0005-0000-0000-000035000000}"/>
    <cellStyle name="60% - 강조색5 2" xfId="41" xr:uid="{00000000-0005-0000-0000-000036000000}"/>
    <cellStyle name="60% - 강조색6 2" xfId="42" xr:uid="{00000000-0005-0000-0000-000037000000}"/>
    <cellStyle name="강조색1" xfId="16" builtinId="29" customBuiltin="1"/>
    <cellStyle name="강조색2" xfId="19" builtinId="33" customBuiltin="1"/>
    <cellStyle name="강조색3" xfId="22" builtinId="37" customBuiltin="1"/>
    <cellStyle name="강조색4" xfId="25" builtinId="41" customBuiltin="1"/>
    <cellStyle name="강조색5" xfId="28" builtinId="45" customBuiltin="1"/>
    <cellStyle name="강조색6" xfId="31" builtinId="49" customBuiltin="1"/>
    <cellStyle name="경고문" xfId="13" builtinId="11" customBuiltin="1"/>
    <cellStyle name="계산" xfId="10" builtinId="22" customBuiltin="1"/>
    <cellStyle name="나쁨" xfId="7" builtinId="27" customBuiltin="1"/>
    <cellStyle name="메모 2" xfId="44" xr:uid="{00000000-0005-0000-0000-00001B000000}"/>
    <cellStyle name="보통 2" xfId="36" xr:uid="{00000000-0005-0000-0000-000039000000}"/>
    <cellStyle name="설명 텍스트" xfId="14" builtinId="53" customBuiltin="1"/>
    <cellStyle name="셀 확인" xfId="12" builtinId="23" customBuiltin="1"/>
    <cellStyle name="연결된 셀" xfId="11" builtinId="24" customBuiltin="1"/>
    <cellStyle name="열어 본 하이퍼링크 2" xfId="47" xr:uid="{00000000-0005-0000-0000-000020000000}"/>
    <cellStyle name="요약" xfId="15" builtinId="25" customBuiltin="1"/>
    <cellStyle name="입력" xfId="8" builtinId="20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제목 5" xfId="35" xr:uid="{00000000-0005-0000-0000-00003B000000}"/>
    <cellStyle name="좋음" xfId="6" builtinId="26" customBuiltin="1"/>
    <cellStyle name="출력" xfId="9" builtinId="21" customBuiltin="1"/>
    <cellStyle name="표준" xfId="0" builtinId="0"/>
    <cellStyle name="표준 2" xfId="34" xr:uid="{00000000-0005-0000-0000-00002B000000}"/>
    <cellStyle name="표준 3" xfId="45" xr:uid="{00000000-0005-0000-0000-00002C000000}"/>
    <cellStyle name="표준 3 2" xfId="49" xr:uid="{00000000-0005-0000-0000-00002D000000}"/>
    <cellStyle name="표준 4" xfId="1" xr:uid="{2FF9B68B-8794-4F1F-9B6D-29886EAF3713}"/>
    <cellStyle name="표준 4 2" xfId="43" xr:uid="{00000000-0005-0000-0000-00002E000000}"/>
    <cellStyle name="표준 4 3" xfId="50" xr:uid="{AB4B5E4C-61FA-4788-9D7C-995A816F21D7}"/>
    <cellStyle name="표준 5" xfId="48" xr:uid="{00000000-0005-0000-0000-00002F000000}"/>
    <cellStyle name="하이퍼링크 2" xfId="46" xr:uid="{00000000-0005-0000-0000-000030000000}"/>
  </cellStyles>
  <dxfs count="85"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rgb="FF00B0F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colors>
    <mruColors>
      <color rgb="FFFF99FF"/>
      <color rgb="FFD4D4D4"/>
      <color rgb="FFCCFFCC"/>
      <color rgb="FFFFFF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4</xdr:row>
          <xdr:rowOff>107950</xdr:rowOff>
        </xdr:from>
        <xdr:to>
          <xdr:col>9</xdr:col>
          <xdr:colOff>88900</xdr:colOff>
          <xdr:row>7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자동 병합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736600" y="104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/>
      </xdr:nvSpPr>
      <xdr:spPr>
        <a:xfrm>
          <a:off x="736600" y="231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/>
      </xdr:nvSpPr>
      <xdr:spPr>
        <a:xfrm>
          <a:off x="736600" y="295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34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736600" y="104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54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/>
      </xdr:nvSpPr>
      <xdr:spPr>
        <a:xfrm>
          <a:off x="736600" y="168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74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/>
      </xdr:nvSpPr>
      <xdr:spPr>
        <a:xfrm>
          <a:off x="736600" y="2315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94</xdr:row>
      <xdr:rowOff>0</xdr:rowOff>
    </xdr:from>
    <xdr:ext cx="8647200" cy="1602362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/>
      </xdr:nvSpPr>
      <xdr:spPr>
        <a:xfrm>
          <a:off x="736600" y="295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14</xdr:row>
      <xdr:rowOff>0</xdr:rowOff>
    </xdr:from>
    <xdr:ext cx="864720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SpPr txBox="1"/>
      </xdr:nvSpPr>
      <xdr:spPr>
        <a:xfrm>
          <a:off x="736600" y="4102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29</xdr:row>
      <xdr:rowOff>0</xdr:rowOff>
    </xdr:from>
    <xdr:ext cx="864720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 txBox="1"/>
      </xdr:nvSpPr>
      <xdr:spPr>
        <a:xfrm>
          <a:off x="736600" y="88646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8647200" cy="1602362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 txBox="1"/>
      </xdr:nvSpPr>
      <xdr:spPr>
        <a:xfrm>
          <a:off x="736600" y="13627100"/>
          <a:ext cx="864720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96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96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96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8</xdr:row>
      <xdr:rowOff>0</xdr:rowOff>
    </xdr:from>
    <xdr:ext cx="6483350" cy="160236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736600" y="2197100"/>
          <a:ext cx="6483350" cy="16023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>
          <a:noAutofit/>
        </a:bodyPr>
        <a:lstStyle/>
        <a:p>
          <a:pPr algn="ctr"/>
          <a:r>
            <a:rPr lang="en-US" altLang="ko-KR" sz="720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Crux</a:t>
          </a:r>
          <a:r>
            <a:rPr lang="en-US" altLang="ko-KR" sz="7200" baseline="0">
              <a:solidFill>
                <a:schemeClr val="tx1">
                  <a:alpha val="12000"/>
                </a:schemeClr>
              </a:solidFill>
              <a:latin typeface="HY견고딕" panose="02030600000101010101" pitchFamily="18" charset="-127"/>
              <a:ea typeface="HY견고딕" panose="02030600000101010101" pitchFamily="18" charset="-127"/>
            </a:rPr>
            <a:t> Table</a:t>
          </a:r>
          <a:endParaRPr lang="ko-KR" altLang="en-US" sz="7200">
            <a:solidFill>
              <a:schemeClr val="tx1">
                <a:alpha val="12000"/>
              </a:schemeClr>
            </a:solidFill>
            <a:latin typeface="HY견고딕" panose="02030600000101010101" pitchFamily="18" charset="-127"/>
            <a:ea typeface="HY견고딕" panose="02030600000101010101" pitchFamily="18" charset="-127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F596D-1499-418A-8860-3C8EB1877B25}">
  <sheetPr codeName="Sheet1"/>
  <dimension ref="B3:E33"/>
  <sheetViews>
    <sheetView zoomScale="115" zoomScaleNormal="115" workbookViewId="0">
      <selection activeCell="G18" sqref="G18"/>
    </sheetView>
  </sheetViews>
  <sheetFormatPr defaultRowHeight="17" x14ac:dyDescent="0.45"/>
  <cols>
    <col min="2" max="2" width="15.75" style="1" customWidth="1"/>
    <col min="3" max="5" width="12.58203125" style="1" customWidth="1"/>
  </cols>
  <sheetData>
    <row r="3" spans="2:5" x14ac:dyDescent="0.45">
      <c r="C3" s="1" t="s">
        <v>3</v>
      </c>
      <c r="D3" s="1" t="s">
        <v>4</v>
      </c>
      <c r="E3" s="1" t="s">
        <v>2</v>
      </c>
    </row>
    <row r="4" spans="2:5" x14ac:dyDescent="0.45">
      <c r="B4" s="16" t="s">
        <v>5</v>
      </c>
      <c r="C4" s="149">
        <v>319666</v>
      </c>
      <c r="D4" s="150" t="s">
        <v>193</v>
      </c>
      <c r="E4" s="150" t="s">
        <v>194</v>
      </c>
    </row>
    <row r="5" spans="2:5" x14ac:dyDescent="0.45">
      <c r="B5" s="16" t="s">
        <v>62</v>
      </c>
      <c r="C5" s="149">
        <v>315650</v>
      </c>
      <c r="D5" s="150" t="s">
        <v>195</v>
      </c>
      <c r="E5" s="150" t="s">
        <v>196</v>
      </c>
    </row>
    <row r="6" spans="2:5" x14ac:dyDescent="0.45">
      <c r="B6" s="16" t="s">
        <v>6</v>
      </c>
      <c r="C6" s="149">
        <v>311194</v>
      </c>
      <c r="D6" s="150" t="s">
        <v>197</v>
      </c>
      <c r="E6" s="150" t="s">
        <v>198</v>
      </c>
    </row>
    <row r="7" spans="2:5" x14ac:dyDescent="0.45">
      <c r="B7" s="16" t="s">
        <v>7</v>
      </c>
      <c r="C7" s="149">
        <v>309730</v>
      </c>
      <c r="D7" s="150" t="s">
        <v>199</v>
      </c>
      <c r="E7" s="150" t="s">
        <v>200</v>
      </c>
    </row>
    <row r="8" spans="2:5" x14ac:dyDescent="0.45">
      <c r="B8" s="16" t="s">
        <v>12</v>
      </c>
      <c r="C8" s="149">
        <v>76390</v>
      </c>
      <c r="D8" s="150" t="s">
        <v>201</v>
      </c>
      <c r="E8" s="150" t="s">
        <v>202</v>
      </c>
    </row>
    <row r="9" spans="2:5" x14ac:dyDescent="0.45">
      <c r="B9" s="16" t="s">
        <v>13</v>
      </c>
      <c r="C9" s="149">
        <v>44074</v>
      </c>
      <c r="D9" s="150" t="s">
        <v>203</v>
      </c>
      <c r="E9" s="150" t="s">
        <v>204</v>
      </c>
    </row>
    <row r="10" spans="2:5" x14ac:dyDescent="0.45">
      <c r="B10" s="16" t="s">
        <v>14</v>
      </c>
      <c r="C10" s="149">
        <v>30695</v>
      </c>
      <c r="D10" s="150" t="s">
        <v>205</v>
      </c>
      <c r="E10" s="150" t="s">
        <v>206</v>
      </c>
    </row>
    <row r="11" spans="2:5" x14ac:dyDescent="0.45">
      <c r="B11" s="16" t="s">
        <v>15</v>
      </c>
      <c r="C11" s="149">
        <v>27781</v>
      </c>
      <c r="D11" s="150" t="s">
        <v>207</v>
      </c>
      <c r="E11" s="150" t="s">
        <v>208</v>
      </c>
    </row>
    <row r="12" spans="2:5" x14ac:dyDescent="0.45">
      <c r="B12" s="16" t="s">
        <v>16</v>
      </c>
      <c r="C12" s="149">
        <v>12362</v>
      </c>
      <c r="D12" s="150" t="s">
        <v>209</v>
      </c>
      <c r="E12" s="150" t="s">
        <v>210</v>
      </c>
    </row>
    <row r="13" spans="2:5" x14ac:dyDescent="0.45">
      <c r="B13" s="16" t="s">
        <v>17</v>
      </c>
      <c r="C13" s="149">
        <v>22506</v>
      </c>
      <c r="D13" s="150" t="s">
        <v>211</v>
      </c>
      <c r="E13" s="150" t="s">
        <v>212</v>
      </c>
    </row>
    <row r="14" spans="2:5" x14ac:dyDescent="0.45">
      <c r="B14" s="16" t="s">
        <v>61</v>
      </c>
      <c r="C14" s="149">
        <v>13248</v>
      </c>
      <c r="D14" s="150" t="s">
        <v>213</v>
      </c>
      <c r="E14" s="150" t="s">
        <v>214</v>
      </c>
    </row>
    <row r="15" spans="2:5" x14ac:dyDescent="0.45">
      <c r="B15" s="16" t="s">
        <v>18</v>
      </c>
      <c r="C15" s="149">
        <v>33377</v>
      </c>
      <c r="D15" s="150" t="s">
        <v>215</v>
      </c>
      <c r="E15" s="150" t="s">
        <v>216</v>
      </c>
    </row>
    <row r="16" spans="2:5" x14ac:dyDescent="0.45">
      <c r="B16" s="16" t="s">
        <v>19</v>
      </c>
      <c r="C16" s="149">
        <v>61879</v>
      </c>
      <c r="D16" s="150" t="s">
        <v>217</v>
      </c>
      <c r="E16" s="150" t="s">
        <v>218</v>
      </c>
    </row>
    <row r="17" spans="2:5" x14ac:dyDescent="0.45">
      <c r="B17" s="16" t="s">
        <v>60</v>
      </c>
      <c r="C17" s="149">
        <v>52811</v>
      </c>
      <c r="D17" s="150" t="s">
        <v>219</v>
      </c>
      <c r="E17" s="150" t="s">
        <v>220</v>
      </c>
    </row>
    <row r="18" spans="2:5" x14ac:dyDescent="0.45">
      <c r="B18" s="16" t="s">
        <v>20</v>
      </c>
      <c r="C18" s="149">
        <v>62070</v>
      </c>
      <c r="D18" s="150" t="s">
        <v>221</v>
      </c>
      <c r="E18" s="150" t="s">
        <v>222</v>
      </c>
    </row>
    <row r="19" spans="2:5" x14ac:dyDescent="0.45">
      <c r="B19" s="16" t="s">
        <v>21</v>
      </c>
      <c r="C19" s="149">
        <v>95229</v>
      </c>
      <c r="D19" s="150" t="s">
        <v>223</v>
      </c>
      <c r="E19" s="150" t="s">
        <v>224</v>
      </c>
    </row>
    <row r="20" spans="2:5" x14ac:dyDescent="0.45">
      <c r="B20" s="16" t="s">
        <v>22</v>
      </c>
      <c r="C20" s="149">
        <v>78306</v>
      </c>
      <c r="D20" s="150" t="s">
        <v>225</v>
      </c>
      <c r="E20" s="150" t="s">
        <v>226</v>
      </c>
    </row>
    <row r="21" spans="2:5" x14ac:dyDescent="0.45">
      <c r="B21" s="16" t="s">
        <v>73</v>
      </c>
      <c r="C21" s="149">
        <v>2261</v>
      </c>
      <c r="D21" s="150" t="s">
        <v>194</v>
      </c>
      <c r="E21" s="150" t="s">
        <v>227</v>
      </c>
    </row>
    <row r="22" spans="2:5" x14ac:dyDescent="0.45">
      <c r="B22" s="16" t="s">
        <v>74</v>
      </c>
      <c r="C22" s="149">
        <v>382</v>
      </c>
      <c r="D22" s="150" t="s">
        <v>228</v>
      </c>
      <c r="E22" s="150" t="s">
        <v>229</v>
      </c>
    </row>
    <row r="23" spans="2:5" x14ac:dyDescent="0.45">
      <c r="B23" s="16" t="s">
        <v>75</v>
      </c>
      <c r="C23" s="149">
        <v>548</v>
      </c>
      <c r="D23" s="150" t="s">
        <v>230</v>
      </c>
      <c r="E23" s="150" t="s">
        <v>231</v>
      </c>
    </row>
    <row r="24" spans="2:5" x14ac:dyDescent="0.45">
      <c r="B24" s="16" t="s">
        <v>76</v>
      </c>
      <c r="C24" s="149">
        <v>957</v>
      </c>
      <c r="D24" s="150" t="s">
        <v>232</v>
      </c>
      <c r="E24" s="150" t="s">
        <v>233</v>
      </c>
    </row>
    <row r="25" spans="2:5" x14ac:dyDescent="0.45">
      <c r="B25" s="16" t="s">
        <v>77</v>
      </c>
      <c r="C25" s="149">
        <v>64</v>
      </c>
      <c r="D25" s="150" t="s">
        <v>234</v>
      </c>
      <c r="E25" s="150" t="s">
        <v>235</v>
      </c>
    </row>
    <row r="26" spans="2:5" x14ac:dyDescent="0.45">
      <c r="B26" s="16" t="s">
        <v>78</v>
      </c>
      <c r="C26" s="149">
        <v>409</v>
      </c>
      <c r="D26" s="150" t="s">
        <v>236</v>
      </c>
      <c r="E26" s="150" t="s">
        <v>237</v>
      </c>
    </row>
    <row r="27" spans="2:5" x14ac:dyDescent="0.45">
      <c r="B27" s="16" t="s">
        <v>90</v>
      </c>
      <c r="C27" s="149">
        <v>363</v>
      </c>
      <c r="D27" s="150" t="s">
        <v>238</v>
      </c>
      <c r="E27" s="150" t="s">
        <v>239</v>
      </c>
    </row>
    <row r="28" spans="2:5" x14ac:dyDescent="0.45">
      <c r="B28" s="45" t="s">
        <v>91</v>
      </c>
      <c r="C28" s="149">
        <v>429</v>
      </c>
      <c r="D28" s="150" t="s">
        <v>240</v>
      </c>
      <c r="E28" s="150" t="s">
        <v>241</v>
      </c>
    </row>
    <row r="29" spans="2:5" x14ac:dyDescent="0.45">
      <c r="B29" s="45" t="s">
        <v>92</v>
      </c>
      <c r="C29" s="149">
        <v>227</v>
      </c>
      <c r="D29" s="150" t="s">
        <v>242</v>
      </c>
      <c r="E29" s="150" t="s">
        <v>243</v>
      </c>
    </row>
    <row r="30" spans="2:5" x14ac:dyDescent="0.45">
      <c r="B30" s="45" t="s">
        <v>94</v>
      </c>
      <c r="C30" s="149">
        <v>760</v>
      </c>
      <c r="D30" s="150" t="s">
        <v>244</v>
      </c>
      <c r="E30" s="150" t="s">
        <v>245</v>
      </c>
    </row>
    <row r="31" spans="2:5" x14ac:dyDescent="0.45">
      <c r="B31" s="45" t="s">
        <v>93</v>
      </c>
      <c r="C31" s="149">
        <v>644</v>
      </c>
      <c r="D31" s="150" t="s">
        <v>246</v>
      </c>
      <c r="E31" s="150" t="s">
        <v>247</v>
      </c>
    </row>
    <row r="32" spans="2:5" x14ac:dyDescent="0.45">
      <c r="B32" s="45" t="s">
        <v>95</v>
      </c>
      <c r="C32" s="149">
        <v>124</v>
      </c>
      <c r="D32" s="150" t="s">
        <v>248</v>
      </c>
      <c r="E32" s="150" t="s">
        <v>249</v>
      </c>
    </row>
    <row r="33" spans="2:5" x14ac:dyDescent="0.45">
      <c r="B33" s="45" t="s">
        <v>96</v>
      </c>
      <c r="C33" s="149">
        <v>59</v>
      </c>
      <c r="D33" s="150" t="s">
        <v>250</v>
      </c>
      <c r="E33" s="150" t="s">
        <v>251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표점증발병합_및_복사영역선택">
                <anchor moveWithCells="1" sizeWithCells="1">
                  <from>
                    <xdr:col>6</xdr:col>
                    <xdr:colOff>323850</xdr:colOff>
                    <xdr:row>4</xdr:row>
                    <xdr:rowOff>107950</xdr:rowOff>
                  </from>
                  <to>
                    <xdr:col>9</xdr:col>
                    <xdr:colOff>88900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BFFD9-ECD1-4F20-92E4-14F247EF20FA}">
  <sheetPr codeName="Sheet2"/>
  <dimension ref="A3:V273"/>
  <sheetViews>
    <sheetView topLeftCell="A205" workbookViewId="0">
      <selection activeCell="C4" sqref="C4:D273"/>
    </sheetView>
  </sheetViews>
  <sheetFormatPr defaultRowHeight="17" x14ac:dyDescent="0.45"/>
  <cols>
    <col min="2" max="2" width="12.58203125" customWidth="1"/>
    <col min="3" max="3" width="18" customWidth="1"/>
    <col min="4" max="4" width="15.6640625" customWidth="1"/>
    <col min="5" max="22" width="12.58203125" customWidth="1"/>
  </cols>
  <sheetData>
    <row r="3" spans="1:22" x14ac:dyDescent="0.45">
      <c r="C3" s="167" t="s">
        <v>58</v>
      </c>
      <c r="D3" s="167"/>
      <c r="E3" s="1"/>
      <c r="F3" s="1"/>
      <c r="G3" s="1"/>
      <c r="H3" s="1"/>
      <c r="I3" s="1"/>
      <c r="J3" s="1"/>
      <c r="K3" s="1"/>
      <c r="L3" s="1"/>
      <c r="M3" s="1"/>
      <c r="N3" s="1"/>
      <c r="O3" s="1" t="s">
        <v>26</v>
      </c>
      <c r="P3" s="1" t="s">
        <v>20</v>
      </c>
      <c r="Q3" s="1" t="s">
        <v>21</v>
      </c>
      <c r="R3" s="1" t="s">
        <v>22</v>
      </c>
      <c r="S3" s="1" t="s">
        <v>27</v>
      </c>
      <c r="T3" s="1" t="s">
        <v>23</v>
      </c>
      <c r="U3" s="1" t="s">
        <v>24</v>
      </c>
      <c r="V3" s="1" t="s">
        <v>25</v>
      </c>
    </row>
    <row r="4" spans="1:22" x14ac:dyDescent="0.45">
      <c r="A4" t="s">
        <v>46</v>
      </c>
      <c r="B4" s="1" t="s">
        <v>28</v>
      </c>
      <c r="C4" s="151">
        <v>136</v>
      </c>
      <c r="D4" s="149">
        <v>13944</v>
      </c>
    </row>
    <row r="5" spans="1:22" x14ac:dyDescent="0.45">
      <c r="B5" s="1" t="s">
        <v>29</v>
      </c>
      <c r="C5" s="151">
        <v>127</v>
      </c>
      <c r="D5" s="149">
        <v>24374</v>
      </c>
    </row>
    <row r="6" spans="1:22" x14ac:dyDescent="0.45">
      <c r="B6" s="1" t="s">
        <v>30</v>
      </c>
      <c r="C6" s="151">
        <v>117</v>
      </c>
      <c r="D6" s="149">
        <v>35469</v>
      </c>
    </row>
    <row r="7" spans="1:22" x14ac:dyDescent="0.45">
      <c r="B7" s="1" t="s">
        <v>31</v>
      </c>
      <c r="C7" s="151">
        <v>105</v>
      </c>
      <c r="D7" s="149">
        <v>56875</v>
      </c>
    </row>
    <row r="8" spans="1:22" x14ac:dyDescent="0.45">
      <c r="B8" s="1" t="s">
        <v>32</v>
      </c>
      <c r="C8" s="151">
        <v>92</v>
      </c>
      <c r="D8" s="149">
        <v>66265</v>
      </c>
    </row>
    <row r="9" spans="1:22" x14ac:dyDescent="0.45">
      <c r="B9" s="1" t="s">
        <v>33</v>
      </c>
      <c r="C9" s="151">
        <v>84</v>
      </c>
      <c r="D9" s="149">
        <v>50590</v>
      </c>
    </row>
    <row r="10" spans="1:22" x14ac:dyDescent="0.45">
      <c r="B10" s="1" t="s">
        <v>34</v>
      </c>
      <c r="C10" s="151">
        <v>75</v>
      </c>
      <c r="D10" s="149">
        <v>37445</v>
      </c>
    </row>
    <row r="11" spans="1:22" x14ac:dyDescent="0.45">
      <c r="B11" s="1" t="s">
        <v>35</v>
      </c>
      <c r="C11" s="151">
        <v>70</v>
      </c>
      <c r="D11" s="149">
        <v>25849</v>
      </c>
    </row>
    <row r="12" spans="1:22" x14ac:dyDescent="0.45">
      <c r="B12" s="1" t="s">
        <v>37</v>
      </c>
      <c r="C12" s="151">
        <v>57</v>
      </c>
      <c r="D12" s="149">
        <v>8855</v>
      </c>
    </row>
    <row r="13" spans="1:22" x14ac:dyDescent="0.45">
      <c r="A13" t="s">
        <v>64</v>
      </c>
      <c r="B13" s="1" t="s">
        <v>38</v>
      </c>
      <c r="C13" s="151">
        <v>141</v>
      </c>
      <c r="D13" s="149">
        <v>12857</v>
      </c>
    </row>
    <row r="14" spans="1:22" x14ac:dyDescent="0.45">
      <c r="B14" s="1" t="s">
        <v>39</v>
      </c>
      <c r="C14" s="151">
        <v>129</v>
      </c>
      <c r="D14" s="149">
        <v>24143</v>
      </c>
    </row>
    <row r="15" spans="1:22" x14ac:dyDescent="0.45">
      <c r="B15" s="1" t="s">
        <v>40</v>
      </c>
      <c r="C15" s="151">
        <v>116</v>
      </c>
      <c r="D15" s="149">
        <v>36394</v>
      </c>
    </row>
    <row r="16" spans="1:22" x14ac:dyDescent="0.45">
      <c r="B16" s="1" t="s">
        <v>41</v>
      </c>
      <c r="C16" s="151">
        <v>102</v>
      </c>
      <c r="D16" s="149">
        <v>56698</v>
      </c>
    </row>
    <row r="17" spans="1:4" x14ac:dyDescent="0.45">
      <c r="B17" s="1" t="s">
        <v>42</v>
      </c>
      <c r="C17" s="151">
        <v>89</v>
      </c>
      <c r="D17" s="149">
        <v>61781</v>
      </c>
    </row>
    <row r="18" spans="1:4" x14ac:dyDescent="0.45">
      <c r="B18" s="1" t="s">
        <v>43</v>
      </c>
      <c r="C18" s="151">
        <v>82</v>
      </c>
      <c r="D18" s="149">
        <v>62984</v>
      </c>
    </row>
    <row r="19" spans="1:4" x14ac:dyDescent="0.45">
      <c r="B19" s="1" t="s">
        <v>44</v>
      </c>
      <c r="C19" s="151">
        <v>80</v>
      </c>
      <c r="D19" s="149">
        <v>32084</v>
      </c>
    </row>
    <row r="20" spans="1:4" x14ac:dyDescent="0.45">
      <c r="B20" s="1" t="s">
        <v>45</v>
      </c>
      <c r="C20" s="151">
        <v>76</v>
      </c>
      <c r="D20" s="149">
        <v>17479</v>
      </c>
    </row>
    <row r="21" spans="1:4" x14ac:dyDescent="0.45">
      <c r="B21" s="1" t="s">
        <v>36</v>
      </c>
      <c r="C21" s="151">
        <v>68</v>
      </c>
      <c r="D21" s="149">
        <v>11230</v>
      </c>
    </row>
    <row r="22" spans="1:4" x14ac:dyDescent="0.45">
      <c r="A22" t="s">
        <v>65</v>
      </c>
      <c r="B22" s="1" t="s">
        <v>28</v>
      </c>
      <c r="C22" s="151">
        <v>90</v>
      </c>
      <c r="D22" s="149">
        <v>7203</v>
      </c>
    </row>
    <row r="23" spans="1:4" x14ac:dyDescent="0.45">
      <c r="B23" s="1" t="s">
        <v>29</v>
      </c>
      <c r="C23" s="151">
        <v>80</v>
      </c>
      <c r="D23" s="149">
        <v>21753</v>
      </c>
    </row>
    <row r="24" spans="1:4" x14ac:dyDescent="0.45">
      <c r="B24" s="1" t="s">
        <v>30</v>
      </c>
      <c r="C24" s="151">
        <v>70</v>
      </c>
      <c r="D24" s="149">
        <v>45491</v>
      </c>
    </row>
    <row r="25" spans="1:4" x14ac:dyDescent="0.45">
      <c r="B25" s="1" t="s">
        <v>31</v>
      </c>
      <c r="C25" s="151">
        <v>60</v>
      </c>
      <c r="D25" s="149">
        <v>58589</v>
      </c>
    </row>
    <row r="26" spans="1:4" x14ac:dyDescent="0.45">
      <c r="B26" s="1" t="s">
        <v>32</v>
      </c>
      <c r="C26" s="151">
        <v>50</v>
      </c>
      <c r="D26" s="149">
        <v>47864</v>
      </c>
    </row>
    <row r="27" spans="1:4" x14ac:dyDescent="0.45">
      <c r="B27" s="1" t="s">
        <v>33</v>
      </c>
      <c r="C27" s="151">
        <v>40</v>
      </c>
      <c r="D27" s="149">
        <v>38472</v>
      </c>
    </row>
    <row r="28" spans="1:4" x14ac:dyDescent="0.45">
      <c r="B28" s="1" t="s">
        <v>34</v>
      </c>
      <c r="C28" s="151">
        <v>30</v>
      </c>
      <c r="D28" s="149">
        <v>34028</v>
      </c>
    </row>
    <row r="29" spans="1:4" x14ac:dyDescent="0.45">
      <c r="B29" s="1" t="s">
        <v>35</v>
      </c>
      <c r="C29" s="151">
        <v>20</v>
      </c>
      <c r="D29" s="149">
        <v>33855</v>
      </c>
    </row>
    <row r="30" spans="1:4" x14ac:dyDescent="0.45">
      <c r="B30" s="1" t="s">
        <v>37</v>
      </c>
      <c r="C30" s="151">
        <v>0</v>
      </c>
      <c r="D30" s="149">
        <v>23939</v>
      </c>
    </row>
    <row r="31" spans="1:4" x14ac:dyDescent="0.45">
      <c r="A31" t="s">
        <v>66</v>
      </c>
      <c r="B31" s="1" t="s">
        <v>28</v>
      </c>
      <c r="C31" s="151">
        <v>40</v>
      </c>
      <c r="D31" s="149">
        <v>39014</v>
      </c>
    </row>
    <row r="32" spans="1:4" x14ac:dyDescent="0.45">
      <c r="B32" s="1" t="s">
        <v>29</v>
      </c>
      <c r="C32" s="151">
        <v>35</v>
      </c>
      <c r="D32" s="149">
        <v>28459</v>
      </c>
    </row>
    <row r="33" spans="1:4" x14ac:dyDescent="0.45">
      <c r="B33" s="1" t="s">
        <v>30</v>
      </c>
      <c r="C33" s="151">
        <v>30</v>
      </c>
      <c r="D33" s="149">
        <v>36670</v>
      </c>
    </row>
    <row r="34" spans="1:4" x14ac:dyDescent="0.45">
      <c r="B34" s="1" t="s">
        <v>31</v>
      </c>
      <c r="C34" s="151">
        <v>25</v>
      </c>
      <c r="D34" s="149">
        <v>42436</v>
      </c>
    </row>
    <row r="35" spans="1:4" x14ac:dyDescent="0.45">
      <c r="B35" s="1" t="s">
        <v>32</v>
      </c>
      <c r="C35" s="151">
        <v>20</v>
      </c>
      <c r="D35" s="149">
        <v>41628</v>
      </c>
    </row>
    <row r="36" spans="1:4" x14ac:dyDescent="0.45">
      <c r="B36" s="1" t="s">
        <v>33</v>
      </c>
      <c r="C36" s="151">
        <v>15</v>
      </c>
      <c r="D36" s="149">
        <v>38057</v>
      </c>
    </row>
    <row r="37" spans="1:4" x14ac:dyDescent="0.45">
      <c r="B37" s="1" t="s">
        <v>34</v>
      </c>
      <c r="C37" s="151">
        <v>10</v>
      </c>
      <c r="D37" s="149">
        <v>45778</v>
      </c>
    </row>
    <row r="38" spans="1:4" x14ac:dyDescent="0.45">
      <c r="B38" s="1" t="s">
        <v>35</v>
      </c>
      <c r="C38" s="151">
        <v>5</v>
      </c>
      <c r="D38" s="149">
        <v>32383</v>
      </c>
    </row>
    <row r="39" spans="1:4" x14ac:dyDescent="0.45">
      <c r="B39" s="1" t="s">
        <v>37</v>
      </c>
      <c r="C39" s="151">
        <v>0</v>
      </c>
      <c r="D39" s="149">
        <v>5305</v>
      </c>
    </row>
    <row r="40" spans="1:4" x14ac:dyDescent="0.45">
      <c r="A40" t="s">
        <v>47</v>
      </c>
      <c r="B40" s="1" t="s">
        <v>38</v>
      </c>
      <c r="C40" s="151">
        <v>67</v>
      </c>
      <c r="D40" s="149">
        <v>3115</v>
      </c>
    </row>
    <row r="41" spans="1:4" x14ac:dyDescent="0.45">
      <c r="B41" s="1" t="s">
        <v>39</v>
      </c>
      <c r="C41" s="151">
        <v>63</v>
      </c>
      <c r="D41" s="149">
        <v>5615</v>
      </c>
    </row>
    <row r="42" spans="1:4" x14ac:dyDescent="0.45">
      <c r="B42" s="1" t="s">
        <v>40</v>
      </c>
      <c r="C42" s="151">
        <v>59</v>
      </c>
      <c r="D42" s="149">
        <v>9557</v>
      </c>
    </row>
    <row r="43" spans="1:4" x14ac:dyDescent="0.45">
      <c r="B43" s="1" t="s">
        <v>41</v>
      </c>
      <c r="C43" s="151">
        <v>54</v>
      </c>
      <c r="D43" s="149">
        <v>13999</v>
      </c>
    </row>
    <row r="44" spans="1:4" x14ac:dyDescent="0.45">
      <c r="B44" s="1" t="s">
        <v>42</v>
      </c>
      <c r="C44" s="151">
        <v>48</v>
      </c>
      <c r="D44" s="149">
        <v>13648</v>
      </c>
    </row>
    <row r="45" spans="1:4" x14ac:dyDescent="0.45">
      <c r="B45" s="1" t="s">
        <v>43</v>
      </c>
      <c r="C45" s="151">
        <v>39</v>
      </c>
      <c r="D45" s="149">
        <v>18662</v>
      </c>
    </row>
    <row r="46" spans="1:4" x14ac:dyDescent="0.45">
      <c r="B46" s="1" t="s">
        <v>44</v>
      </c>
      <c r="C46" s="151">
        <v>36</v>
      </c>
      <c r="D46" s="149">
        <v>6578</v>
      </c>
    </row>
    <row r="47" spans="1:4" x14ac:dyDescent="0.45">
      <c r="B47" s="1" t="s">
        <v>45</v>
      </c>
      <c r="C47" s="151">
        <v>34</v>
      </c>
      <c r="D47" s="149">
        <v>2416</v>
      </c>
    </row>
    <row r="48" spans="1:4" x14ac:dyDescent="0.45">
      <c r="B48" s="1" t="s">
        <v>36</v>
      </c>
      <c r="C48" s="151">
        <v>28</v>
      </c>
      <c r="D48" s="149">
        <v>2800</v>
      </c>
    </row>
    <row r="49" spans="1:4" x14ac:dyDescent="0.45">
      <c r="A49" t="s">
        <v>48</v>
      </c>
      <c r="B49" s="1" t="s">
        <v>28</v>
      </c>
      <c r="C49" s="151">
        <v>70</v>
      </c>
      <c r="D49" s="149">
        <v>2044</v>
      </c>
    </row>
    <row r="50" spans="1:4" x14ac:dyDescent="0.45">
      <c r="B50" s="1" t="s">
        <v>29</v>
      </c>
      <c r="C50" s="151">
        <v>64</v>
      </c>
      <c r="D50" s="149">
        <v>2837</v>
      </c>
    </row>
    <row r="51" spans="1:4" x14ac:dyDescent="0.45">
      <c r="B51" s="1" t="s">
        <v>30</v>
      </c>
      <c r="C51" s="151">
        <v>57</v>
      </c>
      <c r="D51" s="149">
        <v>5744</v>
      </c>
    </row>
    <row r="52" spans="1:4" x14ac:dyDescent="0.45">
      <c r="B52" s="1" t="s">
        <v>31</v>
      </c>
      <c r="C52" s="151">
        <v>51</v>
      </c>
      <c r="D52" s="149">
        <v>7769</v>
      </c>
    </row>
    <row r="53" spans="1:4" x14ac:dyDescent="0.45">
      <c r="B53" s="1" t="s">
        <v>32</v>
      </c>
      <c r="C53" s="151">
        <v>46</v>
      </c>
      <c r="D53" s="149">
        <v>10232</v>
      </c>
    </row>
    <row r="54" spans="1:4" x14ac:dyDescent="0.45">
      <c r="B54" s="1" t="s">
        <v>33</v>
      </c>
      <c r="C54" s="151">
        <v>42</v>
      </c>
      <c r="D54" s="149">
        <v>5762</v>
      </c>
    </row>
    <row r="55" spans="1:4" x14ac:dyDescent="0.45">
      <c r="B55" s="1" t="s">
        <v>34</v>
      </c>
      <c r="C55" s="151">
        <v>39</v>
      </c>
      <c r="D55" s="149">
        <v>6059</v>
      </c>
    </row>
    <row r="56" spans="1:4" x14ac:dyDescent="0.45">
      <c r="B56" s="1" t="s">
        <v>35</v>
      </c>
      <c r="C56" s="151">
        <v>37</v>
      </c>
      <c r="D56" s="149">
        <v>1965</v>
      </c>
    </row>
    <row r="57" spans="1:4" x14ac:dyDescent="0.45">
      <c r="B57" s="1" t="s">
        <v>37</v>
      </c>
      <c r="C57" s="151">
        <v>30</v>
      </c>
      <c r="D57" s="149">
        <v>1662</v>
      </c>
    </row>
    <row r="58" spans="1:4" x14ac:dyDescent="0.45">
      <c r="A58" t="s">
        <v>49</v>
      </c>
      <c r="B58" s="1" t="s">
        <v>38</v>
      </c>
      <c r="C58" s="151">
        <v>69</v>
      </c>
      <c r="D58" s="149">
        <v>1374</v>
      </c>
    </row>
    <row r="59" spans="1:4" x14ac:dyDescent="0.45">
      <c r="B59" s="1" t="s">
        <v>39</v>
      </c>
      <c r="C59" s="151">
        <v>63</v>
      </c>
      <c r="D59" s="149">
        <v>2823</v>
      </c>
    </row>
    <row r="60" spans="1:4" x14ac:dyDescent="0.45">
      <c r="B60" s="1" t="s">
        <v>40</v>
      </c>
      <c r="C60" s="151">
        <v>58</v>
      </c>
      <c r="D60" s="149">
        <v>3172</v>
      </c>
    </row>
    <row r="61" spans="1:4" x14ac:dyDescent="0.45">
      <c r="B61" s="1" t="s">
        <v>41</v>
      </c>
      <c r="C61" s="151">
        <v>53</v>
      </c>
      <c r="D61" s="149">
        <v>4983</v>
      </c>
    </row>
    <row r="62" spans="1:4" x14ac:dyDescent="0.45">
      <c r="B62" s="1" t="s">
        <v>42</v>
      </c>
      <c r="C62" s="151">
        <v>46</v>
      </c>
      <c r="D62" s="149">
        <v>6708</v>
      </c>
    </row>
    <row r="63" spans="1:4" x14ac:dyDescent="0.45">
      <c r="B63" s="1" t="s">
        <v>43</v>
      </c>
      <c r="C63" s="151">
        <v>40</v>
      </c>
      <c r="D63" s="149">
        <v>5185</v>
      </c>
    </row>
    <row r="64" spans="1:4" x14ac:dyDescent="0.45">
      <c r="B64" s="1" t="s">
        <v>44</v>
      </c>
      <c r="C64" s="151">
        <v>38</v>
      </c>
      <c r="D64" s="149">
        <v>4082</v>
      </c>
    </row>
    <row r="65" spans="1:4" x14ac:dyDescent="0.45">
      <c r="B65" s="1" t="s">
        <v>45</v>
      </c>
      <c r="C65" s="151">
        <v>36</v>
      </c>
      <c r="D65" s="149">
        <v>1163</v>
      </c>
    </row>
    <row r="66" spans="1:4" x14ac:dyDescent="0.45">
      <c r="B66" s="1" t="s">
        <v>36</v>
      </c>
      <c r="C66" s="151">
        <v>29</v>
      </c>
      <c r="D66" s="149">
        <v>1205</v>
      </c>
    </row>
    <row r="67" spans="1:4" x14ac:dyDescent="0.45">
      <c r="A67" t="s">
        <v>50</v>
      </c>
      <c r="B67" s="1" t="s">
        <v>28</v>
      </c>
      <c r="C67" s="151">
        <v>69</v>
      </c>
      <c r="D67" s="149">
        <v>1279</v>
      </c>
    </row>
    <row r="68" spans="1:4" x14ac:dyDescent="0.45">
      <c r="B68" s="1" t="s">
        <v>29</v>
      </c>
      <c r="C68" s="151">
        <v>64</v>
      </c>
      <c r="D68" s="149">
        <v>2043</v>
      </c>
    </row>
    <row r="69" spans="1:4" x14ac:dyDescent="0.45">
      <c r="B69" s="1" t="s">
        <v>30</v>
      </c>
      <c r="C69" s="151">
        <v>58</v>
      </c>
      <c r="D69" s="149">
        <v>3461</v>
      </c>
    </row>
    <row r="70" spans="1:4" x14ac:dyDescent="0.45">
      <c r="B70" s="1" t="s">
        <v>31</v>
      </c>
      <c r="C70" s="151">
        <v>52</v>
      </c>
      <c r="D70" s="149">
        <v>4941</v>
      </c>
    </row>
    <row r="71" spans="1:4" x14ac:dyDescent="0.45">
      <c r="B71" s="1" t="s">
        <v>32</v>
      </c>
      <c r="C71" s="151">
        <v>46</v>
      </c>
      <c r="D71" s="149">
        <v>5199</v>
      </c>
    </row>
    <row r="72" spans="1:4" x14ac:dyDescent="0.45">
      <c r="B72" s="1" t="s">
        <v>33</v>
      </c>
      <c r="C72" s="151">
        <v>41</v>
      </c>
      <c r="D72" s="149">
        <v>4774</v>
      </c>
    </row>
    <row r="73" spans="1:4" x14ac:dyDescent="0.45">
      <c r="B73" s="1" t="s">
        <v>34</v>
      </c>
      <c r="C73" s="151">
        <v>37</v>
      </c>
      <c r="D73" s="149">
        <v>5011</v>
      </c>
    </row>
    <row r="74" spans="1:4" x14ac:dyDescent="0.45">
      <c r="B74" s="1" t="s">
        <v>35</v>
      </c>
      <c r="C74" s="151">
        <v>37</v>
      </c>
      <c r="D74" s="149">
        <v>0</v>
      </c>
    </row>
    <row r="75" spans="1:4" x14ac:dyDescent="0.45">
      <c r="B75" s="1" t="s">
        <v>37</v>
      </c>
      <c r="C75" s="151">
        <v>29</v>
      </c>
      <c r="D75" s="149">
        <v>1073</v>
      </c>
    </row>
    <row r="76" spans="1:4" x14ac:dyDescent="0.45">
      <c r="A76" t="s">
        <v>51</v>
      </c>
      <c r="B76" s="1" t="s">
        <v>38</v>
      </c>
      <c r="C76" s="151">
        <v>71</v>
      </c>
      <c r="D76" s="149">
        <v>499</v>
      </c>
    </row>
    <row r="77" spans="1:4" x14ac:dyDescent="0.45">
      <c r="B77" s="1" t="s">
        <v>39</v>
      </c>
      <c r="C77" s="151">
        <v>65</v>
      </c>
      <c r="D77" s="149">
        <v>1022</v>
      </c>
    </row>
    <row r="78" spans="1:4" x14ac:dyDescent="0.45">
      <c r="B78" s="1" t="s">
        <v>40</v>
      </c>
      <c r="C78" s="151">
        <v>58</v>
      </c>
      <c r="D78" s="149">
        <v>1443</v>
      </c>
    </row>
    <row r="79" spans="1:4" x14ac:dyDescent="0.45">
      <c r="B79" s="1" t="s">
        <v>41</v>
      </c>
      <c r="C79" s="151">
        <v>51</v>
      </c>
      <c r="D79" s="149">
        <v>2010</v>
      </c>
    </row>
    <row r="80" spans="1:4" x14ac:dyDescent="0.45">
      <c r="B80" s="1" t="s">
        <v>42</v>
      </c>
      <c r="C80" s="151">
        <v>45</v>
      </c>
      <c r="D80" s="149">
        <v>2506</v>
      </c>
    </row>
    <row r="81" spans="1:4" x14ac:dyDescent="0.45">
      <c r="B81" s="1" t="s">
        <v>43</v>
      </c>
      <c r="C81" s="151">
        <v>41</v>
      </c>
      <c r="D81" s="149">
        <v>2912</v>
      </c>
    </row>
    <row r="82" spans="1:4" x14ac:dyDescent="0.45">
      <c r="B82" s="1" t="s">
        <v>44</v>
      </c>
      <c r="C82" s="151">
        <v>40</v>
      </c>
      <c r="D82" s="149">
        <v>943</v>
      </c>
    </row>
    <row r="83" spans="1:4" x14ac:dyDescent="0.45">
      <c r="B83" s="1" t="s">
        <v>45</v>
      </c>
      <c r="C83" s="151">
        <v>38</v>
      </c>
      <c r="D83" s="149">
        <v>534</v>
      </c>
    </row>
    <row r="84" spans="1:4" x14ac:dyDescent="0.45">
      <c r="B84" s="1" t="s">
        <v>36</v>
      </c>
      <c r="C84" s="151">
        <v>33</v>
      </c>
      <c r="D84" s="149">
        <v>493</v>
      </c>
    </row>
    <row r="85" spans="1:4" x14ac:dyDescent="0.45">
      <c r="A85" t="s">
        <v>50</v>
      </c>
      <c r="B85" s="1" t="s">
        <v>28</v>
      </c>
      <c r="C85" s="151">
        <v>71</v>
      </c>
      <c r="D85" s="149">
        <v>992</v>
      </c>
    </row>
    <row r="86" spans="1:4" x14ac:dyDescent="0.45">
      <c r="B86" s="1" t="s">
        <v>29</v>
      </c>
      <c r="C86" s="151">
        <v>64</v>
      </c>
      <c r="D86" s="149">
        <v>1690</v>
      </c>
    </row>
    <row r="87" spans="1:4" x14ac:dyDescent="0.45">
      <c r="B87" s="1" t="s">
        <v>30</v>
      </c>
      <c r="C87" s="151">
        <v>57</v>
      </c>
      <c r="D87" s="149">
        <v>3204</v>
      </c>
    </row>
    <row r="88" spans="1:4" x14ac:dyDescent="0.45">
      <c r="B88" s="1" t="s">
        <v>31</v>
      </c>
      <c r="C88" s="151">
        <v>51</v>
      </c>
      <c r="D88" s="149">
        <v>3567</v>
      </c>
    </row>
    <row r="89" spans="1:4" x14ac:dyDescent="0.45">
      <c r="B89" s="1" t="s">
        <v>32</v>
      </c>
      <c r="C89" s="151">
        <v>45</v>
      </c>
      <c r="D89" s="149">
        <v>4544</v>
      </c>
    </row>
    <row r="90" spans="1:4" x14ac:dyDescent="0.45">
      <c r="B90" s="1" t="s">
        <v>33</v>
      </c>
      <c r="C90" s="151">
        <v>42</v>
      </c>
      <c r="D90" s="149">
        <v>3564</v>
      </c>
    </row>
    <row r="91" spans="1:4" x14ac:dyDescent="0.45">
      <c r="B91" s="1" t="s">
        <v>34</v>
      </c>
      <c r="C91" s="151">
        <v>39</v>
      </c>
      <c r="D91" s="149">
        <v>3819</v>
      </c>
    </row>
    <row r="92" spans="1:4" x14ac:dyDescent="0.45">
      <c r="B92" s="1" t="s">
        <v>35</v>
      </c>
      <c r="C92" s="151">
        <v>38</v>
      </c>
      <c r="D92" s="149">
        <v>356</v>
      </c>
    </row>
    <row r="93" spans="1:4" x14ac:dyDescent="0.45">
      <c r="B93" s="1" t="s">
        <v>37</v>
      </c>
      <c r="C93" s="151">
        <v>33</v>
      </c>
      <c r="D93" s="149">
        <v>770</v>
      </c>
    </row>
    <row r="94" spans="1:4" x14ac:dyDescent="0.45">
      <c r="A94" t="s">
        <v>63</v>
      </c>
      <c r="B94" s="1" t="s">
        <v>38</v>
      </c>
      <c r="C94" s="151">
        <v>70</v>
      </c>
      <c r="D94" s="149">
        <v>537</v>
      </c>
    </row>
    <row r="95" spans="1:4" x14ac:dyDescent="0.45">
      <c r="B95" s="1" t="s">
        <v>39</v>
      </c>
      <c r="C95" s="151">
        <v>64</v>
      </c>
      <c r="D95" s="149">
        <v>1289</v>
      </c>
    </row>
    <row r="96" spans="1:4" x14ac:dyDescent="0.45">
      <c r="B96" s="1" t="s">
        <v>40</v>
      </c>
      <c r="C96" s="151">
        <v>59</v>
      </c>
      <c r="D96" s="149">
        <v>1287</v>
      </c>
    </row>
    <row r="97" spans="1:4" x14ac:dyDescent="0.45">
      <c r="B97" s="1" t="s">
        <v>41</v>
      </c>
      <c r="C97" s="151">
        <v>52</v>
      </c>
      <c r="D97" s="149">
        <v>2269</v>
      </c>
    </row>
    <row r="98" spans="1:4" x14ac:dyDescent="0.45">
      <c r="B98" s="1" t="s">
        <v>42</v>
      </c>
      <c r="C98" s="151">
        <v>44</v>
      </c>
      <c r="D98" s="149">
        <v>3206</v>
      </c>
    </row>
    <row r="99" spans="1:4" x14ac:dyDescent="0.45">
      <c r="B99" s="1" t="s">
        <v>43</v>
      </c>
      <c r="C99" s="151">
        <v>41</v>
      </c>
      <c r="D99" s="149">
        <v>1818</v>
      </c>
    </row>
    <row r="100" spans="1:4" x14ac:dyDescent="0.45">
      <c r="B100" s="1" t="s">
        <v>44</v>
      </c>
      <c r="C100" s="151">
        <v>40</v>
      </c>
      <c r="D100" s="149">
        <v>1727</v>
      </c>
    </row>
    <row r="101" spans="1:4" x14ac:dyDescent="0.45">
      <c r="B101" s="1" t="s">
        <v>45</v>
      </c>
      <c r="C101" s="151">
        <v>37</v>
      </c>
      <c r="D101" s="149">
        <v>683</v>
      </c>
    </row>
    <row r="102" spans="1:4" x14ac:dyDescent="0.45">
      <c r="B102" s="1" t="s">
        <v>36</v>
      </c>
      <c r="C102" s="151">
        <v>32</v>
      </c>
      <c r="D102" s="149">
        <v>432</v>
      </c>
    </row>
    <row r="103" spans="1:4" x14ac:dyDescent="0.45">
      <c r="A103" t="s">
        <v>52</v>
      </c>
      <c r="B103" s="1" t="s">
        <v>28</v>
      </c>
      <c r="C103" s="151">
        <v>68</v>
      </c>
      <c r="D103" s="149">
        <v>1701</v>
      </c>
    </row>
    <row r="104" spans="1:4" x14ac:dyDescent="0.45">
      <c r="B104" s="1" t="s">
        <v>29</v>
      </c>
      <c r="C104" s="151">
        <v>64</v>
      </c>
      <c r="D104" s="149">
        <v>2403</v>
      </c>
    </row>
    <row r="105" spans="1:4" x14ac:dyDescent="0.45">
      <c r="B105" s="1" t="s">
        <v>30</v>
      </c>
      <c r="C105" s="151">
        <v>59</v>
      </c>
      <c r="D105" s="149">
        <v>3723</v>
      </c>
    </row>
    <row r="106" spans="1:4" x14ac:dyDescent="0.45">
      <c r="B106" s="1" t="s">
        <v>31</v>
      </c>
      <c r="C106" s="151">
        <v>53</v>
      </c>
      <c r="D106" s="149">
        <v>5785</v>
      </c>
    </row>
    <row r="107" spans="1:4" x14ac:dyDescent="0.45">
      <c r="B107" s="1" t="s">
        <v>32</v>
      </c>
      <c r="C107" s="151">
        <v>45</v>
      </c>
      <c r="D107" s="149">
        <v>7458</v>
      </c>
    </row>
    <row r="108" spans="1:4" x14ac:dyDescent="0.45">
      <c r="B108" s="1" t="s">
        <v>33</v>
      </c>
      <c r="C108" s="151">
        <v>40</v>
      </c>
      <c r="D108" s="149">
        <v>5363</v>
      </c>
    </row>
    <row r="109" spans="1:4" x14ac:dyDescent="0.45">
      <c r="B109" s="1" t="s">
        <v>34</v>
      </c>
      <c r="C109" s="151">
        <v>38</v>
      </c>
      <c r="D109" s="149">
        <v>3815</v>
      </c>
    </row>
    <row r="110" spans="1:4" x14ac:dyDescent="0.45">
      <c r="B110" s="1" t="s">
        <v>35</v>
      </c>
      <c r="C110" s="151">
        <v>37</v>
      </c>
      <c r="D110" s="149">
        <v>1913</v>
      </c>
    </row>
    <row r="111" spans="1:4" x14ac:dyDescent="0.45">
      <c r="B111" s="1" t="s">
        <v>37</v>
      </c>
      <c r="C111" s="151">
        <v>31</v>
      </c>
      <c r="D111" s="149">
        <v>1216</v>
      </c>
    </row>
    <row r="112" spans="1:4" x14ac:dyDescent="0.45">
      <c r="A112" t="s">
        <v>53</v>
      </c>
      <c r="B112" s="1" t="s">
        <v>38</v>
      </c>
      <c r="C112" s="151">
        <v>67</v>
      </c>
      <c r="D112" s="149">
        <v>3578</v>
      </c>
    </row>
    <row r="113" spans="1:4" x14ac:dyDescent="0.45">
      <c r="B113" s="1" t="s">
        <v>39</v>
      </c>
      <c r="C113" s="151">
        <v>63</v>
      </c>
      <c r="D113" s="149">
        <v>5190</v>
      </c>
    </row>
    <row r="114" spans="1:4" x14ac:dyDescent="0.45">
      <c r="B114" s="1" t="s">
        <v>40</v>
      </c>
      <c r="C114" s="151">
        <v>59</v>
      </c>
      <c r="D114" s="149">
        <v>6109</v>
      </c>
    </row>
    <row r="115" spans="1:4" x14ac:dyDescent="0.45">
      <c r="B115" s="1" t="s">
        <v>41</v>
      </c>
      <c r="C115" s="151">
        <v>53</v>
      </c>
      <c r="D115" s="149">
        <v>10532</v>
      </c>
    </row>
    <row r="116" spans="1:4" x14ac:dyDescent="0.45">
      <c r="B116" s="1" t="s">
        <v>42</v>
      </c>
      <c r="C116" s="151">
        <v>46</v>
      </c>
      <c r="D116" s="149">
        <v>12140</v>
      </c>
    </row>
    <row r="117" spans="1:4" x14ac:dyDescent="0.45">
      <c r="B117" s="1" t="s">
        <v>43</v>
      </c>
      <c r="C117" s="151">
        <v>40</v>
      </c>
      <c r="D117" s="149">
        <v>10239</v>
      </c>
    </row>
    <row r="118" spans="1:4" x14ac:dyDescent="0.45">
      <c r="B118" s="1" t="s">
        <v>44</v>
      </c>
      <c r="C118" s="151">
        <v>38</v>
      </c>
      <c r="D118" s="149">
        <v>10082</v>
      </c>
    </row>
    <row r="119" spans="1:4" x14ac:dyDescent="0.45">
      <c r="B119" s="1" t="s">
        <v>45</v>
      </c>
      <c r="C119" s="151">
        <v>36</v>
      </c>
      <c r="D119" s="149">
        <v>2270</v>
      </c>
    </row>
    <row r="120" spans="1:4" x14ac:dyDescent="0.45">
      <c r="B120" s="1" t="s">
        <v>36</v>
      </c>
      <c r="C120" s="151">
        <v>31</v>
      </c>
      <c r="D120" s="149">
        <v>1739</v>
      </c>
    </row>
    <row r="121" spans="1:4" x14ac:dyDescent="0.45">
      <c r="A121" t="s">
        <v>54</v>
      </c>
      <c r="B121" s="1" t="s">
        <v>28</v>
      </c>
      <c r="C121" s="151">
        <v>68</v>
      </c>
      <c r="D121" s="149">
        <v>2440</v>
      </c>
    </row>
    <row r="122" spans="1:4" x14ac:dyDescent="0.45">
      <c r="B122" s="1" t="s">
        <v>29</v>
      </c>
      <c r="C122" s="151">
        <v>64</v>
      </c>
      <c r="D122" s="149">
        <v>4949</v>
      </c>
    </row>
    <row r="123" spans="1:4" x14ac:dyDescent="0.45">
      <c r="B123" s="1" t="s">
        <v>30</v>
      </c>
      <c r="C123" s="151">
        <v>59</v>
      </c>
      <c r="D123" s="149">
        <v>5199</v>
      </c>
    </row>
    <row r="124" spans="1:4" x14ac:dyDescent="0.45">
      <c r="B124" s="1" t="s">
        <v>31</v>
      </c>
      <c r="C124" s="151">
        <v>52</v>
      </c>
      <c r="D124" s="149">
        <v>9567</v>
      </c>
    </row>
    <row r="125" spans="1:4" x14ac:dyDescent="0.45">
      <c r="B125" s="1" t="s">
        <v>32</v>
      </c>
      <c r="C125" s="151">
        <v>45</v>
      </c>
      <c r="D125" s="149">
        <v>11977</v>
      </c>
    </row>
    <row r="126" spans="1:4" x14ac:dyDescent="0.45">
      <c r="B126" s="1" t="s">
        <v>33</v>
      </c>
      <c r="C126" s="151">
        <v>41</v>
      </c>
      <c r="D126" s="149">
        <v>6648</v>
      </c>
    </row>
    <row r="127" spans="1:4" x14ac:dyDescent="0.45">
      <c r="B127" s="1" t="s">
        <v>34</v>
      </c>
      <c r="C127" s="151">
        <v>38</v>
      </c>
      <c r="D127" s="149">
        <v>7956</v>
      </c>
    </row>
    <row r="128" spans="1:4" x14ac:dyDescent="0.45">
      <c r="B128" s="1" t="s">
        <v>35</v>
      </c>
      <c r="C128" s="151">
        <v>35</v>
      </c>
      <c r="D128" s="149">
        <v>3146</v>
      </c>
    </row>
    <row r="129" spans="1:4" x14ac:dyDescent="0.45">
      <c r="B129" s="1" t="s">
        <v>37</v>
      </c>
      <c r="C129" s="151">
        <v>30</v>
      </c>
      <c r="D129" s="149">
        <v>929</v>
      </c>
    </row>
    <row r="130" spans="1:4" x14ac:dyDescent="0.45">
      <c r="A130" t="s">
        <v>55</v>
      </c>
      <c r="B130" s="1" t="s">
        <v>38</v>
      </c>
      <c r="C130" s="151">
        <v>70</v>
      </c>
      <c r="D130" s="149">
        <v>2549</v>
      </c>
    </row>
    <row r="131" spans="1:4" x14ac:dyDescent="0.45">
      <c r="B131" s="1" t="s">
        <v>39</v>
      </c>
      <c r="C131" s="151">
        <v>63</v>
      </c>
      <c r="D131" s="149">
        <v>6149</v>
      </c>
    </row>
    <row r="132" spans="1:4" x14ac:dyDescent="0.45">
      <c r="B132" s="1" t="s">
        <v>40</v>
      </c>
      <c r="C132" s="151">
        <v>58</v>
      </c>
      <c r="D132" s="149">
        <v>6300</v>
      </c>
    </row>
    <row r="133" spans="1:4" x14ac:dyDescent="0.45">
      <c r="B133" s="1" t="s">
        <v>41</v>
      </c>
      <c r="C133" s="151">
        <v>52</v>
      </c>
      <c r="D133" s="149">
        <v>9851</v>
      </c>
    </row>
    <row r="134" spans="1:4" x14ac:dyDescent="0.45">
      <c r="B134" s="1" t="s">
        <v>42</v>
      </c>
      <c r="C134" s="151">
        <v>46</v>
      </c>
      <c r="D134" s="149">
        <v>13687</v>
      </c>
    </row>
    <row r="135" spans="1:4" x14ac:dyDescent="0.45">
      <c r="B135" s="1" t="s">
        <v>43</v>
      </c>
      <c r="C135" s="151">
        <v>42</v>
      </c>
      <c r="D135" s="149">
        <v>9826</v>
      </c>
    </row>
    <row r="136" spans="1:4" x14ac:dyDescent="0.45">
      <c r="B136" s="1" t="s">
        <v>44</v>
      </c>
      <c r="C136" s="151">
        <v>38</v>
      </c>
      <c r="D136" s="149">
        <v>6903</v>
      </c>
    </row>
    <row r="137" spans="1:4" x14ac:dyDescent="0.45">
      <c r="B137" s="1" t="s">
        <v>45</v>
      </c>
      <c r="C137" s="151">
        <v>35</v>
      </c>
      <c r="D137" s="149">
        <v>5486</v>
      </c>
    </row>
    <row r="138" spans="1:4" x14ac:dyDescent="0.45">
      <c r="B138" s="1" t="s">
        <v>36</v>
      </c>
      <c r="C138" s="151">
        <v>29</v>
      </c>
      <c r="D138" s="149">
        <v>1319</v>
      </c>
    </row>
    <row r="139" spans="1:4" x14ac:dyDescent="0.45">
      <c r="A139" t="s">
        <v>56</v>
      </c>
      <c r="B139" s="1" t="s">
        <v>104</v>
      </c>
      <c r="C139" s="151">
        <v>70</v>
      </c>
      <c r="D139" s="149">
        <v>4226</v>
      </c>
    </row>
    <row r="140" spans="1:4" x14ac:dyDescent="0.45">
      <c r="B140" s="1" t="s">
        <v>29</v>
      </c>
      <c r="C140" s="151">
        <v>63</v>
      </c>
      <c r="D140" s="149">
        <v>7751</v>
      </c>
    </row>
    <row r="141" spans="1:4" x14ac:dyDescent="0.45">
      <c r="B141" s="1" t="s">
        <v>30</v>
      </c>
      <c r="C141" s="151">
        <v>58</v>
      </c>
      <c r="D141" s="149">
        <v>10612</v>
      </c>
    </row>
    <row r="142" spans="1:4" x14ac:dyDescent="0.45">
      <c r="B142" s="1" t="s">
        <v>31</v>
      </c>
      <c r="C142" s="151">
        <v>51</v>
      </c>
      <c r="D142" s="149">
        <v>18234</v>
      </c>
    </row>
    <row r="143" spans="1:4" x14ac:dyDescent="0.45">
      <c r="B143" s="1" t="s">
        <v>32</v>
      </c>
      <c r="C143" s="151">
        <v>46</v>
      </c>
      <c r="D143" s="149">
        <v>18883</v>
      </c>
    </row>
    <row r="144" spans="1:4" x14ac:dyDescent="0.45">
      <c r="B144" s="1" t="s">
        <v>33</v>
      </c>
      <c r="C144" s="151">
        <v>41</v>
      </c>
      <c r="D144" s="149">
        <v>16248</v>
      </c>
    </row>
    <row r="145" spans="1:4" x14ac:dyDescent="0.45">
      <c r="B145" s="1" t="s">
        <v>34</v>
      </c>
      <c r="C145" s="151">
        <v>38</v>
      </c>
      <c r="D145" s="149">
        <v>12833</v>
      </c>
    </row>
    <row r="146" spans="1:4" x14ac:dyDescent="0.45">
      <c r="B146" s="1" t="s">
        <v>35</v>
      </c>
      <c r="C146" s="151">
        <v>36</v>
      </c>
      <c r="D146" s="149">
        <v>3010</v>
      </c>
    </row>
    <row r="147" spans="1:4" x14ac:dyDescent="0.45">
      <c r="B147" s="1" t="s">
        <v>37</v>
      </c>
      <c r="C147" s="151">
        <v>29</v>
      </c>
      <c r="D147" s="149">
        <v>3432</v>
      </c>
    </row>
    <row r="148" spans="1:4" x14ac:dyDescent="0.45">
      <c r="A148" t="s">
        <v>57</v>
      </c>
      <c r="B148" s="1" t="s">
        <v>38</v>
      </c>
      <c r="C148" s="151">
        <v>68</v>
      </c>
      <c r="D148" s="149">
        <v>4370</v>
      </c>
    </row>
    <row r="149" spans="1:4" x14ac:dyDescent="0.45">
      <c r="B149" s="1" t="s">
        <v>39</v>
      </c>
      <c r="C149" s="151">
        <v>63</v>
      </c>
      <c r="D149" s="149">
        <v>6830</v>
      </c>
    </row>
    <row r="150" spans="1:4" x14ac:dyDescent="0.45">
      <c r="B150" s="1" t="s">
        <v>40</v>
      </c>
      <c r="C150" s="151">
        <v>58</v>
      </c>
      <c r="D150" s="149">
        <v>9413</v>
      </c>
    </row>
    <row r="151" spans="1:4" x14ac:dyDescent="0.45">
      <c r="B151" s="1" t="s">
        <v>41</v>
      </c>
      <c r="C151" s="151">
        <v>53</v>
      </c>
      <c r="D151" s="149">
        <v>11311</v>
      </c>
    </row>
    <row r="152" spans="1:4" x14ac:dyDescent="0.45">
      <c r="B152" s="1" t="s">
        <v>42</v>
      </c>
      <c r="C152" s="151">
        <v>46</v>
      </c>
      <c r="D152" s="149">
        <v>16479</v>
      </c>
    </row>
    <row r="153" spans="1:4" x14ac:dyDescent="0.45">
      <c r="B153" s="1" t="s">
        <v>43</v>
      </c>
      <c r="C153" s="151">
        <v>40</v>
      </c>
      <c r="D153" s="149">
        <v>13921</v>
      </c>
    </row>
    <row r="154" spans="1:4" x14ac:dyDescent="0.45">
      <c r="B154" s="1" t="s">
        <v>44</v>
      </c>
      <c r="C154" s="151">
        <v>38</v>
      </c>
      <c r="D154" s="149">
        <v>7998</v>
      </c>
    </row>
    <row r="155" spans="1:4" x14ac:dyDescent="0.45">
      <c r="B155" s="1" t="s">
        <v>45</v>
      </c>
      <c r="C155" s="151">
        <v>36</v>
      </c>
      <c r="D155" s="149">
        <v>5247</v>
      </c>
    </row>
    <row r="156" spans="1:4" x14ac:dyDescent="0.45">
      <c r="B156" s="1" t="s">
        <v>36</v>
      </c>
      <c r="C156" s="151">
        <v>30</v>
      </c>
      <c r="D156" s="149">
        <v>2737</v>
      </c>
    </row>
    <row r="157" spans="1:4" x14ac:dyDescent="0.45">
      <c r="A157" t="s">
        <v>79</v>
      </c>
      <c r="B157" s="1" t="s">
        <v>28</v>
      </c>
      <c r="C157" s="151">
        <v>69</v>
      </c>
      <c r="D157" s="149">
        <v>92</v>
      </c>
    </row>
    <row r="158" spans="1:4" x14ac:dyDescent="0.45">
      <c r="B158" s="1" t="s">
        <v>39</v>
      </c>
      <c r="C158" s="151">
        <v>63</v>
      </c>
      <c r="D158" s="149">
        <v>228</v>
      </c>
    </row>
    <row r="159" spans="1:4" x14ac:dyDescent="0.45">
      <c r="B159" s="1" t="s">
        <v>40</v>
      </c>
      <c r="C159" s="151">
        <v>59</v>
      </c>
      <c r="D159" s="149">
        <v>211</v>
      </c>
    </row>
    <row r="160" spans="1:4" x14ac:dyDescent="0.45">
      <c r="B160" s="1" t="s">
        <v>41</v>
      </c>
      <c r="C160" s="151">
        <v>53</v>
      </c>
      <c r="D160" s="149">
        <v>383</v>
      </c>
    </row>
    <row r="161" spans="1:4" x14ac:dyDescent="0.45">
      <c r="B161" s="1" t="s">
        <v>42</v>
      </c>
      <c r="C161" s="151">
        <v>44</v>
      </c>
      <c r="D161" s="149">
        <v>725</v>
      </c>
    </row>
    <row r="162" spans="1:4" x14ac:dyDescent="0.45">
      <c r="B162" s="1" t="s">
        <v>43</v>
      </c>
      <c r="C162" s="151">
        <v>42</v>
      </c>
      <c r="D162" s="149">
        <v>123</v>
      </c>
    </row>
    <row r="163" spans="1:4" x14ac:dyDescent="0.45">
      <c r="B163" s="1" t="s">
        <v>44</v>
      </c>
      <c r="C163" s="151">
        <v>38</v>
      </c>
      <c r="D163" s="149">
        <v>301</v>
      </c>
    </row>
    <row r="164" spans="1:4" x14ac:dyDescent="0.45">
      <c r="B164" s="1" t="s">
        <v>45</v>
      </c>
      <c r="C164" s="151">
        <v>36</v>
      </c>
      <c r="D164" s="149">
        <v>121</v>
      </c>
    </row>
    <row r="165" spans="1:4" x14ac:dyDescent="0.45">
      <c r="B165" s="1" t="s">
        <v>36</v>
      </c>
      <c r="C165" s="151">
        <v>31</v>
      </c>
      <c r="D165" s="149">
        <v>77</v>
      </c>
    </row>
    <row r="166" spans="1:4" x14ac:dyDescent="0.45">
      <c r="A166" t="s">
        <v>80</v>
      </c>
      <c r="B166" s="1" t="s">
        <v>28</v>
      </c>
      <c r="C166" s="151">
        <v>71</v>
      </c>
      <c r="D166" s="149">
        <v>17</v>
      </c>
    </row>
    <row r="167" spans="1:4" x14ac:dyDescent="0.45">
      <c r="B167" s="1" t="s">
        <v>39</v>
      </c>
      <c r="C167" s="151">
        <v>64</v>
      </c>
      <c r="D167" s="149">
        <v>26</v>
      </c>
    </row>
    <row r="168" spans="1:4" x14ac:dyDescent="0.45">
      <c r="B168" s="1" t="s">
        <v>40</v>
      </c>
      <c r="C168" s="151">
        <v>56</v>
      </c>
      <c r="D168" s="149">
        <v>48</v>
      </c>
    </row>
    <row r="169" spans="1:4" x14ac:dyDescent="0.45">
      <c r="B169" s="1" t="s">
        <v>41</v>
      </c>
      <c r="C169" s="151">
        <v>49</v>
      </c>
      <c r="D169" s="149">
        <v>93</v>
      </c>
    </row>
    <row r="170" spans="1:4" x14ac:dyDescent="0.45">
      <c r="B170" s="1" t="s">
        <v>42</v>
      </c>
      <c r="C170" s="151">
        <v>45</v>
      </c>
      <c r="D170" s="149">
        <v>58</v>
      </c>
    </row>
    <row r="171" spans="1:4" x14ac:dyDescent="0.45">
      <c r="B171" s="1" t="s">
        <v>43</v>
      </c>
      <c r="C171" s="151">
        <v>43</v>
      </c>
      <c r="D171" s="149">
        <v>85</v>
      </c>
    </row>
    <row r="172" spans="1:4" x14ac:dyDescent="0.45">
      <c r="B172" s="1" t="s">
        <v>44</v>
      </c>
      <c r="C172" s="151">
        <v>41</v>
      </c>
      <c r="D172" s="149">
        <v>22</v>
      </c>
    </row>
    <row r="173" spans="1:4" x14ac:dyDescent="0.45">
      <c r="B173" s="1" t="s">
        <v>45</v>
      </c>
      <c r="C173" s="151">
        <v>37</v>
      </c>
      <c r="D173" s="149">
        <v>20</v>
      </c>
    </row>
    <row r="174" spans="1:4" x14ac:dyDescent="0.45">
      <c r="B174" s="1" t="s">
        <v>36</v>
      </c>
      <c r="C174" s="151">
        <v>32</v>
      </c>
      <c r="D174" s="149">
        <v>13</v>
      </c>
    </row>
    <row r="175" spans="1:4" x14ac:dyDescent="0.45">
      <c r="A175" t="s">
        <v>81</v>
      </c>
      <c r="B175" s="1" t="s">
        <v>28</v>
      </c>
      <c r="C175" s="151">
        <v>69</v>
      </c>
      <c r="D175" s="149">
        <v>22</v>
      </c>
    </row>
    <row r="176" spans="1:4" x14ac:dyDescent="0.45">
      <c r="B176" s="1" t="s">
        <v>39</v>
      </c>
      <c r="C176" s="151">
        <v>64</v>
      </c>
      <c r="D176" s="149">
        <v>40</v>
      </c>
    </row>
    <row r="177" spans="1:4" x14ac:dyDescent="0.45">
      <c r="B177" s="1" t="s">
        <v>40</v>
      </c>
      <c r="C177" s="151">
        <v>58</v>
      </c>
      <c r="D177" s="149">
        <v>72</v>
      </c>
    </row>
    <row r="178" spans="1:4" x14ac:dyDescent="0.45">
      <c r="B178" s="1" t="s">
        <v>41</v>
      </c>
      <c r="C178" s="151">
        <v>53</v>
      </c>
      <c r="D178" s="149">
        <v>96</v>
      </c>
    </row>
    <row r="179" spans="1:4" x14ac:dyDescent="0.45">
      <c r="B179" s="1" t="s">
        <v>42</v>
      </c>
      <c r="C179" s="151">
        <v>46</v>
      </c>
      <c r="D179" s="149">
        <v>112</v>
      </c>
    </row>
    <row r="180" spans="1:4" x14ac:dyDescent="0.45">
      <c r="B180" s="1" t="s">
        <v>43</v>
      </c>
      <c r="C180" s="151">
        <v>41</v>
      </c>
      <c r="D180" s="149">
        <v>116</v>
      </c>
    </row>
    <row r="181" spans="1:4" x14ac:dyDescent="0.45">
      <c r="B181" s="1" t="s">
        <v>44</v>
      </c>
      <c r="C181" s="151">
        <v>39</v>
      </c>
      <c r="D181" s="149">
        <v>30</v>
      </c>
    </row>
    <row r="182" spans="1:4" x14ac:dyDescent="0.45">
      <c r="B182" s="1" t="s">
        <v>45</v>
      </c>
      <c r="C182" s="151">
        <v>36</v>
      </c>
      <c r="D182" s="149">
        <v>39</v>
      </c>
    </row>
    <row r="183" spans="1:4" x14ac:dyDescent="0.45">
      <c r="B183" s="1" t="s">
        <v>36</v>
      </c>
      <c r="C183" s="151">
        <v>29</v>
      </c>
      <c r="D183" s="149">
        <v>21</v>
      </c>
    </row>
    <row r="184" spans="1:4" x14ac:dyDescent="0.45">
      <c r="A184" t="s">
        <v>82</v>
      </c>
      <c r="B184" s="1" t="s">
        <v>28</v>
      </c>
      <c r="C184" s="151">
        <v>70</v>
      </c>
      <c r="D184" s="149">
        <v>41</v>
      </c>
    </row>
    <row r="185" spans="1:4" x14ac:dyDescent="0.45">
      <c r="B185" s="1" t="s">
        <v>39</v>
      </c>
      <c r="C185" s="151">
        <v>64</v>
      </c>
      <c r="D185" s="149">
        <v>84</v>
      </c>
    </row>
    <row r="186" spans="1:4" x14ac:dyDescent="0.45">
      <c r="B186" s="1" t="s">
        <v>40</v>
      </c>
      <c r="C186" s="151">
        <v>58</v>
      </c>
      <c r="D186" s="149">
        <v>112</v>
      </c>
    </row>
    <row r="187" spans="1:4" x14ac:dyDescent="0.45">
      <c r="B187" s="1" t="s">
        <v>41</v>
      </c>
      <c r="C187" s="151">
        <v>52</v>
      </c>
      <c r="D187" s="149">
        <v>164</v>
      </c>
    </row>
    <row r="188" spans="1:4" x14ac:dyDescent="0.45">
      <c r="B188" s="1" t="s">
        <v>42</v>
      </c>
      <c r="C188" s="151">
        <v>45</v>
      </c>
      <c r="D188" s="149">
        <v>201</v>
      </c>
    </row>
    <row r="189" spans="1:4" x14ac:dyDescent="0.45">
      <c r="B189" s="1" t="s">
        <v>43</v>
      </c>
      <c r="C189" s="151">
        <v>40</v>
      </c>
      <c r="D189" s="149">
        <v>195</v>
      </c>
    </row>
    <row r="190" spans="1:4" x14ac:dyDescent="0.45">
      <c r="B190" s="1" t="s">
        <v>44</v>
      </c>
      <c r="C190" s="151">
        <v>39</v>
      </c>
      <c r="D190" s="149">
        <v>71</v>
      </c>
    </row>
    <row r="191" spans="1:4" x14ac:dyDescent="0.45">
      <c r="B191" s="1" t="s">
        <v>45</v>
      </c>
      <c r="C191" s="151">
        <v>37</v>
      </c>
      <c r="D191" s="149">
        <v>61</v>
      </c>
    </row>
    <row r="192" spans="1:4" x14ac:dyDescent="0.45">
      <c r="B192" s="1" t="s">
        <v>36</v>
      </c>
      <c r="C192" s="151">
        <v>32</v>
      </c>
      <c r="D192" s="149">
        <v>28</v>
      </c>
    </row>
    <row r="193" spans="1:4" x14ac:dyDescent="0.45">
      <c r="A193" t="s">
        <v>83</v>
      </c>
      <c r="B193" s="1" t="s">
        <v>28</v>
      </c>
      <c r="C193" s="151">
        <v>70</v>
      </c>
      <c r="D193" s="149">
        <v>3</v>
      </c>
    </row>
    <row r="194" spans="1:4" x14ac:dyDescent="0.45">
      <c r="B194" s="1" t="s">
        <v>39</v>
      </c>
      <c r="C194" s="151">
        <v>63</v>
      </c>
      <c r="D194" s="149">
        <v>5</v>
      </c>
    </row>
    <row r="195" spans="1:4" x14ac:dyDescent="0.45">
      <c r="B195" s="1" t="s">
        <v>40</v>
      </c>
      <c r="C195" s="151">
        <v>57</v>
      </c>
      <c r="D195" s="149">
        <v>8</v>
      </c>
    </row>
    <row r="196" spans="1:4" x14ac:dyDescent="0.45">
      <c r="B196" s="1" t="s">
        <v>41</v>
      </c>
      <c r="C196" s="151">
        <v>52</v>
      </c>
      <c r="D196" s="149">
        <v>10</v>
      </c>
    </row>
    <row r="197" spans="1:4" x14ac:dyDescent="0.45">
      <c r="B197" s="1" t="s">
        <v>42</v>
      </c>
      <c r="C197" s="151">
        <v>46</v>
      </c>
      <c r="D197" s="149">
        <v>16</v>
      </c>
    </row>
    <row r="198" spans="1:4" x14ac:dyDescent="0.45">
      <c r="B198" s="1" t="s">
        <v>43</v>
      </c>
      <c r="C198" s="151">
        <v>41</v>
      </c>
      <c r="D198" s="149">
        <v>17</v>
      </c>
    </row>
    <row r="199" spans="1:4" x14ac:dyDescent="0.45">
      <c r="B199" s="1" t="s">
        <v>44</v>
      </c>
      <c r="C199" s="151">
        <v>41</v>
      </c>
      <c r="D199" s="149">
        <v>0</v>
      </c>
    </row>
    <row r="200" spans="1:4" x14ac:dyDescent="0.45">
      <c r="B200" s="1" t="s">
        <v>45</v>
      </c>
      <c r="C200" s="151">
        <v>35</v>
      </c>
      <c r="D200" s="149">
        <v>5</v>
      </c>
    </row>
    <row r="201" spans="1:4" x14ac:dyDescent="0.45">
      <c r="B201" s="1" t="s">
        <v>36</v>
      </c>
      <c r="C201" s="151">
        <v>35</v>
      </c>
      <c r="D201" s="149">
        <v>0</v>
      </c>
    </row>
    <row r="202" spans="1:4" x14ac:dyDescent="0.45">
      <c r="A202" t="s">
        <v>84</v>
      </c>
      <c r="B202" s="1" t="s">
        <v>28</v>
      </c>
      <c r="C202" s="151">
        <v>66</v>
      </c>
      <c r="D202" s="149">
        <v>19</v>
      </c>
    </row>
    <row r="203" spans="1:4" x14ac:dyDescent="0.45">
      <c r="B203" s="1" t="s">
        <v>39</v>
      </c>
      <c r="C203" s="151">
        <v>63</v>
      </c>
      <c r="D203" s="149">
        <v>26</v>
      </c>
    </row>
    <row r="204" spans="1:4" x14ac:dyDescent="0.45">
      <c r="B204" s="1" t="s">
        <v>40</v>
      </c>
      <c r="C204" s="151">
        <v>59</v>
      </c>
      <c r="D204" s="149">
        <v>55</v>
      </c>
    </row>
    <row r="205" spans="1:4" x14ac:dyDescent="0.45">
      <c r="B205" s="1" t="s">
        <v>41</v>
      </c>
      <c r="C205" s="151">
        <v>53</v>
      </c>
      <c r="D205" s="149">
        <v>67</v>
      </c>
    </row>
    <row r="206" spans="1:4" x14ac:dyDescent="0.45">
      <c r="B206" s="1" t="s">
        <v>42</v>
      </c>
      <c r="C206" s="151">
        <v>45</v>
      </c>
      <c r="D206" s="149">
        <v>89</v>
      </c>
    </row>
    <row r="207" spans="1:4" x14ac:dyDescent="0.45">
      <c r="B207" s="1" t="s">
        <v>43</v>
      </c>
      <c r="C207" s="151">
        <v>41</v>
      </c>
      <c r="D207" s="149">
        <v>76</v>
      </c>
    </row>
    <row r="208" spans="1:4" x14ac:dyDescent="0.45">
      <c r="B208" s="1" t="s">
        <v>44</v>
      </c>
      <c r="C208" s="151">
        <v>38</v>
      </c>
      <c r="D208" s="149">
        <v>46</v>
      </c>
    </row>
    <row r="209" spans="1:4" x14ac:dyDescent="0.45">
      <c r="B209" s="1" t="s">
        <v>45</v>
      </c>
      <c r="C209" s="151">
        <v>35</v>
      </c>
      <c r="D209" s="149">
        <v>23</v>
      </c>
    </row>
    <row r="210" spans="1:4" x14ac:dyDescent="0.45">
      <c r="B210" s="1" t="s">
        <v>36</v>
      </c>
      <c r="C210" s="151">
        <v>30</v>
      </c>
      <c r="D210" s="149">
        <v>8</v>
      </c>
    </row>
    <row r="211" spans="1:4" x14ac:dyDescent="0.45">
      <c r="A211" t="s">
        <v>97</v>
      </c>
      <c r="B211" s="1" t="s">
        <v>28</v>
      </c>
      <c r="C211" s="151">
        <v>45</v>
      </c>
      <c r="D211" s="149">
        <v>64</v>
      </c>
    </row>
    <row r="212" spans="1:4" x14ac:dyDescent="0.45">
      <c r="B212" s="1" t="s">
        <v>39</v>
      </c>
      <c r="C212" s="151">
        <v>40</v>
      </c>
      <c r="D212" s="149">
        <v>79</v>
      </c>
    </row>
    <row r="213" spans="1:4" x14ac:dyDescent="0.45">
      <c r="B213" s="1" t="s">
        <v>40</v>
      </c>
      <c r="C213" s="151">
        <v>35</v>
      </c>
      <c r="D213" s="149">
        <v>88</v>
      </c>
    </row>
    <row r="214" spans="1:4" x14ac:dyDescent="0.45">
      <c r="B214" s="1" t="s">
        <v>41</v>
      </c>
      <c r="C214" s="151">
        <v>30</v>
      </c>
      <c r="D214" s="149">
        <v>55</v>
      </c>
    </row>
    <row r="215" spans="1:4" x14ac:dyDescent="0.45">
      <c r="B215" s="1" t="s">
        <v>42</v>
      </c>
      <c r="C215" s="151">
        <v>25</v>
      </c>
      <c r="D215" s="149">
        <v>26</v>
      </c>
    </row>
    <row r="216" spans="1:4" x14ac:dyDescent="0.45">
      <c r="B216" s="1" t="s">
        <v>43</v>
      </c>
      <c r="C216" s="151">
        <v>20</v>
      </c>
      <c r="D216" s="149">
        <v>20</v>
      </c>
    </row>
    <row r="217" spans="1:4" x14ac:dyDescent="0.45">
      <c r="B217" s="1" t="s">
        <v>44</v>
      </c>
      <c r="C217" s="151">
        <v>15</v>
      </c>
      <c r="D217" s="149">
        <v>15</v>
      </c>
    </row>
    <row r="218" spans="1:4" x14ac:dyDescent="0.45">
      <c r="B218" s="1" t="s">
        <v>45</v>
      </c>
      <c r="C218" s="151">
        <v>10</v>
      </c>
      <c r="D218" s="149">
        <v>11</v>
      </c>
    </row>
    <row r="219" spans="1:4" x14ac:dyDescent="0.45">
      <c r="B219" s="1" t="s">
        <v>36</v>
      </c>
      <c r="C219" s="151">
        <v>0</v>
      </c>
      <c r="D219" s="149">
        <v>5</v>
      </c>
    </row>
    <row r="220" spans="1:4" x14ac:dyDescent="0.45">
      <c r="A220" t="s">
        <v>98</v>
      </c>
      <c r="B220" s="1" t="s">
        <v>28</v>
      </c>
      <c r="C220" s="151">
        <v>45</v>
      </c>
      <c r="D220" s="149">
        <v>67</v>
      </c>
    </row>
    <row r="221" spans="1:4" x14ac:dyDescent="0.45">
      <c r="B221" s="1" t="s">
        <v>39</v>
      </c>
      <c r="C221" s="151">
        <v>40</v>
      </c>
      <c r="D221" s="149">
        <v>136</v>
      </c>
    </row>
    <row r="222" spans="1:4" x14ac:dyDescent="0.45">
      <c r="B222" s="1" t="s">
        <v>40</v>
      </c>
      <c r="C222" s="151">
        <v>35</v>
      </c>
      <c r="D222" s="149">
        <v>104</v>
      </c>
    </row>
    <row r="223" spans="1:4" x14ac:dyDescent="0.45">
      <c r="B223" s="1" t="s">
        <v>41</v>
      </c>
      <c r="C223" s="151">
        <v>30</v>
      </c>
      <c r="D223" s="149">
        <v>54</v>
      </c>
    </row>
    <row r="224" spans="1:4" x14ac:dyDescent="0.45">
      <c r="B224" s="1" t="s">
        <v>42</v>
      </c>
      <c r="C224" s="151">
        <v>25</v>
      </c>
      <c r="D224" s="149">
        <v>31</v>
      </c>
    </row>
    <row r="225" spans="1:4" x14ac:dyDescent="0.45">
      <c r="B225" s="1" t="s">
        <v>43</v>
      </c>
      <c r="C225" s="151">
        <v>20</v>
      </c>
      <c r="D225" s="149">
        <v>12</v>
      </c>
    </row>
    <row r="226" spans="1:4" x14ac:dyDescent="0.45">
      <c r="B226" s="1" t="s">
        <v>44</v>
      </c>
      <c r="C226" s="151">
        <v>15</v>
      </c>
      <c r="D226" s="149">
        <v>13</v>
      </c>
    </row>
    <row r="227" spans="1:4" x14ac:dyDescent="0.45">
      <c r="B227" s="1" t="s">
        <v>45</v>
      </c>
      <c r="C227" s="151">
        <v>10</v>
      </c>
      <c r="D227" s="149">
        <v>8</v>
      </c>
    </row>
    <row r="228" spans="1:4" x14ac:dyDescent="0.45">
      <c r="B228" s="1" t="s">
        <v>36</v>
      </c>
      <c r="C228" s="151">
        <v>0</v>
      </c>
      <c r="D228" s="149">
        <v>4</v>
      </c>
    </row>
    <row r="229" spans="1:4" x14ac:dyDescent="0.45">
      <c r="A229" t="s">
        <v>99</v>
      </c>
      <c r="B229" s="1" t="s">
        <v>28</v>
      </c>
      <c r="C229" s="151">
        <v>45</v>
      </c>
      <c r="D229" s="149">
        <v>52</v>
      </c>
    </row>
    <row r="230" spans="1:4" x14ac:dyDescent="0.45">
      <c r="B230" s="1" t="s">
        <v>39</v>
      </c>
      <c r="C230" s="151">
        <v>40</v>
      </c>
      <c r="D230" s="149">
        <v>53</v>
      </c>
    </row>
    <row r="231" spans="1:4" x14ac:dyDescent="0.45">
      <c r="B231" s="1" t="s">
        <v>40</v>
      </c>
      <c r="C231" s="151">
        <v>35</v>
      </c>
      <c r="D231" s="149">
        <v>40</v>
      </c>
    </row>
    <row r="232" spans="1:4" x14ac:dyDescent="0.45">
      <c r="B232" s="1" t="s">
        <v>41</v>
      </c>
      <c r="C232" s="151">
        <v>30</v>
      </c>
      <c r="D232" s="149">
        <v>29</v>
      </c>
    </row>
    <row r="233" spans="1:4" x14ac:dyDescent="0.45">
      <c r="B233" s="1" t="s">
        <v>42</v>
      </c>
      <c r="C233" s="151">
        <v>25</v>
      </c>
      <c r="D233" s="149">
        <v>16</v>
      </c>
    </row>
    <row r="234" spans="1:4" x14ac:dyDescent="0.45">
      <c r="B234" s="1" t="s">
        <v>43</v>
      </c>
      <c r="C234" s="151">
        <v>20</v>
      </c>
      <c r="D234" s="149">
        <v>11</v>
      </c>
    </row>
    <row r="235" spans="1:4" x14ac:dyDescent="0.45">
      <c r="B235" s="1" t="s">
        <v>44</v>
      </c>
      <c r="C235" s="151">
        <v>15</v>
      </c>
      <c r="D235" s="149">
        <v>11</v>
      </c>
    </row>
    <row r="236" spans="1:4" x14ac:dyDescent="0.45">
      <c r="B236" s="1" t="s">
        <v>45</v>
      </c>
      <c r="C236" s="151">
        <v>10</v>
      </c>
      <c r="D236" s="149">
        <v>8</v>
      </c>
    </row>
    <row r="237" spans="1:4" x14ac:dyDescent="0.45">
      <c r="B237" s="1" t="s">
        <v>36</v>
      </c>
      <c r="C237" s="151">
        <v>0</v>
      </c>
      <c r="D237" s="149">
        <v>7</v>
      </c>
    </row>
    <row r="238" spans="1:4" x14ac:dyDescent="0.45">
      <c r="A238" t="s">
        <v>100</v>
      </c>
      <c r="B238" s="1" t="s">
        <v>28</v>
      </c>
      <c r="C238" s="151">
        <v>45</v>
      </c>
      <c r="D238" s="149">
        <v>107</v>
      </c>
    </row>
    <row r="239" spans="1:4" x14ac:dyDescent="0.45">
      <c r="B239" s="1" t="s">
        <v>39</v>
      </c>
      <c r="C239" s="151">
        <v>40</v>
      </c>
      <c r="D239" s="149">
        <v>184</v>
      </c>
    </row>
    <row r="240" spans="1:4" x14ac:dyDescent="0.45">
      <c r="B240" s="1" t="s">
        <v>40</v>
      </c>
      <c r="C240" s="151">
        <v>35</v>
      </c>
      <c r="D240" s="149">
        <v>189</v>
      </c>
    </row>
    <row r="241" spans="1:4" x14ac:dyDescent="0.45">
      <c r="B241" s="1" t="s">
        <v>41</v>
      </c>
      <c r="C241" s="151">
        <v>30</v>
      </c>
      <c r="D241" s="149">
        <v>95</v>
      </c>
    </row>
    <row r="242" spans="1:4" x14ac:dyDescent="0.45">
      <c r="B242" s="1" t="s">
        <v>42</v>
      </c>
      <c r="C242" s="151">
        <v>25</v>
      </c>
      <c r="D242" s="149">
        <v>63</v>
      </c>
    </row>
    <row r="243" spans="1:4" x14ac:dyDescent="0.45">
      <c r="B243" s="1" t="s">
        <v>43</v>
      </c>
      <c r="C243" s="151">
        <v>20</v>
      </c>
      <c r="D243" s="149">
        <v>49</v>
      </c>
    </row>
    <row r="244" spans="1:4" x14ac:dyDescent="0.45">
      <c r="B244" s="1" t="s">
        <v>44</v>
      </c>
      <c r="C244" s="151">
        <v>15</v>
      </c>
      <c r="D244" s="149">
        <v>28</v>
      </c>
    </row>
    <row r="245" spans="1:4" x14ac:dyDescent="0.45">
      <c r="B245" s="1" t="s">
        <v>45</v>
      </c>
      <c r="C245" s="151">
        <v>10</v>
      </c>
      <c r="D245" s="149">
        <v>36</v>
      </c>
    </row>
    <row r="246" spans="1:4" x14ac:dyDescent="0.45">
      <c r="B246" s="1" t="s">
        <v>36</v>
      </c>
      <c r="C246" s="151">
        <v>0</v>
      </c>
      <c r="D246" s="149">
        <v>9</v>
      </c>
    </row>
    <row r="247" spans="1:4" x14ac:dyDescent="0.45">
      <c r="A247" t="s">
        <v>101</v>
      </c>
      <c r="B247" s="1" t="s">
        <v>28</v>
      </c>
      <c r="C247" s="151">
        <v>45</v>
      </c>
      <c r="D247" s="149">
        <v>132</v>
      </c>
    </row>
    <row r="248" spans="1:4" x14ac:dyDescent="0.45">
      <c r="B248" s="1" t="s">
        <v>39</v>
      </c>
      <c r="C248" s="151">
        <v>40</v>
      </c>
      <c r="D248" s="149">
        <v>110</v>
      </c>
    </row>
    <row r="249" spans="1:4" x14ac:dyDescent="0.45">
      <c r="B249" s="1" t="s">
        <v>40</v>
      </c>
      <c r="C249" s="151">
        <v>35</v>
      </c>
      <c r="D249" s="149">
        <v>78</v>
      </c>
    </row>
    <row r="250" spans="1:4" x14ac:dyDescent="0.45">
      <c r="B250" s="1" t="s">
        <v>41</v>
      </c>
      <c r="C250" s="151">
        <v>30</v>
      </c>
      <c r="D250" s="149">
        <v>79</v>
      </c>
    </row>
    <row r="251" spans="1:4" x14ac:dyDescent="0.45">
      <c r="B251" s="1" t="s">
        <v>42</v>
      </c>
      <c r="C251" s="151">
        <v>25</v>
      </c>
      <c r="D251" s="149">
        <v>64</v>
      </c>
    </row>
    <row r="252" spans="1:4" x14ac:dyDescent="0.45">
      <c r="B252" s="1" t="s">
        <v>43</v>
      </c>
      <c r="C252" s="151">
        <v>20</v>
      </c>
      <c r="D252" s="149">
        <v>68</v>
      </c>
    </row>
    <row r="253" spans="1:4" x14ac:dyDescent="0.45">
      <c r="B253" s="1" t="s">
        <v>44</v>
      </c>
      <c r="C253" s="151">
        <v>15</v>
      </c>
      <c r="D253" s="149">
        <v>54</v>
      </c>
    </row>
    <row r="254" spans="1:4" x14ac:dyDescent="0.45">
      <c r="B254" s="1" t="s">
        <v>45</v>
      </c>
      <c r="C254" s="151">
        <v>10</v>
      </c>
      <c r="D254" s="149">
        <v>47</v>
      </c>
    </row>
    <row r="255" spans="1:4" x14ac:dyDescent="0.45">
      <c r="B255" s="1" t="s">
        <v>36</v>
      </c>
      <c r="C255" s="151">
        <v>0</v>
      </c>
      <c r="D255" s="149">
        <v>12</v>
      </c>
    </row>
    <row r="256" spans="1:4" x14ac:dyDescent="0.45">
      <c r="A256" t="s">
        <v>102</v>
      </c>
      <c r="B256" s="1" t="s">
        <v>28</v>
      </c>
      <c r="C256" s="151">
        <v>45</v>
      </c>
      <c r="D256" s="149">
        <v>30</v>
      </c>
    </row>
    <row r="257" spans="1:4" x14ac:dyDescent="0.45">
      <c r="B257" s="1" t="s">
        <v>39</v>
      </c>
      <c r="C257" s="151">
        <v>40</v>
      </c>
      <c r="D257" s="149">
        <v>25</v>
      </c>
    </row>
    <row r="258" spans="1:4" x14ac:dyDescent="0.45">
      <c r="B258" s="1" t="s">
        <v>40</v>
      </c>
      <c r="C258" s="151">
        <v>35</v>
      </c>
      <c r="D258" s="149">
        <v>20</v>
      </c>
    </row>
    <row r="259" spans="1:4" x14ac:dyDescent="0.45">
      <c r="B259" s="1" t="s">
        <v>41</v>
      </c>
      <c r="C259" s="151">
        <v>30</v>
      </c>
      <c r="D259" s="149">
        <v>16</v>
      </c>
    </row>
    <row r="260" spans="1:4" x14ac:dyDescent="0.45">
      <c r="B260" s="1" t="s">
        <v>42</v>
      </c>
      <c r="C260" s="151">
        <v>25</v>
      </c>
      <c r="D260" s="149">
        <v>3</v>
      </c>
    </row>
    <row r="261" spans="1:4" x14ac:dyDescent="0.45">
      <c r="B261" s="1" t="s">
        <v>43</v>
      </c>
      <c r="C261" s="151">
        <v>20</v>
      </c>
      <c r="D261" s="149">
        <v>12</v>
      </c>
    </row>
    <row r="262" spans="1:4" x14ac:dyDescent="0.45">
      <c r="B262" s="1" t="s">
        <v>44</v>
      </c>
      <c r="C262" s="151">
        <v>15</v>
      </c>
      <c r="D262" s="149">
        <v>4</v>
      </c>
    </row>
    <row r="263" spans="1:4" x14ac:dyDescent="0.45">
      <c r="B263" s="1" t="s">
        <v>45</v>
      </c>
      <c r="C263" s="151">
        <v>10</v>
      </c>
      <c r="D263" s="149">
        <v>10</v>
      </c>
    </row>
    <row r="264" spans="1:4" x14ac:dyDescent="0.45">
      <c r="B264" s="1" t="s">
        <v>36</v>
      </c>
      <c r="C264" s="151">
        <v>0</v>
      </c>
      <c r="D264" s="149">
        <v>4</v>
      </c>
    </row>
    <row r="265" spans="1:4" x14ac:dyDescent="0.45">
      <c r="A265" t="s">
        <v>103</v>
      </c>
      <c r="B265" s="1" t="s">
        <v>28</v>
      </c>
      <c r="C265" s="151">
        <v>45</v>
      </c>
      <c r="D265" s="149">
        <v>3</v>
      </c>
    </row>
    <row r="266" spans="1:4" x14ac:dyDescent="0.45">
      <c r="B266" s="1" t="s">
        <v>39</v>
      </c>
      <c r="C266" s="151">
        <v>40</v>
      </c>
      <c r="D266" s="149">
        <v>5</v>
      </c>
    </row>
    <row r="267" spans="1:4" x14ac:dyDescent="0.45">
      <c r="B267" s="1" t="s">
        <v>40</v>
      </c>
      <c r="C267" s="151">
        <v>35</v>
      </c>
      <c r="D267" s="149">
        <v>7</v>
      </c>
    </row>
    <row r="268" spans="1:4" x14ac:dyDescent="0.45">
      <c r="B268" s="1" t="s">
        <v>41</v>
      </c>
      <c r="C268" s="151">
        <v>30</v>
      </c>
      <c r="D268" s="149">
        <v>9</v>
      </c>
    </row>
    <row r="269" spans="1:4" x14ac:dyDescent="0.45">
      <c r="B269" s="1" t="s">
        <v>42</v>
      </c>
      <c r="C269" s="151">
        <v>25</v>
      </c>
      <c r="D269" s="149">
        <v>13</v>
      </c>
    </row>
    <row r="270" spans="1:4" x14ac:dyDescent="0.45">
      <c r="B270" s="1" t="s">
        <v>43</v>
      </c>
      <c r="C270" s="151">
        <v>20</v>
      </c>
      <c r="D270" s="149">
        <v>10</v>
      </c>
    </row>
    <row r="271" spans="1:4" x14ac:dyDescent="0.45">
      <c r="B271" s="1" t="s">
        <v>44</v>
      </c>
      <c r="C271" s="151">
        <v>15</v>
      </c>
      <c r="D271" s="149">
        <v>4</v>
      </c>
    </row>
    <row r="272" spans="1:4" x14ac:dyDescent="0.45">
      <c r="B272" s="1" t="s">
        <v>45</v>
      </c>
      <c r="C272" s="151">
        <v>10</v>
      </c>
      <c r="D272" s="149">
        <v>6</v>
      </c>
    </row>
    <row r="273" spans="2:4" x14ac:dyDescent="0.45">
      <c r="B273" s="1" t="s">
        <v>36</v>
      </c>
      <c r="C273" s="151">
        <v>0</v>
      </c>
      <c r="D273" s="149">
        <v>2</v>
      </c>
    </row>
  </sheetData>
  <mergeCells count="1">
    <mergeCell ref="C3:D3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3C3CE-17EB-47DF-B598-C7487F2B56E7}">
  <sheetPr codeName="Sheet3"/>
  <dimension ref="A1:J102"/>
  <sheetViews>
    <sheetView workbookViewId="0">
      <selection activeCell="A5" sqref="A5:J98"/>
    </sheetView>
  </sheetViews>
  <sheetFormatPr defaultRowHeight="17" x14ac:dyDescent="0.45"/>
  <sheetData>
    <row r="1" spans="1:10" x14ac:dyDescent="0.45">
      <c r="A1" s="15"/>
    </row>
    <row r="2" spans="1:10" ht="17.5" thickBot="1" x14ac:dyDescent="0.5"/>
    <row r="3" spans="1:10" x14ac:dyDescent="0.45">
      <c r="A3" s="46" t="s">
        <v>11</v>
      </c>
      <c r="B3" s="47"/>
      <c r="C3" s="47"/>
      <c r="D3" s="48"/>
      <c r="F3" s="46" t="s">
        <v>62</v>
      </c>
      <c r="G3" s="47"/>
      <c r="H3" s="47"/>
      <c r="I3" s="48"/>
    </row>
    <row r="4" spans="1:10" x14ac:dyDescent="0.45">
      <c r="A4" s="6" t="s">
        <v>9</v>
      </c>
      <c r="B4" s="1"/>
      <c r="C4" s="1"/>
      <c r="D4" s="7" t="s">
        <v>10</v>
      </c>
      <c r="F4" s="6" t="s">
        <v>9</v>
      </c>
      <c r="G4" s="1"/>
      <c r="H4" s="1"/>
      <c r="I4" s="7" t="s">
        <v>10</v>
      </c>
    </row>
    <row r="5" spans="1:10" x14ac:dyDescent="0.45">
      <c r="A5" s="154">
        <v>151</v>
      </c>
      <c r="B5" s="155">
        <v>69</v>
      </c>
      <c r="C5" s="155">
        <v>76</v>
      </c>
      <c r="D5" s="155">
        <v>147</v>
      </c>
      <c r="E5" s="155">
        <v>147</v>
      </c>
      <c r="F5" s="154">
        <v>156</v>
      </c>
      <c r="G5" s="155">
        <v>646</v>
      </c>
      <c r="H5" s="155">
        <v>184</v>
      </c>
      <c r="I5" s="155">
        <v>837</v>
      </c>
      <c r="J5" s="155">
        <v>837</v>
      </c>
    </row>
    <row r="6" spans="1:10" x14ac:dyDescent="0.45">
      <c r="A6" s="154">
        <v>149</v>
      </c>
      <c r="B6" s="155">
        <v>186</v>
      </c>
      <c r="C6" s="155">
        <v>177</v>
      </c>
      <c r="D6" s="155">
        <v>370</v>
      </c>
      <c r="E6" s="155">
        <v>517</v>
      </c>
      <c r="F6" s="154">
        <v>155</v>
      </c>
      <c r="G6" s="155">
        <v>7</v>
      </c>
      <c r="H6" s="155">
        <v>0</v>
      </c>
      <c r="I6" s="155">
        <v>7</v>
      </c>
      <c r="J6" s="155">
        <v>844</v>
      </c>
    </row>
    <row r="7" spans="1:10" x14ac:dyDescent="0.45">
      <c r="A7" s="154">
        <v>148</v>
      </c>
      <c r="B7" s="155">
        <v>69</v>
      </c>
      <c r="C7" s="155">
        <v>82</v>
      </c>
      <c r="D7" s="155">
        <v>154</v>
      </c>
      <c r="E7" s="155">
        <v>671</v>
      </c>
      <c r="F7" s="154">
        <v>154</v>
      </c>
      <c r="G7" s="155">
        <v>152</v>
      </c>
      <c r="H7" s="155">
        <v>46</v>
      </c>
      <c r="I7" s="155">
        <v>201</v>
      </c>
      <c r="J7" s="155">
        <v>1045</v>
      </c>
    </row>
    <row r="8" spans="1:10" x14ac:dyDescent="0.45">
      <c r="A8" s="154">
        <v>147</v>
      </c>
      <c r="B8" s="155">
        <v>225</v>
      </c>
      <c r="C8" s="155">
        <v>245</v>
      </c>
      <c r="D8" s="155">
        <v>479</v>
      </c>
      <c r="E8" s="155">
        <v>1150</v>
      </c>
      <c r="F8" s="154">
        <v>153</v>
      </c>
      <c r="G8" s="155">
        <v>1017</v>
      </c>
      <c r="H8" s="155">
        <v>330</v>
      </c>
      <c r="I8" s="155">
        <v>1366</v>
      </c>
      <c r="J8" s="155">
        <v>2411</v>
      </c>
    </row>
    <row r="9" spans="1:10" x14ac:dyDescent="0.45">
      <c r="A9" s="154">
        <v>146</v>
      </c>
      <c r="B9" s="155">
        <v>203</v>
      </c>
      <c r="C9" s="155">
        <v>214</v>
      </c>
      <c r="D9" s="155">
        <v>427</v>
      </c>
      <c r="E9" s="155">
        <v>1577</v>
      </c>
      <c r="F9" s="154">
        <v>152</v>
      </c>
      <c r="G9" s="155">
        <v>2</v>
      </c>
      <c r="H9" s="155">
        <v>1</v>
      </c>
      <c r="I9" s="155">
        <v>3</v>
      </c>
      <c r="J9" s="155">
        <v>2414</v>
      </c>
    </row>
    <row r="10" spans="1:10" x14ac:dyDescent="0.45">
      <c r="A10" s="154">
        <v>145</v>
      </c>
      <c r="B10" s="155">
        <v>246</v>
      </c>
      <c r="C10" s="155">
        <v>299</v>
      </c>
      <c r="D10" s="155">
        <v>561</v>
      </c>
      <c r="E10" s="155">
        <v>2138</v>
      </c>
      <c r="F10" s="154">
        <v>151</v>
      </c>
      <c r="G10" s="155">
        <v>21</v>
      </c>
      <c r="H10" s="155">
        <v>10</v>
      </c>
      <c r="I10" s="155">
        <v>31</v>
      </c>
      <c r="J10" s="155">
        <v>2445</v>
      </c>
    </row>
    <row r="11" spans="1:10" x14ac:dyDescent="0.45">
      <c r="A11" s="154">
        <v>144</v>
      </c>
      <c r="B11" s="155">
        <v>674</v>
      </c>
      <c r="C11" s="155">
        <v>751</v>
      </c>
      <c r="D11" s="155">
        <v>1453</v>
      </c>
      <c r="E11" s="155">
        <v>3591</v>
      </c>
      <c r="F11" s="154">
        <v>150</v>
      </c>
      <c r="G11" s="155">
        <v>305</v>
      </c>
      <c r="H11" s="155">
        <v>116</v>
      </c>
      <c r="I11" s="155">
        <v>431</v>
      </c>
      <c r="J11" s="155">
        <v>2876</v>
      </c>
    </row>
    <row r="12" spans="1:10" x14ac:dyDescent="0.45">
      <c r="A12" s="154">
        <v>143</v>
      </c>
      <c r="B12" s="155">
        <v>472</v>
      </c>
      <c r="C12" s="155">
        <v>493</v>
      </c>
      <c r="D12" s="155">
        <v>983</v>
      </c>
      <c r="E12" s="155">
        <v>4574</v>
      </c>
      <c r="F12" s="154">
        <v>149</v>
      </c>
      <c r="G12" s="155">
        <v>1268</v>
      </c>
      <c r="H12" s="155">
        <v>516</v>
      </c>
      <c r="I12" s="155">
        <v>1807</v>
      </c>
      <c r="J12" s="155">
        <v>4683</v>
      </c>
    </row>
    <row r="13" spans="1:10" x14ac:dyDescent="0.45">
      <c r="A13" s="154">
        <v>142</v>
      </c>
      <c r="B13" s="155">
        <v>451</v>
      </c>
      <c r="C13" s="155">
        <v>498</v>
      </c>
      <c r="D13" s="155">
        <v>967</v>
      </c>
      <c r="E13" s="155">
        <v>5541</v>
      </c>
      <c r="F13" s="154">
        <v>148</v>
      </c>
      <c r="G13" s="155">
        <v>77</v>
      </c>
      <c r="H13" s="155">
        <v>35</v>
      </c>
      <c r="I13" s="155">
        <v>117</v>
      </c>
      <c r="J13" s="155">
        <v>4800</v>
      </c>
    </row>
    <row r="14" spans="1:10" x14ac:dyDescent="0.45">
      <c r="A14" s="154">
        <v>141</v>
      </c>
      <c r="B14" s="155">
        <v>518</v>
      </c>
      <c r="C14" s="155">
        <v>561</v>
      </c>
      <c r="D14" s="155">
        <v>1104</v>
      </c>
      <c r="E14" s="155">
        <v>6645</v>
      </c>
      <c r="F14" s="154">
        <v>147</v>
      </c>
      <c r="G14" s="155">
        <v>701</v>
      </c>
      <c r="H14" s="155">
        <v>285</v>
      </c>
      <c r="I14" s="155">
        <v>1001</v>
      </c>
      <c r="J14" s="155">
        <v>5801</v>
      </c>
    </row>
    <row r="15" spans="1:10" x14ac:dyDescent="0.45">
      <c r="A15" s="154">
        <v>140</v>
      </c>
      <c r="B15" s="155">
        <v>555</v>
      </c>
      <c r="C15" s="155">
        <v>627</v>
      </c>
      <c r="D15" s="155">
        <v>1201</v>
      </c>
      <c r="E15" s="155">
        <v>7846</v>
      </c>
      <c r="F15" s="154">
        <v>146</v>
      </c>
      <c r="G15" s="155">
        <v>1541</v>
      </c>
      <c r="H15" s="155">
        <v>675</v>
      </c>
      <c r="I15" s="155">
        <v>2247</v>
      </c>
      <c r="J15" s="155">
        <v>8048</v>
      </c>
    </row>
    <row r="16" spans="1:10" x14ac:dyDescent="0.45">
      <c r="A16" s="154">
        <v>139</v>
      </c>
      <c r="B16" s="155">
        <v>632</v>
      </c>
      <c r="C16" s="155">
        <v>664</v>
      </c>
      <c r="D16" s="155">
        <v>1322</v>
      </c>
      <c r="E16" s="155">
        <v>9168</v>
      </c>
      <c r="F16" s="154">
        <v>145</v>
      </c>
      <c r="G16" s="155">
        <v>26</v>
      </c>
      <c r="H16" s="155">
        <v>5</v>
      </c>
      <c r="I16" s="155">
        <v>31</v>
      </c>
      <c r="J16" s="155">
        <v>8079</v>
      </c>
    </row>
    <row r="17" spans="1:10" x14ac:dyDescent="0.45">
      <c r="A17" s="154">
        <v>138</v>
      </c>
      <c r="B17" s="155">
        <v>612</v>
      </c>
      <c r="C17" s="155">
        <v>814</v>
      </c>
      <c r="D17" s="155">
        <v>1460</v>
      </c>
      <c r="E17" s="155">
        <v>10628</v>
      </c>
      <c r="F17" s="154">
        <v>144</v>
      </c>
      <c r="G17" s="155">
        <v>150</v>
      </c>
      <c r="H17" s="155">
        <v>66</v>
      </c>
      <c r="I17" s="155">
        <v>219</v>
      </c>
      <c r="J17" s="155">
        <v>8298</v>
      </c>
    </row>
    <row r="18" spans="1:10" x14ac:dyDescent="0.45">
      <c r="A18" s="154">
        <v>137</v>
      </c>
      <c r="B18" s="155">
        <v>697</v>
      </c>
      <c r="C18" s="155">
        <v>831</v>
      </c>
      <c r="D18" s="155">
        <v>1562</v>
      </c>
      <c r="E18" s="155">
        <v>12190</v>
      </c>
      <c r="F18" s="154">
        <v>143</v>
      </c>
      <c r="G18" s="155">
        <v>1057</v>
      </c>
      <c r="H18" s="155">
        <v>562</v>
      </c>
      <c r="I18" s="155">
        <v>1642</v>
      </c>
      <c r="J18" s="155">
        <v>9940</v>
      </c>
    </row>
    <row r="19" spans="1:10" x14ac:dyDescent="0.45">
      <c r="A19" s="154">
        <v>136</v>
      </c>
      <c r="B19" s="155">
        <v>770</v>
      </c>
      <c r="C19" s="155">
        <v>953</v>
      </c>
      <c r="D19" s="155">
        <v>1754</v>
      </c>
      <c r="E19" s="155">
        <v>13944</v>
      </c>
      <c r="F19" s="154">
        <v>142</v>
      </c>
      <c r="G19" s="155">
        <v>1547</v>
      </c>
      <c r="H19" s="155">
        <v>788</v>
      </c>
      <c r="I19" s="155">
        <v>2361</v>
      </c>
      <c r="J19" s="155">
        <v>12301</v>
      </c>
    </row>
    <row r="20" spans="1:10" x14ac:dyDescent="0.45">
      <c r="A20" s="154">
        <v>135</v>
      </c>
      <c r="B20" s="155">
        <v>857</v>
      </c>
      <c r="C20" s="155">
        <v>1034</v>
      </c>
      <c r="D20" s="155">
        <v>1932</v>
      </c>
      <c r="E20" s="155">
        <v>15876</v>
      </c>
      <c r="F20" s="154">
        <v>141</v>
      </c>
      <c r="G20" s="155">
        <v>361</v>
      </c>
      <c r="H20" s="155">
        <v>181</v>
      </c>
      <c r="I20" s="155">
        <v>556</v>
      </c>
      <c r="J20" s="155">
        <v>12857</v>
      </c>
    </row>
    <row r="21" spans="1:10" x14ac:dyDescent="0.45">
      <c r="A21" s="154">
        <v>134</v>
      </c>
      <c r="B21" s="155">
        <v>906</v>
      </c>
      <c r="C21" s="155">
        <v>1086</v>
      </c>
      <c r="D21" s="155">
        <v>2044</v>
      </c>
      <c r="E21" s="155">
        <v>17920</v>
      </c>
      <c r="F21" s="154">
        <v>140</v>
      </c>
      <c r="G21" s="155">
        <v>1539</v>
      </c>
      <c r="H21" s="155">
        <v>758</v>
      </c>
      <c r="I21" s="155">
        <v>2334</v>
      </c>
      <c r="J21" s="155">
        <v>15191</v>
      </c>
    </row>
    <row r="22" spans="1:10" x14ac:dyDescent="0.45">
      <c r="A22" s="154">
        <v>133</v>
      </c>
      <c r="B22" s="155">
        <v>900</v>
      </c>
      <c r="C22" s="155">
        <v>1114</v>
      </c>
      <c r="D22" s="155">
        <v>2059</v>
      </c>
      <c r="E22" s="155">
        <v>19979</v>
      </c>
      <c r="F22" s="154">
        <v>139</v>
      </c>
      <c r="G22" s="155">
        <v>1537</v>
      </c>
      <c r="H22" s="155">
        <v>793</v>
      </c>
      <c r="I22" s="155">
        <v>2375</v>
      </c>
      <c r="J22" s="155">
        <v>17566</v>
      </c>
    </row>
    <row r="23" spans="1:10" x14ac:dyDescent="0.45">
      <c r="A23" s="154">
        <v>132</v>
      </c>
      <c r="B23" s="155">
        <v>990</v>
      </c>
      <c r="C23" s="155">
        <v>1168</v>
      </c>
      <c r="D23" s="155">
        <v>2202</v>
      </c>
      <c r="E23" s="155">
        <v>22181</v>
      </c>
      <c r="F23" s="154">
        <v>138</v>
      </c>
      <c r="G23" s="155">
        <v>107</v>
      </c>
      <c r="H23" s="155">
        <v>54</v>
      </c>
      <c r="I23" s="155">
        <v>166</v>
      </c>
      <c r="J23" s="155">
        <v>17732</v>
      </c>
    </row>
    <row r="24" spans="1:10" x14ac:dyDescent="0.45">
      <c r="A24" s="154">
        <v>131</v>
      </c>
      <c r="B24" s="155">
        <v>1083</v>
      </c>
      <c r="C24" s="155">
        <v>1279</v>
      </c>
      <c r="D24" s="155">
        <v>2425</v>
      </c>
      <c r="E24" s="155">
        <v>24606</v>
      </c>
      <c r="F24" s="154">
        <v>137</v>
      </c>
      <c r="G24" s="155">
        <v>524</v>
      </c>
      <c r="H24" s="155">
        <v>331</v>
      </c>
      <c r="I24" s="155">
        <v>875</v>
      </c>
      <c r="J24" s="155">
        <v>18607</v>
      </c>
    </row>
    <row r="25" spans="1:10" x14ac:dyDescent="0.45">
      <c r="A25" s="154">
        <v>130</v>
      </c>
      <c r="B25" s="155">
        <v>1085</v>
      </c>
      <c r="C25" s="155">
        <v>1338</v>
      </c>
      <c r="D25" s="155">
        <v>2481</v>
      </c>
      <c r="E25" s="155">
        <v>27087</v>
      </c>
      <c r="F25" s="154">
        <v>136</v>
      </c>
      <c r="G25" s="155">
        <v>1801</v>
      </c>
      <c r="H25" s="155">
        <v>1096</v>
      </c>
      <c r="I25" s="155">
        <v>2958</v>
      </c>
      <c r="J25" s="155">
        <v>21565</v>
      </c>
    </row>
    <row r="26" spans="1:10" x14ac:dyDescent="0.45">
      <c r="A26" s="154">
        <v>129</v>
      </c>
      <c r="B26" s="155">
        <v>1181</v>
      </c>
      <c r="C26" s="155">
        <v>1366</v>
      </c>
      <c r="D26" s="155">
        <v>2599</v>
      </c>
      <c r="E26" s="155">
        <v>29686</v>
      </c>
      <c r="F26" s="154">
        <v>135</v>
      </c>
      <c r="G26" s="155">
        <v>1401</v>
      </c>
      <c r="H26" s="155">
        <v>824</v>
      </c>
      <c r="I26" s="155">
        <v>2276</v>
      </c>
      <c r="J26" s="155">
        <v>23841</v>
      </c>
    </row>
    <row r="27" spans="1:10" x14ac:dyDescent="0.45">
      <c r="A27" s="154">
        <v>128</v>
      </c>
      <c r="B27" s="155">
        <v>1252</v>
      </c>
      <c r="C27" s="155">
        <v>1523</v>
      </c>
      <c r="D27" s="155">
        <v>2836</v>
      </c>
      <c r="E27" s="155">
        <v>32522</v>
      </c>
      <c r="F27" s="154">
        <v>134</v>
      </c>
      <c r="G27" s="155">
        <v>164</v>
      </c>
      <c r="H27" s="155">
        <v>119</v>
      </c>
      <c r="I27" s="155">
        <v>291</v>
      </c>
      <c r="J27" s="155">
        <v>24132</v>
      </c>
    </row>
    <row r="28" spans="1:10" x14ac:dyDescent="0.45">
      <c r="A28" s="154">
        <v>127</v>
      </c>
      <c r="B28" s="155">
        <v>2591</v>
      </c>
      <c r="C28" s="155">
        <v>3050</v>
      </c>
      <c r="D28" s="155">
        <v>5796</v>
      </c>
      <c r="E28" s="155">
        <v>38318</v>
      </c>
      <c r="F28" s="154">
        <v>133</v>
      </c>
      <c r="G28" s="155">
        <v>2926</v>
      </c>
      <c r="H28" s="155">
        <v>1778</v>
      </c>
      <c r="I28" s="155">
        <v>4790</v>
      </c>
      <c r="J28" s="155">
        <v>28922</v>
      </c>
    </row>
    <row r="29" spans="1:10" x14ac:dyDescent="0.45">
      <c r="A29" s="154">
        <v>126</v>
      </c>
      <c r="B29" s="155">
        <v>1308</v>
      </c>
      <c r="C29" s="155">
        <v>1669</v>
      </c>
      <c r="D29" s="155">
        <v>3048</v>
      </c>
      <c r="E29" s="155">
        <v>41366</v>
      </c>
      <c r="F29" s="154">
        <v>132</v>
      </c>
      <c r="G29" s="155">
        <v>1148</v>
      </c>
      <c r="H29" s="155">
        <v>662</v>
      </c>
      <c r="I29" s="155">
        <v>1837</v>
      </c>
      <c r="J29" s="155">
        <v>30759</v>
      </c>
    </row>
    <row r="30" spans="1:10" x14ac:dyDescent="0.45">
      <c r="A30" s="154">
        <v>125</v>
      </c>
      <c r="B30" s="155">
        <v>1424</v>
      </c>
      <c r="C30" s="155">
        <v>1702</v>
      </c>
      <c r="D30" s="155">
        <v>3204</v>
      </c>
      <c r="E30" s="155">
        <v>44570</v>
      </c>
      <c r="F30" s="154">
        <v>131</v>
      </c>
      <c r="G30" s="155">
        <v>326</v>
      </c>
      <c r="H30" s="155">
        <v>218</v>
      </c>
      <c r="I30" s="155">
        <v>558</v>
      </c>
      <c r="J30" s="155">
        <v>31317</v>
      </c>
    </row>
    <row r="31" spans="1:10" x14ac:dyDescent="0.45">
      <c r="A31" s="154">
        <v>124</v>
      </c>
      <c r="B31" s="155">
        <v>1474</v>
      </c>
      <c r="C31" s="155">
        <v>1764</v>
      </c>
      <c r="D31" s="155">
        <v>3302</v>
      </c>
      <c r="E31" s="155">
        <v>47872</v>
      </c>
      <c r="F31" s="154">
        <v>130</v>
      </c>
      <c r="G31" s="155">
        <v>1220</v>
      </c>
      <c r="H31" s="155">
        <v>884</v>
      </c>
      <c r="I31" s="155">
        <v>2137</v>
      </c>
      <c r="J31" s="155">
        <v>33454</v>
      </c>
    </row>
    <row r="32" spans="1:10" x14ac:dyDescent="0.45">
      <c r="A32" s="154">
        <v>123</v>
      </c>
      <c r="B32" s="155">
        <v>1499</v>
      </c>
      <c r="C32" s="155">
        <v>1786</v>
      </c>
      <c r="D32" s="155">
        <v>3362</v>
      </c>
      <c r="E32" s="155">
        <v>51234</v>
      </c>
      <c r="F32" s="154">
        <v>129</v>
      </c>
      <c r="G32" s="155">
        <v>2014</v>
      </c>
      <c r="H32" s="155">
        <v>1459</v>
      </c>
      <c r="I32" s="155">
        <v>3546</v>
      </c>
      <c r="J32" s="155">
        <v>37000</v>
      </c>
    </row>
    <row r="33" spans="1:10" x14ac:dyDescent="0.45">
      <c r="A33" s="154">
        <v>122</v>
      </c>
      <c r="B33" s="155">
        <v>1544</v>
      </c>
      <c r="C33" s="155">
        <v>1908</v>
      </c>
      <c r="D33" s="155">
        <v>3542</v>
      </c>
      <c r="E33" s="155">
        <v>54776</v>
      </c>
      <c r="F33" s="154">
        <v>128</v>
      </c>
      <c r="G33" s="155">
        <v>900</v>
      </c>
      <c r="H33" s="155">
        <v>592</v>
      </c>
      <c r="I33" s="155">
        <v>1521</v>
      </c>
      <c r="J33" s="155">
        <v>38521</v>
      </c>
    </row>
    <row r="34" spans="1:10" x14ac:dyDescent="0.45">
      <c r="A34" s="154">
        <v>121</v>
      </c>
      <c r="B34" s="155">
        <v>1648</v>
      </c>
      <c r="C34" s="155">
        <v>1938</v>
      </c>
      <c r="D34" s="155">
        <v>3655</v>
      </c>
      <c r="E34" s="155">
        <v>58431</v>
      </c>
      <c r="F34" s="154">
        <v>127</v>
      </c>
      <c r="G34" s="155">
        <v>531</v>
      </c>
      <c r="H34" s="155">
        <v>425</v>
      </c>
      <c r="I34" s="155">
        <v>975</v>
      </c>
      <c r="J34" s="155">
        <v>39496</v>
      </c>
    </row>
    <row r="35" spans="1:10" x14ac:dyDescent="0.45">
      <c r="A35" s="154">
        <v>120</v>
      </c>
      <c r="B35" s="155">
        <v>1555</v>
      </c>
      <c r="C35" s="155">
        <v>1947</v>
      </c>
      <c r="D35" s="155">
        <v>3591</v>
      </c>
      <c r="E35" s="155">
        <v>62022</v>
      </c>
      <c r="F35" s="154">
        <v>126</v>
      </c>
      <c r="G35" s="155">
        <v>3405</v>
      </c>
      <c r="H35" s="155">
        <v>2441</v>
      </c>
      <c r="I35" s="155">
        <v>5980</v>
      </c>
      <c r="J35" s="155">
        <v>45476</v>
      </c>
    </row>
    <row r="36" spans="1:10" x14ac:dyDescent="0.45">
      <c r="A36" s="154">
        <v>119</v>
      </c>
      <c r="B36" s="155">
        <v>1717</v>
      </c>
      <c r="C36" s="155">
        <v>1996</v>
      </c>
      <c r="D36" s="155">
        <v>3816</v>
      </c>
      <c r="E36" s="155">
        <v>65838</v>
      </c>
      <c r="F36" s="154">
        <v>125</v>
      </c>
      <c r="G36" s="155">
        <v>735</v>
      </c>
      <c r="H36" s="155">
        <v>567</v>
      </c>
      <c r="I36" s="155">
        <v>1322</v>
      </c>
      <c r="J36" s="155">
        <v>46798</v>
      </c>
    </row>
    <row r="37" spans="1:10" x14ac:dyDescent="0.45">
      <c r="A37" s="154">
        <v>118</v>
      </c>
      <c r="B37" s="155">
        <v>1737</v>
      </c>
      <c r="C37" s="155">
        <v>2132</v>
      </c>
      <c r="D37" s="155">
        <v>3966</v>
      </c>
      <c r="E37" s="155">
        <v>69804</v>
      </c>
      <c r="F37" s="154">
        <v>124</v>
      </c>
      <c r="G37" s="155">
        <v>812</v>
      </c>
      <c r="H37" s="155">
        <v>744</v>
      </c>
      <c r="I37" s="155">
        <v>1593</v>
      </c>
      <c r="J37" s="155">
        <v>48391</v>
      </c>
    </row>
    <row r="38" spans="1:10" x14ac:dyDescent="0.45">
      <c r="A38" s="154">
        <v>117</v>
      </c>
      <c r="B38" s="155">
        <v>1801</v>
      </c>
      <c r="C38" s="155">
        <v>2084</v>
      </c>
      <c r="D38" s="155">
        <v>3983</v>
      </c>
      <c r="E38" s="155">
        <v>73787</v>
      </c>
      <c r="F38" s="154">
        <v>123</v>
      </c>
      <c r="G38" s="155">
        <v>1792</v>
      </c>
      <c r="H38" s="155">
        <v>1467</v>
      </c>
      <c r="I38" s="155">
        <v>3315</v>
      </c>
      <c r="J38" s="155">
        <v>51706</v>
      </c>
    </row>
    <row r="39" spans="1:10" x14ac:dyDescent="0.45">
      <c r="A39" s="154">
        <v>116</v>
      </c>
      <c r="B39" s="155">
        <v>1818</v>
      </c>
      <c r="C39" s="155">
        <v>2104</v>
      </c>
      <c r="D39" s="155">
        <v>4050</v>
      </c>
      <c r="E39" s="155">
        <v>77837</v>
      </c>
      <c r="F39" s="154">
        <v>122</v>
      </c>
      <c r="G39" s="155">
        <v>1618</v>
      </c>
      <c r="H39" s="155">
        <v>1265</v>
      </c>
      <c r="I39" s="155">
        <v>2940</v>
      </c>
      <c r="J39" s="155">
        <v>54646</v>
      </c>
    </row>
    <row r="40" spans="1:10" x14ac:dyDescent="0.45">
      <c r="A40" s="154">
        <v>115</v>
      </c>
      <c r="B40" s="155">
        <v>1806</v>
      </c>
      <c r="C40" s="155">
        <v>2168</v>
      </c>
      <c r="D40" s="155">
        <v>4080</v>
      </c>
      <c r="E40" s="155">
        <v>81917</v>
      </c>
      <c r="F40" s="154">
        <v>121</v>
      </c>
      <c r="G40" s="155">
        <v>774</v>
      </c>
      <c r="H40" s="155">
        <v>624</v>
      </c>
      <c r="I40" s="155">
        <v>1431</v>
      </c>
      <c r="J40" s="155">
        <v>56077</v>
      </c>
    </row>
    <row r="41" spans="1:10" x14ac:dyDescent="0.45">
      <c r="A41" s="154">
        <v>114</v>
      </c>
      <c r="B41" s="155">
        <v>1883</v>
      </c>
      <c r="C41" s="155">
        <v>2284</v>
      </c>
      <c r="D41" s="155">
        <v>4279</v>
      </c>
      <c r="E41" s="155">
        <v>86196</v>
      </c>
      <c r="F41" s="154">
        <v>120</v>
      </c>
      <c r="G41" s="155">
        <v>1289</v>
      </c>
      <c r="H41" s="155">
        <v>1152</v>
      </c>
      <c r="I41" s="155">
        <v>2489</v>
      </c>
      <c r="J41" s="155">
        <v>58566</v>
      </c>
    </row>
    <row r="42" spans="1:10" x14ac:dyDescent="0.45">
      <c r="A42" s="154">
        <v>113</v>
      </c>
      <c r="B42" s="155">
        <v>1967</v>
      </c>
      <c r="C42" s="155">
        <v>2231</v>
      </c>
      <c r="D42" s="155">
        <v>4290</v>
      </c>
      <c r="E42" s="155">
        <v>90486</v>
      </c>
      <c r="F42" s="154">
        <v>119</v>
      </c>
      <c r="G42" s="155">
        <v>1945</v>
      </c>
      <c r="H42" s="155">
        <v>1633</v>
      </c>
      <c r="I42" s="155">
        <v>3657</v>
      </c>
      <c r="J42" s="155">
        <v>62223</v>
      </c>
    </row>
    <row r="43" spans="1:10" x14ac:dyDescent="0.45">
      <c r="A43" s="154">
        <v>112</v>
      </c>
      <c r="B43" s="155">
        <v>1915</v>
      </c>
      <c r="C43" s="155">
        <v>2247</v>
      </c>
      <c r="D43" s="155">
        <v>4264</v>
      </c>
      <c r="E43" s="155">
        <v>94750</v>
      </c>
      <c r="F43" s="154">
        <v>118</v>
      </c>
      <c r="G43" s="155">
        <v>2264</v>
      </c>
      <c r="H43" s="155">
        <v>1893</v>
      </c>
      <c r="I43" s="155">
        <v>4229</v>
      </c>
      <c r="J43" s="155">
        <v>66452</v>
      </c>
    </row>
    <row r="44" spans="1:10" x14ac:dyDescent="0.45">
      <c r="A44" s="154">
        <v>111</v>
      </c>
      <c r="B44" s="155">
        <v>1959</v>
      </c>
      <c r="C44" s="155">
        <v>2242</v>
      </c>
      <c r="D44" s="155">
        <v>4322</v>
      </c>
      <c r="E44" s="155">
        <v>99072</v>
      </c>
      <c r="F44" s="154">
        <v>117</v>
      </c>
      <c r="G44" s="155">
        <v>1779</v>
      </c>
      <c r="H44" s="155">
        <v>1514</v>
      </c>
      <c r="I44" s="155">
        <v>3374</v>
      </c>
      <c r="J44" s="155">
        <v>69826</v>
      </c>
    </row>
    <row r="45" spans="1:10" x14ac:dyDescent="0.45">
      <c r="A45" s="154">
        <v>110</v>
      </c>
      <c r="B45" s="155">
        <v>2006</v>
      </c>
      <c r="C45" s="155">
        <v>2417</v>
      </c>
      <c r="D45" s="155">
        <v>4522</v>
      </c>
      <c r="E45" s="155">
        <v>103594</v>
      </c>
      <c r="F45" s="154">
        <v>116</v>
      </c>
      <c r="G45" s="155">
        <v>1825</v>
      </c>
      <c r="H45" s="155">
        <v>1673</v>
      </c>
      <c r="I45" s="155">
        <v>3568</v>
      </c>
      <c r="J45" s="155">
        <v>73394</v>
      </c>
    </row>
    <row r="46" spans="1:10" x14ac:dyDescent="0.45">
      <c r="A46" s="154">
        <v>109</v>
      </c>
      <c r="B46" s="155">
        <v>3994</v>
      </c>
      <c r="C46" s="155">
        <v>4716</v>
      </c>
      <c r="D46" s="155">
        <v>8942</v>
      </c>
      <c r="E46" s="155">
        <v>112536</v>
      </c>
      <c r="F46" s="154">
        <v>115</v>
      </c>
      <c r="G46" s="155">
        <v>1142</v>
      </c>
      <c r="H46" s="155">
        <v>1035</v>
      </c>
      <c r="I46" s="155">
        <v>2211</v>
      </c>
      <c r="J46" s="155">
        <v>75605</v>
      </c>
    </row>
    <row r="47" spans="1:10" x14ac:dyDescent="0.45">
      <c r="A47" s="154">
        <v>108</v>
      </c>
      <c r="B47" s="155">
        <v>2005</v>
      </c>
      <c r="C47" s="155">
        <v>2382</v>
      </c>
      <c r="D47" s="155">
        <v>4513</v>
      </c>
      <c r="E47" s="155">
        <v>117049</v>
      </c>
      <c r="F47" s="154">
        <v>114</v>
      </c>
      <c r="G47" s="155">
        <v>1452</v>
      </c>
      <c r="H47" s="155">
        <v>1379</v>
      </c>
      <c r="I47" s="155">
        <v>2887</v>
      </c>
      <c r="J47" s="155">
        <v>78492</v>
      </c>
    </row>
    <row r="48" spans="1:10" x14ac:dyDescent="0.45">
      <c r="A48" s="154">
        <v>107</v>
      </c>
      <c r="B48" s="155">
        <v>1993</v>
      </c>
      <c r="C48" s="155">
        <v>2378</v>
      </c>
      <c r="D48" s="155">
        <v>4506</v>
      </c>
      <c r="E48" s="155">
        <v>121555</v>
      </c>
      <c r="F48" s="154">
        <v>113</v>
      </c>
      <c r="G48" s="155">
        <v>1989</v>
      </c>
      <c r="H48" s="155">
        <v>1873</v>
      </c>
      <c r="I48" s="155">
        <v>3953</v>
      </c>
      <c r="J48" s="155">
        <v>82445</v>
      </c>
    </row>
    <row r="49" spans="1:10" x14ac:dyDescent="0.45">
      <c r="A49" s="154">
        <v>106</v>
      </c>
      <c r="B49" s="155">
        <v>2039</v>
      </c>
      <c r="C49" s="155">
        <v>2332</v>
      </c>
      <c r="D49" s="155">
        <v>4508</v>
      </c>
      <c r="E49" s="155">
        <v>126063</v>
      </c>
      <c r="F49" s="154">
        <v>112</v>
      </c>
      <c r="G49" s="155">
        <v>1502</v>
      </c>
      <c r="H49" s="155">
        <v>1462</v>
      </c>
      <c r="I49" s="155">
        <v>3026</v>
      </c>
      <c r="J49" s="155">
        <v>85471</v>
      </c>
    </row>
    <row r="50" spans="1:10" x14ac:dyDescent="0.45">
      <c r="A50" s="154">
        <v>105</v>
      </c>
      <c r="B50" s="155">
        <v>1997</v>
      </c>
      <c r="C50" s="155">
        <v>2465</v>
      </c>
      <c r="D50" s="155">
        <v>4599</v>
      </c>
      <c r="E50" s="155">
        <v>130662</v>
      </c>
      <c r="F50" s="154">
        <v>111</v>
      </c>
      <c r="G50" s="155">
        <v>1271</v>
      </c>
      <c r="H50" s="155">
        <v>1265</v>
      </c>
      <c r="I50" s="155">
        <v>2598</v>
      </c>
      <c r="J50" s="155">
        <v>88069</v>
      </c>
    </row>
    <row r="51" spans="1:10" x14ac:dyDescent="0.45">
      <c r="A51" s="154">
        <v>104</v>
      </c>
      <c r="B51" s="155">
        <v>2075</v>
      </c>
      <c r="C51" s="155">
        <v>2411</v>
      </c>
      <c r="D51" s="155">
        <v>4625</v>
      </c>
      <c r="E51" s="155">
        <v>135287</v>
      </c>
      <c r="F51" s="154">
        <v>110</v>
      </c>
      <c r="G51" s="155">
        <v>3925</v>
      </c>
      <c r="H51" s="155">
        <v>3930</v>
      </c>
      <c r="I51" s="155">
        <v>8044</v>
      </c>
      <c r="J51" s="155">
        <v>96113</v>
      </c>
    </row>
    <row r="52" spans="1:10" x14ac:dyDescent="0.45">
      <c r="A52" s="154">
        <v>103</v>
      </c>
      <c r="B52" s="155">
        <v>2063</v>
      </c>
      <c r="C52" s="155">
        <v>2400</v>
      </c>
      <c r="D52" s="155">
        <v>4605</v>
      </c>
      <c r="E52" s="155">
        <v>139892</v>
      </c>
      <c r="F52" s="154">
        <v>109</v>
      </c>
      <c r="G52" s="155">
        <v>1315</v>
      </c>
      <c r="H52" s="155">
        <v>1513</v>
      </c>
      <c r="I52" s="155">
        <v>2889</v>
      </c>
      <c r="J52" s="155">
        <v>99002</v>
      </c>
    </row>
    <row r="53" spans="1:10" x14ac:dyDescent="0.45">
      <c r="A53" s="154">
        <v>102</v>
      </c>
      <c r="B53" s="155">
        <v>2086</v>
      </c>
      <c r="C53" s="155">
        <v>2450</v>
      </c>
      <c r="D53" s="155">
        <v>4683</v>
      </c>
      <c r="E53" s="155">
        <v>144575</v>
      </c>
      <c r="F53" s="154">
        <v>108</v>
      </c>
      <c r="G53" s="155">
        <v>1667</v>
      </c>
      <c r="H53" s="155">
        <v>1854</v>
      </c>
      <c r="I53" s="155">
        <v>3609</v>
      </c>
      <c r="J53" s="155">
        <v>102611</v>
      </c>
    </row>
    <row r="54" spans="1:10" x14ac:dyDescent="0.45">
      <c r="A54" s="154">
        <v>101</v>
      </c>
      <c r="B54" s="155">
        <v>2021</v>
      </c>
      <c r="C54" s="155">
        <v>2386</v>
      </c>
      <c r="D54" s="155">
        <v>4550</v>
      </c>
      <c r="E54" s="155">
        <v>149125</v>
      </c>
      <c r="F54" s="154">
        <v>107</v>
      </c>
      <c r="G54" s="155">
        <v>2138</v>
      </c>
      <c r="H54" s="155">
        <v>2201</v>
      </c>
      <c r="I54" s="155">
        <v>4448</v>
      </c>
      <c r="J54" s="155">
        <v>107059</v>
      </c>
    </row>
    <row r="55" spans="1:10" x14ac:dyDescent="0.45">
      <c r="A55" s="154">
        <v>100</v>
      </c>
      <c r="B55" s="155">
        <v>2123</v>
      </c>
      <c r="C55" s="155">
        <v>2437</v>
      </c>
      <c r="D55" s="155">
        <v>4703</v>
      </c>
      <c r="E55" s="155">
        <v>153828</v>
      </c>
      <c r="F55" s="154">
        <v>106</v>
      </c>
      <c r="G55" s="155">
        <v>1547</v>
      </c>
      <c r="H55" s="155">
        <v>1668</v>
      </c>
      <c r="I55" s="155">
        <v>3289</v>
      </c>
      <c r="J55" s="155">
        <v>110348</v>
      </c>
    </row>
    <row r="56" spans="1:10" x14ac:dyDescent="0.45">
      <c r="A56" s="154">
        <v>99</v>
      </c>
      <c r="B56" s="155">
        <v>2075</v>
      </c>
      <c r="C56" s="155">
        <v>2394</v>
      </c>
      <c r="D56" s="155">
        <v>4607</v>
      </c>
      <c r="E56" s="155">
        <v>158435</v>
      </c>
      <c r="F56" s="154">
        <v>105</v>
      </c>
      <c r="G56" s="155">
        <v>1604</v>
      </c>
      <c r="H56" s="155">
        <v>1833</v>
      </c>
      <c r="I56" s="155">
        <v>3521</v>
      </c>
      <c r="J56" s="155">
        <v>113869</v>
      </c>
    </row>
    <row r="57" spans="1:10" x14ac:dyDescent="0.45">
      <c r="A57" s="154">
        <v>98</v>
      </c>
      <c r="B57" s="155">
        <v>2117</v>
      </c>
      <c r="C57" s="155">
        <v>2315</v>
      </c>
      <c r="D57" s="155">
        <v>4608</v>
      </c>
      <c r="E57" s="155">
        <v>163043</v>
      </c>
      <c r="F57" s="154">
        <v>104</v>
      </c>
      <c r="G57" s="155">
        <v>2118</v>
      </c>
      <c r="H57" s="155">
        <v>2230</v>
      </c>
      <c r="I57" s="155">
        <v>4452</v>
      </c>
      <c r="J57" s="155">
        <v>118321</v>
      </c>
    </row>
    <row r="58" spans="1:10" x14ac:dyDescent="0.45">
      <c r="A58" s="154">
        <v>97</v>
      </c>
      <c r="B58" s="155">
        <v>2214</v>
      </c>
      <c r="C58" s="155">
        <v>2416</v>
      </c>
      <c r="D58" s="155">
        <v>4792</v>
      </c>
      <c r="E58" s="155">
        <v>167835</v>
      </c>
      <c r="F58" s="154">
        <v>103</v>
      </c>
      <c r="G58" s="155">
        <v>3337</v>
      </c>
      <c r="H58" s="155">
        <v>3941</v>
      </c>
      <c r="I58" s="155">
        <v>7465</v>
      </c>
      <c r="J58" s="155">
        <v>125786</v>
      </c>
    </row>
    <row r="59" spans="1:10" x14ac:dyDescent="0.45">
      <c r="A59" s="154">
        <v>96</v>
      </c>
      <c r="B59" s="155">
        <v>2150</v>
      </c>
      <c r="C59" s="155">
        <v>2445</v>
      </c>
      <c r="D59" s="155">
        <v>4756</v>
      </c>
      <c r="E59" s="155">
        <v>172591</v>
      </c>
      <c r="F59" s="154">
        <v>102</v>
      </c>
      <c r="G59" s="155">
        <v>2025</v>
      </c>
      <c r="H59" s="155">
        <v>2161</v>
      </c>
      <c r="I59" s="155">
        <v>4306</v>
      </c>
      <c r="J59" s="155">
        <v>130092</v>
      </c>
    </row>
    <row r="60" spans="1:10" x14ac:dyDescent="0.45">
      <c r="A60" s="154">
        <v>95</v>
      </c>
      <c r="B60" s="155">
        <v>2205</v>
      </c>
      <c r="C60" s="155">
        <v>2384</v>
      </c>
      <c r="D60" s="155">
        <v>4769</v>
      </c>
      <c r="E60" s="155">
        <v>177360</v>
      </c>
      <c r="F60" s="154">
        <v>101</v>
      </c>
      <c r="G60" s="155">
        <v>1785</v>
      </c>
      <c r="H60" s="155">
        <v>2032</v>
      </c>
      <c r="I60" s="155">
        <v>3916</v>
      </c>
      <c r="J60" s="155">
        <v>134008</v>
      </c>
    </row>
    <row r="61" spans="1:10" x14ac:dyDescent="0.45">
      <c r="A61" s="154">
        <v>94</v>
      </c>
      <c r="B61" s="155">
        <v>2185</v>
      </c>
      <c r="C61" s="155">
        <v>2402</v>
      </c>
      <c r="D61" s="155">
        <v>4773</v>
      </c>
      <c r="E61" s="155">
        <v>182133</v>
      </c>
      <c r="F61" s="154">
        <v>100</v>
      </c>
      <c r="G61" s="155">
        <v>1903</v>
      </c>
      <c r="H61" s="155">
        <v>2202</v>
      </c>
      <c r="I61" s="155">
        <v>4196</v>
      </c>
      <c r="J61" s="155">
        <v>138204</v>
      </c>
    </row>
    <row r="62" spans="1:10" x14ac:dyDescent="0.45">
      <c r="A62" s="154">
        <v>93</v>
      </c>
      <c r="B62" s="155">
        <v>2285</v>
      </c>
      <c r="C62" s="155">
        <v>2247</v>
      </c>
      <c r="D62" s="155">
        <v>4729</v>
      </c>
      <c r="E62" s="155">
        <v>186862</v>
      </c>
      <c r="F62" s="154">
        <v>99</v>
      </c>
      <c r="G62" s="155">
        <v>1992</v>
      </c>
      <c r="H62" s="155">
        <v>2277</v>
      </c>
      <c r="I62" s="155">
        <v>4367</v>
      </c>
      <c r="J62" s="155">
        <v>142571</v>
      </c>
    </row>
    <row r="63" spans="1:10" x14ac:dyDescent="0.45">
      <c r="A63" s="154">
        <v>92</v>
      </c>
      <c r="B63" s="155">
        <v>4745</v>
      </c>
      <c r="C63" s="155">
        <v>4870</v>
      </c>
      <c r="D63" s="155">
        <v>10065</v>
      </c>
      <c r="E63" s="155">
        <v>196927</v>
      </c>
      <c r="F63" s="154">
        <v>98</v>
      </c>
      <c r="G63" s="155">
        <v>1743</v>
      </c>
      <c r="H63" s="155">
        <v>2044</v>
      </c>
      <c r="I63" s="155">
        <v>3881</v>
      </c>
      <c r="J63" s="155">
        <v>146452</v>
      </c>
    </row>
    <row r="64" spans="1:10" x14ac:dyDescent="0.45">
      <c r="A64" s="154">
        <v>91</v>
      </c>
      <c r="B64" s="155">
        <v>2446</v>
      </c>
      <c r="C64" s="155">
        <v>2326</v>
      </c>
      <c r="D64" s="155">
        <v>4989</v>
      </c>
      <c r="E64" s="155">
        <v>201916</v>
      </c>
      <c r="F64" s="154">
        <v>97</v>
      </c>
      <c r="G64" s="155">
        <v>1976</v>
      </c>
      <c r="H64" s="155">
        <v>2415</v>
      </c>
      <c r="I64" s="155">
        <v>4487</v>
      </c>
      <c r="J64" s="155">
        <v>150939</v>
      </c>
    </row>
    <row r="65" spans="1:10" x14ac:dyDescent="0.45">
      <c r="A65" s="154">
        <v>90</v>
      </c>
      <c r="B65" s="155">
        <v>2648</v>
      </c>
      <c r="C65" s="155">
        <v>2419</v>
      </c>
      <c r="D65" s="155">
        <v>5295</v>
      </c>
      <c r="E65" s="155">
        <v>207211</v>
      </c>
      <c r="F65" s="154">
        <v>96</v>
      </c>
      <c r="G65" s="155">
        <v>1900</v>
      </c>
      <c r="H65" s="155">
        <v>2290</v>
      </c>
      <c r="I65" s="155">
        <v>4296</v>
      </c>
      <c r="J65" s="155">
        <v>155235</v>
      </c>
    </row>
    <row r="66" spans="1:10" x14ac:dyDescent="0.45">
      <c r="A66" s="154">
        <v>89</v>
      </c>
      <c r="B66" s="155">
        <v>2453</v>
      </c>
      <c r="C66" s="155">
        <v>2276</v>
      </c>
      <c r="D66" s="155">
        <v>4961</v>
      </c>
      <c r="E66" s="155">
        <v>212172</v>
      </c>
      <c r="F66" s="154">
        <v>95</v>
      </c>
      <c r="G66" s="155">
        <v>3815</v>
      </c>
      <c r="H66" s="155">
        <v>4668</v>
      </c>
      <c r="I66" s="155">
        <v>8701</v>
      </c>
      <c r="J66" s="155">
        <v>163936</v>
      </c>
    </row>
    <row r="67" spans="1:10" x14ac:dyDescent="0.45">
      <c r="A67" s="154">
        <v>88</v>
      </c>
      <c r="B67" s="155">
        <v>7284</v>
      </c>
      <c r="C67" s="155">
        <v>4774</v>
      </c>
      <c r="D67" s="155">
        <v>13111</v>
      </c>
      <c r="E67" s="155">
        <v>225283</v>
      </c>
      <c r="F67" s="154">
        <v>94</v>
      </c>
      <c r="G67" s="155">
        <v>1865</v>
      </c>
      <c r="H67" s="155">
        <v>2295</v>
      </c>
      <c r="I67" s="155">
        <v>4271</v>
      </c>
      <c r="J67" s="155">
        <v>168207</v>
      </c>
    </row>
    <row r="68" spans="1:10" x14ac:dyDescent="0.45">
      <c r="A68" s="154">
        <v>87</v>
      </c>
      <c r="B68" s="155">
        <v>2644</v>
      </c>
      <c r="C68" s="155">
        <v>2171</v>
      </c>
      <c r="D68" s="155">
        <v>5058</v>
      </c>
      <c r="E68" s="155">
        <v>230341</v>
      </c>
      <c r="F68" s="154">
        <v>93</v>
      </c>
      <c r="G68" s="155">
        <v>1994</v>
      </c>
      <c r="H68" s="155">
        <v>2328</v>
      </c>
      <c r="I68" s="155">
        <v>4470</v>
      </c>
      <c r="J68" s="155">
        <v>172677</v>
      </c>
    </row>
    <row r="69" spans="1:10" x14ac:dyDescent="0.45">
      <c r="A69" s="154">
        <v>86</v>
      </c>
      <c r="B69" s="155">
        <v>2814</v>
      </c>
      <c r="C69" s="155">
        <v>2308</v>
      </c>
      <c r="D69" s="155">
        <v>5442</v>
      </c>
      <c r="E69" s="155">
        <v>235783</v>
      </c>
      <c r="F69" s="154">
        <v>92</v>
      </c>
      <c r="G69" s="155">
        <v>2197</v>
      </c>
      <c r="H69" s="155">
        <v>2606</v>
      </c>
      <c r="I69" s="155">
        <v>4929</v>
      </c>
      <c r="J69" s="155">
        <v>177606</v>
      </c>
    </row>
    <row r="70" spans="1:10" x14ac:dyDescent="0.45">
      <c r="A70" s="154">
        <v>85</v>
      </c>
      <c r="B70" s="155">
        <v>3711</v>
      </c>
      <c r="C70" s="155">
        <v>2523</v>
      </c>
      <c r="D70" s="155">
        <v>6632</v>
      </c>
      <c r="E70" s="155">
        <v>242415</v>
      </c>
      <c r="F70" s="154">
        <v>91</v>
      </c>
      <c r="G70" s="155">
        <v>1998</v>
      </c>
      <c r="H70" s="155">
        <v>2334</v>
      </c>
      <c r="I70" s="155">
        <v>4461</v>
      </c>
      <c r="J70" s="155">
        <v>182067</v>
      </c>
    </row>
    <row r="71" spans="1:10" x14ac:dyDescent="0.45">
      <c r="A71" s="154">
        <v>84</v>
      </c>
      <c r="B71" s="155">
        <v>2766</v>
      </c>
      <c r="C71" s="155">
        <v>2061</v>
      </c>
      <c r="D71" s="155">
        <v>5102</v>
      </c>
      <c r="E71" s="155">
        <v>247517</v>
      </c>
      <c r="F71" s="154">
        <v>90</v>
      </c>
      <c r="G71" s="155">
        <v>2107</v>
      </c>
      <c r="H71" s="155">
        <v>2437</v>
      </c>
      <c r="I71" s="155">
        <v>4671</v>
      </c>
      <c r="J71" s="155">
        <v>186738</v>
      </c>
    </row>
    <row r="72" spans="1:10" x14ac:dyDescent="0.45">
      <c r="A72" s="154">
        <v>83</v>
      </c>
      <c r="B72" s="155">
        <v>2554</v>
      </c>
      <c r="C72" s="155">
        <v>1808</v>
      </c>
      <c r="D72" s="155">
        <v>4601</v>
      </c>
      <c r="E72" s="155">
        <v>252118</v>
      </c>
      <c r="F72" s="154">
        <v>89</v>
      </c>
      <c r="G72" s="155">
        <v>2376</v>
      </c>
      <c r="H72" s="155">
        <v>2605</v>
      </c>
      <c r="I72" s="155">
        <v>5135</v>
      </c>
      <c r="J72" s="155">
        <v>191873</v>
      </c>
    </row>
    <row r="73" spans="1:10" x14ac:dyDescent="0.45">
      <c r="A73" s="154">
        <v>82</v>
      </c>
      <c r="B73" s="155">
        <v>2588</v>
      </c>
      <c r="C73" s="155">
        <v>1772</v>
      </c>
      <c r="D73" s="155">
        <v>4626</v>
      </c>
      <c r="E73" s="155">
        <v>256744</v>
      </c>
      <c r="F73" s="154">
        <v>88</v>
      </c>
      <c r="G73" s="155">
        <v>4511</v>
      </c>
      <c r="H73" s="155">
        <v>5474</v>
      </c>
      <c r="I73" s="155">
        <v>10289</v>
      </c>
      <c r="J73" s="155">
        <v>202162</v>
      </c>
    </row>
    <row r="74" spans="1:10" x14ac:dyDescent="0.45">
      <c r="A74" s="154">
        <v>81</v>
      </c>
      <c r="B74" s="155">
        <v>2351</v>
      </c>
      <c r="C74" s="155">
        <v>1610</v>
      </c>
      <c r="D74" s="155">
        <v>4233</v>
      </c>
      <c r="E74" s="155">
        <v>260977</v>
      </c>
      <c r="F74" s="154">
        <v>87</v>
      </c>
      <c r="G74" s="155">
        <v>2416</v>
      </c>
      <c r="H74" s="155">
        <v>2650</v>
      </c>
      <c r="I74" s="155">
        <v>5218</v>
      </c>
      <c r="J74" s="155">
        <v>207380</v>
      </c>
    </row>
    <row r="75" spans="1:10" x14ac:dyDescent="0.45">
      <c r="A75" s="154">
        <v>80</v>
      </c>
      <c r="B75" s="155">
        <v>2619</v>
      </c>
      <c r="C75" s="155">
        <v>1630</v>
      </c>
      <c r="D75" s="155">
        <v>4542</v>
      </c>
      <c r="E75" s="155">
        <v>265519</v>
      </c>
      <c r="F75" s="154">
        <v>86</v>
      </c>
      <c r="G75" s="155">
        <v>2444</v>
      </c>
      <c r="H75" s="155">
        <v>2805</v>
      </c>
      <c r="I75" s="155">
        <v>5415</v>
      </c>
      <c r="J75" s="155">
        <v>212795</v>
      </c>
    </row>
    <row r="76" spans="1:10" x14ac:dyDescent="0.45">
      <c r="A76" s="154">
        <v>79</v>
      </c>
      <c r="B76" s="155">
        <v>2390</v>
      </c>
      <c r="C76" s="155">
        <v>1526</v>
      </c>
      <c r="D76" s="155">
        <v>4199</v>
      </c>
      <c r="E76" s="155">
        <v>269718</v>
      </c>
      <c r="F76" s="154">
        <v>85</v>
      </c>
      <c r="G76" s="155">
        <v>3209</v>
      </c>
      <c r="H76" s="155">
        <v>3536</v>
      </c>
      <c r="I76" s="155">
        <v>6997</v>
      </c>
      <c r="J76" s="155">
        <v>219792</v>
      </c>
    </row>
    <row r="77" spans="1:10" x14ac:dyDescent="0.45">
      <c r="A77" s="154">
        <v>78</v>
      </c>
      <c r="B77" s="155">
        <v>2353</v>
      </c>
      <c r="C77" s="155">
        <v>1325</v>
      </c>
      <c r="D77" s="155">
        <v>3927</v>
      </c>
      <c r="E77" s="155">
        <v>273645</v>
      </c>
      <c r="F77" s="154">
        <v>84</v>
      </c>
      <c r="G77" s="155">
        <v>2495</v>
      </c>
      <c r="H77" s="155">
        <v>2625</v>
      </c>
      <c r="I77" s="155">
        <v>5297</v>
      </c>
      <c r="J77" s="155">
        <v>225089</v>
      </c>
    </row>
    <row r="78" spans="1:10" x14ac:dyDescent="0.45">
      <c r="A78" s="154">
        <v>77</v>
      </c>
      <c r="B78" s="155">
        <v>2470</v>
      </c>
      <c r="C78" s="155">
        <v>1374</v>
      </c>
      <c r="D78" s="155">
        <v>4128</v>
      </c>
      <c r="E78" s="155">
        <v>277773</v>
      </c>
      <c r="F78" s="154">
        <v>83</v>
      </c>
      <c r="G78" s="155">
        <v>2764</v>
      </c>
      <c r="H78" s="155">
        <v>3063</v>
      </c>
      <c r="I78" s="155">
        <v>6049</v>
      </c>
      <c r="J78" s="155">
        <v>231138</v>
      </c>
    </row>
    <row r="79" spans="1:10" x14ac:dyDescent="0.45">
      <c r="A79" s="154">
        <v>76</v>
      </c>
      <c r="B79" s="155">
        <v>2240</v>
      </c>
      <c r="C79" s="155">
        <v>1201</v>
      </c>
      <c r="D79" s="155">
        <v>3688</v>
      </c>
      <c r="E79" s="155">
        <v>281461</v>
      </c>
      <c r="F79" s="154">
        <v>82</v>
      </c>
      <c r="G79" s="155">
        <v>12883</v>
      </c>
      <c r="H79" s="155">
        <v>9602</v>
      </c>
      <c r="I79" s="155">
        <v>23719</v>
      </c>
      <c r="J79" s="155">
        <v>254857</v>
      </c>
    </row>
    <row r="80" spans="1:10" x14ac:dyDescent="0.45">
      <c r="A80" s="154">
        <v>75</v>
      </c>
      <c r="B80" s="155">
        <v>2127</v>
      </c>
      <c r="C80" s="155">
        <v>1135</v>
      </c>
      <c r="D80" s="155">
        <v>3501</v>
      </c>
      <c r="E80" s="155">
        <v>284962</v>
      </c>
      <c r="F80" s="154">
        <v>81</v>
      </c>
      <c r="G80" s="155">
        <v>2411</v>
      </c>
      <c r="H80" s="155">
        <v>2518</v>
      </c>
      <c r="I80" s="155">
        <v>5098</v>
      </c>
      <c r="J80" s="155">
        <v>259955</v>
      </c>
    </row>
    <row r="81" spans="1:10" x14ac:dyDescent="0.45">
      <c r="A81" s="154">
        <v>74</v>
      </c>
      <c r="B81" s="155">
        <v>3895</v>
      </c>
      <c r="C81" s="155">
        <v>1896</v>
      </c>
      <c r="D81" s="155">
        <v>6235</v>
      </c>
      <c r="E81" s="155">
        <v>291197</v>
      </c>
      <c r="F81" s="154">
        <v>80</v>
      </c>
      <c r="G81" s="155">
        <v>13834</v>
      </c>
      <c r="H81" s="155">
        <v>11821</v>
      </c>
      <c r="I81" s="155">
        <v>26986</v>
      </c>
      <c r="J81" s="155">
        <v>286941</v>
      </c>
    </row>
    <row r="82" spans="1:10" x14ac:dyDescent="0.45">
      <c r="A82" s="154">
        <v>73</v>
      </c>
      <c r="B82" s="155">
        <v>1662</v>
      </c>
      <c r="C82" s="155">
        <v>777</v>
      </c>
      <c r="D82" s="155">
        <v>2614</v>
      </c>
      <c r="E82" s="155">
        <v>293811</v>
      </c>
      <c r="F82" s="154">
        <v>79</v>
      </c>
      <c r="G82" s="155">
        <v>3535</v>
      </c>
      <c r="H82" s="155">
        <v>3118</v>
      </c>
      <c r="I82" s="155">
        <v>6999</v>
      </c>
      <c r="J82" s="155">
        <v>293940</v>
      </c>
    </row>
    <row r="83" spans="1:10" x14ac:dyDescent="0.45">
      <c r="A83" s="154">
        <v>72</v>
      </c>
      <c r="B83" s="155">
        <v>1793</v>
      </c>
      <c r="C83" s="155">
        <v>746</v>
      </c>
      <c r="D83" s="155">
        <v>2750</v>
      </c>
      <c r="E83" s="155">
        <v>296561</v>
      </c>
      <c r="F83" s="154">
        <v>78</v>
      </c>
      <c r="G83" s="155">
        <v>1695</v>
      </c>
      <c r="H83" s="155">
        <v>1631</v>
      </c>
      <c r="I83" s="155">
        <v>3475</v>
      </c>
      <c r="J83" s="155">
        <v>297415</v>
      </c>
    </row>
    <row r="84" spans="1:10" x14ac:dyDescent="0.45">
      <c r="A84" s="154">
        <v>71</v>
      </c>
      <c r="B84" s="155">
        <v>2193</v>
      </c>
      <c r="C84" s="155">
        <v>930</v>
      </c>
      <c r="D84" s="155">
        <v>3448</v>
      </c>
      <c r="E84" s="155">
        <v>300009</v>
      </c>
      <c r="F84" s="154">
        <v>77</v>
      </c>
      <c r="G84" s="155">
        <v>1808</v>
      </c>
      <c r="H84" s="155">
        <v>1665</v>
      </c>
      <c r="I84" s="155">
        <v>3606</v>
      </c>
      <c r="J84" s="155">
        <v>301021</v>
      </c>
    </row>
    <row r="85" spans="1:10" x14ac:dyDescent="0.45">
      <c r="A85" s="154">
        <v>70</v>
      </c>
      <c r="B85" s="155">
        <v>7121</v>
      </c>
      <c r="C85" s="155">
        <v>2527</v>
      </c>
      <c r="D85" s="155">
        <v>10802</v>
      </c>
      <c r="E85" s="155">
        <v>310811</v>
      </c>
      <c r="F85" s="154">
        <v>76</v>
      </c>
      <c r="G85" s="155">
        <v>1660</v>
      </c>
      <c r="H85" s="155">
        <v>1579</v>
      </c>
      <c r="I85" s="155">
        <v>3399</v>
      </c>
      <c r="J85" s="155">
        <v>304420</v>
      </c>
    </row>
    <row r="86" spans="1:10" x14ac:dyDescent="0.45">
      <c r="A86" s="154">
        <v>69</v>
      </c>
      <c r="B86" s="155">
        <v>830</v>
      </c>
      <c r="C86" s="155">
        <v>341</v>
      </c>
      <c r="D86" s="155">
        <v>1273</v>
      </c>
      <c r="E86" s="155">
        <v>312084</v>
      </c>
      <c r="F86" s="154">
        <v>75</v>
      </c>
      <c r="G86" s="155">
        <v>1281</v>
      </c>
      <c r="H86" s="155">
        <v>1048</v>
      </c>
      <c r="I86" s="155">
        <v>2441</v>
      </c>
      <c r="J86" s="155">
        <v>306861</v>
      </c>
    </row>
    <row r="87" spans="1:10" x14ac:dyDescent="0.45">
      <c r="A87" s="154">
        <v>68</v>
      </c>
      <c r="B87" s="155">
        <v>649</v>
      </c>
      <c r="C87" s="155">
        <v>311</v>
      </c>
      <c r="D87" s="155">
        <v>1067</v>
      </c>
      <c r="E87" s="155">
        <v>313151</v>
      </c>
      <c r="F87" s="154">
        <v>74</v>
      </c>
      <c r="G87" s="155">
        <v>1033</v>
      </c>
      <c r="H87" s="155">
        <v>881</v>
      </c>
      <c r="I87" s="155">
        <v>2009</v>
      </c>
      <c r="J87" s="155">
        <v>308870</v>
      </c>
    </row>
    <row r="88" spans="1:10" x14ac:dyDescent="0.45">
      <c r="A88" s="154">
        <v>67</v>
      </c>
      <c r="B88" s="155">
        <v>512</v>
      </c>
      <c r="C88" s="155">
        <v>182</v>
      </c>
      <c r="D88" s="155">
        <v>755</v>
      </c>
      <c r="E88" s="155">
        <v>313906</v>
      </c>
      <c r="F88" s="154">
        <v>73</v>
      </c>
      <c r="G88" s="155">
        <v>1330</v>
      </c>
      <c r="H88" s="155">
        <v>1097</v>
      </c>
      <c r="I88" s="155">
        <v>2540</v>
      </c>
      <c r="J88" s="155">
        <v>311410</v>
      </c>
    </row>
    <row r="89" spans="1:10" x14ac:dyDescent="0.45">
      <c r="A89" s="154">
        <v>66</v>
      </c>
      <c r="B89" s="155">
        <v>409</v>
      </c>
      <c r="C89" s="155">
        <v>156</v>
      </c>
      <c r="D89" s="155">
        <v>634</v>
      </c>
      <c r="E89" s="155">
        <v>314540</v>
      </c>
      <c r="F89" s="154">
        <v>72</v>
      </c>
      <c r="G89" s="155">
        <v>347</v>
      </c>
      <c r="H89" s="155">
        <v>256</v>
      </c>
      <c r="I89" s="155">
        <v>628</v>
      </c>
      <c r="J89" s="155">
        <v>312038</v>
      </c>
    </row>
    <row r="90" spans="1:10" x14ac:dyDescent="0.45">
      <c r="A90" s="154">
        <v>65</v>
      </c>
      <c r="B90" s="155">
        <v>196</v>
      </c>
      <c r="C90" s="155">
        <v>94</v>
      </c>
      <c r="D90" s="155">
        <v>337</v>
      </c>
      <c r="E90" s="155">
        <v>314877</v>
      </c>
      <c r="F90" s="154">
        <v>71</v>
      </c>
      <c r="G90" s="155">
        <v>416</v>
      </c>
      <c r="H90" s="155">
        <v>297</v>
      </c>
      <c r="I90" s="155">
        <v>752</v>
      </c>
      <c r="J90" s="155">
        <v>312790</v>
      </c>
    </row>
    <row r="91" spans="1:10" x14ac:dyDescent="0.45">
      <c r="A91" s="154">
        <v>64</v>
      </c>
      <c r="B91" s="155">
        <v>1054</v>
      </c>
      <c r="C91" s="155">
        <v>460</v>
      </c>
      <c r="D91" s="155">
        <v>1680</v>
      </c>
      <c r="E91" s="155">
        <v>316557</v>
      </c>
      <c r="F91" s="154">
        <v>70</v>
      </c>
      <c r="G91" s="155">
        <v>214</v>
      </c>
      <c r="H91" s="155">
        <v>123</v>
      </c>
      <c r="I91" s="155">
        <v>361</v>
      </c>
      <c r="J91" s="155">
        <v>313151</v>
      </c>
    </row>
    <row r="92" spans="1:10" x14ac:dyDescent="0.45">
      <c r="A92" s="154">
        <v>63</v>
      </c>
      <c r="B92" s="155">
        <v>128</v>
      </c>
      <c r="C92" s="155">
        <v>54</v>
      </c>
      <c r="D92" s="155">
        <v>207</v>
      </c>
      <c r="E92" s="155">
        <v>316764</v>
      </c>
      <c r="F92" s="154">
        <v>68</v>
      </c>
      <c r="G92" s="155">
        <v>1596</v>
      </c>
      <c r="H92" s="155">
        <v>687</v>
      </c>
      <c r="I92" s="155">
        <v>2499</v>
      </c>
      <c r="J92" s="155">
        <v>315650</v>
      </c>
    </row>
    <row r="93" spans="1:10" x14ac:dyDescent="0.45">
      <c r="A93" s="154">
        <v>62</v>
      </c>
      <c r="B93" s="155">
        <v>137</v>
      </c>
      <c r="C93" s="155">
        <v>46</v>
      </c>
      <c r="D93" s="155">
        <v>203</v>
      </c>
      <c r="E93" s="155">
        <v>316967</v>
      </c>
      <c r="F93" s="154"/>
      <c r="G93" s="155"/>
      <c r="H93" s="155"/>
      <c r="I93" s="155"/>
      <c r="J93" s="155"/>
    </row>
    <row r="94" spans="1:10" x14ac:dyDescent="0.45">
      <c r="A94" s="154">
        <v>61</v>
      </c>
      <c r="B94" s="155">
        <v>38</v>
      </c>
      <c r="C94" s="155">
        <v>4</v>
      </c>
      <c r="D94" s="155">
        <v>49</v>
      </c>
      <c r="E94" s="155">
        <v>317016</v>
      </c>
      <c r="F94" s="154"/>
      <c r="G94" s="155"/>
      <c r="H94" s="155"/>
      <c r="I94" s="155"/>
      <c r="J94" s="155"/>
    </row>
    <row r="95" spans="1:10" x14ac:dyDescent="0.45">
      <c r="A95" s="154">
        <v>60</v>
      </c>
      <c r="B95" s="155">
        <v>92</v>
      </c>
      <c r="C95" s="155">
        <v>42</v>
      </c>
      <c r="D95" s="155">
        <v>151</v>
      </c>
      <c r="E95" s="155">
        <v>317167</v>
      </c>
      <c r="F95" s="154"/>
      <c r="G95" s="155"/>
      <c r="H95" s="155"/>
      <c r="I95" s="155"/>
      <c r="J95" s="155"/>
    </row>
    <row r="96" spans="1:10" x14ac:dyDescent="0.45">
      <c r="A96" s="154">
        <v>59</v>
      </c>
      <c r="B96" s="155">
        <v>8</v>
      </c>
      <c r="C96" s="155">
        <v>0</v>
      </c>
      <c r="D96" s="155">
        <v>9</v>
      </c>
      <c r="E96" s="155">
        <v>317176</v>
      </c>
      <c r="F96" s="154"/>
      <c r="G96" s="155"/>
      <c r="H96" s="155"/>
      <c r="I96" s="155"/>
      <c r="J96" s="155"/>
    </row>
    <row r="97" spans="1:10" x14ac:dyDescent="0.45">
      <c r="A97" s="154">
        <v>58</v>
      </c>
      <c r="B97" s="155">
        <v>102</v>
      </c>
      <c r="C97" s="155">
        <v>40</v>
      </c>
      <c r="D97" s="155">
        <v>154</v>
      </c>
      <c r="E97" s="155">
        <v>317330</v>
      </c>
      <c r="F97" s="154"/>
      <c r="G97" s="155"/>
      <c r="H97" s="155"/>
      <c r="I97" s="155"/>
      <c r="J97" s="155"/>
    </row>
    <row r="98" spans="1:10" x14ac:dyDescent="0.45">
      <c r="A98" s="154">
        <v>57</v>
      </c>
      <c r="B98" s="155">
        <v>1492</v>
      </c>
      <c r="C98" s="155">
        <v>521</v>
      </c>
      <c r="D98" s="155">
        <v>2336</v>
      </c>
      <c r="E98" s="155">
        <v>319666</v>
      </c>
      <c r="F98" s="154"/>
      <c r="G98" s="155"/>
      <c r="H98" s="155"/>
      <c r="I98" s="155"/>
      <c r="J98" s="155"/>
    </row>
    <row r="99" spans="1:10" x14ac:dyDescent="0.45">
      <c r="A99" s="9"/>
      <c r="D99" s="10"/>
      <c r="F99" s="9"/>
      <c r="I99" s="10"/>
    </row>
    <row r="100" spans="1:10" x14ac:dyDescent="0.45">
      <c r="A100" s="9"/>
      <c r="D100" s="10"/>
      <c r="F100" s="9"/>
      <c r="I100" s="10"/>
    </row>
    <row r="101" spans="1:10" x14ac:dyDescent="0.45">
      <c r="A101" s="9"/>
      <c r="D101" s="10"/>
      <c r="F101" s="9"/>
      <c r="I101" s="10"/>
    </row>
    <row r="102" spans="1:10" ht="17.5" thickBot="1" x14ac:dyDescent="0.5">
      <c r="A102" s="11"/>
      <c r="B102" s="13"/>
      <c r="C102" s="13"/>
      <c r="D102" s="12"/>
      <c r="F102" s="11"/>
      <c r="G102" s="13"/>
      <c r="H102" s="13"/>
      <c r="I102" s="12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0E877-379A-49E2-992A-061D04B66978}">
  <sheetPr codeName="Sheet4"/>
  <dimension ref="A1:T224"/>
  <sheetViews>
    <sheetView topLeftCell="A212" workbookViewId="0">
      <selection activeCell="A177" sqref="A177:T222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6" t="s">
        <v>12</v>
      </c>
      <c r="B3" s="47"/>
      <c r="C3" s="47"/>
      <c r="D3" s="48"/>
      <c r="F3" s="46" t="s">
        <v>13</v>
      </c>
      <c r="G3" s="47"/>
      <c r="H3" s="47"/>
      <c r="I3" s="48"/>
      <c r="K3" s="46" t="s">
        <v>14</v>
      </c>
      <c r="L3" s="47"/>
      <c r="M3" s="47"/>
      <c r="N3" s="48"/>
      <c r="P3" s="46" t="s">
        <v>15</v>
      </c>
      <c r="Q3" s="47"/>
      <c r="R3" s="47"/>
      <c r="S3" s="48"/>
    </row>
    <row r="4" spans="1:20" x14ac:dyDescent="0.45">
      <c r="A4" s="6" t="s">
        <v>9</v>
      </c>
      <c r="B4" s="1"/>
      <c r="C4" s="1"/>
      <c r="D4" s="7" t="s">
        <v>10</v>
      </c>
      <c r="F4" s="6" t="s">
        <v>9</v>
      </c>
      <c r="G4" s="1"/>
      <c r="H4" s="1"/>
      <c r="I4" s="7" t="s">
        <v>10</v>
      </c>
      <c r="K4" s="6" t="s">
        <v>9</v>
      </c>
      <c r="L4" s="1"/>
      <c r="M4" s="1"/>
      <c r="N4" s="7" t="s">
        <v>10</v>
      </c>
      <c r="P4" s="6" t="s">
        <v>9</v>
      </c>
      <c r="Q4" s="1"/>
      <c r="R4" s="1"/>
      <c r="S4" s="7" t="s">
        <v>10</v>
      </c>
    </row>
    <row r="5" spans="1:20" x14ac:dyDescent="0.45">
      <c r="A5" s="154">
        <v>70</v>
      </c>
      <c r="B5" s="155">
        <v>329</v>
      </c>
      <c r="C5" s="155">
        <v>644</v>
      </c>
      <c r="D5" s="155">
        <v>978</v>
      </c>
      <c r="E5" s="155">
        <v>978</v>
      </c>
      <c r="F5" s="154">
        <v>82</v>
      </c>
      <c r="G5" s="155">
        <v>45</v>
      </c>
      <c r="H5" s="155">
        <v>60</v>
      </c>
      <c r="I5" s="155">
        <v>105</v>
      </c>
      <c r="J5" s="155">
        <v>105</v>
      </c>
      <c r="K5" s="154">
        <v>73</v>
      </c>
      <c r="L5" s="155">
        <v>175</v>
      </c>
      <c r="M5" s="155">
        <v>99</v>
      </c>
      <c r="N5" s="155">
        <v>277</v>
      </c>
      <c r="O5" s="155">
        <v>277</v>
      </c>
      <c r="P5" s="154">
        <v>74</v>
      </c>
      <c r="Q5" s="155">
        <v>198</v>
      </c>
      <c r="R5" s="155">
        <v>126</v>
      </c>
      <c r="S5" s="155">
        <v>326</v>
      </c>
      <c r="T5" s="155">
        <v>326</v>
      </c>
    </row>
    <row r="6" spans="1:20" x14ac:dyDescent="0.45">
      <c r="A6" s="154">
        <v>68</v>
      </c>
      <c r="B6" s="155">
        <v>122</v>
      </c>
      <c r="C6" s="155">
        <v>238</v>
      </c>
      <c r="D6" s="155">
        <v>363</v>
      </c>
      <c r="E6" s="155">
        <v>1341</v>
      </c>
      <c r="F6" s="154">
        <v>80</v>
      </c>
      <c r="G6" s="155">
        <v>38</v>
      </c>
      <c r="H6" s="155">
        <v>51</v>
      </c>
      <c r="I6" s="155">
        <v>89</v>
      </c>
      <c r="J6" s="155">
        <v>194</v>
      </c>
      <c r="K6" s="154">
        <v>71</v>
      </c>
      <c r="L6" s="155">
        <v>185</v>
      </c>
      <c r="M6" s="155">
        <v>133</v>
      </c>
      <c r="N6" s="155">
        <v>318</v>
      </c>
      <c r="O6" s="155">
        <v>595</v>
      </c>
      <c r="P6" s="154">
        <v>72</v>
      </c>
      <c r="Q6" s="155">
        <v>101</v>
      </c>
      <c r="R6" s="155">
        <v>87</v>
      </c>
      <c r="S6" s="155">
        <v>188</v>
      </c>
      <c r="T6" s="155">
        <v>514</v>
      </c>
    </row>
    <row r="7" spans="1:20" x14ac:dyDescent="0.45">
      <c r="A7" s="154">
        <v>67</v>
      </c>
      <c r="B7" s="155">
        <v>597</v>
      </c>
      <c r="C7" s="155">
        <v>1166</v>
      </c>
      <c r="D7" s="155">
        <v>1774</v>
      </c>
      <c r="E7" s="155">
        <v>3115</v>
      </c>
      <c r="F7" s="154">
        <v>79</v>
      </c>
      <c r="G7" s="155">
        <v>68</v>
      </c>
      <c r="H7" s="155">
        <v>102</v>
      </c>
      <c r="I7" s="155">
        <v>170</v>
      </c>
      <c r="J7" s="155">
        <v>364</v>
      </c>
      <c r="K7" s="154">
        <v>70</v>
      </c>
      <c r="L7" s="155">
        <v>188</v>
      </c>
      <c r="M7" s="155">
        <v>147</v>
      </c>
      <c r="N7" s="155">
        <v>337</v>
      </c>
      <c r="O7" s="155">
        <v>932</v>
      </c>
      <c r="P7" s="154">
        <v>71</v>
      </c>
      <c r="Q7" s="155">
        <v>201</v>
      </c>
      <c r="R7" s="155">
        <v>159</v>
      </c>
      <c r="S7" s="155">
        <v>360</v>
      </c>
      <c r="T7" s="155">
        <v>874</v>
      </c>
    </row>
    <row r="8" spans="1:20" x14ac:dyDescent="0.45">
      <c r="A8" s="154">
        <v>66</v>
      </c>
      <c r="B8" s="155">
        <v>31</v>
      </c>
      <c r="C8" s="155">
        <v>60</v>
      </c>
      <c r="D8" s="155">
        <v>91</v>
      </c>
      <c r="E8" s="155">
        <v>3206</v>
      </c>
      <c r="F8" s="154">
        <v>78</v>
      </c>
      <c r="G8" s="155">
        <v>21</v>
      </c>
      <c r="H8" s="155">
        <v>22</v>
      </c>
      <c r="I8" s="155">
        <v>43</v>
      </c>
      <c r="J8" s="155">
        <v>407</v>
      </c>
      <c r="K8" s="154">
        <v>69</v>
      </c>
      <c r="L8" s="155">
        <v>242</v>
      </c>
      <c r="M8" s="155">
        <v>199</v>
      </c>
      <c r="N8" s="155">
        <v>442</v>
      </c>
      <c r="O8" s="155">
        <v>1374</v>
      </c>
      <c r="P8" s="154">
        <v>70</v>
      </c>
      <c r="Q8" s="155">
        <v>31</v>
      </c>
      <c r="R8" s="155">
        <v>39</v>
      </c>
      <c r="S8" s="155">
        <v>70</v>
      </c>
      <c r="T8" s="155">
        <v>944</v>
      </c>
    </row>
    <row r="9" spans="1:20" x14ac:dyDescent="0.45">
      <c r="A9" s="154">
        <v>65</v>
      </c>
      <c r="B9" s="155">
        <v>1064</v>
      </c>
      <c r="C9" s="155">
        <v>2107</v>
      </c>
      <c r="D9" s="155">
        <v>3184</v>
      </c>
      <c r="E9" s="155">
        <v>6390</v>
      </c>
      <c r="F9" s="154">
        <v>77</v>
      </c>
      <c r="G9" s="155">
        <v>71</v>
      </c>
      <c r="H9" s="155">
        <v>114</v>
      </c>
      <c r="I9" s="155">
        <v>185</v>
      </c>
      <c r="J9" s="155">
        <v>592</v>
      </c>
      <c r="K9" s="154">
        <v>68</v>
      </c>
      <c r="L9" s="155">
        <v>100</v>
      </c>
      <c r="M9" s="155">
        <v>97</v>
      </c>
      <c r="N9" s="155">
        <v>198</v>
      </c>
      <c r="O9" s="155">
        <v>1572</v>
      </c>
      <c r="P9" s="154">
        <v>69</v>
      </c>
      <c r="Q9" s="155">
        <v>170</v>
      </c>
      <c r="R9" s="155">
        <v>163</v>
      </c>
      <c r="S9" s="155">
        <v>335</v>
      </c>
      <c r="T9" s="155">
        <v>1279</v>
      </c>
    </row>
    <row r="10" spans="1:20" x14ac:dyDescent="0.45">
      <c r="A10" s="154">
        <v>64</v>
      </c>
      <c r="B10" s="155">
        <v>127</v>
      </c>
      <c r="C10" s="155">
        <v>259</v>
      </c>
      <c r="D10" s="155">
        <v>387</v>
      </c>
      <c r="E10" s="155">
        <v>6777</v>
      </c>
      <c r="F10" s="154">
        <v>76</v>
      </c>
      <c r="G10" s="155">
        <v>48</v>
      </c>
      <c r="H10" s="155">
        <v>105</v>
      </c>
      <c r="I10" s="155">
        <v>153</v>
      </c>
      <c r="J10" s="155">
        <v>745</v>
      </c>
      <c r="K10" s="154">
        <v>67</v>
      </c>
      <c r="L10" s="155">
        <v>188</v>
      </c>
      <c r="M10" s="155">
        <v>151</v>
      </c>
      <c r="N10" s="155">
        <v>340</v>
      </c>
      <c r="O10" s="155">
        <v>1912</v>
      </c>
      <c r="P10" s="154">
        <v>68</v>
      </c>
      <c r="Q10" s="155">
        <v>161</v>
      </c>
      <c r="R10" s="155">
        <v>145</v>
      </c>
      <c r="S10" s="155">
        <v>306</v>
      </c>
      <c r="T10" s="155">
        <v>1585</v>
      </c>
    </row>
    <row r="11" spans="1:20" x14ac:dyDescent="0.45">
      <c r="A11" s="154">
        <v>63</v>
      </c>
      <c r="B11" s="155">
        <v>613</v>
      </c>
      <c r="C11" s="155">
        <v>1334</v>
      </c>
      <c r="D11" s="155">
        <v>1953</v>
      </c>
      <c r="E11" s="155">
        <v>8730</v>
      </c>
      <c r="F11" s="154">
        <v>75</v>
      </c>
      <c r="G11" s="155">
        <v>55</v>
      </c>
      <c r="H11" s="155">
        <v>125</v>
      </c>
      <c r="I11" s="155">
        <v>180</v>
      </c>
      <c r="J11" s="155">
        <v>925</v>
      </c>
      <c r="K11" s="154">
        <v>66</v>
      </c>
      <c r="L11" s="155">
        <v>293</v>
      </c>
      <c r="M11" s="155">
        <v>237</v>
      </c>
      <c r="N11" s="155">
        <v>535</v>
      </c>
      <c r="O11" s="155">
        <v>2447</v>
      </c>
      <c r="P11" s="154">
        <v>67</v>
      </c>
      <c r="Q11" s="155">
        <v>316</v>
      </c>
      <c r="R11" s="155">
        <v>330</v>
      </c>
      <c r="S11" s="155">
        <v>648</v>
      </c>
      <c r="T11" s="155">
        <v>2233</v>
      </c>
    </row>
    <row r="12" spans="1:20" x14ac:dyDescent="0.45">
      <c r="A12" s="154">
        <v>62</v>
      </c>
      <c r="B12" s="155">
        <v>775</v>
      </c>
      <c r="C12" s="155">
        <v>1504</v>
      </c>
      <c r="D12" s="155">
        <v>2289</v>
      </c>
      <c r="E12" s="155">
        <v>11019</v>
      </c>
      <c r="F12" s="154">
        <v>74</v>
      </c>
      <c r="G12" s="155">
        <v>83</v>
      </c>
      <c r="H12" s="155">
        <v>185</v>
      </c>
      <c r="I12" s="155">
        <v>269</v>
      </c>
      <c r="J12" s="155">
        <v>1194</v>
      </c>
      <c r="K12" s="154">
        <v>65</v>
      </c>
      <c r="L12" s="155">
        <v>123</v>
      </c>
      <c r="M12" s="155">
        <v>129</v>
      </c>
      <c r="N12" s="155">
        <v>252</v>
      </c>
      <c r="O12" s="155">
        <v>2699</v>
      </c>
      <c r="P12" s="154">
        <v>66</v>
      </c>
      <c r="Q12" s="155">
        <v>141</v>
      </c>
      <c r="R12" s="155">
        <v>124</v>
      </c>
      <c r="S12" s="155">
        <v>265</v>
      </c>
      <c r="T12" s="155">
        <v>2498</v>
      </c>
    </row>
    <row r="13" spans="1:20" x14ac:dyDescent="0.45">
      <c r="A13" s="154">
        <v>61</v>
      </c>
      <c r="B13" s="155">
        <v>293</v>
      </c>
      <c r="C13" s="155">
        <v>633</v>
      </c>
      <c r="D13" s="155">
        <v>935</v>
      </c>
      <c r="E13" s="155">
        <v>11954</v>
      </c>
      <c r="F13" s="154">
        <v>73</v>
      </c>
      <c r="G13" s="155">
        <v>64</v>
      </c>
      <c r="H13" s="155">
        <v>124</v>
      </c>
      <c r="I13" s="155">
        <v>189</v>
      </c>
      <c r="J13" s="155">
        <v>1383</v>
      </c>
      <c r="K13" s="154">
        <v>64</v>
      </c>
      <c r="L13" s="155">
        <v>283</v>
      </c>
      <c r="M13" s="155">
        <v>286</v>
      </c>
      <c r="N13" s="155">
        <v>570</v>
      </c>
      <c r="O13" s="155">
        <v>3269</v>
      </c>
      <c r="P13" s="154">
        <v>65</v>
      </c>
      <c r="Q13" s="155">
        <v>173</v>
      </c>
      <c r="R13" s="155">
        <v>202</v>
      </c>
      <c r="S13" s="155">
        <v>376</v>
      </c>
      <c r="T13" s="155">
        <v>2874</v>
      </c>
    </row>
    <row r="14" spans="1:20" x14ac:dyDescent="0.45">
      <c r="A14" s="154">
        <v>60</v>
      </c>
      <c r="B14" s="155">
        <v>1510</v>
      </c>
      <c r="C14" s="155">
        <v>3152</v>
      </c>
      <c r="D14" s="155">
        <v>4690</v>
      </c>
      <c r="E14" s="155">
        <v>16644</v>
      </c>
      <c r="F14" s="154">
        <v>71</v>
      </c>
      <c r="G14" s="155">
        <v>116</v>
      </c>
      <c r="H14" s="155">
        <v>221</v>
      </c>
      <c r="I14" s="155">
        <v>338</v>
      </c>
      <c r="J14" s="155">
        <v>1721</v>
      </c>
      <c r="K14" s="154">
        <v>63</v>
      </c>
      <c r="L14" s="155">
        <v>431</v>
      </c>
      <c r="M14" s="155">
        <v>493</v>
      </c>
      <c r="N14" s="155">
        <v>928</v>
      </c>
      <c r="O14" s="155">
        <v>4197</v>
      </c>
      <c r="P14" s="154">
        <v>64</v>
      </c>
      <c r="Q14" s="155">
        <v>218</v>
      </c>
      <c r="R14" s="155">
        <v>229</v>
      </c>
      <c r="S14" s="155">
        <v>448</v>
      </c>
      <c r="T14" s="155">
        <v>3322</v>
      </c>
    </row>
    <row r="15" spans="1:20" x14ac:dyDescent="0.45">
      <c r="A15" s="154">
        <v>59</v>
      </c>
      <c r="B15" s="155">
        <v>560</v>
      </c>
      <c r="C15" s="155">
        <v>1074</v>
      </c>
      <c r="D15" s="155">
        <v>1643</v>
      </c>
      <c r="E15" s="155">
        <v>18287</v>
      </c>
      <c r="F15" s="154">
        <v>70</v>
      </c>
      <c r="G15" s="155">
        <v>108</v>
      </c>
      <c r="H15" s="155">
        <v>214</v>
      </c>
      <c r="I15" s="155">
        <v>323</v>
      </c>
      <c r="J15" s="155">
        <v>2044</v>
      </c>
      <c r="K15" s="154">
        <v>62</v>
      </c>
      <c r="L15" s="155">
        <v>351</v>
      </c>
      <c r="M15" s="155">
        <v>353</v>
      </c>
      <c r="N15" s="155">
        <v>709</v>
      </c>
      <c r="O15" s="155">
        <v>4906</v>
      </c>
      <c r="P15" s="154">
        <v>63</v>
      </c>
      <c r="Q15" s="155">
        <v>179</v>
      </c>
      <c r="R15" s="155">
        <v>187</v>
      </c>
      <c r="S15" s="155">
        <v>368</v>
      </c>
      <c r="T15" s="155">
        <v>3690</v>
      </c>
    </row>
    <row r="16" spans="1:20" x14ac:dyDescent="0.45">
      <c r="A16" s="154">
        <v>58</v>
      </c>
      <c r="B16" s="155">
        <v>948</v>
      </c>
      <c r="C16" s="155">
        <v>1881</v>
      </c>
      <c r="D16" s="155">
        <v>2837</v>
      </c>
      <c r="E16" s="155">
        <v>21124</v>
      </c>
      <c r="F16" s="154">
        <v>69</v>
      </c>
      <c r="G16" s="155">
        <v>110</v>
      </c>
      <c r="H16" s="155">
        <v>253</v>
      </c>
      <c r="I16" s="155">
        <v>366</v>
      </c>
      <c r="J16" s="155">
        <v>2410</v>
      </c>
      <c r="K16" s="154">
        <v>61</v>
      </c>
      <c r="L16" s="155">
        <v>260</v>
      </c>
      <c r="M16" s="155">
        <v>264</v>
      </c>
      <c r="N16" s="155">
        <v>527</v>
      </c>
      <c r="O16" s="155">
        <v>5433</v>
      </c>
      <c r="P16" s="154">
        <v>62</v>
      </c>
      <c r="Q16" s="155">
        <v>256</v>
      </c>
      <c r="R16" s="155">
        <v>261</v>
      </c>
      <c r="S16" s="155">
        <v>520</v>
      </c>
      <c r="T16" s="155">
        <v>4210</v>
      </c>
    </row>
    <row r="17" spans="1:20" x14ac:dyDescent="0.45">
      <c r="A17" s="154">
        <v>57</v>
      </c>
      <c r="B17" s="155">
        <v>665</v>
      </c>
      <c r="C17" s="155">
        <v>1206</v>
      </c>
      <c r="D17" s="155">
        <v>1878</v>
      </c>
      <c r="E17" s="155">
        <v>23002</v>
      </c>
      <c r="F17" s="154">
        <v>68</v>
      </c>
      <c r="G17" s="155">
        <v>119</v>
      </c>
      <c r="H17" s="155">
        <v>303</v>
      </c>
      <c r="I17" s="155">
        <v>425</v>
      </c>
      <c r="J17" s="155">
        <v>2835</v>
      </c>
      <c r="K17" s="154">
        <v>60</v>
      </c>
      <c r="L17" s="155">
        <v>284</v>
      </c>
      <c r="M17" s="155">
        <v>293</v>
      </c>
      <c r="N17" s="155">
        <v>578</v>
      </c>
      <c r="O17" s="155">
        <v>6011</v>
      </c>
      <c r="P17" s="154">
        <v>61</v>
      </c>
      <c r="Q17" s="155">
        <v>233</v>
      </c>
      <c r="R17" s="155">
        <v>223</v>
      </c>
      <c r="S17" s="155">
        <v>461</v>
      </c>
      <c r="T17" s="155">
        <v>4671</v>
      </c>
    </row>
    <row r="18" spans="1:20" x14ac:dyDescent="0.45">
      <c r="A18" s="154">
        <v>56</v>
      </c>
      <c r="B18" s="155">
        <v>765</v>
      </c>
      <c r="C18" s="155">
        <v>1492</v>
      </c>
      <c r="D18" s="155">
        <v>2269</v>
      </c>
      <c r="E18" s="155">
        <v>25271</v>
      </c>
      <c r="F18" s="154">
        <v>67</v>
      </c>
      <c r="G18" s="155">
        <v>113</v>
      </c>
      <c r="H18" s="155">
        <v>301</v>
      </c>
      <c r="I18" s="155">
        <v>414</v>
      </c>
      <c r="J18" s="155">
        <v>3249</v>
      </c>
      <c r="K18" s="154">
        <v>59</v>
      </c>
      <c r="L18" s="155">
        <v>371</v>
      </c>
      <c r="M18" s="155">
        <v>421</v>
      </c>
      <c r="N18" s="155">
        <v>794</v>
      </c>
      <c r="O18" s="155">
        <v>6805</v>
      </c>
      <c r="P18" s="154">
        <v>60</v>
      </c>
      <c r="Q18" s="155">
        <v>504</v>
      </c>
      <c r="R18" s="155">
        <v>531</v>
      </c>
      <c r="S18" s="155">
        <v>1037</v>
      </c>
      <c r="T18" s="155">
        <v>5708</v>
      </c>
    </row>
    <row r="19" spans="1:20" x14ac:dyDescent="0.45">
      <c r="A19" s="154">
        <v>55</v>
      </c>
      <c r="B19" s="155">
        <v>785</v>
      </c>
      <c r="C19" s="155">
        <v>1770</v>
      </c>
      <c r="D19" s="155">
        <v>2567</v>
      </c>
      <c r="E19" s="155">
        <v>27838</v>
      </c>
      <c r="F19" s="154">
        <v>66</v>
      </c>
      <c r="G19" s="155">
        <v>149</v>
      </c>
      <c r="H19" s="155">
        <v>374</v>
      </c>
      <c r="I19" s="155">
        <v>526</v>
      </c>
      <c r="J19" s="155">
        <v>3775</v>
      </c>
      <c r="K19" s="154">
        <v>58</v>
      </c>
      <c r="L19" s="155">
        <v>246</v>
      </c>
      <c r="M19" s="155">
        <v>317</v>
      </c>
      <c r="N19" s="155">
        <v>564</v>
      </c>
      <c r="O19" s="155">
        <v>7369</v>
      </c>
      <c r="P19" s="154">
        <v>59</v>
      </c>
      <c r="Q19" s="155">
        <v>229</v>
      </c>
      <c r="R19" s="155">
        <v>236</v>
      </c>
      <c r="S19" s="155">
        <v>469</v>
      </c>
      <c r="T19" s="155">
        <v>6177</v>
      </c>
    </row>
    <row r="20" spans="1:20" x14ac:dyDescent="0.45">
      <c r="A20" s="154">
        <v>54</v>
      </c>
      <c r="B20" s="155">
        <v>1482</v>
      </c>
      <c r="C20" s="155">
        <v>2940</v>
      </c>
      <c r="D20" s="155">
        <v>4448</v>
      </c>
      <c r="E20" s="155">
        <v>32286</v>
      </c>
      <c r="F20" s="154">
        <v>65</v>
      </c>
      <c r="G20" s="155">
        <v>163</v>
      </c>
      <c r="H20" s="155">
        <v>338</v>
      </c>
      <c r="I20" s="155">
        <v>504</v>
      </c>
      <c r="J20" s="155">
        <v>4279</v>
      </c>
      <c r="K20" s="154">
        <v>57</v>
      </c>
      <c r="L20" s="155">
        <v>368</v>
      </c>
      <c r="M20" s="155">
        <v>455</v>
      </c>
      <c r="N20" s="155">
        <v>830</v>
      </c>
      <c r="O20" s="155">
        <v>8199</v>
      </c>
      <c r="P20" s="154">
        <v>58</v>
      </c>
      <c r="Q20" s="155">
        <v>292</v>
      </c>
      <c r="R20" s="155">
        <v>309</v>
      </c>
      <c r="S20" s="155">
        <v>606</v>
      </c>
      <c r="T20" s="155">
        <v>6783</v>
      </c>
    </row>
    <row r="21" spans="1:20" x14ac:dyDescent="0.45">
      <c r="A21" s="154">
        <v>53</v>
      </c>
      <c r="B21" s="155">
        <v>699</v>
      </c>
      <c r="C21" s="155">
        <v>1384</v>
      </c>
      <c r="D21" s="155">
        <v>2097</v>
      </c>
      <c r="E21" s="155">
        <v>34383</v>
      </c>
      <c r="F21" s="154">
        <v>64</v>
      </c>
      <c r="G21" s="155">
        <v>174</v>
      </c>
      <c r="H21" s="155">
        <v>422</v>
      </c>
      <c r="I21" s="155">
        <v>602</v>
      </c>
      <c r="J21" s="155">
        <v>4881</v>
      </c>
      <c r="K21" s="154">
        <v>56</v>
      </c>
      <c r="L21" s="155">
        <v>635</v>
      </c>
      <c r="M21" s="155">
        <v>889</v>
      </c>
      <c r="N21" s="155">
        <v>1540</v>
      </c>
      <c r="O21" s="155">
        <v>9739</v>
      </c>
      <c r="P21" s="154">
        <v>57</v>
      </c>
      <c r="Q21" s="155">
        <v>312</v>
      </c>
      <c r="R21" s="155">
        <v>337</v>
      </c>
      <c r="S21" s="155">
        <v>652</v>
      </c>
      <c r="T21" s="155">
        <v>7435</v>
      </c>
    </row>
    <row r="22" spans="1:20" x14ac:dyDescent="0.45">
      <c r="A22" s="154">
        <v>52</v>
      </c>
      <c r="B22" s="155">
        <v>665</v>
      </c>
      <c r="C22" s="155">
        <v>1359</v>
      </c>
      <c r="D22" s="155">
        <v>2037</v>
      </c>
      <c r="E22" s="155">
        <v>36420</v>
      </c>
      <c r="F22" s="154">
        <v>63</v>
      </c>
      <c r="G22" s="155">
        <v>209</v>
      </c>
      <c r="H22" s="155">
        <v>454</v>
      </c>
      <c r="I22" s="155">
        <v>667</v>
      </c>
      <c r="J22" s="155">
        <v>5548</v>
      </c>
      <c r="K22" s="154">
        <v>55</v>
      </c>
      <c r="L22" s="155">
        <v>387</v>
      </c>
      <c r="M22" s="155">
        <v>509</v>
      </c>
      <c r="N22" s="155">
        <v>898</v>
      </c>
      <c r="O22" s="155">
        <v>10637</v>
      </c>
      <c r="P22" s="154">
        <v>56</v>
      </c>
      <c r="Q22" s="155">
        <v>314</v>
      </c>
      <c r="R22" s="155">
        <v>310</v>
      </c>
      <c r="S22" s="155">
        <v>628</v>
      </c>
      <c r="T22" s="155">
        <v>8063</v>
      </c>
    </row>
    <row r="23" spans="1:20" x14ac:dyDescent="0.45">
      <c r="A23" s="154">
        <v>51</v>
      </c>
      <c r="B23" s="155">
        <v>688</v>
      </c>
      <c r="C23" s="155">
        <v>1424</v>
      </c>
      <c r="D23" s="155">
        <v>2122</v>
      </c>
      <c r="E23" s="155">
        <v>38542</v>
      </c>
      <c r="F23" s="154">
        <v>62</v>
      </c>
      <c r="G23" s="155">
        <v>175</v>
      </c>
      <c r="H23" s="155">
        <v>465</v>
      </c>
      <c r="I23" s="155">
        <v>647</v>
      </c>
      <c r="J23" s="155">
        <v>6195</v>
      </c>
      <c r="K23" s="154">
        <v>54</v>
      </c>
      <c r="L23" s="155">
        <v>324</v>
      </c>
      <c r="M23" s="155">
        <v>477</v>
      </c>
      <c r="N23" s="155">
        <v>806</v>
      </c>
      <c r="O23" s="155">
        <v>11443</v>
      </c>
      <c r="P23" s="154">
        <v>55</v>
      </c>
      <c r="Q23" s="155">
        <v>343</v>
      </c>
      <c r="R23" s="155">
        <v>373</v>
      </c>
      <c r="S23" s="155">
        <v>721</v>
      </c>
      <c r="T23" s="155">
        <v>8784</v>
      </c>
    </row>
    <row r="24" spans="1:20" x14ac:dyDescent="0.45">
      <c r="A24" s="154">
        <v>50</v>
      </c>
      <c r="B24" s="155">
        <v>644</v>
      </c>
      <c r="C24" s="155">
        <v>1230</v>
      </c>
      <c r="D24" s="155">
        <v>1888</v>
      </c>
      <c r="E24" s="155">
        <v>40430</v>
      </c>
      <c r="F24" s="154">
        <v>61</v>
      </c>
      <c r="G24" s="155">
        <v>226</v>
      </c>
      <c r="H24" s="155">
        <v>553</v>
      </c>
      <c r="I24" s="155">
        <v>786</v>
      </c>
      <c r="J24" s="155">
        <v>6981</v>
      </c>
      <c r="K24" s="154">
        <v>53</v>
      </c>
      <c r="L24" s="155">
        <v>379</v>
      </c>
      <c r="M24" s="155">
        <v>526</v>
      </c>
      <c r="N24" s="155">
        <v>909</v>
      </c>
      <c r="O24" s="155">
        <v>12352</v>
      </c>
      <c r="P24" s="154">
        <v>54</v>
      </c>
      <c r="Q24" s="155">
        <v>332</v>
      </c>
      <c r="R24" s="155">
        <v>339</v>
      </c>
      <c r="S24" s="155">
        <v>677</v>
      </c>
      <c r="T24" s="155">
        <v>9461</v>
      </c>
    </row>
    <row r="25" spans="1:20" x14ac:dyDescent="0.45">
      <c r="A25" s="154">
        <v>49</v>
      </c>
      <c r="B25" s="155">
        <v>1316</v>
      </c>
      <c r="C25" s="155">
        <v>2421</v>
      </c>
      <c r="D25" s="155">
        <v>3757</v>
      </c>
      <c r="E25" s="155">
        <v>44187</v>
      </c>
      <c r="F25" s="154">
        <v>60</v>
      </c>
      <c r="G25" s="155">
        <v>219</v>
      </c>
      <c r="H25" s="155">
        <v>549</v>
      </c>
      <c r="I25" s="155">
        <v>771</v>
      </c>
      <c r="J25" s="155">
        <v>7752</v>
      </c>
      <c r="K25" s="154">
        <v>52</v>
      </c>
      <c r="L25" s="155">
        <v>405</v>
      </c>
      <c r="M25" s="155">
        <v>511</v>
      </c>
      <c r="N25" s="155">
        <v>922</v>
      </c>
      <c r="O25" s="155">
        <v>13274</v>
      </c>
      <c r="P25" s="154">
        <v>53</v>
      </c>
      <c r="Q25" s="155">
        <v>340</v>
      </c>
      <c r="R25" s="155">
        <v>389</v>
      </c>
      <c r="S25" s="155">
        <v>732</v>
      </c>
      <c r="T25" s="155">
        <v>10193</v>
      </c>
    </row>
    <row r="26" spans="1:20" x14ac:dyDescent="0.45">
      <c r="A26" s="154">
        <v>48</v>
      </c>
      <c r="B26" s="155">
        <v>584</v>
      </c>
      <c r="C26" s="155">
        <v>1152</v>
      </c>
      <c r="D26" s="155">
        <v>1747</v>
      </c>
      <c r="E26" s="155">
        <v>45934</v>
      </c>
      <c r="F26" s="154">
        <v>59</v>
      </c>
      <c r="G26" s="155">
        <v>270</v>
      </c>
      <c r="H26" s="155">
        <v>618</v>
      </c>
      <c r="I26" s="155">
        <v>891</v>
      </c>
      <c r="J26" s="155">
        <v>8643</v>
      </c>
      <c r="K26" s="154">
        <v>51</v>
      </c>
      <c r="L26" s="155">
        <v>336</v>
      </c>
      <c r="M26" s="155">
        <v>450</v>
      </c>
      <c r="N26" s="155">
        <v>790</v>
      </c>
      <c r="O26" s="155">
        <v>14064</v>
      </c>
      <c r="P26" s="154">
        <v>52</v>
      </c>
      <c r="Q26" s="155">
        <v>695</v>
      </c>
      <c r="R26" s="155">
        <v>831</v>
      </c>
      <c r="S26" s="155">
        <v>1531</v>
      </c>
      <c r="T26" s="155">
        <v>11724</v>
      </c>
    </row>
    <row r="27" spans="1:20" x14ac:dyDescent="0.45">
      <c r="A27" s="154">
        <v>47</v>
      </c>
      <c r="B27" s="155">
        <v>603</v>
      </c>
      <c r="C27" s="155">
        <v>1063</v>
      </c>
      <c r="D27" s="155">
        <v>1673</v>
      </c>
      <c r="E27" s="155">
        <v>47607</v>
      </c>
      <c r="F27" s="154">
        <v>58</v>
      </c>
      <c r="G27" s="155">
        <v>282</v>
      </c>
      <c r="H27" s="155">
        <v>646</v>
      </c>
      <c r="I27" s="155">
        <v>936</v>
      </c>
      <c r="J27" s="155">
        <v>9579</v>
      </c>
      <c r="K27" s="154">
        <v>50</v>
      </c>
      <c r="L27" s="155">
        <v>383</v>
      </c>
      <c r="M27" s="155">
        <v>574</v>
      </c>
      <c r="N27" s="155">
        <v>962</v>
      </c>
      <c r="O27" s="155">
        <v>15026</v>
      </c>
      <c r="P27" s="154">
        <v>51</v>
      </c>
      <c r="Q27" s="155">
        <v>409</v>
      </c>
      <c r="R27" s="155">
        <v>433</v>
      </c>
      <c r="S27" s="155">
        <v>847</v>
      </c>
      <c r="T27" s="155">
        <v>12571</v>
      </c>
    </row>
    <row r="28" spans="1:20" x14ac:dyDescent="0.45">
      <c r="A28" s="154">
        <v>46</v>
      </c>
      <c r="B28" s="155">
        <v>526</v>
      </c>
      <c r="C28" s="155">
        <v>909</v>
      </c>
      <c r="D28" s="155">
        <v>1450</v>
      </c>
      <c r="E28" s="155">
        <v>49057</v>
      </c>
      <c r="F28" s="154">
        <v>57</v>
      </c>
      <c r="G28" s="155">
        <v>310</v>
      </c>
      <c r="H28" s="155">
        <v>730</v>
      </c>
      <c r="I28" s="155">
        <v>1046</v>
      </c>
      <c r="J28" s="155">
        <v>10625</v>
      </c>
      <c r="K28" s="154">
        <v>49</v>
      </c>
      <c r="L28" s="155">
        <v>712</v>
      </c>
      <c r="M28" s="155">
        <v>918</v>
      </c>
      <c r="N28" s="155">
        <v>1638</v>
      </c>
      <c r="O28" s="155">
        <v>16664</v>
      </c>
      <c r="P28" s="154">
        <v>50</v>
      </c>
      <c r="Q28" s="155">
        <v>354</v>
      </c>
      <c r="R28" s="155">
        <v>457</v>
      </c>
      <c r="S28" s="155">
        <v>819</v>
      </c>
      <c r="T28" s="155">
        <v>13390</v>
      </c>
    </row>
    <row r="29" spans="1:20" x14ac:dyDescent="0.45">
      <c r="A29" s="154">
        <v>45</v>
      </c>
      <c r="B29" s="155">
        <v>562</v>
      </c>
      <c r="C29" s="155">
        <v>913</v>
      </c>
      <c r="D29" s="155">
        <v>1483</v>
      </c>
      <c r="E29" s="155">
        <v>50540</v>
      </c>
      <c r="F29" s="154">
        <v>56</v>
      </c>
      <c r="G29" s="155">
        <v>334</v>
      </c>
      <c r="H29" s="155">
        <v>801</v>
      </c>
      <c r="I29" s="155">
        <v>1142</v>
      </c>
      <c r="J29" s="155">
        <v>11767</v>
      </c>
      <c r="K29" s="154">
        <v>48</v>
      </c>
      <c r="L29" s="155">
        <v>363</v>
      </c>
      <c r="M29" s="155">
        <v>493</v>
      </c>
      <c r="N29" s="155">
        <v>861</v>
      </c>
      <c r="O29" s="155">
        <v>17525</v>
      </c>
      <c r="P29" s="154">
        <v>49</v>
      </c>
      <c r="Q29" s="155">
        <v>409</v>
      </c>
      <c r="R29" s="155">
        <v>481</v>
      </c>
      <c r="S29" s="155">
        <v>897</v>
      </c>
      <c r="T29" s="155">
        <v>14287</v>
      </c>
    </row>
    <row r="30" spans="1:20" x14ac:dyDescent="0.45">
      <c r="A30" s="154">
        <v>44</v>
      </c>
      <c r="B30" s="155">
        <v>1115</v>
      </c>
      <c r="C30" s="155">
        <v>1629</v>
      </c>
      <c r="D30" s="155">
        <v>2763</v>
      </c>
      <c r="E30" s="155">
        <v>53303</v>
      </c>
      <c r="F30" s="154">
        <v>55</v>
      </c>
      <c r="G30" s="155">
        <v>341</v>
      </c>
      <c r="H30" s="155">
        <v>782</v>
      </c>
      <c r="I30" s="155">
        <v>1128</v>
      </c>
      <c r="J30" s="155">
        <v>12895</v>
      </c>
      <c r="K30" s="154">
        <v>47</v>
      </c>
      <c r="L30" s="155">
        <v>323</v>
      </c>
      <c r="M30" s="155">
        <v>404</v>
      </c>
      <c r="N30" s="155">
        <v>732</v>
      </c>
      <c r="O30" s="155">
        <v>18257</v>
      </c>
      <c r="P30" s="154">
        <v>48</v>
      </c>
      <c r="Q30" s="155">
        <v>443</v>
      </c>
      <c r="R30" s="155">
        <v>467</v>
      </c>
      <c r="S30" s="155">
        <v>914</v>
      </c>
      <c r="T30" s="155">
        <v>15201</v>
      </c>
    </row>
    <row r="31" spans="1:20" x14ac:dyDescent="0.45">
      <c r="A31" s="154">
        <v>43</v>
      </c>
      <c r="B31" s="155">
        <v>521</v>
      </c>
      <c r="C31" s="155">
        <v>744</v>
      </c>
      <c r="D31" s="155">
        <v>1274</v>
      </c>
      <c r="E31" s="155">
        <v>54577</v>
      </c>
      <c r="F31" s="154">
        <v>54</v>
      </c>
      <c r="G31" s="155">
        <v>434</v>
      </c>
      <c r="H31" s="155">
        <v>808</v>
      </c>
      <c r="I31" s="155">
        <v>1247</v>
      </c>
      <c r="J31" s="155">
        <v>14142</v>
      </c>
      <c r="K31" s="154">
        <v>46</v>
      </c>
      <c r="L31" s="155">
        <v>349</v>
      </c>
      <c r="M31" s="155">
        <v>448</v>
      </c>
      <c r="N31" s="155">
        <v>803</v>
      </c>
      <c r="O31" s="155">
        <v>19060</v>
      </c>
      <c r="P31" s="154">
        <v>47</v>
      </c>
      <c r="Q31" s="155">
        <v>375</v>
      </c>
      <c r="R31" s="155">
        <v>430</v>
      </c>
      <c r="S31" s="155">
        <v>810</v>
      </c>
      <c r="T31" s="155">
        <v>16011</v>
      </c>
    </row>
    <row r="32" spans="1:20" x14ac:dyDescent="0.45">
      <c r="A32" s="154">
        <v>42</v>
      </c>
      <c r="B32" s="155">
        <v>533</v>
      </c>
      <c r="C32" s="155">
        <v>708</v>
      </c>
      <c r="D32" s="155">
        <v>1252</v>
      </c>
      <c r="E32" s="155">
        <v>55829</v>
      </c>
      <c r="F32" s="154">
        <v>53</v>
      </c>
      <c r="G32" s="155">
        <v>446</v>
      </c>
      <c r="H32" s="155">
        <v>892</v>
      </c>
      <c r="I32" s="155">
        <v>1345</v>
      </c>
      <c r="J32" s="155">
        <v>15487</v>
      </c>
      <c r="K32" s="154">
        <v>45</v>
      </c>
      <c r="L32" s="155">
        <v>365</v>
      </c>
      <c r="M32" s="155">
        <v>440</v>
      </c>
      <c r="N32" s="155">
        <v>808</v>
      </c>
      <c r="O32" s="155">
        <v>19868</v>
      </c>
      <c r="P32" s="154">
        <v>46</v>
      </c>
      <c r="Q32" s="155">
        <v>439</v>
      </c>
      <c r="R32" s="155">
        <v>468</v>
      </c>
      <c r="S32" s="155">
        <v>912</v>
      </c>
      <c r="T32" s="155">
        <v>16923</v>
      </c>
    </row>
    <row r="33" spans="1:20" x14ac:dyDescent="0.45">
      <c r="A33" s="154">
        <v>41</v>
      </c>
      <c r="B33" s="155">
        <v>578</v>
      </c>
      <c r="C33" s="155">
        <v>706</v>
      </c>
      <c r="D33" s="155">
        <v>1298</v>
      </c>
      <c r="E33" s="155">
        <v>57127</v>
      </c>
      <c r="F33" s="154">
        <v>52</v>
      </c>
      <c r="G33" s="155">
        <v>470</v>
      </c>
      <c r="H33" s="155">
        <v>901</v>
      </c>
      <c r="I33" s="155">
        <v>1382</v>
      </c>
      <c r="J33" s="155">
        <v>16869</v>
      </c>
      <c r="K33" s="154">
        <v>44</v>
      </c>
      <c r="L33" s="155">
        <v>337</v>
      </c>
      <c r="M33" s="155">
        <v>392</v>
      </c>
      <c r="N33" s="155">
        <v>738</v>
      </c>
      <c r="O33" s="155">
        <v>20606</v>
      </c>
      <c r="P33" s="154">
        <v>45</v>
      </c>
      <c r="Q33" s="155">
        <v>434</v>
      </c>
      <c r="R33" s="155">
        <v>462</v>
      </c>
      <c r="S33" s="155">
        <v>905</v>
      </c>
      <c r="T33" s="155">
        <v>17828</v>
      </c>
    </row>
    <row r="34" spans="1:20" x14ac:dyDescent="0.45">
      <c r="A34" s="154">
        <v>40</v>
      </c>
      <c r="B34" s="155">
        <v>519</v>
      </c>
      <c r="C34" s="155">
        <v>596</v>
      </c>
      <c r="D34" s="155">
        <v>1119</v>
      </c>
      <c r="E34" s="155">
        <v>58246</v>
      </c>
      <c r="F34" s="154">
        <v>51</v>
      </c>
      <c r="G34" s="155">
        <v>514</v>
      </c>
      <c r="H34" s="155">
        <v>998</v>
      </c>
      <c r="I34" s="155">
        <v>1525</v>
      </c>
      <c r="J34" s="155">
        <v>18394</v>
      </c>
      <c r="K34" s="154">
        <v>43</v>
      </c>
      <c r="L34" s="155">
        <v>361</v>
      </c>
      <c r="M34" s="155">
        <v>409</v>
      </c>
      <c r="N34" s="155">
        <v>778</v>
      </c>
      <c r="O34" s="155">
        <v>21384</v>
      </c>
      <c r="P34" s="154">
        <v>44</v>
      </c>
      <c r="Q34" s="155">
        <v>783</v>
      </c>
      <c r="R34" s="155">
        <v>828</v>
      </c>
      <c r="S34" s="155">
        <v>1624</v>
      </c>
      <c r="T34" s="155">
        <v>19452</v>
      </c>
    </row>
    <row r="35" spans="1:20" x14ac:dyDescent="0.45">
      <c r="A35" s="154">
        <v>39</v>
      </c>
      <c r="B35" s="155">
        <v>3701</v>
      </c>
      <c r="C35" s="155">
        <v>2542</v>
      </c>
      <c r="D35" s="155">
        <v>6350</v>
      </c>
      <c r="E35" s="155">
        <v>64596</v>
      </c>
      <c r="F35" s="154">
        <v>50</v>
      </c>
      <c r="G35" s="155">
        <v>545</v>
      </c>
      <c r="H35" s="155">
        <v>962</v>
      </c>
      <c r="I35" s="155">
        <v>1521</v>
      </c>
      <c r="J35" s="155">
        <v>19915</v>
      </c>
      <c r="K35" s="154">
        <v>42</v>
      </c>
      <c r="L35" s="155">
        <v>687</v>
      </c>
      <c r="M35" s="155">
        <v>683</v>
      </c>
      <c r="N35" s="155">
        <v>1383</v>
      </c>
      <c r="O35" s="155">
        <v>22767</v>
      </c>
      <c r="P35" s="154">
        <v>43</v>
      </c>
      <c r="Q35" s="155">
        <v>350</v>
      </c>
      <c r="R35" s="155">
        <v>400</v>
      </c>
      <c r="S35" s="155">
        <v>758</v>
      </c>
      <c r="T35" s="155">
        <v>20210</v>
      </c>
    </row>
    <row r="36" spans="1:20" x14ac:dyDescent="0.45">
      <c r="A36" s="154">
        <v>38</v>
      </c>
      <c r="B36" s="155">
        <v>613</v>
      </c>
      <c r="C36" s="155">
        <v>589</v>
      </c>
      <c r="D36" s="155">
        <v>1209</v>
      </c>
      <c r="E36" s="155">
        <v>65805</v>
      </c>
      <c r="F36" s="154">
        <v>49</v>
      </c>
      <c r="G36" s="155">
        <v>601</v>
      </c>
      <c r="H36" s="155">
        <v>1070</v>
      </c>
      <c r="I36" s="155">
        <v>1680</v>
      </c>
      <c r="J36" s="155">
        <v>21595</v>
      </c>
      <c r="K36" s="154">
        <v>41</v>
      </c>
      <c r="L36" s="155">
        <v>449</v>
      </c>
      <c r="M36" s="155">
        <v>309</v>
      </c>
      <c r="N36" s="155">
        <v>762</v>
      </c>
      <c r="O36" s="155">
        <v>23529</v>
      </c>
      <c r="P36" s="154">
        <v>42</v>
      </c>
      <c r="Q36" s="155">
        <v>447</v>
      </c>
      <c r="R36" s="155">
        <v>416</v>
      </c>
      <c r="S36" s="155">
        <v>864</v>
      </c>
      <c r="T36" s="155">
        <v>21074</v>
      </c>
    </row>
    <row r="37" spans="1:20" x14ac:dyDescent="0.45">
      <c r="A37" s="154">
        <v>37</v>
      </c>
      <c r="B37" s="155">
        <v>698</v>
      </c>
      <c r="C37" s="155">
        <v>586</v>
      </c>
      <c r="D37" s="155">
        <v>1299</v>
      </c>
      <c r="E37" s="155">
        <v>67104</v>
      </c>
      <c r="F37" s="154">
        <v>48</v>
      </c>
      <c r="G37" s="155">
        <v>664</v>
      </c>
      <c r="H37" s="155">
        <v>1099</v>
      </c>
      <c r="I37" s="155">
        <v>1781</v>
      </c>
      <c r="J37" s="155">
        <v>23376</v>
      </c>
      <c r="K37" s="154">
        <v>40</v>
      </c>
      <c r="L37" s="155">
        <v>369</v>
      </c>
      <c r="M37" s="155">
        <v>337</v>
      </c>
      <c r="N37" s="155">
        <v>716</v>
      </c>
      <c r="O37" s="155">
        <v>24245</v>
      </c>
      <c r="P37" s="154">
        <v>41</v>
      </c>
      <c r="Q37" s="155">
        <v>318</v>
      </c>
      <c r="R37" s="155">
        <v>300</v>
      </c>
      <c r="S37" s="155">
        <v>623</v>
      </c>
      <c r="T37" s="155">
        <v>21697</v>
      </c>
    </row>
    <row r="38" spans="1:20" x14ac:dyDescent="0.45">
      <c r="A38" s="154">
        <v>36</v>
      </c>
      <c r="B38" s="155">
        <v>2342</v>
      </c>
      <c r="C38" s="155">
        <v>1664</v>
      </c>
      <c r="D38" s="155">
        <v>4070</v>
      </c>
      <c r="E38" s="155">
        <v>71174</v>
      </c>
      <c r="F38" s="154">
        <v>47</v>
      </c>
      <c r="G38" s="155">
        <v>624</v>
      </c>
      <c r="H38" s="155">
        <v>947</v>
      </c>
      <c r="I38" s="155">
        <v>1583</v>
      </c>
      <c r="J38" s="155">
        <v>24959</v>
      </c>
      <c r="K38" s="154">
        <v>39</v>
      </c>
      <c r="L38" s="155">
        <v>1367</v>
      </c>
      <c r="M38" s="155">
        <v>725</v>
      </c>
      <c r="N38" s="155">
        <v>2120</v>
      </c>
      <c r="O38" s="155">
        <v>26365</v>
      </c>
      <c r="P38" s="154">
        <v>40</v>
      </c>
      <c r="Q38" s="155">
        <v>968</v>
      </c>
      <c r="R38" s="155">
        <v>624</v>
      </c>
      <c r="S38" s="155">
        <v>1614</v>
      </c>
      <c r="T38" s="155">
        <v>23311</v>
      </c>
    </row>
    <row r="39" spans="1:20" x14ac:dyDescent="0.45">
      <c r="A39" s="154">
        <v>35</v>
      </c>
      <c r="B39" s="155">
        <v>797</v>
      </c>
      <c r="C39" s="155">
        <v>717</v>
      </c>
      <c r="D39" s="155">
        <v>1530</v>
      </c>
      <c r="E39" s="155">
        <v>72704</v>
      </c>
      <c r="F39" s="154">
        <v>46</v>
      </c>
      <c r="G39" s="155">
        <v>1839</v>
      </c>
      <c r="H39" s="155">
        <v>1764</v>
      </c>
      <c r="I39" s="155">
        <v>3667</v>
      </c>
      <c r="J39" s="155">
        <v>28626</v>
      </c>
      <c r="K39" s="154">
        <v>38</v>
      </c>
      <c r="L39" s="155">
        <v>1168</v>
      </c>
      <c r="M39" s="155">
        <v>767</v>
      </c>
      <c r="N39" s="155">
        <v>1962</v>
      </c>
      <c r="O39" s="155">
        <v>28327</v>
      </c>
      <c r="P39" s="154">
        <v>39</v>
      </c>
      <c r="Q39" s="155">
        <v>339</v>
      </c>
      <c r="R39" s="155">
        <v>283</v>
      </c>
      <c r="S39" s="155">
        <v>630</v>
      </c>
      <c r="T39" s="155">
        <v>23941</v>
      </c>
    </row>
    <row r="40" spans="1:20" x14ac:dyDescent="0.45">
      <c r="A40" s="154">
        <v>34</v>
      </c>
      <c r="B40" s="155">
        <v>478</v>
      </c>
      <c r="C40" s="155">
        <v>396</v>
      </c>
      <c r="D40" s="155">
        <v>886</v>
      </c>
      <c r="E40" s="155">
        <v>73590</v>
      </c>
      <c r="F40" s="154">
        <v>45</v>
      </c>
      <c r="G40" s="155">
        <v>598</v>
      </c>
      <c r="H40" s="155">
        <v>853</v>
      </c>
      <c r="I40" s="155">
        <v>1455</v>
      </c>
      <c r="J40" s="155">
        <v>30081</v>
      </c>
      <c r="K40" s="154">
        <v>37</v>
      </c>
      <c r="L40" s="155">
        <v>446</v>
      </c>
      <c r="M40" s="155">
        <v>298</v>
      </c>
      <c r="N40" s="155">
        <v>758</v>
      </c>
      <c r="O40" s="155">
        <v>29085</v>
      </c>
      <c r="P40" s="154">
        <v>38</v>
      </c>
      <c r="Q40" s="155">
        <v>262</v>
      </c>
      <c r="R40" s="155">
        <v>228</v>
      </c>
      <c r="S40" s="155">
        <v>493</v>
      </c>
      <c r="T40" s="155">
        <v>24434</v>
      </c>
    </row>
    <row r="41" spans="1:20" x14ac:dyDescent="0.45">
      <c r="A41" s="154">
        <v>33</v>
      </c>
      <c r="B41" s="155">
        <v>859</v>
      </c>
      <c r="C41" s="155">
        <v>642</v>
      </c>
      <c r="D41" s="155">
        <v>1530</v>
      </c>
      <c r="E41" s="155">
        <v>75120</v>
      </c>
      <c r="F41" s="154">
        <v>44</v>
      </c>
      <c r="G41" s="155">
        <v>635</v>
      </c>
      <c r="H41" s="155">
        <v>857</v>
      </c>
      <c r="I41" s="155">
        <v>1496</v>
      </c>
      <c r="J41" s="155">
        <v>31577</v>
      </c>
      <c r="K41" s="154">
        <v>36</v>
      </c>
      <c r="L41" s="155">
        <v>242</v>
      </c>
      <c r="M41" s="155">
        <v>158</v>
      </c>
      <c r="N41" s="155">
        <v>405</v>
      </c>
      <c r="O41" s="155">
        <v>29490</v>
      </c>
      <c r="P41" s="154">
        <v>37</v>
      </c>
      <c r="Q41" s="155">
        <v>1406</v>
      </c>
      <c r="R41" s="155">
        <v>838</v>
      </c>
      <c r="S41" s="155">
        <v>2274</v>
      </c>
      <c r="T41" s="155">
        <v>26708</v>
      </c>
    </row>
    <row r="42" spans="1:20" x14ac:dyDescent="0.45">
      <c r="A42" s="154">
        <v>32</v>
      </c>
      <c r="B42" s="155">
        <v>290</v>
      </c>
      <c r="C42" s="155">
        <v>233</v>
      </c>
      <c r="D42" s="155">
        <v>531</v>
      </c>
      <c r="E42" s="155">
        <v>75651</v>
      </c>
      <c r="F42" s="154">
        <v>43</v>
      </c>
      <c r="G42" s="155">
        <v>670</v>
      </c>
      <c r="H42" s="155">
        <v>851</v>
      </c>
      <c r="I42" s="155">
        <v>1535</v>
      </c>
      <c r="J42" s="155">
        <v>33112</v>
      </c>
      <c r="K42" s="154">
        <v>35</v>
      </c>
      <c r="L42" s="155">
        <v>353</v>
      </c>
      <c r="M42" s="155">
        <v>228</v>
      </c>
      <c r="N42" s="155">
        <v>585</v>
      </c>
      <c r="O42" s="155">
        <v>30075</v>
      </c>
      <c r="P42" s="154">
        <v>36</v>
      </c>
      <c r="Q42" s="155">
        <v>185</v>
      </c>
      <c r="R42" s="155">
        <v>146</v>
      </c>
      <c r="S42" s="155">
        <v>334</v>
      </c>
      <c r="T42" s="155">
        <v>27042</v>
      </c>
    </row>
    <row r="43" spans="1:20" x14ac:dyDescent="0.45">
      <c r="A43" s="154">
        <v>31</v>
      </c>
      <c r="B43" s="155">
        <v>141</v>
      </c>
      <c r="C43" s="155">
        <v>143</v>
      </c>
      <c r="D43" s="155">
        <v>288</v>
      </c>
      <c r="E43" s="155">
        <v>75939</v>
      </c>
      <c r="F43" s="154">
        <v>42</v>
      </c>
      <c r="G43" s="155">
        <v>583</v>
      </c>
      <c r="H43" s="155">
        <v>678</v>
      </c>
      <c r="I43" s="155">
        <v>1276</v>
      </c>
      <c r="J43" s="155">
        <v>34388</v>
      </c>
      <c r="K43" s="154">
        <v>34</v>
      </c>
      <c r="L43" s="155">
        <v>158</v>
      </c>
      <c r="M43" s="155">
        <v>93</v>
      </c>
      <c r="N43" s="155">
        <v>256</v>
      </c>
      <c r="O43" s="155">
        <v>30331</v>
      </c>
      <c r="P43" s="154">
        <v>35</v>
      </c>
      <c r="Q43" s="155">
        <v>144</v>
      </c>
      <c r="R43" s="155">
        <v>109</v>
      </c>
      <c r="S43" s="155">
        <v>253</v>
      </c>
      <c r="T43" s="155">
        <v>27295</v>
      </c>
    </row>
    <row r="44" spans="1:20" x14ac:dyDescent="0.45">
      <c r="A44" s="154">
        <v>30</v>
      </c>
      <c r="B44" s="155">
        <v>123</v>
      </c>
      <c r="C44" s="155">
        <v>92</v>
      </c>
      <c r="D44" s="155">
        <v>217</v>
      </c>
      <c r="E44" s="155">
        <v>76156</v>
      </c>
      <c r="F44" s="154">
        <v>41</v>
      </c>
      <c r="G44" s="155">
        <v>823</v>
      </c>
      <c r="H44" s="155">
        <v>928</v>
      </c>
      <c r="I44" s="155">
        <v>1777</v>
      </c>
      <c r="J44" s="155">
        <v>36165</v>
      </c>
      <c r="K44" s="154">
        <v>33</v>
      </c>
      <c r="L44" s="155">
        <v>107</v>
      </c>
      <c r="M44" s="155">
        <v>55</v>
      </c>
      <c r="N44" s="155">
        <v>164</v>
      </c>
      <c r="O44" s="155">
        <v>30495</v>
      </c>
      <c r="P44" s="154">
        <v>34</v>
      </c>
      <c r="Q44" s="155">
        <v>122</v>
      </c>
      <c r="R44" s="155">
        <v>72</v>
      </c>
      <c r="S44" s="155">
        <v>195</v>
      </c>
      <c r="T44" s="155">
        <v>27490</v>
      </c>
    </row>
    <row r="45" spans="1:20" x14ac:dyDescent="0.45">
      <c r="A45" s="154">
        <v>29</v>
      </c>
      <c r="B45" s="155">
        <v>83</v>
      </c>
      <c r="C45" s="155">
        <v>59</v>
      </c>
      <c r="D45" s="155">
        <v>145</v>
      </c>
      <c r="E45" s="155">
        <v>76301</v>
      </c>
      <c r="F45" s="154">
        <v>39</v>
      </c>
      <c r="G45" s="155">
        <v>2582</v>
      </c>
      <c r="H45" s="155">
        <v>1625</v>
      </c>
      <c r="I45" s="155">
        <v>4282</v>
      </c>
      <c r="J45" s="155">
        <v>40447</v>
      </c>
      <c r="K45" s="154">
        <v>32</v>
      </c>
      <c r="L45" s="155">
        <v>49</v>
      </c>
      <c r="M45" s="155">
        <v>28</v>
      </c>
      <c r="N45" s="155">
        <v>78</v>
      </c>
      <c r="O45" s="155">
        <v>30573</v>
      </c>
      <c r="P45" s="154">
        <v>33</v>
      </c>
      <c r="Q45" s="155">
        <v>73</v>
      </c>
      <c r="R45" s="155">
        <v>47</v>
      </c>
      <c r="S45" s="155">
        <v>123</v>
      </c>
      <c r="T45" s="155">
        <v>27613</v>
      </c>
    </row>
    <row r="46" spans="1:20" x14ac:dyDescent="0.45">
      <c r="A46" s="154">
        <v>28</v>
      </c>
      <c r="B46" s="155">
        <v>52</v>
      </c>
      <c r="C46" s="155">
        <v>35</v>
      </c>
      <c r="D46" s="155">
        <v>89</v>
      </c>
      <c r="E46" s="155">
        <v>76390</v>
      </c>
      <c r="F46" s="154">
        <v>38</v>
      </c>
      <c r="G46" s="155">
        <v>367</v>
      </c>
      <c r="H46" s="155">
        <v>423</v>
      </c>
      <c r="I46" s="155">
        <v>802</v>
      </c>
      <c r="J46" s="155">
        <v>41249</v>
      </c>
      <c r="K46" s="154">
        <v>31</v>
      </c>
      <c r="L46" s="155">
        <v>53</v>
      </c>
      <c r="M46" s="155">
        <v>35</v>
      </c>
      <c r="N46" s="155">
        <v>88</v>
      </c>
      <c r="O46" s="155">
        <v>30661</v>
      </c>
      <c r="P46" s="154">
        <v>32</v>
      </c>
      <c r="Q46" s="155">
        <v>40</v>
      </c>
      <c r="R46" s="155">
        <v>31</v>
      </c>
      <c r="S46" s="155">
        <v>72</v>
      </c>
      <c r="T46" s="155">
        <v>27685</v>
      </c>
    </row>
    <row r="47" spans="1:20" x14ac:dyDescent="0.45">
      <c r="A47" s="154"/>
      <c r="B47" s="155"/>
      <c r="C47" s="155"/>
      <c r="D47" s="155"/>
      <c r="E47" s="155"/>
      <c r="F47" s="154">
        <v>37</v>
      </c>
      <c r="G47" s="155">
        <v>623</v>
      </c>
      <c r="H47" s="155">
        <v>528</v>
      </c>
      <c r="I47" s="155">
        <v>1163</v>
      </c>
      <c r="J47" s="155">
        <v>42412</v>
      </c>
      <c r="K47" s="154">
        <v>29</v>
      </c>
      <c r="L47" s="155">
        <v>22</v>
      </c>
      <c r="M47" s="155">
        <v>11</v>
      </c>
      <c r="N47" s="155">
        <v>34</v>
      </c>
      <c r="O47" s="155">
        <v>30695</v>
      </c>
      <c r="P47" s="154">
        <v>31</v>
      </c>
      <c r="Q47" s="155">
        <v>46</v>
      </c>
      <c r="R47" s="155">
        <v>26</v>
      </c>
      <c r="S47" s="155">
        <v>74</v>
      </c>
      <c r="T47" s="155">
        <v>27759</v>
      </c>
    </row>
    <row r="48" spans="1:20" x14ac:dyDescent="0.45">
      <c r="A48" s="152"/>
      <c r="B48" s="153"/>
      <c r="C48" s="153"/>
      <c r="D48" s="153"/>
      <c r="E48" s="155"/>
      <c r="F48" s="154">
        <v>36</v>
      </c>
      <c r="G48" s="155">
        <v>227</v>
      </c>
      <c r="H48" s="155">
        <v>197</v>
      </c>
      <c r="I48" s="155">
        <v>432</v>
      </c>
      <c r="J48" s="155">
        <v>42844</v>
      </c>
      <c r="K48" s="154"/>
      <c r="L48" s="155"/>
      <c r="M48" s="155"/>
      <c r="N48" s="155"/>
      <c r="O48" s="155"/>
      <c r="P48" s="154">
        <v>29</v>
      </c>
      <c r="Q48" s="155">
        <v>19</v>
      </c>
      <c r="R48" s="155">
        <v>3</v>
      </c>
      <c r="S48" s="155">
        <v>22</v>
      </c>
      <c r="T48" s="155">
        <v>27781</v>
      </c>
    </row>
    <row r="49" spans="1:20" x14ac:dyDescent="0.45">
      <c r="A49" s="152"/>
      <c r="B49" s="153"/>
      <c r="C49" s="153"/>
      <c r="D49" s="153"/>
      <c r="E49" s="155"/>
      <c r="F49" s="154">
        <v>35</v>
      </c>
      <c r="G49" s="155">
        <v>282</v>
      </c>
      <c r="H49" s="155">
        <v>247</v>
      </c>
      <c r="I49" s="155">
        <v>532</v>
      </c>
      <c r="J49" s="155">
        <v>43376</v>
      </c>
      <c r="K49" s="154"/>
      <c r="L49" s="155"/>
      <c r="M49" s="155"/>
      <c r="N49" s="155"/>
      <c r="O49" s="155"/>
      <c r="P49" s="154"/>
      <c r="Q49" s="155"/>
      <c r="R49" s="155"/>
      <c r="S49" s="155"/>
      <c r="T49" s="155"/>
    </row>
    <row r="50" spans="1:20" x14ac:dyDescent="0.45">
      <c r="A50" s="152"/>
      <c r="B50" s="153"/>
      <c r="C50" s="153"/>
      <c r="D50" s="153"/>
      <c r="E50" s="153"/>
      <c r="F50" s="154">
        <v>34</v>
      </c>
      <c r="G50" s="155">
        <v>126</v>
      </c>
      <c r="H50" s="155">
        <v>117</v>
      </c>
      <c r="I50" s="155">
        <v>243</v>
      </c>
      <c r="J50" s="155">
        <v>43619</v>
      </c>
      <c r="K50" s="154"/>
      <c r="L50" s="155"/>
      <c r="M50" s="155"/>
      <c r="N50" s="155"/>
      <c r="O50" s="155"/>
      <c r="P50" s="154"/>
      <c r="Q50" s="155"/>
      <c r="R50" s="155"/>
      <c r="S50" s="155"/>
      <c r="T50" s="155"/>
    </row>
    <row r="51" spans="1:20" x14ac:dyDescent="0.45">
      <c r="A51" s="152"/>
      <c r="B51" s="153"/>
      <c r="C51" s="153"/>
      <c r="D51" s="153"/>
      <c r="E51" s="153"/>
      <c r="F51" s="154">
        <v>33</v>
      </c>
      <c r="G51" s="155">
        <v>75</v>
      </c>
      <c r="H51" s="155">
        <v>61</v>
      </c>
      <c r="I51" s="155">
        <v>138</v>
      </c>
      <c r="J51" s="155">
        <v>43757</v>
      </c>
      <c r="K51" s="154"/>
      <c r="L51" s="155"/>
      <c r="M51" s="155"/>
      <c r="N51" s="155"/>
      <c r="O51" s="155"/>
      <c r="P51" s="154"/>
      <c r="Q51" s="155"/>
      <c r="R51" s="155"/>
      <c r="S51" s="155"/>
      <c r="T51" s="155"/>
    </row>
    <row r="52" spans="1:20" x14ac:dyDescent="0.45">
      <c r="A52" s="152"/>
      <c r="B52" s="153"/>
      <c r="C52" s="153"/>
      <c r="D52" s="153"/>
      <c r="E52" s="153"/>
      <c r="F52" s="154">
        <v>32</v>
      </c>
      <c r="G52" s="155">
        <v>95</v>
      </c>
      <c r="H52" s="155">
        <v>74</v>
      </c>
      <c r="I52" s="155">
        <v>171</v>
      </c>
      <c r="J52" s="155">
        <v>43928</v>
      </c>
      <c r="K52" s="154"/>
      <c r="L52" s="155"/>
      <c r="M52" s="155"/>
      <c r="N52" s="155"/>
      <c r="O52" s="155"/>
      <c r="P52" s="154"/>
      <c r="Q52" s="155"/>
      <c r="R52" s="155"/>
      <c r="S52" s="155"/>
      <c r="T52" s="155"/>
    </row>
    <row r="53" spans="1:20" x14ac:dyDescent="0.45">
      <c r="A53" s="152"/>
      <c r="B53" s="153"/>
      <c r="C53" s="153"/>
      <c r="D53" s="153"/>
      <c r="E53" s="153"/>
      <c r="F53" s="154">
        <v>30</v>
      </c>
      <c r="G53" s="155">
        <v>90</v>
      </c>
      <c r="H53" s="155">
        <v>54</v>
      </c>
      <c r="I53" s="155">
        <v>146</v>
      </c>
      <c r="J53" s="155">
        <v>44074</v>
      </c>
      <c r="K53" s="154"/>
      <c r="L53" s="155"/>
      <c r="M53" s="155"/>
      <c r="N53" s="155"/>
      <c r="O53" s="155"/>
      <c r="P53" s="154"/>
      <c r="Q53" s="155"/>
      <c r="R53" s="155"/>
      <c r="S53" s="155"/>
      <c r="T53" s="155"/>
    </row>
    <row r="61" spans="1:20" ht="17.5" thickBot="1" x14ac:dyDescent="0.5"/>
    <row r="62" spans="1:20" x14ac:dyDescent="0.45">
      <c r="A62" s="46" t="s">
        <v>16</v>
      </c>
      <c r="B62" s="47"/>
      <c r="C62" s="47"/>
      <c r="D62" s="48"/>
      <c r="F62" s="46" t="s">
        <v>17</v>
      </c>
      <c r="G62" s="47"/>
      <c r="H62" s="47"/>
      <c r="I62" s="48"/>
      <c r="K62" s="46" t="s">
        <v>18</v>
      </c>
      <c r="L62" s="47"/>
      <c r="M62" s="47"/>
      <c r="N62" s="48"/>
      <c r="P62" s="46" t="s">
        <v>61</v>
      </c>
      <c r="Q62" s="47"/>
      <c r="R62" s="47"/>
      <c r="S62" s="48"/>
    </row>
    <row r="63" spans="1:20" x14ac:dyDescent="0.45">
      <c r="A63" s="6" t="s">
        <v>9</v>
      </c>
      <c r="B63" s="1"/>
      <c r="C63" s="1"/>
      <c r="D63" s="7" t="s">
        <v>10</v>
      </c>
      <c r="F63" s="6" t="s">
        <v>9</v>
      </c>
      <c r="G63" s="1"/>
      <c r="H63" s="1"/>
      <c r="I63" s="7" t="s">
        <v>10</v>
      </c>
      <c r="K63" s="6" t="s">
        <v>9</v>
      </c>
      <c r="L63" s="1"/>
      <c r="M63" s="1"/>
      <c r="N63" s="7" t="s">
        <v>10</v>
      </c>
      <c r="P63" s="6" t="s">
        <v>9</v>
      </c>
      <c r="Q63" s="1"/>
      <c r="R63" s="1"/>
      <c r="S63" s="7" t="s">
        <v>10</v>
      </c>
    </row>
    <row r="64" spans="1:20" x14ac:dyDescent="0.45">
      <c r="A64" s="154">
        <v>76</v>
      </c>
      <c r="B64" s="155">
        <v>108</v>
      </c>
      <c r="C64" s="155">
        <v>34</v>
      </c>
      <c r="D64" s="155">
        <v>142</v>
      </c>
      <c r="E64" s="155">
        <v>142</v>
      </c>
      <c r="F64" s="154">
        <v>75</v>
      </c>
      <c r="G64" s="155">
        <v>255</v>
      </c>
      <c r="H64" s="155">
        <v>66</v>
      </c>
      <c r="I64" s="155">
        <v>321</v>
      </c>
      <c r="J64" s="155">
        <v>321</v>
      </c>
      <c r="K64" s="154">
        <v>72</v>
      </c>
      <c r="L64" s="155">
        <v>141</v>
      </c>
      <c r="M64" s="155">
        <v>77</v>
      </c>
      <c r="N64" s="155">
        <v>218</v>
      </c>
      <c r="O64" s="155">
        <v>218</v>
      </c>
      <c r="P64" s="154">
        <v>70</v>
      </c>
      <c r="Q64" s="155">
        <v>336</v>
      </c>
      <c r="R64" s="155">
        <v>370</v>
      </c>
      <c r="S64" s="155">
        <v>708</v>
      </c>
      <c r="T64" s="155">
        <v>708</v>
      </c>
    </row>
    <row r="65" spans="1:20" x14ac:dyDescent="0.45">
      <c r="A65" s="154">
        <v>74</v>
      </c>
      <c r="B65" s="155">
        <v>53</v>
      </c>
      <c r="C65" s="155">
        <v>8</v>
      </c>
      <c r="D65" s="155">
        <v>61</v>
      </c>
      <c r="E65" s="155">
        <v>203</v>
      </c>
      <c r="F65" s="154">
        <v>74</v>
      </c>
      <c r="G65" s="155">
        <v>93</v>
      </c>
      <c r="H65" s="155">
        <v>37</v>
      </c>
      <c r="I65" s="155">
        <v>130</v>
      </c>
      <c r="J65" s="155">
        <v>451</v>
      </c>
      <c r="K65" s="154">
        <v>71</v>
      </c>
      <c r="L65" s="155">
        <v>86</v>
      </c>
      <c r="M65" s="155">
        <v>57</v>
      </c>
      <c r="N65" s="155">
        <v>143</v>
      </c>
      <c r="O65" s="155">
        <v>361</v>
      </c>
      <c r="P65" s="154">
        <v>68</v>
      </c>
      <c r="Q65" s="155">
        <v>431</v>
      </c>
      <c r="R65" s="155">
        <v>559</v>
      </c>
      <c r="S65" s="155">
        <v>993</v>
      </c>
      <c r="T65" s="155">
        <v>1701</v>
      </c>
    </row>
    <row r="66" spans="1:20" x14ac:dyDescent="0.45">
      <c r="A66" s="154">
        <v>73</v>
      </c>
      <c r="B66" s="155">
        <v>85</v>
      </c>
      <c r="C66" s="155">
        <v>49</v>
      </c>
      <c r="D66" s="155">
        <v>134</v>
      </c>
      <c r="E66" s="155">
        <v>337</v>
      </c>
      <c r="F66" s="154">
        <v>73</v>
      </c>
      <c r="G66" s="155">
        <v>177</v>
      </c>
      <c r="H66" s="155">
        <v>48</v>
      </c>
      <c r="I66" s="155">
        <v>225</v>
      </c>
      <c r="J66" s="155">
        <v>676</v>
      </c>
      <c r="K66" s="154">
        <v>70</v>
      </c>
      <c r="L66" s="155">
        <v>104</v>
      </c>
      <c r="M66" s="155">
        <v>71</v>
      </c>
      <c r="N66" s="155">
        <v>176</v>
      </c>
      <c r="O66" s="155">
        <v>537</v>
      </c>
      <c r="P66" s="154">
        <v>67</v>
      </c>
      <c r="Q66" s="155">
        <v>57</v>
      </c>
      <c r="R66" s="155">
        <v>67</v>
      </c>
      <c r="S66" s="155">
        <v>125</v>
      </c>
      <c r="T66" s="155">
        <v>1826</v>
      </c>
    </row>
    <row r="67" spans="1:20" x14ac:dyDescent="0.45">
      <c r="A67" s="154">
        <v>72</v>
      </c>
      <c r="B67" s="155">
        <v>19</v>
      </c>
      <c r="C67" s="155">
        <v>11</v>
      </c>
      <c r="D67" s="155">
        <v>30</v>
      </c>
      <c r="E67" s="155">
        <v>367</v>
      </c>
      <c r="F67" s="154">
        <v>72</v>
      </c>
      <c r="G67" s="155">
        <v>36</v>
      </c>
      <c r="H67" s="155">
        <v>23</v>
      </c>
      <c r="I67" s="155">
        <v>59</v>
      </c>
      <c r="J67" s="155">
        <v>735</v>
      </c>
      <c r="K67" s="154">
        <v>69</v>
      </c>
      <c r="L67" s="155">
        <v>40</v>
      </c>
      <c r="M67" s="155">
        <v>20</v>
      </c>
      <c r="N67" s="155">
        <v>60</v>
      </c>
      <c r="O67" s="155">
        <v>597</v>
      </c>
      <c r="P67" s="154">
        <v>66</v>
      </c>
      <c r="Q67" s="155">
        <v>240</v>
      </c>
      <c r="R67" s="155">
        <v>411</v>
      </c>
      <c r="S67" s="155">
        <v>654</v>
      </c>
      <c r="T67" s="155">
        <v>2480</v>
      </c>
    </row>
    <row r="68" spans="1:20" x14ac:dyDescent="0.45">
      <c r="A68" s="154">
        <v>71</v>
      </c>
      <c r="B68" s="155">
        <v>93</v>
      </c>
      <c r="C68" s="155">
        <v>39</v>
      </c>
      <c r="D68" s="155">
        <v>132</v>
      </c>
      <c r="E68" s="155">
        <v>499</v>
      </c>
      <c r="F68" s="154">
        <v>71</v>
      </c>
      <c r="G68" s="155">
        <v>192</v>
      </c>
      <c r="H68" s="155">
        <v>65</v>
      </c>
      <c r="I68" s="155">
        <v>257</v>
      </c>
      <c r="J68" s="155">
        <v>992</v>
      </c>
      <c r="K68" s="154">
        <v>68</v>
      </c>
      <c r="L68" s="155">
        <v>222</v>
      </c>
      <c r="M68" s="155">
        <v>112</v>
      </c>
      <c r="N68" s="155">
        <v>336</v>
      </c>
      <c r="O68" s="155">
        <v>933</v>
      </c>
      <c r="P68" s="154">
        <v>65</v>
      </c>
      <c r="Q68" s="155">
        <v>355</v>
      </c>
      <c r="R68" s="155">
        <v>529</v>
      </c>
      <c r="S68" s="155">
        <v>891</v>
      </c>
      <c r="T68" s="155">
        <v>3371</v>
      </c>
    </row>
    <row r="69" spans="1:20" x14ac:dyDescent="0.45">
      <c r="A69" s="154">
        <v>70</v>
      </c>
      <c r="B69" s="155">
        <v>132</v>
      </c>
      <c r="C69" s="155">
        <v>72</v>
      </c>
      <c r="D69" s="155">
        <v>206</v>
      </c>
      <c r="E69" s="155">
        <v>705</v>
      </c>
      <c r="F69" s="154">
        <v>70</v>
      </c>
      <c r="G69" s="155">
        <v>116</v>
      </c>
      <c r="H69" s="155">
        <v>40</v>
      </c>
      <c r="I69" s="155">
        <v>156</v>
      </c>
      <c r="J69" s="155">
        <v>1148</v>
      </c>
      <c r="K69" s="154">
        <v>67</v>
      </c>
      <c r="L69" s="155">
        <v>73</v>
      </c>
      <c r="M69" s="155">
        <v>47</v>
      </c>
      <c r="N69" s="155">
        <v>120</v>
      </c>
      <c r="O69" s="155">
        <v>1053</v>
      </c>
      <c r="P69" s="154">
        <v>64</v>
      </c>
      <c r="Q69" s="155">
        <v>254</v>
      </c>
      <c r="R69" s="155">
        <v>476</v>
      </c>
      <c r="S69" s="155">
        <v>733</v>
      </c>
      <c r="T69" s="155">
        <v>4104</v>
      </c>
    </row>
    <row r="70" spans="1:20" x14ac:dyDescent="0.45">
      <c r="A70" s="154">
        <v>69</v>
      </c>
      <c r="B70" s="155">
        <v>80</v>
      </c>
      <c r="C70" s="155">
        <v>54</v>
      </c>
      <c r="D70" s="155">
        <v>134</v>
      </c>
      <c r="E70" s="155">
        <v>839</v>
      </c>
      <c r="F70" s="154">
        <v>69</v>
      </c>
      <c r="G70" s="155">
        <v>254</v>
      </c>
      <c r="H70" s="155">
        <v>121</v>
      </c>
      <c r="I70" s="155">
        <v>376</v>
      </c>
      <c r="J70" s="155">
        <v>1524</v>
      </c>
      <c r="K70" s="154">
        <v>66</v>
      </c>
      <c r="L70" s="155">
        <v>114</v>
      </c>
      <c r="M70" s="155">
        <v>93</v>
      </c>
      <c r="N70" s="155">
        <v>207</v>
      </c>
      <c r="O70" s="155">
        <v>1260</v>
      </c>
      <c r="P70" s="154">
        <v>63</v>
      </c>
      <c r="Q70" s="155">
        <v>171</v>
      </c>
      <c r="R70" s="155">
        <v>266</v>
      </c>
      <c r="S70" s="155">
        <v>438</v>
      </c>
      <c r="T70" s="155">
        <v>4542</v>
      </c>
    </row>
    <row r="71" spans="1:20" x14ac:dyDescent="0.45">
      <c r="A71" s="154">
        <v>68</v>
      </c>
      <c r="B71" s="155">
        <v>61</v>
      </c>
      <c r="C71" s="155">
        <v>45</v>
      </c>
      <c r="D71" s="155">
        <v>106</v>
      </c>
      <c r="E71" s="155">
        <v>945</v>
      </c>
      <c r="F71" s="154">
        <v>68</v>
      </c>
      <c r="G71" s="155">
        <v>119</v>
      </c>
      <c r="H71" s="155">
        <v>55</v>
      </c>
      <c r="I71" s="155">
        <v>176</v>
      </c>
      <c r="J71" s="155">
        <v>1700</v>
      </c>
      <c r="K71" s="154">
        <v>65</v>
      </c>
      <c r="L71" s="155">
        <v>85</v>
      </c>
      <c r="M71" s="155">
        <v>49</v>
      </c>
      <c r="N71" s="155">
        <v>134</v>
      </c>
      <c r="O71" s="155">
        <v>1394</v>
      </c>
      <c r="P71" s="154">
        <v>62</v>
      </c>
      <c r="Q71" s="155">
        <v>257</v>
      </c>
      <c r="R71" s="155">
        <v>409</v>
      </c>
      <c r="S71" s="155">
        <v>668</v>
      </c>
      <c r="T71" s="155">
        <v>5210</v>
      </c>
    </row>
    <row r="72" spans="1:20" x14ac:dyDescent="0.45">
      <c r="A72" s="154">
        <v>67</v>
      </c>
      <c r="B72" s="155">
        <v>79</v>
      </c>
      <c r="C72" s="155">
        <v>41</v>
      </c>
      <c r="D72" s="155">
        <v>121</v>
      </c>
      <c r="E72" s="155">
        <v>1066</v>
      </c>
      <c r="F72" s="154">
        <v>67</v>
      </c>
      <c r="G72" s="155">
        <v>154</v>
      </c>
      <c r="H72" s="155">
        <v>81</v>
      </c>
      <c r="I72" s="155">
        <v>235</v>
      </c>
      <c r="J72" s="155">
        <v>1935</v>
      </c>
      <c r="K72" s="154">
        <v>64</v>
      </c>
      <c r="L72" s="155">
        <v>270</v>
      </c>
      <c r="M72" s="155">
        <v>159</v>
      </c>
      <c r="N72" s="155">
        <v>432</v>
      </c>
      <c r="O72" s="155">
        <v>1826</v>
      </c>
      <c r="P72" s="154">
        <v>61</v>
      </c>
      <c r="Q72" s="155">
        <v>420</v>
      </c>
      <c r="R72" s="155">
        <v>744</v>
      </c>
      <c r="S72" s="155">
        <v>1168</v>
      </c>
      <c r="T72" s="155">
        <v>6378</v>
      </c>
    </row>
    <row r="73" spans="1:20" x14ac:dyDescent="0.45">
      <c r="A73" s="154">
        <v>66</v>
      </c>
      <c r="B73" s="155">
        <v>80</v>
      </c>
      <c r="C73" s="155">
        <v>73</v>
      </c>
      <c r="D73" s="155">
        <v>153</v>
      </c>
      <c r="E73" s="155">
        <v>1219</v>
      </c>
      <c r="F73" s="154">
        <v>66</v>
      </c>
      <c r="G73" s="155">
        <v>120</v>
      </c>
      <c r="H73" s="155">
        <v>76</v>
      </c>
      <c r="I73" s="155">
        <v>199</v>
      </c>
      <c r="J73" s="155">
        <v>2134</v>
      </c>
      <c r="K73" s="154">
        <v>63</v>
      </c>
      <c r="L73" s="155">
        <v>106</v>
      </c>
      <c r="M73" s="155">
        <v>66</v>
      </c>
      <c r="N73" s="155">
        <v>173</v>
      </c>
      <c r="O73" s="155">
        <v>1999</v>
      </c>
      <c r="P73" s="154">
        <v>60</v>
      </c>
      <c r="Q73" s="155">
        <v>290</v>
      </c>
      <c r="R73" s="155">
        <v>547</v>
      </c>
      <c r="S73" s="155">
        <v>842</v>
      </c>
      <c r="T73" s="155">
        <v>7220</v>
      </c>
    </row>
    <row r="74" spans="1:20" x14ac:dyDescent="0.45">
      <c r="A74" s="154">
        <v>65</v>
      </c>
      <c r="B74" s="155">
        <v>186</v>
      </c>
      <c r="C74" s="155">
        <v>115</v>
      </c>
      <c r="D74" s="155">
        <v>302</v>
      </c>
      <c r="E74" s="155">
        <v>1521</v>
      </c>
      <c r="F74" s="154">
        <v>65</v>
      </c>
      <c r="G74" s="155">
        <v>156</v>
      </c>
      <c r="H74" s="155">
        <v>83</v>
      </c>
      <c r="I74" s="155">
        <v>240</v>
      </c>
      <c r="J74" s="155">
        <v>2374</v>
      </c>
      <c r="K74" s="154">
        <v>62</v>
      </c>
      <c r="L74" s="155">
        <v>137</v>
      </c>
      <c r="M74" s="155">
        <v>91</v>
      </c>
      <c r="N74" s="155">
        <v>229</v>
      </c>
      <c r="O74" s="155">
        <v>2228</v>
      </c>
      <c r="P74" s="154">
        <v>59</v>
      </c>
      <c r="Q74" s="155">
        <v>230</v>
      </c>
      <c r="R74" s="155">
        <v>372</v>
      </c>
      <c r="S74" s="155">
        <v>607</v>
      </c>
      <c r="T74" s="155">
        <v>7827</v>
      </c>
    </row>
    <row r="75" spans="1:20" x14ac:dyDescent="0.45">
      <c r="A75" s="154">
        <v>64</v>
      </c>
      <c r="B75" s="155">
        <v>75</v>
      </c>
      <c r="C75" s="155">
        <v>63</v>
      </c>
      <c r="D75" s="155">
        <v>138</v>
      </c>
      <c r="E75" s="155">
        <v>1659</v>
      </c>
      <c r="F75" s="154">
        <v>64</v>
      </c>
      <c r="G75" s="155">
        <v>203</v>
      </c>
      <c r="H75" s="155">
        <v>100</v>
      </c>
      <c r="I75" s="155">
        <v>308</v>
      </c>
      <c r="J75" s="155">
        <v>2682</v>
      </c>
      <c r="K75" s="154">
        <v>61</v>
      </c>
      <c r="L75" s="155">
        <v>124</v>
      </c>
      <c r="M75" s="155">
        <v>76</v>
      </c>
      <c r="N75" s="155">
        <v>201</v>
      </c>
      <c r="O75" s="155">
        <v>2429</v>
      </c>
      <c r="P75" s="154">
        <v>58</v>
      </c>
      <c r="Q75" s="155">
        <v>508</v>
      </c>
      <c r="R75" s="155">
        <v>967</v>
      </c>
      <c r="S75" s="155">
        <v>1484</v>
      </c>
      <c r="T75" s="155">
        <v>9311</v>
      </c>
    </row>
    <row r="76" spans="1:20" x14ac:dyDescent="0.45">
      <c r="A76" s="154">
        <v>63</v>
      </c>
      <c r="B76" s="155">
        <v>79</v>
      </c>
      <c r="C76" s="155">
        <v>54</v>
      </c>
      <c r="D76" s="155">
        <v>134</v>
      </c>
      <c r="E76" s="155">
        <v>1793</v>
      </c>
      <c r="F76" s="154">
        <v>63</v>
      </c>
      <c r="G76" s="155">
        <v>365</v>
      </c>
      <c r="H76" s="155">
        <v>214</v>
      </c>
      <c r="I76" s="155">
        <v>579</v>
      </c>
      <c r="J76" s="155">
        <v>3261</v>
      </c>
      <c r="K76" s="154">
        <v>60</v>
      </c>
      <c r="L76" s="155">
        <v>266</v>
      </c>
      <c r="M76" s="155">
        <v>200</v>
      </c>
      <c r="N76" s="155">
        <v>470</v>
      </c>
      <c r="O76" s="155">
        <v>2899</v>
      </c>
      <c r="P76" s="154">
        <v>57</v>
      </c>
      <c r="Q76" s="155">
        <v>224</v>
      </c>
      <c r="R76" s="155">
        <v>402</v>
      </c>
      <c r="S76" s="155">
        <v>628</v>
      </c>
      <c r="T76" s="155">
        <v>9939</v>
      </c>
    </row>
    <row r="77" spans="1:20" x14ac:dyDescent="0.45">
      <c r="A77" s="154">
        <v>62</v>
      </c>
      <c r="B77" s="155">
        <v>95</v>
      </c>
      <c r="C77" s="155">
        <v>95</v>
      </c>
      <c r="D77" s="155">
        <v>192</v>
      </c>
      <c r="E77" s="155">
        <v>1985</v>
      </c>
      <c r="F77" s="154">
        <v>62</v>
      </c>
      <c r="G77" s="155">
        <v>188</v>
      </c>
      <c r="H77" s="155">
        <v>132</v>
      </c>
      <c r="I77" s="155">
        <v>320</v>
      </c>
      <c r="J77" s="155">
        <v>3581</v>
      </c>
      <c r="K77" s="154">
        <v>59</v>
      </c>
      <c r="L77" s="155">
        <v>132</v>
      </c>
      <c r="M77" s="155">
        <v>81</v>
      </c>
      <c r="N77" s="155">
        <v>214</v>
      </c>
      <c r="O77" s="155">
        <v>3113</v>
      </c>
      <c r="P77" s="154">
        <v>56</v>
      </c>
      <c r="Q77" s="155">
        <v>290</v>
      </c>
      <c r="R77" s="155">
        <v>519</v>
      </c>
      <c r="S77" s="155">
        <v>813</v>
      </c>
      <c r="T77" s="155">
        <v>10752</v>
      </c>
    </row>
    <row r="78" spans="1:20" x14ac:dyDescent="0.45">
      <c r="A78" s="154">
        <v>61</v>
      </c>
      <c r="B78" s="155">
        <v>93</v>
      </c>
      <c r="C78" s="155">
        <v>67</v>
      </c>
      <c r="D78" s="155">
        <v>162</v>
      </c>
      <c r="E78" s="155">
        <v>2147</v>
      </c>
      <c r="F78" s="154">
        <v>61</v>
      </c>
      <c r="G78" s="155">
        <v>209</v>
      </c>
      <c r="H78" s="155">
        <v>141</v>
      </c>
      <c r="I78" s="155">
        <v>350</v>
      </c>
      <c r="J78" s="155">
        <v>3931</v>
      </c>
      <c r="K78" s="154">
        <v>58</v>
      </c>
      <c r="L78" s="155">
        <v>132</v>
      </c>
      <c r="M78" s="155">
        <v>86</v>
      </c>
      <c r="N78" s="155">
        <v>219</v>
      </c>
      <c r="O78" s="155">
        <v>3332</v>
      </c>
      <c r="P78" s="154">
        <v>55</v>
      </c>
      <c r="Q78" s="155">
        <v>441</v>
      </c>
      <c r="R78" s="155">
        <v>927</v>
      </c>
      <c r="S78" s="155">
        <v>1375</v>
      </c>
      <c r="T78" s="155">
        <v>12127</v>
      </c>
    </row>
    <row r="79" spans="1:20" x14ac:dyDescent="0.45">
      <c r="A79" s="154">
        <v>60</v>
      </c>
      <c r="B79" s="155">
        <v>116</v>
      </c>
      <c r="C79" s="155">
        <v>83</v>
      </c>
      <c r="D79" s="155">
        <v>200</v>
      </c>
      <c r="E79" s="155">
        <v>2347</v>
      </c>
      <c r="F79" s="154">
        <v>60</v>
      </c>
      <c r="G79" s="155">
        <v>199</v>
      </c>
      <c r="H79" s="155">
        <v>144</v>
      </c>
      <c r="I79" s="155">
        <v>343</v>
      </c>
      <c r="J79" s="155">
        <v>4274</v>
      </c>
      <c r="K79" s="154">
        <v>57</v>
      </c>
      <c r="L79" s="155">
        <v>136</v>
      </c>
      <c r="M79" s="155">
        <v>75</v>
      </c>
      <c r="N79" s="155">
        <v>213</v>
      </c>
      <c r="O79" s="155">
        <v>3545</v>
      </c>
      <c r="P79" s="154">
        <v>54</v>
      </c>
      <c r="Q79" s="155">
        <v>283</v>
      </c>
      <c r="R79" s="155">
        <v>523</v>
      </c>
      <c r="S79" s="155">
        <v>808</v>
      </c>
      <c r="T79" s="155">
        <v>12935</v>
      </c>
    </row>
    <row r="80" spans="1:20" x14ac:dyDescent="0.45">
      <c r="A80" s="154">
        <v>59</v>
      </c>
      <c r="B80" s="155">
        <v>199</v>
      </c>
      <c r="C80" s="155">
        <v>180</v>
      </c>
      <c r="D80" s="155">
        <v>379</v>
      </c>
      <c r="E80" s="155">
        <v>2726</v>
      </c>
      <c r="F80" s="154">
        <v>59</v>
      </c>
      <c r="G80" s="155">
        <v>211</v>
      </c>
      <c r="H80" s="155">
        <v>170</v>
      </c>
      <c r="I80" s="155">
        <v>382</v>
      </c>
      <c r="J80" s="155">
        <v>4656</v>
      </c>
      <c r="K80" s="154">
        <v>56</v>
      </c>
      <c r="L80" s="155">
        <v>309</v>
      </c>
      <c r="M80" s="155">
        <v>195</v>
      </c>
      <c r="N80" s="155">
        <v>506</v>
      </c>
      <c r="O80" s="155">
        <v>4051</v>
      </c>
      <c r="P80" s="154">
        <v>53</v>
      </c>
      <c r="Q80" s="155">
        <v>242</v>
      </c>
      <c r="R80" s="155">
        <v>432</v>
      </c>
      <c r="S80" s="155">
        <v>677</v>
      </c>
      <c r="T80" s="155">
        <v>13612</v>
      </c>
    </row>
    <row r="81" spans="1:20" x14ac:dyDescent="0.45">
      <c r="A81" s="154">
        <v>58</v>
      </c>
      <c r="B81" s="155">
        <v>109</v>
      </c>
      <c r="C81" s="155">
        <v>127</v>
      </c>
      <c r="D81" s="155">
        <v>238</v>
      </c>
      <c r="E81" s="155">
        <v>2964</v>
      </c>
      <c r="F81" s="154">
        <v>58</v>
      </c>
      <c r="G81" s="155">
        <v>237</v>
      </c>
      <c r="H81" s="155">
        <v>187</v>
      </c>
      <c r="I81" s="155">
        <v>425</v>
      </c>
      <c r="J81" s="155">
        <v>5081</v>
      </c>
      <c r="K81" s="154">
        <v>55</v>
      </c>
      <c r="L81" s="155">
        <v>152</v>
      </c>
      <c r="M81" s="155">
        <v>75</v>
      </c>
      <c r="N81" s="155">
        <v>229</v>
      </c>
      <c r="O81" s="155">
        <v>4280</v>
      </c>
      <c r="P81" s="154">
        <v>52</v>
      </c>
      <c r="Q81" s="155">
        <v>255</v>
      </c>
      <c r="R81" s="155">
        <v>470</v>
      </c>
      <c r="S81" s="155">
        <v>729</v>
      </c>
      <c r="T81" s="155">
        <v>14341</v>
      </c>
    </row>
    <row r="82" spans="1:20" x14ac:dyDescent="0.45">
      <c r="A82" s="154">
        <v>57</v>
      </c>
      <c r="B82" s="155">
        <v>101</v>
      </c>
      <c r="C82" s="155">
        <v>96</v>
      </c>
      <c r="D82" s="155">
        <v>198</v>
      </c>
      <c r="E82" s="155">
        <v>3162</v>
      </c>
      <c r="F82" s="154">
        <v>57</v>
      </c>
      <c r="G82" s="155">
        <v>415</v>
      </c>
      <c r="H82" s="155">
        <v>384</v>
      </c>
      <c r="I82" s="155">
        <v>805</v>
      </c>
      <c r="J82" s="155">
        <v>5886</v>
      </c>
      <c r="K82" s="154">
        <v>54</v>
      </c>
      <c r="L82" s="155">
        <v>174</v>
      </c>
      <c r="M82" s="155">
        <v>120</v>
      </c>
      <c r="N82" s="155">
        <v>296</v>
      </c>
      <c r="O82" s="155">
        <v>4576</v>
      </c>
      <c r="P82" s="154">
        <v>51</v>
      </c>
      <c r="Q82" s="155">
        <v>507</v>
      </c>
      <c r="R82" s="155">
        <v>869</v>
      </c>
      <c r="S82" s="155">
        <v>1386</v>
      </c>
      <c r="T82" s="155">
        <v>15727</v>
      </c>
    </row>
    <row r="83" spans="1:20" x14ac:dyDescent="0.45">
      <c r="A83" s="154">
        <v>56</v>
      </c>
      <c r="B83" s="155">
        <v>105</v>
      </c>
      <c r="C83" s="155">
        <v>132</v>
      </c>
      <c r="D83" s="155">
        <v>238</v>
      </c>
      <c r="E83" s="155">
        <v>3400</v>
      </c>
      <c r="F83" s="154">
        <v>56</v>
      </c>
      <c r="G83" s="155">
        <v>273</v>
      </c>
      <c r="H83" s="155">
        <v>194</v>
      </c>
      <c r="I83" s="155">
        <v>468</v>
      </c>
      <c r="J83" s="155">
        <v>6354</v>
      </c>
      <c r="K83" s="154">
        <v>53</v>
      </c>
      <c r="L83" s="155">
        <v>175</v>
      </c>
      <c r="M83" s="155">
        <v>94</v>
      </c>
      <c r="N83" s="155">
        <v>271</v>
      </c>
      <c r="O83" s="155">
        <v>4847</v>
      </c>
      <c r="P83" s="154">
        <v>50</v>
      </c>
      <c r="Q83" s="155">
        <v>283</v>
      </c>
      <c r="R83" s="155">
        <v>461</v>
      </c>
      <c r="S83" s="155">
        <v>751</v>
      </c>
      <c r="T83" s="155">
        <v>16478</v>
      </c>
    </row>
    <row r="84" spans="1:20" x14ac:dyDescent="0.45">
      <c r="A84" s="154">
        <v>55</v>
      </c>
      <c r="B84" s="155">
        <v>117</v>
      </c>
      <c r="C84" s="155">
        <v>120</v>
      </c>
      <c r="D84" s="155">
        <v>237</v>
      </c>
      <c r="E84" s="155">
        <v>3637</v>
      </c>
      <c r="F84" s="154">
        <v>55</v>
      </c>
      <c r="G84" s="155">
        <v>241</v>
      </c>
      <c r="H84" s="155">
        <v>196</v>
      </c>
      <c r="I84" s="155">
        <v>439</v>
      </c>
      <c r="J84" s="155">
        <v>6793</v>
      </c>
      <c r="K84" s="154">
        <v>52</v>
      </c>
      <c r="L84" s="155">
        <v>334</v>
      </c>
      <c r="M84" s="155">
        <v>194</v>
      </c>
      <c r="N84" s="155">
        <v>535</v>
      </c>
      <c r="O84" s="155">
        <v>5382</v>
      </c>
      <c r="P84" s="154">
        <v>49</v>
      </c>
      <c r="Q84" s="155">
        <v>226</v>
      </c>
      <c r="R84" s="155">
        <v>376</v>
      </c>
      <c r="S84" s="155">
        <v>605</v>
      </c>
      <c r="T84" s="155">
        <v>17083</v>
      </c>
    </row>
    <row r="85" spans="1:20" x14ac:dyDescent="0.45">
      <c r="A85" s="154">
        <v>54</v>
      </c>
      <c r="B85" s="155">
        <v>117</v>
      </c>
      <c r="C85" s="155">
        <v>127</v>
      </c>
      <c r="D85" s="155">
        <v>244</v>
      </c>
      <c r="E85" s="155">
        <v>3881</v>
      </c>
      <c r="F85" s="154">
        <v>54</v>
      </c>
      <c r="G85" s="155">
        <v>292</v>
      </c>
      <c r="H85" s="155">
        <v>238</v>
      </c>
      <c r="I85" s="155">
        <v>533</v>
      </c>
      <c r="J85" s="155">
        <v>7326</v>
      </c>
      <c r="K85" s="154">
        <v>51</v>
      </c>
      <c r="L85" s="155">
        <v>191</v>
      </c>
      <c r="M85" s="155">
        <v>125</v>
      </c>
      <c r="N85" s="155">
        <v>318</v>
      </c>
      <c r="O85" s="155">
        <v>5700</v>
      </c>
      <c r="P85" s="154">
        <v>48</v>
      </c>
      <c r="Q85" s="155">
        <v>497</v>
      </c>
      <c r="R85" s="155">
        <v>830</v>
      </c>
      <c r="S85" s="155">
        <v>1335</v>
      </c>
      <c r="T85" s="155">
        <v>18418</v>
      </c>
    </row>
    <row r="86" spans="1:20" x14ac:dyDescent="0.45">
      <c r="A86" s="154">
        <v>53</v>
      </c>
      <c r="B86" s="155">
        <v>259</v>
      </c>
      <c r="C86" s="155">
        <v>281</v>
      </c>
      <c r="D86" s="155">
        <v>542</v>
      </c>
      <c r="E86" s="155">
        <v>4423</v>
      </c>
      <c r="F86" s="154">
        <v>53</v>
      </c>
      <c r="G86" s="155">
        <v>263</v>
      </c>
      <c r="H86" s="155">
        <v>259</v>
      </c>
      <c r="I86" s="155">
        <v>523</v>
      </c>
      <c r="J86" s="155">
        <v>7849</v>
      </c>
      <c r="K86" s="154">
        <v>50</v>
      </c>
      <c r="L86" s="155">
        <v>176</v>
      </c>
      <c r="M86" s="155">
        <v>118</v>
      </c>
      <c r="N86" s="155">
        <v>295</v>
      </c>
      <c r="O86" s="155">
        <v>5995</v>
      </c>
      <c r="P86" s="154">
        <v>47</v>
      </c>
      <c r="Q86" s="155">
        <v>233</v>
      </c>
      <c r="R86" s="155">
        <v>402</v>
      </c>
      <c r="S86" s="155">
        <v>643</v>
      </c>
      <c r="T86" s="155">
        <v>19061</v>
      </c>
    </row>
    <row r="87" spans="1:20" x14ac:dyDescent="0.45">
      <c r="A87" s="154">
        <v>52</v>
      </c>
      <c r="B87" s="155">
        <v>132</v>
      </c>
      <c r="C87" s="155">
        <v>136</v>
      </c>
      <c r="D87" s="155">
        <v>269</v>
      </c>
      <c r="E87" s="155">
        <v>4692</v>
      </c>
      <c r="F87" s="154">
        <v>52</v>
      </c>
      <c r="G87" s="155">
        <v>283</v>
      </c>
      <c r="H87" s="155">
        <v>247</v>
      </c>
      <c r="I87" s="155">
        <v>533</v>
      </c>
      <c r="J87" s="155">
        <v>8382</v>
      </c>
      <c r="K87" s="154">
        <v>49</v>
      </c>
      <c r="L87" s="155">
        <v>177</v>
      </c>
      <c r="M87" s="155">
        <v>95</v>
      </c>
      <c r="N87" s="155">
        <v>275</v>
      </c>
      <c r="O87" s="155">
        <v>6270</v>
      </c>
      <c r="P87" s="154">
        <v>46</v>
      </c>
      <c r="Q87" s="155">
        <v>295</v>
      </c>
      <c r="R87" s="155">
        <v>371</v>
      </c>
      <c r="S87" s="155">
        <v>669</v>
      </c>
      <c r="T87" s="155">
        <v>19730</v>
      </c>
    </row>
    <row r="88" spans="1:20" x14ac:dyDescent="0.45">
      <c r="A88" s="154">
        <v>51</v>
      </c>
      <c r="B88" s="155">
        <v>146</v>
      </c>
      <c r="C88" s="155">
        <v>134</v>
      </c>
      <c r="D88" s="155">
        <v>282</v>
      </c>
      <c r="E88" s="155">
        <v>4974</v>
      </c>
      <c r="F88" s="154">
        <v>51</v>
      </c>
      <c r="G88" s="155">
        <v>539</v>
      </c>
      <c r="H88" s="155">
        <v>528</v>
      </c>
      <c r="I88" s="155">
        <v>1071</v>
      </c>
      <c r="J88" s="155">
        <v>9453</v>
      </c>
      <c r="K88" s="154">
        <v>48</v>
      </c>
      <c r="L88" s="155">
        <v>381</v>
      </c>
      <c r="M88" s="155">
        <v>208</v>
      </c>
      <c r="N88" s="155">
        <v>594</v>
      </c>
      <c r="O88" s="155">
        <v>6864</v>
      </c>
      <c r="P88" s="154">
        <v>45</v>
      </c>
      <c r="Q88" s="155">
        <v>598</v>
      </c>
      <c r="R88" s="155">
        <v>731</v>
      </c>
      <c r="S88" s="155">
        <v>1340</v>
      </c>
      <c r="T88" s="155">
        <v>21070</v>
      </c>
    </row>
    <row r="89" spans="1:20" x14ac:dyDescent="0.45">
      <c r="A89" s="154">
        <v>50</v>
      </c>
      <c r="B89" s="155">
        <v>140</v>
      </c>
      <c r="C89" s="155">
        <v>157</v>
      </c>
      <c r="D89" s="155">
        <v>298</v>
      </c>
      <c r="E89" s="155">
        <v>5272</v>
      </c>
      <c r="F89" s="154">
        <v>50</v>
      </c>
      <c r="G89" s="155">
        <v>308</v>
      </c>
      <c r="H89" s="155">
        <v>303</v>
      </c>
      <c r="I89" s="155">
        <v>615</v>
      </c>
      <c r="J89" s="155">
        <v>10068</v>
      </c>
      <c r="K89" s="154">
        <v>47</v>
      </c>
      <c r="L89" s="155">
        <v>199</v>
      </c>
      <c r="M89" s="155">
        <v>121</v>
      </c>
      <c r="N89" s="155">
        <v>323</v>
      </c>
      <c r="O89" s="155">
        <v>7187</v>
      </c>
      <c r="P89" s="154">
        <v>44</v>
      </c>
      <c r="Q89" s="155">
        <v>350</v>
      </c>
      <c r="R89" s="155">
        <v>386</v>
      </c>
      <c r="S89" s="155">
        <v>739</v>
      </c>
      <c r="T89" s="155">
        <v>21809</v>
      </c>
    </row>
    <row r="90" spans="1:20" x14ac:dyDescent="0.45">
      <c r="A90" s="154">
        <v>49</v>
      </c>
      <c r="B90" s="155">
        <v>152</v>
      </c>
      <c r="C90" s="155">
        <v>158</v>
      </c>
      <c r="D90" s="155">
        <v>311</v>
      </c>
      <c r="E90" s="155">
        <v>5583</v>
      </c>
      <c r="F90" s="154">
        <v>49</v>
      </c>
      <c r="G90" s="155">
        <v>313</v>
      </c>
      <c r="H90" s="155">
        <v>300</v>
      </c>
      <c r="I90" s="155">
        <v>615</v>
      </c>
      <c r="J90" s="155">
        <v>10683</v>
      </c>
      <c r="K90" s="154">
        <v>46</v>
      </c>
      <c r="L90" s="155">
        <v>215</v>
      </c>
      <c r="M90" s="155">
        <v>129</v>
      </c>
      <c r="N90" s="155">
        <v>349</v>
      </c>
      <c r="O90" s="155">
        <v>7536</v>
      </c>
      <c r="P90" s="154">
        <v>43</v>
      </c>
      <c r="Q90" s="155">
        <v>338</v>
      </c>
      <c r="R90" s="155">
        <v>376</v>
      </c>
      <c r="S90" s="155">
        <v>720</v>
      </c>
      <c r="T90" s="155">
        <v>22529</v>
      </c>
    </row>
    <row r="91" spans="1:20" x14ac:dyDescent="0.45">
      <c r="A91" s="154">
        <v>48</v>
      </c>
      <c r="B91" s="155">
        <v>153</v>
      </c>
      <c r="C91" s="155">
        <v>159</v>
      </c>
      <c r="D91" s="155">
        <v>317</v>
      </c>
      <c r="E91" s="155">
        <v>5900</v>
      </c>
      <c r="F91" s="154">
        <v>48</v>
      </c>
      <c r="G91" s="155">
        <v>298</v>
      </c>
      <c r="H91" s="155">
        <v>296</v>
      </c>
      <c r="I91" s="155">
        <v>595</v>
      </c>
      <c r="J91" s="155">
        <v>11278</v>
      </c>
      <c r="K91" s="154">
        <v>45</v>
      </c>
      <c r="L91" s="155">
        <v>212</v>
      </c>
      <c r="M91" s="155">
        <v>117</v>
      </c>
      <c r="N91" s="155">
        <v>334</v>
      </c>
      <c r="O91" s="155">
        <v>7870</v>
      </c>
      <c r="P91" s="154">
        <v>42</v>
      </c>
      <c r="Q91" s="155">
        <v>393</v>
      </c>
      <c r="R91" s="155">
        <v>405</v>
      </c>
      <c r="S91" s="155">
        <v>808</v>
      </c>
      <c r="T91" s="155">
        <v>23337</v>
      </c>
    </row>
    <row r="92" spans="1:20" x14ac:dyDescent="0.45">
      <c r="A92" s="154">
        <v>47</v>
      </c>
      <c r="B92" s="155">
        <v>342</v>
      </c>
      <c r="C92" s="155">
        <v>393</v>
      </c>
      <c r="D92" s="155">
        <v>738</v>
      </c>
      <c r="E92" s="155">
        <v>6638</v>
      </c>
      <c r="F92" s="154">
        <v>47</v>
      </c>
      <c r="G92" s="155">
        <v>352</v>
      </c>
      <c r="H92" s="155">
        <v>368</v>
      </c>
      <c r="I92" s="155">
        <v>723</v>
      </c>
      <c r="J92" s="155">
        <v>12001</v>
      </c>
      <c r="K92" s="154">
        <v>44</v>
      </c>
      <c r="L92" s="155">
        <v>464</v>
      </c>
      <c r="M92" s="155">
        <v>247</v>
      </c>
      <c r="N92" s="155">
        <v>718</v>
      </c>
      <c r="O92" s="155">
        <v>8588</v>
      </c>
      <c r="P92" s="154">
        <v>41</v>
      </c>
      <c r="Q92" s="155">
        <v>1038</v>
      </c>
      <c r="R92" s="155">
        <v>967</v>
      </c>
      <c r="S92" s="155">
        <v>2032</v>
      </c>
      <c r="T92" s="155">
        <v>25369</v>
      </c>
    </row>
    <row r="93" spans="1:20" x14ac:dyDescent="0.45">
      <c r="A93" s="154">
        <v>46</v>
      </c>
      <c r="B93" s="155">
        <v>198</v>
      </c>
      <c r="C93" s="155">
        <v>208</v>
      </c>
      <c r="D93" s="155">
        <v>408</v>
      </c>
      <c r="E93" s="155">
        <v>7046</v>
      </c>
      <c r="F93" s="154">
        <v>46</v>
      </c>
      <c r="G93" s="155">
        <v>319</v>
      </c>
      <c r="H93" s="155">
        <v>303</v>
      </c>
      <c r="I93" s="155">
        <v>630</v>
      </c>
      <c r="J93" s="155">
        <v>12631</v>
      </c>
      <c r="K93" s="154">
        <v>43</v>
      </c>
      <c r="L93" s="155">
        <v>694</v>
      </c>
      <c r="M93" s="155">
        <v>247</v>
      </c>
      <c r="N93" s="155">
        <v>956</v>
      </c>
      <c r="O93" s="155">
        <v>9544</v>
      </c>
      <c r="P93" s="154">
        <v>40</v>
      </c>
      <c r="Q93" s="155">
        <v>601</v>
      </c>
      <c r="R93" s="155">
        <v>457</v>
      </c>
      <c r="S93" s="155">
        <v>1064</v>
      </c>
      <c r="T93" s="155">
        <v>26433</v>
      </c>
    </row>
    <row r="94" spans="1:20" x14ac:dyDescent="0.45">
      <c r="A94" s="154">
        <v>45</v>
      </c>
      <c r="B94" s="155">
        <v>229</v>
      </c>
      <c r="C94" s="155">
        <v>203</v>
      </c>
      <c r="D94" s="155">
        <v>434</v>
      </c>
      <c r="E94" s="155">
        <v>7480</v>
      </c>
      <c r="F94" s="154">
        <v>45</v>
      </c>
      <c r="G94" s="155">
        <v>668</v>
      </c>
      <c r="H94" s="155">
        <v>682</v>
      </c>
      <c r="I94" s="155">
        <v>1366</v>
      </c>
      <c r="J94" s="155">
        <v>13997</v>
      </c>
      <c r="K94" s="154">
        <v>42</v>
      </c>
      <c r="L94" s="155">
        <v>264</v>
      </c>
      <c r="M94" s="155">
        <v>104</v>
      </c>
      <c r="N94" s="155">
        <v>373</v>
      </c>
      <c r="O94" s="155">
        <v>9917</v>
      </c>
      <c r="P94" s="154">
        <v>39</v>
      </c>
      <c r="Q94" s="155">
        <v>1482</v>
      </c>
      <c r="R94" s="155">
        <v>856</v>
      </c>
      <c r="S94" s="155">
        <v>2379</v>
      </c>
      <c r="T94" s="155">
        <v>28812</v>
      </c>
    </row>
    <row r="95" spans="1:20" x14ac:dyDescent="0.45">
      <c r="A95" s="154">
        <v>44</v>
      </c>
      <c r="B95" s="155">
        <v>292</v>
      </c>
      <c r="C95" s="155">
        <v>283</v>
      </c>
      <c r="D95" s="155">
        <v>583</v>
      </c>
      <c r="E95" s="155">
        <v>8063</v>
      </c>
      <c r="F95" s="154">
        <v>44</v>
      </c>
      <c r="G95" s="155">
        <v>549</v>
      </c>
      <c r="H95" s="155">
        <v>451</v>
      </c>
      <c r="I95" s="155">
        <v>1013</v>
      </c>
      <c r="J95" s="155">
        <v>15010</v>
      </c>
      <c r="K95" s="154">
        <v>41</v>
      </c>
      <c r="L95" s="155">
        <v>355</v>
      </c>
      <c r="M95" s="155">
        <v>127</v>
      </c>
      <c r="N95" s="155">
        <v>489</v>
      </c>
      <c r="O95" s="155">
        <v>10406</v>
      </c>
      <c r="P95" s="154">
        <v>38</v>
      </c>
      <c r="Q95" s="155">
        <v>818</v>
      </c>
      <c r="R95" s="155">
        <v>607</v>
      </c>
      <c r="S95" s="155">
        <v>1436</v>
      </c>
      <c r="T95" s="155">
        <v>30248</v>
      </c>
    </row>
    <row r="96" spans="1:20" x14ac:dyDescent="0.45">
      <c r="A96" s="154">
        <v>43</v>
      </c>
      <c r="B96" s="155">
        <v>298</v>
      </c>
      <c r="C96" s="155">
        <v>306</v>
      </c>
      <c r="D96" s="155">
        <v>613</v>
      </c>
      <c r="E96" s="155">
        <v>8676</v>
      </c>
      <c r="F96" s="154">
        <v>43</v>
      </c>
      <c r="G96" s="155">
        <v>434</v>
      </c>
      <c r="H96" s="155">
        <v>374</v>
      </c>
      <c r="I96" s="155">
        <v>816</v>
      </c>
      <c r="J96" s="155">
        <v>15826</v>
      </c>
      <c r="K96" s="154">
        <v>40</v>
      </c>
      <c r="L96" s="155">
        <v>1272</v>
      </c>
      <c r="M96" s="155">
        <v>430</v>
      </c>
      <c r="N96" s="155">
        <v>1727</v>
      </c>
      <c r="O96" s="155">
        <v>12133</v>
      </c>
      <c r="P96" s="154">
        <v>37</v>
      </c>
      <c r="Q96" s="155">
        <v>1148</v>
      </c>
      <c r="R96" s="155">
        <v>738</v>
      </c>
      <c r="S96" s="155">
        <v>1913</v>
      </c>
      <c r="T96" s="155">
        <v>32161</v>
      </c>
    </row>
    <row r="97" spans="1:20" x14ac:dyDescent="0.45">
      <c r="A97" s="154">
        <v>42</v>
      </c>
      <c r="B97" s="155">
        <v>220</v>
      </c>
      <c r="C97" s="155">
        <v>180</v>
      </c>
      <c r="D97" s="155">
        <v>405</v>
      </c>
      <c r="E97" s="155">
        <v>9081</v>
      </c>
      <c r="F97" s="154">
        <v>42</v>
      </c>
      <c r="G97" s="155">
        <v>1021</v>
      </c>
      <c r="H97" s="155">
        <v>701</v>
      </c>
      <c r="I97" s="155">
        <v>1735</v>
      </c>
      <c r="J97" s="155">
        <v>17561</v>
      </c>
      <c r="K97" s="154">
        <v>39</v>
      </c>
      <c r="L97" s="155">
        <v>215</v>
      </c>
      <c r="M97" s="155">
        <v>86</v>
      </c>
      <c r="N97" s="155">
        <v>306</v>
      </c>
      <c r="O97" s="155">
        <v>12439</v>
      </c>
      <c r="P97" s="154">
        <v>36</v>
      </c>
      <c r="Q97" s="155">
        <v>204</v>
      </c>
      <c r="R97" s="155">
        <v>128</v>
      </c>
      <c r="S97" s="155">
        <v>335</v>
      </c>
      <c r="T97" s="155">
        <v>32496</v>
      </c>
    </row>
    <row r="98" spans="1:20" x14ac:dyDescent="0.45">
      <c r="A98" s="154">
        <v>41</v>
      </c>
      <c r="B98" s="155">
        <v>766</v>
      </c>
      <c r="C98" s="155">
        <v>539</v>
      </c>
      <c r="D98" s="155">
        <v>1311</v>
      </c>
      <c r="E98" s="155">
        <v>10392</v>
      </c>
      <c r="F98" s="154">
        <v>41</v>
      </c>
      <c r="G98" s="155">
        <v>502</v>
      </c>
      <c r="H98" s="155">
        <v>401</v>
      </c>
      <c r="I98" s="155">
        <v>910</v>
      </c>
      <c r="J98" s="155">
        <v>18471</v>
      </c>
      <c r="K98" s="154">
        <v>38</v>
      </c>
      <c r="L98" s="155">
        <v>176</v>
      </c>
      <c r="M98" s="155">
        <v>73</v>
      </c>
      <c r="N98" s="155">
        <v>257</v>
      </c>
      <c r="O98" s="155">
        <v>12696</v>
      </c>
      <c r="P98" s="154">
        <v>35</v>
      </c>
      <c r="Q98" s="155">
        <v>377</v>
      </c>
      <c r="R98" s="155">
        <v>216</v>
      </c>
      <c r="S98" s="155">
        <v>604</v>
      </c>
      <c r="T98" s="155">
        <v>33100</v>
      </c>
    </row>
    <row r="99" spans="1:20" x14ac:dyDescent="0.45">
      <c r="A99" s="154">
        <v>40</v>
      </c>
      <c r="B99" s="155">
        <v>620</v>
      </c>
      <c r="C99" s="155">
        <v>303</v>
      </c>
      <c r="D99" s="155">
        <v>943</v>
      </c>
      <c r="E99" s="155">
        <v>11335</v>
      </c>
      <c r="F99" s="154">
        <v>40</v>
      </c>
      <c r="G99" s="155">
        <v>308</v>
      </c>
      <c r="H99" s="155">
        <v>278</v>
      </c>
      <c r="I99" s="155">
        <v>593</v>
      </c>
      <c r="J99" s="155">
        <v>19064</v>
      </c>
      <c r="K99" s="154">
        <v>37</v>
      </c>
      <c r="L99" s="155">
        <v>94</v>
      </c>
      <c r="M99" s="155">
        <v>24</v>
      </c>
      <c r="N99" s="155">
        <v>120</v>
      </c>
      <c r="O99" s="155">
        <v>12816</v>
      </c>
      <c r="P99" s="154">
        <v>34</v>
      </c>
      <c r="Q99" s="155">
        <v>72</v>
      </c>
      <c r="R99" s="155">
        <v>33</v>
      </c>
      <c r="S99" s="155">
        <v>106</v>
      </c>
      <c r="T99" s="155">
        <v>33206</v>
      </c>
    </row>
    <row r="100" spans="1:20" x14ac:dyDescent="0.45">
      <c r="A100" s="154">
        <v>39</v>
      </c>
      <c r="B100" s="155">
        <v>208</v>
      </c>
      <c r="C100" s="155">
        <v>167</v>
      </c>
      <c r="D100" s="155">
        <v>376</v>
      </c>
      <c r="E100" s="155">
        <v>11711</v>
      </c>
      <c r="F100" s="154">
        <v>39</v>
      </c>
      <c r="G100" s="155">
        <v>1476</v>
      </c>
      <c r="H100" s="155">
        <v>797</v>
      </c>
      <c r="I100" s="155">
        <v>2316</v>
      </c>
      <c r="J100" s="155">
        <v>21380</v>
      </c>
      <c r="K100" s="154">
        <v>36</v>
      </c>
      <c r="L100" s="155">
        <v>132</v>
      </c>
      <c r="M100" s="155">
        <v>45</v>
      </c>
      <c r="N100" s="155">
        <v>179</v>
      </c>
      <c r="O100" s="155">
        <v>12995</v>
      </c>
      <c r="P100" s="154">
        <v>33</v>
      </c>
      <c r="Q100" s="155">
        <v>75</v>
      </c>
      <c r="R100" s="155">
        <v>45</v>
      </c>
      <c r="S100" s="155">
        <v>123</v>
      </c>
      <c r="T100" s="155">
        <v>33329</v>
      </c>
    </row>
    <row r="101" spans="1:20" x14ac:dyDescent="0.45">
      <c r="A101" s="154">
        <v>38</v>
      </c>
      <c r="B101" s="155">
        <v>97</v>
      </c>
      <c r="C101" s="155">
        <v>60</v>
      </c>
      <c r="D101" s="155">
        <v>158</v>
      </c>
      <c r="E101" s="155">
        <v>11869</v>
      </c>
      <c r="F101" s="154">
        <v>38</v>
      </c>
      <c r="G101" s="155">
        <v>197</v>
      </c>
      <c r="H101" s="155">
        <v>154</v>
      </c>
      <c r="I101" s="155">
        <v>356</v>
      </c>
      <c r="J101" s="155">
        <v>21736</v>
      </c>
      <c r="K101" s="154">
        <v>35</v>
      </c>
      <c r="L101" s="155">
        <v>96</v>
      </c>
      <c r="M101" s="155">
        <v>34</v>
      </c>
      <c r="N101" s="155">
        <v>133</v>
      </c>
      <c r="O101" s="155">
        <v>13128</v>
      </c>
      <c r="P101" s="154">
        <v>31</v>
      </c>
      <c r="Q101" s="155">
        <v>26</v>
      </c>
      <c r="R101" s="155">
        <v>21</v>
      </c>
      <c r="S101" s="155">
        <v>48</v>
      </c>
      <c r="T101" s="155">
        <v>33377</v>
      </c>
    </row>
    <row r="102" spans="1:20" x14ac:dyDescent="0.45">
      <c r="A102" s="154">
        <v>37</v>
      </c>
      <c r="B102" s="155">
        <v>135</v>
      </c>
      <c r="C102" s="155">
        <v>111</v>
      </c>
      <c r="D102" s="155">
        <v>246</v>
      </c>
      <c r="E102" s="155">
        <v>12115</v>
      </c>
      <c r="F102" s="154">
        <v>37</v>
      </c>
      <c r="G102" s="155">
        <v>195</v>
      </c>
      <c r="H102" s="155">
        <v>136</v>
      </c>
      <c r="I102" s="155">
        <v>332</v>
      </c>
      <c r="J102" s="155">
        <v>22068</v>
      </c>
      <c r="K102" s="154">
        <v>34</v>
      </c>
      <c r="L102" s="155">
        <v>65</v>
      </c>
      <c r="M102" s="155">
        <v>19</v>
      </c>
      <c r="N102" s="155">
        <v>84</v>
      </c>
      <c r="O102" s="155">
        <v>13212</v>
      </c>
      <c r="P102" s="154"/>
      <c r="Q102" s="155"/>
      <c r="R102" s="155"/>
      <c r="S102" s="155"/>
      <c r="T102" s="155"/>
    </row>
    <row r="103" spans="1:20" x14ac:dyDescent="0.45">
      <c r="A103" s="154">
        <v>36</v>
      </c>
      <c r="B103" s="155">
        <v>94</v>
      </c>
      <c r="C103" s="155">
        <v>63</v>
      </c>
      <c r="D103" s="155">
        <v>158</v>
      </c>
      <c r="E103" s="155">
        <v>12273</v>
      </c>
      <c r="F103" s="154">
        <v>36</v>
      </c>
      <c r="G103" s="155">
        <v>78</v>
      </c>
      <c r="H103" s="155">
        <v>88</v>
      </c>
      <c r="I103" s="155">
        <v>166</v>
      </c>
      <c r="J103" s="155">
        <v>22234</v>
      </c>
      <c r="K103" s="154">
        <v>32</v>
      </c>
      <c r="L103" s="155">
        <v>32</v>
      </c>
      <c r="M103" s="155">
        <v>4</v>
      </c>
      <c r="N103" s="155">
        <v>36</v>
      </c>
      <c r="O103" s="155">
        <v>13248</v>
      </c>
      <c r="P103" s="154"/>
      <c r="Q103" s="155"/>
      <c r="R103" s="155"/>
      <c r="S103" s="155"/>
      <c r="T103" s="155"/>
    </row>
    <row r="104" spans="1:20" x14ac:dyDescent="0.45">
      <c r="A104" s="154">
        <v>35</v>
      </c>
      <c r="B104" s="155">
        <v>40</v>
      </c>
      <c r="C104" s="155">
        <v>28</v>
      </c>
      <c r="D104" s="155">
        <v>71</v>
      </c>
      <c r="E104" s="155">
        <v>12344</v>
      </c>
      <c r="F104" s="154">
        <v>35</v>
      </c>
      <c r="G104" s="155">
        <v>76</v>
      </c>
      <c r="H104" s="155">
        <v>41</v>
      </c>
      <c r="I104" s="155">
        <v>118</v>
      </c>
      <c r="J104" s="155">
        <v>22352</v>
      </c>
      <c r="K104" s="154"/>
      <c r="L104" s="155"/>
      <c r="M104" s="155"/>
      <c r="N104" s="155"/>
      <c r="O104" s="155"/>
      <c r="P104" s="154"/>
      <c r="Q104" s="155"/>
      <c r="R104" s="155"/>
      <c r="S104" s="155"/>
      <c r="T104" s="155"/>
    </row>
    <row r="105" spans="1:20" x14ac:dyDescent="0.45">
      <c r="A105" s="154">
        <v>33</v>
      </c>
      <c r="B105" s="155">
        <v>13</v>
      </c>
      <c r="C105" s="155">
        <v>5</v>
      </c>
      <c r="D105" s="155">
        <v>18</v>
      </c>
      <c r="E105" s="155">
        <v>12362</v>
      </c>
      <c r="F105" s="154">
        <v>34</v>
      </c>
      <c r="G105" s="155">
        <v>68</v>
      </c>
      <c r="H105" s="155">
        <v>53</v>
      </c>
      <c r="I105" s="155">
        <v>122</v>
      </c>
      <c r="J105" s="155">
        <v>22474</v>
      </c>
      <c r="K105" s="154"/>
      <c r="L105" s="155"/>
      <c r="M105" s="155"/>
      <c r="N105" s="155"/>
      <c r="O105" s="155"/>
      <c r="P105" s="154"/>
      <c r="Q105" s="155"/>
      <c r="R105" s="155"/>
      <c r="S105" s="155"/>
      <c r="T105" s="155"/>
    </row>
    <row r="106" spans="1:20" x14ac:dyDescent="0.45">
      <c r="A106" s="154"/>
      <c r="B106" s="155"/>
      <c r="C106" s="155"/>
      <c r="D106" s="155"/>
      <c r="E106" s="155"/>
      <c r="F106" s="154">
        <v>33</v>
      </c>
      <c r="G106" s="155">
        <v>21</v>
      </c>
      <c r="H106" s="155">
        <v>11</v>
      </c>
      <c r="I106" s="155">
        <v>32</v>
      </c>
      <c r="J106" s="155">
        <v>22506</v>
      </c>
      <c r="K106" s="154"/>
      <c r="L106" s="155"/>
      <c r="M106" s="155"/>
      <c r="N106" s="155"/>
      <c r="O106" s="155"/>
      <c r="P106" s="154"/>
      <c r="Q106" s="155"/>
      <c r="R106" s="155"/>
      <c r="S106" s="155"/>
      <c r="T106" s="155"/>
    </row>
    <row r="107" spans="1:20" x14ac:dyDescent="0.45">
      <c r="A107" s="6"/>
      <c r="B107" s="1"/>
      <c r="C107" s="1"/>
      <c r="D107" s="7"/>
      <c r="F107" s="6"/>
      <c r="G107" s="1"/>
      <c r="H107" s="1"/>
      <c r="I107" s="7"/>
      <c r="K107" s="6"/>
      <c r="L107" s="1"/>
      <c r="M107" s="1"/>
      <c r="N107" s="7"/>
      <c r="P107" s="6"/>
      <c r="Q107" s="1"/>
      <c r="R107" s="1"/>
      <c r="S107" s="7"/>
    </row>
    <row r="108" spans="1:20" x14ac:dyDescent="0.45">
      <c r="A108" s="6"/>
      <c r="B108" s="1"/>
      <c r="C108" s="1"/>
      <c r="D108" s="7"/>
      <c r="F108" s="6"/>
      <c r="G108" s="1"/>
      <c r="H108" s="1"/>
      <c r="I108" s="7"/>
      <c r="K108" s="6"/>
      <c r="L108" s="1"/>
      <c r="M108" s="1"/>
      <c r="N108" s="7"/>
      <c r="P108" s="6"/>
      <c r="Q108" s="1"/>
      <c r="R108" s="1"/>
      <c r="S108" s="7"/>
    </row>
    <row r="109" spans="1:20" x14ac:dyDescent="0.45">
      <c r="A109" s="6"/>
      <c r="B109" s="1"/>
      <c r="C109" s="1"/>
      <c r="D109" s="7"/>
      <c r="F109" s="6"/>
      <c r="G109" s="1"/>
      <c r="H109" s="1"/>
      <c r="I109" s="7"/>
      <c r="K109" s="6"/>
      <c r="L109" s="1"/>
      <c r="M109" s="1"/>
      <c r="N109" s="7"/>
      <c r="P109" s="6"/>
      <c r="Q109" s="1"/>
      <c r="R109" s="1"/>
      <c r="S109" s="7"/>
    </row>
    <row r="110" spans="1:20" x14ac:dyDescent="0.45">
      <c r="A110" s="6"/>
      <c r="B110" s="1"/>
      <c r="C110" s="1"/>
      <c r="D110" s="7"/>
      <c r="F110" s="6"/>
      <c r="G110" s="1"/>
      <c r="H110" s="1"/>
      <c r="I110" s="7"/>
      <c r="K110" s="6"/>
      <c r="L110" s="1"/>
      <c r="M110" s="1"/>
      <c r="N110" s="7"/>
      <c r="P110" s="6"/>
      <c r="Q110" s="1"/>
      <c r="R110" s="1"/>
      <c r="S110" s="7"/>
    </row>
    <row r="111" spans="1:20" ht="17.5" thickBot="1" x14ac:dyDescent="0.5">
      <c r="A111" s="8"/>
      <c r="B111" s="14"/>
      <c r="C111" s="14"/>
      <c r="D111" s="2"/>
      <c r="F111" s="8"/>
      <c r="G111" s="14"/>
      <c r="H111" s="14"/>
      <c r="I111" s="2"/>
      <c r="K111" s="8"/>
      <c r="L111" s="14"/>
      <c r="M111" s="14"/>
      <c r="N111" s="2"/>
      <c r="P111" s="8"/>
      <c r="Q111" s="14"/>
      <c r="R111" s="14"/>
      <c r="S111" s="2"/>
    </row>
    <row r="118" spans="1:5" ht="17.5" thickBot="1" x14ac:dyDescent="0.5"/>
    <row r="119" spans="1:5" x14ac:dyDescent="0.45">
      <c r="A119" s="46" t="s">
        <v>19</v>
      </c>
      <c r="B119" s="47"/>
      <c r="C119" s="47"/>
      <c r="D119" s="48"/>
    </row>
    <row r="120" spans="1:5" x14ac:dyDescent="0.45">
      <c r="A120" s="6" t="s">
        <v>9</v>
      </c>
      <c r="B120" s="1"/>
      <c r="C120" s="1"/>
      <c r="D120" s="7" t="s">
        <v>10</v>
      </c>
    </row>
    <row r="121" spans="1:5" x14ac:dyDescent="0.45">
      <c r="A121" s="154">
        <v>70</v>
      </c>
      <c r="B121" s="155">
        <v>518</v>
      </c>
      <c r="C121" s="155">
        <v>826</v>
      </c>
      <c r="D121" s="155">
        <v>1347</v>
      </c>
      <c r="E121" s="155">
        <v>1347</v>
      </c>
    </row>
    <row r="122" spans="1:5" x14ac:dyDescent="0.45">
      <c r="A122" s="154">
        <v>68</v>
      </c>
      <c r="B122" s="155">
        <v>243</v>
      </c>
      <c r="C122" s="155">
        <v>445</v>
      </c>
      <c r="D122" s="155">
        <v>693</v>
      </c>
      <c r="E122" s="155">
        <v>2040</v>
      </c>
    </row>
    <row r="123" spans="1:5" x14ac:dyDescent="0.45">
      <c r="A123" s="154">
        <v>67</v>
      </c>
      <c r="B123" s="155">
        <v>514</v>
      </c>
      <c r="C123" s="155">
        <v>1019</v>
      </c>
      <c r="D123" s="155">
        <v>1538</v>
      </c>
      <c r="E123" s="155">
        <v>3578</v>
      </c>
    </row>
    <row r="124" spans="1:5" x14ac:dyDescent="0.45">
      <c r="A124" s="154">
        <v>66</v>
      </c>
      <c r="B124" s="155">
        <v>416</v>
      </c>
      <c r="C124" s="155">
        <v>841</v>
      </c>
      <c r="D124" s="155">
        <v>1262</v>
      </c>
      <c r="E124" s="155">
        <v>4840</v>
      </c>
    </row>
    <row r="125" spans="1:5" x14ac:dyDescent="0.45">
      <c r="A125" s="154">
        <v>65</v>
      </c>
      <c r="B125" s="155">
        <v>327</v>
      </c>
      <c r="C125" s="155">
        <v>599</v>
      </c>
      <c r="D125" s="155">
        <v>933</v>
      </c>
      <c r="E125" s="155">
        <v>5773</v>
      </c>
    </row>
    <row r="126" spans="1:5" x14ac:dyDescent="0.45">
      <c r="A126" s="154">
        <v>64</v>
      </c>
      <c r="B126" s="155">
        <v>229</v>
      </c>
      <c r="C126" s="155">
        <v>491</v>
      </c>
      <c r="D126" s="155">
        <v>727</v>
      </c>
      <c r="E126" s="155">
        <v>6500</v>
      </c>
    </row>
    <row r="127" spans="1:5" x14ac:dyDescent="0.45">
      <c r="A127" s="154">
        <v>63</v>
      </c>
      <c r="B127" s="155">
        <v>774</v>
      </c>
      <c r="C127" s="155">
        <v>1483</v>
      </c>
      <c r="D127" s="155">
        <v>2268</v>
      </c>
      <c r="E127" s="155">
        <v>8768</v>
      </c>
    </row>
    <row r="128" spans="1:5" x14ac:dyDescent="0.45">
      <c r="A128" s="154">
        <v>62</v>
      </c>
      <c r="B128" s="155">
        <v>393</v>
      </c>
      <c r="C128" s="155">
        <v>823</v>
      </c>
      <c r="D128" s="155">
        <v>1226</v>
      </c>
      <c r="E128" s="155">
        <v>9994</v>
      </c>
    </row>
    <row r="129" spans="1:5" x14ac:dyDescent="0.45">
      <c r="A129" s="154">
        <v>61</v>
      </c>
      <c r="B129" s="155">
        <v>400</v>
      </c>
      <c r="C129" s="155">
        <v>849</v>
      </c>
      <c r="D129" s="155">
        <v>1257</v>
      </c>
      <c r="E129" s="155">
        <v>11251</v>
      </c>
    </row>
    <row r="130" spans="1:5" x14ac:dyDescent="0.45">
      <c r="A130" s="154">
        <v>60</v>
      </c>
      <c r="B130" s="155">
        <v>296</v>
      </c>
      <c r="C130" s="155">
        <v>682</v>
      </c>
      <c r="D130" s="155">
        <v>984</v>
      </c>
      <c r="E130" s="155">
        <v>12235</v>
      </c>
    </row>
    <row r="131" spans="1:5" x14ac:dyDescent="0.45">
      <c r="A131" s="154">
        <v>59</v>
      </c>
      <c r="B131" s="155">
        <v>815</v>
      </c>
      <c r="C131" s="155">
        <v>1815</v>
      </c>
      <c r="D131" s="155">
        <v>2642</v>
      </c>
      <c r="E131" s="155">
        <v>14877</v>
      </c>
    </row>
    <row r="132" spans="1:5" x14ac:dyDescent="0.45">
      <c r="A132" s="154">
        <v>58</v>
      </c>
      <c r="B132" s="155">
        <v>448</v>
      </c>
      <c r="C132" s="155">
        <v>946</v>
      </c>
      <c r="D132" s="155">
        <v>1398</v>
      </c>
      <c r="E132" s="155">
        <v>16275</v>
      </c>
    </row>
    <row r="133" spans="1:5" x14ac:dyDescent="0.45">
      <c r="A133" s="154">
        <v>57</v>
      </c>
      <c r="B133" s="155">
        <v>466</v>
      </c>
      <c r="C133" s="155">
        <v>1037</v>
      </c>
      <c r="D133" s="155">
        <v>1508</v>
      </c>
      <c r="E133" s="155">
        <v>17783</v>
      </c>
    </row>
    <row r="134" spans="1:5" x14ac:dyDescent="0.45">
      <c r="A134" s="154">
        <v>56</v>
      </c>
      <c r="B134" s="155">
        <v>983</v>
      </c>
      <c r="C134" s="155">
        <v>2056</v>
      </c>
      <c r="D134" s="155">
        <v>3067</v>
      </c>
      <c r="E134" s="155">
        <v>20850</v>
      </c>
    </row>
    <row r="135" spans="1:5" x14ac:dyDescent="0.45">
      <c r="A135" s="154">
        <v>55</v>
      </c>
      <c r="B135" s="155">
        <v>433</v>
      </c>
      <c r="C135" s="155">
        <v>945</v>
      </c>
      <c r="D135" s="155">
        <v>1381</v>
      </c>
      <c r="E135" s="155">
        <v>22231</v>
      </c>
    </row>
    <row r="136" spans="1:5" x14ac:dyDescent="0.45">
      <c r="A136" s="154">
        <v>54</v>
      </c>
      <c r="B136" s="155">
        <v>500</v>
      </c>
      <c r="C136" s="155">
        <v>1037</v>
      </c>
      <c r="D136" s="155">
        <v>1545</v>
      </c>
      <c r="E136" s="155">
        <v>23776</v>
      </c>
    </row>
    <row r="137" spans="1:5" x14ac:dyDescent="0.45">
      <c r="A137" s="154">
        <v>53</v>
      </c>
      <c r="B137" s="155">
        <v>532</v>
      </c>
      <c r="C137" s="155">
        <v>1090</v>
      </c>
      <c r="D137" s="155">
        <v>1633</v>
      </c>
      <c r="E137" s="155">
        <v>25409</v>
      </c>
    </row>
    <row r="138" spans="1:5" x14ac:dyDescent="0.45">
      <c r="A138" s="154">
        <v>52</v>
      </c>
      <c r="B138" s="155">
        <v>968</v>
      </c>
      <c r="C138" s="155">
        <v>2029</v>
      </c>
      <c r="D138" s="155">
        <v>3013</v>
      </c>
      <c r="E138" s="155">
        <v>28422</v>
      </c>
    </row>
    <row r="139" spans="1:5" x14ac:dyDescent="0.45">
      <c r="A139" s="154">
        <v>51</v>
      </c>
      <c r="B139" s="155">
        <v>493</v>
      </c>
      <c r="C139" s="155">
        <v>920</v>
      </c>
      <c r="D139" s="155">
        <v>1425</v>
      </c>
      <c r="E139" s="155">
        <v>29847</v>
      </c>
    </row>
    <row r="140" spans="1:5" x14ac:dyDescent="0.45">
      <c r="A140" s="154">
        <v>50</v>
      </c>
      <c r="B140" s="155">
        <v>446</v>
      </c>
      <c r="C140" s="155">
        <v>967</v>
      </c>
      <c r="D140" s="155">
        <v>1422</v>
      </c>
      <c r="E140" s="155">
        <v>31269</v>
      </c>
    </row>
    <row r="141" spans="1:5" x14ac:dyDescent="0.45">
      <c r="A141" s="154">
        <v>49</v>
      </c>
      <c r="B141" s="155">
        <v>902</v>
      </c>
      <c r="C141" s="155">
        <v>1732</v>
      </c>
      <c r="D141" s="155">
        <v>2649</v>
      </c>
      <c r="E141" s="155">
        <v>33918</v>
      </c>
    </row>
    <row r="142" spans="1:5" x14ac:dyDescent="0.45">
      <c r="A142" s="154">
        <v>48</v>
      </c>
      <c r="B142" s="155">
        <v>495</v>
      </c>
      <c r="C142" s="155">
        <v>872</v>
      </c>
      <c r="D142" s="155">
        <v>1375</v>
      </c>
      <c r="E142" s="155">
        <v>35293</v>
      </c>
    </row>
    <row r="143" spans="1:5" x14ac:dyDescent="0.45">
      <c r="A143" s="154">
        <v>47</v>
      </c>
      <c r="B143" s="155">
        <v>408</v>
      </c>
      <c r="C143" s="155">
        <v>757</v>
      </c>
      <c r="D143" s="155">
        <v>1169</v>
      </c>
      <c r="E143" s="155">
        <v>36462</v>
      </c>
    </row>
    <row r="144" spans="1:5" x14ac:dyDescent="0.45">
      <c r="A144" s="154">
        <v>46</v>
      </c>
      <c r="B144" s="155">
        <v>374</v>
      </c>
      <c r="C144" s="155">
        <v>708</v>
      </c>
      <c r="D144" s="155">
        <v>1087</v>
      </c>
      <c r="E144" s="155">
        <v>37549</v>
      </c>
    </row>
    <row r="145" spans="1:5" x14ac:dyDescent="0.45">
      <c r="A145" s="154">
        <v>45</v>
      </c>
      <c r="B145" s="155">
        <v>800</v>
      </c>
      <c r="C145" s="155">
        <v>1404</v>
      </c>
      <c r="D145" s="155">
        <v>2219</v>
      </c>
      <c r="E145" s="155">
        <v>39768</v>
      </c>
    </row>
    <row r="146" spans="1:5" x14ac:dyDescent="0.45">
      <c r="A146" s="154">
        <v>44</v>
      </c>
      <c r="B146" s="155">
        <v>478</v>
      </c>
      <c r="C146" s="155">
        <v>653</v>
      </c>
      <c r="D146" s="155">
        <v>1140</v>
      </c>
      <c r="E146" s="155">
        <v>40908</v>
      </c>
    </row>
    <row r="147" spans="1:5" x14ac:dyDescent="0.45">
      <c r="A147" s="154">
        <v>43</v>
      </c>
      <c r="B147" s="155">
        <v>457</v>
      </c>
      <c r="C147" s="155">
        <v>632</v>
      </c>
      <c r="D147" s="155">
        <v>1095</v>
      </c>
      <c r="E147" s="155">
        <v>42003</v>
      </c>
    </row>
    <row r="148" spans="1:5" x14ac:dyDescent="0.45">
      <c r="A148" s="154">
        <v>42</v>
      </c>
      <c r="B148" s="155">
        <v>1051</v>
      </c>
      <c r="C148" s="155">
        <v>1372</v>
      </c>
      <c r="D148" s="155">
        <v>2440</v>
      </c>
      <c r="E148" s="155">
        <v>44443</v>
      </c>
    </row>
    <row r="149" spans="1:5" x14ac:dyDescent="0.45">
      <c r="A149" s="154">
        <v>41</v>
      </c>
      <c r="B149" s="155">
        <v>828</v>
      </c>
      <c r="C149" s="155">
        <v>912</v>
      </c>
      <c r="D149" s="155">
        <v>1757</v>
      </c>
      <c r="E149" s="155">
        <v>46200</v>
      </c>
    </row>
    <row r="150" spans="1:5" x14ac:dyDescent="0.45">
      <c r="A150" s="154">
        <v>40</v>
      </c>
      <c r="B150" s="155">
        <v>762</v>
      </c>
      <c r="C150" s="155">
        <v>813</v>
      </c>
      <c r="D150" s="155">
        <v>1588</v>
      </c>
      <c r="E150" s="155">
        <v>47788</v>
      </c>
    </row>
    <row r="151" spans="1:5" x14ac:dyDescent="0.45">
      <c r="A151" s="154">
        <v>39</v>
      </c>
      <c r="B151" s="155">
        <v>627</v>
      </c>
      <c r="C151" s="155">
        <v>565</v>
      </c>
      <c r="D151" s="155">
        <v>1201</v>
      </c>
      <c r="E151" s="155">
        <v>48989</v>
      </c>
    </row>
    <row r="152" spans="1:5" x14ac:dyDescent="0.45">
      <c r="A152" s="154">
        <v>38</v>
      </c>
      <c r="B152" s="155">
        <v>4705</v>
      </c>
      <c r="C152" s="155">
        <v>4057</v>
      </c>
      <c r="D152" s="155">
        <v>8881</v>
      </c>
      <c r="E152" s="155">
        <v>57870</v>
      </c>
    </row>
    <row r="153" spans="1:5" x14ac:dyDescent="0.45">
      <c r="A153" s="154">
        <v>37</v>
      </c>
      <c r="B153" s="155">
        <v>655</v>
      </c>
      <c r="C153" s="155">
        <v>562</v>
      </c>
      <c r="D153" s="155">
        <v>1230</v>
      </c>
      <c r="E153" s="155">
        <v>59100</v>
      </c>
    </row>
    <row r="154" spans="1:5" x14ac:dyDescent="0.45">
      <c r="A154" s="154">
        <v>36</v>
      </c>
      <c r="B154" s="155">
        <v>528</v>
      </c>
      <c r="C154" s="155">
        <v>502</v>
      </c>
      <c r="D154" s="155">
        <v>1040</v>
      </c>
      <c r="E154" s="155">
        <v>60140</v>
      </c>
    </row>
    <row r="155" spans="1:5" x14ac:dyDescent="0.45">
      <c r="A155" s="154">
        <v>35</v>
      </c>
      <c r="B155" s="155">
        <v>541</v>
      </c>
      <c r="C155" s="155">
        <v>449</v>
      </c>
      <c r="D155" s="155">
        <v>999</v>
      </c>
      <c r="E155" s="155">
        <v>61139</v>
      </c>
    </row>
    <row r="156" spans="1:5" x14ac:dyDescent="0.45">
      <c r="A156" s="154">
        <v>34</v>
      </c>
      <c r="B156" s="155">
        <v>140</v>
      </c>
      <c r="C156" s="155">
        <v>145</v>
      </c>
      <c r="D156" s="155">
        <v>287</v>
      </c>
      <c r="E156" s="155">
        <v>61426</v>
      </c>
    </row>
    <row r="157" spans="1:5" x14ac:dyDescent="0.45">
      <c r="A157" s="154">
        <v>33</v>
      </c>
      <c r="B157" s="155">
        <v>94</v>
      </c>
      <c r="C157" s="155">
        <v>68</v>
      </c>
      <c r="D157" s="155">
        <v>163</v>
      </c>
      <c r="E157" s="155">
        <v>61589</v>
      </c>
    </row>
    <row r="158" spans="1:5" x14ac:dyDescent="0.45">
      <c r="A158" s="154">
        <v>32</v>
      </c>
      <c r="B158" s="155">
        <v>97</v>
      </c>
      <c r="C158" s="155">
        <v>100</v>
      </c>
      <c r="D158" s="155">
        <v>203</v>
      </c>
      <c r="E158" s="155">
        <v>61792</v>
      </c>
    </row>
    <row r="159" spans="1:5" x14ac:dyDescent="0.45">
      <c r="A159" s="154">
        <v>31</v>
      </c>
      <c r="B159" s="155">
        <v>44</v>
      </c>
      <c r="C159" s="155">
        <v>43</v>
      </c>
      <c r="D159" s="155">
        <v>87</v>
      </c>
      <c r="E159" s="155">
        <v>61879</v>
      </c>
    </row>
    <row r="160" spans="1:5" x14ac:dyDescent="0.45">
      <c r="A160" s="6"/>
      <c r="B160" s="1"/>
      <c r="C160" s="1"/>
      <c r="D160" s="7"/>
    </row>
    <row r="161" spans="1:19" x14ac:dyDescent="0.45">
      <c r="A161" s="6"/>
      <c r="B161" s="1"/>
      <c r="C161" s="1"/>
      <c r="D161" s="7"/>
    </row>
    <row r="162" spans="1:19" x14ac:dyDescent="0.45">
      <c r="A162" s="6"/>
      <c r="B162" s="1"/>
      <c r="C162" s="1"/>
      <c r="D162" s="7"/>
    </row>
    <row r="163" spans="1:19" x14ac:dyDescent="0.45">
      <c r="A163" s="6"/>
      <c r="B163" s="1"/>
      <c r="C163" s="1"/>
      <c r="D163" s="7"/>
    </row>
    <row r="164" spans="1:19" x14ac:dyDescent="0.45">
      <c r="A164" s="6"/>
      <c r="B164" s="1"/>
      <c r="C164" s="1"/>
      <c r="D164" s="7"/>
    </row>
    <row r="165" spans="1:19" x14ac:dyDescent="0.45">
      <c r="A165" s="6"/>
      <c r="B165" s="1"/>
      <c r="C165" s="1"/>
      <c r="D165" s="7"/>
    </row>
    <row r="166" spans="1:19" x14ac:dyDescent="0.45">
      <c r="A166" s="6"/>
      <c r="B166" s="1"/>
      <c r="C166" s="1"/>
      <c r="D166" s="7"/>
    </row>
    <row r="167" spans="1:19" x14ac:dyDescent="0.45">
      <c r="A167" s="6"/>
      <c r="B167" s="1"/>
      <c r="C167" s="1"/>
      <c r="D167" s="7"/>
    </row>
    <row r="168" spans="1:19" ht="17.5" thickBot="1" x14ac:dyDescent="0.5">
      <c r="A168" s="8"/>
      <c r="B168" s="14"/>
      <c r="C168" s="14"/>
      <c r="D168" s="2"/>
    </row>
    <row r="174" spans="1:19" ht="17.5" thickBot="1" x14ac:dyDescent="0.5"/>
    <row r="175" spans="1:19" x14ac:dyDescent="0.45">
      <c r="A175" s="46" t="s">
        <v>60</v>
      </c>
      <c r="B175" s="47"/>
      <c r="C175" s="47"/>
      <c r="D175" s="48"/>
      <c r="F175" s="46" t="s">
        <v>20</v>
      </c>
      <c r="G175" s="47"/>
      <c r="H175" s="47"/>
      <c r="I175" s="48"/>
      <c r="K175" s="46" t="s">
        <v>21</v>
      </c>
      <c r="L175" s="47"/>
      <c r="M175" s="47"/>
      <c r="N175" s="48"/>
      <c r="P175" s="46" t="s">
        <v>22</v>
      </c>
      <c r="Q175" s="47"/>
      <c r="R175" s="47"/>
      <c r="S175" s="48"/>
    </row>
    <row r="176" spans="1:19" x14ac:dyDescent="0.45">
      <c r="A176" s="6" t="s">
        <v>9</v>
      </c>
      <c r="B176" s="1"/>
      <c r="C176" s="1"/>
      <c r="D176" s="7" t="s">
        <v>10</v>
      </c>
      <c r="F176" s="6" t="s">
        <v>9</v>
      </c>
      <c r="G176" s="1"/>
      <c r="H176" s="1"/>
      <c r="I176" s="7" t="s">
        <v>10</v>
      </c>
      <c r="K176" s="6" t="s">
        <v>9</v>
      </c>
      <c r="L176" s="1"/>
      <c r="M176" s="1"/>
      <c r="N176" s="7" t="s">
        <v>10</v>
      </c>
      <c r="P176" s="6" t="s">
        <v>9</v>
      </c>
      <c r="Q176" s="1"/>
      <c r="R176" s="1"/>
      <c r="S176" s="7" t="s">
        <v>10</v>
      </c>
    </row>
    <row r="177" spans="1:20" x14ac:dyDescent="0.45">
      <c r="A177" s="156">
        <v>68</v>
      </c>
      <c r="B177" s="157">
        <v>2000</v>
      </c>
      <c r="C177" s="157">
        <v>424</v>
      </c>
      <c r="D177" s="157">
        <v>2440</v>
      </c>
      <c r="E177" s="157">
        <v>2440</v>
      </c>
      <c r="F177" s="156">
        <v>76</v>
      </c>
      <c r="G177" s="157">
        <v>309</v>
      </c>
      <c r="H177" s="157">
        <v>83</v>
      </c>
      <c r="I177" s="157">
        <v>394</v>
      </c>
      <c r="J177" s="157">
        <v>394</v>
      </c>
      <c r="K177" s="156">
        <v>76</v>
      </c>
      <c r="L177" s="157">
        <v>549</v>
      </c>
      <c r="M177" s="157">
        <v>356</v>
      </c>
      <c r="N177" s="157">
        <v>908</v>
      </c>
      <c r="O177" s="157">
        <v>908</v>
      </c>
      <c r="P177" s="156">
        <v>72</v>
      </c>
      <c r="Q177" s="157">
        <v>870</v>
      </c>
      <c r="R177" s="157">
        <v>347</v>
      </c>
      <c r="S177" s="157">
        <v>1227</v>
      </c>
      <c r="T177" s="157">
        <v>1227</v>
      </c>
    </row>
    <row r="178" spans="1:20" x14ac:dyDescent="0.45">
      <c r="A178" s="156">
        <v>67</v>
      </c>
      <c r="B178" s="157">
        <v>548</v>
      </c>
      <c r="C178" s="157">
        <v>104</v>
      </c>
      <c r="D178" s="157">
        <v>658</v>
      </c>
      <c r="E178" s="157">
        <v>3098</v>
      </c>
      <c r="F178" s="156">
        <v>74</v>
      </c>
      <c r="G178" s="157">
        <v>172</v>
      </c>
      <c r="H178" s="157">
        <v>51</v>
      </c>
      <c r="I178" s="157">
        <v>226</v>
      </c>
      <c r="J178" s="157">
        <v>620</v>
      </c>
      <c r="K178" s="156">
        <v>74</v>
      </c>
      <c r="L178" s="157">
        <v>245</v>
      </c>
      <c r="M178" s="157">
        <v>221</v>
      </c>
      <c r="N178" s="157">
        <v>466</v>
      </c>
      <c r="O178" s="157">
        <v>1374</v>
      </c>
      <c r="P178" s="156">
        <v>70</v>
      </c>
      <c r="Q178" s="157">
        <v>381</v>
      </c>
      <c r="R178" s="157">
        <v>183</v>
      </c>
      <c r="S178" s="157">
        <v>568</v>
      </c>
      <c r="T178" s="157">
        <v>1795</v>
      </c>
    </row>
    <row r="179" spans="1:20" x14ac:dyDescent="0.45">
      <c r="A179" s="156">
        <v>66</v>
      </c>
      <c r="B179" s="157">
        <v>1495</v>
      </c>
      <c r="C179" s="157">
        <v>319</v>
      </c>
      <c r="D179" s="157">
        <v>1829</v>
      </c>
      <c r="E179" s="157">
        <v>4927</v>
      </c>
      <c r="F179" s="156">
        <v>73</v>
      </c>
      <c r="G179" s="157">
        <v>426</v>
      </c>
      <c r="H179" s="157">
        <v>172</v>
      </c>
      <c r="I179" s="157">
        <v>602</v>
      </c>
      <c r="J179" s="157">
        <v>1222</v>
      </c>
      <c r="K179" s="156">
        <v>73</v>
      </c>
      <c r="L179" s="157">
        <v>507</v>
      </c>
      <c r="M179" s="157">
        <v>443</v>
      </c>
      <c r="N179" s="157">
        <v>957</v>
      </c>
      <c r="O179" s="157">
        <v>2331</v>
      </c>
      <c r="P179" s="156">
        <v>69</v>
      </c>
      <c r="Q179" s="157">
        <v>821</v>
      </c>
      <c r="R179" s="157">
        <v>397</v>
      </c>
      <c r="S179" s="157">
        <v>1228</v>
      </c>
      <c r="T179" s="157">
        <v>3023</v>
      </c>
    </row>
    <row r="180" spans="1:20" x14ac:dyDescent="0.45">
      <c r="A180" s="156">
        <v>65</v>
      </c>
      <c r="B180" s="157">
        <v>108</v>
      </c>
      <c r="C180" s="157">
        <v>19</v>
      </c>
      <c r="D180" s="157">
        <v>127</v>
      </c>
      <c r="E180" s="157">
        <v>5054</v>
      </c>
      <c r="F180" s="156">
        <v>72</v>
      </c>
      <c r="G180" s="157">
        <v>34</v>
      </c>
      <c r="H180" s="157">
        <v>12</v>
      </c>
      <c r="I180" s="157">
        <v>46</v>
      </c>
      <c r="J180" s="157">
        <v>1268</v>
      </c>
      <c r="K180" s="156">
        <v>72</v>
      </c>
      <c r="L180" s="157">
        <v>85</v>
      </c>
      <c r="M180" s="157">
        <v>85</v>
      </c>
      <c r="N180" s="157">
        <v>171</v>
      </c>
      <c r="O180" s="157">
        <v>2502</v>
      </c>
      <c r="P180" s="156">
        <v>68</v>
      </c>
      <c r="Q180" s="157">
        <v>904</v>
      </c>
      <c r="R180" s="157">
        <v>436</v>
      </c>
      <c r="S180" s="157">
        <v>1347</v>
      </c>
      <c r="T180" s="157">
        <v>4370</v>
      </c>
    </row>
    <row r="181" spans="1:20" x14ac:dyDescent="0.45">
      <c r="A181" s="156">
        <v>64</v>
      </c>
      <c r="B181" s="157">
        <v>1845</v>
      </c>
      <c r="C181" s="157">
        <v>473</v>
      </c>
      <c r="D181" s="157">
        <v>2335</v>
      </c>
      <c r="E181" s="157">
        <v>7389</v>
      </c>
      <c r="F181" s="156">
        <v>71</v>
      </c>
      <c r="G181" s="157">
        <v>365</v>
      </c>
      <c r="H181" s="157">
        <v>155</v>
      </c>
      <c r="I181" s="157">
        <v>523</v>
      </c>
      <c r="J181" s="157">
        <v>1791</v>
      </c>
      <c r="K181" s="156">
        <v>71</v>
      </c>
      <c r="L181" s="157">
        <v>513</v>
      </c>
      <c r="M181" s="157">
        <v>415</v>
      </c>
      <c r="N181" s="157">
        <v>935</v>
      </c>
      <c r="O181" s="157">
        <v>3437</v>
      </c>
      <c r="P181" s="156">
        <v>67</v>
      </c>
      <c r="Q181" s="157">
        <v>667</v>
      </c>
      <c r="R181" s="157">
        <v>380</v>
      </c>
      <c r="S181" s="157">
        <v>1054</v>
      </c>
      <c r="T181" s="157">
        <v>5424</v>
      </c>
    </row>
    <row r="182" spans="1:20" x14ac:dyDescent="0.45">
      <c r="A182" s="156">
        <v>63</v>
      </c>
      <c r="B182" s="157">
        <v>232</v>
      </c>
      <c r="C182" s="157">
        <v>69</v>
      </c>
      <c r="D182" s="157">
        <v>304</v>
      </c>
      <c r="E182" s="157">
        <v>7693</v>
      </c>
      <c r="F182" s="156">
        <v>70</v>
      </c>
      <c r="G182" s="157">
        <v>489</v>
      </c>
      <c r="H182" s="157">
        <v>262</v>
      </c>
      <c r="I182" s="157">
        <v>758</v>
      </c>
      <c r="J182" s="157">
        <v>2549</v>
      </c>
      <c r="K182" s="156">
        <v>70</v>
      </c>
      <c r="L182" s="157">
        <v>414</v>
      </c>
      <c r="M182" s="157">
        <v>372</v>
      </c>
      <c r="N182" s="157">
        <v>789</v>
      </c>
      <c r="O182" s="157">
        <v>4226</v>
      </c>
      <c r="P182" s="156">
        <v>66</v>
      </c>
      <c r="Q182" s="157">
        <v>369</v>
      </c>
      <c r="R182" s="157">
        <v>203</v>
      </c>
      <c r="S182" s="157">
        <v>575</v>
      </c>
      <c r="T182" s="157">
        <v>5999</v>
      </c>
    </row>
    <row r="183" spans="1:20" x14ac:dyDescent="0.45">
      <c r="A183" s="156">
        <v>62</v>
      </c>
      <c r="B183" s="157">
        <v>920</v>
      </c>
      <c r="C183" s="157">
        <v>257</v>
      </c>
      <c r="D183" s="157">
        <v>1184</v>
      </c>
      <c r="E183" s="157">
        <v>8877</v>
      </c>
      <c r="F183" s="156">
        <v>69</v>
      </c>
      <c r="G183" s="157">
        <v>147</v>
      </c>
      <c r="H183" s="157">
        <v>66</v>
      </c>
      <c r="I183" s="157">
        <v>216</v>
      </c>
      <c r="J183" s="157">
        <v>2765</v>
      </c>
      <c r="K183" s="156">
        <v>69</v>
      </c>
      <c r="L183" s="157">
        <v>310</v>
      </c>
      <c r="M183" s="157">
        <v>309</v>
      </c>
      <c r="N183" s="157">
        <v>623</v>
      </c>
      <c r="O183" s="157">
        <v>4849</v>
      </c>
      <c r="P183" s="156">
        <v>65</v>
      </c>
      <c r="Q183" s="157">
        <v>889</v>
      </c>
      <c r="R183" s="157">
        <v>585</v>
      </c>
      <c r="S183" s="157">
        <v>1491</v>
      </c>
      <c r="T183" s="157">
        <v>7490</v>
      </c>
    </row>
    <row r="184" spans="1:20" x14ac:dyDescent="0.45">
      <c r="A184" s="156">
        <v>61</v>
      </c>
      <c r="B184" s="157">
        <v>1228</v>
      </c>
      <c r="C184" s="157">
        <v>357</v>
      </c>
      <c r="D184" s="157">
        <v>1599</v>
      </c>
      <c r="E184" s="157">
        <v>10476</v>
      </c>
      <c r="F184" s="156">
        <v>68</v>
      </c>
      <c r="G184" s="157">
        <v>468</v>
      </c>
      <c r="H184" s="157">
        <v>278</v>
      </c>
      <c r="I184" s="157">
        <v>751</v>
      </c>
      <c r="J184" s="157">
        <v>3516</v>
      </c>
      <c r="K184" s="156">
        <v>68</v>
      </c>
      <c r="L184" s="157">
        <v>597</v>
      </c>
      <c r="M184" s="157">
        <v>584</v>
      </c>
      <c r="N184" s="157">
        <v>1186</v>
      </c>
      <c r="O184" s="157">
        <v>6035</v>
      </c>
      <c r="P184" s="156">
        <v>64</v>
      </c>
      <c r="Q184" s="157">
        <v>571</v>
      </c>
      <c r="R184" s="157">
        <v>344</v>
      </c>
      <c r="S184" s="157">
        <v>919</v>
      </c>
      <c r="T184" s="157">
        <v>8409</v>
      </c>
    </row>
    <row r="185" spans="1:20" x14ac:dyDescent="0.45">
      <c r="A185" s="156">
        <v>60</v>
      </c>
      <c r="B185" s="157">
        <v>974</v>
      </c>
      <c r="C185" s="157">
        <v>311</v>
      </c>
      <c r="D185" s="157">
        <v>1300</v>
      </c>
      <c r="E185" s="157">
        <v>11776</v>
      </c>
      <c r="F185" s="156">
        <v>67</v>
      </c>
      <c r="G185" s="157">
        <v>452</v>
      </c>
      <c r="H185" s="157">
        <v>295</v>
      </c>
      <c r="I185" s="157">
        <v>752</v>
      </c>
      <c r="J185" s="157">
        <v>4268</v>
      </c>
      <c r="K185" s="156">
        <v>67</v>
      </c>
      <c r="L185" s="157">
        <v>395</v>
      </c>
      <c r="M185" s="157">
        <v>416</v>
      </c>
      <c r="N185" s="157">
        <v>818</v>
      </c>
      <c r="O185" s="157">
        <v>6853</v>
      </c>
      <c r="P185" s="156">
        <v>63</v>
      </c>
      <c r="Q185" s="157">
        <v>1737</v>
      </c>
      <c r="R185" s="157">
        <v>1041</v>
      </c>
      <c r="S185" s="157">
        <v>2791</v>
      </c>
      <c r="T185" s="157">
        <v>11200</v>
      </c>
    </row>
    <row r="186" spans="1:20" x14ac:dyDescent="0.45">
      <c r="A186" s="156">
        <v>59</v>
      </c>
      <c r="B186" s="157">
        <v>608</v>
      </c>
      <c r="C186" s="157">
        <v>196</v>
      </c>
      <c r="D186" s="157">
        <v>812</v>
      </c>
      <c r="E186" s="157">
        <v>12588</v>
      </c>
      <c r="F186" s="156">
        <v>66</v>
      </c>
      <c r="G186" s="157">
        <v>275</v>
      </c>
      <c r="H186" s="157">
        <v>156</v>
      </c>
      <c r="I186" s="157">
        <v>434</v>
      </c>
      <c r="J186" s="157">
        <v>4702</v>
      </c>
      <c r="K186" s="156">
        <v>66</v>
      </c>
      <c r="L186" s="157">
        <v>576</v>
      </c>
      <c r="M186" s="157">
        <v>574</v>
      </c>
      <c r="N186" s="157">
        <v>1160</v>
      </c>
      <c r="O186" s="157">
        <v>8013</v>
      </c>
      <c r="P186" s="156">
        <v>62</v>
      </c>
      <c r="Q186" s="157">
        <v>672</v>
      </c>
      <c r="R186" s="157">
        <v>441</v>
      </c>
      <c r="S186" s="157">
        <v>1127</v>
      </c>
      <c r="T186" s="157">
        <v>12327</v>
      </c>
    </row>
    <row r="187" spans="1:20" x14ac:dyDescent="0.45">
      <c r="A187" s="156">
        <v>58</v>
      </c>
      <c r="B187" s="157">
        <v>1513</v>
      </c>
      <c r="C187" s="157">
        <v>548</v>
      </c>
      <c r="D187" s="157">
        <v>2072</v>
      </c>
      <c r="E187" s="157">
        <v>14660</v>
      </c>
      <c r="F187" s="156">
        <v>65</v>
      </c>
      <c r="G187" s="157">
        <v>630</v>
      </c>
      <c r="H187" s="157">
        <v>426</v>
      </c>
      <c r="I187" s="157">
        <v>1067</v>
      </c>
      <c r="J187" s="157">
        <v>5769</v>
      </c>
      <c r="K187" s="156">
        <v>65</v>
      </c>
      <c r="L187" s="157">
        <v>612</v>
      </c>
      <c r="M187" s="157">
        <v>598</v>
      </c>
      <c r="N187" s="157">
        <v>1213</v>
      </c>
      <c r="O187" s="157">
        <v>9226</v>
      </c>
      <c r="P187" s="156">
        <v>61</v>
      </c>
      <c r="Q187" s="157">
        <v>995</v>
      </c>
      <c r="R187" s="157">
        <v>674</v>
      </c>
      <c r="S187" s="157">
        <v>1680</v>
      </c>
      <c r="T187" s="157">
        <v>14007</v>
      </c>
    </row>
    <row r="188" spans="1:20" x14ac:dyDescent="0.45">
      <c r="A188" s="156">
        <v>57</v>
      </c>
      <c r="B188" s="157">
        <v>668</v>
      </c>
      <c r="C188" s="157">
        <v>206</v>
      </c>
      <c r="D188" s="157">
        <v>878</v>
      </c>
      <c r="E188" s="157">
        <v>15538</v>
      </c>
      <c r="F188" s="156">
        <v>64</v>
      </c>
      <c r="G188" s="157">
        <v>488</v>
      </c>
      <c r="H188" s="157">
        <v>373</v>
      </c>
      <c r="I188" s="157">
        <v>869</v>
      </c>
      <c r="J188" s="157">
        <v>6638</v>
      </c>
      <c r="K188" s="156">
        <v>64</v>
      </c>
      <c r="L188" s="157">
        <v>539</v>
      </c>
      <c r="M188" s="157">
        <v>603</v>
      </c>
      <c r="N188" s="157">
        <v>1150</v>
      </c>
      <c r="O188" s="157">
        <v>10376</v>
      </c>
      <c r="P188" s="156">
        <v>60</v>
      </c>
      <c r="Q188" s="157">
        <v>984</v>
      </c>
      <c r="R188" s="157">
        <v>621</v>
      </c>
      <c r="S188" s="157">
        <v>1611</v>
      </c>
      <c r="T188" s="157">
        <v>15618</v>
      </c>
    </row>
    <row r="189" spans="1:20" x14ac:dyDescent="0.45">
      <c r="A189" s="156">
        <v>56</v>
      </c>
      <c r="B189" s="157">
        <v>878</v>
      </c>
      <c r="C189" s="157">
        <v>319</v>
      </c>
      <c r="D189" s="157">
        <v>1204</v>
      </c>
      <c r="E189" s="157">
        <v>16742</v>
      </c>
      <c r="F189" s="156">
        <v>63</v>
      </c>
      <c r="G189" s="157">
        <v>1208</v>
      </c>
      <c r="H189" s="157">
        <v>836</v>
      </c>
      <c r="I189" s="157">
        <v>2060</v>
      </c>
      <c r="J189" s="157">
        <v>8698</v>
      </c>
      <c r="K189" s="156">
        <v>63</v>
      </c>
      <c r="L189" s="157">
        <v>757</v>
      </c>
      <c r="M189" s="157">
        <v>830</v>
      </c>
      <c r="N189" s="157">
        <v>1601</v>
      </c>
      <c r="O189" s="157">
        <v>11977</v>
      </c>
      <c r="P189" s="156">
        <v>59</v>
      </c>
      <c r="Q189" s="157">
        <v>879</v>
      </c>
      <c r="R189" s="157">
        <v>555</v>
      </c>
      <c r="S189" s="157">
        <v>1441</v>
      </c>
      <c r="T189" s="157">
        <v>17059</v>
      </c>
    </row>
    <row r="190" spans="1:20" x14ac:dyDescent="0.45">
      <c r="A190" s="156">
        <v>55</v>
      </c>
      <c r="B190" s="157">
        <v>779</v>
      </c>
      <c r="C190" s="157">
        <v>257</v>
      </c>
      <c r="D190" s="157">
        <v>1039</v>
      </c>
      <c r="E190" s="157">
        <v>17781</v>
      </c>
      <c r="F190" s="156">
        <v>62</v>
      </c>
      <c r="G190" s="157">
        <v>552</v>
      </c>
      <c r="H190" s="157">
        <v>407</v>
      </c>
      <c r="I190" s="157">
        <v>963</v>
      </c>
      <c r="J190" s="157">
        <v>9661</v>
      </c>
      <c r="K190" s="156">
        <v>62</v>
      </c>
      <c r="L190" s="157">
        <v>1372</v>
      </c>
      <c r="M190" s="157">
        <v>1603</v>
      </c>
      <c r="N190" s="157">
        <v>2995</v>
      </c>
      <c r="O190" s="157">
        <v>14972</v>
      </c>
      <c r="P190" s="156">
        <v>58</v>
      </c>
      <c r="Q190" s="157">
        <v>2090</v>
      </c>
      <c r="R190" s="157">
        <v>1440</v>
      </c>
      <c r="S190" s="157">
        <v>3554</v>
      </c>
      <c r="T190" s="157">
        <v>20613</v>
      </c>
    </row>
    <row r="191" spans="1:20" x14ac:dyDescent="0.45">
      <c r="A191" s="156">
        <v>54</v>
      </c>
      <c r="B191" s="157">
        <v>1614</v>
      </c>
      <c r="C191" s="157">
        <v>561</v>
      </c>
      <c r="D191" s="157">
        <v>2190</v>
      </c>
      <c r="E191" s="157">
        <v>19971</v>
      </c>
      <c r="F191" s="156">
        <v>61</v>
      </c>
      <c r="G191" s="157">
        <v>661</v>
      </c>
      <c r="H191" s="157">
        <v>495</v>
      </c>
      <c r="I191" s="157">
        <v>1162</v>
      </c>
      <c r="J191" s="157">
        <v>10823</v>
      </c>
      <c r="K191" s="156">
        <v>61</v>
      </c>
      <c r="L191" s="157">
        <v>841</v>
      </c>
      <c r="M191" s="157">
        <v>969</v>
      </c>
      <c r="N191" s="157">
        <v>1816</v>
      </c>
      <c r="O191" s="157">
        <v>16788</v>
      </c>
      <c r="P191" s="156">
        <v>57</v>
      </c>
      <c r="Q191" s="157">
        <v>1018</v>
      </c>
      <c r="R191" s="157">
        <v>762</v>
      </c>
      <c r="S191" s="157">
        <v>1792</v>
      </c>
      <c r="T191" s="157">
        <v>22405</v>
      </c>
    </row>
    <row r="192" spans="1:20" x14ac:dyDescent="0.45">
      <c r="A192" s="156">
        <v>53</v>
      </c>
      <c r="B192" s="157">
        <v>753</v>
      </c>
      <c r="C192" s="157">
        <v>281</v>
      </c>
      <c r="D192" s="157">
        <v>1039</v>
      </c>
      <c r="E192" s="157">
        <v>21010</v>
      </c>
      <c r="F192" s="156">
        <v>60</v>
      </c>
      <c r="G192" s="157">
        <v>794</v>
      </c>
      <c r="H192" s="157">
        <v>688</v>
      </c>
      <c r="I192" s="157">
        <v>1485</v>
      </c>
      <c r="J192" s="157">
        <v>12308</v>
      </c>
      <c r="K192" s="156">
        <v>60</v>
      </c>
      <c r="L192" s="157">
        <v>754</v>
      </c>
      <c r="M192" s="157">
        <v>920</v>
      </c>
      <c r="N192" s="157">
        <v>1681</v>
      </c>
      <c r="O192" s="157">
        <v>18469</v>
      </c>
      <c r="P192" s="156">
        <v>56</v>
      </c>
      <c r="Q192" s="157">
        <v>1036</v>
      </c>
      <c r="R192" s="157">
        <v>802</v>
      </c>
      <c r="S192" s="157">
        <v>1854</v>
      </c>
      <c r="T192" s="157">
        <v>24259</v>
      </c>
    </row>
    <row r="193" spans="1:20" x14ac:dyDescent="0.45">
      <c r="A193" s="156">
        <v>52</v>
      </c>
      <c r="B193" s="157">
        <v>831</v>
      </c>
      <c r="C193" s="157">
        <v>299</v>
      </c>
      <c r="D193" s="157">
        <v>1145</v>
      </c>
      <c r="E193" s="157">
        <v>22155</v>
      </c>
      <c r="F193" s="156">
        <v>59</v>
      </c>
      <c r="G193" s="157">
        <v>622</v>
      </c>
      <c r="H193" s="157">
        <v>472</v>
      </c>
      <c r="I193" s="157">
        <v>1101</v>
      </c>
      <c r="J193" s="157">
        <v>13409</v>
      </c>
      <c r="K193" s="156">
        <v>59</v>
      </c>
      <c r="L193" s="157">
        <v>1040</v>
      </c>
      <c r="M193" s="157">
        <v>1160</v>
      </c>
      <c r="N193" s="157">
        <v>2209</v>
      </c>
      <c r="O193" s="157">
        <v>20678</v>
      </c>
      <c r="P193" s="156">
        <v>55</v>
      </c>
      <c r="Q193" s="157">
        <v>997</v>
      </c>
      <c r="R193" s="157">
        <v>710</v>
      </c>
      <c r="S193" s="157">
        <v>1717</v>
      </c>
      <c r="T193" s="157">
        <v>25976</v>
      </c>
    </row>
    <row r="194" spans="1:20" x14ac:dyDescent="0.45">
      <c r="A194" s="156">
        <v>51</v>
      </c>
      <c r="B194" s="157">
        <v>1677</v>
      </c>
      <c r="C194" s="157">
        <v>591</v>
      </c>
      <c r="D194" s="157">
        <v>2280</v>
      </c>
      <c r="E194" s="157">
        <v>24435</v>
      </c>
      <c r="F194" s="156">
        <v>58</v>
      </c>
      <c r="G194" s="157">
        <v>884</v>
      </c>
      <c r="H194" s="157">
        <v>700</v>
      </c>
      <c r="I194" s="157">
        <v>1589</v>
      </c>
      <c r="J194" s="157">
        <v>14998</v>
      </c>
      <c r="K194" s="156">
        <v>58</v>
      </c>
      <c r="L194" s="157">
        <v>840</v>
      </c>
      <c r="M194" s="157">
        <v>1065</v>
      </c>
      <c r="N194" s="157">
        <v>1911</v>
      </c>
      <c r="O194" s="157">
        <v>22589</v>
      </c>
      <c r="P194" s="156">
        <v>54</v>
      </c>
      <c r="Q194" s="157">
        <v>1172</v>
      </c>
      <c r="R194" s="157">
        <v>900</v>
      </c>
      <c r="S194" s="157">
        <v>2088</v>
      </c>
      <c r="T194" s="157">
        <v>28064</v>
      </c>
    </row>
    <row r="195" spans="1:20" x14ac:dyDescent="0.45">
      <c r="A195" s="156">
        <v>50</v>
      </c>
      <c r="B195" s="157">
        <v>867</v>
      </c>
      <c r="C195" s="157">
        <v>331</v>
      </c>
      <c r="D195" s="157">
        <v>1203</v>
      </c>
      <c r="E195" s="157">
        <v>25638</v>
      </c>
      <c r="F195" s="156">
        <v>57</v>
      </c>
      <c r="G195" s="157">
        <v>784</v>
      </c>
      <c r="H195" s="157">
        <v>683</v>
      </c>
      <c r="I195" s="157">
        <v>1471</v>
      </c>
      <c r="J195" s="157">
        <v>16469</v>
      </c>
      <c r="K195" s="156">
        <v>57</v>
      </c>
      <c r="L195" s="157">
        <v>1045</v>
      </c>
      <c r="M195" s="157">
        <v>1210</v>
      </c>
      <c r="N195" s="157">
        <v>2274</v>
      </c>
      <c r="O195" s="157">
        <v>24863</v>
      </c>
      <c r="P195" s="156">
        <v>53</v>
      </c>
      <c r="Q195" s="157">
        <v>2190</v>
      </c>
      <c r="R195" s="157">
        <v>1641</v>
      </c>
      <c r="S195" s="157">
        <v>3860</v>
      </c>
      <c r="T195" s="157">
        <v>31924</v>
      </c>
    </row>
    <row r="196" spans="1:20" x14ac:dyDescent="0.45">
      <c r="A196" s="156">
        <v>49</v>
      </c>
      <c r="B196" s="157">
        <v>806</v>
      </c>
      <c r="C196" s="157">
        <v>319</v>
      </c>
      <c r="D196" s="157">
        <v>1130</v>
      </c>
      <c r="E196" s="157">
        <v>26768</v>
      </c>
      <c r="F196" s="156">
        <v>56</v>
      </c>
      <c r="G196" s="157">
        <v>792</v>
      </c>
      <c r="H196" s="157">
        <v>652</v>
      </c>
      <c r="I196" s="157">
        <v>1451</v>
      </c>
      <c r="J196" s="157">
        <v>17920</v>
      </c>
      <c r="K196" s="156">
        <v>56</v>
      </c>
      <c r="L196" s="157">
        <v>1017</v>
      </c>
      <c r="M196" s="157">
        <v>1305</v>
      </c>
      <c r="N196" s="157">
        <v>2330</v>
      </c>
      <c r="O196" s="157">
        <v>27193</v>
      </c>
      <c r="P196" s="156">
        <v>52</v>
      </c>
      <c r="Q196" s="157">
        <v>1171</v>
      </c>
      <c r="R196" s="157">
        <v>976</v>
      </c>
      <c r="S196" s="157">
        <v>2154</v>
      </c>
      <c r="T196" s="157">
        <v>34078</v>
      </c>
    </row>
    <row r="197" spans="1:20" x14ac:dyDescent="0.45">
      <c r="A197" s="156">
        <v>48</v>
      </c>
      <c r="B197" s="157">
        <v>1777</v>
      </c>
      <c r="C197" s="157">
        <v>653</v>
      </c>
      <c r="D197" s="157">
        <v>2445</v>
      </c>
      <c r="E197" s="157">
        <v>29213</v>
      </c>
      <c r="F197" s="156">
        <v>55</v>
      </c>
      <c r="G197" s="157">
        <v>966</v>
      </c>
      <c r="H197" s="157">
        <v>828</v>
      </c>
      <c r="I197" s="157">
        <v>1802</v>
      </c>
      <c r="J197" s="157">
        <v>19722</v>
      </c>
      <c r="K197" s="156">
        <v>55</v>
      </c>
      <c r="L197" s="157">
        <v>1009</v>
      </c>
      <c r="M197" s="157">
        <v>1336</v>
      </c>
      <c r="N197" s="157">
        <v>2357</v>
      </c>
      <c r="O197" s="157">
        <v>29550</v>
      </c>
      <c r="P197" s="156">
        <v>51</v>
      </c>
      <c r="Q197" s="157">
        <v>1101</v>
      </c>
      <c r="R197" s="157">
        <v>848</v>
      </c>
      <c r="S197" s="157">
        <v>1964</v>
      </c>
      <c r="T197" s="157">
        <v>36042</v>
      </c>
    </row>
    <row r="198" spans="1:20" x14ac:dyDescent="0.45">
      <c r="A198" s="156">
        <v>47</v>
      </c>
      <c r="B198" s="157">
        <v>831</v>
      </c>
      <c r="C198" s="157">
        <v>316</v>
      </c>
      <c r="D198" s="157">
        <v>1157</v>
      </c>
      <c r="E198" s="157">
        <v>30370</v>
      </c>
      <c r="F198" s="156">
        <v>54</v>
      </c>
      <c r="G198" s="157">
        <v>817</v>
      </c>
      <c r="H198" s="157">
        <v>692</v>
      </c>
      <c r="I198" s="157">
        <v>1511</v>
      </c>
      <c r="J198" s="157">
        <v>21233</v>
      </c>
      <c r="K198" s="156">
        <v>54</v>
      </c>
      <c r="L198" s="157">
        <v>1264</v>
      </c>
      <c r="M198" s="157">
        <v>1565</v>
      </c>
      <c r="N198" s="157">
        <v>2844</v>
      </c>
      <c r="O198" s="157">
        <v>32394</v>
      </c>
      <c r="P198" s="156">
        <v>50</v>
      </c>
      <c r="Q198" s="157">
        <v>1178</v>
      </c>
      <c r="R198" s="157">
        <v>931</v>
      </c>
      <c r="S198" s="157">
        <v>2124</v>
      </c>
      <c r="T198" s="157">
        <v>38166</v>
      </c>
    </row>
    <row r="199" spans="1:20" x14ac:dyDescent="0.45">
      <c r="A199" s="156">
        <v>46</v>
      </c>
      <c r="B199" s="157">
        <v>964</v>
      </c>
      <c r="C199" s="157">
        <v>342</v>
      </c>
      <c r="D199" s="157">
        <v>1313</v>
      </c>
      <c r="E199" s="157">
        <v>31683</v>
      </c>
      <c r="F199" s="156">
        <v>53</v>
      </c>
      <c r="G199" s="157">
        <v>1021</v>
      </c>
      <c r="H199" s="157">
        <v>810</v>
      </c>
      <c r="I199" s="157">
        <v>1841</v>
      </c>
      <c r="J199" s="157">
        <v>23074</v>
      </c>
      <c r="K199" s="156">
        <v>53</v>
      </c>
      <c r="L199" s="157">
        <v>1113</v>
      </c>
      <c r="M199" s="157">
        <v>1391</v>
      </c>
      <c r="N199" s="157">
        <v>2518</v>
      </c>
      <c r="O199" s="157">
        <v>34912</v>
      </c>
      <c r="P199" s="156">
        <v>49</v>
      </c>
      <c r="Q199" s="157">
        <v>2256</v>
      </c>
      <c r="R199" s="157">
        <v>1790</v>
      </c>
      <c r="S199" s="157">
        <v>4071</v>
      </c>
      <c r="T199" s="157">
        <v>42237</v>
      </c>
    </row>
    <row r="200" spans="1:20" x14ac:dyDescent="0.45">
      <c r="A200" s="156">
        <v>45</v>
      </c>
      <c r="B200" s="157">
        <v>1796</v>
      </c>
      <c r="C200" s="157">
        <v>638</v>
      </c>
      <c r="D200" s="157">
        <v>2449</v>
      </c>
      <c r="E200" s="157">
        <v>34132</v>
      </c>
      <c r="F200" s="156">
        <v>52</v>
      </c>
      <c r="G200" s="157">
        <v>966</v>
      </c>
      <c r="H200" s="157">
        <v>799</v>
      </c>
      <c r="I200" s="157">
        <v>1775</v>
      </c>
      <c r="J200" s="157">
        <v>24849</v>
      </c>
      <c r="K200" s="156">
        <v>52</v>
      </c>
      <c r="L200" s="157">
        <v>1270</v>
      </c>
      <c r="M200" s="157">
        <v>1583</v>
      </c>
      <c r="N200" s="157">
        <v>2872</v>
      </c>
      <c r="O200" s="157">
        <v>37784</v>
      </c>
      <c r="P200" s="156">
        <v>48</v>
      </c>
      <c r="Q200" s="157">
        <v>1144</v>
      </c>
      <c r="R200" s="157">
        <v>943</v>
      </c>
      <c r="S200" s="157">
        <v>2103</v>
      </c>
      <c r="T200" s="157">
        <v>44340</v>
      </c>
    </row>
    <row r="201" spans="1:20" x14ac:dyDescent="0.45">
      <c r="A201" s="156">
        <v>44</v>
      </c>
      <c r="B201" s="157">
        <v>950</v>
      </c>
      <c r="C201" s="157">
        <v>342</v>
      </c>
      <c r="D201" s="157">
        <v>1299</v>
      </c>
      <c r="E201" s="157">
        <v>35431</v>
      </c>
      <c r="F201" s="156">
        <v>51</v>
      </c>
      <c r="G201" s="157">
        <v>925</v>
      </c>
      <c r="H201" s="157">
        <v>813</v>
      </c>
      <c r="I201" s="157">
        <v>1748</v>
      </c>
      <c r="J201" s="157">
        <v>26597</v>
      </c>
      <c r="K201" s="156">
        <v>51</v>
      </c>
      <c r="L201" s="157">
        <v>1403</v>
      </c>
      <c r="M201" s="157">
        <v>1623</v>
      </c>
      <c r="N201" s="157">
        <v>3039</v>
      </c>
      <c r="O201" s="157">
        <v>40823</v>
      </c>
      <c r="P201" s="156">
        <v>47</v>
      </c>
      <c r="Q201" s="157">
        <v>1077</v>
      </c>
      <c r="R201" s="157">
        <v>831</v>
      </c>
      <c r="S201" s="157">
        <v>1916</v>
      </c>
      <c r="T201" s="157">
        <v>46256</v>
      </c>
    </row>
    <row r="202" spans="1:20" x14ac:dyDescent="0.45">
      <c r="A202" s="156">
        <v>43</v>
      </c>
      <c r="B202" s="157">
        <v>962</v>
      </c>
      <c r="C202" s="157">
        <v>300</v>
      </c>
      <c r="D202" s="157">
        <v>1268</v>
      </c>
      <c r="E202" s="157">
        <v>36699</v>
      </c>
      <c r="F202" s="156">
        <v>50</v>
      </c>
      <c r="G202" s="157">
        <v>2062</v>
      </c>
      <c r="H202" s="157">
        <v>1712</v>
      </c>
      <c r="I202" s="157">
        <v>3795</v>
      </c>
      <c r="J202" s="157">
        <v>30392</v>
      </c>
      <c r="K202" s="156">
        <v>50</v>
      </c>
      <c r="L202" s="157">
        <v>1221</v>
      </c>
      <c r="M202" s="157">
        <v>1525</v>
      </c>
      <c r="N202" s="157">
        <v>2763</v>
      </c>
      <c r="O202" s="157">
        <v>43586</v>
      </c>
      <c r="P202" s="156">
        <v>46</v>
      </c>
      <c r="Q202" s="157">
        <v>1189</v>
      </c>
      <c r="R202" s="157">
        <v>945</v>
      </c>
      <c r="S202" s="157">
        <v>2147</v>
      </c>
      <c r="T202" s="157">
        <v>48403</v>
      </c>
    </row>
    <row r="203" spans="1:20" x14ac:dyDescent="0.45">
      <c r="A203" s="156">
        <v>42</v>
      </c>
      <c r="B203" s="157">
        <v>1079</v>
      </c>
      <c r="C203" s="157">
        <v>308</v>
      </c>
      <c r="D203" s="157">
        <v>1396</v>
      </c>
      <c r="E203" s="157">
        <v>38095</v>
      </c>
      <c r="F203" s="156">
        <v>49</v>
      </c>
      <c r="G203" s="157">
        <v>1067</v>
      </c>
      <c r="H203" s="157">
        <v>866</v>
      </c>
      <c r="I203" s="157">
        <v>1940</v>
      </c>
      <c r="J203" s="157">
        <v>32332</v>
      </c>
      <c r="K203" s="156">
        <v>49</v>
      </c>
      <c r="L203" s="157">
        <v>1423</v>
      </c>
      <c r="M203" s="157">
        <v>1816</v>
      </c>
      <c r="N203" s="157">
        <v>3253</v>
      </c>
      <c r="O203" s="157">
        <v>46839</v>
      </c>
      <c r="P203" s="156">
        <v>45</v>
      </c>
      <c r="Q203" s="157">
        <v>1174</v>
      </c>
      <c r="R203" s="157">
        <v>820</v>
      </c>
      <c r="S203" s="157">
        <v>2002</v>
      </c>
      <c r="T203" s="157">
        <v>50405</v>
      </c>
    </row>
    <row r="204" spans="1:20" x14ac:dyDescent="0.45">
      <c r="A204" s="156">
        <v>41</v>
      </c>
      <c r="B204" s="157">
        <v>2049</v>
      </c>
      <c r="C204" s="157">
        <v>611</v>
      </c>
      <c r="D204" s="157">
        <v>2685</v>
      </c>
      <c r="E204" s="157">
        <v>40780</v>
      </c>
      <c r="F204" s="156">
        <v>48</v>
      </c>
      <c r="G204" s="157">
        <v>1082</v>
      </c>
      <c r="H204" s="157">
        <v>977</v>
      </c>
      <c r="I204" s="157">
        <v>2070</v>
      </c>
      <c r="J204" s="157">
        <v>34402</v>
      </c>
      <c r="K204" s="156">
        <v>48</v>
      </c>
      <c r="L204" s="157">
        <v>1362</v>
      </c>
      <c r="M204" s="157">
        <v>1577</v>
      </c>
      <c r="N204" s="157">
        <v>2962</v>
      </c>
      <c r="O204" s="157">
        <v>49801</v>
      </c>
      <c r="P204" s="156">
        <v>44</v>
      </c>
      <c r="Q204" s="157">
        <v>2268</v>
      </c>
      <c r="R204" s="157">
        <v>1596</v>
      </c>
      <c r="S204" s="157">
        <v>3885</v>
      </c>
      <c r="T204" s="157">
        <v>54290</v>
      </c>
    </row>
    <row r="205" spans="1:20" x14ac:dyDescent="0.45">
      <c r="A205" s="156">
        <v>40</v>
      </c>
      <c r="B205" s="157">
        <v>2423</v>
      </c>
      <c r="C205" s="157">
        <v>501</v>
      </c>
      <c r="D205" s="157">
        <v>2970</v>
      </c>
      <c r="E205" s="157">
        <v>43750</v>
      </c>
      <c r="F205" s="156">
        <v>47</v>
      </c>
      <c r="G205" s="157">
        <v>1046</v>
      </c>
      <c r="H205" s="157">
        <v>863</v>
      </c>
      <c r="I205" s="157">
        <v>1919</v>
      </c>
      <c r="J205" s="157">
        <v>36321</v>
      </c>
      <c r="K205" s="156">
        <v>47</v>
      </c>
      <c r="L205" s="157">
        <v>3085</v>
      </c>
      <c r="M205" s="157">
        <v>3608</v>
      </c>
      <c r="N205" s="157">
        <v>6724</v>
      </c>
      <c r="O205" s="157">
        <v>56525</v>
      </c>
      <c r="P205" s="156">
        <v>43</v>
      </c>
      <c r="Q205" s="157">
        <v>1201</v>
      </c>
      <c r="R205" s="157">
        <v>751</v>
      </c>
      <c r="S205" s="157">
        <v>1966</v>
      </c>
      <c r="T205" s="157">
        <v>56256</v>
      </c>
    </row>
    <row r="206" spans="1:20" x14ac:dyDescent="0.45">
      <c r="A206" s="156">
        <v>39</v>
      </c>
      <c r="B206" s="157">
        <v>1010</v>
      </c>
      <c r="C206" s="157">
        <v>315</v>
      </c>
      <c r="D206" s="157">
        <v>1338</v>
      </c>
      <c r="E206" s="157">
        <v>45088</v>
      </c>
      <c r="F206" s="156">
        <v>46</v>
      </c>
      <c r="G206" s="157">
        <v>1258</v>
      </c>
      <c r="H206" s="157">
        <v>950</v>
      </c>
      <c r="I206" s="157">
        <v>2215</v>
      </c>
      <c r="J206" s="157">
        <v>38536</v>
      </c>
      <c r="K206" s="156">
        <v>46</v>
      </c>
      <c r="L206" s="157">
        <v>1500</v>
      </c>
      <c r="M206" s="157">
        <v>1665</v>
      </c>
      <c r="N206" s="157">
        <v>3181</v>
      </c>
      <c r="O206" s="157">
        <v>59706</v>
      </c>
      <c r="P206" s="156">
        <v>42</v>
      </c>
      <c r="Q206" s="157">
        <v>1170</v>
      </c>
      <c r="R206" s="157">
        <v>675</v>
      </c>
      <c r="S206" s="157">
        <v>1863</v>
      </c>
      <c r="T206" s="157">
        <v>58119</v>
      </c>
    </row>
    <row r="207" spans="1:20" x14ac:dyDescent="0.45">
      <c r="A207" s="156">
        <v>38</v>
      </c>
      <c r="B207" s="157">
        <v>2889</v>
      </c>
      <c r="C207" s="157">
        <v>735</v>
      </c>
      <c r="D207" s="157">
        <v>3648</v>
      </c>
      <c r="E207" s="157">
        <v>48736</v>
      </c>
      <c r="F207" s="156">
        <v>45</v>
      </c>
      <c r="G207" s="157">
        <v>1149</v>
      </c>
      <c r="H207" s="157">
        <v>922</v>
      </c>
      <c r="I207" s="157">
        <v>2083</v>
      </c>
      <c r="J207" s="157">
        <v>40619</v>
      </c>
      <c r="K207" s="156">
        <v>45</v>
      </c>
      <c r="L207" s="157">
        <v>1641</v>
      </c>
      <c r="M207" s="157">
        <v>1803</v>
      </c>
      <c r="N207" s="157">
        <v>3472</v>
      </c>
      <c r="O207" s="157">
        <v>63178</v>
      </c>
      <c r="P207" s="156">
        <v>41</v>
      </c>
      <c r="Q207" s="157">
        <v>1205</v>
      </c>
      <c r="R207" s="157">
        <v>722</v>
      </c>
      <c r="S207" s="157">
        <v>1936</v>
      </c>
      <c r="T207" s="157">
        <v>60055</v>
      </c>
    </row>
    <row r="208" spans="1:20" x14ac:dyDescent="0.45">
      <c r="A208" s="156">
        <v>37</v>
      </c>
      <c r="B208" s="157">
        <v>921</v>
      </c>
      <c r="C208" s="157">
        <v>214</v>
      </c>
      <c r="D208" s="157">
        <v>1148</v>
      </c>
      <c r="E208" s="157">
        <v>49884</v>
      </c>
      <c r="F208" s="156">
        <v>44</v>
      </c>
      <c r="G208" s="157">
        <v>1333</v>
      </c>
      <c r="H208" s="157">
        <v>906</v>
      </c>
      <c r="I208" s="157">
        <v>2248</v>
      </c>
      <c r="J208" s="157">
        <v>42867</v>
      </c>
      <c r="K208" s="156">
        <v>44</v>
      </c>
      <c r="L208" s="157">
        <v>1492</v>
      </c>
      <c r="M208" s="157">
        <v>1658</v>
      </c>
      <c r="N208" s="157">
        <v>3168</v>
      </c>
      <c r="O208" s="157">
        <v>66346</v>
      </c>
      <c r="P208" s="156">
        <v>40</v>
      </c>
      <c r="Q208" s="157">
        <v>1449</v>
      </c>
      <c r="R208" s="157">
        <v>802</v>
      </c>
      <c r="S208" s="157">
        <v>2269</v>
      </c>
      <c r="T208" s="157">
        <v>62324</v>
      </c>
    </row>
    <row r="209" spans="1:20" x14ac:dyDescent="0.45">
      <c r="A209" s="156">
        <v>36</v>
      </c>
      <c r="B209" s="157">
        <v>601</v>
      </c>
      <c r="C209" s="157">
        <v>161</v>
      </c>
      <c r="D209" s="157">
        <v>771</v>
      </c>
      <c r="E209" s="157">
        <v>50655</v>
      </c>
      <c r="F209" s="156">
        <v>43</v>
      </c>
      <c r="G209" s="157">
        <v>1210</v>
      </c>
      <c r="H209" s="157">
        <v>919</v>
      </c>
      <c r="I209" s="157">
        <v>2140</v>
      </c>
      <c r="J209" s="157">
        <v>45007</v>
      </c>
      <c r="K209" s="156">
        <v>43</v>
      </c>
      <c r="L209" s="157">
        <v>1710</v>
      </c>
      <c r="M209" s="157">
        <v>1691</v>
      </c>
      <c r="N209" s="157">
        <v>3426</v>
      </c>
      <c r="O209" s="157">
        <v>69772</v>
      </c>
      <c r="P209" s="156">
        <v>39</v>
      </c>
      <c r="Q209" s="157">
        <v>2958</v>
      </c>
      <c r="R209" s="157">
        <v>1462</v>
      </c>
      <c r="S209" s="157">
        <v>4453</v>
      </c>
      <c r="T209" s="157">
        <v>66777</v>
      </c>
    </row>
    <row r="210" spans="1:20" x14ac:dyDescent="0.45">
      <c r="A210" s="156">
        <v>35</v>
      </c>
      <c r="B210" s="157">
        <v>949</v>
      </c>
      <c r="C210" s="157">
        <v>272</v>
      </c>
      <c r="D210" s="157">
        <v>1227</v>
      </c>
      <c r="E210" s="157">
        <v>51882</v>
      </c>
      <c r="F210" s="156">
        <v>42</v>
      </c>
      <c r="G210" s="157">
        <v>2214</v>
      </c>
      <c r="H210" s="157">
        <v>1098</v>
      </c>
      <c r="I210" s="157">
        <v>3355</v>
      </c>
      <c r="J210" s="157">
        <v>48362</v>
      </c>
      <c r="K210" s="156">
        <v>42</v>
      </c>
      <c r="L210" s="157">
        <v>1414</v>
      </c>
      <c r="M210" s="157">
        <v>1533</v>
      </c>
      <c r="N210" s="157">
        <v>2964</v>
      </c>
      <c r="O210" s="157">
        <v>72736</v>
      </c>
      <c r="P210" s="156">
        <v>38</v>
      </c>
      <c r="Q210" s="157">
        <v>2493</v>
      </c>
      <c r="R210" s="157">
        <v>1021</v>
      </c>
      <c r="S210" s="157">
        <v>3545</v>
      </c>
      <c r="T210" s="157">
        <v>70322</v>
      </c>
    </row>
    <row r="211" spans="1:20" x14ac:dyDescent="0.45">
      <c r="A211" s="156">
        <v>34</v>
      </c>
      <c r="B211" s="157">
        <v>310</v>
      </c>
      <c r="C211" s="157">
        <v>77</v>
      </c>
      <c r="D211" s="157">
        <v>391</v>
      </c>
      <c r="E211" s="157">
        <v>52273</v>
      </c>
      <c r="F211" s="156">
        <v>41</v>
      </c>
      <c r="G211" s="157">
        <v>1250</v>
      </c>
      <c r="H211" s="157">
        <v>874</v>
      </c>
      <c r="I211" s="157">
        <v>2141</v>
      </c>
      <c r="J211" s="157">
        <v>50503</v>
      </c>
      <c r="K211" s="156">
        <v>41</v>
      </c>
      <c r="L211" s="157">
        <v>1711</v>
      </c>
      <c r="M211" s="157">
        <v>1490</v>
      </c>
      <c r="N211" s="157">
        <v>3218</v>
      </c>
      <c r="O211" s="157">
        <v>75954</v>
      </c>
      <c r="P211" s="156">
        <v>37</v>
      </c>
      <c r="Q211" s="157">
        <v>2992</v>
      </c>
      <c r="R211" s="157">
        <v>972</v>
      </c>
      <c r="S211" s="157">
        <v>4010</v>
      </c>
      <c r="T211" s="157">
        <v>74332</v>
      </c>
    </row>
    <row r="212" spans="1:20" x14ac:dyDescent="0.45">
      <c r="A212" s="156">
        <v>33</v>
      </c>
      <c r="B212" s="157">
        <v>147</v>
      </c>
      <c r="C212" s="157">
        <v>35</v>
      </c>
      <c r="D212" s="157">
        <v>185</v>
      </c>
      <c r="E212" s="157">
        <v>52458</v>
      </c>
      <c r="F212" s="156">
        <v>40</v>
      </c>
      <c r="G212" s="157">
        <v>972</v>
      </c>
      <c r="H212" s="157">
        <v>708</v>
      </c>
      <c r="I212" s="157">
        <v>1692</v>
      </c>
      <c r="J212" s="157">
        <v>52195</v>
      </c>
      <c r="K212" s="156">
        <v>40</v>
      </c>
      <c r="L212" s="157">
        <v>2355</v>
      </c>
      <c r="M212" s="157">
        <v>1903</v>
      </c>
      <c r="N212" s="157">
        <v>4292</v>
      </c>
      <c r="O212" s="157">
        <v>80246</v>
      </c>
      <c r="P212" s="156">
        <v>36</v>
      </c>
      <c r="Q212" s="157">
        <v>827</v>
      </c>
      <c r="R212" s="157">
        <v>399</v>
      </c>
      <c r="S212" s="157">
        <v>1237</v>
      </c>
      <c r="T212" s="157">
        <v>75569</v>
      </c>
    </row>
    <row r="213" spans="1:20" x14ac:dyDescent="0.45">
      <c r="A213" s="156">
        <v>32</v>
      </c>
      <c r="B213" s="157">
        <v>108</v>
      </c>
      <c r="C213" s="157">
        <v>26</v>
      </c>
      <c r="D213" s="157">
        <v>137</v>
      </c>
      <c r="E213" s="157">
        <v>52595</v>
      </c>
      <c r="F213" s="156">
        <v>39</v>
      </c>
      <c r="G213" s="157">
        <v>983</v>
      </c>
      <c r="H213" s="157">
        <v>587</v>
      </c>
      <c r="I213" s="157">
        <v>1581</v>
      </c>
      <c r="J213" s="157">
        <v>53776</v>
      </c>
      <c r="K213" s="156">
        <v>39</v>
      </c>
      <c r="L213" s="157">
        <v>2618</v>
      </c>
      <c r="M213" s="157">
        <v>1656</v>
      </c>
      <c r="N213" s="157">
        <v>4333</v>
      </c>
      <c r="O213" s="157">
        <v>84579</v>
      </c>
      <c r="P213" s="156">
        <v>35</v>
      </c>
      <c r="Q213" s="157">
        <v>490</v>
      </c>
      <c r="R213" s="157">
        <v>216</v>
      </c>
      <c r="S213" s="157">
        <v>709</v>
      </c>
      <c r="T213" s="157">
        <v>76278</v>
      </c>
    </row>
    <row r="214" spans="1:20" x14ac:dyDescent="0.45">
      <c r="A214" s="156">
        <v>31</v>
      </c>
      <c r="B214" s="157">
        <v>132</v>
      </c>
      <c r="C214" s="157">
        <v>24</v>
      </c>
      <c r="D214" s="157">
        <v>157</v>
      </c>
      <c r="E214" s="157">
        <v>52752</v>
      </c>
      <c r="F214" s="156">
        <v>38</v>
      </c>
      <c r="G214" s="157">
        <v>912</v>
      </c>
      <c r="H214" s="157">
        <v>562</v>
      </c>
      <c r="I214" s="157">
        <v>1489</v>
      </c>
      <c r="J214" s="157">
        <v>55265</v>
      </c>
      <c r="K214" s="156">
        <v>38</v>
      </c>
      <c r="L214" s="157">
        <v>2539</v>
      </c>
      <c r="M214" s="157">
        <v>1632</v>
      </c>
      <c r="N214" s="157">
        <v>4208</v>
      </c>
      <c r="O214" s="157">
        <v>88787</v>
      </c>
      <c r="P214" s="156">
        <v>34</v>
      </c>
      <c r="Q214" s="157">
        <v>882</v>
      </c>
      <c r="R214" s="157">
        <v>397</v>
      </c>
      <c r="S214" s="157">
        <v>1297</v>
      </c>
      <c r="T214" s="157">
        <v>77575</v>
      </c>
    </row>
    <row r="215" spans="1:20" x14ac:dyDescent="0.45">
      <c r="A215" s="156">
        <v>30</v>
      </c>
      <c r="B215" s="157">
        <v>49</v>
      </c>
      <c r="C215" s="157">
        <v>8</v>
      </c>
      <c r="D215" s="157">
        <v>59</v>
      </c>
      <c r="E215" s="157">
        <v>52811</v>
      </c>
      <c r="F215" s="156">
        <v>37</v>
      </c>
      <c r="G215" s="157">
        <v>1727</v>
      </c>
      <c r="H215" s="157">
        <v>975</v>
      </c>
      <c r="I215" s="157">
        <v>2724</v>
      </c>
      <c r="J215" s="157">
        <v>57989</v>
      </c>
      <c r="K215" s="156">
        <v>37</v>
      </c>
      <c r="L215" s="157">
        <v>922</v>
      </c>
      <c r="M215" s="157">
        <v>864</v>
      </c>
      <c r="N215" s="157">
        <v>1796</v>
      </c>
      <c r="O215" s="157">
        <v>90583</v>
      </c>
      <c r="P215" s="156">
        <v>33</v>
      </c>
      <c r="Q215" s="157">
        <v>208</v>
      </c>
      <c r="R215" s="157">
        <v>89</v>
      </c>
      <c r="S215" s="157">
        <v>301</v>
      </c>
      <c r="T215" s="157">
        <v>77876</v>
      </c>
    </row>
    <row r="216" spans="1:20" x14ac:dyDescent="0.45">
      <c r="A216" s="156"/>
      <c r="B216" s="157"/>
      <c r="C216" s="157"/>
      <c r="D216" s="157"/>
      <c r="E216" s="157"/>
      <c r="F216" s="156">
        <v>36</v>
      </c>
      <c r="G216" s="157">
        <v>637</v>
      </c>
      <c r="H216" s="157">
        <v>333</v>
      </c>
      <c r="I216" s="157">
        <v>976</v>
      </c>
      <c r="J216" s="157">
        <v>58965</v>
      </c>
      <c r="K216" s="156">
        <v>36</v>
      </c>
      <c r="L216" s="157">
        <v>658</v>
      </c>
      <c r="M216" s="157">
        <v>540</v>
      </c>
      <c r="N216" s="157">
        <v>1214</v>
      </c>
      <c r="O216" s="157">
        <v>91797</v>
      </c>
      <c r="P216" s="156">
        <v>32</v>
      </c>
      <c r="Q216" s="157">
        <v>211</v>
      </c>
      <c r="R216" s="157">
        <v>85</v>
      </c>
      <c r="S216" s="157">
        <v>300</v>
      </c>
      <c r="T216" s="157">
        <v>78176</v>
      </c>
    </row>
    <row r="217" spans="1:20" x14ac:dyDescent="0.45">
      <c r="A217" s="156"/>
      <c r="B217" s="157"/>
      <c r="C217" s="157"/>
      <c r="D217" s="157"/>
      <c r="E217" s="157"/>
      <c r="F217" s="156">
        <v>35</v>
      </c>
      <c r="G217" s="157">
        <v>1227</v>
      </c>
      <c r="H217" s="157">
        <v>541</v>
      </c>
      <c r="I217" s="157">
        <v>1786</v>
      </c>
      <c r="J217" s="157">
        <v>60751</v>
      </c>
      <c r="K217" s="156">
        <v>35</v>
      </c>
      <c r="L217" s="157">
        <v>833</v>
      </c>
      <c r="M217" s="157">
        <v>615</v>
      </c>
      <c r="N217" s="157">
        <v>1461</v>
      </c>
      <c r="O217" s="157">
        <v>93258</v>
      </c>
      <c r="P217" s="156">
        <v>30</v>
      </c>
      <c r="Q217" s="157">
        <v>93</v>
      </c>
      <c r="R217" s="157">
        <v>37</v>
      </c>
      <c r="S217" s="157">
        <v>130</v>
      </c>
      <c r="T217" s="157">
        <v>78306</v>
      </c>
    </row>
    <row r="218" spans="1:20" x14ac:dyDescent="0.45">
      <c r="A218" s="156"/>
      <c r="B218" s="157"/>
      <c r="C218" s="157"/>
      <c r="D218" s="157"/>
      <c r="E218" s="157"/>
      <c r="F218" s="156">
        <v>34</v>
      </c>
      <c r="G218" s="157">
        <v>349</v>
      </c>
      <c r="H218" s="157">
        <v>158</v>
      </c>
      <c r="I218" s="157">
        <v>511</v>
      </c>
      <c r="J218" s="157">
        <v>61262</v>
      </c>
      <c r="K218" s="156">
        <v>34</v>
      </c>
      <c r="L218" s="157">
        <v>323</v>
      </c>
      <c r="M218" s="157">
        <v>257</v>
      </c>
      <c r="N218" s="157">
        <v>585</v>
      </c>
      <c r="O218" s="157">
        <v>93843</v>
      </c>
      <c r="P218" s="156"/>
      <c r="Q218" s="157"/>
      <c r="R218" s="157"/>
      <c r="S218" s="157"/>
      <c r="T218" s="157"/>
    </row>
    <row r="219" spans="1:20" x14ac:dyDescent="0.45">
      <c r="A219" s="156"/>
      <c r="B219" s="157"/>
      <c r="C219" s="157"/>
      <c r="D219" s="157"/>
      <c r="E219" s="157"/>
      <c r="F219" s="156">
        <v>33</v>
      </c>
      <c r="G219" s="157">
        <v>289</v>
      </c>
      <c r="H219" s="157">
        <v>139</v>
      </c>
      <c r="I219" s="157">
        <v>431</v>
      </c>
      <c r="J219" s="157">
        <v>61693</v>
      </c>
      <c r="K219" s="156">
        <v>33</v>
      </c>
      <c r="L219" s="157">
        <v>383</v>
      </c>
      <c r="M219" s="157">
        <v>222</v>
      </c>
      <c r="N219" s="157">
        <v>609</v>
      </c>
      <c r="O219" s="157">
        <v>94452</v>
      </c>
      <c r="P219" s="156"/>
      <c r="Q219" s="157"/>
      <c r="R219" s="157"/>
      <c r="S219" s="157"/>
      <c r="T219" s="157"/>
    </row>
    <row r="220" spans="1:20" x14ac:dyDescent="0.45">
      <c r="A220" s="156"/>
      <c r="B220" s="157"/>
      <c r="C220" s="157"/>
      <c r="D220" s="157"/>
      <c r="E220" s="157"/>
      <c r="F220" s="156">
        <v>32</v>
      </c>
      <c r="G220" s="157">
        <v>69</v>
      </c>
      <c r="H220" s="157">
        <v>20</v>
      </c>
      <c r="I220" s="157">
        <v>89</v>
      </c>
      <c r="J220" s="157">
        <v>61782</v>
      </c>
      <c r="K220" s="156">
        <v>32</v>
      </c>
      <c r="L220" s="157">
        <v>302</v>
      </c>
      <c r="M220" s="157">
        <v>186</v>
      </c>
      <c r="N220" s="157">
        <v>491</v>
      </c>
      <c r="O220" s="157">
        <v>94943</v>
      </c>
      <c r="P220" s="156"/>
      <c r="Q220" s="157"/>
      <c r="R220" s="157"/>
      <c r="S220" s="157"/>
      <c r="T220" s="157"/>
    </row>
    <row r="221" spans="1:20" x14ac:dyDescent="0.45">
      <c r="A221" s="156"/>
      <c r="B221" s="157"/>
      <c r="C221" s="157"/>
      <c r="D221" s="157"/>
      <c r="E221" s="157"/>
      <c r="F221" s="156">
        <v>31</v>
      </c>
      <c r="G221" s="157">
        <v>155</v>
      </c>
      <c r="H221" s="157">
        <v>63</v>
      </c>
      <c r="I221" s="157">
        <v>221</v>
      </c>
      <c r="J221" s="157">
        <v>62003</v>
      </c>
      <c r="K221" s="156">
        <v>31</v>
      </c>
      <c r="L221" s="157">
        <v>134</v>
      </c>
      <c r="M221" s="157">
        <v>75</v>
      </c>
      <c r="N221" s="157">
        <v>211</v>
      </c>
      <c r="O221" s="157">
        <v>95154</v>
      </c>
      <c r="P221" s="156"/>
      <c r="Q221" s="157"/>
      <c r="R221" s="157"/>
      <c r="S221" s="157"/>
      <c r="T221" s="157"/>
    </row>
    <row r="222" spans="1:20" x14ac:dyDescent="0.45">
      <c r="A222" s="158"/>
      <c r="B222" s="159"/>
      <c r="C222" s="159"/>
      <c r="D222" s="159"/>
      <c r="E222" s="159"/>
      <c r="F222" s="158">
        <v>29</v>
      </c>
      <c r="G222" s="159">
        <v>48</v>
      </c>
      <c r="H222" s="159">
        <v>18</v>
      </c>
      <c r="I222" s="159">
        <v>67</v>
      </c>
      <c r="J222" s="159">
        <v>62070</v>
      </c>
      <c r="K222" s="158">
        <v>29</v>
      </c>
      <c r="L222" s="159">
        <v>55</v>
      </c>
      <c r="M222" s="159">
        <v>19</v>
      </c>
      <c r="N222" s="159">
        <v>75</v>
      </c>
      <c r="O222" s="159">
        <v>95229</v>
      </c>
      <c r="P222" s="158"/>
      <c r="Q222" s="159"/>
      <c r="R222" s="159"/>
      <c r="S222" s="159"/>
      <c r="T222" s="159"/>
    </row>
    <row r="223" spans="1:20" x14ac:dyDescent="0.45">
      <c r="A223" s="6"/>
      <c r="B223" s="1"/>
      <c r="C223" s="1"/>
      <c r="D223" s="7"/>
      <c r="F223" s="6"/>
      <c r="G223" s="1"/>
      <c r="H223" s="1"/>
      <c r="I223" s="7"/>
      <c r="K223" s="6"/>
      <c r="L223" s="1"/>
      <c r="M223" s="1"/>
      <c r="N223" s="7"/>
      <c r="P223" s="6"/>
      <c r="Q223" s="1"/>
      <c r="R223" s="1"/>
      <c r="S223" s="7"/>
    </row>
    <row r="224" spans="1:20" ht="17.5" thickBot="1" x14ac:dyDescent="0.5">
      <c r="A224" s="8"/>
      <c r="B224" s="14"/>
      <c r="C224" s="14"/>
      <c r="D224" s="2"/>
      <c r="F224" s="8"/>
      <c r="G224" s="14"/>
      <c r="H224" s="14"/>
      <c r="I224" s="2"/>
      <c r="K224" s="8"/>
      <c r="L224" s="14"/>
      <c r="M224" s="14"/>
      <c r="N224" s="2"/>
      <c r="P224" s="8"/>
      <c r="Q224" s="14"/>
      <c r="R224" s="14"/>
      <c r="S224" s="2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9C2F0-AFFA-4DD2-AC57-9D55E3AE9A18}">
  <sheetPr codeName="Sheet5"/>
  <dimension ref="A1:T111"/>
  <sheetViews>
    <sheetView topLeftCell="A54" zoomScale="70" zoomScaleNormal="70" workbookViewId="0">
      <selection activeCell="A64" sqref="A64:J106"/>
    </sheetView>
  </sheetViews>
  <sheetFormatPr defaultRowHeight="17" x14ac:dyDescent="0.45"/>
  <sheetData>
    <row r="1" spans="1:20" x14ac:dyDescent="0.45">
      <c r="A1" s="15"/>
    </row>
    <row r="2" spans="1:20" ht="17.5" thickBot="1" x14ac:dyDescent="0.5"/>
    <row r="3" spans="1:20" x14ac:dyDescent="0.45">
      <c r="A3" s="46" t="s">
        <v>67</v>
      </c>
      <c r="B3" s="47"/>
      <c r="C3" s="47"/>
      <c r="D3" s="48"/>
      <c r="F3" s="46" t="s">
        <v>68</v>
      </c>
      <c r="G3" s="47"/>
      <c r="H3" s="47"/>
      <c r="I3" s="48"/>
      <c r="K3" s="46" t="s">
        <v>69</v>
      </c>
      <c r="L3" s="47"/>
      <c r="M3" s="47"/>
      <c r="N3" s="48"/>
      <c r="P3" s="46" t="s">
        <v>70</v>
      </c>
      <c r="Q3" s="47"/>
      <c r="R3" s="47"/>
      <c r="S3" s="48"/>
    </row>
    <row r="4" spans="1:20" x14ac:dyDescent="0.45">
      <c r="A4" s="6" t="s">
        <v>1</v>
      </c>
      <c r="B4" s="1"/>
      <c r="C4" s="1"/>
      <c r="D4" s="7" t="s">
        <v>0</v>
      </c>
      <c r="F4" s="6" t="s">
        <v>1</v>
      </c>
      <c r="G4" s="1"/>
      <c r="H4" s="1"/>
      <c r="I4" s="7" t="s">
        <v>0</v>
      </c>
      <c r="K4" s="6" t="s">
        <v>1</v>
      </c>
      <c r="L4" s="1"/>
      <c r="M4" s="1"/>
      <c r="N4" s="7" t="s">
        <v>0</v>
      </c>
      <c r="P4" s="6" t="s">
        <v>1</v>
      </c>
      <c r="Q4" s="1"/>
      <c r="R4" s="1"/>
      <c r="S4" s="7" t="s">
        <v>0</v>
      </c>
    </row>
    <row r="5" spans="1:20" x14ac:dyDescent="0.45">
      <c r="A5" s="154">
        <v>76</v>
      </c>
      <c r="B5" s="155">
        <v>2</v>
      </c>
      <c r="C5" s="155">
        <v>6</v>
      </c>
      <c r="D5" s="155">
        <v>8</v>
      </c>
      <c r="E5" s="155">
        <v>8</v>
      </c>
      <c r="F5" s="154">
        <v>87</v>
      </c>
      <c r="G5" s="155">
        <v>1</v>
      </c>
      <c r="H5" s="155">
        <v>0</v>
      </c>
      <c r="I5" s="155">
        <v>1</v>
      </c>
      <c r="J5" s="155">
        <v>1</v>
      </c>
      <c r="K5" s="154">
        <v>79</v>
      </c>
      <c r="L5" s="155">
        <v>1</v>
      </c>
      <c r="M5" s="155">
        <v>0</v>
      </c>
      <c r="N5" s="155">
        <v>1</v>
      </c>
      <c r="O5" s="155">
        <v>1</v>
      </c>
      <c r="P5" s="154">
        <v>75</v>
      </c>
      <c r="Q5" s="155">
        <v>1</v>
      </c>
      <c r="R5" s="155">
        <v>2</v>
      </c>
      <c r="S5" s="155">
        <v>3</v>
      </c>
      <c r="T5" s="155">
        <v>3</v>
      </c>
    </row>
    <row r="6" spans="1:20" x14ac:dyDescent="0.45">
      <c r="A6" s="154">
        <v>73</v>
      </c>
      <c r="B6" s="155">
        <v>9</v>
      </c>
      <c r="C6" s="155">
        <v>7</v>
      </c>
      <c r="D6" s="155">
        <v>16</v>
      </c>
      <c r="E6" s="155">
        <v>24</v>
      </c>
      <c r="F6" s="154">
        <v>84</v>
      </c>
      <c r="G6" s="155">
        <v>1</v>
      </c>
      <c r="H6" s="155">
        <v>0</v>
      </c>
      <c r="I6" s="155">
        <v>1</v>
      </c>
      <c r="J6" s="155">
        <v>2</v>
      </c>
      <c r="K6" s="154">
        <v>74</v>
      </c>
      <c r="L6" s="155">
        <v>1</v>
      </c>
      <c r="M6" s="155">
        <v>0</v>
      </c>
      <c r="N6" s="155">
        <v>1</v>
      </c>
      <c r="O6" s="155">
        <v>2</v>
      </c>
      <c r="P6" s="154">
        <v>73</v>
      </c>
      <c r="Q6" s="155">
        <v>1</v>
      </c>
      <c r="R6" s="155">
        <v>1</v>
      </c>
      <c r="S6" s="155">
        <v>2</v>
      </c>
      <c r="T6" s="155">
        <v>5</v>
      </c>
    </row>
    <row r="7" spans="1:20" x14ac:dyDescent="0.45">
      <c r="A7" s="154">
        <v>72</v>
      </c>
      <c r="B7" s="155">
        <v>8</v>
      </c>
      <c r="C7" s="155">
        <v>7</v>
      </c>
      <c r="D7" s="155">
        <v>15</v>
      </c>
      <c r="E7" s="155">
        <v>39</v>
      </c>
      <c r="F7" s="154">
        <v>82</v>
      </c>
      <c r="G7" s="155">
        <v>3</v>
      </c>
      <c r="H7" s="155">
        <v>0</v>
      </c>
      <c r="I7" s="155">
        <v>3</v>
      </c>
      <c r="J7" s="155">
        <v>5</v>
      </c>
      <c r="K7" s="154">
        <v>72</v>
      </c>
      <c r="L7" s="155">
        <v>4</v>
      </c>
      <c r="M7" s="155">
        <v>2</v>
      </c>
      <c r="N7" s="155">
        <v>6</v>
      </c>
      <c r="O7" s="155">
        <v>8</v>
      </c>
      <c r="P7" s="154">
        <v>72</v>
      </c>
      <c r="Q7" s="155">
        <v>3</v>
      </c>
      <c r="R7" s="155">
        <v>9</v>
      </c>
      <c r="S7" s="155">
        <v>12</v>
      </c>
      <c r="T7" s="155">
        <v>17</v>
      </c>
    </row>
    <row r="8" spans="1:20" x14ac:dyDescent="0.45">
      <c r="A8" s="154">
        <v>71</v>
      </c>
      <c r="B8" s="155">
        <v>16</v>
      </c>
      <c r="C8" s="155">
        <v>6</v>
      </c>
      <c r="D8" s="155">
        <v>22</v>
      </c>
      <c r="E8" s="155">
        <v>61</v>
      </c>
      <c r="F8" s="154">
        <v>80</v>
      </c>
      <c r="G8" s="155">
        <v>1</v>
      </c>
      <c r="H8" s="155">
        <v>0</v>
      </c>
      <c r="I8" s="155">
        <v>1</v>
      </c>
      <c r="J8" s="155">
        <v>6</v>
      </c>
      <c r="K8" s="154">
        <v>71</v>
      </c>
      <c r="L8" s="155">
        <v>3</v>
      </c>
      <c r="M8" s="155">
        <v>0</v>
      </c>
      <c r="N8" s="155">
        <v>3</v>
      </c>
      <c r="O8" s="155">
        <v>11</v>
      </c>
      <c r="P8" s="154">
        <v>71</v>
      </c>
      <c r="Q8" s="155">
        <v>5</v>
      </c>
      <c r="R8" s="155">
        <v>8</v>
      </c>
      <c r="S8" s="155">
        <v>13</v>
      </c>
      <c r="T8" s="155">
        <v>30</v>
      </c>
    </row>
    <row r="9" spans="1:20" x14ac:dyDescent="0.45">
      <c r="A9" s="154">
        <v>70</v>
      </c>
      <c r="B9" s="155">
        <v>2</v>
      </c>
      <c r="C9" s="155">
        <v>3</v>
      </c>
      <c r="D9" s="155">
        <v>5</v>
      </c>
      <c r="E9" s="155">
        <v>66</v>
      </c>
      <c r="F9" s="154">
        <v>79</v>
      </c>
      <c r="G9" s="155">
        <v>2</v>
      </c>
      <c r="H9" s="155">
        <v>0</v>
      </c>
      <c r="I9" s="155">
        <v>2</v>
      </c>
      <c r="J9" s="155">
        <v>8</v>
      </c>
      <c r="K9" s="154">
        <v>70</v>
      </c>
      <c r="L9" s="155">
        <v>5</v>
      </c>
      <c r="M9" s="155">
        <v>0</v>
      </c>
      <c r="N9" s="155">
        <v>5</v>
      </c>
      <c r="O9" s="155">
        <v>16</v>
      </c>
      <c r="P9" s="154">
        <v>70</v>
      </c>
      <c r="Q9" s="155">
        <v>4</v>
      </c>
      <c r="R9" s="155">
        <v>7</v>
      </c>
      <c r="S9" s="155">
        <v>11</v>
      </c>
      <c r="T9" s="155">
        <v>41</v>
      </c>
    </row>
    <row r="10" spans="1:20" x14ac:dyDescent="0.45">
      <c r="A10" s="154">
        <v>69</v>
      </c>
      <c r="B10" s="155">
        <v>16</v>
      </c>
      <c r="C10" s="155">
        <v>10</v>
      </c>
      <c r="D10" s="155">
        <v>26</v>
      </c>
      <c r="E10" s="155">
        <v>92</v>
      </c>
      <c r="F10" s="154">
        <v>78</v>
      </c>
      <c r="G10" s="155">
        <v>1</v>
      </c>
      <c r="H10" s="155">
        <v>0</v>
      </c>
      <c r="I10" s="155">
        <v>1</v>
      </c>
      <c r="J10" s="155">
        <v>9</v>
      </c>
      <c r="K10" s="154">
        <v>69</v>
      </c>
      <c r="L10" s="155">
        <v>5</v>
      </c>
      <c r="M10" s="155">
        <v>1</v>
      </c>
      <c r="N10" s="155">
        <v>6</v>
      </c>
      <c r="O10" s="155">
        <v>22</v>
      </c>
      <c r="P10" s="154">
        <v>68</v>
      </c>
      <c r="Q10" s="155">
        <v>6</v>
      </c>
      <c r="R10" s="155">
        <v>9</v>
      </c>
      <c r="S10" s="155">
        <v>15</v>
      </c>
      <c r="T10" s="155">
        <v>56</v>
      </c>
    </row>
    <row r="11" spans="1:20" x14ac:dyDescent="0.45">
      <c r="A11" s="154">
        <v>68</v>
      </c>
      <c r="B11" s="155">
        <v>17</v>
      </c>
      <c r="C11" s="155">
        <v>13</v>
      </c>
      <c r="D11" s="155">
        <v>30</v>
      </c>
      <c r="E11" s="155">
        <v>122</v>
      </c>
      <c r="F11" s="154">
        <v>75</v>
      </c>
      <c r="G11" s="155">
        <v>1</v>
      </c>
      <c r="H11" s="155">
        <v>1</v>
      </c>
      <c r="I11" s="155">
        <v>2</v>
      </c>
      <c r="J11" s="155">
        <v>11</v>
      </c>
      <c r="K11" s="154">
        <v>68</v>
      </c>
      <c r="L11" s="155">
        <v>5</v>
      </c>
      <c r="M11" s="155">
        <v>1</v>
      </c>
      <c r="N11" s="155">
        <v>6</v>
      </c>
      <c r="O11" s="155">
        <v>28</v>
      </c>
      <c r="P11" s="154">
        <v>67</v>
      </c>
      <c r="Q11" s="155">
        <v>0</v>
      </c>
      <c r="R11" s="155">
        <v>12</v>
      </c>
      <c r="S11" s="155">
        <v>12</v>
      </c>
      <c r="T11" s="155">
        <v>68</v>
      </c>
    </row>
    <row r="12" spans="1:20" x14ac:dyDescent="0.45">
      <c r="A12" s="154">
        <v>67</v>
      </c>
      <c r="B12" s="155">
        <v>9</v>
      </c>
      <c r="C12" s="155">
        <v>1</v>
      </c>
      <c r="D12" s="155">
        <v>10</v>
      </c>
      <c r="E12" s="155">
        <v>132</v>
      </c>
      <c r="F12" s="154">
        <v>74</v>
      </c>
      <c r="G12" s="155">
        <v>1</v>
      </c>
      <c r="H12" s="155">
        <v>1</v>
      </c>
      <c r="I12" s="155">
        <v>2</v>
      </c>
      <c r="J12" s="155">
        <v>13</v>
      </c>
      <c r="K12" s="154">
        <v>67</v>
      </c>
      <c r="L12" s="155">
        <v>6</v>
      </c>
      <c r="M12" s="155">
        <v>1</v>
      </c>
      <c r="N12" s="155">
        <v>7</v>
      </c>
      <c r="O12" s="155">
        <v>35</v>
      </c>
      <c r="P12" s="154">
        <v>66</v>
      </c>
      <c r="Q12" s="155">
        <v>4</v>
      </c>
      <c r="R12" s="155">
        <v>9</v>
      </c>
      <c r="S12" s="155">
        <v>13</v>
      </c>
      <c r="T12" s="155">
        <v>81</v>
      </c>
    </row>
    <row r="13" spans="1:20" x14ac:dyDescent="0.45">
      <c r="A13" s="154">
        <v>66</v>
      </c>
      <c r="B13" s="155">
        <v>21</v>
      </c>
      <c r="C13" s="155">
        <v>17</v>
      </c>
      <c r="D13" s="155">
        <v>38</v>
      </c>
      <c r="E13" s="155">
        <v>170</v>
      </c>
      <c r="F13" s="154">
        <v>72</v>
      </c>
      <c r="G13" s="155">
        <v>1</v>
      </c>
      <c r="H13" s="155">
        <v>0</v>
      </c>
      <c r="I13" s="155">
        <v>1</v>
      </c>
      <c r="J13" s="155">
        <v>14</v>
      </c>
      <c r="K13" s="154">
        <v>66</v>
      </c>
      <c r="L13" s="155">
        <v>6</v>
      </c>
      <c r="M13" s="155">
        <v>1</v>
      </c>
      <c r="N13" s="155">
        <v>7</v>
      </c>
      <c r="O13" s="155">
        <v>42</v>
      </c>
      <c r="P13" s="154">
        <v>65</v>
      </c>
      <c r="Q13" s="155">
        <v>8</v>
      </c>
      <c r="R13" s="155">
        <v>6</v>
      </c>
      <c r="S13" s="155">
        <v>14</v>
      </c>
      <c r="T13" s="155">
        <v>95</v>
      </c>
    </row>
    <row r="14" spans="1:20" x14ac:dyDescent="0.45">
      <c r="A14" s="154">
        <v>65</v>
      </c>
      <c r="B14" s="155">
        <v>22</v>
      </c>
      <c r="C14" s="155">
        <v>13</v>
      </c>
      <c r="D14" s="155">
        <v>35</v>
      </c>
      <c r="E14" s="155">
        <v>205</v>
      </c>
      <c r="F14" s="154">
        <v>71</v>
      </c>
      <c r="G14" s="155">
        <v>1</v>
      </c>
      <c r="H14" s="155">
        <v>2</v>
      </c>
      <c r="I14" s="155">
        <v>3</v>
      </c>
      <c r="J14" s="155">
        <v>17</v>
      </c>
      <c r="K14" s="154">
        <v>65</v>
      </c>
      <c r="L14" s="155">
        <v>7</v>
      </c>
      <c r="M14" s="155">
        <v>0</v>
      </c>
      <c r="N14" s="155">
        <v>7</v>
      </c>
      <c r="O14" s="155">
        <v>49</v>
      </c>
      <c r="P14" s="154">
        <v>64</v>
      </c>
      <c r="Q14" s="155">
        <v>14</v>
      </c>
      <c r="R14" s="155">
        <v>16</v>
      </c>
      <c r="S14" s="155">
        <v>30</v>
      </c>
      <c r="T14" s="155">
        <v>125</v>
      </c>
    </row>
    <row r="15" spans="1:20" x14ac:dyDescent="0.45">
      <c r="A15" s="154">
        <v>64</v>
      </c>
      <c r="B15" s="155">
        <v>7</v>
      </c>
      <c r="C15" s="155">
        <v>18</v>
      </c>
      <c r="D15" s="155">
        <v>26</v>
      </c>
      <c r="E15" s="155">
        <v>231</v>
      </c>
      <c r="F15" s="154">
        <v>70</v>
      </c>
      <c r="G15" s="155">
        <v>4</v>
      </c>
      <c r="H15" s="155">
        <v>2</v>
      </c>
      <c r="I15" s="155">
        <v>6</v>
      </c>
      <c r="J15" s="155">
        <v>23</v>
      </c>
      <c r="K15" s="154">
        <v>64</v>
      </c>
      <c r="L15" s="155">
        <v>9</v>
      </c>
      <c r="M15" s="155">
        <v>4</v>
      </c>
      <c r="N15" s="155">
        <v>13</v>
      </c>
      <c r="O15" s="155">
        <v>62</v>
      </c>
      <c r="P15" s="154">
        <v>63</v>
      </c>
      <c r="Q15" s="155">
        <v>7</v>
      </c>
      <c r="R15" s="155">
        <v>8</v>
      </c>
      <c r="S15" s="155">
        <v>15</v>
      </c>
      <c r="T15" s="155">
        <v>140</v>
      </c>
    </row>
    <row r="16" spans="1:20" x14ac:dyDescent="0.45">
      <c r="A16" s="154">
        <v>63</v>
      </c>
      <c r="B16" s="155">
        <v>40</v>
      </c>
      <c r="C16" s="155">
        <v>49</v>
      </c>
      <c r="D16" s="155">
        <v>89</v>
      </c>
      <c r="E16" s="155">
        <v>320</v>
      </c>
      <c r="F16" s="154">
        <v>68</v>
      </c>
      <c r="G16" s="155">
        <v>1</v>
      </c>
      <c r="H16" s="155">
        <v>3</v>
      </c>
      <c r="I16" s="155">
        <v>4</v>
      </c>
      <c r="J16" s="155">
        <v>27</v>
      </c>
      <c r="K16" s="154">
        <v>63</v>
      </c>
      <c r="L16" s="155">
        <v>11</v>
      </c>
      <c r="M16" s="155">
        <v>1</v>
      </c>
      <c r="N16" s="155">
        <v>12</v>
      </c>
      <c r="O16" s="155">
        <v>74</v>
      </c>
      <c r="P16" s="154">
        <v>62</v>
      </c>
      <c r="Q16" s="155">
        <v>4</v>
      </c>
      <c r="R16" s="155">
        <v>5</v>
      </c>
      <c r="S16" s="155">
        <v>9</v>
      </c>
      <c r="T16" s="155">
        <v>149</v>
      </c>
    </row>
    <row r="17" spans="1:20" x14ac:dyDescent="0.45">
      <c r="A17" s="154">
        <v>62</v>
      </c>
      <c r="B17" s="155">
        <v>30</v>
      </c>
      <c r="C17" s="155">
        <v>33</v>
      </c>
      <c r="D17" s="155">
        <v>64</v>
      </c>
      <c r="E17" s="155">
        <v>384</v>
      </c>
      <c r="F17" s="154">
        <v>67</v>
      </c>
      <c r="G17" s="155">
        <v>2</v>
      </c>
      <c r="H17" s="155">
        <v>5</v>
      </c>
      <c r="I17" s="155">
        <v>7</v>
      </c>
      <c r="J17" s="155">
        <v>34</v>
      </c>
      <c r="K17" s="154">
        <v>62</v>
      </c>
      <c r="L17" s="155">
        <v>6</v>
      </c>
      <c r="M17" s="155">
        <v>1</v>
      </c>
      <c r="N17" s="155">
        <v>7</v>
      </c>
      <c r="O17" s="155">
        <v>81</v>
      </c>
      <c r="P17" s="154">
        <v>61</v>
      </c>
      <c r="Q17" s="155">
        <v>9</v>
      </c>
      <c r="R17" s="155">
        <v>12</v>
      </c>
      <c r="S17" s="155">
        <v>21</v>
      </c>
      <c r="T17" s="155">
        <v>170</v>
      </c>
    </row>
    <row r="18" spans="1:20" x14ac:dyDescent="0.45">
      <c r="A18" s="154">
        <v>61</v>
      </c>
      <c r="B18" s="155">
        <v>19</v>
      </c>
      <c r="C18" s="155">
        <v>24</v>
      </c>
      <c r="D18" s="155">
        <v>43</v>
      </c>
      <c r="E18" s="155">
        <v>427</v>
      </c>
      <c r="F18" s="154">
        <v>65</v>
      </c>
      <c r="G18" s="155">
        <v>1</v>
      </c>
      <c r="H18" s="155">
        <v>2</v>
      </c>
      <c r="I18" s="155">
        <v>3</v>
      </c>
      <c r="J18" s="155">
        <v>37</v>
      </c>
      <c r="K18" s="154">
        <v>61</v>
      </c>
      <c r="L18" s="155">
        <v>11</v>
      </c>
      <c r="M18" s="155">
        <v>1</v>
      </c>
      <c r="N18" s="155">
        <v>12</v>
      </c>
      <c r="O18" s="155">
        <v>93</v>
      </c>
      <c r="P18" s="154">
        <v>60</v>
      </c>
      <c r="Q18" s="155">
        <v>7</v>
      </c>
      <c r="R18" s="155">
        <v>10</v>
      </c>
      <c r="S18" s="155">
        <v>17</v>
      </c>
      <c r="T18" s="155">
        <v>187</v>
      </c>
    </row>
    <row r="19" spans="1:20" x14ac:dyDescent="0.45">
      <c r="A19" s="154">
        <v>60</v>
      </c>
      <c r="B19" s="155">
        <v>27</v>
      </c>
      <c r="C19" s="155">
        <v>21</v>
      </c>
      <c r="D19" s="155">
        <v>48</v>
      </c>
      <c r="E19" s="155">
        <v>475</v>
      </c>
      <c r="F19" s="154">
        <v>64</v>
      </c>
      <c r="G19" s="155">
        <v>2</v>
      </c>
      <c r="H19" s="155">
        <v>4</v>
      </c>
      <c r="I19" s="155">
        <v>6</v>
      </c>
      <c r="J19" s="155">
        <v>43</v>
      </c>
      <c r="K19" s="154">
        <v>60</v>
      </c>
      <c r="L19" s="155">
        <v>9</v>
      </c>
      <c r="M19" s="155">
        <v>2</v>
      </c>
      <c r="N19" s="155">
        <v>11</v>
      </c>
      <c r="O19" s="155">
        <v>104</v>
      </c>
      <c r="P19" s="154">
        <v>59</v>
      </c>
      <c r="Q19" s="155">
        <v>13</v>
      </c>
      <c r="R19" s="155">
        <v>15</v>
      </c>
      <c r="S19" s="155">
        <v>28</v>
      </c>
      <c r="T19" s="155">
        <v>215</v>
      </c>
    </row>
    <row r="20" spans="1:20" x14ac:dyDescent="0.45">
      <c r="A20" s="154">
        <v>59</v>
      </c>
      <c r="B20" s="155">
        <v>24</v>
      </c>
      <c r="C20" s="155">
        <v>32</v>
      </c>
      <c r="D20" s="155">
        <v>56</v>
      </c>
      <c r="E20" s="155">
        <v>531</v>
      </c>
      <c r="F20" s="154">
        <v>63</v>
      </c>
      <c r="G20" s="155">
        <v>5</v>
      </c>
      <c r="H20" s="155">
        <v>3</v>
      </c>
      <c r="I20" s="155">
        <v>8</v>
      </c>
      <c r="J20" s="155">
        <v>51</v>
      </c>
      <c r="K20" s="154">
        <v>59</v>
      </c>
      <c r="L20" s="155">
        <v>12</v>
      </c>
      <c r="M20" s="155">
        <v>3</v>
      </c>
      <c r="N20" s="155">
        <v>15</v>
      </c>
      <c r="O20" s="155">
        <v>119</v>
      </c>
      <c r="P20" s="154">
        <v>58</v>
      </c>
      <c r="Q20" s="155">
        <v>6</v>
      </c>
      <c r="R20" s="155">
        <v>16</v>
      </c>
      <c r="S20" s="155">
        <v>22</v>
      </c>
      <c r="T20" s="155">
        <v>237</v>
      </c>
    </row>
    <row r="21" spans="1:20" x14ac:dyDescent="0.45">
      <c r="A21" s="154">
        <v>58</v>
      </c>
      <c r="B21" s="155">
        <v>25</v>
      </c>
      <c r="C21" s="155">
        <v>21</v>
      </c>
      <c r="D21" s="155">
        <v>46</v>
      </c>
      <c r="E21" s="155">
        <v>577</v>
      </c>
      <c r="F21" s="154">
        <v>61</v>
      </c>
      <c r="G21" s="155">
        <v>2</v>
      </c>
      <c r="H21" s="155">
        <v>9</v>
      </c>
      <c r="I21" s="155">
        <v>11</v>
      </c>
      <c r="J21" s="155">
        <v>62</v>
      </c>
      <c r="K21" s="154">
        <v>58</v>
      </c>
      <c r="L21" s="155">
        <v>13</v>
      </c>
      <c r="M21" s="155">
        <v>2</v>
      </c>
      <c r="N21" s="155">
        <v>15</v>
      </c>
      <c r="O21" s="155">
        <v>134</v>
      </c>
      <c r="P21" s="154">
        <v>57</v>
      </c>
      <c r="Q21" s="155">
        <v>11</v>
      </c>
      <c r="R21" s="155">
        <v>7</v>
      </c>
      <c r="S21" s="155">
        <v>18</v>
      </c>
      <c r="T21" s="155">
        <v>255</v>
      </c>
    </row>
    <row r="22" spans="1:20" x14ac:dyDescent="0.45">
      <c r="A22" s="154">
        <v>57</v>
      </c>
      <c r="B22" s="155">
        <v>25</v>
      </c>
      <c r="C22" s="155">
        <v>35</v>
      </c>
      <c r="D22" s="155">
        <v>60</v>
      </c>
      <c r="E22" s="155">
        <v>637</v>
      </c>
      <c r="F22" s="154">
        <v>60</v>
      </c>
      <c r="G22" s="155">
        <v>4</v>
      </c>
      <c r="H22" s="155">
        <v>2</v>
      </c>
      <c r="I22" s="155">
        <v>6</v>
      </c>
      <c r="J22" s="155">
        <v>68</v>
      </c>
      <c r="K22" s="154">
        <v>57</v>
      </c>
      <c r="L22" s="155">
        <v>16</v>
      </c>
      <c r="M22" s="155">
        <v>2</v>
      </c>
      <c r="N22" s="155">
        <v>18</v>
      </c>
      <c r="O22" s="155">
        <v>152</v>
      </c>
      <c r="P22" s="154">
        <v>56</v>
      </c>
      <c r="Q22" s="155">
        <v>19</v>
      </c>
      <c r="R22" s="155">
        <v>27</v>
      </c>
      <c r="S22" s="155">
        <v>48</v>
      </c>
      <c r="T22" s="155">
        <v>303</v>
      </c>
    </row>
    <row r="23" spans="1:20" x14ac:dyDescent="0.45">
      <c r="A23" s="154">
        <v>56</v>
      </c>
      <c r="B23" s="155">
        <v>31</v>
      </c>
      <c r="C23" s="155">
        <v>36</v>
      </c>
      <c r="D23" s="155">
        <v>68</v>
      </c>
      <c r="E23" s="155">
        <v>705</v>
      </c>
      <c r="F23" s="154">
        <v>59</v>
      </c>
      <c r="G23" s="155">
        <v>2</v>
      </c>
      <c r="H23" s="155">
        <v>4</v>
      </c>
      <c r="I23" s="155">
        <v>6</v>
      </c>
      <c r="J23" s="155">
        <v>74</v>
      </c>
      <c r="K23" s="154">
        <v>56</v>
      </c>
      <c r="L23" s="155">
        <v>14</v>
      </c>
      <c r="M23" s="155">
        <v>2</v>
      </c>
      <c r="N23" s="155">
        <v>16</v>
      </c>
      <c r="O23" s="155">
        <v>168</v>
      </c>
      <c r="P23" s="154">
        <v>55</v>
      </c>
      <c r="Q23" s="155">
        <v>6</v>
      </c>
      <c r="R23" s="155">
        <v>11</v>
      </c>
      <c r="S23" s="155">
        <v>17</v>
      </c>
      <c r="T23" s="155">
        <v>320</v>
      </c>
    </row>
    <row r="24" spans="1:20" x14ac:dyDescent="0.45">
      <c r="A24" s="154">
        <v>55</v>
      </c>
      <c r="B24" s="155">
        <v>18</v>
      </c>
      <c r="C24" s="155">
        <v>20</v>
      </c>
      <c r="D24" s="155">
        <v>38</v>
      </c>
      <c r="E24" s="155">
        <v>743</v>
      </c>
      <c r="F24" s="154">
        <v>57</v>
      </c>
      <c r="G24" s="155">
        <v>4</v>
      </c>
      <c r="H24" s="155">
        <v>9</v>
      </c>
      <c r="I24" s="155">
        <v>13</v>
      </c>
      <c r="J24" s="155">
        <v>87</v>
      </c>
      <c r="K24" s="154">
        <v>55</v>
      </c>
      <c r="L24" s="155">
        <v>16</v>
      </c>
      <c r="M24" s="155">
        <v>4</v>
      </c>
      <c r="N24" s="155">
        <v>20</v>
      </c>
      <c r="O24" s="155">
        <v>188</v>
      </c>
      <c r="P24" s="154">
        <v>54</v>
      </c>
      <c r="Q24" s="155">
        <v>5</v>
      </c>
      <c r="R24" s="155">
        <v>24</v>
      </c>
      <c r="S24" s="155">
        <v>29</v>
      </c>
      <c r="T24" s="155">
        <v>349</v>
      </c>
    </row>
    <row r="25" spans="1:20" x14ac:dyDescent="0.45">
      <c r="A25" s="154">
        <v>54</v>
      </c>
      <c r="B25" s="155">
        <v>28</v>
      </c>
      <c r="C25" s="155">
        <v>30</v>
      </c>
      <c r="D25" s="155">
        <v>58</v>
      </c>
      <c r="E25" s="155">
        <v>801</v>
      </c>
      <c r="F25" s="154">
        <v>56</v>
      </c>
      <c r="G25" s="155">
        <v>3</v>
      </c>
      <c r="H25" s="155">
        <v>1</v>
      </c>
      <c r="I25" s="155">
        <v>4</v>
      </c>
      <c r="J25" s="155">
        <v>91</v>
      </c>
      <c r="K25" s="154">
        <v>54</v>
      </c>
      <c r="L25" s="155">
        <v>23</v>
      </c>
      <c r="M25" s="155">
        <v>4</v>
      </c>
      <c r="N25" s="155">
        <v>27</v>
      </c>
      <c r="O25" s="155">
        <v>215</v>
      </c>
      <c r="P25" s="154">
        <v>53</v>
      </c>
      <c r="Q25" s="155">
        <v>9</v>
      </c>
      <c r="R25" s="155">
        <v>20</v>
      </c>
      <c r="S25" s="155">
        <v>29</v>
      </c>
      <c r="T25" s="155">
        <v>378</v>
      </c>
    </row>
    <row r="26" spans="1:20" x14ac:dyDescent="0.45">
      <c r="A26" s="154">
        <v>53</v>
      </c>
      <c r="B26" s="155">
        <v>52</v>
      </c>
      <c r="C26" s="155">
        <v>60</v>
      </c>
      <c r="D26" s="155">
        <v>113</v>
      </c>
      <c r="E26" s="155">
        <v>914</v>
      </c>
      <c r="F26" s="154">
        <v>55</v>
      </c>
      <c r="G26" s="155">
        <v>1</v>
      </c>
      <c r="H26" s="155">
        <v>7</v>
      </c>
      <c r="I26" s="155">
        <v>8</v>
      </c>
      <c r="J26" s="155">
        <v>99</v>
      </c>
      <c r="K26" s="154">
        <v>53</v>
      </c>
      <c r="L26" s="155">
        <v>10</v>
      </c>
      <c r="M26" s="155">
        <v>4</v>
      </c>
      <c r="N26" s="155">
        <v>15</v>
      </c>
      <c r="O26" s="155">
        <v>230</v>
      </c>
      <c r="P26" s="154">
        <v>52</v>
      </c>
      <c r="Q26" s="155">
        <v>10</v>
      </c>
      <c r="R26" s="155">
        <v>12</v>
      </c>
      <c r="S26" s="155">
        <v>23</v>
      </c>
      <c r="T26" s="155">
        <v>401</v>
      </c>
    </row>
    <row r="27" spans="1:20" x14ac:dyDescent="0.45">
      <c r="A27" s="154">
        <v>52</v>
      </c>
      <c r="B27" s="155">
        <v>33</v>
      </c>
      <c r="C27" s="155">
        <v>24</v>
      </c>
      <c r="D27" s="155">
        <v>57</v>
      </c>
      <c r="E27" s="155">
        <v>971</v>
      </c>
      <c r="F27" s="154">
        <v>53</v>
      </c>
      <c r="G27" s="155">
        <v>4</v>
      </c>
      <c r="H27" s="155">
        <v>3</v>
      </c>
      <c r="I27" s="155">
        <v>7</v>
      </c>
      <c r="J27" s="155">
        <v>106</v>
      </c>
      <c r="K27" s="154">
        <v>52</v>
      </c>
      <c r="L27" s="155">
        <v>11</v>
      </c>
      <c r="M27" s="155">
        <v>4</v>
      </c>
      <c r="N27" s="155">
        <v>15</v>
      </c>
      <c r="O27" s="155">
        <v>245</v>
      </c>
      <c r="P27" s="154">
        <v>51</v>
      </c>
      <c r="Q27" s="155">
        <v>7</v>
      </c>
      <c r="R27" s="155">
        <v>10</v>
      </c>
      <c r="S27" s="155">
        <v>17</v>
      </c>
      <c r="T27" s="155">
        <v>418</v>
      </c>
    </row>
    <row r="28" spans="1:20" x14ac:dyDescent="0.45">
      <c r="A28" s="154">
        <v>51</v>
      </c>
      <c r="B28" s="155">
        <v>13</v>
      </c>
      <c r="C28" s="155">
        <v>34</v>
      </c>
      <c r="D28" s="155">
        <v>47</v>
      </c>
      <c r="E28" s="155">
        <v>1018</v>
      </c>
      <c r="F28" s="154">
        <v>52</v>
      </c>
      <c r="G28" s="155">
        <v>9</v>
      </c>
      <c r="H28" s="155">
        <v>8</v>
      </c>
      <c r="I28" s="155">
        <v>17</v>
      </c>
      <c r="J28" s="155">
        <v>123</v>
      </c>
      <c r="K28" s="154">
        <v>51</v>
      </c>
      <c r="L28" s="155">
        <v>12</v>
      </c>
      <c r="M28" s="155">
        <v>8</v>
      </c>
      <c r="N28" s="155">
        <v>20</v>
      </c>
      <c r="O28" s="155">
        <v>265</v>
      </c>
      <c r="P28" s="154">
        <v>50</v>
      </c>
      <c r="Q28" s="155">
        <v>6</v>
      </c>
      <c r="R28" s="155">
        <v>14</v>
      </c>
      <c r="S28" s="155">
        <v>20</v>
      </c>
      <c r="T28" s="155">
        <v>438</v>
      </c>
    </row>
    <row r="29" spans="1:20" x14ac:dyDescent="0.45">
      <c r="A29" s="154">
        <v>50</v>
      </c>
      <c r="B29" s="155">
        <v>28</v>
      </c>
      <c r="C29" s="155">
        <v>27</v>
      </c>
      <c r="D29" s="155">
        <v>56</v>
      </c>
      <c r="E29" s="155">
        <v>1074</v>
      </c>
      <c r="F29" s="154">
        <v>51</v>
      </c>
      <c r="G29" s="155">
        <v>5</v>
      </c>
      <c r="H29" s="155">
        <v>7</v>
      </c>
      <c r="I29" s="155">
        <v>13</v>
      </c>
      <c r="J29" s="155">
        <v>136</v>
      </c>
      <c r="K29" s="154">
        <v>50</v>
      </c>
      <c r="L29" s="155">
        <v>14</v>
      </c>
      <c r="M29" s="155">
        <v>4</v>
      </c>
      <c r="N29" s="155">
        <v>18</v>
      </c>
      <c r="O29" s="155">
        <v>283</v>
      </c>
      <c r="P29" s="154">
        <v>49</v>
      </c>
      <c r="Q29" s="155">
        <v>6</v>
      </c>
      <c r="R29" s="155">
        <v>17</v>
      </c>
      <c r="S29" s="155">
        <v>23</v>
      </c>
      <c r="T29" s="155">
        <v>461</v>
      </c>
    </row>
    <row r="30" spans="1:20" x14ac:dyDescent="0.45">
      <c r="A30" s="154">
        <v>49</v>
      </c>
      <c r="B30" s="155">
        <v>18</v>
      </c>
      <c r="C30" s="155">
        <v>30</v>
      </c>
      <c r="D30" s="155">
        <v>48</v>
      </c>
      <c r="E30" s="155">
        <v>1122</v>
      </c>
      <c r="F30" s="154">
        <v>49</v>
      </c>
      <c r="G30" s="155">
        <v>30</v>
      </c>
      <c r="H30" s="155">
        <v>18</v>
      </c>
      <c r="I30" s="155">
        <v>48</v>
      </c>
      <c r="J30" s="155">
        <v>184</v>
      </c>
      <c r="K30" s="154">
        <v>49</v>
      </c>
      <c r="L30" s="155">
        <v>10</v>
      </c>
      <c r="M30" s="155">
        <v>1</v>
      </c>
      <c r="N30" s="155">
        <v>11</v>
      </c>
      <c r="O30" s="155">
        <v>294</v>
      </c>
      <c r="P30" s="154">
        <v>48</v>
      </c>
      <c r="Q30" s="155">
        <v>23</v>
      </c>
      <c r="R30" s="155">
        <v>32</v>
      </c>
      <c r="S30" s="155">
        <v>55</v>
      </c>
      <c r="T30" s="155">
        <v>516</v>
      </c>
    </row>
    <row r="31" spans="1:20" x14ac:dyDescent="0.45">
      <c r="A31" s="154">
        <v>48</v>
      </c>
      <c r="B31" s="155">
        <v>29</v>
      </c>
      <c r="C31" s="155">
        <v>25</v>
      </c>
      <c r="D31" s="155">
        <v>54</v>
      </c>
      <c r="E31" s="155">
        <v>1176</v>
      </c>
      <c r="F31" s="154">
        <v>48</v>
      </c>
      <c r="G31" s="155">
        <v>11</v>
      </c>
      <c r="H31" s="155">
        <v>6</v>
      </c>
      <c r="I31" s="155">
        <v>17</v>
      </c>
      <c r="J31" s="155">
        <v>201</v>
      </c>
      <c r="K31" s="154">
        <v>48</v>
      </c>
      <c r="L31" s="155">
        <v>14</v>
      </c>
      <c r="M31" s="155">
        <v>3</v>
      </c>
      <c r="N31" s="155">
        <v>17</v>
      </c>
      <c r="O31" s="155">
        <v>311</v>
      </c>
      <c r="P31" s="154">
        <v>47</v>
      </c>
      <c r="Q31" s="155">
        <v>9</v>
      </c>
      <c r="R31" s="155">
        <v>14</v>
      </c>
      <c r="S31" s="155">
        <v>23</v>
      </c>
      <c r="T31" s="155">
        <v>539</v>
      </c>
    </row>
    <row r="32" spans="1:20" x14ac:dyDescent="0.45">
      <c r="A32" s="154">
        <v>47</v>
      </c>
      <c r="B32" s="155">
        <v>30</v>
      </c>
      <c r="C32" s="155">
        <v>32</v>
      </c>
      <c r="D32" s="155">
        <v>63</v>
      </c>
      <c r="E32" s="155">
        <v>1239</v>
      </c>
      <c r="F32" s="154">
        <v>47</v>
      </c>
      <c r="G32" s="155">
        <v>11</v>
      </c>
      <c r="H32" s="155">
        <v>9</v>
      </c>
      <c r="I32" s="155">
        <v>20</v>
      </c>
      <c r="J32" s="155">
        <v>221</v>
      </c>
      <c r="K32" s="154">
        <v>47</v>
      </c>
      <c r="L32" s="155">
        <v>5</v>
      </c>
      <c r="M32" s="155">
        <v>4</v>
      </c>
      <c r="N32" s="155">
        <v>9</v>
      </c>
      <c r="O32" s="155">
        <v>320</v>
      </c>
      <c r="P32" s="154">
        <v>46</v>
      </c>
      <c r="Q32" s="155">
        <v>15</v>
      </c>
      <c r="R32" s="155">
        <v>13</v>
      </c>
      <c r="S32" s="155">
        <v>28</v>
      </c>
      <c r="T32" s="155">
        <v>567</v>
      </c>
    </row>
    <row r="33" spans="1:20" x14ac:dyDescent="0.45">
      <c r="A33" s="154">
        <v>46</v>
      </c>
      <c r="B33" s="155">
        <v>22</v>
      </c>
      <c r="C33" s="155">
        <v>26</v>
      </c>
      <c r="D33" s="155">
        <v>48</v>
      </c>
      <c r="E33" s="155">
        <v>1287</v>
      </c>
      <c r="F33" s="154">
        <v>45</v>
      </c>
      <c r="G33" s="155">
        <v>15</v>
      </c>
      <c r="H33" s="155">
        <v>6</v>
      </c>
      <c r="I33" s="155">
        <v>21</v>
      </c>
      <c r="J33" s="155">
        <v>242</v>
      </c>
      <c r="K33" s="154">
        <v>46</v>
      </c>
      <c r="L33" s="155">
        <v>18</v>
      </c>
      <c r="M33" s="155">
        <v>3</v>
      </c>
      <c r="N33" s="155">
        <v>22</v>
      </c>
      <c r="O33" s="155">
        <v>342</v>
      </c>
      <c r="P33" s="154">
        <v>45</v>
      </c>
      <c r="Q33" s="155">
        <v>17</v>
      </c>
      <c r="R33" s="155">
        <v>17</v>
      </c>
      <c r="S33" s="155">
        <v>35</v>
      </c>
      <c r="T33" s="155">
        <v>602</v>
      </c>
    </row>
    <row r="34" spans="1:20" x14ac:dyDescent="0.45">
      <c r="A34" s="154">
        <v>45</v>
      </c>
      <c r="B34" s="155">
        <v>35</v>
      </c>
      <c r="C34" s="155">
        <v>24</v>
      </c>
      <c r="D34" s="155">
        <v>59</v>
      </c>
      <c r="E34" s="155">
        <v>1346</v>
      </c>
      <c r="F34" s="154">
        <v>44</v>
      </c>
      <c r="G34" s="155">
        <v>16</v>
      </c>
      <c r="H34" s="155">
        <v>15</v>
      </c>
      <c r="I34" s="155">
        <v>31</v>
      </c>
      <c r="J34" s="155">
        <v>273</v>
      </c>
      <c r="K34" s="154">
        <v>45</v>
      </c>
      <c r="L34" s="155">
        <v>10</v>
      </c>
      <c r="M34" s="155">
        <v>5</v>
      </c>
      <c r="N34" s="155">
        <v>15</v>
      </c>
      <c r="O34" s="155">
        <v>357</v>
      </c>
      <c r="P34" s="154">
        <v>44</v>
      </c>
      <c r="Q34" s="155">
        <v>10</v>
      </c>
      <c r="R34" s="155">
        <v>19</v>
      </c>
      <c r="S34" s="155">
        <v>29</v>
      </c>
      <c r="T34" s="155">
        <v>631</v>
      </c>
    </row>
    <row r="35" spans="1:20" x14ac:dyDescent="0.45">
      <c r="A35" s="154">
        <v>44</v>
      </c>
      <c r="B35" s="155">
        <v>207</v>
      </c>
      <c r="C35" s="155">
        <v>84</v>
      </c>
      <c r="D35" s="155">
        <v>293</v>
      </c>
      <c r="E35" s="155">
        <v>1639</v>
      </c>
      <c r="F35" s="154">
        <v>43</v>
      </c>
      <c r="G35" s="155">
        <v>47</v>
      </c>
      <c r="H35" s="155">
        <v>7</v>
      </c>
      <c r="I35" s="155">
        <v>54</v>
      </c>
      <c r="J35" s="155">
        <v>327</v>
      </c>
      <c r="K35" s="154">
        <v>44</v>
      </c>
      <c r="L35" s="155">
        <v>10</v>
      </c>
      <c r="M35" s="155">
        <v>2</v>
      </c>
      <c r="N35" s="155">
        <v>12</v>
      </c>
      <c r="O35" s="155">
        <v>369</v>
      </c>
      <c r="P35" s="154">
        <v>43</v>
      </c>
      <c r="Q35" s="155">
        <v>20</v>
      </c>
      <c r="R35" s="155">
        <v>18</v>
      </c>
      <c r="S35" s="155">
        <v>39</v>
      </c>
      <c r="T35" s="155">
        <v>670</v>
      </c>
    </row>
    <row r="36" spans="1:20" x14ac:dyDescent="0.45">
      <c r="A36" s="154">
        <v>43</v>
      </c>
      <c r="B36" s="155">
        <v>31</v>
      </c>
      <c r="C36" s="155">
        <v>21</v>
      </c>
      <c r="D36" s="155">
        <v>52</v>
      </c>
      <c r="E36" s="155">
        <v>1691</v>
      </c>
      <c r="F36" s="154">
        <v>41</v>
      </c>
      <c r="G36" s="155">
        <v>14</v>
      </c>
      <c r="H36" s="155">
        <v>8</v>
      </c>
      <c r="I36" s="155">
        <v>22</v>
      </c>
      <c r="J36" s="155">
        <v>349</v>
      </c>
      <c r="K36" s="154">
        <v>43</v>
      </c>
      <c r="L36" s="155">
        <v>8</v>
      </c>
      <c r="M36" s="155">
        <v>4</v>
      </c>
      <c r="N36" s="155">
        <v>12</v>
      </c>
      <c r="O36" s="155">
        <v>381</v>
      </c>
      <c r="P36" s="154">
        <v>42</v>
      </c>
      <c r="Q36" s="155">
        <v>8</v>
      </c>
      <c r="R36" s="155">
        <v>13</v>
      </c>
      <c r="S36" s="155">
        <v>21</v>
      </c>
      <c r="T36" s="155">
        <v>691</v>
      </c>
    </row>
    <row r="37" spans="1:20" x14ac:dyDescent="0.45">
      <c r="A37" s="154">
        <v>42</v>
      </c>
      <c r="B37" s="155">
        <v>37</v>
      </c>
      <c r="C37" s="155">
        <v>33</v>
      </c>
      <c r="D37" s="155">
        <v>71</v>
      </c>
      <c r="E37" s="155">
        <v>1762</v>
      </c>
      <c r="F37" s="154">
        <v>40</v>
      </c>
      <c r="G37" s="155">
        <v>7</v>
      </c>
      <c r="H37" s="155">
        <v>2</v>
      </c>
      <c r="I37" s="155">
        <v>9</v>
      </c>
      <c r="J37" s="155">
        <v>358</v>
      </c>
      <c r="K37" s="154">
        <v>42</v>
      </c>
      <c r="L37" s="155">
        <v>24</v>
      </c>
      <c r="M37" s="155">
        <v>2</v>
      </c>
      <c r="N37" s="155">
        <v>27</v>
      </c>
      <c r="O37" s="155">
        <v>408</v>
      </c>
      <c r="P37" s="154">
        <v>41</v>
      </c>
      <c r="Q37" s="155">
        <v>14</v>
      </c>
      <c r="R37" s="155">
        <v>13</v>
      </c>
      <c r="S37" s="155">
        <v>27</v>
      </c>
      <c r="T37" s="155">
        <v>718</v>
      </c>
    </row>
    <row r="38" spans="1:20" x14ac:dyDescent="0.45">
      <c r="A38" s="154">
        <v>41</v>
      </c>
      <c r="B38" s="155">
        <v>48</v>
      </c>
      <c r="C38" s="155">
        <v>21</v>
      </c>
      <c r="D38" s="155">
        <v>71</v>
      </c>
      <c r="E38" s="155">
        <v>1833</v>
      </c>
      <c r="F38" s="154">
        <v>38</v>
      </c>
      <c r="G38" s="155">
        <v>5</v>
      </c>
      <c r="H38" s="155">
        <v>3</v>
      </c>
      <c r="I38" s="155">
        <v>8</v>
      </c>
      <c r="J38" s="155">
        <v>366</v>
      </c>
      <c r="K38" s="154">
        <v>41</v>
      </c>
      <c r="L38" s="155">
        <v>37</v>
      </c>
      <c r="M38" s="155">
        <v>13</v>
      </c>
      <c r="N38" s="155">
        <v>50</v>
      </c>
      <c r="O38" s="155">
        <v>458</v>
      </c>
      <c r="P38" s="154">
        <v>40</v>
      </c>
      <c r="Q38" s="155">
        <v>41</v>
      </c>
      <c r="R38" s="155">
        <v>36</v>
      </c>
      <c r="S38" s="155">
        <v>79</v>
      </c>
      <c r="T38" s="155">
        <v>797</v>
      </c>
    </row>
    <row r="39" spans="1:20" x14ac:dyDescent="0.45">
      <c r="A39" s="154">
        <v>40</v>
      </c>
      <c r="B39" s="155">
        <v>43</v>
      </c>
      <c r="C39" s="155">
        <v>21</v>
      </c>
      <c r="D39" s="155">
        <v>64</v>
      </c>
      <c r="E39" s="155">
        <v>1897</v>
      </c>
      <c r="F39" s="154">
        <v>37</v>
      </c>
      <c r="G39" s="155">
        <v>1</v>
      </c>
      <c r="H39" s="155">
        <v>2</v>
      </c>
      <c r="I39" s="155">
        <v>3</v>
      </c>
      <c r="J39" s="155">
        <v>369</v>
      </c>
      <c r="K39" s="154">
        <v>40</v>
      </c>
      <c r="L39" s="155">
        <v>14</v>
      </c>
      <c r="M39" s="155">
        <v>2</v>
      </c>
      <c r="N39" s="155">
        <v>16</v>
      </c>
      <c r="O39" s="155">
        <v>474</v>
      </c>
      <c r="P39" s="154">
        <v>39</v>
      </c>
      <c r="Q39" s="155">
        <v>40</v>
      </c>
      <c r="R39" s="155">
        <v>31</v>
      </c>
      <c r="S39" s="155">
        <v>71</v>
      </c>
      <c r="T39" s="155">
        <v>868</v>
      </c>
    </row>
    <row r="40" spans="1:20" x14ac:dyDescent="0.45">
      <c r="A40" s="154">
        <v>39</v>
      </c>
      <c r="B40" s="155">
        <v>34</v>
      </c>
      <c r="C40" s="155">
        <v>13</v>
      </c>
      <c r="D40" s="155">
        <v>47</v>
      </c>
      <c r="E40" s="155">
        <v>1944</v>
      </c>
      <c r="F40" s="154">
        <v>36</v>
      </c>
      <c r="G40" s="155">
        <v>3</v>
      </c>
      <c r="H40" s="155">
        <v>0</v>
      </c>
      <c r="I40" s="155">
        <v>3</v>
      </c>
      <c r="J40" s="155">
        <v>372</v>
      </c>
      <c r="K40" s="154">
        <v>39</v>
      </c>
      <c r="L40" s="155">
        <v>13</v>
      </c>
      <c r="M40" s="155">
        <v>1</v>
      </c>
      <c r="N40" s="155">
        <v>14</v>
      </c>
      <c r="O40" s="155">
        <v>488</v>
      </c>
      <c r="P40" s="154">
        <v>38</v>
      </c>
      <c r="Q40" s="155">
        <v>25</v>
      </c>
      <c r="R40" s="155">
        <v>12</v>
      </c>
      <c r="S40" s="155">
        <v>37</v>
      </c>
      <c r="T40" s="155">
        <v>905</v>
      </c>
    </row>
    <row r="41" spans="1:20" x14ac:dyDescent="0.45">
      <c r="A41" s="154">
        <v>38</v>
      </c>
      <c r="B41" s="155">
        <v>87</v>
      </c>
      <c r="C41" s="155">
        <v>32</v>
      </c>
      <c r="D41" s="155">
        <v>119</v>
      </c>
      <c r="E41" s="155">
        <v>2063</v>
      </c>
      <c r="F41" s="154">
        <v>34</v>
      </c>
      <c r="G41" s="155">
        <v>6</v>
      </c>
      <c r="H41" s="155">
        <v>0</v>
      </c>
      <c r="I41" s="155">
        <v>6</v>
      </c>
      <c r="J41" s="155">
        <v>378</v>
      </c>
      <c r="K41" s="154">
        <v>38</v>
      </c>
      <c r="L41" s="155">
        <v>12</v>
      </c>
      <c r="M41" s="155">
        <v>1</v>
      </c>
      <c r="N41" s="155">
        <v>13</v>
      </c>
      <c r="O41" s="155">
        <v>501</v>
      </c>
      <c r="P41" s="154">
        <v>37</v>
      </c>
      <c r="Q41" s="155">
        <v>17</v>
      </c>
      <c r="R41" s="155">
        <v>7</v>
      </c>
      <c r="S41" s="155">
        <v>24</v>
      </c>
      <c r="T41" s="155">
        <v>929</v>
      </c>
    </row>
    <row r="42" spans="1:20" x14ac:dyDescent="0.45">
      <c r="A42" s="154">
        <v>37</v>
      </c>
      <c r="B42" s="155">
        <v>16</v>
      </c>
      <c r="C42" s="155">
        <v>12</v>
      </c>
      <c r="D42" s="155">
        <v>28</v>
      </c>
      <c r="E42" s="155">
        <v>2091</v>
      </c>
      <c r="F42" s="154">
        <v>32</v>
      </c>
      <c r="G42" s="155">
        <v>4</v>
      </c>
      <c r="H42" s="155">
        <v>0</v>
      </c>
      <c r="I42" s="155">
        <v>4</v>
      </c>
      <c r="J42" s="155">
        <v>382</v>
      </c>
      <c r="K42" s="154">
        <v>37</v>
      </c>
      <c r="L42" s="155">
        <v>9</v>
      </c>
      <c r="M42" s="155">
        <v>3</v>
      </c>
      <c r="N42" s="155">
        <v>12</v>
      </c>
      <c r="O42" s="155">
        <v>513</v>
      </c>
      <c r="P42" s="154">
        <v>36</v>
      </c>
      <c r="Q42" s="155">
        <v>3</v>
      </c>
      <c r="R42" s="155">
        <v>3</v>
      </c>
      <c r="S42" s="155">
        <v>6</v>
      </c>
      <c r="T42" s="155">
        <v>935</v>
      </c>
    </row>
    <row r="43" spans="1:20" x14ac:dyDescent="0.45">
      <c r="A43" s="154">
        <v>36</v>
      </c>
      <c r="B43" s="155">
        <v>64</v>
      </c>
      <c r="C43" s="155">
        <v>27</v>
      </c>
      <c r="D43" s="155">
        <v>93</v>
      </c>
      <c r="E43" s="155">
        <v>2184</v>
      </c>
      <c r="F43" s="154"/>
      <c r="G43" s="155"/>
      <c r="H43" s="155"/>
      <c r="I43" s="155"/>
      <c r="J43" s="155"/>
      <c r="K43" s="154">
        <v>36</v>
      </c>
      <c r="L43" s="155">
        <v>11</v>
      </c>
      <c r="M43" s="155">
        <v>3</v>
      </c>
      <c r="N43" s="155">
        <v>14</v>
      </c>
      <c r="O43" s="155">
        <v>527</v>
      </c>
      <c r="P43" s="154">
        <v>35</v>
      </c>
      <c r="Q43" s="155">
        <v>4</v>
      </c>
      <c r="R43" s="155">
        <v>5</v>
      </c>
      <c r="S43" s="155">
        <v>9</v>
      </c>
      <c r="T43" s="155">
        <v>944</v>
      </c>
    </row>
    <row r="44" spans="1:20" x14ac:dyDescent="0.45">
      <c r="A44" s="154">
        <v>35</v>
      </c>
      <c r="B44" s="155">
        <v>21</v>
      </c>
      <c r="C44" s="155">
        <v>12</v>
      </c>
      <c r="D44" s="155">
        <v>33</v>
      </c>
      <c r="E44" s="155">
        <v>2217</v>
      </c>
      <c r="F44" s="154"/>
      <c r="G44" s="155"/>
      <c r="H44" s="155"/>
      <c r="I44" s="155"/>
      <c r="J44" s="155"/>
      <c r="K44" s="154">
        <v>35</v>
      </c>
      <c r="L44" s="155">
        <v>5</v>
      </c>
      <c r="M44" s="155">
        <v>1</v>
      </c>
      <c r="N44" s="155">
        <v>6</v>
      </c>
      <c r="O44" s="155">
        <v>533</v>
      </c>
      <c r="P44" s="154">
        <v>34</v>
      </c>
      <c r="Q44" s="155">
        <v>3</v>
      </c>
      <c r="R44" s="155">
        <v>2</v>
      </c>
      <c r="S44" s="155">
        <v>5</v>
      </c>
      <c r="T44" s="155">
        <v>949</v>
      </c>
    </row>
    <row r="45" spans="1:20" x14ac:dyDescent="0.45">
      <c r="A45" s="154">
        <v>34</v>
      </c>
      <c r="B45" s="155">
        <v>23</v>
      </c>
      <c r="C45" s="155">
        <v>8</v>
      </c>
      <c r="D45" s="155">
        <v>31</v>
      </c>
      <c r="E45" s="155">
        <v>2248</v>
      </c>
      <c r="F45" s="154"/>
      <c r="G45" s="155"/>
      <c r="H45" s="155"/>
      <c r="I45" s="155"/>
      <c r="J45" s="155"/>
      <c r="K45" s="154">
        <v>34</v>
      </c>
      <c r="L45" s="155">
        <v>6</v>
      </c>
      <c r="M45" s="155">
        <v>0</v>
      </c>
      <c r="N45" s="155">
        <v>6</v>
      </c>
      <c r="O45" s="155">
        <v>539</v>
      </c>
      <c r="P45" s="154">
        <v>33</v>
      </c>
      <c r="Q45" s="155">
        <v>1</v>
      </c>
      <c r="R45" s="155">
        <v>2</v>
      </c>
      <c r="S45" s="155">
        <v>3</v>
      </c>
      <c r="T45" s="155">
        <v>952</v>
      </c>
    </row>
    <row r="46" spans="1:20" x14ac:dyDescent="0.45">
      <c r="A46" s="154">
        <v>33</v>
      </c>
      <c r="B46" s="155">
        <v>4</v>
      </c>
      <c r="C46" s="155">
        <v>5</v>
      </c>
      <c r="D46" s="155">
        <v>9</v>
      </c>
      <c r="E46" s="155">
        <v>2257</v>
      </c>
      <c r="F46" s="154"/>
      <c r="G46" s="155"/>
      <c r="H46" s="155"/>
      <c r="I46" s="155"/>
      <c r="J46" s="155"/>
      <c r="K46" s="154">
        <v>33</v>
      </c>
      <c r="L46" s="155">
        <v>2</v>
      </c>
      <c r="M46" s="155">
        <v>0</v>
      </c>
      <c r="N46" s="155">
        <v>2</v>
      </c>
      <c r="O46" s="155">
        <v>541</v>
      </c>
      <c r="P46" s="154">
        <v>32</v>
      </c>
      <c r="Q46" s="155">
        <v>1</v>
      </c>
      <c r="R46" s="155">
        <v>4</v>
      </c>
      <c r="S46" s="155">
        <v>5</v>
      </c>
      <c r="T46" s="155">
        <v>957</v>
      </c>
    </row>
    <row r="47" spans="1:20" x14ac:dyDescent="0.45">
      <c r="A47" s="154">
        <v>31</v>
      </c>
      <c r="B47" s="155">
        <v>2</v>
      </c>
      <c r="C47" s="155">
        <v>2</v>
      </c>
      <c r="D47" s="155">
        <v>4</v>
      </c>
      <c r="E47" s="155">
        <v>2261</v>
      </c>
      <c r="F47" s="154"/>
      <c r="G47" s="155"/>
      <c r="H47" s="155"/>
      <c r="I47" s="155"/>
      <c r="J47" s="155"/>
      <c r="K47" s="154">
        <v>32</v>
      </c>
      <c r="L47" s="155">
        <v>3</v>
      </c>
      <c r="M47" s="155">
        <v>0</v>
      </c>
      <c r="N47" s="155">
        <v>3</v>
      </c>
      <c r="O47" s="155">
        <v>544</v>
      </c>
      <c r="P47" s="154"/>
      <c r="Q47" s="155"/>
      <c r="R47" s="155"/>
      <c r="S47" s="155"/>
      <c r="T47" s="155"/>
    </row>
    <row r="48" spans="1:20" x14ac:dyDescent="0.45">
      <c r="A48" s="152"/>
      <c r="B48" s="153"/>
      <c r="C48" s="153"/>
      <c r="D48" s="153"/>
      <c r="E48" s="155"/>
      <c r="F48" s="154"/>
      <c r="G48" s="155"/>
      <c r="H48" s="155"/>
      <c r="I48" s="155"/>
      <c r="J48" s="155"/>
      <c r="K48" s="154">
        <v>31</v>
      </c>
      <c r="L48" s="155">
        <v>2</v>
      </c>
      <c r="M48" s="155">
        <v>0</v>
      </c>
      <c r="N48" s="155">
        <v>2</v>
      </c>
      <c r="O48" s="155">
        <v>546</v>
      </c>
      <c r="P48" s="154"/>
      <c r="Q48" s="155"/>
      <c r="R48" s="155"/>
      <c r="S48" s="155"/>
      <c r="T48" s="155"/>
    </row>
    <row r="49" spans="1:20" x14ac:dyDescent="0.45">
      <c r="A49" s="152"/>
      <c r="B49" s="153"/>
      <c r="C49" s="153"/>
      <c r="D49" s="153"/>
      <c r="E49" s="155"/>
      <c r="F49" s="154"/>
      <c r="G49" s="155"/>
      <c r="H49" s="155"/>
      <c r="I49" s="155"/>
      <c r="J49" s="155"/>
      <c r="K49" s="154">
        <v>29</v>
      </c>
      <c r="L49" s="155">
        <v>1</v>
      </c>
      <c r="M49" s="155">
        <v>1</v>
      </c>
      <c r="N49" s="155">
        <v>2</v>
      </c>
      <c r="O49" s="155">
        <v>548</v>
      </c>
      <c r="P49" s="154"/>
      <c r="Q49" s="155"/>
      <c r="R49" s="155"/>
      <c r="S49" s="155"/>
      <c r="T49" s="155"/>
    </row>
    <row r="50" spans="1:20" x14ac:dyDescent="0.45">
      <c r="A50" s="6"/>
      <c r="B50" s="1"/>
      <c r="C50" s="1"/>
      <c r="D50" s="7"/>
      <c r="F50" s="6"/>
      <c r="G50" s="1"/>
      <c r="H50" s="1"/>
      <c r="I50" s="7"/>
      <c r="K50" s="6"/>
      <c r="L50" s="1"/>
      <c r="M50" s="1"/>
      <c r="N50" s="7"/>
      <c r="P50" s="6"/>
      <c r="Q50" s="1"/>
      <c r="R50" s="1"/>
      <c r="S50" s="7"/>
    </row>
    <row r="51" spans="1:20" x14ac:dyDescent="0.45">
      <c r="A51" s="6"/>
      <c r="B51" s="1"/>
      <c r="C51" s="1"/>
      <c r="D51" s="7"/>
      <c r="F51" s="6"/>
      <c r="G51" s="1"/>
      <c r="H51" s="1"/>
      <c r="I51" s="7"/>
      <c r="K51" s="6"/>
      <c r="L51" s="1"/>
      <c r="M51" s="1"/>
      <c r="N51" s="7"/>
      <c r="P51" s="6"/>
      <c r="Q51" s="1"/>
      <c r="R51" s="1"/>
      <c r="S51" s="7"/>
    </row>
    <row r="52" spans="1:20" ht="17.5" thickBot="1" x14ac:dyDescent="0.5">
      <c r="A52" s="8"/>
      <c r="B52" s="14"/>
      <c r="C52" s="14"/>
      <c r="D52" s="2"/>
      <c r="F52" s="8"/>
      <c r="G52" s="14"/>
      <c r="H52" s="14"/>
      <c r="I52" s="2"/>
      <c r="K52" s="8"/>
      <c r="L52" s="14"/>
      <c r="M52" s="14"/>
      <c r="N52" s="2"/>
      <c r="P52" s="8"/>
      <c r="Q52" s="14"/>
      <c r="R52" s="14"/>
      <c r="S52" s="2"/>
    </row>
    <row r="61" spans="1:20" ht="17.5" thickBot="1" x14ac:dyDescent="0.5"/>
    <row r="62" spans="1:20" x14ac:dyDescent="0.45">
      <c r="A62" s="46" t="s">
        <v>72</v>
      </c>
      <c r="B62" s="47"/>
      <c r="C62" s="47"/>
      <c r="D62" s="48"/>
      <c r="F62" s="46" t="s">
        <v>71</v>
      </c>
      <c r="G62" s="47"/>
      <c r="H62" s="47"/>
      <c r="I62" s="48"/>
    </row>
    <row r="63" spans="1:20" x14ac:dyDescent="0.45">
      <c r="A63" s="6" t="s">
        <v>1</v>
      </c>
      <c r="B63" s="1"/>
      <c r="C63" s="1"/>
      <c r="D63" s="7" t="s">
        <v>0</v>
      </c>
      <c r="F63" s="6" t="s">
        <v>1</v>
      </c>
      <c r="G63" s="1"/>
      <c r="H63" s="1"/>
      <c r="I63" s="7" t="s">
        <v>0</v>
      </c>
    </row>
    <row r="64" spans="1:20" x14ac:dyDescent="0.45">
      <c r="A64" s="154">
        <v>83</v>
      </c>
      <c r="B64" s="155">
        <v>1</v>
      </c>
      <c r="C64" s="155">
        <v>0</v>
      </c>
      <c r="D64" s="155">
        <v>1</v>
      </c>
      <c r="E64" s="155">
        <v>1</v>
      </c>
      <c r="F64" s="154">
        <v>81</v>
      </c>
      <c r="G64" s="155">
        <v>1</v>
      </c>
      <c r="H64" s="155">
        <v>0</v>
      </c>
      <c r="I64" s="155">
        <v>1</v>
      </c>
      <c r="J64" s="155">
        <v>1</v>
      </c>
    </row>
    <row r="65" spans="1:10" x14ac:dyDescent="0.45">
      <c r="A65" s="154">
        <v>74</v>
      </c>
      <c r="B65" s="155">
        <v>1</v>
      </c>
      <c r="C65" s="155">
        <v>0</v>
      </c>
      <c r="D65" s="155">
        <v>1</v>
      </c>
      <c r="E65" s="155">
        <v>2</v>
      </c>
      <c r="F65" s="154">
        <v>74</v>
      </c>
      <c r="G65" s="155">
        <v>0</v>
      </c>
      <c r="H65" s="155">
        <v>1</v>
      </c>
      <c r="I65" s="155">
        <v>1</v>
      </c>
      <c r="J65" s="155">
        <v>2</v>
      </c>
    </row>
    <row r="66" spans="1:10" x14ac:dyDescent="0.45">
      <c r="A66" s="154">
        <v>70</v>
      </c>
      <c r="B66" s="155">
        <v>1</v>
      </c>
      <c r="C66" s="155">
        <v>0</v>
      </c>
      <c r="D66" s="155">
        <v>1</v>
      </c>
      <c r="E66" s="155">
        <v>3</v>
      </c>
      <c r="F66" s="154">
        <v>71</v>
      </c>
      <c r="G66" s="155">
        <v>1</v>
      </c>
      <c r="H66" s="155">
        <v>0</v>
      </c>
      <c r="I66" s="155">
        <v>1</v>
      </c>
      <c r="J66" s="155">
        <v>3</v>
      </c>
    </row>
    <row r="67" spans="1:10" x14ac:dyDescent="0.45">
      <c r="A67" s="154">
        <v>68</v>
      </c>
      <c r="B67" s="155">
        <v>1</v>
      </c>
      <c r="C67" s="155">
        <v>0</v>
      </c>
      <c r="D67" s="155">
        <v>1</v>
      </c>
      <c r="E67" s="155">
        <v>4</v>
      </c>
      <c r="F67" s="154">
        <v>70</v>
      </c>
      <c r="G67" s="155">
        <v>2</v>
      </c>
      <c r="H67" s="155">
        <v>1</v>
      </c>
      <c r="I67" s="155">
        <v>3</v>
      </c>
      <c r="J67" s="155">
        <v>6</v>
      </c>
    </row>
    <row r="68" spans="1:10" x14ac:dyDescent="0.45">
      <c r="A68" s="154">
        <v>67</v>
      </c>
      <c r="B68" s="155">
        <v>0</v>
      </c>
      <c r="C68" s="155">
        <v>1</v>
      </c>
      <c r="D68" s="155">
        <v>1</v>
      </c>
      <c r="E68" s="155">
        <v>5</v>
      </c>
      <c r="F68" s="154">
        <v>69</v>
      </c>
      <c r="G68" s="155">
        <v>2</v>
      </c>
      <c r="H68" s="155">
        <v>3</v>
      </c>
      <c r="I68" s="155">
        <v>5</v>
      </c>
      <c r="J68" s="155">
        <v>11</v>
      </c>
    </row>
    <row r="69" spans="1:10" x14ac:dyDescent="0.45">
      <c r="A69" s="154">
        <v>65</v>
      </c>
      <c r="B69" s="155">
        <v>1</v>
      </c>
      <c r="C69" s="155">
        <v>0</v>
      </c>
      <c r="D69" s="155">
        <v>1</v>
      </c>
      <c r="E69" s="155">
        <v>6</v>
      </c>
      <c r="F69" s="154">
        <v>68</v>
      </c>
      <c r="G69" s="155">
        <v>1</v>
      </c>
      <c r="H69" s="155">
        <v>2</v>
      </c>
      <c r="I69" s="155">
        <v>3</v>
      </c>
      <c r="J69" s="155">
        <v>14</v>
      </c>
    </row>
    <row r="70" spans="1:10" x14ac:dyDescent="0.45">
      <c r="A70" s="154">
        <v>63</v>
      </c>
      <c r="B70" s="155">
        <v>2</v>
      </c>
      <c r="C70" s="155">
        <v>0</v>
      </c>
      <c r="D70" s="155">
        <v>2</v>
      </c>
      <c r="E70" s="155">
        <v>8</v>
      </c>
      <c r="F70" s="154">
        <v>67</v>
      </c>
      <c r="G70" s="155">
        <v>1</v>
      </c>
      <c r="H70" s="155">
        <v>1</v>
      </c>
      <c r="I70" s="155">
        <v>2</v>
      </c>
      <c r="J70" s="155">
        <v>16</v>
      </c>
    </row>
    <row r="71" spans="1:10" x14ac:dyDescent="0.45">
      <c r="A71" s="154">
        <v>61</v>
      </c>
      <c r="B71" s="155">
        <v>3</v>
      </c>
      <c r="C71" s="155">
        <v>0</v>
      </c>
      <c r="D71" s="155">
        <v>3</v>
      </c>
      <c r="E71" s="155">
        <v>11</v>
      </c>
      <c r="F71" s="154">
        <v>66</v>
      </c>
      <c r="G71" s="155">
        <v>1</v>
      </c>
      <c r="H71" s="155">
        <v>2</v>
      </c>
      <c r="I71" s="155">
        <v>3</v>
      </c>
      <c r="J71" s="155">
        <v>19</v>
      </c>
    </row>
    <row r="72" spans="1:10" x14ac:dyDescent="0.45">
      <c r="A72" s="154">
        <v>59</v>
      </c>
      <c r="B72" s="155">
        <v>2</v>
      </c>
      <c r="C72" s="155">
        <v>0</v>
      </c>
      <c r="D72" s="155">
        <v>2</v>
      </c>
      <c r="E72" s="155">
        <v>13</v>
      </c>
      <c r="F72" s="154">
        <v>65</v>
      </c>
      <c r="G72" s="155">
        <v>5</v>
      </c>
      <c r="H72" s="155">
        <v>8</v>
      </c>
      <c r="I72" s="155">
        <v>13</v>
      </c>
      <c r="J72" s="155">
        <v>32</v>
      </c>
    </row>
    <row r="73" spans="1:10" x14ac:dyDescent="0.45">
      <c r="A73" s="154">
        <v>57</v>
      </c>
      <c r="B73" s="155">
        <v>1</v>
      </c>
      <c r="C73" s="155">
        <v>2</v>
      </c>
      <c r="D73" s="155">
        <v>3</v>
      </c>
      <c r="E73" s="155">
        <v>16</v>
      </c>
      <c r="F73" s="154">
        <v>64</v>
      </c>
      <c r="G73" s="155">
        <v>2</v>
      </c>
      <c r="H73" s="155">
        <v>7</v>
      </c>
      <c r="I73" s="155">
        <v>9</v>
      </c>
      <c r="J73" s="155">
        <v>41</v>
      </c>
    </row>
    <row r="74" spans="1:10" x14ac:dyDescent="0.45">
      <c r="A74" s="154">
        <v>56</v>
      </c>
      <c r="B74" s="155">
        <v>2</v>
      </c>
      <c r="C74" s="155">
        <v>0</v>
      </c>
      <c r="D74" s="155">
        <v>2</v>
      </c>
      <c r="E74" s="155">
        <v>18</v>
      </c>
      <c r="F74" s="154">
        <v>63</v>
      </c>
      <c r="G74" s="155">
        <v>0</v>
      </c>
      <c r="H74" s="155">
        <v>4</v>
      </c>
      <c r="I74" s="155">
        <v>4</v>
      </c>
      <c r="J74" s="155">
        <v>45</v>
      </c>
    </row>
    <row r="75" spans="1:10" x14ac:dyDescent="0.45">
      <c r="A75" s="154">
        <v>52</v>
      </c>
      <c r="B75" s="155">
        <v>6</v>
      </c>
      <c r="C75" s="155">
        <v>2</v>
      </c>
      <c r="D75" s="155">
        <v>8</v>
      </c>
      <c r="E75" s="155">
        <v>26</v>
      </c>
      <c r="F75" s="154">
        <v>62</v>
      </c>
      <c r="G75" s="155">
        <v>7</v>
      </c>
      <c r="H75" s="155">
        <v>5</v>
      </c>
      <c r="I75" s="155">
        <v>12</v>
      </c>
      <c r="J75" s="155">
        <v>57</v>
      </c>
    </row>
    <row r="76" spans="1:10" x14ac:dyDescent="0.45">
      <c r="A76" s="154">
        <v>50</v>
      </c>
      <c r="B76" s="155">
        <v>3</v>
      </c>
      <c r="C76" s="155">
        <v>1</v>
      </c>
      <c r="D76" s="155">
        <v>4</v>
      </c>
      <c r="E76" s="155">
        <v>30</v>
      </c>
      <c r="F76" s="154">
        <v>61</v>
      </c>
      <c r="G76" s="155">
        <v>9</v>
      </c>
      <c r="H76" s="155">
        <v>8</v>
      </c>
      <c r="I76" s="155">
        <v>17</v>
      </c>
      <c r="J76" s="155">
        <v>74</v>
      </c>
    </row>
    <row r="77" spans="1:10" x14ac:dyDescent="0.45">
      <c r="A77" s="154">
        <v>48</v>
      </c>
      <c r="B77" s="155">
        <v>5</v>
      </c>
      <c r="C77" s="155">
        <v>1</v>
      </c>
      <c r="D77" s="155">
        <v>6</v>
      </c>
      <c r="E77" s="155">
        <v>36</v>
      </c>
      <c r="F77" s="154">
        <v>60</v>
      </c>
      <c r="G77" s="155">
        <v>1</v>
      </c>
      <c r="H77" s="155">
        <v>12</v>
      </c>
      <c r="I77" s="155">
        <v>13</v>
      </c>
      <c r="J77" s="155">
        <v>87</v>
      </c>
    </row>
    <row r="78" spans="1:10" x14ac:dyDescent="0.45">
      <c r="A78" s="154">
        <v>46</v>
      </c>
      <c r="B78" s="155">
        <v>4</v>
      </c>
      <c r="C78" s="155">
        <v>2</v>
      </c>
      <c r="D78" s="155">
        <v>6</v>
      </c>
      <c r="E78" s="155">
        <v>42</v>
      </c>
      <c r="F78" s="154">
        <v>59</v>
      </c>
      <c r="G78" s="155">
        <v>0</v>
      </c>
      <c r="H78" s="155">
        <v>13</v>
      </c>
      <c r="I78" s="155">
        <v>13</v>
      </c>
      <c r="J78" s="155">
        <v>100</v>
      </c>
    </row>
    <row r="79" spans="1:10" x14ac:dyDescent="0.45">
      <c r="A79" s="154">
        <v>43</v>
      </c>
      <c r="B79" s="155">
        <v>1</v>
      </c>
      <c r="C79" s="155">
        <v>0</v>
      </c>
      <c r="D79" s="155">
        <v>1</v>
      </c>
      <c r="E79" s="155">
        <v>43</v>
      </c>
      <c r="F79" s="154">
        <v>58</v>
      </c>
      <c r="G79" s="155">
        <v>2</v>
      </c>
      <c r="H79" s="155">
        <v>9</v>
      </c>
      <c r="I79" s="155">
        <v>11</v>
      </c>
      <c r="J79" s="155">
        <v>111</v>
      </c>
    </row>
    <row r="80" spans="1:10" x14ac:dyDescent="0.45">
      <c r="A80" s="154">
        <v>41</v>
      </c>
      <c r="B80" s="155">
        <v>14</v>
      </c>
      <c r="C80" s="155">
        <v>2</v>
      </c>
      <c r="D80" s="155">
        <v>16</v>
      </c>
      <c r="E80" s="155">
        <v>59</v>
      </c>
      <c r="F80" s="154">
        <v>57</v>
      </c>
      <c r="G80" s="155">
        <v>3</v>
      </c>
      <c r="H80" s="155">
        <v>7</v>
      </c>
      <c r="I80" s="155">
        <v>10</v>
      </c>
      <c r="J80" s="155">
        <v>121</v>
      </c>
    </row>
    <row r="81" spans="1:10" x14ac:dyDescent="0.45">
      <c r="A81" s="154">
        <v>39</v>
      </c>
      <c r="B81" s="155">
        <v>2</v>
      </c>
      <c r="C81" s="155">
        <v>0</v>
      </c>
      <c r="D81" s="155">
        <v>2</v>
      </c>
      <c r="E81" s="155">
        <v>61</v>
      </c>
      <c r="F81" s="154">
        <v>56</v>
      </c>
      <c r="G81" s="155">
        <v>4</v>
      </c>
      <c r="H81" s="155">
        <v>7</v>
      </c>
      <c r="I81" s="155">
        <v>11</v>
      </c>
      <c r="J81" s="155">
        <v>132</v>
      </c>
    </row>
    <row r="82" spans="1:10" x14ac:dyDescent="0.45">
      <c r="A82" s="154">
        <v>35</v>
      </c>
      <c r="B82" s="155">
        <v>2</v>
      </c>
      <c r="C82" s="155">
        <v>1</v>
      </c>
      <c r="D82" s="155">
        <v>3</v>
      </c>
      <c r="E82" s="155">
        <v>64</v>
      </c>
      <c r="F82" s="154">
        <v>55</v>
      </c>
      <c r="G82" s="155">
        <v>3</v>
      </c>
      <c r="H82" s="155">
        <v>9</v>
      </c>
      <c r="I82" s="155">
        <v>12</v>
      </c>
      <c r="J82" s="155">
        <v>144</v>
      </c>
    </row>
    <row r="83" spans="1:10" x14ac:dyDescent="0.45">
      <c r="A83" s="154"/>
      <c r="B83" s="155"/>
      <c r="C83" s="155"/>
      <c r="D83" s="155"/>
      <c r="E83" s="155"/>
      <c r="F83" s="154">
        <v>54</v>
      </c>
      <c r="G83" s="155">
        <v>5</v>
      </c>
      <c r="H83" s="155">
        <v>6</v>
      </c>
      <c r="I83" s="155">
        <v>11</v>
      </c>
      <c r="J83" s="155">
        <v>155</v>
      </c>
    </row>
    <row r="84" spans="1:10" x14ac:dyDescent="0.45">
      <c r="A84" s="154"/>
      <c r="B84" s="155"/>
      <c r="C84" s="155"/>
      <c r="D84" s="155"/>
      <c r="E84" s="155"/>
      <c r="F84" s="154">
        <v>53</v>
      </c>
      <c r="G84" s="155">
        <v>5</v>
      </c>
      <c r="H84" s="155">
        <v>7</v>
      </c>
      <c r="I84" s="155">
        <v>12</v>
      </c>
      <c r="J84" s="155">
        <v>167</v>
      </c>
    </row>
    <row r="85" spans="1:10" x14ac:dyDescent="0.45">
      <c r="A85" s="154"/>
      <c r="B85" s="155"/>
      <c r="C85" s="155"/>
      <c r="D85" s="155"/>
      <c r="E85" s="155"/>
      <c r="F85" s="154">
        <v>52</v>
      </c>
      <c r="G85" s="155">
        <v>6</v>
      </c>
      <c r="H85" s="155">
        <v>7</v>
      </c>
      <c r="I85" s="155">
        <v>13</v>
      </c>
      <c r="J85" s="155">
        <v>180</v>
      </c>
    </row>
    <row r="86" spans="1:10" x14ac:dyDescent="0.45">
      <c r="A86" s="154"/>
      <c r="B86" s="155"/>
      <c r="C86" s="155"/>
      <c r="D86" s="155"/>
      <c r="E86" s="155"/>
      <c r="F86" s="154">
        <v>51</v>
      </c>
      <c r="G86" s="155">
        <v>3</v>
      </c>
      <c r="H86" s="155">
        <v>10</v>
      </c>
      <c r="I86" s="155">
        <v>13</v>
      </c>
      <c r="J86" s="155">
        <v>193</v>
      </c>
    </row>
    <row r="87" spans="1:10" x14ac:dyDescent="0.45">
      <c r="A87" s="154"/>
      <c r="B87" s="155"/>
      <c r="C87" s="155"/>
      <c r="D87" s="155"/>
      <c r="E87" s="155"/>
      <c r="F87" s="154">
        <v>50</v>
      </c>
      <c r="G87" s="155">
        <v>4</v>
      </c>
      <c r="H87" s="155">
        <v>5</v>
      </c>
      <c r="I87" s="155">
        <v>9</v>
      </c>
      <c r="J87" s="155">
        <v>202</v>
      </c>
    </row>
    <row r="88" spans="1:10" x14ac:dyDescent="0.45">
      <c r="A88" s="154"/>
      <c r="B88" s="155"/>
      <c r="C88" s="155"/>
      <c r="D88" s="155"/>
      <c r="E88" s="155"/>
      <c r="F88" s="154">
        <v>49</v>
      </c>
      <c r="G88" s="155">
        <v>2</v>
      </c>
      <c r="H88" s="155">
        <v>4</v>
      </c>
      <c r="I88" s="155">
        <v>7</v>
      </c>
      <c r="J88" s="155">
        <v>209</v>
      </c>
    </row>
    <row r="89" spans="1:10" x14ac:dyDescent="0.45">
      <c r="A89" s="154"/>
      <c r="B89" s="155"/>
      <c r="C89" s="155"/>
      <c r="D89" s="155"/>
      <c r="E89" s="155"/>
      <c r="F89" s="154">
        <v>48</v>
      </c>
      <c r="G89" s="155">
        <v>3</v>
      </c>
      <c r="H89" s="155">
        <v>7</v>
      </c>
      <c r="I89" s="155">
        <v>10</v>
      </c>
      <c r="J89" s="155">
        <v>219</v>
      </c>
    </row>
    <row r="90" spans="1:10" x14ac:dyDescent="0.45">
      <c r="A90" s="154"/>
      <c r="B90" s="155"/>
      <c r="C90" s="155"/>
      <c r="D90" s="155"/>
      <c r="E90" s="155"/>
      <c r="F90" s="154">
        <v>47</v>
      </c>
      <c r="G90" s="155">
        <v>6</v>
      </c>
      <c r="H90" s="155">
        <v>9</v>
      </c>
      <c r="I90" s="155">
        <v>15</v>
      </c>
      <c r="J90" s="155">
        <v>234</v>
      </c>
    </row>
    <row r="91" spans="1:10" x14ac:dyDescent="0.45">
      <c r="A91" s="154"/>
      <c r="B91" s="155"/>
      <c r="C91" s="155"/>
      <c r="D91" s="155"/>
      <c r="E91" s="155"/>
      <c r="F91" s="154">
        <v>46</v>
      </c>
      <c r="G91" s="155">
        <v>6</v>
      </c>
      <c r="H91" s="155">
        <v>5</v>
      </c>
      <c r="I91" s="155">
        <v>11</v>
      </c>
      <c r="J91" s="155">
        <v>245</v>
      </c>
    </row>
    <row r="92" spans="1:10" x14ac:dyDescent="0.45">
      <c r="A92" s="154"/>
      <c r="B92" s="155"/>
      <c r="C92" s="155"/>
      <c r="D92" s="155"/>
      <c r="E92" s="155"/>
      <c r="F92" s="154">
        <v>45</v>
      </c>
      <c r="G92" s="155">
        <v>5</v>
      </c>
      <c r="H92" s="155">
        <v>6</v>
      </c>
      <c r="I92" s="155">
        <v>11</v>
      </c>
      <c r="J92" s="155">
        <v>256</v>
      </c>
    </row>
    <row r="93" spans="1:10" x14ac:dyDescent="0.45">
      <c r="A93" s="154"/>
      <c r="B93" s="155"/>
      <c r="C93" s="155"/>
      <c r="D93" s="155"/>
      <c r="E93" s="155"/>
      <c r="F93" s="154">
        <v>44</v>
      </c>
      <c r="G93" s="155">
        <v>0</v>
      </c>
      <c r="H93" s="155">
        <v>4</v>
      </c>
      <c r="I93" s="155">
        <v>4</v>
      </c>
      <c r="J93" s="155">
        <v>260</v>
      </c>
    </row>
    <row r="94" spans="1:10" x14ac:dyDescent="0.45">
      <c r="A94" s="154"/>
      <c r="B94" s="155"/>
      <c r="C94" s="155"/>
      <c r="D94" s="155"/>
      <c r="E94" s="155"/>
      <c r="F94" s="154">
        <v>43</v>
      </c>
      <c r="G94" s="155">
        <v>7</v>
      </c>
      <c r="H94" s="155">
        <v>6</v>
      </c>
      <c r="I94" s="155">
        <v>14</v>
      </c>
      <c r="J94" s="155">
        <v>274</v>
      </c>
    </row>
    <row r="95" spans="1:10" x14ac:dyDescent="0.45">
      <c r="A95" s="154"/>
      <c r="B95" s="155"/>
      <c r="C95" s="155"/>
      <c r="D95" s="155"/>
      <c r="E95" s="155"/>
      <c r="F95" s="154">
        <v>42</v>
      </c>
      <c r="G95" s="155">
        <v>13</v>
      </c>
      <c r="H95" s="155">
        <v>12</v>
      </c>
      <c r="I95" s="155">
        <v>25</v>
      </c>
      <c r="J95" s="155">
        <v>299</v>
      </c>
    </row>
    <row r="96" spans="1:10" x14ac:dyDescent="0.45">
      <c r="A96" s="154"/>
      <c r="B96" s="155"/>
      <c r="C96" s="155"/>
      <c r="D96" s="155"/>
      <c r="E96" s="155"/>
      <c r="F96" s="154">
        <v>41</v>
      </c>
      <c r="G96" s="155">
        <v>22</v>
      </c>
      <c r="H96" s="155">
        <v>10</v>
      </c>
      <c r="I96" s="155">
        <v>33</v>
      </c>
      <c r="J96" s="155">
        <v>332</v>
      </c>
    </row>
    <row r="97" spans="1:10" x14ac:dyDescent="0.45">
      <c r="A97" s="154"/>
      <c r="B97" s="155"/>
      <c r="C97" s="155"/>
      <c r="D97" s="155"/>
      <c r="E97" s="155"/>
      <c r="F97" s="154">
        <v>40</v>
      </c>
      <c r="G97" s="155">
        <v>11</v>
      </c>
      <c r="H97" s="155">
        <v>4</v>
      </c>
      <c r="I97" s="155">
        <v>15</v>
      </c>
      <c r="J97" s="155">
        <v>347</v>
      </c>
    </row>
    <row r="98" spans="1:10" x14ac:dyDescent="0.45">
      <c r="A98" s="154"/>
      <c r="B98" s="155"/>
      <c r="C98" s="155"/>
      <c r="D98" s="155"/>
      <c r="E98" s="155"/>
      <c r="F98" s="154">
        <v>39</v>
      </c>
      <c r="G98" s="155">
        <v>8</v>
      </c>
      <c r="H98" s="155">
        <v>3</v>
      </c>
      <c r="I98" s="155">
        <v>12</v>
      </c>
      <c r="J98" s="155">
        <v>359</v>
      </c>
    </row>
    <row r="99" spans="1:10" x14ac:dyDescent="0.45">
      <c r="A99" s="154"/>
      <c r="B99" s="155"/>
      <c r="C99" s="155"/>
      <c r="D99" s="155"/>
      <c r="E99" s="155"/>
      <c r="F99" s="154">
        <v>38</v>
      </c>
      <c r="G99" s="155">
        <v>15</v>
      </c>
      <c r="H99" s="155">
        <v>3</v>
      </c>
      <c r="I99" s="155">
        <v>19</v>
      </c>
      <c r="J99" s="155">
        <v>378</v>
      </c>
    </row>
    <row r="100" spans="1:10" x14ac:dyDescent="0.45">
      <c r="A100" s="154"/>
      <c r="B100" s="155"/>
      <c r="C100" s="155"/>
      <c r="D100" s="155"/>
      <c r="E100" s="155"/>
      <c r="F100" s="154">
        <v>37</v>
      </c>
      <c r="G100" s="155">
        <v>6</v>
      </c>
      <c r="H100" s="155">
        <v>2</v>
      </c>
      <c r="I100" s="155">
        <v>8</v>
      </c>
      <c r="J100" s="155">
        <v>386</v>
      </c>
    </row>
    <row r="101" spans="1:10" x14ac:dyDescent="0.45">
      <c r="A101" s="154"/>
      <c r="B101" s="155"/>
      <c r="C101" s="155"/>
      <c r="D101" s="155"/>
      <c r="E101" s="155"/>
      <c r="F101" s="154">
        <v>36</v>
      </c>
      <c r="G101" s="155">
        <v>4</v>
      </c>
      <c r="H101" s="155">
        <v>2</v>
      </c>
      <c r="I101" s="155">
        <v>6</v>
      </c>
      <c r="J101" s="155">
        <v>392</v>
      </c>
    </row>
    <row r="102" spans="1:10" x14ac:dyDescent="0.45">
      <c r="A102" s="154"/>
      <c r="B102" s="155"/>
      <c r="C102" s="155"/>
      <c r="D102" s="155"/>
      <c r="E102" s="155"/>
      <c r="F102" s="154">
        <v>35</v>
      </c>
      <c r="G102" s="155">
        <v>7</v>
      </c>
      <c r="H102" s="155">
        <v>2</v>
      </c>
      <c r="I102" s="155">
        <v>9</v>
      </c>
      <c r="J102" s="155">
        <v>401</v>
      </c>
    </row>
    <row r="103" spans="1:10" x14ac:dyDescent="0.45">
      <c r="A103" s="154"/>
      <c r="B103" s="155"/>
      <c r="C103" s="155"/>
      <c r="D103" s="155"/>
      <c r="E103" s="155"/>
      <c r="F103" s="154">
        <v>34</v>
      </c>
      <c r="G103" s="155">
        <v>1</v>
      </c>
      <c r="H103" s="155">
        <v>1</v>
      </c>
      <c r="I103" s="155">
        <v>2</v>
      </c>
      <c r="J103" s="155">
        <v>403</v>
      </c>
    </row>
    <row r="104" spans="1:10" x14ac:dyDescent="0.45">
      <c r="A104" s="154"/>
      <c r="B104" s="155"/>
      <c r="C104" s="155"/>
      <c r="D104" s="155"/>
      <c r="E104" s="155"/>
      <c r="F104" s="154">
        <v>33</v>
      </c>
      <c r="G104" s="155">
        <v>2</v>
      </c>
      <c r="H104" s="155">
        <v>0</v>
      </c>
      <c r="I104" s="155">
        <v>2</v>
      </c>
      <c r="J104" s="155">
        <v>405</v>
      </c>
    </row>
    <row r="105" spans="1:10" x14ac:dyDescent="0.45">
      <c r="A105" s="154"/>
      <c r="B105" s="155"/>
      <c r="C105" s="155"/>
      <c r="D105" s="155"/>
      <c r="E105" s="155"/>
      <c r="F105" s="154">
        <v>32</v>
      </c>
      <c r="G105" s="155">
        <v>1</v>
      </c>
      <c r="H105" s="155">
        <v>1</v>
      </c>
      <c r="I105" s="155">
        <v>2</v>
      </c>
      <c r="J105" s="155">
        <v>407</v>
      </c>
    </row>
    <row r="106" spans="1:10" x14ac:dyDescent="0.45">
      <c r="A106" s="154"/>
      <c r="B106" s="155"/>
      <c r="C106" s="155"/>
      <c r="D106" s="155"/>
      <c r="E106" s="155"/>
      <c r="F106" s="154">
        <v>30</v>
      </c>
      <c r="G106" s="155">
        <v>1</v>
      </c>
      <c r="H106" s="155">
        <v>1</v>
      </c>
      <c r="I106" s="155">
        <v>2</v>
      </c>
      <c r="J106" s="155">
        <v>409</v>
      </c>
    </row>
    <row r="107" spans="1:10" x14ac:dyDescent="0.45">
      <c r="A107" s="6"/>
      <c r="B107" s="1"/>
      <c r="C107" s="1"/>
      <c r="D107" s="7"/>
      <c r="F107" s="6"/>
      <c r="G107" s="1"/>
      <c r="H107" s="1"/>
      <c r="I107" s="7"/>
    </row>
    <row r="108" spans="1:10" x14ac:dyDescent="0.45">
      <c r="A108" s="6"/>
      <c r="B108" s="1"/>
      <c r="C108" s="1"/>
      <c r="D108" s="7"/>
      <c r="F108" s="6"/>
      <c r="G108" s="1"/>
      <c r="H108" s="1"/>
      <c r="I108" s="7"/>
    </row>
    <row r="109" spans="1:10" x14ac:dyDescent="0.45">
      <c r="A109" s="6"/>
      <c r="B109" s="1"/>
      <c r="C109" s="1"/>
      <c r="D109" s="7"/>
      <c r="F109" s="6"/>
      <c r="G109" s="1"/>
      <c r="H109" s="1"/>
      <c r="I109" s="7"/>
    </row>
    <row r="110" spans="1:10" x14ac:dyDescent="0.45">
      <c r="A110" s="6"/>
      <c r="B110" s="1"/>
      <c r="C110" s="1"/>
      <c r="D110" s="7"/>
      <c r="F110" s="6"/>
      <c r="G110" s="1"/>
      <c r="H110" s="1"/>
      <c r="I110" s="7"/>
    </row>
    <row r="111" spans="1:10" ht="17.5" thickBot="1" x14ac:dyDescent="0.5">
      <c r="A111" s="8"/>
      <c r="B111" s="14"/>
      <c r="C111" s="14"/>
      <c r="D111" s="2"/>
      <c r="F111" s="8"/>
      <c r="G111" s="14"/>
      <c r="H111" s="14"/>
      <c r="I111" s="2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C4B5DD-2734-4EE0-BFFB-E8EF25ED5316}">
  <sheetPr codeName="Sheet6"/>
  <dimension ref="A1:Q110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3" width="13.75" customWidth="1"/>
    <col min="14" max="14" width="12.1640625" customWidth="1"/>
  </cols>
  <sheetData>
    <row r="1" spans="1:17" x14ac:dyDescent="0.45">
      <c r="A1" s="5" t="s">
        <v>87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기능'!D4</f>
        <v>45.98</v>
      </c>
      <c r="I3" s="21" t="s">
        <v>123</v>
      </c>
      <c r="J3" s="81">
        <f>'통계 및 응시자 수 입력 기능'!C4</f>
        <v>319666</v>
      </c>
      <c r="K3" s="31"/>
      <c r="L3" s="5"/>
    </row>
    <row r="4" spans="1:17" ht="25" customHeight="1" thickBot="1" x14ac:dyDescent="0.5">
      <c r="A4" s="5"/>
      <c r="B4" s="30"/>
      <c r="C4" s="82" t="s">
        <v>124</v>
      </c>
      <c r="D4" s="185" t="s">
        <v>127</v>
      </c>
      <c r="E4" s="186"/>
      <c r="F4" s="187"/>
      <c r="G4" s="83" t="s">
        <v>126</v>
      </c>
      <c r="H4" s="84" t="str">
        <f>'통계 및 응시자 수 입력 기능'!E4</f>
        <v>21.15</v>
      </c>
      <c r="I4" s="37"/>
      <c r="J4" s="38"/>
      <c r="K4" s="31"/>
    </row>
    <row r="5" spans="1:17" ht="25" customHeight="1" thickBot="1" x14ac:dyDescent="0.5">
      <c r="A5" s="5"/>
      <c r="B5" s="30"/>
      <c r="C5" s="19"/>
      <c r="D5" s="19"/>
      <c r="E5" s="19"/>
      <c r="F5" s="19"/>
      <c r="G5" s="188" t="s">
        <v>191</v>
      </c>
      <c r="H5" s="188"/>
      <c r="I5" s="188"/>
      <c r="J5" s="188"/>
      <c r="K5" s="31"/>
      <c r="L5" s="5"/>
    </row>
    <row r="6" spans="1:17" ht="25" customHeight="1" thickBot="1" x14ac:dyDescent="0.5">
      <c r="A6" s="5"/>
      <c r="B6" s="30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1" t="s">
        <v>118</v>
      </c>
      <c r="I6" s="51" t="s">
        <v>119</v>
      </c>
      <c r="J6" s="52" t="s">
        <v>120</v>
      </c>
      <c r="K6" s="31"/>
      <c r="L6" s="3" t="s">
        <v>86</v>
      </c>
      <c r="M6" s="3"/>
      <c r="N6" s="4"/>
    </row>
    <row r="7" spans="1:17" ht="25" customHeight="1" x14ac:dyDescent="0.45">
      <c r="A7" s="5"/>
      <c r="B7" s="30"/>
      <c r="C7" s="53">
        <v>100</v>
      </c>
      <c r="D7" s="54">
        <f>ROUND(20*(C7-$H$3)/$H$4+100,0)</f>
        <v>151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99.98</v>
      </c>
      <c r="G7" s="56">
        <f>_xlfn.IFNA(VLOOKUP(D7,'인원 입력 기능(국수)'!$A$5:$D$103,4,FALSE),0)</f>
        <v>147</v>
      </c>
      <c r="H7" s="57">
        <f>G7/$J$3</f>
        <v>4.59854973628725E-4</v>
      </c>
      <c r="I7" s="58">
        <f>G7</f>
        <v>147</v>
      </c>
      <c r="J7" s="59">
        <f>I7/$J$3</f>
        <v>4.59854973628725E-4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기능'!C4</f>
        <v>136</v>
      </c>
    </row>
    <row r="8" spans="1:17" ht="25" customHeight="1" x14ac:dyDescent="0.45">
      <c r="A8" s="5"/>
      <c r="B8" s="30"/>
      <c r="C8" s="60">
        <v>99</v>
      </c>
      <c r="D8" s="61" t="s">
        <v>59</v>
      </c>
      <c r="E8" s="61"/>
      <c r="F8" s="62"/>
      <c r="G8" s="63"/>
      <c r="H8" s="64"/>
      <c r="I8" s="65"/>
      <c r="J8" s="66"/>
      <c r="K8" s="31"/>
      <c r="L8" s="20"/>
      <c r="N8" s="1"/>
      <c r="P8" s="1">
        <v>2</v>
      </c>
      <c r="Q8" s="1">
        <f>'표점등급&amp;절평인원 입력 기능'!C5</f>
        <v>127</v>
      </c>
    </row>
    <row r="9" spans="1:17" ht="25" customHeight="1" x14ac:dyDescent="0.45">
      <c r="A9" s="5"/>
      <c r="B9" s="30"/>
      <c r="C9" s="60">
        <v>98</v>
      </c>
      <c r="D9" s="54">
        <f>ROUND(20*(C9-$H$3)/$H$4+100,0)</f>
        <v>149</v>
      </c>
      <c r="E9" s="54">
        <f t="shared" si="0"/>
        <v>1</v>
      </c>
      <c r="F9" s="55">
        <f>IF(I8=0,ROUND(100*(1-(I7+I9)/2/$J$3),2),ROUND(100*(1-(I8+I9)/2/$J$3),2))</f>
        <v>99.9</v>
      </c>
      <c r="G9" s="56">
        <f>_xlfn.IFNA(VLOOKUP(D9,'인원 입력 기능(국수)'!$A$5:$D$103,4,FALSE),0)</f>
        <v>370</v>
      </c>
      <c r="H9" s="57">
        <f>G9/$J$3</f>
        <v>1.1574580968886274E-3</v>
      </c>
      <c r="I9" s="67">
        <f>SUM($G$7:G9)</f>
        <v>517</v>
      </c>
      <c r="J9" s="59">
        <f>I9/$J$3</f>
        <v>1.6173130705173526E-3</v>
      </c>
      <c r="K9" s="31"/>
      <c r="L9" s="20" t="str">
        <f t="shared" ref="L9:L40" si="1">IF(ABS((C9-$H$3)/$H$4*20+100-D9)&gt;0.49, "경고", "")</f>
        <v/>
      </c>
      <c r="N9" s="1"/>
      <c r="P9" s="1">
        <v>3</v>
      </c>
      <c r="Q9" s="1">
        <f>'표점등급&amp;절평인원 입력 기능'!C6</f>
        <v>117</v>
      </c>
    </row>
    <row r="10" spans="1:17" ht="25" customHeight="1" x14ac:dyDescent="0.45">
      <c r="A10" s="5"/>
      <c r="B10" s="30"/>
      <c r="C10" s="60">
        <v>97</v>
      </c>
      <c r="D10" s="54">
        <f t="shared" ref="D10:D73" si="2">ROUND(20*(C10-$H$3)/$H$4+100,0)</f>
        <v>148</v>
      </c>
      <c r="E10" s="54">
        <f t="shared" si="0"/>
        <v>1</v>
      </c>
      <c r="F10" s="55">
        <f t="shared" ref="F10:F73" si="3">IF(I9=0,ROUND(100*(1-(I8+I10)/2/$J$3),2),ROUND(100*(1-(I9+I10)/2/$J$3),2))</f>
        <v>99.81</v>
      </c>
      <c r="G10" s="56">
        <f>IF(D10=D9,"",_xlfn.IFNA(VLOOKUP(D10,'인원 입력 기능(국수)'!$A$5:$D$103,4,FALSE),0))</f>
        <v>154</v>
      </c>
      <c r="H10" s="57">
        <f t="shared" ref="H10:H73" si="4">G10/$J$3</f>
        <v>4.8175282951580712E-4</v>
      </c>
      <c r="I10" s="67">
        <f>SUM($G$7:G10)</f>
        <v>671</v>
      </c>
      <c r="J10" s="59">
        <f t="shared" ref="J10:J73" si="5">I10/$J$3</f>
        <v>2.0990659000331598E-3</v>
      </c>
      <c r="K10" s="31"/>
      <c r="L10" s="20" t="str">
        <f t="shared" si="1"/>
        <v/>
      </c>
      <c r="N10" s="1"/>
      <c r="P10" s="1">
        <v>4</v>
      </c>
      <c r="Q10" s="1">
        <f>'표점등급&amp;절평인원 입력 기능'!C7</f>
        <v>105</v>
      </c>
    </row>
    <row r="11" spans="1:17" ht="25" customHeight="1" x14ac:dyDescent="0.45">
      <c r="A11" s="5"/>
      <c r="B11" s="30"/>
      <c r="C11" s="60">
        <v>96</v>
      </c>
      <c r="D11" s="54">
        <f t="shared" si="2"/>
        <v>147</v>
      </c>
      <c r="E11" s="54">
        <f t="shared" si="0"/>
        <v>1</v>
      </c>
      <c r="F11" s="55">
        <f t="shared" si="3"/>
        <v>99.72</v>
      </c>
      <c r="G11" s="56">
        <f>IF(D11=D10,"",_xlfn.IFNA(VLOOKUP(D11,'인원 입력 기능(국수)'!$A$5:$D$103,4,FALSE),0))</f>
        <v>479</v>
      </c>
      <c r="H11" s="57">
        <f t="shared" si="4"/>
        <v>1.4984389957017638E-3</v>
      </c>
      <c r="I11" s="67">
        <f>SUM($G$7:G11)</f>
        <v>1150</v>
      </c>
      <c r="J11" s="59">
        <f t="shared" si="5"/>
        <v>3.5975048957349234E-3</v>
      </c>
      <c r="K11" s="31"/>
      <c r="L11" s="20" t="str">
        <f t="shared" si="1"/>
        <v/>
      </c>
      <c r="N11" s="1"/>
      <c r="P11" s="1">
        <v>5</v>
      </c>
      <c r="Q11" s="1">
        <f>'표점등급&amp;절평인원 입력 기능'!C8</f>
        <v>92</v>
      </c>
    </row>
    <row r="12" spans="1:17" ht="25" customHeight="1" x14ac:dyDescent="0.45">
      <c r="A12" s="5"/>
      <c r="B12" s="30"/>
      <c r="C12" s="60">
        <v>95</v>
      </c>
      <c r="D12" s="54">
        <f t="shared" si="2"/>
        <v>146</v>
      </c>
      <c r="E12" s="54">
        <f t="shared" si="0"/>
        <v>1</v>
      </c>
      <c r="F12" s="55">
        <f t="shared" si="3"/>
        <v>99.57</v>
      </c>
      <c r="G12" s="56">
        <f>IF(D12=D11,"",_xlfn.IFNA(VLOOKUP(D12,'인원 입력 기능(국수)'!$A$5:$D$103,4,FALSE),0))</f>
        <v>427</v>
      </c>
      <c r="H12" s="57">
        <f t="shared" si="4"/>
        <v>1.3357692091120106E-3</v>
      </c>
      <c r="I12" s="67">
        <f>SUM($G$7:G12)</f>
        <v>1577</v>
      </c>
      <c r="J12" s="59">
        <f t="shared" si="5"/>
        <v>4.9332741048469337E-3</v>
      </c>
      <c r="K12" s="31"/>
      <c r="L12" s="20" t="str">
        <f t="shared" si="1"/>
        <v/>
      </c>
      <c r="N12" s="1"/>
      <c r="P12" s="1">
        <v>6</v>
      </c>
      <c r="Q12" s="1">
        <f>'표점등급&amp;절평인원 입력 기능'!C9</f>
        <v>84</v>
      </c>
    </row>
    <row r="13" spans="1:17" ht="25" customHeight="1" x14ac:dyDescent="0.45">
      <c r="A13" s="5"/>
      <c r="B13" s="30"/>
      <c r="C13" s="60">
        <v>94</v>
      </c>
      <c r="D13" s="54">
        <f t="shared" si="2"/>
        <v>145</v>
      </c>
      <c r="E13" s="54">
        <f t="shared" si="0"/>
        <v>1</v>
      </c>
      <c r="F13" s="55">
        <f t="shared" si="3"/>
        <v>99.42</v>
      </c>
      <c r="G13" s="56">
        <f>IF(D13=D12,"",_xlfn.IFNA(VLOOKUP(D13,'인원 입력 기능(국수)'!$A$5:$D$103,4,FALSE),0))</f>
        <v>561</v>
      </c>
      <c r="H13" s="57">
        <f t="shared" si="4"/>
        <v>1.7549567360932974E-3</v>
      </c>
      <c r="I13" s="67">
        <f>SUM($G$7:G13)</f>
        <v>2138</v>
      </c>
      <c r="J13" s="59">
        <f t="shared" si="5"/>
        <v>6.6882308409402314E-3</v>
      </c>
      <c r="K13" s="31"/>
      <c r="L13" s="20" t="str">
        <f t="shared" si="1"/>
        <v/>
      </c>
      <c r="N13" s="1"/>
      <c r="P13" s="1">
        <v>7</v>
      </c>
      <c r="Q13" s="1">
        <f>'표점등급&amp;절평인원 입력 기능'!C10</f>
        <v>75</v>
      </c>
    </row>
    <row r="14" spans="1:17" ht="25" customHeight="1" x14ac:dyDescent="0.45">
      <c r="A14" s="5"/>
      <c r="B14" s="30"/>
      <c r="C14" s="60">
        <v>93</v>
      </c>
      <c r="D14" s="172">
        <f t="shared" si="2"/>
        <v>144</v>
      </c>
      <c r="E14" s="172">
        <f t="shared" si="0"/>
        <v>1</v>
      </c>
      <c r="F14" s="176">
        <f t="shared" si="3"/>
        <v>99.1</v>
      </c>
      <c r="G14" s="178">
        <f>IF(D14=D13,"",_xlfn.IFNA(VLOOKUP(D14,'인원 입력 기능(국수)'!$A$5:$D$103,4,FALSE),0))</f>
        <v>1453</v>
      </c>
      <c r="H14" s="180">
        <f t="shared" si="4"/>
        <v>4.5453692291329076E-3</v>
      </c>
      <c r="I14" s="189">
        <f>SUM($G$7:G14)</f>
        <v>3591</v>
      </c>
      <c r="J14" s="170">
        <f t="shared" si="5"/>
        <v>1.1233600070073138E-2</v>
      </c>
      <c r="K14" s="31"/>
      <c r="L14" s="20" t="str">
        <f t="shared" si="1"/>
        <v/>
      </c>
      <c r="N14" s="1"/>
      <c r="P14" s="1">
        <v>8</v>
      </c>
      <c r="Q14" s="1">
        <f>'표점등급&amp;절평인원 입력 기능'!C11</f>
        <v>70</v>
      </c>
    </row>
    <row r="15" spans="1:17" ht="25" customHeight="1" x14ac:dyDescent="0.45">
      <c r="A15" s="5"/>
      <c r="B15" s="30"/>
      <c r="C15" s="60">
        <v>92</v>
      </c>
      <c r="D15" s="173"/>
      <c r="E15" s="173"/>
      <c r="F15" s="177"/>
      <c r="G15" s="179"/>
      <c r="H15" s="181"/>
      <c r="I15" s="190"/>
      <c r="J15" s="171"/>
      <c r="K15" s="31"/>
      <c r="L15" s="20" t="str">
        <f t="shared" si="1"/>
        <v>경고</v>
      </c>
      <c r="N15" s="1"/>
      <c r="P15" s="1">
        <v>9</v>
      </c>
      <c r="Q15" s="1"/>
    </row>
    <row r="16" spans="1:17" ht="25" customHeight="1" x14ac:dyDescent="0.45">
      <c r="A16" s="5"/>
      <c r="B16" s="30"/>
      <c r="C16" s="69">
        <v>91</v>
      </c>
      <c r="D16" s="54">
        <f t="shared" si="2"/>
        <v>143</v>
      </c>
      <c r="E16" s="68">
        <f t="shared" si="0"/>
        <v>1</v>
      </c>
      <c r="F16" s="55">
        <f t="shared" si="3"/>
        <v>98.72</v>
      </c>
      <c r="G16" s="56">
        <f>IF(D16=D15,"",_xlfn.IFNA(VLOOKUP(D16,'인원 입력 기능(국수)'!$A$5:$D$103,4,FALSE),0))</f>
        <v>983</v>
      </c>
      <c r="H16" s="57">
        <f t="shared" si="4"/>
        <v>3.0750846195716779E-3</v>
      </c>
      <c r="I16" s="70">
        <f>SUM($G$7:G16)</f>
        <v>4574</v>
      </c>
      <c r="J16" s="59">
        <f t="shared" si="5"/>
        <v>1.4308684689644817E-2</v>
      </c>
      <c r="K16" s="31"/>
      <c r="L16" s="20" t="str">
        <f t="shared" si="1"/>
        <v/>
      </c>
      <c r="N16" s="1"/>
    </row>
    <row r="17" spans="1:17" ht="25" customHeight="1" x14ac:dyDescent="0.45">
      <c r="A17" s="5"/>
      <c r="B17" s="30"/>
      <c r="C17" s="69">
        <v>90</v>
      </c>
      <c r="D17" s="54">
        <f t="shared" si="2"/>
        <v>142</v>
      </c>
      <c r="E17" s="68">
        <f t="shared" si="0"/>
        <v>1</v>
      </c>
      <c r="F17" s="55">
        <f t="shared" si="3"/>
        <v>98.42</v>
      </c>
      <c r="G17" s="56">
        <f>IF(D17=D16,"",_xlfn.IFNA(VLOOKUP(D17,'인원 입력 기능(국수)'!$A$5:$D$103,4,FALSE),0))</f>
        <v>967</v>
      </c>
      <c r="H17" s="57">
        <f t="shared" si="4"/>
        <v>3.0250323775440615E-3</v>
      </c>
      <c r="I17" s="70">
        <f>SUM($G$7:G17)</f>
        <v>5541</v>
      </c>
      <c r="J17" s="59">
        <f t="shared" si="5"/>
        <v>1.7333717067188878E-2</v>
      </c>
      <c r="K17" s="31"/>
      <c r="L17" s="20" t="str">
        <f t="shared" si="1"/>
        <v/>
      </c>
      <c r="N17" s="1"/>
      <c r="Q17" s="1">
        <f>Q7*H3*H4*J3*IFERROR(IF(J107=1, 1, 0), 0)</f>
        <v>42278025244.751991</v>
      </c>
    </row>
    <row r="18" spans="1:17" ht="25" customHeight="1" x14ac:dyDescent="0.45">
      <c r="A18" s="5"/>
      <c r="B18" s="30"/>
      <c r="C18" s="69">
        <v>89</v>
      </c>
      <c r="D18" s="54">
        <f t="shared" si="2"/>
        <v>141</v>
      </c>
      <c r="E18" s="68">
        <f t="shared" si="0"/>
        <v>1</v>
      </c>
      <c r="F18" s="55">
        <f t="shared" si="3"/>
        <v>98.09</v>
      </c>
      <c r="G18" s="56">
        <f>IF(D18=D17,"",_xlfn.IFNA(VLOOKUP(D18,'인원 입력 기능(국수)'!$A$5:$D$103,4,FALSE),0))</f>
        <v>1104</v>
      </c>
      <c r="H18" s="57">
        <f t="shared" si="4"/>
        <v>3.4536046999055262E-3</v>
      </c>
      <c r="I18" s="70">
        <f>SUM($G$7:G18)</f>
        <v>6645</v>
      </c>
      <c r="J18" s="59">
        <f t="shared" si="5"/>
        <v>2.0787321767094406E-2</v>
      </c>
      <c r="K18" s="31"/>
      <c r="L18" s="20" t="str">
        <f t="shared" si="1"/>
        <v/>
      </c>
      <c r="N18" s="1"/>
    </row>
    <row r="19" spans="1:17" ht="25" customHeight="1" x14ac:dyDescent="0.45">
      <c r="A19" s="5"/>
      <c r="B19" s="30"/>
      <c r="C19" s="69">
        <v>88</v>
      </c>
      <c r="D19" s="54">
        <f t="shared" si="2"/>
        <v>140</v>
      </c>
      <c r="E19" s="68">
        <f t="shared" si="0"/>
        <v>1</v>
      </c>
      <c r="F19" s="55">
        <f t="shared" si="3"/>
        <v>97.73</v>
      </c>
      <c r="G19" s="56">
        <f>IF(D19=D18,"",_xlfn.IFNA(VLOOKUP(D19,'인원 입력 기능(국수)'!$A$5:$D$103,4,FALSE),0))</f>
        <v>1201</v>
      </c>
      <c r="H19" s="57">
        <f t="shared" si="4"/>
        <v>3.7570464171979502E-3</v>
      </c>
      <c r="I19" s="70">
        <f>SUM($G$7:G19)</f>
        <v>7846</v>
      </c>
      <c r="J19" s="59">
        <f t="shared" si="5"/>
        <v>2.4544368184292356E-2</v>
      </c>
      <c r="K19" s="31"/>
      <c r="L19" s="20" t="str">
        <f t="shared" si="1"/>
        <v/>
      </c>
      <c r="N19" s="1"/>
    </row>
    <row r="20" spans="1:17" ht="25" customHeight="1" x14ac:dyDescent="0.45">
      <c r="A20" s="5"/>
      <c r="B20" s="30"/>
      <c r="C20" s="69">
        <v>87</v>
      </c>
      <c r="D20" s="54">
        <f t="shared" si="2"/>
        <v>139</v>
      </c>
      <c r="E20" s="68">
        <f t="shared" si="0"/>
        <v>1</v>
      </c>
      <c r="F20" s="55">
        <f t="shared" si="3"/>
        <v>97.34</v>
      </c>
      <c r="G20" s="56">
        <f>IF(D20=D19,"",_xlfn.IFNA(VLOOKUP(D20,'인원 입력 기능(국수)'!$A$5:$D$103,4,FALSE),0))</f>
        <v>1322</v>
      </c>
      <c r="H20" s="57">
        <f t="shared" si="4"/>
        <v>4.135566497531799E-3</v>
      </c>
      <c r="I20" s="70">
        <f>SUM($G$7:G20)</f>
        <v>9168</v>
      </c>
      <c r="J20" s="59">
        <f t="shared" si="5"/>
        <v>2.8679934681824153E-2</v>
      </c>
      <c r="K20" s="31"/>
      <c r="L20" s="20" t="str">
        <f t="shared" si="1"/>
        <v/>
      </c>
      <c r="N20" s="1"/>
    </row>
    <row r="21" spans="1:17" ht="25" customHeight="1" x14ac:dyDescent="0.45">
      <c r="A21" s="5"/>
      <c r="B21" s="30"/>
      <c r="C21" s="69">
        <v>86</v>
      </c>
      <c r="D21" s="54">
        <f t="shared" si="2"/>
        <v>138</v>
      </c>
      <c r="E21" s="68">
        <f t="shared" si="0"/>
        <v>1</v>
      </c>
      <c r="F21" s="55">
        <f t="shared" si="3"/>
        <v>96.9</v>
      </c>
      <c r="G21" s="56">
        <f>IF(D21=D20,"",_xlfn.IFNA(VLOOKUP(D21,'인원 입력 기능(국수)'!$A$5:$D$103,4,FALSE),0))</f>
        <v>1460</v>
      </c>
      <c r="H21" s="57">
        <f t="shared" si="4"/>
        <v>4.56726708501999E-3</v>
      </c>
      <c r="I21" s="70">
        <f>SUM($G$7:G21)</f>
        <v>10628</v>
      </c>
      <c r="J21" s="59">
        <f t="shared" si="5"/>
        <v>3.3247201766844141E-2</v>
      </c>
      <c r="K21" s="31"/>
      <c r="L21" s="20" t="str">
        <f t="shared" si="1"/>
        <v/>
      </c>
      <c r="N21" s="1"/>
    </row>
    <row r="22" spans="1:17" ht="25" customHeight="1" x14ac:dyDescent="0.45">
      <c r="A22" s="5"/>
      <c r="B22" s="30"/>
      <c r="C22" s="69">
        <v>85</v>
      </c>
      <c r="D22" s="54">
        <f t="shared" si="2"/>
        <v>137</v>
      </c>
      <c r="E22" s="68">
        <f t="shared" si="0"/>
        <v>1</v>
      </c>
      <c r="F22" s="55">
        <f t="shared" si="3"/>
        <v>96.43</v>
      </c>
      <c r="G22" s="56">
        <f>IF(D22=D21,"",_xlfn.IFNA(VLOOKUP(D22,'인원 입력 기능(국수)'!$A$5:$D$103,4,FALSE),0))</f>
        <v>1562</v>
      </c>
      <c r="H22" s="57">
        <f t="shared" si="4"/>
        <v>4.8863501279460438E-3</v>
      </c>
      <c r="I22" s="70">
        <f>SUM($G$7:G22)</f>
        <v>12190</v>
      </c>
      <c r="J22" s="59">
        <f t="shared" si="5"/>
        <v>3.8133551894790188E-2</v>
      </c>
      <c r="K22" s="31"/>
      <c r="L22" s="20" t="str">
        <f t="shared" si="1"/>
        <v/>
      </c>
      <c r="N22" s="1"/>
    </row>
    <row r="23" spans="1:17" ht="25" customHeight="1" x14ac:dyDescent="0.45">
      <c r="A23" s="5"/>
      <c r="B23" s="30"/>
      <c r="C23" s="69">
        <v>84</v>
      </c>
      <c r="D23" s="54">
        <f t="shared" si="2"/>
        <v>136</v>
      </c>
      <c r="E23" s="68">
        <f t="shared" si="0"/>
        <v>1</v>
      </c>
      <c r="F23" s="55">
        <f t="shared" si="3"/>
        <v>95.91</v>
      </c>
      <c r="G23" s="56">
        <f>IF(D23=D22,"",_xlfn.IFNA(VLOOKUP(D23,'인원 입력 기능(국수)'!$A$5:$D$103,4,FALSE),0))</f>
        <v>1754</v>
      </c>
      <c r="H23" s="57">
        <f t="shared" si="4"/>
        <v>5.4869770322774399E-3</v>
      </c>
      <c r="I23" s="70">
        <f>SUM($G$7:G23)</f>
        <v>13944</v>
      </c>
      <c r="J23" s="59">
        <f t="shared" si="5"/>
        <v>4.362052892706763E-2</v>
      </c>
      <c r="K23" s="31"/>
      <c r="L23" s="20" t="str">
        <f t="shared" si="1"/>
        <v/>
      </c>
      <c r="N23" s="1"/>
    </row>
    <row r="24" spans="1:17" ht="25" customHeight="1" x14ac:dyDescent="0.45">
      <c r="A24" s="5"/>
      <c r="B24" s="30"/>
      <c r="C24" s="69">
        <v>83</v>
      </c>
      <c r="D24" s="54">
        <f t="shared" si="2"/>
        <v>135</v>
      </c>
      <c r="E24" s="68">
        <f t="shared" si="0"/>
        <v>2</v>
      </c>
      <c r="F24" s="55">
        <f t="shared" si="3"/>
        <v>95.34</v>
      </c>
      <c r="G24" s="56">
        <f>IF(D24=D23,"",_xlfn.IFNA(VLOOKUP(D24,'인원 입력 기능(국수)'!$A$5:$D$103,4,FALSE),0))</f>
        <v>1932</v>
      </c>
      <c r="H24" s="57">
        <f t="shared" si="4"/>
        <v>6.0438082248346712E-3</v>
      </c>
      <c r="I24" s="70">
        <f>SUM($G$7:G24)</f>
        <v>15876</v>
      </c>
      <c r="J24" s="59">
        <f t="shared" si="5"/>
        <v>4.9664337151902299E-2</v>
      </c>
      <c r="K24" s="31"/>
      <c r="L24" s="20" t="str">
        <f t="shared" si="1"/>
        <v/>
      </c>
      <c r="N24" s="1"/>
    </row>
    <row r="25" spans="1:17" ht="25" customHeight="1" x14ac:dyDescent="0.45">
      <c r="A25" s="5"/>
      <c r="B25" s="30"/>
      <c r="C25" s="69">
        <v>82</v>
      </c>
      <c r="D25" s="54">
        <f t="shared" si="2"/>
        <v>134</v>
      </c>
      <c r="E25" s="68">
        <f t="shared" si="0"/>
        <v>2</v>
      </c>
      <c r="F25" s="55">
        <f t="shared" si="3"/>
        <v>94.71</v>
      </c>
      <c r="G25" s="56">
        <f>IF(D25=D24,"",_xlfn.IFNA(VLOOKUP(D25,'인원 입력 기능(국수)'!$A$5:$D$103,4,FALSE),0))</f>
        <v>2044</v>
      </c>
      <c r="H25" s="57">
        <f t="shared" si="4"/>
        <v>6.3941739190279852E-3</v>
      </c>
      <c r="I25" s="70">
        <f>SUM($G$7:G25)</f>
        <v>17920</v>
      </c>
      <c r="J25" s="59">
        <f t="shared" si="5"/>
        <v>5.6058511070930281E-2</v>
      </c>
      <c r="K25" s="31"/>
      <c r="L25" s="20" t="str">
        <f t="shared" si="1"/>
        <v/>
      </c>
      <c r="N25" s="1"/>
    </row>
    <row r="26" spans="1:17" ht="25" customHeight="1" x14ac:dyDescent="0.45">
      <c r="A26" s="5"/>
      <c r="B26" s="30"/>
      <c r="C26" s="69">
        <v>81</v>
      </c>
      <c r="D26" s="54">
        <f t="shared" si="2"/>
        <v>133</v>
      </c>
      <c r="E26" s="68">
        <f t="shared" si="0"/>
        <v>2</v>
      </c>
      <c r="F26" s="55">
        <f t="shared" si="3"/>
        <v>94.07</v>
      </c>
      <c r="G26" s="56">
        <f>IF(D26=D25,"",_xlfn.IFNA(VLOOKUP(D26,'인원 입력 기능(국수)'!$A$5:$D$103,4,FALSE),0))</f>
        <v>2059</v>
      </c>
      <c r="H26" s="57">
        <f t="shared" si="4"/>
        <v>6.441097895928876E-3</v>
      </c>
      <c r="I26" s="70">
        <f>SUM($G$7:G26)</f>
        <v>19979</v>
      </c>
      <c r="J26" s="59">
        <f t="shared" si="5"/>
        <v>6.249960896685916E-2</v>
      </c>
      <c r="K26" s="31"/>
      <c r="L26" s="20" t="str">
        <f t="shared" si="1"/>
        <v/>
      </c>
      <c r="N26" s="1"/>
    </row>
    <row r="27" spans="1:17" ht="25" customHeight="1" x14ac:dyDescent="0.45">
      <c r="A27" s="5"/>
      <c r="B27" s="30"/>
      <c r="C27" s="69">
        <v>80</v>
      </c>
      <c r="D27" s="54">
        <f t="shared" si="2"/>
        <v>132</v>
      </c>
      <c r="E27" s="68">
        <f t="shared" si="0"/>
        <v>2</v>
      </c>
      <c r="F27" s="55">
        <f t="shared" si="3"/>
        <v>93.41</v>
      </c>
      <c r="G27" s="56">
        <f>IF(D27=D26,"",_xlfn.IFNA(VLOOKUP(D27,'인원 입력 기능(국수)'!$A$5:$D$103,4,FALSE),0))</f>
        <v>2202</v>
      </c>
      <c r="H27" s="57">
        <f t="shared" si="4"/>
        <v>6.8884398090506968E-3</v>
      </c>
      <c r="I27" s="70">
        <f>SUM($G$7:G27)</f>
        <v>22181</v>
      </c>
      <c r="J27" s="59">
        <f t="shared" si="5"/>
        <v>6.9388048775909858E-2</v>
      </c>
      <c r="K27" s="31"/>
      <c r="L27" s="20" t="str">
        <f t="shared" si="1"/>
        <v/>
      </c>
      <c r="N27" s="1"/>
    </row>
    <row r="28" spans="1:17" ht="25" customHeight="1" x14ac:dyDescent="0.45">
      <c r="A28" s="5"/>
      <c r="B28" s="30"/>
      <c r="C28" s="69">
        <v>79</v>
      </c>
      <c r="D28" s="54">
        <f t="shared" si="2"/>
        <v>131</v>
      </c>
      <c r="E28" s="68">
        <f t="shared" si="0"/>
        <v>2</v>
      </c>
      <c r="F28" s="55">
        <f t="shared" si="3"/>
        <v>92.68</v>
      </c>
      <c r="G28" s="56">
        <f>IF(D28=D27,"",_xlfn.IFNA(VLOOKUP(D28,'인원 입력 기능(국수)'!$A$5:$D$103,4,FALSE),0))</f>
        <v>2425</v>
      </c>
      <c r="H28" s="57">
        <f t="shared" si="4"/>
        <v>7.5860429323105988E-3</v>
      </c>
      <c r="I28" s="70">
        <f>SUM($G$7:G28)</f>
        <v>24606</v>
      </c>
      <c r="J28" s="59">
        <f t="shared" si="5"/>
        <v>7.6974091708220449E-2</v>
      </c>
      <c r="K28" s="31"/>
      <c r="L28" s="20" t="str">
        <f t="shared" si="1"/>
        <v/>
      </c>
      <c r="N28" s="1"/>
    </row>
    <row r="29" spans="1:17" ht="25" customHeight="1" x14ac:dyDescent="0.45">
      <c r="A29" s="5"/>
      <c r="B29" s="30"/>
      <c r="C29" s="69">
        <v>78</v>
      </c>
      <c r="D29" s="54">
        <f t="shared" si="2"/>
        <v>130</v>
      </c>
      <c r="E29" s="68">
        <f t="shared" si="0"/>
        <v>2</v>
      </c>
      <c r="F29" s="55">
        <f t="shared" si="3"/>
        <v>91.91</v>
      </c>
      <c r="G29" s="56">
        <f>IF(D29=D28,"",_xlfn.IFNA(VLOOKUP(D29,'인원 입력 기능(국수)'!$A$5:$D$103,4,FALSE),0))</f>
        <v>2481</v>
      </c>
      <c r="H29" s="57">
        <f t="shared" si="4"/>
        <v>7.7612257794072567E-3</v>
      </c>
      <c r="I29" s="70">
        <f>SUM($G$7:G29)</f>
        <v>27087</v>
      </c>
      <c r="J29" s="59">
        <f t="shared" si="5"/>
        <v>8.4735317487627707E-2</v>
      </c>
      <c r="K29" s="31"/>
      <c r="L29" s="20" t="str">
        <f t="shared" si="1"/>
        <v/>
      </c>
      <c r="N29" s="1"/>
    </row>
    <row r="30" spans="1:17" ht="25" customHeight="1" x14ac:dyDescent="0.45">
      <c r="A30" s="5"/>
      <c r="B30" s="30"/>
      <c r="C30" s="69">
        <v>77</v>
      </c>
      <c r="D30" s="54">
        <f t="shared" si="2"/>
        <v>129</v>
      </c>
      <c r="E30" s="68">
        <f t="shared" si="0"/>
        <v>2</v>
      </c>
      <c r="F30" s="55">
        <f t="shared" si="3"/>
        <v>91.12</v>
      </c>
      <c r="G30" s="56">
        <f>IF(D30=D29,"",_xlfn.IFNA(VLOOKUP(D30,'인원 입력 기능(국수)'!$A$5:$D$103,4,FALSE),0))</f>
        <v>2599</v>
      </c>
      <c r="H30" s="57">
        <f t="shared" si="4"/>
        <v>8.1303610643609272E-3</v>
      </c>
      <c r="I30" s="70">
        <f>SUM($G$7:G30)</f>
        <v>29686</v>
      </c>
      <c r="J30" s="59">
        <f t="shared" si="5"/>
        <v>9.2865678551988642E-2</v>
      </c>
      <c r="K30" s="31"/>
      <c r="L30" s="20" t="str">
        <f t="shared" si="1"/>
        <v/>
      </c>
      <c r="N30" s="1"/>
    </row>
    <row r="31" spans="1:17" ht="25" customHeight="1" x14ac:dyDescent="0.45">
      <c r="A31" s="5"/>
      <c r="B31" s="30"/>
      <c r="C31" s="69">
        <v>76</v>
      </c>
      <c r="D31" s="54">
        <f t="shared" si="2"/>
        <v>128</v>
      </c>
      <c r="E31" s="68">
        <f t="shared" si="0"/>
        <v>2</v>
      </c>
      <c r="F31" s="55">
        <f t="shared" si="3"/>
        <v>90.27</v>
      </c>
      <c r="G31" s="56">
        <f>IF(D31=D30,"",_xlfn.IFNA(VLOOKUP(D31,'인원 입력 기능(국수)'!$A$5:$D$103,4,FALSE),0))</f>
        <v>2836</v>
      </c>
      <c r="H31" s="57">
        <f t="shared" si="4"/>
        <v>8.8717598993949941E-3</v>
      </c>
      <c r="I31" s="70">
        <f>SUM($G$7:G31)</f>
        <v>32522</v>
      </c>
      <c r="J31" s="59">
        <f t="shared" si="5"/>
        <v>0.10173743845138364</v>
      </c>
      <c r="K31" s="31"/>
      <c r="L31" s="20" t="str">
        <f t="shared" si="1"/>
        <v/>
      </c>
      <c r="N31" s="1"/>
    </row>
    <row r="32" spans="1:17" ht="25" customHeight="1" x14ac:dyDescent="0.45">
      <c r="A32" s="5"/>
      <c r="B32" s="30"/>
      <c r="C32" s="69">
        <v>75</v>
      </c>
      <c r="D32" s="172">
        <f t="shared" si="2"/>
        <v>127</v>
      </c>
      <c r="E32" s="174">
        <f t="shared" si="0"/>
        <v>2</v>
      </c>
      <c r="F32" s="176">
        <f t="shared" si="3"/>
        <v>88.92</v>
      </c>
      <c r="G32" s="178">
        <f>IF(D32=D31,"",_xlfn.IFNA(VLOOKUP(D32,'인원 입력 기능(국수)'!$A$5:$D$103,4,FALSE),0))</f>
        <v>5796</v>
      </c>
      <c r="H32" s="180">
        <f t="shared" si="4"/>
        <v>1.8131424674504015E-2</v>
      </c>
      <c r="I32" s="168">
        <f>SUM($G$7:G32)</f>
        <v>38318</v>
      </c>
      <c r="J32" s="170">
        <f t="shared" si="5"/>
        <v>0.11986886312588764</v>
      </c>
      <c r="K32" s="31"/>
      <c r="L32" s="20" t="str">
        <f t="shared" si="1"/>
        <v/>
      </c>
      <c r="N32" s="1"/>
    </row>
    <row r="33" spans="1:14" ht="25" customHeight="1" x14ac:dyDescent="0.45">
      <c r="A33" s="5"/>
      <c r="B33" s="30"/>
      <c r="C33" s="69">
        <v>74</v>
      </c>
      <c r="D33" s="173"/>
      <c r="E33" s="175"/>
      <c r="F33" s="177"/>
      <c r="G33" s="179"/>
      <c r="H33" s="181"/>
      <c r="I33" s="169"/>
      <c r="J33" s="171"/>
      <c r="K33" s="31"/>
      <c r="L33" s="20" t="str">
        <f t="shared" si="1"/>
        <v>경고</v>
      </c>
      <c r="N33" s="1"/>
    </row>
    <row r="34" spans="1:14" ht="25" customHeight="1" x14ac:dyDescent="0.45">
      <c r="A34" s="5"/>
      <c r="B34" s="30"/>
      <c r="C34" s="69">
        <v>73</v>
      </c>
      <c r="D34" s="54">
        <f t="shared" si="2"/>
        <v>126</v>
      </c>
      <c r="E34" s="68">
        <f t="shared" si="0"/>
        <v>3</v>
      </c>
      <c r="F34" s="55">
        <f t="shared" si="3"/>
        <v>87.54</v>
      </c>
      <c r="G34" s="56">
        <f>IF(D34=D33,"",_xlfn.IFNA(VLOOKUP(D34,'인원 입력 기능(국수)'!$A$5:$D$103,4,FALSE),0))</f>
        <v>3048</v>
      </c>
      <c r="H34" s="57">
        <f t="shared" si="4"/>
        <v>9.5349521062609091E-3</v>
      </c>
      <c r="I34" s="70">
        <f>SUM($G$7:G34)</f>
        <v>41366</v>
      </c>
      <c r="J34" s="59">
        <f t="shared" si="5"/>
        <v>0.12940381523214856</v>
      </c>
      <c r="K34" s="31"/>
      <c r="L34" s="20" t="str">
        <f t="shared" si="1"/>
        <v/>
      </c>
      <c r="N34" s="1"/>
    </row>
    <row r="35" spans="1:14" ht="25" customHeight="1" x14ac:dyDescent="0.45">
      <c r="A35" s="5"/>
      <c r="B35" s="30"/>
      <c r="C35" s="69">
        <v>72</v>
      </c>
      <c r="D35" s="54">
        <f t="shared" si="2"/>
        <v>125</v>
      </c>
      <c r="E35" s="68">
        <f t="shared" si="0"/>
        <v>3</v>
      </c>
      <c r="F35" s="55">
        <f t="shared" si="3"/>
        <v>86.56</v>
      </c>
      <c r="G35" s="56">
        <f>IF(D35=D34,"",_xlfn.IFNA(VLOOKUP(D35,'인원 입력 기능(국수)'!$A$5:$D$103,4,FALSE),0))</f>
        <v>3204</v>
      </c>
      <c r="H35" s="57">
        <f t="shared" si="4"/>
        <v>1.002296146603017E-2</v>
      </c>
      <c r="I35" s="70">
        <f>SUM($G$7:G35)</f>
        <v>44570</v>
      </c>
      <c r="J35" s="59">
        <f t="shared" si="5"/>
        <v>0.13942677669817871</v>
      </c>
      <c r="K35" s="31"/>
      <c r="L35" s="20" t="str">
        <f t="shared" si="1"/>
        <v/>
      </c>
      <c r="N35" s="1"/>
    </row>
    <row r="36" spans="1:14" ht="25" customHeight="1" x14ac:dyDescent="0.45">
      <c r="A36" s="5"/>
      <c r="B36" s="30"/>
      <c r="C36" s="69">
        <v>71</v>
      </c>
      <c r="D36" s="54">
        <f t="shared" si="2"/>
        <v>124</v>
      </c>
      <c r="E36" s="68">
        <f t="shared" si="0"/>
        <v>3</v>
      </c>
      <c r="F36" s="55">
        <f t="shared" si="3"/>
        <v>85.54</v>
      </c>
      <c r="G36" s="56">
        <f>IF(D36=D35,"",_xlfn.IFNA(VLOOKUP(D36,'인원 입력 기능(국수)'!$A$5:$D$103,4,FALSE),0))</f>
        <v>3302</v>
      </c>
      <c r="H36" s="57">
        <f t="shared" si="4"/>
        <v>1.0329531448449319E-2</v>
      </c>
      <c r="I36" s="70">
        <f>SUM($G$7:G36)</f>
        <v>47872</v>
      </c>
      <c r="J36" s="59">
        <f t="shared" si="5"/>
        <v>0.14975630814662805</v>
      </c>
      <c r="K36" s="31"/>
      <c r="L36" s="20" t="str">
        <f t="shared" si="1"/>
        <v/>
      </c>
      <c r="N36" s="1"/>
    </row>
    <row r="37" spans="1:14" ht="25" customHeight="1" x14ac:dyDescent="0.45">
      <c r="A37" s="5"/>
      <c r="B37" s="30"/>
      <c r="C37" s="69">
        <v>70</v>
      </c>
      <c r="D37" s="54">
        <f t="shared" si="2"/>
        <v>123</v>
      </c>
      <c r="E37" s="68">
        <f t="shared" si="0"/>
        <v>3</v>
      </c>
      <c r="F37" s="55">
        <f t="shared" si="3"/>
        <v>84.5</v>
      </c>
      <c r="G37" s="56">
        <f>IF(D37=D36,"",_xlfn.IFNA(VLOOKUP(D37,'인원 입력 기능(국수)'!$A$5:$D$103,4,FALSE),0))</f>
        <v>3362</v>
      </c>
      <c r="H37" s="57">
        <f t="shared" si="4"/>
        <v>1.051722735605288E-2</v>
      </c>
      <c r="I37" s="70">
        <f>SUM($G$7:G37)</f>
        <v>51234</v>
      </c>
      <c r="J37" s="59">
        <f t="shared" si="5"/>
        <v>0.16027353550268092</v>
      </c>
      <c r="K37" s="31"/>
      <c r="L37" s="20" t="str">
        <f t="shared" si="1"/>
        <v/>
      </c>
      <c r="N37" s="1"/>
    </row>
    <row r="38" spans="1:14" ht="25" customHeight="1" x14ac:dyDescent="0.45">
      <c r="A38" s="5"/>
      <c r="B38" s="30"/>
      <c r="C38" s="69">
        <v>69</v>
      </c>
      <c r="D38" s="54">
        <f t="shared" si="2"/>
        <v>122</v>
      </c>
      <c r="E38" s="68">
        <f t="shared" si="0"/>
        <v>3</v>
      </c>
      <c r="F38" s="55">
        <f t="shared" si="3"/>
        <v>83.42</v>
      </c>
      <c r="G38" s="56">
        <f>IF(D38=D37,"",_xlfn.IFNA(VLOOKUP(D38,'인원 입력 기능(국수)'!$A$5:$D$103,4,FALSE),0))</f>
        <v>3542</v>
      </c>
      <c r="H38" s="57">
        <f t="shared" si="4"/>
        <v>1.1080315078863564E-2</v>
      </c>
      <c r="I38" s="70">
        <f>SUM($G$7:G38)</f>
        <v>54776</v>
      </c>
      <c r="J38" s="59">
        <f t="shared" si="5"/>
        <v>0.17135385058154448</v>
      </c>
      <c r="K38" s="31"/>
      <c r="L38" s="20" t="str">
        <f t="shared" si="1"/>
        <v/>
      </c>
      <c r="N38" s="1"/>
    </row>
    <row r="39" spans="1:14" ht="25" customHeight="1" x14ac:dyDescent="0.45">
      <c r="A39" s="5"/>
      <c r="B39" s="30"/>
      <c r="C39" s="69">
        <v>68</v>
      </c>
      <c r="D39" s="54">
        <f t="shared" si="2"/>
        <v>121</v>
      </c>
      <c r="E39" s="68">
        <f t="shared" ref="E39:E69" si="6">IF(ROUND(D39,0)&gt;=$Q$7,1,IF(ROUND(D39,0)&gt;=$Q$8,2,IF(ROUND(D39,0)&gt;=$Q$9,3,IF(ROUND(D39,0)&gt;=$Q$10,4,IF(ROUND(D39,0)&gt;=$Q$11,5,IF(ROUND(D39,0)&gt;=$Q$12,6,IF(ROUND(D39,0)&gt;=$Q$13,7,IF(ROUND(D39,0)&gt;=$Q$14,8,9))))))))</f>
        <v>3</v>
      </c>
      <c r="F39" s="55">
        <f t="shared" si="3"/>
        <v>82.29</v>
      </c>
      <c r="G39" s="56">
        <f>IF(D39=D38,"",_xlfn.IFNA(VLOOKUP(D39,'인원 입력 기능(국수)'!$A$5:$D$103,4,FALSE),0))</f>
        <v>3655</v>
      </c>
      <c r="H39" s="57">
        <f t="shared" si="4"/>
        <v>1.1433809038183603E-2</v>
      </c>
      <c r="I39" s="70">
        <f>SUM($G$7:G39)</f>
        <v>58431</v>
      </c>
      <c r="J39" s="59">
        <f t="shared" si="5"/>
        <v>0.18278765961972809</v>
      </c>
      <c r="K39" s="31"/>
      <c r="L39" s="20" t="str">
        <f t="shared" si="1"/>
        <v/>
      </c>
      <c r="N39" s="1"/>
    </row>
    <row r="40" spans="1:14" ht="25" customHeight="1" x14ac:dyDescent="0.45">
      <c r="A40" s="5"/>
      <c r="B40" s="30"/>
      <c r="C40" s="69">
        <v>67</v>
      </c>
      <c r="D40" s="54">
        <f t="shared" si="2"/>
        <v>120</v>
      </c>
      <c r="E40" s="68">
        <f t="shared" si="6"/>
        <v>3</v>
      </c>
      <c r="F40" s="55">
        <f t="shared" si="3"/>
        <v>81.16</v>
      </c>
      <c r="G40" s="56">
        <f>IF(D40=D39,"",_xlfn.IFNA(VLOOKUP(D40,'인원 입력 기능(국수)'!$A$5:$D$103,4,FALSE),0))</f>
        <v>3591</v>
      </c>
      <c r="H40" s="57">
        <f t="shared" si="4"/>
        <v>1.1233600070073138E-2</v>
      </c>
      <c r="I40" s="70">
        <f>SUM($G$7:G40)</f>
        <v>62022</v>
      </c>
      <c r="J40" s="59">
        <f t="shared" si="5"/>
        <v>0.19402125968980122</v>
      </c>
      <c r="K40" s="31"/>
      <c r="L40" s="20" t="str">
        <f t="shared" si="1"/>
        <v/>
      </c>
      <c r="N40" s="1"/>
    </row>
    <row r="41" spans="1:14" ht="25" customHeight="1" x14ac:dyDescent="0.45">
      <c r="A41" s="5"/>
      <c r="B41" s="30"/>
      <c r="C41" s="69">
        <v>66</v>
      </c>
      <c r="D41" s="54">
        <f t="shared" si="2"/>
        <v>119</v>
      </c>
      <c r="E41" s="68">
        <f t="shared" si="6"/>
        <v>3</v>
      </c>
      <c r="F41" s="55">
        <f t="shared" si="3"/>
        <v>80</v>
      </c>
      <c r="G41" s="56">
        <f>IF(D41=D40,"",_xlfn.IFNA(VLOOKUP(D41,'인원 입력 기능(국수)'!$A$5:$D$103,4,FALSE),0))</f>
        <v>3816</v>
      </c>
      <c r="H41" s="57">
        <f t="shared" si="4"/>
        <v>1.1937459723586494E-2</v>
      </c>
      <c r="I41" s="70">
        <f>SUM($G$7:G41)</f>
        <v>65838</v>
      </c>
      <c r="J41" s="59">
        <f t="shared" si="5"/>
        <v>0.20595871941338773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69">
        <v>65</v>
      </c>
      <c r="D42" s="54">
        <f t="shared" si="2"/>
        <v>118</v>
      </c>
      <c r="E42" s="68">
        <f t="shared" si="6"/>
        <v>3</v>
      </c>
      <c r="F42" s="55">
        <f t="shared" si="3"/>
        <v>78.78</v>
      </c>
      <c r="G42" s="56">
        <f>IF(D42=D41,"",_xlfn.IFNA(VLOOKUP(D42,'인원 입력 기능(국수)'!$A$5:$D$103,4,FALSE),0))</f>
        <v>3966</v>
      </c>
      <c r="H42" s="57">
        <f t="shared" si="4"/>
        <v>1.2406699492595397E-2</v>
      </c>
      <c r="I42" s="70">
        <f>SUM($G$7:G42)</f>
        <v>69804</v>
      </c>
      <c r="J42" s="59">
        <f t="shared" si="5"/>
        <v>0.21836541890598313</v>
      </c>
      <c r="K42" s="31"/>
      <c r="L42" s="20" t="str">
        <f t="shared" si="7"/>
        <v/>
      </c>
      <c r="N42" s="1"/>
    </row>
    <row r="43" spans="1:14" ht="25" customHeight="1" x14ac:dyDescent="0.45">
      <c r="A43" s="5"/>
      <c r="B43" s="30"/>
      <c r="C43" s="69">
        <v>64</v>
      </c>
      <c r="D43" s="54">
        <f t="shared" si="2"/>
        <v>117</v>
      </c>
      <c r="E43" s="68">
        <f t="shared" si="6"/>
        <v>3</v>
      </c>
      <c r="F43" s="55">
        <f t="shared" si="3"/>
        <v>77.540000000000006</v>
      </c>
      <c r="G43" s="56">
        <f>IF(D43=D42,"",_xlfn.IFNA(VLOOKUP(D43,'인원 입력 기능(국수)'!$A$5:$D$103,4,FALSE),0))</f>
        <v>3983</v>
      </c>
      <c r="H43" s="57">
        <f t="shared" si="4"/>
        <v>1.2459879999749738E-2</v>
      </c>
      <c r="I43" s="70">
        <f>SUM($G$7:G43)</f>
        <v>73787</v>
      </c>
      <c r="J43" s="59">
        <f t="shared" si="5"/>
        <v>0.23082529890573286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69">
        <v>63</v>
      </c>
      <c r="D44" s="54">
        <f t="shared" si="2"/>
        <v>116</v>
      </c>
      <c r="E44" s="68">
        <f t="shared" si="6"/>
        <v>4</v>
      </c>
      <c r="F44" s="55">
        <f t="shared" si="3"/>
        <v>76.28</v>
      </c>
      <c r="G44" s="56">
        <f>IF(D44=D43,"",_xlfn.IFNA(VLOOKUP(D44,'인원 입력 기능(국수)'!$A$5:$D$103,4,FALSE),0))</f>
        <v>4050</v>
      </c>
      <c r="H44" s="57">
        <f t="shared" si="4"/>
        <v>1.2669473763240383E-2</v>
      </c>
      <c r="I44" s="70">
        <f>SUM($G$7:G44)</f>
        <v>77837</v>
      </c>
      <c r="J44" s="59">
        <f t="shared" si="5"/>
        <v>0.24349477266897324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69">
        <v>62</v>
      </c>
      <c r="D45" s="54">
        <f t="shared" si="2"/>
        <v>115</v>
      </c>
      <c r="E45" s="68">
        <f t="shared" si="6"/>
        <v>4</v>
      </c>
      <c r="F45" s="55">
        <f t="shared" si="3"/>
        <v>75.010000000000005</v>
      </c>
      <c r="G45" s="56">
        <f>IF(D45=D44,"",_xlfn.IFNA(VLOOKUP(D45,'인원 입력 기능(국수)'!$A$5:$D$103,4,FALSE),0))</f>
        <v>4080</v>
      </c>
      <c r="H45" s="57">
        <f t="shared" si="4"/>
        <v>1.2763321717042163E-2</v>
      </c>
      <c r="I45" s="70">
        <f>SUM($G$7:G45)</f>
        <v>81917</v>
      </c>
      <c r="J45" s="59">
        <f t="shared" si="5"/>
        <v>0.25625809438601538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69">
        <v>61</v>
      </c>
      <c r="D46" s="54">
        <f t="shared" si="2"/>
        <v>114</v>
      </c>
      <c r="E46" s="68">
        <f t="shared" si="6"/>
        <v>4</v>
      </c>
      <c r="F46" s="55">
        <f t="shared" si="3"/>
        <v>73.7</v>
      </c>
      <c r="G46" s="56">
        <f>IF(D46=D45,"",_xlfn.IFNA(VLOOKUP(D46,'인원 입력 기능(국수)'!$A$5:$D$103,4,FALSE),0))</f>
        <v>4279</v>
      </c>
      <c r="H46" s="57">
        <f t="shared" si="4"/>
        <v>1.3385846477260641E-2</v>
      </c>
      <c r="I46" s="70">
        <f>SUM($G$7:G46)</f>
        <v>86196</v>
      </c>
      <c r="J46" s="59">
        <f t="shared" si="5"/>
        <v>0.26964394086327603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69">
        <v>60</v>
      </c>
      <c r="D47" s="54">
        <f t="shared" si="2"/>
        <v>113</v>
      </c>
      <c r="E47" s="68">
        <f t="shared" si="6"/>
        <v>4</v>
      </c>
      <c r="F47" s="55">
        <f t="shared" si="3"/>
        <v>72.36</v>
      </c>
      <c r="G47" s="56">
        <f>IF(D47=D46,"",_xlfn.IFNA(VLOOKUP(D47,'인원 입력 기능(국수)'!$A$5:$D$103,4,FALSE),0))</f>
        <v>4290</v>
      </c>
      <c r="H47" s="57">
        <f t="shared" si="4"/>
        <v>1.3420257393654628E-2</v>
      </c>
      <c r="I47" s="70">
        <f>SUM($G$7:G47)</f>
        <v>90486</v>
      </c>
      <c r="J47" s="59">
        <f t="shared" si="5"/>
        <v>0.28306419825693069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69">
        <v>59</v>
      </c>
      <c r="D48" s="54">
        <f t="shared" si="2"/>
        <v>112</v>
      </c>
      <c r="E48" s="68">
        <f t="shared" si="6"/>
        <v>4</v>
      </c>
      <c r="F48" s="55">
        <f t="shared" si="3"/>
        <v>71.03</v>
      </c>
      <c r="G48" s="56">
        <f>IF(D48=D47,"",_xlfn.IFNA(VLOOKUP(D48,'인원 입력 기능(국수)'!$A$5:$D$103,4,FALSE),0))</f>
        <v>4264</v>
      </c>
      <c r="H48" s="57">
        <f t="shared" si="4"/>
        <v>1.333892250035975E-2</v>
      </c>
      <c r="I48" s="70">
        <f>SUM($G$7:G48)</f>
        <v>94750</v>
      </c>
      <c r="J48" s="59">
        <f t="shared" si="5"/>
        <v>0.29640312075729042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69">
        <v>58</v>
      </c>
      <c r="D49" s="54">
        <f t="shared" si="2"/>
        <v>111</v>
      </c>
      <c r="E49" s="68">
        <f t="shared" si="6"/>
        <v>4</v>
      </c>
      <c r="F49" s="55">
        <f t="shared" si="3"/>
        <v>69.680000000000007</v>
      </c>
      <c r="G49" s="56">
        <f>IF(D49=D48,"",_xlfn.IFNA(VLOOKUP(D49,'인원 입력 기능(국수)'!$A$5:$D$103,4,FALSE),0))</f>
        <v>4322</v>
      </c>
      <c r="H49" s="57">
        <f t="shared" si="4"/>
        <v>1.3520361877709859E-2</v>
      </c>
      <c r="I49" s="70">
        <f>SUM($G$7:G49)</f>
        <v>99072</v>
      </c>
      <c r="J49" s="59">
        <f t="shared" si="5"/>
        <v>0.3099234826350003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69">
        <v>57</v>
      </c>
      <c r="D50" s="54">
        <f t="shared" si="2"/>
        <v>110</v>
      </c>
      <c r="E50" s="68">
        <f t="shared" si="6"/>
        <v>4</v>
      </c>
      <c r="F50" s="55">
        <f t="shared" si="3"/>
        <v>68.3</v>
      </c>
      <c r="G50" s="56">
        <f>IF(D50=D49,"",_xlfn.IFNA(VLOOKUP(D50,'인원 입력 기능(국수)'!$A$5:$D$103,4,FALSE),0))</f>
        <v>4522</v>
      </c>
      <c r="H50" s="57">
        <f t="shared" si="4"/>
        <v>1.4146014903055063E-2</v>
      </c>
      <c r="I50" s="70">
        <f>SUM($G$7:G50)</f>
        <v>103594</v>
      </c>
      <c r="J50" s="59">
        <f t="shared" si="5"/>
        <v>0.32406949753805536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69">
        <v>56</v>
      </c>
      <c r="D51" s="172">
        <f t="shared" si="2"/>
        <v>109</v>
      </c>
      <c r="E51" s="174">
        <f t="shared" si="6"/>
        <v>4</v>
      </c>
      <c r="F51" s="176">
        <f t="shared" si="3"/>
        <v>66.19</v>
      </c>
      <c r="G51" s="178">
        <f>IF(D51=D50,"",_xlfn.IFNA(VLOOKUP(D51,'인원 입력 기능(국수)'!$A$5:$D$103,4,FALSE),0))</f>
        <v>8942</v>
      </c>
      <c r="H51" s="180">
        <f t="shared" si="4"/>
        <v>2.7972946763184073E-2</v>
      </c>
      <c r="I51" s="168">
        <f>SUM($G$7:G51)</f>
        <v>112536</v>
      </c>
      <c r="J51" s="170">
        <f t="shared" si="5"/>
        <v>0.35204244430123943</v>
      </c>
      <c r="K51" s="31"/>
      <c r="L51" s="20" t="str">
        <f t="shared" si="7"/>
        <v/>
      </c>
      <c r="N51" s="1"/>
    </row>
    <row r="52" spans="1:14" ht="25" customHeight="1" x14ac:dyDescent="0.45">
      <c r="A52" s="5"/>
      <c r="B52" s="30"/>
      <c r="C52" s="69">
        <v>55</v>
      </c>
      <c r="D52" s="173"/>
      <c r="E52" s="175"/>
      <c r="F52" s="177"/>
      <c r="G52" s="179"/>
      <c r="H52" s="181"/>
      <c r="I52" s="169"/>
      <c r="J52" s="171"/>
      <c r="K52" s="31"/>
      <c r="L52" s="20" t="str">
        <f t="shared" si="7"/>
        <v>경고</v>
      </c>
      <c r="N52" s="1"/>
    </row>
    <row r="53" spans="1:14" ht="25" customHeight="1" x14ac:dyDescent="0.45">
      <c r="A53" s="5"/>
      <c r="B53" s="30"/>
      <c r="C53" s="69">
        <v>54</v>
      </c>
      <c r="D53" s="54">
        <f t="shared" si="2"/>
        <v>108</v>
      </c>
      <c r="E53" s="68">
        <f t="shared" si="6"/>
        <v>4</v>
      </c>
      <c r="F53" s="55">
        <f t="shared" si="3"/>
        <v>64.09</v>
      </c>
      <c r="G53" s="56">
        <f>IF(D53=D52,"",_xlfn.IFNA(VLOOKUP(D53,'인원 입력 기능(국수)'!$A$5:$D$103,4,FALSE),0))</f>
        <v>4513</v>
      </c>
      <c r="H53" s="57">
        <f t="shared" si="4"/>
        <v>1.411786051691453E-2</v>
      </c>
      <c r="I53" s="70">
        <f>SUM($G$7:G53)</f>
        <v>117049</v>
      </c>
      <c r="J53" s="59">
        <f t="shared" si="5"/>
        <v>0.36616030481815393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69">
        <v>53</v>
      </c>
      <c r="D54" s="54">
        <f t="shared" si="2"/>
        <v>107</v>
      </c>
      <c r="E54" s="68">
        <f t="shared" si="6"/>
        <v>4</v>
      </c>
      <c r="F54" s="55">
        <f t="shared" si="3"/>
        <v>62.68</v>
      </c>
      <c r="G54" s="56">
        <f>IF(D54=D53,"",_xlfn.IFNA(VLOOKUP(D54,'인원 입력 기능(국수)'!$A$5:$D$103,4,FALSE),0))</f>
        <v>4506</v>
      </c>
      <c r="H54" s="57">
        <f t="shared" si="4"/>
        <v>1.4095962661027448E-2</v>
      </c>
      <c r="I54" s="70">
        <f>SUM($G$7:G54)</f>
        <v>121555</v>
      </c>
      <c r="J54" s="59">
        <f t="shared" si="5"/>
        <v>0.3802562674791814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69">
        <v>52</v>
      </c>
      <c r="D55" s="54">
        <f t="shared" si="2"/>
        <v>106</v>
      </c>
      <c r="E55" s="68">
        <f t="shared" si="6"/>
        <v>4</v>
      </c>
      <c r="F55" s="55">
        <f t="shared" si="3"/>
        <v>61.27</v>
      </c>
      <c r="G55" s="56">
        <f>IF(D55=D54,"",_xlfn.IFNA(VLOOKUP(D55,'인원 입력 기능(국수)'!$A$5:$D$103,4,FALSE),0))</f>
        <v>4508</v>
      </c>
      <c r="H55" s="57">
        <f t="shared" si="4"/>
        <v>1.41022191912809E-2</v>
      </c>
      <c r="I55" s="70">
        <f>SUM($G$7:G55)</f>
        <v>126063</v>
      </c>
      <c r="J55" s="59">
        <f t="shared" si="5"/>
        <v>0.3943584866704623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69">
        <v>51</v>
      </c>
      <c r="D56" s="54">
        <f t="shared" si="2"/>
        <v>105</v>
      </c>
      <c r="E56" s="68">
        <f t="shared" si="6"/>
        <v>4</v>
      </c>
      <c r="F56" s="55">
        <f t="shared" si="3"/>
        <v>59.84</v>
      </c>
      <c r="G56" s="56">
        <f>IF(D56=D55,"",_xlfn.IFNA(VLOOKUP(D56,'인원 입력 기능(국수)'!$A$5:$D$103,4,FALSE),0))</f>
        <v>4599</v>
      </c>
      <c r="H56" s="57">
        <f t="shared" si="4"/>
        <v>1.4386891317812968E-2</v>
      </c>
      <c r="I56" s="70">
        <f>SUM($G$7:G56)</f>
        <v>130662</v>
      </c>
      <c r="J56" s="59">
        <f t="shared" si="5"/>
        <v>0.40874537798827526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69">
        <v>50</v>
      </c>
      <c r="D57" s="54">
        <f t="shared" si="2"/>
        <v>104</v>
      </c>
      <c r="E57" s="68">
        <f t="shared" si="6"/>
        <v>5</v>
      </c>
      <c r="F57" s="55">
        <f t="shared" si="3"/>
        <v>58.4</v>
      </c>
      <c r="G57" s="56">
        <f>IF(D57=D56,"",_xlfn.IFNA(VLOOKUP(D57,'인원 입력 기능(국수)'!$A$5:$D$103,4,FALSE),0))</f>
        <v>4625</v>
      </c>
      <c r="H57" s="57">
        <f t="shared" si="4"/>
        <v>1.4468226211107844E-2</v>
      </c>
      <c r="I57" s="70">
        <f>SUM($G$7:G57)</f>
        <v>135287</v>
      </c>
      <c r="J57" s="59">
        <f t="shared" si="5"/>
        <v>0.42321360419938309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69">
        <v>49</v>
      </c>
      <c r="D58" s="54">
        <f t="shared" si="2"/>
        <v>103</v>
      </c>
      <c r="E58" s="68">
        <f t="shared" si="6"/>
        <v>5</v>
      </c>
      <c r="F58" s="55">
        <f t="shared" si="3"/>
        <v>56.96</v>
      </c>
      <c r="G58" s="56">
        <f>IF(D58=D57,"",_xlfn.IFNA(VLOOKUP(D58,'인원 입력 기능(국수)'!$A$5:$D$103,4,FALSE),0))</f>
        <v>4605</v>
      </c>
      <c r="H58" s="57">
        <f t="shared" si="4"/>
        <v>1.4405660908573323E-2</v>
      </c>
      <c r="I58" s="70">
        <f>SUM($G$7:G58)</f>
        <v>139892</v>
      </c>
      <c r="J58" s="59">
        <f t="shared" si="5"/>
        <v>0.43761926510795646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69">
        <v>48</v>
      </c>
      <c r="D59" s="54">
        <f t="shared" si="2"/>
        <v>102</v>
      </c>
      <c r="E59" s="68">
        <f t="shared" si="6"/>
        <v>5</v>
      </c>
      <c r="F59" s="55">
        <f t="shared" si="3"/>
        <v>55.51</v>
      </c>
      <c r="G59" s="56">
        <f>IF(D59=D58,"",_xlfn.IFNA(VLOOKUP(D59,'인원 입력 기능(국수)'!$A$5:$D$103,4,FALSE),0))</f>
        <v>4683</v>
      </c>
      <c r="H59" s="57">
        <f t="shared" si="4"/>
        <v>1.4649665588457953E-2</v>
      </c>
      <c r="I59" s="70">
        <f>SUM($G$7:G59)</f>
        <v>144575</v>
      </c>
      <c r="J59" s="59">
        <f t="shared" si="5"/>
        <v>0.45226893069641438</v>
      </c>
      <c r="K59" s="31"/>
      <c r="L59" s="20" t="str">
        <f t="shared" si="7"/>
        <v/>
      </c>
      <c r="N59" s="1"/>
    </row>
    <row r="60" spans="1:14" ht="25" customHeight="1" x14ac:dyDescent="0.45">
      <c r="A60" s="5"/>
      <c r="B60" s="30"/>
      <c r="C60" s="69">
        <v>47</v>
      </c>
      <c r="D60" s="54">
        <f t="shared" si="2"/>
        <v>101</v>
      </c>
      <c r="E60" s="68">
        <f t="shared" si="6"/>
        <v>5</v>
      </c>
      <c r="F60" s="55">
        <f t="shared" si="3"/>
        <v>54.06</v>
      </c>
      <c r="G60" s="56">
        <f>IF(D60=D59,"",_xlfn.IFNA(VLOOKUP(D60,'인원 입력 기능(국수)'!$A$5:$D$103,4,FALSE),0))</f>
        <v>4550</v>
      </c>
      <c r="H60" s="57">
        <f t="shared" si="4"/>
        <v>1.4233606326603393E-2</v>
      </c>
      <c r="I60" s="70">
        <f>SUM($G$7:G60)</f>
        <v>149125</v>
      </c>
      <c r="J60" s="59">
        <f t="shared" si="5"/>
        <v>0.46650253702301775</v>
      </c>
      <c r="K60" s="31"/>
      <c r="L60" s="20" t="str">
        <f t="shared" si="7"/>
        <v/>
      </c>
      <c r="N60" s="1"/>
    </row>
    <row r="61" spans="1:14" ht="25" customHeight="1" x14ac:dyDescent="0.45">
      <c r="A61" s="5"/>
      <c r="B61" s="30"/>
      <c r="C61" s="69">
        <v>46</v>
      </c>
      <c r="D61" s="54">
        <f t="shared" si="2"/>
        <v>100</v>
      </c>
      <c r="E61" s="68">
        <f t="shared" si="6"/>
        <v>5</v>
      </c>
      <c r="F61" s="55">
        <f t="shared" si="3"/>
        <v>52.61</v>
      </c>
      <c r="G61" s="56">
        <f>IF(D61=D60,"",_xlfn.IFNA(VLOOKUP(D61,'인원 입력 기능(국수)'!$A$5:$D$103,4,FALSE),0))</f>
        <v>4703</v>
      </c>
      <c r="H61" s="57">
        <f t="shared" si="4"/>
        <v>1.4712230890992474E-2</v>
      </c>
      <c r="I61" s="70">
        <f>SUM($G$7:G61)</f>
        <v>153828</v>
      </c>
      <c r="J61" s="59">
        <f t="shared" si="5"/>
        <v>0.48121476791401024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69">
        <v>45</v>
      </c>
      <c r="D62" s="54">
        <f t="shared" si="2"/>
        <v>99</v>
      </c>
      <c r="E62" s="68">
        <f t="shared" si="6"/>
        <v>5</v>
      </c>
      <c r="F62" s="55">
        <f t="shared" si="3"/>
        <v>51.16</v>
      </c>
      <c r="G62" s="56">
        <f>IF(D62=D61,"",_xlfn.IFNA(VLOOKUP(D62,'인원 입력 기능(국수)'!$A$5:$D$103,4,FALSE),0))</f>
        <v>4607</v>
      </c>
      <c r="H62" s="57">
        <f t="shared" si="4"/>
        <v>1.4411917438826775E-2</v>
      </c>
      <c r="I62" s="70">
        <f>SUM($G$7:G62)</f>
        <v>158435</v>
      </c>
      <c r="J62" s="59">
        <f t="shared" si="5"/>
        <v>0.49562668535283705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69">
        <v>44</v>
      </c>
      <c r="D63" s="54">
        <f t="shared" si="2"/>
        <v>98</v>
      </c>
      <c r="E63" s="68">
        <f t="shared" si="6"/>
        <v>5</v>
      </c>
      <c r="F63" s="55">
        <f t="shared" si="3"/>
        <v>49.72</v>
      </c>
      <c r="G63" s="56">
        <f>IF(D63=D62,"",_xlfn.IFNA(VLOOKUP(D63,'인원 입력 기능(국수)'!$A$5:$D$103,4,FALSE),0))</f>
        <v>4608</v>
      </c>
      <c r="H63" s="57">
        <f t="shared" si="4"/>
        <v>1.4415045703953501E-2</v>
      </c>
      <c r="I63" s="70">
        <f>SUM($G$7:G63)</f>
        <v>163043</v>
      </c>
      <c r="J63" s="59">
        <f t="shared" si="5"/>
        <v>0.51004173105679051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69">
        <v>43</v>
      </c>
      <c r="D64" s="54">
        <f t="shared" si="2"/>
        <v>97</v>
      </c>
      <c r="E64" s="68">
        <f t="shared" si="6"/>
        <v>5</v>
      </c>
      <c r="F64" s="55">
        <f t="shared" si="3"/>
        <v>48.25</v>
      </c>
      <c r="G64" s="56">
        <f>IF(D64=D63,"",_xlfn.IFNA(VLOOKUP(D64,'인원 입력 기능(국수)'!$A$5:$D$103,4,FALSE),0))</f>
        <v>4792</v>
      </c>
      <c r="H64" s="57">
        <f t="shared" si="4"/>
        <v>1.499064648727109E-2</v>
      </c>
      <c r="I64" s="70">
        <f>SUM($G$7:G64)</f>
        <v>167835</v>
      </c>
      <c r="J64" s="59">
        <f t="shared" si="5"/>
        <v>0.52503237754406162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69">
        <v>42</v>
      </c>
      <c r="D65" s="54">
        <f t="shared" si="2"/>
        <v>96</v>
      </c>
      <c r="E65" s="68">
        <f t="shared" si="6"/>
        <v>5</v>
      </c>
      <c r="F65" s="55">
        <f t="shared" si="3"/>
        <v>46.75</v>
      </c>
      <c r="G65" s="56">
        <f>IF(D65=D64,"",_xlfn.IFNA(VLOOKUP(D65,'인원 입력 기능(국수)'!$A$5:$D$103,4,FALSE),0))</f>
        <v>4756</v>
      </c>
      <c r="H65" s="57">
        <f t="shared" si="4"/>
        <v>1.4878028942708952E-2</v>
      </c>
      <c r="I65" s="70">
        <f>SUM($G$7:G65)</f>
        <v>172591</v>
      </c>
      <c r="J65" s="59">
        <f t="shared" si="5"/>
        <v>0.53991040648677058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69">
        <v>41</v>
      </c>
      <c r="D66" s="54">
        <f t="shared" si="2"/>
        <v>95</v>
      </c>
      <c r="E66" s="68">
        <f t="shared" si="6"/>
        <v>5</v>
      </c>
      <c r="F66" s="55">
        <f t="shared" si="3"/>
        <v>45.26</v>
      </c>
      <c r="G66" s="56">
        <f>IF(D66=D65,"",_xlfn.IFNA(VLOOKUP(D66,'인원 입력 기능(국수)'!$A$5:$D$103,4,FALSE),0))</f>
        <v>4769</v>
      </c>
      <c r="H66" s="57">
        <f t="shared" si="4"/>
        <v>1.4918696389356391E-2</v>
      </c>
      <c r="I66" s="70">
        <f>SUM($G$7:G66)</f>
        <v>177360</v>
      </c>
      <c r="J66" s="59">
        <f t="shared" si="5"/>
        <v>0.55482910287612697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69">
        <v>40</v>
      </c>
      <c r="D67" s="54">
        <f t="shared" si="2"/>
        <v>94</v>
      </c>
      <c r="E67" s="68">
        <f t="shared" si="6"/>
        <v>5</v>
      </c>
      <c r="F67" s="55">
        <f t="shared" si="3"/>
        <v>43.77</v>
      </c>
      <c r="G67" s="56">
        <f>IF(D67=D66,"",_xlfn.IFNA(VLOOKUP(D67,'인원 입력 기능(국수)'!$A$5:$D$103,4,FALSE),0))</f>
        <v>4773</v>
      </c>
      <c r="H67" s="57">
        <f t="shared" si="4"/>
        <v>1.4931209449863295E-2</v>
      </c>
      <c r="I67" s="70">
        <f>SUM($G$7:G67)</f>
        <v>182133</v>
      </c>
      <c r="J67" s="59">
        <f t="shared" si="5"/>
        <v>0.56976031232599023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69">
        <v>39</v>
      </c>
      <c r="D68" s="54">
        <f t="shared" si="2"/>
        <v>93</v>
      </c>
      <c r="E68" s="68">
        <f t="shared" si="6"/>
        <v>5</v>
      </c>
      <c r="F68" s="55">
        <f t="shared" si="3"/>
        <v>42.28</v>
      </c>
      <c r="G68" s="56">
        <f>IF(D68=D67,"",_xlfn.IFNA(VLOOKUP(D68,'인원 입력 기능(국수)'!$A$5:$D$103,4,FALSE),0))</f>
        <v>4729</v>
      </c>
      <c r="H68" s="57">
        <f t="shared" si="4"/>
        <v>1.479356578428735E-2</v>
      </c>
      <c r="I68" s="70">
        <f>SUM($G$7:G68)</f>
        <v>186862</v>
      </c>
      <c r="J68" s="59">
        <f t="shared" si="5"/>
        <v>0.58455387811027759</v>
      </c>
      <c r="K68" s="31"/>
      <c r="L68" s="20" t="str">
        <f t="shared" si="7"/>
        <v/>
      </c>
      <c r="N68" s="1"/>
    </row>
    <row r="69" spans="1:14" ht="25" customHeight="1" x14ac:dyDescent="0.45">
      <c r="A69" s="5"/>
      <c r="B69" s="30"/>
      <c r="C69" s="69">
        <v>38</v>
      </c>
      <c r="D69" s="172">
        <f t="shared" si="2"/>
        <v>92</v>
      </c>
      <c r="E69" s="174">
        <f t="shared" si="6"/>
        <v>5</v>
      </c>
      <c r="F69" s="176">
        <f t="shared" si="3"/>
        <v>39.97</v>
      </c>
      <c r="G69" s="178">
        <f>IF(D69=D68,"",_xlfn.IFNA(VLOOKUP(D69,'인원 입력 기능(국수)'!$A$5:$D$103,4,FALSE),0))</f>
        <v>10065</v>
      </c>
      <c r="H69" s="180">
        <f t="shared" si="4"/>
        <v>3.1485988500497393E-2</v>
      </c>
      <c r="I69" s="168">
        <f>SUM($G$7:G69)</f>
        <v>196927</v>
      </c>
      <c r="J69" s="170">
        <f t="shared" si="5"/>
        <v>0.61603986661077503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69">
        <v>37</v>
      </c>
      <c r="D70" s="173"/>
      <c r="E70" s="175"/>
      <c r="F70" s="177"/>
      <c r="G70" s="179"/>
      <c r="H70" s="181"/>
      <c r="I70" s="169"/>
      <c r="J70" s="171"/>
      <c r="K70" s="31"/>
      <c r="L70" s="20" t="str">
        <f t="shared" si="7"/>
        <v>경고</v>
      </c>
      <c r="N70" s="1"/>
    </row>
    <row r="71" spans="1:14" ht="25" customHeight="1" x14ac:dyDescent="0.45">
      <c r="A71" s="5"/>
      <c r="B71" s="30"/>
      <c r="C71" s="69">
        <v>36</v>
      </c>
      <c r="D71" s="54">
        <f t="shared" si="2"/>
        <v>91</v>
      </c>
      <c r="E71" s="68">
        <f t="shared" ref="E71:E102" si="8">IF(ROUND(D71,0)&gt;=$Q$7,1,IF(ROUND(D71,0)&gt;=$Q$8,2,IF(ROUND(D71,0)&gt;=$Q$9,3,IF(ROUND(D71,0)&gt;=$Q$10,4,IF(ROUND(D71,0)&gt;=$Q$11,5,IF(ROUND(D71,0)&gt;=$Q$12,6,IF(ROUND(D71,0)&gt;=$Q$13,7,IF(ROUND(D71,0)&gt;=$Q$14,8,9))))))))</f>
        <v>6</v>
      </c>
      <c r="F71" s="55">
        <f t="shared" si="3"/>
        <v>37.619999999999997</v>
      </c>
      <c r="G71" s="56">
        <f>IF(D71=D70,"",_xlfn.IFNA(VLOOKUP(D71,'인원 입력 기능(국수)'!$A$5:$D$103,4,FALSE),0))</f>
        <v>4989</v>
      </c>
      <c r="H71" s="57">
        <f t="shared" si="4"/>
        <v>1.5606914717236115E-2</v>
      </c>
      <c r="I71" s="70">
        <f>SUM($G$7:G71)</f>
        <v>201916</v>
      </c>
      <c r="J71" s="59">
        <f t="shared" si="5"/>
        <v>0.63164678132801111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69">
        <v>35</v>
      </c>
      <c r="D72" s="54">
        <f t="shared" si="2"/>
        <v>90</v>
      </c>
      <c r="E72" s="68">
        <f t="shared" si="8"/>
        <v>6</v>
      </c>
      <c r="F72" s="55">
        <f t="shared" si="3"/>
        <v>36.01</v>
      </c>
      <c r="G72" s="56">
        <f>IF(D72=D71,"",_xlfn.IFNA(VLOOKUP(D72,'인원 입력 기능(국수)'!$A$5:$D$103,4,FALSE),0))</f>
        <v>5295</v>
      </c>
      <c r="H72" s="57">
        <f t="shared" si="4"/>
        <v>1.6564163846014276E-2</v>
      </c>
      <c r="I72" s="70">
        <f>SUM($G$7:G72)</f>
        <v>207211</v>
      </c>
      <c r="J72" s="59">
        <f t="shared" si="5"/>
        <v>0.64821094517402544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69">
        <v>34</v>
      </c>
      <c r="D73" s="54">
        <f t="shared" si="2"/>
        <v>89</v>
      </c>
      <c r="E73" s="68">
        <f t="shared" si="8"/>
        <v>6</v>
      </c>
      <c r="F73" s="55">
        <f t="shared" si="3"/>
        <v>34.4</v>
      </c>
      <c r="G73" s="56">
        <f>IF(D73=D72,"",_xlfn.IFNA(VLOOKUP(D73,'인원 입력 기능(국수)'!$A$5:$D$103,4,FALSE),0))</f>
        <v>4961</v>
      </c>
      <c r="H73" s="57">
        <f t="shared" si="4"/>
        <v>1.5519323293687787E-2</v>
      </c>
      <c r="I73" s="70">
        <f>SUM($G$7:G73)</f>
        <v>212172</v>
      </c>
      <c r="J73" s="59">
        <f t="shared" si="5"/>
        <v>0.66373026846771321</v>
      </c>
      <c r="K73" s="31"/>
      <c r="L73" s="20" t="str">
        <f t="shared" ref="L73:L105" si="9">IF(ABS((C73-$H$3)/$H$4*20+100-D73)&gt;0.49, "경고", "")</f>
        <v/>
      </c>
      <c r="N73" s="1"/>
    </row>
    <row r="74" spans="1:14" ht="25" customHeight="1" x14ac:dyDescent="0.45">
      <c r="A74" s="5"/>
      <c r="B74" s="30"/>
      <c r="C74" s="69">
        <v>33</v>
      </c>
      <c r="D74" s="54">
        <f t="shared" ref="D74:D105" si="10">ROUND(20*(C74-$H$3)/$H$4+100,0)</f>
        <v>88</v>
      </c>
      <c r="E74" s="68">
        <f t="shared" si="8"/>
        <v>6</v>
      </c>
      <c r="F74" s="55">
        <f t="shared" ref="F74:F105" si="11">IF(I73=0,ROUND(100*(1-(I72+I74)/2/$J$3),2),ROUND(100*(1-(I73+I74)/2/$J$3),2))</f>
        <v>31.58</v>
      </c>
      <c r="G74" s="56">
        <f>IF(D74=D73,"",_xlfn.IFNA(VLOOKUP(D74,'인원 입력 기능(국수)'!$A$5:$D$103,4,FALSE),0))</f>
        <v>13111</v>
      </c>
      <c r="H74" s="57">
        <f t="shared" ref="H74:H105" si="12">G74/$J$3</f>
        <v>4.1014684076504854E-2</v>
      </c>
      <c r="I74" s="70">
        <f>SUM($G$7:G74)</f>
        <v>225283</v>
      </c>
      <c r="J74" s="59">
        <f t="shared" ref="J74:J105" si="13">I74/$J$3</f>
        <v>0.70474495254421798</v>
      </c>
      <c r="K74" s="31"/>
      <c r="L74" s="20" t="str">
        <f t="shared" si="9"/>
        <v/>
      </c>
      <c r="N74" s="1"/>
    </row>
    <row r="75" spans="1:14" ht="25" customHeight="1" x14ac:dyDescent="0.45">
      <c r="A75" s="5"/>
      <c r="B75" s="30"/>
      <c r="C75" s="69">
        <v>32</v>
      </c>
      <c r="D75" s="54">
        <f t="shared" si="10"/>
        <v>87</v>
      </c>
      <c r="E75" s="68">
        <f t="shared" si="8"/>
        <v>6</v>
      </c>
      <c r="F75" s="55">
        <f t="shared" si="11"/>
        <v>28.73</v>
      </c>
      <c r="G75" s="56">
        <f>IF(D75=D74,"",_xlfn.IFNA(VLOOKUP(D75,'인원 입력 기능(국수)'!$A$5:$D$103,4,FALSE),0))</f>
        <v>5058</v>
      </c>
      <c r="H75" s="57">
        <f t="shared" si="12"/>
        <v>1.5822765010980212E-2</v>
      </c>
      <c r="I75" s="70">
        <f>SUM($G$7:G75)</f>
        <v>230341</v>
      </c>
      <c r="J75" s="59">
        <f t="shared" si="13"/>
        <v>0.72056771755519822</v>
      </c>
      <c r="K75" s="31"/>
      <c r="L75" s="20" t="str">
        <f t="shared" si="9"/>
        <v/>
      </c>
      <c r="N75" s="1"/>
    </row>
    <row r="76" spans="1:14" ht="25" customHeight="1" x14ac:dyDescent="0.45">
      <c r="A76" s="5"/>
      <c r="B76" s="30"/>
      <c r="C76" s="69">
        <v>31</v>
      </c>
      <c r="D76" s="54">
        <f t="shared" si="10"/>
        <v>86</v>
      </c>
      <c r="E76" s="68">
        <f t="shared" si="8"/>
        <v>6</v>
      </c>
      <c r="F76" s="55">
        <f t="shared" si="11"/>
        <v>27.09</v>
      </c>
      <c r="G76" s="56">
        <f>IF(D76=D75,"",_xlfn.IFNA(VLOOKUP(D76,'인원 입력 기능(국수)'!$A$5:$D$103,4,FALSE),0))</f>
        <v>5442</v>
      </c>
      <c r="H76" s="57">
        <f t="shared" si="12"/>
        <v>1.7024018819643001E-2</v>
      </c>
      <c r="I76" s="70">
        <f>SUM($G$7:G76)</f>
        <v>235783</v>
      </c>
      <c r="J76" s="59">
        <f t="shared" si="13"/>
        <v>0.73759173637484121</v>
      </c>
      <c r="K76" s="31"/>
      <c r="L76" s="20" t="str">
        <f t="shared" si="9"/>
        <v/>
      </c>
      <c r="N76" s="1"/>
    </row>
    <row r="77" spans="1:14" ht="25" customHeight="1" x14ac:dyDescent="0.45">
      <c r="A77" s="5"/>
      <c r="B77" s="30"/>
      <c r="C77" s="69">
        <v>30</v>
      </c>
      <c r="D77" s="54">
        <f t="shared" si="10"/>
        <v>85</v>
      </c>
      <c r="E77" s="68">
        <f t="shared" si="8"/>
        <v>6</v>
      </c>
      <c r="F77" s="55">
        <f t="shared" si="11"/>
        <v>25.2</v>
      </c>
      <c r="G77" s="56">
        <f>IF(D77=D76,"",_xlfn.IFNA(VLOOKUP(D77,'인원 입력 기능(국수)'!$A$5:$D$103,4,FALSE),0))</f>
        <v>6632</v>
      </c>
      <c r="H77" s="57">
        <f t="shared" si="12"/>
        <v>2.0746654320446967E-2</v>
      </c>
      <c r="I77" s="70">
        <f>SUM($G$7:G77)</f>
        <v>242415</v>
      </c>
      <c r="J77" s="59">
        <f t="shared" si="13"/>
        <v>0.75833839069528819</v>
      </c>
      <c r="K77" s="31"/>
      <c r="L77" s="20" t="str">
        <f t="shared" si="9"/>
        <v/>
      </c>
      <c r="N77" s="1"/>
    </row>
    <row r="78" spans="1:14" ht="25" customHeight="1" x14ac:dyDescent="0.45">
      <c r="A78" s="5"/>
      <c r="B78" s="30"/>
      <c r="C78" s="69">
        <v>29</v>
      </c>
      <c r="D78" s="54">
        <f t="shared" si="10"/>
        <v>84</v>
      </c>
      <c r="E78" s="68">
        <f t="shared" si="8"/>
        <v>6</v>
      </c>
      <c r="F78" s="55">
        <f t="shared" si="11"/>
        <v>23.37</v>
      </c>
      <c r="G78" s="56">
        <f>IF(D78=D77,"",_xlfn.IFNA(VLOOKUP(D78,'인원 입력 기능(국수)'!$A$5:$D$103,4,FALSE),0))</f>
        <v>5102</v>
      </c>
      <c r="H78" s="57">
        <f t="shared" si="12"/>
        <v>1.5960408676556157E-2</v>
      </c>
      <c r="I78" s="70">
        <f>SUM($G$7:G78)</f>
        <v>247517</v>
      </c>
      <c r="J78" s="59">
        <f t="shared" si="13"/>
        <v>0.77429879937184432</v>
      </c>
      <c r="K78" s="31"/>
      <c r="L78" s="20" t="str">
        <f t="shared" si="9"/>
        <v/>
      </c>
      <c r="N78" s="1"/>
    </row>
    <row r="79" spans="1:14" ht="25" customHeight="1" x14ac:dyDescent="0.45">
      <c r="A79" s="5"/>
      <c r="B79" s="30"/>
      <c r="C79" s="69">
        <v>28</v>
      </c>
      <c r="D79" s="54">
        <f t="shared" si="10"/>
        <v>83</v>
      </c>
      <c r="E79" s="68">
        <f t="shared" si="8"/>
        <v>7</v>
      </c>
      <c r="F79" s="55">
        <f t="shared" si="11"/>
        <v>21.85</v>
      </c>
      <c r="G79" s="56">
        <f>IF(D79=D78,"",_xlfn.IFNA(VLOOKUP(D79,'인원 입력 기능(국수)'!$A$5:$D$103,4,FALSE),0))</f>
        <v>4601</v>
      </c>
      <c r="H79" s="57">
        <f t="shared" si="12"/>
        <v>1.4393147848066419E-2</v>
      </c>
      <c r="I79" s="70">
        <f>SUM($G$7:G79)</f>
        <v>252118</v>
      </c>
      <c r="J79" s="59">
        <f t="shared" si="13"/>
        <v>0.78869194721991076</v>
      </c>
      <c r="K79" s="31"/>
      <c r="L79" s="20" t="str">
        <f t="shared" si="9"/>
        <v/>
      </c>
      <c r="N79" s="1"/>
    </row>
    <row r="80" spans="1:14" ht="25" customHeight="1" x14ac:dyDescent="0.45">
      <c r="A80" s="5"/>
      <c r="B80" s="30"/>
      <c r="C80" s="69">
        <v>27</v>
      </c>
      <c r="D80" s="54">
        <f t="shared" si="10"/>
        <v>82</v>
      </c>
      <c r="E80" s="68">
        <f t="shared" si="8"/>
        <v>7</v>
      </c>
      <c r="F80" s="55">
        <f t="shared" si="11"/>
        <v>20.41</v>
      </c>
      <c r="G80" s="56">
        <f>IF(D80=D79,"",_xlfn.IFNA(VLOOKUP(D80,'인원 입력 기능(국수)'!$A$5:$D$103,4,FALSE),0))</f>
        <v>4626</v>
      </c>
      <c r="H80" s="57">
        <f t="shared" si="12"/>
        <v>1.447135447623457E-2</v>
      </c>
      <c r="I80" s="70">
        <f>SUM($G$7:G80)</f>
        <v>256744</v>
      </c>
      <c r="J80" s="59">
        <f t="shared" si="13"/>
        <v>0.80316330169614536</v>
      </c>
      <c r="K80" s="31"/>
      <c r="L80" s="20" t="str">
        <f t="shared" si="9"/>
        <v/>
      </c>
      <c r="N80" s="1"/>
    </row>
    <row r="81" spans="1:14" ht="25" customHeight="1" x14ac:dyDescent="0.45">
      <c r="A81" s="5"/>
      <c r="B81" s="30"/>
      <c r="C81" s="69">
        <v>26</v>
      </c>
      <c r="D81" s="54">
        <f t="shared" si="10"/>
        <v>81</v>
      </c>
      <c r="E81" s="68">
        <f t="shared" si="8"/>
        <v>7</v>
      </c>
      <c r="F81" s="55">
        <f t="shared" si="11"/>
        <v>19.02</v>
      </c>
      <c r="G81" s="56">
        <f>IF(D81=D80,"",_xlfn.IFNA(VLOOKUP(D81,'인원 입력 기능(국수)'!$A$5:$D$103,4,FALSE),0))</f>
        <v>4233</v>
      </c>
      <c r="H81" s="57">
        <f t="shared" si="12"/>
        <v>1.3241946281431244E-2</v>
      </c>
      <c r="I81" s="70">
        <f>SUM($G$7:G81)</f>
        <v>260977</v>
      </c>
      <c r="J81" s="59">
        <f t="shared" si="13"/>
        <v>0.81640524797757663</v>
      </c>
      <c r="K81" s="31"/>
      <c r="L81" s="20" t="str">
        <f t="shared" si="9"/>
        <v/>
      </c>
      <c r="N81" s="1"/>
    </row>
    <row r="82" spans="1:14" ht="25" customHeight="1" x14ac:dyDescent="0.45">
      <c r="A82" s="5"/>
      <c r="B82" s="30"/>
      <c r="C82" s="69">
        <v>25</v>
      </c>
      <c r="D82" s="54">
        <f t="shared" si="10"/>
        <v>80</v>
      </c>
      <c r="E82" s="68">
        <f t="shared" si="8"/>
        <v>7</v>
      </c>
      <c r="F82" s="55">
        <f t="shared" si="11"/>
        <v>17.649999999999999</v>
      </c>
      <c r="G82" s="56">
        <f>IF(D82=D81,"",_xlfn.IFNA(VLOOKUP(D82,'인원 입력 기능(국수)'!$A$5:$D$103,4,FALSE),0))</f>
        <v>4542</v>
      </c>
      <c r="H82" s="57">
        <f t="shared" si="12"/>
        <v>1.4208580205589584E-2</v>
      </c>
      <c r="I82" s="70">
        <f>SUM($G$7:G82)</f>
        <v>265519</v>
      </c>
      <c r="J82" s="59">
        <f t="shared" si="13"/>
        <v>0.8306138281831662</v>
      </c>
      <c r="K82" s="31"/>
      <c r="L82" s="20" t="str">
        <f t="shared" si="9"/>
        <v/>
      </c>
      <c r="N82" s="1"/>
    </row>
    <row r="83" spans="1:14" ht="25" customHeight="1" x14ac:dyDescent="0.45">
      <c r="A83" s="5"/>
      <c r="B83" s="30"/>
      <c r="C83" s="69">
        <v>24</v>
      </c>
      <c r="D83" s="54">
        <f t="shared" si="10"/>
        <v>79</v>
      </c>
      <c r="E83" s="68">
        <f t="shared" si="8"/>
        <v>7</v>
      </c>
      <c r="F83" s="55">
        <f t="shared" si="11"/>
        <v>16.28</v>
      </c>
      <c r="G83" s="56">
        <f>IF(D83=D82,"",_xlfn.IFNA(VLOOKUP(D83,'인원 입력 기능(국수)'!$A$5:$D$103,4,FALSE),0))</f>
        <v>4199</v>
      </c>
      <c r="H83" s="57">
        <f t="shared" si="12"/>
        <v>1.3135585267122558E-2</v>
      </c>
      <c r="I83" s="70">
        <f>SUM($G$7:G83)</f>
        <v>269718</v>
      </c>
      <c r="J83" s="59">
        <f t="shared" si="13"/>
        <v>0.84374941345028875</v>
      </c>
      <c r="K83" s="31"/>
      <c r="L83" s="20" t="str">
        <f t="shared" si="9"/>
        <v/>
      </c>
      <c r="N83" s="1"/>
    </row>
    <row r="84" spans="1:14" ht="25" customHeight="1" x14ac:dyDescent="0.45">
      <c r="A84" s="5"/>
      <c r="B84" s="30"/>
      <c r="C84" s="69">
        <v>23</v>
      </c>
      <c r="D84" s="54">
        <f t="shared" si="10"/>
        <v>78</v>
      </c>
      <c r="E84" s="68">
        <f t="shared" si="8"/>
        <v>7</v>
      </c>
      <c r="F84" s="55">
        <f t="shared" si="11"/>
        <v>15.01</v>
      </c>
      <c r="G84" s="56">
        <f>IF(D84=D83,"",_xlfn.IFNA(VLOOKUP(D84,'인원 입력 기능(국수)'!$A$5:$D$103,4,FALSE),0))</f>
        <v>3927</v>
      </c>
      <c r="H84" s="57">
        <f t="shared" si="12"/>
        <v>1.2284697152653082E-2</v>
      </c>
      <c r="I84" s="70">
        <f>SUM($G$7:G84)</f>
        <v>273645</v>
      </c>
      <c r="J84" s="59">
        <f t="shared" si="13"/>
        <v>0.85603411060294177</v>
      </c>
      <c r="K84" s="31"/>
      <c r="L84" s="20" t="str">
        <f t="shared" si="9"/>
        <v/>
      </c>
      <c r="N84" s="1"/>
    </row>
    <row r="85" spans="1:14" ht="25" customHeight="1" x14ac:dyDescent="0.45">
      <c r="A85" s="5"/>
      <c r="B85" s="30"/>
      <c r="C85" s="69">
        <v>22</v>
      </c>
      <c r="D85" s="54">
        <f t="shared" si="10"/>
        <v>77</v>
      </c>
      <c r="E85" s="68">
        <f t="shared" si="8"/>
        <v>7</v>
      </c>
      <c r="F85" s="55">
        <f t="shared" si="11"/>
        <v>13.75</v>
      </c>
      <c r="G85" s="56">
        <f>IF(D85=D84,"",_xlfn.IFNA(VLOOKUP(D85,'인원 입력 기능(국수)'!$A$5:$D$103,4,FALSE),0))</f>
        <v>4128</v>
      </c>
      <c r="H85" s="57">
        <f t="shared" si="12"/>
        <v>1.2913478443125011E-2</v>
      </c>
      <c r="I85" s="70">
        <f>SUM($G$7:G85)</f>
        <v>277773</v>
      </c>
      <c r="J85" s="59">
        <f t="shared" si="13"/>
        <v>0.86894758904606684</v>
      </c>
      <c r="K85" s="31"/>
      <c r="L85" s="20" t="str">
        <f t="shared" si="9"/>
        <v/>
      </c>
      <c r="N85" s="1"/>
    </row>
    <row r="86" spans="1:14" ht="25" customHeight="1" x14ac:dyDescent="0.45">
      <c r="A86" s="5"/>
      <c r="B86" s="30"/>
      <c r="C86" s="69">
        <v>21</v>
      </c>
      <c r="D86" s="54">
        <f t="shared" si="10"/>
        <v>76</v>
      </c>
      <c r="E86" s="68">
        <f t="shared" si="8"/>
        <v>7</v>
      </c>
      <c r="F86" s="55">
        <f t="shared" si="11"/>
        <v>12.53</v>
      </c>
      <c r="G86" s="56">
        <f>IF(D86=D85,"",_xlfn.IFNA(VLOOKUP(D86,'인원 입력 기능(국수)'!$A$5:$D$103,4,FALSE),0))</f>
        <v>3688</v>
      </c>
      <c r="H86" s="57">
        <f t="shared" si="12"/>
        <v>1.1537041787365563E-2</v>
      </c>
      <c r="I86" s="70">
        <f>SUM($G$7:G86)</f>
        <v>281461</v>
      </c>
      <c r="J86" s="59">
        <f t="shared" si="13"/>
        <v>0.88048463083343242</v>
      </c>
      <c r="K86" s="31"/>
      <c r="L86" s="20" t="str">
        <f t="shared" si="9"/>
        <v/>
      </c>
      <c r="N86" s="1"/>
    </row>
    <row r="87" spans="1:14" ht="25" customHeight="1" x14ac:dyDescent="0.45">
      <c r="A87" s="5"/>
      <c r="B87" s="30"/>
      <c r="C87" s="69">
        <v>20</v>
      </c>
      <c r="D87" s="54">
        <f t="shared" si="10"/>
        <v>75</v>
      </c>
      <c r="E87" s="68">
        <f t="shared" si="8"/>
        <v>7</v>
      </c>
      <c r="F87" s="55">
        <f t="shared" si="11"/>
        <v>11.4</v>
      </c>
      <c r="G87" s="56">
        <f>IF(D87=D86,"",_xlfn.IFNA(VLOOKUP(D87,'인원 입력 기능(국수)'!$A$5:$D$103,4,FALSE),0))</f>
        <v>3501</v>
      </c>
      <c r="H87" s="57">
        <f t="shared" si="12"/>
        <v>1.0952056208667797E-2</v>
      </c>
      <c r="I87" s="70">
        <f>SUM($G$7:G87)</f>
        <v>284962</v>
      </c>
      <c r="J87" s="59">
        <f t="shared" si="13"/>
        <v>0.89143668704210022</v>
      </c>
      <c r="K87" s="31"/>
      <c r="L87" s="20" t="str">
        <f t="shared" si="9"/>
        <v/>
      </c>
      <c r="N87" s="1"/>
    </row>
    <row r="88" spans="1:14" ht="25" customHeight="1" x14ac:dyDescent="0.45">
      <c r="A88" s="5"/>
      <c r="B88" s="30"/>
      <c r="C88" s="69">
        <v>19</v>
      </c>
      <c r="D88" s="172">
        <f t="shared" si="10"/>
        <v>74</v>
      </c>
      <c r="E88" s="174">
        <f t="shared" si="8"/>
        <v>8</v>
      </c>
      <c r="F88" s="176">
        <f t="shared" si="11"/>
        <v>9.8800000000000008</v>
      </c>
      <c r="G88" s="178">
        <f>IF(D88=D87,"",_xlfn.IFNA(VLOOKUP(D88,'인원 입력 기능(국수)'!$A$5:$D$103,4,FALSE),0))</f>
        <v>6235</v>
      </c>
      <c r="H88" s="180">
        <f t="shared" si="12"/>
        <v>1.9504733065136736E-2</v>
      </c>
      <c r="I88" s="168">
        <f>SUM($G$7:G88)</f>
        <v>291197</v>
      </c>
      <c r="J88" s="170">
        <f t="shared" si="13"/>
        <v>0.91094142010723689</v>
      </c>
      <c r="K88" s="31"/>
      <c r="L88" s="20" t="str">
        <f t="shared" si="9"/>
        <v/>
      </c>
      <c r="N88" s="1"/>
    </row>
    <row r="89" spans="1:14" ht="25" customHeight="1" x14ac:dyDescent="0.45">
      <c r="A89" s="5"/>
      <c r="B89" s="30"/>
      <c r="C89" s="69">
        <v>18</v>
      </c>
      <c r="D89" s="173"/>
      <c r="E89" s="175"/>
      <c r="F89" s="177"/>
      <c r="G89" s="179"/>
      <c r="H89" s="181"/>
      <c r="I89" s="169"/>
      <c r="J89" s="171"/>
      <c r="K89" s="31"/>
      <c r="L89" s="20" t="str">
        <f t="shared" si="9"/>
        <v>경고</v>
      </c>
      <c r="N89" s="1"/>
    </row>
    <row r="90" spans="1:14" ht="25" customHeight="1" x14ac:dyDescent="0.45">
      <c r="A90" s="5"/>
      <c r="B90" s="30"/>
      <c r="C90" s="69">
        <v>17</v>
      </c>
      <c r="D90" s="54">
        <f t="shared" si="10"/>
        <v>73</v>
      </c>
      <c r="E90" s="68">
        <f t="shared" si="8"/>
        <v>8</v>
      </c>
      <c r="F90" s="55">
        <f t="shared" si="11"/>
        <v>8.5</v>
      </c>
      <c r="G90" s="56">
        <f>IF(D90=D89,"",_xlfn.IFNA(VLOOKUP(D90,'인원 입력 기능(국수)'!$A$5:$D$103,4,FALSE),0))</f>
        <v>2614</v>
      </c>
      <c r="H90" s="57">
        <f t="shared" si="12"/>
        <v>8.1772850412618163E-3</v>
      </c>
      <c r="I90" s="70">
        <f>SUM($G$7:G90)</f>
        <v>293811</v>
      </c>
      <c r="J90" s="59">
        <f t="shared" si="13"/>
        <v>0.91911870514849869</v>
      </c>
      <c r="K90" s="31"/>
      <c r="L90" s="20" t="str">
        <f t="shared" si="9"/>
        <v/>
      </c>
      <c r="N90" s="1"/>
    </row>
    <row r="91" spans="1:14" ht="25" customHeight="1" x14ac:dyDescent="0.45">
      <c r="A91" s="5"/>
      <c r="B91" s="30"/>
      <c r="C91" s="69">
        <v>16</v>
      </c>
      <c r="D91" s="54">
        <f t="shared" si="10"/>
        <v>72</v>
      </c>
      <c r="E91" s="68">
        <f t="shared" si="8"/>
        <v>8</v>
      </c>
      <c r="F91" s="55">
        <f t="shared" si="11"/>
        <v>7.66</v>
      </c>
      <c r="G91" s="56">
        <f>IF(D91=D90,"",_xlfn.IFNA(VLOOKUP(D91,'인원 입력 기능(국수)'!$A$5:$D$103,4,FALSE),0))</f>
        <v>2750</v>
      </c>
      <c r="H91" s="57">
        <f t="shared" si="12"/>
        <v>8.6027290984965563E-3</v>
      </c>
      <c r="I91" s="70">
        <f>SUM($G$7:G91)</f>
        <v>296561</v>
      </c>
      <c r="J91" s="59">
        <f t="shared" si="13"/>
        <v>0.92772143424699527</v>
      </c>
      <c r="K91" s="31"/>
      <c r="L91" s="20" t="str">
        <f t="shared" si="9"/>
        <v/>
      </c>
      <c r="N91" s="1"/>
    </row>
    <row r="92" spans="1:14" ht="25" customHeight="1" x14ac:dyDescent="0.45">
      <c r="A92" s="5"/>
      <c r="B92" s="30"/>
      <c r="C92" s="69">
        <v>15</v>
      </c>
      <c r="D92" s="54">
        <f t="shared" si="10"/>
        <v>71</v>
      </c>
      <c r="E92" s="68">
        <f t="shared" si="8"/>
        <v>8</v>
      </c>
      <c r="F92" s="55">
        <f t="shared" si="11"/>
        <v>6.69</v>
      </c>
      <c r="G92" s="56">
        <f>IF(D92=D91,"",_xlfn.IFNA(VLOOKUP(D92,'인원 입력 기능(국수)'!$A$5:$D$103,4,FALSE),0))</f>
        <v>3448</v>
      </c>
      <c r="H92" s="57">
        <f t="shared" si="12"/>
        <v>1.0786258156951318E-2</v>
      </c>
      <c r="I92" s="70">
        <f>SUM($G$7:G92)</f>
        <v>300009</v>
      </c>
      <c r="J92" s="59">
        <f t="shared" si="13"/>
        <v>0.9385076924039466</v>
      </c>
      <c r="K92" s="31"/>
      <c r="L92" s="20" t="str">
        <f t="shared" si="9"/>
        <v/>
      </c>
      <c r="N92" s="1"/>
    </row>
    <row r="93" spans="1:14" ht="25" customHeight="1" x14ac:dyDescent="0.45">
      <c r="A93" s="5"/>
      <c r="B93" s="30"/>
      <c r="C93" s="69">
        <v>14</v>
      </c>
      <c r="D93" s="54">
        <f t="shared" si="10"/>
        <v>70</v>
      </c>
      <c r="E93" s="68">
        <f t="shared" si="8"/>
        <v>8</v>
      </c>
      <c r="F93" s="55">
        <f t="shared" si="11"/>
        <v>4.46</v>
      </c>
      <c r="G93" s="56">
        <f>IF(D93=D92,"",_xlfn.IFNA(VLOOKUP(D93,'인원 입력 기능(국수)'!$A$5:$D$103,4,FALSE),0))</f>
        <v>10802</v>
      </c>
      <c r="H93" s="57">
        <f t="shared" si="12"/>
        <v>3.3791519898894472E-2</v>
      </c>
      <c r="I93" s="70">
        <f>SUM($G$7:G93)</f>
        <v>310811</v>
      </c>
      <c r="J93" s="59">
        <f t="shared" si="13"/>
        <v>0.97229921230284111</v>
      </c>
      <c r="K93" s="31"/>
      <c r="L93" s="20" t="str">
        <f t="shared" si="9"/>
        <v/>
      </c>
      <c r="N93" s="1"/>
    </row>
    <row r="94" spans="1:14" ht="25" customHeight="1" x14ac:dyDescent="0.45">
      <c r="A94" s="5"/>
      <c r="B94" s="30"/>
      <c r="C94" s="69">
        <v>13</v>
      </c>
      <c r="D94" s="54">
        <f t="shared" si="10"/>
        <v>69</v>
      </c>
      <c r="E94" s="68">
        <f t="shared" si="8"/>
        <v>9</v>
      </c>
      <c r="F94" s="55">
        <f t="shared" si="11"/>
        <v>2.57</v>
      </c>
      <c r="G94" s="56">
        <f>IF(D94=D93,"",_xlfn.IFNA(VLOOKUP(D94,'인원 입력 기능(국수)'!$A$5:$D$103,4,FALSE),0))</f>
        <v>1273</v>
      </c>
      <c r="H94" s="57">
        <f t="shared" si="12"/>
        <v>3.9822815063222236E-3</v>
      </c>
      <c r="I94" s="70">
        <f>SUM($G$7:G94)</f>
        <v>312084</v>
      </c>
      <c r="J94" s="59">
        <f t="shared" si="13"/>
        <v>0.97628149380916329</v>
      </c>
      <c r="K94" s="31"/>
      <c r="L94" s="20" t="str">
        <f t="shared" si="9"/>
        <v/>
      </c>
      <c r="N94" s="1"/>
    </row>
    <row r="95" spans="1:14" ht="25" customHeight="1" x14ac:dyDescent="0.45">
      <c r="A95" s="5"/>
      <c r="B95" s="30"/>
      <c r="C95" s="69">
        <v>12</v>
      </c>
      <c r="D95" s="54">
        <f t="shared" si="10"/>
        <v>68</v>
      </c>
      <c r="E95" s="68">
        <f t="shared" si="8"/>
        <v>9</v>
      </c>
      <c r="F95" s="55">
        <f t="shared" si="11"/>
        <v>2.2000000000000002</v>
      </c>
      <c r="G95" s="56">
        <f>IF(D95=D94,"",_xlfn.IFNA(VLOOKUP(D95,'인원 입력 기능(국수)'!$A$5:$D$103,4,FALSE),0))</f>
        <v>1067</v>
      </c>
      <c r="H95" s="57">
        <f t="shared" si="12"/>
        <v>3.3378588902166638E-3</v>
      </c>
      <c r="I95" s="70">
        <f>SUM($G$7:G95)</f>
        <v>313151</v>
      </c>
      <c r="J95" s="59">
        <f t="shared" si="13"/>
        <v>0.97961935269937994</v>
      </c>
      <c r="K95" s="31"/>
      <c r="L95" s="20" t="str">
        <f t="shared" si="9"/>
        <v/>
      </c>
      <c r="N95" s="1"/>
    </row>
    <row r="96" spans="1:14" ht="25" customHeight="1" x14ac:dyDescent="0.45">
      <c r="A96" s="5"/>
      <c r="B96" s="30"/>
      <c r="C96" s="69">
        <v>11</v>
      </c>
      <c r="D96" s="54">
        <f t="shared" si="10"/>
        <v>67</v>
      </c>
      <c r="E96" s="68">
        <f t="shared" si="8"/>
        <v>9</v>
      </c>
      <c r="F96" s="55">
        <f t="shared" si="11"/>
        <v>1.92</v>
      </c>
      <c r="G96" s="56">
        <f>IF(D96=D95,"",_xlfn.IFNA(VLOOKUP(D96,'인원 입력 기능(국수)'!$A$5:$D$103,4,FALSE),0))</f>
        <v>755</v>
      </c>
      <c r="H96" s="57">
        <f t="shared" si="12"/>
        <v>2.3618401706781453E-3</v>
      </c>
      <c r="I96" s="70">
        <f>SUM($G$7:G96)</f>
        <v>313906</v>
      </c>
      <c r="J96" s="59">
        <f t="shared" si="13"/>
        <v>0.98198119287005814</v>
      </c>
      <c r="K96" s="31"/>
      <c r="L96" s="20" t="str">
        <f t="shared" si="9"/>
        <v/>
      </c>
      <c r="N96" s="1"/>
    </row>
    <row r="97" spans="1:14" ht="25" customHeight="1" x14ac:dyDescent="0.45">
      <c r="A97" s="5"/>
      <c r="B97" s="30"/>
      <c r="C97" s="69">
        <v>10</v>
      </c>
      <c r="D97" s="54">
        <f t="shared" si="10"/>
        <v>66</v>
      </c>
      <c r="E97" s="68">
        <f t="shared" si="8"/>
        <v>9</v>
      </c>
      <c r="F97" s="55">
        <f t="shared" si="11"/>
        <v>1.7</v>
      </c>
      <c r="G97" s="56">
        <f>IF(D97=D96,"",_xlfn.IFNA(VLOOKUP(D97,'인원 입력 기능(국수)'!$A$5:$D$103,4,FALSE),0))</f>
        <v>634</v>
      </c>
      <c r="H97" s="57">
        <f t="shared" si="12"/>
        <v>1.9833200903442969E-3</v>
      </c>
      <c r="I97" s="70">
        <f>SUM($G$7:G97)</f>
        <v>314540</v>
      </c>
      <c r="J97" s="59">
        <f t="shared" si="13"/>
        <v>0.98396451296040244</v>
      </c>
      <c r="K97" s="31"/>
      <c r="L97" s="20" t="str">
        <f t="shared" si="9"/>
        <v/>
      </c>
      <c r="N97" s="1"/>
    </row>
    <row r="98" spans="1:14" ht="25" customHeight="1" x14ac:dyDescent="0.45">
      <c r="A98" s="5"/>
      <c r="B98" s="30"/>
      <c r="C98" s="69">
        <v>9</v>
      </c>
      <c r="D98" s="54">
        <f t="shared" si="10"/>
        <v>65</v>
      </c>
      <c r="E98" s="68">
        <f t="shared" si="8"/>
        <v>9</v>
      </c>
      <c r="F98" s="55">
        <f t="shared" si="11"/>
        <v>1.55</v>
      </c>
      <c r="G98" s="56">
        <f>IF(D98=D97,"",_xlfn.IFNA(VLOOKUP(D98,'인원 입력 기능(국수)'!$A$5:$D$103,4,FALSE),0))</f>
        <v>337</v>
      </c>
      <c r="H98" s="57">
        <f t="shared" si="12"/>
        <v>1.0542253477066688E-3</v>
      </c>
      <c r="I98" s="70">
        <f>SUM($G$7:G98)</f>
        <v>314877</v>
      </c>
      <c r="J98" s="59">
        <f t="shared" si="13"/>
        <v>0.98501873830810904</v>
      </c>
      <c r="K98" s="31"/>
      <c r="L98" s="20" t="str">
        <f t="shared" si="9"/>
        <v/>
      </c>
      <c r="N98" s="1"/>
    </row>
    <row r="99" spans="1:14" ht="25" customHeight="1" x14ac:dyDescent="0.45">
      <c r="A99" s="5"/>
      <c r="B99" s="30"/>
      <c r="C99" s="69">
        <v>8</v>
      </c>
      <c r="D99" s="54">
        <f t="shared" si="10"/>
        <v>64</v>
      </c>
      <c r="E99" s="68">
        <f t="shared" si="8"/>
        <v>9</v>
      </c>
      <c r="F99" s="55">
        <f t="shared" si="11"/>
        <v>1.24</v>
      </c>
      <c r="G99" s="56">
        <f>IF(D99=D98,"",_xlfn.IFNA(VLOOKUP(D99,'인원 입력 기능(국수)'!$A$5:$D$103,4,FALSE),0))</f>
        <v>1680</v>
      </c>
      <c r="H99" s="57">
        <f t="shared" si="12"/>
        <v>5.2554854128997143E-3</v>
      </c>
      <c r="I99" s="70">
        <f>SUM($G$7:G99)</f>
        <v>316557</v>
      </c>
      <c r="J99" s="59">
        <f t="shared" si="13"/>
        <v>0.99027422372100882</v>
      </c>
      <c r="K99" s="31"/>
      <c r="L99" s="20" t="str">
        <f t="shared" si="9"/>
        <v/>
      </c>
      <c r="N99" s="1"/>
    </row>
    <row r="100" spans="1:14" ht="25" customHeight="1" x14ac:dyDescent="0.45">
      <c r="A100" s="5"/>
      <c r="B100" s="30"/>
      <c r="C100" s="69">
        <v>7</v>
      </c>
      <c r="D100" s="54">
        <f t="shared" si="10"/>
        <v>63</v>
      </c>
      <c r="E100" s="68">
        <f t="shared" si="8"/>
        <v>9</v>
      </c>
      <c r="F100" s="55">
        <f t="shared" si="11"/>
        <v>0.94</v>
      </c>
      <c r="G100" s="56">
        <f>IF(D100=D99,"",_xlfn.IFNA(VLOOKUP(D100,'인원 입력 기능(국수)'!$A$5:$D$103,4,FALSE),0))</f>
        <v>207</v>
      </c>
      <c r="H100" s="57">
        <f t="shared" si="12"/>
        <v>6.4755088123228624E-4</v>
      </c>
      <c r="I100" s="70">
        <f>SUM($G$7:G100)</f>
        <v>316764</v>
      </c>
      <c r="J100" s="59">
        <f t="shared" si="13"/>
        <v>0.99092177460224107</v>
      </c>
      <c r="K100" s="31"/>
      <c r="L100" s="20" t="str">
        <f t="shared" si="9"/>
        <v/>
      </c>
      <c r="N100" s="1"/>
    </row>
    <row r="101" spans="1:14" ht="25" customHeight="1" x14ac:dyDescent="0.45">
      <c r="A101" s="5"/>
      <c r="B101" s="30"/>
      <c r="C101" s="60">
        <v>6</v>
      </c>
      <c r="D101" s="54">
        <f t="shared" si="10"/>
        <v>62</v>
      </c>
      <c r="E101" s="54">
        <f t="shared" si="8"/>
        <v>9</v>
      </c>
      <c r="F101" s="55">
        <f t="shared" si="11"/>
        <v>0.88</v>
      </c>
      <c r="G101" s="56">
        <f>IF(D101=D100,"",_xlfn.IFNA(VLOOKUP(D101,'인원 입력 기능(국수)'!$A$5:$D$103,4,FALSE),0))</f>
        <v>203</v>
      </c>
      <c r="H101" s="57">
        <f t="shared" si="12"/>
        <v>6.3503782072538216E-4</v>
      </c>
      <c r="I101" s="67">
        <f>SUM($G$7:G101)</f>
        <v>316967</v>
      </c>
      <c r="J101" s="59">
        <f t="shared" si="13"/>
        <v>0.99155681242296645</v>
      </c>
      <c r="K101" s="31"/>
      <c r="L101" s="20" t="str">
        <f t="shared" si="9"/>
        <v/>
      </c>
      <c r="N101" s="1"/>
    </row>
    <row r="102" spans="1:14" ht="25" customHeight="1" x14ac:dyDescent="0.45">
      <c r="A102" s="5"/>
      <c r="B102" s="30"/>
      <c r="C102" s="60">
        <v>5</v>
      </c>
      <c r="D102" s="54">
        <f t="shared" si="10"/>
        <v>61</v>
      </c>
      <c r="E102" s="54">
        <f t="shared" si="8"/>
        <v>9</v>
      </c>
      <c r="F102" s="55">
        <f t="shared" si="11"/>
        <v>0.84</v>
      </c>
      <c r="G102" s="56">
        <f>IF(D102=D101,"",_xlfn.IFNA(VLOOKUP(D102,'인원 입력 기능(국수)'!$A$5:$D$103,4,FALSE),0))</f>
        <v>49</v>
      </c>
      <c r="H102" s="57">
        <f t="shared" si="12"/>
        <v>1.5328499120957498E-4</v>
      </c>
      <c r="I102" s="67">
        <f>SUM($G$7:G102)</f>
        <v>317016</v>
      </c>
      <c r="J102" s="59">
        <f t="shared" si="13"/>
        <v>0.99171009741417604</v>
      </c>
      <c r="K102" s="31"/>
      <c r="L102" s="20" t="str">
        <f t="shared" si="9"/>
        <v/>
      </c>
      <c r="N102" s="1"/>
    </row>
    <row r="103" spans="1:14" ht="25" customHeight="1" x14ac:dyDescent="0.45">
      <c r="A103" s="5"/>
      <c r="B103" s="30"/>
      <c r="C103" s="60">
        <v>4</v>
      </c>
      <c r="D103" s="54">
        <f t="shared" si="10"/>
        <v>60</v>
      </c>
      <c r="E103" s="54">
        <f t="shared" ref="E103:E105" si="14">IF(ROUND(D103,0)&gt;=$Q$7,1,IF(ROUND(D103,0)&gt;=$Q$8,2,IF(ROUND(D103,0)&gt;=$Q$9,3,IF(ROUND(D103,0)&gt;=$Q$10,4,IF(ROUND(D103,0)&gt;=$Q$11,5,IF(ROUND(D103,0)&gt;=$Q$12,6,IF(ROUND(D103,0)&gt;=$Q$13,7,IF(ROUND(D103,0)&gt;=$Q$14,8,9))))))))</f>
        <v>9</v>
      </c>
      <c r="F103" s="55">
        <f t="shared" si="11"/>
        <v>0.81</v>
      </c>
      <c r="G103" s="56">
        <f>IF(D103=D102,"",_xlfn.IFNA(VLOOKUP(D103,'인원 입력 기능(국수)'!$A$5:$D$103,4,FALSE),0))</f>
        <v>151</v>
      </c>
      <c r="H103" s="57">
        <f t="shared" si="12"/>
        <v>4.7236803413562908E-4</v>
      </c>
      <c r="I103" s="67">
        <f>SUM($G$7:G103)</f>
        <v>317167</v>
      </c>
      <c r="J103" s="59">
        <f t="shared" si="13"/>
        <v>0.99218246544831168</v>
      </c>
      <c r="K103" s="31"/>
      <c r="L103" s="20" t="str">
        <f t="shared" si="9"/>
        <v/>
      </c>
      <c r="N103" s="1"/>
    </row>
    <row r="104" spans="1:14" ht="25" customHeight="1" x14ac:dyDescent="0.45">
      <c r="A104" s="5"/>
      <c r="B104" s="30"/>
      <c r="C104" s="60">
        <v>3</v>
      </c>
      <c r="D104" s="54">
        <f t="shared" si="10"/>
        <v>59</v>
      </c>
      <c r="E104" s="54">
        <f t="shared" si="14"/>
        <v>9</v>
      </c>
      <c r="F104" s="55">
        <f t="shared" si="11"/>
        <v>0.78</v>
      </c>
      <c r="G104" s="56">
        <f>IF(D104=D103,"",_xlfn.IFNA(VLOOKUP(D104,'인원 입력 기능(국수)'!$A$5:$D$103,4,FALSE),0))</f>
        <v>9</v>
      </c>
      <c r="H104" s="57">
        <f t="shared" si="12"/>
        <v>2.8154386140534182E-5</v>
      </c>
      <c r="I104" s="67">
        <f>SUM($G$7:G104)</f>
        <v>317176</v>
      </c>
      <c r="J104" s="59">
        <f t="shared" si="13"/>
        <v>0.99221061983445225</v>
      </c>
      <c r="K104" s="31"/>
      <c r="L104" s="20" t="str">
        <f t="shared" si="9"/>
        <v/>
      </c>
      <c r="N104" s="1"/>
    </row>
    <row r="105" spans="1:14" ht="25" customHeight="1" x14ac:dyDescent="0.45">
      <c r="A105" s="5"/>
      <c r="B105" s="30"/>
      <c r="C105" s="60">
        <v>2</v>
      </c>
      <c r="D105" s="54">
        <f t="shared" si="10"/>
        <v>58</v>
      </c>
      <c r="E105" s="54">
        <f t="shared" si="14"/>
        <v>9</v>
      </c>
      <c r="F105" s="55">
        <f t="shared" si="11"/>
        <v>0.75</v>
      </c>
      <c r="G105" s="56">
        <f>IF(D105=D104,"",_xlfn.IFNA(VLOOKUP(D105,'인원 입력 기능(국수)'!$A$5:$D$103,4,FALSE),0))</f>
        <v>154</v>
      </c>
      <c r="H105" s="57">
        <f t="shared" si="12"/>
        <v>4.8175282951580712E-4</v>
      </c>
      <c r="I105" s="67">
        <f>SUM($G$7:G105)</f>
        <v>317330</v>
      </c>
      <c r="J105" s="59">
        <f t="shared" si="13"/>
        <v>0.99269237266396804</v>
      </c>
      <c r="K105" s="31"/>
      <c r="L105" s="20" t="str">
        <f t="shared" si="9"/>
        <v/>
      </c>
      <c r="N105" s="1"/>
    </row>
    <row r="106" spans="1:14" ht="25" customHeight="1" x14ac:dyDescent="0.45">
      <c r="A106" s="5"/>
      <c r="B106" s="30"/>
      <c r="C106" s="60">
        <v>1</v>
      </c>
      <c r="D106" s="61" t="s">
        <v>59</v>
      </c>
      <c r="E106" s="61"/>
      <c r="F106" s="62"/>
      <c r="G106" s="63"/>
      <c r="H106" s="64"/>
      <c r="I106" s="71"/>
      <c r="J106" s="66"/>
      <c r="K106" s="31"/>
      <c r="L106" s="20"/>
    </row>
    <row r="107" spans="1:14" ht="25" customHeight="1" thickBot="1" x14ac:dyDescent="0.5">
      <c r="A107" s="5"/>
      <c r="B107" s="30"/>
      <c r="C107" s="72">
        <v>0</v>
      </c>
      <c r="D107" s="73">
        <f>ROUND(20*(C107-$H$3)/$H$4+100,0)</f>
        <v>57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0.37</v>
      </c>
      <c r="G107" s="75">
        <f>_xlfn.IFNA(VLOOKUP(D107,'인원 입력 기능(국수)'!$A$5:$D$103,4,FALSE),0)</f>
        <v>2336</v>
      </c>
      <c r="H107" s="76">
        <f>G107/$J$3</f>
        <v>7.3076273360319832E-3</v>
      </c>
      <c r="I107" s="77">
        <f>SUM($G$7:G107)</f>
        <v>319666</v>
      </c>
      <c r="J107" s="78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L109" s="5"/>
    </row>
    <row r="110" spans="1:14" x14ac:dyDescent="0.45">
      <c r="A110" s="5"/>
      <c r="C110" s="5"/>
      <c r="D110" s="5"/>
      <c r="E110" s="5"/>
      <c r="F110" s="5"/>
      <c r="G110" s="5"/>
      <c r="H110" s="5"/>
      <c r="I110" s="5"/>
      <c r="J110" s="5"/>
      <c r="L110" s="5"/>
    </row>
  </sheetData>
  <mergeCells count="38">
    <mergeCell ref="D3:F3"/>
    <mergeCell ref="D4:F4"/>
    <mergeCell ref="G5:J5"/>
    <mergeCell ref="D14:D15"/>
    <mergeCell ref="E14:E15"/>
    <mergeCell ref="F14:F15"/>
    <mergeCell ref="G14:G15"/>
    <mergeCell ref="H14:H15"/>
    <mergeCell ref="I14:I15"/>
    <mergeCell ref="J14:J15"/>
    <mergeCell ref="I32:I33"/>
    <mergeCell ref="J32:J33"/>
    <mergeCell ref="D51:D52"/>
    <mergeCell ref="E51:E52"/>
    <mergeCell ref="F51:F52"/>
    <mergeCell ref="G51:G52"/>
    <mergeCell ref="H51:H52"/>
    <mergeCell ref="I51:I52"/>
    <mergeCell ref="J51:J52"/>
    <mergeCell ref="D32:D33"/>
    <mergeCell ref="E32:E33"/>
    <mergeCell ref="F32:F33"/>
    <mergeCell ref="G32:G33"/>
    <mergeCell ref="H32:H33"/>
    <mergeCell ref="I69:I70"/>
    <mergeCell ref="J69:J70"/>
    <mergeCell ref="D88:D89"/>
    <mergeCell ref="E88:E89"/>
    <mergeCell ref="F88:F89"/>
    <mergeCell ref="G88:G89"/>
    <mergeCell ref="H88:H89"/>
    <mergeCell ref="I88:I89"/>
    <mergeCell ref="J88:J89"/>
    <mergeCell ref="D69:D70"/>
    <mergeCell ref="E69:E70"/>
    <mergeCell ref="F69:F70"/>
    <mergeCell ref="G69:G70"/>
    <mergeCell ref="H69:H70"/>
  </mergeCells>
  <phoneticPr fontId="1" type="noConversion"/>
  <conditionalFormatting sqref="C7:C106">
    <cfRule type="expression" dxfId="84" priority="2">
      <formula>OR(AND($D7=0,OR($D6=$Q$7:$Q$14)),AND($D8&gt;0,OR($D7=$Q$7:$Q$14)))</formula>
    </cfRule>
  </conditionalFormatting>
  <conditionalFormatting sqref="D7:J14 D16:J32 D34:J51 D53:J69 D71:J88 D90:J107">
    <cfRule type="expression" dxfId="83" priority="3">
      <formula>OR($D7=$Q$7:$Q$14)</formula>
    </cfRule>
  </conditionalFormatting>
  <conditionalFormatting sqref="D7:D14 D16:D32 D34:D51 D53:D69 D71:D88 D90:D106">
    <cfRule type="expression" dxfId="82" priority="1">
      <formula>$D7=$D8</formula>
    </cfRule>
  </conditionalFormatting>
  <conditionalFormatting sqref="C107">
    <cfRule type="expression" dxfId="81" priority="7">
      <formula>OR(AND($D107=0,OR($D106=$Q$7:$Q$14)),AND($D109&gt;0,OR($D107=$Q$7:$Q$14)))</formula>
    </cfRule>
  </conditionalFormatting>
  <conditionalFormatting sqref="D107">
    <cfRule type="expression" dxfId="80" priority="9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749FE-5941-4A60-840C-DC2EFCC49008}">
  <sheetPr codeName="Sheet7"/>
  <dimension ref="A1:Q109"/>
  <sheetViews>
    <sheetView zoomScaleNormal="100" workbookViewId="0">
      <selection activeCell="B2" sqref="B2:K10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  <col min="13" max="14" width="12.4140625" customWidth="1"/>
  </cols>
  <sheetData>
    <row r="1" spans="1:17" x14ac:dyDescent="0.45">
      <c r="A1" s="5" t="s">
        <v>87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기능'!D5</f>
        <v>36.11</v>
      </c>
      <c r="I3" s="21" t="s">
        <v>123</v>
      </c>
      <c r="J3" s="81">
        <f>'통계 및 응시자 수 입력 기능'!C5</f>
        <v>315650</v>
      </c>
      <c r="K3" s="31"/>
      <c r="L3" s="5"/>
    </row>
    <row r="4" spans="1:17" ht="25" customHeight="1" thickBot="1" x14ac:dyDescent="0.5">
      <c r="A4" s="5"/>
      <c r="B4" s="30"/>
      <c r="C4" s="82" t="s">
        <v>124</v>
      </c>
      <c r="D4" s="185" t="s">
        <v>125</v>
      </c>
      <c r="E4" s="186"/>
      <c r="F4" s="187"/>
      <c r="G4" s="83" t="s">
        <v>126</v>
      </c>
      <c r="H4" s="84" t="str">
        <f>'통계 및 응시자 수 입력 기능'!E5</f>
        <v>22.65</v>
      </c>
      <c r="I4" s="37"/>
      <c r="J4" s="38"/>
      <c r="K4" s="31"/>
      <c r="L4" s="5"/>
    </row>
    <row r="5" spans="1:17" ht="25" customHeight="1" thickBot="1" x14ac:dyDescent="0.5">
      <c r="A5" s="5"/>
      <c r="B5" s="30"/>
      <c r="C5" s="19"/>
      <c r="D5" s="19"/>
      <c r="E5" s="19"/>
      <c r="F5" s="19"/>
      <c r="G5" s="188" t="s">
        <v>191</v>
      </c>
      <c r="H5" s="188"/>
      <c r="I5" s="188"/>
      <c r="J5" s="188"/>
      <c r="K5" s="31"/>
      <c r="L5" s="5"/>
    </row>
    <row r="6" spans="1:17" ht="25" customHeight="1" thickBot="1" x14ac:dyDescent="0.5">
      <c r="A6" s="5"/>
      <c r="B6" s="30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1" t="s">
        <v>118</v>
      </c>
      <c r="I6" s="51" t="s">
        <v>119</v>
      </c>
      <c r="J6" s="52" t="s">
        <v>120</v>
      </c>
      <c r="K6" s="31"/>
      <c r="L6" s="3" t="s">
        <v>86</v>
      </c>
      <c r="M6" s="3"/>
      <c r="N6" s="4"/>
    </row>
    <row r="7" spans="1:17" ht="25" customHeight="1" x14ac:dyDescent="0.45">
      <c r="A7" s="5"/>
      <c r="B7" s="30"/>
      <c r="C7" s="53">
        <v>100</v>
      </c>
      <c r="D7" s="54">
        <f>ROUND(20*(C7-$H$3)/$H$4+100,0)</f>
        <v>156</v>
      </c>
      <c r="E7" s="54">
        <f t="shared" ref="E7:E70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99.87</v>
      </c>
      <c r="G7" s="56">
        <f>_xlfn.IFNA(VLOOKUP(D7,'인원 입력 기능(국수)'!$F$5:$I$103,4,FALSE),0)</f>
        <v>837</v>
      </c>
      <c r="H7" s="57">
        <f>G7/$J$3</f>
        <v>2.651671154760019E-3</v>
      </c>
      <c r="I7" s="58">
        <f>G7</f>
        <v>837</v>
      </c>
      <c r="J7" s="59">
        <f>I7/$J$3</f>
        <v>2.651671154760019E-3</v>
      </c>
      <c r="K7" s="31"/>
      <c r="L7" s="20" t="str">
        <f>IF(ABS((C7-$H$3)/$H$4*20+100-D7)&gt;0.49, "경고", "")</f>
        <v/>
      </c>
      <c r="N7" s="1"/>
      <c r="P7" s="1">
        <v>1</v>
      </c>
      <c r="Q7" s="1">
        <f>'표점등급&amp;절평인원 입력 기능'!C13</f>
        <v>141</v>
      </c>
    </row>
    <row r="8" spans="1:17" ht="25" customHeight="1" x14ac:dyDescent="0.45">
      <c r="A8" s="5"/>
      <c r="B8" s="30"/>
      <c r="C8" s="60">
        <v>99</v>
      </c>
      <c r="D8" s="61" t="s">
        <v>59</v>
      </c>
      <c r="E8" s="61"/>
      <c r="F8" s="62"/>
      <c r="G8" s="63"/>
      <c r="H8" s="64"/>
      <c r="I8" s="65"/>
      <c r="J8" s="66"/>
      <c r="K8" s="31"/>
      <c r="L8" s="20"/>
      <c r="N8" s="1"/>
      <c r="P8" s="1">
        <v>2</v>
      </c>
      <c r="Q8" s="1">
        <f>'표점등급&amp;절평인원 입력 기능'!C14</f>
        <v>129</v>
      </c>
    </row>
    <row r="9" spans="1:17" ht="25" customHeight="1" x14ac:dyDescent="0.45">
      <c r="A9" s="5"/>
      <c r="B9" s="30"/>
      <c r="C9" s="60">
        <v>98</v>
      </c>
      <c r="D9" s="54">
        <f t="shared" ref="D9:D40" si="1">ROUND(20*(C9-$H$3)/$H$4+100,0)</f>
        <v>155</v>
      </c>
      <c r="E9" s="54">
        <f t="shared" si="0"/>
        <v>1</v>
      </c>
      <c r="F9" s="55">
        <f>IF(I8=0,ROUND(100*(1-(I7+I9)/2/$J$3),2),ROUND(100*(1-(I8+I9)/2/$J$3),2))</f>
        <v>99.73</v>
      </c>
      <c r="G9" s="56">
        <f>_xlfn.IFNA(VLOOKUP(D9,'인원 입력 기능(국수)'!$F$5:$I$103,4,FALSE),0)</f>
        <v>7</v>
      </c>
      <c r="H9" s="57">
        <f>G9/$J$3</f>
        <v>2.2176461270394425E-5</v>
      </c>
      <c r="I9" s="67">
        <f>SUM($G$7:G9)</f>
        <v>844</v>
      </c>
      <c r="J9" s="59">
        <f>I9/$J$3</f>
        <v>2.6738476160304133E-3</v>
      </c>
      <c r="K9" s="31"/>
      <c r="L9" s="20" t="str">
        <f t="shared" ref="L9:L40" si="2">IF(ABS((C9-$H$3)/$H$4*20+100-D9)&gt;0.49, "경고", "")</f>
        <v/>
      </c>
      <c r="N9" s="1"/>
      <c r="P9" s="1">
        <v>3</v>
      </c>
      <c r="Q9" s="1">
        <f>'표점등급&amp;절평인원 입력 기능'!C15</f>
        <v>116</v>
      </c>
    </row>
    <row r="10" spans="1:17" ht="25" customHeight="1" x14ac:dyDescent="0.45">
      <c r="A10" s="5"/>
      <c r="B10" s="30"/>
      <c r="C10" s="60">
        <v>97</v>
      </c>
      <c r="D10" s="54">
        <f t="shared" si="1"/>
        <v>154</v>
      </c>
      <c r="E10" s="54">
        <f t="shared" si="0"/>
        <v>1</v>
      </c>
      <c r="F10" s="55">
        <f t="shared" ref="F10:F73" si="3">IF(I9=0,ROUND(100*(1-(I8+I10)/2/$J$3),2),ROUND(100*(1-(I9+I10)/2/$J$3),2))</f>
        <v>99.7</v>
      </c>
      <c r="G10" s="56">
        <f>IF(D10=D9,"",_xlfn.IFNA(VLOOKUP(D10,'인원 입력 기능(국수)'!$F$5:$I$103,4,FALSE),0))</f>
        <v>201</v>
      </c>
      <c r="H10" s="57">
        <f t="shared" ref="H10:H73" si="4">G10/$J$3</f>
        <v>6.3678124504989704E-4</v>
      </c>
      <c r="I10" s="67">
        <f>SUM($G$7:G10)</f>
        <v>1045</v>
      </c>
      <c r="J10" s="59">
        <f t="shared" ref="J10:J73" si="5">I10/$J$3</f>
        <v>3.3106288610803103E-3</v>
      </c>
      <c r="K10" s="31"/>
      <c r="L10" s="20" t="str">
        <f t="shared" si="2"/>
        <v/>
      </c>
      <c r="N10" s="1"/>
      <c r="P10" s="1">
        <v>4</v>
      </c>
      <c r="Q10" s="1">
        <f>'표점등급&amp;절평인원 입력 기능'!C16</f>
        <v>102</v>
      </c>
    </row>
    <row r="11" spans="1:17" ht="25" customHeight="1" x14ac:dyDescent="0.45">
      <c r="A11" s="5"/>
      <c r="B11" s="30"/>
      <c r="C11" s="60">
        <v>96</v>
      </c>
      <c r="D11" s="54">
        <f t="shared" si="1"/>
        <v>153</v>
      </c>
      <c r="E11" s="54">
        <f t="shared" si="0"/>
        <v>1</v>
      </c>
      <c r="F11" s="55">
        <f t="shared" si="3"/>
        <v>99.45</v>
      </c>
      <c r="G11" s="56">
        <f>IF(D11=D10,"",_xlfn.IFNA(VLOOKUP(D11,'인원 입력 기능(국수)'!$F$5:$I$103,4,FALSE),0))</f>
        <v>1366</v>
      </c>
      <c r="H11" s="57">
        <f t="shared" si="4"/>
        <v>4.3275780136226832E-3</v>
      </c>
      <c r="I11" s="67">
        <f>SUM($G$7:G11)</f>
        <v>2411</v>
      </c>
      <c r="J11" s="59">
        <f t="shared" si="5"/>
        <v>7.6382068747029939E-3</v>
      </c>
      <c r="K11" s="31"/>
      <c r="L11" s="20" t="str">
        <f t="shared" si="2"/>
        <v/>
      </c>
      <c r="N11" s="1"/>
      <c r="P11" s="1">
        <v>5</v>
      </c>
      <c r="Q11" s="1">
        <f>'표점등급&amp;절평인원 입력 기능'!C17</f>
        <v>89</v>
      </c>
    </row>
    <row r="12" spans="1:17" ht="25" customHeight="1" x14ac:dyDescent="0.45">
      <c r="A12" s="5"/>
      <c r="B12" s="30"/>
      <c r="C12" s="60">
        <v>95</v>
      </c>
      <c r="D12" s="54">
        <f t="shared" si="1"/>
        <v>152</v>
      </c>
      <c r="E12" s="54">
        <f t="shared" si="0"/>
        <v>1</v>
      </c>
      <c r="F12" s="55">
        <f t="shared" si="3"/>
        <v>99.24</v>
      </c>
      <c r="G12" s="56">
        <f>IF(D12=D11,"",_xlfn.IFNA(VLOOKUP(D12,'인원 입력 기능(국수)'!$F$5:$I$103,4,FALSE),0))</f>
        <v>3</v>
      </c>
      <c r="H12" s="57">
        <f t="shared" si="4"/>
        <v>9.5041976873118963E-6</v>
      </c>
      <c r="I12" s="67">
        <f>SUM($G$7:G12)</f>
        <v>2414</v>
      </c>
      <c r="J12" s="59">
        <f t="shared" si="5"/>
        <v>7.6477110723903053E-3</v>
      </c>
      <c r="K12" s="31"/>
      <c r="L12" s="20" t="str">
        <f t="shared" si="2"/>
        <v/>
      </c>
      <c r="N12" s="1"/>
      <c r="P12" s="1">
        <v>6</v>
      </c>
      <c r="Q12" s="1">
        <f>'표점등급&amp;절평인원 입력 기능'!C18</f>
        <v>82</v>
      </c>
    </row>
    <row r="13" spans="1:17" ht="25" customHeight="1" x14ac:dyDescent="0.45">
      <c r="A13" s="5"/>
      <c r="B13" s="30"/>
      <c r="C13" s="60">
        <v>94</v>
      </c>
      <c r="D13" s="54">
        <f t="shared" si="1"/>
        <v>151</v>
      </c>
      <c r="E13" s="54">
        <f t="shared" si="0"/>
        <v>1</v>
      </c>
      <c r="F13" s="55">
        <f t="shared" si="3"/>
        <v>99.23</v>
      </c>
      <c r="G13" s="56">
        <f>IF(D13=D12,"",_xlfn.IFNA(VLOOKUP(D13,'인원 입력 기능(국수)'!$F$5:$I$103,4,FALSE),0))</f>
        <v>31</v>
      </c>
      <c r="H13" s="57">
        <f t="shared" si="4"/>
        <v>9.8210042768889596E-5</v>
      </c>
      <c r="I13" s="67">
        <f>SUM($G$7:G13)</f>
        <v>2445</v>
      </c>
      <c r="J13" s="59">
        <f t="shared" si="5"/>
        <v>7.7459211151591949E-3</v>
      </c>
      <c r="K13" s="31"/>
      <c r="L13" s="20" t="str">
        <f t="shared" si="2"/>
        <v/>
      </c>
      <c r="N13" s="1"/>
      <c r="P13" s="1">
        <v>7</v>
      </c>
      <c r="Q13" s="1">
        <f>'표점등급&amp;절평인원 입력 기능'!C19</f>
        <v>80</v>
      </c>
    </row>
    <row r="14" spans="1:17" ht="25" customHeight="1" x14ac:dyDescent="0.45">
      <c r="A14" s="5"/>
      <c r="B14" s="30"/>
      <c r="C14" s="60">
        <v>93</v>
      </c>
      <c r="D14" s="54">
        <f t="shared" si="1"/>
        <v>150</v>
      </c>
      <c r="E14" s="54">
        <f t="shared" si="0"/>
        <v>1</v>
      </c>
      <c r="F14" s="55">
        <f t="shared" si="3"/>
        <v>99.16</v>
      </c>
      <c r="G14" s="56">
        <f>IF(D14=D13,"",_xlfn.IFNA(VLOOKUP(D14,'인원 입력 기능(국수)'!$F$5:$I$103,4,FALSE),0))</f>
        <v>431</v>
      </c>
      <c r="H14" s="57">
        <f t="shared" si="4"/>
        <v>1.3654364010771425E-3</v>
      </c>
      <c r="I14" s="67">
        <f>SUM($G$7:G14)</f>
        <v>2876</v>
      </c>
      <c r="J14" s="59">
        <f t="shared" si="5"/>
        <v>9.1113575162363371E-3</v>
      </c>
      <c r="K14" s="31"/>
      <c r="L14" s="20" t="str">
        <f t="shared" si="2"/>
        <v/>
      </c>
      <c r="N14" s="1"/>
      <c r="P14" s="1">
        <v>8</v>
      </c>
      <c r="Q14" s="1">
        <f>'표점등급&amp;절평인원 입력 기능'!C20</f>
        <v>76</v>
      </c>
    </row>
    <row r="15" spans="1:17" ht="25" customHeight="1" x14ac:dyDescent="0.45">
      <c r="A15" s="5"/>
      <c r="B15" s="30"/>
      <c r="C15" s="60">
        <v>92</v>
      </c>
      <c r="D15" s="54">
        <f t="shared" si="1"/>
        <v>149</v>
      </c>
      <c r="E15" s="54">
        <f t="shared" si="0"/>
        <v>1</v>
      </c>
      <c r="F15" s="55">
        <f t="shared" si="3"/>
        <v>98.8</v>
      </c>
      <c r="G15" s="56">
        <f>IF(D15=D14,"",_xlfn.IFNA(VLOOKUP(D15,'인원 입력 기능(국수)'!$F$5:$I$103,4,FALSE),0))</f>
        <v>1807</v>
      </c>
      <c r="H15" s="57">
        <f t="shared" si="4"/>
        <v>5.7246950736575325E-3</v>
      </c>
      <c r="I15" s="67">
        <f>SUM($G$7:G15)</f>
        <v>4683</v>
      </c>
      <c r="J15" s="59">
        <f t="shared" si="5"/>
        <v>1.483605258989387E-2</v>
      </c>
      <c r="K15" s="31"/>
      <c r="L15" s="20" t="str">
        <f t="shared" si="2"/>
        <v/>
      </c>
      <c r="N15" s="1"/>
      <c r="P15" s="1">
        <v>9</v>
      </c>
    </row>
    <row r="16" spans="1:17" ht="25" customHeight="1" x14ac:dyDescent="0.45">
      <c r="A16" s="5"/>
      <c r="B16" s="30"/>
      <c r="C16" s="60">
        <v>91</v>
      </c>
      <c r="D16" s="172">
        <f t="shared" si="1"/>
        <v>148</v>
      </c>
      <c r="E16" s="172">
        <f t="shared" si="0"/>
        <v>1</v>
      </c>
      <c r="F16" s="176">
        <f t="shared" si="3"/>
        <v>98.5</v>
      </c>
      <c r="G16" s="178">
        <f>IF(D16=D15,"",_xlfn.IFNA(VLOOKUP(D16,'인원 입력 기능(국수)'!$F$5:$I$103,4,FALSE),0))</f>
        <v>117</v>
      </c>
      <c r="H16" s="180">
        <f t="shared" si="4"/>
        <v>3.7066370980516394E-4</v>
      </c>
      <c r="I16" s="189">
        <f>SUM($G$7:G16)</f>
        <v>4800</v>
      </c>
      <c r="J16" s="170">
        <f t="shared" si="5"/>
        <v>1.5206716299699033E-2</v>
      </c>
      <c r="K16" s="31"/>
      <c r="L16" s="20" t="str">
        <f t="shared" si="2"/>
        <v/>
      </c>
      <c r="N16" s="1"/>
    </row>
    <row r="17" spans="1:17" ht="25" customHeight="1" x14ac:dyDescent="0.45">
      <c r="A17" s="5"/>
      <c r="B17" s="30"/>
      <c r="C17" s="60">
        <v>90</v>
      </c>
      <c r="D17" s="173"/>
      <c r="E17" s="173"/>
      <c r="F17" s="177"/>
      <c r="G17" s="179"/>
      <c r="H17" s="181"/>
      <c r="I17" s="190"/>
      <c r="J17" s="171"/>
      <c r="K17" s="31"/>
      <c r="L17" s="20" t="str">
        <f t="shared" si="2"/>
        <v>경고</v>
      </c>
      <c r="N17" s="1"/>
      <c r="Q17" s="1">
        <f>Q7*H3*H4*J3*IFERROR(IF(J107=1, 1, 0), 0)</f>
        <v>36401610728.474998</v>
      </c>
    </row>
    <row r="18" spans="1:17" ht="25" customHeight="1" x14ac:dyDescent="0.45">
      <c r="A18" s="5"/>
      <c r="B18" s="30"/>
      <c r="C18" s="60">
        <v>89</v>
      </c>
      <c r="D18" s="54">
        <f t="shared" si="1"/>
        <v>147</v>
      </c>
      <c r="E18" s="54">
        <f t="shared" si="0"/>
        <v>1</v>
      </c>
      <c r="F18" s="55">
        <f t="shared" si="3"/>
        <v>98.32</v>
      </c>
      <c r="G18" s="56">
        <f>IF(D18=D17,"",_xlfn.IFNA(VLOOKUP(D18,'인원 입력 기능(국수)'!$F$5:$I$103,4,FALSE),0))</f>
        <v>1001</v>
      </c>
      <c r="H18" s="57">
        <f t="shared" si="4"/>
        <v>3.1712339616664026E-3</v>
      </c>
      <c r="I18" s="67">
        <f>SUM($G$7:G18)</f>
        <v>5801</v>
      </c>
      <c r="J18" s="59">
        <f t="shared" si="5"/>
        <v>1.8377950261365437E-2</v>
      </c>
      <c r="K18" s="31"/>
      <c r="L18" s="20" t="str">
        <f t="shared" si="2"/>
        <v/>
      </c>
      <c r="N18" s="1"/>
    </row>
    <row r="19" spans="1:17" ht="25" customHeight="1" x14ac:dyDescent="0.45">
      <c r="A19" s="5"/>
      <c r="B19" s="30"/>
      <c r="C19" s="60">
        <v>88</v>
      </c>
      <c r="D19" s="54">
        <f t="shared" si="1"/>
        <v>146</v>
      </c>
      <c r="E19" s="68">
        <f t="shared" si="0"/>
        <v>1</v>
      </c>
      <c r="F19" s="55">
        <f t="shared" si="3"/>
        <v>97.81</v>
      </c>
      <c r="G19" s="56">
        <f>IF(D19=D18,"",_xlfn.IFNA(VLOOKUP(D19,'인원 입력 기능(국수)'!$F$5:$I$103,4,FALSE),0))</f>
        <v>2247</v>
      </c>
      <c r="H19" s="57">
        <f t="shared" si="4"/>
        <v>7.1186440677966098E-3</v>
      </c>
      <c r="I19" s="67">
        <f>SUM($G$7:G19)</f>
        <v>8048</v>
      </c>
      <c r="J19" s="59">
        <f t="shared" si="5"/>
        <v>2.5496594329162046E-2</v>
      </c>
      <c r="K19" s="31"/>
      <c r="L19" s="20" t="str">
        <f t="shared" si="2"/>
        <v/>
      </c>
      <c r="N19" s="1"/>
    </row>
    <row r="20" spans="1:17" ht="25" customHeight="1" x14ac:dyDescent="0.45">
      <c r="A20" s="5"/>
      <c r="B20" s="30"/>
      <c r="C20" s="60">
        <v>87</v>
      </c>
      <c r="D20" s="54">
        <f t="shared" si="1"/>
        <v>145</v>
      </c>
      <c r="E20" s="68">
        <f t="shared" si="0"/>
        <v>1</v>
      </c>
      <c r="F20" s="55">
        <f t="shared" si="3"/>
        <v>97.45</v>
      </c>
      <c r="G20" s="56">
        <f>IF(D20=D19,"",_xlfn.IFNA(VLOOKUP(D20,'인원 입력 기능(국수)'!$F$5:$I$103,4,FALSE),0))</f>
        <v>31</v>
      </c>
      <c r="H20" s="57">
        <f t="shared" si="4"/>
        <v>9.8210042768889596E-5</v>
      </c>
      <c r="I20" s="67">
        <f>SUM($G$7:G20)</f>
        <v>8079</v>
      </c>
      <c r="J20" s="59">
        <f t="shared" si="5"/>
        <v>2.5594804371930936E-2</v>
      </c>
      <c r="K20" s="31"/>
      <c r="L20" s="20" t="str">
        <f t="shared" si="2"/>
        <v/>
      </c>
      <c r="N20" s="1"/>
    </row>
    <row r="21" spans="1:17" ht="25" customHeight="1" x14ac:dyDescent="0.45">
      <c r="A21" s="5"/>
      <c r="B21" s="30"/>
      <c r="C21" s="60">
        <v>86</v>
      </c>
      <c r="D21" s="54">
        <f t="shared" si="1"/>
        <v>144</v>
      </c>
      <c r="E21" s="68">
        <f t="shared" si="0"/>
        <v>1</v>
      </c>
      <c r="F21" s="55">
        <f t="shared" si="3"/>
        <v>97.41</v>
      </c>
      <c r="G21" s="56">
        <f>IF(D21=D20,"",_xlfn.IFNA(VLOOKUP(D21,'인원 입력 기능(국수)'!$F$5:$I$103,4,FALSE),0))</f>
        <v>219</v>
      </c>
      <c r="H21" s="57">
        <f t="shared" si="4"/>
        <v>6.9380643117376839E-4</v>
      </c>
      <c r="I21" s="67">
        <f>SUM($G$7:G21)</f>
        <v>8298</v>
      </c>
      <c r="J21" s="59">
        <f t="shared" si="5"/>
        <v>2.6288610803104705E-2</v>
      </c>
      <c r="K21" s="31"/>
      <c r="L21" s="20" t="str">
        <f t="shared" si="2"/>
        <v/>
      </c>
      <c r="N21" s="1"/>
    </row>
    <row r="22" spans="1:17" ht="25" customHeight="1" x14ac:dyDescent="0.45">
      <c r="A22" s="5"/>
      <c r="B22" s="30"/>
      <c r="C22" s="60">
        <v>85</v>
      </c>
      <c r="D22" s="54">
        <f t="shared" si="1"/>
        <v>143</v>
      </c>
      <c r="E22" s="68">
        <f t="shared" si="0"/>
        <v>1</v>
      </c>
      <c r="F22" s="55">
        <f t="shared" si="3"/>
        <v>97.11</v>
      </c>
      <c r="G22" s="56">
        <f>IF(D22=D21,"",_xlfn.IFNA(VLOOKUP(D22,'인원 입력 기능(국수)'!$F$5:$I$103,4,FALSE),0))</f>
        <v>1642</v>
      </c>
      <c r="H22" s="57">
        <f t="shared" si="4"/>
        <v>5.2019642008553774E-3</v>
      </c>
      <c r="I22" s="67">
        <f>SUM($G$7:G22)</f>
        <v>9940</v>
      </c>
      <c r="J22" s="59">
        <f t="shared" si="5"/>
        <v>3.1490575003960082E-2</v>
      </c>
      <c r="K22" s="31"/>
      <c r="L22" s="20" t="str">
        <f t="shared" si="2"/>
        <v/>
      </c>
      <c r="N22" s="1"/>
    </row>
    <row r="23" spans="1:17" ht="25" customHeight="1" x14ac:dyDescent="0.45">
      <c r="A23" s="5"/>
      <c r="B23" s="30"/>
      <c r="C23" s="60">
        <v>84</v>
      </c>
      <c r="D23" s="54">
        <f t="shared" si="1"/>
        <v>142</v>
      </c>
      <c r="E23" s="68">
        <f t="shared" si="0"/>
        <v>1</v>
      </c>
      <c r="F23" s="55">
        <f t="shared" si="3"/>
        <v>96.48</v>
      </c>
      <c r="G23" s="56">
        <f>IF(D23=D22,"",_xlfn.IFNA(VLOOKUP(D23,'인원 입력 기능(국수)'!$F$5:$I$103,4,FALSE),0))</f>
        <v>2361</v>
      </c>
      <c r="H23" s="57">
        <f t="shared" si="4"/>
        <v>7.4798035799144621E-3</v>
      </c>
      <c r="I23" s="67">
        <f>SUM($G$7:G23)</f>
        <v>12301</v>
      </c>
      <c r="J23" s="59">
        <f t="shared" si="5"/>
        <v>3.8970378583874546E-2</v>
      </c>
      <c r="K23" s="31"/>
      <c r="L23" s="20" t="str">
        <f t="shared" si="2"/>
        <v/>
      </c>
      <c r="N23" s="1"/>
    </row>
    <row r="24" spans="1:17" ht="25" customHeight="1" x14ac:dyDescent="0.45">
      <c r="A24" s="5"/>
      <c r="B24" s="30"/>
      <c r="C24" s="69">
        <v>83</v>
      </c>
      <c r="D24" s="174">
        <f t="shared" si="1"/>
        <v>141</v>
      </c>
      <c r="E24" s="174">
        <f t="shared" si="0"/>
        <v>1</v>
      </c>
      <c r="F24" s="176">
        <f t="shared" si="3"/>
        <v>96.01</v>
      </c>
      <c r="G24" s="178">
        <f>IF(D24=D23,"",_xlfn.IFNA(VLOOKUP(D24,'인원 입력 기능(국수)'!$F$5:$I$103,4,FALSE),0))</f>
        <v>556</v>
      </c>
      <c r="H24" s="180">
        <f t="shared" si="4"/>
        <v>1.7614446380484715E-3</v>
      </c>
      <c r="I24" s="168">
        <f>SUM($G$7:G24)</f>
        <v>12857</v>
      </c>
      <c r="J24" s="170">
        <f t="shared" si="5"/>
        <v>4.0731823221923015E-2</v>
      </c>
      <c r="K24" s="31"/>
      <c r="L24" s="20" t="str">
        <f t="shared" si="2"/>
        <v/>
      </c>
      <c r="N24" s="1"/>
    </row>
    <row r="25" spans="1:17" ht="25" customHeight="1" x14ac:dyDescent="0.45">
      <c r="A25" s="5"/>
      <c r="B25" s="30"/>
      <c r="C25" s="69">
        <v>82</v>
      </c>
      <c r="D25" s="175"/>
      <c r="E25" s="175"/>
      <c r="F25" s="177"/>
      <c r="G25" s="179"/>
      <c r="H25" s="181"/>
      <c r="I25" s="169"/>
      <c r="J25" s="171"/>
      <c r="K25" s="31"/>
      <c r="L25" s="20" t="str">
        <f t="shared" si="2"/>
        <v>경고</v>
      </c>
      <c r="N25" s="1"/>
    </row>
    <row r="26" spans="1:17" ht="25" customHeight="1" x14ac:dyDescent="0.45">
      <c r="A26" s="5"/>
      <c r="B26" s="30"/>
      <c r="C26" s="69">
        <v>81</v>
      </c>
      <c r="D26" s="68">
        <f t="shared" si="1"/>
        <v>140</v>
      </c>
      <c r="E26" s="68">
        <f t="shared" si="0"/>
        <v>2</v>
      </c>
      <c r="F26" s="55">
        <f t="shared" si="3"/>
        <v>95.56</v>
      </c>
      <c r="G26" s="56">
        <f>IF(D26=D25,"",_xlfn.IFNA(VLOOKUP(D26,'인원 입력 기능(국수)'!$F$5:$I$103,4,FALSE),0))</f>
        <v>2334</v>
      </c>
      <c r="H26" s="57">
        <f t="shared" si="4"/>
        <v>7.3942658007286549E-3</v>
      </c>
      <c r="I26" s="70">
        <f>SUM($G$7:G26)</f>
        <v>15191</v>
      </c>
      <c r="J26" s="59">
        <f t="shared" si="5"/>
        <v>4.8126089022651669E-2</v>
      </c>
      <c r="K26" s="31"/>
      <c r="L26" s="20" t="str">
        <f t="shared" si="2"/>
        <v/>
      </c>
      <c r="N26" s="1"/>
    </row>
    <row r="27" spans="1:17" ht="25" customHeight="1" x14ac:dyDescent="0.45">
      <c r="A27" s="5"/>
      <c r="B27" s="30"/>
      <c r="C27" s="69">
        <v>80</v>
      </c>
      <c r="D27" s="68">
        <f t="shared" si="1"/>
        <v>139</v>
      </c>
      <c r="E27" s="68">
        <f t="shared" si="0"/>
        <v>2</v>
      </c>
      <c r="F27" s="55">
        <f t="shared" si="3"/>
        <v>94.81</v>
      </c>
      <c r="G27" s="56">
        <f>IF(D27=D26,"",_xlfn.IFNA(VLOOKUP(D27,'인원 입력 기능(국수)'!$F$5:$I$103,4,FALSE),0))</f>
        <v>2375</v>
      </c>
      <c r="H27" s="57">
        <f t="shared" si="4"/>
        <v>7.5241565024552507E-3</v>
      </c>
      <c r="I27" s="70">
        <f>SUM($G$7:G27)</f>
        <v>17566</v>
      </c>
      <c r="J27" s="59">
        <f t="shared" si="5"/>
        <v>5.5650245525106924E-2</v>
      </c>
      <c r="K27" s="31"/>
      <c r="L27" s="20" t="str">
        <f t="shared" si="2"/>
        <v/>
      </c>
      <c r="N27" s="1"/>
    </row>
    <row r="28" spans="1:17" ht="25" customHeight="1" x14ac:dyDescent="0.45">
      <c r="A28" s="5"/>
      <c r="B28" s="30"/>
      <c r="C28" s="69">
        <v>79</v>
      </c>
      <c r="D28" s="68">
        <f t="shared" si="1"/>
        <v>138</v>
      </c>
      <c r="E28" s="68">
        <f t="shared" si="0"/>
        <v>2</v>
      </c>
      <c r="F28" s="55">
        <f t="shared" si="3"/>
        <v>94.41</v>
      </c>
      <c r="G28" s="56">
        <f>IF(D28=D27,"",_xlfn.IFNA(VLOOKUP(D28,'인원 입력 기능(국수)'!$F$5:$I$103,4,FALSE),0))</f>
        <v>166</v>
      </c>
      <c r="H28" s="57">
        <f t="shared" si="4"/>
        <v>5.2589893869792496E-4</v>
      </c>
      <c r="I28" s="70">
        <f>SUM($G$7:G28)</f>
        <v>17732</v>
      </c>
      <c r="J28" s="59">
        <f t="shared" si="5"/>
        <v>5.6176144463804846E-2</v>
      </c>
      <c r="K28" s="31"/>
      <c r="L28" s="20" t="str">
        <f t="shared" si="2"/>
        <v/>
      </c>
      <c r="N28" s="1"/>
    </row>
    <row r="29" spans="1:17" ht="25" customHeight="1" x14ac:dyDescent="0.45">
      <c r="A29" s="5"/>
      <c r="B29" s="30"/>
      <c r="C29" s="69">
        <v>78</v>
      </c>
      <c r="D29" s="68">
        <f t="shared" si="1"/>
        <v>137</v>
      </c>
      <c r="E29" s="68">
        <f t="shared" si="0"/>
        <v>2</v>
      </c>
      <c r="F29" s="55">
        <f t="shared" si="3"/>
        <v>94.24</v>
      </c>
      <c r="G29" s="56">
        <f>IF(D29=D28,"",_xlfn.IFNA(VLOOKUP(D29,'인원 입력 기능(국수)'!$F$5:$I$103,4,FALSE),0))</f>
        <v>875</v>
      </c>
      <c r="H29" s="57">
        <f t="shared" si="4"/>
        <v>2.772057658799303E-3</v>
      </c>
      <c r="I29" s="70">
        <f>SUM($G$7:G29)</f>
        <v>18607</v>
      </c>
      <c r="J29" s="59">
        <f t="shared" si="5"/>
        <v>5.8948202122604147E-2</v>
      </c>
      <c r="K29" s="31"/>
      <c r="L29" s="20" t="str">
        <f t="shared" si="2"/>
        <v/>
      </c>
      <c r="N29" s="1"/>
    </row>
    <row r="30" spans="1:17" ht="25" customHeight="1" x14ac:dyDescent="0.45">
      <c r="A30" s="5"/>
      <c r="B30" s="30"/>
      <c r="C30" s="69">
        <v>77</v>
      </c>
      <c r="D30" s="68">
        <f t="shared" si="1"/>
        <v>136</v>
      </c>
      <c r="E30" s="68">
        <f t="shared" si="0"/>
        <v>2</v>
      </c>
      <c r="F30" s="55">
        <f t="shared" si="3"/>
        <v>93.64</v>
      </c>
      <c r="G30" s="56">
        <f>IF(D30=D29,"",_xlfn.IFNA(VLOOKUP(D30,'인원 입력 기능(국수)'!$F$5:$I$103,4,FALSE),0))</f>
        <v>2958</v>
      </c>
      <c r="H30" s="57">
        <f t="shared" si="4"/>
        <v>9.3711389196895287E-3</v>
      </c>
      <c r="I30" s="70">
        <f>SUM($G$7:G30)</f>
        <v>21565</v>
      </c>
      <c r="J30" s="59">
        <f t="shared" si="5"/>
        <v>6.8319341042293674E-2</v>
      </c>
      <c r="K30" s="31"/>
      <c r="L30" s="20" t="str">
        <f t="shared" si="2"/>
        <v/>
      </c>
      <c r="N30" s="1"/>
    </row>
    <row r="31" spans="1:17" ht="25" customHeight="1" x14ac:dyDescent="0.45">
      <c r="A31" s="5"/>
      <c r="B31" s="30"/>
      <c r="C31" s="69">
        <v>76</v>
      </c>
      <c r="D31" s="68">
        <f t="shared" si="1"/>
        <v>135</v>
      </c>
      <c r="E31" s="68">
        <f t="shared" si="0"/>
        <v>2</v>
      </c>
      <c r="F31" s="55">
        <f t="shared" si="3"/>
        <v>92.81</v>
      </c>
      <c r="G31" s="56">
        <f>IF(D31=D30,"",_xlfn.IFNA(VLOOKUP(D31,'인원 입력 기능(국수)'!$F$5:$I$103,4,FALSE),0))</f>
        <v>2276</v>
      </c>
      <c r="H31" s="57">
        <f t="shared" si="4"/>
        <v>7.2105179787739582E-3</v>
      </c>
      <c r="I31" s="70">
        <f>SUM($G$7:G31)</f>
        <v>23841</v>
      </c>
      <c r="J31" s="59">
        <f t="shared" si="5"/>
        <v>7.5529859021067638E-2</v>
      </c>
      <c r="K31" s="31"/>
      <c r="L31" s="20" t="str">
        <f t="shared" si="2"/>
        <v/>
      </c>
      <c r="N31" s="1"/>
    </row>
    <row r="32" spans="1:17" ht="25" customHeight="1" x14ac:dyDescent="0.45">
      <c r="A32" s="5"/>
      <c r="B32" s="30"/>
      <c r="C32" s="69">
        <v>75</v>
      </c>
      <c r="D32" s="68">
        <f t="shared" si="1"/>
        <v>134</v>
      </c>
      <c r="E32" s="68">
        <f t="shared" si="0"/>
        <v>2</v>
      </c>
      <c r="F32" s="55">
        <f t="shared" si="3"/>
        <v>92.4</v>
      </c>
      <c r="G32" s="56">
        <f>IF(D32=D31,"",_xlfn.IFNA(VLOOKUP(D32,'인원 입력 기능(국수)'!$F$5:$I$103,4,FALSE),0))</f>
        <v>291</v>
      </c>
      <c r="H32" s="57">
        <f t="shared" si="4"/>
        <v>9.219071756692539E-4</v>
      </c>
      <c r="I32" s="70">
        <f>SUM($G$7:G32)</f>
        <v>24132</v>
      </c>
      <c r="J32" s="59">
        <f t="shared" si="5"/>
        <v>7.6451766196736895E-2</v>
      </c>
      <c r="K32" s="31"/>
      <c r="L32" s="20" t="str">
        <f t="shared" si="2"/>
        <v/>
      </c>
      <c r="N32" s="1"/>
    </row>
    <row r="33" spans="1:14" ht="25" customHeight="1" x14ac:dyDescent="0.45">
      <c r="A33" s="5"/>
      <c r="B33" s="30"/>
      <c r="C33" s="69">
        <v>74</v>
      </c>
      <c r="D33" s="174">
        <f t="shared" si="1"/>
        <v>133</v>
      </c>
      <c r="E33" s="174">
        <f t="shared" si="0"/>
        <v>2</v>
      </c>
      <c r="F33" s="176">
        <f t="shared" si="3"/>
        <v>91.6</v>
      </c>
      <c r="G33" s="178">
        <f>IF(D33=D32,"",_xlfn.IFNA(VLOOKUP(D33,'인원 입력 기능(국수)'!$F$5:$I$103,4,FALSE),0))</f>
        <v>4790</v>
      </c>
      <c r="H33" s="180">
        <f t="shared" si="4"/>
        <v>1.5175035640741328E-2</v>
      </c>
      <c r="I33" s="168">
        <f>SUM($G$7:G33)</f>
        <v>28922</v>
      </c>
      <c r="J33" s="170">
        <f t="shared" si="5"/>
        <v>9.1626801837478219E-2</v>
      </c>
      <c r="K33" s="31"/>
      <c r="L33" s="20" t="str">
        <f t="shared" si="2"/>
        <v/>
      </c>
      <c r="N33" s="1"/>
    </row>
    <row r="34" spans="1:14" ht="25" customHeight="1" x14ac:dyDescent="0.45">
      <c r="A34" s="5"/>
      <c r="B34" s="30"/>
      <c r="C34" s="69">
        <v>73</v>
      </c>
      <c r="D34" s="175"/>
      <c r="E34" s="175"/>
      <c r="F34" s="177"/>
      <c r="G34" s="179"/>
      <c r="H34" s="181"/>
      <c r="I34" s="169"/>
      <c r="J34" s="171"/>
      <c r="K34" s="31"/>
      <c r="L34" s="20" t="str">
        <f t="shared" si="2"/>
        <v>경고</v>
      </c>
      <c r="N34" s="1"/>
    </row>
    <row r="35" spans="1:14" ht="25" customHeight="1" x14ac:dyDescent="0.45">
      <c r="A35" s="5"/>
      <c r="B35" s="30"/>
      <c r="C35" s="69">
        <v>72</v>
      </c>
      <c r="D35" s="68">
        <f t="shared" si="1"/>
        <v>132</v>
      </c>
      <c r="E35" s="68">
        <f t="shared" si="0"/>
        <v>2</v>
      </c>
      <c r="F35" s="55">
        <f t="shared" si="3"/>
        <v>90.55</v>
      </c>
      <c r="G35" s="56">
        <f>IF(D35=D34,"",_xlfn.IFNA(VLOOKUP(D35,'인원 입력 기능(국수)'!$F$5:$I$103,4,FALSE),0))</f>
        <v>1837</v>
      </c>
      <c r="H35" s="57">
        <f t="shared" si="4"/>
        <v>5.819737050530651E-3</v>
      </c>
      <c r="I35" s="70">
        <f>SUM($G$7:G35)</f>
        <v>30759</v>
      </c>
      <c r="J35" s="59">
        <f t="shared" si="5"/>
        <v>9.7446538888008874E-2</v>
      </c>
      <c r="K35" s="31"/>
      <c r="L35" s="20" t="str">
        <f t="shared" si="2"/>
        <v/>
      </c>
      <c r="N35" s="1"/>
    </row>
    <row r="36" spans="1:14" ht="25" customHeight="1" x14ac:dyDescent="0.45">
      <c r="A36" s="5"/>
      <c r="B36" s="30"/>
      <c r="C36" s="69">
        <v>71</v>
      </c>
      <c r="D36" s="68">
        <f t="shared" si="1"/>
        <v>131</v>
      </c>
      <c r="E36" s="68">
        <f t="shared" si="0"/>
        <v>2</v>
      </c>
      <c r="F36" s="55">
        <f t="shared" si="3"/>
        <v>90.17</v>
      </c>
      <c r="G36" s="56">
        <f>IF(D36=D35,"",_xlfn.IFNA(VLOOKUP(D36,'인원 입력 기능(국수)'!$F$5:$I$103,4,FALSE),0))</f>
        <v>558</v>
      </c>
      <c r="H36" s="57">
        <f t="shared" si="4"/>
        <v>1.7677807698400127E-3</v>
      </c>
      <c r="I36" s="70">
        <f>SUM($G$7:G36)</f>
        <v>31317</v>
      </c>
      <c r="J36" s="59">
        <f t="shared" si="5"/>
        <v>9.9214319657848882E-2</v>
      </c>
      <c r="K36" s="31"/>
      <c r="L36" s="20" t="str">
        <f t="shared" si="2"/>
        <v/>
      </c>
      <c r="N36" s="1"/>
    </row>
    <row r="37" spans="1:14" ht="25" customHeight="1" x14ac:dyDescent="0.45">
      <c r="A37" s="5"/>
      <c r="B37" s="30"/>
      <c r="C37" s="69">
        <v>70</v>
      </c>
      <c r="D37" s="68">
        <f t="shared" si="1"/>
        <v>130</v>
      </c>
      <c r="E37" s="68">
        <f t="shared" si="0"/>
        <v>2</v>
      </c>
      <c r="F37" s="55">
        <f t="shared" si="3"/>
        <v>89.74</v>
      </c>
      <c r="G37" s="56">
        <f>IF(D37=D36,"",_xlfn.IFNA(VLOOKUP(D37,'인원 입력 기능(국수)'!$F$5:$I$103,4,FALSE),0))</f>
        <v>2137</v>
      </c>
      <c r="H37" s="57">
        <f t="shared" si="4"/>
        <v>6.7701568192618409E-3</v>
      </c>
      <c r="I37" s="70">
        <f>SUM($G$7:G37)</f>
        <v>33454</v>
      </c>
      <c r="J37" s="59">
        <f t="shared" si="5"/>
        <v>0.10598447647711072</v>
      </c>
      <c r="K37" s="31"/>
      <c r="L37" s="20" t="str">
        <f t="shared" si="2"/>
        <v/>
      </c>
      <c r="N37" s="1"/>
    </row>
    <row r="38" spans="1:14" ht="25" customHeight="1" x14ac:dyDescent="0.45">
      <c r="A38" s="5"/>
      <c r="B38" s="30"/>
      <c r="C38" s="69">
        <v>69</v>
      </c>
      <c r="D38" s="68">
        <f t="shared" si="1"/>
        <v>129</v>
      </c>
      <c r="E38" s="68">
        <f t="shared" si="0"/>
        <v>2</v>
      </c>
      <c r="F38" s="55">
        <f t="shared" si="3"/>
        <v>88.84</v>
      </c>
      <c r="G38" s="56">
        <f>IF(D38=D37,"",_xlfn.IFNA(VLOOKUP(D38,'인원 입력 기능(국수)'!$F$5:$I$103,4,FALSE),0))</f>
        <v>3546</v>
      </c>
      <c r="H38" s="57">
        <f t="shared" si="4"/>
        <v>1.1233961666402661E-2</v>
      </c>
      <c r="I38" s="70">
        <f>SUM($G$7:G38)</f>
        <v>37000</v>
      </c>
      <c r="J38" s="59">
        <f t="shared" si="5"/>
        <v>0.11721843814351339</v>
      </c>
      <c r="K38" s="31"/>
      <c r="L38" s="20" t="str">
        <f t="shared" si="2"/>
        <v/>
      </c>
      <c r="N38" s="1"/>
    </row>
    <row r="39" spans="1:14" ht="25" customHeight="1" x14ac:dyDescent="0.45">
      <c r="A39" s="5"/>
      <c r="B39" s="30"/>
      <c r="C39" s="69">
        <v>68</v>
      </c>
      <c r="D39" s="68">
        <f t="shared" si="1"/>
        <v>128</v>
      </c>
      <c r="E39" s="68">
        <f t="shared" si="0"/>
        <v>3</v>
      </c>
      <c r="F39" s="55">
        <f t="shared" si="3"/>
        <v>88.04</v>
      </c>
      <c r="G39" s="56">
        <f>IF(D39=D38,"",_xlfn.IFNA(VLOOKUP(D39,'인원 입력 기능(국수)'!$F$5:$I$103,4,FALSE),0))</f>
        <v>1521</v>
      </c>
      <c r="H39" s="57">
        <f t="shared" si="4"/>
        <v>4.8186282274671312E-3</v>
      </c>
      <c r="I39" s="70">
        <f>SUM($G$7:G39)</f>
        <v>38521</v>
      </c>
      <c r="J39" s="59">
        <f t="shared" si="5"/>
        <v>0.12203706637098051</v>
      </c>
      <c r="K39" s="31"/>
      <c r="L39" s="20" t="str">
        <f t="shared" si="2"/>
        <v/>
      </c>
      <c r="N39" s="1"/>
    </row>
    <row r="40" spans="1:14" ht="25" customHeight="1" x14ac:dyDescent="0.45">
      <c r="A40" s="5"/>
      <c r="B40" s="30"/>
      <c r="C40" s="69">
        <v>67</v>
      </c>
      <c r="D40" s="68">
        <f t="shared" si="1"/>
        <v>127</v>
      </c>
      <c r="E40" s="68">
        <f t="shared" si="0"/>
        <v>3</v>
      </c>
      <c r="F40" s="55">
        <f t="shared" si="3"/>
        <v>87.64</v>
      </c>
      <c r="G40" s="56">
        <f>IF(D40=D39,"",_xlfn.IFNA(VLOOKUP(D40,'인원 입력 기능(국수)'!$F$5:$I$103,4,FALSE),0))</f>
        <v>975</v>
      </c>
      <c r="H40" s="57">
        <f t="shared" si="4"/>
        <v>3.0888642483763661E-3</v>
      </c>
      <c r="I40" s="70">
        <f>SUM($G$7:G40)</f>
        <v>39496</v>
      </c>
      <c r="J40" s="59">
        <f t="shared" si="5"/>
        <v>0.1251259306193569</v>
      </c>
      <c r="K40" s="31"/>
      <c r="L40" s="20" t="str">
        <f t="shared" si="2"/>
        <v/>
      </c>
      <c r="N40" s="1"/>
    </row>
    <row r="41" spans="1:14" ht="25" customHeight="1" x14ac:dyDescent="0.45">
      <c r="A41" s="5"/>
      <c r="B41" s="30"/>
      <c r="C41" s="69">
        <v>66</v>
      </c>
      <c r="D41" s="174">
        <f t="shared" ref="D41:D72" si="6">ROUND(20*(C41-$H$3)/$H$4+100,0)</f>
        <v>126</v>
      </c>
      <c r="E41" s="174">
        <f t="shared" si="0"/>
        <v>3</v>
      </c>
      <c r="F41" s="176">
        <f t="shared" si="3"/>
        <v>86.54</v>
      </c>
      <c r="G41" s="178">
        <f>IF(D41=D40,"",_xlfn.IFNA(VLOOKUP(D41,'인원 입력 기능(국수)'!$F$5:$I$103,4,FALSE),0))</f>
        <v>5980</v>
      </c>
      <c r="H41" s="180">
        <f t="shared" si="4"/>
        <v>1.8945034056708381E-2</v>
      </c>
      <c r="I41" s="168">
        <f>SUM($G$7:G41)</f>
        <v>45476</v>
      </c>
      <c r="J41" s="170">
        <f t="shared" si="5"/>
        <v>0.14407096467606526</v>
      </c>
      <c r="K41" s="31"/>
      <c r="L41" s="20" t="str">
        <f t="shared" ref="L41:L72" si="7">IF(ABS((C41-$H$3)/$H$4*20+100-D41)&gt;0.49, "경고", "")</f>
        <v/>
      </c>
      <c r="N41" s="1"/>
    </row>
    <row r="42" spans="1:14" ht="25" customHeight="1" x14ac:dyDescent="0.45">
      <c r="A42" s="5"/>
      <c r="B42" s="30"/>
      <c r="C42" s="69">
        <v>65</v>
      </c>
      <c r="D42" s="175"/>
      <c r="E42" s="175"/>
      <c r="F42" s="177"/>
      <c r="G42" s="179"/>
      <c r="H42" s="181"/>
      <c r="I42" s="169"/>
      <c r="J42" s="171"/>
      <c r="K42" s="31"/>
      <c r="L42" s="20" t="str">
        <f t="shared" si="7"/>
        <v>경고</v>
      </c>
      <c r="N42" s="1"/>
    </row>
    <row r="43" spans="1:14" ht="25" customHeight="1" x14ac:dyDescent="0.45">
      <c r="A43" s="5"/>
      <c r="B43" s="30"/>
      <c r="C43" s="69">
        <v>64</v>
      </c>
      <c r="D43" s="68">
        <f t="shared" si="6"/>
        <v>125</v>
      </c>
      <c r="E43" s="68">
        <f t="shared" si="0"/>
        <v>3</v>
      </c>
      <c r="F43" s="55">
        <f t="shared" si="3"/>
        <v>85.38</v>
      </c>
      <c r="G43" s="56">
        <f>IF(D43=D42,"",_xlfn.IFNA(VLOOKUP(D43,'인원 입력 기능(국수)'!$F$5:$I$103,4,FALSE),0))</f>
        <v>1322</v>
      </c>
      <c r="H43" s="57">
        <f t="shared" si="4"/>
        <v>4.188183114208776E-3</v>
      </c>
      <c r="I43" s="70">
        <f>SUM($G$7:G43)</f>
        <v>46798</v>
      </c>
      <c r="J43" s="59">
        <f t="shared" si="5"/>
        <v>0.14825914779027405</v>
      </c>
      <c r="K43" s="31"/>
      <c r="L43" s="20" t="str">
        <f t="shared" si="7"/>
        <v/>
      </c>
      <c r="N43" s="1"/>
    </row>
    <row r="44" spans="1:14" ht="25" customHeight="1" x14ac:dyDescent="0.45">
      <c r="A44" s="5"/>
      <c r="B44" s="30"/>
      <c r="C44" s="69">
        <v>63</v>
      </c>
      <c r="D44" s="68">
        <f t="shared" si="6"/>
        <v>124</v>
      </c>
      <c r="E44" s="68">
        <f t="shared" si="0"/>
        <v>3</v>
      </c>
      <c r="F44" s="55">
        <f t="shared" si="3"/>
        <v>84.92</v>
      </c>
      <c r="G44" s="56">
        <f>IF(D44=D43,"",_xlfn.IFNA(VLOOKUP(D44,'인원 입력 기능(국수)'!$F$5:$I$103,4,FALSE),0))</f>
        <v>1593</v>
      </c>
      <c r="H44" s="57">
        <f t="shared" si="4"/>
        <v>5.0467289719626166E-3</v>
      </c>
      <c r="I44" s="70">
        <f>SUM($G$7:G44)</f>
        <v>48391</v>
      </c>
      <c r="J44" s="59">
        <f t="shared" si="5"/>
        <v>0.15330587676223664</v>
      </c>
      <c r="K44" s="31"/>
      <c r="L44" s="20" t="str">
        <f t="shared" si="7"/>
        <v/>
      </c>
      <c r="N44" s="1"/>
    </row>
    <row r="45" spans="1:14" ht="25" customHeight="1" x14ac:dyDescent="0.45">
      <c r="A45" s="5"/>
      <c r="B45" s="30"/>
      <c r="C45" s="69">
        <v>62</v>
      </c>
      <c r="D45" s="68">
        <f t="shared" si="6"/>
        <v>123</v>
      </c>
      <c r="E45" s="68">
        <f t="shared" si="0"/>
        <v>3</v>
      </c>
      <c r="F45" s="55">
        <f t="shared" si="3"/>
        <v>84.14</v>
      </c>
      <c r="G45" s="56">
        <f>IF(D45=D44,"",_xlfn.IFNA(VLOOKUP(D45,'인원 입력 기능(국수)'!$F$5:$I$103,4,FALSE),0))</f>
        <v>3315</v>
      </c>
      <c r="H45" s="57">
        <f t="shared" si="4"/>
        <v>1.0502138444479645E-2</v>
      </c>
      <c r="I45" s="70">
        <f>SUM($G$7:G45)</f>
        <v>51706</v>
      </c>
      <c r="J45" s="59">
        <f t="shared" si="5"/>
        <v>0.16380801520671631</v>
      </c>
      <c r="K45" s="31"/>
      <c r="L45" s="20" t="str">
        <f t="shared" si="7"/>
        <v/>
      </c>
      <c r="N45" s="1"/>
    </row>
    <row r="46" spans="1:14" ht="25" customHeight="1" x14ac:dyDescent="0.45">
      <c r="A46" s="5"/>
      <c r="B46" s="30"/>
      <c r="C46" s="69">
        <v>61</v>
      </c>
      <c r="D46" s="68">
        <f t="shared" si="6"/>
        <v>122</v>
      </c>
      <c r="E46" s="68">
        <f t="shared" si="0"/>
        <v>3</v>
      </c>
      <c r="F46" s="55">
        <f t="shared" si="3"/>
        <v>83.15</v>
      </c>
      <c r="G46" s="56">
        <f>IF(D46=D45,"",_xlfn.IFNA(VLOOKUP(D46,'인원 입력 기능(국수)'!$F$5:$I$103,4,FALSE),0))</f>
        <v>2940</v>
      </c>
      <c r="H46" s="57">
        <f t="shared" si="4"/>
        <v>9.3141137335656585E-3</v>
      </c>
      <c r="I46" s="70">
        <f>SUM($G$7:G46)</f>
        <v>54646</v>
      </c>
      <c r="J46" s="59">
        <f t="shared" si="5"/>
        <v>0.17312212894028195</v>
      </c>
      <c r="K46" s="31"/>
      <c r="L46" s="20" t="str">
        <f t="shared" si="7"/>
        <v/>
      </c>
      <c r="N46" s="1"/>
    </row>
    <row r="47" spans="1:14" ht="25" customHeight="1" x14ac:dyDescent="0.45">
      <c r="A47" s="5"/>
      <c r="B47" s="30"/>
      <c r="C47" s="69">
        <v>60</v>
      </c>
      <c r="D47" s="68">
        <f t="shared" si="6"/>
        <v>121</v>
      </c>
      <c r="E47" s="68">
        <f t="shared" si="0"/>
        <v>3</v>
      </c>
      <c r="F47" s="55">
        <f t="shared" si="3"/>
        <v>82.46</v>
      </c>
      <c r="G47" s="56">
        <f>IF(D47=D46,"",_xlfn.IFNA(VLOOKUP(D47,'인원 입력 기능(국수)'!$F$5:$I$103,4,FALSE),0))</f>
        <v>1431</v>
      </c>
      <c r="H47" s="57">
        <f t="shared" si="4"/>
        <v>4.5335022968477747E-3</v>
      </c>
      <c r="I47" s="70">
        <f>SUM($G$7:G47)</f>
        <v>56077</v>
      </c>
      <c r="J47" s="59">
        <f t="shared" si="5"/>
        <v>0.17765563123712974</v>
      </c>
      <c r="K47" s="31"/>
      <c r="L47" s="20" t="str">
        <f t="shared" si="7"/>
        <v/>
      </c>
      <c r="N47" s="1"/>
    </row>
    <row r="48" spans="1:14" ht="25" customHeight="1" x14ac:dyDescent="0.45">
      <c r="A48" s="5"/>
      <c r="B48" s="30"/>
      <c r="C48" s="69">
        <v>59</v>
      </c>
      <c r="D48" s="68">
        <f t="shared" si="6"/>
        <v>120</v>
      </c>
      <c r="E48" s="68">
        <f t="shared" si="0"/>
        <v>3</v>
      </c>
      <c r="F48" s="55">
        <f t="shared" si="3"/>
        <v>81.84</v>
      </c>
      <c r="G48" s="56">
        <f>IF(D48=D47,"",_xlfn.IFNA(VLOOKUP(D48,'인원 입력 기능(국수)'!$F$5:$I$103,4,FALSE),0))</f>
        <v>2489</v>
      </c>
      <c r="H48" s="57">
        <f t="shared" si="4"/>
        <v>7.885316014573103E-3</v>
      </c>
      <c r="I48" s="70">
        <f>SUM($G$7:G48)</f>
        <v>58566</v>
      </c>
      <c r="J48" s="59">
        <f t="shared" si="5"/>
        <v>0.18554094725170284</v>
      </c>
      <c r="K48" s="31"/>
      <c r="L48" s="20" t="str">
        <f t="shared" si="7"/>
        <v/>
      </c>
      <c r="N48" s="1"/>
    </row>
    <row r="49" spans="1:14" ht="25" customHeight="1" x14ac:dyDescent="0.45">
      <c r="A49" s="5"/>
      <c r="B49" s="30"/>
      <c r="C49" s="69">
        <v>58</v>
      </c>
      <c r="D49" s="68">
        <f t="shared" si="6"/>
        <v>119</v>
      </c>
      <c r="E49" s="68">
        <f t="shared" si="0"/>
        <v>3</v>
      </c>
      <c r="F49" s="55">
        <f t="shared" si="3"/>
        <v>80.87</v>
      </c>
      <c r="G49" s="56">
        <f>IF(D49=D48,"",_xlfn.IFNA(VLOOKUP(D49,'인원 입력 기능(국수)'!$F$5:$I$103,4,FALSE),0))</f>
        <v>3657</v>
      </c>
      <c r="H49" s="57">
        <f t="shared" si="4"/>
        <v>1.1585616980833201E-2</v>
      </c>
      <c r="I49" s="70">
        <f>SUM($G$7:G49)</f>
        <v>62223</v>
      </c>
      <c r="J49" s="59">
        <f t="shared" si="5"/>
        <v>0.19712656423253605</v>
      </c>
      <c r="K49" s="31"/>
      <c r="L49" s="20" t="str">
        <f t="shared" si="7"/>
        <v/>
      </c>
      <c r="N49" s="1"/>
    </row>
    <row r="50" spans="1:14" ht="25" customHeight="1" x14ac:dyDescent="0.45">
      <c r="A50" s="5"/>
      <c r="B50" s="30"/>
      <c r="C50" s="69">
        <v>57</v>
      </c>
      <c r="D50" s="174">
        <f t="shared" si="6"/>
        <v>118</v>
      </c>
      <c r="E50" s="174">
        <f t="shared" si="0"/>
        <v>3</v>
      </c>
      <c r="F50" s="176">
        <f t="shared" si="3"/>
        <v>79.62</v>
      </c>
      <c r="G50" s="178">
        <f>IF(D50=D49,"",_xlfn.IFNA(VLOOKUP(D50,'인원 입력 기능(국수)'!$F$5:$I$103,4,FALSE),0))</f>
        <v>4229</v>
      </c>
      <c r="H50" s="180">
        <f t="shared" si="4"/>
        <v>1.3397750673214004E-2</v>
      </c>
      <c r="I50" s="168">
        <f>SUM($G$7:G50)</f>
        <v>66452</v>
      </c>
      <c r="J50" s="170">
        <f t="shared" si="5"/>
        <v>0.21052431490575005</v>
      </c>
      <c r="K50" s="31"/>
      <c r="L50" s="20" t="str">
        <f t="shared" si="7"/>
        <v/>
      </c>
      <c r="N50" s="1"/>
    </row>
    <row r="51" spans="1:14" ht="25" customHeight="1" x14ac:dyDescent="0.45">
      <c r="A51" s="5"/>
      <c r="B51" s="30"/>
      <c r="C51" s="69">
        <v>56</v>
      </c>
      <c r="D51" s="175"/>
      <c r="E51" s="175"/>
      <c r="F51" s="177"/>
      <c r="G51" s="179"/>
      <c r="H51" s="181"/>
      <c r="I51" s="169"/>
      <c r="J51" s="171"/>
      <c r="K51" s="31"/>
      <c r="L51" s="20" t="str">
        <f t="shared" si="7"/>
        <v>경고</v>
      </c>
      <c r="N51" s="1"/>
    </row>
    <row r="52" spans="1:14" ht="25" customHeight="1" x14ac:dyDescent="0.45">
      <c r="A52" s="5"/>
      <c r="B52" s="30"/>
      <c r="C52" s="69">
        <v>55</v>
      </c>
      <c r="D52" s="68">
        <f t="shared" si="6"/>
        <v>117</v>
      </c>
      <c r="E52" s="68">
        <f t="shared" si="0"/>
        <v>3</v>
      </c>
      <c r="F52" s="55">
        <f t="shared" si="3"/>
        <v>78.41</v>
      </c>
      <c r="G52" s="56">
        <f>IF(D52=D51,"",_xlfn.IFNA(VLOOKUP(D52,'인원 입력 기능(국수)'!$F$5:$I$103,4,FALSE),0))</f>
        <v>3374</v>
      </c>
      <c r="H52" s="57">
        <f t="shared" si="4"/>
        <v>1.0689054332330113E-2</v>
      </c>
      <c r="I52" s="70">
        <f>SUM($G$7:G52)</f>
        <v>69826</v>
      </c>
      <c r="J52" s="59">
        <f t="shared" si="5"/>
        <v>0.22121336923808016</v>
      </c>
      <c r="K52" s="31"/>
      <c r="L52" s="20" t="str">
        <f t="shared" si="7"/>
        <v/>
      </c>
      <c r="N52" s="1"/>
    </row>
    <row r="53" spans="1:14" ht="25" customHeight="1" x14ac:dyDescent="0.45">
      <c r="A53" s="5"/>
      <c r="B53" s="30"/>
      <c r="C53" s="69">
        <v>54</v>
      </c>
      <c r="D53" s="68">
        <f t="shared" si="6"/>
        <v>116</v>
      </c>
      <c r="E53" s="68">
        <f t="shared" si="0"/>
        <v>3</v>
      </c>
      <c r="F53" s="55">
        <f t="shared" si="3"/>
        <v>77.31</v>
      </c>
      <c r="G53" s="56">
        <f>IF(D53=D52,"",_xlfn.IFNA(VLOOKUP(D53,'인원 입력 기능(국수)'!$F$5:$I$103,4,FALSE),0))</f>
        <v>3568</v>
      </c>
      <c r="H53" s="57">
        <f t="shared" si="4"/>
        <v>1.1303659116109616E-2</v>
      </c>
      <c r="I53" s="70">
        <f>SUM($G$7:G53)</f>
        <v>73394</v>
      </c>
      <c r="J53" s="59">
        <f t="shared" si="5"/>
        <v>0.23251702835418978</v>
      </c>
      <c r="K53" s="31"/>
      <c r="L53" s="20" t="str">
        <f t="shared" si="7"/>
        <v/>
      </c>
      <c r="N53" s="1"/>
    </row>
    <row r="54" spans="1:14" ht="25" customHeight="1" x14ac:dyDescent="0.45">
      <c r="A54" s="5"/>
      <c r="B54" s="30"/>
      <c r="C54" s="69">
        <v>53</v>
      </c>
      <c r="D54" s="68">
        <f t="shared" si="6"/>
        <v>115</v>
      </c>
      <c r="E54" s="68">
        <f t="shared" si="0"/>
        <v>4</v>
      </c>
      <c r="F54" s="55">
        <f t="shared" si="3"/>
        <v>76.400000000000006</v>
      </c>
      <c r="G54" s="56">
        <f>IF(D54=D53,"",_xlfn.IFNA(VLOOKUP(D54,'인원 입력 기능(국수)'!$F$5:$I$103,4,FALSE),0))</f>
        <v>2211</v>
      </c>
      <c r="H54" s="57">
        <f t="shared" si="4"/>
        <v>7.0045936955488676E-3</v>
      </c>
      <c r="I54" s="70">
        <f>SUM($G$7:G54)</f>
        <v>75605</v>
      </c>
      <c r="J54" s="59">
        <f t="shared" si="5"/>
        <v>0.23952162204973865</v>
      </c>
      <c r="K54" s="31"/>
      <c r="L54" s="20" t="str">
        <f t="shared" si="7"/>
        <v/>
      </c>
      <c r="N54" s="1"/>
    </row>
    <row r="55" spans="1:14" ht="25" customHeight="1" x14ac:dyDescent="0.45">
      <c r="A55" s="5"/>
      <c r="B55" s="30"/>
      <c r="C55" s="69">
        <v>52</v>
      </c>
      <c r="D55" s="68">
        <f t="shared" si="6"/>
        <v>114</v>
      </c>
      <c r="E55" s="68">
        <f t="shared" si="0"/>
        <v>4</v>
      </c>
      <c r="F55" s="55">
        <f t="shared" si="3"/>
        <v>75.59</v>
      </c>
      <c r="G55" s="56">
        <f>IF(D55=D54,"",_xlfn.IFNA(VLOOKUP(D55,'인원 입력 기능(국수)'!$F$5:$I$103,4,FALSE),0))</f>
        <v>2887</v>
      </c>
      <c r="H55" s="57">
        <f t="shared" si="4"/>
        <v>9.1462062410898153E-3</v>
      </c>
      <c r="I55" s="70">
        <f>SUM($G$7:G55)</f>
        <v>78492</v>
      </c>
      <c r="J55" s="59">
        <f t="shared" si="5"/>
        <v>0.24866782829082845</v>
      </c>
      <c r="K55" s="31"/>
      <c r="L55" s="20" t="str">
        <f t="shared" si="7"/>
        <v/>
      </c>
      <c r="N55" s="1"/>
    </row>
    <row r="56" spans="1:14" ht="25" customHeight="1" x14ac:dyDescent="0.45">
      <c r="A56" s="5"/>
      <c r="B56" s="30"/>
      <c r="C56" s="69">
        <v>51</v>
      </c>
      <c r="D56" s="68">
        <f t="shared" si="6"/>
        <v>113</v>
      </c>
      <c r="E56" s="68">
        <f t="shared" si="0"/>
        <v>4</v>
      </c>
      <c r="F56" s="55">
        <f t="shared" si="3"/>
        <v>74.510000000000005</v>
      </c>
      <c r="G56" s="56">
        <f>IF(D56=D55,"",_xlfn.IFNA(VLOOKUP(D56,'인원 입력 기능(국수)'!$F$5:$I$103,4,FALSE),0))</f>
        <v>3953</v>
      </c>
      <c r="H56" s="57">
        <f t="shared" si="4"/>
        <v>1.2523364485981308E-2</v>
      </c>
      <c r="I56" s="70">
        <f>SUM($G$7:G56)</f>
        <v>82445</v>
      </c>
      <c r="J56" s="59">
        <f t="shared" si="5"/>
        <v>0.26119119277680974</v>
      </c>
      <c r="K56" s="31"/>
      <c r="L56" s="20" t="str">
        <f t="shared" si="7"/>
        <v/>
      </c>
      <c r="N56" s="1"/>
    </row>
    <row r="57" spans="1:14" ht="25" customHeight="1" x14ac:dyDescent="0.45">
      <c r="A57" s="5"/>
      <c r="B57" s="30"/>
      <c r="C57" s="69">
        <v>50</v>
      </c>
      <c r="D57" s="68">
        <f t="shared" si="6"/>
        <v>112</v>
      </c>
      <c r="E57" s="68">
        <f t="shared" si="0"/>
        <v>4</v>
      </c>
      <c r="F57" s="55">
        <f t="shared" si="3"/>
        <v>73.400000000000006</v>
      </c>
      <c r="G57" s="56">
        <f>IF(D57=D56,"",_xlfn.IFNA(VLOOKUP(D57,'인원 입력 기능(국수)'!$F$5:$I$103,4,FALSE),0))</f>
        <v>3026</v>
      </c>
      <c r="H57" s="57">
        <f t="shared" si="4"/>
        <v>9.5865674006019325E-3</v>
      </c>
      <c r="I57" s="70">
        <f>SUM($G$7:G57)</f>
        <v>85471</v>
      </c>
      <c r="J57" s="59">
        <f t="shared" si="5"/>
        <v>0.27077776017741167</v>
      </c>
      <c r="K57" s="31"/>
      <c r="L57" s="20" t="str">
        <f t="shared" si="7"/>
        <v/>
      </c>
      <c r="N57" s="1"/>
    </row>
    <row r="58" spans="1:14" ht="25" customHeight="1" x14ac:dyDescent="0.45">
      <c r="A58" s="5"/>
      <c r="B58" s="30"/>
      <c r="C58" s="69">
        <v>49</v>
      </c>
      <c r="D58" s="68">
        <f t="shared" si="6"/>
        <v>111</v>
      </c>
      <c r="E58" s="68">
        <f t="shared" si="0"/>
        <v>4</v>
      </c>
      <c r="F58" s="55">
        <f t="shared" si="3"/>
        <v>72.510000000000005</v>
      </c>
      <c r="G58" s="56">
        <f>IF(D58=D57,"",_xlfn.IFNA(VLOOKUP(D58,'인원 입력 기능(국수)'!$F$5:$I$103,4,FALSE),0))</f>
        <v>2598</v>
      </c>
      <c r="H58" s="57">
        <f t="shared" si="4"/>
        <v>8.2306351972121026E-3</v>
      </c>
      <c r="I58" s="70">
        <f>SUM($G$7:G58)</f>
        <v>88069</v>
      </c>
      <c r="J58" s="59">
        <f t="shared" si="5"/>
        <v>0.2790083953746238</v>
      </c>
      <c r="K58" s="31"/>
      <c r="L58" s="20" t="str">
        <f t="shared" si="7"/>
        <v/>
      </c>
      <c r="N58" s="1"/>
    </row>
    <row r="59" spans="1:14" ht="25" customHeight="1" x14ac:dyDescent="0.45">
      <c r="A59" s="5"/>
      <c r="B59" s="30"/>
      <c r="C59" s="69">
        <v>48</v>
      </c>
      <c r="D59" s="174">
        <f t="shared" si="6"/>
        <v>110</v>
      </c>
      <c r="E59" s="174">
        <f t="shared" si="0"/>
        <v>4</v>
      </c>
      <c r="F59" s="176">
        <f t="shared" si="3"/>
        <v>70.819999999999993</v>
      </c>
      <c r="G59" s="178">
        <f>IF(D59=D58,"",_xlfn.IFNA(VLOOKUP(D59,'인원 입력 기능(국수)'!$F$5:$I$103,4,FALSE),0))</f>
        <v>8044</v>
      </c>
      <c r="H59" s="180">
        <f t="shared" si="4"/>
        <v>2.5483922065578965E-2</v>
      </c>
      <c r="I59" s="168">
        <f>SUM($G$7:G59)</f>
        <v>96113</v>
      </c>
      <c r="J59" s="170">
        <f t="shared" si="5"/>
        <v>0.30449231744020278</v>
      </c>
      <c r="K59" s="31"/>
      <c r="L59" s="20" t="str">
        <f t="shared" si="7"/>
        <v>경고</v>
      </c>
      <c r="N59" s="1"/>
    </row>
    <row r="60" spans="1:14" ht="25" customHeight="1" x14ac:dyDescent="0.45">
      <c r="A60" s="5"/>
      <c r="B60" s="30"/>
      <c r="C60" s="69">
        <v>47</v>
      </c>
      <c r="D60" s="175"/>
      <c r="E60" s="175"/>
      <c r="F60" s="177"/>
      <c r="G60" s="179"/>
      <c r="H60" s="181"/>
      <c r="I60" s="169"/>
      <c r="J60" s="171"/>
      <c r="K60" s="31"/>
      <c r="L60" s="20" t="str">
        <f t="shared" si="7"/>
        <v>경고</v>
      </c>
      <c r="N60" s="1"/>
    </row>
    <row r="61" spans="1:14" ht="25" customHeight="1" x14ac:dyDescent="0.45">
      <c r="A61" s="5"/>
      <c r="B61" s="30"/>
      <c r="C61" s="69">
        <v>46</v>
      </c>
      <c r="D61" s="68">
        <f t="shared" si="6"/>
        <v>109</v>
      </c>
      <c r="E61" s="68">
        <f t="shared" si="0"/>
        <v>4</v>
      </c>
      <c r="F61" s="55">
        <f t="shared" si="3"/>
        <v>69.09</v>
      </c>
      <c r="G61" s="56">
        <f>IF(D61=D60,"",_xlfn.IFNA(VLOOKUP(D61,'인원 입력 기능(국수)'!$F$5:$I$103,4,FALSE),0))</f>
        <v>2889</v>
      </c>
      <c r="H61" s="57">
        <f t="shared" si="4"/>
        <v>9.1525423728813556E-3</v>
      </c>
      <c r="I61" s="70">
        <f>SUM($G$7:G61)</f>
        <v>99002</v>
      </c>
      <c r="J61" s="59">
        <f t="shared" si="5"/>
        <v>0.3136448598130841</v>
      </c>
      <c r="K61" s="31"/>
      <c r="L61" s="20" t="str">
        <f t="shared" si="7"/>
        <v/>
      </c>
      <c r="N61" s="1"/>
    </row>
    <row r="62" spans="1:14" ht="25" customHeight="1" x14ac:dyDescent="0.45">
      <c r="A62" s="5"/>
      <c r="B62" s="30"/>
      <c r="C62" s="69">
        <v>45</v>
      </c>
      <c r="D62" s="68">
        <f t="shared" si="6"/>
        <v>108</v>
      </c>
      <c r="E62" s="68">
        <f t="shared" si="0"/>
        <v>4</v>
      </c>
      <c r="F62" s="55">
        <f t="shared" si="3"/>
        <v>68.06</v>
      </c>
      <c r="G62" s="56">
        <f>IF(D62=D61,"",_xlfn.IFNA(VLOOKUP(D62,'인원 입력 기능(국수)'!$F$5:$I$103,4,FALSE),0))</f>
        <v>3609</v>
      </c>
      <c r="H62" s="57">
        <f t="shared" si="4"/>
        <v>1.1433549817836211E-2</v>
      </c>
      <c r="I62" s="70">
        <f>SUM($G$7:G62)</f>
        <v>102611</v>
      </c>
      <c r="J62" s="59">
        <f t="shared" si="5"/>
        <v>0.32507840963092033</v>
      </c>
      <c r="K62" s="31"/>
      <c r="L62" s="20" t="str">
        <f t="shared" si="7"/>
        <v/>
      </c>
      <c r="N62" s="1"/>
    </row>
    <row r="63" spans="1:14" ht="25" customHeight="1" x14ac:dyDescent="0.45">
      <c r="A63" s="5"/>
      <c r="B63" s="30"/>
      <c r="C63" s="69">
        <v>44</v>
      </c>
      <c r="D63" s="68">
        <f t="shared" si="6"/>
        <v>107</v>
      </c>
      <c r="E63" s="68">
        <f t="shared" si="0"/>
        <v>4</v>
      </c>
      <c r="F63" s="55">
        <f t="shared" si="3"/>
        <v>66.790000000000006</v>
      </c>
      <c r="G63" s="56">
        <f>IF(D63=D62,"",_xlfn.IFNA(VLOOKUP(D63,'인원 입력 기능(국수)'!$F$5:$I$103,4,FALSE),0))</f>
        <v>4448</v>
      </c>
      <c r="H63" s="57">
        <f t="shared" si="4"/>
        <v>1.4091557104387772E-2</v>
      </c>
      <c r="I63" s="70">
        <f>SUM($G$7:G63)</f>
        <v>107059</v>
      </c>
      <c r="J63" s="59">
        <f t="shared" si="5"/>
        <v>0.33916996673530808</v>
      </c>
      <c r="K63" s="31"/>
      <c r="L63" s="20" t="str">
        <f t="shared" si="7"/>
        <v/>
      </c>
      <c r="N63" s="1"/>
    </row>
    <row r="64" spans="1:14" ht="25" customHeight="1" x14ac:dyDescent="0.45">
      <c r="A64" s="5"/>
      <c r="B64" s="30"/>
      <c r="C64" s="69">
        <v>43</v>
      </c>
      <c r="D64" s="68">
        <f t="shared" si="6"/>
        <v>106</v>
      </c>
      <c r="E64" s="68">
        <f t="shared" si="0"/>
        <v>4</v>
      </c>
      <c r="F64" s="55">
        <f t="shared" si="3"/>
        <v>65.56</v>
      </c>
      <c r="G64" s="56">
        <f>IF(D64=D63,"",_xlfn.IFNA(VLOOKUP(D64,'인원 입력 기능(국수)'!$F$5:$I$103,4,FALSE),0))</f>
        <v>3289</v>
      </c>
      <c r="H64" s="57">
        <f t="shared" si="4"/>
        <v>1.0419768731189608E-2</v>
      </c>
      <c r="I64" s="70">
        <f>SUM($G$7:G64)</f>
        <v>110348</v>
      </c>
      <c r="J64" s="59">
        <f t="shared" si="5"/>
        <v>0.34958973546649769</v>
      </c>
      <c r="K64" s="31"/>
      <c r="L64" s="20" t="str">
        <f t="shared" si="7"/>
        <v/>
      </c>
      <c r="N64" s="1"/>
    </row>
    <row r="65" spans="1:14" ht="25" customHeight="1" x14ac:dyDescent="0.45">
      <c r="A65" s="5"/>
      <c r="B65" s="30"/>
      <c r="C65" s="69">
        <v>42</v>
      </c>
      <c r="D65" s="68">
        <f t="shared" si="6"/>
        <v>105</v>
      </c>
      <c r="E65" s="68">
        <f t="shared" si="0"/>
        <v>4</v>
      </c>
      <c r="F65" s="55">
        <f t="shared" si="3"/>
        <v>64.48</v>
      </c>
      <c r="G65" s="56">
        <f>IF(D65=D64,"",_xlfn.IFNA(VLOOKUP(D65,'인원 입력 기능(국수)'!$F$5:$I$103,4,FALSE),0))</f>
        <v>3521</v>
      </c>
      <c r="H65" s="57">
        <f t="shared" si="4"/>
        <v>1.1154760019008395E-2</v>
      </c>
      <c r="I65" s="70">
        <f>SUM($G$7:G65)</f>
        <v>113869</v>
      </c>
      <c r="J65" s="59">
        <f t="shared" si="5"/>
        <v>0.36074449548550608</v>
      </c>
      <c r="K65" s="31"/>
      <c r="L65" s="20" t="str">
        <f t="shared" si="7"/>
        <v/>
      </c>
      <c r="N65" s="1"/>
    </row>
    <row r="66" spans="1:14" ht="25" customHeight="1" x14ac:dyDescent="0.45">
      <c r="A66" s="5"/>
      <c r="B66" s="30"/>
      <c r="C66" s="69">
        <v>41</v>
      </c>
      <c r="D66" s="68">
        <f t="shared" si="6"/>
        <v>104</v>
      </c>
      <c r="E66" s="68">
        <f t="shared" si="0"/>
        <v>4</v>
      </c>
      <c r="F66" s="55">
        <f t="shared" si="3"/>
        <v>63.22</v>
      </c>
      <c r="G66" s="56">
        <f>IF(D66=D65,"",_xlfn.IFNA(VLOOKUP(D66,'인원 입력 기능(국수)'!$F$5:$I$103,4,FALSE),0))</f>
        <v>4452</v>
      </c>
      <c r="H66" s="57">
        <f t="shared" si="4"/>
        <v>1.4104229367970855E-2</v>
      </c>
      <c r="I66" s="70">
        <f>SUM($G$7:G66)</f>
        <v>118321</v>
      </c>
      <c r="J66" s="59">
        <f t="shared" si="5"/>
        <v>0.37484872485347698</v>
      </c>
      <c r="K66" s="31"/>
      <c r="L66" s="20" t="str">
        <f t="shared" si="7"/>
        <v/>
      </c>
      <c r="N66" s="1"/>
    </row>
    <row r="67" spans="1:14" ht="25" customHeight="1" x14ac:dyDescent="0.45">
      <c r="A67" s="5"/>
      <c r="B67" s="30"/>
      <c r="C67" s="69">
        <v>40</v>
      </c>
      <c r="D67" s="174">
        <f t="shared" si="6"/>
        <v>103</v>
      </c>
      <c r="E67" s="174">
        <f t="shared" si="0"/>
        <v>4</v>
      </c>
      <c r="F67" s="176">
        <f t="shared" si="3"/>
        <v>61.33</v>
      </c>
      <c r="G67" s="178">
        <f>IF(D67=D66,"",_xlfn.IFNA(VLOOKUP(D67,'인원 입력 기능(국수)'!$F$5:$I$103,4,FALSE),0))</f>
        <v>7465</v>
      </c>
      <c r="H67" s="180">
        <f t="shared" si="4"/>
        <v>2.3649611911927767E-2</v>
      </c>
      <c r="I67" s="168">
        <f>SUM($G$7:G67)</f>
        <v>125786</v>
      </c>
      <c r="J67" s="170">
        <f t="shared" si="5"/>
        <v>0.39849833676540475</v>
      </c>
      <c r="K67" s="31"/>
      <c r="L67" s="20" t="str">
        <f t="shared" si="7"/>
        <v/>
      </c>
      <c r="N67" s="1"/>
    </row>
    <row r="68" spans="1:14" ht="25" customHeight="1" x14ac:dyDescent="0.45">
      <c r="A68" s="5"/>
      <c r="B68" s="30"/>
      <c r="C68" s="69">
        <v>39</v>
      </c>
      <c r="D68" s="175"/>
      <c r="E68" s="175"/>
      <c r="F68" s="177"/>
      <c r="G68" s="179"/>
      <c r="H68" s="181"/>
      <c r="I68" s="169"/>
      <c r="J68" s="171"/>
      <c r="K68" s="31"/>
      <c r="L68" s="20" t="str">
        <f t="shared" si="7"/>
        <v>경고</v>
      </c>
      <c r="N68" s="1"/>
    </row>
    <row r="69" spans="1:14" ht="25" customHeight="1" x14ac:dyDescent="0.45">
      <c r="A69" s="5"/>
      <c r="B69" s="30"/>
      <c r="C69" s="69">
        <v>38</v>
      </c>
      <c r="D69" s="68">
        <f t="shared" si="6"/>
        <v>102</v>
      </c>
      <c r="E69" s="68">
        <f t="shared" si="0"/>
        <v>4</v>
      </c>
      <c r="F69" s="55">
        <f t="shared" si="3"/>
        <v>59.47</v>
      </c>
      <c r="G69" s="56">
        <f>IF(D69=D68,"",_xlfn.IFNA(VLOOKUP(D69,'인원 입력 기능(국수)'!$F$5:$I$103,4,FALSE),0))</f>
        <v>4306</v>
      </c>
      <c r="H69" s="57">
        <f t="shared" si="4"/>
        <v>1.3641691747188342E-2</v>
      </c>
      <c r="I69" s="70">
        <f>SUM($G$7:G69)</f>
        <v>130092</v>
      </c>
      <c r="J69" s="59">
        <f t="shared" si="5"/>
        <v>0.41214002851259307</v>
      </c>
      <c r="K69" s="31"/>
      <c r="L69" s="20" t="str">
        <f t="shared" si="7"/>
        <v/>
      </c>
      <c r="N69" s="1"/>
    </row>
    <row r="70" spans="1:14" ht="25" customHeight="1" x14ac:dyDescent="0.45">
      <c r="A70" s="5"/>
      <c r="B70" s="30"/>
      <c r="C70" s="69">
        <v>37</v>
      </c>
      <c r="D70" s="68">
        <f t="shared" si="6"/>
        <v>101</v>
      </c>
      <c r="E70" s="68">
        <f t="shared" si="0"/>
        <v>5</v>
      </c>
      <c r="F70" s="55">
        <f t="shared" si="3"/>
        <v>58.17</v>
      </c>
      <c r="G70" s="56">
        <f>IF(D70=D69,"",_xlfn.IFNA(VLOOKUP(D70,'인원 입력 기능(국수)'!$F$5:$I$103,4,FALSE),0))</f>
        <v>3916</v>
      </c>
      <c r="H70" s="57">
        <f t="shared" si="4"/>
        <v>1.2406146047837794E-2</v>
      </c>
      <c r="I70" s="70">
        <f>SUM($G$7:G70)</f>
        <v>134008</v>
      </c>
      <c r="J70" s="59">
        <f t="shared" si="5"/>
        <v>0.42454617456043087</v>
      </c>
      <c r="K70" s="31"/>
      <c r="L70" s="20" t="str">
        <f t="shared" si="7"/>
        <v/>
      </c>
      <c r="N70" s="1"/>
    </row>
    <row r="71" spans="1:14" ht="25" customHeight="1" x14ac:dyDescent="0.45">
      <c r="A71" s="5"/>
      <c r="B71" s="30"/>
      <c r="C71" s="69">
        <v>36</v>
      </c>
      <c r="D71" s="68">
        <f t="shared" si="6"/>
        <v>100</v>
      </c>
      <c r="E71" s="68">
        <f t="shared" ref="E71:E105" si="8">IF(ROUND(D71,0)&gt;=$Q$7,1,IF(ROUND(D71,0)&gt;=$Q$8,2,IF(ROUND(D71,0)&gt;=$Q$9,3,IF(ROUND(D71,0)&gt;=$Q$10,4,IF(ROUND(D71,0)&gt;=$Q$11,5,IF(ROUND(D71,0)&gt;=$Q$12,6,IF(ROUND(D71,0)&gt;=$Q$13,7,IF(ROUND(D71,0)&gt;=$Q$14,8,9))))))))</f>
        <v>5</v>
      </c>
      <c r="F71" s="55">
        <f t="shared" si="3"/>
        <v>56.88</v>
      </c>
      <c r="G71" s="56">
        <f>IF(D71=D70,"",_xlfn.IFNA(VLOOKUP(D71,'인원 입력 기능(국수)'!$F$5:$I$103,4,FALSE),0))</f>
        <v>4196</v>
      </c>
      <c r="H71" s="57">
        <f t="shared" si="4"/>
        <v>1.3293204498653573E-2</v>
      </c>
      <c r="I71" s="70">
        <f>SUM($G$7:G71)</f>
        <v>138204</v>
      </c>
      <c r="J71" s="59">
        <f t="shared" si="5"/>
        <v>0.43783937905908443</v>
      </c>
      <c r="K71" s="31"/>
      <c r="L71" s="20" t="str">
        <f t="shared" si="7"/>
        <v/>
      </c>
      <c r="N71" s="1"/>
    </row>
    <row r="72" spans="1:14" ht="25" customHeight="1" x14ac:dyDescent="0.45">
      <c r="A72" s="5"/>
      <c r="B72" s="30"/>
      <c r="C72" s="69">
        <v>35</v>
      </c>
      <c r="D72" s="68">
        <f t="shared" si="6"/>
        <v>99</v>
      </c>
      <c r="E72" s="68">
        <f t="shared" si="8"/>
        <v>5</v>
      </c>
      <c r="F72" s="55">
        <f t="shared" si="3"/>
        <v>55.52</v>
      </c>
      <c r="G72" s="56">
        <f>IF(D72=D71,"",_xlfn.IFNA(VLOOKUP(D72,'인원 입력 기능(국수)'!$F$5:$I$103,4,FALSE),0))</f>
        <v>4367</v>
      </c>
      <c r="H72" s="57">
        <f t="shared" si="4"/>
        <v>1.383494376683035E-2</v>
      </c>
      <c r="I72" s="70">
        <f>SUM($G$7:G72)</f>
        <v>142571</v>
      </c>
      <c r="J72" s="59">
        <f t="shared" si="5"/>
        <v>0.4516743228259148</v>
      </c>
      <c r="K72" s="31"/>
      <c r="L72" s="20" t="str">
        <f t="shared" si="7"/>
        <v/>
      </c>
      <c r="N72" s="1"/>
    </row>
    <row r="73" spans="1:14" ht="25" customHeight="1" x14ac:dyDescent="0.45">
      <c r="A73" s="5"/>
      <c r="B73" s="30"/>
      <c r="C73" s="69">
        <v>34</v>
      </c>
      <c r="D73" s="68">
        <f t="shared" ref="D73:D104" si="9">ROUND(20*(C73-$H$3)/$H$4+100,0)</f>
        <v>98</v>
      </c>
      <c r="E73" s="68">
        <f t="shared" si="8"/>
        <v>5</v>
      </c>
      <c r="F73" s="55">
        <f t="shared" si="3"/>
        <v>54.22</v>
      </c>
      <c r="G73" s="56">
        <f>IF(D73=D72,"",_xlfn.IFNA(VLOOKUP(D73,'인원 입력 기능(국수)'!$F$5:$I$103,4,FALSE),0))</f>
        <v>3881</v>
      </c>
      <c r="H73" s="57">
        <f t="shared" si="4"/>
        <v>1.2295263741485823E-2</v>
      </c>
      <c r="I73" s="70">
        <f>SUM($G$7:G73)</f>
        <v>146452</v>
      </c>
      <c r="J73" s="59">
        <f t="shared" si="5"/>
        <v>0.46396958656740062</v>
      </c>
      <c r="K73" s="31"/>
      <c r="L73" s="20" t="str">
        <f t="shared" ref="L73:L105" si="10">IF(ABS((C73-$H$3)/$H$4*20+100-D73)&gt;0.49, "경고", "")</f>
        <v/>
      </c>
      <c r="N73" s="1"/>
    </row>
    <row r="74" spans="1:14" ht="25" customHeight="1" x14ac:dyDescent="0.45">
      <c r="A74" s="5"/>
      <c r="B74" s="30"/>
      <c r="C74" s="69">
        <v>33</v>
      </c>
      <c r="D74" s="68">
        <f t="shared" si="9"/>
        <v>97</v>
      </c>
      <c r="E74" s="68">
        <f t="shared" si="8"/>
        <v>5</v>
      </c>
      <c r="F74" s="55">
        <f t="shared" ref="F74:F105" si="11">IF(I73=0,ROUND(100*(1-(I72+I74)/2/$J$3),2),ROUND(100*(1-(I73+I74)/2/$J$3),2))</f>
        <v>52.89</v>
      </c>
      <c r="G74" s="56">
        <f>IF(D74=D73,"",_xlfn.IFNA(VLOOKUP(D74,'인원 입력 기능(국수)'!$F$5:$I$103,4,FALSE),0))</f>
        <v>4487</v>
      </c>
      <c r="H74" s="57">
        <f t="shared" ref="H74:H105" si="12">G74/$J$3</f>
        <v>1.4215111674322826E-2</v>
      </c>
      <c r="I74" s="70">
        <f>SUM($G$7:G74)</f>
        <v>150939</v>
      </c>
      <c r="J74" s="59">
        <f t="shared" ref="J74:J105" si="13">I74/$J$3</f>
        <v>0.47818469824172344</v>
      </c>
      <c r="K74" s="31"/>
      <c r="L74" s="20" t="str">
        <f t="shared" si="10"/>
        <v/>
      </c>
      <c r="N74" s="1"/>
    </row>
    <row r="75" spans="1:14" ht="25" customHeight="1" x14ac:dyDescent="0.45">
      <c r="A75" s="5"/>
      <c r="B75" s="30"/>
      <c r="C75" s="69">
        <v>32</v>
      </c>
      <c r="D75" s="68">
        <f t="shared" si="9"/>
        <v>96</v>
      </c>
      <c r="E75" s="68">
        <f t="shared" si="8"/>
        <v>5</v>
      </c>
      <c r="F75" s="55">
        <f t="shared" si="11"/>
        <v>51.5</v>
      </c>
      <c r="G75" s="56">
        <f>IF(D75=D74,"",_xlfn.IFNA(VLOOKUP(D75,'인원 입력 기능(국수)'!$F$5:$I$103,4,FALSE),0))</f>
        <v>4296</v>
      </c>
      <c r="H75" s="57">
        <f t="shared" si="12"/>
        <v>1.3610011088230635E-2</v>
      </c>
      <c r="I75" s="70">
        <f>SUM($G$7:G75)</f>
        <v>155235</v>
      </c>
      <c r="J75" s="59">
        <f t="shared" si="13"/>
        <v>0.49179470932995406</v>
      </c>
      <c r="K75" s="31"/>
      <c r="L75" s="20" t="str">
        <f t="shared" si="10"/>
        <v/>
      </c>
      <c r="N75" s="1"/>
    </row>
    <row r="76" spans="1:14" ht="25" customHeight="1" x14ac:dyDescent="0.45">
      <c r="A76" s="5"/>
      <c r="B76" s="30"/>
      <c r="C76" s="69">
        <v>31</v>
      </c>
      <c r="D76" s="174">
        <f t="shared" si="9"/>
        <v>95</v>
      </c>
      <c r="E76" s="174">
        <f t="shared" si="8"/>
        <v>5</v>
      </c>
      <c r="F76" s="176">
        <f t="shared" si="11"/>
        <v>49.44</v>
      </c>
      <c r="G76" s="178">
        <f>IF(D76=D75,"",_xlfn.IFNA(VLOOKUP(D76,'인원 입력 기능(국수)'!$F$5:$I$103,4,FALSE),0))</f>
        <v>8701</v>
      </c>
      <c r="H76" s="180">
        <f t="shared" si="12"/>
        <v>2.7565341359100271E-2</v>
      </c>
      <c r="I76" s="168">
        <f>SUM($G$7:G76)</f>
        <v>163936</v>
      </c>
      <c r="J76" s="170">
        <f t="shared" si="13"/>
        <v>0.51936005068905433</v>
      </c>
      <c r="K76" s="31"/>
      <c r="L76" s="20" t="str">
        <f t="shared" si="10"/>
        <v/>
      </c>
      <c r="N76" s="1"/>
    </row>
    <row r="77" spans="1:14" ht="25" customHeight="1" x14ac:dyDescent="0.45">
      <c r="A77" s="5"/>
      <c r="B77" s="30"/>
      <c r="C77" s="69">
        <v>30</v>
      </c>
      <c r="D77" s="175"/>
      <c r="E77" s="175"/>
      <c r="F77" s="177"/>
      <c r="G77" s="179"/>
      <c r="H77" s="181"/>
      <c r="I77" s="169"/>
      <c r="J77" s="171"/>
      <c r="K77" s="31"/>
      <c r="L77" s="20" t="str">
        <f t="shared" si="10"/>
        <v>경고</v>
      </c>
      <c r="N77" s="1"/>
    </row>
    <row r="78" spans="1:14" ht="25" customHeight="1" x14ac:dyDescent="0.45">
      <c r="A78" s="5"/>
      <c r="B78" s="30"/>
      <c r="C78" s="69">
        <v>29</v>
      </c>
      <c r="D78" s="68">
        <f t="shared" si="9"/>
        <v>94</v>
      </c>
      <c r="E78" s="68">
        <f t="shared" si="8"/>
        <v>5</v>
      </c>
      <c r="F78" s="55">
        <f t="shared" si="11"/>
        <v>47.39</v>
      </c>
      <c r="G78" s="56">
        <f>IF(D78=D77,"",_xlfn.IFNA(VLOOKUP(D78,'인원 입력 기능(국수)'!$F$5:$I$103,4,FALSE),0))</f>
        <v>4271</v>
      </c>
      <c r="H78" s="57">
        <f t="shared" si="12"/>
        <v>1.3530809440836369E-2</v>
      </c>
      <c r="I78" s="70">
        <f>SUM($G$7:G78)</f>
        <v>168207</v>
      </c>
      <c r="J78" s="59">
        <f t="shared" si="13"/>
        <v>0.53289086012989073</v>
      </c>
      <c r="K78" s="31"/>
      <c r="L78" s="20" t="str">
        <f t="shared" si="10"/>
        <v/>
      </c>
      <c r="N78" s="1"/>
    </row>
    <row r="79" spans="1:14" ht="25" customHeight="1" x14ac:dyDescent="0.45">
      <c r="A79" s="5"/>
      <c r="B79" s="30"/>
      <c r="C79" s="69">
        <v>28</v>
      </c>
      <c r="D79" s="68">
        <f t="shared" si="9"/>
        <v>93</v>
      </c>
      <c r="E79" s="68">
        <f t="shared" si="8"/>
        <v>5</v>
      </c>
      <c r="F79" s="55">
        <f t="shared" si="11"/>
        <v>46</v>
      </c>
      <c r="G79" s="56">
        <f>IF(D79=D78,"",_xlfn.IFNA(VLOOKUP(D79,'인원 입력 기능(국수)'!$F$5:$I$103,4,FALSE),0))</f>
        <v>4470</v>
      </c>
      <c r="H79" s="57">
        <f t="shared" si="12"/>
        <v>1.4161254554094725E-2</v>
      </c>
      <c r="I79" s="70">
        <f>SUM($G$7:G79)</f>
        <v>172677</v>
      </c>
      <c r="J79" s="59">
        <f t="shared" si="13"/>
        <v>0.5470521146839854</v>
      </c>
      <c r="K79" s="31"/>
      <c r="L79" s="20" t="str">
        <f t="shared" si="10"/>
        <v/>
      </c>
      <c r="N79" s="1"/>
    </row>
    <row r="80" spans="1:14" ht="25" customHeight="1" x14ac:dyDescent="0.45">
      <c r="A80" s="5"/>
      <c r="B80" s="30"/>
      <c r="C80" s="69">
        <v>27</v>
      </c>
      <c r="D80" s="68">
        <f t="shared" si="9"/>
        <v>92</v>
      </c>
      <c r="E80" s="68">
        <f t="shared" si="8"/>
        <v>5</v>
      </c>
      <c r="F80" s="55">
        <f t="shared" si="11"/>
        <v>44.51</v>
      </c>
      <c r="G80" s="56">
        <f>IF(D80=D79,"",_xlfn.IFNA(VLOOKUP(D80,'인원 입력 기능(국수)'!$F$5:$I$103,4,FALSE),0))</f>
        <v>4929</v>
      </c>
      <c r="H80" s="57">
        <f t="shared" si="12"/>
        <v>1.5615396800253445E-2</v>
      </c>
      <c r="I80" s="70">
        <f>SUM($G$7:G80)</f>
        <v>177606</v>
      </c>
      <c r="J80" s="59">
        <f t="shared" si="13"/>
        <v>0.56266751148423888</v>
      </c>
      <c r="K80" s="31"/>
      <c r="L80" s="20" t="str">
        <f t="shared" si="10"/>
        <v/>
      </c>
      <c r="N80" s="1"/>
    </row>
    <row r="81" spans="1:14" ht="25" customHeight="1" x14ac:dyDescent="0.45">
      <c r="A81" s="5"/>
      <c r="B81" s="30"/>
      <c r="C81" s="69">
        <v>26</v>
      </c>
      <c r="D81" s="68">
        <f t="shared" si="9"/>
        <v>91</v>
      </c>
      <c r="E81" s="68">
        <f t="shared" si="8"/>
        <v>5</v>
      </c>
      <c r="F81" s="55">
        <f t="shared" si="11"/>
        <v>43.03</v>
      </c>
      <c r="G81" s="56">
        <f>IF(D81=D80,"",_xlfn.IFNA(VLOOKUP(D81,'인원 입력 기능(국수)'!$F$5:$I$103,4,FALSE),0))</f>
        <v>4461</v>
      </c>
      <c r="H81" s="57">
        <f t="shared" si="12"/>
        <v>1.4132741961032789E-2</v>
      </c>
      <c r="I81" s="70">
        <f>SUM($G$7:G81)</f>
        <v>182067</v>
      </c>
      <c r="J81" s="59">
        <f t="shared" si="13"/>
        <v>0.57680025344527164</v>
      </c>
      <c r="K81" s="31"/>
      <c r="L81" s="20" t="str">
        <f t="shared" si="10"/>
        <v/>
      </c>
      <c r="N81" s="1"/>
    </row>
    <row r="82" spans="1:14" ht="25" customHeight="1" x14ac:dyDescent="0.45">
      <c r="A82" s="5"/>
      <c r="B82" s="30"/>
      <c r="C82" s="69">
        <v>25</v>
      </c>
      <c r="D82" s="68">
        <f t="shared" si="9"/>
        <v>90</v>
      </c>
      <c r="E82" s="68">
        <f t="shared" si="8"/>
        <v>5</v>
      </c>
      <c r="F82" s="55">
        <f t="shared" si="11"/>
        <v>41.58</v>
      </c>
      <c r="G82" s="56">
        <f>IF(D82=D81,"",_xlfn.IFNA(VLOOKUP(D82,'인원 입력 기능(국수)'!$F$5:$I$103,4,FALSE),0))</f>
        <v>4671</v>
      </c>
      <c r="H82" s="57">
        <f t="shared" si="12"/>
        <v>1.4798035799144623E-2</v>
      </c>
      <c r="I82" s="70">
        <f>SUM($G$7:G82)</f>
        <v>186738</v>
      </c>
      <c r="J82" s="59">
        <f t="shared" si="13"/>
        <v>0.59159828924441626</v>
      </c>
      <c r="K82" s="31"/>
      <c r="L82" s="20" t="str">
        <f t="shared" si="10"/>
        <v/>
      </c>
      <c r="N82" s="1"/>
    </row>
    <row r="83" spans="1:14" ht="25" customHeight="1" x14ac:dyDescent="0.45">
      <c r="A83" s="5"/>
      <c r="B83" s="30"/>
      <c r="C83" s="69">
        <v>24</v>
      </c>
      <c r="D83" s="68">
        <f t="shared" si="9"/>
        <v>89</v>
      </c>
      <c r="E83" s="68">
        <f t="shared" si="8"/>
        <v>5</v>
      </c>
      <c r="F83" s="55">
        <f t="shared" si="11"/>
        <v>40.03</v>
      </c>
      <c r="G83" s="56">
        <f>IF(D83=D82,"",_xlfn.IFNA(VLOOKUP(D83,'인원 입력 기능(국수)'!$F$5:$I$103,4,FALSE),0))</f>
        <v>5135</v>
      </c>
      <c r="H83" s="57">
        <f t="shared" si="12"/>
        <v>1.6268018374782197E-2</v>
      </c>
      <c r="I83" s="70">
        <f>SUM($G$7:G83)</f>
        <v>191873</v>
      </c>
      <c r="J83" s="59">
        <f t="shared" si="13"/>
        <v>0.60786630761919846</v>
      </c>
      <c r="K83" s="31"/>
      <c r="L83" s="20" t="str">
        <f t="shared" si="10"/>
        <v/>
      </c>
      <c r="N83" s="1"/>
    </row>
    <row r="84" spans="1:14" ht="25" customHeight="1" x14ac:dyDescent="0.45">
      <c r="A84" s="5"/>
      <c r="B84" s="30"/>
      <c r="C84" s="69">
        <v>23</v>
      </c>
      <c r="D84" s="174">
        <f t="shared" si="9"/>
        <v>88</v>
      </c>
      <c r="E84" s="174">
        <f t="shared" si="8"/>
        <v>6</v>
      </c>
      <c r="F84" s="176">
        <f t="shared" si="11"/>
        <v>37.58</v>
      </c>
      <c r="G84" s="178">
        <f>IF(D84=D83,"",_xlfn.IFNA(VLOOKUP(D84,'인원 입력 기능(국수)'!$F$5:$I$103,4,FALSE),0))</f>
        <v>10289</v>
      </c>
      <c r="H84" s="180">
        <f t="shared" si="12"/>
        <v>3.2596230001584035E-2</v>
      </c>
      <c r="I84" s="168">
        <f>SUM($G$7:G84)</f>
        <v>202162</v>
      </c>
      <c r="J84" s="170">
        <f t="shared" si="13"/>
        <v>0.64046253762078253</v>
      </c>
      <c r="K84" s="31"/>
      <c r="L84" s="20" t="str">
        <f t="shared" si="10"/>
        <v/>
      </c>
      <c r="N84" s="1"/>
    </row>
    <row r="85" spans="1:14" ht="25" customHeight="1" x14ac:dyDescent="0.45">
      <c r="A85" s="5"/>
      <c r="B85" s="30"/>
      <c r="C85" s="69">
        <v>22</v>
      </c>
      <c r="D85" s="175"/>
      <c r="E85" s="175"/>
      <c r="F85" s="177"/>
      <c r="G85" s="179"/>
      <c r="H85" s="181"/>
      <c r="I85" s="169"/>
      <c r="J85" s="171"/>
      <c r="K85" s="31"/>
      <c r="L85" s="20" t="str">
        <f t="shared" si="10"/>
        <v>경고</v>
      </c>
      <c r="N85" s="1"/>
    </row>
    <row r="86" spans="1:14" ht="25" customHeight="1" x14ac:dyDescent="0.45">
      <c r="A86" s="5"/>
      <c r="B86" s="30"/>
      <c r="C86" s="69">
        <v>21</v>
      </c>
      <c r="D86" s="68">
        <f t="shared" si="9"/>
        <v>87</v>
      </c>
      <c r="E86" s="68">
        <f t="shared" si="8"/>
        <v>6</v>
      </c>
      <c r="F86" s="55">
        <f t="shared" si="11"/>
        <v>35.130000000000003</v>
      </c>
      <c r="G86" s="56">
        <f>IF(D86=D85,"",_xlfn.IFNA(VLOOKUP(D86,'인원 입력 기능(국수)'!$F$5:$I$103,4,FALSE),0))</f>
        <v>5218</v>
      </c>
      <c r="H86" s="57">
        <f t="shared" si="12"/>
        <v>1.6530967844131158E-2</v>
      </c>
      <c r="I86" s="70">
        <f>SUM($G$7:G86)</f>
        <v>207380</v>
      </c>
      <c r="J86" s="59">
        <f t="shared" si="13"/>
        <v>0.65699350546491364</v>
      </c>
      <c r="K86" s="31"/>
      <c r="L86" s="20" t="str">
        <f t="shared" si="10"/>
        <v/>
      </c>
      <c r="N86" s="1"/>
    </row>
    <row r="87" spans="1:14" ht="25" customHeight="1" x14ac:dyDescent="0.45">
      <c r="A87" s="5"/>
      <c r="B87" s="30"/>
      <c r="C87" s="69">
        <v>20</v>
      </c>
      <c r="D87" s="68">
        <f t="shared" si="9"/>
        <v>86</v>
      </c>
      <c r="E87" s="68">
        <f t="shared" si="8"/>
        <v>6</v>
      </c>
      <c r="F87" s="55">
        <f t="shared" si="11"/>
        <v>33.44</v>
      </c>
      <c r="G87" s="56">
        <f>IF(D87=D86,"",_xlfn.IFNA(VLOOKUP(D87,'인원 입력 기능(국수)'!$F$5:$I$103,4,FALSE),0))</f>
        <v>5415</v>
      </c>
      <c r="H87" s="57">
        <f t="shared" si="12"/>
        <v>1.7155076825597974E-2</v>
      </c>
      <c r="I87" s="70">
        <f>SUM($G$7:G87)</f>
        <v>212795</v>
      </c>
      <c r="J87" s="59">
        <f t="shared" si="13"/>
        <v>0.67414858229051167</v>
      </c>
      <c r="K87" s="31"/>
      <c r="L87" s="20" t="str">
        <f t="shared" si="10"/>
        <v/>
      </c>
      <c r="N87" s="1"/>
    </row>
    <row r="88" spans="1:14" ht="25" customHeight="1" x14ac:dyDescent="0.45">
      <c r="A88" s="5"/>
      <c r="B88" s="30"/>
      <c r="C88" s="69">
        <v>19</v>
      </c>
      <c r="D88" s="68">
        <f t="shared" si="9"/>
        <v>85</v>
      </c>
      <c r="E88" s="68">
        <f t="shared" si="8"/>
        <v>6</v>
      </c>
      <c r="F88" s="55">
        <f t="shared" si="11"/>
        <v>31.48</v>
      </c>
      <c r="G88" s="56">
        <f>IF(D88=D87,"",_xlfn.IFNA(VLOOKUP(D88,'인원 입력 기능(국수)'!$F$5:$I$103,4,FALSE),0))</f>
        <v>6997</v>
      </c>
      <c r="H88" s="57">
        <f t="shared" si="12"/>
        <v>2.2166957072707112E-2</v>
      </c>
      <c r="I88" s="70">
        <f>SUM($G$7:G88)</f>
        <v>219792</v>
      </c>
      <c r="J88" s="59">
        <f t="shared" si="13"/>
        <v>0.69631553936321877</v>
      </c>
      <c r="K88" s="31"/>
      <c r="L88" s="20" t="str">
        <f t="shared" si="10"/>
        <v/>
      </c>
      <c r="N88" s="1"/>
    </row>
    <row r="89" spans="1:14" ht="25" customHeight="1" x14ac:dyDescent="0.45">
      <c r="A89" s="5"/>
      <c r="B89" s="30"/>
      <c r="C89" s="69">
        <v>18</v>
      </c>
      <c r="D89" s="68">
        <f t="shared" si="9"/>
        <v>84</v>
      </c>
      <c r="E89" s="68">
        <f t="shared" si="8"/>
        <v>6</v>
      </c>
      <c r="F89" s="55">
        <f t="shared" si="11"/>
        <v>29.53</v>
      </c>
      <c r="G89" s="56">
        <f>IF(D89=D88,"",_xlfn.IFNA(VLOOKUP(D89,'인원 입력 기능(국수)'!$F$5:$I$103,4,FALSE),0))</f>
        <v>5297</v>
      </c>
      <c r="H89" s="57">
        <f t="shared" si="12"/>
        <v>1.6781245049897038E-2</v>
      </c>
      <c r="I89" s="70">
        <f>SUM($G$7:G89)</f>
        <v>225089</v>
      </c>
      <c r="J89" s="59">
        <f t="shared" si="13"/>
        <v>0.71309678441311575</v>
      </c>
      <c r="K89" s="31"/>
      <c r="L89" s="20" t="str">
        <f t="shared" si="10"/>
        <v/>
      </c>
      <c r="N89" s="1"/>
    </row>
    <row r="90" spans="1:14" ht="25" customHeight="1" x14ac:dyDescent="0.45">
      <c r="A90" s="5"/>
      <c r="B90" s="30"/>
      <c r="C90" s="69">
        <v>17</v>
      </c>
      <c r="D90" s="68">
        <f t="shared" si="9"/>
        <v>83</v>
      </c>
      <c r="E90" s="68">
        <f t="shared" si="8"/>
        <v>6</v>
      </c>
      <c r="F90" s="55">
        <f t="shared" si="11"/>
        <v>27.73</v>
      </c>
      <c r="G90" s="56">
        <f>IF(D90=D89,"",_xlfn.IFNA(VLOOKUP(D90,'인원 입력 기능(국수)'!$F$5:$I$103,4,FALSE),0))</f>
        <v>6049</v>
      </c>
      <c r="H90" s="57">
        <f t="shared" si="12"/>
        <v>1.9163630603516554E-2</v>
      </c>
      <c r="I90" s="70">
        <f>SUM($G$7:G90)</f>
        <v>231138</v>
      </c>
      <c r="J90" s="59">
        <f t="shared" si="13"/>
        <v>0.7322604150166323</v>
      </c>
      <c r="K90" s="31"/>
      <c r="L90" s="20" t="str">
        <f t="shared" si="10"/>
        <v/>
      </c>
      <c r="N90" s="1"/>
    </row>
    <row r="91" spans="1:14" ht="25" customHeight="1" x14ac:dyDescent="0.45">
      <c r="A91" s="5"/>
      <c r="B91" s="30"/>
      <c r="C91" s="69">
        <v>16</v>
      </c>
      <c r="D91" s="68">
        <f t="shared" si="9"/>
        <v>82</v>
      </c>
      <c r="E91" s="68">
        <f t="shared" si="8"/>
        <v>6</v>
      </c>
      <c r="F91" s="55">
        <f t="shared" si="11"/>
        <v>23.02</v>
      </c>
      <c r="G91" s="56">
        <f>IF(D91=D90,"",_xlfn.IFNA(VLOOKUP(D91,'인원 입력 기능(국수)'!$F$5:$I$103,4,FALSE),0))</f>
        <v>23719</v>
      </c>
      <c r="H91" s="57">
        <f t="shared" si="12"/>
        <v>7.5143354981783622E-2</v>
      </c>
      <c r="I91" s="70">
        <f>SUM($G$7:G91)</f>
        <v>254857</v>
      </c>
      <c r="J91" s="59">
        <f t="shared" si="13"/>
        <v>0.80740376999841601</v>
      </c>
      <c r="K91" s="31"/>
      <c r="L91" s="20" t="str">
        <f t="shared" si="10"/>
        <v/>
      </c>
      <c r="N91" s="1"/>
    </row>
    <row r="92" spans="1:14" ht="25" customHeight="1" x14ac:dyDescent="0.45">
      <c r="A92" s="5"/>
      <c r="B92" s="30"/>
      <c r="C92" s="69">
        <v>15</v>
      </c>
      <c r="D92" s="68">
        <f t="shared" si="9"/>
        <v>81</v>
      </c>
      <c r="E92" s="68">
        <f t="shared" si="8"/>
        <v>7</v>
      </c>
      <c r="F92" s="55">
        <f t="shared" si="11"/>
        <v>18.45</v>
      </c>
      <c r="G92" s="56">
        <f>IF(D92=D91,"",_xlfn.IFNA(VLOOKUP(D92,'인원 입력 기능(국수)'!$F$5:$I$103,4,FALSE),0))</f>
        <v>5098</v>
      </c>
      <c r="H92" s="57">
        <f t="shared" si="12"/>
        <v>1.6150799936638684E-2</v>
      </c>
      <c r="I92" s="70">
        <f>SUM($G$7:G92)</f>
        <v>259955</v>
      </c>
      <c r="J92" s="59">
        <f t="shared" si="13"/>
        <v>0.8235545699350546</v>
      </c>
      <c r="K92" s="31"/>
      <c r="L92" s="20" t="str">
        <f t="shared" si="10"/>
        <v/>
      </c>
      <c r="N92" s="1"/>
    </row>
    <row r="93" spans="1:14" ht="25" customHeight="1" x14ac:dyDescent="0.45">
      <c r="A93" s="5"/>
      <c r="B93" s="30"/>
      <c r="C93" s="69">
        <v>14</v>
      </c>
      <c r="D93" s="174">
        <f t="shared" si="9"/>
        <v>80</v>
      </c>
      <c r="E93" s="174">
        <f t="shared" si="8"/>
        <v>7</v>
      </c>
      <c r="F93" s="176">
        <f t="shared" si="11"/>
        <v>13.37</v>
      </c>
      <c r="G93" s="178">
        <f>IF(D93=D92,"",_xlfn.IFNA(VLOOKUP(D93,'인원 입력 기능(국수)'!$F$5:$I$103,4,FALSE),0))</f>
        <v>26986</v>
      </c>
      <c r="H93" s="180">
        <f t="shared" si="12"/>
        <v>8.5493426263266281E-2</v>
      </c>
      <c r="I93" s="168">
        <f>SUM($G$7:G93)</f>
        <v>286941</v>
      </c>
      <c r="J93" s="170">
        <f t="shared" si="13"/>
        <v>0.90904799619832088</v>
      </c>
      <c r="K93" s="31"/>
      <c r="L93" s="20" t="str">
        <f t="shared" si="10"/>
        <v/>
      </c>
      <c r="N93" s="1"/>
    </row>
    <row r="94" spans="1:14" ht="25" customHeight="1" x14ac:dyDescent="0.45">
      <c r="A94" s="5"/>
      <c r="B94" s="30"/>
      <c r="C94" s="69">
        <v>13</v>
      </c>
      <c r="D94" s="175"/>
      <c r="E94" s="175"/>
      <c r="F94" s="177"/>
      <c r="G94" s="179"/>
      <c r="H94" s="181"/>
      <c r="I94" s="169"/>
      <c r="J94" s="171"/>
      <c r="K94" s="31"/>
      <c r="L94" s="20" t="str">
        <f t="shared" si="10"/>
        <v>경고</v>
      </c>
      <c r="N94" s="1"/>
    </row>
    <row r="95" spans="1:14" ht="25" customHeight="1" x14ac:dyDescent="0.45">
      <c r="A95" s="5"/>
      <c r="B95" s="30"/>
      <c r="C95" s="69">
        <v>12</v>
      </c>
      <c r="D95" s="68">
        <f t="shared" si="9"/>
        <v>79</v>
      </c>
      <c r="E95" s="68">
        <f t="shared" si="8"/>
        <v>8</v>
      </c>
      <c r="F95" s="55">
        <f t="shared" si="11"/>
        <v>7.99</v>
      </c>
      <c r="G95" s="56">
        <f>IF(D95=D94,"",_xlfn.IFNA(VLOOKUP(D95,'인원 입력 기능(국수)'!$F$5:$I$103,4,FALSE),0))</f>
        <v>6999</v>
      </c>
      <c r="H95" s="57">
        <f t="shared" si="12"/>
        <v>2.2173293204498654E-2</v>
      </c>
      <c r="I95" s="70">
        <f>SUM($G$7:G95)</f>
        <v>293940</v>
      </c>
      <c r="J95" s="59">
        <f t="shared" si="13"/>
        <v>0.93122128940281956</v>
      </c>
      <c r="K95" s="31"/>
      <c r="L95" s="20" t="str">
        <f t="shared" si="10"/>
        <v/>
      </c>
      <c r="N95" s="1"/>
    </row>
    <row r="96" spans="1:14" ht="25" customHeight="1" x14ac:dyDescent="0.45">
      <c r="A96" s="5"/>
      <c r="B96" s="30"/>
      <c r="C96" s="69">
        <v>11</v>
      </c>
      <c r="D96" s="68">
        <f t="shared" si="9"/>
        <v>78</v>
      </c>
      <c r="E96" s="68">
        <f t="shared" si="8"/>
        <v>8</v>
      </c>
      <c r="F96" s="55">
        <f t="shared" si="11"/>
        <v>6.33</v>
      </c>
      <c r="G96" s="56">
        <f>IF(D96=D95,"",_xlfn.IFNA(VLOOKUP(D96,'인원 입력 기능(국수)'!$F$5:$I$103,4,FALSE),0))</f>
        <v>3475</v>
      </c>
      <c r="H96" s="57">
        <f t="shared" si="12"/>
        <v>1.1009028987802946E-2</v>
      </c>
      <c r="I96" s="70">
        <f>SUM($G$7:G96)</f>
        <v>297415</v>
      </c>
      <c r="J96" s="59">
        <f t="shared" si="13"/>
        <v>0.94223031839062255</v>
      </c>
      <c r="K96" s="31"/>
      <c r="L96" s="20" t="str">
        <f t="shared" si="10"/>
        <v/>
      </c>
      <c r="N96" s="1"/>
    </row>
    <row r="97" spans="1:14" ht="25" customHeight="1" x14ac:dyDescent="0.45">
      <c r="A97" s="5"/>
      <c r="B97" s="30"/>
      <c r="C97" s="69">
        <v>10</v>
      </c>
      <c r="D97" s="68">
        <f t="shared" si="9"/>
        <v>77</v>
      </c>
      <c r="E97" s="68">
        <f t="shared" si="8"/>
        <v>8</v>
      </c>
      <c r="F97" s="55">
        <f t="shared" si="11"/>
        <v>5.21</v>
      </c>
      <c r="G97" s="56">
        <f>IF(D97=D96,"",_xlfn.IFNA(VLOOKUP(D97,'인원 입력 기능(국수)'!$F$5:$I$103,4,FALSE),0))</f>
        <v>3606</v>
      </c>
      <c r="H97" s="57">
        <f t="shared" si="12"/>
        <v>1.1424045620148898E-2</v>
      </c>
      <c r="I97" s="70">
        <f>SUM($G$7:G97)</f>
        <v>301021</v>
      </c>
      <c r="J97" s="59">
        <f t="shared" si="13"/>
        <v>0.95365436401077142</v>
      </c>
      <c r="K97" s="31"/>
      <c r="L97" s="20" t="str">
        <f t="shared" si="10"/>
        <v/>
      </c>
      <c r="N97" s="1"/>
    </row>
    <row r="98" spans="1:14" ht="25" customHeight="1" x14ac:dyDescent="0.45">
      <c r="A98" s="5"/>
      <c r="B98" s="30"/>
      <c r="C98" s="69">
        <v>9</v>
      </c>
      <c r="D98" s="68">
        <f t="shared" si="9"/>
        <v>76</v>
      </c>
      <c r="E98" s="68">
        <f t="shared" si="8"/>
        <v>8</v>
      </c>
      <c r="F98" s="55">
        <f t="shared" si="11"/>
        <v>4.0999999999999996</v>
      </c>
      <c r="G98" s="56">
        <f>IF(D98=D97,"",_xlfn.IFNA(VLOOKUP(D98,'인원 입력 기능(국수)'!$F$5:$I$103,4,FALSE),0))</f>
        <v>3399</v>
      </c>
      <c r="H98" s="57">
        <f t="shared" si="12"/>
        <v>1.0768255979724379E-2</v>
      </c>
      <c r="I98" s="70">
        <f>SUM($G$7:G98)</f>
        <v>304420</v>
      </c>
      <c r="J98" s="59">
        <f t="shared" si="13"/>
        <v>0.96442261999049583</v>
      </c>
      <c r="K98" s="31"/>
      <c r="L98" s="20" t="str">
        <f t="shared" si="10"/>
        <v/>
      </c>
      <c r="N98" s="1"/>
    </row>
    <row r="99" spans="1:14" ht="25" customHeight="1" x14ac:dyDescent="0.45">
      <c r="A99" s="5"/>
      <c r="B99" s="30"/>
      <c r="C99" s="69">
        <v>8</v>
      </c>
      <c r="D99" s="68">
        <f t="shared" si="9"/>
        <v>75</v>
      </c>
      <c r="E99" s="68">
        <f t="shared" si="8"/>
        <v>9</v>
      </c>
      <c r="F99" s="55">
        <f t="shared" si="11"/>
        <v>3.17</v>
      </c>
      <c r="G99" s="56">
        <f>IF(D99=D98,"",_xlfn.IFNA(VLOOKUP(D99,'인원 입력 기능(국수)'!$F$5:$I$103,4,FALSE),0))</f>
        <v>2441</v>
      </c>
      <c r="H99" s="57">
        <f t="shared" si="12"/>
        <v>7.7332488515761124E-3</v>
      </c>
      <c r="I99" s="70">
        <f>SUM($G$7:G99)</f>
        <v>306861</v>
      </c>
      <c r="J99" s="59">
        <f t="shared" si="13"/>
        <v>0.97215586884207195</v>
      </c>
      <c r="K99" s="31"/>
      <c r="L99" s="20" t="str">
        <f t="shared" si="10"/>
        <v/>
      </c>
      <c r="N99" s="1"/>
    </row>
    <row r="100" spans="1:14" ht="25" customHeight="1" x14ac:dyDescent="0.45">
      <c r="A100" s="5"/>
      <c r="B100" s="30"/>
      <c r="C100" s="69">
        <v>7</v>
      </c>
      <c r="D100" s="68">
        <f t="shared" si="9"/>
        <v>74</v>
      </c>
      <c r="E100" s="68">
        <f t="shared" si="8"/>
        <v>9</v>
      </c>
      <c r="F100" s="55">
        <f t="shared" si="11"/>
        <v>2.4700000000000002</v>
      </c>
      <c r="G100" s="56">
        <f>IF(D100=D99,"",_xlfn.IFNA(VLOOKUP(D100,'인원 입력 기능(국수)'!$F$5:$I$103,4,FALSE),0))</f>
        <v>2009</v>
      </c>
      <c r="H100" s="57">
        <f t="shared" si="12"/>
        <v>6.3646443846032E-3</v>
      </c>
      <c r="I100" s="70">
        <f>SUM($G$7:G100)</f>
        <v>308870</v>
      </c>
      <c r="J100" s="59">
        <f t="shared" si="13"/>
        <v>0.9785205132266751</v>
      </c>
      <c r="K100" s="31"/>
      <c r="L100" s="20" t="str">
        <f t="shared" si="10"/>
        <v/>
      </c>
      <c r="N100" s="1"/>
    </row>
    <row r="101" spans="1:14" ht="25" customHeight="1" x14ac:dyDescent="0.45">
      <c r="A101" s="5"/>
      <c r="B101" s="30"/>
      <c r="C101" s="60">
        <v>6</v>
      </c>
      <c r="D101" s="172">
        <f t="shared" si="9"/>
        <v>73</v>
      </c>
      <c r="E101" s="174">
        <f t="shared" si="8"/>
        <v>9</v>
      </c>
      <c r="F101" s="176">
        <f t="shared" si="11"/>
        <v>1.75</v>
      </c>
      <c r="G101" s="178">
        <f>IF(D101=D100,"",_xlfn.IFNA(VLOOKUP(D101,'인원 입력 기능(국수)'!$F$5:$I$103,4,FALSE),0))</f>
        <v>2540</v>
      </c>
      <c r="H101" s="180">
        <f t="shared" si="12"/>
        <v>8.0468873752574058E-3</v>
      </c>
      <c r="I101" s="189">
        <f>SUM($G$7:G101)</f>
        <v>311410</v>
      </c>
      <c r="J101" s="170">
        <f t="shared" si="13"/>
        <v>0.98656740060193249</v>
      </c>
      <c r="K101" s="31"/>
      <c r="L101" s="20" t="str">
        <f t="shared" si="10"/>
        <v/>
      </c>
      <c r="N101" s="1"/>
    </row>
    <row r="102" spans="1:14" ht="25" customHeight="1" x14ac:dyDescent="0.45">
      <c r="A102" s="5"/>
      <c r="B102" s="30"/>
      <c r="C102" s="60">
        <v>5</v>
      </c>
      <c r="D102" s="173"/>
      <c r="E102" s="175"/>
      <c r="F102" s="177"/>
      <c r="G102" s="179"/>
      <c r="H102" s="181"/>
      <c r="I102" s="190"/>
      <c r="J102" s="171"/>
      <c r="K102" s="31"/>
      <c r="L102" s="20" t="str">
        <f t="shared" si="10"/>
        <v>경고</v>
      </c>
      <c r="N102" s="1"/>
    </row>
    <row r="103" spans="1:14" ht="25" customHeight="1" x14ac:dyDescent="0.45">
      <c r="A103" s="5"/>
      <c r="B103" s="30"/>
      <c r="C103" s="60">
        <v>4</v>
      </c>
      <c r="D103" s="54">
        <f t="shared" si="9"/>
        <v>72</v>
      </c>
      <c r="E103" s="68">
        <f t="shared" si="8"/>
        <v>9</v>
      </c>
      <c r="F103" s="55">
        <f t="shared" si="11"/>
        <v>1.24</v>
      </c>
      <c r="G103" s="56">
        <f>IF(D103=D102,"",_xlfn.IFNA(VLOOKUP(D103,'인원 입력 기능(국수)'!$F$5:$I$103,4,FALSE),0))</f>
        <v>628</v>
      </c>
      <c r="H103" s="57">
        <f t="shared" si="12"/>
        <v>1.9895453825439571E-3</v>
      </c>
      <c r="I103" s="67">
        <f>SUM($G$7:G103)</f>
        <v>312038</v>
      </c>
      <c r="J103" s="59">
        <f t="shared" si="13"/>
        <v>0.98855694598447652</v>
      </c>
      <c r="K103" s="31"/>
      <c r="L103" s="20" t="str">
        <f t="shared" si="10"/>
        <v/>
      </c>
      <c r="N103" s="1"/>
    </row>
    <row r="104" spans="1:14" ht="25" customHeight="1" x14ac:dyDescent="0.45">
      <c r="A104" s="5"/>
      <c r="B104" s="30"/>
      <c r="C104" s="60">
        <v>3</v>
      </c>
      <c r="D104" s="54">
        <f t="shared" si="9"/>
        <v>71</v>
      </c>
      <c r="E104" s="54">
        <f t="shared" si="8"/>
        <v>9</v>
      </c>
      <c r="F104" s="55">
        <f t="shared" si="11"/>
        <v>1.03</v>
      </c>
      <c r="G104" s="56">
        <f>IF(D104=D103,"",_xlfn.IFNA(VLOOKUP(D104,'인원 입력 기능(국수)'!$F$5:$I$103,4,FALSE),0))</f>
        <v>752</v>
      </c>
      <c r="H104" s="57">
        <f t="shared" si="12"/>
        <v>2.3823855536195151E-3</v>
      </c>
      <c r="I104" s="67">
        <f>SUM($G$7:G104)</f>
        <v>312790</v>
      </c>
      <c r="J104" s="59">
        <f t="shared" si="13"/>
        <v>0.99093933153809599</v>
      </c>
      <c r="K104" s="31"/>
      <c r="L104" s="20" t="str">
        <f t="shared" si="10"/>
        <v/>
      </c>
      <c r="N104" s="1"/>
    </row>
    <row r="105" spans="1:14" ht="25" customHeight="1" x14ac:dyDescent="0.45">
      <c r="A105" s="5"/>
      <c r="B105" s="30"/>
      <c r="C105" s="60">
        <v>2</v>
      </c>
      <c r="D105" s="54">
        <f t="shared" ref="D105" si="14">ROUND(20*(C105-$H$3)/$H$4+100,0)</f>
        <v>70</v>
      </c>
      <c r="E105" s="54">
        <f t="shared" si="8"/>
        <v>9</v>
      </c>
      <c r="F105" s="55">
        <f t="shared" si="11"/>
        <v>0.85</v>
      </c>
      <c r="G105" s="56">
        <f>IF(D105=D104,"",_xlfn.IFNA(VLOOKUP(D105,'인원 입력 기능(국수)'!$F$5:$I$103,4,FALSE),0))</f>
        <v>361</v>
      </c>
      <c r="H105" s="57">
        <f t="shared" si="12"/>
        <v>1.1436717883731981E-3</v>
      </c>
      <c r="I105" s="67">
        <f>SUM($G$7:G105)</f>
        <v>313151</v>
      </c>
      <c r="J105" s="59">
        <f t="shared" si="13"/>
        <v>0.99208300332646915</v>
      </c>
      <c r="K105" s="31"/>
      <c r="L105" s="20" t="str">
        <f t="shared" si="10"/>
        <v/>
      </c>
      <c r="N105" s="1"/>
    </row>
    <row r="106" spans="1:14" ht="25" customHeight="1" x14ac:dyDescent="0.45">
      <c r="A106" s="5"/>
      <c r="B106" s="30"/>
      <c r="C106" s="60">
        <v>1</v>
      </c>
      <c r="D106" s="61" t="s">
        <v>59</v>
      </c>
      <c r="E106" s="61"/>
      <c r="F106" s="62"/>
      <c r="G106" s="63"/>
      <c r="H106" s="64"/>
      <c r="I106" s="71"/>
      <c r="J106" s="66"/>
      <c r="K106" s="31"/>
      <c r="L106" s="20"/>
    </row>
    <row r="107" spans="1:14" ht="25" customHeight="1" thickBot="1" x14ac:dyDescent="0.5">
      <c r="A107" s="5"/>
      <c r="B107" s="30"/>
      <c r="C107" s="72">
        <v>0</v>
      </c>
      <c r="D107" s="73">
        <f>ROUND(20*(C107-$H$3)/$H$4+100,0)</f>
        <v>68</v>
      </c>
      <c r="E107" s="73">
        <f>IF(ROUND(D107,0)&gt;=$Q$7,1,IF(ROUND(D107,0)&gt;=$Q$8,2,IF(ROUND(D107,0)&gt;=$Q$9,3,IF(ROUND(D107,0)&gt;=$Q$10,4,IF(ROUND(D107,0)&gt;=$Q$11,5,IF(ROUND(D107,0)&gt;=$Q$12,6,IF(ROUND(D107,0)&gt;=$Q$13,7,IF(ROUND(D107,0)&gt;=$Q$14,8,9))))))))</f>
        <v>9</v>
      </c>
      <c r="F107" s="74">
        <f>IF(I105=0,ROUND(100*(1-(I104+I107)/2/$J$3),2),ROUND(100*(1-(I105+I107)/2/$J$3),2))</f>
        <v>0.4</v>
      </c>
      <c r="G107" s="75">
        <f>_xlfn.IFNA(VLOOKUP(D107,'인원 입력 기능(국수)'!$F$5:$I$103,4,FALSE),0)</f>
        <v>2499</v>
      </c>
      <c r="H107" s="76">
        <f>G107/$J$3</f>
        <v>7.91699667353081E-3</v>
      </c>
      <c r="I107" s="77">
        <f>SUM($G$7:G107)</f>
        <v>315650</v>
      </c>
      <c r="J107" s="78">
        <f>I107/$J$3</f>
        <v>1</v>
      </c>
      <c r="K107" s="31"/>
      <c r="L107" s="20" t="str">
        <f>IF(ABS((C107-$H$3)/$H$4*20+100-D107)&gt;0.49, "경고", "")</f>
        <v/>
      </c>
    </row>
    <row r="108" spans="1:14" s="5" customFormat="1" ht="6" customHeight="1" x14ac:dyDescent="0.45">
      <c r="B108" s="32"/>
      <c r="C108" s="33"/>
      <c r="D108" s="33"/>
      <c r="E108" s="33"/>
      <c r="F108" s="33"/>
      <c r="G108" s="33"/>
      <c r="H108" s="33"/>
      <c r="I108" s="33"/>
      <c r="J108" s="33"/>
      <c r="K108" s="34"/>
    </row>
    <row r="109" spans="1:14" ht="17" customHeight="1" x14ac:dyDescent="0.45">
      <c r="A109" s="5"/>
      <c r="C109" s="5"/>
      <c r="D109" s="5"/>
      <c r="E109" s="5"/>
      <c r="F109" s="5"/>
      <c r="G109" s="5"/>
      <c r="H109" s="5"/>
      <c r="I109" s="5"/>
      <c r="J109" s="5"/>
      <c r="L109" s="5"/>
    </row>
  </sheetData>
  <mergeCells count="80">
    <mergeCell ref="D3:F3"/>
    <mergeCell ref="D4:F4"/>
    <mergeCell ref="G5:J5"/>
    <mergeCell ref="D16:D17"/>
    <mergeCell ref="E16:E17"/>
    <mergeCell ref="F16:F17"/>
    <mergeCell ref="G16:G17"/>
    <mergeCell ref="H16:H17"/>
    <mergeCell ref="I16:I17"/>
    <mergeCell ref="J16:J17"/>
    <mergeCell ref="I24:I25"/>
    <mergeCell ref="J24:J25"/>
    <mergeCell ref="D33:D34"/>
    <mergeCell ref="E33:E34"/>
    <mergeCell ref="F33:F34"/>
    <mergeCell ref="G33:G34"/>
    <mergeCell ref="H33:H34"/>
    <mergeCell ref="I33:I34"/>
    <mergeCell ref="J33:J34"/>
    <mergeCell ref="D24:D25"/>
    <mergeCell ref="E24:E25"/>
    <mergeCell ref="F24:F25"/>
    <mergeCell ref="G24:G25"/>
    <mergeCell ref="H24:H25"/>
    <mergeCell ref="I41:I42"/>
    <mergeCell ref="J41:J42"/>
    <mergeCell ref="D50:D51"/>
    <mergeCell ref="E50:E51"/>
    <mergeCell ref="F50:F51"/>
    <mergeCell ref="G50:G51"/>
    <mergeCell ref="H50:H51"/>
    <mergeCell ref="I50:I51"/>
    <mergeCell ref="J50:J51"/>
    <mergeCell ref="D41:D42"/>
    <mergeCell ref="E41:E42"/>
    <mergeCell ref="F41:F42"/>
    <mergeCell ref="G41:G42"/>
    <mergeCell ref="H41:H42"/>
    <mergeCell ref="I59:I60"/>
    <mergeCell ref="J59:J60"/>
    <mergeCell ref="D67:D68"/>
    <mergeCell ref="E67:E68"/>
    <mergeCell ref="F67:F68"/>
    <mergeCell ref="G67:G68"/>
    <mergeCell ref="H67:H68"/>
    <mergeCell ref="I67:I68"/>
    <mergeCell ref="J67:J68"/>
    <mergeCell ref="D59:D60"/>
    <mergeCell ref="E59:E60"/>
    <mergeCell ref="F59:F60"/>
    <mergeCell ref="G59:G60"/>
    <mergeCell ref="H59:H60"/>
    <mergeCell ref="I76:I77"/>
    <mergeCell ref="J76:J77"/>
    <mergeCell ref="D84:D85"/>
    <mergeCell ref="E84:E85"/>
    <mergeCell ref="F84:F85"/>
    <mergeCell ref="G84:G85"/>
    <mergeCell ref="H84:H85"/>
    <mergeCell ref="I84:I85"/>
    <mergeCell ref="J84:J85"/>
    <mergeCell ref="D76:D77"/>
    <mergeCell ref="E76:E77"/>
    <mergeCell ref="F76:F77"/>
    <mergeCell ref="G76:G77"/>
    <mergeCell ref="H76:H77"/>
    <mergeCell ref="I93:I94"/>
    <mergeCell ref="J93:J94"/>
    <mergeCell ref="D101:D102"/>
    <mergeCell ref="E101:E102"/>
    <mergeCell ref="F101:F102"/>
    <mergeCell ref="G101:G102"/>
    <mergeCell ref="H101:H102"/>
    <mergeCell ref="I101:I102"/>
    <mergeCell ref="J101:J102"/>
    <mergeCell ref="D93:D94"/>
    <mergeCell ref="E93:E94"/>
    <mergeCell ref="F93:F94"/>
    <mergeCell ref="G93:G94"/>
    <mergeCell ref="H93:H94"/>
  </mergeCells>
  <phoneticPr fontId="1" type="noConversion"/>
  <conditionalFormatting sqref="D7:G16 I7:J16 D18:G24 I18:J24 D26:G33 I26:J33 D35:G41 I35:J41 D43:G50 I43:J50 D52:G59 I52:J59 D61:G67 I61:J67 D69:G76 I69:J76 D78:G84 I78:J84 D86:G93 I86:J93 D95:G101 I95:J101 D103:G107 I103:J107">
    <cfRule type="expression" dxfId="79" priority="4">
      <formula>OR($D7=$Q$7:$Q$14)</formula>
    </cfRule>
  </conditionalFormatting>
  <conditionalFormatting sqref="C7:C106">
    <cfRule type="expression" dxfId="78" priority="3">
      <formula>OR(AND($D7=0,OR($D6=$Q$7:$Q$14)),AND($D8&gt;0,OR($D7=$Q$7:$Q$14)))</formula>
    </cfRule>
  </conditionalFormatting>
  <conditionalFormatting sqref="D7:D16 D18:D24 D26:D33 D35:D41 D43:D50 D52:D59 D61:D67 D69:D76 D78:D84 D86:D93 D95:D101 D103:D106">
    <cfRule type="expression" dxfId="77" priority="2">
      <formula>$D7=$D8</formula>
    </cfRule>
  </conditionalFormatting>
  <conditionalFormatting sqref="H7:H16 H18:H24 H26:H33 H35:H41 H43:H50 H52:H59 H61:H67 H69:H76 H78:H84 H86:H93 H95:H101 H103:H107">
    <cfRule type="expression" dxfId="76" priority="1">
      <formula>OR($D7=$Q$7:$Q$14)</formula>
    </cfRule>
  </conditionalFormatting>
  <conditionalFormatting sqref="C107">
    <cfRule type="expression" dxfId="75" priority="11">
      <formula>OR(AND($D107=0,OR($D106=$Q$7:$Q$14)),AND($D109&gt;0,OR($D107=$Q$7:$Q$14)))</formula>
    </cfRule>
  </conditionalFormatting>
  <conditionalFormatting sqref="D107">
    <cfRule type="expression" dxfId="74" priority="13">
      <formula>$D107=$D109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C9F68-5CFB-48ED-A130-AE73DC06040C}">
  <sheetPr codeName="Sheet8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기능'!D6</f>
        <v>52.63</v>
      </c>
      <c r="I3" s="21" t="s">
        <v>123</v>
      </c>
      <c r="J3" s="81">
        <f>'통계 및 응시자 수 입력 기능'!C6</f>
        <v>311194</v>
      </c>
      <c r="K3" s="31"/>
    </row>
    <row r="4" spans="1:12" ht="25" customHeight="1" thickBot="1" x14ac:dyDescent="0.5">
      <c r="A4" s="5"/>
      <c r="B4" s="30"/>
      <c r="C4" s="82" t="s">
        <v>124</v>
      </c>
      <c r="D4" s="185" t="s">
        <v>128</v>
      </c>
      <c r="E4" s="186"/>
      <c r="F4" s="187"/>
      <c r="G4" s="83" t="s">
        <v>126</v>
      </c>
      <c r="H4" s="84" t="str">
        <f>'통계 및 응시자 수 입력 기능'!E6</f>
        <v>21.02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87">
        <v>1</v>
      </c>
      <c r="D7" s="88">
        <v>90</v>
      </c>
      <c r="E7" s="89">
        <f>'표점등급&amp;절평인원 입력 기능'!D22</f>
        <v>7203</v>
      </c>
      <c r="F7" s="90">
        <f>E7/$J$3</f>
        <v>2.3146333155523564E-2</v>
      </c>
      <c r="G7" s="91">
        <f>SUM($E$7:E7)</f>
        <v>7203</v>
      </c>
      <c r="H7" s="92">
        <f>G7/$J$3</f>
        <v>2.3146333155523564E-2</v>
      </c>
      <c r="I7" s="20"/>
      <c r="J7" s="20"/>
      <c r="K7" s="31"/>
      <c r="L7" s="5"/>
    </row>
    <row r="8" spans="1:12" ht="25" customHeight="1" x14ac:dyDescent="0.45">
      <c r="A8" s="5"/>
      <c r="B8" s="30"/>
      <c r="C8" s="93">
        <v>2</v>
      </c>
      <c r="D8" s="94">
        <v>80</v>
      </c>
      <c r="E8" s="95">
        <f>'표점등급&amp;절평인원 입력 기능'!D23</f>
        <v>21753</v>
      </c>
      <c r="F8" s="96">
        <f t="shared" ref="F8:F15" si="0">E8/$J$3</f>
        <v>6.990173332390727E-2</v>
      </c>
      <c r="G8" s="97">
        <f>SUM($E$7:E8)</f>
        <v>28956</v>
      </c>
      <c r="H8" s="98">
        <f t="shared" ref="H8:H15" si="1">G8/$J$3</f>
        <v>9.3048066479430841E-2</v>
      </c>
      <c r="I8" s="20"/>
      <c r="J8" s="20"/>
      <c r="K8" s="31"/>
      <c r="L8" s="5"/>
    </row>
    <row r="9" spans="1:12" ht="25" customHeight="1" x14ac:dyDescent="0.45">
      <c r="A9" s="5"/>
      <c r="B9" s="30"/>
      <c r="C9" s="93">
        <v>3</v>
      </c>
      <c r="D9" s="94">
        <v>70</v>
      </c>
      <c r="E9" s="95">
        <f>'표점등급&amp;절평인원 입력 기능'!D24</f>
        <v>45491</v>
      </c>
      <c r="F9" s="96">
        <f t="shared" si="0"/>
        <v>0.14618212433401673</v>
      </c>
      <c r="G9" s="97">
        <f>SUM($E$7:E9)</f>
        <v>74447</v>
      </c>
      <c r="H9" s="98">
        <f t="shared" si="1"/>
        <v>0.23923019081344757</v>
      </c>
      <c r="I9" s="20"/>
      <c r="J9" s="20"/>
      <c r="K9" s="31"/>
      <c r="L9" s="5"/>
    </row>
    <row r="10" spans="1:12" ht="25" customHeight="1" x14ac:dyDescent="0.45">
      <c r="A10" s="5"/>
      <c r="B10" s="30"/>
      <c r="C10" s="93">
        <v>4</v>
      </c>
      <c r="D10" s="94">
        <v>60</v>
      </c>
      <c r="E10" s="95">
        <f>'표점등급&amp;절평인원 입력 기능'!D25</f>
        <v>58589</v>
      </c>
      <c r="F10" s="96">
        <f t="shared" si="0"/>
        <v>0.18827162477425657</v>
      </c>
      <c r="G10" s="97">
        <f>SUM($E$7:E10)</f>
        <v>133036</v>
      </c>
      <c r="H10" s="98">
        <f t="shared" si="1"/>
        <v>0.42750181558770411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3">
        <v>5</v>
      </c>
      <c r="D11" s="94">
        <v>50</v>
      </c>
      <c r="E11" s="95">
        <f>'표점등급&amp;절평인원 입력 기능'!D26</f>
        <v>47864</v>
      </c>
      <c r="F11" s="96">
        <f t="shared" si="0"/>
        <v>0.15380759269137581</v>
      </c>
      <c r="G11" s="97">
        <f>SUM($E$7:E11)</f>
        <v>180900</v>
      </c>
      <c r="H11" s="98">
        <f t="shared" si="1"/>
        <v>0.58130940827907995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3">
        <v>6</v>
      </c>
      <c r="D12" s="94">
        <v>40</v>
      </c>
      <c r="E12" s="95">
        <f>'표점등급&amp;절평인원 입력 기능'!D27</f>
        <v>38472</v>
      </c>
      <c r="F12" s="96">
        <f t="shared" si="0"/>
        <v>0.12362706221842323</v>
      </c>
      <c r="G12" s="97">
        <f>SUM($E$7:E12)</f>
        <v>219372</v>
      </c>
      <c r="H12" s="98">
        <f t="shared" si="1"/>
        <v>0.70493647049750319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3">
        <v>7</v>
      </c>
      <c r="D13" s="94">
        <v>30</v>
      </c>
      <c r="E13" s="95">
        <f>'표점등급&amp;절평인원 입력 기능'!D28</f>
        <v>34028</v>
      </c>
      <c r="F13" s="96">
        <f t="shared" si="0"/>
        <v>0.10934658123228597</v>
      </c>
      <c r="G13" s="97">
        <f>SUM($E$7:E13)</f>
        <v>253400</v>
      </c>
      <c r="H13" s="98">
        <f t="shared" si="1"/>
        <v>0.8142830517297891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3">
        <v>8</v>
      </c>
      <c r="D14" s="94">
        <v>20</v>
      </c>
      <c r="E14" s="95">
        <f>'표점등급&amp;절평인원 입력 기능'!D29</f>
        <v>33855</v>
      </c>
      <c r="F14" s="96">
        <f t="shared" si="0"/>
        <v>0.1087906579175691</v>
      </c>
      <c r="G14" s="97">
        <f>SUM($E$7:E14)</f>
        <v>287255</v>
      </c>
      <c r="H14" s="98">
        <f t="shared" si="1"/>
        <v>0.92307370964735824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9">
        <v>9</v>
      </c>
      <c r="D15" s="100">
        <v>0</v>
      </c>
      <c r="E15" s="101">
        <f>'표점등급&amp;절평인원 입력 기능'!D30</f>
        <v>23939</v>
      </c>
      <c r="F15" s="102">
        <f t="shared" si="0"/>
        <v>7.6926290352641757E-2</v>
      </c>
      <c r="G15" s="103">
        <f>SUM($E$7:E15)</f>
        <v>311194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AB635-F5A9-449C-B5D9-16CA419300D1}">
  <sheetPr codeName="Sheet9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기능'!D7</f>
        <v>24.18</v>
      </c>
      <c r="I3" s="21" t="s">
        <v>123</v>
      </c>
      <c r="J3" s="81">
        <f>'통계 및 응시자 수 입력 기능'!C7</f>
        <v>309730</v>
      </c>
      <c r="K3" s="31"/>
    </row>
    <row r="4" spans="1:12" ht="25" customHeight="1" thickBot="1" x14ac:dyDescent="0.5">
      <c r="A4" s="5"/>
      <c r="B4" s="30"/>
      <c r="C4" s="82" t="s">
        <v>124</v>
      </c>
      <c r="D4" s="185" t="s">
        <v>129</v>
      </c>
      <c r="E4" s="186"/>
      <c r="F4" s="187"/>
      <c r="G4" s="83" t="s">
        <v>126</v>
      </c>
      <c r="H4" s="84" t="str">
        <f>'통계 및 응시자 수 입력 기능'!E7</f>
        <v>11.86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87">
        <v>1</v>
      </c>
      <c r="D7" s="88">
        <v>40</v>
      </c>
      <c r="E7" s="89">
        <f>'표점등급&amp;절평인원 입력 기능'!D31</f>
        <v>39014</v>
      </c>
      <c r="F7" s="90">
        <f>E7/$J$3</f>
        <v>0.12596132115067962</v>
      </c>
      <c r="G7" s="91">
        <f>SUM($E$7:E7)</f>
        <v>39014</v>
      </c>
      <c r="H7" s="92">
        <f>G7/$J$3</f>
        <v>0.12596132115067962</v>
      </c>
      <c r="I7" s="20"/>
      <c r="J7" s="20"/>
      <c r="K7" s="31"/>
      <c r="L7" s="5"/>
    </row>
    <row r="8" spans="1:12" ht="25" customHeight="1" x14ac:dyDescent="0.45">
      <c r="A8" s="5"/>
      <c r="B8" s="30"/>
      <c r="C8" s="93">
        <v>2</v>
      </c>
      <c r="D8" s="94">
        <v>35</v>
      </c>
      <c r="E8" s="95">
        <f>'표점등급&amp;절평인원 입력 기능'!D32</f>
        <v>28459</v>
      </c>
      <c r="F8" s="96">
        <f t="shared" ref="F8:F15" si="0">E8/$J$3</f>
        <v>9.1883253155974565E-2</v>
      </c>
      <c r="G8" s="97">
        <f>SUM($E$7:E8)</f>
        <v>67473</v>
      </c>
      <c r="H8" s="98">
        <f t="shared" ref="H8:H15" si="1">G8/$J$3</f>
        <v>0.21784457430665419</v>
      </c>
      <c r="I8" s="20"/>
      <c r="J8" s="20"/>
      <c r="K8" s="31"/>
      <c r="L8" s="5"/>
    </row>
    <row r="9" spans="1:12" ht="25" customHeight="1" x14ac:dyDescent="0.45">
      <c r="A9" s="5"/>
      <c r="B9" s="30"/>
      <c r="C9" s="93">
        <v>3</v>
      </c>
      <c r="D9" s="94">
        <v>30</v>
      </c>
      <c r="E9" s="95">
        <f>'표점등급&amp;절평인원 입력 기능'!D33</f>
        <v>36670</v>
      </c>
      <c r="F9" s="96">
        <f t="shared" si="0"/>
        <v>0.11839343944726052</v>
      </c>
      <c r="G9" s="97">
        <f>SUM($E$7:E9)</f>
        <v>104143</v>
      </c>
      <c r="H9" s="98">
        <f t="shared" si="1"/>
        <v>0.33623801375391471</v>
      </c>
      <c r="I9" s="20"/>
      <c r="J9" s="20"/>
      <c r="K9" s="31"/>
      <c r="L9" s="5"/>
    </row>
    <row r="10" spans="1:12" ht="25" customHeight="1" x14ac:dyDescent="0.45">
      <c r="A10" s="5"/>
      <c r="B10" s="30"/>
      <c r="C10" s="93">
        <v>4</v>
      </c>
      <c r="D10" s="94">
        <v>25</v>
      </c>
      <c r="E10" s="95">
        <f>'표점등급&amp;절평인원 입력 기능'!D34</f>
        <v>42436</v>
      </c>
      <c r="F10" s="96">
        <f t="shared" si="0"/>
        <v>0.13700965356923772</v>
      </c>
      <c r="G10" s="97">
        <f>SUM($E$7:E10)</f>
        <v>146579</v>
      </c>
      <c r="H10" s="98">
        <f t="shared" si="1"/>
        <v>0.47324766732315243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3">
        <v>5</v>
      </c>
      <c r="D11" s="94">
        <v>20</v>
      </c>
      <c r="E11" s="95">
        <f>'표점등급&amp;절평인원 입력 기능'!D35</f>
        <v>41628</v>
      </c>
      <c r="F11" s="96">
        <f t="shared" si="0"/>
        <v>0.13440092984212057</v>
      </c>
      <c r="G11" s="97">
        <f>SUM($E$7:E11)</f>
        <v>188207</v>
      </c>
      <c r="H11" s="98">
        <f t="shared" si="1"/>
        <v>0.60764859716527297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3">
        <v>6</v>
      </c>
      <c r="D12" s="94">
        <v>15</v>
      </c>
      <c r="E12" s="95">
        <f>'표점등급&amp;절평인원 입력 기능'!D36</f>
        <v>38057</v>
      </c>
      <c r="F12" s="96">
        <f t="shared" si="0"/>
        <v>0.12287153327091338</v>
      </c>
      <c r="G12" s="97">
        <f>SUM($E$7:E12)</f>
        <v>226264</v>
      </c>
      <c r="H12" s="98">
        <f t="shared" si="1"/>
        <v>0.73052013043618635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3">
        <v>7</v>
      </c>
      <c r="D13" s="94">
        <v>10</v>
      </c>
      <c r="E13" s="95">
        <f>'표점등급&amp;절평인원 입력 기능'!D37</f>
        <v>45778</v>
      </c>
      <c r="F13" s="96">
        <f t="shared" si="0"/>
        <v>0.14779969650986344</v>
      </c>
      <c r="G13" s="97">
        <f>SUM($E$7:E13)</f>
        <v>272042</v>
      </c>
      <c r="H13" s="98">
        <f t="shared" si="1"/>
        <v>0.87831982694604982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3">
        <v>8</v>
      </c>
      <c r="D14" s="94">
        <v>5</v>
      </c>
      <c r="E14" s="95">
        <f>'표점등급&amp;절평인원 입력 기능'!D38</f>
        <v>32383</v>
      </c>
      <c r="F14" s="96">
        <f t="shared" si="0"/>
        <v>0.10455235204855842</v>
      </c>
      <c r="G14" s="97">
        <f>SUM($E$7:E14)</f>
        <v>304425</v>
      </c>
      <c r="H14" s="98">
        <f t="shared" si="1"/>
        <v>0.98287217899460821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9">
        <v>9</v>
      </c>
      <c r="D15" s="100">
        <v>0</v>
      </c>
      <c r="E15" s="101">
        <f>'표점등급&amp;절평인원 입력 기능'!D39</f>
        <v>5305</v>
      </c>
      <c r="F15" s="102">
        <f t="shared" si="0"/>
        <v>1.7127821005391793E-2</v>
      </c>
      <c r="G15" s="103">
        <f>SUM($E$7:E15)</f>
        <v>309730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58F2E-2945-4475-AB2E-3ED4D0C21331}">
  <sheetPr codeName="Sheet1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기능'!D8</f>
        <v>26.66</v>
      </c>
      <c r="I3" s="21" t="s">
        <v>123</v>
      </c>
      <c r="J3" s="81">
        <f>'통계 및 응시자 수 입력 기능'!C8</f>
        <v>76390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136</v>
      </c>
      <c r="E4" s="186"/>
      <c r="F4" s="187"/>
      <c r="G4" s="83" t="s">
        <v>126</v>
      </c>
      <c r="H4" s="84" t="str">
        <f>'통계 및 응시자 수 입력 기능'!E8</f>
        <v>11.91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70</v>
      </c>
      <c r="E7" s="54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99.36</v>
      </c>
      <c r="G7" s="56">
        <f>_xlfn.IFNA(VLOOKUP(D7,'인원 입력 기능(사과탐)'!$A$5:$D$59,4,FALSE),0)</f>
        <v>978</v>
      </c>
      <c r="H7" s="57">
        <f>G7/$J$3</f>
        <v>1.2802722869485535E-2</v>
      </c>
      <c r="I7" s="58">
        <f>G7</f>
        <v>978</v>
      </c>
      <c r="J7" s="59">
        <f>I7/$J$3</f>
        <v>1.2802722869485535E-2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기능'!C40</f>
        <v>67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기능'!C41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68</v>
      </c>
      <c r="E9" s="54">
        <f t="shared" si="0"/>
        <v>1</v>
      </c>
      <c r="F9" s="55">
        <f>IF(I8=0,ROUND(100*(1-(I7+I9)/2/$J$3),2),ROUND(100*(1-(I8+I9)/2/$J$3),2))</f>
        <v>98.48</v>
      </c>
      <c r="G9" s="56">
        <f>_xlfn.IFNA(VLOOKUP(D9,'인원 입력 기능(사과탐)'!$A$5:$D$59,4,FALSE),0)</f>
        <v>363</v>
      </c>
      <c r="H9" s="57">
        <f t="shared" ref="H9:H55" si="1">G9/$J$3</f>
        <v>4.7519308810053673E-3</v>
      </c>
      <c r="I9" s="67">
        <f>SUM($G$7:G9)</f>
        <v>1341</v>
      </c>
      <c r="J9" s="59">
        <f>I9/$J$3</f>
        <v>1.7554653750490902E-2</v>
      </c>
      <c r="K9" s="36"/>
      <c r="L9" s="20" t="str">
        <f t="shared" ref="L9:L55" si="2">IF(ABS((C9-$H$3)/$H$4*10+50-D9)&gt;0.49, "경고", "")</f>
        <v/>
      </c>
      <c r="N9" s="24"/>
      <c r="P9" s="24">
        <v>3</v>
      </c>
      <c r="Q9" s="24">
        <f>'표점등급&amp;절평인원 입력 기능'!C42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67</v>
      </c>
      <c r="E10" s="54">
        <f t="shared" si="0"/>
        <v>1</v>
      </c>
      <c r="F10" s="55">
        <f t="shared" ref="F10:F55" si="4">IF(I9=0,ROUND(100*(1-(I8+I10)/2/$J$3),2),ROUND(100*(1-(I9+I10)/2/$J$3),2))</f>
        <v>97.08</v>
      </c>
      <c r="G10" s="56">
        <f>IF(D10=D9,"",_xlfn.IFNA(VLOOKUP(D10,'인원 입력 기능(사과탐)'!$A$5:$D$59,4,FALSE),0))</f>
        <v>1774</v>
      </c>
      <c r="H10" s="57">
        <f t="shared" si="1"/>
        <v>2.3222934939128158E-2</v>
      </c>
      <c r="I10" s="67">
        <f>SUM($G$7:G10)</f>
        <v>3115</v>
      </c>
      <c r="J10" s="59">
        <f t="shared" ref="J10:J55" si="5">I10/$J$3</f>
        <v>4.077758868961906E-2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기능'!C43</f>
        <v>54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66</v>
      </c>
      <c r="E11" s="54">
        <f t="shared" si="0"/>
        <v>2</v>
      </c>
      <c r="F11" s="55">
        <f t="shared" si="4"/>
        <v>95.86</v>
      </c>
      <c r="G11" s="56">
        <f>IF(D11=D10,"",_xlfn.IFNA(VLOOKUP(D11,'인원 입력 기능(사과탐)'!$A$5:$D$59,4,FALSE),0))</f>
        <v>91</v>
      </c>
      <c r="H11" s="57">
        <f t="shared" si="1"/>
        <v>1.1912553999214558E-3</v>
      </c>
      <c r="I11" s="67">
        <f>SUM($G$7:G11)</f>
        <v>3206</v>
      </c>
      <c r="J11" s="59">
        <f t="shared" si="5"/>
        <v>4.1968844089540519E-2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기능'!C44</f>
        <v>48</v>
      </c>
    </row>
    <row r="12" spans="1:17" s="22" customFormat="1" ht="25" customHeight="1" x14ac:dyDescent="0.45">
      <c r="A12" s="20"/>
      <c r="B12" s="35"/>
      <c r="C12" s="60">
        <v>45</v>
      </c>
      <c r="D12" s="172">
        <f t="shared" si="3"/>
        <v>65</v>
      </c>
      <c r="E12" s="172">
        <f t="shared" si="0"/>
        <v>2</v>
      </c>
      <c r="F12" s="176">
        <f t="shared" si="4"/>
        <v>93.72</v>
      </c>
      <c r="G12" s="178">
        <f>IF(D12=D11,"",_xlfn.IFNA(VLOOKUP(D12,'인원 입력 기능(사과탐)'!$A$5:$D$59,4,FALSE),0))</f>
        <v>3184</v>
      </c>
      <c r="H12" s="180">
        <f t="shared" si="1"/>
        <v>4.1680848278570493E-2</v>
      </c>
      <c r="I12" s="189">
        <f>SUM($G$7:G12)</f>
        <v>6390</v>
      </c>
      <c r="J12" s="170">
        <f t="shared" si="5"/>
        <v>8.3649692368111012E-2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기능'!C45</f>
        <v>39</v>
      </c>
    </row>
    <row r="13" spans="1:17" s="22" customFormat="1" ht="25" customHeight="1" x14ac:dyDescent="0.45">
      <c r="A13" s="20"/>
      <c r="B13" s="35"/>
      <c r="C13" s="53">
        <v>44</v>
      </c>
      <c r="D13" s="173"/>
      <c r="E13" s="173"/>
      <c r="F13" s="177"/>
      <c r="G13" s="179"/>
      <c r="H13" s="181"/>
      <c r="I13" s="190"/>
      <c r="J13" s="17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기능'!C46</f>
        <v>36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64</v>
      </c>
      <c r="E14" s="54">
        <f t="shared" si="0"/>
        <v>2</v>
      </c>
      <c r="F14" s="55">
        <f t="shared" si="4"/>
        <v>91.38</v>
      </c>
      <c r="G14" s="56">
        <f>IF(D14=D13,"",_xlfn.IFNA(VLOOKUP(D14,'인원 입력 기능(사과탐)'!$A$5:$D$59,4,FALSE),0))</f>
        <v>387</v>
      </c>
      <c r="H14" s="57">
        <f t="shared" si="1"/>
        <v>5.0661081293363009E-3</v>
      </c>
      <c r="I14" s="67">
        <f>SUM($G$7:G14)</f>
        <v>6777</v>
      </c>
      <c r="J14" s="59">
        <f t="shared" si="5"/>
        <v>8.8715800497447303E-2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기능'!C47</f>
        <v>34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63</v>
      </c>
      <c r="E15" s="54">
        <f t="shared" si="0"/>
        <v>2</v>
      </c>
      <c r="F15" s="55">
        <f t="shared" si="4"/>
        <v>89.85</v>
      </c>
      <c r="G15" s="56">
        <f>IF(D15=D14,"",_xlfn.IFNA(VLOOKUP(D15,'인원 입력 기능(사과탐)'!$A$5:$D$59,4,FALSE),0))</f>
        <v>1953</v>
      </c>
      <c r="H15" s="57">
        <f t="shared" si="1"/>
        <v>2.5566173582929702E-2</v>
      </c>
      <c r="I15" s="67">
        <f>SUM($G$7:G15)</f>
        <v>8730</v>
      </c>
      <c r="J15" s="59">
        <f t="shared" si="5"/>
        <v>0.11428197408037702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62</v>
      </c>
      <c r="E16" s="54">
        <f t="shared" si="0"/>
        <v>3</v>
      </c>
      <c r="F16" s="55">
        <f t="shared" si="4"/>
        <v>87.07</v>
      </c>
      <c r="G16" s="56">
        <f>IF(D16=D15,"",_xlfn.IFNA(VLOOKUP(D16,'인원 입력 기능(사과탐)'!$A$5:$D$59,4,FALSE),0))</f>
        <v>2289</v>
      </c>
      <c r="H16" s="57">
        <f t="shared" si="1"/>
        <v>2.9964655059562771E-2</v>
      </c>
      <c r="I16" s="67">
        <f>SUM($G$7:G16)</f>
        <v>11019</v>
      </c>
      <c r="J16" s="59">
        <f t="shared" si="5"/>
        <v>0.14424662913993977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61</v>
      </c>
      <c r="E17" s="54">
        <f t="shared" si="0"/>
        <v>3</v>
      </c>
      <c r="F17" s="55">
        <f t="shared" si="4"/>
        <v>84.96</v>
      </c>
      <c r="G17" s="56">
        <f>IF(D17=D16,"",_xlfn.IFNA(VLOOKUP(D17,'인원 입력 기능(사과탐)'!$A$5:$D$59,4,FALSE),0))</f>
        <v>935</v>
      </c>
      <c r="H17" s="57">
        <f t="shared" si="1"/>
        <v>1.2239821966225946E-2</v>
      </c>
      <c r="I17" s="67">
        <f>SUM($G$7:G17)</f>
        <v>11954</v>
      </c>
      <c r="J17" s="59">
        <f t="shared" si="5"/>
        <v>0.15648645110616574</v>
      </c>
      <c r="K17" s="36"/>
      <c r="L17" s="20" t="str">
        <f t="shared" si="2"/>
        <v/>
      </c>
      <c r="N17" s="24"/>
      <c r="Q17" s="24">
        <f>Q7*H3*H4*J3*IFERROR(IF(J57=1, 1, 0), 0)</f>
        <v>1625111708.4779999</v>
      </c>
    </row>
    <row r="18" spans="1:17" s="22" customFormat="1" ht="25" customHeight="1" x14ac:dyDescent="0.45">
      <c r="A18" s="20"/>
      <c r="B18" s="35"/>
      <c r="C18" s="60">
        <v>39</v>
      </c>
      <c r="D18" s="172">
        <f t="shared" si="3"/>
        <v>60</v>
      </c>
      <c r="E18" s="172">
        <f t="shared" si="0"/>
        <v>3</v>
      </c>
      <c r="F18" s="176">
        <f t="shared" si="4"/>
        <v>81.28</v>
      </c>
      <c r="G18" s="178">
        <f>IF(D18=D17,"",_xlfn.IFNA(VLOOKUP(D18,'인원 입력 기능(사과탐)'!$A$5:$D$59,4,FALSE),0))</f>
        <v>4690</v>
      </c>
      <c r="H18" s="180">
        <f t="shared" si="1"/>
        <v>6.1395470611336565E-2</v>
      </c>
      <c r="I18" s="189">
        <f>SUM($G$7:G18)</f>
        <v>16644</v>
      </c>
      <c r="J18" s="170">
        <f t="shared" si="5"/>
        <v>0.21788192171750229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173"/>
      <c r="E19" s="173"/>
      <c r="F19" s="177"/>
      <c r="G19" s="179"/>
      <c r="H19" s="181"/>
      <c r="I19" s="190"/>
      <c r="J19" s="17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59</v>
      </c>
      <c r="E20" s="54">
        <f t="shared" si="0"/>
        <v>3</v>
      </c>
      <c r="F20" s="55">
        <f t="shared" si="4"/>
        <v>77.14</v>
      </c>
      <c r="G20" s="56">
        <f>IF(D20=D19,"",_xlfn.IFNA(VLOOKUP(D20,'인원 입력 기능(사과탐)'!$A$5:$D$59,4,FALSE),0))</f>
        <v>1643</v>
      </c>
      <c r="H20" s="57">
        <f t="shared" si="1"/>
        <v>2.1508050791988479E-2</v>
      </c>
      <c r="I20" s="67">
        <f>SUM($G$7:G20)</f>
        <v>18287</v>
      </c>
      <c r="J20" s="59">
        <f t="shared" si="5"/>
        <v>0.23938997250949076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58</v>
      </c>
      <c r="E21" s="68">
        <f t="shared" si="0"/>
        <v>4</v>
      </c>
      <c r="F21" s="55">
        <f t="shared" si="4"/>
        <v>74.2</v>
      </c>
      <c r="G21" s="56">
        <f>IF(D21=D20,"",_xlfn.IFNA(VLOOKUP(D21,'인원 입력 기능(사과탐)'!$A$5:$D$59,4,FALSE),0))</f>
        <v>2837</v>
      </c>
      <c r="H21" s="57">
        <f t="shared" si="1"/>
        <v>3.7138368896452417E-2</v>
      </c>
      <c r="I21" s="67">
        <f>SUM($G$7:G21)</f>
        <v>21124</v>
      </c>
      <c r="J21" s="59">
        <f t="shared" si="5"/>
        <v>0.27652834140594318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57</v>
      </c>
      <c r="E22" s="68">
        <f t="shared" si="0"/>
        <v>4</v>
      </c>
      <c r="F22" s="55">
        <f t="shared" si="4"/>
        <v>71.12</v>
      </c>
      <c r="G22" s="56">
        <f>IF(D22=D21,"",_xlfn.IFNA(VLOOKUP(D22,'인원 입력 기능(사과탐)'!$A$5:$D$59,4,FALSE),0))</f>
        <v>1878</v>
      </c>
      <c r="H22" s="57">
        <f t="shared" si="1"/>
        <v>2.4584369681895535E-2</v>
      </c>
      <c r="I22" s="67">
        <f>SUM($G$7:G22)</f>
        <v>23002</v>
      </c>
      <c r="J22" s="59">
        <f t="shared" si="5"/>
        <v>0.30111271108783871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56</v>
      </c>
      <c r="E23" s="68">
        <f t="shared" si="0"/>
        <v>4</v>
      </c>
      <c r="F23" s="55">
        <f t="shared" si="4"/>
        <v>68.400000000000006</v>
      </c>
      <c r="G23" s="56">
        <f>IF(D23=D22,"",_xlfn.IFNA(VLOOKUP(D23,'인원 입력 기능(사과탐)'!$A$5:$D$59,4,FALSE),0))</f>
        <v>2269</v>
      </c>
      <c r="H23" s="57">
        <f t="shared" si="1"/>
        <v>2.970284068595366E-2</v>
      </c>
      <c r="I23" s="67">
        <f>SUM($G$7:G23)</f>
        <v>25271</v>
      </c>
      <c r="J23" s="59">
        <f t="shared" si="5"/>
        <v>0.3308155517737924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55</v>
      </c>
      <c r="E24" s="68">
        <f t="shared" si="0"/>
        <v>4</v>
      </c>
      <c r="F24" s="55">
        <f t="shared" si="4"/>
        <v>65.239999999999995</v>
      </c>
      <c r="G24" s="56">
        <f>IF(D24=D23,"",_xlfn.IFNA(VLOOKUP(D24,'인원 입력 기능(사과탐)'!$A$5:$D$59,4,FALSE),0))</f>
        <v>2567</v>
      </c>
      <c r="H24" s="57">
        <f t="shared" si="1"/>
        <v>3.3603874852729414E-2</v>
      </c>
      <c r="I24" s="67">
        <f>SUM($G$7:G24)</f>
        <v>27838</v>
      </c>
      <c r="J24" s="59">
        <f t="shared" si="5"/>
        <v>0.36441942662652177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174">
        <f t="shared" si="3"/>
        <v>54</v>
      </c>
      <c r="E25" s="174">
        <f t="shared" si="0"/>
        <v>4</v>
      </c>
      <c r="F25" s="176">
        <f t="shared" si="4"/>
        <v>60.65</v>
      </c>
      <c r="G25" s="178">
        <f>IF(D25=D24,"",_xlfn.IFNA(VLOOKUP(D25,'인원 입력 기능(사과탐)'!$A$5:$D$59,4,FALSE),0))</f>
        <v>4448</v>
      </c>
      <c r="H25" s="180">
        <f t="shared" si="1"/>
        <v>5.8227516690666316E-2</v>
      </c>
      <c r="I25" s="189">
        <f>SUM($G$7:G25)</f>
        <v>32286</v>
      </c>
      <c r="J25" s="170">
        <f t="shared" si="5"/>
        <v>0.42264694331718811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175"/>
      <c r="E26" s="175"/>
      <c r="F26" s="177"/>
      <c r="G26" s="179"/>
      <c r="H26" s="181"/>
      <c r="I26" s="190"/>
      <c r="J26" s="171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53</v>
      </c>
      <c r="E27" s="68">
        <f t="shared" si="0"/>
        <v>5</v>
      </c>
      <c r="F27" s="55">
        <f t="shared" si="4"/>
        <v>56.36</v>
      </c>
      <c r="G27" s="56">
        <f>IF(D27=D26,"",_xlfn.IFNA(VLOOKUP(D27,'인원 입력 기능(사과탐)'!$A$5:$D$59,4,FALSE),0))</f>
        <v>2097</v>
      </c>
      <c r="H27" s="57">
        <f t="shared" si="1"/>
        <v>2.7451237072915302E-2</v>
      </c>
      <c r="I27" s="67">
        <f>SUM($G$7:G27)</f>
        <v>34383</v>
      </c>
      <c r="J27" s="59">
        <f t="shared" si="5"/>
        <v>0.45009818039010341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52</v>
      </c>
      <c r="E28" s="68">
        <f t="shared" si="0"/>
        <v>5</v>
      </c>
      <c r="F28" s="55">
        <f t="shared" si="4"/>
        <v>53.66</v>
      </c>
      <c r="G28" s="56">
        <f>IF(D28=D27,"",_xlfn.IFNA(VLOOKUP(D28,'인원 입력 기능(사과탐)'!$A$5:$D$59,4,FALSE),0))</f>
        <v>2037</v>
      </c>
      <c r="H28" s="57">
        <f t="shared" si="1"/>
        <v>2.6665793952087971E-2</v>
      </c>
      <c r="I28" s="67">
        <f>SUM($G$7:G28)</f>
        <v>36420</v>
      </c>
      <c r="J28" s="59">
        <f t="shared" si="5"/>
        <v>0.47676397434219137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51</v>
      </c>
      <c r="E29" s="68">
        <f t="shared" si="0"/>
        <v>5</v>
      </c>
      <c r="F29" s="55">
        <f t="shared" si="4"/>
        <v>50.93</v>
      </c>
      <c r="G29" s="56">
        <f>IF(D29=D28,"",_xlfn.IFNA(VLOOKUP(D29,'인원 입력 기능(사과탐)'!$A$5:$D$59,4,FALSE),0))</f>
        <v>2122</v>
      </c>
      <c r="H29" s="57">
        <f t="shared" si="1"/>
        <v>2.7778505039926692E-2</v>
      </c>
      <c r="I29" s="67">
        <f>SUM($G$7:G29)</f>
        <v>38542</v>
      </c>
      <c r="J29" s="59">
        <f t="shared" si="5"/>
        <v>0.50454247938211805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50</v>
      </c>
      <c r="E30" s="68">
        <f t="shared" si="0"/>
        <v>5</v>
      </c>
      <c r="F30" s="55">
        <f t="shared" si="4"/>
        <v>48.31</v>
      </c>
      <c r="G30" s="56">
        <f>IF(D30=D29,"",_xlfn.IFNA(VLOOKUP(D30,'인원 입력 기능(사과탐)'!$A$5:$D$59,4,FALSE),0))</f>
        <v>1888</v>
      </c>
      <c r="H30" s="57">
        <f t="shared" si="1"/>
        <v>2.4715276868700092E-2</v>
      </c>
      <c r="I30" s="67">
        <f>SUM($G$7:G30)</f>
        <v>40430</v>
      </c>
      <c r="J30" s="59">
        <f t="shared" si="5"/>
        <v>0.52925775625081817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174">
        <f t="shared" si="3"/>
        <v>49</v>
      </c>
      <c r="E31" s="174">
        <f t="shared" si="0"/>
        <v>5</v>
      </c>
      <c r="F31" s="176">
        <f t="shared" si="4"/>
        <v>44.62</v>
      </c>
      <c r="G31" s="178">
        <f>IF(D31=D30,"",_xlfn.IFNA(VLOOKUP(D31,'인원 입력 기능(사과탐)'!$A$5:$D$59,4,FALSE),0))</f>
        <v>3757</v>
      </c>
      <c r="H31" s="180">
        <f t="shared" si="1"/>
        <v>4.9181830082471525E-2</v>
      </c>
      <c r="I31" s="189">
        <f>SUM($G$7:G31)</f>
        <v>44187</v>
      </c>
      <c r="J31" s="170">
        <f t="shared" si="5"/>
        <v>0.57843958633328973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175"/>
      <c r="E32" s="175"/>
      <c r="F32" s="177"/>
      <c r="G32" s="179"/>
      <c r="H32" s="181"/>
      <c r="I32" s="190"/>
      <c r="J32" s="171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48</v>
      </c>
      <c r="E33" s="68">
        <f t="shared" si="0"/>
        <v>5</v>
      </c>
      <c r="F33" s="55">
        <f t="shared" si="4"/>
        <v>41.01</v>
      </c>
      <c r="G33" s="56">
        <f>IF(D33=D32,"",_xlfn.IFNA(VLOOKUP(D33,'인원 입력 기능(사과탐)'!$A$5:$D$59,4,FALSE),0))</f>
        <v>1747</v>
      </c>
      <c r="H33" s="57">
        <f t="shared" si="1"/>
        <v>2.286948553475586E-2</v>
      </c>
      <c r="I33" s="67">
        <f>SUM($G$7:G33)</f>
        <v>45934</v>
      </c>
      <c r="J33" s="59">
        <f t="shared" si="5"/>
        <v>0.60130907186804561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47</v>
      </c>
      <c r="E34" s="68">
        <f t="shared" si="0"/>
        <v>6</v>
      </c>
      <c r="F34" s="55">
        <f t="shared" si="4"/>
        <v>38.770000000000003</v>
      </c>
      <c r="G34" s="56">
        <f>IF(D34=D33,"",_xlfn.IFNA(VLOOKUP(D34,'인원 입력 기능(사과탐)'!$A$5:$D$59,4,FALSE),0))</f>
        <v>1673</v>
      </c>
      <c r="H34" s="57">
        <f t="shared" si="1"/>
        <v>2.1900772352402148E-2</v>
      </c>
      <c r="I34" s="67">
        <f>SUM($G$7:G34)</f>
        <v>47607</v>
      </c>
      <c r="J34" s="59">
        <f t="shared" si="5"/>
        <v>0.62320984422044767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46</v>
      </c>
      <c r="E35" s="68">
        <f t="shared" si="0"/>
        <v>6</v>
      </c>
      <c r="F35" s="55">
        <f t="shared" si="4"/>
        <v>36.729999999999997</v>
      </c>
      <c r="G35" s="56">
        <f>IF(D35=D34,"",_xlfn.IFNA(VLOOKUP(D35,'인원 입력 기능(사과탐)'!$A$5:$D$59,4,FALSE),0))</f>
        <v>1450</v>
      </c>
      <c r="H35" s="57">
        <f t="shared" si="1"/>
        <v>1.8981542086660558E-2</v>
      </c>
      <c r="I35" s="67">
        <f>SUM($G$7:G35)</f>
        <v>49057</v>
      </c>
      <c r="J35" s="59">
        <f t="shared" si="5"/>
        <v>0.64219138630710826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45</v>
      </c>
      <c r="E36" s="68">
        <f t="shared" si="0"/>
        <v>6</v>
      </c>
      <c r="F36" s="55">
        <f t="shared" si="4"/>
        <v>34.81</v>
      </c>
      <c r="G36" s="56">
        <f>IF(D36=D35,"",_xlfn.IFNA(VLOOKUP(D36,'인원 입력 기능(사과탐)'!$A$5:$D$59,4,FALSE),0))</f>
        <v>1483</v>
      </c>
      <c r="H36" s="57">
        <f t="shared" si="1"/>
        <v>1.9413535803115591E-2</v>
      </c>
      <c r="I36" s="67">
        <f>SUM($G$7:G36)</f>
        <v>50540</v>
      </c>
      <c r="J36" s="59">
        <f t="shared" si="5"/>
        <v>0.66160492211022381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174">
        <f t="shared" si="3"/>
        <v>44</v>
      </c>
      <c r="E37" s="174">
        <f t="shared" si="0"/>
        <v>6</v>
      </c>
      <c r="F37" s="176">
        <f t="shared" si="4"/>
        <v>32.03</v>
      </c>
      <c r="G37" s="178">
        <f>IF(D37=D36,"",_xlfn.IFNA(VLOOKUP(D37,'인원 입력 기능(사과탐)'!$A$5:$D$59,4,FALSE),0))</f>
        <v>2763</v>
      </c>
      <c r="H37" s="180">
        <f t="shared" si="1"/>
        <v>3.6169655714098706E-2</v>
      </c>
      <c r="I37" s="189">
        <f>SUM($G$7:G37)</f>
        <v>53303</v>
      </c>
      <c r="J37" s="170">
        <f t="shared" si="5"/>
        <v>0.69777457782432251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175"/>
      <c r="E38" s="175"/>
      <c r="F38" s="177"/>
      <c r="G38" s="179"/>
      <c r="H38" s="181"/>
      <c r="I38" s="190"/>
      <c r="J38" s="17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43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29.39</v>
      </c>
      <c r="G39" s="56">
        <f>IF(D39=D38,"",_xlfn.IFNA(VLOOKUP(D39,'인원 입력 기능(사과탐)'!$A$5:$D$59,4,FALSE),0))</f>
        <v>1274</v>
      </c>
      <c r="H39" s="57">
        <f t="shared" si="1"/>
        <v>1.6677575598900381E-2</v>
      </c>
      <c r="I39" s="67">
        <f>SUM($G$7:G39)</f>
        <v>54577</v>
      </c>
      <c r="J39" s="59">
        <f t="shared" si="5"/>
        <v>0.71445215342322288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42</v>
      </c>
      <c r="E40" s="68">
        <f t="shared" si="6"/>
        <v>6</v>
      </c>
      <c r="F40" s="55">
        <f t="shared" si="4"/>
        <v>27.74</v>
      </c>
      <c r="G40" s="56">
        <f>IF(D40=D39,"",_xlfn.IFNA(VLOOKUP(D40,'인원 입력 기능(사과탐)'!$A$5:$D$59,4,FALSE),0))</f>
        <v>1252</v>
      </c>
      <c r="H40" s="57">
        <f t="shared" si="1"/>
        <v>1.6389579787930358E-2</v>
      </c>
      <c r="I40" s="67">
        <f>SUM($G$7:G40)</f>
        <v>55829</v>
      </c>
      <c r="J40" s="59">
        <f t="shared" si="5"/>
        <v>0.73084173321115331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41</v>
      </c>
      <c r="E41" s="68">
        <f t="shared" si="6"/>
        <v>6</v>
      </c>
      <c r="F41" s="55">
        <f t="shared" si="4"/>
        <v>26.07</v>
      </c>
      <c r="G41" s="56">
        <f>IF(D41=D40,"",_xlfn.IFNA(VLOOKUP(D41,'인원 입력 기능(사과탐)'!$A$5:$D$59,4,FALSE),0))</f>
        <v>1298</v>
      </c>
      <c r="H41" s="57">
        <f t="shared" si="1"/>
        <v>1.6991752847231312E-2</v>
      </c>
      <c r="I41" s="67">
        <f>SUM($G$7:G41)</f>
        <v>57127</v>
      </c>
      <c r="J41" s="59">
        <f t="shared" si="5"/>
        <v>0.74783348605838462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40</v>
      </c>
      <c r="E42" s="68">
        <f t="shared" si="6"/>
        <v>6</v>
      </c>
      <c r="F42" s="55">
        <f t="shared" si="4"/>
        <v>24.48</v>
      </c>
      <c r="G42" s="56">
        <f>IF(D42=D41,"",_xlfn.IFNA(VLOOKUP(D42,'인원 입력 기능(사과탐)'!$A$5:$D$59,4,FALSE),0))</f>
        <v>1119</v>
      </c>
      <c r="H42" s="57">
        <f t="shared" si="1"/>
        <v>1.4648514203429767E-2</v>
      </c>
      <c r="I42" s="67">
        <f>SUM($G$7:G42)</f>
        <v>58246</v>
      </c>
      <c r="J42" s="59">
        <f t="shared" si="5"/>
        <v>0.76248200026181434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4">
        <f t="shared" si="3"/>
        <v>39</v>
      </c>
      <c r="E43" s="174">
        <f t="shared" si="6"/>
        <v>6</v>
      </c>
      <c r="F43" s="176">
        <f t="shared" si="4"/>
        <v>19.600000000000001</v>
      </c>
      <c r="G43" s="178">
        <f>IF(D43=D42,"",_xlfn.IFNA(VLOOKUP(D43,'인원 입력 기능(사과탐)'!$A$5:$D$59,4,FALSE),0))</f>
        <v>6350</v>
      </c>
      <c r="H43" s="180">
        <f t="shared" si="1"/>
        <v>8.3126063620892782E-2</v>
      </c>
      <c r="I43" s="189">
        <f>SUM($G$7:G43)</f>
        <v>64596</v>
      </c>
      <c r="J43" s="170">
        <f t="shared" si="5"/>
        <v>0.84560806388270715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175"/>
      <c r="E44" s="175"/>
      <c r="F44" s="177"/>
      <c r="G44" s="179"/>
      <c r="H44" s="181"/>
      <c r="I44" s="190"/>
      <c r="J44" s="171"/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38</v>
      </c>
      <c r="E45" s="68">
        <f t="shared" si="6"/>
        <v>7</v>
      </c>
      <c r="F45" s="55">
        <f t="shared" si="4"/>
        <v>14.65</v>
      </c>
      <c r="G45" s="56">
        <f>IF(D45=D44,"",_xlfn.IFNA(VLOOKUP(D45,'인원 입력 기능(사과탐)'!$A$5:$D$59,4,FALSE),0))</f>
        <v>1209</v>
      </c>
      <c r="H45" s="57">
        <f t="shared" si="1"/>
        <v>1.5826678884670767E-2</v>
      </c>
      <c r="I45" s="67">
        <f>SUM($G$7:G45)</f>
        <v>65805</v>
      </c>
      <c r="J45" s="59">
        <f t="shared" si="5"/>
        <v>0.86143474276737797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37</v>
      </c>
      <c r="E46" s="68">
        <f t="shared" si="6"/>
        <v>7</v>
      </c>
      <c r="F46" s="55">
        <f t="shared" si="4"/>
        <v>13.01</v>
      </c>
      <c r="G46" s="56">
        <f>IF(D46=D45,"",_xlfn.IFNA(VLOOKUP(D46,'인원 입력 기능(사과탐)'!$A$5:$D$59,4,FALSE),0))</f>
        <v>1299</v>
      </c>
      <c r="H46" s="57">
        <f t="shared" si="1"/>
        <v>1.7004843565911767E-2</v>
      </c>
      <c r="I46" s="67">
        <f>SUM($G$7:G46)</f>
        <v>67104</v>
      </c>
      <c r="J46" s="59">
        <f t="shared" si="5"/>
        <v>0.87843958633328967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36</v>
      </c>
      <c r="E47" s="68">
        <f t="shared" si="6"/>
        <v>7</v>
      </c>
      <c r="F47" s="55">
        <f t="shared" si="4"/>
        <v>9.49</v>
      </c>
      <c r="G47" s="56">
        <f>IF(D47=D46,"",_xlfn.IFNA(VLOOKUP(D47,'인원 입력 기능(사과탐)'!$A$5:$D$59,4,FALSE),0))</f>
        <v>4070</v>
      </c>
      <c r="H47" s="57">
        <f t="shared" si="1"/>
        <v>5.3279225029454119E-2</v>
      </c>
      <c r="I47" s="67">
        <f>SUM($G$7:G47)</f>
        <v>71174</v>
      </c>
      <c r="J47" s="59">
        <f t="shared" si="5"/>
        <v>0.93171881136274382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35</v>
      </c>
      <c r="E48" s="68">
        <f t="shared" si="6"/>
        <v>8</v>
      </c>
      <c r="F48" s="55">
        <f t="shared" si="4"/>
        <v>5.83</v>
      </c>
      <c r="G48" s="56">
        <f>IF(D48=D47,"",_xlfn.IFNA(VLOOKUP(D48,'인원 입력 기능(사과탐)'!$A$5:$D$59,4,FALSE),0))</f>
        <v>1530</v>
      </c>
      <c r="H48" s="57">
        <f t="shared" si="1"/>
        <v>2.0028799581097004E-2</v>
      </c>
      <c r="I48" s="67">
        <f>SUM($G$7:G48)</f>
        <v>72704</v>
      </c>
      <c r="J48" s="59">
        <f t="shared" si="5"/>
        <v>0.95174761094384086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34</v>
      </c>
      <c r="E49" s="68">
        <f t="shared" si="6"/>
        <v>8</v>
      </c>
      <c r="F49" s="55">
        <f t="shared" si="4"/>
        <v>4.25</v>
      </c>
      <c r="G49" s="56">
        <f>IF(D49=D48,"",_xlfn.IFNA(VLOOKUP(D49,'인원 입력 기능(사과탐)'!$A$5:$D$59,4,FALSE),0))</f>
        <v>886</v>
      </c>
      <c r="H49" s="57">
        <f t="shared" si="1"/>
        <v>1.1598376750883623E-2</v>
      </c>
      <c r="I49" s="67">
        <f>SUM($G$7:G49)</f>
        <v>73590</v>
      </c>
      <c r="J49" s="59">
        <f t="shared" si="5"/>
        <v>0.96334598769472446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174">
        <f t="shared" si="3"/>
        <v>33</v>
      </c>
      <c r="E50" s="174">
        <f t="shared" si="6"/>
        <v>9</v>
      </c>
      <c r="F50" s="176">
        <f t="shared" si="4"/>
        <v>2.66</v>
      </c>
      <c r="G50" s="178">
        <f>IF(D50=D49,"",_xlfn.IFNA(VLOOKUP(D50,'인원 입력 기능(사과탐)'!$A$5:$D$59,4,FALSE),0))</f>
        <v>1530</v>
      </c>
      <c r="H50" s="180">
        <f t="shared" si="1"/>
        <v>2.0028799581097004E-2</v>
      </c>
      <c r="I50" s="189">
        <f>SUM($G$7:G50)</f>
        <v>75120</v>
      </c>
      <c r="J50" s="170">
        <f t="shared" si="5"/>
        <v>0.98337478727582139</v>
      </c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6">
        <v>6</v>
      </c>
      <c r="D51" s="175"/>
      <c r="E51" s="175"/>
      <c r="F51" s="177"/>
      <c r="G51" s="179"/>
      <c r="H51" s="181"/>
      <c r="I51" s="190"/>
      <c r="J51" s="171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32</v>
      </c>
      <c r="E52" s="68">
        <f t="shared" si="6"/>
        <v>9</v>
      </c>
      <c r="F52" s="55">
        <f t="shared" si="4"/>
        <v>1.31</v>
      </c>
      <c r="G52" s="56">
        <f>IF(D52=D51,"",_xlfn.IFNA(VLOOKUP(D52,'인원 입력 기능(사과탐)'!$A$5:$D$59,4,FALSE),0))</f>
        <v>531</v>
      </c>
      <c r="H52" s="57">
        <f t="shared" si="1"/>
        <v>6.951171619321901E-3</v>
      </c>
      <c r="I52" s="67">
        <f>SUM($G$7:G52)</f>
        <v>75651</v>
      </c>
      <c r="J52" s="59">
        <f t="shared" si="5"/>
        <v>0.9903259588951433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31</v>
      </c>
      <c r="E53" s="54">
        <f t="shared" si="6"/>
        <v>9</v>
      </c>
      <c r="F53" s="55">
        <f t="shared" si="4"/>
        <v>0.78</v>
      </c>
      <c r="G53" s="56">
        <f>IF(D53=D52,"",_xlfn.IFNA(VLOOKUP(D53,'인원 입력 기능(사과탐)'!$A$5:$D$59,4,FALSE),0))</f>
        <v>288</v>
      </c>
      <c r="H53" s="57">
        <f t="shared" si="1"/>
        <v>3.7701269799712005E-3</v>
      </c>
      <c r="I53" s="67">
        <f>SUM($G$7:G53)</f>
        <v>75939</v>
      </c>
      <c r="J53" s="59">
        <f t="shared" si="5"/>
        <v>0.99409608587511455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30</v>
      </c>
      <c r="E54" s="54">
        <f t="shared" si="6"/>
        <v>9</v>
      </c>
      <c r="F54" s="55">
        <f t="shared" si="4"/>
        <v>0.45</v>
      </c>
      <c r="G54" s="56">
        <f>IF(D54=D53,"",_xlfn.IFNA(VLOOKUP(D54,'인원 입력 기능(사과탐)'!$A$5:$D$59,4,FALSE),0))</f>
        <v>217</v>
      </c>
      <c r="H54" s="57">
        <f t="shared" si="1"/>
        <v>2.8406859536588558E-3</v>
      </c>
      <c r="I54" s="67">
        <f>SUM($G$7:G54)</f>
        <v>76156</v>
      </c>
      <c r="J54" s="59">
        <f t="shared" si="5"/>
        <v>0.99693677182877338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29</v>
      </c>
      <c r="E55" s="54">
        <f t="shared" si="6"/>
        <v>9</v>
      </c>
      <c r="F55" s="55">
        <f t="shared" si="4"/>
        <v>0.21</v>
      </c>
      <c r="G55" s="56">
        <f>IF(D55=D54,"",_xlfn.IFNA(VLOOKUP(D55,'인원 입력 기능(사과탐)'!$A$5:$D$59,4,FALSE),0))</f>
        <v>145</v>
      </c>
      <c r="H55" s="57">
        <f t="shared" si="1"/>
        <v>1.8981542086660558E-3</v>
      </c>
      <c r="I55" s="67">
        <f>SUM($G$7:G55)</f>
        <v>76301</v>
      </c>
      <c r="J55" s="59">
        <f t="shared" si="5"/>
        <v>0.99883492603743951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6"/>
        <v>9</v>
      </c>
      <c r="F57" s="74">
        <f>IF(I55=0,ROUND(100*(1-(I54+I57)/2/$J$3),2),ROUND(100*(1-(I55+I57)/2/$J$3),2))</f>
        <v>0.06</v>
      </c>
      <c r="G57" s="110">
        <f>_xlfn.IFNA(VLOOKUP(D57,'인원 입력 기능(사과탐)'!$A$5:$D$59,4,FALSE),0)</f>
        <v>89</v>
      </c>
      <c r="H57" s="76">
        <f>G57/$J$3</f>
        <v>1.1650739625605445E-3</v>
      </c>
      <c r="I57" s="77">
        <f>SUM($G$7:G57)</f>
        <v>76390</v>
      </c>
      <c r="J57" s="111">
        <f>I57/$J$3</f>
        <v>1</v>
      </c>
      <c r="K57" s="36"/>
      <c r="L57" s="20" t="str">
        <f>IF(ABS((C57-$H$3)/$H$4*10+50-D57)&gt;0.49, "경고", "")</f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2">
    <mergeCell ref="D3:F3"/>
    <mergeCell ref="D4:F4"/>
    <mergeCell ref="G5:J5"/>
    <mergeCell ref="D12:D13"/>
    <mergeCell ref="E12:E13"/>
    <mergeCell ref="F12:F13"/>
    <mergeCell ref="G12:G13"/>
    <mergeCell ref="H12:H13"/>
    <mergeCell ref="I12:I13"/>
    <mergeCell ref="J12:J13"/>
    <mergeCell ref="I18:I19"/>
    <mergeCell ref="J18:J19"/>
    <mergeCell ref="D25:D26"/>
    <mergeCell ref="E25:E26"/>
    <mergeCell ref="F25:F26"/>
    <mergeCell ref="G25:G26"/>
    <mergeCell ref="H25:H26"/>
    <mergeCell ref="I25:I26"/>
    <mergeCell ref="J25:J26"/>
    <mergeCell ref="D18:D19"/>
    <mergeCell ref="E18:E19"/>
    <mergeCell ref="F18:F19"/>
    <mergeCell ref="G18:G19"/>
    <mergeCell ref="H18:H19"/>
    <mergeCell ref="I31:I32"/>
    <mergeCell ref="J31:J32"/>
    <mergeCell ref="D37:D38"/>
    <mergeCell ref="E37:E38"/>
    <mergeCell ref="F37:F38"/>
    <mergeCell ref="G37:G38"/>
    <mergeCell ref="H37:H38"/>
    <mergeCell ref="I37:I38"/>
    <mergeCell ref="J37:J38"/>
    <mergeCell ref="D31:D32"/>
    <mergeCell ref="E31:E32"/>
    <mergeCell ref="F31:F32"/>
    <mergeCell ref="G31:G32"/>
    <mergeCell ref="H31:H32"/>
    <mergeCell ref="I43:I44"/>
    <mergeCell ref="J43:J44"/>
    <mergeCell ref="D50:D51"/>
    <mergeCell ref="E50:E51"/>
    <mergeCell ref="F50:F51"/>
    <mergeCell ref="G50:G51"/>
    <mergeCell ref="H50:H51"/>
    <mergeCell ref="I50:I51"/>
    <mergeCell ref="J50:J51"/>
    <mergeCell ref="D43:D44"/>
    <mergeCell ref="E43:E44"/>
    <mergeCell ref="F43:F44"/>
    <mergeCell ref="G43:G44"/>
    <mergeCell ref="H43:H44"/>
  </mergeCells>
  <phoneticPr fontId="1" type="noConversion"/>
  <conditionalFormatting sqref="D7:J12 D14:J18 D20:J25 D27:J31 D33:J37 D39:J43 D45:J50 D52:J57">
    <cfRule type="expression" dxfId="73" priority="3">
      <formula>OR($D7=$Q$7:$Q$14)</formula>
    </cfRule>
  </conditionalFormatting>
  <conditionalFormatting sqref="C7:C57">
    <cfRule type="expression" dxfId="72" priority="2">
      <formula>OR(AND($D7=0,OR($D6=$Q$7:$Q$14)),AND($D8&gt;0,OR($D7=$Q$7:$Q$14)))</formula>
    </cfRule>
  </conditionalFormatting>
  <conditionalFormatting sqref="D7:D12 D14:D18 D20:D25 D27:D31 D33:D37 D39:D43 D45:D50 D52:D57">
    <cfRule type="expression" dxfId="71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C077F-33A8-4B1F-8311-5093F7F331C9}">
  <sheetPr codeName="Sheet1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기능'!D9</f>
        <v>19.18</v>
      </c>
      <c r="I3" s="21" t="s">
        <v>123</v>
      </c>
      <c r="J3" s="81">
        <f>'통계 및 응시자 수 입력 기능'!C9</f>
        <v>44074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154</v>
      </c>
      <c r="E4" s="186"/>
      <c r="F4" s="187"/>
      <c r="G4" s="83" t="s">
        <v>126</v>
      </c>
      <c r="H4" s="84" t="str">
        <f>'통계 및 응시자 수 입력 기능'!E9</f>
        <v xml:space="preserve"> 9.69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82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99.88</v>
      </c>
      <c r="G7" s="56">
        <f>_xlfn.IFNA(VLOOKUP(D7,'인원 입력 기능(사과탐)'!$F$5:$I$59,4,FALSE),0)</f>
        <v>105</v>
      </c>
      <c r="H7" s="57">
        <f>G7/$J$3</f>
        <v>2.3823569451377228E-3</v>
      </c>
      <c r="I7" s="58">
        <f>G7</f>
        <v>105</v>
      </c>
      <c r="J7" s="59">
        <f>I7/$J$3</f>
        <v>2.3823569451377228E-3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기능'!C49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기능'!C50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80</v>
      </c>
      <c r="E9" s="54">
        <f t="shared" si="0"/>
        <v>1</v>
      </c>
      <c r="F9" s="55">
        <f>IF(I8=0,ROUND(100*(1-(I7+I9)/2/$J$3),2),ROUND(100*(1-(I8+I9)/2/$J$3),2))</f>
        <v>99.66</v>
      </c>
      <c r="G9" s="56">
        <f>_xlfn.IFNA(VLOOKUP(D9,'인원 입력 기능(사과탐)'!$F$5:$I$59,4,FALSE),0)</f>
        <v>89</v>
      </c>
      <c r="H9" s="57">
        <f t="shared" ref="H9:H55" si="1">G9/$J$3</f>
        <v>2.0193311249262604E-3</v>
      </c>
      <c r="I9" s="67">
        <f>SUM($G$7:G9)</f>
        <v>194</v>
      </c>
      <c r="J9" s="59">
        <f>I9/$J$3</f>
        <v>4.4016880700639832E-3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기능'!C51</f>
        <v>57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79</v>
      </c>
      <c r="E10" s="54">
        <f t="shared" si="0"/>
        <v>1</v>
      </c>
      <c r="F10" s="55">
        <f t="shared" ref="F10:F55" si="4">IF(I9=0,ROUND(100*(1-(I8+I10)/2/$J$3),2),ROUND(100*(1-(I9+I10)/2/$J$3),2))</f>
        <v>99.37</v>
      </c>
      <c r="G10" s="56">
        <f>IF(D10=D9,"",_xlfn.IFNA(VLOOKUP(D10,'인원 입력 기능(사과탐)'!$F$5:$I$59,4,FALSE),0))</f>
        <v>170</v>
      </c>
      <c r="H10" s="57">
        <f t="shared" si="1"/>
        <v>3.8571493397467896E-3</v>
      </c>
      <c r="I10" s="67">
        <f>SUM($G$7:G10)</f>
        <v>364</v>
      </c>
      <c r="J10" s="59">
        <f t="shared" ref="J10:J55" si="5">I10/$J$3</f>
        <v>8.2588374098107736E-3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기능'!C52</f>
        <v>51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78</v>
      </c>
      <c r="E11" s="54">
        <f t="shared" si="0"/>
        <v>1</v>
      </c>
      <c r="F11" s="55">
        <f t="shared" si="4"/>
        <v>99.13</v>
      </c>
      <c r="G11" s="56">
        <f>IF(D11=D10,"",_xlfn.IFNA(VLOOKUP(D11,'인원 입력 기능(사과탐)'!$F$5:$I$59,4,FALSE),0))</f>
        <v>43</v>
      </c>
      <c r="H11" s="57">
        <f t="shared" si="1"/>
        <v>9.7563189181830553E-4</v>
      </c>
      <c r="I11" s="67">
        <f>SUM($G$7:G11)</f>
        <v>407</v>
      </c>
      <c r="J11" s="59">
        <f t="shared" si="5"/>
        <v>9.234469301629078E-3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기능'!C53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77</v>
      </c>
      <c r="E12" s="54">
        <f t="shared" si="0"/>
        <v>1</v>
      </c>
      <c r="F12" s="55">
        <f t="shared" si="4"/>
        <v>98.87</v>
      </c>
      <c r="G12" s="56">
        <f>IF(D12=D11,"",_xlfn.IFNA(VLOOKUP(D12,'인원 입력 기능(사과탐)'!$F$5:$I$59,4,FALSE),0))</f>
        <v>185</v>
      </c>
      <c r="H12" s="57">
        <f t="shared" si="1"/>
        <v>4.1974860461950359E-3</v>
      </c>
      <c r="I12" s="67">
        <f>SUM($G$7:G12)</f>
        <v>592</v>
      </c>
      <c r="J12" s="59">
        <f t="shared" si="5"/>
        <v>1.3431955347824114E-2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기능'!C54</f>
        <v>42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76</v>
      </c>
      <c r="E13" s="54">
        <f t="shared" si="0"/>
        <v>1</v>
      </c>
      <c r="F13" s="55">
        <f t="shared" si="4"/>
        <v>98.48</v>
      </c>
      <c r="G13" s="56">
        <f>IF(D13=D12,"",_xlfn.IFNA(VLOOKUP(D13,'인원 입력 기능(사과탐)'!$F$5:$I$59,4,FALSE),0))</f>
        <v>153</v>
      </c>
      <c r="H13" s="57">
        <f t="shared" si="1"/>
        <v>3.4714344057721106E-3</v>
      </c>
      <c r="I13" s="67">
        <f>SUM($G$7:G13)</f>
        <v>745</v>
      </c>
      <c r="J13" s="59">
        <f t="shared" si="5"/>
        <v>1.6903389753596225E-2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기능'!C55</f>
        <v>39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75</v>
      </c>
      <c r="E14" s="54">
        <f t="shared" si="0"/>
        <v>1</v>
      </c>
      <c r="F14" s="55">
        <f t="shared" si="4"/>
        <v>98.11</v>
      </c>
      <c r="G14" s="56">
        <f>IF(D14=D13,"",_xlfn.IFNA(VLOOKUP(D14,'인원 입력 기능(사과탐)'!$F$5:$I$59,4,FALSE),0))</f>
        <v>180</v>
      </c>
      <c r="H14" s="57">
        <f t="shared" si="1"/>
        <v>4.0840404773789538E-3</v>
      </c>
      <c r="I14" s="67">
        <f>SUM($G$7:G14)</f>
        <v>925</v>
      </c>
      <c r="J14" s="59">
        <f t="shared" si="5"/>
        <v>2.0987430230975178E-2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기능'!C56</f>
        <v>37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74</v>
      </c>
      <c r="E15" s="54">
        <f t="shared" si="0"/>
        <v>1</v>
      </c>
      <c r="F15" s="55">
        <f t="shared" si="4"/>
        <v>97.6</v>
      </c>
      <c r="G15" s="56">
        <f>IF(D15=D14,"",_xlfn.IFNA(VLOOKUP(D15,'인원 입력 기능(사과탐)'!$F$5:$I$59,4,FALSE),0))</f>
        <v>269</v>
      </c>
      <c r="H15" s="57">
        <f t="shared" si="1"/>
        <v>6.1033716023052142E-3</v>
      </c>
      <c r="I15" s="67">
        <f>SUM($G$7:G15)</f>
        <v>1194</v>
      </c>
      <c r="J15" s="59">
        <f t="shared" si="5"/>
        <v>2.7090801833280394E-2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73</v>
      </c>
      <c r="E16" s="54">
        <f t="shared" si="0"/>
        <v>1</v>
      </c>
      <c r="F16" s="55">
        <f t="shared" si="4"/>
        <v>97.08</v>
      </c>
      <c r="G16" s="56">
        <f>IF(D16=D15,"",_xlfn.IFNA(VLOOKUP(D16,'인원 입력 기능(사과탐)'!$F$5:$I$59,4,FALSE),0))</f>
        <v>189</v>
      </c>
      <c r="H16" s="57">
        <f t="shared" si="1"/>
        <v>4.2882425012479011E-3</v>
      </c>
      <c r="I16" s="67">
        <f>SUM($G$7:G16)</f>
        <v>1383</v>
      </c>
      <c r="J16" s="59">
        <f t="shared" si="5"/>
        <v>3.1379044334528296E-2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71</v>
      </c>
      <c r="E17" s="54">
        <f t="shared" si="0"/>
        <v>1</v>
      </c>
      <c r="F17" s="55">
        <f t="shared" si="4"/>
        <v>96.48</v>
      </c>
      <c r="G17" s="56">
        <f>IF(D17=D16,"",_xlfn.IFNA(VLOOKUP(D17,'인원 입력 기능(사과탐)'!$F$5:$I$59,4,FALSE),0))</f>
        <v>338</v>
      </c>
      <c r="H17" s="57">
        <f t="shared" si="1"/>
        <v>7.6689204519671461E-3</v>
      </c>
      <c r="I17" s="67">
        <f>SUM($G$7:G17)</f>
        <v>1721</v>
      </c>
      <c r="J17" s="59">
        <f t="shared" si="5"/>
        <v>3.9047964786495443E-2</v>
      </c>
      <c r="K17" s="36"/>
      <c r="L17" s="20" t="str">
        <f t="shared" si="2"/>
        <v/>
      </c>
      <c r="N17" s="24"/>
      <c r="Q17" s="24">
        <f>Q7*H3*H4*J3*IFERROR(IF(J57=1, 1, 0), 0)</f>
        <v>573393660.75599992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70</v>
      </c>
      <c r="E18" s="54">
        <f t="shared" si="0"/>
        <v>1</v>
      </c>
      <c r="F18" s="55">
        <f t="shared" si="4"/>
        <v>95.73</v>
      </c>
      <c r="G18" s="56">
        <f>IF(D18=D17,"",_xlfn.IFNA(VLOOKUP(D18,'인원 입력 기능(사과탐)'!$F$5:$I$59,4,FALSE),0))</f>
        <v>323</v>
      </c>
      <c r="H18" s="57">
        <f t="shared" si="1"/>
        <v>7.3285837455188997E-3</v>
      </c>
      <c r="I18" s="67">
        <f>SUM($G$7:G18)</f>
        <v>2044</v>
      </c>
      <c r="J18" s="59">
        <f t="shared" si="5"/>
        <v>4.6376548532014339E-2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69</v>
      </c>
      <c r="E19" s="54">
        <f t="shared" si="0"/>
        <v>2</v>
      </c>
      <c r="F19" s="55">
        <f t="shared" si="4"/>
        <v>94.95</v>
      </c>
      <c r="G19" s="56">
        <f>IF(D19=D18,"",_xlfn.IFNA(VLOOKUP(D19,'인원 입력 기능(사과탐)'!$F$5:$I$59,4,FALSE),0))</f>
        <v>366</v>
      </c>
      <c r="H19" s="57">
        <f t="shared" si="1"/>
        <v>8.3042156373372058E-3</v>
      </c>
      <c r="I19" s="67">
        <f>SUM($G$7:G19)</f>
        <v>2410</v>
      </c>
      <c r="J19" s="59">
        <f t="shared" si="5"/>
        <v>5.4680764169351546E-2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68</v>
      </c>
      <c r="E20" s="54">
        <f t="shared" si="0"/>
        <v>2</v>
      </c>
      <c r="F20" s="55">
        <f t="shared" si="4"/>
        <v>94.05</v>
      </c>
      <c r="G20" s="56">
        <f>IF(D20=D19,"",_xlfn.IFNA(VLOOKUP(D20,'인원 입력 기능(사과탐)'!$F$5:$I$59,4,FALSE),0))</f>
        <v>425</v>
      </c>
      <c r="H20" s="57">
        <f t="shared" si="1"/>
        <v>9.6428733493669743E-3</v>
      </c>
      <c r="I20" s="67">
        <f>SUM($G$7:G20)</f>
        <v>2835</v>
      </c>
      <c r="J20" s="59">
        <f t="shared" si="5"/>
        <v>6.4323637518718516E-2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67</v>
      </c>
      <c r="E21" s="68">
        <f t="shared" si="0"/>
        <v>2</v>
      </c>
      <c r="F21" s="55">
        <f t="shared" si="4"/>
        <v>93.1</v>
      </c>
      <c r="G21" s="56">
        <f>IF(D21=D20,"",_xlfn.IFNA(VLOOKUP(D21,'인원 입력 기능(사과탐)'!$F$5:$I$59,4,FALSE),0))</f>
        <v>414</v>
      </c>
      <c r="H21" s="57">
        <f t="shared" si="1"/>
        <v>9.3932930979715931E-3</v>
      </c>
      <c r="I21" s="67">
        <f>SUM($G$7:G21)</f>
        <v>3249</v>
      </c>
      <c r="J21" s="59">
        <f t="shared" si="5"/>
        <v>7.3716930616690116E-2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66</v>
      </c>
      <c r="E22" s="68">
        <f t="shared" si="0"/>
        <v>2</v>
      </c>
      <c r="F22" s="55">
        <f t="shared" si="4"/>
        <v>92.03</v>
      </c>
      <c r="G22" s="56">
        <f>IF(D22=D21,"",_xlfn.IFNA(VLOOKUP(D22,'인원 입력 기능(사과탐)'!$F$5:$I$59,4,FALSE),0))</f>
        <v>526</v>
      </c>
      <c r="H22" s="57">
        <f t="shared" si="1"/>
        <v>1.193447383945183E-2</v>
      </c>
      <c r="I22" s="67">
        <f>SUM($G$7:G22)</f>
        <v>3775</v>
      </c>
      <c r="J22" s="59">
        <f t="shared" si="5"/>
        <v>8.5651404456141944E-2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65</v>
      </c>
      <c r="E23" s="68">
        <f t="shared" si="0"/>
        <v>2</v>
      </c>
      <c r="F23" s="55">
        <f t="shared" si="4"/>
        <v>90.86</v>
      </c>
      <c r="G23" s="56">
        <f>IF(D23=D22,"",_xlfn.IFNA(VLOOKUP(D23,'인원 입력 기능(사과탐)'!$F$5:$I$59,4,FALSE),0))</f>
        <v>504</v>
      </c>
      <c r="H23" s="57">
        <f t="shared" si="1"/>
        <v>1.143531333666107E-2</v>
      </c>
      <c r="I23" s="67">
        <f>SUM($G$7:G23)</f>
        <v>4279</v>
      </c>
      <c r="J23" s="59">
        <f t="shared" si="5"/>
        <v>9.7086717792803007E-2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64</v>
      </c>
      <c r="E24" s="68">
        <f t="shared" si="0"/>
        <v>2</v>
      </c>
      <c r="F24" s="55">
        <f t="shared" si="4"/>
        <v>89.61</v>
      </c>
      <c r="G24" s="56">
        <f>IF(D24=D23,"",_xlfn.IFNA(VLOOKUP(D24,'인원 입력 기능(사과탐)'!$F$5:$I$59,4,FALSE),0))</f>
        <v>602</v>
      </c>
      <c r="H24" s="57">
        <f t="shared" si="1"/>
        <v>1.3658846485456278E-2</v>
      </c>
      <c r="I24" s="67">
        <f>SUM($G$7:G24)</f>
        <v>4881</v>
      </c>
      <c r="J24" s="59">
        <f t="shared" si="5"/>
        <v>0.1107455642782593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63</v>
      </c>
      <c r="E25" s="68">
        <f t="shared" si="0"/>
        <v>3</v>
      </c>
      <c r="F25" s="55">
        <f t="shared" si="4"/>
        <v>88.17</v>
      </c>
      <c r="G25" s="56">
        <f>IF(D25=D24,"",_xlfn.IFNA(VLOOKUP(D25,'인원 입력 기능(사과탐)'!$F$5:$I$59,4,FALSE),0))</f>
        <v>667</v>
      </c>
      <c r="H25" s="57">
        <f t="shared" si="1"/>
        <v>1.5133638880065345E-2</v>
      </c>
      <c r="I25" s="67">
        <f>SUM($G$7:G25)</f>
        <v>5548</v>
      </c>
      <c r="J25" s="59">
        <f t="shared" si="5"/>
        <v>0.12587920315832463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62</v>
      </c>
      <c r="E26" s="68">
        <f t="shared" si="0"/>
        <v>3</v>
      </c>
      <c r="F26" s="55">
        <f t="shared" si="4"/>
        <v>86.68</v>
      </c>
      <c r="G26" s="56">
        <f>IF(D26=D25,"",_xlfn.IFNA(VLOOKUP(D26,'인원 입력 기능(사과탐)'!$F$5:$I$59,4,FALSE),0))</f>
        <v>647</v>
      </c>
      <c r="H26" s="57">
        <f t="shared" si="1"/>
        <v>1.4679856604801016E-2</v>
      </c>
      <c r="I26" s="67">
        <f>SUM($G$7:G26)</f>
        <v>6195</v>
      </c>
      <c r="J26" s="59">
        <f t="shared" si="5"/>
        <v>0.14055905976312566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61</v>
      </c>
      <c r="E27" s="68">
        <f t="shared" si="0"/>
        <v>3</v>
      </c>
      <c r="F27" s="55">
        <f t="shared" si="4"/>
        <v>85.05</v>
      </c>
      <c r="G27" s="56">
        <f>IF(D27=D26,"",_xlfn.IFNA(VLOOKUP(D27,'인원 입력 기능(사과탐)'!$F$5:$I$59,4,FALSE),0))</f>
        <v>786</v>
      </c>
      <c r="H27" s="57">
        <f t="shared" si="1"/>
        <v>1.7833643417888099E-2</v>
      </c>
      <c r="I27" s="67">
        <f>SUM($G$7:G27)</f>
        <v>6981</v>
      </c>
      <c r="J27" s="59">
        <f t="shared" si="5"/>
        <v>0.15839270318101376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60</v>
      </c>
      <c r="E28" s="68">
        <f t="shared" si="0"/>
        <v>3</v>
      </c>
      <c r="F28" s="55">
        <f t="shared" si="4"/>
        <v>83.29</v>
      </c>
      <c r="G28" s="56">
        <f>IF(D28=D27,"",_xlfn.IFNA(VLOOKUP(D28,'인원 입력 기능(사과탐)'!$F$5:$I$59,4,FALSE),0))</f>
        <v>771</v>
      </c>
      <c r="H28" s="57">
        <f t="shared" si="1"/>
        <v>1.7493306711439852E-2</v>
      </c>
      <c r="I28" s="67">
        <f>SUM($G$7:G28)</f>
        <v>7752</v>
      </c>
      <c r="J28" s="59">
        <f t="shared" si="5"/>
        <v>0.17588600989245359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59</v>
      </c>
      <c r="E29" s="68">
        <f t="shared" si="0"/>
        <v>3</v>
      </c>
      <c r="F29" s="55">
        <f t="shared" si="4"/>
        <v>81.400000000000006</v>
      </c>
      <c r="G29" s="56">
        <f>IF(D29=D28,"",_xlfn.IFNA(VLOOKUP(D29,'인원 입력 기능(사과탐)'!$F$5:$I$59,4,FALSE),0))</f>
        <v>891</v>
      </c>
      <c r="H29" s="57">
        <f t="shared" si="1"/>
        <v>2.0216000363025819E-2</v>
      </c>
      <c r="I29" s="67">
        <f>SUM($G$7:G29)</f>
        <v>8643</v>
      </c>
      <c r="J29" s="59">
        <f t="shared" si="5"/>
        <v>0.19610201025547941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58</v>
      </c>
      <c r="E30" s="68">
        <f t="shared" si="0"/>
        <v>3</v>
      </c>
      <c r="F30" s="55">
        <f t="shared" si="4"/>
        <v>79.33</v>
      </c>
      <c r="G30" s="56">
        <f>IF(D30=D29,"",_xlfn.IFNA(VLOOKUP(D30,'인원 입력 기능(사과탐)'!$F$5:$I$59,4,FALSE),0))</f>
        <v>936</v>
      </c>
      <c r="H30" s="57">
        <f t="shared" si="1"/>
        <v>2.1237010482370557E-2</v>
      </c>
      <c r="I30" s="67">
        <f>SUM($G$7:G30)</f>
        <v>9579</v>
      </c>
      <c r="J30" s="59">
        <f t="shared" si="5"/>
        <v>0.21733902073784997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57</v>
      </c>
      <c r="E31" s="68">
        <f t="shared" si="0"/>
        <v>3</v>
      </c>
      <c r="F31" s="55">
        <f t="shared" si="4"/>
        <v>77.08</v>
      </c>
      <c r="G31" s="56">
        <f>IF(D31=D30,"",_xlfn.IFNA(VLOOKUP(D31,'인원 입력 기능(사과탐)'!$F$5:$I$59,4,FALSE),0))</f>
        <v>1046</v>
      </c>
      <c r="H31" s="57">
        <f t="shared" si="1"/>
        <v>2.3732812996324362E-2</v>
      </c>
      <c r="I31" s="67">
        <f>SUM($G$7:G31)</f>
        <v>10625</v>
      </c>
      <c r="J31" s="59">
        <f t="shared" si="5"/>
        <v>0.24107183373417435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56</v>
      </c>
      <c r="E32" s="68">
        <f t="shared" si="0"/>
        <v>4</v>
      </c>
      <c r="F32" s="55">
        <f t="shared" si="4"/>
        <v>74.599999999999994</v>
      </c>
      <c r="G32" s="56">
        <f>IF(D32=D31,"",_xlfn.IFNA(VLOOKUP(D32,'인원 입력 기능(사과탐)'!$F$5:$I$59,4,FALSE),0))</f>
        <v>1142</v>
      </c>
      <c r="H32" s="57">
        <f t="shared" si="1"/>
        <v>2.591096791759314E-2</v>
      </c>
      <c r="I32" s="67">
        <f>SUM($G$7:G32)</f>
        <v>11767</v>
      </c>
      <c r="J32" s="59">
        <f t="shared" si="5"/>
        <v>0.26698280165176747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55</v>
      </c>
      <c r="E33" s="68">
        <f t="shared" si="0"/>
        <v>4</v>
      </c>
      <c r="F33" s="55">
        <f t="shared" si="4"/>
        <v>72.02</v>
      </c>
      <c r="G33" s="56">
        <f>IF(D33=D32,"",_xlfn.IFNA(VLOOKUP(D33,'인원 입력 기능(사과탐)'!$F$5:$I$59,4,FALSE),0))</f>
        <v>1128</v>
      </c>
      <c r="H33" s="57">
        <f t="shared" si="1"/>
        <v>2.559332032490811E-2</v>
      </c>
      <c r="I33" s="67">
        <f>SUM($G$7:G33)</f>
        <v>12895</v>
      </c>
      <c r="J33" s="59">
        <f t="shared" si="5"/>
        <v>0.2925761219766756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54</v>
      </c>
      <c r="E34" s="68">
        <f t="shared" si="0"/>
        <v>4</v>
      </c>
      <c r="F34" s="55">
        <f t="shared" si="4"/>
        <v>69.33</v>
      </c>
      <c r="G34" s="56">
        <f>IF(D34=D33,"",_xlfn.IFNA(VLOOKUP(D34,'인원 입력 기능(사과탐)'!$F$5:$I$59,4,FALSE),0))</f>
        <v>1247</v>
      </c>
      <c r="H34" s="57">
        <f t="shared" si="1"/>
        <v>2.8293324862730861E-2</v>
      </c>
      <c r="I34" s="67">
        <f>SUM($G$7:G34)</f>
        <v>14142</v>
      </c>
      <c r="J34" s="59">
        <f t="shared" si="5"/>
        <v>0.32086944683940644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53</v>
      </c>
      <c r="E35" s="68">
        <f t="shared" si="0"/>
        <v>4</v>
      </c>
      <c r="F35" s="55">
        <f t="shared" si="4"/>
        <v>66.39</v>
      </c>
      <c r="G35" s="56">
        <f>IF(D35=D34,"",_xlfn.IFNA(VLOOKUP(D35,'인원 입력 기능(사과탐)'!$F$5:$I$59,4,FALSE),0))</f>
        <v>1345</v>
      </c>
      <c r="H35" s="57">
        <f t="shared" si="1"/>
        <v>3.0516858011526069E-2</v>
      </c>
      <c r="I35" s="67">
        <f>SUM($G$7:G35)</f>
        <v>15487</v>
      </c>
      <c r="J35" s="59">
        <f t="shared" si="5"/>
        <v>0.35138630485093253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52</v>
      </c>
      <c r="E36" s="68">
        <f t="shared" si="0"/>
        <v>4</v>
      </c>
      <c r="F36" s="55">
        <f t="shared" si="4"/>
        <v>63.29</v>
      </c>
      <c r="G36" s="56">
        <f>IF(D36=D35,"",_xlfn.IFNA(VLOOKUP(D36,'인원 입력 기능(사과탐)'!$F$5:$I$59,4,FALSE),0))</f>
        <v>1382</v>
      </c>
      <c r="H36" s="57">
        <f t="shared" si="1"/>
        <v>3.1356355220765075E-2</v>
      </c>
      <c r="I36" s="67">
        <f>SUM($G$7:G36)</f>
        <v>16869</v>
      </c>
      <c r="J36" s="59">
        <f t="shared" si="5"/>
        <v>0.3827426600716976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51</v>
      </c>
      <c r="E37" s="68">
        <f t="shared" si="0"/>
        <v>4</v>
      </c>
      <c r="F37" s="55">
        <f t="shared" si="4"/>
        <v>60</v>
      </c>
      <c r="G37" s="56">
        <f>IF(D37=D36,"",_xlfn.IFNA(VLOOKUP(D37,'인원 입력 기능(사과탐)'!$F$5:$I$59,4,FALSE),0))</f>
        <v>1525</v>
      </c>
      <c r="H37" s="57">
        <f t="shared" si="1"/>
        <v>3.4600898488905026E-2</v>
      </c>
      <c r="I37" s="67">
        <f>SUM($G$7:G37)</f>
        <v>18394</v>
      </c>
      <c r="J37" s="59">
        <f t="shared" si="5"/>
        <v>0.41734355856060262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50</v>
      </c>
      <c r="E38" s="68">
        <f t="shared" si="0"/>
        <v>5</v>
      </c>
      <c r="F38" s="55">
        <f t="shared" si="4"/>
        <v>56.54</v>
      </c>
      <c r="G38" s="56">
        <f>IF(D38=D37,"",_xlfn.IFNA(VLOOKUP(D38,'인원 입력 기능(사과탐)'!$F$5:$I$59,4,FALSE),0))</f>
        <v>1521</v>
      </c>
      <c r="H38" s="57">
        <f t="shared" si="1"/>
        <v>3.4510142033852158E-2</v>
      </c>
      <c r="I38" s="67">
        <f>SUM($G$7:G38)</f>
        <v>19915</v>
      </c>
      <c r="J38" s="59">
        <f t="shared" si="5"/>
        <v>0.45185370059445479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49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52.91</v>
      </c>
      <c r="G39" s="56">
        <f>IF(D39=D38,"",_xlfn.IFNA(VLOOKUP(D39,'인원 입력 기능(사과탐)'!$F$5:$I$59,4,FALSE),0))</f>
        <v>1680</v>
      </c>
      <c r="H39" s="57">
        <f t="shared" si="1"/>
        <v>3.8117711122203565E-2</v>
      </c>
      <c r="I39" s="67">
        <f>SUM($G$7:G39)</f>
        <v>21595</v>
      </c>
      <c r="J39" s="59">
        <f t="shared" si="5"/>
        <v>0.48997141171665837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48</v>
      </c>
      <c r="E40" s="68">
        <f t="shared" si="6"/>
        <v>5</v>
      </c>
      <c r="F40" s="55">
        <f t="shared" si="4"/>
        <v>48.98</v>
      </c>
      <c r="G40" s="56">
        <f>IF(D40=D39,"",_xlfn.IFNA(VLOOKUP(D40,'인원 입력 기능(사과탐)'!$F$5:$I$59,4,FALSE),0))</f>
        <v>1781</v>
      </c>
      <c r="H40" s="57">
        <f t="shared" si="1"/>
        <v>4.0409311612288425E-2</v>
      </c>
      <c r="I40" s="67">
        <f>SUM($G$7:G40)</f>
        <v>23376</v>
      </c>
      <c r="J40" s="59">
        <f t="shared" si="5"/>
        <v>0.53038072332894681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47</v>
      </c>
      <c r="E41" s="68">
        <f t="shared" si="6"/>
        <v>5</v>
      </c>
      <c r="F41" s="55">
        <f t="shared" si="4"/>
        <v>45.17</v>
      </c>
      <c r="G41" s="56">
        <f>IF(D41=D40,"",_xlfn.IFNA(VLOOKUP(D41,'인원 입력 기능(사과탐)'!$F$5:$I$59,4,FALSE),0))</f>
        <v>1583</v>
      </c>
      <c r="H41" s="57">
        <f t="shared" si="1"/>
        <v>3.5916867087171574E-2</v>
      </c>
      <c r="I41" s="67">
        <f>SUM($G$7:G41)</f>
        <v>24959</v>
      </c>
      <c r="J41" s="59">
        <f t="shared" si="5"/>
        <v>0.56629759041611838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46</v>
      </c>
      <c r="E42" s="68">
        <f t="shared" si="6"/>
        <v>5</v>
      </c>
      <c r="F42" s="55">
        <f t="shared" si="4"/>
        <v>39.21</v>
      </c>
      <c r="G42" s="56">
        <f>IF(D42=D41,"",_xlfn.IFNA(VLOOKUP(D42,'인원 입력 기능(사과탐)'!$F$5:$I$59,4,FALSE),0))</f>
        <v>3667</v>
      </c>
      <c r="H42" s="57">
        <f t="shared" si="1"/>
        <v>8.320098016971457E-2</v>
      </c>
      <c r="I42" s="67">
        <f>SUM($G$7:G42)</f>
        <v>28626</v>
      </c>
      <c r="J42" s="59">
        <f t="shared" si="5"/>
        <v>0.64949857058583294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45</v>
      </c>
      <c r="E43" s="68">
        <f t="shared" si="6"/>
        <v>6</v>
      </c>
      <c r="F43" s="55">
        <f t="shared" si="4"/>
        <v>33.4</v>
      </c>
      <c r="G43" s="56">
        <f>IF(D43=D42,"",_xlfn.IFNA(VLOOKUP(D43,'인원 입력 기능(사과탐)'!$F$5:$I$59,4,FALSE),0))</f>
        <v>1455</v>
      </c>
      <c r="H43" s="57">
        <f t="shared" si="1"/>
        <v>3.3012660525479874E-2</v>
      </c>
      <c r="I43" s="67">
        <f>SUM($G$7:G43)</f>
        <v>30081</v>
      </c>
      <c r="J43" s="59">
        <f t="shared" si="5"/>
        <v>0.68251123111131284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44</v>
      </c>
      <c r="E44" s="68">
        <f t="shared" si="6"/>
        <v>6</v>
      </c>
      <c r="F44" s="55">
        <f t="shared" si="4"/>
        <v>30.05</v>
      </c>
      <c r="G44" s="56">
        <f>IF(D44=D43,"",_xlfn.IFNA(VLOOKUP(D44,'인원 입력 기능(사과탐)'!$F$5:$I$59,4,FALSE),0))</f>
        <v>1496</v>
      </c>
      <c r="H44" s="57">
        <f t="shared" si="1"/>
        <v>3.3942914189771745E-2</v>
      </c>
      <c r="I44" s="67">
        <f>SUM($G$7:G44)</f>
        <v>31577</v>
      </c>
      <c r="J44" s="59">
        <f t="shared" si="5"/>
        <v>0.71645414530108453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43</v>
      </c>
      <c r="E45" s="68">
        <f t="shared" si="6"/>
        <v>6</v>
      </c>
      <c r="F45" s="55">
        <f t="shared" si="4"/>
        <v>26.61</v>
      </c>
      <c r="G45" s="56">
        <f>IF(D45=D44,"",_xlfn.IFNA(VLOOKUP(D45,'인원 입력 기능(사과탐)'!$F$5:$I$59,4,FALSE),0))</f>
        <v>1535</v>
      </c>
      <c r="H45" s="57">
        <f t="shared" si="1"/>
        <v>3.4827789626537188E-2</v>
      </c>
      <c r="I45" s="67">
        <f>SUM($G$7:G45)</f>
        <v>33112</v>
      </c>
      <c r="J45" s="59">
        <f t="shared" si="5"/>
        <v>0.75128193492762174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42</v>
      </c>
      <c r="E46" s="68">
        <f t="shared" si="6"/>
        <v>6</v>
      </c>
      <c r="F46" s="55">
        <f t="shared" si="4"/>
        <v>23.42</v>
      </c>
      <c r="G46" s="56">
        <f>IF(D46=D45,"",_xlfn.IFNA(VLOOKUP(D46,'인원 입력 기능(사과탐)'!$F$5:$I$59,4,FALSE),0))</f>
        <v>1276</v>
      </c>
      <c r="H46" s="57">
        <f t="shared" si="1"/>
        <v>2.8951309161864138E-2</v>
      </c>
      <c r="I46" s="67">
        <f>SUM($G$7:G46)</f>
        <v>34388</v>
      </c>
      <c r="J46" s="59">
        <f t="shared" si="5"/>
        <v>0.78023324408948591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41</v>
      </c>
      <c r="E47" s="68">
        <f t="shared" si="6"/>
        <v>7</v>
      </c>
      <c r="F47" s="55">
        <f t="shared" si="4"/>
        <v>19.96</v>
      </c>
      <c r="G47" s="56">
        <f>IF(D47=D46,"",_xlfn.IFNA(VLOOKUP(D47,'인원 입력 기능(사과탐)'!$F$5:$I$59,4,FALSE),0))</f>
        <v>1777</v>
      </c>
      <c r="H47" s="57">
        <f t="shared" si="1"/>
        <v>4.0318555157235557E-2</v>
      </c>
      <c r="I47" s="67">
        <f>SUM($G$7:G47)</f>
        <v>36165</v>
      </c>
      <c r="J47" s="59">
        <f t="shared" si="5"/>
        <v>0.82055179924672139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39</v>
      </c>
      <c r="E48" s="68">
        <f t="shared" si="6"/>
        <v>7</v>
      </c>
      <c r="F48" s="55">
        <f t="shared" si="4"/>
        <v>13.09</v>
      </c>
      <c r="G48" s="56">
        <f>IF(D48=D47,"",_xlfn.IFNA(VLOOKUP(D48,'인원 입력 기능(사과탐)'!$F$5:$I$59,4,FALSE),0))</f>
        <v>4282</v>
      </c>
      <c r="H48" s="57">
        <f t="shared" si="1"/>
        <v>9.7154785134092661E-2</v>
      </c>
      <c r="I48" s="67">
        <f>SUM($G$7:G48)</f>
        <v>40447</v>
      </c>
      <c r="J48" s="59">
        <f t="shared" si="5"/>
        <v>0.91770658438081409</v>
      </c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38</v>
      </c>
      <c r="E49" s="68">
        <f t="shared" si="6"/>
        <v>8</v>
      </c>
      <c r="F49" s="55">
        <f t="shared" si="4"/>
        <v>7.32</v>
      </c>
      <c r="G49" s="56">
        <f>IF(D49=D48,"",_xlfn.IFNA(VLOOKUP(D49,'인원 입력 기능(사과탐)'!$F$5:$I$59,4,FALSE),0))</f>
        <v>802</v>
      </c>
      <c r="H49" s="57">
        <f t="shared" si="1"/>
        <v>1.819666923809956E-2</v>
      </c>
      <c r="I49" s="67">
        <f>SUM($G$7:G49)</f>
        <v>41249</v>
      </c>
      <c r="J49" s="59">
        <f t="shared" si="5"/>
        <v>0.93590325361891369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37</v>
      </c>
      <c r="E50" s="68">
        <f t="shared" si="6"/>
        <v>8</v>
      </c>
      <c r="F50" s="55">
        <f t="shared" si="4"/>
        <v>5.09</v>
      </c>
      <c r="G50" s="56">
        <f>IF(D50=D49,"",_xlfn.IFNA(VLOOKUP(D50,'인원 입력 기능(사과탐)'!$F$5:$I$59,4,FALSE),0))</f>
        <v>1163</v>
      </c>
      <c r="H50" s="57">
        <f t="shared" si="1"/>
        <v>2.6387439306620682E-2</v>
      </c>
      <c r="I50" s="67">
        <f>SUM($G$7:G50)</f>
        <v>42412</v>
      </c>
      <c r="J50" s="59">
        <f t="shared" si="5"/>
        <v>0.96229069292553437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6"/>
        <v>9</v>
      </c>
      <c r="F51" s="55">
        <f t="shared" si="4"/>
        <v>3.28</v>
      </c>
      <c r="G51" s="56">
        <f>IF(D51=D50,"",_xlfn.IFNA(VLOOKUP(D51,'인원 입력 기능(사과탐)'!$F$5:$I$59,4,FALSE),0))</f>
        <v>432</v>
      </c>
      <c r="H51" s="57">
        <f t="shared" si="1"/>
        <v>9.8016971457094895E-3</v>
      </c>
      <c r="I51" s="67">
        <f>SUM($G$7:G51)</f>
        <v>42844</v>
      </c>
      <c r="J51" s="59">
        <f t="shared" si="5"/>
        <v>0.97209239007124382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35</v>
      </c>
      <c r="E52" s="68">
        <f t="shared" si="6"/>
        <v>9</v>
      </c>
      <c r="F52" s="55">
        <f t="shared" si="4"/>
        <v>2.19</v>
      </c>
      <c r="G52" s="56">
        <f>IF(D52=D51,"",_xlfn.IFNA(VLOOKUP(D52,'인원 입력 기능(사과탐)'!$F$5:$I$59,4,FALSE),0))</f>
        <v>532</v>
      </c>
      <c r="H52" s="57">
        <f t="shared" si="1"/>
        <v>1.207060852203113E-2</v>
      </c>
      <c r="I52" s="67">
        <f>SUM($G$7:G52)</f>
        <v>43376</v>
      </c>
      <c r="J52" s="59">
        <f t="shared" si="5"/>
        <v>0.98416299859327494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6"/>
        <v>9</v>
      </c>
      <c r="F53" s="55">
        <f t="shared" si="4"/>
        <v>1.31</v>
      </c>
      <c r="G53" s="56">
        <f>IF(D53=D52,"",_xlfn.IFNA(VLOOKUP(D53,'인원 입력 기능(사과탐)'!$F$5:$I$59,4,FALSE),0))</f>
        <v>243</v>
      </c>
      <c r="H53" s="57">
        <f t="shared" si="1"/>
        <v>5.5134546444615875E-3</v>
      </c>
      <c r="I53" s="67">
        <f>SUM($G$7:G53)</f>
        <v>43619</v>
      </c>
      <c r="J53" s="59">
        <f t="shared" si="5"/>
        <v>0.98967645323773656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0.88</v>
      </c>
      <c r="G54" s="56">
        <f>IF(D54=D53,"",_xlfn.IFNA(VLOOKUP(D54,'인원 입력 기능(사과탐)'!$F$5:$I$59,4,FALSE),0))</f>
        <v>138</v>
      </c>
      <c r="H54" s="57">
        <f t="shared" si="1"/>
        <v>3.1310976993238642E-3</v>
      </c>
      <c r="I54" s="67">
        <f>SUM($G$7:G54)</f>
        <v>43757</v>
      </c>
      <c r="J54" s="59">
        <f t="shared" si="5"/>
        <v>0.99280755093706041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0.53</v>
      </c>
      <c r="G55" s="56">
        <f>IF(D55=D54,"",_xlfn.IFNA(VLOOKUP(D55,'인원 입력 기능(사과탐)'!$F$5:$I$59,4,FALSE),0))</f>
        <v>171</v>
      </c>
      <c r="H55" s="57">
        <f t="shared" si="1"/>
        <v>3.8798384535100061E-3</v>
      </c>
      <c r="I55" s="67">
        <f>SUM($G$7:G55)</f>
        <v>43928</v>
      </c>
      <c r="J55" s="59">
        <f t="shared" si="5"/>
        <v>0.99668738939057044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6"/>
        <v>9</v>
      </c>
      <c r="F57" s="74">
        <f>IF(I55=0,ROUND(100*(1-(I54+I57)/2/$J$3),2),ROUND(100*(1-(I55+I57)/2/$J$3),2))</f>
        <v>0.17</v>
      </c>
      <c r="G57" s="110">
        <f>_xlfn.IFNA(VLOOKUP(D57,'인원 입력 기능(사과탐)'!$F$5:$I$59,4,FALSE),0)</f>
        <v>146</v>
      </c>
      <c r="H57" s="76">
        <f>G57/$J$3</f>
        <v>3.3126106094295959E-3</v>
      </c>
      <c r="I57" s="77">
        <f>SUM($G$7:G57)</f>
        <v>44074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G5:J5"/>
  </mergeCells>
  <phoneticPr fontId="1" type="noConversion"/>
  <conditionalFormatting sqref="D7:G57 I7:J57">
    <cfRule type="expression" dxfId="70" priority="4">
      <formula>OR($D7=$Q$7:$Q$14)</formula>
    </cfRule>
  </conditionalFormatting>
  <conditionalFormatting sqref="C7:C57">
    <cfRule type="expression" dxfId="69" priority="3">
      <formula>OR(AND($D7=0,OR($D6=$Q$7:$Q$14)),AND($D8&gt;0,OR($D7=$Q$7:$Q$14)))</formula>
    </cfRule>
  </conditionalFormatting>
  <conditionalFormatting sqref="D7:D57">
    <cfRule type="expression" dxfId="68" priority="2">
      <formula>$D7=$D8</formula>
    </cfRule>
  </conditionalFormatting>
  <conditionalFormatting sqref="H7:H57">
    <cfRule type="expression" dxfId="6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CCE87-7659-4AFA-9575-51790801DEFC}">
  <sheetPr codeName="Sheet1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기능'!D10</f>
        <v>23.66</v>
      </c>
      <c r="I3" s="21" t="s">
        <v>123</v>
      </c>
      <c r="J3" s="81">
        <f>'통계 및 응시자 수 입력 기능'!C10</f>
        <v>30695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153</v>
      </c>
      <c r="E4" s="186"/>
      <c r="F4" s="187"/>
      <c r="G4" s="83" t="s">
        <v>126</v>
      </c>
      <c r="H4" s="84" t="str">
        <f>'통계 및 응시자 수 입력 기능'!E10</f>
        <v>11.43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73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99.55</v>
      </c>
      <c r="G7" s="56">
        <f>_xlfn.IFNA(VLOOKUP(D7,'인원 입력 기능(사과탐)'!$K$5:$N$59,4,FALSE),0)</f>
        <v>277</v>
      </c>
      <c r="H7" s="57">
        <f>G7/$J$3</f>
        <v>9.0242710539175756E-3</v>
      </c>
      <c r="I7" s="58">
        <f>G7</f>
        <v>277</v>
      </c>
      <c r="J7" s="59">
        <f>I7/$J$3</f>
        <v>9.0242710539175756E-3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기능'!C58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기능'!C59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98.58</v>
      </c>
      <c r="G9" s="56">
        <f>_xlfn.IFNA(VLOOKUP(D9,'인원 입력 기능(사과탐)'!$K$5:$N$59,4,FALSE),0)</f>
        <v>318</v>
      </c>
      <c r="H9" s="57">
        <f t="shared" ref="H9:H55" si="1">G9/$J$3</f>
        <v>1.0359993484280827E-2</v>
      </c>
      <c r="I9" s="67">
        <f>SUM($G$7:G9)</f>
        <v>595</v>
      </c>
      <c r="J9" s="59">
        <f>I9/$J$3</f>
        <v>1.9384264538198404E-2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기능'!C60</f>
        <v>58</v>
      </c>
    </row>
    <row r="10" spans="1:17" s="22" customFormat="1" ht="25" customHeight="1" x14ac:dyDescent="0.45">
      <c r="A10" s="20"/>
      <c r="B10" s="35"/>
      <c r="C10" s="60">
        <v>47</v>
      </c>
      <c r="D10" s="172">
        <f t="shared" ref="D10:D55" si="3">ROUND(10*(C10-$H$3)/$H$4+50,0)</f>
        <v>70</v>
      </c>
      <c r="E10" s="172">
        <f t="shared" si="0"/>
        <v>1</v>
      </c>
      <c r="F10" s="176">
        <f t="shared" ref="F10:F55" si="4">IF(I9=0,ROUND(100*(1-(I8+I10)/2/$J$3),2),ROUND(100*(1-(I9+I10)/2/$J$3),2))</f>
        <v>97.51</v>
      </c>
      <c r="G10" s="178">
        <f>IF(D10=D9,"",_xlfn.IFNA(VLOOKUP(D10,'인원 입력 기능(사과탐)'!$K$5:$N$59,4,FALSE),0))</f>
        <v>337</v>
      </c>
      <c r="H10" s="180">
        <f t="shared" si="1"/>
        <v>1.0978986805668675E-2</v>
      </c>
      <c r="I10" s="189">
        <f>SUM($G$7:G10)</f>
        <v>932</v>
      </c>
      <c r="J10" s="170">
        <f t="shared" ref="J10:J55" si="5">I10/$J$3</f>
        <v>3.0363251343867078E-2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기능'!C61</f>
        <v>53</v>
      </c>
    </row>
    <row r="11" spans="1:17" s="22" customFormat="1" ht="25" customHeight="1" x14ac:dyDescent="0.45">
      <c r="A11" s="20"/>
      <c r="B11" s="35"/>
      <c r="C11" s="53">
        <v>46</v>
      </c>
      <c r="D11" s="173"/>
      <c r="E11" s="173"/>
      <c r="F11" s="177"/>
      <c r="G11" s="179"/>
      <c r="H11" s="181"/>
      <c r="I11" s="190"/>
      <c r="J11" s="171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기능'!C62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69</v>
      </c>
      <c r="E12" s="54">
        <f t="shared" si="0"/>
        <v>1</v>
      </c>
      <c r="F12" s="55">
        <f t="shared" si="4"/>
        <v>96.24</v>
      </c>
      <c r="G12" s="56">
        <f>IF(D12=D11,"",_xlfn.IFNA(VLOOKUP(D12,'인원 입력 기능(사과탐)'!$K$5:$N$59,4,FALSE),0))</f>
        <v>442</v>
      </c>
      <c r="H12" s="57">
        <f t="shared" si="1"/>
        <v>1.43997393712331E-2</v>
      </c>
      <c r="I12" s="67">
        <f>SUM($G$7:G12)</f>
        <v>1374</v>
      </c>
      <c r="J12" s="59">
        <f t="shared" si="5"/>
        <v>4.4762990715100176E-2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기능'!C63</f>
        <v>40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68</v>
      </c>
      <c r="E13" s="54">
        <f t="shared" si="0"/>
        <v>2</v>
      </c>
      <c r="F13" s="55">
        <f t="shared" si="4"/>
        <v>95.2</v>
      </c>
      <c r="G13" s="56">
        <f>IF(D13=D12,"",_xlfn.IFNA(VLOOKUP(D13,'인원 입력 기능(사과탐)'!$K$5:$N$59,4,FALSE),0))</f>
        <v>198</v>
      </c>
      <c r="H13" s="57">
        <f t="shared" si="1"/>
        <v>6.4505619807786281E-3</v>
      </c>
      <c r="I13" s="67">
        <f>SUM($G$7:G13)</f>
        <v>1572</v>
      </c>
      <c r="J13" s="59">
        <f t="shared" si="5"/>
        <v>5.1213552695878808E-2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기능'!C64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67</v>
      </c>
      <c r="E14" s="54">
        <f t="shared" si="0"/>
        <v>2</v>
      </c>
      <c r="F14" s="55">
        <f t="shared" si="4"/>
        <v>94.32</v>
      </c>
      <c r="G14" s="56">
        <f>IF(D14=D13,"",_xlfn.IFNA(VLOOKUP(D14,'인원 입력 기능(사과탐)'!$K$5:$N$59,4,FALSE),0))</f>
        <v>340</v>
      </c>
      <c r="H14" s="57">
        <f t="shared" si="1"/>
        <v>1.1076722593256231E-2</v>
      </c>
      <c r="I14" s="67">
        <f>SUM($G$7:G14)</f>
        <v>1912</v>
      </c>
      <c r="J14" s="59">
        <f t="shared" si="5"/>
        <v>6.2290275289135041E-2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기능'!C65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66</v>
      </c>
      <c r="E15" s="54">
        <f t="shared" si="0"/>
        <v>2</v>
      </c>
      <c r="F15" s="55">
        <f t="shared" si="4"/>
        <v>92.9</v>
      </c>
      <c r="G15" s="56">
        <f>IF(D15=D14,"",_xlfn.IFNA(VLOOKUP(D15,'인원 입력 기능(사과탐)'!$K$5:$N$59,4,FALSE),0))</f>
        <v>535</v>
      </c>
      <c r="H15" s="57">
        <f t="shared" si="1"/>
        <v>1.7429548786447303E-2</v>
      </c>
      <c r="I15" s="67">
        <f>SUM($G$7:G15)</f>
        <v>2447</v>
      </c>
      <c r="J15" s="59">
        <f t="shared" si="5"/>
        <v>7.9719824075582341E-2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65</v>
      </c>
      <c r="E16" s="54">
        <f t="shared" si="0"/>
        <v>2</v>
      </c>
      <c r="F16" s="55">
        <f t="shared" si="4"/>
        <v>91.62</v>
      </c>
      <c r="G16" s="56">
        <f>IF(D16=D15,"",_xlfn.IFNA(VLOOKUP(D16,'인원 입력 기능(사과탐)'!$K$5:$N$59,4,FALSE),0))</f>
        <v>252</v>
      </c>
      <c r="H16" s="57">
        <f t="shared" si="1"/>
        <v>8.2098061573546172E-3</v>
      </c>
      <c r="I16" s="67">
        <f>SUM($G$7:G16)</f>
        <v>2699</v>
      </c>
      <c r="J16" s="59">
        <f t="shared" si="5"/>
        <v>8.7929630232936956E-2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64</v>
      </c>
      <c r="E17" s="54">
        <f t="shared" si="0"/>
        <v>2</v>
      </c>
      <c r="F17" s="55">
        <f t="shared" si="4"/>
        <v>90.28</v>
      </c>
      <c r="G17" s="56">
        <f>IF(D17=D16,"",_xlfn.IFNA(VLOOKUP(D17,'인원 입력 기능(사과탐)'!$K$5:$N$59,4,FALSE),0))</f>
        <v>570</v>
      </c>
      <c r="H17" s="57">
        <f t="shared" si="1"/>
        <v>1.8569799641635444E-2</v>
      </c>
      <c r="I17" s="67">
        <f>SUM($G$7:G17)</f>
        <v>3269</v>
      </c>
      <c r="J17" s="59">
        <f t="shared" si="5"/>
        <v>0.10649942987457241</v>
      </c>
      <c r="K17" s="36"/>
      <c r="L17" s="20" t="str">
        <f t="shared" si="2"/>
        <v/>
      </c>
      <c r="N17" s="24"/>
      <c r="Q17" s="24">
        <f>Q7*H3*H4*J3*IFERROR(IF(J57=1, 1, 0), 0)</f>
        <v>572766618.87899995</v>
      </c>
    </row>
    <row r="18" spans="1:17" s="22" customFormat="1" ht="25" customHeight="1" x14ac:dyDescent="0.45">
      <c r="A18" s="20"/>
      <c r="B18" s="35"/>
      <c r="C18" s="60">
        <v>39</v>
      </c>
      <c r="D18" s="172">
        <f t="shared" si="3"/>
        <v>63</v>
      </c>
      <c r="E18" s="172">
        <f t="shared" si="0"/>
        <v>2</v>
      </c>
      <c r="F18" s="176">
        <f t="shared" si="4"/>
        <v>87.84</v>
      </c>
      <c r="G18" s="178">
        <f>IF(D18=D17,"",_xlfn.IFNA(VLOOKUP(D18,'인원 입력 기능(사과탐)'!$K$5:$N$59,4,FALSE),0))</f>
        <v>928</v>
      </c>
      <c r="H18" s="180">
        <f t="shared" si="1"/>
        <v>3.0232936960417005E-2</v>
      </c>
      <c r="I18" s="189">
        <f>SUM($G$7:G18)</f>
        <v>4197</v>
      </c>
      <c r="J18" s="170">
        <f t="shared" si="5"/>
        <v>0.13673236683498941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173"/>
      <c r="E19" s="173"/>
      <c r="F19" s="177"/>
      <c r="G19" s="179"/>
      <c r="H19" s="181"/>
      <c r="I19" s="190"/>
      <c r="J19" s="17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62</v>
      </c>
      <c r="E20" s="54">
        <f t="shared" si="0"/>
        <v>3</v>
      </c>
      <c r="F20" s="55">
        <f t="shared" si="4"/>
        <v>85.17</v>
      </c>
      <c r="G20" s="56">
        <f>IF(D20=D19,"",_xlfn.IFNA(VLOOKUP(D20,'인원 입력 기능(사과탐)'!$K$5:$N$59,4,FALSE),0))</f>
        <v>709</v>
      </c>
      <c r="H20" s="57">
        <f t="shared" si="1"/>
        <v>2.3098224466525492E-2</v>
      </c>
      <c r="I20" s="67">
        <f>SUM($G$7:G20)</f>
        <v>4906</v>
      </c>
      <c r="J20" s="59">
        <f t="shared" si="5"/>
        <v>0.15983059130151492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61</v>
      </c>
      <c r="E21" s="68">
        <f t="shared" si="0"/>
        <v>3</v>
      </c>
      <c r="F21" s="55">
        <f t="shared" si="4"/>
        <v>83.16</v>
      </c>
      <c r="G21" s="56">
        <f>IF(D21=D20,"",_xlfn.IFNA(VLOOKUP(D21,'인원 입력 기능(사과탐)'!$K$5:$N$59,4,FALSE),0))</f>
        <v>527</v>
      </c>
      <c r="H21" s="57">
        <f t="shared" si="1"/>
        <v>1.7168920019547156E-2</v>
      </c>
      <c r="I21" s="67">
        <f>SUM($G$7:G21)</f>
        <v>5433</v>
      </c>
      <c r="J21" s="59">
        <f t="shared" si="5"/>
        <v>0.17699951132106206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60</v>
      </c>
      <c r="E22" s="68">
        <f t="shared" si="0"/>
        <v>3</v>
      </c>
      <c r="F22" s="55">
        <f t="shared" si="4"/>
        <v>81.36</v>
      </c>
      <c r="G22" s="56">
        <f>IF(D22=D21,"",_xlfn.IFNA(VLOOKUP(D22,'인원 입력 기능(사과탐)'!$K$5:$N$59,4,FALSE),0))</f>
        <v>578</v>
      </c>
      <c r="H22" s="57">
        <f t="shared" si="1"/>
        <v>1.8830428408535591E-2</v>
      </c>
      <c r="I22" s="67">
        <f>SUM($G$7:G22)</f>
        <v>6011</v>
      </c>
      <c r="J22" s="59">
        <f t="shared" si="5"/>
        <v>0.19582993972959764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59</v>
      </c>
      <c r="E23" s="68">
        <f t="shared" si="0"/>
        <v>3</v>
      </c>
      <c r="F23" s="55">
        <f t="shared" si="4"/>
        <v>79.12</v>
      </c>
      <c r="G23" s="56">
        <f>IF(D23=D22,"",_xlfn.IFNA(VLOOKUP(D23,'인원 입력 기능(사과탐)'!$K$5:$N$59,4,FALSE),0))</f>
        <v>794</v>
      </c>
      <c r="H23" s="57">
        <f t="shared" si="1"/>
        <v>2.5867405114839551E-2</v>
      </c>
      <c r="I23" s="67">
        <f>SUM($G$7:G23)</f>
        <v>6805</v>
      </c>
      <c r="J23" s="59">
        <f t="shared" si="5"/>
        <v>0.22169734484443721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58</v>
      </c>
      <c r="E24" s="68">
        <f t="shared" si="0"/>
        <v>3</v>
      </c>
      <c r="F24" s="55">
        <f t="shared" si="4"/>
        <v>76.91</v>
      </c>
      <c r="G24" s="56">
        <f>IF(D24=D23,"",_xlfn.IFNA(VLOOKUP(D24,'인원 입력 기능(사과탐)'!$K$5:$N$59,4,FALSE),0))</f>
        <v>564</v>
      </c>
      <c r="H24" s="57">
        <f t="shared" si="1"/>
        <v>1.8374328066460336E-2</v>
      </c>
      <c r="I24" s="67">
        <f>SUM($G$7:G24)</f>
        <v>7369</v>
      </c>
      <c r="J24" s="59">
        <f t="shared" si="5"/>
        <v>0.24007167291089754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57</v>
      </c>
      <c r="E25" s="68">
        <f t="shared" si="0"/>
        <v>4</v>
      </c>
      <c r="F25" s="55">
        <f t="shared" si="4"/>
        <v>74.64</v>
      </c>
      <c r="G25" s="56">
        <f>IF(D25=D24,"",_xlfn.IFNA(VLOOKUP(D25,'인원 입력 기능(사과탐)'!$K$5:$N$59,4,FALSE),0))</f>
        <v>830</v>
      </c>
      <c r="H25" s="57">
        <f t="shared" si="1"/>
        <v>2.7040234565890209E-2</v>
      </c>
      <c r="I25" s="67">
        <f>SUM($G$7:G25)</f>
        <v>8199</v>
      </c>
      <c r="J25" s="59">
        <f t="shared" si="5"/>
        <v>0.26711190747678776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174">
        <f t="shared" si="3"/>
        <v>56</v>
      </c>
      <c r="E26" s="174">
        <f t="shared" si="0"/>
        <v>4</v>
      </c>
      <c r="F26" s="176">
        <f t="shared" si="4"/>
        <v>70.78</v>
      </c>
      <c r="G26" s="178">
        <f>IF(D26=D25,"",_xlfn.IFNA(VLOOKUP(D26,'인원 입력 기능(사과탐)'!$K$5:$N$59,4,FALSE),0))</f>
        <v>1540</v>
      </c>
      <c r="H26" s="180">
        <f t="shared" si="1"/>
        <v>5.0171037628278223E-2</v>
      </c>
      <c r="I26" s="189">
        <f>SUM($G$7:G26)</f>
        <v>9739</v>
      </c>
      <c r="J26" s="170">
        <f t="shared" si="5"/>
        <v>0.31728294510506599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175"/>
      <c r="E27" s="175"/>
      <c r="F27" s="177"/>
      <c r="G27" s="179"/>
      <c r="H27" s="181"/>
      <c r="I27" s="190"/>
      <c r="J27" s="171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55</v>
      </c>
      <c r="E28" s="68">
        <f t="shared" si="0"/>
        <v>4</v>
      </c>
      <c r="F28" s="55">
        <f t="shared" si="4"/>
        <v>66.81</v>
      </c>
      <c r="G28" s="56">
        <f>IF(D28=D27,"",_xlfn.IFNA(VLOOKUP(D28,'인원 입력 기능(사과탐)'!$K$5:$N$59,4,FALSE),0))</f>
        <v>898</v>
      </c>
      <c r="H28" s="57">
        <f t="shared" si="1"/>
        <v>2.9255579084541457E-2</v>
      </c>
      <c r="I28" s="67">
        <f>SUM($G$7:G28)</f>
        <v>10637</v>
      </c>
      <c r="J28" s="59">
        <f t="shared" si="5"/>
        <v>0.34653852418960746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54</v>
      </c>
      <c r="E29" s="68">
        <f t="shared" si="0"/>
        <v>4</v>
      </c>
      <c r="F29" s="55">
        <f t="shared" si="4"/>
        <v>64.03</v>
      </c>
      <c r="G29" s="56">
        <f>IF(D29=D28,"",_xlfn.IFNA(VLOOKUP(D29,'인원 입력 기능(사과탐)'!$K$5:$N$59,4,FALSE),0))</f>
        <v>806</v>
      </c>
      <c r="H29" s="57">
        <f t="shared" si="1"/>
        <v>2.625834826518977E-2</v>
      </c>
      <c r="I29" s="67">
        <f>SUM($G$7:G29)</f>
        <v>11443</v>
      </c>
      <c r="J29" s="59">
        <f t="shared" si="5"/>
        <v>0.3727968724547972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53</v>
      </c>
      <c r="E30" s="68">
        <f t="shared" si="0"/>
        <v>4</v>
      </c>
      <c r="F30" s="55">
        <f t="shared" si="4"/>
        <v>61.24</v>
      </c>
      <c r="G30" s="56">
        <f>IF(D30=D29,"",_xlfn.IFNA(VLOOKUP(D30,'인원 입력 기능(사과탐)'!$K$5:$N$59,4,FALSE),0))</f>
        <v>909</v>
      </c>
      <c r="H30" s="57">
        <f t="shared" si="1"/>
        <v>2.9613943639029156E-2</v>
      </c>
      <c r="I30" s="67">
        <f>SUM($G$7:G30)</f>
        <v>12352</v>
      </c>
      <c r="J30" s="59">
        <f t="shared" si="5"/>
        <v>0.40241081609382634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52</v>
      </c>
      <c r="E31" s="68">
        <f t="shared" si="0"/>
        <v>5</v>
      </c>
      <c r="F31" s="55">
        <f t="shared" si="4"/>
        <v>58.26</v>
      </c>
      <c r="G31" s="56">
        <f>IF(D31=D30,"",_xlfn.IFNA(VLOOKUP(D31,'인원 입력 기능(사과탐)'!$K$5:$N$59,4,FALSE),0))</f>
        <v>922</v>
      </c>
      <c r="H31" s="57">
        <f t="shared" si="1"/>
        <v>3.0037465385241897E-2</v>
      </c>
      <c r="I31" s="67">
        <f>SUM($G$7:G31)</f>
        <v>13274</v>
      </c>
      <c r="J31" s="59">
        <f t="shared" si="5"/>
        <v>0.43244828147906827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51</v>
      </c>
      <c r="E32" s="68">
        <f t="shared" si="0"/>
        <v>5</v>
      </c>
      <c r="F32" s="55">
        <f t="shared" si="4"/>
        <v>55.47</v>
      </c>
      <c r="G32" s="56">
        <f>IF(D32=D31,"",_xlfn.IFNA(VLOOKUP(D32,'인원 입력 기능(사과탐)'!$K$5:$N$59,4,FALSE),0))</f>
        <v>790</v>
      </c>
      <c r="H32" s="57">
        <f t="shared" si="1"/>
        <v>2.5737090731389477E-2</v>
      </c>
      <c r="I32" s="67">
        <f>SUM($G$7:G32)</f>
        <v>14064</v>
      </c>
      <c r="J32" s="59">
        <f t="shared" si="5"/>
        <v>0.45818537221045774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50</v>
      </c>
      <c r="E33" s="68">
        <f t="shared" si="0"/>
        <v>5</v>
      </c>
      <c r="F33" s="55">
        <f t="shared" si="4"/>
        <v>52.61</v>
      </c>
      <c r="G33" s="56">
        <f>IF(D33=D32,"",_xlfn.IFNA(VLOOKUP(D33,'인원 입력 기능(사과탐)'!$K$5:$N$59,4,FALSE),0))</f>
        <v>962</v>
      </c>
      <c r="H33" s="57">
        <f t="shared" si="1"/>
        <v>3.1340609219742632E-2</v>
      </c>
      <c r="I33" s="67">
        <f>SUM($G$7:G33)</f>
        <v>15026</v>
      </c>
      <c r="J33" s="59">
        <f t="shared" si="5"/>
        <v>0.48952598143020037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174">
        <f t="shared" si="3"/>
        <v>49</v>
      </c>
      <c r="E34" s="174">
        <f t="shared" si="0"/>
        <v>5</v>
      </c>
      <c r="F34" s="176">
        <f t="shared" si="4"/>
        <v>48.38</v>
      </c>
      <c r="G34" s="178">
        <f>IF(D34=D33,"",_xlfn.IFNA(VLOOKUP(D34,'인원 입력 기능(사과탐)'!$K$5:$N$59,4,FALSE),0))</f>
        <v>1638</v>
      </c>
      <c r="H34" s="180">
        <f t="shared" si="1"/>
        <v>5.3363740022805015E-2</v>
      </c>
      <c r="I34" s="189">
        <f>SUM($G$7:G34)</f>
        <v>16664</v>
      </c>
      <c r="J34" s="170">
        <f t="shared" si="5"/>
        <v>0.5428897214530054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175"/>
      <c r="E35" s="175"/>
      <c r="F35" s="177"/>
      <c r="G35" s="179"/>
      <c r="H35" s="181"/>
      <c r="I35" s="190"/>
      <c r="J35" s="171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48</v>
      </c>
      <c r="E36" s="68">
        <f t="shared" si="0"/>
        <v>5</v>
      </c>
      <c r="F36" s="55">
        <f t="shared" si="4"/>
        <v>44.31</v>
      </c>
      <c r="G36" s="56">
        <f>IF(D36=D35,"",_xlfn.IFNA(VLOOKUP(D36,'인원 입력 기능(사과탐)'!$K$5:$N$59,4,FALSE),0))</f>
        <v>861</v>
      </c>
      <c r="H36" s="57">
        <f t="shared" si="1"/>
        <v>2.8050171037628278E-2</v>
      </c>
      <c r="I36" s="67">
        <f>SUM($G$7:G36)</f>
        <v>17525</v>
      </c>
      <c r="J36" s="59">
        <f t="shared" si="5"/>
        <v>0.5709398924906337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41.71</v>
      </c>
      <c r="G37" s="56">
        <f>IF(D37=D36,"",_xlfn.IFNA(VLOOKUP(D37,'인원 입력 기능(사과탐)'!$K$5:$N$59,4,FALSE),0))</f>
        <v>732</v>
      </c>
      <c r="H37" s="57">
        <f t="shared" si="1"/>
        <v>2.3847532171363414E-2</v>
      </c>
      <c r="I37" s="67">
        <f>SUM($G$7:G37)</f>
        <v>18257</v>
      </c>
      <c r="J37" s="59">
        <f t="shared" si="5"/>
        <v>0.59478742466199708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39.21</v>
      </c>
      <c r="G38" s="56">
        <f>IF(D38=D37,"",_xlfn.IFNA(VLOOKUP(D38,'인원 입력 기능(사과탐)'!$K$5:$N$59,4,FALSE),0))</f>
        <v>803</v>
      </c>
      <c r="H38" s="57">
        <f t="shared" si="1"/>
        <v>2.6160612477602214E-2</v>
      </c>
      <c r="I38" s="67">
        <f>SUM($G$7:G38)</f>
        <v>19060</v>
      </c>
      <c r="J38" s="59">
        <f t="shared" si="5"/>
        <v>0.62094803713959923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36.590000000000003</v>
      </c>
      <c r="G39" s="56">
        <f>IF(D39=D38,"",_xlfn.IFNA(VLOOKUP(D39,'인원 입력 기능(사과탐)'!$K$5:$N$59,4,FALSE),0))</f>
        <v>808</v>
      </c>
      <c r="H39" s="57">
        <f t="shared" si="1"/>
        <v>2.6323505456914809E-2</v>
      </c>
      <c r="I39" s="67">
        <f>SUM($G$7:G39)</f>
        <v>19868</v>
      </c>
      <c r="J39" s="59">
        <f t="shared" si="5"/>
        <v>0.64727154259651409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44</v>
      </c>
      <c r="E40" s="68">
        <f t="shared" si="6"/>
        <v>6</v>
      </c>
      <c r="F40" s="55">
        <f t="shared" si="4"/>
        <v>34.07</v>
      </c>
      <c r="G40" s="56">
        <f>IF(D40=D39,"",_xlfn.IFNA(VLOOKUP(D40,'인원 입력 기능(사과탐)'!$K$5:$N$59,4,FALSE),0))</f>
        <v>738</v>
      </c>
      <c r="H40" s="57">
        <f t="shared" si="1"/>
        <v>2.4043003746538526E-2</v>
      </c>
      <c r="I40" s="67">
        <f>SUM($G$7:G40)</f>
        <v>20606</v>
      </c>
      <c r="J40" s="59">
        <f t="shared" si="5"/>
        <v>0.67131454634305265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43</v>
      </c>
      <c r="E41" s="68">
        <f t="shared" si="6"/>
        <v>6</v>
      </c>
      <c r="F41" s="55">
        <f t="shared" si="4"/>
        <v>31.6</v>
      </c>
      <c r="G41" s="56">
        <f>IF(D41=D40,"",_xlfn.IFNA(VLOOKUP(D41,'인원 입력 기능(사과탐)'!$K$5:$N$59,4,FALSE),0))</f>
        <v>778</v>
      </c>
      <c r="H41" s="57">
        <f t="shared" si="1"/>
        <v>2.5346147581039258E-2</v>
      </c>
      <c r="I41" s="67">
        <f>SUM($G$7:G41)</f>
        <v>21384</v>
      </c>
      <c r="J41" s="59">
        <f t="shared" si="5"/>
        <v>0.69666069392409191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174">
        <f t="shared" si="3"/>
        <v>42</v>
      </c>
      <c r="E42" s="174">
        <f t="shared" si="6"/>
        <v>6</v>
      </c>
      <c r="F42" s="176">
        <f t="shared" si="4"/>
        <v>28.08</v>
      </c>
      <c r="G42" s="178">
        <f>IF(D42=D41,"",_xlfn.IFNA(VLOOKUP(D42,'인원 입력 기능(사과탐)'!$K$5:$N$59,4,FALSE),0))</f>
        <v>1383</v>
      </c>
      <c r="H42" s="180">
        <f t="shared" si="1"/>
        <v>4.5056198077862847E-2</v>
      </c>
      <c r="I42" s="189">
        <f>SUM($G$7:G42)</f>
        <v>22767</v>
      </c>
      <c r="J42" s="170">
        <f t="shared" si="5"/>
        <v>0.74171689200195468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5"/>
      <c r="E43" s="175"/>
      <c r="F43" s="177"/>
      <c r="G43" s="179"/>
      <c r="H43" s="181"/>
      <c r="I43" s="190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24.59</v>
      </c>
      <c r="G44" s="56">
        <f>IF(D44=D43,"",_xlfn.IFNA(VLOOKUP(D44,'인원 입력 기능(사과탐)'!$K$5:$N$59,4,FALSE),0))</f>
        <v>762</v>
      </c>
      <c r="H44" s="57">
        <f t="shared" si="1"/>
        <v>2.4824890047238965E-2</v>
      </c>
      <c r="I44" s="67">
        <f>SUM($G$7:G44)</f>
        <v>23529</v>
      </c>
      <c r="J44" s="59">
        <f t="shared" si="5"/>
        <v>0.76654178204919365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6</v>
      </c>
      <c r="F45" s="55">
        <f t="shared" si="4"/>
        <v>22.18</v>
      </c>
      <c r="G45" s="56">
        <f>IF(D45=D44,"",_xlfn.IFNA(VLOOKUP(D45,'인원 입력 기능(사과탐)'!$K$5:$N$59,4,FALSE),0))</f>
        <v>716</v>
      </c>
      <c r="H45" s="57">
        <f t="shared" si="1"/>
        <v>2.3326274637563121E-2</v>
      </c>
      <c r="I45" s="67">
        <f>SUM($G$7:G45)</f>
        <v>24245</v>
      </c>
      <c r="J45" s="59">
        <f t="shared" si="5"/>
        <v>0.78986805668675675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17.559999999999999</v>
      </c>
      <c r="G46" s="56">
        <f>IF(D46=D45,"",_xlfn.IFNA(VLOOKUP(D46,'인원 입력 기능(사과탐)'!$K$5:$N$59,4,FALSE),0))</f>
        <v>2120</v>
      </c>
      <c r="H46" s="57">
        <f t="shared" si="1"/>
        <v>6.9066623228538848E-2</v>
      </c>
      <c r="I46" s="67">
        <f>SUM($G$7:G46)</f>
        <v>26365</v>
      </c>
      <c r="J46" s="59">
        <f t="shared" si="5"/>
        <v>0.8589346799152956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7</v>
      </c>
      <c r="F47" s="55">
        <f t="shared" si="4"/>
        <v>10.91</v>
      </c>
      <c r="G47" s="56">
        <f>IF(D47=D46,"",_xlfn.IFNA(VLOOKUP(D47,'인원 입력 기능(사과탐)'!$K$5:$N$59,4,FALSE),0))</f>
        <v>1962</v>
      </c>
      <c r="H47" s="57">
        <f t="shared" si="1"/>
        <v>6.3919205082260955E-2</v>
      </c>
      <c r="I47" s="67">
        <f>SUM($G$7:G47)</f>
        <v>28327</v>
      </c>
      <c r="J47" s="59">
        <f t="shared" si="5"/>
        <v>0.92285388499755661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6"/>
        <v>8</v>
      </c>
      <c r="F48" s="55">
        <f t="shared" si="4"/>
        <v>6.48</v>
      </c>
      <c r="G48" s="56">
        <f>IF(D48=D47,"",_xlfn.IFNA(VLOOKUP(D48,'인원 입력 기능(사과탐)'!$K$5:$N$59,4,FALSE),0))</f>
        <v>758</v>
      </c>
      <c r="H48" s="57">
        <f t="shared" si="1"/>
        <v>2.4694575663788892E-2</v>
      </c>
      <c r="I48" s="67">
        <f>SUM($G$7:G48)</f>
        <v>29085</v>
      </c>
      <c r="J48" s="59">
        <f t="shared" si="5"/>
        <v>0.94754846066134546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6"/>
        <v>8</v>
      </c>
      <c r="F49" s="55">
        <f t="shared" si="4"/>
        <v>4.59</v>
      </c>
      <c r="G49" s="56">
        <f>IF(D49=D48,"",_xlfn.IFNA(VLOOKUP(D49,'인원 입력 기능(사과탐)'!$K$5:$N$59,4,FALSE),0))</f>
        <v>405</v>
      </c>
      <c r="H49" s="57">
        <f t="shared" si="1"/>
        <v>1.3194331324319922E-2</v>
      </c>
      <c r="I49" s="67">
        <f>SUM($G$7:G49)</f>
        <v>29490</v>
      </c>
      <c r="J49" s="59">
        <f t="shared" si="5"/>
        <v>0.96074279198566537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174">
        <f t="shared" si="3"/>
        <v>35</v>
      </c>
      <c r="E50" s="174">
        <f t="shared" si="6"/>
        <v>9</v>
      </c>
      <c r="F50" s="176">
        <f t="shared" si="4"/>
        <v>2.97</v>
      </c>
      <c r="G50" s="178">
        <f>IF(D50=D49,"",_xlfn.IFNA(VLOOKUP(D50,'인원 입력 기능(사과탐)'!$K$5:$N$59,4,FALSE),0))</f>
        <v>585</v>
      </c>
      <c r="H50" s="180">
        <f t="shared" si="1"/>
        <v>1.905847857957322E-2</v>
      </c>
      <c r="I50" s="189">
        <f>SUM($G$7:G50)</f>
        <v>30075</v>
      </c>
      <c r="J50" s="170">
        <f t="shared" si="5"/>
        <v>0.97980127056523869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175"/>
      <c r="E51" s="175"/>
      <c r="F51" s="177"/>
      <c r="G51" s="179"/>
      <c r="H51" s="181"/>
      <c r="I51" s="190"/>
      <c r="J51" s="171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6"/>
        <v>9</v>
      </c>
      <c r="F52" s="55">
        <f t="shared" si="4"/>
        <v>1.6</v>
      </c>
      <c r="G52" s="56">
        <f>IF(D52=D51,"",_xlfn.IFNA(VLOOKUP(D52,'인원 입력 기능(사과탐)'!$K$5:$N$59,4,FALSE),0))</f>
        <v>256</v>
      </c>
      <c r="H52" s="57">
        <f t="shared" si="1"/>
        <v>8.3401205408046922E-3</v>
      </c>
      <c r="I52" s="67">
        <f>SUM($G$7:G52)</f>
        <v>30331</v>
      </c>
      <c r="J52" s="59">
        <f t="shared" si="5"/>
        <v>0.98814139110604338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0.92</v>
      </c>
      <c r="G53" s="56">
        <f>IF(D53=D52,"",_xlfn.IFNA(VLOOKUP(D53,'인원 입력 기능(사과탐)'!$K$5:$N$59,4,FALSE),0))</f>
        <v>164</v>
      </c>
      <c r="H53" s="57">
        <f t="shared" si="1"/>
        <v>5.3428897214530049E-3</v>
      </c>
      <c r="I53" s="67">
        <f>SUM($G$7:G53)</f>
        <v>30495</v>
      </c>
      <c r="J53" s="59">
        <f t="shared" si="5"/>
        <v>0.99348428082749629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0.52</v>
      </c>
      <c r="G54" s="56">
        <f>IF(D54=D53,"",_xlfn.IFNA(VLOOKUP(D54,'인원 입력 기능(사과탐)'!$K$5:$N$59,4,FALSE),0))</f>
        <v>78</v>
      </c>
      <c r="H54" s="57">
        <f t="shared" si="1"/>
        <v>2.5411304772764293E-3</v>
      </c>
      <c r="I54" s="67">
        <f>SUM($G$7:G54)</f>
        <v>30573</v>
      </c>
      <c r="J54" s="59">
        <f t="shared" si="5"/>
        <v>0.99602541130477273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0.25</v>
      </c>
      <c r="G55" s="56">
        <f>IF(D55=D54,"",_xlfn.IFNA(VLOOKUP(D55,'인원 입력 기능(사과탐)'!$K$5:$N$59,4,FALSE),0))</f>
        <v>88</v>
      </c>
      <c r="H55" s="57">
        <f t="shared" si="1"/>
        <v>2.8669164359016127E-3</v>
      </c>
      <c r="I55" s="67">
        <f>SUM($G$7:G55)</f>
        <v>30661</v>
      </c>
      <c r="J55" s="59">
        <f t="shared" si="5"/>
        <v>0.99889232774067438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6"/>
        <v>9</v>
      </c>
      <c r="F57" s="74">
        <f>IF(I55=0,ROUND(100*(1-(I54+I57)/2/$J$3),2),ROUND(100*(1-(I55+I57)/2/$J$3),2))</f>
        <v>0.06</v>
      </c>
      <c r="G57" s="110">
        <f>_xlfn.IFNA(VLOOKUP(D57,'인원 입력 기능(사과탐)'!$K$5:$N$59,4,FALSE),0)</f>
        <v>34</v>
      </c>
      <c r="H57" s="76">
        <f>G57/$J$3</f>
        <v>1.1076722593256231E-3</v>
      </c>
      <c r="I57" s="77">
        <f>SUM($G$7:G57)</f>
        <v>30695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G5:J5"/>
    <mergeCell ref="D10:D11"/>
    <mergeCell ref="E10:E11"/>
    <mergeCell ref="F10:F11"/>
    <mergeCell ref="G10:G11"/>
    <mergeCell ref="H10:H11"/>
    <mergeCell ref="I10:I11"/>
    <mergeCell ref="J10:J11"/>
    <mergeCell ref="I18:I19"/>
    <mergeCell ref="J18:J19"/>
    <mergeCell ref="D26:D27"/>
    <mergeCell ref="E26:E27"/>
    <mergeCell ref="F26:F27"/>
    <mergeCell ref="G26:G27"/>
    <mergeCell ref="H26:H27"/>
    <mergeCell ref="I26:I27"/>
    <mergeCell ref="J26:J27"/>
    <mergeCell ref="D18:D19"/>
    <mergeCell ref="E18:E19"/>
    <mergeCell ref="F18:F19"/>
    <mergeCell ref="G18:G19"/>
    <mergeCell ref="H18:H19"/>
    <mergeCell ref="I34:I35"/>
    <mergeCell ref="J34:J35"/>
    <mergeCell ref="D42:D43"/>
    <mergeCell ref="E42:E43"/>
    <mergeCell ref="F42:F43"/>
    <mergeCell ref="G42:G43"/>
    <mergeCell ref="H42:H43"/>
    <mergeCell ref="I42:I43"/>
    <mergeCell ref="J42:J43"/>
    <mergeCell ref="D34:D35"/>
    <mergeCell ref="E34:E35"/>
    <mergeCell ref="F34:F35"/>
    <mergeCell ref="G34:G35"/>
    <mergeCell ref="H34:H35"/>
    <mergeCell ref="I50:I51"/>
    <mergeCell ref="J50:J51"/>
    <mergeCell ref="D50:D51"/>
    <mergeCell ref="E50:E51"/>
    <mergeCell ref="F50:F51"/>
    <mergeCell ref="G50:G51"/>
    <mergeCell ref="H50:H51"/>
  </mergeCells>
  <phoneticPr fontId="1" type="noConversion"/>
  <conditionalFormatting sqref="D7:G10 I7:J10 D12:G18 I12:J18 D20:G26 I20:J26 D28:G34 I28:J34 D36:G42 I36:J42 D44:G50 I44:J50 D52:G57 I52:J57">
    <cfRule type="expression" dxfId="66" priority="4">
      <formula>OR($D7=$Q$7:$Q$14)</formula>
    </cfRule>
  </conditionalFormatting>
  <conditionalFormatting sqref="C7:C57">
    <cfRule type="expression" dxfId="65" priority="3">
      <formula>OR(AND($D7=0,OR($D6=$Q$7:$Q$14)),AND($D8&gt;0,OR($D7=$Q$7:$Q$14)))</formula>
    </cfRule>
  </conditionalFormatting>
  <conditionalFormatting sqref="D7:D10 D12:D18 D20:D26 D28:D34 D36:D42 D44:D50 D52:D57">
    <cfRule type="expression" dxfId="64" priority="2">
      <formula>$D7=$D8</formula>
    </cfRule>
  </conditionalFormatting>
  <conditionalFormatting sqref="H7:H10 H12:H18 H20:H26 H28:H34 H36:H42 H44:H50 H52:H57">
    <cfRule type="expression" dxfId="6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2889C-B507-4A3B-8C3B-31827C1F3AD5}">
  <sheetPr codeName="Sheet1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기능'!D11</f>
        <v>23.26</v>
      </c>
      <c r="I3" s="21" t="s">
        <v>123</v>
      </c>
      <c r="J3" s="81">
        <f>'통계 및 응시자 수 입력 기능'!C11</f>
        <v>27781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152</v>
      </c>
      <c r="E4" s="186"/>
      <c r="F4" s="187"/>
      <c r="G4" s="83" t="s">
        <v>126</v>
      </c>
      <c r="H4" s="84" t="str">
        <f>'통계 및 응시자 수 입력 기능'!E11</f>
        <v>11.30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74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99.41</v>
      </c>
      <c r="G7" s="56">
        <f>_xlfn.IFNA(VLOOKUP(D7,'인원 입력 기능(사과탐)'!$P$5:$S$59,4,FALSE),0)</f>
        <v>326</v>
      </c>
      <c r="H7" s="57">
        <f>G7/$J$3</f>
        <v>1.1734638781901299E-2</v>
      </c>
      <c r="I7" s="58">
        <f>G7</f>
        <v>326</v>
      </c>
      <c r="J7" s="59">
        <f>I7/$J$3</f>
        <v>1.1734638781901299E-2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기능'!C67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기능'!C68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72</v>
      </c>
      <c r="E9" s="54">
        <f t="shared" si="0"/>
        <v>1</v>
      </c>
      <c r="F9" s="55">
        <f>IF(I8=0,ROUND(100*(1-(I7+I9)/2/$J$3),2),ROUND(100*(1-(I8+I9)/2/$J$3),2))</f>
        <v>98.49</v>
      </c>
      <c r="G9" s="56">
        <f>_xlfn.IFNA(VLOOKUP(D9,'인원 입력 기능(사과탐)'!$P$5:$S$59,4,FALSE),0)</f>
        <v>188</v>
      </c>
      <c r="H9" s="57">
        <f t="shared" ref="H9:H55" si="1">G9/$J$3</f>
        <v>6.7672150030596455E-3</v>
      </c>
      <c r="I9" s="67">
        <f>SUM($G$7:G9)</f>
        <v>514</v>
      </c>
      <c r="J9" s="59">
        <f>I9/$J$3</f>
        <v>1.8501853784960946E-2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기능'!C69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71</v>
      </c>
      <c r="E10" s="54">
        <f t="shared" si="0"/>
        <v>1</v>
      </c>
      <c r="F10" s="55">
        <f t="shared" ref="F10:F55" si="4">IF(I9=0,ROUND(100*(1-(I8+I10)/2/$J$3),2),ROUND(100*(1-(I9+I10)/2/$J$3),2))</f>
        <v>97.5</v>
      </c>
      <c r="G10" s="56">
        <f>IF(D10=D9,"",_xlfn.IFNA(VLOOKUP(D10,'인원 입력 기능(사과탐)'!$P$5:$S$59,4,FALSE),0))</f>
        <v>360</v>
      </c>
      <c r="H10" s="57">
        <f t="shared" si="1"/>
        <v>1.2958496814369534E-2</v>
      </c>
      <c r="I10" s="67">
        <f>SUM($G$7:G10)</f>
        <v>874</v>
      </c>
      <c r="J10" s="59">
        <f t="shared" ref="J10:J55" si="5">I10/$J$3</f>
        <v>3.1460350599330479E-2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기능'!C70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70</v>
      </c>
      <c r="E11" s="54">
        <f t="shared" si="0"/>
        <v>1</v>
      </c>
      <c r="F11" s="55">
        <f t="shared" si="4"/>
        <v>96.73</v>
      </c>
      <c r="G11" s="56">
        <f>IF(D11=D10,"",_xlfn.IFNA(VLOOKUP(D11,'인원 입력 기능(사과탐)'!$P$5:$S$59,4,FALSE),0))</f>
        <v>70</v>
      </c>
      <c r="H11" s="57">
        <f t="shared" si="1"/>
        <v>2.5197077139051871E-3</v>
      </c>
      <c r="I11" s="67">
        <f>SUM($G$7:G11)</f>
        <v>944</v>
      </c>
      <c r="J11" s="59">
        <f t="shared" si="5"/>
        <v>3.3980058313235667E-2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기능'!C71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69</v>
      </c>
      <c r="E12" s="54">
        <f t="shared" si="0"/>
        <v>1</v>
      </c>
      <c r="F12" s="55">
        <f t="shared" si="4"/>
        <v>96</v>
      </c>
      <c r="G12" s="56">
        <f>IF(D12=D11,"",_xlfn.IFNA(VLOOKUP(D12,'인원 입력 기능(사과탐)'!$P$5:$S$59,4,FALSE),0))</f>
        <v>335</v>
      </c>
      <c r="H12" s="57">
        <f t="shared" si="1"/>
        <v>1.2058601202260539E-2</v>
      </c>
      <c r="I12" s="67">
        <f>SUM($G$7:G12)</f>
        <v>1279</v>
      </c>
      <c r="J12" s="59">
        <f t="shared" si="5"/>
        <v>4.6038659515496204E-2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기능'!C72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68</v>
      </c>
      <c r="E13" s="54">
        <f t="shared" si="0"/>
        <v>2</v>
      </c>
      <c r="F13" s="55">
        <f t="shared" si="4"/>
        <v>94.85</v>
      </c>
      <c r="G13" s="56">
        <f>IF(D13=D12,"",_xlfn.IFNA(VLOOKUP(D13,'인원 입력 기능(사과탐)'!$P$5:$S$59,4,FALSE),0))</f>
        <v>306</v>
      </c>
      <c r="H13" s="57">
        <f t="shared" si="1"/>
        <v>1.1014722292214103E-2</v>
      </c>
      <c r="I13" s="67">
        <f>SUM($G$7:G13)</f>
        <v>1585</v>
      </c>
      <c r="J13" s="59">
        <f t="shared" si="5"/>
        <v>5.7053381807710309E-2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기능'!C73</f>
        <v>37</v>
      </c>
    </row>
    <row r="14" spans="1:17" s="22" customFormat="1" ht="25" customHeight="1" x14ac:dyDescent="0.45">
      <c r="A14" s="20"/>
      <c r="B14" s="35"/>
      <c r="C14" s="60">
        <v>43</v>
      </c>
      <c r="D14" s="172">
        <f t="shared" si="3"/>
        <v>67</v>
      </c>
      <c r="E14" s="172">
        <f t="shared" si="0"/>
        <v>2</v>
      </c>
      <c r="F14" s="176">
        <f t="shared" si="4"/>
        <v>93.13</v>
      </c>
      <c r="G14" s="178">
        <f>IF(D14=D13,"",_xlfn.IFNA(VLOOKUP(D14,'인원 입력 기능(사과탐)'!$P$5:$S$59,4,FALSE),0))</f>
        <v>648</v>
      </c>
      <c r="H14" s="180">
        <f t="shared" si="1"/>
        <v>2.332529426586516E-2</v>
      </c>
      <c r="I14" s="189">
        <f>SUM($G$7:G14)</f>
        <v>2233</v>
      </c>
      <c r="J14" s="170">
        <f t="shared" si="5"/>
        <v>8.0378676073575461E-2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기능'!C74</f>
        <v>37</v>
      </c>
    </row>
    <row r="15" spans="1:17" s="22" customFormat="1" ht="25" customHeight="1" x14ac:dyDescent="0.45">
      <c r="A15" s="20"/>
      <c r="B15" s="35"/>
      <c r="C15" s="53">
        <v>42</v>
      </c>
      <c r="D15" s="173"/>
      <c r="E15" s="173"/>
      <c r="F15" s="177"/>
      <c r="G15" s="179"/>
      <c r="H15" s="181"/>
      <c r="I15" s="190"/>
      <c r="J15" s="171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66</v>
      </c>
      <c r="E16" s="54">
        <f t="shared" si="0"/>
        <v>2</v>
      </c>
      <c r="F16" s="55">
        <f t="shared" si="4"/>
        <v>91.49</v>
      </c>
      <c r="G16" s="56">
        <f>IF(D16=D15,"",_xlfn.IFNA(VLOOKUP(D16,'인원 입력 기능(사과탐)'!$P$5:$S$59,4,FALSE),0))</f>
        <v>265</v>
      </c>
      <c r="H16" s="57">
        <f t="shared" si="1"/>
        <v>9.5388934883553506E-3</v>
      </c>
      <c r="I16" s="67">
        <f>SUM($G$7:G16)</f>
        <v>2498</v>
      </c>
      <c r="J16" s="59">
        <f t="shared" si="5"/>
        <v>8.991756956193081E-2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65</v>
      </c>
      <c r="E17" s="54">
        <f t="shared" si="0"/>
        <v>2</v>
      </c>
      <c r="F17" s="55">
        <f t="shared" si="4"/>
        <v>90.33</v>
      </c>
      <c r="G17" s="56">
        <f>IF(D17=D16,"",_xlfn.IFNA(VLOOKUP(D17,'인원 입력 기능(사과탐)'!$P$5:$S$59,4,FALSE),0))</f>
        <v>376</v>
      </c>
      <c r="H17" s="57">
        <f t="shared" si="1"/>
        <v>1.3534430006119291E-2</v>
      </c>
      <c r="I17" s="67">
        <f>SUM($G$7:G17)</f>
        <v>2874</v>
      </c>
      <c r="J17" s="59">
        <f t="shared" si="5"/>
        <v>0.10345199956805011</v>
      </c>
      <c r="K17" s="36"/>
      <c r="L17" s="20" t="str">
        <f t="shared" si="2"/>
        <v/>
      </c>
      <c r="N17" s="24"/>
      <c r="Q17" s="24">
        <f>Q7*H3*H4*J3*IFERROR(IF(J57=1, 1, 0), 0)</f>
        <v>503831270.98199999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64</v>
      </c>
      <c r="E18" s="54">
        <f t="shared" si="0"/>
        <v>2</v>
      </c>
      <c r="F18" s="55">
        <f t="shared" si="4"/>
        <v>88.85</v>
      </c>
      <c r="G18" s="56">
        <f>IF(D18=D17,"",_xlfn.IFNA(VLOOKUP(D18,'인원 입력 기능(사과탐)'!$P$5:$S$59,4,FALSE),0))</f>
        <v>448</v>
      </c>
      <c r="H18" s="57">
        <f t="shared" si="1"/>
        <v>1.6126129368993197E-2</v>
      </c>
      <c r="I18" s="67">
        <f>SUM($G$7:G18)</f>
        <v>3322</v>
      </c>
      <c r="J18" s="59">
        <f t="shared" si="5"/>
        <v>0.11957812893704331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63</v>
      </c>
      <c r="E19" s="54">
        <f t="shared" si="0"/>
        <v>3</v>
      </c>
      <c r="F19" s="55">
        <f t="shared" si="4"/>
        <v>87.38</v>
      </c>
      <c r="G19" s="56">
        <f>IF(D19=D18,"",_xlfn.IFNA(VLOOKUP(D19,'인원 입력 기능(사과탐)'!$P$5:$S$59,4,FALSE),0))</f>
        <v>368</v>
      </c>
      <c r="H19" s="57">
        <f t="shared" si="1"/>
        <v>1.3246463410244411E-2</v>
      </c>
      <c r="I19" s="67">
        <f>SUM($G$7:G19)</f>
        <v>3690</v>
      </c>
      <c r="J19" s="59">
        <f t="shared" si="5"/>
        <v>0.13282459234728772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62</v>
      </c>
      <c r="E20" s="54">
        <f t="shared" si="0"/>
        <v>3</v>
      </c>
      <c r="F20" s="55">
        <f t="shared" si="4"/>
        <v>85.78</v>
      </c>
      <c r="G20" s="56">
        <f>IF(D20=D19,"",_xlfn.IFNA(VLOOKUP(D20,'인원 입력 기능(사과탐)'!$P$5:$S$59,4,FALSE),0))</f>
        <v>520</v>
      </c>
      <c r="H20" s="57">
        <f t="shared" si="1"/>
        <v>1.8717828731867104E-2</v>
      </c>
      <c r="I20" s="67">
        <f>SUM($G$7:G20)</f>
        <v>4210</v>
      </c>
      <c r="J20" s="59">
        <f t="shared" si="5"/>
        <v>0.1515424210791548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61</v>
      </c>
      <c r="E21" s="68">
        <f t="shared" si="0"/>
        <v>3</v>
      </c>
      <c r="F21" s="55">
        <f t="shared" si="4"/>
        <v>84.02</v>
      </c>
      <c r="G21" s="56">
        <f>IF(D21=D20,"",_xlfn.IFNA(VLOOKUP(D21,'인원 입력 기능(사과탐)'!$P$5:$S$59,4,FALSE),0))</f>
        <v>461</v>
      </c>
      <c r="H21" s="57">
        <f t="shared" si="1"/>
        <v>1.6594075087289873E-2</v>
      </c>
      <c r="I21" s="67">
        <f>SUM($G$7:G21)</f>
        <v>4671</v>
      </c>
      <c r="J21" s="59">
        <f t="shared" si="5"/>
        <v>0.16813649616644469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174">
        <f t="shared" si="3"/>
        <v>60</v>
      </c>
      <c r="E22" s="174">
        <f t="shared" si="0"/>
        <v>3</v>
      </c>
      <c r="F22" s="176">
        <f t="shared" si="4"/>
        <v>81.319999999999993</v>
      </c>
      <c r="G22" s="178">
        <f>IF(D22=D21,"",_xlfn.IFNA(VLOOKUP(D22,'인원 입력 기능(사과탐)'!$P$5:$S$59,4,FALSE),0))</f>
        <v>1037</v>
      </c>
      <c r="H22" s="180">
        <f t="shared" si="1"/>
        <v>3.7327669990281129E-2</v>
      </c>
      <c r="I22" s="189">
        <f>SUM($G$7:G22)</f>
        <v>5708</v>
      </c>
      <c r="J22" s="170">
        <f t="shared" si="5"/>
        <v>0.20546416615672583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175"/>
      <c r="E23" s="175"/>
      <c r="F23" s="177"/>
      <c r="G23" s="179"/>
      <c r="H23" s="181"/>
      <c r="I23" s="190"/>
      <c r="J23" s="171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59</v>
      </c>
      <c r="E24" s="68">
        <f t="shared" si="0"/>
        <v>3</v>
      </c>
      <c r="F24" s="55">
        <f t="shared" si="4"/>
        <v>78.61</v>
      </c>
      <c r="G24" s="56">
        <f>IF(D24=D23,"",_xlfn.IFNA(VLOOKUP(D24,'인원 입력 기능(사과탐)'!$P$5:$S$59,4,FALSE),0))</f>
        <v>469</v>
      </c>
      <c r="H24" s="57">
        <f t="shared" si="1"/>
        <v>1.6882041683164754E-2</v>
      </c>
      <c r="I24" s="67">
        <f>SUM($G$7:G24)</f>
        <v>6177</v>
      </c>
      <c r="J24" s="59">
        <f t="shared" si="5"/>
        <v>0.22234620783989056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58</v>
      </c>
      <c r="E25" s="68">
        <f t="shared" si="0"/>
        <v>3</v>
      </c>
      <c r="F25" s="55">
        <f t="shared" si="4"/>
        <v>76.67</v>
      </c>
      <c r="G25" s="56">
        <f>IF(D25=D24,"",_xlfn.IFNA(VLOOKUP(D25,'인원 입력 기능(사과탐)'!$P$5:$S$59,4,FALSE),0))</f>
        <v>606</v>
      </c>
      <c r="H25" s="57">
        <f t="shared" si="1"/>
        <v>2.1813469637522048E-2</v>
      </c>
      <c r="I25" s="67">
        <f>SUM($G$7:G25)</f>
        <v>6783</v>
      </c>
      <c r="J25" s="59">
        <f t="shared" si="5"/>
        <v>0.24415967747741263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57</v>
      </c>
      <c r="E26" s="68">
        <f t="shared" si="0"/>
        <v>4</v>
      </c>
      <c r="F26" s="55">
        <f t="shared" si="4"/>
        <v>74.41</v>
      </c>
      <c r="G26" s="56">
        <f>IF(D26=D25,"",_xlfn.IFNA(VLOOKUP(D26,'인원 입력 기능(사과탐)'!$P$5:$S$59,4,FALSE),0))</f>
        <v>652</v>
      </c>
      <c r="H26" s="57">
        <f t="shared" si="1"/>
        <v>2.3469277563802599E-2</v>
      </c>
      <c r="I26" s="67">
        <f>SUM($G$7:G26)</f>
        <v>7435</v>
      </c>
      <c r="J26" s="59">
        <f t="shared" si="5"/>
        <v>0.2676289550412152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56</v>
      </c>
      <c r="E27" s="68">
        <f t="shared" si="0"/>
        <v>4</v>
      </c>
      <c r="F27" s="55">
        <f t="shared" si="4"/>
        <v>72.11</v>
      </c>
      <c r="G27" s="56">
        <f>IF(D27=D26,"",_xlfn.IFNA(VLOOKUP(D27,'인원 입력 기능(사과탐)'!$P$5:$S$59,4,FALSE),0))</f>
        <v>628</v>
      </c>
      <c r="H27" s="57">
        <f t="shared" si="1"/>
        <v>2.2605377776177965E-2</v>
      </c>
      <c r="I27" s="67">
        <f>SUM($G$7:G27)</f>
        <v>8063</v>
      </c>
      <c r="J27" s="59">
        <f t="shared" si="5"/>
        <v>0.29023433281739319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55</v>
      </c>
      <c r="E28" s="68">
        <f t="shared" si="0"/>
        <v>4</v>
      </c>
      <c r="F28" s="55">
        <f t="shared" si="4"/>
        <v>69.680000000000007</v>
      </c>
      <c r="G28" s="56">
        <f>IF(D28=D27,"",_xlfn.IFNA(VLOOKUP(D28,'인원 입력 기능(사과탐)'!$P$5:$S$59,4,FALSE),0))</f>
        <v>721</v>
      </c>
      <c r="H28" s="57">
        <f t="shared" si="1"/>
        <v>2.5952989453223427E-2</v>
      </c>
      <c r="I28" s="67">
        <f>SUM($G$7:G28)</f>
        <v>8784</v>
      </c>
      <c r="J28" s="59">
        <f t="shared" si="5"/>
        <v>0.31618732227061663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54</v>
      </c>
      <c r="E29" s="68">
        <f t="shared" si="0"/>
        <v>4</v>
      </c>
      <c r="F29" s="55">
        <f t="shared" si="4"/>
        <v>67.16</v>
      </c>
      <c r="G29" s="56">
        <f>IF(D29=D28,"",_xlfn.IFNA(VLOOKUP(D29,'인원 입력 기능(사과탐)'!$P$5:$S$59,4,FALSE),0))</f>
        <v>677</v>
      </c>
      <c r="H29" s="57">
        <f t="shared" si="1"/>
        <v>2.4369173175911595E-2</v>
      </c>
      <c r="I29" s="67">
        <f>SUM($G$7:G29)</f>
        <v>9461</v>
      </c>
      <c r="J29" s="59">
        <f t="shared" si="5"/>
        <v>0.34055649544652822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53</v>
      </c>
      <c r="E30" s="68">
        <f t="shared" si="0"/>
        <v>4</v>
      </c>
      <c r="F30" s="55">
        <f t="shared" si="4"/>
        <v>64.63</v>
      </c>
      <c r="G30" s="56">
        <f>IF(D30=D29,"",_xlfn.IFNA(VLOOKUP(D30,'인원 입력 기능(사과탐)'!$P$5:$S$59,4,FALSE),0))</f>
        <v>732</v>
      </c>
      <c r="H30" s="57">
        <f t="shared" si="1"/>
        <v>2.6348943522551384E-2</v>
      </c>
      <c r="I30" s="67">
        <f>SUM($G$7:G30)</f>
        <v>10193</v>
      </c>
      <c r="J30" s="59">
        <f t="shared" si="5"/>
        <v>0.36690543896907957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174">
        <f t="shared" si="3"/>
        <v>52</v>
      </c>
      <c r="E31" s="174">
        <f t="shared" si="0"/>
        <v>4</v>
      </c>
      <c r="F31" s="176">
        <f t="shared" si="4"/>
        <v>60.55</v>
      </c>
      <c r="G31" s="178">
        <f>IF(D31=D30,"",_xlfn.IFNA(VLOOKUP(D31,'인원 입력 기능(사과탐)'!$P$5:$S$59,4,FALSE),0))</f>
        <v>1531</v>
      </c>
      <c r="H31" s="180">
        <f t="shared" si="1"/>
        <v>5.5109607285554876E-2</v>
      </c>
      <c r="I31" s="189">
        <f>SUM($G$7:G31)</f>
        <v>11724</v>
      </c>
      <c r="J31" s="170">
        <f t="shared" si="5"/>
        <v>0.42201504625463448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175"/>
      <c r="E32" s="175"/>
      <c r="F32" s="177"/>
      <c r="G32" s="179"/>
      <c r="H32" s="181"/>
      <c r="I32" s="190"/>
      <c r="J32" s="171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51</v>
      </c>
      <c r="E33" s="68">
        <f t="shared" si="0"/>
        <v>5</v>
      </c>
      <c r="F33" s="55">
        <f t="shared" si="4"/>
        <v>56.27</v>
      </c>
      <c r="G33" s="56">
        <f>IF(D33=D32,"",_xlfn.IFNA(VLOOKUP(D33,'인원 입력 기능(사과탐)'!$P$5:$S$59,4,FALSE),0))</f>
        <v>847</v>
      </c>
      <c r="H33" s="57">
        <f t="shared" si="1"/>
        <v>3.0488463338252763E-2</v>
      </c>
      <c r="I33" s="67">
        <f>SUM($G$7:G33)</f>
        <v>12571</v>
      </c>
      <c r="J33" s="59">
        <f t="shared" si="5"/>
        <v>0.45250350959288721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50</v>
      </c>
      <c r="E34" s="68">
        <f t="shared" si="0"/>
        <v>5</v>
      </c>
      <c r="F34" s="55">
        <f t="shared" si="4"/>
        <v>53.28</v>
      </c>
      <c r="G34" s="56">
        <f>IF(D34=D33,"",_xlfn.IFNA(VLOOKUP(D34,'인원 입력 기능(사과탐)'!$P$5:$S$59,4,FALSE),0))</f>
        <v>819</v>
      </c>
      <c r="H34" s="57">
        <f t="shared" si="1"/>
        <v>2.9480580252690687E-2</v>
      </c>
      <c r="I34" s="67">
        <f>SUM($G$7:G34)</f>
        <v>13390</v>
      </c>
      <c r="J34" s="59">
        <f t="shared" si="5"/>
        <v>0.48198408984557789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49</v>
      </c>
      <c r="E35" s="68">
        <f t="shared" si="0"/>
        <v>5</v>
      </c>
      <c r="F35" s="55">
        <f t="shared" si="4"/>
        <v>50.19</v>
      </c>
      <c r="G35" s="56">
        <f>IF(D35=D34,"",_xlfn.IFNA(VLOOKUP(D35,'인원 입력 기능(사과탐)'!$P$5:$S$59,4,FALSE),0))</f>
        <v>897</v>
      </c>
      <c r="H35" s="57">
        <f t="shared" si="1"/>
        <v>3.2288254562470753E-2</v>
      </c>
      <c r="I35" s="67">
        <f>SUM($G$7:G35)</f>
        <v>14287</v>
      </c>
      <c r="J35" s="59">
        <f t="shared" si="5"/>
        <v>0.5142723444080487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48</v>
      </c>
      <c r="E36" s="68">
        <f t="shared" si="0"/>
        <v>5</v>
      </c>
      <c r="F36" s="55">
        <f t="shared" si="4"/>
        <v>46.93</v>
      </c>
      <c r="G36" s="56">
        <f>IF(D36=D35,"",_xlfn.IFNA(VLOOKUP(D36,'인원 입력 기능(사과탐)'!$P$5:$S$59,4,FALSE),0))</f>
        <v>914</v>
      </c>
      <c r="H36" s="57">
        <f t="shared" si="1"/>
        <v>3.2900183578704868E-2</v>
      </c>
      <c r="I36" s="67">
        <f>SUM($G$7:G36)</f>
        <v>15201</v>
      </c>
      <c r="J36" s="59">
        <f t="shared" si="5"/>
        <v>0.54717252798675353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43.82</v>
      </c>
      <c r="G37" s="56">
        <f>IF(D37=D36,"",_xlfn.IFNA(VLOOKUP(D37,'인원 입력 기능(사과탐)'!$P$5:$S$59,4,FALSE),0))</f>
        <v>810</v>
      </c>
      <c r="H37" s="57">
        <f t="shared" si="1"/>
        <v>2.915661783233145E-2</v>
      </c>
      <c r="I37" s="67">
        <f>SUM($G$7:G37)</f>
        <v>16011</v>
      </c>
      <c r="J37" s="59">
        <f t="shared" si="5"/>
        <v>0.57632914581908501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40.729999999999997</v>
      </c>
      <c r="G38" s="56">
        <f>IF(D38=D37,"",_xlfn.IFNA(VLOOKUP(D38,'인원 입력 기능(사과탐)'!$P$5:$S$59,4,FALSE),0))</f>
        <v>912</v>
      </c>
      <c r="H38" s="57">
        <f t="shared" si="1"/>
        <v>3.2828191929736149E-2</v>
      </c>
      <c r="I38" s="67">
        <f>SUM($G$7:G38)</f>
        <v>16923</v>
      </c>
      <c r="J38" s="59">
        <f t="shared" si="5"/>
        <v>0.60915733774882108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37.46</v>
      </c>
      <c r="G39" s="56">
        <f>IF(D39=D38,"",_xlfn.IFNA(VLOOKUP(D39,'인원 입력 기능(사과탐)'!$P$5:$S$59,4,FALSE),0))</f>
        <v>905</v>
      </c>
      <c r="H39" s="57">
        <f t="shared" si="1"/>
        <v>3.2576221158345631E-2</v>
      </c>
      <c r="I39" s="67">
        <f>SUM($G$7:G39)</f>
        <v>17828</v>
      </c>
      <c r="J39" s="59">
        <f t="shared" si="5"/>
        <v>0.64173355890716677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174">
        <f t="shared" si="3"/>
        <v>44</v>
      </c>
      <c r="E40" s="174">
        <f t="shared" si="6"/>
        <v>6</v>
      </c>
      <c r="F40" s="176">
        <f t="shared" si="4"/>
        <v>32.9</v>
      </c>
      <c r="G40" s="178">
        <f>IF(D40=D39,"",_xlfn.IFNA(VLOOKUP(D40,'인원 입력 기능(사과탐)'!$P$5:$S$59,4,FALSE),0))</f>
        <v>1624</v>
      </c>
      <c r="H40" s="180">
        <f t="shared" si="1"/>
        <v>5.8457218962600338E-2</v>
      </c>
      <c r="I40" s="189">
        <f>SUM($G$7:G40)</f>
        <v>19452</v>
      </c>
      <c r="J40" s="170">
        <f t="shared" si="5"/>
        <v>0.70019077786976713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175"/>
      <c r="E41" s="175"/>
      <c r="F41" s="177"/>
      <c r="G41" s="179"/>
      <c r="H41" s="181"/>
      <c r="I41" s="190"/>
      <c r="J41" s="17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28.62</v>
      </c>
      <c r="G42" s="56">
        <f>IF(D42=D41,"",_xlfn.IFNA(VLOOKUP(D42,'인원 입력 기능(사과탐)'!$P$5:$S$59,4,FALSE),0))</f>
        <v>758</v>
      </c>
      <c r="H42" s="57">
        <f t="shared" si="1"/>
        <v>2.728483495914474E-2</v>
      </c>
      <c r="I42" s="67">
        <f>SUM($G$7:G42)</f>
        <v>20210</v>
      </c>
      <c r="J42" s="59">
        <f t="shared" si="5"/>
        <v>0.72747561282891182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25.7</v>
      </c>
      <c r="G43" s="56">
        <f>IF(D43=D42,"",_xlfn.IFNA(VLOOKUP(D43,'인원 입력 기능(사과탐)'!$P$5:$S$59,4,FALSE),0))</f>
        <v>864</v>
      </c>
      <c r="H43" s="57">
        <f t="shared" si="1"/>
        <v>3.1100392354486878E-2</v>
      </c>
      <c r="I43" s="67">
        <f>SUM($G$7:G43)</f>
        <v>21074</v>
      </c>
      <c r="J43" s="59">
        <f t="shared" si="5"/>
        <v>0.75857600518339874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23.02</v>
      </c>
      <c r="G44" s="56">
        <f>IF(D44=D43,"",_xlfn.IFNA(VLOOKUP(D44,'인원 입력 기능(사과탐)'!$P$5:$S$59,4,FALSE),0))</f>
        <v>623</v>
      </c>
      <c r="H44" s="57">
        <f t="shared" si="1"/>
        <v>2.2425398653756163E-2</v>
      </c>
      <c r="I44" s="67">
        <f>SUM($G$7:G44)</f>
        <v>21697</v>
      </c>
      <c r="J44" s="59">
        <f t="shared" si="5"/>
        <v>0.78100140383715488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7</v>
      </c>
      <c r="F45" s="55">
        <f t="shared" si="4"/>
        <v>18.989999999999998</v>
      </c>
      <c r="G45" s="56">
        <f>IF(D45=D44,"",_xlfn.IFNA(VLOOKUP(D45,'인원 입력 기능(사과탐)'!$P$5:$S$59,4,FALSE),0))</f>
        <v>1614</v>
      </c>
      <c r="H45" s="57">
        <f t="shared" si="1"/>
        <v>5.8097260717756741E-2</v>
      </c>
      <c r="I45" s="67">
        <f>SUM($G$7:G45)</f>
        <v>23311</v>
      </c>
      <c r="J45" s="59">
        <f t="shared" si="5"/>
        <v>0.83909866455491167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14.96</v>
      </c>
      <c r="G46" s="56">
        <f>IF(D46=D45,"",_xlfn.IFNA(VLOOKUP(D46,'인원 입력 기능(사과탐)'!$P$5:$S$59,4,FALSE),0))</f>
        <v>630</v>
      </c>
      <c r="H46" s="57">
        <f t="shared" si="1"/>
        <v>2.2677369425146685E-2</v>
      </c>
      <c r="I46" s="67">
        <f>SUM($G$7:G46)</f>
        <v>23941</v>
      </c>
      <c r="J46" s="59">
        <f t="shared" si="5"/>
        <v>0.86177603398005831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7</v>
      </c>
      <c r="F47" s="55">
        <f t="shared" si="4"/>
        <v>12.94</v>
      </c>
      <c r="G47" s="56">
        <f>IF(D47=D46,"",_xlfn.IFNA(VLOOKUP(D47,'인원 입력 기능(사과탐)'!$P$5:$S$59,4,FALSE),0))</f>
        <v>493</v>
      </c>
      <c r="H47" s="57">
        <f t="shared" si="1"/>
        <v>1.7745941470789388E-2</v>
      </c>
      <c r="I47" s="67">
        <f>SUM($G$7:G47)</f>
        <v>24434</v>
      </c>
      <c r="J47" s="59">
        <f t="shared" si="5"/>
        <v>0.87952197545084765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174">
        <f t="shared" si="3"/>
        <v>37</v>
      </c>
      <c r="E48" s="174">
        <f t="shared" si="6"/>
        <v>7</v>
      </c>
      <c r="F48" s="176">
        <f t="shared" si="4"/>
        <v>7.96</v>
      </c>
      <c r="G48" s="178">
        <f>IF(D48=D47,"",_xlfn.IFNA(VLOOKUP(D48,'인원 입력 기능(사과탐)'!$P$5:$S$59,4,FALSE),0))</f>
        <v>2274</v>
      </c>
      <c r="H48" s="180">
        <f t="shared" si="1"/>
        <v>8.1854504877434217E-2</v>
      </c>
      <c r="I48" s="189">
        <f>SUM($G$7:G48)</f>
        <v>26708</v>
      </c>
      <c r="J48" s="170">
        <f t="shared" si="5"/>
        <v>0.96137648032828193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175"/>
      <c r="E49" s="175"/>
      <c r="F49" s="177"/>
      <c r="G49" s="179"/>
      <c r="H49" s="181"/>
      <c r="I49" s="190"/>
      <c r="J49" s="171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9</v>
      </c>
      <c r="F50" s="55">
        <f t="shared" si="4"/>
        <v>3.26</v>
      </c>
      <c r="G50" s="56">
        <f>IF(D50=D49,"",_xlfn.IFNA(VLOOKUP(D50,'인원 입력 기능(사과탐)'!$P$5:$S$59,4,FALSE),0))</f>
        <v>334</v>
      </c>
      <c r="H50" s="57">
        <f t="shared" si="1"/>
        <v>1.2022605377776177E-2</v>
      </c>
      <c r="I50" s="67">
        <f>SUM($G$7:G50)</f>
        <v>27042</v>
      </c>
      <c r="J50" s="59">
        <f t="shared" si="5"/>
        <v>0.97339908570605804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6"/>
        <v>9</v>
      </c>
      <c r="F51" s="55">
        <f t="shared" si="4"/>
        <v>2.2000000000000002</v>
      </c>
      <c r="G51" s="56">
        <f>IF(D51=D50,"",_xlfn.IFNA(VLOOKUP(D51,'인원 입력 기능(사과탐)'!$P$5:$S$59,4,FALSE),0))</f>
        <v>253</v>
      </c>
      <c r="H51" s="57">
        <f t="shared" si="1"/>
        <v>9.1069435945430321E-3</v>
      </c>
      <c r="I51" s="67">
        <f>SUM($G$7:G51)</f>
        <v>27295</v>
      </c>
      <c r="J51" s="59">
        <f t="shared" si="5"/>
        <v>0.98250602930060116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6"/>
        <v>9</v>
      </c>
      <c r="F52" s="55">
        <f t="shared" si="4"/>
        <v>1.4</v>
      </c>
      <c r="G52" s="56">
        <f>IF(D52=D51,"",_xlfn.IFNA(VLOOKUP(D52,'인원 입력 기능(사과탐)'!$P$5:$S$59,4,FALSE),0))</f>
        <v>195</v>
      </c>
      <c r="H52" s="57">
        <f t="shared" si="1"/>
        <v>7.0191857744501636E-3</v>
      </c>
      <c r="I52" s="67">
        <f>SUM($G$7:G52)</f>
        <v>27490</v>
      </c>
      <c r="J52" s="59">
        <f t="shared" si="5"/>
        <v>0.98952521507505131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0.83</v>
      </c>
      <c r="G53" s="56">
        <f>IF(D53=D52,"",_xlfn.IFNA(VLOOKUP(D53,'인원 입력 기능(사과탐)'!$P$5:$S$59,4,FALSE),0))</f>
        <v>123</v>
      </c>
      <c r="H53" s="57">
        <f t="shared" si="1"/>
        <v>4.427486411576257E-3</v>
      </c>
      <c r="I53" s="67">
        <f>SUM($G$7:G53)</f>
        <v>27613</v>
      </c>
      <c r="J53" s="59">
        <f t="shared" si="5"/>
        <v>0.99395270148662751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0.48</v>
      </c>
      <c r="G54" s="56">
        <f>IF(D54=D53,"",_xlfn.IFNA(VLOOKUP(D54,'인원 입력 기능(사과탐)'!$P$5:$S$59,4,FALSE),0))</f>
        <v>72</v>
      </c>
      <c r="H54" s="57">
        <f t="shared" si="1"/>
        <v>2.5916993628739065E-3</v>
      </c>
      <c r="I54" s="67">
        <f>SUM($G$7:G54)</f>
        <v>27685</v>
      </c>
      <c r="J54" s="59">
        <f t="shared" si="5"/>
        <v>0.99654440084950147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0.21</v>
      </c>
      <c r="G55" s="56">
        <f>IF(D55=D54,"",_xlfn.IFNA(VLOOKUP(D55,'인원 입력 기능(사과탐)'!$P$5:$S$59,4,FALSE),0))</f>
        <v>74</v>
      </c>
      <c r="H55" s="57">
        <f t="shared" si="1"/>
        <v>2.6636910118426264E-3</v>
      </c>
      <c r="I55" s="67">
        <f>SUM($G$7:G55)</f>
        <v>27759</v>
      </c>
      <c r="J55" s="59">
        <f t="shared" si="5"/>
        <v>0.99920809186134407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6"/>
        <v>9</v>
      </c>
      <c r="F57" s="74">
        <f>IF(I55=0,ROUND(100*(1-(I54+I57)/2/$J$3),2),ROUND(100*(1-(I55+I57)/2/$J$3),2))</f>
        <v>0.04</v>
      </c>
      <c r="G57" s="110">
        <f>_xlfn.IFNA(VLOOKUP(D57,'인원 입력 기능(사과탐)'!$P$5:$S$59,4,FALSE),0)</f>
        <v>22</v>
      </c>
      <c r="H57" s="76">
        <f>G57/$J$3</f>
        <v>7.9190813865591587E-4</v>
      </c>
      <c r="I57" s="77">
        <f>SUM($G$7:G57)</f>
        <v>27781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G5:J5"/>
    <mergeCell ref="D14:D15"/>
    <mergeCell ref="E14:E15"/>
    <mergeCell ref="F14:F15"/>
    <mergeCell ref="G14:G15"/>
    <mergeCell ref="H14:H15"/>
    <mergeCell ref="I14:I15"/>
    <mergeCell ref="J14:J15"/>
    <mergeCell ref="I22:I23"/>
    <mergeCell ref="J22:J23"/>
    <mergeCell ref="D31:D32"/>
    <mergeCell ref="E31:E32"/>
    <mergeCell ref="F31:F32"/>
    <mergeCell ref="G31:G32"/>
    <mergeCell ref="H31:H32"/>
    <mergeCell ref="I31:I32"/>
    <mergeCell ref="J31:J32"/>
    <mergeCell ref="D22:D23"/>
    <mergeCell ref="E22:E23"/>
    <mergeCell ref="F22:F23"/>
    <mergeCell ref="G22:G23"/>
    <mergeCell ref="H22:H23"/>
    <mergeCell ref="I40:I41"/>
    <mergeCell ref="J40:J41"/>
    <mergeCell ref="D48:D49"/>
    <mergeCell ref="E48:E49"/>
    <mergeCell ref="F48:F49"/>
    <mergeCell ref="G48:G49"/>
    <mergeCell ref="H48:H49"/>
    <mergeCell ref="I48:I49"/>
    <mergeCell ref="J48:J49"/>
    <mergeCell ref="D40:D41"/>
    <mergeCell ref="E40:E41"/>
    <mergeCell ref="F40:F41"/>
    <mergeCell ref="G40:G41"/>
    <mergeCell ref="H40:H41"/>
  </mergeCells>
  <phoneticPr fontId="1" type="noConversion"/>
  <conditionalFormatting sqref="D7:G14 I7:J14 D16:G22 I16:J22 D24:G31 I24:J31 D33:G40 I33:J40 D42:G48 I42:J48 D50:G57 I50:J57">
    <cfRule type="expression" dxfId="62" priority="4">
      <formula>OR($D7=$Q$7:$Q$14)</formula>
    </cfRule>
  </conditionalFormatting>
  <conditionalFormatting sqref="C7:C57">
    <cfRule type="expression" dxfId="61" priority="3">
      <formula>OR(AND($D7=0,OR($D6=$Q$7:$Q$14)),AND($D8&gt;0,OR($D7=$Q$7:$Q$14)))</formula>
    </cfRule>
  </conditionalFormatting>
  <conditionalFormatting sqref="D7:D14 D16:D22 D24:D31 D33:D40 D42:D48 D50:D57">
    <cfRule type="expression" dxfId="60" priority="2">
      <formula>$D7=$D8</formula>
    </cfRule>
  </conditionalFormatting>
  <conditionalFormatting sqref="H7:H14 H16:H22 H24:H31 H33:H40 H42:H48 H50:H57">
    <cfRule type="expression" dxfId="5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9ABD9-E74C-4687-9C80-5E784D6F62E9}">
  <sheetPr codeName="Sheet1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기능'!D12</f>
        <v>19.99</v>
      </c>
      <c r="I3" s="21" t="s">
        <v>123</v>
      </c>
      <c r="J3" s="81">
        <f>'통계 및 응시자 수 입력 기능'!C12</f>
        <v>12362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151</v>
      </c>
      <c r="E4" s="186"/>
      <c r="F4" s="187"/>
      <c r="G4" s="83" t="s">
        <v>126</v>
      </c>
      <c r="H4" s="84" t="str">
        <f>'통계 및 응시자 수 입력 기능'!E12</f>
        <v>11.72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76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99.43</v>
      </c>
      <c r="G7" s="56">
        <f>_xlfn.IFNA(VLOOKUP(D7,'인원 입력 기능(사과탐)'!$A$64:$D$116,4,FALSE),0)</f>
        <v>142</v>
      </c>
      <c r="H7" s="57">
        <f>G7/$J$3</f>
        <v>1.1486814431321792E-2</v>
      </c>
      <c r="I7" s="58">
        <f>G7</f>
        <v>142</v>
      </c>
      <c r="J7" s="59">
        <f>I7/$J$3</f>
        <v>1.1486814431321792E-2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기능'!C76</f>
        <v>71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기능'!C77</f>
        <v>65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74</v>
      </c>
      <c r="E9" s="54">
        <f t="shared" si="0"/>
        <v>1</v>
      </c>
      <c r="F9" s="55">
        <f>IF(I8=0,ROUND(100*(1-(I7+I9)/2/$J$3),2),ROUND(100*(1-(I8+I9)/2/$J$3),2))</f>
        <v>98.6</v>
      </c>
      <c r="G9" s="56">
        <f>_xlfn.IFNA(VLOOKUP(D9,'인원 입력 기능(사과탐)'!$A$64:$D$116,4,FALSE),0)</f>
        <v>61</v>
      </c>
      <c r="H9" s="57">
        <f t="shared" ref="H9:H55" si="1">G9/$J$3</f>
        <v>4.9344766219058403E-3</v>
      </c>
      <c r="I9" s="67">
        <f>SUM($G$7:G9)</f>
        <v>203</v>
      </c>
      <c r="J9" s="59">
        <f>I9/$J$3</f>
        <v>1.6421291053227632E-2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기능'!C78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73</v>
      </c>
      <c r="E10" s="54">
        <f t="shared" si="0"/>
        <v>1</v>
      </c>
      <c r="F10" s="55">
        <f t="shared" ref="F10:F55" si="4">IF(I9=0,ROUND(100*(1-(I8+I10)/2/$J$3),2),ROUND(100*(1-(I9+I10)/2/$J$3),2))</f>
        <v>97.82</v>
      </c>
      <c r="G10" s="56">
        <f>IF(D10=D9,"",_xlfn.IFNA(VLOOKUP(D10,'인원 입력 기능(사과탐)'!$A$64:$D$116,4,FALSE),0))</f>
        <v>134</v>
      </c>
      <c r="H10" s="57">
        <f t="shared" si="1"/>
        <v>1.0839669956317749E-2</v>
      </c>
      <c r="I10" s="67">
        <f>SUM($G$7:G10)</f>
        <v>337</v>
      </c>
      <c r="J10" s="59">
        <f t="shared" ref="J10:J55" si="5">I10/$J$3</f>
        <v>2.7260961009545382E-2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기능'!C79</f>
        <v>51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72</v>
      </c>
      <c r="E11" s="54">
        <f t="shared" si="0"/>
        <v>1</v>
      </c>
      <c r="F11" s="55">
        <f t="shared" si="4"/>
        <v>97.15</v>
      </c>
      <c r="G11" s="56">
        <f>IF(D11=D10,"",_xlfn.IFNA(VLOOKUP(D11,'인원 입력 기능(사과탐)'!$A$64:$D$116,4,FALSE),0))</f>
        <v>30</v>
      </c>
      <c r="H11" s="57">
        <f t="shared" si="1"/>
        <v>2.4267917812651673E-3</v>
      </c>
      <c r="I11" s="67">
        <f>SUM($G$7:G11)</f>
        <v>367</v>
      </c>
      <c r="J11" s="59">
        <f t="shared" si="5"/>
        <v>2.9687752790810547E-2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기능'!C80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71</v>
      </c>
      <c r="E12" s="54">
        <f t="shared" si="0"/>
        <v>1</v>
      </c>
      <c r="F12" s="55">
        <f t="shared" si="4"/>
        <v>96.5</v>
      </c>
      <c r="G12" s="56">
        <f>IF(D12=D11,"",_xlfn.IFNA(VLOOKUP(D12,'인원 입력 기능(사과탐)'!$A$64:$D$116,4,FALSE),0))</f>
        <v>132</v>
      </c>
      <c r="H12" s="57">
        <f t="shared" si="1"/>
        <v>1.0677883837566737E-2</v>
      </c>
      <c r="I12" s="67">
        <f>SUM($G$7:G12)</f>
        <v>499</v>
      </c>
      <c r="J12" s="59">
        <f t="shared" si="5"/>
        <v>4.0365636628377284E-2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기능'!C81</f>
        <v>41</v>
      </c>
    </row>
    <row r="13" spans="1:17" s="22" customFormat="1" ht="25" customHeight="1" x14ac:dyDescent="0.45">
      <c r="A13" s="20"/>
      <c r="B13" s="35"/>
      <c r="C13" s="53">
        <v>44</v>
      </c>
      <c r="D13" s="172">
        <f t="shared" si="3"/>
        <v>70</v>
      </c>
      <c r="E13" s="172">
        <f t="shared" si="0"/>
        <v>2</v>
      </c>
      <c r="F13" s="176">
        <f t="shared" si="4"/>
        <v>95.13</v>
      </c>
      <c r="G13" s="178">
        <f>IF(D13=D12,"",_xlfn.IFNA(VLOOKUP(D13,'인원 입력 기능(사과탐)'!$A$64:$D$116,4,FALSE),0))</f>
        <v>206</v>
      </c>
      <c r="H13" s="180">
        <f t="shared" si="1"/>
        <v>1.6663970231354151E-2</v>
      </c>
      <c r="I13" s="189">
        <f>SUM($G$7:G13)</f>
        <v>705</v>
      </c>
      <c r="J13" s="170">
        <f t="shared" si="5"/>
        <v>5.7029606859731435E-2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기능'!C82</f>
        <v>40</v>
      </c>
    </row>
    <row r="14" spans="1:17" s="22" customFormat="1" ht="25" customHeight="1" x14ac:dyDescent="0.45">
      <c r="A14" s="20"/>
      <c r="B14" s="35"/>
      <c r="C14" s="60">
        <v>43</v>
      </c>
      <c r="D14" s="173"/>
      <c r="E14" s="173"/>
      <c r="F14" s="177"/>
      <c r="G14" s="179"/>
      <c r="H14" s="181"/>
      <c r="I14" s="190"/>
      <c r="J14" s="171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기능'!C83</f>
        <v>38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69</v>
      </c>
      <c r="E15" s="54">
        <f t="shared" si="0"/>
        <v>2</v>
      </c>
      <c r="F15" s="55">
        <f t="shared" si="4"/>
        <v>93.76</v>
      </c>
      <c r="G15" s="56">
        <f>IF(D15=D14,"",_xlfn.IFNA(VLOOKUP(D15,'인원 입력 기능(사과탐)'!$A$64:$D$116,4,FALSE),0))</f>
        <v>134</v>
      </c>
      <c r="H15" s="57">
        <f t="shared" si="1"/>
        <v>1.0839669956317749E-2</v>
      </c>
      <c r="I15" s="67">
        <f>SUM($G$7:G15)</f>
        <v>839</v>
      </c>
      <c r="J15" s="59">
        <f t="shared" si="5"/>
        <v>6.7869276816049179E-2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68</v>
      </c>
      <c r="E16" s="54">
        <f t="shared" si="0"/>
        <v>2</v>
      </c>
      <c r="F16" s="55">
        <f t="shared" si="4"/>
        <v>92.78</v>
      </c>
      <c r="G16" s="56">
        <f>IF(D16=D15,"",_xlfn.IFNA(VLOOKUP(D16,'인원 입력 기능(사과탐)'!$A$64:$D$116,4,FALSE),0))</f>
        <v>106</v>
      </c>
      <c r="H16" s="57">
        <f t="shared" si="1"/>
        <v>8.5746642938035918E-3</v>
      </c>
      <c r="I16" s="67">
        <f>SUM($G$7:G16)</f>
        <v>945</v>
      </c>
      <c r="J16" s="59">
        <f t="shared" si="5"/>
        <v>7.6443941109852781E-2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67</v>
      </c>
      <c r="E17" s="54">
        <f t="shared" si="0"/>
        <v>2</v>
      </c>
      <c r="F17" s="55">
        <f t="shared" si="4"/>
        <v>91.87</v>
      </c>
      <c r="G17" s="56">
        <f>IF(D17=D16,"",_xlfn.IFNA(VLOOKUP(D17,'인원 입력 기능(사과탐)'!$A$64:$D$116,4,FALSE),0))</f>
        <v>121</v>
      </c>
      <c r="H17" s="57">
        <f t="shared" si="1"/>
        <v>9.7880601844361759E-3</v>
      </c>
      <c r="I17" s="67">
        <f>SUM($G$7:G17)</f>
        <v>1066</v>
      </c>
      <c r="J17" s="59">
        <f t="shared" si="5"/>
        <v>8.6232001294288957E-2</v>
      </c>
      <c r="K17" s="36"/>
      <c r="L17" s="20" t="str">
        <f t="shared" si="2"/>
        <v/>
      </c>
      <c r="N17" s="24"/>
      <c r="Q17" s="24">
        <f>Q7*H3*H4*J3*IFERROR(IF(J57=1, 1, 0), 0)</f>
        <v>205630482.12559998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66</v>
      </c>
      <c r="E18" s="54">
        <f t="shared" si="0"/>
        <v>2</v>
      </c>
      <c r="F18" s="55">
        <f t="shared" si="4"/>
        <v>90.76</v>
      </c>
      <c r="G18" s="56">
        <f>IF(D18=D17,"",_xlfn.IFNA(VLOOKUP(D18,'인원 입력 기능(사과탐)'!$A$64:$D$116,4,FALSE),0))</f>
        <v>153</v>
      </c>
      <c r="H18" s="57">
        <f t="shared" si="1"/>
        <v>1.2376638084452354E-2</v>
      </c>
      <c r="I18" s="67">
        <f>SUM($G$7:G18)</f>
        <v>1219</v>
      </c>
      <c r="J18" s="59">
        <f t="shared" si="5"/>
        <v>9.86086393787413E-2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172">
        <f t="shared" si="3"/>
        <v>65</v>
      </c>
      <c r="E19" s="172">
        <f t="shared" si="0"/>
        <v>2</v>
      </c>
      <c r="F19" s="176">
        <f t="shared" si="4"/>
        <v>88.92</v>
      </c>
      <c r="G19" s="178">
        <f>IF(D19=D18,"",_xlfn.IFNA(VLOOKUP(D19,'인원 입력 기능(사과탐)'!$A$64:$D$116,4,FALSE),0))</f>
        <v>302</v>
      </c>
      <c r="H19" s="180">
        <f t="shared" si="1"/>
        <v>2.4429703931402685E-2</v>
      </c>
      <c r="I19" s="189">
        <f>SUM($G$7:G19)</f>
        <v>1521</v>
      </c>
      <c r="J19" s="170">
        <f t="shared" si="5"/>
        <v>0.12303834331014399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173"/>
      <c r="E20" s="173"/>
      <c r="F20" s="177"/>
      <c r="G20" s="179"/>
      <c r="H20" s="181"/>
      <c r="I20" s="190"/>
      <c r="J20" s="171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64</v>
      </c>
      <c r="E21" s="68">
        <f t="shared" si="0"/>
        <v>3</v>
      </c>
      <c r="F21" s="55">
        <f t="shared" si="4"/>
        <v>87.14</v>
      </c>
      <c r="G21" s="56">
        <f>IF(D21=D20,"",_xlfn.IFNA(VLOOKUP(D21,'인원 입력 기능(사과탐)'!$A$64:$D$116,4,FALSE),0))</f>
        <v>138</v>
      </c>
      <c r="H21" s="57">
        <f t="shared" si="1"/>
        <v>1.116324219381977E-2</v>
      </c>
      <c r="I21" s="67">
        <f>SUM($G$7:G21)</f>
        <v>1659</v>
      </c>
      <c r="J21" s="59">
        <f t="shared" si="5"/>
        <v>0.13420158550396377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63</v>
      </c>
      <c r="E22" s="68">
        <f t="shared" si="0"/>
        <v>3</v>
      </c>
      <c r="F22" s="55">
        <f t="shared" si="4"/>
        <v>86.04</v>
      </c>
      <c r="G22" s="56">
        <f>IF(D22=D21,"",_xlfn.IFNA(VLOOKUP(D22,'인원 입력 기능(사과탐)'!$A$64:$D$116,4,FALSE),0))</f>
        <v>134</v>
      </c>
      <c r="H22" s="57">
        <f t="shared" si="1"/>
        <v>1.0839669956317749E-2</v>
      </c>
      <c r="I22" s="67">
        <f>SUM($G$7:G22)</f>
        <v>1793</v>
      </c>
      <c r="J22" s="59">
        <f t="shared" si="5"/>
        <v>0.14504125546028152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62</v>
      </c>
      <c r="E23" s="68">
        <f t="shared" si="0"/>
        <v>3</v>
      </c>
      <c r="F23" s="55">
        <f t="shared" si="4"/>
        <v>84.72</v>
      </c>
      <c r="G23" s="56">
        <f>IF(D23=D22,"",_xlfn.IFNA(VLOOKUP(D23,'인원 입력 기능(사과탐)'!$A$64:$D$116,4,FALSE),0))</f>
        <v>192</v>
      </c>
      <c r="H23" s="57">
        <f t="shared" si="1"/>
        <v>1.5531467400097072E-2</v>
      </c>
      <c r="I23" s="67">
        <f>SUM($G$7:G23)</f>
        <v>1985</v>
      </c>
      <c r="J23" s="59">
        <f t="shared" si="5"/>
        <v>0.16057272286037858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61</v>
      </c>
      <c r="E24" s="68">
        <f t="shared" si="0"/>
        <v>3</v>
      </c>
      <c r="F24" s="55">
        <f t="shared" si="4"/>
        <v>83.29</v>
      </c>
      <c r="G24" s="56">
        <f>IF(D24=D23,"",_xlfn.IFNA(VLOOKUP(D24,'인원 입력 기능(사과탐)'!$A$64:$D$116,4,FALSE),0))</f>
        <v>162</v>
      </c>
      <c r="H24" s="57">
        <f t="shared" si="1"/>
        <v>1.3104675618831904E-2</v>
      </c>
      <c r="I24" s="67">
        <f>SUM($G$7:G24)</f>
        <v>2147</v>
      </c>
      <c r="J24" s="59">
        <f t="shared" si="5"/>
        <v>0.17367739847921049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60</v>
      </c>
      <c r="E25" s="68">
        <f t="shared" si="0"/>
        <v>3</v>
      </c>
      <c r="F25" s="55">
        <f t="shared" si="4"/>
        <v>81.819999999999993</v>
      </c>
      <c r="G25" s="56">
        <f>IF(D25=D24,"",_xlfn.IFNA(VLOOKUP(D25,'인원 입력 기능(사과탐)'!$A$64:$D$116,4,FALSE),0))</f>
        <v>200</v>
      </c>
      <c r="H25" s="57">
        <f t="shared" si="1"/>
        <v>1.6178611875101116E-2</v>
      </c>
      <c r="I25" s="67">
        <f>SUM($G$7:G25)</f>
        <v>2347</v>
      </c>
      <c r="J25" s="59">
        <f t="shared" si="5"/>
        <v>0.1898560103543116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174">
        <f t="shared" si="3"/>
        <v>59</v>
      </c>
      <c r="E26" s="174">
        <f t="shared" si="0"/>
        <v>3</v>
      </c>
      <c r="F26" s="176">
        <f t="shared" si="4"/>
        <v>79.48</v>
      </c>
      <c r="G26" s="178">
        <f>IF(D26=D25,"",_xlfn.IFNA(VLOOKUP(D26,'인원 입력 기능(사과탐)'!$A$64:$D$116,4,FALSE),0))</f>
        <v>379</v>
      </c>
      <c r="H26" s="180">
        <f t="shared" si="1"/>
        <v>3.0658469503316615E-2</v>
      </c>
      <c r="I26" s="189">
        <f>SUM($G$7:G26)</f>
        <v>2726</v>
      </c>
      <c r="J26" s="170">
        <f t="shared" si="5"/>
        <v>0.2205144798576282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175"/>
      <c r="E27" s="175"/>
      <c r="F27" s="177"/>
      <c r="G27" s="179"/>
      <c r="H27" s="181"/>
      <c r="I27" s="190"/>
      <c r="J27" s="171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58</v>
      </c>
      <c r="E28" s="68">
        <f t="shared" si="0"/>
        <v>3</v>
      </c>
      <c r="F28" s="55">
        <f t="shared" si="4"/>
        <v>76.989999999999995</v>
      </c>
      <c r="G28" s="56">
        <f>IF(D28=D27,"",_xlfn.IFNA(VLOOKUP(D28,'인원 입력 기능(사과탐)'!$A$64:$D$116,4,FALSE),0))</f>
        <v>238</v>
      </c>
      <c r="H28" s="57">
        <f t="shared" si="1"/>
        <v>1.9252548131370329E-2</v>
      </c>
      <c r="I28" s="67">
        <f>SUM($G$7:G28)</f>
        <v>2964</v>
      </c>
      <c r="J28" s="59">
        <f t="shared" si="5"/>
        <v>0.23976702798899854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57</v>
      </c>
      <c r="E29" s="68">
        <f t="shared" si="0"/>
        <v>4</v>
      </c>
      <c r="F29" s="55">
        <f t="shared" si="4"/>
        <v>75.22</v>
      </c>
      <c r="G29" s="56">
        <f>IF(D29=D28,"",_xlfn.IFNA(VLOOKUP(D29,'인원 입력 기능(사과탐)'!$A$64:$D$116,4,FALSE),0))</f>
        <v>198</v>
      </c>
      <c r="H29" s="57">
        <f t="shared" si="1"/>
        <v>1.6016825756350106E-2</v>
      </c>
      <c r="I29" s="67">
        <f>SUM($G$7:G29)</f>
        <v>3162</v>
      </c>
      <c r="J29" s="59">
        <f t="shared" si="5"/>
        <v>0.25578385374534862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56</v>
      </c>
      <c r="E30" s="68">
        <f t="shared" si="0"/>
        <v>4</v>
      </c>
      <c r="F30" s="55">
        <f t="shared" si="4"/>
        <v>73.459999999999994</v>
      </c>
      <c r="G30" s="56">
        <f>IF(D30=D29,"",_xlfn.IFNA(VLOOKUP(D30,'인원 입력 기능(사과탐)'!$A$64:$D$116,4,FALSE),0))</f>
        <v>238</v>
      </c>
      <c r="H30" s="57">
        <f t="shared" si="1"/>
        <v>1.9252548131370329E-2</v>
      </c>
      <c r="I30" s="67">
        <f>SUM($G$7:G30)</f>
        <v>3400</v>
      </c>
      <c r="J30" s="59">
        <f t="shared" si="5"/>
        <v>0.27503640187671896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55</v>
      </c>
      <c r="E31" s="68">
        <f t="shared" si="0"/>
        <v>4</v>
      </c>
      <c r="F31" s="55">
        <f t="shared" si="4"/>
        <v>71.540000000000006</v>
      </c>
      <c r="G31" s="56">
        <f>IF(D31=D30,"",_xlfn.IFNA(VLOOKUP(D31,'인원 입력 기능(사과탐)'!$A$64:$D$116,4,FALSE),0))</f>
        <v>237</v>
      </c>
      <c r="H31" s="57">
        <f t="shared" si="1"/>
        <v>1.9171655071994823E-2</v>
      </c>
      <c r="I31" s="67">
        <f>SUM($G$7:G31)</f>
        <v>3637</v>
      </c>
      <c r="J31" s="59">
        <f t="shared" si="5"/>
        <v>0.29420805694871383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54</v>
      </c>
      <c r="E32" s="68">
        <f t="shared" si="0"/>
        <v>4</v>
      </c>
      <c r="F32" s="55">
        <f t="shared" si="4"/>
        <v>69.59</v>
      </c>
      <c r="G32" s="56">
        <f>IF(D32=D31,"",_xlfn.IFNA(VLOOKUP(D32,'인원 입력 기능(사과탐)'!$A$64:$D$116,4,FALSE),0))</f>
        <v>244</v>
      </c>
      <c r="H32" s="57">
        <f t="shared" si="1"/>
        <v>1.9737906487623361E-2</v>
      </c>
      <c r="I32" s="67">
        <f>SUM($G$7:G32)</f>
        <v>3881</v>
      </c>
      <c r="J32" s="59">
        <f t="shared" si="5"/>
        <v>0.31394596343633718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174">
        <f t="shared" si="3"/>
        <v>53</v>
      </c>
      <c r="E33" s="174">
        <f t="shared" si="0"/>
        <v>4</v>
      </c>
      <c r="F33" s="176">
        <f t="shared" si="4"/>
        <v>66.41</v>
      </c>
      <c r="G33" s="178">
        <f>IF(D33=D32,"",_xlfn.IFNA(VLOOKUP(D33,'인원 입력 기능(사과탐)'!$A$64:$D$116,4,FALSE),0))</f>
        <v>542</v>
      </c>
      <c r="H33" s="180">
        <f t="shared" si="1"/>
        <v>4.3844038181524027E-2</v>
      </c>
      <c r="I33" s="189">
        <f>SUM($G$7:G33)</f>
        <v>4423</v>
      </c>
      <c r="J33" s="170">
        <f t="shared" si="5"/>
        <v>0.35779000161786118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175"/>
      <c r="E34" s="175"/>
      <c r="F34" s="177"/>
      <c r="G34" s="179"/>
      <c r="H34" s="181"/>
      <c r="I34" s="190"/>
      <c r="J34" s="171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52</v>
      </c>
      <c r="E35" s="68">
        <f t="shared" si="0"/>
        <v>4</v>
      </c>
      <c r="F35" s="55">
        <f t="shared" si="4"/>
        <v>63.13</v>
      </c>
      <c r="G35" s="56">
        <f>IF(D35=D34,"",_xlfn.IFNA(VLOOKUP(D35,'인원 입력 기능(사과탐)'!$A$64:$D$116,4,FALSE),0))</f>
        <v>269</v>
      </c>
      <c r="H35" s="57">
        <f t="shared" si="1"/>
        <v>2.1760232972011E-2</v>
      </c>
      <c r="I35" s="67">
        <f>SUM($G$7:G35)</f>
        <v>4692</v>
      </c>
      <c r="J35" s="59">
        <f t="shared" si="5"/>
        <v>0.37955023458987219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51</v>
      </c>
      <c r="E36" s="68">
        <f t="shared" si="0"/>
        <v>4</v>
      </c>
      <c r="F36" s="55">
        <f t="shared" si="4"/>
        <v>60.9</v>
      </c>
      <c r="G36" s="56">
        <f>IF(D36=D35,"",_xlfn.IFNA(VLOOKUP(D36,'인원 입력 기능(사과탐)'!$A$64:$D$116,4,FALSE),0))</f>
        <v>282</v>
      </c>
      <c r="H36" s="57">
        <f t="shared" si="1"/>
        <v>2.2811842743892575E-2</v>
      </c>
      <c r="I36" s="67">
        <f>SUM($G$7:G36)</f>
        <v>4974</v>
      </c>
      <c r="J36" s="59">
        <f t="shared" si="5"/>
        <v>0.40236207733376478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50</v>
      </c>
      <c r="E37" s="68">
        <f t="shared" si="0"/>
        <v>5</v>
      </c>
      <c r="F37" s="55">
        <f t="shared" si="4"/>
        <v>58.56</v>
      </c>
      <c r="G37" s="56">
        <f>IF(D37=D36,"",_xlfn.IFNA(VLOOKUP(D37,'인원 입력 기능(사과탐)'!$A$64:$D$116,4,FALSE),0))</f>
        <v>298</v>
      </c>
      <c r="H37" s="57">
        <f t="shared" si="1"/>
        <v>2.4106131693900662E-2</v>
      </c>
      <c r="I37" s="67">
        <f>SUM($G$7:G37)</f>
        <v>5272</v>
      </c>
      <c r="J37" s="59">
        <f t="shared" si="5"/>
        <v>0.42646820902766541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49</v>
      </c>
      <c r="E38" s="68">
        <f t="shared" si="0"/>
        <v>5</v>
      </c>
      <c r="F38" s="55">
        <f t="shared" si="4"/>
        <v>56.1</v>
      </c>
      <c r="G38" s="56">
        <f>IF(D38=D37,"",_xlfn.IFNA(VLOOKUP(D38,'인원 입력 기능(사과탐)'!$A$64:$D$116,4,FALSE),0))</f>
        <v>311</v>
      </c>
      <c r="H38" s="57">
        <f t="shared" si="1"/>
        <v>2.5157741465782237E-2</v>
      </c>
      <c r="I38" s="67">
        <f>SUM($G$7:G38)</f>
        <v>5583</v>
      </c>
      <c r="J38" s="59">
        <f t="shared" si="5"/>
        <v>0.45162595049344767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48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53.56</v>
      </c>
      <c r="G39" s="56">
        <f>IF(D39=D38,"",_xlfn.IFNA(VLOOKUP(D39,'인원 입력 기능(사과탐)'!$A$64:$D$116,4,FALSE),0))</f>
        <v>317</v>
      </c>
      <c r="H39" s="57">
        <f t="shared" si="1"/>
        <v>2.5643099822035269E-2</v>
      </c>
      <c r="I39" s="67">
        <f>SUM($G$7:G39)</f>
        <v>5900</v>
      </c>
      <c r="J39" s="59">
        <f t="shared" si="5"/>
        <v>0.47726905031548295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174">
        <f t="shared" si="3"/>
        <v>47</v>
      </c>
      <c r="E40" s="174">
        <f t="shared" si="6"/>
        <v>5</v>
      </c>
      <c r="F40" s="176">
        <f t="shared" si="4"/>
        <v>49.29</v>
      </c>
      <c r="G40" s="178">
        <f>IF(D40=D39,"",_xlfn.IFNA(VLOOKUP(D40,'인원 입력 기능(사과탐)'!$A$64:$D$116,4,FALSE),0))</f>
        <v>738</v>
      </c>
      <c r="H40" s="180">
        <f t="shared" si="1"/>
        <v>5.969907781912312E-2</v>
      </c>
      <c r="I40" s="189">
        <f>SUM($G$7:G40)</f>
        <v>6638</v>
      </c>
      <c r="J40" s="170">
        <f t="shared" si="5"/>
        <v>0.53696812813460604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175"/>
      <c r="E41" s="175"/>
      <c r="F41" s="177"/>
      <c r="G41" s="179"/>
      <c r="H41" s="181"/>
      <c r="I41" s="190"/>
      <c r="J41" s="17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46</v>
      </c>
      <c r="E42" s="68">
        <f t="shared" si="6"/>
        <v>5</v>
      </c>
      <c r="F42" s="55">
        <f t="shared" si="4"/>
        <v>44.65</v>
      </c>
      <c r="G42" s="56">
        <f>IF(D42=D41,"",_xlfn.IFNA(VLOOKUP(D42,'인원 입력 기능(사과탐)'!$A$64:$D$116,4,FALSE),0))</f>
        <v>408</v>
      </c>
      <c r="H42" s="57">
        <f t="shared" si="1"/>
        <v>3.3004368225206276E-2</v>
      </c>
      <c r="I42" s="67">
        <f>SUM($G$7:G42)</f>
        <v>7046</v>
      </c>
      <c r="J42" s="59">
        <f t="shared" si="5"/>
        <v>0.56997249635981229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45</v>
      </c>
      <c r="E43" s="68">
        <f t="shared" si="6"/>
        <v>5</v>
      </c>
      <c r="F43" s="55">
        <f t="shared" si="4"/>
        <v>41.25</v>
      </c>
      <c r="G43" s="56">
        <f>IF(D43=D42,"",_xlfn.IFNA(VLOOKUP(D43,'인원 입력 기능(사과탐)'!$A$64:$D$116,4,FALSE),0))</f>
        <v>434</v>
      </c>
      <c r="H43" s="57">
        <f t="shared" si="1"/>
        <v>3.5107587768969425E-2</v>
      </c>
      <c r="I43" s="67">
        <f>SUM($G$7:G43)</f>
        <v>7480</v>
      </c>
      <c r="J43" s="59">
        <f t="shared" si="5"/>
        <v>0.60508008412878178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44</v>
      </c>
      <c r="E44" s="68">
        <f t="shared" si="6"/>
        <v>6</v>
      </c>
      <c r="F44" s="55">
        <f t="shared" si="4"/>
        <v>37.130000000000003</v>
      </c>
      <c r="G44" s="56">
        <f>IF(D44=D43,"",_xlfn.IFNA(VLOOKUP(D44,'인원 입력 기능(사과탐)'!$A$64:$D$116,4,FALSE),0))</f>
        <v>583</v>
      </c>
      <c r="H44" s="57">
        <f t="shared" si="1"/>
        <v>4.7160653615919756E-2</v>
      </c>
      <c r="I44" s="67">
        <f>SUM($G$7:G44)</f>
        <v>8063</v>
      </c>
      <c r="J44" s="59">
        <f t="shared" si="5"/>
        <v>0.65224073774470148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43</v>
      </c>
      <c r="E45" s="68">
        <f t="shared" si="6"/>
        <v>6</v>
      </c>
      <c r="F45" s="55">
        <f t="shared" si="4"/>
        <v>32.299999999999997</v>
      </c>
      <c r="G45" s="56">
        <f>IF(D45=D44,"",_xlfn.IFNA(VLOOKUP(D45,'인원 입력 기능(사과탐)'!$A$64:$D$116,4,FALSE),0))</f>
        <v>613</v>
      </c>
      <c r="H45" s="57">
        <f t="shared" si="1"/>
        <v>4.9587445397184925E-2</v>
      </c>
      <c r="I45" s="67">
        <f>SUM($G$7:G45)</f>
        <v>8676</v>
      </c>
      <c r="J45" s="59">
        <f t="shared" si="5"/>
        <v>0.70182818314188644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42</v>
      </c>
      <c r="E46" s="68">
        <f t="shared" si="6"/>
        <v>6</v>
      </c>
      <c r="F46" s="55">
        <f t="shared" si="4"/>
        <v>28.18</v>
      </c>
      <c r="G46" s="56">
        <f>IF(D46=D45,"",_xlfn.IFNA(VLOOKUP(D46,'인원 입력 기능(사과탐)'!$A$64:$D$116,4,FALSE),0))</f>
        <v>405</v>
      </c>
      <c r="H46" s="57">
        <f t="shared" si="1"/>
        <v>3.276168904707976E-2</v>
      </c>
      <c r="I46" s="67">
        <f>SUM($G$7:G46)</f>
        <v>9081</v>
      </c>
      <c r="J46" s="59">
        <f t="shared" si="5"/>
        <v>0.73458987218896621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174">
        <f t="shared" si="3"/>
        <v>41</v>
      </c>
      <c r="E47" s="174">
        <f t="shared" si="6"/>
        <v>6</v>
      </c>
      <c r="F47" s="176">
        <f t="shared" si="4"/>
        <v>21.24</v>
      </c>
      <c r="G47" s="178">
        <f>IF(D47=D46,"",_xlfn.IFNA(VLOOKUP(D47,'인원 입력 기능(사과탐)'!$A$64:$D$116,4,FALSE),0))</f>
        <v>1311</v>
      </c>
      <c r="H47" s="180">
        <f t="shared" si="1"/>
        <v>0.10605080084128782</v>
      </c>
      <c r="I47" s="189">
        <f>SUM($G$7:G47)</f>
        <v>10392</v>
      </c>
      <c r="J47" s="170">
        <f t="shared" si="5"/>
        <v>0.84064067303025403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175"/>
      <c r="E48" s="175"/>
      <c r="F48" s="177"/>
      <c r="G48" s="179"/>
      <c r="H48" s="181"/>
      <c r="I48" s="190"/>
      <c r="J48" s="17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40</v>
      </c>
      <c r="E49" s="68">
        <f t="shared" si="6"/>
        <v>7</v>
      </c>
      <c r="F49" s="55">
        <f t="shared" si="4"/>
        <v>12.12</v>
      </c>
      <c r="G49" s="56">
        <f>IF(D49=D48,"",_xlfn.IFNA(VLOOKUP(D49,'인원 입력 기능(사과탐)'!$A$64:$D$116,4,FALSE),0))</f>
        <v>943</v>
      </c>
      <c r="H49" s="57">
        <f t="shared" si="1"/>
        <v>7.6282154991101761E-2</v>
      </c>
      <c r="I49" s="67">
        <f>SUM($G$7:G49)</f>
        <v>11335</v>
      </c>
      <c r="J49" s="59">
        <f t="shared" si="5"/>
        <v>0.91692282802135572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39</v>
      </c>
      <c r="E50" s="68">
        <f t="shared" si="6"/>
        <v>8</v>
      </c>
      <c r="F50" s="55">
        <f t="shared" si="4"/>
        <v>6.79</v>
      </c>
      <c r="G50" s="56">
        <f>IF(D50=D49,"",_xlfn.IFNA(VLOOKUP(D50,'인원 입력 기능(사과탐)'!$A$64:$D$116,4,FALSE),0))</f>
        <v>376</v>
      </c>
      <c r="H50" s="57">
        <f t="shared" si="1"/>
        <v>3.0415790325190099E-2</v>
      </c>
      <c r="I50" s="67">
        <f>SUM($G$7:G50)</f>
        <v>11711</v>
      </c>
      <c r="J50" s="59">
        <f t="shared" si="5"/>
        <v>0.94733861834654587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38</v>
      </c>
      <c r="E51" s="68">
        <f t="shared" si="6"/>
        <v>8</v>
      </c>
      <c r="F51" s="55">
        <f t="shared" si="4"/>
        <v>4.63</v>
      </c>
      <c r="G51" s="56">
        <f>IF(D51=D50,"",_xlfn.IFNA(VLOOKUP(D51,'인원 입력 기능(사과탐)'!$A$64:$D$116,4,FALSE),0))</f>
        <v>158</v>
      </c>
      <c r="H51" s="57">
        <f t="shared" si="1"/>
        <v>1.2781103381329881E-2</v>
      </c>
      <c r="I51" s="67">
        <f>SUM($G$7:G51)</f>
        <v>11869</v>
      </c>
      <c r="J51" s="59">
        <f t="shared" si="5"/>
        <v>0.96011972172787574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37</v>
      </c>
      <c r="E52" s="68">
        <f t="shared" si="6"/>
        <v>9</v>
      </c>
      <c r="F52" s="55">
        <f t="shared" si="4"/>
        <v>2.99</v>
      </c>
      <c r="G52" s="56">
        <f>IF(D52=D51,"",_xlfn.IFNA(VLOOKUP(D52,'인원 입력 기능(사과탐)'!$A$64:$D$116,4,FALSE),0))</f>
        <v>246</v>
      </c>
      <c r="H52" s="57">
        <f t="shared" si="1"/>
        <v>1.9899692606374374E-2</v>
      </c>
      <c r="I52" s="67">
        <f>SUM($G$7:G52)</f>
        <v>12115</v>
      </c>
      <c r="J52" s="59">
        <f t="shared" si="5"/>
        <v>0.98001941433425011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172">
        <f t="shared" si="3"/>
        <v>36</v>
      </c>
      <c r="E53" s="172">
        <f t="shared" si="6"/>
        <v>9</v>
      </c>
      <c r="F53" s="176">
        <f t="shared" si="4"/>
        <v>1.36</v>
      </c>
      <c r="G53" s="178">
        <f>IF(D53=D52,"",_xlfn.IFNA(VLOOKUP(D53,'인원 입력 기능(사과탐)'!$A$64:$D$116,4,FALSE),0))</f>
        <v>158</v>
      </c>
      <c r="H53" s="180">
        <f t="shared" si="1"/>
        <v>1.2781103381329881E-2</v>
      </c>
      <c r="I53" s="189">
        <f>SUM($G$7:G53)</f>
        <v>12273</v>
      </c>
      <c r="J53" s="170">
        <f t="shared" si="5"/>
        <v>0.99280051771557998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173"/>
      <c r="E54" s="173"/>
      <c r="F54" s="177"/>
      <c r="G54" s="179"/>
      <c r="H54" s="181"/>
      <c r="I54" s="190"/>
      <c r="J54" s="171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35</v>
      </c>
      <c r="E55" s="54">
        <f t="shared" si="6"/>
        <v>9</v>
      </c>
      <c r="F55" s="55">
        <f t="shared" si="4"/>
        <v>0.43</v>
      </c>
      <c r="G55" s="56">
        <f>IF(D55=D54,"",_xlfn.IFNA(VLOOKUP(D55,'인원 입력 기능(사과탐)'!$A$64:$D$116,4,FALSE),0))</f>
        <v>71</v>
      </c>
      <c r="H55" s="57">
        <f t="shared" si="1"/>
        <v>5.7434072156608961E-3</v>
      </c>
      <c r="I55" s="67">
        <f>SUM($G$7:G55)</f>
        <v>12344</v>
      </c>
      <c r="J55" s="59">
        <f t="shared" si="5"/>
        <v>0.99854392493124089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33</v>
      </c>
      <c r="E57" s="109">
        <f t="shared" si="6"/>
        <v>9</v>
      </c>
      <c r="F57" s="74">
        <f>IF(I55=0,ROUND(100*(1-(I54+I57)/2/$J$3),2),ROUND(100*(1-(I55+I57)/2/$J$3),2))</f>
        <v>7.0000000000000007E-2</v>
      </c>
      <c r="G57" s="110">
        <f>_xlfn.IFNA(VLOOKUP(D57,'인원 입력 기능(사과탐)'!$A$64:$D$116,4,FALSE),0)</f>
        <v>18</v>
      </c>
      <c r="H57" s="76">
        <f>G57/$J$3</f>
        <v>1.4560750687591004E-3</v>
      </c>
      <c r="I57" s="77">
        <f>SUM($G$7:G57)</f>
        <v>12362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2">
    <mergeCell ref="D3:F3"/>
    <mergeCell ref="D4:F4"/>
    <mergeCell ref="G5:J5"/>
    <mergeCell ref="D13:D14"/>
    <mergeCell ref="E13:E14"/>
    <mergeCell ref="F13:F14"/>
    <mergeCell ref="G13:G14"/>
    <mergeCell ref="H13:H14"/>
    <mergeCell ref="I13:I14"/>
    <mergeCell ref="J13:J14"/>
    <mergeCell ref="I19:I20"/>
    <mergeCell ref="J19:J20"/>
    <mergeCell ref="D26:D27"/>
    <mergeCell ref="E26:E27"/>
    <mergeCell ref="F26:F27"/>
    <mergeCell ref="G26:G27"/>
    <mergeCell ref="H26:H27"/>
    <mergeCell ref="I26:I27"/>
    <mergeCell ref="J26:J27"/>
    <mergeCell ref="D19:D20"/>
    <mergeCell ref="E19:E20"/>
    <mergeCell ref="F19:F20"/>
    <mergeCell ref="G19:G20"/>
    <mergeCell ref="H19:H20"/>
    <mergeCell ref="I33:I34"/>
    <mergeCell ref="J33:J34"/>
    <mergeCell ref="D40:D41"/>
    <mergeCell ref="E40:E41"/>
    <mergeCell ref="F40:F41"/>
    <mergeCell ref="G40:G41"/>
    <mergeCell ref="H40:H41"/>
    <mergeCell ref="I40:I41"/>
    <mergeCell ref="J40:J41"/>
    <mergeCell ref="D33:D34"/>
    <mergeCell ref="E33:E34"/>
    <mergeCell ref="F33:F34"/>
    <mergeCell ref="G33:G34"/>
    <mergeCell ref="H33:H34"/>
    <mergeCell ref="I47:I48"/>
    <mergeCell ref="J47:J48"/>
    <mergeCell ref="D53:D54"/>
    <mergeCell ref="E53:E54"/>
    <mergeCell ref="F53:F54"/>
    <mergeCell ref="G53:G54"/>
    <mergeCell ref="H53:H54"/>
    <mergeCell ref="I53:I54"/>
    <mergeCell ref="J53:J54"/>
    <mergeCell ref="D47:D48"/>
    <mergeCell ref="E47:E48"/>
    <mergeCell ref="F47:F48"/>
    <mergeCell ref="G47:G48"/>
    <mergeCell ref="H47:H48"/>
  </mergeCells>
  <phoneticPr fontId="1" type="noConversion"/>
  <conditionalFormatting sqref="D7:G13 I7:J13 D15:G19 I15:J19 D21:G26 I21:J26 D28:G33 I28:J33 D35:G40 I35:J40 D42:G47 I42:J47 D49:G53 I49:J53 D55:G57 I55:J57">
    <cfRule type="expression" dxfId="58" priority="4">
      <formula>OR($D7=$Q$7:$Q$14)</formula>
    </cfRule>
  </conditionalFormatting>
  <conditionalFormatting sqref="C7:C57">
    <cfRule type="expression" dxfId="57" priority="3">
      <formula>OR(AND($D7=0,OR($D6=$Q$7:$Q$14)),AND($D8&gt;0,OR($D7=$Q$7:$Q$14)))</formula>
    </cfRule>
  </conditionalFormatting>
  <conditionalFormatting sqref="D7:D13 D15:D19 D21:D26 D28:D33 D35:D40 D42:D47 D49:D53 D55:D57">
    <cfRule type="expression" dxfId="56" priority="2">
      <formula>$D7=$D8</formula>
    </cfRule>
  </conditionalFormatting>
  <conditionalFormatting sqref="H7:H13 H15:H19 H21:H26 H28:H33 H35:H40 H42:H47 H49:H53 H55:H57">
    <cfRule type="expression" dxfId="5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EDF1D-98F8-4FEC-A704-989E46CB810A}">
  <sheetPr codeName="Sheet1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기능'!D13</f>
        <v>20.35</v>
      </c>
      <c r="I3" s="21" t="s">
        <v>123</v>
      </c>
      <c r="J3" s="81">
        <f>'통계 및 응시자 수 입력 기능'!C13</f>
        <v>22506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150</v>
      </c>
      <c r="E4" s="186"/>
      <c r="F4" s="187"/>
      <c r="G4" s="83" t="s">
        <v>126</v>
      </c>
      <c r="H4" s="84" t="str">
        <f>'통계 및 응시자 수 입력 기능'!E13</f>
        <v>11.65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75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99.29</v>
      </c>
      <c r="G7" s="56">
        <f>_xlfn.IFNA(VLOOKUP(D7,'인원 입력 기능(사과탐)'!$F$64:$I$116,4,FALSE),0)</f>
        <v>321</v>
      </c>
      <c r="H7" s="57">
        <f>G7/$J$3</f>
        <v>1.4262863236470275E-2</v>
      </c>
      <c r="I7" s="58">
        <f>G7</f>
        <v>321</v>
      </c>
      <c r="J7" s="59">
        <f>I7/$J$3</f>
        <v>1.4262863236470275E-2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기능'!C85</f>
        <v>71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기능'!C86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74</v>
      </c>
      <c r="E9" s="54">
        <f t="shared" si="0"/>
        <v>1</v>
      </c>
      <c r="F9" s="55">
        <f>IF(I8=0,ROUND(100*(1-(I7+I9)/2/$J$3),2),ROUND(100*(1-(I8+I9)/2/$J$3),2))</f>
        <v>98.28</v>
      </c>
      <c r="G9" s="56">
        <f>_xlfn.IFNA(VLOOKUP(D9,'인원 입력 기능(사과탐)'!$F$64:$I$116,4,FALSE),0)</f>
        <v>130</v>
      </c>
      <c r="H9" s="57">
        <f t="shared" ref="H9:H55" si="1">G9/$J$3</f>
        <v>5.7762374477916996E-3</v>
      </c>
      <c r="I9" s="67">
        <f>SUM($G$7:G9)</f>
        <v>451</v>
      </c>
      <c r="J9" s="59">
        <f>I9/$J$3</f>
        <v>2.0039100684261974E-2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기능'!C87</f>
        <v>57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73</v>
      </c>
      <c r="E10" s="54">
        <f t="shared" si="0"/>
        <v>1</v>
      </c>
      <c r="F10" s="55">
        <f t="shared" ref="F10:F55" si="4">IF(I9=0,ROUND(100*(1-(I8+I10)/2/$J$3),2),ROUND(100*(1-(I9+I10)/2/$J$3),2))</f>
        <v>97.5</v>
      </c>
      <c r="G10" s="56">
        <f>IF(D10=D9,"",_xlfn.IFNA(VLOOKUP(D10,'인원 입력 기능(사과탐)'!$F$64:$I$116,4,FALSE),0))</f>
        <v>225</v>
      </c>
      <c r="H10" s="57">
        <f t="shared" si="1"/>
        <v>9.9973340442548655E-3</v>
      </c>
      <c r="I10" s="67">
        <f>SUM($G$7:G10)</f>
        <v>676</v>
      </c>
      <c r="J10" s="59">
        <f t="shared" ref="J10:J55" si="5">I10/$J$3</f>
        <v>3.0036434728516841E-2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기능'!C88</f>
        <v>51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72</v>
      </c>
      <c r="E11" s="54">
        <f t="shared" si="0"/>
        <v>1</v>
      </c>
      <c r="F11" s="55">
        <f t="shared" si="4"/>
        <v>96.87</v>
      </c>
      <c r="G11" s="56">
        <f>IF(D11=D10,"",_xlfn.IFNA(VLOOKUP(D11,'인원 입력 기능(사과탐)'!$F$64:$I$116,4,FALSE),0))</f>
        <v>59</v>
      </c>
      <c r="H11" s="57">
        <f t="shared" si="1"/>
        <v>2.6215231493823868E-3</v>
      </c>
      <c r="I11" s="67">
        <f>SUM($G$7:G11)</f>
        <v>735</v>
      </c>
      <c r="J11" s="59">
        <f t="shared" si="5"/>
        <v>3.2657957877899227E-2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기능'!C89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71</v>
      </c>
      <c r="E12" s="54">
        <f t="shared" si="0"/>
        <v>1</v>
      </c>
      <c r="F12" s="55">
        <f t="shared" si="4"/>
        <v>96.16</v>
      </c>
      <c r="G12" s="56">
        <f>IF(D12=D11,"",_xlfn.IFNA(VLOOKUP(D12,'인원 입력 기능(사과탐)'!$F$64:$I$116,4,FALSE),0))</f>
        <v>257</v>
      </c>
      <c r="H12" s="57">
        <f t="shared" si="1"/>
        <v>1.1419177108326668E-2</v>
      </c>
      <c r="I12" s="67">
        <f>SUM($G$7:G12)</f>
        <v>992</v>
      </c>
      <c r="J12" s="59">
        <f t="shared" si="5"/>
        <v>4.4077134986225897E-2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기능'!C90</f>
        <v>42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70</v>
      </c>
      <c r="E13" s="54">
        <f t="shared" si="0"/>
        <v>2</v>
      </c>
      <c r="F13" s="55">
        <f t="shared" si="4"/>
        <v>95.25</v>
      </c>
      <c r="G13" s="56">
        <f>IF(D13=D12,"",_xlfn.IFNA(VLOOKUP(D13,'인원 입력 기능(사과탐)'!$F$64:$I$116,4,FALSE),0))</f>
        <v>156</v>
      </c>
      <c r="H13" s="57">
        <f t="shared" si="1"/>
        <v>6.9314849373500404E-3</v>
      </c>
      <c r="I13" s="67">
        <f>SUM($G$7:G13)</f>
        <v>1148</v>
      </c>
      <c r="J13" s="59">
        <f t="shared" si="5"/>
        <v>5.1008619923575936E-2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기능'!C91</f>
        <v>39</v>
      </c>
    </row>
    <row r="14" spans="1:17" s="22" customFormat="1" ht="25" customHeight="1" x14ac:dyDescent="0.45">
      <c r="A14" s="20"/>
      <c r="B14" s="35"/>
      <c r="C14" s="60">
        <v>43</v>
      </c>
      <c r="D14" s="172">
        <f t="shared" si="3"/>
        <v>69</v>
      </c>
      <c r="E14" s="172">
        <f t="shared" si="0"/>
        <v>2</v>
      </c>
      <c r="F14" s="176">
        <f t="shared" si="4"/>
        <v>94.06</v>
      </c>
      <c r="G14" s="178">
        <f>IF(D14=D13,"",_xlfn.IFNA(VLOOKUP(D14,'인원 입력 기능(사과탐)'!$F$64:$I$116,4,FALSE),0))</f>
        <v>376</v>
      </c>
      <c r="H14" s="180">
        <f t="shared" si="1"/>
        <v>1.6706656002843687E-2</v>
      </c>
      <c r="I14" s="189">
        <f>SUM($G$7:G14)</f>
        <v>1524</v>
      </c>
      <c r="J14" s="170">
        <f t="shared" si="5"/>
        <v>6.7715275926419627E-2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기능'!C92</f>
        <v>38</v>
      </c>
    </row>
    <row r="15" spans="1:17" s="22" customFormat="1" ht="25" customHeight="1" x14ac:dyDescent="0.45">
      <c r="A15" s="20"/>
      <c r="B15" s="35"/>
      <c r="C15" s="53">
        <v>42</v>
      </c>
      <c r="D15" s="173"/>
      <c r="E15" s="173"/>
      <c r="F15" s="177"/>
      <c r="G15" s="179"/>
      <c r="H15" s="181"/>
      <c r="I15" s="190"/>
      <c r="J15" s="171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68</v>
      </c>
      <c r="E16" s="54">
        <f t="shared" si="0"/>
        <v>2</v>
      </c>
      <c r="F16" s="55">
        <f t="shared" si="4"/>
        <v>92.84</v>
      </c>
      <c r="G16" s="56">
        <f>IF(D16=D15,"",_xlfn.IFNA(VLOOKUP(D16,'인원 입력 기능(사과탐)'!$F$64:$I$116,4,FALSE),0))</f>
        <v>176</v>
      </c>
      <c r="H16" s="57">
        <f t="shared" si="1"/>
        <v>7.8201368523949169E-3</v>
      </c>
      <c r="I16" s="67">
        <f>SUM($G$7:G16)</f>
        <v>1700</v>
      </c>
      <c r="J16" s="59">
        <f t="shared" si="5"/>
        <v>7.5535412778814537E-2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67</v>
      </c>
      <c r="E17" s="54">
        <f t="shared" si="0"/>
        <v>2</v>
      </c>
      <c r="F17" s="55">
        <f t="shared" si="4"/>
        <v>91.92</v>
      </c>
      <c r="G17" s="56">
        <f>IF(D17=D16,"",_xlfn.IFNA(VLOOKUP(D17,'인원 입력 기능(사과탐)'!$F$64:$I$116,4,FALSE),0))</f>
        <v>235</v>
      </c>
      <c r="H17" s="57">
        <f t="shared" si="1"/>
        <v>1.0441660001777304E-2</v>
      </c>
      <c r="I17" s="67">
        <f>SUM($G$7:G17)</f>
        <v>1935</v>
      </c>
      <c r="J17" s="59">
        <f t="shared" si="5"/>
        <v>8.5977072780591843E-2</v>
      </c>
      <c r="K17" s="36"/>
      <c r="L17" s="20" t="str">
        <f t="shared" si="2"/>
        <v/>
      </c>
      <c r="N17" s="24"/>
      <c r="Q17" s="24">
        <f>Q7*H3*H4*J3*IFERROR(IF(J57=1, 1, 0), 0)</f>
        <v>378832301.26500005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66</v>
      </c>
      <c r="E18" s="54">
        <f t="shared" si="0"/>
        <v>2</v>
      </c>
      <c r="F18" s="55">
        <f t="shared" si="4"/>
        <v>90.96</v>
      </c>
      <c r="G18" s="56">
        <f>IF(D18=D17,"",_xlfn.IFNA(VLOOKUP(D18,'인원 입력 기능(사과탐)'!$F$64:$I$116,4,FALSE),0))</f>
        <v>199</v>
      </c>
      <c r="H18" s="57">
        <f t="shared" si="1"/>
        <v>8.8420865546965256E-3</v>
      </c>
      <c r="I18" s="67">
        <f>SUM($G$7:G18)</f>
        <v>2134</v>
      </c>
      <c r="J18" s="59">
        <f t="shared" si="5"/>
        <v>9.4819159335288367E-2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65</v>
      </c>
      <c r="E19" s="54">
        <f t="shared" si="0"/>
        <v>2</v>
      </c>
      <c r="F19" s="55">
        <f t="shared" si="4"/>
        <v>89.98</v>
      </c>
      <c r="G19" s="56">
        <f>IF(D19=D18,"",_xlfn.IFNA(VLOOKUP(D19,'인원 입력 기능(사과탐)'!$F$64:$I$116,4,FALSE),0))</f>
        <v>240</v>
      </c>
      <c r="H19" s="57">
        <f t="shared" si="1"/>
        <v>1.0663822980538524E-2</v>
      </c>
      <c r="I19" s="67">
        <f>SUM($G$7:G19)</f>
        <v>2374</v>
      </c>
      <c r="J19" s="59">
        <f t="shared" si="5"/>
        <v>0.1054829823158269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64</v>
      </c>
      <c r="E20" s="54">
        <f t="shared" si="0"/>
        <v>2</v>
      </c>
      <c r="F20" s="55">
        <f t="shared" si="4"/>
        <v>88.77</v>
      </c>
      <c r="G20" s="56">
        <f>IF(D20=D19,"",_xlfn.IFNA(VLOOKUP(D20,'인원 입력 기능(사과탐)'!$F$64:$I$116,4,FALSE),0))</f>
        <v>308</v>
      </c>
      <c r="H20" s="57">
        <f t="shared" si="1"/>
        <v>1.3685239491691105E-2</v>
      </c>
      <c r="I20" s="67">
        <f>SUM($G$7:G20)</f>
        <v>2682</v>
      </c>
      <c r="J20" s="59">
        <f t="shared" si="5"/>
        <v>0.119168221807518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174">
        <f t="shared" si="3"/>
        <v>63</v>
      </c>
      <c r="E21" s="174">
        <f t="shared" si="0"/>
        <v>3</v>
      </c>
      <c r="F21" s="176">
        <f t="shared" si="4"/>
        <v>86.8</v>
      </c>
      <c r="G21" s="178">
        <f>IF(D21=D20,"",_xlfn.IFNA(VLOOKUP(D21,'인원 입력 기능(사과탐)'!$F$64:$I$116,4,FALSE),0))</f>
        <v>579</v>
      </c>
      <c r="H21" s="180">
        <f t="shared" si="1"/>
        <v>2.5726472940549187E-2</v>
      </c>
      <c r="I21" s="189">
        <f>SUM($G$7:G21)</f>
        <v>3261</v>
      </c>
      <c r="J21" s="170">
        <f t="shared" si="5"/>
        <v>0.14489469474806718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175"/>
      <c r="E22" s="175"/>
      <c r="F22" s="177"/>
      <c r="G22" s="179"/>
      <c r="H22" s="181"/>
      <c r="I22" s="190"/>
      <c r="J22" s="171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62</v>
      </c>
      <c r="E23" s="68">
        <f t="shared" si="0"/>
        <v>3</v>
      </c>
      <c r="F23" s="55">
        <f t="shared" si="4"/>
        <v>84.8</v>
      </c>
      <c r="G23" s="56">
        <f>IF(D23=D22,"",_xlfn.IFNA(VLOOKUP(D23,'인원 입력 기능(사과탐)'!$F$64:$I$116,4,FALSE),0))</f>
        <v>320</v>
      </c>
      <c r="H23" s="57">
        <f t="shared" si="1"/>
        <v>1.4218430640718031E-2</v>
      </c>
      <c r="I23" s="67">
        <f>SUM($G$7:G23)</f>
        <v>3581</v>
      </c>
      <c r="J23" s="59">
        <f t="shared" si="5"/>
        <v>0.15911312538878522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61</v>
      </c>
      <c r="E24" s="68">
        <f t="shared" si="0"/>
        <v>3</v>
      </c>
      <c r="F24" s="55">
        <f t="shared" si="4"/>
        <v>83.31</v>
      </c>
      <c r="G24" s="56">
        <f>IF(D24=D23,"",_xlfn.IFNA(VLOOKUP(D24,'인원 입력 기능(사과탐)'!$F$64:$I$116,4,FALSE),0))</f>
        <v>350</v>
      </c>
      <c r="H24" s="57">
        <f t="shared" si="1"/>
        <v>1.5551408513285346E-2</v>
      </c>
      <c r="I24" s="67">
        <f>SUM($G$7:G24)</f>
        <v>3931</v>
      </c>
      <c r="J24" s="59">
        <f t="shared" si="5"/>
        <v>0.17466453390207057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60</v>
      </c>
      <c r="E25" s="68">
        <f t="shared" si="0"/>
        <v>3</v>
      </c>
      <c r="F25" s="55">
        <f t="shared" si="4"/>
        <v>81.77</v>
      </c>
      <c r="G25" s="56">
        <f>IF(D25=D24,"",_xlfn.IFNA(VLOOKUP(D25,'인원 입력 기능(사과탐)'!$F$64:$I$116,4,FALSE),0))</f>
        <v>343</v>
      </c>
      <c r="H25" s="57">
        <f t="shared" si="1"/>
        <v>1.524038034301964E-2</v>
      </c>
      <c r="I25" s="67">
        <f>SUM($G$7:G25)</f>
        <v>4274</v>
      </c>
      <c r="J25" s="59">
        <f t="shared" si="5"/>
        <v>0.18990491424509021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59</v>
      </c>
      <c r="E26" s="68">
        <f t="shared" si="0"/>
        <v>3</v>
      </c>
      <c r="F26" s="55">
        <f t="shared" si="4"/>
        <v>80.16</v>
      </c>
      <c r="G26" s="56">
        <f>IF(D26=D25,"",_xlfn.IFNA(VLOOKUP(D26,'인원 입력 기능(사과탐)'!$F$64:$I$116,4,FALSE),0))</f>
        <v>382</v>
      </c>
      <c r="H26" s="57">
        <f t="shared" si="1"/>
        <v>1.697325157735715E-2</v>
      </c>
      <c r="I26" s="67">
        <f>SUM($G$7:G26)</f>
        <v>4656</v>
      </c>
      <c r="J26" s="59">
        <f t="shared" si="5"/>
        <v>0.20687816582244734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58</v>
      </c>
      <c r="E27" s="68">
        <f t="shared" si="0"/>
        <v>3</v>
      </c>
      <c r="F27" s="55">
        <f t="shared" si="4"/>
        <v>78.37</v>
      </c>
      <c r="G27" s="56">
        <f>IF(D27=D26,"",_xlfn.IFNA(VLOOKUP(D27,'인원 입력 기능(사과탐)'!$F$64:$I$116,4,FALSE),0))</f>
        <v>425</v>
      </c>
      <c r="H27" s="57">
        <f t="shared" si="1"/>
        <v>1.8883853194703634E-2</v>
      </c>
      <c r="I27" s="67">
        <f>SUM($G$7:G27)</f>
        <v>5081</v>
      </c>
      <c r="J27" s="59">
        <f t="shared" si="5"/>
        <v>0.22576201901715098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174">
        <f t="shared" si="3"/>
        <v>57</v>
      </c>
      <c r="E28" s="174">
        <f t="shared" si="0"/>
        <v>3</v>
      </c>
      <c r="F28" s="176">
        <f t="shared" si="4"/>
        <v>75.64</v>
      </c>
      <c r="G28" s="178">
        <f>IF(D28=D27,"",_xlfn.IFNA(VLOOKUP(D28,'인원 입력 기능(사과탐)'!$F$64:$I$116,4,FALSE),0))</f>
        <v>805</v>
      </c>
      <c r="H28" s="180">
        <f t="shared" si="1"/>
        <v>3.5768239580556298E-2</v>
      </c>
      <c r="I28" s="189">
        <f>SUM($G$7:G28)</f>
        <v>5886</v>
      </c>
      <c r="J28" s="170">
        <f t="shared" si="5"/>
        <v>0.26153025859770729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175"/>
      <c r="E29" s="175"/>
      <c r="F29" s="177"/>
      <c r="G29" s="179"/>
      <c r="H29" s="181"/>
      <c r="I29" s="190"/>
      <c r="J29" s="171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56</v>
      </c>
      <c r="E30" s="68">
        <f t="shared" si="0"/>
        <v>4</v>
      </c>
      <c r="F30" s="55">
        <f t="shared" si="4"/>
        <v>72.81</v>
      </c>
      <c r="G30" s="56">
        <f>IF(D30=D29,"",_xlfn.IFNA(VLOOKUP(D30,'인원 입력 기능(사과탐)'!$F$64:$I$116,4,FALSE),0))</f>
        <v>468</v>
      </c>
      <c r="H30" s="57">
        <f t="shared" si="1"/>
        <v>2.0794454812050119E-2</v>
      </c>
      <c r="I30" s="67">
        <f>SUM($G$7:G30)</f>
        <v>6354</v>
      </c>
      <c r="J30" s="59">
        <f t="shared" si="5"/>
        <v>0.2823247134097574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55</v>
      </c>
      <c r="E31" s="68">
        <f t="shared" si="0"/>
        <v>4</v>
      </c>
      <c r="F31" s="55">
        <f t="shared" si="4"/>
        <v>70.790000000000006</v>
      </c>
      <c r="G31" s="56">
        <f>IF(D31=D30,"",_xlfn.IFNA(VLOOKUP(D31,'인원 입력 기능(사과탐)'!$F$64:$I$116,4,FALSE),0))</f>
        <v>439</v>
      </c>
      <c r="H31" s="57">
        <f t="shared" si="1"/>
        <v>1.9505909535235049E-2</v>
      </c>
      <c r="I31" s="67">
        <f>SUM($G$7:G31)</f>
        <v>6793</v>
      </c>
      <c r="J31" s="59">
        <f t="shared" si="5"/>
        <v>0.30183062294499247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54</v>
      </c>
      <c r="E32" s="68">
        <f t="shared" si="0"/>
        <v>4</v>
      </c>
      <c r="F32" s="55">
        <f t="shared" si="4"/>
        <v>68.63</v>
      </c>
      <c r="G32" s="56">
        <f>IF(D32=D31,"",_xlfn.IFNA(VLOOKUP(D32,'인원 입력 기능(사과탐)'!$F$64:$I$116,4,FALSE),0))</f>
        <v>533</v>
      </c>
      <c r="H32" s="57">
        <f t="shared" si="1"/>
        <v>2.368257353594597E-2</v>
      </c>
      <c r="I32" s="67">
        <f>SUM($G$7:G32)</f>
        <v>7326</v>
      </c>
      <c r="J32" s="59">
        <f t="shared" si="5"/>
        <v>0.3255131964809384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53</v>
      </c>
      <c r="E33" s="68">
        <f t="shared" si="0"/>
        <v>4</v>
      </c>
      <c r="F33" s="55">
        <f t="shared" si="4"/>
        <v>66.290000000000006</v>
      </c>
      <c r="G33" s="56">
        <f>IF(D33=D32,"",_xlfn.IFNA(VLOOKUP(D33,'인원 입력 기능(사과탐)'!$F$64:$I$116,4,FALSE),0))</f>
        <v>523</v>
      </c>
      <c r="H33" s="57">
        <f t="shared" si="1"/>
        <v>2.3238247578423531E-2</v>
      </c>
      <c r="I33" s="67">
        <f>SUM($G$7:G33)</f>
        <v>7849</v>
      </c>
      <c r="J33" s="59">
        <f t="shared" si="5"/>
        <v>0.34875144405936193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52</v>
      </c>
      <c r="E34" s="68">
        <f t="shared" si="0"/>
        <v>4</v>
      </c>
      <c r="F34" s="55">
        <f t="shared" si="4"/>
        <v>63.94</v>
      </c>
      <c r="G34" s="56">
        <f>IF(D34=D33,"",_xlfn.IFNA(VLOOKUP(D34,'인원 입력 기능(사과탐)'!$F$64:$I$116,4,FALSE),0))</f>
        <v>533</v>
      </c>
      <c r="H34" s="57">
        <f t="shared" si="1"/>
        <v>2.368257353594597E-2</v>
      </c>
      <c r="I34" s="67">
        <f>SUM($G$7:G34)</f>
        <v>8382</v>
      </c>
      <c r="J34" s="59">
        <f t="shared" si="5"/>
        <v>0.37243401759530792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174">
        <f t="shared" si="3"/>
        <v>51</v>
      </c>
      <c r="E35" s="174">
        <f t="shared" si="0"/>
        <v>4</v>
      </c>
      <c r="F35" s="176">
        <f t="shared" si="4"/>
        <v>60.38</v>
      </c>
      <c r="G35" s="178">
        <f>IF(D35=D34,"",_xlfn.IFNA(VLOOKUP(D35,'인원 입력 기능(사과탐)'!$F$64:$I$116,4,FALSE),0))</f>
        <v>1071</v>
      </c>
      <c r="H35" s="180">
        <f t="shared" si="1"/>
        <v>4.7587310050653156E-2</v>
      </c>
      <c r="I35" s="189">
        <f>SUM($G$7:G35)</f>
        <v>9453</v>
      </c>
      <c r="J35" s="170">
        <f t="shared" si="5"/>
        <v>0.42002132764596106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175"/>
      <c r="E36" s="175"/>
      <c r="F36" s="177"/>
      <c r="G36" s="179"/>
      <c r="H36" s="181"/>
      <c r="I36" s="190"/>
      <c r="J36" s="171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50</v>
      </c>
      <c r="E37" s="68">
        <f t="shared" si="0"/>
        <v>5</v>
      </c>
      <c r="F37" s="55">
        <f t="shared" si="4"/>
        <v>56.63</v>
      </c>
      <c r="G37" s="56">
        <f>IF(D37=D36,"",_xlfn.IFNA(VLOOKUP(D37,'인원 입력 기능(사과탐)'!$F$64:$I$116,4,FALSE),0))</f>
        <v>615</v>
      </c>
      <c r="H37" s="57">
        <f t="shared" si="1"/>
        <v>2.7326046387629966E-2</v>
      </c>
      <c r="I37" s="67">
        <f>SUM($G$7:G37)</f>
        <v>10068</v>
      </c>
      <c r="J37" s="59">
        <f t="shared" si="5"/>
        <v>0.44734737403359104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49</v>
      </c>
      <c r="E38" s="68">
        <f t="shared" si="0"/>
        <v>5</v>
      </c>
      <c r="F38" s="55">
        <f t="shared" si="4"/>
        <v>53.9</v>
      </c>
      <c r="G38" s="56">
        <f>IF(D38=D37,"",_xlfn.IFNA(VLOOKUP(D38,'인원 입력 기능(사과탐)'!$F$64:$I$116,4,FALSE),0))</f>
        <v>615</v>
      </c>
      <c r="H38" s="57">
        <f t="shared" si="1"/>
        <v>2.7326046387629966E-2</v>
      </c>
      <c r="I38" s="67">
        <f>SUM($G$7:G38)</f>
        <v>10683</v>
      </c>
      <c r="J38" s="59">
        <f t="shared" si="5"/>
        <v>0.47467342042122102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48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51.21</v>
      </c>
      <c r="G39" s="56">
        <f>IF(D39=D38,"",_xlfn.IFNA(VLOOKUP(D39,'인원 입력 기능(사과탐)'!$F$64:$I$116,4,FALSE),0))</f>
        <v>595</v>
      </c>
      <c r="H39" s="57">
        <f t="shared" si="1"/>
        <v>2.6437394472585089E-2</v>
      </c>
      <c r="I39" s="67">
        <f>SUM($G$7:G39)</f>
        <v>11278</v>
      </c>
      <c r="J39" s="59">
        <f t="shared" si="5"/>
        <v>0.50111081489380604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47</v>
      </c>
      <c r="E40" s="68">
        <f t="shared" si="6"/>
        <v>5</v>
      </c>
      <c r="F40" s="55">
        <f t="shared" si="4"/>
        <v>48.28</v>
      </c>
      <c r="G40" s="56">
        <f>IF(D40=D39,"",_xlfn.IFNA(VLOOKUP(D40,'인원 입력 기능(사과탐)'!$F$64:$I$116,4,FALSE),0))</f>
        <v>723</v>
      </c>
      <c r="H40" s="57">
        <f t="shared" si="1"/>
        <v>3.2124766728872302E-2</v>
      </c>
      <c r="I40" s="67">
        <f>SUM($G$7:G40)</f>
        <v>12001</v>
      </c>
      <c r="J40" s="59">
        <f t="shared" si="5"/>
        <v>0.53323558162267837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46</v>
      </c>
      <c r="E41" s="68">
        <f t="shared" si="6"/>
        <v>5</v>
      </c>
      <c r="F41" s="55">
        <f t="shared" si="4"/>
        <v>45.28</v>
      </c>
      <c r="G41" s="56">
        <f>IF(D41=D40,"",_xlfn.IFNA(VLOOKUP(D41,'인원 입력 기능(사과탐)'!$F$64:$I$116,4,FALSE),0))</f>
        <v>630</v>
      </c>
      <c r="H41" s="57">
        <f t="shared" si="1"/>
        <v>2.7992535323913624E-2</v>
      </c>
      <c r="I41" s="67">
        <f>SUM($G$7:G41)</f>
        <v>12631</v>
      </c>
      <c r="J41" s="59">
        <f t="shared" si="5"/>
        <v>0.56122811694659203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174">
        <f t="shared" si="3"/>
        <v>45</v>
      </c>
      <c r="E42" s="174">
        <f t="shared" si="6"/>
        <v>5</v>
      </c>
      <c r="F42" s="176">
        <f t="shared" si="4"/>
        <v>40.840000000000003</v>
      </c>
      <c r="G42" s="178">
        <f>IF(D42=D41,"",_xlfn.IFNA(VLOOKUP(D42,'인원 입력 기능(사과탐)'!$F$64:$I$116,4,FALSE),0))</f>
        <v>1366</v>
      </c>
      <c r="H42" s="180">
        <f t="shared" si="1"/>
        <v>6.0694925797565094E-2</v>
      </c>
      <c r="I42" s="189">
        <f>SUM($G$7:G42)</f>
        <v>13997</v>
      </c>
      <c r="J42" s="170">
        <f t="shared" si="5"/>
        <v>0.62192304274415711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5"/>
      <c r="E43" s="175"/>
      <c r="F43" s="177"/>
      <c r="G43" s="179"/>
      <c r="H43" s="181"/>
      <c r="I43" s="190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44</v>
      </c>
      <c r="E44" s="68">
        <f t="shared" si="6"/>
        <v>6</v>
      </c>
      <c r="F44" s="55">
        <f t="shared" si="4"/>
        <v>35.56</v>
      </c>
      <c r="G44" s="56">
        <f>IF(D44=D43,"",_xlfn.IFNA(VLOOKUP(D44,'인원 입력 기능(사과탐)'!$F$64:$I$116,4,FALSE),0))</f>
        <v>1013</v>
      </c>
      <c r="H44" s="57">
        <f t="shared" si="1"/>
        <v>4.5010219497023017E-2</v>
      </c>
      <c r="I44" s="67">
        <f>SUM($G$7:G44)</f>
        <v>15010</v>
      </c>
      <c r="J44" s="59">
        <f t="shared" si="5"/>
        <v>0.6669332622411801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43</v>
      </c>
      <c r="E45" s="68">
        <f t="shared" si="6"/>
        <v>6</v>
      </c>
      <c r="F45" s="55">
        <f t="shared" si="4"/>
        <v>31.49</v>
      </c>
      <c r="G45" s="56">
        <f>IF(D45=D44,"",_xlfn.IFNA(VLOOKUP(D45,'인원 입력 기능(사과탐)'!$F$64:$I$116,4,FALSE),0))</f>
        <v>816</v>
      </c>
      <c r="H45" s="57">
        <f t="shared" si="1"/>
        <v>3.625699813383098E-2</v>
      </c>
      <c r="I45" s="67">
        <f>SUM($G$7:G45)</f>
        <v>15826</v>
      </c>
      <c r="J45" s="59">
        <f t="shared" si="5"/>
        <v>0.70319026037501109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42</v>
      </c>
      <c r="E46" s="68">
        <f t="shared" si="6"/>
        <v>6</v>
      </c>
      <c r="F46" s="55">
        <f t="shared" si="4"/>
        <v>25.83</v>
      </c>
      <c r="G46" s="56">
        <f>IF(D46=D45,"",_xlfn.IFNA(VLOOKUP(D46,'인원 입력 기능(사과탐)'!$F$64:$I$116,4,FALSE),0))</f>
        <v>1735</v>
      </c>
      <c r="H46" s="57">
        <f t="shared" si="1"/>
        <v>7.7090553630143069E-2</v>
      </c>
      <c r="I46" s="67">
        <f>SUM($G$7:G46)</f>
        <v>17561</v>
      </c>
      <c r="J46" s="59">
        <f t="shared" si="5"/>
        <v>0.78028081400515414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41</v>
      </c>
      <c r="E47" s="68">
        <f t="shared" si="6"/>
        <v>7</v>
      </c>
      <c r="F47" s="55">
        <f t="shared" si="4"/>
        <v>19.95</v>
      </c>
      <c r="G47" s="56">
        <f>IF(D47=D46,"",_xlfn.IFNA(VLOOKUP(D47,'인원 입력 기능(사과탐)'!$F$64:$I$116,4,FALSE),0))</f>
        <v>910</v>
      </c>
      <c r="H47" s="57">
        <f t="shared" si="1"/>
        <v>4.0433662134541901E-2</v>
      </c>
      <c r="I47" s="67">
        <f>SUM($G$7:G47)</f>
        <v>18471</v>
      </c>
      <c r="J47" s="59">
        <f t="shared" si="5"/>
        <v>0.82071447613969606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40</v>
      </c>
      <c r="E48" s="68">
        <f t="shared" si="6"/>
        <v>7</v>
      </c>
      <c r="F48" s="55">
        <f t="shared" si="4"/>
        <v>16.61</v>
      </c>
      <c r="G48" s="56">
        <f>IF(D48=D47,"",_xlfn.IFNA(VLOOKUP(D48,'인원 입력 기능(사과탐)'!$F$64:$I$116,4,FALSE),0))</f>
        <v>593</v>
      </c>
      <c r="H48" s="57">
        <f t="shared" si="1"/>
        <v>2.6348529281080602E-2</v>
      </c>
      <c r="I48" s="67">
        <f>SUM($G$7:G48)</f>
        <v>19064</v>
      </c>
      <c r="J48" s="59">
        <f t="shared" si="5"/>
        <v>0.84706300542077673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174">
        <f t="shared" si="3"/>
        <v>39</v>
      </c>
      <c r="E49" s="174">
        <f t="shared" si="6"/>
        <v>7</v>
      </c>
      <c r="F49" s="176">
        <f t="shared" si="4"/>
        <v>10.15</v>
      </c>
      <c r="G49" s="178">
        <f>IF(D49=D48,"",_xlfn.IFNA(VLOOKUP(D49,'인원 입력 기능(사과탐)'!$F$64:$I$116,4,FALSE),0))</f>
        <v>2316</v>
      </c>
      <c r="H49" s="180">
        <f t="shared" si="1"/>
        <v>0.10290589176219675</v>
      </c>
      <c r="I49" s="189">
        <f>SUM($G$7:G49)</f>
        <v>21380</v>
      </c>
      <c r="J49" s="170">
        <f t="shared" si="5"/>
        <v>0.94996889718297339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175"/>
      <c r="E50" s="175"/>
      <c r="F50" s="177"/>
      <c r="G50" s="179"/>
      <c r="H50" s="181"/>
      <c r="I50" s="190"/>
      <c r="J50" s="171"/>
      <c r="K50" s="36"/>
      <c r="L50" s="20" t="str">
        <f t="shared" si="2"/>
        <v>경고</v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38</v>
      </c>
      <c r="E51" s="68">
        <f t="shared" si="6"/>
        <v>8</v>
      </c>
      <c r="F51" s="55">
        <f t="shared" si="4"/>
        <v>4.21</v>
      </c>
      <c r="G51" s="56">
        <f>IF(D51=D50,"",_xlfn.IFNA(VLOOKUP(D51,'인원 입력 기능(사과탐)'!$F$64:$I$116,4,FALSE),0))</f>
        <v>356</v>
      </c>
      <c r="H51" s="57">
        <f t="shared" si="1"/>
        <v>1.581800408779881E-2</v>
      </c>
      <c r="I51" s="67">
        <f>SUM($G$7:G51)</f>
        <v>21736</v>
      </c>
      <c r="J51" s="59">
        <f t="shared" si="5"/>
        <v>0.96578690127077227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37</v>
      </c>
      <c r="E52" s="68">
        <f t="shared" si="6"/>
        <v>9</v>
      </c>
      <c r="F52" s="55">
        <f t="shared" si="4"/>
        <v>2.68</v>
      </c>
      <c r="G52" s="56">
        <f>IF(D52=D51,"",_xlfn.IFNA(VLOOKUP(D52,'인원 입력 기능(사과탐)'!$F$64:$I$116,4,FALSE),0))</f>
        <v>332</v>
      </c>
      <c r="H52" s="57">
        <f t="shared" si="1"/>
        <v>1.4751621789744956E-2</v>
      </c>
      <c r="I52" s="67">
        <f>SUM($G$7:G52)</f>
        <v>22068</v>
      </c>
      <c r="J52" s="59">
        <f t="shared" si="5"/>
        <v>0.98053852306051714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36</v>
      </c>
      <c r="E53" s="54">
        <f t="shared" si="6"/>
        <v>9</v>
      </c>
      <c r="F53" s="55">
        <f t="shared" si="4"/>
        <v>1.58</v>
      </c>
      <c r="G53" s="56">
        <f>IF(D53=D52,"",_xlfn.IFNA(VLOOKUP(D53,'인원 입력 기능(사과탐)'!$F$64:$I$116,4,FALSE),0))</f>
        <v>166</v>
      </c>
      <c r="H53" s="57">
        <f t="shared" si="1"/>
        <v>7.3758108948724782E-3</v>
      </c>
      <c r="I53" s="67">
        <f>SUM($G$7:G53)</f>
        <v>22234</v>
      </c>
      <c r="J53" s="59">
        <f t="shared" si="5"/>
        <v>0.98791433395538963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35</v>
      </c>
      <c r="E54" s="54">
        <f t="shared" si="6"/>
        <v>9</v>
      </c>
      <c r="F54" s="55">
        <f t="shared" si="4"/>
        <v>0.95</v>
      </c>
      <c r="G54" s="56">
        <f>IF(D54=D53,"",_xlfn.IFNA(VLOOKUP(D54,'인원 입력 기능(사과탐)'!$F$64:$I$116,4,FALSE),0))</f>
        <v>118</v>
      </c>
      <c r="H54" s="57">
        <f t="shared" si="1"/>
        <v>5.2430462987647737E-3</v>
      </c>
      <c r="I54" s="67">
        <f>SUM($G$7:G54)</f>
        <v>22352</v>
      </c>
      <c r="J54" s="59">
        <f t="shared" si="5"/>
        <v>0.99315738025415445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34</v>
      </c>
      <c r="E55" s="54">
        <f t="shared" si="6"/>
        <v>9</v>
      </c>
      <c r="F55" s="55">
        <f t="shared" si="4"/>
        <v>0.41</v>
      </c>
      <c r="G55" s="56">
        <f>IF(D55=D54,"",_xlfn.IFNA(VLOOKUP(D55,'인원 입력 기능(사과탐)'!$F$64:$I$116,4,FALSE),0))</f>
        <v>122</v>
      </c>
      <c r="H55" s="57">
        <f t="shared" si="1"/>
        <v>5.420776681773749E-3</v>
      </c>
      <c r="I55" s="67">
        <f>SUM($G$7:G55)</f>
        <v>22474</v>
      </c>
      <c r="J55" s="59">
        <f t="shared" si="5"/>
        <v>0.99857815693592822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33</v>
      </c>
      <c r="E57" s="109">
        <f t="shared" si="6"/>
        <v>9</v>
      </c>
      <c r="F57" s="74">
        <f>IF(I55=0,ROUND(100*(1-(I54+I57)/2/$J$3),2),ROUND(100*(1-(I55+I57)/2/$J$3),2))</f>
        <v>7.0000000000000007E-2</v>
      </c>
      <c r="G57" s="110">
        <f>_xlfn.IFNA(VLOOKUP(D57,'인원 입력 기능(사과탐)'!$F$64:$I$116,4,FALSE),0)</f>
        <v>32</v>
      </c>
      <c r="H57" s="76">
        <f>G57/$J$3</f>
        <v>1.4218430640718031E-3</v>
      </c>
      <c r="I57" s="77">
        <f>SUM($G$7:G57)</f>
        <v>22506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45">
    <mergeCell ref="D3:F3"/>
    <mergeCell ref="D4:F4"/>
    <mergeCell ref="G5:J5"/>
    <mergeCell ref="D14:D15"/>
    <mergeCell ref="E14:E15"/>
    <mergeCell ref="F14:F15"/>
    <mergeCell ref="G14:G15"/>
    <mergeCell ref="H14:H15"/>
    <mergeCell ref="I14:I15"/>
    <mergeCell ref="J14:J15"/>
    <mergeCell ref="I21:I22"/>
    <mergeCell ref="J21:J22"/>
    <mergeCell ref="D28:D29"/>
    <mergeCell ref="E28:E29"/>
    <mergeCell ref="F28:F29"/>
    <mergeCell ref="G28:G29"/>
    <mergeCell ref="H28:H29"/>
    <mergeCell ref="I28:I29"/>
    <mergeCell ref="J28:J29"/>
    <mergeCell ref="D21:D22"/>
    <mergeCell ref="E21:E22"/>
    <mergeCell ref="F21:F22"/>
    <mergeCell ref="G21:G22"/>
    <mergeCell ref="H21:H22"/>
    <mergeCell ref="I35:I36"/>
    <mergeCell ref="J35:J36"/>
    <mergeCell ref="D42:D43"/>
    <mergeCell ref="E42:E43"/>
    <mergeCell ref="F42:F43"/>
    <mergeCell ref="G42:G43"/>
    <mergeCell ref="H42:H43"/>
    <mergeCell ref="I42:I43"/>
    <mergeCell ref="J42:J43"/>
    <mergeCell ref="D35:D36"/>
    <mergeCell ref="E35:E36"/>
    <mergeCell ref="F35:F36"/>
    <mergeCell ref="G35:G36"/>
    <mergeCell ref="H35:H36"/>
    <mergeCell ref="I49:I50"/>
    <mergeCell ref="J49:J50"/>
    <mergeCell ref="D49:D50"/>
    <mergeCell ref="E49:E50"/>
    <mergeCell ref="F49:F50"/>
    <mergeCell ref="G49:G50"/>
    <mergeCell ref="H49:H50"/>
  </mergeCells>
  <phoneticPr fontId="1" type="noConversion"/>
  <conditionalFormatting sqref="D7:G14 I7:J14 D16:G21 I16:J21 D23:G28 I23:J28 D30:G35 I30:J35 D37:G42 I37:J42 D44:G49 I44:J49 D51:G57 I51:J57">
    <cfRule type="expression" dxfId="54" priority="4">
      <formula>OR($D7=$Q$7:$Q$14)</formula>
    </cfRule>
  </conditionalFormatting>
  <conditionalFormatting sqref="C7:C57">
    <cfRule type="expression" dxfId="53" priority="3">
      <formula>OR(AND($D7=0,OR($D6=$Q$7:$Q$14)),AND($D8&gt;0,OR($D7=$Q$7:$Q$14)))</formula>
    </cfRule>
  </conditionalFormatting>
  <conditionalFormatting sqref="D7:D14 D16:D21 D23:D28 D30:D35 D37:D42 D44:D49 D51:D57">
    <cfRule type="expression" dxfId="52" priority="2">
      <formula>$D7=$D8</formula>
    </cfRule>
  </conditionalFormatting>
  <conditionalFormatting sqref="H7:H14 H16:H21 H23:H28 H30:H35 H37:H42 H44:H49 H51:H57">
    <cfRule type="expression" dxfId="5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0D9E-C049-4545-ADCA-5E5EBB94A528}">
  <sheetPr codeName="Sheet1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기능'!D14</f>
        <v>22.05</v>
      </c>
      <c r="I3" s="21" t="s">
        <v>123</v>
      </c>
      <c r="J3" s="81">
        <f>'통계 및 응시자 수 입력 기능'!C14</f>
        <v>13248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149</v>
      </c>
      <c r="E4" s="186"/>
      <c r="F4" s="187"/>
      <c r="G4" s="83" t="s">
        <v>126</v>
      </c>
      <c r="H4" s="84" t="str">
        <f>'통계 및 응시자 수 입력 기능'!E14</f>
        <v>12.44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72</v>
      </c>
      <c r="E7" s="54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99.18</v>
      </c>
      <c r="G7" s="56">
        <f>_xlfn.IFNA(VLOOKUP(D7,'인원 입력 기능(사과탐)'!$K$64:$N$116,4,FALSE),0)</f>
        <v>218</v>
      </c>
      <c r="H7" s="57">
        <f>G7/$J$3</f>
        <v>1.6455314009661836E-2</v>
      </c>
      <c r="I7" s="58">
        <f>G7</f>
        <v>218</v>
      </c>
      <c r="J7" s="59">
        <f>I7/$J$3</f>
        <v>1.6455314009661836E-2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기능'!C94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기능'!C95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71</v>
      </c>
      <c r="E9" s="54">
        <f t="shared" si="0"/>
        <v>1</v>
      </c>
      <c r="F9" s="55">
        <f>IF(I8=0,ROUND(100*(1-(I7+I9)/2/$J$3),2),ROUND(100*(1-(I8+I9)/2/$J$3),2))</f>
        <v>97.81</v>
      </c>
      <c r="G9" s="56">
        <f>_xlfn.IFNA(VLOOKUP(D9,'인원 입력 기능(사과탐)'!$K$64:$N$116,4,FALSE),0)</f>
        <v>143</v>
      </c>
      <c r="H9" s="57">
        <f t="shared" ref="H9:H55" si="1">G9/$J$3</f>
        <v>1.0794082125603864E-2</v>
      </c>
      <c r="I9" s="67">
        <f>SUM($G$7:G9)</f>
        <v>361</v>
      </c>
      <c r="J9" s="59">
        <f>I9/$J$3</f>
        <v>2.72493961352657E-2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기능'!C96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70</v>
      </c>
      <c r="E10" s="54">
        <f t="shared" si="0"/>
        <v>1</v>
      </c>
      <c r="F10" s="55">
        <f t="shared" ref="F10:F55" si="4">IF(I9=0,ROUND(100*(1-(I8+I10)/2/$J$3),2),ROUND(100*(1-(I9+I10)/2/$J$3),2))</f>
        <v>96.61</v>
      </c>
      <c r="G10" s="56">
        <f>IF(D10=D9,"",_xlfn.IFNA(VLOOKUP(D10,'인원 입력 기능(사과탐)'!$K$64:$N$116,4,FALSE),0))</f>
        <v>176</v>
      </c>
      <c r="H10" s="57">
        <f t="shared" si="1"/>
        <v>1.3285024154589372E-2</v>
      </c>
      <c r="I10" s="67">
        <f>SUM($G$7:G10)</f>
        <v>537</v>
      </c>
      <c r="J10" s="59">
        <f t="shared" ref="J10:J55" si="5">I10/$J$3</f>
        <v>4.0534420289855072E-2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기능'!C97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69</v>
      </c>
      <c r="E11" s="54">
        <f t="shared" si="0"/>
        <v>2</v>
      </c>
      <c r="F11" s="55">
        <f t="shared" si="4"/>
        <v>95.72</v>
      </c>
      <c r="G11" s="56">
        <f>IF(D11=D10,"",_xlfn.IFNA(VLOOKUP(D11,'인원 입력 기능(사과탐)'!$K$64:$N$116,4,FALSE),0))</f>
        <v>60</v>
      </c>
      <c r="H11" s="57">
        <f t="shared" si="1"/>
        <v>4.528985507246377E-3</v>
      </c>
      <c r="I11" s="67">
        <f>SUM($G$7:G11)</f>
        <v>597</v>
      </c>
      <c r="J11" s="59">
        <f t="shared" si="5"/>
        <v>4.5063405797101448E-2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기능'!C98</f>
        <v>44</v>
      </c>
    </row>
    <row r="12" spans="1:17" s="22" customFormat="1" ht="25" customHeight="1" x14ac:dyDescent="0.45">
      <c r="A12" s="20"/>
      <c r="B12" s="35"/>
      <c r="C12" s="60">
        <v>45</v>
      </c>
      <c r="D12" s="172">
        <f t="shared" si="3"/>
        <v>68</v>
      </c>
      <c r="E12" s="172">
        <f t="shared" si="0"/>
        <v>2</v>
      </c>
      <c r="F12" s="176">
        <f t="shared" si="4"/>
        <v>94.23</v>
      </c>
      <c r="G12" s="178">
        <f>IF(D12=D11,"",_xlfn.IFNA(VLOOKUP(D12,'인원 입력 기능(사과탐)'!$K$64:$N$116,4,FALSE),0))</f>
        <v>336</v>
      </c>
      <c r="H12" s="180">
        <f t="shared" si="1"/>
        <v>2.5362318840579712E-2</v>
      </c>
      <c r="I12" s="189">
        <f>SUM($G$7:G12)</f>
        <v>933</v>
      </c>
      <c r="J12" s="170">
        <f t="shared" si="5"/>
        <v>7.0425724637681153E-2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기능'!C99</f>
        <v>41</v>
      </c>
    </row>
    <row r="13" spans="1:17" s="22" customFormat="1" ht="25" customHeight="1" x14ac:dyDescent="0.45">
      <c r="A13" s="20"/>
      <c r="B13" s="35"/>
      <c r="C13" s="53">
        <v>44</v>
      </c>
      <c r="D13" s="173"/>
      <c r="E13" s="173"/>
      <c r="F13" s="177"/>
      <c r="G13" s="179"/>
      <c r="H13" s="181"/>
      <c r="I13" s="190"/>
      <c r="J13" s="17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기능'!C100</f>
        <v>40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67</v>
      </c>
      <c r="E14" s="54">
        <f t="shared" si="0"/>
        <v>2</v>
      </c>
      <c r="F14" s="55">
        <f t="shared" si="4"/>
        <v>92.5</v>
      </c>
      <c r="G14" s="56">
        <f>IF(D14=D13,"",_xlfn.IFNA(VLOOKUP(D14,'인원 입력 기능(사과탐)'!$K$64:$N$116,4,FALSE),0))</f>
        <v>120</v>
      </c>
      <c r="H14" s="57">
        <f t="shared" si="1"/>
        <v>9.057971014492754E-3</v>
      </c>
      <c r="I14" s="67">
        <f>SUM($G$7:G14)</f>
        <v>1053</v>
      </c>
      <c r="J14" s="59">
        <f t="shared" si="5"/>
        <v>7.9483695652173919E-2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기능'!C101</f>
        <v>37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66</v>
      </c>
      <c r="E15" s="54">
        <f t="shared" si="0"/>
        <v>2</v>
      </c>
      <c r="F15" s="55">
        <f t="shared" si="4"/>
        <v>91.27</v>
      </c>
      <c r="G15" s="56">
        <f>IF(D15=D14,"",_xlfn.IFNA(VLOOKUP(D15,'인원 입력 기능(사과탐)'!$K$64:$N$116,4,FALSE),0))</f>
        <v>207</v>
      </c>
      <c r="H15" s="57">
        <f t="shared" si="1"/>
        <v>1.5625E-2</v>
      </c>
      <c r="I15" s="67">
        <f>SUM($G$7:G15)</f>
        <v>1260</v>
      </c>
      <c r="J15" s="59">
        <f t="shared" si="5"/>
        <v>9.5108695652173919E-2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65</v>
      </c>
      <c r="E16" s="54">
        <f t="shared" si="0"/>
        <v>2</v>
      </c>
      <c r="F16" s="55">
        <f t="shared" si="4"/>
        <v>89.98</v>
      </c>
      <c r="G16" s="56">
        <f>IF(D16=D15,"",_xlfn.IFNA(VLOOKUP(D16,'인원 입력 기능(사과탐)'!$K$64:$N$116,4,FALSE),0))</f>
        <v>134</v>
      </c>
      <c r="H16" s="57">
        <f t="shared" si="1"/>
        <v>1.0114734299516908E-2</v>
      </c>
      <c r="I16" s="67">
        <f>SUM($G$7:G16)</f>
        <v>1394</v>
      </c>
      <c r="J16" s="59">
        <f t="shared" si="5"/>
        <v>0.10522342995169082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172">
        <f t="shared" si="3"/>
        <v>64</v>
      </c>
      <c r="E17" s="172">
        <f t="shared" si="0"/>
        <v>2</v>
      </c>
      <c r="F17" s="176">
        <f t="shared" si="4"/>
        <v>87.85</v>
      </c>
      <c r="G17" s="178">
        <f>IF(D17=D16,"",_xlfn.IFNA(VLOOKUP(D17,'인원 입력 기능(사과탐)'!$K$64:$N$116,4,FALSE),0))</f>
        <v>432</v>
      </c>
      <c r="H17" s="180">
        <f t="shared" si="1"/>
        <v>3.2608695652173912E-2</v>
      </c>
      <c r="I17" s="189">
        <f>SUM($G$7:G17)</f>
        <v>1826</v>
      </c>
      <c r="J17" s="170">
        <f t="shared" si="5"/>
        <v>0.13783212560386474</v>
      </c>
      <c r="K17" s="36"/>
      <c r="L17" s="20" t="str">
        <f t="shared" si="2"/>
        <v/>
      </c>
      <c r="N17" s="24"/>
      <c r="Q17" s="24">
        <f>Q7*H3*H4*J3*IFERROR(IF(J57=1, 1, 0), 0)</f>
        <v>254376702.72</v>
      </c>
    </row>
    <row r="18" spans="1:17" s="22" customFormat="1" ht="25" customHeight="1" x14ac:dyDescent="0.45">
      <c r="A18" s="20"/>
      <c r="B18" s="35"/>
      <c r="C18" s="60">
        <v>39</v>
      </c>
      <c r="D18" s="173"/>
      <c r="E18" s="173"/>
      <c r="F18" s="177"/>
      <c r="G18" s="179"/>
      <c r="H18" s="181"/>
      <c r="I18" s="190"/>
      <c r="J18" s="171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63</v>
      </c>
      <c r="E19" s="54">
        <f t="shared" si="0"/>
        <v>3</v>
      </c>
      <c r="F19" s="55">
        <f t="shared" si="4"/>
        <v>85.56</v>
      </c>
      <c r="G19" s="56">
        <f>IF(D19=D18,"",_xlfn.IFNA(VLOOKUP(D19,'인원 입력 기능(사과탐)'!$K$64:$N$116,4,FALSE),0))</f>
        <v>173</v>
      </c>
      <c r="H19" s="57">
        <f t="shared" si="1"/>
        <v>1.3058574879227054E-2</v>
      </c>
      <c r="I19" s="67">
        <f>SUM($G$7:G19)</f>
        <v>1999</v>
      </c>
      <c r="J19" s="59">
        <f t="shared" si="5"/>
        <v>0.15089070048309178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62</v>
      </c>
      <c r="E20" s="54">
        <f t="shared" si="0"/>
        <v>3</v>
      </c>
      <c r="F20" s="55">
        <f t="shared" si="4"/>
        <v>84.05</v>
      </c>
      <c r="G20" s="56">
        <f>IF(D20=D19,"",_xlfn.IFNA(VLOOKUP(D20,'인원 입력 기능(사과탐)'!$K$64:$N$116,4,FALSE),0))</f>
        <v>229</v>
      </c>
      <c r="H20" s="57">
        <f t="shared" si="1"/>
        <v>1.7285628019323672E-2</v>
      </c>
      <c r="I20" s="67">
        <f>SUM($G$7:G20)</f>
        <v>2228</v>
      </c>
      <c r="J20" s="59">
        <f t="shared" si="5"/>
        <v>0.16817632850241546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61</v>
      </c>
      <c r="E21" s="68">
        <f t="shared" si="0"/>
        <v>3</v>
      </c>
      <c r="F21" s="55">
        <f t="shared" si="4"/>
        <v>82.42</v>
      </c>
      <c r="G21" s="56">
        <f>IF(D21=D20,"",_xlfn.IFNA(VLOOKUP(D21,'인원 입력 기능(사과탐)'!$K$64:$N$116,4,FALSE),0))</f>
        <v>201</v>
      </c>
      <c r="H21" s="57">
        <f t="shared" si="1"/>
        <v>1.5172101449275362E-2</v>
      </c>
      <c r="I21" s="67">
        <f>SUM($G$7:G21)</f>
        <v>2429</v>
      </c>
      <c r="J21" s="59">
        <f t="shared" si="5"/>
        <v>0.18334842995169082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174">
        <f t="shared" si="3"/>
        <v>60</v>
      </c>
      <c r="E22" s="174">
        <f t="shared" si="0"/>
        <v>3</v>
      </c>
      <c r="F22" s="176">
        <f t="shared" si="4"/>
        <v>79.89</v>
      </c>
      <c r="G22" s="178">
        <f>IF(D22=D21,"",_xlfn.IFNA(VLOOKUP(D22,'인원 입력 기능(사과탐)'!$K$64:$N$116,4,FALSE),0))</f>
        <v>470</v>
      </c>
      <c r="H22" s="180">
        <f t="shared" si="1"/>
        <v>3.5477053140096616E-2</v>
      </c>
      <c r="I22" s="189">
        <f>SUM($G$7:G22)</f>
        <v>2899</v>
      </c>
      <c r="J22" s="170">
        <f t="shared" si="5"/>
        <v>0.21882548309178743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175"/>
      <c r="E23" s="175"/>
      <c r="F23" s="177"/>
      <c r="G23" s="179"/>
      <c r="H23" s="181"/>
      <c r="I23" s="190"/>
      <c r="J23" s="171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59</v>
      </c>
      <c r="E24" s="68">
        <f t="shared" si="0"/>
        <v>3</v>
      </c>
      <c r="F24" s="55">
        <f t="shared" si="4"/>
        <v>77.31</v>
      </c>
      <c r="G24" s="56">
        <f>IF(D24=D23,"",_xlfn.IFNA(VLOOKUP(D24,'인원 입력 기능(사과탐)'!$K$64:$N$116,4,FALSE),0))</f>
        <v>214</v>
      </c>
      <c r="H24" s="57">
        <f t="shared" si="1"/>
        <v>1.6153381642512076E-2</v>
      </c>
      <c r="I24" s="67">
        <f>SUM($G$7:G24)</f>
        <v>3113</v>
      </c>
      <c r="J24" s="59">
        <f t="shared" si="5"/>
        <v>0.23497886473429952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58</v>
      </c>
      <c r="E25" s="68">
        <f t="shared" si="0"/>
        <v>4</v>
      </c>
      <c r="F25" s="55">
        <f t="shared" si="4"/>
        <v>75.680000000000007</v>
      </c>
      <c r="G25" s="56">
        <f>IF(D25=D24,"",_xlfn.IFNA(VLOOKUP(D25,'인원 입력 기능(사과탐)'!$K$64:$N$116,4,FALSE),0))</f>
        <v>219</v>
      </c>
      <c r="H25" s="57">
        <f t="shared" si="1"/>
        <v>1.6530797101449276E-2</v>
      </c>
      <c r="I25" s="67">
        <f>SUM($G$7:G25)</f>
        <v>3332</v>
      </c>
      <c r="J25" s="59">
        <f t="shared" si="5"/>
        <v>0.2515096618357488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57</v>
      </c>
      <c r="E26" s="68">
        <f t="shared" si="0"/>
        <v>4</v>
      </c>
      <c r="F26" s="55">
        <f t="shared" si="4"/>
        <v>74.05</v>
      </c>
      <c r="G26" s="56">
        <f>IF(D26=D25,"",_xlfn.IFNA(VLOOKUP(D26,'인원 입력 기능(사과탐)'!$K$64:$N$116,4,FALSE),0))</f>
        <v>213</v>
      </c>
      <c r="H26" s="57">
        <f t="shared" si="1"/>
        <v>1.6077898550724636E-2</v>
      </c>
      <c r="I26" s="67">
        <f>SUM($G$7:G26)</f>
        <v>3545</v>
      </c>
      <c r="J26" s="59">
        <f t="shared" si="5"/>
        <v>0.26758756038647341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174">
        <f t="shared" si="3"/>
        <v>56</v>
      </c>
      <c r="E27" s="174">
        <f t="shared" si="0"/>
        <v>4</v>
      </c>
      <c r="F27" s="176">
        <f t="shared" si="4"/>
        <v>71.33</v>
      </c>
      <c r="G27" s="178">
        <f>IF(D27=D26,"",_xlfn.IFNA(VLOOKUP(D27,'인원 입력 기능(사과탐)'!$K$64:$N$116,4,FALSE),0))</f>
        <v>506</v>
      </c>
      <c r="H27" s="180">
        <f t="shared" si="1"/>
        <v>3.8194444444444448E-2</v>
      </c>
      <c r="I27" s="189">
        <f>SUM($G$7:G27)</f>
        <v>4051</v>
      </c>
      <c r="J27" s="170">
        <f t="shared" si="5"/>
        <v>0.30578200483091789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175"/>
      <c r="E28" s="175"/>
      <c r="F28" s="177"/>
      <c r="G28" s="179"/>
      <c r="H28" s="181"/>
      <c r="I28" s="190"/>
      <c r="J28" s="171"/>
      <c r="K28" s="36"/>
      <c r="L28" s="20" t="str">
        <f t="shared" si="2"/>
        <v>경고</v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55</v>
      </c>
      <c r="E29" s="68">
        <f t="shared" si="0"/>
        <v>4</v>
      </c>
      <c r="F29" s="55">
        <f t="shared" si="4"/>
        <v>68.56</v>
      </c>
      <c r="G29" s="56">
        <f>IF(D29=D28,"",_xlfn.IFNA(VLOOKUP(D29,'인원 입력 기능(사과탐)'!$K$64:$N$116,4,FALSE),0))</f>
        <v>229</v>
      </c>
      <c r="H29" s="57">
        <f t="shared" si="1"/>
        <v>1.7285628019323672E-2</v>
      </c>
      <c r="I29" s="67">
        <f>SUM($G$7:G29)</f>
        <v>4280</v>
      </c>
      <c r="J29" s="59">
        <f t="shared" si="5"/>
        <v>0.32306763285024154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54</v>
      </c>
      <c r="E30" s="68">
        <f t="shared" si="0"/>
        <v>4</v>
      </c>
      <c r="F30" s="55">
        <f t="shared" si="4"/>
        <v>66.58</v>
      </c>
      <c r="G30" s="56">
        <f>IF(D30=D29,"",_xlfn.IFNA(VLOOKUP(D30,'인원 입력 기능(사과탐)'!$K$64:$N$116,4,FALSE),0))</f>
        <v>296</v>
      </c>
      <c r="H30" s="57">
        <f t="shared" si="1"/>
        <v>2.2342995169082124E-2</v>
      </c>
      <c r="I30" s="67">
        <f>SUM($G$7:G30)</f>
        <v>4576</v>
      </c>
      <c r="J30" s="59">
        <f t="shared" si="5"/>
        <v>0.34541062801932365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53</v>
      </c>
      <c r="E31" s="68">
        <f t="shared" si="0"/>
        <v>4</v>
      </c>
      <c r="F31" s="55">
        <f t="shared" si="4"/>
        <v>64.44</v>
      </c>
      <c r="G31" s="56">
        <f>IF(D31=D30,"",_xlfn.IFNA(VLOOKUP(D31,'인원 입력 기능(사과탐)'!$K$64:$N$116,4,FALSE),0))</f>
        <v>271</v>
      </c>
      <c r="H31" s="57">
        <f t="shared" si="1"/>
        <v>2.0455917874396136E-2</v>
      </c>
      <c r="I31" s="67">
        <f>SUM($G$7:G31)</f>
        <v>4847</v>
      </c>
      <c r="J31" s="59">
        <f t="shared" si="5"/>
        <v>0.36586654589371981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174">
        <f t="shared" si="3"/>
        <v>52</v>
      </c>
      <c r="E32" s="174">
        <f t="shared" si="0"/>
        <v>4</v>
      </c>
      <c r="F32" s="176">
        <f t="shared" si="4"/>
        <v>61.39</v>
      </c>
      <c r="G32" s="178">
        <f>IF(D32=D31,"",_xlfn.IFNA(VLOOKUP(D32,'인원 입력 기능(사과탐)'!$K$64:$N$116,4,FALSE),0))</f>
        <v>535</v>
      </c>
      <c r="H32" s="180">
        <f t="shared" si="1"/>
        <v>4.0383454106280192E-2</v>
      </c>
      <c r="I32" s="189">
        <f>SUM($G$7:G32)</f>
        <v>5382</v>
      </c>
      <c r="J32" s="170">
        <f t="shared" si="5"/>
        <v>0.40625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175"/>
      <c r="E33" s="175"/>
      <c r="F33" s="177"/>
      <c r="G33" s="179"/>
      <c r="H33" s="181"/>
      <c r="I33" s="190"/>
      <c r="J33" s="17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51</v>
      </c>
      <c r="E34" s="68">
        <f t="shared" si="0"/>
        <v>5</v>
      </c>
      <c r="F34" s="55">
        <f t="shared" si="4"/>
        <v>58.17</v>
      </c>
      <c r="G34" s="56">
        <f>IF(D34=D33,"",_xlfn.IFNA(VLOOKUP(D34,'인원 입력 기능(사과탐)'!$K$64:$N$116,4,FALSE),0))</f>
        <v>318</v>
      </c>
      <c r="H34" s="57">
        <f t="shared" si="1"/>
        <v>2.4003623188405796E-2</v>
      </c>
      <c r="I34" s="67">
        <f>SUM($G$7:G34)</f>
        <v>5700</v>
      </c>
      <c r="J34" s="59">
        <f t="shared" si="5"/>
        <v>0.43025362318840582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50</v>
      </c>
      <c r="E35" s="68">
        <f t="shared" si="0"/>
        <v>5</v>
      </c>
      <c r="F35" s="55">
        <f t="shared" si="4"/>
        <v>55.86</v>
      </c>
      <c r="G35" s="56">
        <f>IF(D35=D34,"",_xlfn.IFNA(VLOOKUP(D35,'인원 입력 기능(사과탐)'!$K$64:$N$116,4,FALSE),0))</f>
        <v>295</v>
      </c>
      <c r="H35" s="57">
        <f t="shared" si="1"/>
        <v>2.2267512077294684E-2</v>
      </c>
      <c r="I35" s="67">
        <f>SUM($G$7:G35)</f>
        <v>5995</v>
      </c>
      <c r="J35" s="59">
        <f t="shared" si="5"/>
        <v>0.45252113526570048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49</v>
      </c>
      <c r="E36" s="68">
        <f t="shared" si="0"/>
        <v>5</v>
      </c>
      <c r="F36" s="55">
        <f t="shared" si="4"/>
        <v>53.71</v>
      </c>
      <c r="G36" s="56">
        <f>IF(D36=D35,"",_xlfn.IFNA(VLOOKUP(D36,'인원 입력 기능(사과탐)'!$K$64:$N$116,4,FALSE),0))</f>
        <v>275</v>
      </c>
      <c r="H36" s="57">
        <f t="shared" si="1"/>
        <v>2.0757850241545892E-2</v>
      </c>
      <c r="I36" s="67">
        <f>SUM($G$7:G36)</f>
        <v>6270</v>
      </c>
      <c r="J36" s="59">
        <f t="shared" si="5"/>
        <v>0.4732789855072464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174">
        <f t="shared" si="3"/>
        <v>48</v>
      </c>
      <c r="E37" s="174">
        <f t="shared" si="0"/>
        <v>5</v>
      </c>
      <c r="F37" s="176">
        <f t="shared" si="4"/>
        <v>50.43</v>
      </c>
      <c r="G37" s="178">
        <f>IF(D37=D36,"",_xlfn.IFNA(VLOOKUP(D37,'인원 입력 기능(사과탐)'!$K$64:$N$116,4,FALSE),0))</f>
        <v>594</v>
      </c>
      <c r="H37" s="180">
        <f t="shared" si="1"/>
        <v>4.4836956521739128E-2</v>
      </c>
      <c r="I37" s="189">
        <f>SUM($G$7:G37)</f>
        <v>6864</v>
      </c>
      <c r="J37" s="170">
        <f t="shared" si="5"/>
        <v>0.51811594202898548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175"/>
      <c r="E38" s="175"/>
      <c r="F38" s="177"/>
      <c r="G38" s="179"/>
      <c r="H38" s="181"/>
      <c r="I38" s="190"/>
      <c r="J38" s="17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47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46.97</v>
      </c>
      <c r="G39" s="56">
        <f>IF(D39=D38,"",_xlfn.IFNA(VLOOKUP(D39,'인원 입력 기능(사과탐)'!$K$64:$N$116,4,FALSE),0))</f>
        <v>323</v>
      </c>
      <c r="H39" s="57">
        <f t="shared" si="1"/>
        <v>2.4381038647342996E-2</v>
      </c>
      <c r="I39" s="67">
        <f>SUM($G$7:G39)</f>
        <v>7187</v>
      </c>
      <c r="J39" s="59">
        <f t="shared" si="5"/>
        <v>0.54249698067632846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si="6"/>
        <v>5</v>
      </c>
      <c r="F40" s="55">
        <f t="shared" si="4"/>
        <v>44.43</v>
      </c>
      <c r="G40" s="56">
        <f>IF(D40=D39,"",_xlfn.IFNA(VLOOKUP(D40,'인원 입력 기능(사과탐)'!$K$64:$N$116,4,FALSE),0))</f>
        <v>349</v>
      </c>
      <c r="H40" s="57">
        <f t="shared" si="1"/>
        <v>2.6343599033816424E-2</v>
      </c>
      <c r="I40" s="67">
        <f>SUM($G$7:G40)</f>
        <v>7536</v>
      </c>
      <c r="J40" s="59">
        <f t="shared" si="5"/>
        <v>0.5688405797101449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6"/>
        <v>5</v>
      </c>
      <c r="F41" s="55">
        <f t="shared" si="4"/>
        <v>41.86</v>
      </c>
      <c r="G41" s="56">
        <f>IF(D41=D40,"",_xlfn.IFNA(VLOOKUP(D41,'인원 입력 기능(사과탐)'!$K$64:$N$116,4,FALSE),0))</f>
        <v>334</v>
      </c>
      <c r="H41" s="57">
        <f t="shared" si="1"/>
        <v>2.5211352657004832E-2</v>
      </c>
      <c r="I41" s="67">
        <f>SUM($G$7:G41)</f>
        <v>7870</v>
      </c>
      <c r="J41" s="59">
        <f t="shared" si="5"/>
        <v>0.5940519323671497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174">
        <f t="shared" si="3"/>
        <v>44</v>
      </c>
      <c r="E42" s="174">
        <f t="shared" si="6"/>
        <v>5</v>
      </c>
      <c r="F42" s="176">
        <f t="shared" si="4"/>
        <v>37.880000000000003</v>
      </c>
      <c r="G42" s="178">
        <f>IF(D42=D41,"",_xlfn.IFNA(VLOOKUP(D42,'인원 입력 기능(사과탐)'!$K$64:$N$116,4,FALSE),0))</f>
        <v>718</v>
      </c>
      <c r="H42" s="180">
        <f t="shared" si="1"/>
        <v>5.419685990338164E-2</v>
      </c>
      <c r="I42" s="189">
        <f>SUM($G$7:G42)</f>
        <v>8588</v>
      </c>
      <c r="J42" s="170">
        <f t="shared" si="5"/>
        <v>0.64824879227053145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5"/>
      <c r="E43" s="175"/>
      <c r="F43" s="177"/>
      <c r="G43" s="179"/>
      <c r="H43" s="181"/>
      <c r="I43" s="190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43</v>
      </c>
      <c r="E44" s="68">
        <f t="shared" si="6"/>
        <v>6</v>
      </c>
      <c r="F44" s="55">
        <f t="shared" si="4"/>
        <v>31.57</v>
      </c>
      <c r="G44" s="56">
        <f>IF(D44=D43,"",_xlfn.IFNA(VLOOKUP(D44,'인원 입력 기능(사과탐)'!$K$64:$N$116,4,FALSE),0))</f>
        <v>956</v>
      </c>
      <c r="H44" s="57">
        <f t="shared" si="1"/>
        <v>7.2161835748792272E-2</v>
      </c>
      <c r="I44" s="67">
        <f>SUM($G$7:G44)</f>
        <v>9544</v>
      </c>
      <c r="J44" s="59">
        <f t="shared" si="5"/>
        <v>0.72041062801932365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42</v>
      </c>
      <c r="E45" s="68">
        <f t="shared" si="6"/>
        <v>6</v>
      </c>
      <c r="F45" s="55">
        <f t="shared" si="4"/>
        <v>26.55</v>
      </c>
      <c r="G45" s="56">
        <f>IF(D45=D44,"",_xlfn.IFNA(VLOOKUP(D45,'인원 입력 기능(사과탐)'!$K$64:$N$116,4,FALSE),0))</f>
        <v>373</v>
      </c>
      <c r="H45" s="57">
        <f t="shared" si="1"/>
        <v>2.8155193236714976E-2</v>
      </c>
      <c r="I45" s="67">
        <f>SUM($G$7:G45)</f>
        <v>9917</v>
      </c>
      <c r="J45" s="59">
        <f t="shared" si="5"/>
        <v>0.74856582125603865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41</v>
      </c>
      <c r="E46" s="68">
        <f t="shared" si="6"/>
        <v>6</v>
      </c>
      <c r="F46" s="55">
        <f t="shared" si="4"/>
        <v>23.3</v>
      </c>
      <c r="G46" s="56">
        <f>IF(D46=D45,"",_xlfn.IFNA(VLOOKUP(D46,'인원 입력 기능(사과탐)'!$K$64:$N$116,4,FALSE),0))</f>
        <v>489</v>
      </c>
      <c r="H46" s="57">
        <f t="shared" si="1"/>
        <v>3.6911231884057968E-2</v>
      </c>
      <c r="I46" s="67">
        <f>SUM($G$7:G46)</f>
        <v>10406</v>
      </c>
      <c r="J46" s="59">
        <f t="shared" si="5"/>
        <v>0.78547705314009664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174">
        <f t="shared" si="3"/>
        <v>40</v>
      </c>
      <c r="E47" s="174">
        <f t="shared" si="6"/>
        <v>7</v>
      </c>
      <c r="F47" s="176">
        <f t="shared" si="4"/>
        <v>14.93</v>
      </c>
      <c r="G47" s="178">
        <f>IF(D47=D46,"",_xlfn.IFNA(VLOOKUP(D47,'인원 입력 기능(사과탐)'!$K$64:$N$116,4,FALSE),0))</f>
        <v>1727</v>
      </c>
      <c r="H47" s="180">
        <f t="shared" si="1"/>
        <v>0.13035929951690822</v>
      </c>
      <c r="I47" s="189">
        <f>SUM($G$7:G47)</f>
        <v>12133</v>
      </c>
      <c r="J47" s="170">
        <f t="shared" si="5"/>
        <v>0.9158363526570048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175"/>
      <c r="E48" s="175"/>
      <c r="F48" s="177"/>
      <c r="G48" s="179"/>
      <c r="H48" s="181"/>
      <c r="I48" s="190"/>
      <c r="J48" s="17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39</v>
      </c>
      <c r="E49" s="68">
        <f t="shared" si="6"/>
        <v>8</v>
      </c>
      <c r="F49" s="55">
        <f t="shared" si="4"/>
        <v>7.26</v>
      </c>
      <c r="G49" s="56">
        <f>IF(D49=D48,"",_xlfn.IFNA(VLOOKUP(D49,'인원 입력 기능(사과탐)'!$K$64:$N$116,4,FALSE),0))</f>
        <v>306</v>
      </c>
      <c r="H49" s="57">
        <f t="shared" si="1"/>
        <v>2.309782608695652E-2</v>
      </c>
      <c r="I49" s="67">
        <f>SUM($G$7:G49)</f>
        <v>12439</v>
      </c>
      <c r="J49" s="59">
        <f t="shared" si="5"/>
        <v>0.93893417874396135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38</v>
      </c>
      <c r="E50" s="68">
        <f t="shared" si="6"/>
        <v>8</v>
      </c>
      <c r="F50" s="55">
        <f t="shared" si="4"/>
        <v>5.14</v>
      </c>
      <c r="G50" s="56">
        <f>IF(D50=D49,"",_xlfn.IFNA(VLOOKUP(D50,'인원 입력 기능(사과탐)'!$K$64:$N$116,4,FALSE),0))</f>
        <v>257</v>
      </c>
      <c r="H50" s="57">
        <f t="shared" si="1"/>
        <v>1.939915458937198E-2</v>
      </c>
      <c r="I50" s="67">
        <f>SUM($G$7:G50)</f>
        <v>12696</v>
      </c>
      <c r="J50" s="59">
        <f t="shared" si="5"/>
        <v>0.95833333333333337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37</v>
      </c>
      <c r="E51" s="68">
        <f t="shared" si="6"/>
        <v>8</v>
      </c>
      <c r="F51" s="55">
        <f t="shared" si="4"/>
        <v>3.71</v>
      </c>
      <c r="G51" s="56">
        <f>IF(D51=D50,"",_xlfn.IFNA(VLOOKUP(D51,'인원 입력 기능(사과탐)'!$K$64:$N$116,4,FALSE),0))</f>
        <v>120</v>
      </c>
      <c r="H51" s="57">
        <f t="shared" si="1"/>
        <v>9.057971014492754E-3</v>
      </c>
      <c r="I51" s="67">
        <f>SUM($G$7:G51)</f>
        <v>12816</v>
      </c>
      <c r="J51" s="59">
        <f t="shared" si="5"/>
        <v>0.96739130434782605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36</v>
      </c>
      <c r="E52" s="68">
        <f t="shared" si="6"/>
        <v>9</v>
      </c>
      <c r="F52" s="55">
        <f t="shared" si="4"/>
        <v>2.59</v>
      </c>
      <c r="G52" s="56">
        <f>IF(D52=D51,"",_xlfn.IFNA(VLOOKUP(D52,'인원 입력 기능(사과탐)'!$K$64:$N$116,4,FALSE),0))</f>
        <v>179</v>
      </c>
      <c r="H52" s="57">
        <f t="shared" si="1"/>
        <v>1.351147342995169E-2</v>
      </c>
      <c r="I52" s="67">
        <f>SUM($G$7:G52)</f>
        <v>12995</v>
      </c>
      <c r="J52" s="59">
        <f t="shared" si="5"/>
        <v>0.98090277777777779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172">
        <f t="shared" si="3"/>
        <v>35</v>
      </c>
      <c r="E53" s="172">
        <f t="shared" si="6"/>
        <v>9</v>
      </c>
      <c r="F53" s="176">
        <f t="shared" si="4"/>
        <v>1.41</v>
      </c>
      <c r="G53" s="178">
        <f>IF(D53=D52,"",_xlfn.IFNA(VLOOKUP(D53,'인원 입력 기능(사과탐)'!$K$64:$N$116,4,FALSE),0))</f>
        <v>133</v>
      </c>
      <c r="H53" s="180">
        <f t="shared" si="1"/>
        <v>1.0039251207729468E-2</v>
      </c>
      <c r="I53" s="189">
        <f>SUM($G$7:G53)</f>
        <v>13128</v>
      </c>
      <c r="J53" s="170">
        <f t="shared" si="5"/>
        <v>0.99094202898550721</v>
      </c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173"/>
      <c r="E54" s="173"/>
      <c r="F54" s="177"/>
      <c r="G54" s="179"/>
      <c r="H54" s="181"/>
      <c r="I54" s="190"/>
      <c r="J54" s="171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34</v>
      </c>
      <c r="E55" s="54">
        <f t="shared" si="6"/>
        <v>9</v>
      </c>
      <c r="F55" s="55">
        <f t="shared" si="4"/>
        <v>0.59</v>
      </c>
      <c r="G55" s="56">
        <f>IF(D55=D54,"",_xlfn.IFNA(VLOOKUP(D55,'인원 입력 기능(사과탐)'!$K$64:$N$116,4,FALSE),0))</f>
        <v>84</v>
      </c>
      <c r="H55" s="57">
        <f t="shared" si="1"/>
        <v>6.3405797101449279E-3</v>
      </c>
      <c r="I55" s="67">
        <f>SUM($G$7:G55)</f>
        <v>13212</v>
      </c>
      <c r="J55" s="59">
        <f t="shared" si="5"/>
        <v>0.99728260869565222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32</v>
      </c>
      <c r="E57" s="109">
        <f t="shared" si="6"/>
        <v>9</v>
      </c>
      <c r="F57" s="74">
        <f>IF(I55=0,ROUND(100*(1-(I54+I57)/2/$J$3),2),ROUND(100*(1-(I55+I57)/2/$J$3),2))</f>
        <v>0.14000000000000001</v>
      </c>
      <c r="G57" s="110">
        <f>_xlfn.IFNA(VLOOKUP(D57,'인원 입력 기능(사과탐)'!$K$64:$N$116,4,FALSE),0)</f>
        <v>36</v>
      </c>
      <c r="H57" s="76">
        <f>G57/$J$3</f>
        <v>2.717391304347826E-3</v>
      </c>
      <c r="I57" s="77">
        <f>SUM($G$7:G57)</f>
        <v>13248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66">
    <mergeCell ref="D3:F3"/>
    <mergeCell ref="D4:F4"/>
    <mergeCell ref="G5:J5"/>
    <mergeCell ref="D12:D13"/>
    <mergeCell ref="E12:E13"/>
    <mergeCell ref="F12:F13"/>
    <mergeCell ref="G12:G13"/>
    <mergeCell ref="H12:H13"/>
    <mergeCell ref="I12:I13"/>
    <mergeCell ref="J12:J13"/>
    <mergeCell ref="I17:I18"/>
    <mergeCell ref="J17:J18"/>
    <mergeCell ref="D22:D23"/>
    <mergeCell ref="E22:E23"/>
    <mergeCell ref="F22:F23"/>
    <mergeCell ref="G22:G23"/>
    <mergeCell ref="H22:H23"/>
    <mergeCell ref="I22:I23"/>
    <mergeCell ref="J22:J23"/>
    <mergeCell ref="D17:D18"/>
    <mergeCell ref="E17:E18"/>
    <mergeCell ref="F17:F18"/>
    <mergeCell ref="G17:G18"/>
    <mergeCell ref="H17:H18"/>
    <mergeCell ref="I27:I28"/>
    <mergeCell ref="J27:J28"/>
    <mergeCell ref="D32:D33"/>
    <mergeCell ref="E32:E33"/>
    <mergeCell ref="F32:F33"/>
    <mergeCell ref="G32:G33"/>
    <mergeCell ref="H32:H33"/>
    <mergeCell ref="I32:I33"/>
    <mergeCell ref="J32:J33"/>
    <mergeCell ref="D27:D28"/>
    <mergeCell ref="E27:E28"/>
    <mergeCell ref="F27:F28"/>
    <mergeCell ref="G27:G28"/>
    <mergeCell ref="H27:H28"/>
    <mergeCell ref="I37:I38"/>
    <mergeCell ref="J37:J38"/>
    <mergeCell ref="D42:D43"/>
    <mergeCell ref="E42:E43"/>
    <mergeCell ref="F42:F43"/>
    <mergeCell ref="G42:G43"/>
    <mergeCell ref="H42:H43"/>
    <mergeCell ref="I42:I43"/>
    <mergeCell ref="J42:J43"/>
    <mergeCell ref="D37:D38"/>
    <mergeCell ref="E37:E38"/>
    <mergeCell ref="F37:F38"/>
    <mergeCell ref="G37:G38"/>
    <mergeCell ref="H37:H38"/>
    <mergeCell ref="I47:I48"/>
    <mergeCell ref="J47:J48"/>
    <mergeCell ref="D53:D54"/>
    <mergeCell ref="E53:E54"/>
    <mergeCell ref="F53:F54"/>
    <mergeCell ref="G53:G54"/>
    <mergeCell ref="H53:H54"/>
    <mergeCell ref="I53:I54"/>
    <mergeCell ref="J53:J54"/>
    <mergeCell ref="D47:D48"/>
    <mergeCell ref="E47:E48"/>
    <mergeCell ref="F47:F48"/>
    <mergeCell ref="G47:G48"/>
    <mergeCell ref="H47:H48"/>
  </mergeCells>
  <phoneticPr fontId="1" type="noConversion"/>
  <conditionalFormatting sqref="D7:G12 I7:J12 D14:G17 I14:J17 D19:G22 I19:J22 D24:G27 I24:J27 D29:G32 I29:J32 D34:G37 I34:J37 D39:G42 I39:J42 D44:G47 I44:J47 D49:G53 I49:J53 D55:G57 I55:J57">
    <cfRule type="expression" dxfId="50" priority="4">
      <formula>OR($D7=$Q$7:$Q$14)</formula>
    </cfRule>
  </conditionalFormatting>
  <conditionalFormatting sqref="C7:C57">
    <cfRule type="expression" dxfId="49" priority="3">
      <formula>OR(AND($D7=0,OR($D6=$Q$7:$Q$14)),AND($D8&gt;0,OR($D7=$Q$7:$Q$14)))</formula>
    </cfRule>
  </conditionalFormatting>
  <conditionalFormatting sqref="D7:D12 D14:D17 D19:D22 D24:D27 D29:D32 D34:D37 D39:D42 D44:D47 D49:D53 D55:D57">
    <cfRule type="expression" dxfId="48" priority="2">
      <formula>$D7=$D8</formula>
    </cfRule>
  </conditionalFormatting>
  <conditionalFormatting sqref="H7:H12 H14:H17 H19:H22 H24:H27 H29:H32 H34:H37 H39:H42 H44:H47 H49:H53 H55:H57">
    <cfRule type="expression" dxfId="4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5C704-F3B3-4F9F-B31F-7545B24CEF85}">
  <sheetPr codeName="Sheet17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기능'!D15</f>
        <v>24.06</v>
      </c>
      <c r="I3" s="21" t="s">
        <v>123</v>
      </c>
      <c r="J3" s="81">
        <f>'통계 및 응시자 수 입력 기능'!C15</f>
        <v>33377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148</v>
      </c>
      <c r="E4" s="186"/>
      <c r="F4" s="187"/>
      <c r="G4" s="83" t="s">
        <v>126</v>
      </c>
      <c r="H4" s="84" t="str">
        <f>'통계 및 응시자 수 입력 기능'!E15</f>
        <v>13.00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70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98.94</v>
      </c>
      <c r="G7" s="56">
        <f>_xlfn.IFNA(VLOOKUP(D7,'인원 입력 기능(사과탐)'!$P$64:$S$116,4,FALSE),0)</f>
        <v>708</v>
      </c>
      <c r="H7" s="57">
        <f>G7/$J$3</f>
        <v>2.1212212002277017E-2</v>
      </c>
      <c r="I7" s="58">
        <f>G7</f>
        <v>708</v>
      </c>
      <c r="J7" s="59">
        <f>I7/$J$3</f>
        <v>2.1212212002277017E-2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기능'!C103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기능'!C104</f>
        <v>64</v>
      </c>
    </row>
    <row r="9" spans="1:17" s="22" customFormat="1" ht="25" customHeight="1" x14ac:dyDescent="0.45">
      <c r="A9" s="20"/>
      <c r="B9" s="35"/>
      <c r="C9" s="53">
        <v>48</v>
      </c>
      <c r="D9" s="172">
        <f>ROUND(10*(C9-$H$3)/$H$4+50,0)</f>
        <v>68</v>
      </c>
      <c r="E9" s="172">
        <f t="shared" si="0"/>
        <v>1</v>
      </c>
      <c r="F9" s="176">
        <f>IF(I8=0,ROUND(100*(1-(I7+I9)/2/$J$3),2),ROUND(100*(1-(I8+I9)/2/$J$3),2))</f>
        <v>96.39</v>
      </c>
      <c r="G9" s="178">
        <f>_xlfn.IFNA(VLOOKUP(D9,'인원 입력 기능(사과탐)'!$P$64:$S$116,4,FALSE),0)</f>
        <v>993</v>
      </c>
      <c r="H9" s="180">
        <f t="shared" ref="H9:H55" si="1">G9/$J$3</f>
        <v>2.9751026155735986E-2</v>
      </c>
      <c r="I9" s="189">
        <f>SUM($G$7:G9)</f>
        <v>1701</v>
      </c>
      <c r="J9" s="170">
        <f>I9/$J$3</f>
        <v>5.0963238158013E-2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기능'!C105</f>
        <v>59</v>
      </c>
    </row>
    <row r="10" spans="1:17" s="22" customFormat="1" ht="25" customHeight="1" x14ac:dyDescent="0.45">
      <c r="A10" s="20"/>
      <c r="B10" s="35"/>
      <c r="C10" s="60">
        <v>47</v>
      </c>
      <c r="D10" s="173"/>
      <c r="E10" s="173"/>
      <c r="F10" s="177"/>
      <c r="G10" s="179"/>
      <c r="H10" s="181"/>
      <c r="I10" s="190"/>
      <c r="J10" s="171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기능'!C106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ref="D11:D55" si="3">ROUND(10*(C11-$H$3)/$H$4+50,0)</f>
        <v>67</v>
      </c>
      <c r="E11" s="54">
        <f t="shared" si="0"/>
        <v>2</v>
      </c>
      <c r="F11" s="55">
        <f t="shared" ref="F11:F55" si="4">IF(I10=0,ROUND(100*(1-(I9+I11)/2/$J$3),2),ROUND(100*(1-(I10+I11)/2/$J$3),2))</f>
        <v>94.72</v>
      </c>
      <c r="G11" s="56">
        <f>IF(D11=D10,"",_xlfn.IFNA(VLOOKUP(D11,'인원 입력 기능(사과탐)'!$P$64:$S$116,4,FALSE),0))</f>
        <v>125</v>
      </c>
      <c r="H11" s="57">
        <f t="shared" si="1"/>
        <v>3.7450939269556881E-3</v>
      </c>
      <c r="I11" s="67">
        <f>SUM($G$7:G11)</f>
        <v>1826</v>
      </c>
      <c r="J11" s="59">
        <f t="shared" ref="J11:J55" si="5">I11/$J$3</f>
        <v>5.470833208496869E-2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기능'!C107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66</v>
      </c>
      <c r="E12" s="54">
        <f t="shared" si="0"/>
        <v>2</v>
      </c>
      <c r="F12" s="55">
        <f t="shared" si="4"/>
        <v>93.55</v>
      </c>
      <c r="G12" s="56">
        <f>IF(D12=D11,"",_xlfn.IFNA(VLOOKUP(D12,'인원 입력 기능(사과탐)'!$P$64:$S$116,4,FALSE),0))</f>
        <v>654</v>
      </c>
      <c r="H12" s="57">
        <f t="shared" si="1"/>
        <v>1.9594331425832161E-2</v>
      </c>
      <c r="I12" s="67">
        <f>SUM($G$7:G12)</f>
        <v>2480</v>
      </c>
      <c r="J12" s="59">
        <f t="shared" si="5"/>
        <v>7.4302663510800851E-2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기능'!C108</f>
        <v>40</v>
      </c>
    </row>
    <row r="13" spans="1:17" s="22" customFormat="1" ht="25" customHeight="1" x14ac:dyDescent="0.45">
      <c r="A13" s="20"/>
      <c r="B13" s="35"/>
      <c r="C13" s="53">
        <v>44</v>
      </c>
      <c r="D13" s="172">
        <f t="shared" si="3"/>
        <v>65</v>
      </c>
      <c r="E13" s="172">
        <f t="shared" si="0"/>
        <v>2</v>
      </c>
      <c r="F13" s="176">
        <f t="shared" si="4"/>
        <v>91.23</v>
      </c>
      <c r="G13" s="178">
        <f>IF(D13=D12,"",_xlfn.IFNA(VLOOKUP(D13,'인원 입력 기능(사과탐)'!$P$64:$S$116,4,FALSE),0))</f>
        <v>891</v>
      </c>
      <c r="H13" s="180">
        <f t="shared" si="1"/>
        <v>2.6695029511340146E-2</v>
      </c>
      <c r="I13" s="189">
        <f>SUM($G$7:G13)</f>
        <v>3371</v>
      </c>
      <c r="J13" s="170">
        <f t="shared" si="5"/>
        <v>0.100997693022141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기능'!C109</f>
        <v>38</v>
      </c>
    </row>
    <row r="14" spans="1:17" s="22" customFormat="1" ht="25" customHeight="1" x14ac:dyDescent="0.45">
      <c r="A14" s="20"/>
      <c r="B14" s="35"/>
      <c r="C14" s="60">
        <v>43</v>
      </c>
      <c r="D14" s="173"/>
      <c r="E14" s="173"/>
      <c r="F14" s="177"/>
      <c r="G14" s="179"/>
      <c r="H14" s="181"/>
      <c r="I14" s="190"/>
      <c r="J14" s="171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기능'!C110</f>
        <v>37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64</v>
      </c>
      <c r="E15" s="54">
        <f t="shared" si="0"/>
        <v>2</v>
      </c>
      <c r="F15" s="55">
        <f t="shared" si="4"/>
        <v>88.8</v>
      </c>
      <c r="G15" s="56">
        <f>IF(D15=D14,"",_xlfn.IFNA(VLOOKUP(D15,'인원 입력 기능(사과탐)'!$P$64:$S$116,4,FALSE),0))</f>
        <v>733</v>
      </c>
      <c r="H15" s="57">
        <f t="shared" si="1"/>
        <v>2.1961230787668155E-2</v>
      </c>
      <c r="I15" s="67">
        <f>SUM($G$7:G15)</f>
        <v>4104</v>
      </c>
      <c r="J15" s="59">
        <f t="shared" si="5"/>
        <v>0.12295892380980915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63</v>
      </c>
      <c r="E16" s="54">
        <f t="shared" si="0"/>
        <v>3</v>
      </c>
      <c r="F16" s="55">
        <f t="shared" si="4"/>
        <v>87.05</v>
      </c>
      <c r="G16" s="56">
        <f>IF(D16=D15,"",_xlfn.IFNA(VLOOKUP(D16,'인원 입력 기능(사과탐)'!$P$64:$S$116,4,FALSE),0))</f>
        <v>438</v>
      </c>
      <c r="H16" s="57">
        <f t="shared" si="1"/>
        <v>1.3122809120052731E-2</v>
      </c>
      <c r="I16" s="67">
        <f>SUM($G$7:G16)</f>
        <v>4542</v>
      </c>
      <c r="J16" s="59">
        <f t="shared" si="5"/>
        <v>0.13608173292986189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62</v>
      </c>
      <c r="E17" s="54">
        <f t="shared" si="0"/>
        <v>3</v>
      </c>
      <c r="F17" s="55">
        <f t="shared" si="4"/>
        <v>85.39</v>
      </c>
      <c r="G17" s="56">
        <f>IF(D17=D16,"",_xlfn.IFNA(VLOOKUP(D17,'인원 입력 기능(사과탐)'!$P$64:$S$116,4,FALSE),0))</f>
        <v>668</v>
      </c>
      <c r="H17" s="57">
        <f t="shared" si="1"/>
        <v>2.0013781945651198E-2</v>
      </c>
      <c r="I17" s="67">
        <f>SUM($G$7:G17)</f>
        <v>5210</v>
      </c>
      <c r="J17" s="59">
        <f t="shared" si="5"/>
        <v>0.15609551487551307</v>
      </c>
      <c r="K17" s="36"/>
      <c r="L17" s="20" t="str">
        <f t="shared" si="2"/>
        <v/>
      </c>
      <c r="N17" s="24"/>
      <c r="Q17" s="24">
        <f>Q7*H3*H4*J3*IFERROR(IF(J57=1, 1, 0), 0)</f>
        <v>709896748.08000004</v>
      </c>
    </row>
    <row r="18" spans="1:17" s="22" customFormat="1" ht="25" customHeight="1" x14ac:dyDescent="0.45">
      <c r="A18" s="20"/>
      <c r="B18" s="35"/>
      <c r="C18" s="60">
        <v>39</v>
      </c>
      <c r="D18" s="172">
        <f t="shared" si="3"/>
        <v>61</v>
      </c>
      <c r="E18" s="172">
        <f t="shared" si="0"/>
        <v>3</v>
      </c>
      <c r="F18" s="176">
        <f t="shared" si="4"/>
        <v>82.64</v>
      </c>
      <c r="G18" s="178">
        <f>IF(D18=D17,"",_xlfn.IFNA(VLOOKUP(D18,'인원 입력 기능(사과탐)'!$P$64:$S$116,4,FALSE),0))</f>
        <v>1168</v>
      </c>
      <c r="H18" s="180">
        <f t="shared" si="1"/>
        <v>3.4994157653473947E-2</v>
      </c>
      <c r="I18" s="189">
        <f>SUM($G$7:G18)</f>
        <v>6378</v>
      </c>
      <c r="J18" s="170">
        <f t="shared" si="5"/>
        <v>0.19108967252898704</v>
      </c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173"/>
      <c r="E19" s="173"/>
      <c r="F19" s="177"/>
      <c r="G19" s="179"/>
      <c r="H19" s="181"/>
      <c r="I19" s="190"/>
      <c r="J19" s="171"/>
      <c r="K19" s="36"/>
      <c r="L19" s="20" t="str">
        <f t="shared" si="2"/>
        <v>경고</v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60</v>
      </c>
      <c r="E20" s="54">
        <f t="shared" si="0"/>
        <v>3</v>
      </c>
      <c r="F20" s="55">
        <f t="shared" si="4"/>
        <v>79.63</v>
      </c>
      <c r="G20" s="56">
        <f>IF(D20=D19,"",_xlfn.IFNA(VLOOKUP(D20,'인원 입력 기능(사과탐)'!$P$64:$S$116,4,FALSE),0))</f>
        <v>842</v>
      </c>
      <c r="H20" s="57">
        <f t="shared" si="1"/>
        <v>2.5226952691973514E-2</v>
      </c>
      <c r="I20" s="67">
        <f>SUM($G$7:G20)</f>
        <v>7220</v>
      </c>
      <c r="J20" s="59">
        <f t="shared" si="5"/>
        <v>0.21631662522096054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59</v>
      </c>
      <c r="E21" s="68">
        <f t="shared" si="0"/>
        <v>3</v>
      </c>
      <c r="F21" s="55">
        <f t="shared" si="4"/>
        <v>77.459999999999994</v>
      </c>
      <c r="G21" s="56">
        <f>IF(D21=D20,"",_xlfn.IFNA(VLOOKUP(D21,'인원 입력 기능(사과탐)'!$P$64:$S$116,4,FALSE),0))</f>
        <v>607</v>
      </c>
      <c r="H21" s="57">
        <f t="shared" si="1"/>
        <v>1.818617610929682E-2</v>
      </c>
      <c r="I21" s="67">
        <f>SUM($G$7:G21)</f>
        <v>7827</v>
      </c>
      <c r="J21" s="59">
        <f t="shared" si="5"/>
        <v>0.23450280133025736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174">
        <f t="shared" si="3"/>
        <v>58</v>
      </c>
      <c r="E22" s="174">
        <f t="shared" si="0"/>
        <v>4</v>
      </c>
      <c r="F22" s="176">
        <f t="shared" si="4"/>
        <v>74.33</v>
      </c>
      <c r="G22" s="178">
        <f>IF(D22=D21,"",_xlfn.IFNA(VLOOKUP(D22,'인원 입력 기능(사과탐)'!$P$64:$S$116,4,FALSE),0))</f>
        <v>1484</v>
      </c>
      <c r="H22" s="180">
        <f t="shared" si="1"/>
        <v>4.4461755100817929E-2</v>
      </c>
      <c r="I22" s="189">
        <f>SUM($G$7:G22)</f>
        <v>9311</v>
      </c>
      <c r="J22" s="170">
        <f t="shared" si="5"/>
        <v>0.27896455643107532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175"/>
      <c r="E23" s="175"/>
      <c r="F23" s="177"/>
      <c r="G23" s="179"/>
      <c r="H23" s="181"/>
      <c r="I23" s="190"/>
      <c r="J23" s="171"/>
      <c r="K23" s="36"/>
      <c r="L23" s="20" t="str">
        <f t="shared" si="2"/>
        <v>경고</v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57</v>
      </c>
      <c r="E24" s="68">
        <f t="shared" si="0"/>
        <v>4</v>
      </c>
      <c r="F24" s="55">
        <f t="shared" si="4"/>
        <v>71.16</v>
      </c>
      <c r="G24" s="56">
        <f>IF(D24=D23,"",_xlfn.IFNA(VLOOKUP(D24,'인원 입력 기능(사과탐)'!$P$64:$S$116,4,FALSE),0))</f>
        <v>628</v>
      </c>
      <c r="H24" s="57">
        <f t="shared" si="1"/>
        <v>1.8815351889025375E-2</v>
      </c>
      <c r="I24" s="67">
        <f>SUM($G$7:G24)</f>
        <v>9939</v>
      </c>
      <c r="J24" s="59">
        <f t="shared" si="5"/>
        <v>0.29777990832010065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56</v>
      </c>
      <c r="E25" s="68">
        <f t="shared" si="0"/>
        <v>4</v>
      </c>
      <c r="F25" s="55">
        <f t="shared" si="4"/>
        <v>69</v>
      </c>
      <c r="G25" s="56">
        <f>IF(D25=D24,"",_xlfn.IFNA(VLOOKUP(D25,'인원 입력 기능(사과탐)'!$P$64:$S$116,4,FALSE),0))</f>
        <v>813</v>
      </c>
      <c r="H25" s="57">
        <f t="shared" si="1"/>
        <v>2.4358090900919796E-2</v>
      </c>
      <c r="I25" s="67">
        <f>SUM($G$7:G25)</f>
        <v>10752</v>
      </c>
      <c r="J25" s="59">
        <f t="shared" si="5"/>
        <v>0.32213799922102049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174">
        <f t="shared" si="3"/>
        <v>55</v>
      </c>
      <c r="E26" s="174">
        <f t="shared" si="0"/>
        <v>4</v>
      </c>
      <c r="F26" s="176">
        <f t="shared" si="4"/>
        <v>65.73</v>
      </c>
      <c r="G26" s="178">
        <f>IF(D26=D25,"",_xlfn.IFNA(VLOOKUP(D26,'인원 입력 기능(사과탐)'!$P$64:$S$116,4,FALSE),0))</f>
        <v>1375</v>
      </c>
      <c r="H26" s="180">
        <f t="shared" si="1"/>
        <v>4.119603319651257E-2</v>
      </c>
      <c r="I26" s="189">
        <f>SUM($G$7:G26)</f>
        <v>12127</v>
      </c>
      <c r="J26" s="170">
        <f t="shared" si="5"/>
        <v>0.36333403241753304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175"/>
      <c r="E27" s="175"/>
      <c r="F27" s="177"/>
      <c r="G27" s="179"/>
      <c r="H27" s="181"/>
      <c r="I27" s="190"/>
      <c r="J27" s="171"/>
      <c r="K27" s="36"/>
      <c r="L27" s="20" t="str">
        <f t="shared" si="2"/>
        <v>경고</v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54</v>
      </c>
      <c r="E28" s="68">
        <f t="shared" si="0"/>
        <v>4</v>
      </c>
      <c r="F28" s="55">
        <f t="shared" si="4"/>
        <v>62.46</v>
      </c>
      <c r="G28" s="56">
        <f>IF(D28=D27,"",_xlfn.IFNA(VLOOKUP(D28,'인원 입력 기능(사과탐)'!$P$64:$S$116,4,FALSE),0))</f>
        <v>808</v>
      </c>
      <c r="H28" s="57">
        <f t="shared" si="1"/>
        <v>2.4208287143841569E-2</v>
      </c>
      <c r="I28" s="67">
        <f>SUM($G$7:G28)</f>
        <v>12935</v>
      </c>
      <c r="J28" s="59">
        <f t="shared" si="5"/>
        <v>0.38754231956137458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53</v>
      </c>
      <c r="E29" s="68">
        <f t="shared" si="0"/>
        <v>4</v>
      </c>
      <c r="F29" s="55">
        <f t="shared" si="4"/>
        <v>60.23</v>
      </c>
      <c r="G29" s="56">
        <f>IF(D29=D28,"",_xlfn.IFNA(VLOOKUP(D29,'인원 입력 기능(사과탐)'!$P$64:$S$116,4,FALSE),0))</f>
        <v>677</v>
      </c>
      <c r="H29" s="57">
        <f t="shared" si="1"/>
        <v>2.0283428708392007E-2</v>
      </c>
      <c r="I29" s="67">
        <f>SUM($G$7:G29)</f>
        <v>13612</v>
      </c>
      <c r="J29" s="59">
        <f t="shared" si="5"/>
        <v>0.40782574826976659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52</v>
      </c>
      <c r="E30" s="68">
        <f t="shared" si="0"/>
        <v>5</v>
      </c>
      <c r="F30" s="55">
        <f t="shared" si="4"/>
        <v>58.13</v>
      </c>
      <c r="G30" s="56">
        <f>IF(D30=D29,"",_xlfn.IFNA(VLOOKUP(D30,'인원 입력 기능(사과탐)'!$P$64:$S$116,4,FALSE),0))</f>
        <v>729</v>
      </c>
      <c r="H30" s="57">
        <f t="shared" si="1"/>
        <v>2.1841387782005572E-2</v>
      </c>
      <c r="I30" s="67">
        <f>SUM($G$7:G30)</f>
        <v>14341</v>
      </c>
      <c r="J30" s="59">
        <f t="shared" si="5"/>
        <v>0.4296671360517722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174">
        <f t="shared" si="3"/>
        <v>51</v>
      </c>
      <c r="E31" s="174">
        <f t="shared" si="0"/>
        <v>5</v>
      </c>
      <c r="F31" s="176">
        <f t="shared" si="4"/>
        <v>54.96</v>
      </c>
      <c r="G31" s="178">
        <f>IF(D31=D30,"",_xlfn.IFNA(VLOOKUP(D31,'인원 입력 기능(사과탐)'!$P$64:$S$116,4,FALSE),0))</f>
        <v>1386</v>
      </c>
      <c r="H31" s="180">
        <f t="shared" si="1"/>
        <v>4.1525601462084671E-2</v>
      </c>
      <c r="I31" s="189">
        <f>SUM($G$7:G31)</f>
        <v>15727</v>
      </c>
      <c r="J31" s="170">
        <f t="shared" si="5"/>
        <v>0.47119273751385687</v>
      </c>
      <c r="K31" s="36"/>
      <c r="L31" s="20" t="str">
        <f t="shared" si="2"/>
        <v>경고</v>
      </c>
      <c r="N31" s="24"/>
    </row>
    <row r="32" spans="1:17" s="22" customFormat="1" ht="25" customHeight="1" x14ac:dyDescent="0.45">
      <c r="A32" s="20"/>
      <c r="B32" s="35"/>
      <c r="C32" s="69">
        <v>25</v>
      </c>
      <c r="D32" s="175"/>
      <c r="E32" s="175"/>
      <c r="F32" s="177"/>
      <c r="G32" s="179"/>
      <c r="H32" s="181"/>
      <c r="I32" s="190"/>
      <c r="J32" s="171"/>
      <c r="K32" s="36"/>
      <c r="L32" s="20" t="str">
        <f t="shared" si="2"/>
        <v>경고</v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50</v>
      </c>
      <c r="E33" s="68">
        <f t="shared" si="0"/>
        <v>5</v>
      </c>
      <c r="F33" s="55">
        <f t="shared" si="4"/>
        <v>51.76</v>
      </c>
      <c r="G33" s="56">
        <f>IF(D33=D32,"",_xlfn.IFNA(VLOOKUP(D33,'인원 입력 기능(사과탐)'!$P$64:$S$116,4,FALSE),0))</f>
        <v>751</v>
      </c>
      <c r="H33" s="57">
        <f t="shared" si="1"/>
        <v>2.2500524313149774E-2</v>
      </c>
      <c r="I33" s="67">
        <f>SUM($G$7:G33)</f>
        <v>16478</v>
      </c>
      <c r="J33" s="59">
        <f t="shared" si="5"/>
        <v>0.49369326182700662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49</v>
      </c>
      <c r="E34" s="68">
        <f t="shared" si="0"/>
        <v>5</v>
      </c>
      <c r="F34" s="55">
        <f t="shared" si="4"/>
        <v>49.72</v>
      </c>
      <c r="G34" s="56">
        <f>IF(D34=D33,"",_xlfn.IFNA(VLOOKUP(D34,'인원 입력 기능(사과탐)'!$P$64:$S$116,4,FALSE),0))</f>
        <v>605</v>
      </c>
      <c r="H34" s="57">
        <f t="shared" si="1"/>
        <v>1.8126254606465528E-2</v>
      </c>
      <c r="I34" s="67">
        <f>SUM($G$7:G34)</f>
        <v>17083</v>
      </c>
      <c r="J34" s="59">
        <f t="shared" si="5"/>
        <v>0.51181951643347212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174">
        <f t="shared" si="3"/>
        <v>48</v>
      </c>
      <c r="E35" s="174">
        <f t="shared" si="0"/>
        <v>5</v>
      </c>
      <c r="F35" s="176">
        <f t="shared" si="4"/>
        <v>46.82</v>
      </c>
      <c r="G35" s="178">
        <f>IF(D35=D34,"",_xlfn.IFNA(VLOOKUP(D35,'인원 입력 기능(사과탐)'!$P$64:$S$116,4,FALSE),0))</f>
        <v>1335</v>
      </c>
      <c r="H35" s="180">
        <f t="shared" si="1"/>
        <v>3.9997603139886748E-2</v>
      </c>
      <c r="I35" s="189">
        <f>SUM($G$7:G35)</f>
        <v>18418</v>
      </c>
      <c r="J35" s="170">
        <f t="shared" si="5"/>
        <v>0.55181711957335888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175"/>
      <c r="E36" s="175"/>
      <c r="F36" s="177"/>
      <c r="G36" s="179"/>
      <c r="H36" s="181"/>
      <c r="I36" s="190"/>
      <c r="J36" s="171"/>
      <c r="K36" s="36"/>
      <c r="L36" s="20" t="str">
        <f t="shared" si="2"/>
        <v>경고</v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43.86</v>
      </c>
      <c r="G37" s="56">
        <f>IF(D37=D36,"",_xlfn.IFNA(VLOOKUP(D37,'인원 입력 기능(사과탐)'!$P$64:$S$116,4,FALSE),0))</f>
        <v>643</v>
      </c>
      <c r="H37" s="57">
        <f t="shared" si="1"/>
        <v>1.9264763160260059E-2</v>
      </c>
      <c r="I37" s="67">
        <f>SUM($G$7:G37)</f>
        <v>19061</v>
      </c>
      <c r="J37" s="59">
        <f t="shared" si="5"/>
        <v>0.57108188273361893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41.89</v>
      </c>
      <c r="G38" s="56">
        <f>IF(D38=D37,"",_xlfn.IFNA(VLOOKUP(D38,'인원 입력 기능(사과탐)'!$P$64:$S$116,4,FALSE),0))</f>
        <v>669</v>
      </c>
      <c r="H38" s="57">
        <f t="shared" si="1"/>
        <v>2.0043742697066842E-2</v>
      </c>
      <c r="I38" s="67">
        <f>SUM($G$7:G38)</f>
        <v>19730</v>
      </c>
      <c r="J38" s="59">
        <f t="shared" si="5"/>
        <v>0.59112562543068581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174">
        <f t="shared" si="3"/>
        <v>45</v>
      </c>
      <c r="E39" s="174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176">
        <f t="shared" si="4"/>
        <v>38.880000000000003</v>
      </c>
      <c r="G39" s="178">
        <f>IF(D39=D38,"",_xlfn.IFNA(VLOOKUP(D39,'인원 입력 기능(사과탐)'!$P$64:$S$116,4,FALSE),0))</f>
        <v>1340</v>
      </c>
      <c r="H39" s="180">
        <f t="shared" si="1"/>
        <v>4.0147406896964978E-2</v>
      </c>
      <c r="I39" s="189">
        <f>SUM($G$7:G39)</f>
        <v>21070</v>
      </c>
      <c r="J39" s="170">
        <f t="shared" si="5"/>
        <v>0.63127303232765075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175"/>
      <c r="E40" s="175"/>
      <c r="F40" s="177"/>
      <c r="G40" s="179"/>
      <c r="H40" s="181"/>
      <c r="I40" s="190"/>
      <c r="J40" s="171"/>
      <c r="K40" s="36"/>
      <c r="L40" s="20" t="str">
        <f t="shared" si="2"/>
        <v>경고</v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44</v>
      </c>
      <c r="E41" s="68">
        <f t="shared" si="6"/>
        <v>6</v>
      </c>
      <c r="F41" s="55">
        <f t="shared" si="4"/>
        <v>35.770000000000003</v>
      </c>
      <c r="G41" s="56">
        <f>IF(D41=D40,"",_xlfn.IFNA(VLOOKUP(D41,'인원 입력 기능(사과탐)'!$P$64:$S$116,4,FALSE),0))</f>
        <v>739</v>
      </c>
      <c r="H41" s="57">
        <f t="shared" si="1"/>
        <v>2.2140995296162029E-2</v>
      </c>
      <c r="I41" s="67">
        <f>SUM($G$7:G41)</f>
        <v>21809</v>
      </c>
      <c r="J41" s="59">
        <f t="shared" si="5"/>
        <v>0.65341402762381284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33.58</v>
      </c>
      <c r="G42" s="56">
        <f>IF(D42=D41,"",_xlfn.IFNA(VLOOKUP(D42,'인원 입력 기능(사과탐)'!$P$64:$S$116,4,FALSE),0))</f>
        <v>720</v>
      </c>
      <c r="H42" s="57">
        <f t="shared" si="1"/>
        <v>2.1571741019264762E-2</v>
      </c>
      <c r="I42" s="67">
        <f>SUM($G$7:G42)</f>
        <v>22529</v>
      </c>
      <c r="J42" s="59">
        <f t="shared" si="5"/>
        <v>0.67498576864307758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31.29</v>
      </c>
      <c r="G43" s="56">
        <f>IF(D43=D42,"",_xlfn.IFNA(VLOOKUP(D43,'인원 입력 기능(사과탐)'!$P$64:$S$116,4,FALSE),0))</f>
        <v>808</v>
      </c>
      <c r="H43" s="57">
        <f t="shared" si="1"/>
        <v>2.4208287143841569E-2</v>
      </c>
      <c r="I43" s="67">
        <f>SUM($G$7:G43)</f>
        <v>23337</v>
      </c>
      <c r="J43" s="59">
        <f t="shared" si="5"/>
        <v>0.69919405578691918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174">
        <f t="shared" si="3"/>
        <v>41</v>
      </c>
      <c r="E44" s="174">
        <f t="shared" si="6"/>
        <v>6</v>
      </c>
      <c r="F44" s="176">
        <f t="shared" si="4"/>
        <v>27.04</v>
      </c>
      <c r="G44" s="178">
        <f>IF(D44=D43,"",_xlfn.IFNA(VLOOKUP(D44,'인원 입력 기능(사과탐)'!$P$64:$S$116,4,FALSE),0))</f>
        <v>2032</v>
      </c>
      <c r="H44" s="180">
        <f t="shared" si="1"/>
        <v>6.0880246876591666E-2</v>
      </c>
      <c r="I44" s="189">
        <f>SUM($G$7:G44)</f>
        <v>25369</v>
      </c>
      <c r="J44" s="170">
        <f t="shared" si="5"/>
        <v>0.76007430266351084</v>
      </c>
      <c r="K44" s="36"/>
      <c r="L44" s="20" t="str">
        <f t="shared" si="2"/>
        <v>경고</v>
      </c>
      <c r="N44" s="24"/>
    </row>
    <row r="45" spans="1:14" s="22" customFormat="1" ht="25" customHeight="1" x14ac:dyDescent="0.45">
      <c r="A45" s="20"/>
      <c r="B45" s="35"/>
      <c r="C45" s="106">
        <v>12</v>
      </c>
      <c r="D45" s="175"/>
      <c r="E45" s="175"/>
      <c r="F45" s="177"/>
      <c r="G45" s="179"/>
      <c r="H45" s="181"/>
      <c r="I45" s="190"/>
      <c r="J45" s="171"/>
      <c r="K45" s="36"/>
      <c r="L45" s="20" t="str">
        <f t="shared" si="2"/>
        <v>경고</v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40</v>
      </c>
      <c r="E46" s="68">
        <f t="shared" si="6"/>
        <v>6</v>
      </c>
      <c r="F46" s="55">
        <f t="shared" si="4"/>
        <v>22.4</v>
      </c>
      <c r="G46" s="56">
        <f>IF(D46=D45,"",_xlfn.IFNA(VLOOKUP(D46,'인원 입력 기능(사과탐)'!$P$64:$S$116,4,FALSE),0))</f>
        <v>1064</v>
      </c>
      <c r="H46" s="57">
        <f t="shared" si="1"/>
        <v>3.1878239506246818E-2</v>
      </c>
      <c r="I46" s="67">
        <f>SUM($G$7:G46)</f>
        <v>26433</v>
      </c>
      <c r="J46" s="59">
        <f t="shared" si="5"/>
        <v>0.79195254216975763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39</v>
      </c>
      <c r="E47" s="68">
        <f t="shared" si="6"/>
        <v>7</v>
      </c>
      <c r="F47" s="55">
        <f t="shared" si="4"/>
        <v>17.239999999999998</v>
      </c>
      <c r="G47" s="56">
        <f>IF(D47=D46,"",_xlfn.IFNA(VLOOKUP(D47,'인원 입력 기능(사과탐)'!$P$64:$S$116,4,FALSE),0))</f>
        <v>2379</v>
      </c>
      <c r="H47" s="57">
        <f t="shared" si="1"/>
        <v>7.1276627617820651E-2</v>
      </c>
      <c r="I47" s="67">
        <f>SUM($G$7:G47)</f>
        <v>28812</v>
      </c>
      <c r="J47" s="59">
        <f t="shared" si="5"/>
        <v>0.86322916978757824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174">
        <f t="shared" si="3"/>
        <v>38</v>
      </c>
      <c r="E48" s="174">
        <f t="shared" si="6"/>
        <v>7</v>
      </c>
      <c r="F48" s="176">
        <f t="shared" si="4"/>
        <v>11.53</v>
      </c>
      <c r="G48" s="178">
        <f>IF(D48=D47,"",_xlfn.IFNA(VLOOKUP(D48,'인원 입력 기능(사과탐)'!$P$64:$S$116,4,FALSE),0))</f>
        <v>1436</v>
      </c>
      <c r="H48" s="180">
        <f t="shared" si="1"/>
        <v>4.3023639032866948E-2</v>
      </c>
      <c r="I48" s="189">
        <f>SUM($G$7:G48)</f>
        <v>30248</v>
      </c>
      <c r="J48" s="170">
        <f t="shared" si="5"/>
        <v>0.90625280882044523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175"/>
      <c r="E49" s="175"/>
      <c r="F49" s="177"/>
      <c r="G49" s="179"/>
      <c r="H49" s="181"/>
      <c r="I49" s="190"/>
      <c r="J49" s="171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37</v>
      </c>
      <c r="E50" s="68">
        <f t="shared" si="6"/>
        <v>8</v>
      </c>
      <c r="F50" s="55">
        <f t="shared" si="4"/>
        <v>6.51</v>
      </c>
      <c r="G50" s="56">
        <f>IF(D50=D49,"",_xlfn.IFNA(VLOOKUP(D50,'인원 입력 기능(사과탐)'!$P$64:$S$116,4,FALSE),0))</f>
        <v>1913</v>
      </c>
      <c r="H50" s="57">
        <f t="shared" si="1"/>
        <v>5.7314917458129847E-2</v>
      </c>
      <c r="I50" s="67">
        <f>SUM($G$7:G50)</f>
        <v>32161</v>
      </c>
      <c r="J50" s="59">
        <f t="shared" si="5"/>
        <v>0.96356772627857512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6"/>
        <v>9</v>
      </c>
      <c r="F51" s="55">
        <f t="shared" si="4"/>
        <v>3.14</v>
      </c>
      <c r="G51" s="56">
        <f>IF(D51=D50,"",_xlfn.IFNA(VLOOKUP(D51,'인원 입력 기능(사과탐)'!$P$64:$S$116,4,FALSE),0))</f>
        <v>335</v>
      </c>
      <c r="H51" s="57">
        <f t="shared" si="1"/>
        <v>1.0036851724241245E-2</v>
      </c>
      <c r="I51" s="67">
        <f>SUM($G$7:G51)</f>
        <v>32496</v>
      </c>
      <c r="J51" s="59">
        <f t="shared" si="5"/>
        <v>0.9736045780028163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174">
        <f t="shared" si="3"/>
        <v>35</v>
      </c>
      <c r="E52" s="174">
        <f t="shared" si="6"/>
        <v>9</v>
      </c>
      <c r="F52" s="176">
        <f t="shared" si="4"/>
        <v>1.73</v>
      </c>
      <c r="G52" s="178">
        <f>IF(D52=D51,"",_xlfn.IFNA(VLOOKUP(D52,'인원 입력 기능(사과탐)'!$P$64:$S$116,4,FALSE),0))</f>
        <v>604</v>
      </c>
      <c r="H52" s="180">
        <f t="shared" si="1"/>
        <v>1.8096293855049884E-2</v>
      </c>
      <c r="I52" s="189">
        <f>SUM($G$7:G52)</f>
        <v>33100</v>
      </c>
      <c r="J52" s="170">
        <f t="shared" si="5"/>
        <v>0.99170087185786615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175"/>
      <c r="E53" s="175"/>
      <c r="F53" s="177"/>
      <c r="G53" s="179"/>
      <c r="H53" s="181"/>
      <c r="I53" s="190"/>
      <c r="J53" s="171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34</v>
      </c>
      <c r="E54" s="54">
        <f t="shared" si="6"/>
        <v>9</v>
      </c>
      <c r="F54" s="55">
        <f t="shared" si="4"/>
        <v>0.67</v>
      </c>
      <c r="G54" s="56">
        <f>IF(D54=D53,"",_xlfn.IFNA(VLOOKUP(D54,'인원 입력 기능(사과탐)'!$P$64:$S$116,4,FALSE),0))</f>
        <v>106</v>
      </c>
      <c r="H54" s="57">
        <f t="shared" si="1"/>
        <v>3.1758396500584235E-3</v>
      </c>
      <c r="I54" s="67">
        <f>SUM($G$7:G54)</f>
        <v>33206</v>
      </c>
      <c r="J54" s="59">
        <f t="shared" si="5"/>
        <v>0.99487671150792467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33</v>
      </c>
      <c r="E55" s="54">
        <f t="shared" si="6"/>
        <v>9</v>
      </c>
      <c r="F55" s="55">
        <f t="shared" si="4"/>
        <v>0.33</v>
      </c>
      <c r="G55" s="56">
        <f>IF(D55=D54,"",_xlfn.IFNA(VLOOKUP(D55,'인원 입력 기능(사과탐)'!$P$64:$S$116,4,FALSE),0))</f>
        <v>123</v>
      </c>
      <c r="H55" s="57">
        <f t="shared" si="1"/>
        <v>3.6851724241243971E-3</v>
      </c>
      <c r="I55" s="67">
        <f>SUM($G$7:G55)</f>
        <v>33329</v>
      </c>
      <c r="J55" s="59">
        <f t="shared" si="5"/>
        <v>0.99856188393204903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31</v>
      </c>
      <c r="E57" s="109">
        <f t="shared" si="6"/>
        <v>9</v>
      </c>
      <c r="F57" s="74">
        <f>IF(I55=0,ROUND(100*(1-(I54+I57)/2/$J$3),2),ROUND(100*(1-(I55+I57)/2/$J$3),2))</f>
        <v>7.0000000000000007E-2</v>
      </c>
      <c r="G57" s="110">
        <f>_xlfn.IFNA(VLOOKUP(D57,'인원 입력 기능(사과탐)'!$P$64:$S$116,4,FALSE),0)</f>
        <v>48</v>
      </c>
      <c r="H57" s="76">
        <f>G57/$J$3</f>
        <v>1.4381160679509842E-3</v>
      </c>
      <c r="I57" s="77">
        <f>SUM($G$7:G57)</f>
        <v>33377</v>
      </c>
      <c r="J57" s="111">
        <f>I57/$J$3</f>
        <v>1</v>
      </c>
      <c r="K57" s="36"/>
      <c r="L57" s="20" t="str">
        <f t="shared" si="2"/>
        <v>경고</v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80">
    <mergeCell ref="D3:F3"/>
    <mergeCell ref="D4:F4"/>
    <mergeCell ref="G5:J5"/>
    <mergeCell ref="D9:D10"/>
    <mergeCell ref="E9:E10"/>
    <mergeCell ref="F9:F10"/>
    <mergeCell ref="G9:G10"/>
    <mergeCell ref="H9:H10"/>
    <mergeCell ref="I9:I10"/>
    <mergeCell ref="J9:J10"/>
    <mergeCell ref="I13:I14"/>
    <mergeCell ref="J13:J14"/>
    <mergeCell ref="D18:D19"/>
    <mergeCell ref="E18:E19"/>
    <mergeCell ref="F18:F19"/>
    <mergeCell ref="G18:G19"/>
    <mergeCell ref="H18:H19"/>
    <mergeCell ref="I18:I19"/>
    <mergeCell ref="J18:J19"/>
    <mergeCell ref="D13:D14"/>
    <mergeCell ref="E13:E14"/>
    <mergeCell ref="F13:F14"/>
    <mergeCell ref="G13:G14"/>
    <mergeCell ref="H13:H14"/>
    <mergeCell ref="I22:I23"/>
    <mergeCell ref="J22:J23"/>
    <mergeCell ref="D26:D27"/>
    <mergeCell ref="E26:E27"/>
    <mergeCell ref="F26:F27"/>
    <mergeCell ref="G26:G27"/>
    <mergeCell ref="H26:H27"/>
    <mergeCell ref="I26:I27"/>
    <mergeCell ref="J26:J27"/>
    <mergeCell ref="D22:D23"/>
    <mergeCell ref="E22:E23"/>
    <mergeCell ref="F22:F23"/>
    <mergeCell ref="G22:G23"/>
    <mergeCell ref="H22:H23"/>
    <mergeCell ref="I31:I32"/>
    <mergeCell ref="J31:J32"/>
    <mergeCell ref="D35:D36"/>
    <mergeCell ref="E35:E36"/>
    <mergeCell ref="F35:F36"/>
    <mergeCell ref="G35:G36"/>
    <mergeCell ref="H35:H36"/>
    <mergeCell ref="I35:I36"/>
    <mergeCell ref="J35:J36"/>
    <mergeCell ref="D31:D32"/>
    <mergeCell ref="E31:E32"/>
    <mergeCell ref="F31:F32"/>
    <mergeCell ref="G31:G32"/>
    <mergeCell ref="H31:H32"/>
    <mergeCell ref="I39:I40"/>
    <mergeCell ref="J39:J40"/>
    <mergeCell ref="D44:D45"/>
    <mergeCell ref="E44:E45"/>
    <mergeCell ref="F44:F45"/>
    <mergeCell ref="G44:G45"/>
    <mergeCell ref="H44:H45"/>
    <mergeCell ref="I44:I45"/>
    <mergeCell ref="J44:J45"/>
    <mergeCell ref="D39:D40"/>
    <mergeCell ref="E39:E40"/>
    <mergeCell ref="F39:F40"/>
    <mergeCell ref="G39:G40"/>
    <mergeCell ref="H39:H40"/>
    <mergeCell ref="I48:I49"/>
    <mergeCell ref="J48:J49"/>
    <mergeCell ref="D52:D53"/>
    <mergeCell ref="E52:E53"/>
    <mergeCell ref="F52:F53"/>
    <mergeCell ref="G52:G53"/>
    <mergeCell ref="H52:H53"/>
    <mergeCell ref="I52:I53"/>
    <mergeCell ref="J52:J53"/>
    <mergeCell ref="D48:D49"/>
    <mergeCell ref="E48:E49"/>
    <mergeCell ref="F48:F49"/>
    <mergeCell ref="G48:G49"/>
    <mergeCell ref="H48:H49"/>
  </mergeCells>
  <phoneticPr fontId="1" type="noConversion"/>
  <conditionalFormatting sqref="D7:G9 I7:J9 D11:G13 I11:J13 D15:G18 I15:J18 D20:G22 I20:J22 D24:G26 I24:J26 D28:G31 I28:J31 D33:G35 I33:J35 D37:G39 I37:J39 D41:G44 I41:J44 D46:G48 I46:J48 D50:G52 I50:J52 D54:G57 I54:J57">
    <cfRule type="expression" dxfId="46" priority="4">
      <formula>OR($D7=$Q$7:$Q$14)</formula>
    </cfRule>
  </conditionalFormatting>
  <conditionalFormatting sqref="C7:C57">
    <cfRule type="expression" dxfId="45" priority="3">
      <formula>OR(AND($D7=0,OR($D6=$Q$7:$Q$14)),AND($D8&gt;0,OR($D7=$Q$7:$Q$14)))</formula>
    </cfRule>
  </conditionalFormatting>
  <conditionalFormatting sqref="D7:D9 D11:D13 D15:D18 D20:D22 D24:D26 D28:D31 D33:D35 D37:D39 D41:D44 D46:D48 D50:D52 D54:D57">
    <cfRule type="expression" dxfId="44" priority="2">
      <formula>$D7=$D8</formula>
    </cfRule>
  </conditionalFormatting>
  <conditionalFormatting sqref="H7:H9 H11:H13 H15:H18 H20:H22 H24:H26 H28:H31 H33:H35 H37:H39 H41:H44 H46:H48 H50:H52 H54:H57">
    <cfRule type="expression" dxfId="4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ED3DB-AFEE-440A-A9DD-88DC15649F11}">
  <sheetPr codeName="Sheet1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기능'!D16</f>
        <v>24.83</v>
      </c>
      <c r="I3" s="21" t="s">
        <v>123</v>
      </c>
      <c r="J3" s="81">
        <f>'통계 및 응시자 수 입력 기능'!C16</f>
        <v>61879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147</v>
      </c>
      <c r="E4" s="186"/>
      <c r="F4" s="187"/>
      <c r="G4" s="83" t="s">
        <v>126</v>
      </c>
      <c r="H4" s="84" t="str">
        <f>'통계 및 응시자 수 입력 기능'!E16</f>
        <v>12.81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70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98.91</v>
      </c>
      <c r="G7" s="56">
        <f>_xlfn.IFNA(VLOOKUP(D7,'인원 입력 기능(사과탐)'!$A$121:$D$172,4,FALSE),0)</f>
        <v>1347</v>
      </c>
      <c r="H7" s="57">
        <f>G7/$J$3</f>
        <v>2.1768289726724736E-2</v>
      </c>
      <c r="I7" s="58">
        <f>G7</f>
        <v>1347</v>
      </c>
      <c r="J7" s="59">
        <f>I7/$J$3</f>
        <v>2.1768289726724736E-2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기능'!C112</f>
        <v>67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기능'!C113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68</v>
      </c>
      <c r="E9" s="54">
        <f t="shared" si="0"/>
        <v>1</v>
      </c>
      <c r="F9" s="55">
        <f>IF(I8=0,ROUND(100*(1-(I7+I9)/2/$J$3),2),ROUND(100*(1-(I8+I9)/2/$J$3),2))</f>
        <v>97.26</v>
      </c>
      <c r="G9" s="56">
        <f>_xlfn.IFNA(VLOOKUP(D9,'인원 입력 기능(사과탐)'!$A$121:$D$172,4,FALSE),0)</f>
        <v>693</v>
      </c>
      <c r="H9" s="57">
        <f t="shared" ref="H9:H55" si="1">G9/$J$3</f>
        <v>1.1199276006399587E-2</v>
      </c>
      <c r="I9" s="67">
        <f>SUM($G$7:G9)</f>
        <v>2040</v>
      </c>
      <c r="J9" s="59">
        <f>I9/$J$3</f>
        <v>3.2967565733124322E-2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기능'!C114</f>
        <v>59</v>
      </c>
    </row>
    <row r="10" spans="1:17" s="22" customFormat="1" ht="25" customHeight="1" x14ac:dyDescent="0.45">
      <c r="A10" s="20"/>
      <c r="B10" s="35"/>
      <c r="C10" s="60">
        <v>47</v>
      </c>
      <c r="D10" s="172">
        <f t="shared" ref="D10:D55" si="3">ROUND(10*(C10-$H$3)/$H$4+50,0)</f>
        <v>67</v>
      </c>
      <c r="E10" s="172">
        <f t="shared" si="0"/>
        <v>1</v>
      </c>
      <c r="F10" s="176">
        <f t="shared" ref="F10:F55" si="4">IF(I9=0,ROUND(100*(1-(I8+I10)/2/$J$3),2),ROUND(100*(1-(I9+I10)/2/$J$3),2))</f>
        <v>95.46</v>
      </c>
      <c r="G10" s="178">
        <f>IF(D10=D9,"",_xlfn.IFNA(VLOOKUP(D10,'인원 입력 기능(사과탐)'!$A$121:$D$172,4,FALSE),0))</f>
        <v>1538</v>
      </c>
      <c r="H10" s="180">
        <f t="shared" si="1"/>
        <v>2.485495887134569E-2</v>
      </c>
      <c r="I10" s="189">
        <f>SUM($G$7:G10)</f>
        <v>3578</v>
      </c>
      <c r="J10" s="170">
        <f t="shared" ref="J10:J55" si="5">I10/$J$3</f>
        <v>5.7822524604470016E-2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기능'!C115</f>
        <v>53</v>
      </c>
    </row>
    <row r="11" spans="1:17" s="22" customFormat="1" ht="25" customHeight="1" x14ac:dyDescent="0.45">
      <c r="A11" s="20"/>
      <c r="B11" s="35"/>
      <c r="C11" s="53">
        <v>46</v>
      </c>
      <c r="D11" s="173"/>
      <c r="E11" s="173"/>
      <c r="F11" s="177"/>
      <c r="G11" s="179"/>
      <c r="H11" s="181"/>
      <c r="I11" s="190"/>
      <c r="J11" s="171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기능'!C116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66</v>
      </c>
      <c r="E12" s="54">
        <f t="shared" si="0"/>
        <v>2</v>
      </c>
      <c r="F12" s="55">
        <f t="shared" si="4"/>
        <v>93.2</v>
      </c>
      <c r="G12" s="56">
        <f>IF(D12=D11,"",_xlfn.IFNA(VLOOKUP(D12,'인원 입력 기능(사과탐)'!$A$121:$D$172,4,FALSE),0))</f>
        <v>1262</v>
      </c>
      <c r="H12" s="57">
        <f t="shared" si="1"/>
        <v>2.0394641154511225E-2</v>
      </c>
      <c r="I12" s="67">
        <f>SUM($G$7:G12)</f>
        <v>4840</v>
      </c>
      <c r="J12" s="59">
        <f t="shared" si="5"/>
        <v>7.8217165758981244E-2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기능'!C117</f>
        <v>40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65</v>
      </c>
      <c r="E13" s="54">
        <f t="shared" si="0"/>
        <v>2</v>
      </c>
      <c r="F13" s="55">
        <f t="shared" si="4"/>
        <v>91.42</v>
      </c>
      <c r="G13" s="56">
        <f>IF(D13=D12,"",_xlfn.IFNA(VLOOKUP(D13,'인원 입력 기능(사과탐)'!$A$121:$D$172,4,FALSE),0))</f>
        <v>933</v>
      </c>
      <c r="H13" s="57">
        <f t="shared" si="1"/>
        <v>1.5077813151473036E-2</v>
      </c>
      <c r="I13" s="67">
        <f>SUM($G$7:G13)</f>
        <v>5773</v>
      </c>
      <c r="J13" s="59">
        <f t="shared" si="5"/>
        <v>9.3294978910454268E-2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기능'!C118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64</v>
      </c>
      <c r="E14" s="54">
        <f t="shared" si="0"/>
        <v>2</v>
      </c>
      <c r="F14" s="55">
        <f t="shared" si="4"/>
        <v>90.08</v>
      </c>
      <c r="G14" s="56">
        <f>IF(D14=D13,"",_xlfn.IFNA(VLOOKUP(D14,'인원 입력 기능(사과탐)'!$A$121:$D$172,4,FALSE),0))</f>
        <v>727</v>
      </c>
      <c r="H14" s="57">
        <f t="shared" si="1"/>
        <v>1.1748735435284992E-2</v>
      </c>
      <c r="I14" s="67">
        <f>SUM($G$7:G14)</f>
        <v>6500</v>
      </c>
      <c r="J14" s="59">
        <f t="shared" si="5"/>
        <v>0.10504371434573927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기능'!C119</f>
        <v>36</v>
      </c>
    </row>
    <row r="15" spans="1:17" s="22" customFormat="1" ht="25" customHeight="1" x14ac:dyDescent="0.45">
      <c r="A15" s="20"/>
      <c r="B15" s="35"/>
      <c r="C15" s="53">
        <v>42</v>
      </c>
      <c r="D15" s="172">
        <f t="shared" si="3"/>
        <v>63</v>
      </c>
      <c r="E15" s="172">
        <f t="shared" si="0"/>
        <v>2</v>
      </c>
      <c r="F15" s="176">
        <f t="shared" si="4"/>
        <v>87.66</v>
      </c>
      <c r="G15" s="178">
        <f>IF(D15=D14,"",_xlfn.IFNA(VLOOKUP(D15,'인원 입력 기능(사과탐)'!$A$121:$D$172,4,FALSE),0))</f>
        <v>2268</v>
      </c>
      <c r="H15" s="180">
        <f t="shared" si="1"/>
        <v>3.6652176020944102E-2</v>
      </c>
      <c r="I15" s="189">
        <f>SUM($G$7:G15)</f>
        <v>8768</v>
      </c>
      <c r="J15" s="170">
        <f t="shared" si="5"/>
        <v>0.14169589036668337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173"/>
      <c r="E16" s="173"/>
      <c r="F16" s="177"/>
      <c r="G16" s="179"/>
      <c r="H16" s="181"/>
      <c r="I16" s="190"/>
      <c r="J16" s="171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62</v>
      </c>
      <c r="E17" s="54">
        <f t="shared" si="0"/>
        <v>3</v>
      </c>
      <c r="F17" s="55">
        <f t="shared" si="4"/>
        <v>84.84</v>
      </c>
      <c r="G17" s="56">
        <f>IF(D17=D16,"",_xlfn.IFNA(VLOOKUP(D17,'인원 입력 기능(사과탐)'!$A$121:$D$172,4,FALSE),0))</f>
        <v>1226</v>
      </c>
      <c r="H17" s="57">
        <f t="shared" si="1"/>
        <v>1.9812860582750207E-2</v>
      </c>
      <c r="I17" s="67">
        <f>SUM($G$7:G17)</f>
        <v>9994</v>
      </c>
      <c r="J17" s="59">
        <f t="shared" si="5"/>
        <v>0.16150875094943357</v>
      </c>
      <c r="K17" s="36"/>
      <c r="L17" s="20" t="str">
        <f t="shared" si="2"/>
        <v/>
      </c>
      <c r="N17" s="24"/>
      <c r="Q17" s="24">
        <f>Q7*H3*H4*J3*IFERROR(IF(J57=1, 1, 0), 0)</f>
        <v>1318693722.0639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61</v>
      </c>
      <c r="E18" s="54">
        <f t="shared" si="0"/>
        <v>3</v>
      </c>
      <c r="F18" s="55">
        <f t="shared" si="4"/>
        <v>82.83</v>
      </c>
      <c r="G18" s="56">
        <f>IF(D18=D17,"",_xlfn.IFNA(VLOOKUP(D18,'인원 입력 기능(사과탐)'!$A$121:$D$172,4,FALSE),0))</f>
        <v>1257</v>
      </c>
      <c r="H18" s="57">
        <f t="shared" si="1"/>
        <v>2.0313838297322192E-2</v>
      </c>
      <c r="I18" s="67">
        <f>SUM($G$7:G18)</f>
        <v>11251</v>
      </c>
      <c r="J18" s="59">
        <f t="shared" si="5"/>
        <v>0.18182258924675576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60</v>
      </c>
      <c r="E19" s="54">
        <f t="shared" si="0"/>
        <v>3</v>
      </c>
      <c r="F19" s="55">
        <f t="shared" si="4"/>
        <v>81.02</v>
      </c>
      <c r="G19" s="56">
        <f>IF(D19=D18,"",_xlfn.IFNA(VLOOKUP(D19,'인원 입력 기능(사과탐)'!$A$121:$D$172,4,FALSE),0))</f>
        <v>984</v>
      </c>
      <c r="H19" s="57">
        <f t="shared" si="1"/>
        <v>1.5902002294801144E-2</v>
      </c>
      <c r="I19" s="67">
        <f>SUM($G$7:G19)</f>
        <v>12235</v>
      </c>
      <c r="J19" s="59">
        <f t="shared" si="5"/>
        <v>0.19772459154155692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172">
        <v>59</v>
      </c>
      <c r="E20" s="172">
        <f t="shared" si="0"/>
        <v>3</v>
      </c>
      <c r="F20" s="176">
        <f t="shared" si="4"/>
        <v>78.09</v>
      </c>
      <c r="G20" s="178">
        <f>IF(D20=D19,"",_xlfn.IFNA(VLOOKUP(D20,'인원 입력 기능(사과탐)'!$A$121:$D$172,4,FALSE),0))</f>
        <v>2642</v>
      </c>
      <c r="H20" s="180">
        <f t="shared" si="1"/>
        <v>4.2696229738683561E-2</v>
      </c>
      <c r="I20" s="189">
        <f>SUM($G$7:G20)</f>
        <v>14877</v>
      </c>
      <c r="J20" s="170">
        <f t="shared" si="5"/>
        <v>0.24042082128024048</v>
      </c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6">
        <v>36</v>
      </c>
      <c r="D21" s="173"/>
      <c r="E21" s="173"/>
      <c r="F21" s="177"/>
      <c r="G21" s="179"/>
      <c r="H21" s="181"/>
      <c r="I21" s="190"/>
      <c r="J21" s="17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58</v>
      </c>
      <c r="E22" s="68">
        <f t="shared" si="0"/>
        <v>4</v>
      </c>
      <c r="F22" s="55">
        <f t="shared" si="4"/>
        <v>74.83</v>
      </c>
      <c r="G22" s="56">
        <f>IF(D22=D21,"",_xlfn.IFNA(VLOOKUP(D22,'인원 입력 기능(사과탐)'!$A$121:$D$172,4,FALSE),0))</f>
        <v>1398</v>
      </c>
      <c r="H22" s="57">
        <f t="shared" si="1"/>
        <v>2.2592478870052845E-2</v>
      </c>
      <c r="I22" s="67">
        <f>SUM($G$7:G22)</f>
        <v>16275</v>
      </c>
      <c r="J22" s="59">
        <f t="shared" si="5"/>
        <v>0.26301330015029334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57</v>
      </c>
      <c r="E23" s="68">
        <f t="shared" si="0"/>
        <v>4</v>
      </c>
      <c r="F23" s="55">
        <f t="shared" si="4"/>
        <v>72.48</v>
      </c>
      <c r="G23" s="56">
        <f>IF(D23=D22,"",_xlfn.IFNA(VLOOKUP(D23,'인원 입력 기능(사과탐)'!$A$121:$D$172,4,FALSE),0))</f>
        <v>1508</v>
      </c>
      <c r="H23" s="57">
        <f t="shared" si="1"/>
        <v>2.437014172821151E-2</v>
      </c>
      <c r="I23" s="67">
        <f>SUM($G$7:G23)</f>
        <v>17783</v>
      </c>
      <c r="J23" s="59">
        <f t="shared" si="5"/>
        <v>0.28738344187850484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174">
        <f t="shared" si="3"/>
        <v>56</v>
      </c>
      <c r="E24" s="174">
        <f t="shared" si="0"/>
        <v>4</v>
      </c>
      <c r="F24" s="176">
        <f t="shared" si="4"/>
        <v>68.78</v>
      </c>
      <c r="G24" s="178">
        <f>IF(D24=D23,"",_xlfn.IFNA(VLOOKUP(D24,'인원 입력 기능(사과탐)'!$A$121:$D$172,4,FALSE),0))</f>
        <v>3067</v>
      </c>
      <c r="H24" s="180">
        <f t="shared" si="1"/>
        <v>4.9564472599751129E-2</v>
      </c>
      <c r="I24" s="189">
        <f>SUM($G$7:G24)</f>
        <v>20850</v>
      </c>
      <c r="J24" s="170">
        <f t="shared" si="5"/>
        <v>0.33694791447825595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175"/>
      <c r="E25" s="175"/>
      <c r="F25" s="177"/>
      <c r="G25" s="179"/>
      <c r="H25" s="181"/>
      <c r="I25" s="190"/>
      <c r="J25" s="171"/>
      <c r="K25" s="36"/>
      <c r="L25" s="20" t="str">
        <f t="shared" si="2"/>
        <v>경고</v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55</v>
      </c>
      <c r="E26" s="68">
        <f t="shared" si="0"/>
        <v>4</v>
      </c>
      <c r="F26" s="55">
        <f t="shared" si="4"/>
        <v>65.19</v>
      </c>
      <c r="G26" s="56">
        <f>IF(D26=D25,"",_xlfn.IFNA(VLOOKUP(D26,'인원 입력 기능(사과탐)'!$A$121:$D$172,4,FALSE),0))</f>
        <v>1381</v>
      </c>
      <c r="H26" s="57">
        <f t="shared" si="1"/>
        <v>2.2317749155610141E-2</v>
      </c>
      <c r="I26" s="67">
        <f>SUM($G$7:G26)</f>
        <v>22231</v>
      </c>
      <c r="J26" s="59">
        <f t="shared" si="5"/>
        <v>0.35926566363386608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54</v>
      </c>
      <c r="E27" s="68">
        <f t="shared" si="0"/>
        <v>4</v>
      </c>
      <c r="F27" s="55">
        <f t="shared" si="4"/>
        <v>62.83</v>
      </c>
      <c r="G27" s="56">
        <f>IF(D27=D26,"",_xlfn.IFNA(VLOOKUP(D27,'인원 입력 기능(사과탐)'!$A$121:$D$172,4,FALSE),0))</f>
        <v>1545</v>
      </c>
      <c r="H27" s="57">
        <f t="shared" si="1"/>
        <v>2.4968082871410332E-2</v>
      </c>
      <c r="I27" s="67">
        <f>SUM($G$7:G27)</f>
        <v>23776</v>
      </c>
      <c r="J27" s="59">
        <f t="shared" si="5"/>
        <v>0.38423374650527642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53</v>
      </c>
      <c r="E28" s="68">
        <f t="shared" si="0"/>
        <v>4</v>
      </c>
      <c r="F28" s="55">
        <f t="shared" si="4"/>
        <v>60.26</v>
      </c>
      <c r="G28" s="56">
        <f>IF(D28=D27,"",_xlfn.IFNA(VLOOKUP(D28,'인원 입력 기능(사과탐)'!$A$121:$D$172,4,FALSE),0))</f>
        <v>1633</v>
      </c>
      <c r="H28" s="57">
        <f t="shared" si="1"/>
        <v>2.6390213157937263E-2</v>
      </c>
      <c r="I28" s="67">
        <f>SUM($G$7:G28)</f>
        <v>25409</v>
      </c>
      <c r="J28" s="59">
        <f t="shared" si="5"/>
        <v>0.41062395966321369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174">
        <f t="shared" si="3"/>
        <v>52</v>
      </c>
      <c r="E29" s="174">
        <f t="shared" si="0"/>
        <v>5</v>
      </c>
      <c r="F29" s="176">
        <f t="shared" si="4"/>
        <v>56.5</v>
      </c>
      <c r="G29" s="178">
        <f>IF(D29=D28,"",_xlfn.IFNA(VLOOKUP(D29,'인원 입력 기능(사과탐)'!$A$121:$D$172,4,FALSE),0))</f>
        <v>3013</v>
      </c>
      <c r="H29" s="180">
        <f t="shared" si="1"/>
        <v>4.8691801742109603E-2</v>
      </c>
      <c r="I29" s="189">
        <f>SUM($G$7:G29)</f>
        <v>28422</v>
      </c>
      <c r="J29" s="170">
        <f t="shared" si="5"/>
        <v>0.45931576140532332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175"/>
      <c r="E30" s="175"/>
      <c r="F30" s="177"/>
      <c r="G30" s="179"/>
      <c r="H30" s="181"/>
      <c r="I30" s="190"/>
      <c r="J30" s="171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51</v>
      </c>
      <c r="E31" s="68">
        <f t="shared" si="0"/>
        <v>5</v>
      </c>
      <c r="F31" s="55">
        <f t="shared" si="4"/>
        <v>52.92</v>
      </c>
      <c r="G31" s="56">
        <f>IF(D31=D30,"",_xlfn.IFNA(VLOOKUP(D31,'인원 입력 기능(사과탐)'!$A$121:$D$172,4,FALSE),0))</f>
        <v>1425</v>
      </c>
      <c r="H31" s="57">
        <f t="shared" si="1"/>
        <v>2.3028814298873608E-2</v>
      </c>
      <c r="I31" s="67">
        <f>SUM($G$7:G31)</f>
        <v>29847</v>
      </c>
      <c r="J31" s="59">
        <f t="shared" si="5"/>
        <v>0.48234457570419692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50</v>
      </c>
      <c r="E32" s="68">
        <f t="shared" si="0"/>
        <v>5</v>
      </c>
      <c r="F32" s="55">
        <f t="shared" si="4"/>
        <v>50.62</v>
      </c>
      <c r="G32" s="56">
        <f>IF(D32=D31,"",_xlfn.IFNA(VLOOKUP(D32,'인원 입력 기능(사과탐)'!$A$121:$D$172,4,FALSE),0))</f>
        <v>1422</v>
      </c>
      <c r="H32" s="57">
        <f t="shared" si="1"/>
        <v>2.2980332584560191E-2</v>
      </c>
      <c r="I32" s="67">
        <f>SUM($G$7:G32)</f>
        <v>31269</v>
      </c>
      <c r="J32" s="59">
        <f t="shared" si="5"/>
        <v>0.50532490828875709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174">
        <f t="shared" si="3"/>
        <v>49</v>
      </c>
      <c r="E33" s="174">
        <f t="shared" si="0"/>
        <v>5</v>
      </c>
      <c r="F33" s="176">
        <f t="shared" si="4"/>
        <v>47.33</v>
      </c>
      <c r="G33" s="178">
        <f>IF(D33=D32,"",_xlfn.IFNA(VLOOKUP(D33,'인원 입력 기능(사과탐)'!$A$121:$D$172,4,FALSE),0))</f>
        <v>2649</v>
      </c>
      <c r="H33" s="180">
        <f t="shared" si="1"/>
        <v>4.2809353738748203E-2</v>
      </c>
      <c r="I33" s="189">
        <f>SUM($G$7:G33)</f>
        <v>33918</v>
      </c>
      <c r="J33" s="170">
        <f t="shared" si="5"/>
        <v>0.54813426202750526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175"/>
      <c r="E34" s="175"/>
      <c r="F34" s="177"/>
      <c r="G34" s="179"/>
      <c r="H34" s="181"/>
      <c r="I34" s="190"/>
      <c r="J34" s="171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48</v>
      </c>
      <c r="E35" s="68">
        <f t="shared" si="0"/>
        <v>5</v>
      </c>
      <c r="F35" s="55">
        <f t="shared" si="4"/>
        <v>44.08</v>
      </c>
      <c r="G35" s="56">
        <f>IF(D35=D34,"",_xlfn.IFNA(VLOOKUP(D35,'인원 입력 기능(사과탐)'!$A$121:$D$172,4,FALSE),0))</f>
        <v>1375</v>
      </c>
      <c r="H35" s="57">
        <f t="shared" si="1"/>
        <v>2.2220785726983307E-2</v>
      </c>
      <c r="I35" s="67">
        <f>SUM($G$7:G35)</f>
        <v>35293</v>
      </c>
      <c r="J35" s="59">
        <f t="shared" si="5"/>
        <v>0.57035504775448864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47</v>
      </c>
      <c r="E36" s="68">
        <f t="shared" si="0"/>
        <v>5</v>
      </c>
      <c r="F36" s="55">
        <f t="shared" si="4"/>
        <v>42.02</v>
      </c>
      <c r="G36" s="56">
        <f>IF(D36=D35,"",_xlfn.IFNA(VLOOKUP(D36,'인원 입력 기능(사과탐)'!$A$121:$D$172,4,FALSE),0))</f>
        <v>1169</v>
      </c>
      <c r="H36" s="57">
        <f t="shared" si="1"/>
        <v>1.8891708010795261E-2</v>
      </c>
      <c r="I36" s="67">
        <f>SUM($G$7:G36)</f>
        <v>36462</v>
      </c>
      <c r="J36" s="59">
        <f t="shared" si="5"/>
        <v>0.58924675576528385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46</v>
      </c>
      <c r="E37" s="68">
        <f t="shared" si="0"/>
        <v>5</v>
      </c>
      <c r="F37" s="55">
        <f t="shared" si="4"/>
        <v>40.200000000000003</v>
      </c>
      <c r="G37" s="56">
        <f>IF(D37=D36,"",_xlfn.IFNA(VLOOKUP(D37,'인원 입력 기능(사과탐)'!$A$121:$D$172,4,FALSE),0))</f>
        <v>1087</v>
      </c>
      <c r="H37" s="57">
        <f t="shared" si="1"/>
        <v>1.7566541152895167E-2</v>
      </c>
      <c r="I37" s="67">
        <f>SUM($G$7:G37)</f>
        <v>37549</v>
      </c>
      <c r="J37" s="59">
        <f t="shared" si="5"/>
        <v>0.60681329691817898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174">
        <f t="shared" si="3"/>
        <v>45</v>
      </c>
      <c r="E38" s="174">
        <f t="shared" si="0"/>
        <v>6</v>
      </c>
      <c r="F38" s="176">
        <f t="shared" si="4"/>
        <v>37.53</v>
      </c>
      <c r="G38" s="178">
        <f>IF(D38=D37,"",_xlfn.IFNA(VLOOKUP(D38,'인원 입력 기능(사과탐)'!$A$121:$D$172,4,FALSE),0))</f>
        <v>2219</v>
      </c>
      <c r="H38" s="180">
        <f t="shared" si="1"/>
        <v>3.5860308020491602E-2</v>
      </c>
      <c r="I38" s="189">
        <f>SUM($G$7:G38)</f>
        <v>39768</v>
      </c>
      <c r="J38" s="170">
        <f t="shared" si="5"/>
        <v>0.64267360493867065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175"/>
      <c r="E39" s="175"/>
      <c r="F39" s="177"/>
      <c r="G39" s="179"/>
      <c r="H39" s="181"/>
      <c r="I39" s="190"/>
      <c r="J39" s="171"/>
      <c r="K39" s="36"/>
      <c r="L39" s="20" t="str">
        <f t="shared" si="2"/>
        <v>경고</v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44</v>
      </c>
      <c r="E40" s="68">
        <f t="shared" ref="E40:E57" si="6">IF(ROUND(D40,0)&gt;=$Q$7,1,IF(ROUND(D40,0)&gt;=$Q$8,2,IF(ROUND(D40,0)&gt;=$Q$9,3,IF(ROUND(D40,0)&gt;=$Q$10,4,IF(ROUND(D40,0)&gt;=$Q$11,5,IF(ROUND(D40,0)&gt;=$Q$12,6,IF(ROUND(D40,0)&gt;=$Q$13,7,IF(ROUND(D40,0)&gt;=$Q$14,8,9))))))))</f>
        <v>6</v>
      </c>
      <c r="F40" s="55">
        <f t="shared" si="4"/>
        <v>34.81</v>
      </c>
      <c r="G40" s="56">
        <f>IF(D40=D39,"",_xlfn.IFNA(VLOOKUP(D40,'인원 입력 기능(사과탐)'!$A$121:$D$172,4,FALSE),0))</f>
        <v>1140</v>
      </c>
      <c r="H40" s="57">
        <f t="shared" si="1"/>
        <v>1.8423051439098885E-2</v>
      </c>
      <c r="I40" s="67">
        <f>SUM($G$7:G40)</f>
        <v>40908</v>
      </c>
      <c r="J40" s="59">
        <f t="shared" si="5"/>
        <v>0.66109665637776949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43</v>
      </c>
      <c r="E41" s="68">
        <f t="shared" si="6"/>
        <v>6</v>
      </c>
      <c r="F41" s="55">
        <f t="shared" si="4"/>
        <v>33.01</v>
      </c>
      <c r="G41" s="56">
        <f>IF(D41=D40,"",_xlfn.IFNA(VLOOKUP(D41,'인원 입력 기능(사과탐)'!$A$121:$D$172,4,FALSE),0))</f>
        <v>1095</v>
      </c>
      <c r="H41" s="57">
        <f t="shared" si="1"/>
        <v>1.7695825724397613E-2</v>
      </c>
      <c r="I41" s="67">
        <f>SUM($G$7:G41)</f>
        <v>42003</v>
      </c>
      <c r="J41" s="59">
        <f t="shared" si="5"/>
        <v>0.67879248210216714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174">
        <f t="shared" si="3"/>
        <v>42</v>
      </c>
      <c r="E42" s="174">
        <f t="shared" si="6"/>
        <v>6</v>
      </c>
      <c r="F42" s="176">
        <f t="shared" si="4"/>
        <v>30.15</v>
      </c>
      <c r="G42" s="178">
        <f>IF(D42=D41,"",_xlfn.IFNA(VLOOKUP(D42,'인원 입력 기능(사과탐)'!$A$121:$D$172,4,FALSE),0))</f>
        <v>2440</v>
      </c>
      <c r="H42" s="180">
        <f t="shared" si="1"/>
        <v>3.943179430824674E-2</v>
      </c>
      <c r="I42" s="189">
        <f>SUM($G$7:G42)</f>
        <v>44443</v>
      </c>
      <c r="J42" s="170">
        <f t="shared" si="5"/>
        <v>0.71822427641041386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5"/>
      <c r="E43" s="175"/>
      <c r="F43" s="177"/>
      <c r="G43" s="179"/>
      <c r="H43" s="181"/>
      <c r="I43" s="190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26.76</v>
      </c>
      <c r="G44" s="56">
        <f>IF(D44=D43,"",_xlfn.IFNA(VLOOKUP(D44,'인원 입력 기능(사과탐)'!$A$121:$D$172,4,FALSE),0))</f>
        <v>1757</v>
      </c>
      <c r="H44" s="57">
        <f t="shared" si="1"/>
        <v>2.8394124016225215E-2</v>
      </c>
      <c r="I44" s="67">
        <f>SUM($G$7:G44)</f>
        <v>46200</v>
      </c>
      <c r="J44" s="59">
        <f t="shared" si="5"/>
        <v>0.74661840042663907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6</v>
      </c>
      <c r="F45" s="55">
        <f t="shared" si="4"/>
        <v>24.06</v>
      </c>
      <c r="G45" s="56">
        <f>IF(D45=D44,"",_xlfn.IFNA(VLOOKUP(D45,'인원 입력 기능(사과탐)'!$A$121:$D$172,4,FALSE),0))</f>
        <v>1588</v>
      </c>
      <c r="H45" s="57">
        <f t="shared" si="1"/>
        <v>2.5662987443235991E-2</v>
      </c>
      <c r="I45" s="67">
        <f>SUM($G$7:G45)</f>
        <v>47788</v>
      </c>
      <c r="J45" s="59">
        <f t="shared" si="5"/>
        <v>0.7722813878698751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21.8</v>
      </c>
      <c r="G46" s="56">
        <f>IF(D46=D45,"",_xlfn.IFNA(VLOOKUP(D46,'인원 입력 기능(사과탐)'!$A$121:$D$172,4,FALSE),0))</f>
        <v>1201</v>
      </c>
      <c r="H46" s="57">
        <f t="shared" si="1"/>
        <v>1.9408846296805057E-2</v>
      </c>
      <c r="I46" s="67">
        <f>SUM($G$7:G46)</f>
        <v>48989</v>
      </c>
      <c r="J46" s="59">
        <f t="shared" si="5"/>
        <v>0.79169023416668016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174">
        <f t="shared" si="3"/>
        <v>38</v>
      </c>
      <c r="E47" s="174">
        <f t="shared" si="6"/>
        <v>7</v>
      </c>
      <c r="F47" s="176">
        <f t="shared" si="4"/>
        <v>13.65</v>
      </c>
      <c r="G47" s="178">
        <f>IF(D47=D46,"",_xlfn.IFNA(VLOOKUP(D47,'인원 입력 기능(사과탐)'!$A$121:$D$172,4,FALSE),0))</f>
        <v>8881</v>
      </c>
      <c r="H47" s="180">
        <f t="shared" si="1"/>
        <v>0.14352203493915544</v>
      </c>
      <c r="I47" s="189">
        <f>SUM($G$7:G47)</f>
        <v>57870</v>
      </c>
      <c r="J47" s="170">
        <f t="shared" si="5"/>
        <v>0.93521226910583555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175"/>
      <c r="E48" s="175"/>
      <c r="F48" s="177"/>
      <c r="G48" s="179"/>
      <c r="H48" s="181"/>
      <c r="I48" s="190"/>
      <c r="J48" s="17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37</v>
      </c>
      <c r="E49" s="68">
        <f t="shared" si="6"/>
        <v>8</v>
      </c>
      <c r="F49" s="55">
        <f t="shared" si="4"/>
        <v>5.48</v>
      </c>
      <c r="G49" s="56">
        <f>IF(D49=D48,"",_xlfn.IFNA(VLOOKUP(D49,'인원 입력 기능(사과탐)'!$A$121:$D$172,4,FALSE),0))</f>
        <v>1230</v>
      </c>
      <c r="H49" s="57">
        <f t="shared" si="1"/>
        <v>1.9877502868501429E-2</v>
      </c>
      <c r="I49" s="67">
        <f>SUM($G$7:G49)</f>
        <v>59100</v>
      </c>
      <c r="J49" s="59">
        <f t="shared" si="5"/>
        <v>0.95508977197433698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8</v>
      </c>
      <c r="F50" s="55">
        <f t="shared" si="4"/>
        <v>3.65</v>
      </c>
      <c r="G50" s="56">
        <f>IF(D50=D49,"",_xlfn.IFNA(VLOOKUP(D50,'인원 입력 기능(사과탐)'!$A$121:$D$172,4,FALSE),0))</f>
        <v>1040</v>
      </c>
      <c r="H50" s="57">
        <f t="shared" si="1"/>
        <v>1.6806994295318282E-2</v>
      </c>
      <c r="I50" s="67">
        <f>SUM($G$7:G50)</f>
        <v>60140</v>
      </c>
      <c r="J50" s="59">
        <f t="shared" si="5"/>
        <v>0.97189676626965527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174">
        <f t="shared" si="3"/>
        <v>35</v>
      </c>
      <c r="E51" s="174">
        <f t="shared" si="6"/>
        <v>9</v>
      </c>
      <c r="F51" s="176">
        <f t="shared" si="4"/>
        <v>2</v>
      </c>
      <c r="G51" s="178">
        <f>IF(D51=D50,"",_xlfn.IFNA(VLOOKUP(D51,'인원 입력 기능(사과탐)'!$A$121:$D$172,4,FALSE),0))</f>
        <v>999</v>
      </c>
      <c r="H51" s="180">
        <f t="shared" si="1"/>
        <v>1.6144410866368235E-2</v>
      </c>
      <c r="I51" s="189">
        <f>SUM($G$7:G51)</f>
        <v>61139</v>
      </c>
      <c r="J51" s="170">
        <f t="shared" si="5"/>
        <v>0.98804117713602357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175"/>
      <c r="E52" s="175"/>
      <c r="F52" s="177"/>
      <c r="G52" s="179"/>
      <c r="H52" s="181"/>
      <c r="I52" s="190"/>
      <c r="J52" s="171"/>
      <c r="K52" s="36"/>
      <c r="L52" s="20" t="str">
        <f t="shared" si="2"/>
        <v>경고</v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6"/>
        <v>9</v>
      </c>
      <c r="F53" s="55">
        <f t="shared" si="4"/>
        <v>0.96</v>
      </c>
      <c r="G53" s="56">
        <f>IF(D53=D52,"",_xlfn.IFNA(VLOOKUP(D53,'인원 입력 기능(사과탐)'!$A$121:$D$172,4,FALSE),0))</f>
        <v>287</v>
      </c>
      <c r="H53" s="57">
        <f t="shared" si="1"/>
        <v>4.6380840026503337E-3</v>
      </c>
      <c r="I53" s="67">
        <f>SUM($G$7:G53)</f>
        <v>61426</v>
      </c>
      <c r="J53" s="59">
        <f t="shared" si="5"/>
        <v>0.99267926113867389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0.6</v>
      </c>
      <c r="G54" s="56">
        <f>IF(D54=D53,"",_xlfn.IFNA(VLOOKUP(D54,'인원 입력 기능(사과탐)'!$A$121:$D$172,4,FALSE),0))</f>
        <v>163</v>
      </c>
      <c r="H54" s="57">
        <f t="shared" si="1"/>
        <v>2.6341731443623845E-3</v>
      </c>
      <c r="I54" s="67">
        <f>SUM($G$7:G54)</f>
        <v>61589</v>
      </c>
      <c r="J54" s="59">
        <f t="shared" si="5"/>
        <v>0.9953134342830362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</v>
      </c>
      <c r="G55" s="56">
        <f>IF(D55=D54,"",_xlfn.IFNA(VLOOKUP(D55,'인원 입력 기능(사과탐)'!$A$121:$D$172,4,FALSE),0))</f>
        <v>203</v>
      </c>
      <c r="H55" s="57">
        <f t="shared" si="1"/>
        <v>3.2805960018746261E-3</v>
      </c>
      <c r="I55" s="67">
        <f>SUM($G$7:G55)</f>
        <v>61792</v>
      </c>
      <c r="J55" s="59">
        <f t="shared" si="5"/>
        <v>0.99859403028491089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31</v>
      </c>
      <c r="E57" s="109">
        <f t="shared" si="6"/>
        <v>9</v>
      </c>
      <c r="F57" s="74">
        <f>IF(I55=0,ROUND(100*(1-(I54+I57)/2/$J$3),2),ROUND(100*(1-(I55+I57)/2/$J$3),2))</f>
        <v>7.0000000000000007E-2</v>
      </c>
      <c r="G57" s="110">
        <f>_xlfn.IFNA(VLOOKUP(D57,'인원 입력 기능(사과탐)'!$A$121:$D$172,4,FALSE),0)</f>
        <v>87</v>
      </c>
      <c r="H57" s="76">
        <f>G57/$J$3</f>
        <v>1.4059697150891255E-3</v>
      </c>
      <c r="I57" s="77">
        <f>SUM($G$7:G57)</f>
        <v>61879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3">
    <mergeCell ref="D3:F3"/>
    <mergeCell ref="D4:F4"/>
    <mergeCell ref="G5:J5"/>
    <mergeCell ref="D10:D11"/>
    <mergeCell ref="E10:E11"/>
    <mergeCell ref="F10:F11"/>
    <mergeCell ref="G10:G11"/>
    <mergeCell ref="H10:H11"/>
    <mergeCell ref="I10:I11"/>
    <mergeCell ref="J10:J11"/>
    <mergeCell ref="I15:I16"/>
    <mergeCell ref="J15:J16"/>
    <mergeCell ref="D20:D21"/>
    <mergeCell ref="E20:E21"/>
    <mergeCell ref="F20:F21"/>
    <mergeCell ref="G20:G21"/>
    <mergeCell ref="H20:H21"/>
    <mergeCell ref="I20:I21"/>
    <mergeCell ref="J20:J21"/>
    <mergeCell ref="D15:D16"/>
    <mergeCell ref="E15:E16"/>
    <mergeCell ref="F15:F16"/>
    <mergeCell ref="G15:G16"/>
    <mergeCell ref="H15:H16"/>
    <mergeCell ref="I24:I25"/>
    <mergeCell ref="J24:J25"/>
    <mergeCell ref="D29:D30"/>
    <mergeCell ref="E29:E30"/>
    <mergeCell ref="F29:F30"/>
    <mergeCell ref="G29:G30"/>
    <mergeCell ref="H29:H30"/>
    <mergeCell ref="I29:I30"/>
    <mergeCell ref="J29:J30"/>
    <mergeCell ref="D24:D25"/>
    <mergeCell ref="E24:E25"/>
    <mergeCell ref="F24:F25"/>
    <mergeCell ref="G24:G25"/>
    <mergeCell ref="H24:H25"/>
    <mergeCell ref="I33:I34"/>
    <mergeCell ref="J33:J34"/>
    <mergeCell ref="D38:D39"/>
    <mergeCell ref="E38:E39"/>
    <mergeCell ref="F38:F39"/>
    <mergeCell ref="G38:G39"/>
    <mergeCell ref="H38:H39"/>
    <mergeCell ref="I38:I39"/>
    <mergeCell ref="J38:J39"/>
    <mergeCell ref="D33:D34"/>
    <mergeCell ref="E33:E34"/>
    <mergeCell ref="F33:F34"/>
    <mergeCell ref="G33:G34"/>
    <mergeCell ref="H33:H34"/>
    <mergeCell ref="I42:I43"/>
    <mergeCell ref="J42:J43"/>
    <mergeCell ref="D47:D48"/>
    <mergeCell ref="E47:E48"/>
    <mergeCell ref="F47:F48"/>
    <mergeCell ref="G47:G48"/>
    <mergeCell ref="H47:H48"/>
    <mergeCell ref="I47:I48"/>
    <mergeCell ref="J47:J48"/>
    <mergeCell ref="D42:D43"/>
    <mergeCell ref="E42:E43"/>
    <mergeCell ref="F42:F43"/>
    <mergeCell ref="G42:G43"/>
    <mergeCell ref="H42:H43"/>
    <mergeCell ref="I51:I52"/>
    <mergeCell ref="J51:J52"/>
    <mergeCell ref="D51:D52"/>
    <mergeCell ref="E51:E52"/>
    <mergeCell ref="F51:F52"/>
    <mergeCell ref="G51:G52"/>
    <mergeCell ref="H51:H52"/>
  </mergeCells>
  <phoneticPr fontId="1" type="noConversion"/>
  <conditionalFormatting sqref="D7:G10 I7:J10 D12:G15 I12:J15 D17:G20 I17:J20 D22:G24 I22:J24 D26:G29 I26:J29 D31:G33 I31:J33 D35:G38 I35:J38 D40:G42 I40:J42 D44:G47 I44:J47 D49:G51 I49:J51 D53:G57 I53:J57">
    <cfRule type="expression" dxfId="42" priority="4">
      <formula>OR($D7=$Q$7:$Q$14)</formula>
    </cfRule>
  </conditionalFormatting>
  <conditionalFormatting sqref="C7:C57">
    <cfRule type="expression" dxfId="41" priority="3">
      <formula>OR(AND($D7=0,OR($D6=$Q$7:$Q$14)),AND($D8&gt;0,OR($D7=$Q$7:$Q$14)))</formula>
    </cfRule>
  </conditionalFormatting>
  <conditionalFormatting sqref="D7:D10 D12:D15 D17:D20 D22:D24 D26:D29 D31:D33 D35:D38 D40:D42 D44:D47 D49:D51 D53:D57">
    <cfRule type="expression" dxfId="40" priority="2">
      <formula>$D7=$D8</formula>
    </cfRule>
  </conditionalFormatting>
  <conditionalFormatting sqref="H7:H10 H12:H15 H17:H20 H22:H24 H26:H29 H31:H33 H35:H38 H40:H42 H44:H47 H49:H51 H53:H57">
    <cfRule type="expression" dxfId="39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30A4B-4E11-46F3-A11B-285051ABE31F}">
  <sheetPr codeName="Sheet19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기능'!D17</f>
        <v>26.16</v>
      </c>
      <c r="I3" s="21" t="s">
        <v>123</v>
      </c>
      <c r="J3" s="81">
        <f>'통계 및 응시자 수 입력 기능'!C17</f>
        <v>52811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146</v>
      </c>
      <c r="E4" s="186"/>
      <c r="F4" s="187"/>
      <c r="G4" s="83" t="s">
        <v>126</v>
      </c>
      <c r="H4" s="84" t="str">
        <f>'통계 및 응시자 수 입력 기능'!E17</f>
        <v>13.02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68</v>
      </c>
      <c r="E7" s="54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97.69</v>
      </c>
      <c r="G7" s="56">
        <f>_xlfn.IFNA(VLOOKUP(D7,'인원 입력 기능(사과탐)'!$A$177:$D$231,4,FALSE),0)</f>
        <v>2440</v>
      </c>
      <c r="H7" s="57">
        <f>G7/$J$3</f>
        <v>4.620249569218534E-2</v>
      </c>
      <c r="I7" s="58">
        <f>G7</f>
        <v>2440</v>
      </c>
      <c r="J7" s="59">
        <f>I7/$J$3</f>
        <v>4.620249569218534E-2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기능'!C121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기능'!C122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67</v>
      </c>
      <c r="E9" s="54">
        <f t="shared" si="0"/>
        <v>2</v>
      </c>
      <c r="F9" s="55">
        <f>IF(I8=0,ROUND(100*(1-(I7+I9)/2/$J$3),2),ROUND(100*(1-(I8+I9)/2/$J$3),2))</f>
        <v>94.76</v>
      </c>
      <c r="G9" s="56">
        <f>_xlfn.IFNA(VLOOKUP(D9,'인원 입력 기능(사과탐)'!$A$177:$D$231,4,FALSE),0)</f>
        <v>658</v>
      </c>
      <c r="H9" s="57">
        <f t="shared" ref="H9:H55" si="1">G9/$J$3</f>
        <v>1.2459525477646703E-2</v>
      </c>
      <c r="I9" s="67">
        <f>SUM($G$7:G9)</f>
        <v>3098</v>
      </c>
      <c r="J9" s="59">
        <f>I9/$J$3</f>
        <v>5.8662021169832046E-2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기능'!C123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66</v>
      </c>
      <c r="E10" s="54">
        <f t="shared" si="0"/>
        <v>2</v>
      </c>
      <c r="F10" s="55">
        <f t="shared" ref="F10:F55" si="4">IF(I9=0,ROUND(100*(1-(I8+I10)/2/$J$3),2),ROUND(100*(1-(I9+I10)/2/$J$3),2))</f>
        <v>92.4</v>
      </c>
      <c r="G10" s="56">
        <f>IF(D10=D9,"",_xlfn.IFNA(VLOOKUP(D10,'인원 입력 기능(사과탐)'!$A$177:$D$231,4,FALSE),0))</f>
        <v>1829</v>
      </c>
      <c r="H10" s="57">
        <f t="shared" si="1"/>
        <v>3.463293632008483E-2</v>
      </c>
      <c r="I10" s="67">
        <f>SUM($G$7:G10)</f>
        <v>4927</v>
      </c>
      <c r="J10" s="59">
        <f t="shared" ref="J10:J55" si="5">I10/$J$3</f>
        <v>9.3294957489916869E-2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기능'!C124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65</v>
      </c>
      <c r="E11" s="54">
        <f t="shared" si="0"/>
        <v>2</v>
      </c>
      <c r="F11" s="55">
        <f t="shared" si="4"/>
        <v>90.55</v>
      </c>
      <c r="G11" s="56">
        <f>IF(D11=D10,"",_xlfn.IFNA(VLOOKUP(D11,'인원 입력 기능(사과탐)'!$A$177:$D$231,4,FALSE),0))</f>
        <v>127</v>
      </c>
      <c r="H11" s="57">
        <f t="shared" si="1"/>
        <v>2.4048020298801384E-3</v>
      </c>
      <c r="I11" s="67">
        <f>SUM($G$7:G11)</f>
        <v>5054</v>
      </c>
      <c r="J11" s="59">
        <f t="shared" si="5"/>
        <v>9.5699759519797006E-2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기능'!C125</f>
        <v>45</v>
      </c>
    </row>
    <row r="12" spans="1:17" s="22" customFormat="1" ht="25" customHeight="1" x14ac:dyDescent="0.45">
      <c r="A12" s="20"/>
      <c r="B12" s="35"/>
      <c r="C12" s="60">
        <v>45</v>
      </c>
      <c r="D12" s="172">
        <f t="shared" si="3"/>
        <v>64</v>
      </c>
      <c r="E12" s="172">
        <f t="shared" si="0"/>
        <v>2</v>
      </c>
      <c r="F12" s="176">
        <f t="shared" si="4"/>
        <v>88.22</v>
      </c>
      <c r="G12" s="178">
        <f>IF(D12=D11,"",_xlfn.IFNA(VLOOKUP(D12,'인원 입력 기능(사과탐)'!$A$177:$D$231,4,FALSE),0))</f>
        <v>2335</v>
      </c>
      <c r="H12" s="180">
        <f t="shared" si="1"/>
        <v>4.421427354149704E-2</v>
      </c>
      <c r="I12" s="189">
        <f>SUM($G$7:G12)</f>
        <v>7389</v>
      </c>
      <c r="J12" s="170">
        <f t="shared" si="5"/>
        <v>0.13991403306129405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기능'!C126</f>
        <v>41</v>
      </c>
    </row>
    <row r="13" spans="1:17" s="22" customFormat="1" ht="25" customHeight="1" x14ac:dyDescent="0.45">
      <c r="A13" s="20"/>
      <c r="B13" s="35"/>
      <c r="C13" s="53">
        <v>44</v>
      </c>
      <c r="D13" s="173"/>
      <c r="E13" s="173"/>
      <c r="F13" s="177"/>
      <c r="G13" s="179"/>
      <c r="H13" s="181"/>
      <c r="I13" s="190"/>
      <c r="J13" s="171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기능'!C127</f>
        <v>38</v>
      </c>
    </row>
    <row r="14" spans="1:17" s="22" customFormat="1" ht="25" customHeight="1" x14ac:dyDescent="0.45">
      <c r="A14" s="20"/>
      <c r="B14" s="35"/>
      <c r="C14" s="69">
        <v>43</v>
      </c>
      <c r="D14" s="112">
        <f t="shared" si="3"/>
        <v>63</v>
      </c>
      <c r="E14" s="112">
        <f t="shared" si="0"/>
        <v>3</v>
      </c>
      <c r="F14" s="55">
        <f t="shared" si="4"/>
        <v>85.72</v>
      </c>
      <c r="G14" s="56">
        <f>IF(D14=D13,"",_xlfn.IFNA(VLOOKUP(D14,'인원 입력 기능(사과탐)'!$A$177:$D$231,4,FALSE),0))</f>
        <v>304</v>
      </c>
      <c r="H14" s="57">
        <f t="shared" si="1"/>
        <v>5.7563765124689931E-3</v>
      </c>
      <c r="I14" s="67">
        <f>SUM($G$7:G14)</f>
        <v>7693</v>
      </c>
      <c r="J14" s="59">
        <f t="shared" si="5"/>
        <v>0.14567040957376304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기능'!C128</f>
        <v>35</v>
      </c>
    </row>
    <row r="15" spans="1:17" s="22" customFormat="1" ht="25" customHeight="1" x14ac:dyDescent="0.45">
      <c r="A15" s="20"/>
      <c r="B15" s="35"/>
      <c r="C15" s="53">
        <v>42</v>
      </c>
      <c r="D15" s="112">
        <f t="shared" ref="D15" si="6">ROUND(10*(C15-$H$3)/$H$4+50,0)</f>
        <v>62</v>
      </c>
      <c r="E15" s="112">
        <f t="shared" si="0"/>
        <v>3</v>
      </c>
      <c r="F15" s="55">
        <f t="shared" si="4"/>
        <v>84.31</v>
      </c>
      <c r="G15" s="56">
        <f>IF(D15=D14,"",_xlfn.IFNA(VLOOKUP(D15,'인원 입력 기능(사과탐)'!$A$177:$D$231,4,FALSE),0))</f>
        <v>1184</v>
      </c>
      <c r="H15" s="57">
        <f t="shared" si="1"/>
        <v>2.2419571680142393E-2</v>
      </c>
      <c r="I15" s="67">
        <f>SUM($G$7:G15)</f>
        <v>8877</v>
      </c>
      <c r="J15" s="59">
        <f t="shared" si="5"/>
        <v>0.16808998125390542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172">
        <f t="shared" si="3"/>
        <v>61</v>
      </c>
      <c r="E16" s="172">
        <f t="shared" si="0"/>
        <v>3</v>
      </c>
      <c r="F16" s="176">
        <f t="shared" si="4"/>
        <v>81.680000000000007</v>
      </c>
      <c r="G16" s="178">
        <f>IF(D16=D15,"",_xlfn.IFNA(VLOOKUP(D16,'인원 입력 기능(사과탐)'!$A$177:$D$231,4,FALSE),0))</f>
        <v>1599</v>
      </c>
      <c r="H16" s="180">
        <f t="shared" si="1"/>
        <v>3.0277783037624736E-2</v>
      </c>
      <c r="I16" s="189">
        <f>SUM($G$7:G16)</f>
        <v>10476</v>
      </c>
      <c r="J16" s="170">
        <f t="shared" si="5"/>
        <v>0.19836776429153016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173"/>
      <c r="E17" s="173"/>
      <c r="F17" s="177"/>
      <c r="G17" s="179"/>
      <c r="H17" s="181"/>
      <c r="I17" s="190"/>
      <c r="J17" s="171"/>
      <c r="K17" s="36"/>
      <c r="L17" s="20" t="str">
        <f t="shared" si="2"/>
        <v>경고</v>
      </c>
      <c r="N17" s="24"/>
      <c r="Q17" s="24">
        <f>Q7*H3*H4*J3*IFERROR(IF(J57=1, 1, 0), 0)</f>
        <v>1223156500.4735999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60</v>
      </c>
      <c r="E18" s="54">
        <f t="shared" si="0"/>
        <v>3</v>
      </c>
      <c r="F18" s="55">
        <f t="shared" si="4"/>
        <v>78.930000000000007</v>
      </c>
      <c r="G18" s="56">
        <f>IF(D18=D17,"",_xlfn.IFNA(VLOOKUP(D18,'인원 입력 기능(사과탐)'!$A$177:$D$231,4,FALSE),0))</f>
        <v>1300</v>
      </c>
      <c r="H18" s="57">
        <f t="shared" si="1"/>
        <v>2.4616083770426615E-2</v>
      </c>
      <c r="I18" s="67">
        <f>SUM($G$7:G18)</f>
        <v>11776</v>
      </c>
      <c r="J18" s="59">
        <f t="shared" si="5"/>
        <v>0.22298384806195679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59</v>
      </c>
      <c r="E19" s="54">
        <f t="shared" si="0"/>
        <v>3</v>
      </c>
      <c r="F19" s="55">
        <f t="shared" si="4"/>
        <v>76.930000000000007</v>
      </c>
      <c r="G19" s="56">
        <f>IF(D19=D18,"",_xlfn.IFNA(VLOOKUP(D19,'인원 입력 기능(사과탐)'!$A$177:$D$231,4,FALSE),0))</f>
        <v>812</v>
      </c>
      <c r="H19" s="57">
        <f t="shared" si="1"/>
        <v>1.5375584631989547E-2</v>
      </c>
      <c r="I19" s="67">
        <f>SUM($G$7:G19)</f>
        <v>12588</v>
      </c>
      <c r="J19" s="59">
        <f t="shared" si="5"/>
        <v>0.23835943269394633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172">
        <f t="shared" si="3"/>
        <v>58</v>
      </c>
      <c r="E20" s="172">
        <f t="shared" si="0"/>
        <v>4</v>
      </c>
      <c r="F20" s="176">
        <f t="shared" si="4"/>
        <v>74.2</v>
      </c>
      <c r="G20" s="178">
        <f>IF(D20=D19,"",_xlfn.IFNA(VLOOKUP(D20,'인원 입력 기능(사과탐)'!$A$177:$D$231,4,FALSE),0))</f>
        <v>2072</v>
      </c>
      <c r="H20" s="180">
        <f t="shared" si="1"/>
        <v>3.923425044024919E-2</v>
      </c>
      <c r="I20" s="189">
        <f>SUM($G$7:G20)</f>
        <v>14660</v>
      </c>
      <c r="J20" s="170">
        <f t="shared" si="5"/>
        <v>0.27759368313419552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173"/>
      <c r="E21" s="173"/>
      <c r="F21" s="177"/>
      <c r="G21" s="179"/>
      <c r="H21" s="181"/>
      <c r="I21" s="190"/>
      <c r="J21" s="17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57</v>
      </c>
      <c r="E22" s="68">
        <f t="shared" si="0"/>
        <v>4</v>
      </c>
      <c r="F22" s="55">
        <f t="shared" si="4"/>
        <v>71.41</v>
      </c>
      <c r="G22" s="56">
        <f>IF(D22=D21,"",_xlfn.IFNA(VLOOKUP(D22,'인원 입력 기능(사과탐)'!$A$177:$D$231,4,FALSE),0))</f>
        <v>878</v>
      </c>
      <c r="H22" s="57">
        <f t="shared" si="1"/>
        <v>1.6625324269565051E-2</v>
      </c>
      <c r="I22" s="67">
        <f>SUM($G$7:G22)</f>
        <v>15538</v>
      </c>
      <c r="J22" s="59">
        <f t="shared" si="5"/>
        <v>0.29421900740376056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56</v>
      </c>
      <c r="E23" s="68">
        <f t="shared" si="0"/>
        <v>4</v>
      </c>
      <c r="F23" s="55">
        <f t="shared" si="4"/>
        <v>69.44</v>
      </c>
      <c r="G23" s="56">
        <f>IF(D23=D22,"",_xlfn.IFNA(VLOOKUP(D23,'인원 입력 기능(사과탐)'!$A$177:$D$231,4,FALSE),0))</f>
        <v>1204</v>
      </c>
      <c r="H23" s="57">
        <f t="shared" si="1"/>
        <v>2.279828066122588E-2</v>
      </c>
      <c r="I23" s="67">
        <f>SUM($G$7:G23)</f>
        <v>16742</v>
      </c>
      <c r="J23" s="59">
        <f t="shared" si="5"/>
        <v>0.31701728806498647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55</v>
      </c>
      <c r="E24" s="68">
        <f t="shared" si="0"/>
        <v>4</v>
      </c>
      <c r="F24" s="55">
        <f t="shared" si="4"/>
        <v>67.31</v>
      </c>
      <c r="G24" s="56">
        <f>IF(D24=D23,"",_xlfn.IFNA(VLOOKUP(D24,'인원 입력 기능(사과탐)'!$A$177:$D$231,4,FALSE),0))</f>
        <v>1039</v>
      </c>
      <c r="H24" s="57">
        <f t="shared" si="1"/>
        <v>1.9673931567287119E-2</v>
      </c>
      <c r="I24" s="67">
        <f>SUM($G$7:G24)</f>
        <v>17781</v>
      </c>
      <c r="J24" s="59">
        <f t="shared" si="5"/>
        <v>0.33669121963227355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174">
        <f t="shared" si="3"/>
        <v>54</v>
      </c>
      <c r="E25" s="174">
        <f t="shared" si="0"/>
        <v>4</v>
      </c>
      <c r="F25" s="176">
        <f t="shared" si="4"/>
        <v>64.260000000000005</v>
      </c>
      <c r="G25" s="178">
        <f>IF(D25=D24,"",_xlfn.IFNA(VLOOKUP(D25,'인원 입력 기능(사과탐)'!$A$177:$D$231,4,FALSE),0))</f>
        <v>2190</v>
      </c>
      <c r="H25" s="180">
        <f t="shared" si="1"/>
        <v>4.1468633428641759E-2</v>
      </c>
      <c r="I25" s="189">
        <f>SUM($G$7:G25)</f>
        <v>19971</v>
      </c>
      <c r="J25" s="170">
        <f t="shared" si="5"/>
        <v>0.37815985306091532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175"/>
      <c r="E26" s="175"/>
      <c r="F26" s="177"/>
      <c r="G26" s="179"/>
      <c r="H26" s="181"/>
      <c r="I26" s="190"/>
      <c r="J26" s="171"/>
      <c r="K26" s="36"/>
      <c r="L26" s="20" t="str">
        <f t="shared" si="2"/>
        <v>경고</v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53</v>
      </c>
      <c r="E27" s="68">
        <f t="shared" si="0"/>
        <v>4</v>
      </c>
      <c r="F27" s="55">
        <f t="shared" si="4"/>
        <v>61.2</v>
      </c>
      <c r="G27" s="56">
        <f>IF(D27=D26,"",_xlfn.IFNA(VLOOKUP(D27,'인원 입력 기능(사과탐)'!$A$177:$D$231,4,FALSE),0))</f>
        <v>1039</v>
      </c>
      <c r="H27" s="57">
        <f t="shared" si="1"/>
        <v>1.9673931567287119E-2</v>
      </c>
      <c r="I27" s="67">
        <f>SUM($G$7:G27)</f>
        <v>21010</v>
      </c>
      <c r="J27" s="59">
        <f t="shared" si="5"/>
        <v>0.39783378462820246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52</v>
      </c>
      <c r="E28" s="68">
        <f t="shared" si="0"/>
        <v>4</v>
      </c>
      <c r="F28" s="55">
        <f t="shared" si="4"/>
        <v>59.13</v>
      </c>
      <c r="G28" s="56">
        <f>IF(D28=D27,"",_xlfn.IFNA(VLOOKUP(D28,'인원 입력 기능(사과탐)'!$A$177:$D$231,4,FALSE),0))</f>
        <v>1145</v>
      </c>
      <c r="H28" s="57">
        <f t="shared" si="1"/>
        <v>2.1681089167029596E-2</v>
      </c>
      <c r="I28" s="67">
        <f>SUM($G$7:G28)</f>
        <v>22155</v>
      </c>
      <c r="J28" s="59">
        <f t="shared" si="5"/>
        <v>0.41951487379523206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174">
        <f t="shared" si="3"/>
        <v>51</v>
      </c>
      <c r="E29" s="174">
        <f t="shared" si="0"/>
        <v>5</v>
      </c>
      <c r="F29" s="176">
        <f t="shared" si="4"/>
        <v>55.89</v>
      </c>
      <c r="G29" s="178">
        <f>IF(D29=D28,"",_xlfn.IFNA(VLOOKUP(D29,'인원 입력 기능(사과탐)'!$A$177:$D$231,4,FALSE),0))</f>
        <v>2280</v>
      </c>
      <c r="H29" s="180">
        <f t="shared" si="1"/>
        <v>4.3172823843517449E-2</v>
      </c>
      <c r="I29" s="189">
        <f>SUM($G$7:G29)</f>
        <v>24435</v>
      </c>
      <c r="J29" s="170">
        <f t="shared" si="5"/>
        <v>0.46268769763874951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175"/>
      <c r="E30" s="175"/>
      <c r="F30" s="177"/>
      <c r="G30" s="179"/>
      <c r="H30" s="181"/>
      <c r="I30" s="190"/>
      <c r="J30" s="171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50</v>
      </c>
      <c r="E31" s="68">
        <f t="shared" si="0"/>
        <v>5</v>
      </c>
      <c r="F31" s="55">
        <f t="shared" si="4"/>
        <v>52.59</v>
      </c>
      <c r="G31" s="56">
        <f>IF(D31=D30,"",_xlfn.IFNA(VLOOKUP(D31,'인원 입력 기능(사과탐)'!$A$177:$D$231,4,FALSE),0))</f>
        <v>1203</v>
      </c>
      <c r="H31" s="57">
        <f t="shared" si="1"/>
        <v>2.2779345212171707E-2</v>
      </c>
      <c r="I31" s="67">
        <f>SUM($G$7:G31)</f>
        <v>25638</v>
      </c>
      <c r="J31" s="59">
        <f t="shared" si="5"/>
        <v>0.48546704285092118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49</v>
      </c>
      <c r="E32" s="68">
        <f t="shared" si="0"/>
        <v>5</v>
      </c>
      <c r="F32" s="55">
        <f t="shared" si="4"/>
        <v>50.38</v>
      </c>
      <c r="G32" s="56">
        <f>IF(D32=D31,"",_xlfn.IFNA(VLOOKUP(D32,'인원 입력 기능(사과탐)'!$A$177:$D$231,4,FALSE),0))</f>
        <v>1130</v>
      </c>
      <c r="H32" s="57">
        <f t="shared" si="1"/>
        <v>2.1397057431216983E-2</v>
      </c>
      <c r="I32" s="67">
        <f>SUM($G$7:G32)</f>
        <v>26768</v>
      </c>
      <c r="J32" s="59">
        <f t="shared" si="5"/>
        <v>0.50686410028213824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174">
        <f t="shared" si="3"/>
        <v>48</v>
      </c>
      <c r="E33" s="174">
        <f t="shared" si="0"/>
        <v>5</v>
      </c>
      <c r="F33" s="176">
        <f t="shared" si="4"/>
        <v>47</v>
      </c>
      <c r="G33" s="178">
        <f>IF(D33=D32,"",_xlfn.IFNA(VLOOKUP(D33,'인원 입력 기능(사과탐)'!$A$177:$D$231,4,FALSE),0))</f>
        <v>2445</v>
      </c>
      <c r="H33" s="180">
        <f t="shared" si="1"/>
        <v>4.6297172937456214E-2</v>
      </c>
      <c r="I33" s="189">
        <f>SUM($G$7:G33)</f>
        <v>29213</v>
      </c>
      <c r="J33" s="170">
        <f t="shared" si="5"/>
        <v>0.55316127321959441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175"/>
      <c r="E34" s="175"/>
      <c r="F34" s="177"/>
      <c r="G34" s="179"/>
      <c r="H34" s="181"/>
      <c r="I34" s="190"/>
      <c r="J34" s="171"/>
      <c r="K34" s="36"/>
      <c r="L34" s="20" t="str">
        <f t="shared" si="2"/>
        <v>경고</v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47</v>
      </c>
      <c r="E35" s="68">
        <f t="shared" si="0"/>
        <v>5</v>
      </c>
      <c r="F35" s="55">
        <f t="shared" si="4"/>
        <v>43.59</v>
      </c>
      <c r="G35" s="56">
        <f>IF(D35=D34,"",_xlfn.IFNA(VLOOKUP(D35,'인원 입력 기능(사과탐)'!$A$177:$D$231,4,FALSE),0))</f>
        <v>1157</v>
      </c>
      <c r="H35" s="57">
        <f t="shared" si="1"/>
        <v>2.1908314555679688E-2</v>
      </c>
      <c r="I35" s="67">
        <f>SUM($G$7:G35)</f>
        <v>30370</v>
      </c>
      <c r="J35" s="59">
        <f t="shared" si="5"/>
        <v>0.57506958777527406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46</v>
      </c>
      <c r="E36" s="68">
        <f t="shared" si="0"/>
        <v>5</v>
      </c>
      <c r="F36" s="55">
        <f t="shared" si="4"/>
        <v>41.25</v>
      </c>
      <c r="G36" s="56">
        <f>IF(D36=D35,"",_xlfn.IFNA(VLOOKUP(D36,'인원 입력 기능(사과탐)'!$A$177:$D$231,4,FALSE),0))</f>
        <v>1313</v>
      </c>
      <c r="H36" s="57">
        <f t="shared" si="1"/>
        <v>2.4862244608130881E-2</v>
      </c>
      <c r="I36" s="67">
        <f>SUM($G$7:G36)</f>
        <v>31683</v>
      </c>
      <c r="J36" s="59">
        <f t="shared" si="5"/>
        <v>0.59993183238340497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174">
        <f t="shared" si="3"/>
        <v>45</v>
      </c>
      <c r="E37" s="174">
        <f t="shared" si="0"/>
        <v>5</v>
      </c>
      <c r="F37" s="176">
        <f t="shared" si="4"/>
        <v>37.69</v>
      </c>
      <c r="G37" s="178">
        <f>IF(D37=D36,"",_xlfn.IFNA(VLOOKUP(D37,'인원 입력 기능(사과탐)'!$A$177:$D$231,4,FALSE),0))</f>
        <v>2449</v>
      </c>
      <c r="H37" s="180">
        <f t="shared" si="1"/>
        <v>4.6372914733672908E-2</v>
      </c>
      <c r="I37" s="189">
        <f>SUM($G$7:G37)</f>
        <v>34132</v>
      </c>
      <c r="J37" s="170">
        <f t="shared" si="5"/>
        <v>0.64630474711707786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175"/>
      <c r="E38" s="175"/>
      <c r="F38" s="177"/>
      <c r="G38" s="179"/>
      <c r="H38" s="181"/>
      <c r="I38" s="190"/>
      <c r="J38" s="17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44</v>
      </c>
      <c r="E39" s="68">
        <f t="shared" ref="E39:E57" si="7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34.14</v>
      </c>
      <c r="G39" s="56">
        <f>IF(D39=D38,"",_xlfn.IFNA(VLOOKUP(D39,'인원 입력 기능(사과탐)'!$A$177:$D$231,4,FALSE),0))</f>
        <v>1299</v>
      </c>
      <c r="H39" s="57">
        <f t="shared" si="1"/>
        <v>2.4597148321372442E-2</v>
      </c>
      <c r="I39" s="67">
        <f>SUM($G$7:G39)</f>
        <v>35431</v>
      </c>
      <c r="J39" s="59">
        <f t="shared" si="5"/>
        <v>0.67090189543845036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43</v>
      </c>
      <c r="E40" s="68">
        <f t="shared" si="7"/>
        <v>6</v>
      </c>
      <c r="F40" s="55">
        <f t="shared" si="4"/>
        <v>31.71</v>
      </c>
      <c r="G40" s="56">
        <f>IF(D40=D39,"",_xlfn.IFNA(VLOOKUP(D40,'인원 입력 기능(사과탐)'!$A$177:$D$231,4,FALSE),0))</f>
        <v>1268</v>
      </c>
      <c r="H40" s="57">
        <f t="shared" si="1"/>
        <v>2.4010149400693036E-2</v>
      </c>
      <c r="I40" s="67">
        <f>SUM($G$7:G40)</f>
        <v>36699</v>
      </c>
      <c r="J40" s="59">
        <f t="shared" si="5"/>
        <v>0.69491204483914337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42</v>
      </c>
      <c r="E41" s="68">
        <f t="shared" si="7"/>
        <v>6</v>
      </c>
      <c r="F41" s="55">
        <f t="shared" si="4"/>
        <v>29.19</v>
      </c>
      <c r="G41" s="56">
        <f>IF(D41=D40,"",_xlfn.IFNA(VLOOKUP(D41,'인원 입력 기능(사과탐)'!$A$177:$D$231,4,FALSE),0))</f>
        <v>1396</v>
      </c>
      <c r="H41" s="57">
        <f t="shared" si="1"/>
        <v>2.643388687962735E-2</v>
      </c>
      <c r="I41" s="67">
        <f>SUM($G$7:G41)</f>
        <v>38095</v>
      </c>
      <c r="J41" s="59">
        <f t="shared" si="5"/>
        <v>0.72134593171877071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174">
        <f t="shared" si="3"/>
        <v>41</v>
      </c>
      <c r="E42" s="174">
        <f t="shared" si="7"/>
        <v>6</v>
      </c>
      <c r="F42" s="176">
        <f t="shared" si="4"/>
        <v>25.32</v>
      </c>
      <c r="G42" s="178">
        <f>IF(D42=D41,"",_xlfn.IFNA(VLOOKUP(D42,'인원 입력 기능(사과탐)'!$A$177:$D$231,4,FALSE),0))</f>
        <v>2685</v>
      </c>
      <c r="H42" s="180">
        <f t="shared" si="1"/>
        <v>5.0841680710458047E-2</v>
      </c>
      <c r="I42" s="189">
        <f>SUM($G$7:G42)</f>
        <v>40780</v>
      </c>
      <c r="J42" s="170">
        <f t="shared" si="5"/>
        <v>0.77218761242922873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5"/>
      <c r="E43" s="175"/>
      <c r="F43" s="177"/>
      <c r="G43" s="179"/>
      <c r="H43" s="181"/>
      <c r="I43" s="190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40</v>
      </c>
      <c r="E44" s="68">
        <f t="shared" si="7"/>
        <v>7</v>
      </c>
      <c r="F44" s="55">
        <f t="shared" si="4"/>
        <v>19.97</v>
      </c>
      <c r="G44" s="56">
        <f>IF(D44=D43,"",_xlfn.IFNA(VLOOKUP(D44,'인원 입력 기능(사과탐)'!$A$177:$D$231,4,FALSE),0))</f>
        <v>2970</v>
      </c>
      <c r="H44" s="57">
        <f t="shared" si="1"/>
        <v>5.6238283690897728E-2</v>
      </c>
      <c r="I44" s="67">
        <f>SUM($G$7:G44)</f>
        <v>43750</v>
      </c>
      <c r="J44" s="59">
        <f t="shared" si="5"/>
        <v>0.82842589612012651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39</v>
      </c>
      <c r="E45" s="68">
        <f t="shared" si="7"/>
        <v>7</v>
      </c>
      <c r="F45" s="55">
        <f t="shared" si="4"/>
        <v>15.89</v>
      </c>
      <c r="G45" s="56">
        <f>IF(D45=D44,"",_xlfn.IFNA(VLOOKUP(D45,'인원 입력 기능(사과탐)'!$A$177:$D$231,4,FALSE),0))</f>
        <v>1338</v>
      </c>
      <c r="H45" s="57">
        <f t="shared" si="1"/>
        <v>2.5335630834485239E-2</v>
      </c>
      <c r="I45" s="67">
        <f>SUM($G$7:G45)</f>
        <v>45088</v>
      </c>
      <c r="J45" s="59">
        <f t="shared" si="5"/>
        <v>0.85376152695461172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174">
        <f t="shared" si="3"/>
        <v>38</v>
      </c>
      <c r="E46" s="174">
        <f t="shared" si="7"/>
        <v>7</v>
      </c>
      <c r="F46" s="176">
        <f t="shared" si="4"/>
        <v>11.17</v>
      </c>
      <c r="G46" s="178">
        <f>IF(D46=D45,"",_xlfn.IFNA(VLOOKUP(D46,'인원 입력 기능(사과탐)'!$A$177:$D$231,4,FALSE),0))</f>
        <v>3648</v>
      </c>
      <c r="H46" s="180">
        <f t="shared" si="1"/>
        <v>6.9076518149627925E-2</v>
      </c>
      <c r="I46" s="189">
        <f>SUM($G$7:G46)</f>
        <v>48736</v>
      </c>
      <c r="J46" s="170">
        <f t="shared" si="5"/>
        <v>0.92283804510423961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175"/>
      <c r="E47" s="175"/>
      <c r="F47" s="177"/>
      <c r="G47" s="179"/>
      <c r="H47" s="181"/>
      <c r="I47" s="190"/>
      <c r="J47" s="171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7"/>
        <v>8</v>
      </c>
      <c r="F48" s="55">
        <f t="shared" si="4"/>
        <v>6.63</v>
      </c>
      <c r="G48" s="56">
        <f>IF(D48=D47,"",_xlfn.IFNA(VLOOKUP(D48,'인원 입력 기능(사과탐)'!$A$177:$D$231,4,FALSE),0))</f>
        <v>1148</v>
      </c>
      <c r="H48" s="57">
        <f t="shared" si="1"/>
        <v>2.173789551419212E-2</v>
      </c>
      <c r="I48" s="67">
        <f>SUM($G$7:G48)</f>
        <v>49884</v>
      </c>
      <c r="J48" s="59">
        <f t="shared" si="5"/>
        <v>0.94457594061843175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7"/>
        <v>8</v>
      </c>
      <c r="F49" s="55">
        <f t="shared" si="4"/>
        <v>4.8099999999999996</v>
      </c>
      <c r="G49" s="56">
        <f>IF(D49=D48,"",_xlfn.IFNA(VLOOKUP(D49,'인원 입력 기능(사과탐)'!$A$177:$D$231,4,FALSE),0))</f>
        <v>771</v>
      </c>
      <c r="H49" s="57">
        <f t="shared" si="1"/>
        <v>1.4599231220768401E-2</v>
      </c>
      <c r="I49" s="67">
        <f>SUM($G$7:G49)</f>
        <v>50655</v>
      </c>
      <c r="J49" s="59">
        <f t="shared" si="5"/>
        <v>0.9591751718392002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174">
        <f t="shared" si="3"/>
        <v>35</v>
      </c>
      <c r="E50" s="174">
        <f t="shared" si="7"/>
        <v>8</v>
      </c>
      <c r="F50" s="176">
        <f t="shared" si="4"/>
        <v>2.92</v>
      </c>
      <c r="G50" s="178">
        <f>IF(D50=D49,"",_xlfn.IFNA(VLOOKUP(D50,'인원 입력 기능(사과탐)'!$A$177:$D$231,4,FALSE),0))</f>
        <v>1227</v>
      </c>
      <c r="H50" s="180">
        <f t="shared" si="1"/>
        <v>2.3233795989471891E-2</v>
      </c>
      <c r="I50" s="189">
        <f>SUM($G$7:G50)</f>
        <v>51882</v>
      </c>
      <c r="J50" s="170">
        <f t="shared" si="5"/>
        <v>0.98240896782867204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175"/>
      <c r="E51" s="175"/>
      <c r="F51" s="177"/>
      <c r="G51" s="179"/>
      <c r="H51" s="181"/>
      <c r="I51" s="190"/>
      <c r="J51" s="171"/>
      <c r="K51" s="36"/>
      <c r="L51" s="20" t="str">
        <f t="shared" si="2"/>
        <v>경고</v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7"/>
        <v>9</v>
      </c>
      <c r="F52" s="55">
        <f t="shared" si="4"/>
        <v>1.39</v>
      </c>
      <c r="G52" s="56">
        <f>IF(D52=D51,"",_xlfn.IFNA(VLOOKUP(D52,'인원 입력 기능(사과탐)'!$A$177:$D$231,4,FALSE),0))</f>
        <v>391</v>
      </c>
      <c r="H52" s="57">
        <f t="shared" si="1"/>
        <v>7.4037605801821589E-3</v>
      </c>
      <c r="I52" s="67">
        <f>SUM($G$7:G52)</f>
        <v>52273</v>
      </c>
      <c r="J52" s="59">
        <f t="shared" si="5"/>
        <v>0.98981272840885426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106">
        <v>4</v>
      </c>
      <c r="D53" s="54">
        <f t="shared" si="3"/>
        <v>33</v>
      </c>
      <c r="E53" s="54">
        <f t="shared" si="7"/>
        <v>9</v>
      </c>
      <c r="F53" s="55">
        <f t="shared" si="4"/>
        <v>0.84</v>
      </c>
      <c r="G53" s="56">
        <f>IF(D53=D52,"",_xlfn.IFNA(VLOOKUP(D53,'인원 입력 기능(사과탐)'!$A$177:$D$231,4,FALSE),0))</f>
        <v>185</v>
      </c>
      <c r="H53" s="57">
        <f t="shared" si="1"/>
        <v>3.5030580750222491E-3</v>
      </c>
      <c r="I53" s="67">
        <f>SUM($G$7:G53)</f>
        <v>52458</v>
      </c>
      <c r="J53" s="59">
        <f t="shared" si="5"/>
        <v>0.99331578648387642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7"/>
        <v>9</v>
      </c>
      <c r="F54" s="55">
        <f t="shared" si="4"/>
        <v>0.54</v>
      </c>
      <c r="G54" s="56">
        <f>IF(D54=D53,"",_xlfn.IFNA(VLOOKUP(D54,'인원 입력 기능(사과탐)'!$A$177:$D$231,4,FALSE),0))</f>
        <v>137</v>
      </c>
      <c r="H54" s="57">
        <f t="shared" si="1"/>
        <v>2.5941565204218816E-3</v>
      </c>
      <c r="I54" s="67">
        <f>SUM($G$7:G54)</f>
        <v>52595</v>
      </c>
      <c r="J54" s="59">
        <f t="shared" si="5"/>
        <v>0.99590994300429836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7"/>
        <v>9</v>
      </c>
      <c r="F55" s="55">
        <f t="shared" si="4"/>
        <v>0.26</v>
      </c>
      <c r="G55" s="56">
        <f>IF(D55=D54,"",_xlfn.IFNA(VLOOKUP(D55,'인원 입력 기능(사과탐)'!$A$177:$D$231,4,FALSE),0))</f>
        <v>157</v>
      </c>
      <c r="H55" s="57">
        <f t="shared" si="1"/>
        <v>2.9728655015053684E-3</v>
      </c>
      <c r="I55" s="67">
        <f>SUM($G$7:G55)</f>
        <v>52752</v>
      </c>
      <c r="J55" s="59">
        <f t="shared" si="5"/>
        <v>0.99888280850580369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7"/>
        <v>9</v>
      </c>
      <c r="F57" s="74">
        <f>IF(I55=0,ROUND(100*(1-(I54+I57)/2/$J$3),2),ROUND(100*(1-(I55+I57)/2/$J$3),2))</f>
        <v>0.06</v>
      </c>
      <c r="G57" s="110">
        <f>_xlfn.IFNA(VLOOKUP(D57,'인원 입력 기능(사과탐)'!$A$177:$D$231,4,FALSE),0)</f>
        <v>59</v>
      </c>
      <c r="H57" s="76">
        <f>G57/$J$3</f>
        <v>1.1171914941962848E-3</v>
      </c>
      <c r="I57" s="77">
        <f>SUM($G$7:G57)</f>
        <v>52811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73">
    <mergeCell ref="D3:F3"/>
    <mergeCell ref="D4:F4"/>
    <mergeCell ref="G5:J5"/>
    <mergeCell ref="D12:D13"/>
    <mergeCell ref="E12:E13"/>
    <mergeCell ref="F12:F13"/>
    <mergeCell ref="G12:G13"/>
    <mergeCell ref="H12:H13"/>
    <mergeCell ref="I12:I13"/>
    <mergeCell ref="J12:J13"/>
    <mergeCell ref="I16:I17"/>
    <mergeCell ref="J16:J17"/>
    <mergeCell ref="D20:D21"/>
    <mergeCell ref="E20:E21"/>
    <mergeCell ref="F20:F21"/>
    <mergeCell ref="G20:G21"/>
    <mergeCell ref="H20:H21"/>
    <mergeCell ref="I20:I21"/>
    <mergeCell ref="J20:J21"/>
    <mergeCell ref="D16:D17"/>
    <mergeCell ref="E16:E17"/>
    <mergeCell ref="F16:F17"/>
    <mergeCell ref="G16:G17"/>
    <mergeCell ref="H16:H17"/>
    <mergeCell ref="I25:I26"/>
    <mergeCell ref="J25:J26"/>
    <mergeCell ref="D29:D30"/>
    <mergeCell ref="E29:E30"/>
    <mergeCell ref="F29:F30"/>
    <mergeCell ref="G29:G30"/>
    <mergeCell ref="H29:H30"/>
    <mergeCell ref="I29:I30"/>
    <mergeCell ref="J29:J30"/>
    <mergeCell ref="D25:D26"/>
    <mergeCell ref="E25:E26"/>
    <mergeCell ref="F25:F26"/>
    <mergeCell ref="G25:G26"/>
    <mergeCell ref="H25:H26"/>
    <mergeCell ref="I33:I34"/>
    <mergeCell ref="J33:J34"/>
    <mergeCell ref="D37:D38"/>
    <mergeCell ref="E37:E38"/>
    <mergeCell ref="F37:F38"/>
    <mergeCell ref="G37:G38"/>
    <mergeCell ref="H37:H38"/>
    <mergeCell ref="I37:I38"/>
    <mergeCell ref="J37:J38"/>
    <mergeCell ref="D33:D34"/>
    <mergeCell ref="E33:E34"/>
    <mergeCell ref="F33:F34"/>
    <mergeCell ref="G33:G34"/>
    <mergeCell ref="H33:H34"/>
    <mergeCell ref="I42:I43"/>
    <mergeCell ref="J42:J43"/>
    <mergeCell ref="D46:D47"/>
    <mergeCell ref="E46:E47"/>
    <mergeCell ref="F46:F47"/>
    <mergeCell ref="G46:G47"/>
    <mergeCell ref="H46:H47"/>
    <mergeCell ref="I46:I47"/>
    <mergeCell ref="J46:J47"/>
    <mergeCell ref="D42:D43"/>
    <mergeCell ref="E42:E43"/>
    <mergeCell ref="F42:F43"/>
    <mergeCell ref="G42:G43"/>
    <mergeCell ref="H42:H43"/>
    <mergeCell ref="I50:I51"/>
    <mergeCell ref="J50:J51"/>
    <mergeCell ref="D50:D51"/>
    <mergeCell ref="E50:E51"/>
    <mergeCell ref="F50:F51"/>
    <mergeCell ref="G50:G51"/>
    <mergeCell ref="H50:H51"/>
  </mergeCells>
  <phoneticPr fontId="1" type="noConversion"/>
  <conditionalFormatting sqref="D7:G12 I7:J12 D14:G16 I14:J16 D18:G20 I18:J20 D22:G25 I22:J25 D27:G29 I27:J29 D31:G33 I31:J33 D35:G37 I35:J37 D39:G42 I39:J42 D44:G46 I44:J46 D48:G50 I48:J50 D52:G57 I52:J57">
    <cfRule type="expression" dxfId="38" priority="4">
      <formula>OR($D7=$Q$7:$Q$14)</formula>
    </cfRule>
  </conditionalFormatting>
  <conditionalFormatting sqref="C7:C57">
    <cfRule type="expression" dxfId="37" priority="3">
      <formula>OR(AND($D7=0,OR($D6=$Q$7:$Q$14)),AND($D8&gt;0,OR($D7=$Q$7:$Q$14)))</formula>
    </cfRule>
  </conditionalFormatting>
  <conditionalFormatting sqref="D7:D12 D14:D16 D18:D20 D22:D25 D27:D29 D31:D33 D35:D37 D39:D42 D44:D46 D48:D50 D52:D57">
    <cfRule type="expression" dxfId="36" priority="2">
      <formula>$D7=$D8</formula>
    </cfRule>
  </conditionalFormatting>
  <conditionalFormatting sqref="H7:H12 H14:H16 H18:H20 H22:H25 H27:H29 H31:H33 H35:H37 H39:H42 H44:H46 H48:H50 H52:H57">
    <cfRule type="expression" dxfId="35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68BF7-AFD5-474A-95FA-3D74AEB9D3B3}">
  <sheetPr codeName="Sheet20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기능'!D18</f>
        <v>22.48</v>
      </c>
      <c r="I3" s="21" t="s">
        <v>123</v>
      </c>
      <c r="J3" s="81">
        <f>'통계 및 응시자 수 입력 기능'!C18</f>
        <v>62070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145</v>
      </c>
      <c r="E4" s="186"/>
      <c r="F4" s="187"/>
      <c r="G4" s="83" t="s">
        <v>126</v>
      </c>
      <c r="H4" s="84" t="str">
        <f>'통계 및 응시자 수 입력 기능'!E18</f>
        <v>10.77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76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99.68</v>
      </c>
      <c r="G7" s="56">
        <f>_xlfn.IFNA(VLOOKUP(D7,'인원 입력 기능(사과탐)'!$F$177:$I$231,4,FALSE),0)</f>
        <v>394</v>
      </c>
      <c r="H7" s="57">
        <f>G7/$J$3</f>
        <v>6.3476719832447235E-3</v>
      </c>
      <c r="I7" s="58">
        <f>G7</f>
        <v>394</v>
      </c>
      <c r="J7" s="59">
        <f>I7/$J$3</f>
        <v>6.3476719832447235E-3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기능'!C130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기능'!C131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74</v>
      </c>
      <c r="E9" s="54">
        <f t="shared" si="0"/>
        <v>1</v>
      </c>
      <c r="F9" s="55">
        <f>IF(I8=0,ROUND(100*(1-(I7+I9)/2/$J$3),2),ROUND(100*(1-(I8+I9)/2/$J$3),2))</f>
        <v>99.18</v>
      </c>
      <c r="G9" s="56">
        <f>_xlfn.IFNA(VLOOKUP(D9,'인원 입력 기능(사과탐)'!$F$177:$I$231,4,FALSE),0)</f>
        <v>226</v>
      </c>
      <c r="H9" s="57">
        <f t="shared" ref="H9:H55" si="1">G9/$J$3</f>
        <v>3.6410504269373286E-3</v>
      </c>
      <c r="I9" s="67">
        <f>SUM($G$7:G9)</f>
        <v>620</v>
      </c>
      <c r="J9" s="59">
        <f>I9/$J$3</f>
        <v>9.9887224101820517E-3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기능'!C132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73</v>
      </c>
      <c r="E10" s="54">
        <f t="shared" si="0"/>
        <v>1</v>
      </c>
      <c r="F10" s="55">
        <f t="shared" ref="F10:F55" si="4">IF(I9=0,ROUND(100*(1-(I8+I10)/2/$J$3),2),ROUND(100*(1-(I9+I10)/2/$J$3),2))</f>
        <v>98.52</v>
      </c>
      <c r="G10" s="56">
        <f>IF(D10=D9,"",_xlfn.IFNA(VLOOKUP(D10,'인원 입력 기능(사과탐)'!$F$177:$I$231,4,FALSE),0))</f>
        <v>602</v>
      </c>
      <c r="H10" s="57">
        <f t="shared" si="1"/>
        <v>9.6987272434348321E-3</v>
      </c>
      <c r="I10" s="67">
        <f>SUM($G$7:G10)</f>
        <v>1222</v>
      </c>
      <c r="J10" s="59">
        <f t="shared" ref="J10:J55" si="5">I10/$J$3</f>
        <v>1.9687449653616886E-2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기능'!C133</f>
        <v>52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72</v>
      </c>
      <c r="E11" s="54">
        <f t="shared" si="0"/>
        <v>1</v>
      </c>
      <c r="F11" s="55">
        <f t="shared" si="4"/>
        <v>97.99</v>
      </c>
      <c r="G11" s="56">
        <f>IF(D11=D10,"",_xlfn.IFNA(VLOOKUP(D11,'인원 입력 기능(사과탐)'!$F$177:$I$231,4,FALSE),0))</f>
        <v>46</v>
      </c>
      <c r="H11" s="57">
        <f t="shared" si="1"/>
        <v>7.4109875946512006E-4</v>
      </c>
      <c r="I11" s="67">
        <f>SUM($G$7:G11)</f>
        <v>1268</v>
      </c>
      <c r="J11" s="59">
        <f t="shared" si="5"/>
        <v>2.0428548413082004E-2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기능'!C134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71</v>
      </c>
      <c r="E12" s="54">
        <f t="shared" si="0"/>
        <v>1</v>
      </c>
      <c r="F12" s="55">
        <f t="shared" si="4"/>
        <v>97.54</v>
      </c>
      <c r="G12" s="56">
        <f>IF(D12=D11,"",_xlfn.IFNA(VLOOKUP(D12,'인원 입력 기능(사과탐)'!$F$177:$I$231,4,FALSE),0))</f>
        <v>523</v>
      </c>
      <c r="H12" s="57">
        <f t="shared" si="1"/>
        <v>8.4259706782664739E-3</v>
      </c>
      <c r="I12" s="67">
        <f>SUM($G$7:G12)</f>
        <v>1791</v>
      </c>
      <c r="J12" s="59">
        <f t="shared" si="5"/>
        <v>2.8854519091348476E-2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기능'!C135</f>
        <v>42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70</v>
      </c>
      <c r="E13" s="54">
        <f t="shared" si="0"/>
        <v>1</v>
      </c>
      <c r="F13" s="55">
        <f t="shared" si="4"/>
        <v>96.5</v>
      </c>
      <c r="G13" s="56">
        <f>IF(D13=D12,"",_xlfn.IFNA(VLOOKUP(D13,'인원 입력 기능(사과탐)'!$F$177:$I$231,4,FALSE),0))</f>
        <v>758</v>
      </c>
      <c r="H13" s="57">
        <f t="shared" si="1"/>
        <v>1.2212018688577412E-2</v>
      </c>
      <c r="I13" s="67">
        <f>SUM($G$7:G13)</f>
        <v>2549</v>
      </c>
      <c r="J13" s="59">
        <f t="shared" si="5"/>
        <v>4.1066537779925888E-2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기능'!C136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69</v>
      </c>
      <c r="E14" s="54">
        <f t="shared" si="0"/>
        <v>2</v>
      </c>
      <c r="F14" s="55">
        <f t="shared" si="4"/>
        <v>95.72</v>
      </c>
      <c r="G14" s="56">
        <f>IF(D14=D13,"",_xlfn.IFNA(VLOOKUP(D14,'인원 입력 기능(사과탐)'!$F$177:$I$231,4,FALSE),0))</f>
        <v>216</v>
      </c>
      <c r="H14" s="57">
        <f t="shared" si="1"/>
        <v>3.4799420009666506E-3</v>
      </c>
      <c r="I14" s="67">
        <f>SUM($G$7:G14)</f>
        <v>2765</v>
      </c>
      <c r="J14" s="59">
        <f t="shared" si="5"/>
        <v>4.4546479780892538E-2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기능'!C137</f>
        <v>35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68</v>
      </c>
      <c r="E15" s="54">
        <f t="shared" si="0"/>
        <v>2</v>
      </c>
      <c r="F15" s="55">
        <f t="shared" si="4"/>
        <v>94.94</v>
      </c>
      <c r="G15" s="56">
        <f>IF(D15=D14,"",_xlfn.IFNA(VLOOKUP(D15,'인원 입력 기능(사과탐)'!$F$177:$I$231,4,FALSE),0))</f>
        <v>751</v>
      </c>
      <c r="H15" s="57">
        <f t="shared" si="1"/>
        <v>1.2099242790397938E-2</v>
      </c>
      <c r="I15" s="67">
        <f>SUM($G$7:G15)</f>
        <v>3516</v>
      </c>
      <c r="J15" s="59">
        <f t="shared" si="5"/>
        <v>5.6645722571290476E-2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67</v>
      </c>
      <c r="E16" s="54">
        <f t="shared" si="0"/>
        <v>2</v>
      </c>
      <c r="F16" s="55">
        <f t="shared" si="4"/>
        <v>93.73</v>
      </c>
      <c r="G16" s="56">
        <f>IF(D16=D15,"",_xlfn.IFNA(VLOOKUP(D16,'인원 입력 기능(사과탐)'!$F$177:$I$231,4,FALSE),0))</f>
        <v>752</v>
      </c>
      <c r="H16" s="57">
        <f t="shared" si="1"/>
        <v>1.2115353632995006E-2</v>
      </c>
      <c r="I16" s="67">
        <f>SUM($G$7:G16)</f>
        <v>4268</v>
      </c>
      <c r="J16" s="59">
        <f t="shared" si="5"/>
        <v>6.8761076204285482E-2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66</v>
      </c>
      <c r="E17" s="54">
        <f t="shared" si="0"/>
        <v>2</v>
      </c>
      <c r="F17" s="55">
        <f t="shared" si="4"/>
        <v>92.77</v>
      </c>
      <c r="G17" s="56">
        <f>IF(D17=D16,"",_xlfn.IFNA(VLOOKUP(D17,'인원 입력 기능(사과탐)'!$F$177:$I$231,4,FALSE),0))</f>
        <v>434</v>
      </c>
      <c r="H17" s="57">
        <f t="shared" si="1"/>
        <v>6.9921056871274367E-3</v>
      </c>
      <c r="I17" s="67">
        <f>SUM($G$7:G17)</f>
        <v>4702</v>
      </c>
      <c r="J17" s="59">
        <f t="shared" si="5"/>
        <v>7.5753181891412918E-2</v>
      </c>
      <c r="K17" s="36"/>
      <c r="L17" s="20" t="str">
        <f t="shared" si="2"/>
        <v/>
      </c>
      <c r="N17" s="24"/>
      <c r="Q17" s="24">
        <f>Q7*H3*H4*J3*IFERROR(IF(J57=1, 1, 0), 0)</f>
        <v>1051942001.0400002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65</v>
      </c>
      <c r="E18" s="54">
        <f t="shared" si="0"/>
        <v>2</v>
      </c>
      <c r="F18" s="55">
        <f t="shared" si="4"/>
        <v>91.57</v>
      </c>
      <c r="G18" s="56">
        <f>IF(D18=D17,"",_xlfn.IFNA(VLOOKUP(D18,'인원 입력 기능(사과탐)'!$F$177:$I$231,4,FALSE),0))</f>
        <v>1067</v>
      </c>
      <c r="H18" s="57">
        <f t="shared" si="1"/>
        <v>1.719026905107137E-2</v>
      </c>
      <c r="I18" s="67">
        <f>SUM($G$7:G18)</f>
        <v>5769</v>
      </c>
      <c r="J18" s="59">
        <f t="shared" si="5"/>
        <v>9.2943450942484296E-2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64</v>
      </c>
      <c r="E19" s="54">
        <f t="shared" si="0"/>
        <v>2</v>
      </c>
      <c r="F19" s="55">
        <f t="shared" si="4"/>
        <v>90.01</v>
      </c>
      <c r="G19" s="56">
        <f>IF(D19=D18,"",_xlfn.IFNA(VLOOKUP(D19,'인원 입력 기능(사과탐)'!$F$177:$I$231,4,FALSE),0))</f>
        <v>869</v>
      </c>
      <c r="H19" s="57">
        <f t="shared" si="1"/>
        <v>1.4000322216851942E-2</v>
      </c>
      <c r="I19" s="67">
        <f>SUM($G$7:G19)</f>
        <v>6638</v>
      </c>
      <c r="J19" s="59">
        <f t="shared" si="5"/>
        <v>0.10694377315933623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172">
        <f t="shared" si="3"/>
        <v>63</v>
      </c>
      <c r="E20" s="172">
        <f t="shared" si="0"/>
        <v>2</v>
      </c>
      <c r="F20" s="176">
        <f t="shared" si="4"/>
        <v>87.65</v>
      </c>
      <c r="G20" s="178">
        <f>IF(D20=D19,"",_xlfn.IFNA(VLOOKUP(D20,'인원 입력 기능(사과탐)'!$F$177:$I$231,4,FALSE),0))</f>
        <v>2060</v>
      </c>
      <c r="H20" s="180">
        <f t="shared" si="1"/>
        <v>3.3188335749959726E-2</v>
      </c>
      <c r="I20" s="189">
        <f>SUM($G$7:G20)</f>
        <v>8698</v>
      </c>
      <c r="J20" s="170">
        <f t="shared" si="5"/>
        <v>0.14013210890929595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173"/>
      <c r="E21" s="173"/>
      <c r="F21" s="177"/>
      <c r="G21" s="179"/>
      <c r="H21" s="181"/>
      <c r="I21" s="190"/>
      <c r="J21" s="171"/>
      <c r="K21" s="36"/>
      <c r="L21" s="20" t="str">
        <f t="shared" si="2"/>
        <v>경고</v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62</v>
      </c>
      <c r="E22" s="68">
        <f t="shared" si="0"/>
        <v>3</v>
      </c>
      <c r="F22" s="55">
        <f t="shared" si="4"/>
        <v>85.21</v>
      </c>
      <c r="G22" s="56">
        <f>IF(D22=D21,"",_xlfn.IFNA(VLOOKUP(D22,'인원 입력 기능(사과탐)'!$F$177:$I$231,4,FALSE),0))</f>
        <v>963</v>
      </c>
      <c r="H22" s="57">
        <f t="shared" si="1"/>
        <v>1.5514741420976317E-2</v>
      </c>
      <c r="I22" s="67">
        <f>SUM($G$7:G22)</f>
        <v>9661</v>
      </c>
      <c r="J22" s="59">
        <f t="shared" si="5"/>
        <v>0.15564685033027229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61</v>
      </c>
      <c r="E23" s="68">
        <f t="shared" si="0"/>
        <v>3</v>
      </c>
      <c r="F23" s="55">
        <f t="shared" si="4"/>
        <v>83.5</v>
      </c>
      <c r="G23" s="56">
        <f>IF(D23=D22,"",_xlfn.IFNA(VLOOKUP(D23,'인원 입력 기능(사과탐)'!$F$177:$I$231,4,FALSE),0))</f>
        <v>1162</v>
      </c>
      <c r="H23" s="57">
        <f t="shared" si="1"/>
        <v>1.8720799097792815E-2</v>
      </c>
      <c r="I23" s="67">
        <f>SUM($G$7:G23)</f>
        <v>10823</v>
      </c>
      <c r="J23" s="59">
        <f t="shared" si="5"/>
        <v>0.1743676494280651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60</v>
      </c>
      <c r="E24" s="68">
        <f t="shared" si="0"/>
        <v>3</v>
      </c>
      <c r="F24" s="55">
        <f t="shared" si="4"/>
        <v>81.37</v>
      </c>
      <c r="G24" s="56">
        <f>IF(D24=D23,"",_xlfn.IFNA(VLOOKUP(D24,'인원 입력 기능(사과탐)'!$F$177:$I$231,4,FALSE),0))</f>
        <v>1485</v>
      </c>
      <c r="H24" s="57">
        <f t="shared" si="1"/>
        <v>2.3924601256645722E-2</v>
      </c>
      <c r="I24" s="67">
        <f>SUM($G$7:G24)</f>
        <v>12308</v>
      </c>
      <c r="J24" s="59">
        <f t="shared" si="5"/>
        <v>0.19829225068471082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59</v>
      </c>
      <c r="E25" s="68">
        <f t="shared" si="0"/>
        <v>3</v>
      </c>
      <c r="F25" s="55">
        <f t="shared" si="4"/>
        <v>79.28</v>
      </c>
      <c r="G25" s="56">
        <f>IF(D25=D24,"",_xlfn.IFNA(VLOOKUP(D25,'인원 입력 기능(사과탐)'!$F$177:$I$231,4,FALSE),0))</f>
        <v>1101</v>
      </c>
      <c r="H25" s="57">
        <f t="shared" si="1"/>
        <v>1.7738037699371677E-2</v>
      </c>
      <c r="I25" s="67">
        <f>SUM($G$7:G25)</f>
        <v>13409</v>
      </c>
      <c r="J25" s="59">
        <f t="shared" si="5"/>
        <v>0.21603028838408248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58</v>
      </c>
      <c r="E26" s="68">
        <f t="shared" si="0"/>
        <v>3</v>
      </c>
      <c r="F26" s="55">
        <f t="shared" si="4"/>
        <v>77.12</v>
      </c>
      <c r="G26" s="56">
        <f>IF(D26=D25,"",_xlfn.IFNA(VLOOKUP(D26,'인원 입력 기능(사과탐)'!$F$177:$I$231,4,FALSE),0))</f>
        <v>1589</v>
      </c>
      <c r="H26" s="57">
        <f t="shared" si="1"/>
        <v>2.5600128886740778E-2</v>
      </c>
      <c r="I26" s="67">
        <f>SUM($G$7:G26)</f>
        <v>14998</v>
      </c>
      <c r="J26" s="59">
        <f t="shared" si="5"/>
        <v>0.24163041727082327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57</v>
      </c>
      <c r="E27" s="68">
        <f t="shared" si="0"/>
        <v>4</v>
      </c>
      <c r="F27" s="55">
        <f t="shared" si="4"/>
        <v>74.650000000000006</v>
      </c>
      <c r="G27" s="56">
        <f>IF(D27=D26,"",_xlfn.IFNA(VLOOKUP(D27,'인원 입력 기능(사과탐)'!$F$177:$I$231,4,FALSE),0))</f>
        <v>1471</v>
      </c>
      <c r="H27" s="57">
        <f t="shared" si="1"/>
        <v>2.3699049460286774E-2</v>
      </c>
      <c r="I27" s="67">
        <f>SUM($G$7:G27)</f>
        <v>16469</v>
      </c>
      <c r="J27" s="59">
        <f t="shared" si="5"/>
        <v>0.26532946673111002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56</v>
      </c>
      <c r="E28" s="68">
        <f t="shared" si="0"/>
        <v>4</v>
      </c>
      <c r="F28" s="55">
        <f t="shared" si="4"/>
        <v>72.3</v>
      </c>
      <c r="G28" s="56">
        <f>IF(D28=D27,"",_xlfn.IFNA(VLOOKUP(D28,'인원 입력 기능(사과탐)'!$F$177:$I$231,4,FALSE),0))</f>
        <v>1451</v>
      </c>
      <c r="H28" s="57">
        <f t="shared" si="1"/>
        <v>2.3376832608345416E-2</v>
      </c>
      <c r="I28" s="67">
        <f>SUM($G$7:G28)</f>
        <v>17920</v>
      </c>
      <c r="J28" s="59">
        <f t="shared" si="5"/>
        <v>0.28870629933945546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55</v>
      </c>
      <c r="E29" s="68">
        <f t="shared" si="0"/>
        <v>4</v>
      </c>
      <c r="F29" s="55">
        <f t="shared" si="4"/>
        <v>69.680000000000007</v>
      </c>
      <c r="G29" s="56">
        <f>IF(D29=D28,"",_xlfn.IFNA(VLOOKUP(D29,'인원 입력 기능(사과탐)'!$F$177:$I$231,4,FALSE),0))</f>
        <v>1802</v>
      </c>
      <c r="H29" s="57">
        <f t="shared" si="1"/>
        <v>2.9031738359916223E-2</v>
      </c>
      <c r="I29" s="67">
        <f>SUM($G$7:G29)</f>
        <v>19722</v>
      </c>
      <c r="J29" s="59">
        <f t="shared" si="5"/>
        <v>0.3177380376993717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54</v>
      </c>
      <c r="E30" s="68">
        <f t="shared" si="0"/>
        <v>4</v>
      </c>
      <c r="F30" s="55">
        <f t="shared" si="4"/>
        <v>67.010000000000005</v>
      </c>
      <c r="G30" s="56">
        <f>IF(D30=D29,"",_xlfn.IFNA(VLOOKUP(D30,'인원 입력 기능(사과탐)'!$F$177:$I$231,4,FALSE),0))</f>
        <v>1511</v>
      </c>
      <c r="H30" s="57">
        <f t="shared" si="1"/>
        <v>2.4343483164169486E-2</v>
      </c>
      <c r="I30" s="67">
        <f>SUM($G$7:G30)</f>
        <v>21233</v>
      </c>
      <c r="J30" s="59">
        <f t="shared" si="5"/>
        <v>0.34208152086354116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53</v>
      </c>
      <c r="E31" s="68">
        <f t="shared" si="0"/>
        <v>4</v>
      </c>
      <c r="F31" s="55">
        <f t="shared" si="4"/>
        <v>64.31</v>
      </c>
      <c r="G31" s="56">
        <f>IF(D31=D30,"",_xlfn.IFNA(VLOOKUP(D31,'인원 입력 기능(사과탐)'!$F$177:$I$231,4,FALSE),0))</f>
        <v>1841</v>
      </c>
      <c r="H31" s="57">
        <f t="shared" si="1"/>
        <v>2.9660061221201867E-2</v>
      </c>
      <c r="I31" s="67">
        <f>SUM($G$7:G31)</f>
        <v>23074</v>
      </c>
      <c r="J31" s="59">
        <f t="shared" si="5"/>
        <v>0.37174158208474301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52</v>
      </c>
      <c r="E32" s="68">
        <f t="shared" si="0"/>
        <v>4</v>
      </c>
      <c r="F32" s="55">
        <f t="shared" si="4"/>
        <v>61.4</v>
      </c>
      <c r="G32" s="56">
        <f>IF(D32=D31,"",_xlfn.IFNA(VLOOKUP(D32,'인원 입력 기능(사과탐)'!$F$177:$I$231,4,FALSE),0))</f>
        <v>1775</v>
      </c>
      <c r="H32" s="57">
        <f t="shared" si="1"/>
        <v>2.8596745609795391E-2</v>
      </c>
      <c r="I32" s="67">
        <f>SUM($G$7:G32)</f>
        <v>24849</v>
      </c>
      <c r="J32" s="59">
        <f t="shared" si="5"/>
        <v>0.40033832769453842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51</v>
      </c>
      <c r="E33" s="68">
        <f t="shared" si="0"/>
        <v>5</v>
      </c>
      <c r="F33" s="55">
        <f t="shared" si="4"/>
        <v>58.56</v>
      </c>
      <c r="G33" s="56">
        <f>IF(D33=D32,"",_xlfn.IFNA(VLOOKUP(D33,'인원 입력 기능(사과탐)'!$F$177:$I$231,4,FALSE),0))</f>
        <v>1748</v>
      </c>
      <c r="H33" s="57">
        <f t="shared" si="1"/>
        <v>2.8161752859674562E-2</v>
      </c>
      <c r="I33" s="67">
        <f>SUM($G$7:G33)</f>
        <v>26597</v>
      </c>
      <c r="J33" s="59">
        <f t="shared" si="5"/>
        <v>0.42850008055421296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174">
        <f t="shared" si="3"/>
        <v>50</v>
      </c>
      <c r="E34" s="174">
        <f t="shared" si="0"/>
        <v>5</v>
      </c>
      <c r="F34" s="176">
        <f t="shared" si="4"/>
        <v>54.09</v>
      </c>
      <c r="G34" s="178">
        <f>IF(D34=D33,"",_xlfn.IFNA(VLOOKUP(D34,'인원 입력 기능(사과탐)'!$F$177:$I$231,4,FALSE),0))</f>
        <v>3795</v>
      </c>
      <c r="H34" s="180">
        <f t="shared" si="1"/>
        <v>6.1140647655872404E-2</v>
      </c>
      <c r="I34" s="189">
        <f>SUM($G$7:G34)</f>
        <v>30392</v>
      </c>
      <c r="J34" s="170">
        <f t="shared" si="5"/>
        <v>0.48964072821008536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175"/>
      <c r="E35" s="175"/>
      <c r="F35" s="177"/>
      <c r="G35" s="179"/>
      <c r="H35" s="181"/>
      <c r="I35" s="190"/>
      <c r="J35" s="171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49</v>
      </c>
      <c r="E36" s="68">
        <f t="shared" si="0"/>
        <v>5</v>
      </c>
      <c r="F36" s="55">
        <f t="shared" si="4"/>
        <v>49.47</v>
      </c>
      <c r="G36" s="56">
        <f>IF(D36=D35,"",_xlfn.IFNA(VLOOKUP(D36,'인원 입력 기능(사과탐)'!$F$177:$I$231,4,FALSE),0))</f>
        <v>1940</v>
      </c>
      <c r="H36" s="57">
        <f t="shared" si="1"/>
        <v>3.1255034638311585E-2</v>
      </c>
      <c r="I36" s="67">
        <f>SUM($G$7:G36)</f>
        <v>32332</v>
      </c>
      <c r="J36" s="59">
        <f t="shared" si="5"/>
        <v>0.520895762848397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48</v>
      </c>
      <c r="E37" s="68">
        <f t="shared" si="0"/>
        <v>5</v>
      </c>
      <c r="F37" s="55">
        <f t="shared" si="4"/>
        <v>46.24</v>
      </c>
      <c r="G37" s="56">
        <f>IF(D37=D36,"",_xlfn.IFNA(VLOOKUP(D37,'인원 입력 기능(사과탐)'!$F$177:$I$231,4,FALSE),0))</f>
        <v>2070</v>
      </c>
      <c r="H37" s="57">
        <f t="shared" si="1"/>
        <v>3.3349444175930401E-2</v>
      </c>
      <c r="I37" s="67">
        <f>SUM($G$7:G37)</f>
        <v>34402</v>
      </c>
      <c r="J37" s="59">
        <f t="shared" si="5"/>
        <v>0.55424520702432734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47</v>
      </c>
      <c r="E38" s="68">
        <f t="shared" si="0"/>
        <v>5</v>
      </c>
      <c r="F38" s="55">
        <f t="shared" si="4"/>
        <v>43.03</v>
      </c>
      <c r="G38" s="56">
        <f>IF(D38=D37,"",_xlfn.IFNA(VLOOKUP(D38,'인원 입력 기능(사과탐)'!$F$177:$I$231,4,FALSE),0))</f>
        <v>1919</v>
      </c>
      <c r="H38" s="57">
        <f t="shared" si="1"/>
        <v>3.0916706943773159E-2</v>
      </c>
      <c r="I38" s="67">
        <f>SUM($G$7:G38)</f>
        <v>36321</v>
      </c>
      <c r="J38" s="59">
        <f t="shared" si="5"/>
        <v>0.58516191396810058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46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39.700000000000003</v>
      </c>
      <c r="G39" s="56">
        <f>IF(D39=D38,"",_xlfn.IFNA(VLOOKUP(D39,'인원 입력 기능(사과탐)'!$F$177:$I$231,4,FALSE),0))</f>
        <v>2215</v>
      </c>
      <c r="H39" s="57">
        <f t="shared" si="1"/>
        <v>3.5685516352505234E-2</v>
      </c>
      <c r="I39" s="67">
        <f>SUM($G$7:G39)</f>
        <v>38536</v>
      </c>
      <c r="J39" s="59">
        <f t="shared" si="5"/>
        <v>0.62084743032060574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45</v>
      </c>
      <c r="E40" s="68">
        <f t="shared" si="6"/>
        <v>6</v>
      </c>
      <c r="F40" s="55">
        <f t="shared" si="4"/>
        <v>36.24</v>
      </c>
      <c r="G40" s="56">
        <f>IF(D40=D39,"",_xlfn.IFNA(VLOOKUP(D40,'인원 입력 기능(사과탐)'!$F$177:$I$231,4,FALSE),0))</f>
        <v>2083</v>
      </c>
      <c r="H40" s="57">
        <f t="shared" si="1"/>
        <v>3.3558885129692281E-2</v>
      </c>
      <c r="I40" s="67">
        <f>SUM($G$7:G40)</f>
        <v>40619</v>
      </c>
      <c r="J40" s="59">
        <f t="shared" si="5"/>
        <v>0.65440631545029804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44</v>
      </c>
      <c r="E41" s="68">
        <f t="shared" si="6"/>
        <v>6</v>
      </c>
      <c r="F41" s="55">
        <f t="shared" si="4"/>
        <v>32.75</v>
      </c>
      <c r="G41" s="56">
        <f>IF(D41=D40,"",_xlfn.IFNA(VLOOKUP(D41,'인원 입력 기능(사과탐)'!$F$177:$I$231,4,FALSE),0))</f>
        <v>2248</v>
      </c>
      <c r="H41" s="57">
        <f t="shared" si="1"/>
        <v>3.6217174158208472E-2</v>
      </c>
      <c r="I41" s="67">
        <f>SUM($G$7:G41)</f>
        <v>42867</v>
      </c>
      <c r="J41" s="59">
        <f t="shared" si="5"/>
        <v>0.6906234896085065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29.21</v>
      </c>
      <c r="G42" s="56">
        <f>IF(D42=D41,"",_xlfn.IFNA(VLOOKUP(D42,'인원 입력 기능(사과탐)'!$F$177:$I$231,4,FALSE),0))</f>
        <v>2140</v>
      </c>
      <c r="H42" s="57">
        <f t="shared" si="1"/>
        <v>3.447720315772515E-2</v>
      </c>
      <c r="I42" s="67">
        <f>SUM($G$7:G42)</f>
        <v>45007</v>
      </c>
      <c r="J42" s="59">
        <f t="shared" si="5"/>
        <v>0.72510069276623168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24.79</v>
      </c>
      <c r="G43" s="56">
        <f>IF(D43=D42,"",_xlfn.IFNA(VLOOKUP(D43,'인원 입력 기능(사과탐)'!$F$177:$I$231,4,FALSE),0))</f>
        <v>3355</v>
      </c>
      <c r="H43" s="57">
        <f t="shared" si="1"/>
        <v>5.4051876913162558E-2</v>
      </c>
      <c r="I43" s="67">
        <f>SUM($G$7:G43)</f>
        <v>48362</v>
      </c>
      <c r="J43" s="59">
        <f t="shared" si="5"/>
        <v>0.77915256967939428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7</v>
      </c>
      <c r="F44" s="55">
        <f t="shared" si="4"/>
        <v>20.36</v>
      </c>
      <c r="G44" s="56">
        <f>IF(D44=D43,"",_xlfn.IFNA(VLOOKUP(D44,'인원 입력 기능(사과탐)'!$F$177:$I$231,4,FALSE),0))</f>
        <v>2141</v>
      </c>
      <c r="H44" s="57">
        <f t="shared" si="1"/>
        <v>3.4493314000322219E-2</v>
      </c>
      <c r="I44" s="67">
        <f>SUM($G$7:G44)</f>
        <v>50503</v>
      </c>
      <c r="J44" s="59">
        <f t="shared" si="5"/>
        <v>0.81364588367971646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7</v>
      </c>
      <c r="F45" s="55">
        <f t="shared" si="4"/>
        <v>17.27</v>
      </c>
      <c r="G45" s="56">
        <f>IF(D45=D44,"",_xlfn.IFNA(VLOOKUP(D45,'인원 입력 기능(사과탐)'!$F$177:$I$231,4,FALSE),0))</f>
        <v>1692</v>
      </c>
      <c r="H45" s="57">
        <f t="shared" si="1"/>
        <v>2.7259545674238762E-2</v>
      </c>
      <c r="I45" s="67">
        <f>SUM($G$7:G45)</f>
        <v>52195</v>
      </c>
      <c r="J45" s="59">
        <f t="shared" si="5"/>
        <v>0.84090542935395518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14.64</v>
      </c>
      <c r="G46" s="56">
        <f>IF(D46=D45,"",_xlfn.IFNA(VLOOKUP(D46,'인원 입력 기능(사과탐)'!$F$177:$I$231,4,FALSE),0))</f>
        <v>1581</v>
      </c>
      <c r="H46" s="57">
        <f t="shared" si="1"/>
        <v>2.5471242145964235E-2</v>
      </c>
      <c r="I46" s="67">
        <f>SUM($G$7:G46)</f>
        <v>53776</v>
      </c>
      <c r="J46" s="59">
        <f t="shared" si="5"/>
        <v>0.86637667149991948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7</v>
      </c>
      <c r="F47" s="55">
        <f t="shared" si="4"/>
        <v>12.16</v>
      </c>
      <c r="G47" s="56">
        <f>IF(D47=D46,"",_xlfn.IFNA(VLOOKUP(D47,'인원 입력 기능(사과탐)'!$F$177:$I$231,4,FALSE),0))</f>
        <v>1489</v>
      </c>
      <c r="H47" s="57">
        <f t="shared" si="1"/>
        <v>2.3989044627033995E-2</v>
      </c>
      <c r="I47" s="67">
        <f>SUM($G$7:G47)</f>
        <v>55265</v>
      </c>
      <c r="J47" s="59">
        <f t="shared" si="5"/>
        <v>0.89036571612695348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174">
        <f t="shared" si="3"/>
        <v>37</v>
      </c>
      <c r="E48" s="174">
        <f t="shared" si="6"/>
        <v>8</v>
      </c>
      <c r="F48" s="176">
        <f t="shared" si="4"/>
        <v>8.77</v>
      </c>
      <c r="G48" s="178">
        <f>IF(D48=D47,"",_xlfn.IFNA(VLOOKUP(D48,'인원 입력 기능(사과탐)'!$F$177:$I$231,4,FALSE),0))</f>
        <v>2724</v>
      </c>
      <c r="H48" s="180">
        <f t="shared" si="1"/>
        <v>4.3885935234412761E-2</v>
      </c>
      <c r="I48" s="189">
        <f>SUM($G$7:G48)</f>
        <v>57989</v>
      </c>
      <c r="J48" s="170">
        <f t="shared" si="5"/>
        <v>0.93425165136136623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175"/>
      <c r="E49" s="175"/>
      <c r="F49" s="177"/>
      <c r="G49" s="179"/>
      <c r="H49" s="181"/>
      <c r="I49" s="190"/>
      <c r="J49" s="171"/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8</v>
      </c>
      <c r="F50" s="55">
        <f t="shared" si="4"/>
        <v>5.79</v>
      </c>
      <c r="G50" s="56">
        <f>IF(D50=D49,"",_xlfn.IFNA(VLOOKUP(D50,'인원 입력 기능(사과탐)'!$F$177:$I$231,4,FALSE),0))</f>
        <v>976</v>
      </c>
      <c r="H50" s="57">
        <f t="shared" si="1"/>
        <v>1.5724182374738199E-2</v>
      </c>
      <c r="I50" s="67">
        <f>SUM($G$7:G50)</f>
        <v>58965</v>
      </c>
      <c r="J50" s="59">
        <f t="shared" si="5"/>
        <v>0.94997583373610439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6"/>
        <v>8</v>
      </c>
      <c r="F51" s="55">
        <f t="shared" si="4"/>
        <v>3.56</v>
      </c>
      <c r="G51" s="56">
        <f>IF(D51=D50,"",_xlfn.IFNA(VLOOKUP(D51,'인원 입력 기능(사과탐)'!$F$177:$I$231,4,FALSE),0))</f>
        <v>1786</v>
      </c>
      <c r="H51" s="57">
        <f t="shared" si="1"/>
        <v>2.8773964878363138E-2</v>
      </c>
      <c r="I51" s="67">
        <f>SUM($G$7:G51)</f>
        <v>60751</v>
      </c>
      <c r="J51" s="59">
        <f t="shared" si="5"/>
        <v>0.97874979861446754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6"/>
        <v>9</v>
      </c>
      <c r="F52" s="55">
        <f t="shared" si="4"/>
        <v>1.71</v>
      </c>
      <c r="G52" s="56">
        <f>IF(D52=D51,"",_xlfn.IFNA(VLOOKUP(D52,'인원 입력 기능(사과탐)'!$F$177:$I$231,4,FALSE),0))</f>
        <v>511</v>
      </c>
      <c r="H52" s="57">
        <f t="shared" si="1"/>
        <v>8.2326405671016602E-3</v>
      </c>
      <c r="I52" s="67">
        <f>SUM($G$7:G52)</f>
        <v>61262</v>
      </c>
      <c r="J52" s="59">
        <f t="shared" si="5"/>
        <v>0.98698243918156925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6"/>
        <v>9</v>
      </c>
      <c r="F53" s="55">
        <f t="shared" si="4"/>
        <v>0.95</v>
      </c>
      <c r="G53" s="56">
        <f>IF(D53=D52,"",_xlfn.IFNA(VLOOKUP(D53,'인원 입력 기능(사과탐)'!$F$177:$I$231,4,FALSE),0))</f>
        <v>431</v>
      </c>
      <c r="H53" s="57">
        <f t="shared" si="1"/>
        <v>6.9437731593362329E-3</v>
      </c>
      <c r="I53" s="67">
        <f>SUM($G$7:G53)</f>
        <v>61693</v>
      </c>
      <c r="J53" s="59">
        <f t="shared" si="5"/>
        <v>0.99392621234090539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6"/>
        <v>9</v>
      </c>
      <c r="F54" s="55">
        <f t="shared" si="4"/>
        <v>0.54</v>
      </c>
      <c r="G54" s="56">
        <f>IF(D54=D53,"",_xlfn.IFNA(VLOOKUP(D54,'인원 입력 기능(사과탐)'!$F$177:$I$231,4,FALSE),0))</f>
        <v>89</v>
      </c>
      <c r="H54" s="57">
        <f t="shared" si="1"/>
        <v>1.4338649911390365E-3</v>
      </c>
      <c r="I54" s="67">
        <f>SUM($G$7:G54)</f>
        <v>61782</v>
      </c>
      <c r="J54" s="59">
        <f t="shared" si="5"/>
        <v>0.99536007733204446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0.28999999999999998</v>
      </c>
      <c r="G55" s="56">
        <f>IF(D55=D54,"",_xlfn.IFNA(VLOOKUP(D55,'인원 입력 기능(사과탐)'!$F$177:$I$231,4,FALSE),0))</f>
        <v>221</v>
      </c>
      <c r="H55" s="57">
        <f t="shared" si="1"/>
        <v>3.5604962139519896E-3</v>
      </c>
      <c r="I55" s="67">
        <f>SUM($G$7:G55)</f>
        <v>62003</v>
      </c>
      <c r="J55" s="59">
        <f t="shared" si="5"/>
        <v>0.9989205735459965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6"/>
        <v>9</v>
      </c>
      <c r="F57" s="74">
        <f>IF(I55=0,ROUND(100*(1-(I54+I57)/2/$J$3),2),ROUND(100*(1-(I55+I57)/2/$J$3),2))</f>
        <v>0.05</v>
      </c>
      <c r="G57" s="110">
        <f>_xlfn.IFNA(VLOOKUP(D57,'인원 입력 기능(사과탐)'!$F$177:$I$231,4,FALSE),0)</f>
        <v>67</v>
      </c>
      <c r="H57" s="76">
        <f>G57/$J$3</f>
        <v>1.0794264540035445E-3</v>
      </c>
      <c r="I57" s="77">
        <f>SUM($G$7:G57)</f>
        <v>62070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G5:J5"/>
    <mergeCell ref="D20:D21"/>
    <mergeCell ref="E20:E21"/>
    <mergeCell ref="F20:F21"/>
    <mergeCell ref="G20:G21"/>
    <mergeCell ref="H20:H21"/>
    <mergeCell ref="I20:I21"/>
    <mergeCell ref="J20:J21"/>
    <mergeCell ref="I34:I35"/>
    <mergeCell ref="J34:J35"/>
    <mergeCell ref="D48:D49"/>
    <mergeCell ref="E48:E49"/>
    <mergeCell ref="F48:F49"/>
    <mergeCell ref="G48:G49"/>
    <mergeCell ref="H48:H49"/>
    <mergeCell ref="I48:I49"/>
    <mergeCell ref="J48:J49"/>
    <mergeCell ref="D34:D35"/>
    <mergeCell ref="E34:E35"/>
    <mergeCell ref="F34:F35"/>
    <mergeCell ref="G34:G35"/>
    <mergeCell ref="H34:H35"/>
  </mergeCells>
  <phoneticPr fontId="1" type="noConversion"/>
  <conditionalFormatting sqref="D7:G20 I7:J20 D22:G34 I22:J34 D36:G48 I36:J48 D50:G57 I50:J57">
    <cfRule type="expression" dxfId="34" priority="4">
      <formula>OR($D7=$Q$7:$Q$14)</formula>
    </cfRule>
  </conditionalFormatting>
  <conditionalFormatting sqref="C7:C57">
    <cfRule type="expression" dxfId="33" priority="3">
      <formula>OR(AND($D7=0,OR($D6=$Q$7:$Q$14)),AND($D8&gt;0,OR($D7=$Q$7:$Q$14)))</formula>
    </cfRule>
  </conditionalFormatting>
  <conditionalFormatting sqref="D7:D20 D22:D34 D36:D48 D50:D57">
    <cfRule type="expression" dxfId="32" priority="2">
      <formula>$D7=$D8</formula>
    </cfRule>
  </conditionalFormatting>
  <conditionalFormatting sqref="H7:H20 H22:H34 H36:H48 H50:H57">
    <cfRule type="expression" dxfId="31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0621C-2B94-40D9-B1DB-0AF1E77398CC}">
  <sheetPr codeName="Sheet21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기능'!D19</f>
        <v>22.71</v>
      </c>
      <c r="I3" s="21" t="s">
        <v>123</v>
      </c>
      <c r="J3" s="81">
        <f>'통계 및 응시자 수 입력 기능'!C19</f>
        <v>95229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144</v>
      </c>
      <c r="E4" s="186"/>
      <c r="F4" s="187"/>
      <c r="G4" s="83" t="s">
        <v>126</v>
      </c>
      <c r="H4" s="84" t="str">
        <f>'통계 및 응시자 수 입력 기능'!E19</f>
        <v>10.66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76</v>
      </c>
      <c r="E7" s="54">
        <f t="shared" ref="E7:E3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99.52</v>
      </c>
      <c r="G7" s="56">
        <f>_xlfn.IFNA(VLOOKUP(D7,'인원 입력 기능(사과탐)'!$K$177:$N$231,4,FALSE),0)</f>
        <v>908</v>
      </c>
      <c r="H7" s="57">
        <f>G7/$J$3</f>
        <v>9.5349105839607675E-3</v>
      </c>
      <c r="I7" s="58">
        <f>G7</f>
        <v>908</v>
      </c>
      <c r="J7" s="59">
        <f>I7/$J$3</f>
        <v>9.5349105839607675E-3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기능'!C139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기능'!C140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74</v>
      </c>
      <c r="E9" s="54">
        <f t="shared" si="0"/>
        <v>1</v>
      </c>
      <c r="F9" s="55">
        <f>IF(I8=0,ROUND(100*(1-(I7+I9)/2/$J$3),2),ROUND(100*(1-(I8+I9)/2/$J$3),2))</f>
        <v>98.8</v>
      </c>
      <c r="G9" s="56">
        <f>_xlfn.IFNA(VLOOKUP(D9,'인원 입력 기능(사과탐)'!$K$177:$N$231,4,FALSE),0)</f>
        <v>466</v>
      </c>
      <c r="H9" s="57">
        <f t="shared" ref="H9:H55" si="1">G9/$J$3</f>
        <v>4.8934673261296453E-3</v>
      </c>
      <c r="I9" s="67">
        <f>SUM($G$7:G9)</f>
        <v>1374</v>
      </c>
      <c r="J9" s="59">
        <f>I9/$J$3</f>
        <v>1.4428377910090414E-2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기능'!C141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73</v>
      </c>
      <c r="E10" s="54">
        <f t="shared" si="0"/>
        <v>1</v>
      </c>
      <c r="F10" s="55">
        <f t="shared" ref="F10:F55" si="4">IF(I9=0,ROUND(100*(1-(I8+I10)/2/$J$3),2),ROUND(100*(1-(I9+I10)/2/$J$3),2))</f>
        <v>98.05</v>
      </c>
      <c r="G10" s="56">
        <f>IF(D10=D9,"",_xlfn.IFNA(VLOOKUP(D10,'인원 입력 기능(사과탐)'!$K$177:$N$231,4,FALSE),0))</f>
        <v>957</v>
      </c>
      <c r="H10" s="57">
        <f t="shared" si="1"/>
        <v>1.0049459723403585E-2</v>
      </c>
      <c r="I10" s="67">
        <f>SUM($G$7:G10)</f>
        <v>2331</v>
      </c>
      <c r="J10" s="59">
        <f t="shared" ref="J10:J55" si="5">I10/$J$3</f>
        <v>2.4477837633493999E-2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기능'!C142</f>
        <v>51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72</v>
      </c>
      <c r="E11" s="54">
        <f t="shared" si="0"/>
        <v>1</v>
      </c>
      <c r="F11" s="55">
        <f t="shared" si="4"/>
        <v>97.46</v>
      </c>
      <c r="G11" s="56">
        <f>IF(D11=D10,"",_xlfn.IFNA(VLOOKUP(D11,'인원 입력 기능(사과탐)'!$K$177:$N$231,4,FALSE),0))</f>
        <v>171</v>
      </c>
      <c r="H11" s="57">
        <f t="shared" si="1"/>
        <v>1.7956714866269729E-3</v>
      </c>
      <c r="I11" s="67">
        <f>SUM($G$7:G11)</f>
        <v>2502</v>
      </c>
      <c r="J11" s="59">
        <f t="shared" si="5"/>
        <v>2.6273509120120973E-2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기능'!C143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71</v>
      </c>
      <c r="E12" s="54">
        <f t="shared" si="0"/>
        <v>1</v>
      </c>
      <c r="F12" s="55">
        <f t="shared" si="4"/>
        <v>96.88</v>
      </c>
      <c r="G12" s="56">
        <f>IF(D12=D11,"",_xlfn.IFNA(VLOOKUP(D12,'인원 입력 기능(사과탐)'!$K$177:$N$231,4,FALSE),0))</f>
        <v>935</v>
      </c>
      <c r="H12" s="57">
        <f t="shared" si="1"/>
        <v>9.818437660796606E-3</v>
      </c>
      <c r="I12" s="67">
        <f>SUM($G$7:G12)</f>
        <v>3437</v>
      </c>
      <c r="J12" s="59">
        <f t="shared" si="5"/>
        <v>3.609194678091758E-2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기능'!C144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70</v>
      </c>
      <c r="E13" s="54">
        <f t="shared" si="0"/>
        <v>1</v>
      </c>
      <c r="F13" s="55">
        <f t="shared" si="4"/>
        <v>95.98</v>
      </c>
      <c r="G13" s="56">
        <f>IF(D13=D12,"",_xlfn.IFNA(VLOOKUP(D13,'인원 입력 기능(사과탐)'!$K$177:$N$231,4,FALSE),0))</f>
        <v>789</v>
      </c>
      <c r="H13" s="57">
        <f t="shared" si="1"/>
        <v>8.2852912453139273E-3</v>
      </c>
      <c r="I13" s="67">
        <f>SUM($G$7:G13)</f>
        <v>4226</v>
      </c>
      <c r="J13" s="59">
        <f t="shared" si="5"/>
        <v>4.4377238026231502E-2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기능'!C145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69</v>
      </c>
      <c r="E14" s="54">
        <f t="shared" si="0"/>
        <v>2</v>
      </c>
      <c r="F14" s="55">
        <f t="shared" si="4"/>
        <v>95.24</v>
      </c>
      <c r="G14" s="56">
        <f>IF(D14=D13,"",_xlfn.IFNA(VLOOKUP(D14,'인원 입력 기능(사과탐)'!$K$177:$N$231,4,FALSE),0))</f>
        <v>623</v>
      </c>
      <c r="H14" s="57">
        <f t="shared" si="1"/>
        <v>6.5421247729158137E-3</v>
      </c>
      <c r="I14" s="67">
        <f>SUM($G$7:G14)</f>
        <v>4849</v>
      </c>
      <c r="J14" s="59">
        <f t="shared" si="5"/>
        <v>5.091936279914732E-2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기능'!C146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68</v>
      </c>
      <c r="E15" s="54">
        <f t="shared" si="0"/>
        <v>2</v>
      </c>
      <c r="F15" s="55">
        <f t="shared" si="4"/>
        <v>94.29</v>
      </c>
      <c r="G15" s="56">
        <f>IF(D15=D14,"",_xlfn.IFNA(VLOOKUP(D15,'인원 입력 기능(사과탐)'!$K$177:$N$231,4,FALSE),0))</f>
        <v>1186</v>
      </c>
      <c r="H15" s="57">
        <f t="shared" si="1"/>
        <v>1.2454189375085321E-2</v>
      </c>
      <c r="I15" s="67">
        <f>SUM($G$7:G15)</f>
        <v>6035</v>
      </c>
      <c r="J15" s="59">
        <f t="shared" si="5"/>
        <v>6.3373552174232642E-2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67</v>
      </c>
      <c r="E16" s="54">
        <f t="shared" si="0"/>
        <v>2</v>
      </c>
      <c r="F16" s="55">
        <f t="shared" si="4"/>
        <v>93.23</v>
      </c>
      <c r="G16" s="56">
        <f>IF(D16=D15,"",_xlfn.IFNA(VLOOKUP(D16,'인원 입력 기능(사과탐)'!$K$177:$N$231,4,FALSE),0))</f>
        <v>818</v>
      </c>
      <c r="H16" s="57">
        <f t="shared" si="1"/>
        <v>8.5898203278413094E-3</v>
      </c>
      <c r="I16" s="67">
        <f>SUM($G$7:G16)</f>
        <v>6853</v>
      </c>
      <c r="J16" s="59">
        <f t="shared" si="5"/>
        <v>7.196337250207395E-2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66</v>
      </c>
      <c r="E17" s="54">
        <f t="shared" si="0"/>
        <v>2</v>
      </c>
      <c r="F17" s="55">
        <f t="shared" si="4"/>
        <v>92.19</v>
      </c>
      <c r="G17" s="56">
        <f>IF(D17=D16,"",_xlfn.IFNA(VLOOKUP(D17,'인원 입력 기능(사과탐)'!$K$177:$N$231,4,FALSE),0))</f>
        <v>1160</v>
      </c>
      <c r="H17" s="57">
        <f t="shared" si="1"/>
        <v>1.2181163301095255E-2</v>
      </c>
      <c r="I17" s="67">
        <f>SUM($G$7:G17)</f>
        <v>8013</v>
      </c>
      <c r="J17" s="59">
        <f t="shared" si="5"/>
        <v>8.4144535803169204E-2</v>
      </c>
      <c r="K17" s="36"/>
      <c r="L17" s="20" t="str">
        <f t="shared" si="2"/>
        <v/>
      </c>
      <c r="N17" s="24"/>
      <c r="Q17" s="24">
        <f>Q7*H3*H4*J3*IFERROR(IF(J57=1, 1, 0), 0)</f>
        <v>1613769870.2580001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65</v>
      </c>
      <c r="E18" s="54">
        <f t="shared" si="0"/>
        <v>2</v>
      </c>
      <c r="F18" s="55">
        <f t="shared" si="4"/>
        <v>90.95</v>
      </c>
      <c r="G18" s="56">
        <f>IF(D18=D17,"",_xlfn.IFNA(VLOOKUP(D18,'인원 입력 기능(사과탐)'!$K$177:$N$231,4,FALSE),0))</f>
        <v>1213</v>
      </c>
      <c r="H18" s="57">
        <f t="shared" si="1"/>
        <v>1.2737716451921158E-2</v>
      </c>
      <c r="I18" s="67">
        <f>SUM($G$7:G18)</f>
        <v>9226</v>
      </c>
      <c r="J18" s="59">
        <f t="shared" si="5"/>
        <v>9.6882252255090368E-2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64</v>
      </c>
      <c r="E19" s="54">
        <f t="shared" si="0"/>
        <v>2</v>
      </c>
      <c r="F19" s="55">
        <f t="shared" si="4"/>
        <v>89.71</v>
      </c>
      <c r="G19" s="56">
        <f>IF(D19=D18,"",_xlfn.IFNA(VLOOKUP(D19,'인원 입력 기능(사과탐)'!$K$177:$N$231,4,FALSE),0))</f>
        <v>1150</v>
      </c>
      <c r="H19" s="57">
        <f t="shared" si="1"/>
        <v>1.2076153272637537E-2</v>
      </c>
      <c r="I19" s="67">
        <f>SUM($G$7:G19)</f>
        <v>10376</v>
      </c>
      <c r="J19" s="59">
        <f t="shared" si="5"/>
        <v>0.1089584055277279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63</v>
      </c>
      <c r="E20" s="54">
        <f t="shared" si="0"/>
        <v>2</v>
      </c>
      <c r="F20" s="55">
        <f t="shared" si="4"/>
        <v>88.26</v>
      </c>
      <c r="G20" s="56">
        <f>IF(D20=D19,"",_xlfn.IFNA(VLOOKUP(D20,'인원 입력 기능(사과탐)'!$K$177:$N$231,4,FALSE),0))</f>
        <v>1601</v>
      </c>
      <c r="H20" s="57">
        <f t="shared" si="1"/>
        <v>1.6812105556080606E-2</v>
      </c>
      <c r="I20" s="67">
        <f>SUM($G$7:G20)</f>
        <v>11977</v>
      </c>
      <c r="J20" s="59">
        <f t="shared" si="5"/>
        <v>0.12577051108380852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174">
        <f t="shared" si="3"/>
        <v>62</v>
      </c>
      <c r="E21" s="174">
        <f t="shared" si="0"/>
        <v>3</v>
      </c>
      <c r="F21" s="176">
        <f t="shared" si="4"/>
        <v>85.85</v>
      </c>
      <c r="G21" s="178">
        <f>IF(D21=D20,"",_xlfn.IFNA(VLOOKUP(D21,'인원 입력 기능(사과탐)'!$K$177:$N$231,4,FALSE),0))</f>
        <v>2995</v>
      </c>
      <c r="H21" s="180">
        <f t="shared" si="1"/>
        <v>3.1450503523086454E-2</v>
      </c>
      <c r="I21" s="189">
        <f>SUM($G$7:G21)</f>
        <v>14972</v>
      </c>
      <c r="J21" s="170">
        <f t="shared" si="5"/>
        <v>0.15722101460689497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175"/>
      <c r="E22" s="175"/>
      <c r="F22" s="177"/>
      <c r="G22" s="179"/>
      <c r="H22" s="181"/>
      <c r="I22" s="190"/>
      <c r="J22" s="171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61</v>
      </c>
      <c r="E23" s="68">
        <f t="shared" si="0"/>
        <v>3</v>
      </c>
      <c r="F23" s="55">
        <f t="shared" si="4"/>
        <v>83.32</v>
      </c>
      <c r="G23" s="56">
        <f>IF(D23=D22,"",_xlfn.IFNA(VLOOKUP(D23,'인원 입력 기능(사과탐)'!$K$177:$N$231,4,FALSE),0))</f>
        <v>1816</v>
      </c>
      <c r="H23" s="57">
        <f t="shared" si="1"/>
        <v>1.9069821167921535E-2</v>
      </c>
      <c r="I23" s="67">
        <f>SUM($G$7:G23)</f>
        <v>16788</v>
      </c>
      <c r="J23" s="59">
        <f t="shared" si="5"/>
        <v>0.1762908357748165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60</v>
      </c>
      <c r="E24" s="68">
        <f t="shared" si="0"/>
        <v>3</v>
      </c>
      <c r="F24" s="55">
        <f t="shared" si="4"/>
        <v>81.489999999999995</v>
      </c>
      <c r="G24" s="56">
        <f>IF(D24=D23,"",_xlfn.IFNA(VLOOKUP(D24,'인원 입력 기능(사과탐)'!$K$177:$N$231,4,FALSE),0))</f>
        <v>1681</v>
      </c>
      <c r="H24" s="57">
        <f t="shared" si="1"/>
        <v>1.7652185783742346E-2</v>
      </c>
      <c r="I24" s="67">
        <f>SUM($G$7:G24)</f>
        <v>18469</v>
      </c>
      <c r="J24" s="59">
        <f t="shared" si="5"/>
        <v>0.19394302155855883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59</v>
      </c>
      <c r="E25" s="68">
        <f t="shared" si="0"/>
        <v>3</v>
      </c>
      <c r="F25" s="55">
        <f t="shared" si="4"/>
        <v>79.45</v>
      </c>
      <c r="G25" s="56">
        <f>IF(D25=D24,"",_xlfn.IFNA(VLOOKUP(D25,'인원 입력 기능(사과탐)'!$K$177:$N$231,4,FALSE),0))</f>
        <v>2209</v>
      </c>
      <c r="H25" s="57">
        <f t="shared" si="1"/>
        <v>2.3196715286309844E-2</v>
      </c>
      <c r="I25" s="67">
        <f>SUM($G$7:G25)</f>
        <v>20678</v>
      </c>
      <c r="J25" s="59">
        <f t="shared" si="5"/>
        <v>0.21713973684486867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58</v>
      </c>
      <c r="E26" s="68">
        <f t="shared" si="0"/>
        <v>3</v>
      </c>
      <c r="F26" s="55">
        <f t="shared" si="4"/>
        <v>77.28</v>
      </c>
      <c r="G26" s="56">
        <f>IF(D26=D25,"",_xlfn.IFNA(VLOOKUP(D26,'인원 입력 기능(사과탐)'!$K$177:$N$231,4,FALSE),0))</f>
        <v>1911</v>
      </c>
      <c r="H26" s="57">
        <f t="shared" si="1"/>
        <v>2.0067416438269856E-2</v>
      </c>
      <c r="I26" s="67">
        <f>SUM($G$7:G26)</f>
        <v>22589</v>
      </c>
      <c r="J26" s="59">
        <f t="shared" si="5"/>
        <v>0.23720715328313854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57</v>
      </c>
      <c r="E27" s="68">
        <f t="shared" si="0"/>
        <v>4</v>
      </c>
      <c r="F27" s="55">
        <f t="shared" si="4"/>
        <v>75.09</v>
      </c>
      <c r="G27" s="56">
        <f>IF(D27=D26,"",_xlfn.IFNA(VLOOKUP(D27,'인원 입력 기능(사과탐)'!$K$177:$N$231,4,FALSE),0))</f>
        <v>2274</v>
      </c>
      <c r="H27" s="57">
        <f t="shared" si="1"/>
        <v>2.3879280471285007E-2</v>
      </c>
      <c r="I27" s="67">
        <f>SUM($G$7:G27)</f>
        <v>24863</v>
      </c>
      <c r="J27" s="59">
        <f t="shared" si="5"/>
        <v>0.26108643375442353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56</v>
      </c>
      <c r="E28" s="68">
        <f t="shared" si="0"/>
        <v>4</v>
      </c>
      <c r="F28" s="55">
        <f t="shared" si="4"/>
        <v>72.67</v>
      </c>
      <c r="G28" s="56">
        <f>IF(D28=D27,"",_xlfn.IFNA(VLOOKUP(D28,'인원 입력 기능(사과탐)'!$K$177:$N$231,4,FALSE),0))</f>
        <v>2330</v>
      </c>
      <c r="H28" s="57">
        <f t="shared" si="1"/>
        <v>2.4467336630648227E-2</v>
      </c>
      <c r="I28" s="67">
        <f>SUM($G$7:G28)</f>
        <v>27193</v>
      </c>
      <c r="J28" s="59">
        <f t="shared" si="5"/>
        <v>0.28555377038507179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55</v>
      </c>
      <c r="E29" s="68">
        <f t="shared" si="0"/>
        <v>4</v>
      </c>
      <c r="F29" s="55">
        <f t="shared" si="4"/>
        <v>70.209999999999994</v>
      </c>
      <c r="G29" s="56">
        <f>IF(D29=D28,"",_xlfn.IFNA(VLOOKUP(D29,'인원 입력 기능(사과탐)'!$K$177:$N$231,4,FALSE),0))</f>
        <v>2357</v>
      </c>
      <c r="H29" s="57">
        <f t="shared" si="1"/>
        <v>2.4750863707484066E-2</v>
      </c>
      <c r="I29" s="67">
        <f>SUM($G$7:G29)</f>
        <v>29550</v>
      </c>
      <c r="J29" s="59">
        <f t="shared" si="5"/>
        <v>0.31030463409255582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54</v>
      </c>
      <c r="E30" s="68">
        <f t="shared" si="0"/>
        <v>4</v>
      </c>
      <c r="F30" s="55">
        <f t="shared" si="4"/>
        <v>67.48</v>
      </c>
      <c r="G30" s="56">
        <f>IF(D30=D29,"",_xlfn.IFNA(VLOOKUP(D30,'인원 입력 기능(사과탐)'!$K$177:$N$231,4,FALSE),0))</f>
        <v>2844</v>
      </c>
      <c r="H30" s="57">
        <f t="shared" si="1"/>
        <v>2.9864852093374916E-2</v>
      </c>
      <c r="I30" s="67">
        <f>SUM($G$7:G30)</f>
        <v>32394</v>
      </c>
      <c r="J30" s="59">
        <f t="shared" si="5"/>
        <v>0.34016948618593074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53</v>
      </c>
      <c r="E31" s="68">
        <f t="shared" si="0"/>
        <v>4</v>
      </c>
      <c r="F31" s="55">
        <f t="shared" si="4"/>
        <v>64.66</v>
      </c>
      <c r="G31" s="56">
        <f>IF(D31=D30,"",_xlfn.IFNA(VLOOKUP(D31,'인원 입력 기능(사과탐)'!$K$177:$N$231,4,FALSE),0))</f>
        <v>2518</v>
      </c>
      <c r="H31" s="57">
        <f t="shared" si="1"/>
        <v>2.6441525165653321E-2</v>
      </c>
      <c r="I31" s="67">
        <f>SUM($G$7:G31)</f>
        <v>34912</v>
      </c>
      <c r="J31" s="59">
        <f t="shared" si="5"/>
        <v>0.36661101135158408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52</v>
      </c>
      <c r="E32" s="68">
        <f t="shared" si="0"/>
        <v>4</v>
      </c>
      <c r="F32" s="55">
        <f t="shared" si="4"/>
        <v>61.83</v>
      </c>
      <c r="G32" s="56">
        <f>IF(D32=D31,"",_xlfn.IFNA(VLOOKUP(D32,'인원 입력 기능(사과탐)'!$K$177:$N$231,4,FALSE),0))</f>
        <v>2872</v>
      </c>
      <c r="H32" s="57">
        <f t="shared" si="1"/>
        <v>3.0158880173056526E-2</v>
      </c>
      <c r="I32" s="67">
        <f>SUM($G$7:G32)</f>
        <v>37784</v>
      </c>
      <c r="J32" s="59">
        <f t="shared" si="5"/>
        <v>0.39676989152464059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51</v>
      </c>
      <c r="E33" s="68">
        <f t="shared" si="0"/>
        <v>4</v>
      </c>
      <c r="F33" s="55">
        <f t="shared" si="4"/>
        <v>58.73</v>
      </c>
      <c r="G33" s="56">
        <f>IF(D33=D32,"",_xlfn.IFNA(VLOOKUP(D33,'인원 입력 기능(사과탐)'!$K$177:$N$231,4,FALSE),0))</f>
        <v>3039</v>
      </c>
      <c r="H33" s="57">
        <f t="shared" si="1"/>
        <v>3.1912547648300413E-2</v>
      </c>
      <c r="I33" s="67">
        <f>SUM($G$7:G33)</f>
        <v>40823</v>
      </c>
      <c r="J33" s="59">
        <f t="shared" si="5"/>
        <v>0.42868243917294102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50</v>
      </c>
      <c r="E34" s="68">
        <f t="shared" si="0"/>
        <v>5</v>
      </c>
      <c r="F34" s="55">
        <f t="shared" si="4"/>
        <v>55.68</v>
      </c>
      <c r="G34" s="56">
        <f>IF(D34=D33,"",_xlfn.IFNA(VLOOKUP(D34,'인원 입력 기능(사과탐)'!$K$177:$N$231,4,FALSE),0))</f>
        <v>2763</v>
      </c>
      <c r="H34" s="57">
        <f t="shared" si="1"/>
        <v>2.9014270862867404E-2</v>
      </c>
      <c r="I34" s="67">
        <f>SUM($G$7:G34)</f>
        <v>43586</v>
      </c>
      <c r="J34" s="59">
        <f t="shared" si="5"/>
        <v>0.45769671003580842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49</v>
      </c>
      <c r="E35" s="68">
        <f t="shared" si="0"/>
        <v>5</v>
      </c>
      <c r="F35" s="55">
        <f t="shared" si="4"/>
        <v>52.52</v>
      </c>
      <c r="G35" s="56">
        <f>IF(D35=D34,"",_xlfn.IFNA(VLOOKUP(D35,'인원 입력 기능(사과탐)'!$K$177:$N$231,4,FALSE),0))</f>
        <v>3253</v>
      </c>
      <c r="H35" s="57">
        <f t="shared" si="1"/>
        <v>3.415976225729557E-2</v>
      </c>
      <c r="I35" s="67">
        <f>SUM($G$7:G35)</f>
        <v>46839</v>
      </c>
      <c r="J35" s="59">
        <f t="shared" si="5"/>
        <v>0.49185647229310397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48</v>
      </c>
      <c r="E36" s="68">
        <f t="shared" si="0"/>
        <v>5</v>
      </c>
      <c r="F36" s="55">
        <f t="shared" si="4"/>
        <v>49.26</v>
      </c>
      <c r="G36" s="56">
        <f>IF(D36=D35,"",_xlfn.IFNA(VLOOKUP(D36,'인원 입력 기능(사과탐)'!$K$177:$N$231,4,FALSE),0))</f>
        <v>2962</v>
      </c>
      <c r="H36" s="57">
        <f t="shared" si="1"/>
        <v>3.1103970429175988E-2</v>
      </c>
      <c r="I36" s="67">
        <f>SUM($G$7:G36)</f>
        <v>49801</v>
      </c>
      <c r="J36" s="59">
        <f t="shared" si="5"/>
        <v>0.52296044272227993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174">
        <f t="shared" si="3"/>
        <v>47</v>
      </c>
      <c r="E37" s="174">
        <f t="shared" si="0"/>
        <v>5</v>
      </c>
      <c r="F37" s="176">
        <f t="shared" si="4"/>
        <v>44.17</v>
      </c>
      <c r="G37" s="178">
        <f>IF(D37=D36,"",_xlfn.IFNA(VLOOKUP(D37,'인원 입력 기능(사과탐)'!$K$177:$N$231,4,FALSE),0))</f>
        <v>6724</v>
      </c>
      <c r="H37" s="180">
        <f t="shared" si="1"/>
        <v>7.0608743134969384E-2</v>
      </c>
      <c r="I37" s="189">
        <f>SUM($G$7:G37)</f>
        <v>56525</v>
      </c>
      <c r="J37" s="170">
        <f t="shared" si="5"/>
        <v>0.59356918585724938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175"/>
      <c r="E38" s="175"/>
      <c r="F38" s="177"/>
      <c r="G38" s="179"/>
      <c r="H38" s="181"/>
      <c r="I38" s="190"/>
      <c r="J38" s="17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46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5</v>
      </c>
      <c r="F39" s="55">
        <f t="shared" si="4"/>
        <v>38.97</v>
      </c>
      <c r="G39" s="56">
        <f>IF(D39=D38,"",_xlfn.IFNA(VLOOKUP(D39,'인원 입력 기능(사과탐)'!$K$177:$N$231,4,FALSE),0))</f>
        <v>3181</v>
      </c>
      <c r="H39" s="57">
        <f t="shared" si="1"/>
        <v>3.3403690052400001E-2</v>
      </c>
      <c r="I39" s="67">
        <f>SUM($G$7:G39)</f>
        <v>59706</v>
      </c>
      <c r="J39" s="59">
        <f t="shared" si="5"/>
        <v>0.62697287590964934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45</v>
      </c>
      <c r="E40" s="68">
        <f t="shared" si="6"/>
        <v>6</v>
      </c>
      <c r="F40" s="55">
        <f t="shared" si="4"/>
        <v>35.479999999999997</v>
      </c>
      <c r="G40" s="56">
        <f>IF(D40=D39,"",_xlfn.IFNA(VLOOKUP(D40,'인원 입력 기능(사과탐)'!$K$177:$N$231,4,FALSE),0))</f>
        <v>3472</v>
      </c>
      <c r="H40" s="57">
        <f t="shared" si="1"/>
        <v>3.645948188051959E-2</v>
      </c>
      <c r="I40" s="67">
        <f>SUM($G$7:G40)</f>
        <v>63178</v>
      </c>
      <c r="J40" s="59">
        <f t="shared" si="5"/>
        <v>0.66343235779016896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44</v>
      </c>
      <c r="E41" s="68">
        <f t="shared" si="6"/>
        <v>6</v>
      </c>
      <c r="F41" s="55">
        <f t="shared" si="4"/>
        <v>31.99</v>
      </c>
      <c r="G41" s="56">
        <f>IF(D41=D40,"",_xlfn.IFNA(VLOOKUP(D41,'인원 입력 기능(사과탐)'!$K$177:$N$231,4,FALSE),0))</f>
        <v>3168</v>
      </c>
      <c r="H41" s="57">
        <f t="shared" si="1"/>
        <v>3.3267177015404971E-2</v>
      </c>
      <c r="I41" s="67">
        <f>SUM($G$7:G41)</f>
        <v>66346</v>
      </c>
      <c r="J41" s="59">
        <f t="shared" si="5"/>
        <v>0.69669953480557389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28.53</v>
      </c>
      <c r="G42" s="56">
        <f>IF(D42=D41,"",_xlfn.IFNA(VLOOKUP(D42,'인원 입력 기능(사과탐)'!$K$177:$N$231,4,FALSE),0))</f>
        <v>3426</v>
      </c>
      <c r="H42" s="57">
        <f t="shared" si="1"/>
        <v>3.5976435749614087E-2</v>
      </c>
      <c r="I42" s="67">
        <f>SUM($G$7:G42)</f>
        <v>69772</v>
      </c>
      <c r="J42" s="59">
        <f t="shared" si="5"/>
        <v>0.73267597055518807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25.18</v>
      </c>
      <c r="G43" s="56">
        <f>IF(D43=D42,"",_xlfn.IFNA(VLOOKUP(D43,'인원 입력 기능(사과탐)'!$K$177:$N$231,4,FALSE),0))</f>
        <v>2964</v>
      </c>
      <c r="H43" s="57">
        <f t="shared" si="1"/>
        <v>3.1124972434867528E-2</v>
      </c>
      <c r="I43" s="67">
        <f>SUM($G$7:G43)</f>
        <v>72736</v>
      </c>
      <c r="J43" s="59">
        <f t="shared" si="5"/>
        <v>0.76380094299005552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21.93</v>
      </c>
      <c r="G44" s="56">
        <f>IF(D44=D43,"",_xlfn.IFNA(VLOOKUP(D44,'인원 입력 기능(사과탐)'!$K$177:$N$231,4,FALSE),0))</f>
        <v>3218</v>
      </c>
      <c r="H44" s="57">
        <f t="shared" si="1"/>
        <v>3.3792227157693561E-2</v>
      </c>
      <c r="I44" s="67">
        <f>SUM($G$7:G44)</f>
        <v>75954</v>
      </c>
      <c r="J44" s="59">
        <f t="shared" si="5"/>
        <v>0.79759317014774911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7</v>
      </c>
      <c r="F45" s="55">
        <f t="shared" si="4"/>
        <v>17.989999999999998</v>
      </c>
      <c r="G45" s="56">
        <f>IF(D45=D44,"",_xlfn.IFNA(VLOOKUP(D45,'인원 입력 기능(사과탐)'!$K$177:$N$231,4,FALSE),0))</f>
        <v>4292</v>
      </c>
      <c r="H45" s="57">
        <f t="shared" si="1"/>
        <v>4.5070304214052441E-2</v>
      </c>
      <c r="I45" s="67">
        <f>SUM($G$7:G45)</f>
        <v>80246</v>
      </c>
      <c r="J45" s="59">
        <f t="shared" si="5"/>
        <v>0.84266347436180156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39</v>
      </c>
      <c r="E46" s="68">
        <f t="shared" si="6"/>
        <v>7</v>
      </c>
      <c r="F46" s="55">
        <f t="shared" si="4"/>
        <v>13.46</v>
      </c>
      <c r="G46" s="56">
        <f>IF(D46=D45,"",_xlfn.IFNA(VLOOKUP(D46,'인원 입력 기능(사과탐)'!$K$177:$N$231,4,FALSE),0))</f>
        <v>4333</v>
      </c>
      <c r="H46" s="57">
        <f t="shared" si="1"/>
        <v>4.5500845330729088E-2</v>
      </c>
      <c r="I46" s="67">
        <f>SUM($G$7:G46)</f>
        <v>84579</v>
      </c>
      <c r="J46" s="59">
        <f t="shared" si="5"/>
        <v>0.88816431969253062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38</v>
      </c>
      <c r="E47" s="68">
        <f t="shared" si="6"/>
        <v>7</v>
      </c>
      <c r="F47" s="55">
        <f t="shared" si="4"/>
        <v>8.9700000000000006</v>
      </c>
      <c r="G47" s="56">
        <f>IF(D47=D46,"",_xlfn.IFNA(VLOOKUP(D47,'인원 입력 기능(사과탐)'!$K$177:$N$231,4,FALSE),0))</f>
        <v>4208</v>
      </c>
      <c r="H47" s="57">
        <f t="shared" si="1"/>
        <v>4.418821997500761E-2</v>
      </c>
      <c r="I47" s="67">
        <f>SUM($G$7:G47)</f>
        <v>88787</v>
      </c>
      <c r="J47" s="59">
        <f t="shared" si="5"/>
        <v>0.93235253966753828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37</v>
      </c>
      <c r="E48" s="68">
        <f t="shared" si="6"/>
        <v>8</v>
      </c>
      <c r="F48" s="55">
        <f t="shared" si="4"/>
        <v>5.82</v>
      </c>
      <c r="G48" s="56">
        <f>IF(D48=D47,"",_xlfn.IFNA(VLOOKUP(D48,'인원 입력 기능(사과탐)'!$K$177:$N$231,4,FALSE),0))</f>
        <v>1796</v>
      </c>
      <c r="H48" s="57">
        <f t="shared" si="1"/>
        <v>1.8859801111006103E-2</v>
      </c>
      <c r="I48" s="67">
        <f>SUM($G$7:G48)</f>
        <v>90583</v>
      </c>
      <c r="J48" s="59">
        <f t="shared" si="5"/>
        <v>0.95121234077854433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36</v>
      </c>
      <c r="E49" s="68">
        <f t="shared" si="6"/>
        <v>8</v>
      </c>
      <c r="F49" s="55">
        <f t="shared" si="4"/>
        <v>4.24</v>
      </c>
      <c r="G49" s="56">
        <f>IF(D49=D48,"",_xlfn.IFNA(VLOOKUP(D49,'인원 입력 기능(사과탐)'!$K$177:$N$231,4,FALSE),0))</f>
        <v>1214</v>
      </c>
      <c r="H49" s="57">
        <f t="shared" si="1"/>
        <v>1.274821745476693E-2</v>
      </c>
      <c r="I49" s="67">
        <f>SUM($G$7:G49)</f>
        <v>91797</v>
      </c>
      <c r="J49" s="59">
        <f t="shared" si="5"/>
        <v>0.96396055823331128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35</v>
      </c>
      <c r="E50" s="68">
        <f t="shared" si="6"/>
        <v>9</v>
      </c>
      <c r="F50" s="55">
        <f t="shared" si="4"/>
        <v>2.84</v>
      </c>
      <c r="G50" s="56">
        <f>IF(D50=D49,"",_xlfn.IFNA(VLOOKUP(D50,'인원 입력 기능(사과탐)'!$K$177:$N$231,4,FALSE),0))</f>
        <v>1461</v>
      </c>
      <c r="H50" s="57">
        <f t="shared" si="1"/>
        <v>1.5341965157672558E-2</v>
      </c>
      <c r="I50" s="67">
        <f>SUM($G$7:G50)</f>
        <v>93258</v>
      </c>
      <c r="J50" s="59">
        <f t="shared" si="5"/>
        <v>0.97930252339098389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34</v>
      </c>
      <c r="E51" s="68">
        <f t="shared" si="6"/>
        <v>9</v>
      </c>
      <c r="F51" s="55">
        <f t="shared" si="4"/>
        <v>1.76</v>
      </c>
      <c r="G51" s="56">
        <f>IF(D51=D50,"",_xlfn.IFNA(VLOOKUP(D51,'인원 입력 기능(사과탐)'!$K$177:$N$231,4,FALSE),0))</f>
        <v>585</v>
      </c>
      <c r="H51" s="57">
        <f t="shared" si="1"/>
        <v>6.1430866647764863E-3</v>
      </c>
      <c r="I51" s="67">
        <f>SUM($G$7:G51)</f>
        <v>93843</v>
      </c>
      <c r="J51" s="59">
        <f t="shared" si="5"/>
        <v>0.98544561005576037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33</v>
      </c>
      <c r="E52" s="68">
        <f t="shared" si="6"/>
        <v>9</v>
      </c>
      <c r="F52" s="55">
        <f t="shared" si="4"/>
        <v>1.1399999999999999</v>
      </c>
      <c r="G52" s="56">
        <f>IF(D52=D51,"",_xlfn.IFNA(VLOOKUP(D52,'인원 입력 기능(사과탐)'!$K$177:$N$231,4,FALSE),0))</f>
        <v>609</v>
      </c>
      <c r="H52" s="57">
        <f t="shared" si="1"/>
        <v>6.3951107330750085E-3</v>
      </c>
      <c r="I52" s="67">
        <f>SUM($G$7:G52)</f>
        <v>94452</v>
      </c>
      <c r="J52" s="59">
        <f t="shared" si="5"/>
        <v>0.99184072078883534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172">
        <f t="shared" si="3"/>
        <v>32</v>
      </c>
      <c r="E53" s="172">
        <f t="shared" si="6"/>
        <v>9</v>
      </c>
      <c r="F53" s="176">
        <f t="shared" si="4"/>
        <v>0.56000000000000005</v>
      </c>
      <c r="G53" s="178">
        <f>IF(D53=D52,"",_xlfn.IFNA(VLOOKUP(D53,'인원 입력 기능(사과탐)'!$K$177:$N$231,4,FALSE),0))</f>
        <v>491</v>
      </c>
      <c r="H53" s="180">
        <f t="shared" si="1"/>
        <v>5.1559923972739393E-3</v>
      </c>
      <c r="I53" s="189">
        <f>SUM($G$7:G53)</f>
        <v>94943</v>
      </c>
      <c r="J53" s="170">
        <f t="shared" si="5"/>
        <v>0.99699671318610927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173"/>
      <c r="E54" s="173"/>
      <c r="F54" s="177"/>
      <c r="G54" s="179"/>
      <c r="H54" s="181"/>
      <c r="I54" s="190"/>
      <c r="J54" s="171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6"/>
        <v>9</v>
      </c>
      <c r="F55" s="55">
        <f t="shared" si="4"/>
        <v>0.19</v>
      </c>
      <c r="G55" s="56">
        <f>IF(D55=D54,"",_xlfn.IFNA(VLOOKUP(D55,'인원 입력 기능(사과탐)'!$K$177:$N$231,4,FALSE),0))</f>
        <v>211</v>
      </c>
      <c r="H55" s="57">
        <f t="shared" si="1"/>
        <v>2.2157116004578436E-3</v>
      </c>
      <c r="I55" s="67">
        <f>SUM($G$7:G55)</f>
        <v>95154</v>
      </c>
      <c r="J55" s="59">
        <f t="shared" si="5"/>
        <v>0.99921242478656713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6"/>
        <v>9</v>
      </c>
      <c r="F57" s="74">
        <f>IF(I55=0,ROUND(100*(1-(I54+I57)/2/$J$3),2),ROUND(100*(1-(I55+I57)/2/$J$3),2))</f>
        <v>0.04</v>
      </c>
      <c r="G57" s="110">
        <f>_xlfn.IFNA(VLOOKUP(D57,'인원 입력 기능(사과탐)'!$K$177:$N$231,4,FALSE),0)</f>
        <v>75</v>
      </c>
      <c r="H57" s="76">
        <f>G57/$J$3</f>
        <v>7.875752134328828E-4</v>
      </c>
      <c r="I57" s="77">
        <f>SUM($G$7:G57)</f>
        <v>95229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24">
    <mergeCell ref="D3:F3"/>
    <mergeCell ref="D4:F4"/>
    <mergeCell ref="G5:J5"/>
    <mergeCell ref="D21:D22"/>
    <mergeCell ref="E21:E22"/>
    <mergeCell ref="F21:F22"/>
    <mergeCell ref="G21:G22"/>
    <mergeCell ref="H21:H22"/>
    <mergeCell ref="I21:I22"/>
    <mergeCell ref="J21:J22"/>
    <mergeCell ref="I37:I38"/>
    <mergeCell ref="J37:J38"/>
    <mergeCell ref="D53:D54"/>
    <mergeCell ref="E53:E54"/>
    <mergeCell ref="F53:F54"/>
    <mergeCell ref="G53:G54"/>
    <mergeCell ref="H53:H54"/>
    <mergeCell ref="I53:I54"/>
    <mergeCell ref="J53:J54"/>
    <mergeCell ref="D37:D38"/>
    <mergeCell ref="E37:E38"/>
    <mergeCell ref="F37:F38"/>
    <mergeCell ref="G37:G38"/>
    <mergeCell ref="H37:H38"/>
  </mergeCells>
  <phoneticPr fontId="1" type="noConversion"/>
  <conditionalFormatting sqref="D7:G21 I7:J21 D23:G37 I23:J37 D39:G53 I39:J53 D55:G57 I55:J57">
    <cfRule type="expression" dxfId="30" priority="5">
      <formula>OR($D7=$Q$7:$Q$14)</formula>
    </cfRule>
  </conditionalFormatting>
  <conditionalFormatting sqref="C7:C57">
    <cfRule type="expression" dxfId="29" priority="4">
      <formula>OR(AND($D7=0,OR($D6=$Q$7:$Q$14)),AND($D8&gt;0,OR($D7=$Q$7:$Q$14)))</formula>
    </cfRule>
  </conditionalFormatting>
  <conditionalFormatting sqref="D7:D21 D23:D37 D39:D53 D55:D57">
    <cfRule type="expression" dxfId="28" priority="2">
      <formula>$D7=$D8</formula>
    </cfRule>
  </conditionalFormatting>
  <conditionalFormatting sqref="H7:H21 H23:H37 H39:H53 H55:H57">
    <cfRule type="expression" dxfId="27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ADD5B-C474-4501-A149-318FD835DF8F}">
  <sheetPr codeName="Sheet22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기능'!D20</f>
        <v>23.81</v>
      </c>
      <c r="I3" s="21" t="s">
        <v>123</v>
      </c>
      <c r="J3" s="81">
        <f>'통계 및 응시자 수 입력 기능'!C20</f>
        <v>78306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143</v>
      </c>
      <c r="E4" s="186"/>
      <c r="F4" s="187"/>
      <c r="G4" s="83" t="s">
        <v>126</v>
      </c>
      <c r="H4" s="84" t="str">
        <f>'통계 및 응시자 수 입력 기능'!E20</f>
        <v>12.08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 t="s">
        <v>85</v>
      </c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72</v>
      </c>
      <c r="E7" s="54">
        <f t="shared" ref="E7:E38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99.22</v>
      </c>
      <c r="G7" s="56">
        <f>_xlfn.IFNA(VLOOKUP(D7,'인원 입력 기능(사과탐)'!$P$177:$S$231,4,FALSE),0)</f>
        <v>1227</v>
      </c>
      <c r="H7" s="57">
        <f>G7/$J$3</f>
        <v>1.5669297371848901E-2</v>
      </c>
      <c r="I7" s="58">
        <f>G7</f>
        <v>1227</v>
      </c>
      <c r="J7" s="59">
        <f>I7/$J$3</f>
        <v>1.5669297371848901E-2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기능'!C148</f>
        <v>68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기능'!C149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70</v>
      </c>
      <c r="E9" s="54">
        <f t="shared" si="0"/>
        <v>1</v>
      </c>
      <c r="F9" s="55">
        <f>IF(I8=0,ROUND(100*(1-(I7+I9)/2/$J$3),2),ROUND(100*(1-(I8+I9)/2/$J$3),2))</f>
        <v>98.07</v>
      </c>
      <c r="G9" s="56">
        <f>_xlfn.IFNA(VLOOKUP(D9,'인원 입력 기능(사과탐)'!$P$177:$S$231,4,FALSE),0)</f>
        <v>568</v>
      </c>
      <c r="H9" s="57">
        <f t="shared" ref="H9:H55" si="1">G9/$J$3</f>
        <v>7.2535948714019362E-3</v>
      </c>
      <c r="I9" s="67">
        <f>SUM($G$7:G9)</f>
        <v>1795</v>
      </c>
      <c r="J9" s="59">
        <f>I9/$J$3</f>
        <v>2.2922892243250836E-2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기능'!C150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69</v>
      </c>
      <c r="E10" s="54">
        <f t="shared" si="0"/>
        <v>1</v>
      </c>
      <c r="F10" s="55">
        <f t="shared" ref="F10:F55" si="4">IF(I9=0,ROUND(100*(1-(I8+I10)/2/$J$3),2),ROUND(100*(1-(I9+I10)/2/$J$3),2))</f>
        <v>96.92</v>
      </c>
      <c r="G10" s="56">
        <f>IF(D10=D9,"",_xlfn.IFNA(VLOOKUP(D10,'인원 입력 기능(사과탐)'!$P$177:$S$231,4,FALSE),0))</f>
        <v>1228</v>
      </c>
      <c r="H10" s="57">
        <f t="shared" si="1"/>
        <v>1.568206778535489E-2</v>
      </c>
      <c r="I10" s="67">
        <f>SUM($G$7:G10)</f>
        <v>3023</v>
      </c>
      <c r="J10" s="59">
        <f t="shared" ref="J10:J55" si="5">I10/$J$3</f>
        <v>3.860496002860573E-2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기능'!C151</f>
        <v>53</v>
      </c>
    </row>
    <row r="11" spans="1:17" s="22" customFormat="1" ht="25" customHeight="1" x14ac:dyDescent="0.45">
      <c r="A11" s="20"/>
      <c r="B11" s="35"/>
      <c r="C11" s="53">
        <v>46</v>
      </c>
      <c r="D11" s="172">
        <f t="shared" si="3"/>
        <v>68</v>
      </c>
      <c r="E11" s="172">
        <f t="shared" si="0"/>
        <v>1</v>
      </c>
      <c r="F11" s="176">
        <f t="shared" si="4"/>
        <v>95.28</v>
      </c>
      <c r="G11" s="178">
        <f>IF(D11=D10,"",_xlfn.IFNA(VLOOKUP(D11,'인원 입력 기능(사과탐)'!$P$177:$S$231,4,FALSE),0))</f>
        <v>1347</v>
      </c>
      <c r="H11" s="180">
        <f t="shared" si="1"/>
        <v>1.7201746992567619E-2</v>
      </c>
      <c r="I11" s="189">
        <f>SUM($G$7:G11)</f>
        <v>4370</v>
      </c>
      <c r="J11" s="170">
        <f t="shared" si="5"/>
        <v>5.5806707021173345E-2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기능'!C152</f>
        <v>46</v>
      </c>
    </row>
    <row r="12" spans="1:17" s="22" customFormat="1" ht="25" customHeight="1" x14ac:dyDescent="0.45">
      <c r="A12" s="20"/>
      <c r="B12" s="35"/>
      <c r="C12" s="60">
        <v>45</v>
      </c>
      <c r="D12" s="173"/>
      <c r="E12" s="173"/>
      <c r="F12" s="177"/>
      <c r="G12" s="179"/>
      <c r="H12" s="181"/>
      <c r="I12" s="190"/>
      <c r="J12" s="171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기능'!C153</f>
        <v>40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67</v>
      </c>
      <c r="E13" s="54">
        <f t="shared" si="0"/>
        <v>2</v>
      </c>
      <c r="F13" s="55">
        <f t="shared" si="4"/>
        <v>93.75</v>
      </c>
      <c r="G13" s="56">
        <f>IF(D13=D12,"",_xlfn.IFNA(VLOOKUP(D13,'인원 입력 기능(사과탐)'!$P$177:$S$231,4,FALSE),0))</f>
        <v>1054</v>
      </c>
      <c r="H13" s="57">
        <f t="shared" si="1"/>
        <v>1.3460015835312747E-2</v>
      </c>
      <c r="I13" s="67">
        <f>SUM($G$7:G13)</f>
        <v>5424</v>
      </c>
      <c r="J13" s="59">
        <f t="shared" si="5"/>
        <v>6.9266722856486093E-2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기능'!C154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66</v>
      </c>
      <c r="E14" s="54">
        <f t="shared" si="0"/>
        <v>2</v>
      </c>
      <c r="F14" s="55">
        <f t="shared" si="4"/>
        <v>92.71</v>
      </c>
      <c r="G14" s="56">
        <f>IF(D14=D13,"",_xlfn.IFNA(VLOOKUP(D14,'인원 입력 기능(사과탐)'!$P$177:$S$231,4,FALSE),0))</f>
        <v>575</v>
      </c>
      <c r="H14" s="57">
        <f t="shared" si="1"/>
        <v>7.3429877659438609E-3</v>
      </c>
      <c r="I14" s="67">
        <f>SUM($G$7:G14)</f>
        <v>5999</v>
      </c>
      <c r="J14" s="59">
        <f t="shared" si="5"/>
        <v>7.6609710622429952E-2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기능'!C155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65</v>
      </c>
      <c r="E15" s="54">
        <f t="shared" si="0"/>
        <v>2</v>
      </c>
      <c r="F15" s="55">
        <f t="shared" si="4"/>
        <v>91.39</v>
      </c>
      <c r="G15" s="56">
        <f>IF(D15=D14,"",_xlfn.IFNA(VLOOKUP(D15,'인원 입력 기능(사과탐)'!$P$177:$S$231,4,FALSE),0))</f>
        <v>1491</v>
      </c>
      <c r="H15" s="57">
        <f t="shared" si="1"/>
        <v>1.9040686537430081E-2</v>
      </c>
      <c r="I15" s="67">
        <f>SUM($G$7:G15)</f>
        <v>7490</v>
      </c>
      <c r="J15" s="59">
        <f t="shared" si="5"/>
        <v>9.565039715986004E-2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64</v>
      </c>
      <c r="E16" s="54">
        <f t="shared" si="0"/>
        <v>2</v>
      </c>
      <c r="F16" s="55">
        <f t="shared" si="4"/>
        <v>89.85</v>
      </c>
      <c r="G16" s="56">
        <f>IF(D16=D15,"",_xlfn.IFNA(VLOOKUP(D16,'인원 입력 기능(사과탐)'!$P$177:$S$231,4,FALSE),0))</f>
        <v>919</v>
      </c>
      <c r="H16" s="57">
        <f t="shared" si="1"/>
        <v>1.1736010012004189E-2</v>
      </c>
      <c r="I16" s="67">
        <f>SUM($G$7:G16)</f>
        <v>8409</v>
      </c>
      <c r="J16" s="59">
        <f t="shared" si="5"/>
        <v>0.10738640717186422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172">
        <f t="shared" si="3"/>
        <v>63</v>
      </c>
      <c r="E17" s="172">
        <f t="shared" si="0"/>
        <v>2</v>
      </c>
      <c r="F17" s="176">
        <f t="shared" si="4"/>
        <v>87.48</v>
      </c>
      <c r="G17" s="178">
        <f>IF(D17=D16,"",_xlfn.IFNA(VLOOKUP(D17,'인원 입력 기능(사과탐)'!$P$177:$S$231,4,FALSE),0))</f>
        <v>2791</v>
      </c>
      <c r="H17" s="180">
        <f t="shared" si="1"/>
        <v>3.5642224095216203E-2</v>
      </c>
      <c r="I17" s="189">
        <f>SUM($G$7:G17)</f>
        <v>11200</v>
      </c>
      <c r="J17" s="170">
        <f t="shared" si="5"/>
        <v>0.14302863126708043</v>
      </c>
      <c r="K17" s="36"/>
      <c r="L17" s="20" t="str">
        <f t="shared" si="2"/>
        <v/>
      </c>
      <c r="N17" s="24"/>
      <c r="Q17" s="24">
        <f>Q7*H3*H4*J3*IFERROR(IF(J57=1, 1, 0), 0)</f>
        <v>1531546836.0383999</v>
      </c>
    </row>
    <row r="18" spans="1:17" s="22" customFormat="1" ht="25" customHeight="1" x14ac:dyDescent="0.45">
      <c r="A18" s="20"/>
      <c r="B18" s="35"/>
      <c r="C18" s="60">
        <v>39</v>
      </c>
      <c r="D18" s="173"/>
      <c r="E18" s="173"/>
      <c r="F18" s="177"/>
      <c r="G18" s="179"/>
      <c r="H18" s="181"/>
      <c r="I18" s="190"/>
      <c r="J18" s="171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62</v>
      </c>
      <c r="E19" s="54">
        <f t="shared" si="0"/>
        <v>3</v>
      </c>
      <c r="F19" s="55">
        <f t="shared" si="4"/>
        <v>84.98</v>
      </c>
      <c r="G19" s="56">
        <f>IF(D19=D18,"",_xlfn.IFNA(VLOOKUP(D19,'인원 입력 기능(사과탐)'!$P$177:$S$231,4,FALSE),0))</f>
        <v>1127</v>
      </c>
      <c r="H19" s="57">
        <f t="shared" si="1"/>
        <v>1.4392256021249968E-2</v>
      </c>
      <c r="I19" s="67">
        <f>SUM($G$7:G19)</f>
        <v>12327</v>
      </c>
      <c r="J19" s="59">
        <f t="shared" si="5"/>
        <v>0.1574208872883304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61</v>
      </c>
      <c r="E20" s="54">
        <f t="shared" si="0"/>
        <v>3</v>
      </c>
      <c r="F20" s="55">
        <f t="shared" si="4"/>
        <v>83.19</v>
      </c>
      <c r="G20" s="56">
        <f>IF(D20=D19,"",_xlfn.IFNA(VLOOKUP(D20,'인원 입력 기능(사과탐)'!$P$177:$S$231,4,FALSE),0))</f>
        <v>1680</v>
      </c>
      <c r="H20" s="57">
        <f t="shared" si="1"/>
        <v>2.1454294690062065E-2</v>
      </c>
      <c r="I20" s="67">
        <f>SUM($G$7:G20)</f>
        <v>14007</v>
      </c>
      <c r="J20" s="59">
        <f t="shared" si="5"/>
        <v>0.17887518197839247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60</v>
      </c>
      <c r="E21" s="68">
        <f t="shared" si="0"/>
        <v>3</v>
      </c>
      <c r="F21" s="55">
        <f t="shared" si="4"/>
        <v>81.08</v>
      </c>
      <c r="G21" s="56">
        <f>IF(D21=D20,"",_xlfn.IFNA(VLOOKUP(D21,'인원 입력 기능(사과탐)'!$P$177:$S$231,4,FALSE),0))</f>
        <v>1611</v>
      </c>
      <c r="H21" s="57">
        <f t="shared" si="1"/>
        <v>2.0573136158148802E-2</v>
      </c>
      <c r="I21" s="67">
        <f>SUM($G$7:G21)</f>
        <v>15618</v>
      </c>
      <c r="J21" s="59">
        <f t="shared" si="5"/>
        <v>0.19944831813654126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59</v>
      </c>
      <c r="E22" s="68">
        <f t="shared" si="0"/>
        <v>3</v>
      </c>
      <c r="F22" s="55">
        <f t="shared" si="4"/>
        <v>79.14</v>
      </c>
      <c r="G22" s="56">
        <f>IF(D22=D21,"",_xlfn.IFNA(VLOOKUP(D22,'인원 입력 기능(사과탐)'!$P$177:$S$231,4,FALSE),0))</f>
        <v>1441</v>
      </c>
      <c r="H22" s="57">
        <f t="shared" si="1"/>
        <v>1.8402165862130615E-2</v>
      </c>
      <c r="I22" s="67">
        <f>SUM($G$7:G22)</f>
        <v>17059</v>
      </c>
      <c r="J22" s="59">
        <f t="shared" si="5"/>
        <v>0.21785048399867188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174">
        <f t="shared" si="3"/>
        <v>58</v>
      </c>
      <c r="E23" s="174">
        <f t="shared" si="0"/>
        <v>3</v>
      </c>
      <c r="F23" s="176">
        <f t="shared" si="4"/>
        <v>75.95</v>
      </c>
      <c r="G23" s="178">
        <f>IF(D23=D22,"",_xlfn.IFNA(VLOOKUP(D23,'인원 입력 기능(사과탐)'!$P$177:$S$231,4,FALSE),0))</f>
        <v>3554</v>
      </c>
      <c r="H23" s="180">
        <f t="shared" si="1"/>
        <v>4.5386049600286055E-2</v>
      </c>
      <c r="I23" s="189">
        <f>SUM($G$7:G23)</f>
        <v>20613</v>
      </c>
      <c r="J23" s="170">
        <f t="shared" si="5"/>
        <v>0.26323653359895793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175"/>
      <c r="E24" s="175"/>
      <c r="F24" s="177"/>
      <c r="G24" s="179"/>
      <c r="H24" s="181"/>
      <c r="I24" s="190"/>
      <c r="J24" s="171"/>
      <c r="K24" s="36"/>
      <c r="L24" s="20" t="str">
        <f t="shared" si="2"/>
        <v>경고</v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57</v>
      </c>
      <c r="E25" s="68">
        <f t="shared" si="0"/>
        <v>4</v>
      </c>
      <c r="F25" s="55">
        <f t="shared" si="4"/>
        <v>72.53</v>
      </c>
      <c r="G25" s="56">
        <f>IF(D25=D24,"",_xlfn.IFNA(VLOOKUP(D25,'인원 입력 기능(사과탐)'!$P$177:$S$231,4,FALSE),0))</f>
        <v>1792</v>
      </c>
      <c r="H25" s="57">
        <f t="shared" si="1"/>
        <v>2.2884581002732867E-2</v>
      </c>
      <c r="I25" s="67">
        <f>SUM($G$7:G25)</f>
        <v>22405</v>
      </c>
      <c r="J25" s="59">
        <f t="shared" si="5"/>
        <v>0.28612111460169082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56</v>
      </c>
      <c r="E26" s="68">
        <f t="shared" si="0"/>
        <v>4</v>
      </c>
      <c r="F26" s="55">
        <f t="shared" si="4"/>
        <v>70.2</v>
      </c>
      <c r="G26" s="56">
        <f>IF(D26=D25,"",_xlfn.IFNA(VLOOKUP(D26,'인원 입력 기능(사과탐)'!$P$177:$S$231,4,FALSE),0))</f>
        <v>1854</v>
      </c>
      <c r="H26" s="57">
        <f t="shared" si="1"/>
        <v>2.3676346640104207E-2</v>
      </c>
      <c r="I26" s="67">
        <f>SUM($G$7:G26)</f>
        <v>24259</v>
      </c>
      <c r="J26" s="59">
        <f t="shared" si="5"/>
        <v>0.30979746124179502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55</v>
      </c>
      <c r="E27" s="68">
        <f t="shared" si="0"/>
        <v>4</v>
      </c>
      <c r="F27" s="55">
        <f t="shared" si="4"/>
        <v>67.92</v>
      </c>
      <c r="G27" s="56">
        <f>IF(D27=D26,"",_xlfn.IFNA(VLOOKUP(D27,'인원 입력 기능(사과탐)'!$P$177:$S$231,4,FALSE),0))</f>
        <v>1717</v>
      </c>
      <c r="H27" s="57">
        <f t="shared" si="1"/>
        <v>2.1926799989783669E-2</v>
      </c>
      <c r="I27" s="67">
        <f>SUM($G$7:G27)</f>
        <v>25976</v>
      </c>
      <c r="J27" s="59">
        <f t="shared" si="5"/>
        <v>0.33172426123157867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54</v>
      </c>
      <c r="E28" s="68">
        <f t="shared" si="0"/>
        <v>4</v>
      </c>
      <c r="F28" s="55">
        <f t="shared" si="4"/>
        <v>65.489999999999995</v>
      </c>
      <c r="G28" s="56">
        <f>IF(D28=D27,"",_xlfn.IFNA(VLOOKUP(D28,'인원 입력 기능(사과탐)'!$P$177:$S$231,4,FALSE),0))</f>
        <v>2088</v>
      </c>
      <c r="H28" s="57">
        <f t="shared" si="1"/>
        <v>2.6664623400505707E-2</v>
      </c>
      <c r="I28" s="67">
        <f>SUM($G$7:G28)</f>
        <v>28064</v>
      </c>
      <c r="J28" s="59">
        <f t="shared" si="5"/>
        <v>0.3583888846320844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174">
        <f t="shared" si="3"/>
        <v>53</v>
      </c>
      <c r="E29" s="174">
        <f t="shared" si="0"/>
        <v>4</v>
      </c>
      <c r="F29" s="176">
        <f t="shared" si="4"/>
        <v>61.7</v>
      </c>
      <c r="G29" s="178">
        <f>IF(D29=D28,"",_xlfn.IFNA(VLOOKUP(D29,'인원 입력 기능(사과탐)'!$P$177:$S$231,4,FALSE),0))</f>
        <v>3860</v>
      </c>
      <c r="H29" s="180">
        <f t="shared" si="1"/>
        <v>4.9293796133118788E-2</v>
      </c>
      <c r="I29" s="189">
        <f>SUM($G$7:G29)</f>
        <v>31924</v>
      </c>
      <c r="J29" s="170">
        <f t="shared" si="5"/>
        <v>0.4076826807652032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175"/>
      <c r="E30" s="175"/>
      <c r="F30" s="177"/>
      <c r="G30" s="179"/>
      <c r="H30" s="181"/>
      <c r="I30" s="190"/>
      <c r="J30" s="171"/>
      <c r="K30" s="36"/>
      <c r="L30" s="20" t="str">
        <f t="shared" si="2"/>
        <v>경고</v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52</v>
      </c>
      <c r="E31" s="68">
        <f t="shared" si="0"/>
        <v>5</v>
      </c>
      <c r="F31" s="55">
        <f t="shared" si="4"/>
        <v>57.86</v>
      </c>
      <c r="G31" s="56">
        <f>IF(D31=D30,"",_xlfn.IFNA(VLOOKUP(D31,'인원 입력 기능(사과탐)'!$P$177:$S$231,4,FALSE),0))</f>
        <v>2154</v>
      </c>
      <c r="H31" s="57">
        <f t="shared" si="1"/>
        <v>2.7507470691901004E-2</v>
      </c>
      <c r="I31" s="67">
        <f>SUM($G$7:G31)</f>
        <v>34078</v>
      </c>
      <c r="J31" s="59">
        <f t="shared" si="5"/>
        <v>0.43519015145710416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51</v>
      </c>
      <c r="E32" s="68">
        <f t="shared" si="0"/>
        <v>5</v>
      </c>
      <c r="F32" s="55">
        <f t="shared" si="4"/>
        <v>55.23</v>
      </c>
      <c r="G32" s="56">
        <f>IF(D32=D31,"",_xlfn.IFNA(VLOOKUP(D32,'인원 입력 기능(사과탐)'!$P$177:$S$231,4,FALSE),0))</f>
        <v>1964</v>
      </c>
      <c r="H32" s="57">
        <f t="shared" si="1"/>
        <v>2.5081092125763031E-2</v>
      </c>
      <c r="I32" s="67">
        <f>SUM($G$7:G32)</f>
        <v>36042</v>
      </c>
      <c r="J32" s="59">
        <f t="shared" si="5"/>
        <v>0.4602712435828672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50</v>
      </c>
      <c r="E33" s="68">
        <f t="shared" si="0"/>
        <v>5</v>
      </c>
      <c r="F33" s="55">
        <f t="shared" si="4"/>
        <v>52.62</v>
      </c>
      <c r="G33" s="56">
        <f>IF(D33=D32,"",_xlfn.IFNA(VLOOKUP(D33,'인원 입력 기능(사과탐)'!$P$177:$S$231,4,FALSE),0))</f>
        <v>2124</v>
      </c>
      <c r="H33" s="57">
        <f t="shared" si="1"/>
        <v>2.7124358286721325E-2</v>
      </c>
      <c r="I33" s="67">
        <f>SUM($G$7:G33)</f>
        <v>38166</v>
      </c>
      <c r="J33" s="59">
        <f t="shared" si="5"/>
        <v>0.48739560186958852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174">
        <f t="shared" si="3"/>
        <v>49</v>
      </c>
      <c r="E34" s="174">
        <f t="shared" si="0"/>
        <v>5</v>
      </c>
      <c r="F34" s="176">
        <f t="shared" si="4"/>
        <v>48.66</v>
      </c>
      <c r="G34" s="178">
        <f>IF(D34=D33,"",_xlfn.IFNA(VLOOKUP(D34,'인원 입력 기능(사과탐)'!$P$177:$S$231,4,FALSE),0))</f>
        <v>4071</v>
      </c>
      <c r="H34" s="180">
        <f t="shared" si="1"/>
        <v>5.1988353382882539E-2</v>
      </c>
      <c r="I34" s="189">
        <f>SUM($G$7:G34)</f>
        <v>42237</v>
      </c>
      <c r="J34" s="170">
        <f t="shared" si="5"/>
        <v>0.53938395525247107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175"/>
      <c r="E35" s="175"/>
      <c r="F35" s="177"/>
      <c r="G35" s="179"/>
      <c r="H35" s="181"/>
      <c r="I35" s="190"/>
      <c r="J35" s="171"/>
      <c r="K35" s="36"/>
      <c r="L35" s="20" t="str">
        <f t="shared" si="2"/>
        <v>경고</v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48</v>
      </c>
      <c r="E36" s="68">
        <f t="shared" si="0"/>
        <v>5</v>
      </c>
      <c r="F36" s="55">
        <f t="shared" si="4"/>
        <v>44.72</v>
      </c>
      <c r="G36" s="56">
        <f>IF(D36=D35,"",_xlfn.IFNA(VLOOKUP(D36,'인원 입력 기능(사과탐)'!$P$177:$S$231,4,FALSE),0))</f>
        <v>2103</v>
      </c>
      <c r="H36" s="57">
        <f t="shared" si="1"/>
        <v>2.6856179603095547E-2</v>
      </c>
      <c r="I36" s="67">
        <f>SUM($G$7:G36)</f>
        <v>44340</v>
      </c>
      <c r="J36" s="59">
        <f t="shared" si="5"/>
        <v>0.56624013485556657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47</v>
      </c>
      <c r="E37" s="68">
        <f t="shared" si="0"/>
        <v>5</v>
      </c>
      <c r="F37" s="55">
        <f t="shared" si="4"/>
        <v>42.15</v>
      </c>
      <c r="G37" s="56">
        <f>IF(D37=D36,"",_xlfn.IFNA(VLOOKUP(D37,'인원 입력 기능(사과탐)'!$P$177:$S$231,4,FALSE),0))</f>
        <v>1916</v>
      </c>
      <c r="H37" s="57">
        <f t="shared" si="1"/>
        <v>2.4468112277475546E-2</v>
      </c>
      <c r="I37" s="67">
        <f>SUM($G$7:G37)</f>
        <v>46256</v>
      </c>
      <c r="J37" s="59">
        <f t="shared" si="5"/>
        <v>0.59070824713304215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46</v>
      </c>
      <c r="E38" s="68">
        <f t="shared" si="0"/>
        <v>5</v>
      </c>
      <c r="F38" s="55">
        <f t="shared" si="4"/>
        <v>39.56</v>
      </c>
      <c r="G38" s="56">
        <f>IF(D38=D37,"",_xlfn.IFNA(VLOOKUP(D38,'인원 입력 기능(사과탐)'!$P$177:$S$231,4,FALSE),0))</f>
        <v>2147</v>
      </c>
      <c r="H38" s="57">
        <f t="shared" si="1"/>
        <v>2.7418077797359077E-2</v>
      </c>
      <c r="I38" s="67">
        <f>SUM($G$7:G38)</f>
        <v>48403</v>
      </c>
      <c r="J38" s="59">
        <f t="shared" si="5"/>
        <v>0.61812632493040121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45</v>
      </c>
      <c r="E39" s="68">
        <f t="shared" ref="E39:E57" si="6">IF(ROUND(D39,0)&gt;=$Q$7,1,IF(ROUND(D39,0)&gt;=$Q$8,2,IF(ROUND(D39,0)&gt;=$Q$9,3,IF(ROUND(D39,0)&gt;=$Q$10,4,IF(ROUND(D39,0)&gt;=$Q$11,5,IF(ROUND(D39,0)&gt;=$Q$12,6,IF(ROUND(D39,0)&gt;=$Q$13,7,IF(ROUND(D39,0)&gt;=$Q$14,8,9))))))))</f>
        <v>6</v>
      </c>
      <c r="F39" s="55">
        <f t="shared" si="4"/>
        <v>36.909999999999997</v>
      </c>
      <c r="G39" s="56">
        <f>IF(D39=D38,"",_xlfn.IFNA(VLOOKUP(D39,'인원 입력 기능(사과탐)'!$P$177:$S$231,4,FALSE),0))</f>
        <v>2002</v>
      </c>
      <c r="H39" s="57">
        <f t="shared" si="1"/>
        <v>2.5566367838990627E-2</v>
      </c>
      <c r="I39" s="67">
        <f>SUM($G$7:G39)</f>
        <v>50405</v>
      </c>
      <c r="J39" s="59">
        <f t="shared" si="5"/>
        <v>0.64369269276939189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174">
        <f t="shared" si="3"/>
        <v>44</v>
      </c>
      <c r="E40" s="174">
        <f t="shared" si="6"/>
        <v>6</v>
      </c>
      <c r="F40" s="176">
        <f t="shared" si="4"/>
        <v>33.15</v>
      </c>
      <c r="G40" s="178">
        <f>IF(D40=D39,"",_xlfn.IFNA(VLOOKUP(D40,'인원 입력 기능(사과탐)'!$P$177:$S$231,4,FALSE),0))</f>
        <v>3885</v>
      </c>
      <c r="H40" s="180">
        <f t="shared" si="1"/>
        <v>4.9613056470768524E-2</v>
      </c>
      <c r="I40" s="189">
        <f>SUM($G$7:G40)</f>
        <v>54290</v>
      </c>
      <c r="J40" s="170">
        <f t="shared" si="5"/>
        <v>0.69330574924016042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175"/>
      <c r="E41" s="175"/>
      <c r="F41" s="177"/>
      <c r="G41" s="179"/>
      <c r="H41" s="181"/>
      <c r="I41" s="190"/>
      <c r="J41" s="171"/>
      <c r="K41" s="36"/>
      <c r="L41" s="20" t="str">
        <f t="shared" si="2"/>
        <v>경고</v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43</v>
      </c>
      <c r="E42" s="68">
        <f t="shared" si="6"/>
        <v>6</v>
      </c>
      <c r="F42" s="55">
        <f t="shared" si="4"/>
        <v>29.41</v>
      </c>
      <c r="G42" s="56">
        <f>IF(D42=D41,"",_xlfn.IFNA(VLOOKUP(D42,'인원 입력 기능(사과탐)'!$P$177:$S$231,4,FALSE),0))</f>
        <v>1966</v>
      </c>
      <c r="H42" s="57">
        <f t="shared" si="1"/>
        <v>2.5106632952775012E-2</v>
      </c>
      <c r="I42" s="67">
        <f>SUM($G$7:G42)</f>
        <v>56256</v>
      </c>
      <c r="J42" s="59">
        <f t="shared" si="5"/>
        <v>0.71841238219293546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42</v>
      </c>
      <c r="E43" s="68">
        <f t="shared" si="6"/>
        <v>6</v>
      </c>
      <c r="F43" s="55">
        <f t="shared" si="4"/>
        <v>26.97</v>
      </c>
      <c r="G43" s="56">
        <f>IF(D43=D42,"",_xlfn.IFNA(VLOOKUP(D43,'인원 입력 기능(사과탐)'!$P$177:$S$231,4,FALSE),0))</f>
        <v>1863</v>
      </c>
      <c r="H43" s="57">
        <f t="shared" si="1"/>
        <v>2.3791280361658111E-2</v>
      </c>
      <c r="I43" s="67">
        <f>SUM($G$7:G43)</f>
        <v>58119</v>
      </c>
      <c r="J43" s="59">
        <f t="shared" si="5"/>
        <v>0.74220366255459347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41</v>
      </c>
      <c r="E44" s="68">
        <f t="shared" si="6"/>
        <v>6</v>
      </c>
      <c r="F44" s="55">
        <f t="shared" si="4"/>
        <v>24.54</v>
      </c>
      <c r="G44" s="56">
        <f>IF(D44=D43,"",_xlfn.IFNA(VLOOKUP(D44,'인원 입력 기능(사과탐)'!$P$177:$S$231,4,FALSE),0))</f>
        <v>1936</v>
      </c>
      <c r="H44" s="57">
        <f t="shared" si="1"/>
        <v>2.4723520547595332E-2</v>
      </c>
      <c r="I44" s="67">
        <f>SUM($G$7:G44)</f>
        <v>60055</v>
      </c>
      <c r="J44" s="59">
        <f t="shared" si="5"/>
        <v>0.76692718310218888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40</v>
      </c>
      <c r="E45" s="68">
        <f t="shared" si="6"/>
        <v>6</v>
      </c>
      <c r="F45" s="55">
        <f t="shared" si="4"/>
        <v>21.86</v>
      </c>
      <c r="G45" s="56">
        <f>IF(D45=D44,"",_xlfn.IFNA(VLOOKUP(D45,'인원 입력 기능(사과탐)'!$P$177:$S$231,4,FALSE),0))</f>
        <v>2269</v>
      </c>
      <c r="H45" s="57">
        <f t="shared" si="1"/>
        <v>2.8976068245089776E-2</v>
      </c>
      <c r="I45" s="67">
        <f>SUM($G$7:G45)</f>
        <v>62324</v>
      </c>
      <c r="J45" s="59">
        <f t="shared" si="5"/>
        <v>0.79590325134727857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174">
        <f t="shared" si="3"/>
        <v>39</v>
      </c>
      <c r="E46" s="174">
        <f t="shared" si="6"/>
        <v>7</v>
      </c>
      <c r="F46" s="176">
        <f t="shared" si="4"/>
        <v>17.57</v>
      </c>
      <c r="G46" s="178">
        <f>IF(D46=D45,"",_xlfn.IFNA(VLOOKUP(D46,'인원 입력 기능(사과탐)'!$P$177:$S$231,4,FALSE),0))</f>
        <v>4453</v>
      </c>
      <c r="H46" s="180">
        <f t="shared" si="1"/>
        <v>5.6866651342170463E-2</v>
      </c>
      <c r="I46" s="189">
        <f>SUM($G$7:G46)</f>
        <v>66777</v>
      </c>
      <c r="J46" s="170">
        <f t="shared" si="5"/>
        <v>0.85276990268944908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175"/>
      <c r="E47" s="175"/>
      <c r="F47" s="177"/>
      <c r="G47" s="179"/>
      <c r="H47" s="181"/>
      <c r="I47" s="190"/>
      <c r="J47" s="171"/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38</v>
      </c>
      <c r="E48" s="68">
        <f t="shared" si="6"/>
        <v>7</v>
      </c>
      <c r="F48" s="55">
        <f t="shared" si="4"/>
        <v>12.46</v>
      </c>
      <c r="G48" s="56">
        <f>IF(D48=D47,"",_xlfn.IFNA(VLOOKUP(D48,'인원 입력 기능(사과탐)'!$P$177:$S$231,4,FALSE),0))</f>
        <v>3545</v>
      </c>
      <c r="H48" s="57">
        <f t="shared" si="1"/>
        <v>4.527111587873215E-2</v>
      </c>
      <c r="I48" s="67">
        <f>SUM($G$7:G48)</f>
        <v>70322</v>
      </c>
      <c r="J48" s="59">
        <f t="shared" si="5"/>
        <v>0.89804101856818119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37</v>
      </c>
      <c r="E49" s="68">
        <f t="shared" si="6"/>
        <v>8</v>
      </c>
      <c r="F49" s="55">
        <f t="shared" si="4"/>
        <v>7.64</v>
      </c>
      <c r="G49" s="56">
        <f>IF(D49=D48,"",_xlfn.IFNA(VLOOKUP(D49,'인원 입력 기능(사과탐)'!$P$177:$S$231,4,FALSE),0))</f>
        <v>4010</v>
      </c>
      <c r="H49" s="57">
        <f t="shared" si="1"/>
        <v>5.1209358159017192E-2</v>
      </c>
      <c r="I49" s="67">
        <f>SUM($G$7:G49)</f>
        <v>74332</v>
      </c>
      <c r="J49" s="59">
        <f t="shared" si="5"/>
        <v>0.94925037672719847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6"/>
        <v>8</v>
      </c>
      <c r="F50" s="55">
        <f t="shared" si="4"/>
        <v>4.29</v>
      </c>
      <c r="G50" s="56">
        <f>IF(D50=D49,"",_xlfn.IFNA(VLOOKUP(D50,'인원 입력 기능(사과탐)'!$P$177:$S$231,4,FALSE),0))</f>
        <v>1237</v>
      </c>
      <c r="H50" s="57">
        <f t="shared" si="1"/>
        <v>1.5797001506908794E-2</v>
      </c>
      <c r="I50" s="67">
        <f>SUM($G$7:G50)</f>
        <v>75569</v>
      </c>
      <c r="J50" s="59">
        <f t="shared" si="5"/>
        <v>0.96504737823410724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6"/>
        <v>9</v>
      </c>
      <c r="F51" s="55">
        <f t="shared" si="4"/>
        <v>3.04</v>
      </c>
      <c r="G51" s="56">
        <f>IF(D51=D50,"",_xlfn.IFNA(VLOOKUP(D51,'인원 입력 기능(사과탐)'!$P$177:$S$231,4,FALSE),0))</f>
        <v>709</v>
      </c>
      <c r="H51" s="57">
        <f t="shared" si="1"/>
        <v>9.0542231757464314E-3</v>
      </c>
      <c r="I51" s="67">
        <f>SUM($G$7:G51)</f>
        <v>76278</v>
      </c>
      <c r="J51" s="59">
        <f t="shared" si="5"/>
        <v>0.97410160140985369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174">
        <f t="shared" si="3"/>
        <v>34</v>
      </c>
      <c r="E52" s="174">
        <f t="shared" si="6"/>
        <v>9</v>
      </c>
      <c r="F52" s="176">
        <f t="shared" si="4"/>
        <v>1.76</v>
      </c>
      <c r="G52" s="178">
        <f>IF(D52=D51,"",_xlfn.IFNA(VLOOKUP(D52,'인원 입력 기능(사과탐)'!$P$177:$S$231,4,FALSE),0))</f>
        <v>1297</v>
      </c>
      <c r="H52" s="180">
        <f t="shared" si="1"/>
        <v>1.6563226317268153E-2</v>
      </c>
      <c r="I52" s="189">
        <f>SUM($G$7:G52)</f>
        <v>77575</v>
      </c>
      <c r="J52" s="170">
        <f t="shared" si="5"/>
        <v>0.99066482772712183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175"/>
      <c r="E53" s="175"/>
      <c r="F53" s="177"/>
      <c r="G53" s="179"/>
      <c r="H53" s="181"/>
      <c r="I53" s="190"/>
      <c r="J53" s="171"/>
      <c r="K53" s="36"/>
      <c r="L53" s="20" t="str">
        <f t="shared" si="2"/>
        <v>경고</v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6"/>
        <v>9</v>
      </c>
      <c r="F54" s="55">
        <f t="shared" si="4"/>
        <v>0.74</v>
      </c>
      <c r="G54" s="56">
        <f>IF(D54=D53,"",_xlfn.IFNA(VLOOKUP(D54,'인원 입력 기능(사과탐)'!$P$177:$S$231,4,FALSE),0))</f>
        <v>301</v>
      </c>
      <c r="H54" s="57">
        <f t="shared" si="1"/>
        <v>3.8438944653027864E-3</v>
      </c>
      <c r="I54" s="67">
        <f>SUM($G$7:G54)</f>
        <v>77876</v>
      </c>
      <c r="J54" s="59">
        <f t="shared" si="5"/>
        <v>0.99450872219242459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6"/>
        <v>9</v>
      </c>
      <c r="F55" s="55">
        <f t="shared" si="4"/>
        <v>0.36</v>
      </c>
      <c r="G55" s="56">
        <f>IF(D55=D54,"",_xlfn.IFNA(VLOOKUP(D55,'인원 입력 기능(사과탐)'!$P$177:$S$231,4,FALSE),0))</f>
        <v>300</v>
      </c>
      <c r="H55" s="57">
        <f t="shared" si="1"/>
        <v>3.8311240517967973E-3</v>
      </c>
      <c r="I55" s="67">
        <f>SUM($G$7:G55)</f>
        <v>78176</v>
      </c>
      <c r="J55" s="59">
        <f t="shared" si="5"/>
        <v>0.99833984624422134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6"/>
        <v>9</v>
      </c>
      <c r="F57" s="74">
        <f>IF(I55=0,ROUND(100*(1-(I54+I57)/2/$J$3),2),ROUND(100*(1-(I55+I57)/2/$J$3),2))</f>
        <v>0.08</v>
      </c>
      <c r="G57" s="110">
        <f>_xlfn.IFNA(VLOOKUP(D57,'인원 입력 기능(사과탐)'!$P$177:$S$231,4,FALSE),0)</f>
        <v>130</v>
      </c>
      <c r="H57" s="76">
        <f>G57/$J$3</f>
        <v>1.6601537557786122E-3</v>
      </c>
      <c r="I57" s="77">
        <f>SUM($G$7:G57)</f>
        <v>78306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59">
    <mergeCell ref="D3:F3"/>
    <mergeCell ref="D4:F4"/>
    <mergeCell ref="G5:J5"/>
    <mergeCell ref="D11:D12"/>
    <mergeCell ref="E11:E12"/>
    <mergeCell ref="F11:F12"/>
    <mergeCell ref="G11:G12"/>
    <mergeCell ref="H11:H12"/>
    <mergeCell ref="I11:I12"/>
    <mergeCell ref="J11:J12"/>
    <mergeCell ref="I17:I18"/>
    <mergeCell ref="J17:J18"/>
    <mergeCell ref="D23:D24"/>
    <mergeCell ref="E23:E24"/>
    <mergeCell ref="F23:F24"/>
    <mergeCell ref="G23:G24"/>
    <mergeCell ref="H23:H24"/>
    <mergeCell ref="I23:I24"/>
    <mergeCell ref="J23:J24"/>
    <mergeCell ref="D17:D18"/>
    <mergeCell ref="E17:E18"/>
    <mergeCell ref="F17:F18"/>
    <mergeCell ref="G17:G18"/>
    <mergeCell ref="H17:H18"/>
    <mergeCell ref="I29:I30"/>
    <mergeCell ref="J29:J30"/>
    <mergeCell ref="D34:D35"/>
    <mergeCell ref="E34:E35"/>
    <mergeCell ref="F34:F35"/>
    <mergeCell ref="G34:G35"/>
    <mergeCell ref="H34:H35"/>
    <mergeCell ref="I34:I35"/>
    <mergeCell ref="J34:J35"/>
    <mergeCell ref="D29:D30"/>
    <mergeCell ref="E29:E30"/>
    <mergeCell ref="F29:F30"/>
    <mergeCell ref="G29:G30"/>
    <mergeCell ref="H29:H30"/>
    <mergeCell ref="I40:I41"/>
    <mergeCell ref="J40:J41"/>
    <mergeCell ref="D46:D47"/>
    <mergeCell ref="E46:E47"/>
    <mergeCell ref="F46:F47"/>
    <mergeCell ref="G46:G47"/>
    <mergeCell ref="H46:H47"/>
    <mergeCell ref="I46:I47"/>
    <mergeCell ref="J46:J47"/>
    <mergeCell ref="D40:D41"/>
    <mergeCell ref="E40:E41"/>
    <mergeCell ref="F40:F41"/>
    <mergeCell ref="G40:G41"/>
    <mergeCell ref="H40:H41"/>
    <mergeCell ref="I52:I53"/>
    <mergeCell ref="J52:J53"/>
    <mergeCell ref="D52:D53"/>
    <mergeCell ref="E52:E53"/>
    <mergeCell ref="F52:F53"/>
    <mergeCell ref="G52:G53"/>
    <mergeCell ref="H52:H53"/>
  </mergeCells>
  <phoneticPr fontId="1" type="noConversion"/>
  <conditionalFormatting sqref="D7:G11 I7:J11 D13:G17 I13:J17 D19:G23 I19:J23 D25:G29 I25:J29 D31:G34 I31:J34 D36:G40 I36:J40 D42:G46 I42:J46 D48:G52 I48:J52 D54:G57 I54:J57">
    <cfRule type="expression" dxfId="26" priority="4">
      <formula>OR($D7=$Q$7:$Q$14)</formula>
    </cfRule>
  </conditionalFormatting>
  <conditionalFormatting sqref="C7:C57">
    <cfRule type="expression" dxfId="25" priority="3">
      <formula>OR(AND($D7=0,OR($D6=$Q$7:$Q$14)),AND($D8&gt;0,OR($D7=$Q$7:$Q$14)))</formula>
    </cfRule>
  </conditionalFormatting>
  <conditionalFormatting sqref="D7:D11 D13:D17 D19:D23 D25:D29 D31:D34 D36:D40 D42:D46 D48:D52 D54:D57">
    <cfRule type="expression" dxfId="24" priority="2">
      <formula>$D7=$D8</formula>
    </cfRule>
  </conditionalFormatting>
  <conditionalFormatting sqref="H7:H11 H13:H17 H19:H23 H25:H29 H31:H34 H36:H40 H42:H46 H48:H52 H54:H57">
    <cfRule type="expression" dxfId="23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B98C6-A2E7-434D-A987-71CB1C52276E}">
  <sheetPr codeName="Sheet23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기능'!D21</f>
        <v>21.15</v>
      </c>
      <c r="I3" s="21" t="s">
        <v>123</v>
      </c>
      <c r="J3" s="81">
        <f>'통계 및 응시자 수 입력 기능'!C21</f>
        <v>2261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142</v>
      </c>
      <c r="E4" s="186"/>
      <c r="F4" s="187"/>
      <c r="G4" s="83" t="s">
        <v>126</v>
      </c>
      <c r="H4" s="84" t="str">
        <f>'통계 및 응시자 수 입력 기능'!E21</f>
        <v>11.05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76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99.82</v>
      </c>
      <c r="G7" s="56">
        <f>_xlfn.IFNA(VLOOKUP(D7,'인원 입력 기능(직탐)'!$A$5:$D$59,4,FALSE),0)</f>
        <v>8</v>
      </c>
      <c r="H7" s="57">
        <f>G7/$J$3</f>
        <v>3.5382574082264487E-3</v>
      </c>
      <c r="I7" s="58">
        <f>G7</f>
        <v>8</v>
      </c>
      <c r="J7" s="59">
        <f>I7/$J$3</f>
        <v>3.5382574082264487E-3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기능'!C157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기능'!C158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74</v>
      </c>
      <c r="E9" s="54">
        <f t="shared" si="0"/>
        <v>1</v>
      </c>
      <c r="F9" s="55">
        <f>IF(I8=0,ROUND(100*(1-(I7+I9)/2/$J$3),2),ROUND(100*(1-(I8+I9)/2/$J$3),2))</f>
        <v>99.65</v>
      </c>
      <c r="G9" s="56">
        <f>_xlfn.IFNA(VLOOKUP(D9,'인원 입력 기능(직탐)'!$A$5:$D$59,4,FALSE),0)</f>
        <v>0</v>
      </c>
      <c r="H9" s="57">
        <f t="shared" ref="H9:H55" si="1">G9/$J$3</f>
        <v>0</v>
      </c>
      <c r="I9" s="67">
        <f>SUM($G$7:G9)</f>
        <v>8</v>
      </c>
      <c r="J9" s="59">
        <f>I9/$J$3</f>
        <v>3.5382574082264487E-3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기능'!C159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73</v>
      </c>
      <c r="E10" s="54">
        <f t="shared" si="0"/>
        <v>1</v>
      </c>
      <c r="F10" s="55">
        <f t="shared" ref="F10:F55" si="4">IF(I9=0,ROUND(100*(1-(I8+I10)/2/$J$3),2),ROUND(100*(1-(I9+I10)/2/$J$3),2))</f>
        <v>99.29</v>
      </c>
      <c r="G10" s="56">
        <f>IF(D10=D9,"",_xlfn.IFNA(VLOOKUP(D10,'인원 입력 기능(직탐)'!$A$5:$D$59,4,FALSE),0))</f>
        <v>16</v>
      </c>
      <c r="H10" s="57">
        <f t="shared" si="1"/>
        <v>7.0765148164528974E-3</v>
      </c>
      <c r="I10" s="67">
        <f>SUM($G$7:G10)</f>
        <v>24</v>
      </c>
      <c r="J10" s="59">
        <f t="shared" ref="J10:J55" si="5">I10/$J$3</f>
        <v>1.0614772224679346E-2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기능'!C160</f>
        <v>53</v>
      </c>
    </row>
    <row r="11" spans="1:17" s="22" customFormat="1" ht="25" customHeight="1" x14ac:dyDescent="0.45">
      <c r="A11" s="20"/>
      <c r="B11" s="35"/>
      <c r="C11" s="53">
        <v>46</v>
      </c>
      <c r="D11" s="172">
        <f t="shared" si="3"/>
        <v>72</v>
      </c>
      <c r="E11" s="172">
        <f t="shared" si="0"/>
        <v>1</v>
      </c>
      <c r="F11" s="176">
        <f t="shared" si="4"/>
        <v>98.61</v>
      </c>
      <c r="G11" s="178">
        <f>IF(D11=D10,"",_xlfn.IFNA(VLOOKUP(D11,'인원 입력 기능(직탐)'!$A$5:$D$59,4,FALSE),0))</f>
        <v>15</v>
      </c>
      <c r="H11" s="180">
        <f t="shared" si="1"/>
        <v>6.6342326404245913E-3</v>
      </c>
      <c r="I11" s="189">
        <f>SUM($G$7:G11)</f>
        <v>39</v>
      </c>
      <c r="J11" s="170">
        <f t="shared" si="5"/>
        <v>1.7249004865103935E-2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기능'!C161</f>
        <v>44</v>
      </c>
    </row>
    <row r="12" spans="1:17" s="22" customFormat="1" ht="25" customHeight="1" x14ac:dyDescent="0.45">
      <c r="A12" s="20"/>
      <c r="B12" s="35"/>
      <c r="C12" s="60">
        <v>45</v>
      </c>
      <c r="D12" s="173"/>
      <c r="E12" s="173"/>
      <c r="F12" s="177"/>
      <c r="G12" s="179"/>
      <c r="H12" s="181"/>
      <c r="I12" s="190"/>
      <c r="J12" s="171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기능'!C162</f>
        <v>42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71</v>
      </c>
      <c r="E13" s="54">
        <f t="shared" si="0"/>
        <v>1</v>
      </c>
      <c r="F13" s="55">
        <f t="shared" si="4"/>
        <v>97.79</v>
      </c>
      <c r="G13" s="56">
        <f>IF(D13=D12,"",_xlfn.IFNA(VLOOKUP(D13,'인원 입력 기능(직탐)'!$A$5:$D$59,4,FALSE),0))</f>
        <v>22</v>
      </c>
      <c r="H13" s="57">
        <f t="shared" si="1"/>
        <v>9.7302078726227339E-3</v>
      </c>
      <c r="I13" s="67">
        <f>SUM($G$7:G13)</f>
        <v>61</v>
      </c>
      <c r="J13" s="59">
        <f t="shared" si="5"/>
        <v>2.697921273772667E-2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기능'!C163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70</v>
      </c>
      <c r="E14" s="54">
        <f t="shared" si="0"/>
        <v>1</v>
      </c>
      <c r="F14" s="55">
        <f t="shared" si="4"/>
        <v>97.19</v>
      </c>
      <c r="G14" s="56">
        <f>IF(D14=D13,"",_xlfn.IFNA(VLOOKUP(D14,'인원 입력 기능(직탐)'!$A$5:$D$59,4,FALSE),0))</f>
        <v>5</v>
      </c>
      <c r="H14" s="57">
        <f t="shared" si="1"/>
        <v>2.2114108801415304E-3</v>
      </c>
      <c r="I14" s="67">
        <f>SUM($G$7:G14)</f>
        <v>66</v>
      </c>
      <c r="J14" s="59">
        <f t="shared" si="5"/>
        <v>2.91906236178682E-2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기능'!C164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69</v>
      </c>
      <c r="E15" s="54">
        <f t="shared" si="0"/>
        <v>1</v>
      </c>
      <c r="F15" s="55">
        <f t="shared" si="4"/>
        <v>96.51</v>
      </c>
      <c r="G15" s="56">
        <f>IF(D15=D14,"",_xlfn.IFNA(VLOOKUP(D15,'인원 입력 기능(직탐)'!$A$5:$D$59,4,FALSE),0))</f>
        <v>26</v>
      </c>
      <c r="H15" s="57">
        <f t="shared" si="1"/>
        <v>1.1499336576735958E-2</v>
      </c>
      <c r="I15" s="67">
        <f>SUM($G$7:G15)</f>
        <v>92</v>
      </c>
      <c r="J15" s="59">
        <f t="shared" si="5"/>
        <v>4.0689960194604156E-2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68</v>
      </c>
      <c r="E16" s="54">
        <f t="shared" si="0"/>
        <v>2</v>
      </c>
      <c r="F16" s="55">
        <f t="shared" si="4"/>
        <v>95.27</v>
      </c>
      <c r="G16" s="56">
        <f>IF(D16=D15,"",_xlfn.IFNA(VLOOKUP(D16,'인원 입력 기능(직탐)'!$A$5:$D$59,4,FALSE),0))</f>
        <v>30</v>
      </c>
      <c r="H16" s="57">
        <f t="shared" si="1"/>
        <v>1.3268465280849183E-2</v>
      </c>
      <c r="I16" s="67">
        <f>SUM($G$7:G16)</f>
        <v>122</v>
      </c>
      <c r="J16" s="59">
        <f t="shared" si="5"/>
        <v>5.3958425475453341E-2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67</v>
      </c>
      <c r="E17" s="54">
        <f t="shared" si="0"/>
        <v>2</v>
      </c>
      <c r="F17" s="55">
        <f t="shared" si="4"/>
        <v>94.38</v>
      </c>
      <c r="G17" s="56">
        <f>IF(D17=D16,"",_xlfn.IFNA(VLOOKUP(D17,'인원 입력 기능(직탐)'!$A$5:$D$59,4,FALSE),0))</f>
        <v>10</v>
      </c>
      <c r="H17" s="57">
        <f t="shared" si="1"/>
        <v>4.4228217602830609E-3</v>
      </c>
      <c r="I17" s="67">
        <f>SUM($G$7:G17)</f>
        <v>132</v>
      </c>
      <c r="J17" s="59">
        <f t="shared" si="5"/>
        <v>5.83812472357364E-2</v>
      </c>
      <c r="K17" s="36"/>
      <c r="L17" s="20" t="str">
        <f t="shared" si="2"/>
        <v/>
      </c>
      <c r="N17" s="24"/>
      <c r="Q17" s="24">
        <f>Q7*H3*H4*J3*IFERROR(IF(J57=1, 1, 0), 0)</f>
        <v>36460473.3675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66</v>
      </c>
      <c r="E18" s="54">
        <f t="shared" si="0"/>
        <v>2</v>
      </c>
      <c r="F18" s="55">
        <f t="shared" si="4"/>
        <v>93.32</v>
      </c>
      <c r="G18" s="56">
        <f>IF(D18=D17,"",_xlfn.IFNA(VLOOKUP(D18,'인원 입력 기능(직탐)'!$A$5:$D$59,4,FALSE),0))</f>
        <v>38</v>
      </c>
      <c r="H18" s="57">
        <f t="shared" si="1"/>
        <v>1.680672268907563E-2</v>
      </c>
      <c r="I18" s="67">
        <f>SUM($G$7:G18)</f>
        <v>170</v>
      </c>
      <c r="J18" s="59">
        <f t="shared" si="5"/>
        <v>7.5187969924812026E-2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65</v>
      </c>
      <c r="E19" s="54">
        <f t="shared" si="0"/>
        <v>2</v>
      </c>
      <c r="F19" s="55">
        <f t="shared" si="4"/>
        <v>91.71</v>
      </c>
      <c r="G19" s="56">
        <f>IF(D19=D18,"",_xlfn.IFNA(VLOOKUP(D19,'인원 입력 기능(직탐)'!$A$5:$D$59,4,FALSE),0))</f>
        <v>35</v>
      </c>
      <c r="H19" s="57">
        <f t="shared" si="1"/>
        <v>1.5479876160990712E-2</v>
      </c>
      <c r="I19" s="67">
        <f>SUM($G$7:G19)</f>
        <v>205</v>
      </c>
      <c r="J19" s="59">
        <f t="shared" si="5"/>
        <v>9.0667846085802736E-2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64</v>
      </c>
      <c r="E20" s="54">
        <f t="shared" si="0"/>
        <v>2</v>
      </c>
      <c r="F20" s="55">
        <f t="shared" si="4"/>
        <v>90.36</v>
      </c>
      <c r="G20" s="56">
        <f>IF(D20=D19,"",_xlfn.IFNA(VLOOKUP(D20,'인원 입력 기능(직탐)'!$A$5:$D$59,4,FALSE),0))</f>
        <v>26</v>
      </c>
      <c r="H20" s="57">
        <f t="shared" si="1"/>
        <v>1.1499336576735958E-2</v>
      </c>
      <c r="I20" s="67">
        <f>SUM($G$7:G20)</f>
        <v>231</v>
      </c>
      <c r="J20" s="59">
        <f t="shared" si="5"/>
        <v>0.1021671826625387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174">
        <f t="shared" si="3"/>
        <v>63</v>
      </c>
      <c r="E21" s="174">
        <f t="shared" si="0"/>
        <v>2</v>
      </c>
      <c r="F21" s="176">
        <f t="shared" si="4"/>
        <v>87.82</v>
      </c>
      <c r="G21" s="178">
        <f>IF(D21=D20,"",_xlfn.IFNA(VLOOKUP(D21,'인원 입력 기능(직탐)'!$A$5:$D$59,4,FALSE),0))</f>
        <v>89</v>
      </c>
      <c r="H21" s="180">
        <f t="shared" si="1"/>
        <v>3.9363113666519241E-2</v>
      </c>
      <c r="I21" s="189">
        <f>SUM($G$7:G21)</f>
        <v>320</v>
      </c>
      <c r="J21" s="170">
        <f t="shared" si="5"/>
        <v>0.14153029632905795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175"/>
      <c r="E22" s="175"/>
      <c r="F22" s="177"/>
      <c r="G22" s="179"/>
      <c r="H22" s="181"/>
      <c r="I22" s="190"/>
      <c r="J22" s="171"/>
      <c r="K22" s="36"/>
      <c r="L22" s="20" t="str">
        <f t="shared" si="2"/>
        <v>경고</v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62</v>
      </c>
      <c r="E23" s="68">
        <f t="shared" si="0"/>
        <v>3</v>
      </c>
      <c r="F23" s="55">
        <f t="shared" si="4"/>
        <v>84.43</v>
      </c>
      <c r="G23" s="56">
        <f>IF(D23=D22,"",_xlfn.IFNA(VLOOKUP(D23,'인원 입력 기능(직탐)'!$A$5:$D$59,4,FALSE),0))</f>
        <v>64</v>
      </c>
      <c r="H23" s="57">
        <f t="shared" si="1"/>
        <v>2.8306059265811589E-2</v>
      </c>
      <c r="I23" s="67">
        <f>SUM($G$7:G23)</f>
        <v>384</v>
      </c>
      <c r="J23" s="59">
        <f t="shared" si="5"/>
        <v>0.16983635559486954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61</v>
      </c>
      <c r="E24" s="68">
        <f t="shared" si="0"/>
        <v>3</v>
      </c>
      <c r="F24" s="55">
        <f t="shared" si="4"/>
        <v>82.07</v>
      </c>
      <c r="G24" s="56">
        <f>IF(D24=D23,"",_xlfn.IFNA(VLOOKUP(D24,'인원 입력 기능(직탐)'!$A$5:$D$59,4,FALSE),0))</f>
        <v>43</v>
      </c>
      <c r="H24" s="57">
        <f t="shared" si="1"/>
        <v>1.9018133569217159E-2</v>
      </c>
      <c r="I24" s="67">
        <f>SUM($G$7:G24)</f>
        <v>427</v>
      </c>
      <c r="J24" s="59">
        <f t="shared" si="5"/>
        <v>0.18885448916408668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60</v>
      </c>
      <c r="E25" s="68">
        <f t="shared" si="0"/>
        <v>3</v>
      </c>
      <c r="F25" s="55">
        <f t="shared" si="4"/>
        <v>80.05</v>
      </c>
      <c r="G25" s="56">
        <f>IF(D25=D24,"",_xlfn.IFNA(VLOOKUP(D25,'인원 입력 기능(직탐)'!$A$5:$D$59,4,FALSE),0))</f>
        <v>48</v>
      </c>
      <c r="H25" s="57">
        <f t="shared" si="1"/>
        <v>2.1229544449358692E-2</v>
      </c>
      <c r="I25" s="67">
        <f>SUM($G$7:G25)</f>
        <v>475</v>
      </c>
      <c r="J25" s="59">
        <f t="shared" si="5"/>
        <v>0.21008403361344538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59</v>
      </c>
      <c r="E26" s="68">
        <f t="shared" si="0"/>
        <v>3</v>
      </c>
      <c r="F26" s="55">
        <f t="shared" si="4"/>
        <v>77.75</v>
      </c>
      <c r="G26" s="56">
        <f>IF(D26=D25,"",_xlfn.IFNA(VLOOKUP(D26,'인원 입력 기능(직탐)'!$A$5:$D$59,4,FALSE),0))</f>
        <v>56</v>
      </c>
      <c r="H26" s="57">
        <f t="shared" si="1"/>
        <v>2.4767801857585141E-2</v>
      </c>
      <c r="I26" s="67">
        <f>SUM($G$7:G26)</f>
        <v>531</v>
      </c>
      <c r="J26" s="59">
        <f t="shared" si="5"/>
        <v>0.23485183547103053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58</v>
      </c>
      <c r="E27" s="68">
        <f t="shared" si="0"/>
        <v>4</v>
      </c>
      <c r="F27" s="55">
        <f t="shared" si="4"/>
        <v>75.5</v>
      </c>
      <c r="G27" s="56">
        <f>IF(D27=D26,"",_xlfn.IFNA(VLOOKUP(D27,'인원 입력 기능(직탐)'!$A$5:$D$59,4,FALSE),0))</f>
        <v>46</v>
      </c>
      <c r="H27" s="57">
        <f t="shared" si="1"/>
        <v>2.0344980097302078E-2</v>
      </c>
      <c r="I27" s="67">
        <f>SUM($G$7:G27)</f>
        <v>577</v>
      </c>
      <c r="J27" s="59">
        <f t="shared" si="5"/>
        <v>0.25519681556833257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57</v>
      </c>
      <c r="E28" s="68">
        <f t="shared" si="0"/>
        <v>4</v>
      </c>
      <c r="F28" s="55">
        <f t="shared" si="4"/>
        <v>73.150000000000006</v>
      </c>
      <c r="G28" s="56">
        <f>IF(D28=D27,"",_xlfn.IFNA(VLOOKUP(D28,'인원 입력 기능(직탐)'!$A$5:$D$59,4,FALSE),0))</f>
        <v>60</v>
      </c>
      <c r="H28" s="57">
        <f t="shared" si="1"/>
        <v>2.6536930561698365E-2</v>
      </c>
      <c r="I28" s="67">
        <f>SUM($G$7:G28)</f>
        <v>637</v>
      </c>
      <c r="J28" s="59">
        <f t="shared" si="5"/>
        <v>0.28173374613003094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56</v>
      </c>
      <c r="E29" s="68">
        <f t="shared" si="0"/>
        <v>4</v>
      </c>
      <c r="F29" s="55">
        <f t="shared" si="4"/>
        <v>70.319999999999993</v>
      </c>
      <c r="G29" s="56">
        <f>IF(D29=D28,"",_xlfn.IFNA(VLOOKUP(D29,'인원 입력 기능(직탐)'!$A$5:$D$59,4,FALSE),0))</f>
        <v>68</v>
      </c>
      <c r="H29" s="57">
        <f t="shared" si="1"/>
        <v>3.007518796992481E-2</v>
      </c>
      <c r="I29" s="67">
        <f>SUM($G$7:G29)</f>
        <v>705</v>
      </c>
      <c r="J29" s="59">
        <f t="shared" si="5"/>
        <v>0.31180893409995575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55</v>
      </c>
      <c r="E30" s="68">
        <f t="shared" si="0"/>
        <v>4</v>
      </c>
      <c r="F30" s="55">
        <f t="shared" si="4"/>
        <v>67.98</v>
      </c>
      <c r="G30" s="56">
        <f>IF(D30=D29,"",_xlfn.IFNA(VLOOKUP(D30,'인원 입력 기능(직탐)'!$A$5:$D$59,4,FALSE),0))</f>
        <v>38</v>
      </c>
      <c r="H30" s="57">
        <f t="shared" si="1"/>
        <v>1.680672268907563E-2</v>
      </c>
      <c r="I30" s="67">
        <f>SUM($G$7:G30)</f>
        <v>743</v>
      </c>
      <c r="J30" s="59">
        <f t="shared" si="5"/>
        <v>0.32861565678903143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54</v>
      </c>
      <c r="E31" s="68">
        <f t="shared" si="0"/>
        <v>4</v>
      </c>
      <c r="F31" s="55">
        <f t="shared" si="4"/>
        <v>65.86</v>
      </c>
      <c r="G31" s="56">
        <f>IF(D31=D30,"",_xlfn.IFNA(VLOOKUP(D31,'인원 입력 기능(직탐)'!$A$5:$D$59,4,FALSE),0))</f>
        <v>58</v>
      </c>
      <c r="H31" s="57">
        <f t="shared" si="1"/>
        <v>2.5652366209641751E-2</v>
      </c>
      <c r="I31" s="67">
        <f>SUM($G$7:G31)</f>
        <v>801</v>
      </c>
      <c r="J31" s="59">
        <f t="shared" si="5"/>
        <v>0.35426802299867316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174">
        <f t="shared" si="3"/>
        <v>53</v>
      </c>
      <c r="E32" s="174">
        <f t="shared" si="0"/>
        <v>4</v>
      </c>
      <c r="F32" s="176">
        <f t="shared" si="4"/>
        <v>62.07</v>
      </c>
      <c r="G32" s="178">
        <f>IF(D32=D31,"",_xlfn.IFNA(VLOOKUP(D32,'인원 입력 기능(직탐)'!$A$5:$D$59,4,FALSE),0))</f>
        <v>113</v>
      </c>
      <c r="H32" s="180">
        <f t="shared" si="1"/>
        <v>4.9977885891198587E-2</v>
      </c>
      <c r="I32" s="189">
        <f>SUM($G$7:G32)</f>
        <v>914</v>
      </c>
      <c r="J32" s="170">
        <f t="shared" si="5"/>
        <v>0.40424590888987172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175"/>
      <c r="E33" s="175"/>
      <c r="F33" s="177"/>
      <c r="G33" s="179"/>
      <c r="H33" s="181"/>
      <c r="I33" s="190"/>
      <c r="J33" s="171"/>
      <c r="K33" s="36"/>
      <c r="L33" s="20" t="str">
        <f t="shared" si="2"/>
        <v>경고</v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52</v>
      </c>
      <c r="E34" s="68">
        <f t="shared" si="0"/>
        <v>5</v>
      </c>
      <c r="F34" s="55">
        <f t="shared" si="4"/>
        <v>58.31</v>
      </c>
      <c r="G34" s="56">
        <f>IF(D34=D33,"",_xlfn.IFNA(VLOOKUP(D34,'인원 입력 기능(직탐)'!$A$5:$D$59,4,FALSE),0))</f>
        <v>57</v>
      </c>
      <c r="H34" s="57">
        <f t="shared" si="1"/>
        <v>2.5210084033613446E-2</v>
      </c>
      <c r="I34" s="67">
        <f>SUM($G$7:G34)</f>
        <v>971</v>
      </c>
      <c r="J34" s="59">
        <f t="shared" si="5"/>
        <v>0.42945599292348519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51</v>
      </c>
      <c r="E35" s="68">
        <f t="shared" si="0"/>
        <v>5</v>
      </c>
      <c r="F35" s="55">
        <f t="shared" si="4"/>
        <v>56.02</v>
      </c>
      <c r="G35" s="56">
        <f>IF(D35=D34,"",_xlfn.IFNA(VLOOKUP(D35,'인원 입력 기능(직탐)'!$A$5:$D$59,4,FALSE),0))</f>
        <v>47</v>
      </c>
      <c r="H35" s="57">
        <f t="shared" si="1"/>
        <v>2.0787262273330383E-2</v>
      </c>
      <c r="I35" s="67">
        <f>SUM($G$7:G35)</f>
        <v>1018</v>
      </c>
      <c r="J35" s="59">
        <f t="shared" si="5"/>
        <v>0.45024325519681557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50</v>
      </c>
      <c r="E36" s="68">
        <f t="shared" si="0"/>
        <v>5</v>
      </c>
      <c r="F36" s="55">
        <f t="shared" si="4"/>
        <v>53.74</v>
      </c>
      <c r="G36" s="56">
        <f>IF(D36=D35,"",_xlfn.IFNA(VLOOKUP(D36,'인원 입력 기능(직탐)'!$A$5:$D$59,4,FALSE),0))</f>
        <v>56</v>
      </c>
      <c r="H36" s="57">
        <f t="shared" si="1"/>
        <v>2.4767801857585141E-2</v>
      </c>
      <c r="I36" s="67">
        <f>SUM($G$7:G36)</f>
        <v>1074</v>
      </c>
      <c r="J36" s="59">
        <f t="shared" si="5"/>
        <v>0.47501105705440072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49</v>
      </c>
      <c r="E37" s="68">
        <f t="shared" si="0"/>
        <v>5</v>
      </c>
      <c r="F37" s="55">
        <f t="shared" si="4"/>
        <v>51.44</v>
      </c>
      <c r="G37" s="56">
        <f>IF(D37=D36,"",_xlfn.IFNA(VLOOKUP(D37,'인원 입력 기능(직탐)'!$A$5:$D$59,4,FALSE),0))</f>
        <v>48</v>
      </c>
      <c r="H37" s="57">
        <f t="shared" si="1"/>
        <v>2.1229544449358692E-2</v>
      </c>
      <c r="I37" s="67">
        <f>SUM($G$7:G37)</f>
        <v>1122</v>
      </c>
      <c r="J37" s="59">
        <f t="shared" si="5"/>
        <v>0.49624060150375937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48</v>
      </c>
      <c r="E38" s="68">
        <f t="shared" si="0"/>
        <v>5</v>
      </c>
      <c r="F38" s="55">
        <f t="shared" si="4"/>
        <v>49.18</v>
      </c>
      <c r="G38" s="56">
        <f>IF(D38=D37,"",_xlfn.IFNA(VLOOKUP(D38,'인원 입력 기능(직탐)'!$A$5:$D$59,4,FALSE),0))</f>
        <v>54</v>
      </c>
      <c r="H38" s="57">
        <f t="shared" si="1"/>
        <v>2.3883237505528527E-2</v>
      </c>
      <c r="I38" s="67">
        <f>SUM($G$7:G38)</f>
        <v>1176</v>
      </c>
      <c r="J38" s="59">
        <f t="shared" si="5"/>
        <v>0.52012383900928794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47</v>
      </c>
      <c r="E39" s="68">
        <f t="shared" si="0"/>
        <v>5</v>
      </c>
      <c r="F39" s="55">
        <f t="shared" si="4"/>
        <v>46.59</v>
      </c>
      <c r="G39" s="56">
        <f>IF(D39=D38,"",_xlfn.IFNA(VLOOKUP(D39,'인원 입력 기능(직탐)'!$A$5:$D$59,4,FALSE),0))</f>
        <v>63</v>
      </c>
      <c r="H39" s="57">
        <f t="shared" si="1"/>
        <v>2.7863777089783281E-2</v>
      </c>
      <c r="I39" s="67">
        <f>SUM($G$7:G39)</f>
        <v>1239</v>
      </c>
      <c r="J39" s="59">
        <f t="shared" si="5"/>
        <v>0.54798761609907121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si="0"/>
        <v>5</v>
      </c>
      <c r="F40" s="55">
        <f t="shared" si="4"/>
        <v>44.14</v>
      </c>
      <c r="G40" s="56">
        <f>IF(D40=D39,"",_xlfn.IFNA(VLOOKUP(D40,'인원 입력 기능(직탐)'!$A$5:$D$59,4,FALSE),0))</f>
        <v>48</v>
      </c>
      <c r="H40" s="57">
        <f t="shared" si="1"/>
        <v>2.1229544449358692E-2</v>
      </c>
      <c r="I40" s="67">
        <f>SUM($G$7:G40)</f>
        <v>1287</v>
      </c>
      <c r="J40" s="59">
        <f t="shared" si="5"/>
        <v>0.56921716054842986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0"/>
        <v>5</v>
      </c>
      <c r="F41" s="55">
        <f t="shared" si="4"/>
        <v>41.77</v>
      </c>
      <c r="G41" s="56">
        <f>IF(D41=D40,"",_xlfn.IFNA(VLOOKUP(D41,'인원 입력 기능(직탐)'!$A$5:$D$59,4,FALSE),0))</f>
        <v>59</v>
      </c>
      <c r="H41" s="57">
        <f t="shared" si="1"/>
        <v>2.6094648385670056E-2</v>
      </c>
      <c r="I41" s="67">
        <f>SUM($G$7:G41)</f>
        <v>1346</v>
      </c>
      <c r="J41" s="59">
        <f t="shared" si="5"/>
        <v>0.59531180893409996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174">
        <f t="shared" si="3"/>
        <v>44</v>
      </c>
      <c r="E42" s="174">
        <f t="shared" si="0"/>
        <v>5</v>
      </c>
      <c r="F42" s="176">
        <f t="shared" si="4"/>
        <v>33.99</v>
      </c>
      <c r="G42" s="178">
        <f>IF(D42=D41,"",_xlfn.IFNA(VLOOKUP(D42,'인원 입력 기능(직탐)'!$A$5:$D$59,4,FALSE),0))</f>
        <v>293</v>
      </c>
      <c r="H42" s="180">
        <f t="shared" si="1"/>
        <v>0.12958867757629366</v>
      </c>
      <c r="I42" s="189">
        <f>SUM($G$7:G42)</f>
        <v>1639</v>
      </c>
      <c r="J42" s="170">
        <f t="shared" si="5"/>
        <v>0.72490048651039363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175"/>
      <c r="E43" s="175"/>
      <c r="F43" s="177"/>
      <c r="G43" s="179"/>
      <c r="H43" s="181"/>
      <c r="I43" s="190"/>
      <c r="J43" s="171"/>
      <c r="K43" s="36"/>
      <c r="L43" s="20" t="str">
        <f t="shared" si="2"/>
        <v>경고</v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43</v>
      </c>
      <c r="E44" s="68">
        <f t="shared" si="0"/>
        <v>6</v>
      </c>
      <c r="F44" s="55">
        <f t="shared" si="4"/>
        <v>26.36</v>
      </c>
      <c r="G44" s="56">
        <f>IF(D44=D43,"",_xlfn.IFNA(VLOOKUP(D44,'인원 입력 기능(직탐)'!$A$5:$D$59,4,FALSE),0))</f>
        <v>52</v>
      </c>
      <c r="H44" s="57">
        <f t="shared" si="1"/>
        <v>2.2998673153471916E-2</v>
      </c>
      <c r="I44" s="67">
        <f>SUM($G$7:G44)</f>
        <v>1691</v>
      </c>
      <c r="J44" s="59">
        <f t="shared" si="5"/>
        <v>0.74789915966386555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42</v>
      </c>
      <c r="E45" s="68">
        <f t="shared" si="0"/>
        <v>6</v>
      </c>
      <c r="F45" s="55">
        <f t="shared" si="4"/>
        <v>23.64</v>
      </c>
      <c r="G45" s="56">
        <f>IF(D45=D44,"",_xlfn.IFNA(VLOOKUP(D45,'인원 입력 기능(직탐)'!$A$5:$D$59,4,FALSE),0))</f>
        <v>71</v>
      </c>
      <c r="H45" s="57">
        <f t="shared" si="1"/>
        <v>3.1402034498009733E-2</v>
      </c>
      <c r="I45" s="67">
        <f>SUM($G$7:G45)</f>
        <v>1762</v>
      </c>
      <c r="J45" s="59">
        <f t="shared" si="5"/>
        <v>0.77930119416187527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41</v>
      </c>
      <c r="E46" s="68">
        <f t="shared" si="0"/>
        <v>7</v>
      </c>
      <c r="F46" s="55">
        <f t="shared" si="4"/>
        <v>20.5</v>
      </c>
      <c r="G46" s="56">
        <f>IF(D46=D45,"",_xlfn.IFNA(VLOOKUP(D46,'인원 입력 기능(직탐)'!$A$5:$D$59,4,FALSE),0))</f>
        <v>71</v>
      </c>
      <c r="H46" s="57">
        <f t="shared" si="1"/>
        <v>3.1402034498009733E-2</v>
      </c>
      <c r="I46" s="67">
        <f>SUM($G$7:G46)</f>
        <v>1833</v>
      </c>
      <c r="J46" s="59">
        <f t="shared" si="5"/>
        <v>0.81070322865988498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40</v>
      </c>
      <c r="E47" s="68">
        <f t="shared" si="0"/>
        <v>7</v>
      </c>
      <c r="F47" s="55">
        <f t="shared" si="4"/>
        <v>17.510000000000002</v>
      </c>
      <c r="G47" s="56">
        <f>IF(D47=D46,"",_xlfn.IFNA(VLOOKUP(D47,'인원 입력 기능(직탐)'!$A$5:$D$59,4,FALSE),0))</f>
        <v>64</v>
      </c>
      <c r="H47" s="57">
        <f t="shared" si="1"/>
        <v>2.8306059265811589E-2</v>
      </c>
      <c r="I47" s="67">
        <f>SUM($G$7:G47)</f>
        <v>1897</v>
      </c>
      <c r="J47" s="59">
        <f t="shared" si="5"/>
        <v>0.83900928792569662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39</v>
      </c>
      <c r="E48" s="68">
        <f t="shared" si="0"/>
        <v>7</v>
      </c>
      <c r="F48" s="55">
        <f t="shared" si="4"/>
        <v>15.06</v>
      </c>
      <c r="G48" s="56">
        <f>IF(D48=D47,"",_xlfn.IFNA(VLOOKUP(D48,'인원 입력 기능(직탐)'!$A$5:$D$59,4,FALSE),0))</f>
        <v>47</v>
      </c>
      <c r="H48" s="57">
        <f t="shared" si="1"/>
        <v>2.0787262273330383E-2</v>
      </c>
      <c r="I48" s="67">
        <f>SUM($G$7:G48)</f>
        <v>1944</v>
      </c>
      <c r="J48" s="59">
        <f t="shared" si="5"/>
        <v>0.85979655019902701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38</v>
      </c>
      <c r="E49" s="68">
        <f t="shared" si="0"/>
        <v>7</v>
      </c>
      <c r="F49" s="55">
        <f t="shared" si="4"/>
        <v>11.39</v>
      </c>
      <c r="G49" s="56">
        <f>IF(D49=D48,"",_xlfn.IFNA(VLOOKUP(D49,'인원 입력 기능(직탐)'!$A$5:$D$59,4,FALSE),0))</f>
        <v>119</v>
      </c>
      <c r="H49" s="57">
        <f t="shared" si="1"/>
        <v>5.2631578947368418E-2</v>
      </c>
      <c r="I49" s="67">
        <f>SUM($G$7:G49)</f>
        <v>2063</v>
      </c>
      <c r="J49" s="59">
        <f t="shared" si="5"/>
        <v>0.91242812914639537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37</v>
      </c>
      <c r="E50" s="68">
        <f t="shared" si="0"/>
        <v>8</v>
      </c>
      <c r="F50" s="55">
        <f t="shared" si="4"/>
        <v>8.14</v>
      </c>
      <c r="G50" s="56">
        <f>IF(D50=D49,"",_xlfn.IFNA(VLOOKUP(D50,'인원 입력 기능(직탐)'!$A$5:$D$59,4,FALSE),0))</f>
        <v>28</v>
      </c>
      <c r="H50" s="57">
        <f t="shared" si="1"/>
        <v>1.238390092879257E-2</v>
      </c>
      <c r="I50" s="67">
        <f>SUM($G$7:G50)</f>
        <v>2091</v>
      </c>
      <c r="J50" s="59">
        <f t="shared" si="5"/>
        <v>0.92481203007518797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0"/>
        <v>8</v>
      </c>
      <c r="F51" s="55">
        <f t="shared" si="4"/>
        <v>5.46</v>
      </c>
      <c r="G51" s="56">
        <f>IF(D51=D50,"",_xlfn.IFNA(VLOOKUP(D51,'인원 입력 기능(직탐)'!$A$5:$D$59,4,FALSE),0))</f>
        <v>93</v>
      </c>
      <c r="H51" s="57">
        <f t="shared" si="1"/>
        <v>4.1132242370632462E-2</v>
      </c>
      <c r="I51" s="67">
        <f>SUM($G$7:G51)</f>
        <v>2184</v>
      </c>
      <c r="J51" s="59">
        <f t="shared" si="5"/>
        <v>0.96594427244582048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35</v>
      </c>
      <c r="E52" s="68">
        <f t="shared" si="0"/>
        <v>9</v>
      </c>
      <c r="F52" s="55">
        <f t="shared" si="4"/>
        <v>2.68</v>
      </c>
      <c r="G52" s="56">
        <f>IF(D52=D51,"",_xlfn.IFNA(VLOOKUP(D52,'인원 입력 기능(직탐)'!$A$5:$D$59,4,FALSE),0))</f>
        <v>33</v>
      </c>
      <c r="H52" s="57">
        <f t="shared" si="1"/>
        <v>1.45953118089341E-2</v>
      </c>
      <c r="I52" s="67">
        <f>SUM($G$7:G52)</f>
        <v>2217</v>
      </c>
      <c r="J52" s="59">
        <f t="shared" si="5"/>
        <v>0.98053958425475451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172">
        <f t="shared" si="3"/>
        <v>34</v>
      </c>
      <c r="E53" s="172">
        <f t="shared" si="0"/>
        <v>9</v>
      </c>
      <c r="F53" s="176">
        <f t="shared" si="4"/>
        <v>1.26</v>
      </c>
      <c r="G53" s="178">
        <f>IF(D53=D52,"",_xlfn.IFNA(VLOOKUP(D53,'인원 입력 기능(직탐)'!$A$5:$D$59,4,FALSE),0))</f>
        <v>31</v>
      </c>
      <c r="H53" s="180">
        <f t="shared" si="1"/>
        <v>1.3710747456877488E-2</v>
      </c>
      <c r="I53" s="189">
        <f>SUM($G$7:G53)</f>
        <v>2248</v>
      </c>
      <c r="J53" s="170">
        <f t="shared" si="5"/>
        <v>0.99425033171163202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173"/>
      <c r="E54" s="173"/>
      <c r="F54" s="177"/>
      <c r="G54" s="179"/>
      <c r="H54" s="181"/>
      <c r="I54" s="190"/>
      <c r="J54" s="171"/>
      <c r="K54" s="36"/>
      <c r="L54" s="20" t="str">
        <f t="shared" si="2"/>
        <v>경고</v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33</v>
      </c>
      <c r="E55" s="54">
        <f t="shared" si="0"/>
        <v>9</v>
      </c>
      <c r="F55" s="55">
        <f t="shared" si="4"/>
        <v>0.38</v>
      </c>
      <c r="G55" s="56">
        <f>IF(D55=D54,"",_xlfn.IFNA(VLOOKUP(D55,'인원 입력 기능(직탐)'!$A$5:$D$59,4,FALSE),0))</f>
        <v>9</v>
      </c>
      <c r="H55" s="57">
        <f t="shared" si="1"/>
        <v>3.9805395842547548E-3</v>
      </c>
      <c r="I55" s="67">
        <f>SUM($G$7:G55)</f>
        <v>2257</v>
      </c>
      <c r="J55" s="59">
        <f t="shared" si="5"/>
        <v>0.99823087129588672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31</v>
      </c>
      <c r="E57" s="109">
        <f t="shared" si="0"/>
        <v>9</v>
      </c>
      <c r="F57" s="74">
        <f>IF(I55=0,ROUND(100*(1-(I54+I57)/2/$J$3),2),ROUND(100*(1-(I55+I57)/2/$J$3),2))</f>
        <v>0.09</v>
      </c>
      <c r="G57" s="110">
        <f>_xlfn.IFNA(VLOOKUP(D57,'인원 입력 기능(직탐)'!$A$5:$D$59,4,FALSE),0)</f>
        <v>4</v>
      </c>
      <c r="H57" s="76">
        <f>G57/$J$3</f>
        <v>1.7691287041132243E-3</v>
      </c>
      <c r="I57" s="77">
        <f>SUM($G$7:G57)</f>
        <v>2261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G5:J5"/>
    <mergeCell ref="D11:D12"/>
    <mergeCell ref="E11:E12"/>
    <mergeCell ref="F11:F12"/>
    <mergeCell ref="G11:G12"/>
    <mergeCell ref="H11:H12"/>
    <mergeCell ref="I11:I12"/>
    <mergeCell ref="J11:J12"/>
    <mergeCell ref="I21:I22"/>
    <mergeCell ref="J21:J22"/>
    <mergeCell ref="D32:D33"/>
    <mergeCell ref="E32:E33"/>
    <mergeCell ref="F32:F33"/>
    <mergeCell ref="G32:G33"/>
    <mergeCell ref="H32:H33"/>
    <mergeCell ref="I32:I33"/>
    <mergeCell ref="J32:J33"/>
    <mergeCell ref="D21:D22"/>
    <mergeCell ref="E21:E22"/>
    <mergeCell ref="F21:F22"/>
    <mergeCell ref="G21:G22"/>
    <mergeCell ref="H21:H22"/>
    <mergeCell ref="I42:I43"/>
    <mergeCell ref="J42:J43"/>
    <mergeCell ref="D53:D54"/>
    <mergeCell ref="E53:E54"/>
    <mergeCell ref="F53:F54"/>
    <mergeCell ref="G53:G54"/>
    <mergeCell ref="H53:H54"/>
    <mergeCell ref="I53:I54"/>
    <mergeCell ref="J53:J54"/>
    <mergeCell ref="D42:D43"/>
    <mergeCell ref="E42:E43"/>
    <mergeCell ref="F42:F43"/>
    <mergeCell ref="G42:G43"/>
    <mergeCell ref="H42:H43"/>
  </mergeCells>
  <phoneticPr fontId="1" type="noConversion"/>
  <conditionalFormatting sqref="D7:J11 D13:J21 D23:J32 D34:J42 D44:J53 D55:J57">
    <cfRule type="expression" dxfId="22" priority="3">
      <formula>OR($D7=$Q$7:$Q$14)</formula>
    </cfRule>
  </conditionalFormatting>
  <conditionalFormatting sqref="C7:C57">
    <cfRule type="expression" dxfId="21" priority="2">
      <formula>OR(AND($D7=0,OR($D6=$Q$7:$Q$14)),AND($D8&gt;0,OR($D7=$Q$7:$Q$14)))</formula>
    </cfRule>
  </conditionalFormatting>
  <conditionalFormatting sqref="D7:D11 D13:D21 D23:D32 D34:D42 D44:D53 D55:D57">
    <cfRule type="expression" dxfId="20" priority="1">
      <formula>$D7=$D8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979AD-C31C-4A6E-A31F-C4A8A4FC8937}">
  <sheetPr codeName="Sheet24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기능'!D22</f>
        <v>13.55</v>
      </c>
      <c r="I3" s="21" t="s">
        <v>123</v>
      </c>
      <c r="J3" s="81">
        <f>'통계 및 응시자 수 입력 기능'!C22</f>
        <v>382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141</v>
      </c>
      <c r="E4" s="186"/>
      <c r="F4" s="187"/>
      <c r="G4" s="83" t="s">
        <v>126</v>
      </c>
      <c r="H4" s="84" t="str">
        <f>'통계 및 응시자 수 입력 기능'!E22</f>
        <v xml:space="preserve"> 7.40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99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기능(직탐)'!$F$5:$I$59,4,FALSE),0)</f>
        <v>0</v>
      </c>
      <c r="H7" s="57">
        <f>G7/$J$3</f>
        <v>0</v>
      </c>
      <c r="I7" s="58">
        <f>G7</f>
        <v>0</v>
      </c>
      <c r="J7" s="59">
        <f>I7/$J$3</f>
        <v>0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기능'!C166</f>
        <v>71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기능'!C167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97</v>
      </c>
      <c r="E9" s="54">
        <f t="shared" si="0"/>
        <v>1</v>
      </c>
      <c r="F9" s="55">
        <f>IF(I8=0,ROUND(100*(1-(I7+I9)/2/$J$3),2),ROUND(100*(1-(I8+I9)/2/$J$3),2))</f>
        <v>100</v>
      </c>
      <c r="G9" s="56">
        <f>_xlfn.IFNA(VLOOKUP(D9,'인원 입력 기능(직탐)'!$F$5:$I$59,4,FALSE),0)</f>
        <v>0</v>
      </c>
      <c r="H9" s="57">
        <f t="shared" ref="H9:H55" si="1">G9/$J$3</f>
        <v>0</v>
      </c>
      <c r="I9" s="67">
        <f>SUM($G$7:G9)</f>
        <v>0</v>
      </c>
      <c r="J9" s="59">
        <f>I9/$J$3</f>
        <v>0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기능'!C168</f>
        <v>56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95</v>
      </c>
      <c r="E10" s="54">
        <f t="shared" si="0"/>
        <v>1</v>
      </c>
      <c r="F10" s="55">
        <f t="shared" ref="F10:F55" si="4">IF(I9=0,ROUND(100*(1-(I8+I10)/2/$J$3),2),ROUND(100*(1-(I9+I10)/2/$J$3),2))</f>
        <v>100</v>
      </c>
      <c r="G10" s="56">
        <f>IF(D10=D9,"",_xlfn.IFNA(VLOOKUP(D10,'인원 입력 기능(직탐)'!$F$5:$I$59,4,FALSE),0))</f>
        <v>0</v>
      </c>
      <c r="H10" s="57">
        <f t="shared" si="1"/>
        <v>0</v>
      </c>
      <c r="I10" s="67">
        <f>SUM($G$7:G10)</f>
        <v>0</v>
      </c>
      <c r="J10" s="59">
        <f t="shared" ref="J10:J55" si="5">I10/$J$3</f>
        <v>0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기능'!C169</f>
        <v>49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94</v>
      </c>
      <c r="E11" s="54">
        <f t="shared" si="0"/>
        <v>1</v>
      </c>
      <c r="F11" s="55">
        <f t="shared" si="4"/>
        <v>100</v>
      </c>
      <c r="G11" s="56">
        <f>IF(D11=D10,"",_xlfn.IFNA(VLOOKUP(D11,'인원 입력 기능(직탐)'!$F$5:$I$59,4,FALSE),0))</f>
        <v>0</v>
      </c>
      <c r="H11" s="57">
        <f t="shared" si="1"/>
        <v>0</v>
      </c>
      <c r="I11" s="67">
        <f>SUM($G$7:G11)</f>
        <v>0</v>
      </c>
      <c r="J11" s="59">
        <f t="shared" si="5"/>
        <v>0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기능'!C170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93</v>
      </c>
      <c r="E12" s="54">
        <f t="shared" si="0"/>
        <v>1</v>
      </c>
      <c r="F12" s="55">
        <f t="shared" si="4"/>
        <v>100</v>
      </c>
      <c r="G12" s="56">
        <f>IF(D12=D11,"",_xlfn.IFNA(VLOOKUP(D12,'인원 입력 기능(직탐)'!$F$5:$I$59,4,FALSE),0))</f>
        <v>0</v>
      </c>
      <c r="H12" s="57">
        <f t="shared" si="1"/>
        <v>0</v>
      </c>
      <c r="I12" s="67">
        <f>SUM($G$7:G12)</f>
        <v>0</v>
      </c>
      <c r="J12" s="59">
        <f t="shared" si="5"/>
        <v>0</v>
      </c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기능'!C171</f>
        <v>43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91</v>
      </c>
      <c r="E13" s="54">
        <f t="shared" si="0"/>
        <v>1</v>
      </c>
      <c r="F13" s="55">
        <f t="shared" si="4"/>
        <v>100</v>
      </c>
      <c r="G13" s="56">
        <f>IF(D13=D12,"",_xlfn.IFNA(VLOOKUP(D13,'인원 입력 기능(직탐)'!$F$5:$I$59,4,FALSE),0))</f>
        <v>0</v>
      </c>
      <c r="H13" s="57">
        <f t="shared" si="1"/>
        <v>0</v>
      </c>
      <c r="I13" s="67">
        <f>SUM($G$7:G13)</f>
        <v>0</v>
      </c>
      <c r="J13" s="59">
        <f t="shared" si="5"/>
        <v>0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기능'!C172</f>
        <v>41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90</v>
      </c>
      <c r="E14" s="54">
        <f t="shared" si="0"/>
        <v>1</v>
      </c>
      <c r="F14" s="55">
        <f t="shared" si="4"/>
        <v>100</v>
      </c>
      <c r="G14" s="56">
        <f>IF(D14=D13,"",_xlfn.IFNA(VLOOKUP(D14,'인원 입력 기능(직탐)'!$F$5:$I$59,4,FALSE),0))</f>
        <v>0</v>
      </c>
      <c r="H14" s="57">
        <f t="shared" si="1"/>
        <v>0</v>
      </c>
      <c r="I14" s="67">
        <f>SUM($G$7:G14)</f>
        <v>0</v>
      </c>
      <c r="J14" s="59">
        <f t="shared" si="5"/>
        <v>0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기능'!C173</f>
        <v>37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88</v>
      </c>
      <c r="E15" s="54">
        <f t="shared" si="0"/>
        <v>1</v>
      </c>
      <c r="F15" s="55">
        <f t="shared" si="4"/>
        <v>100</v>
      </c>
      <c r="G15" s="56">
        <f>IF(D15=D14,"",_xlfn.IFNA(VLOOKUP(D15,'인원 입력 기능(직탐)'!$F$5:$I$59,4,FALSE),0))</f>
        <v>0</v>
      </c>
      <c r="H15" s="57">
        <f t="shared" si="1"/>
        <v>0</v>
      </c>
      <c r="I15" s="67">
        <f>SUM($G$7:G15)</f>
        <v>0</v>
      </c>
      <c r="J15" s="59">
        <f t="shared" si="5"/>
        <v>0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87</v>
      </c>
      <c r="E16" s="54">
        <f t="shared" si="0"/>
        <v>1</v>
      </c>
      <c r="F16" s="55">
        <f t="shared" si="4"/>
        <v>99.87</v>
      </c>
      <c r="G16" s="56">
        <f>IF(D16=D15,"",_xlfn.IFNA(VLOOKUP(D16,'인원 입력 기능(직탐)'!$F$5:$I$59,4,FALSE),0))</f>
        <v>1</v>
      </c>
      <c r="H16" s="57">
        <f t="shared" si="1"/>
        <v>2.617801047120419E-3</v>
      </c>
      <c r="I16" s="67">
        <f>SUM($G$7:G16)</f>
        <v>1</v>
      </c>
      <c r="J16" s="59">
        <f t="shared" si="5"/>
        <v>2.617801047120419E-3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86</v>
      </c>
      <c r="E17" s="54">
        <f t="shared" si="0"/>
        <v>1</v>
      </c>
      <c r="F17" s="55">
        <f t="shared" si="4"/>
        <v>99.74</v>
      </c>
      <c r="G17" s="56">
        <f>IF(D17=D16,"",_xlfn.IFNA(VLOOKUP(D17,'인원 입력 기능(직탐)'!$F$5:$I$59,4,FALSE),0))</f>
        <v>0</v>
      </c>
      <c r="H17" s="57">
        <f t="shared" si="1"/>
        <v>0</v>
      </c>
      <c r="I17" s="67">
        <f>SUM($G$7:G17)</f>
        <v>1</v>
      </c>
      <c r="J17" s="59">
        <f t="shared" si="5"/>
        <v>2.617801047120419E-3</v>
      </c>
      <c r="K17" s="36"/>
      <c r="L17" s="20" t="str">
        <f t="shared" si="2"/>
        <v/>
      </c>
      <c r="N17" s="24"/>
      <c r="Q17" s="24">
        <f>Q7*H3*H4*J3*IFERROR(IF(J57=1, 1, 0), 0)</f>
        <v>2719522.9400000004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84</v>
      </c>
      <c r="E18" s="54">
        <f t="shared" si="0"/>
        <v>1</v>
      </c>
      <c r="F18" s="55">
        <f t="shared" si="4"/>
        <v>99.61</v>
      </c>
      <c r="G18" s="56">
        <f>IF(D18=D17,"",_xlfn.IFNA(VLOOKUP(D18,'인원 입력 기능(직탐)'!$F$5:$I$59,4,FALSE),0))</f>
        <v>1</v>
      </c>
      <c r="H18" s="57">
        <f t="shared" si="1"/>
        <v>2.617801047120419E-3</v>
      </c>
      <c r="I18" s="67">
        <f>SUM($G$7:G18)</f>
        <v>2</v>
      </c>
      <c r="J18" s="59">
        <f t="shared" si="5"/>
        <v>5.235602094240838E-3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83</v>
      </c>
      <c r="E19" s="54">
        <f t="shared" si="0"/>
        <v>1</v>
      </c>
      <c r="F19" s="55">
        <f t="shared" si="4"/>
        <v>99.48</v>
      </c>
      <c r="G19" s="56">
        <f>IF(D19=D18,"",_xlfn.IFNA(VLOOKUP(D19,'인원 입력 기능(직탐)'!$F$5:$I$59,4,FALSE),0))</f>
        <v>0</v>
      </c>
      <c r="H19" s="57">
        <f t="shared" si="1"/>
        <v>0</v>
      </c>
      <c r="I19" s="67">
        <f>SUM($G$7:G19)</f>
        <v>2</v>
      </c>
      <c r="J19" s="59">
        <f t="shared" si="5"/>
        <v>5.235602094240838E-3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82</v>
      </c>
      <c r="E20" s="54">
        <f t="shared" si="0"/>
        <v>1</v>
      </c>
      <c r="F20" s="55">
        <f t="shared" si="4"/>
        <v>99.08</v>
      </c>
      <c r="G20" s="56">
        <f>IF(D20=D19,"",_xlfn.IFNA(VLOOKUP(D20,'인원 입력 기능(직탐)'!$F$5:$I$59,4,FALSE),0))</f>
        <v>3</v>
      </c>
      <c r="H20" s="57">
        <f t="shared" si="1"/>
        <v>7.8534031413612562E-3</v>
      </c>
      <c r="I20" s="67">
        <f>SUM($G$7:G20)</f>
        <v>5</v>
      </c>
      <c r="J20" s="59">
        <f t="shared" si="5"/>
        <v>1.3089005235602094E-2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80</v>
      </c>
      <c r="E21" s="68">
        <f t="shared" si="0"/>
        <v>1</v>
      </c>
      <c r="F21" s="55">
        <f t="shared" si="4"/>
        <v>98.56</v>
      </c>
      <c r="G21" s="56">
        <f>IF(D21=D20,"",_xlfn.IFNA(VLOOKUP(D21,'인원 입력 기능(직탐)'!$F$5:$I$59,4,FALSE),0))</f>
        <v>1</v>
      </c>
      <c r="H21" s="57">
        <f t="shared" si="1"/>
        <v>2.617801047120419E-3</v>
      </c>
      <c r="I21" s="67">
        <f>SUM($G$7:G21)</f>
        <v>6</v>
      </c>
      <c r="J21" s="59">
        <f t="shared" si="5"/>
        <v>1.5706806282722512E-2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79</v>
      </c>
      <c r="E22" s="68">
        <f t="shared" si="0"/>
        <v>1</v>
      </c>
      <c r="F22" s="55">
        <f t="shared" si="4"/>
        <v>98.17</v>
      </c>
      <c r="G22" s="56">
        <f>IF(D22=D21,"",_xlfn.IFNA(VLOOKUP(D22,'인원 입력 기능(직탐)'!$F$5:$I$59,4,FALSE),0))</f>
        <v>2</v>
      </c>
      <c r="H22" s="57">
        <f t="shared" si="1"/>
        <v>5.235602094240838E-3</v>
      </c>
      <c r="I22" s="67">
        <f>SUM($G$7:G22)</f>
        <v>8</v>
      </c>
      <c r="J22" s="59">
        <f t="shared" si="5"/>
        <v>2.0942408376963352E-2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78</v>
      </c>
      <c r="E23" s="68">
        <f t="shared" si="0"/>
        <v>1</v>
      </c>
      <c r="F23" s="55">
        <f t="shared" si="4"/>
        <v>97.77</v>
      </c>
      <c r="G23" s="56">
        <f>IF(D23=D22,"",_xlfn.IFNA(VLOOKUP(D23,'인원 입력 기능(직탐)'!$F$5:$I$59,4,FALSE),0))</f>
        <v>1</v>
      </c>
      <c r="H23" s="57">
        <f t="shared" si="1"/>
        <v>2.617801047120419E-3</v>
      </c>
      <c r="I23" s="67">
        <f>SUM($G$7:G23)</f>
        <v>9</v>
      </c>
      <c r="J23" s="59">
        <f t="shared" si="5"/>
        <v>2.356020942408377E-2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76</v>
      </c>
      <c r="E24" s="68">
        <f t="shared" si="0"/>
        <v>1</v>
      </c>
      <c r="F24" s="55">
        <f t="shared" si="4"/>
        <v>97.64</v>
      </c>
      <c r="G24" s="56">
        <f>IF(D24=D23,"",_xlfn.IFNA(VLOOKUP(D24,'인원 입력 기능(직탐)'!$F$5:$I$59,4,FALSE),0))</f>
        <v>0</v>
      </c>
      <c r="H24" s="57">
        <f t="shared" si="1"/>
        <v>0</v>
      </c>
      <c r="I24" s="67">
        <f>SUM($G$7:G24)</f>
        <v>9</v>
      </c>
      <c r="J24" s="59">
        <f t="shared" si="5"/>
        <v>2.356020942408377E-2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75</v>
      </c>
      <c r="E25" s="68">
        <f t="shared" si="0"/>
        <v>1</v>
      </c>
      <c r="F25" s="55">
        <f t="shared" si="4"/>
        <v>97.38</v>
      </c>
      <c r="G25" s="56">
        <f>IF(D25=D24,"",_xlfn.IFNA(VLOOKUP(D25,'인원 입력 기능(직탐)'!$F$5:$I$59,4,FALSE),0))</f>
        <v>2</v>
      </c>
      <c r="H25" s="57">
        <f t="shared" si="1"/>
        <v>5.235602094240838E-3</v>
      </c>
      <c r="I25" s="67">
        <f>SUM($G$7:G25)</f>
        <v>11</v>
      </c>
      <c r="J25" s="59">
        <f t="shared" si="5"/>
        <v>2.8795811518324606E-2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74</v>
      </c>
      <c r="E26" s="68">
        <f t="shared" si="0"/>
        <v>1</v>
      </c>
      <c r="F26" s="55">
        <f t="shared" si="4"/>
        <v>96.86</v>
      </c>
      <c r="G26" s="56">
        <f>IF(D26=D25,"",_xlfn.IFNA(VLOOKUP(D26,'인원 입력 기능(직탐)'!$F$5:$I$59,4,FALSE),0))</f>
        <v>2</v>
      </c>
      <c r="H26" s="57">
        <f t="shared" si="1"/>
        <v>5.235602094240838E-3</v>
      </c>
      <c r="I26" s="67">
        <f>SUM($G$7:G26)</f>
        <v>13</v>
      </c>
      <c r="J26" s="59">
        <f t="shared" si="5"/>
        <v>3.4031413612565446E-2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72</v>
      </c>
      <c r="E27" s="68">
        <f t="shared" si="0"/>
        <v>1</v>
      </c>
      <c r="F27" s="55">
        <f t="shared" si="4"/>
        <v>96.47</v>
      </c>
      <c r="G27" s="56">
        <f>IF(D27=D26,"",_xlfn.IFNA(VLOOKUP(D27,'인원 입력 기능(직탐)'!$F$5:$I$59,4,FALSE),0))</f>
        <v>1</v>
      </c>
      <c r="H27" s="57">
        <f t="shared" si="1"/>
        <v>2.617801047120419E-3</v>
      </c>
      <c r="I27" s="67">
        <f>SUM($G$7:G27)</f>
        <v>14</v>
      </c>
      <c r="J27" s="59">
        <f t="shared" si="5"/>
        <v>3.6649214659685861E-2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71</v>
      </c>
      <c r="E28" s="68">
        <f t="shared" si="0"/>
        <v>1</v>
      </c>
      <c r="F28" s="55">
        <f t="shared" si="4"/>
        <v>95.94</v>
      </c>
      <c r="G28" s="56">
        <f>IF(D28=D27,"",_xlfn.IFNA(VLOOKUP(D28,'인원 입력 기능(직탐)'!$F$5:$I$59,4,FALSE),0))</f>
        <v>3</v>
      </c>
      <c r="H28" s="57">
        <f t="shared" si="1"/>
        <v>7.8534031413612562E-3</v>
      </c>
      <c r="I28" s="67">
        <f>SUM($G$7:G28)</f>
        <v>17</v>
      </c>
      <c r="J28" s="59">
        <f t="shared" si="5"/>
        <v>4.4502617801047119E-2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70</v>
      </c>
      <c r="E29" s="68">
        <f t="shared" si="0"/>
        <v>2</v>
      </c>
      <c r="F29" s="55">
        <f t="shared" si="4"/>
        <v>94.76</v>
      </c>
      <c r="G29" s="56">
        <f>IF(D29=D28,"",_xlfn.IFNA(VLOOKUP(D29,'인원 입력 기능(직탐)'!$F$5:$I$59,4,FALSE),0))</f>
        <v>6</v>
      </c>
      <c r="H29" s="57">
        <f t="shared" si="1"/>
        <v>1.5706806282722512E-2</v>
      </c>
      <c r="I29" s="67">
        <f>SUM($G$7:G29)</f>
        <v>23</v>
      </c>
      <c r="J29" s="59">
        <f t="shared" si="5"/>
        <v>6.0209424083769635E-2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68</v>
      </c>
      <c r="E30" s="68">
        <f t="shared" si="0"/>
        <v>2</v>
      </c>
      <c r="F30" s="55">
        <f t="shared" si="4"/>
        <v>93.46</v>
      </c>
      <c r="G30" s="56">
        <f>IF(D30=D29,"",_xlfn.IFNA(VLOOKUP(D30,'인원 입력 기능(직탐)'!$F$5:$I$59,4,FALSE),0))</f>
        <v>4</v>
      </c>
      <c r="H30" s="57">
        <f t="shared" si="1"/>
        <v>1.0471204188481676E-2</v>
      </c>
      <c r="I30" s="67">
        <f>SUM($G$7:G30)</f>
        <v>27</v>
      </c>
      <c r="J30" s="59">
        <f t="shared" si="5"/>
        <v>7.0680628272251314E-2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67</v>
      </c>
      <c r="E31" s="68">
        <f t="shared" si="0"/>
        <v>2</v>
      </c>
      <c r="F31" s="55">
        <f t="shared" si="4"/>
        <v>92.02</v>
      </c>
      <c r="G31" s="56">
        <f>IF(D31=D30,"",_xlfn.IFNA(VLOOKUP(D31,'인원 입력 기능(직탐)'!$F$5:$I$59,4,FALSE),0))</f>
        <v>7</v>
      </c>
      <c r="H31" s="57">
        <f t="shared" si="1"/>
        <v>1.832460732984293E-2</v>
      </c>
      <c r="I31" s="67">
        <f>SUM($G$7:G31)</f>
        <v>34</v>
      </c>
      <c r="J31" s="59">
        <f t="shared" si="5"/>
        <v>8.9005235602094238E-2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65</v>
      </c>
      <c r="E32" s="68">
        <f t="shared" si="0"/>
        <v>2</v>
      </c>
      <c r="F32" s="55">
        <f t="shared" si="4"/>
        <v>90.71</v>
      </c>
      <c r="G32" s="56">
        <f>IF(D32=D31,"",_xlfn.IFNA(VLOOKUP(D32,'인원 입력 기능(직탐)'!$F$5:$I$59,4,FALSE),0))</f>
        <v>3</v>
      </c>
      <c r="H32" s="57">
        <f t="shared" si="1"/>
        <v>7.8534031413612562E-3</v>
      </c>
      <c r="I32" s="67">
        <f>SUM($G$7:G32)</f>
        <v>37</v>
      </c>
      <c r="J32" s="59">
        <f t="shared" si="5"/>
        <v>9.6858638743455502E-2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64</v>
      </c>
      <c r="E33" s="68">
        <f t="shared" si="0"/>
        <v>2</v>
      </c>
      <c r="F33" s="55">
        <f t="shared" si="4"/>
        <v>89.53</v>
      </c>
      <c r="G33" s="56">
        <f>IF(D33=D32,"",_xlfn.IFNA(VLOOKUP(D33,'인원 입력 기능(직탐)'!$F$5:$I$59,4,FALSE),0))</f>
        <v>6</v>
      </c>
      <c r="H33" s="57">
        <f t="shared" si="1"/>
        <v>1.5706806282722512E-2</v>
      </c>
      <c r="I33" s="67">
        <f>SUM($G$7:G33)</f>
        <v>43</v>
      </c>
      <c r="J33" s="59">
        <f t="shared" si="5"/>
        <v>0.112565445026178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63</v>
      </c>
      <c r="E34" s="68">
        <f t="shared" si="0"/>
        <v>3</v>
      </c>
      <c r="F34" s="55">
        <f t="shared" si="4"/>
        <v>87.7</v>
      </c>
      <c r="G34" s="56">
        <f>IF(D34=D33,"",_xlfn.IFNA(VLOOKUP(D34,'인원 입력 기능(직탐)'!$F$5:$I$59,4,FALSE),0))</f>
        <v>8</v>
      </c>
      <c r="H34" s="57">
        <f t="shared" si="1"/>
        <v>2.0942408376963352E-2</v>
      </c>
      <c r="I34" s="67">
        <f>SUM($G$7:G34)</f>
        <v>51</v>
      </c>
      <c r="J34" s="59">
        <f t="shared" si="5"/>
        <v>0.13350785340314136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61</v>
      </c>
      <c r="E35" s="68">
        <f t="shared" si="0"/>
        <v>3</v>
      </c>
      <c r="F35" s="55">
        <f t="shared" si="4"/>
        <v>85.21</v>
      </c>
      <c r="G35" s="56">
        <f>IF(D35=D34,"",_xlfn.IFNA(VLOOKUP(D35,'인원 입력 기능(직탐)'!$F$5:$I$59,4,FALSE),0))</f>
        <v>11</v>
      </c>
      <c r="H35" s="57">
        <f t="shared" si="1"/>
        <v>2.8795811518324606E-2</v>
      </c>
      <c r="I35" s="67">
        <f>SUM($G$7:G35)</f>
        <v>62</v>
      </c>
      <c r="J35" s="59">
        <f t="shared" si="5"/>
        <v>0.16230366492146597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60</v>
      </c>
      <c r="E36" s="68">
        <f t="shared" si="0"/>
        <v>3</v>
      </c>
      <c r="F36" s="55">
        <f t="shared" si="4"/>
        <v>82.98</v>
      </c>
      <c r="G36" s="56">
        <f>IF(D36=D35,"",_xlfn.IFNA(VLOOKUP(D36,'인원 입력 기능(직탐)'!$F$5:$I$59,4,FALSE),0))</f>
        <v>6</v>
      </c>
      <c r="H36" s="57">
        <f t="shared" si="1"/>
        <v>1.5706806282722512E-2</v>
      </c>
      <c r="I36" s="67">
        <f>SUM($G$7:G36)</f>
        <v>68</v>
      </c>
      <c r="J36" s="59">
        <f t="shared" si="5"/>
        <v>0.17801047120418848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59</v>
      </c>
      <c r="E37" s="68">
        <f t="shared" si="0"/>
        <v>3</v>
      </c>
      <c r="F37" s="55">
        <f t="shared" si="4"/>
        <v>81.41</v>
      </c>
      <c r="G37" s="56">
        <f>IF(D37=D36,"",_xlfn.IFNA(VLOOKUP(D37,'인원 입력 기능(직탐)'!$F$5:$I$59,4,FALSE),0))</f>
        <v>6</v>
      </c>
      <c r="H37" s="57">
        <f t="shared" si="1"/>
        <v>1.5706806282722512E-2</v>
      </c>
      <c r="I37" s="67">
        <f>SUM($G$7:G37)</f>
        <v>74</v>
      </c>
      <c r="J37" s="59">
        <f t="shared" si="5"/>
        <v>0.193717277486911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57</v>
      </c>
      <c r="E38" s="68">
        <f t="shared" si="0"/>
        <v>3</v>
      </c>
      <c r="F38" s="55">
        <f t="shared" si="4"/>
        <v>78.930000000000007</v>
      </c>
      <c r="G38" s="56">
        <f>IF(D38=D37,"",_xlfn.IFNA(VLOOKUP(D38,'인원 입력 기능(직탐)'!$F$5:$I$59,4,FALSE),0))</f>
        <v>13</v>
      </c>
      <c r="H38" s="57">
        <f t="shared" si="1"/>
        <v>3.4031413612565446E-2</v>
      </c>
      <c r="I38" s="67">
        <f>SUM($G$7:G38)</f>
        <v>87</v>
      </c>
      <c r="J38" s="59">
        <f t="shared" si="5"/>
        <v>0.22774869109947643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56</v>
      </c>
      <c r="E39" s="68">
        <f t="shared" si="0"/>
        <v>3</v>
      </c>
      <c r="F39" s="55">
        <f t="shared" si="4"/>
        <v>76.7</v>
      </c>
      <c r="G39" s="56">
        <f>IF(D39=D38,"",_xlfn.IFNA(VLOOKUP(D39,'인원 입력 기능(직탐)'!$F$5:$I$59,4,FALSE),0))</f>
        <v>4</v>
      </c>
      <c r="H39" s="57">
        <f t="shared" si="1"/>
        <v>1.0471204188481676E-2</v>
      </c>
      <c r="I39" s="67">
        <f>SUM($G$7:G39)</f>
        <v>91</v>
      </c>
      <c r="J39" s="59">
        <f t="shared" si="5"/>
        <v>0.23821989528795812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55</v>
      </c>
      <c r="E40" s="68">
        <f t="shared" si="0"/>
        <v>4</v>
      </c>
      <c r="F40" s="55">
        <f t="shared" si="4"/>
        <v>75.13</v>
      </c>
      <c r="G40" s="56">
        <f>IF(D40=D39,"",_xlfn.IFNA(VLOOKUP(D40,'인원 입력 기능(직탐)'!$F$5:$I$59,4,FALSE),0))</f>
        <v>8</v>
      </c>
      <c r="H40" s="57">
        <f t="shared" si="1"/>
        <v>2.0942408376963352E-2</v>
      </c>
      <c r="I40" s="67">
        <f>SUM($G$7:G40)</f>
        <v>99</v>
      </c>
      <c r="J40" s="59">
        <f t="shared" si="5"/>
        <v>0.25916230366492149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53</v>
      </c>
      <c r="E41" s="68">
        <f t="shared" si="0"/>
        <v>4</v>
      </c>
      <c r="F41" s="55">
        <f t="shared" si="4"/>
        <v>73.17</v>
      </c>
      <c r="G41" s="56">
        <f>IF(D41=D40,"",_xlfn.IFNA(VLOOKUP(D41,'인원 입력 기능(직탐)'!$F$5:$I$59,4,FALSE),0))</f>
        <v>7</v>
      </c>
      <c r="H41" s="57">
        <f t="shared" si="1"/>
        <v>1.832460732984293E-2</v>
      </c>
      <c r="I41" s="67">
        <f>SUM($G$7:G41)</f>
        <v>106</v>
      </c>
      <c r="J41" s="59">
        <f t="shared" si="5"/>
        <v>0.27748691099476441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52</v>
      </c>
      <c r="E42" s="68">
        <f t="shared" si="0"/>
        <v>4</v>
      </c>
      <c r="F42" s="55">
        <f t="shared" si="4"/>
        <v>70.03</v>
      </c>
      <c r="G42" s="56">
        <f>IF(D42=D41,"",_xlfn.IFNA(VLOOKUP(D42,'인원 입력 기능(직탐)'!$F$5:$I$59,4,FALSE),0))</f>
        <v>17</v>
      </c>
      <c r="H42" s="57">
        <f t="shared" si="1"/>
        <v>4.4502617801047119E-2</v>
      </c>
      <c r="I42" s="67">
        <f>SUM($G$7:G42)</f>
        <v>123</v>
      </c>
      <c r="J42" s="59">
        <f t="shared" si="5"/>
        <v>0.3219895287958115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51</v>
      </c>
      <c r="E43" s="68">
        <f t="shared" si="0"/>
        <v>4</v>
      </c>
      <c r="F43" s="55">
        <f t="shared" si="4"/>
        <v>66.099999999999994</v>
      </c>
      <c r="G43" s="56">
        <f>IF(D43=D42,"",_xlfn.IFNA(VLOOKUP(D43,'인원 입력 기능(직탐)'!$F$5:$I$59,4,FALSE),0))</f>
        <v>13</v>
      </c>
      <c r="H43" s="57">
        <f t="shared" si="1"/>
        <v>3.4031413612565446E-2</v>
      </c>
      <c r="I43" s="67">
        <f>SUM($G$7:G43)</f>
        <v>136</v>
      </c>
      <c r="J43" s="59">
        <f t="shared" si="5"/>
        <v>0.35602094240837695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49</v>
      </c>
      <c r="E44" s="68">
        <f t="shared" si="0"/>
        <v>4</v>
      </c>
      <c r="F44" s="55">
        <f t="shared" si="4"/>
        <v>58.12</v>
      </c>
      <c r="G44" s="56">
        <f>IF(D44=D43,"",_xlfn.IFNA(VLOOKUP(D44,'인원 입력 기능(직탐)'!$F$5:$I$59,4,FALSE),0))</f>
        <v>48</v>
      </c>
      <c r="H44" s="57">
        <f t="shared" si="1"/>
        <v>0.1256544502617801</v>
      </c>
      <c r="I44" s="67">
        <f>SUM($G$7:G44)</f>
        <v>184</v>
      </c>
      <c r="J44" s="59">
        <f t="shared" si="5"/>
        <v>0.48167539267015708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48</v>
      </c>
      <c r="E45" s="68">
        <f t="shared" si="0"/>
        <v>5</v>
      </c>
      <c r="F45" s="55">
        <f t="shared" si="4"/>
        <v>49.61</v>
      </c>
      <c r="G45" s="56">
        <f>IF(D45=D44,"",_xlfn.IFNA(VLOOKUP(D45,'인원 입력 기능(직탐)'!$F$5:$I$59,4,FALSE),0))</f>
        <v>17</v>
      </c>
      <c r="H45" s="57">
        <f t="shared" si="1"/>
        <v>4.4502617801047119E-2</v>
      </c>
      <c r="I45" s="67">
        <f>SUM($G$7:G45)</f>
        <v>201</v>
      </c>
      <c r="J45" s="59">
        <f t="shared" si="5"/>
        <v>0.52617801047120416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47</v>
      </c>
      <c r="E46" s="68">
        <f t="shared" si="0"/>
        <v>5</v>
      </c>
      <c r="F46" s="55">
        <f t="shared" si="4"/>
        <v>44.76</v>
      </c>
      <c r="G46" s="56">
        <f>IF(D46=D45,"",_xlfn.IFNA(VLOOKUP(D46,'인원 입력 기능(직탐)'!$F$5:$I$59,4,FALSE),0))</f>
        <v>20</v>
      </c>
      <c r="H46" s="57">
        <f t="shared" si="1"/>
        <v>5.2356020942408377E-2</v>
      </c>
      <c r="I46" s="67">
        <f>SUM($G$7:G46)</f>
        <v>221</v>
      </c>
      <c r="J46" s="59">
        <f t="shared" si="5"/>
        <v>0.57853403141361259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45</v>
      </c>
      <c r="E47" s="68">
        <f t="shared" si="0"/>
        <v>5</v>
      </c>
      <c r="F47" s="55">
        <f t="shared" si="4"/>
        <v>39.4</v>
      </c>
      <c r="G47" s="56">
        <f>IF(D47=D46,"",_xlfn.IFNA(VLOOKUP(D47,'인원 입력 기능(직탐)'!$F$5:$I$59,4,FALSE),0))</f>
        <v>21</v>
      </c>
      <c r="H47" s="57">
        <f t="shared" si="1"/>
        <v>5.4973821989528798E-2</v>
      </c>
      <c r="I47" s="67">
        <f>SUM($G$7:G47)</f>
        <v>242</v>
      </c>
      <c r="J47" s="59">
        <f t="shared" si="5"/>
        <v>0.63350785340314131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44</v>
      </c>
      <c r="E48" s="68">
        <f t="shared" si="0"/>
        <v>6</v>
      </c>
      <c r="F48" s="55">
        <f t="shared" si="4"/>
        <v>32.590000000000003</v>
      </c>
      <c r="G48" s="56">
        <f>IF(D48=D47,"",_xlfn.IFNA(VLOOKUP(D48,'인원 입력 기능(직탐)'!$F$5:$I$59,4,FALSE),0))</f>
        <v>31</v>
      </c>
      <c r="H48" s="57">
        <f t="shared" si="1"/>
        <v>8.1151832460732987E-2</v>
      </c>
      <c r="I48" s="67">
        <f>SUM($G$7:G48)</f>
        <v>273</v>
      </c>
      <c r="J48" s="59">
        <f t="shared" si="5"/>
        <v>0.71465968586387429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43</v>
      </c>
      <c r="E49" s="68">
        <f t="shared" si="0"/>
        <v>6</v>
      </c>
      <c r="F49" s="55">
        <f t="shared" si="4"/>
        <v>21.47</v>
      </c>
      <c r="G49" s="56">
        <f>IF(D49=D48,"",_xlfn.IFNA(VLOOKUP(D49,'인원 입력 기능(직탐)'!$F$5:$I$59,4,FALSE),0))</f>
        <v>54</v>
      </c>
      <c r="H49" s="57">
        <f t="shared" si="1"/>
        <v>0.14136125654450263</v>
      </c>
      <c r="I49" s="67">
        <f>SUM($G$7:G49)</f>
        <v>327</v>
      </c>
      <c r="J49" s="59">
        <f t="shared" si="5"/>
        <v>0.85602094240837701</v>
      </c>
      <c r="K49" s="36"/>
      <c r="L49" s="20" t="str">
        <f t="shared" si="2"/>
        <v>경고</v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41</v>
      </c>
      <c r="E50" s="68">
        <f t="shared" si="0"/>
        <v>7</v>
      </c>
      <c r="F50" s="55">
        <f t="shared" si="4"/>
        <v>11.52</v>
      </c>
      <c r="G50" s="56">
        <f>IF(D50=D49,"",_xlfn.IFNA(VLOOKUP(D50,'인원 입력 기능(직탐)'!$F$5:$I$59,4,FALSE),0))</f>
        <v>22</v>
      </c>
      <c r="H50" s="57">
        <f t="shared" si="1"/>
        <v>5.7591623036649213E-2</v>
      </c>
      <c r="I50" s="67">
        <f>SUM($G$7:G50)</f>
        <v>349</v>
      </c>
      <c r="J50" s="59">
        <f t="shared" si="5"/>
        <v>0.91361256544502623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40</v>
      </c>
      <c r="E51" s="68">
        <f t="shared" si="0"/>
        <v>8</v>
      </c>
      <c r="F51" s="55">
        <f t="shared" si="4"/>
        <v>7.46</v>
      </c>
      <c r="G51" s="56">
        <f>IF(D51=D50,"",_xlfn.IFNA(VLOOKUP(D51,'인원 입력 기능(직탐)'!$F$5:$I$59,4,FALSE),0))</f>
        <v>9</v>
      </c>
      <c r="H51" s="57">
        <f t="shared" si="1"/>
        <v>2.356020942408377E-2</v>
      </c>
      <c r="I51" s="67">
        <f>SUM($G$7:G51)</f>
        <v>358</v>
      </c>
      <c r="J51" s="59">
        <f t="shared" si="5"/>
        <v>0.93717277486910999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38</v>
      </c>
      <c r="E52" s="68">
        <f t="shared" si="0"/>
        <v>8</v>
      </c>
      <c r="F52" s="55">
        <f t="shared" si="4"/>
        <v>5.24</v>
      </c>
      <c r="G52" s="56">
        <f>IF(D52=D51,"",_xlfn.IFNA(VLOOKUP(D52,'인원 입력 기능(직탐)'!$F$5:$I$59,4,FALSE),0))</f>
        <v>8</v>
      </c>
      <c r="H52" s="57">
        <f t="shared" si="1"/>
        <v>2.0942408376963352E-2</v>
      </c>
      <c r="I52" s="67">
        <f>SUM($G$7:G52)</f>
        <v>366</v>
      </c>
      <c r="J52" s="59">
        <f t="shared" si="5"/>
        <v>0.95811518324607325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37</v>
      </c>
      <c r="E53" s="54">
        <f t="shared" si="0"/>
        <v>8</v>
      </c>
      <c r="F53" s="55">
        <f t="shared" si="4"/>
        <v>3.8</v>
      </c>
      <c r="G53" s="56">
        <f>IF(D53=D52,"",_xlfn.IFNA(VLOOKUP(D53,'인원 입력 기능(직탐)'!$F$5:$I$59,4,FALSE),0))</f>
        <v>3</v>
      </c>
      <c r="H53" s="57">
        <f t="shared" si="1"/>
        <v>7.8534031413612562E-3</v>
      </c>
      <c r="I53" s="67">
        <f>SUM($G$7:G53)</f>
        <v>369</v>
      </c>
      <c r="J53" s="59">
        <f t="shared" si="5"/>
        <v>0.96596858638743455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36</v>
      </c>
      <c r="E54" s="54">
        <f t="shared" si="0"/>
        <v>9</v>
      </c>
      <c r="F54" s="55">
        <f t="shared" si="4"/>
        <v>3.01</v>
      </c>
      <c r="G54" s="56">
        <f>IF(D54=D53,"",_xlfn.IFNA(VLOOKUP(D54,'인원 입력 기능(직탐)'!$F$5:$I$59,4,FALSE),0))</f>
        <v>3</v>
      </c>
      <c r="H54" s="57">
        <f t="shared" si="1"/>
        <v>7.8534031413612562E-3</v>
      </c>
      <c r="I54" s="67">
        <f>SUM($G$7:G54)</f>
        <v>372</v>
      </c>
      <c r="J54" s="59">
        <f t="shared" si="5"/>
        <v>0.97382198952879584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34</v>
      </c>
      <c r="E55" s="54">
        <f t="shared" si="0"/>
        <v>9</v>
      </c>
      <c r="F55" s="55">
        <f t="shared" si="4"/>
        <v>1.83</v>
      </c>
      <c r="G55" s="56">
        <f>IF(D55=D54,"",_xlfn.IFNA(VLOOKUP(D55,'인원 입력 기능(직탐)'!$F$5:$I$59,4,FALSE),0))</f>
        <v>6</v>
      </c>
      <c r="H55" s="57">
        <f t="shared" si="1"/>
        <v>1.5706806282722512E-2</v>
      </c>
      <c r="I55" s="67">
        <f>SUM($G$7:G55)</f>
        <v>378</v>
      </c>
      <c r="J55" s="59">
        <f t="shared" si="5"/>
        <v>0.98952879581151831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32</v>
      </c>
      <c r="E57" s="109">
        <f t="shared" si="0"/>
        <v>9</v>
      </c>
      <c r="F57" s="74">
        <f>IF(I55=0,ROUND(100*(1-(I54+I57)/2/$J$3),2),ROUND(100*(1-(I55+I57)/2/$J$3),2))</f>
        <v>0.52</v>
      </c>
      <c r="G57" s="110">
        <f>_xlfn.IFNA(VLOOKUP(D57,'인원 입력 기능(직탐)'!$F$5:$I$59,4,FALSE),0)</f>
        <v>4</v>
      </c>
      <c r="H57" s="76">
        <f>G57/$J$3</f>
        <v>1.0471204188481676E-2</v>
      </c>
      <c r="I57" s="77">
        <f>SUM($G$7:G57)</f>
        <v>382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G5:J5"/>
  </mergeCells>
  <phoneticPr fontId="1" type="noConversion"/>
  <conditionalFormatting sqref="D7:G57 I7:J57">
    <cfRule type="expression" dxfId="19" priority="4">
      <formula>OR($D7=$Q$7:$Q$14)</formula>
    </cfRule>
  </conditionalFormatting>
  <conditionalFormatting sqref="C7:C57">
    <cfRule type="expression" dxfId="18" priority="3">
      <formula>OR(AND($D7=0,OR($D6=$Q$7:$Q$14)),AND($D8&gt;0,OR($D7=$Q$7:$Q$14)))</formula>
    </cfRule>
  </conditionalFormatting>
  <conditionalFormatting sqref="D7:D57">
    <cfRule type="expression" dxfId="17" priority="2">
      <formula>$D7=$D8</formula>
    </cfRule>
  </conditionalFormatting>
  <conditionalFormatting sqref="H7:H57">
    <cfRule type="expression" dxfId="16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B09F8-225B-466D-86C3-AC1514CEDDB8}">
  <sheetPr codeName="Sheet25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기능'!D23</f>
        <v>21.21</v>
      </c>
      <c r="I3" s="21" t="s">
        <v>123</v>
      </c>
      <c r="J3" s="81">
        <f>'통계 및 응시자 수 입력 기능'!C23</f>
        <v>548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140</v>
      </c>
      <c r="E4" s="186"/>
      <c r="F4" s="187"/>
      <c r="G4" s="83" t="s">
        <v>126</v>
      </c>
      <c r="H4" s="84" t="str">
        <f>'통계 및 응시자 수 입력 기능'!E23</f>
        <v xml:space="preserve"> 9.90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79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99.91</v>
      </c>
      <c r="G7" s="56">
        <f>_xlfn.IFNA(VLOOKUP(D7,'인원 입력 기능(직탐)'!$K$5:$N$59,4,FALSE),0)</f>
        <v>1</v>
      </c>
      <c r="H7" s="57">
        <f>G7/$J$3</f>
        <v>1.8248175182481751E-3</v>
      </c>
      <c r="I7" s="58">
        <f>G7</f>
        <v>1</v>
      </c>
      <c r="J7" s="59">
        <f>I7/$J$3</f>
        <v>1.8248175182481751E-3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기능'!C175</f>
        <v>69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기능'!C176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77</v>
      </c>
      <c r="E9" s="54">
        <f t="shared" si="0"/>
        <v>1</v>
      </c>
      <c r="F9" s="55">
        <f>IF(I8=0,ROUND(100*(1-(I7+I9)/2/$J$3),2),ROUND(100*(1-(I8+I9)/2/$J$3),2))</f>
        <v>99.82</v>
      </c>
      <c r="G9" s="56">
        <f>_xlfn.IFNA(VLOOKUP(D9,'인원 입력 기능(직탐)'!$K$5:$N$59,4,FALSE),0)</f>
        <v>0</v>
      </c>
      <c r="H9" s="57">
        <f t="shared" ref="H9:H55" si="1">G9/$J$3</f>
        <v>0</v>
      </c>
      <c r="I9" s="67">
        <f>SUM($G$7:G9)</f>
        <v>1</v>
      </c>
      <c r="J9" s="59">
        <f>I9/$J$3</f>
        <v>1.8248175182481751E-3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기능'!C177</f>
        <v>58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76</v>
      </c>
      <c r="E10" s="54">
        <f t="shared" si="0"/>
        <v>1</v>
      </c>
      <c r="F10" s="55">
        <f t="shared" ref="F10:F55" si="4">IF(I9=0,ROUND(100*(1-(I8+I10)/2/$J$3),2),ROUND(100*(1-(I9+I10)/2/$J$3),2))</f>
        <v>99.82</v>
      </c>
      <c r="G10" s="56">
        <f>IF(D10=D9,"",_xlfn.IFNA(VLOOKUP(D10,'인원 입력 기능(직탐)'!$K$5:$N$59,4,FALSE),0))</f>
        <v>0</v>
      </c>
      <c r="H10" s="57">
        <f t="shared" si="1"/>
        <v>0</v>
      </c>
      <c r="I10" s="67">
        <f>SUM($G$7:G10)</f>
        <v>1</v>
      </c>
      <c r="J10" s="59">
        <f t="shared" ref="J10:J55" si="5">I10/$J$3</f>
        <v>1.8248175182481751E-3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기능'!C178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75</v>
      </c>
      <c r="E11" s="54">
        <f t="shared" si="0"/>
        <v>1</v>
      </c>
      <c r="F11" s="55">
        <f t="shared" si="4"/>
        <v>99.82</v>
      </c>
      <c r="G11" s="56">
        <f>IF(D11=D10,"",_xlfn.IFNA(VLOOKUP(D11,'인원 입력 기능(직탐)'!$K$5:$N$59,4,FALSE),0))</f>
        <v>0</v>
      </c>
      <c r="H11" s="57">
        <f t="shared" si="1"/>
        <v>0</v>
      </c>
      <c r="I11" s="67">
        <f>SUM($G$7:G11)</f>
        <v>1</v>
      </c>
      <c r="J11" s="59">
        <f t="shared" si="5"/>
        <v>1.8248175182481751E-3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기능'!C179</f>
        <v>46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74</v>
      </c>
      <c r="E12" s="54">
        <f t="shared" si="0"/>
        <v>1</v>
      </c>
      <c r="F12" s="55">
        <f t="shared" si="4"/>
        <v>99.73</v>
      </c>
      <c r="G12" s="56">
        <f>IF(D12=D11,"",_xlfn.IFNA(VLOOKUP(D12,'인원 입력 기능(직탐)'!$K$5:$N$59,4,FALSE),0))</f>
        <v>1</v>
      </c>
      <c r="H12" s="57">
        <f t="shared" si="1"/>
        <v>1.8248175182481751E-3</v>
      </c>
      <c r="I12" s="67">
        <f>SUM($G$7:G12)</f>
        <v>2</v>
      </c>
      <c r="J12" s="59">
        <f t="shared" si="5"/>
        <v>3.6496350364963502E-3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기능'!C180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73</v>
      </c>
      <c r="E13" s="54">
        <f t="shared" si="0"/>
        <v>1</v>
      </c>
      <c r="F13" s="55">
        <f t="shared" si="4"/>
        <v>99.64</v>
      </c>
      <c r="G13" s="56">
        <f>IF(D13=D12,"",_xlfn.IFNA(VLOOKUP(D13,'인원 입력 기능(직탐)'!$K$5:$N$59,4,FALSE),0))</f>
        <v>0</v>
      </c>
      <c r="H13" s="57">
        <f t="shared" si="1"/>
        <v>0</v>
      </c>
      <c r="I13" s="67">
        <f>SUM($G$7:G13)</f>
        <v>2</v>
      </c>
      <c r="J13" s="59">
        <f t="shared" si="5"/>
        <v>3.6496350364963502E-3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기능'!C181</f>
        <v>39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72</v>
      </c>
      <c r="E14" s="54">
        <f t="shared" si="0"/>
        <v>1</v>
      </c>
      <c r="F14" s="55">
        <f t="shared" si="4"/>
        <v>99.09</v>
      </c>
      <c r="G14" s="56">
        <f>IF(D14=D13,"",_xlfn.IFNA(VLOOKUP(D14,'인원 입력 기능(직탐)'!$K$5:$N$59,4,FALSE),0))</f>
        <v>6</v>
      </c>
      <c r="H14" s="57">
        <f t="shared" si="1"/>
        <v>1.0948905109489052E-2</v>
      </c>
      <c r="I14" s="67">
        <f>SUM($G$7:G14)</f>
        <v>8</v>
      </c>
      <c r="J14" s="59">
        <f t="shared" si="5"/>
        <v>1.4598540145985401E-2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기능'!C182</f>
        <v>36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71</v>
      </c>
      <c r="E15" s="54">
        <f t="shared" si="0"/>
        <v>1</v>
      </c>
      <c r="F15" s="55">
        <f t="shared" si="4"/>
        <v>98.27</v>
      </c>
      <c r="G15" s="56">
        <f>IF(D15=D14,"",_xlfn.IFNA(VLOOKUP(D15,'인원 입력 기능(직탐)'!$K$5:$N$59,4,FALSE),0))</f>
        <v>3</v>
      </c>
      <c r="H15" s="57">
        <f t="shared" si="1"/>
        <v>5.4744525547445258E-3</v>
      </c>
      <c r="I15" s="67">
        <f>SUM($G$7:G15)</f>
        <v>11</v>
      </c>
      <c r="J15" s="59">
        <f t="shared" si="5"/>
        <v>2.0072992700729927E-2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70</v>
      </c>
      <c r="E16" s="54">
        <f t="shared" si="0"/>
        <v>1</v>
      </c>
      <c r="F16" s="55">
        <f t="shared" si="4"/>
        <v>97.54</v>
      </c>
      <c r="G16" s="56">
        <f>IF(D16=D15,"",_xlfn.IFNA(VLOOKUP(D16,'인원 입력 기능(직탐)'!$K$5:$N$59,4,FALSE),0))</f>
        <v>5</v>
      </c>
      <c r="H16" s="57">
        <f t="shared" si="1"/>
        <v>9.1240875912408752E-3</v>
      </c>
      <c r="I16" s="67">
        <f>SUM($G$7:G16)</f>
        <v>16</v>
      </c>
      <c r="J16" s="59">
        <f t="shared" si="5"/>
        <v>2.9197080291970802E-2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69</v>
      </c>
      <c r="E17" s="54">
        <f t="shared" si="0"/>
        <v>1</v>
      </c>
      <c r="F17" s="55">
        <f t="shared" si="4"/>
        <v>96.53</v>
      </c>
      <c r="G17" s="56">
        <f>IF(D17=D16,"",_xlfn.IFNA(VLOOKUP(D17,'인원 입력 기능(직탐)'!$K$5:$N$59,4,FALSE),0))</f>
        <v>6</v>
      </c>
      <c r="H17" s="57">
        <f t="shared" si="1"/>
        <v>1.0948905109489052E-2</v>
      </c>
      <c r="I17" s="67">
        <f>SUM($G$7:G17)</f>
        <v>22</v>
      </c>
      <c r="J17" s="59">
        <f t="shared" si="5"/>
        <v>4.0145985401459854E-2</v>
      </c>
      <c r="K17" s="36"/>
      <c r="L17" s="20" t="str">
        <f t="shared" si="2"/>
        <v/>
      </c>
      <c r="N17" s="24"/>
      <c r="Q17" s="24">
        <f>Q7*H3*H4*J3*IFERROR(IF(J57=1, 1, 0), 0)</f>
        <v>7939725.9480000008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68</v>
      </c>
      <c r="E18" s="54">
        <f t="shared" si="0"/>
        <v>2</v>
      </c>
      <c r="F18" s="55">
        <f t="shared" si="4"/>
        <v>95.44</v>
      </c>
      <c r="G18" s="56">
        <f>IF(D18=D17,"",_xlfn.IFNA(VLOOKUP(D18,'인원 입력 기능(직탐)'!$K$5:$N$59,4,FALSE),0))</f>
        <v>6</v>
      </c>
      <c r="H18" s="57">
        <f t="shared" si="1"/>
        <v>1.0948905109489052E-2</v>
      </c>
      <c r="I18" s="67">
        <f>SUM($G$7:G18)</f>
        <v>28</v>
      </c>
      <c r="J18" s="59">
        <f t="shared" si="5"/>
        <v>5.1094890510948905E-2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67</v>
      </c>
      <c r="E19" s="54">
        <f t="shared" si="0"/>
        <v>2</v>
      </c>
      <c r="F19" s="55">
        <f t="shared" si="4"/>
        <v>94.25</v>
      </c>
      <c r="G19" s="56">
        <f>IF(D19=D18,"",_xlfn.IFNA(VLOOKUP(D19,'인원 입력 기능(직탐)'!$K$5:$N$59,4,FALSE),0))</f>
        <v>7</v>
      </c>
      <c r="H19" s="57">
        <f t="shared" si="1"/>
        <v>1.2773722627737226E-2</v>
      </c>
      <c r="I19" s="67">
        <f>SUM($G$7:G19)</f>
        <v>35</v>
      </c>
      <c r="J19" s="59">
        <f t="shared" si="5"/>
        <v>6.3868613138686137E-2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66</v>
      </c>
      <c r="E20" s="54">
        <f t="shared" si="0"/>
        <v>2</v>
      </c>
      <c r="F20" s="55">
        <f t="shared" si="4"/>
        <v>92.97</v>
      </c>
      <c r="G20" s="56">
        <f>IF(D20=D19,"",_xlfn.IFNA(VLOOKUP(D20,'인원 입력 기능(직탐)'!$K$5:$N$59,4,FALSE),0))</f>
        <v>7</v>
      </c>
      <c r="H20" s="57">
        <f t="shared" si="1"/>
        <v>1.2773722627737226E-2</v>
      </c>
      <c r="I20" s="67">
        <f>SUM($G$7:G20)</f>
        <v>42</v>
      </c>
      <c r="J20" s="59">
        <f t="shared" si="5"/>
        <v>7.6642335766423361E-2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65</v>
      </c>
      <c r="E21" s="68">
        <f t="shared" si="0"/>
        <v>2</v>
      </c>
      <c r="F21" s="55">
        <f t="shared" si="4"/>
        <v>91.7</v>
      </c>
      <c r="G21" s="56">
        <f>IF(D21=D20,"",_xlfn.IFNA(VLOOKUP(D21,'인원 입력 기능(직탐)'!$K$5:$N$59,4,FALSE),0))</f>
        <v>7</v>
      </c>
      <c r="H21" s="57">
        <f t="shared" si="1"/>
        <v>1.2773722627737226E-2</v>
      </c>
      <c r="I21" s="67">
        <f>SUM($G$7:G21)</f>
        <v>49</v>
      </c>
      <c r="J21" s="59">
        <f t="shared" si="5"/>
        <v>8.9416058394160586E-2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64</v>
      </c>
      <c r="E22" s="68">
        <f t="shared" si="0"/>
        <v>2</v>
      </c>
      <c r="F22" s="55">
        <f t="shared" si="4"/>
        <v>89.87</v>
      </c>
      <c r="G22" s="56">
        <f>IF(D22=D21,"",_xlfn.IFNA(VLOOKUP(D22,'인원 입력 기능(직탐)'!$K$5:$N$59,4,FALSE),0))</f>
        <v>13</v>
      </c>
      <c r="H22" s="57">
        <f t="shared" si="1"/>
        <v>2.3722627737226276E-2</v>
      </c>
      <c r="I22" s="67">
        <f>SUM($G$7:G22)</f>
        <v>62</v>
      </c>
      <c r="J22" s="59">
        <f t="shared" si="5"/>
        <v>0.11313868613138686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63</v>
      </c>
      <c r="E23" s="68">
        <f t="shared" si="0"/>
        <v>3</v>
      </c>
      <c r="F23" s="55">
        <f t="shared" si="4"/>
        <v>87.59</v>
      </c>
      <c r="G23" s="56">
        <f>IF(D23=D22,"",_xlfn.IFNA(VLOOKUP(D23,'인원 입력 기능(직탐)'!$K$5:$N$59,4,FALSE),0))</f>
        <v>12</v>
      </c>
      <c r="H23" s="57">
        <f t="shared" si="1"/>
        <v>2.1897810218978103E-2</v>
      </c>
      <c r="I23" s="67">
        <f>SUM($G$7:G23)</f>
        <v>74</v>
      </c>
      <c r="J23" s="59">
        <f t="shared" si="5"/>
        <v>0.13503649635036497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62</v>
      </c>
      <c r="E24" s="68">
        <f t="shared" si="0"/>
        <v>3</v>
      </c>
      <c r="F24" s="55">
        <f t="shared" si="4"/>
        <v>85.86</v>
      </c>
      <c r="G24" s="56">
        <f>IF(D24=D23,"",_xlfn.IFNA(VLOOKUP(D24,'인원 입력 기능(직탐)'!$K$5:$N$59,4,FALSE),0))</f>
        <v>7</v>
      </c>
      <c r="H24" s="57">
        <f t="shared" si="1"/>
        <v>1.2773722627737226E-2</v>
      </c>
      <c r="I24" s="67">
        <f>SUM($G$7:G24)</f>
        <v>81</v>
      </c>
      <c r="J24" s="59">
        <f t="shared" si="5"/>
        <v>0.1478102189781022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61</v>
      </c>
      <c r="E25" s="68">
        <f t="shared" si="0"/>
        <v>3</v>
      </c>
      <c r="F25" s="55">
        <f t="shared" si="4"/>
        <v>84.12</v>
      </c>
      <c r="G25" s="56">
        <f>IF(D25=D24,"",_xlfn.IFNA(VLOOKUP(D25,'인원 입력 기능(직탐)'!$K$5:$N$59,4,FALSE),0))</f>
        <v>12</v>
      </c>
      <c r="H25" s="57">
        <f t="shared" si="1"/>
        <v>2.1897810218978103E-2</v>
      </c>
      <c r="I25" s="67">
        <f>SUM($G$7:G25)</f>
        <v>93</v>
      </c>
      <c r="J25" s="59">
        <f t="shared" si="5"/>
        <v>0.16970802919708028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60</v>
      </c>
      <c r="E26" s="68">
        <f t="shared" si="0"/>
        <v>3</v>
      </c>
      <c r="F26" s="55">
        <f t="shared" si="4"/>
        <v>82.03</v>
      </c>
      <c r="G26" s="56">
        <f>IF(D26=D25,"",_xlfn.IFNA(VLOOKUP(D26,'인원 입력 기능(직탐)'!$K$5:$N$59,4,FALSE),0))</f>
        <v>11</v>
      </c>
      <c r="H26" s="57">
        <f t="shared" si="1"/>
        <v>2.0072992700729927E-2</v>
      </c>
      <c r="I26" s="67">
        <f>SUM($G$7:G26)</f>
        <v>104</v>
      </c>
      <c r="J26" s="59">
        <f t="shared" si="5"/>
        <v>0.18978102189781021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59</v>
      </c>
      <c r="E27" s="68">
        <f t="shared" si="0"/>
        <v>3</v>
      </c>
      <c r="F27" s="55">
        <f t="shared" si="4"/>
        <v>79.650000000000006</v>
      </c>
      <c r="G27" s="56">
        <f>IF(D27=D26,"",_xlfn.IFNA(VLOOKUP(D27,'인원 입력 기능(직탐)'!$K$5:$N$59,4,FALSE),0))</f>
        <v>15</v>
      </c>
      <c r="H27" s="57">
        <f t="shared" si="1"/>
        <v>2.7372262773722629E-2</v>
      </c>
      <c r="I27" s="67">
        <f>SUM($G$7:G27)</f>
        <v>119</v>
      </c>
      <c r="J27" s="59">
        <f t="shared" si="5"/>
        <v>0.21715328467153286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58</v>
      </c>
      <c r="E28" s="68">
        <f t="shared" si="0"/>
        <v>3</v>
      </c>
      <c r="F28" s="55">
        <f t="shared" si="4"/>
        <v>76.92</v>
      </c>
      <c r="G28" s="56">
        <f>IF(D28=D27,"",_xlfn.IFNA(VLOOKUP(D28,'인원 입력 기능(직탐)'!$K$5:$N$59,4,FALSE),0))</f>
        <v>15</v>
      </c>
      <c r="H28" s="57">
        <f t="shared" si="1"/>
        <v>2.7372262773722629E-2</v>
      </c>
      <c r="I28" s="67">
        <f>SUM($G$7:G28)</f>
        <v>134</v>
      </c>
      <c r="J28" s="59">
        <f t="shared" si="5"/>
        <v>0.24452554744525548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57</v>
      </c>
      <c r="E29" s="68">
        <f t="shared" si="0"/>
        <v>4</v>
      </c>
      <c r="F29" s="55">
        <f t="shared" si="4"/>
        <v>73.91</v>
      </c>
      <c r="G29" s="56">
        <f>IF(D29=D28,"",_xlfn.IFNA(VLOOKUP(D29,'인원 입력 기능(직탐)'!$K$5:$N$59,4,FALSE),0))</f>
        <v>18</v>
      </c>
      <c r="H29" s="57">
        <f t="shared" si="1"/>
        <v>3.2846715328467155E-2</v>
      </c>
      <c r="I29" s="67">
        <f>SUM($G$7:G29)</f>
        <v>152</v>
      </c>
      <c r="J29" s="59">
        <f t="shared" si="5"/>
        <v>0.27737226277372262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56</v>
      </c>
      <c r="E30" s="68">
        <f t="shared" si="0"/>
        <v>4</v>
      </c>
      <c r="F30" s="55">
        <f t="shared" si="4"/>
        <v>70.8</v>
      </c>
      <c r="G30" s="56">
        <f>IF(D30=D29,"",_xlfn.IFNA(VLOOKUP(D30,'인원 입력 기능(직탐)'!$K$5:$N$59,4,FALSE),0))</f>
        <v>16</v>
      </c>
      <c r="H30" s="57">
        <f t="shared" si="1"/>
        <v>2.9197080291970802E-2</v>
      </c>
      <c r="I30" s="67">
        <f>SUM($G$7:G30)</f>
        <v>168</v>
      </c>
      <c r="J30" s="59">
        <f t="shared" si="5"/>
        <v>0.30656934306569344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55</v>
      </c>
      <c r="E31" s="68">
        <f t="shared" si="0"/>
        <v>4</v>
      </c>
      <c r="F31" s="55">
        <f t="shared" si="4"/>
        <v>67.52</v>
      </c>
      <c r="G31" s="56">
        <f>IF(D31=D30,"",_xlfn.IFNA(VLOOKUP(D31,'인원 입력 기능(직탐)'!$K$5:$N$59,4,FALSE),0))</f>
        <v>20</v>
      </c>
      <c r="H31" s="57">
        <f t="shared" si="1"/>
        <v>3.6496350364963501E-2</v>
      </c>
      <c r="I31" s="67">
        <f>SUM($G$7:G31)</f>
        <v>188</v>
      </c>
      <c r="J31" s="59">
        <f t="shared" si="5"/>
        <v>0.34306569343065696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54</v>
      </c>
      <c r="E32" s="68">
        <f t="shared" si="0"/>
        <v>4</v>
      </c>
      <c r="F32" s="55">
        <f t="shared" si="4"/>
        <v>63.23</v>
      </c>
      <c r="G32" s="56">
        <f>IF(D32=D31,"",_xlfn.IFNA(VLOOKUP(D32,'인원 입력 기능(직탐)'!$K$5:$N$59,4,FALSE),0))</f>
        <v>27</v>
      </c>
      <c r="H32" s="57">
        <f t="shared" si="1"/>
        <v>4.9270072992700732E-2</v>
      </c>
      <c r="I32" s="67">
        <f>SUM($G$7:G32)</f>
        <v>215</v>
      </c>
      <c r="J32" s="59">
        <f t="shared" si="5"/>
        <v>0.39233576642335766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53</v>
      </c>
      <c r="E33" s="68">
        <f t="shared" si="0"/>
        <v>4</v>
      </c>
      <c r="F33" s="55">
        <f t="shared" si="4"/>
        <v>59.4</v>
      </c>
      <c r="G33" s="56">
        <f>IF(D33=D32,"",_xlfn.IFNA(VLOOKUP(D33,'인원 입력 기능(직탐)'!$K$5:$N$59,4,FALSE),0))</f>
        <v>15</v>
      </c>
      <c r="H33" s="57">
        <f t="shared" si="1"/>
        <v>2.7372262773722629E-2</v>
      </c>
      <c r="I33" s="67">
        <f>SUM($G$7:G33)</f>
        <v>230</v>
      </c>
      <c r="J33" s="59">
        <f t="shared" si="5"/>
        <v>0.41970802919708028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52</v>
      </c>
      <c r="E34" s="68">
        <f t="shared" si="0"/>
        <v>5</v>
      </c>
      <c r="F34" s="55">
        <f t="shared" si="4"/>
        <v>56.66</v>
      </c>
      <c r="G34" s="56">
        <f>IF(D34=D33,"",_xlfn.IFNA(VLOOKUP(D34,'인원 입력 기능(직탐)'!$K$5:$N$59,4,FALSE),0))</f>
        <v>15</v>
      </c>
      <c r="H34" s="57">
        <f t="shared" si="1"/>
        <v>2.7372262773722629E-2</v>
      </c>
      <c r="I34" s="67">
        <f>SUM($G$7:G34)</f>
        <v>245</v>
      </c>
      <c r="J34" s="59">
        <f t="shared" si="5"/>
        <v>0.4470802919708029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51</v>
      </c>
      <c r="E35" s="68">
        <f t="shared" si="0"/>
        <v>5</v>
      </c>
      <c r="F35" s="55">
        <f t="shared" si="4"/>
        <v>53.47</v>
      </c>
      <c r="G35" s="56">
        <f>IF(D35=D34,"",_xlfn.IFNA(VLOOKUP(D35,'인원 입력 기능(직탐)'!$K$5:$N$59,4,FALSE),0))</f>
        <v>20</v>
      </c>
      <c r="H35" s="57">
        <f t="shared" si="1"/>
        <v>3.6496350364963501E-2</v>
      </c>
      <c r="I35" s="67">
        <f>SUM($G$7:G35)</f>
        <v>265</v>
      </c>
      <c r="J35" s="59">
        <f t="shared" si="5"/>
        <v>0.48357664233576642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50</v>
      </c>
      <c r="E36" s="68">
        <f t="shared" si="0"/>
        <v>5</v>
      </c>
      <c r="F36" s="55">
        <f t="shared" si="4"/>
        <v>50</v>
      </c>
      <c r="G36" s="56">
        <f>IF(D36=D35,"",_xlfn.IFNA(VLOOKUP(D36,'인원 입력 기능(직탐)'!$K$5:$N$59,4,FALSE),0))</f>
        <v>18</v>
      </c>
      <c r="H36" s="57">
        <f t="shared" si="1"/>
        <v>3.2846715328467155E-2</v>
      </c>
      <c r="I36" s="67">
        <f>SUM($G$7:G36)</f>
        <v>283</v>
      </c>
      <c r="J36" s="59">
        <f t="shared" si="5"/>
        <v>0.51642335766423353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49</v>
      </c>
      <c r="E37" s="68">
        <f t="shared" si="0"/>
        <v>5</v>
      </c>
      <c r="F37" s="55">
        <f t="shared" si="4"/>
        <v>47.35</v>
      </c>
      <c r="G37" s="56">
        <f>IF(D37=D36,"",_xlfn.IFNA(VLOOKUP(D37,'인원 입력 기능(직탐)'!$K$5:$N$59,4,FALSE),0))</f>
        <v>11</v>
      </c>
      <c r="H37" s="57">
        <f t="shared" si="1"/>
        <v>2.0072992700729927E-2</v>
      </c>
      <c r="I37" s="67">
        <f>SUM($G$7:G37)</f>
        <v>294</v>
      </c>
      <c r="J37" s="59">
        <f t="shared" si="5"/>
        <v>0.53649635036496346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48</v>
      </c>
      <c r="E38" s="68">
        <f t="shared" si="0"/>
        <v>5</v>
      </c>
      <c r="F38" s="55">
        <f t="shared" si="4"/>
        <v>44.8</v>
      </c>
      <c r="G38" s="56">
        <f>IF(D38=D37,"",_xlfn.IFNA(VLOOKUP(D38,'인원 입력 기능(직탐)'!$K$5:$N$59,4,FALSE),0))</f>
        <v>17</v>
      </c>
      <c r="H38" s="57">
        <f t="shared" si="1"/>
        <v>3.1021897810218978E-2</v>
      </c>
      <c r="I38" s="67">
        <f>SUM($G$7:G38)</f>
        <v>311</v>
      </c>
      <c r="J38" s="59">
        <f t="shared" si="5"/>
        <v>0.56751824817518248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47</v>
      </c>
      <c r="E39" s="68">
        <f t="shared" si="0"/>
        <v>5</v>
      </c>
      <c r="F39" s="55">
        <f t="shared" si="4"/>
        <v>42.43</v>
      </c>
      <c r="G39" s="56">
        <f>IF(D39=D38,"",_xlfn.IFNA(VLOOKUP(D39,'인원 입력 기능(직탐)'!$K$5:$N$59,4,FALSE),0))</f>
        <v>9</v>
      </c>
      <c r="H39" s="57">
        <f t="shared" si="1"/>
        <v>1.6423357664233577E-2</v>
      </c>
      <c r="I39" s="67">
        <f>SUM($G$7:G39)</f>
        <v>320</v>
      </c>
      <c r="J39" s="59">
        <f t="shared" si="5"/>
        <v>0.58394160583941601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si="0"/>
        <v>5</v>
      </c>
      <c r="F40" s="55">
        <f t="shared" si="4"/>
        <v>39.6</v>
      </c>
      <c r="G40" s="56">
        <f>IF(D40=D39,"",_xlfn.IFNA(VLOOKUP(D40,'인원 입력 기능(직탐)'!$K$5:$N$59,4,FALSE),0))</f>
        <v>22</v>
      </c>
      <c r="H40" s="57">
        <f t="shared" si="1"/>
        <v>4.0145985401459854E-2</v>
      </c>
      <c r="I40" s="67">
        <f>SUM($G$7:G40)</f>
        <v>342</v>
      </c>
      <c r="J40" s="59">
        <f t="shared" si="5"/>
        <v>0.62408759124087587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0"/>
        <v>6</v>
      </c>
      <c r="F41" s="55">
        <f t="shared" si="4"/>
        <v>36.22</v>
      </c>
      <c r="G41" s="56">
        <f>IF(D41=D40,"",_xlfn.IFNA(VLOOKUP(D41,'인원 입력 기능(직탐)'!$K$5:$N$59,4,FALSE),0))</f>
        <v>15</v>
      </c>
      <c r="H41" s="57">
        <f t="shared" si="1"/>
        <v>2.7372262773722629E-2</v>
      </c>
      <c r="I41" s="67">
        <f>SUM($G$7:G41)</f>
        <v>357</v>
      </c>
      <c r="J41" s="59">
        <f t="shared" si="5"/>
        <v>0.65145985401459849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44</v>
      </c>
      <c r="E42" s="68">
        <f t="shared" si="0"/>
        <v>6</v>
      </c>
      <c r="F42" s="55">
        <f t="shared" si="4"/>
        <v>33.76</v>
      </c>
      <c r="G42" s="56">
        <f>IF(D42=D41,"",_xlfn.IFNA(VLOOKUP(D42,'인원 입력 기능(직탐)'!$K$5:$N$59,4,FALSE),0))</f>
        <v>12</v>
      </c>
      <c r="H42" s="57">
        <f t="shared" si="1"/>
        <v>2.1897810218978103E-2</v>
      </c>
      <c r="I42" s="67">
        <f>SUM($G$7:G42)</f>
        <v>369</v>
      </c>
      <c r="J42" s="59">
        <f t="shared" si="5"/>
        <v>0.67335766423357668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43</v>
      </c>
      <c r="E43" s="68">
        <f t="shared" si="0"/>
        <v>6</v>
      </c>
      <c r="F43" s="55">
        <f t="shared" si="4"/>
        <v>31.57</v>
      </c>
      <c r="G43" s="56">
        <f>IF(D43=D42,"",_xlfn.IFNA(VLOOKUP(D43,'인원 입력 기능(직탐)'!$K$5:$N$59,4,FALSE),0))</f>
        <v>12</v>
      </c>
      <c r="H43" s="57">
        <f t="shared" si="1"/>
        <v>2.1897810218978103E-2</v>
      </c>
      <c r="I43" s="67">
        <f>SUM($G$7:G43)</f>
        <v>381</v>
      </c>
      <c r="J43" s="59">
        <f t="shared" si="5"/>
        <v>0.69525547445255476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42</v>
      </c>
      <c r="E44" s="68">
        <f t="shared" si="0"/>
        <v>6</v>
      </c>
      <c r="F44" s="55">
        <f t="shared" si="4"/>
        <v>28.01</v>
      </c>
      <c r="G44" s="56">
        <f>IF(D44=D43,"",_xlfn.IFNA(VLOOKUP(D44,'인원 입력 기능(직탐)'!$K$5:$N$59,4,FALSE),0))</f>
        <v>27</v>
      </c>
      <c r="H44" s="57">
        <f t="shared" si="1"/>
        <v>4.9270072992700732E-2</v>
      </c>
      <c r="I44" s="67">
        <f>SUM($G$7:G44)</f>
        <v>408</v>
      </c>
      <c r="J44" s="59">
        <f t="shared" si="5"/>
        <v>0.74452554744525545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41</v>
      </c>
      <c r="E45" s="68">
        <f t="shared" si="0"/>
        <v>6</v>
      </c>
      <c r="F45" s="55">
        <f t="shared" si="4"/>
        <v>20.99</v>
      </c>
      <c r="G45" s="56">
        <f>IF(D45=D44,"",_xlfn.IFNA(VLOOKUP(D45,'인원 입력 기능(직탐)'!$K$5:$N$59,4,FALSE),0))</f>
        <v>50</v>
      </c>
      <c r="H45" s="57">
        <f t="shared" si="1"/>
        <v>9.1240875912408759E-2</v>
      </c>
      <c r="I45" s="67">
        <f>SUM($G$7:G45)</f>
        <v>458</v>
      </c>
      <c r="J45" s="59">
        <f t="shared" si="5"/>
        <v>0.83576642335766427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40</v>
      </c>
      <c r="E46" s="68">
        <f t="shared" si="0"/>
        <v>7</v>
      </c>
      <c r="F46" s="55">
        <f t="shared" si="4"/>
        <v>14.96</v>
      </c>
      <c r="G46" s="56">
        <f>IF(D46=D45,"",_xlfn.IFNA(VLOOKUP(D46,'인원 입력 기능(직탐)'!$K$5:$N$59,4,FALSE),0))</f>
        <v>16</v>
      </c>
      <c r="H46" s="57">
        <f t="shared" si="1"/>
        <v>2.9197080291970802E-2</v>
      </c>
      <c r="I46" s="67">
        <f>SUM($G$7:G46)</f>
        <v>474</v>
      </c>
      <c r="J46" s="59">
        <f t="shared" si="5"/>
        <v>0.86496350364963503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39</v>
      </c>
      <c r="E47" s="68">
        <f t="shared" si="0"/>
        <v>7</v>
      </c>
      <c r="F47" s="55">
        <f t="shared" si="4"/>
        <v>12.23</v>
      </c>
      <c r="G47" s="56">
        <f>IF(D47=D46,"",_xlfn.IFNA(VLOOKUP(D47,'인원 입력 기능(직탐)'!$K$5:$N$59,4,FALSE),0))</f>
        <v>14</v>
      </c>
      <c r="H47" s="57">
        <f t="shared" si="1"/>
        <v>2.5547445255474453E-2</v>
      </c>
      <c r="I47" s="67">
        <f>SUM($G$7:G47)</f>
        <v>488</v>
      </c>
      <c r="J47" s="59">
        <f t="shared" si="5"/>
        <v>0.89051094890510951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38</v>
      </c>
      <c r="E48" s="68">
        <f t="shared" si="0"/>
        <v>8</v>
      </c>
      <c r="F48" s="55">
        <f t="shared" si="4"/>
        <v>9.76</v>
      </c>
      <c r="G48" s="56">
        <f>IF(D48=D47,"",_xlfn.IFNA(VLOOKUP(D48,'인원 입력 기능(직탐)'!$K$5:$N$59,4,FALSE),0))</f>
        <v>13</v>
      </c>
      <c r="H48" s="57">
        <f t="shared" si="1"/>
        <v>2.3722627737226276E-2</v>
      </c>
      <c r="I48" s="67">
        <f>SUM($G$7:G48)</f>
        <v>501</v>
      </c>
      <c r="J48" s="59">
        <f t="shared" si="5"/>
        <v>0.91423357664233573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37</v>
      </c>
      <c r="E49" s="68">
        <f t="shared" si="0"/>
        <v>8</v>
      </c>
      <c r="F49" s="55">
        <f t="shared" si="4"/>
        <v>7.48</v>
      </c>
      <c r="G49" s="56">
        <f>IF(D49=D48,"",_xlfn.IFNA(VLOOKUP(D49,'인원 입력 기능(직탐)'!$K$5:$N$59,4,FALSE),0))</f>
        <v>12</v>
      </c>
      <c r="H49" s="57">
        <f t="shared" si="1"/>
        <v>2.1897810218978103E-2</v>
      </c>
      <c r="I49" s="67">
        <f>SUM($G$7:G49)</f>
        <v>513</v>
      </c>
      <c r="J49" s="59">
        <f t="shared" si="5"/>
        <v>0.93613138686131392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36</v>
      </c>
      <c r="E50" s="68">
        <f t="shared" si="0"/>
        <v>8</v>
      </c>
      <c r="F50" s="55">
        <f t="shared" si="4"/>
        <v>5.1100000000000003</v>
      </c>
      <c r="G50" s="56">
        <f>IF(D50=D49,"",_xlfn.IFNA(VLOOKUP(D50,'인원 입력 기능(직탐)'!$K$5:$N$59,4,FALSE),0))</f>
        <v>14</v>
      </c>
      <c r="H50" s="57">
        <f t="shared" si="1"/>
        <v>2.5547445255474453E-2</v>
      </c>
      <c r="I50" s="67">
        <f>SUM($G$7:G50)</f>
        <v>527</v>
      </c>
      <c r="J50" s="59">
        <f t="shared" si="5"/>
        <v>0.96167883211678828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35</v>
      </c>
      <c r="E51" s="68">
        <f t="shared" si="0"/>
        <v>9</v>
      </c>
      <c r="F51" s="55">
        <f t="shared" si="4"/>
        <v>3.28</v>
      </c>
      <c r="G51" s="56">
        <f>IF(D51=D50,"",_xlfn.IFNA(VLOOKUP(D51,'인원 입력 기능(직탐)'!$K$5:$N$59,4,FALSE),0))</f>
        <v>6</v>
      </c>
      <c r="H51" s="57">
        <f t="shared" si="1"/>
        <v>1.0948905109489052E-2</v>
      </c>
      <c r="I51" s="67">
        <f>SUM($G$7:G51)</f>
        <v>533</v>
      </c>
      <c r="J51" s="59">
        <f t="shared" si="5"/>
        <v>0.97262773722627738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34</v>
      </c>
      <c r="E52" s="68">
        <f t="shared" si="0"/>
        <v>9</v>
      </c>
      <c r="F52" s="55">
        <f t="shared" si="4"/>
        <v>2.19</v>
      </c>
      <c r="G52" s="56">
        <f>IF(D52=D51,"",_xlfn.IFNA(VLOOKUP(D52,'인원 입력 기능(직탐)'!$K$5:$N$59,4,FALSE),0))</f>
        <v>6</v>
      </c>
      <c r="H52" s="57">
        <f t="shared" si="1"/>
        <v>1.0948905109489052E-2</v>
      </c>
      <c r="I52" s="67">
        <f>SUM($G$7:G52)</f>
        <v>539</v>
      </c>
      <c r="J52" s="59">
        <f t="shared" si="5"/>
        <v>0.98357664233576647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33</v>
      </c>
      <c r="E53" s="54">
        <f t="shared" si="0"/>
        <v>9</v>
      </c>
      <c r="F53" s="55">
        <f t="shared" si="4"/>
        <v>1.46</v>
      </c>
      <c r="G53" s="56">
        <f>IF(D53=D52,"",_xlfn.IFNA(VLOOKUP(D53,'인원 입력 기능(직탐)'!$K$5:$N$59,4,FALSE),0))</f>
        <v>2</v>
      </c>
      <c r="H53" s="57">
        <f t="shared" si="1"/>
        <v>3.6496350364963502E-3</v>
      </c>
      <c r="I53" s="67">
        <f>SUM($G$7:G53)</f>
        <v>541</v>
      </c>
      <c r="J53" s="59">
        <f t="shared" si="5"/>
        <v>0.98722627737226276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32</v>
      </c>
      <c r="E54" s="54">
        <f t="shared" si="0"/>
        <v>9</v>
      </c>
      <c r="F54" s="55">
        <f t="shared" si="4"/>
        <v>1</v>
      </c>
      <c r="G54" s="56">
        <f>IF(D54=D53,"",_xlfn.IFNA(VLOOKUP(D54,'인원 입력 기능(직탐)'!$K$5:$N$59,4,FALSE),0))</f>
        <v>3</v>
      </c>
      <c r="H54" s="57">
        <f t="shared" si="1"/>
        <v>5.4744525547445258E-3</v>
      </c>
      <c r="I54" s="67">
        <f>SUM($G$7:G54)</f>
        <v>544</v>
      </c>
      <c r="J54" s="59">
        <f t="shared" si="5"/>
        <v>0.99270072992700731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31</v>
      </c>
      <c r="E55" s="54">
        <f t="shared" si="0"/>
        <v>9</v>
      </c>
      <c r="F55" s="55">
        <f t="shared" si="4"/>
        <v>0.55000000000000004</v>
      </c>
      <c r="G55" s="56">
        <f>IF(D55=D54,"",_xlfn.IFNA(VLOOKUP(D55,'인원 입력 기능(직탐)'!$K$5:$N$59,4,FALSE),0))</f>
        <v>2</v>
      </c>
      <c r="H55" s="57">
        <f t="shared" si="1"/>
        <v>3.6496350364963502E-3</v>
      </c>
      <c r="I55" s="67">
        <f>SUM($G$7:G55)</f>
        <v>546</v>
      </c>
      <c r="J55" s="59">
        <f t="shared" si="5"/>
        <v>0.9963503649635036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29</v>
      </c>
      <c r="E57" s="109">
        <f t="shared" si="0"/>
        <v>9</v>
      </c>
      <c r="F57" s="74">
        <f>IF(I55=0,ROUND(100*(1-(I54+I57)/2/$J$3),2),ROUND(100*(1-(I55+I57)/2/$J$3),2))</f>
        <v>0.18</v>
      </c>
      <c r="G57" s="110">
        <f>_xlfn.IFNA(VLOOKUP(D57,'인원 입력 기능(직탐)'!$K$5:$N$59,4,FALSE),0)</f>
        <v>2</v>
      </c>
      <c r="H57" s="76">
        <f>G57/$J$3</f>
        <v>3.6496350364963502E-3</v>
      </c>
      <c r="I57" s="77">
        <f>SUM($G$7:G57)</f>
        <v>548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G5:J5"/>
  </mergeCells>
  <phoneticPr fontId="1" type="noConversion"/>
  <conditionalFormatting sqref="D7:G57 I7:J57">
    <cfRule type="expression" dxfId="15" priority="4">
      <formula>OR($D7=$Q$7:$Q$14)</formula>
    </cfRule>
  </conditionalFormatting>
  <conditionalFormatting sqref="C7:C57">
    <cfRule type="expression" dxfId="14" priority="3">
      <formula>OR(AND($D7=0,OR($D6=$Q$7:$Q$14)),AND($D8&gt;0,OR($D7=$Q$7:$Q$14)))</formula>
    </cfRule>
  </conditionalFormatting>
  <conditionalFormatting sqref="D7:D57">
    <cfRule type="expression" dxfId="13" priority="2">
      <formula>$D7=$D8</formula>
    </cfRule>
  </conditionalFormatting>
  <conditionalFormatting sqref="H7:H57">
    <cfRule type="expression" dxfId="12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47E5-7A32-46B1-AA5E-14744E188CC7}">
  <sheetPr codeName="Sheet26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기능'!D24</f>
        <v>21.79</v>
      </c>
      <c r="I3" s="21" t="s">
        <v>123</v>
      </c>
      <c r="J3" s="81">
        <f>'통계 및 응시자 수 입력 기능'!C24</f>
        <v>957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139</v>
      </c>
      <c r="E4" s="186"/>
      <c r="F4" s="187"/>
      <c r="G4" s="83" t="s">
        <v>126</v>
      </c>
      <c r="H4" s="84" t="str">
        <f>'통계 및 응시자 수 입력 기능'!E24</f>
        <v>11.22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75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99.84</v>
      </c>
      <c r="G7" s="56">
        <f>_xlfn.IFNA(VLOOKUP(D7,'인원 입력 기능(직탐)'!$P$5:$S$59,4,FALSE),0)</f>
        <v>3</v>
      </c>
      <c r="H7" s="57">
        <f>G7/$J$3</f>
        <v>3.134796238244514E-3</v>
      </c>
      <c r="I7" s="58">
        <f>G7</f>
        <v>3</v>
      </c>
      <c r="J7" s="59">
        <f>I7/$J$3</f>
        <v>3.134796238244514E-3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기능'!C184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기능'!C185</f>
        <v>64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73</v>
      </c>
      <c r="E9" s="54">
        <f t="shared" si="0"/>
        <v>1</v>
      </c>
      <c r="F9" s="55">
        <f>IF(I8=0,ROUND(100*(1-(I7+I9)/2/$J$3),2),ROUND(100*(1-(I8+I9)/2/$J$3),2))</f>
        <v>99.58</v>
      </c>
      <c r="G9" s="56">
        <f>_xlfn.IFNA(VLOOKUP(D9,'인원 입력 기능(직탐)'!$P$5:$S$59,4,FALSE),0)</f>
        <v>2</v>
      </c>
      <c r="H9" s="57">
        <f t="shared" ref="H9:H55" si="1">G9/$J$3</f>
        <v>2.0898641588296763E-3</v>
      </c>
      <c r="I9" s="67">
        <f>SUM($G$7:G9)</f>
        <v>5</v>
      </c>
      <c r="J9" s="59">
        <f>I9/$J$3</f>
        <v>5.2246603970741903E-3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기능'!C186</f>
        <v>58</v>
      </c>
    </row>
    <row r="10" spans="1:17" s="22" customFormat="1" ht="25" customHeight="1" x14ac:dyDescent="0.45">
      <c r="A10" s="20"/>
      <c r="B10" s="35"/>
      <c r="C10" s="60">
        <v>47</v>
      </c>
      <c r="D10" s="172">
        <f t="shared" ref="D10:D55" si="3">ROUND(10*(C10-$H$3)/$H$4+50,0)</f>
        <v>72</v>
      </c>
      <c r="E10" s="172">
        <f t="shared" si="0"/>
        <v>1</v>
      </c>
      <c r="F10" s="176">
        <f t="shared" ref="F10:F55" si="4">IF(I9=0,ROUND(100*(1-(I8+I10)/2/$J$3),2),ROUND(100*(1-(I9+I10)/2/$J$3),2))</f>
        <v>98.85</v>
      </c>
      <c r="G10" s="178">
        <f>IF(D10=D9,"",_xlfn.IFNA(VLOOKUP(D10,'인원 입력 기능(직탐)'!$P$5:$S$59,4,FALSE),0))</f>
        <v>12</v>
      </c>
      <c r="H10" s="180">
        <f t="shared" si="1"/>
        <v>1.2539184952978056E-2</v>
      </c>
      <c r="I10" s="189">
        <f>SUM($G$7:G10)</f>
        <v>17</v>
      </c>
      <c r="J10" s="170">
        <f t="shared" ref="J10:J55" si="5">I10/$J$3</f>
        <v>1.7763845350052248E-2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기능'!C187</f>
        <v>52</v>
      </c>
    </row>
    <row r="11" spans="1:17" s="22" customFormat="1" ht="25" customHeight="1" x14ac:dyDescent="0.45">
      <c r="A11" s="20"/>
      <c r="B11" s="35"/>
      <c r="C11" s="53">
        <v>46</v>
      </c>
      <c r="D11" s="173"/>
      <c r="E11" s="173"/>
      <c r="F11" s="177"/>
      <c r="G11" s="179"/>
      <c r="H11" s="181"/>
      <c r="I11" s="190"/>
      <c r="J11" s="171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기능'!C188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71</v>
      </c>
      <c r="E12" s="54">
        <f t="shared" si="0"/>
        <v>1</v>
      </c>
      <c r="F12" s="55">
        <f t="shared" si="4"/>
        <v>97.54</v>
      </c>
      <c r="G12" s="56">
        <f>IF(D12=D11,"",_xlfn.IFNA(VLOOKUP(D12,'인원 입력 기능(직탐)'!$P$5:$S$59,4,FALSE),0))</f>
        <v>13</v>
      </c>
      <c r="H12" s="57">
        <f t="shared" si="1"/>
        <v>1.3584117032392894E-2</v>
      </c>
      <c r="I12" s="67">
        <f>SUM($G$7:G12)</f>
        <v>30</v>
      </c>
      <c r="J12" s="59">
        <f t="shared" si="5"/>
        <v>3.1347962382445138E-2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기능'!C189</f>
        <v>40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70</v>
      </c>
      <c r="E13" s="54">
        <f t="shared" si="0"/>
        <v>1</v>
      </c>
      <c r="F13" s="55">
        <f t="shared" si="4"/>
        <v>96.29</v>
      </c>
      <c r="G13" s="56">
        <f>IF(D13=D12,"",_xlfn.IFNA(VLOOKUP(D13,'인원 입력 기능(직탐)'!$P$5:$S$59,4,FALSE),0))</f>
        <v>11</v>
      </c>
      <c r="H13" s="57">
        <f t="shared" si="1"/>
        <v>1.1494252873563218E-2</v>
      </c>
      <c r="I13" s="67">
        <f>SUM($G$7:G13)</f>
        <v>41</v>
      </c>
      <c r="J13" s="59">
        <f t="shared" si="5"/>
        <v>4.2842215256008356E-2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기능'!C190</f>
        <v>39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69</v>
      </c>
      <c r="E14" s="54">
        <f t="shared" si="0"/>
        <v>2</v>
      </c>
      <c r="F14" s="55">
        <f t="shared" si="4"/>
        <v>95.72</v>
      </c>
      <c r="G14" s="56">
        <f>IF(D14=D13,"",_xlfn.IFNA(VLOOKUP(D14,'인원 입력 기능(직탐)'!$P$5:$S$59,4,FALSE),0))</f>
        <v>0</v>
      </c>
      <c r="H14" s="57">
        <f t="shared" si="1"/>
        <v>0</v>
      </c>
      <c r="I14" s="67">
        <f>SUM($G$7:G14)</f>
        <v>41</v>
      </c>
      <c r="J14" s="59">
        <f t="shared" si="5"/>
        <v>4.2842215256008356E-2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기능'!C191</f>
        <v>37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68</v>
      </c>
      <c r="E15" s="54">
        <f t="shared" si="0"/>
        <v>2</v>
      </c>
      <c r="F15" s="55">
        <f t="shared" si="4"/>
        <v>94.93</v>
      </c>
      <c r="G15" s="56">
        <f>IF(D15=D14,"",_xlfn.IFNA(VLOOKUP(D15,'인원 입력 기능(직탐)'!$P$5:$S$59,4,FALSE),0))</f>
        <v>15</v>
      </c>
      <c r="H15" s="57">
        <f t="shared" si="1"/>
        <v>1.5673981191222569E-2</v>
      </c>
      <c r="I15" s="67">
        <f>SUM($G$7:G15)</f>
        <v>56</v>
      </c>
      <c r="J15" s="59">
        <f t="shared" si="5"/>
        <v>5.8516196447230932E-2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67</v>
      </c>
      <c r="E16" s="54">
        <f t="shared" si="0"/>
        <v>2</v>
      </c>
      <c r="F16" s="55">
        <f t="shared" si="4"/>
        <v>93.52</v>
      </c>
      <c r="G16" s="56">
        <f>IF(D16=D15,"",_xlfn.IFNA(VLOOKUP(D16,'인원 입력 기능(직탐)'!$P$5:$S$59,4,FALSE),0))</f>
        <v>12</v>
      </c>
      <c r="H16" s="57">
        <f t="shared" si="1"/>
        <v>1.2539184952978056E-2</v>
      </c>
      <c r="I16" s="67">
        <f>SUM($G$7:G16)</f>
        <v>68</v>
      </c>
      <c r="J16" s="59">
        <f t="shared" si="5"/>
        <v>7.1055381400208992E-2</v>
      </c>
      <c r="K16" s="36"/>
      <c r="L16" s="20" t="str">
        <f t="shared" si="2"/>
        <v/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66</v>
      </c>
      <c r="E17" s="54">
        <f t="shared" si="0"/>
        <v>2</v>
      </c>
      <c r="F17" s="55">
        <f t="shared" si="4"/>
        <v>92.22</v>
      </c>
      <c r="G17" s="56">
        <f>IF(D17=D16,"",_xlfn.IFNA(VLOOKUP(D17,'인원 입력 기능(직탐)'!$P$5:$S$59,4,FALSE),0))</f>
        <v>13</v>
      </c>
      <c r="H17" s="57">
        <f t="shared" si="1"/>
        <v>1.3584117032392894E-2</v>
      </c>
      <c r="I17" s="67">
        <f>SUM($G$7:G17)</f>
        <v>81</v>
      </c>
      <c r="J17" s="59">
        <f t="shared" si="5"/>
        <v>8.4639498432601878E-2</v>
      </c>
      <c r="K17" s="36"/>
      <c r="L17" s="20" t="str">
        <f t="shared" si="2"/>
        <v/>
      </c>
      <c r="N17" s="24"/>
      <c r="Q17" s="24">
        <f>Q7*H3*H4*J3*IFERROR(IF(J57=1, 1, 0), 0)</f>
        <v>16377969.762000002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65</v>
      </c>
      <c r="E18" s="54">
        <f t="shared" si="0"/>
        <v>2</v>
      </c>
      <c r="F18" s="55">
        <f t="shared" si="4"/>
        <v>90.8</v>
      </c>
      <c r="G18" s="56">
        <f>IF(D18=D17,"",_xlfn.IFNA(VLOOKUP(D18,'인원 입력 기능(직탐)'!$P$5:$S$59,4,FALSE),0))</f>
        <v>14</v>
      </c>
      <c r="H18" s="57">
        <f t="shared" si="1"/>
        <v>1.4629049111807733E-2</v>
      </c>
      <c r="I18" s="67">
        <f>SUM($G$7:G18)</f>
        <v>95</v>
      </c>
      <c r="J18" s="59">
        <f t="shared" si="5"/>
        <v>9.9268547544409613E-2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172">
        <f t="shared" si="3"/>
        <v>64</v>
      </c>
      <c r="E19" s="172">
        <f t="shared" si="0"/>
        <v>2</v>
      </c>
      <c r="F19" s="176">
        <f t="shared" si="4"/>
        <v>88.51</v>
      </c>
      <c r="G19" s="178">
        <f>IF(D19=D18,"",_xlfn.IFNA(VLOOKUP(D19,'인원 입력 기능(직탐)'!$P$5:$S$59,4,FALSE),0))</f>
        <v>30</v>
      </c>
      <c r="H19" s="180">
        <f t="shared" si="1"/>
        <v>3.1347962382445138E-2</v>
      </c>
      <c r="I19" s="189">
        <f>SUM($G$7:G19)</f>
        <v>125</v>
      </c>
      <c r="J19" s="170">
        <f t="shared" si="5"/>
        <v>0.13061650992685475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173"/>
      <c r="E20" s="173"/>
      <c r="F20" s="177"/>
      <c r="G20" s="179"/>
      <c r="H20" s="181"/>
      <c r="I20" s="190"/>
      <c r="J20" s="171"/>
      <c r="K20" s="36"/>
      <c r="L20" s="20" t="str">
        <f t="shared" si="2"/>
        <v>경고</v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63</v>
      </c>
      <c r="E21" s="68">
        <f t="shared" si="0"/>
        <v>3</v>
      </c>
      <c r="F21" s="55">
        <f t="shared" si="4"/>
        <v>86.15</v>
      </c>
      <c r="G21" s="56">
        <f>IF(D21=D20,"",_xlfn.IFNA(VLOOKUP(D21,'인원 입력 기능(직탐)'!$P$5:$S$59,4,FALSE),0))</f>
        <v>15</v>
      </c>
      <c r="H21" s="57">
        <f t="shared" si="1"/>
        <v>1.5673981191222569E-2</v>
      </c>
      <c r="I21" s="67">
        <f>SUM($G$7:G21)</f>
        <v>140</v>
      </c>
      <c r="J21" s="59">
        <f t="shared" si="5"/>
        <v>0.14629049111807732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62</v>
      </c>
      <c r="E22" s="68">
        <f t="shared" si="0"/>
        <v>3</v>
      </c>
      <c r="F22" s="55">
        <f t="shared" si="4"/>
        <v>84.9</v>
      </c>
      <c r="G22" s="56">
        <f>IF(D22=D21,"",_xlfn.IFNA(VLOOKUP(D22,'인원 입력 기능(직탐)'!$P$5:$S$59,4,FALSE),0))</f>
        <v>9</v>
      </c>
      <c r="H22" s="57">
        <f t="shared" si="1"/>
        <v>9.4043887147335428E-3</v>
      </c>
      <c r="I22" s="67">
        <f>SUM($G$7:G22)</f>
        <v>149</v>
      </c>
      <c r="J22" s="59">
        <f t="shared" si="5"/>
        <v>0.15569487983281086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61</v>
      </c>
      <c r="E23" s="68">
        <f t="shared" si="0"/>
        <v>3</v>
      </c>
      <c r="F23" s="55">
        <f t="shared" si="4"/>
        <v>83.33</v>
      </c>
      <c r="G23" s="56">
        <f>IF(D23=D22,"",_xlfn.IFNA(VLOOKUP(D23,'인원 입력 기능(직탐)'!$P$5:$S$59,4,FALSE),0))</f>
        <v>21</v>
      </c>
      <c r="H23" s="57">
        <f t="shared" si="1"/>
        <v>2.1943573667711599E-2</v>
      </c>
      <c r="I23" s="67">
        <f>SUM($G$7:G23)</f>
        <v>170</v>
      </c>
      <c r="J23" s="59">
        <f t="shared" si="5"/>
        <v>0.17763845350052246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60</v>
      </c>
      <c r="E24" s="68">
        <f t="shared" si="0"/>
        <v>3</v>
      </c>
      <c r="F24" s="55">
        <f t="shared" si="4"/>
        <v>81.349999999999994</v>
      </c>
      <c r="G24" s="56">
        <f>IF(D24=D23,"",_xlfn.IFNA(VLOOKUP(D24,'인원 입력 기능(직탐)'!$P$5:$S$59,4,FALSE),0))</f>
        <v>17</v>
      </c>
      <c r="H24" s="57">
        <f t="shared" si="1"/>
        <v>1.7763845350052248E-2</v>
      </c>
      <c r="I24" s="67">
        <f>SUM($G$7:G24)</f>
        <v>187</v>
      </c>
      <c r="J24" s="59">
        <f t="shared" si="5"/>
        <v>0.19540229885057472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59</v>
      </c>
      <c r="E25" s="68">
        <f t="shared" si="0"/>
        <v>3</v>
      </c>
      <c r="F25" s="55">
        <f t="shared" si="4"/>
        <v>79</v>
      </c>
      <c r="G25" s="56">
        <f>IF(D25=D24,"",_xlfn.IFNA(VLOOKUP(D25,'인원 입력 기능(직탐)'!$P$5:$S$59,4,FALSE),0))</f>
        <v>28</v>
      </c>
      <c r="H25" s="57">
        <f t="shared" si="1"/>
        <v>2.9258098223615466E-2</v>
      </c>
      <c r="I25" s="67">
        <f>SUM($G$7:G25)</f>
        <v>215</v>
      </c>
      <c r="J25" s="59">
        <f t="shared" si="5"/>
        <v>0.22466039707419017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58</v>
      </c>
      <c r="E26" s="68">
        <f t="shared" si="0"/>
        <v>3</v>
      </c>
      <c r="F26" s="55">
        <f t="shared" si="4"/>
        <v>76.38</v>
      </c>
      <c r="G26" s="56">
        <f>IF(D26=D25,"",_xlfn.IFNA(VLOOKUP(D26,'인원 입력 기능(직탐)'!$P$5:$S$59,4,FALSE),0))</f>
        <v>22</v>
      </c>
      <c r="H26" s="57">
        <f t="shared" si="1"/>
        <v>2.2988505747126436E-2</v>
      </c>
      <c r="I26" s="67">
        <f>SUM($G$7:G26)</f>
        <v>237</v>
      </c>
      <c r="J26" s="59">
        <f t="shared" si="5"/>
        <v>0.2476489028213166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57</v>
      </c>
      <c r="E27" s="68">
        <f t="shared" si="0"/>
        <v>4</v>
      </c>
      <c r="F27" s="55">
        <f t="shared" si="4"/>
        <v>74.290000000000006</v>
      </c>
      <c r="G27" s="56">
        <f>IF(D27=D26,"",_xlfn.IFNA(VLOOKUP(D27,'인원 입력 기능(직탐)'!$P$5:$S$59,4,FALSE),0))</f>
        <v>18</v>
      </c>
      <c r="H27" s="57">
        <f t="shared" si="1"/>
        <v>1.8808777429467086E-2</v>
      </c>
      <c r="I27" s="67">
        <f>SUM($G$7:G27)</f>
        <v>255</v>
      </c>
      <c r="J27" s="59">
        <f t="shared" si="5"/>
        <v>0.2664576802507837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174">
        <f t="shared" si="3"/>
        <v>56</v>
      </c>
      <c r="E28" s="174">
        <f t="shared" si="0"/>
        <v>4</v>
      </c>
      <c r="F28" s="176">
        <f t="shared" si="4"/>
        <v>70.849999999999994</v>
      </c>
      <c r="G28" s="178">
        <f>IF(D28=D27,"",_xlfn.IFNA(VLOOKUP(D28,'인원 입력 기능(직탐)'!$P$5:$S$59,4,FALSE),0))</f>
        <v>48</v>
      </c>
      <c r="H28" s="180">
        <f t="shared" si="1"/>
        <v>5.0156739811912224E-2</v>
      </c>
      <c r="I28" s="189">
        <f>SUM($G$7:G28)</f>
        <v>303</v>
      </c>
      <c r="J28" s="170">
        <f t="shared" si="5"/>
        <v>0.31661442006269591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175"/>
      <c r="E29" s="175"/>
      <c r="F29" s="177"/>
      <c r="G29" s="179"/>
      <c r="H29" s="181"/>
      <c r="I29" s="190"/>
      <c r="J29" s="171"/>
      <c r="K29" s="36"/>
      <c r="L29" s="20" t="str">
        <f t="shared" si="2"/>
        <v>경고</v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55</v>
      </c>
      <c r="E30" s="68">
        <f t="shared" si="0"/>
        <v>4</v>
      </c>
      <c r="F30" s="55">
        <f t="shared" si="4"/>
        <v>67.45</v>
      </c>
      <c r="G30" s="56">
        <f>IF(D30=D29,"",_xlfn.IFNA(VLOOKUP(D30,'인원 입력 기능(직탐)'!$P$5:$S$59,4,FALSE),0))</f>
        <v>17</v>
      </c>
      <c r="H30" s="57">
        <f t="shared" si="1"/>
        <v>1.7763845350052248E-2</v>
      </c>
      <c r="I30" s="67">
        <f>SUM($G$7:G30)</f>
        <v>320</v>
      </c>
      <c r="J30" s="59">
        <f t="shared" si="5"/>
        <v>0.33437826541274818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54</v>
      </c>
      <c r="E31" s="68">
        <f t="shared" si="0"/>
        <v>4</v>
      </c>
      <c r="F31" s="55">
        <f t="shared" si="4"/>
        <v>65.05</v>
      </c>
      <c r="G31" s="56">
        <f>IF(D31=D30,"",_xlfn.IFNA(VLOOKUP(D31,'인원 입력 기능(직탐)'!$P$5:$S$59,4,FALSE),0))</f>
        <v>29</v>
      </c>
      <c r="H31" s="57">
        <f t="shared" si="1"/>
        <v>3.0303030303030304E-2</v>
      </c>
      <c r="I31" s="67">
        <f>SUM($G$7:G31)</f>
        <v>349</v>
      </c>
      <c r="J31" s="59">
        <f t="shared" si="5"/>
        <v>0.36468129571577845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53</v>
      </c>
      <c r="E32" s="68">
        <f t="shared" si="0"/>
        <v>4</v>
      </c>
      <c r="F32" s="55">
        <f t="shared" si="4"/>
        <v>62.02</v>
      </c>
      <c r="G32" s="56">
        <f>IF(D32=D31,"",_xlfn.IFNA(VLOOKUP(D32,'인원 입력 기능(직탐)'!$P$5:$S$59,4,FALSE),0))</f>
        <v>29</v>
      </c>
      <c r="H32" s="57">
        <f t="shared" si="1"/>
        <v>3.0303030303030304E-2</v>
      </c>
      <c r="I32" s="67">
        <f>SUM($G$7:G32)</f>
        <v>378</v>
      </c>
      <c r="J32" s="59">
        <f t="shared" si="5"/>
        <v>0.39498432601880878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52</v>
      </c>
      <c r="E33" s="68">
        <f t="shared" si="0"/>
        <v>4</v>
      </c>
      <c r="F33" s="55">
        <f t="shared" si="4"/>
        <v>59.3</v>
      </c>
      <c r="G33" s="56">
        <f>IF(D33=D32,"",_xlfn.IFNA(VLOOKUP(D33,'인원 입력 기능(직탐)'!$P$5:$S$59,4,FALSE),0))</f>
        <v>23</v>
      </c>
      <c r="H33" s="57">
        <f t="shared" si="1"/>
        <v>2.4033437826541274E-2</v>
      </c>
      <c r="I33" s="67">
        <f>SUM($G$7:G33)</f>
        <v>401</v>
      </c>
      <c r="J33" s="59">
        <f t="shared" si="5"/>
        <v>0.41901776384535006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51</v>
      </c>
      <c r="E34" s="68">
        <f t="shared" si="0"/>
        <v>5</v>
      </c>
      <c r="F34" s="55">
        <f t="shared" si="4"/>
        <v>57.21</v>
      </c>
      <c r="G34" s="56">
        <f>IF(D34=D33,"",_xlfn.IFNA(VLOOKUP(D34,'인원 입력 기능(직탐)'!$P$5:$S$59,4,FALSE),0))</f>
        <v>17</v>
      </c>
      <c r="H34" s="57">
        <f t="shared" si="1"/>
        <v>1.7763845350052248E-2</v>
      </c>
      <c r="I34" s="67">
        <f>SUM($G$7:G34)</f>
        <v>418</v>
      </c>
      <c r="J34" s="59">
        <f t="shared" si="5"/>
        <v>0.43678160919540232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50</v>
      </c>
      <c r="E35" s="68">
        <f t="shared" si="0"/>
        <v>5</v>
      </c>
      <c r="F35" s="55">
        <f t="shared" si="4"/>
        <v>55.28</v>
      </c>
      <c r="G35" s="56">
        <f>IF(D35=D34,"",_xlfn.IFNA(VLOOKUP(D35,'인원 입력 기능(직탐)'!$P$5:$S$59,4,FALSE),0))</f>
        <v>20</v>
      </c>
      <c r="H35" s="57">
        <f t="shared" si="1"/>
        <v>2.0898641588296761E-2</v>
      </c>
      <c r="I35" s="67">
        <f>SUM($G$7:G35)</f>
        <v>438</v>
      </c>
      <c r="J35" s="59">
        <f t="shared" si="5"/>
        <v>0.45768025078369906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49</v>
      </c>
      <c r="E36" s="68">
        <f t="shared" si="0"/>
        <v>5</v>
      </c>
      <c r="F36" s="55">
        <f t="shared" si="4"/>
        <v>53.03</v>
      </c>
      <c r="G36" s="56">
        <f>IF(D36=D35,"",_xlfn.IFNA(VLOOKUP(D36,'인원 입력 기능(직탐)'!$P$5:$S$59,4,FALSE),0))</f>
        <v>23</v>
      </c>
      <c r="H36" s="57">
        <f t="shared" si="1"/>
        <v>2.4033437826541274E-2</v>
      </c>
      <c r="I36" s="67">
        <f>SUM($G$7:G36)</f>
        <v>461</v>
      </c>
      <c r="J36" s="59">
        <f t="shared" si="5"/>
        <v>0.48171368861024033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174">
        <f t="shared" si="3"/>
        <v>48</v>
      </c>
      <c r="E37" s="174">
        <f t="shared" si="0"/>
        <v>5</v>
      </c>
      <c r="F37" s="176">
        <f t="shared" si="4"/>
        <v>48.96</v>
      </c>
      <c r="G37" s="178">
        <f>IF(D37=D36,"",_xlfn.IFNA(VLOOKUP(D37,'인원 입력 기능(직탐)'!$P$5:$S$59,4,FALSE),0))</f>
        <v>55</v>
      </c>
      <c r="H37" s="180">
        <f t="shared" si="1"/>
        <v>5.7471264367816091E-2</v>
      </c>
      <c r="I37" s="189">
        <f>SUM($G$7:G37)</f>
        <v>516</v>
      </c>
      <c r="J37" s="170">
        <f t="shared" si="5"/>
        <v>0.53918495297805646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175"/>
      <c r="E38" s="175"/>
      <c r="F38" s="177"/>
      <c r="G38" s="179"/>
      <c r="H38" s="181"/>
      <c r="I38" s="190"/>
      <c r="J38" s="171"/>
      <c r="K38" s="36"/>
      <c r="L38" s="20" t="str">
        <f t="shared" si="2"/>
        <v>경고</v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47</v>
      </c>
      <c r="E39" s="68">
        <f t="shared" si="0"/>
        <v>5</v>
      </c>
      <c r="F39" s="55">
        <f t="shared" si="4"/>
        <v>44.88</v>
      </c>
      <c r="G39" s="56">
        <f>IF(D39=D38,"",_xlfn.IFNA(VLOOKUP(D39,'인원 입력 기능(직탐)'!$P$5:$S$59,4,FALSE),0))</f>
        <v>23</v>
      </c>
      <c r="H39" s="57">
        <f t="shared" si="1"/>
        <v>2.4033437826541274E-2</v>
      </c>
      <c r="I39" s="67">
        <f>SUM($G$7:G39)</f>
        <v>539</v>
      </c>
      <c r="J39" s="59">
        <f t="shared" si="5"/>
        <v>0.56321839080459768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46</v>
      </c>
      <c r="E40" s="68">
        <f t="shared" si="0"/>
        <v>5</v>
      </c>
      <c r="F40" s="55">
        <f t="shared" si="4"/>
        <v>42.22</v>
      </c>
      <c r="G40" s="56">
        <f>IF(D40=D39,"",_xlfn.IFNA(VLOOKUP(D40,'인원 입력 기능(직탐)'!$P$5:$S$59,4,FALSE),0))</f>
        <v>28</v>
      </c>
      <c r="H40" s="57">
        <f t="shared" si="1"/>
        <v>2.9258098223615466E-2</v>
      </c>
      <c r="I40" s="67">
        <f>SUM($G$7:G40)</f>
        <v>567</v>
      </c>
      <c r="J40" s="59">
        <f t="shared" si="5"/>
        <v>0.59247648902821315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45</v>
      </c>
      <c r="E41" s="68">
        <f t="shared" si="0"/>
        <v>5</v>
      </c>
      <c r="F41" s="55">
        <f t="shared" si="4"/>
        <v>38.92</v>
      </c>
      <c r="G41" s="56">
        <f>IF(D41=D40,"",_xlfn.IFNA(VLOOKUP(D41,'인원 입력 기능(직탐)'!$P$5:$S$59,4,FALSE),0))</f>
        <v>35</v>
      </c>
      <c r="H41" s="57">
        <f t="shared" si="1"/>
        <v>3.657262277951933E-2</v>
      </c>
      <c r="I41" s="67">
        <f>SUM($G$7:G41)</f>
        <v>602</v>
      </c>
      <c r="J41" s="59">
        <f t="shared" si="5"/>
        <v>0.62904911180773249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44</v>
      </c>
      <c r="E42" s="68">
        <f t="shared" si="0"/>
        <v>6</v>
      </c>
      <c r="F42" s="55">
        <f t="shared" si="4"/>
        <v>35.58</v>
      </c>
      <c r="G42" s="56">
        <f>IF(D42=D41,"",_xlfn.IFNA(VLOOKUP(D42,'인원 입력 기능(직탐)'!$P$5:$S$59,4,FALSE),0))</f>
        <v>29</v>
      </c>
      <c r="H42" s="57">
        <f t="shared" si="1"/>
        <v>3.0303030303030304E-2</v>
      </c>
      <c r="I42" s="67">
        <f>SUM($G$7:G42)</f>
        <v>631</v>
      </c>
      <c r="J42" s="59">
        <f t="shared" si="5"/>
        <v>0.65935214211076276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43</v>
      </c>
      <c r="E43" s="68">
        <f t="shared" si="0"/>
        <v>6</v>
      </c>
      <c r="F43" s="55">
        <f t="shared" si="4"/>
        <v>32.03</v>
      </c>
      <c r="G43" s="56">
        <f>IF(D43=D42,"",_xlfn.IFNA(VLOOKUP(D43,'인원 입력 기능(직탐)'!$P$5:$S$59,4,FALSE),0))</f>
        <v>39</v>
      </c>
      <c r="H43" s="57">
        <f t="shared" si="1"/>
        <v>4.0752351097178681E-2</v>
      </c>
      <c r="I43" s="67">
        <f>SUM($G$7:G43)</f>
        <v>670</v>
      </c>
      <c r="J43" s="59">
        <f t="shared" si="5"/>
        <v>0.70010449320794144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42</v>
      </c>
      <c r="E44" s="68">
        <f t="shared" si="0"/>
        <v>6</v>
      </c>
      <c r="F44" s="55">
        <f t="shared" si="4"/>
        <v>28.89</v>
      </c>
      <c r="G44" s="56">
        <f>IF(D44=D43,"",_xlfn.IFNA(VLOOKUP(D44,'인원 입력 기능(직탐)'!$P$5:$S$59,4,FALSE),0))</f>
        <v>21</v>
      </c>
      <c r="H44" s="57">
        <f t="shared" si="1"/>
        <v>2.1943573667711599E-2</v>
      </c>
      <c r="I44" s="67">
        <f>SUM($G$7:G44)</f>
        <v>691</v>
      </c>
      <c r="J44" s="59">
        <f t="shared" si="5"/>
        <v>0.72204806687565304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41</v>
      </c>
      <c r="E45" s="68">
        <f t="shared" si="0"/>
        <v>6</v>
      </c>
      <c r="F45" s="55">
        <f t="shared" si="4"/>
        <v>26.38</v>
      </c>
      <c r="G45" s="56">
        <f>IF(D45=D44,"",_xlfn.IFNA(VLOOKUP(D45,'인원 입력 기능(직탐)'!$P$5:$S$59,4,FALSE),0))</f>
        <v>27</v>
      </c>
      <c r="H45" s="57">
        <f t="shared" si="1"/>
        <v>2.8213166144200628E-2</v>
      </c>
      <c r="I45" s="67">
        <f>SUM($G$7:G45)</f>
        <v>718</v>
      </c>
      <c r="J45" s="59">
        <f t="shared" si="5"/>
        <v>0.7502612330198537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40</v>
      </c>
      <c r="E46" s="68">
        <f t="shared" si="0"/>
        <v>6</v>
      </c>
      <c r="F46" s="55">
        <f t="shared" si="4"/>
        <v>20.85</v>
      </c>
      <c r="G46" s="56">
        <f>IF(D46=D45,"",_xlfn.IFNA(VLOOKUP(D46,'인원 입력 기능(직탐)'!$P$5:$S$59,4,FALSE),0))</f>
        <v>79</v>
      </c>
      <c r="H46" s="57">
        <f t="shared" si="1"/>
        <v>8.254963427377221E-2</v>
      </c>
      <c r="I46" s="67">
        <f>SUM($G$7:G46)</f>
        <v>797</v>
      </c>
      <c r="J46" s="59">
        <f t="shared" si="5"/>
        <v>0.83281086729362597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174">
        <f t="shared" si="3"/>
        <v>39</v>
      </c>
      <c r="E47" s="174">
        <f t="shared" si="0"/>
        <v>7</v>
      </c>
      <c r="F47" s="176">
        <f t="shared" si="4"/>
        <v>13.01</v>
      </c>
      <c r="G47" s="178">
        <f>IF(D47=D46,"",_xlfn.IFNA(VLOOKUP(D47,'인원 입력 기능(직탐)'!$P$5:$S$59,4,FALSE),0))</f>
        <v>71</v>
      </c>
      <c r="H47" s="180">
        <f t="shared" si="1"/>
        <v>7.4190177638453494E-2</v>
      </c>
      <c r="I47" s="189">
        <f>SUM($G$7:G47)</f>
        <v>868</v>
      </c>
      <c r="J47" s="170">
        <f t="shared" si="5"/>
        <v>0.90700104493207945</v>
      </c>
      <c r="K47" s="36"/>
      <c r="L47" s="20" t="str">
        <f t="shared" si="2"/>
        <v>경고</v>
      </c>
      <c r="N47" s="24"/>
    </row>
    <row r="48" spans="1:14" s="22" customFormat="1" ht="25" customHeight="1" x14ac:dyDescent="0.45">
      <c r="A48" s="20"/>
      <c r="B48" s="35"/>
      <c r="C48" s="69">
        <v>9</v>
      </c>
      <c r="D48" s="175"/>
      <c r="E48" s="175"/>
      <c r="F48" s="177"/>
      <c r="G48" s="179"/>
      <c r="H48" s="181"/>
      <c r="I48" s="190"/>
      <c r="J48" s="171"/>
      <c r="K48" s="36"/>
      <c r="L48" s="20" t="str">
        <f t="shared" si="2"/>
        <v>경고</v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38</v>
      </c>
      <c r="E49" s="68">
        <f t="shared" si="0"/>
        <v>8</v>
      </c>
      <c r="F49" s="55">
        <f t="shared" si="4"/>
        <v>7.37</v>
      </c>
      <c r="G49" s="56">
        <f>IF(D49=D48,"",_xlfn.IFNA(VLOOKUP(D49,'인원 입력 기능(직탐)'!$P$5:$S$59,4,FALSE),0))</f>
        <v>37</v>
      </c>
      <c r="H49" s="57">
        <f t="shared" si="1"/>
        <v>3.8662486938349006E-2</v>
      </c>
      <c r="I49" s="67">
        <f>SUM($G$7:G49)</f>
        <v>905</v>
      </c>
      <c r="J49" s="59">
        <f t="shared" si="5"/>
        <v>0.9456635318704284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37</v>
      </c>
      <c r="E50" s="68">
        <f t="shared" si="0"/>
        <v>8</v>
      </c>
      <c r="F50" s="55">
        <f t="shared" si="4"/>
        <v>4.18</v>
      </c>
      <c r="G50" s="56">
        <f>IF(D50=D49,"",_xlfn.IFNA(VLOOKUP(D50,'인원 입력 기능(직탐)'!$P$5:$S$59,4,FALSE),0))</f>
        <v>24</v>
      </c>
      <c r="H50" s="57">
        <f t="shared" si="1"/>
        <v>2.5078369905956112E-2</v>
      </c>
      <c r="I50" s="67">
        <f>SUM($G$7:G50)</f>
        <v>929</v>
      </c>
      <c r="J50" s="59">
        <f t="shared" si="5"/>
        <v>0.97074190177638453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0"/>
        <v>9</v>
      </c>
      <c r="F51" s="55">
        <f t="shared" si="4"/>
        <v>2.61</v>
      </c>
      <c r="G51" s="56">
        <f>IF(D51=D50,"",_xlfn.IFNA(VLOOKUP(D51,'인원 입력 기능(직탐)'!$P$5:$S$59,4,FALSE),0))</f>
        <v>6</v>
      </c>
      <c r="H51" s="57">
        <f t="shared" si="1"/>
        <v>6.269592476489028E-3</v>
      </c>
      <c r="I51" s="67">
        <f>SUM($G$7:G51)</f>
        <v>935</v>
      </c>
      <c r="J51" s="59">
        <f t="shared" si="5"/>
        <v>0.97701149425287359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35</v>
      </c>
      <c r="E52" s="68">
        <f t="shared" si="0"/>
        <v>9</v>
      </c>
      <c r="F52" s="55">
        <f t="shared" si="4"/>
        <v>1.83</v>
      </c>
      <c r="G52" s="56">
        <f>IF(D52=D51,"",_xlfn.IFNA(VLOOKUP(D52,'인원 입력 기능(직탐)'!$P$5:$S$59,4,FALSE),0))</f>
        <v>9</v>
      </c>
      <c r="H52" s="57">
        <f t="shared" si="1"/>
        <v>9.4043887147335428E-3</v>
      </c>
      <c r="I52" s="67">
        <f>SUM($G$7:G52)</f>
        <v>944</v>
      </c>
      <c r="J52" s="59">
        <f t="shared" si="5"/>
        <v>0.98641588296760707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0"/>
        <v>9</v>
      </c>
      <c r="F53" s="55">
        <f t="shared" si="4"/>
        <v>1.1000000000000001</v>
      </c>
      <c r="G53" s="56">
        <f>IF(D53=D52,"",_xlfn.IFNA(VLOOKUP(D53,'인원 입력 기능(직탐)'!$P$5:$S$59,4,FALSE),0))</f>
        <v>5</v>
      </c>
      <c r="H53" s="57">
        <f t="shared" si="1"/>
        <v>5.2246603970741903E-3</v>
      </c>
      <c r="I53" s="67">
        <f>SUM($G$7:G53)</f>
        <v>949</v>
      </c>
      <c r="J53" s="59">
        <f t="shared" si="5"/>
        <v>0.99164054336468133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0"/>
        <v>9</v>
      </c>
      <c r="F54" s="55">
        <f t="shared" si="4"/>
        <v>0.68</v>
      </c>
      <c r="G54" s="56">
        <f>IF(D54=D53,"",_xlfn.IFNA(VLOOKUP(D54,'인원 입력 기능(직탐)'!$P$5:$S$59,4,FALSE),0))</f>
        <v>3</v>
      </c>
      <c r="H54" s="57">
        <f t="shared" si="1"/>
        <v>3.134796238244514E-3</v>
      </c>
      <c r="I54" s="67">
        <f>SUM($G$7:G54)</f>
        <v>952</v>
      </c>
      <c r="J54" s="59">
        <f t="shared" si="5"/>
        <v>0.99477533960292586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0"/>
        <v>9</v>
      </c>
      <c r="F55" s="55">
        <f t="shared" si="4"/>
        <v>0.26</v>
      </c>
      <c r="G55" s="56">
        <f>IF(D55=D54,"",_xlfn.IFNA(VLOOKUP(D55,'인원 입력 기능(직탐)'!$P$5:$S$59,4,FALSE),0))</f>
        <v>5</v>
      </c>
      <c r="H55" s="57">
        <f t="shared" si="1"/>
        <v>5.2246603970741903E-3</v>
      </c>
      <c r="I55" s="67">
        <f>SUM($G$7:G55)</f>
        <v>957</v>
      </c>
      <c r="J55" s="59">
        <f t="shared" si="5"/>
        <v>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31</v>
      </c>
      <c r="E57" s="109">
        <f t="shared" si="0"/>
        <v>9</v>
      </c>
      <c r="F57" s="74">
        <f>IF(I55=0,ROUND(100*(1-(I54+I57)/2/$J$3),2),ROUND(100*(1-(I55+I57)/2/$J$3),2))</f>
        <v>0</v>
      </c>
      <c r="G57" s="110">
        <f>_xlfn.IFNA(VLOOKUP(D57,'인원 입력 기능(직탐)'!$P$5:$S$59,4,FALSE),0)</f>
        <v>0</v>
      </c>
      <c r="H57" s="76">
        <f>G57/$J$3</f>
        <v>0</v>
      </c>
      <c r="I57" s="77">
        <f>SUM($G$7:G57)</f>
        <v>957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8">
    <mergeCell ref="D3:F3"/>
    <mergeCell ref="D4:F4"/>
    <mergeCell ref="G5:J5"/>
    <mergeCell ref="D10:D11"/>
    <mergeCell ref="E10:E11"/>
    <mergeCell ref="F10:F11"/>
    <mergeCell ref="G10:G11"/>
    <mergeCell ref="H10:H11"/>
    <mergeCell ref="I10:I11"/>
    <mergeCell ref="J10:J11"/>
    <mergeCell ref="I19:I20"/>
    <mergeCell ref="J19:J20"/>
    <mergeCell ref="D28:D29"/>
    <mergeCell ref="E28:E29"/>
    <mergeCell ref="F28:F29"/>
    <mergeCell ref="G28:G29"/>
    <mergeCell ref="H28:H29"/>
    <mergeCell ref="I28:I29"/>
    <mergeCell ref="J28:J29"/>
    <mergeCell ref="D19:D20"/>
    <mergeCell ref="E19:E20"/>
    <mergeCell ref="F19:F20"/>
    <mergeCell ref="G19:G20"/>
    <mergeCell ref="H19:H20"/>
    <mergeCell ref="I37:I38"/>
    <mergeCell ref="J37:J38"/>
    <mergeCell ref="D47:D48"/>
    <mergeCell ref="E47:E48"/>
    <mergeCell ref="F47:F48"/>
    <mergeCell ref="G47:G48"/>
    <mergeCell ref="H47:H48"/>
    <mergeCell ref="I47:I48"/>
    <mergeCell ref="J47:J48"/>
    <mergeCell ref="D37:D38"/>
    <mergeCell ref="E37:E38"/>
    <mergeCell ref="F37:F38"/>
    <mergeCell ref="G37:G38"/>
    <mergeCell ref="H37:H38"/>
  </mergeCells>
  <phoneticPr fontId="1" type="noConversion"/>
  <conditionalFormatting sqref="D7:G10 I7:J10 D12:G19 I12:J19 D21:G28 I21:J28 D30:G37 I30:J37 D39:G47 I39:J47 D49:G57 I49:J57">
    <cfRule type="expression" dxfId="11" priority="4">
      <formula>OR($D7=$Q$7:$Q$14)</formula>
    </cfRule>
  </conditionalFormatting>
  <conditionalFormatting sqref="C7:C57">
    <cfRule type="expression" dxfId="10" priority="3">
      <formula>OR(AND($D7=0,OR($D6=$Q$7:$Q$14)),AND($D8&gt;0,OR($D7=$Q$7:$Q$14)))</formula>
    </cfRule>
  </conditionalFormatting>
  <conditionalFormatting sqref="D7:D10 D12:D19 D21:D28 D30:D37 D39:D47 D49:D57">
    <cfRule type="expression" dxfId="9" priority="2">
      <formula>$D7=$D8</formula>
    </cfRule>
  </conditionalFormatting>
  <conditionalFormatting sqref="H7:H10 H12:H19 H21:H28 H30:H37 H39:H47 H49:H57">
    <cfRule type="expression" dxfId="8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3259F-F1DF-45C4-8AAF-68E84E1A3E35}">
  <sheetPr codeName="Sheet27"/>
  <dimension ref="A1:Q105"/>
  <sheetViews>
    <sheetView zoomScaleNormal="100" workbookViewId="0">
      <selection activeCell="B2" sqref="B2:K59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112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기능'!D25</f>
        <v>11.98</v>
      </c>
      <c r="I3" s="21" t="s">
        <v>123</v>
      </c>
      <c r="J3" s="81">
        <f>'통계 및 응시자 수 입력 기능'!C25</f>
        <v>64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138</v>
      </c>
      <c r="E4" s="186"/>
      <c r="F4" s="187"/>
      <c r="G4" s="83" t="s">
        <v>126</v>
      </c>
      <c r="H4" s="84" t="str">
        <f>'통계 및 응시자 수 입력 기능'!E25</f>
        <v xml:space="preserve"> 5.45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v>100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100</v>
      </c>
      <c r="G7" s="56">
        <f>_xlfn.IFNA(VLOOKUP(D7,'인원 입력 기능(직탐)'!$A$64:$D$116,4,FALSE),0)</f>
        <v>0</v>
      </c>
      <c r="H7" s="57">
        <f>G7/$J$3</f>
        <v>0</v>
      </c>
      <c r="I7" s="58">
        <f>G7</f>
        <v>0</v>
      </c>
      <c r="J7" s="59">
        <f>I7/$J$3</f>
        <v>0</v>
      </c>
      <c r="K7" s="36"/>
      <c r="L7" s="20" t="str">
        <f>IF(ABS((C7-$H$3)/$H$4*10+50-D7)&gt;0.49, "경고", "")</f>
        <v>경고</v>
      </c>
      <c r="N7" s="24"/>
      <c r="P7" s="24">
        <v>1</v>
      </c>
      <c r="Q7" s="24">
        <f>'표점등급&amp;절평인원 입력 기능'!C193</f>
        <v>70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기능'!C194</f>
        <v>63</v>
      </c>
    </row>
    <row r="9" spans="1:17" s="22" customFormat="1" ht="25" customHeight="1" x14ac:dyDescent="0.45">
      <c r="A9" s="20"/>
      <c r="B9" s="35"/>
      <c r="C9" s="53">
        <v>48</v>
      </c>
      <c r="D9" s="172">
        <v>100</v>
      </c>
      <c r="E9" s="172">
        <f t="shared" si="0"/>
        <v>1</v>
      </c>
      <c r="F9" s="176">
        <f>IF(I8=0,ROUND(100*(1-(I7+I9)/2/$J$3),2),ROUND(100*(1-(I8+I9)/2/$J$3),2))</f>
        <v>100</v>
      </c>
      <c r="G9" s="178">
        <f>_xlfn.IFNA(VLOOKUP(D9,'인원 입력 기능(직탐)'!$A$64:$D$116,4,FALSE),0)</f>
        <v>0</v>
      </c>
      <c r="H9" s="180">
        <f t="shared" ref="H9:H55" si="1">G9/$J$3</f>
        <v>0</v>
      </c>
      <c r="I9" s="189">
        <f>SUM($G$7:G9)</f>
        <v>0</v>
      </c>
      <c r="J9" s="170">
        <f>I9/$J$3</f>
        <v>0</v>
      </c>
      <c r="K9" s="36"/>
      <c r="L9" s="20" t="str">
        <f t="shared" ref="L9:L57" si="2">IF(ABS((C9-$H$3)/$H$4*10+50-D9)&gt;0.49, "경고", "")</f>
        <v>경고</v>
      </c>
      <c r="N9" s="24"/>
      <c r="P9" s="24">
        <v>3</v>
      </c>
      <c r="Q9" s="24">
        <f>'표점등급&amp;절평인원 입력 기능'!C195</f>
        <v>57</v>
      </c>
    </row>
    <row r="10" spans="1:17" s="22" customFormat="1" ht="25" customHeight="1" x14ac:dyDescent="0.45">
      <c r="A10" s="20"/>
      <c r="B10" s="35"/>
      <c r="C10" s="60">
        <v>47</v>
      </c>
      <c r="D10" s="194"/>
      <c r="E10" s="194"/>
      <c r="F10" s="199"/>
      <c r="G10" s="198"/>
      <c r="H10" s="197"/>
      <c r="I10" s="196"/>
      <c r="J10" s="195"/>
      <c r="K10" s="36"/>
      <c r="L10" s="20" t="str">
        <f t="shared" si="2"/>
        <v>경고</v>
      </c>
      <c r="N10" s="24"/>
      <c r="P10" s="24">
        <v>4</v>
      </c>
      <c r="Q10" s="24">
        <f>'표점등급&amp;절평인원 입력 기능'!C196</f>
        <v>52</v>
      </c>
    </row>
    <row r="11" spans="1:17" s="22" customFormat="1" ht="25" customHeight="1" x14ac:dyDescent="0.45">
      <c r="A11" s="20"/>
      <c r="B11" s="35"/>
      <c r="C11" s="53">
        <v>46</v>
      </c>
      <c r="D11" s="194"/>
      <c r="E11" s="194"/>
      <c r="F11" s="199"/>
      <c r="G11" s="198"/>
      <c r="H11" s="197"/>
      <c r="I11" s="196"/>
      <c r="J11" s="195"/>
      <c r="K11" s="36"/>
      <c r="L11" s="20" t="str">
        <f t="shared" si="2"/>
        <v>경고</v>
      </c>
      <c r="N11" s="24"/>
      <c r="P11" s="24">
        <v>5</v>
      </c>
      <c r="Q11" s="24">
        <f>'표점등급&amp;절평인원 입력 기능'!C197</f>
        <v>46</v>
      </c>
    </row>
    <row r="12" spans="1:17" s="22" customFormat="1" ht="25" customHeight="1" x14ac:dyDescent="0.45">
      <c r="A12" s="20"/>
      <c r="B12" s="35"/>
      <c r="C12" s="60">
        <v>45</v>
      </c>
      <c r="D12" s="194"/>
      <c r="E12" s="194"/>
      <c r="F12" s="199"/>
      <c r="G12" s="198"/>
      <c r="H12" s="197"/>
      <c r="I12" s="196"/>
      <c r="J12" s="195"/>
      <c r="K12" s="36"/>
      <c r="L12" s="20" t="str">
        <f t="shared" si="2"/>
        <v>경고</v>
      </c>
      <c r="N12" s="24"/>
      <c r="P12" s="24">
        <v>6</v>
      </c>
      <c r="Q12" s="24">
        <f>'표점등급&amp;절평인원 입력 기능'!C198</f>
        <v>41</v>
      </c>
    </row>
    <row r="13" spans="1:17" s="22" customFormat="1" ht="25" customHeight="1" x14ac:dyDescent="0.45">
      <c r="A13" s="20"/>
      <c r="B13" s="35"/>
      <c r="C13" s="53">
        <v>44</v>
      </c>
      <c r="D13" s="194"/>
      <c r="E13" s="194"/>
      <c r="F13" s="199"/>
      <c r="G13" s="198"/>
      <c r="H13" s="197"/>
      <c r="I13" s="196"/>
      <c r="J13" s="195"/>
      <c r="K13" s="36"/>
      <c r="L13" s="20" t="str">
        <f t="shared" si="2"/>
        <v>경고</v>
      </c>
      <c r="N13" s="24"/>
      <c r="P13" s="24">
        <v>7</v>
      </c>
      <c r="Q13" s="24">
        <f>'표점등급&amp;절평인원 입력 기능'!C199</f>
        <v>41</v>
      </c>
    </row>
    <row r="14" spans="1:17" s="22" customFormat="1" ht="25" customHeight="1" x14ac:dyDescent="0.45">
      <c r="A14" s="20"/>
      <c r="B14" s="35"/>
      <c r="C14" s="60">
        <v>43</v>
      </c>
      <c r="D14" s="194"/>
      <c r="E14" s="194"/>
      <c r="F14" s="199"/>
      <c r="G14" s="198"/>
      <c r="H14" s="197"/>
      <c r="I14" s="196"/>
      <c r="J14" s="195"/>
      <c r="K14" s="36"/>
      <c r="L14" s="20" t="str">
        <f t="shared" si="2"/>
        <v>경고</v>
      </c>
      <c r="N14" s="24"/>
      <c r="P14" s="24">
        <v>8</v>
      </c>
      <c r="Q14" s="24">
        <f>'표점등급&amp;절평인원 입력 기능'!C200</f>
        <v>35</v>
      </c>
    </row>
    <row r="15" spans="1:17" s="22" customFormat="1" ht="25" customHeight="1" x14ac:dyDescent="0.45">
      <c r="A15" s="20"/>
      <c r="B15" s="35"/>
      <c r="C15" s="53">
        <v>42</v>
      </c>
      <c r="D15" s="194"/>
      <c r="E15" s="194"/>
      <c r="F15" s="199"/>
      <c r="G15" s="198"/>
      <c r="H15" s="197"/>
      <c r="I15" s="196"/>
      <c r="J15" s="195"/>
      <c r="K15" s="36"/>
      <c r="L15" s="20" t="str">
        <f t="shared" si="2"/>
        <v>경고</v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194"/>
      <c r="E16" s="194"/>
      <c r="F16" s="199"/>
      <c r="G16" s="198"/>
      <c r="H16" s="197"/>
      <c r="I16" s="196"/>
      <c r="J16" s="195"/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3">
        <v>40</v>
      </c>
      <c r="D17" s="194"/>
      <c r="E17" s="194"/>
      <c r="F17" s="199"/>
      <c r="G17" s="198"/>
      <c r="H17" s="197"/>
      <c r="I17" s="196"/>
      <c r="J17" s="195"/>
      <c r="K17" s="36"/>
      <c r="L17" s="20" t="str">
        <f t="shared" si="2"/>
        <v>경고</v>
      </c>
      <c r="N17" s="24"/>
      <c r="Q17" s="24">
        <f>Q7*H3*H4*J3*IFERROR(IF(J57=1, 1, 0), 0)</f>
        <v>292503.67999999999</v>
      </c>
    </row>
    <row r="18" spans="1:17" s="22" customFormat="1" ht="25" customHeight="1" x14ac:dyDescent="0.45">
      <c r="A18" s="20"/>
      <c r="B18" s="35"/>
      <c r="C18" s="60">
        <v>39</v>
      </c>
      <c r="D18" s="173"/>
      <c r="E18" s="173"/>
      <c r="F18" s="177"/>
      <c r="G18" s="179"/>
      <c r="H18" s="181"/>
      <c r="I18" s="190"/>
      <c r="J18" s="171"/>
      <c r="K18" s="36"/>
      <c r="L18" s="20" t="str">
        <f t="shared" si="2"/>
        <v>경고</v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ref="D19:D55" si="3">ROUND(10*(C19-$H$3)/$H$4+50,0)</f>
        <v>98</v>
      </c>
      <c r="E19" s="54">
        <f t="shared" si="0"/>
        <v>1</v>
      </c>
      <c r="F19" s="55">
        <f t="shared" ref="F19:F55" si="4">IF(I18=0,ROUND(100*(1-(I17+I19)/2/$J$3),2),ROUND(100*(1-(I18+I19)/2/$J$3),2))</f>
        <v>100</v>
      </c>
      <c r="G19" s="56">
        <f>IF(D19=D18,"",_xlfn.IFNA(VLOOKUP(D19,'인원 입력 기능(직탐)'!$A$64:$D$116,4,FALSE),0))</f>
        <v>0</v>
      </c>
      <c r="H19" s="57">
        <f t="shared" si="1"/>
        <v>0</v>
      </c>
      <c r="I19" s="67">
        <f>SUM($G$7:G19)</f>
        <v>0</v>
      </c>
      <c r="J19" s="59">
        <f t="shared" ref="J19:J55" si="5">I19/$J$3</f>
        <v>0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96</v>
      </c>
      <c r="E20" s="54">
        <f t="shared" si="0"/>
        <v>1</v>
      </c>
      <c r="F20" s="55">
        <f t="shared" si="4"/>
        <v>100</v>
      </c>
      <c r="G20" s="56">
        <f>IF(D20=D19,"",_xlfn.IFNA(VLOOKUP(D20,'인원 입력 기능(직탐)'!$A$64:$D$116,4,FALSE),0))</f>
        <v>0</v>
      </c>
      <c r="H20" s="57">
        <f t="shared" si="1"/>
        <v>0</v>
      </c>
      <c r="I20" s="67">
        <f>SUM($G$7:G20)</f>
        <v>0</v>
      </c>
      <c r="J20" s="59">
        <f t="shared" si="5"/>
        <v>0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94</v>
      </c>
      <c r="E21" s="68">
        <f t="shared" si="0"/>
        <v>1</v>
      </c>
      <c r="F21" s="55">
        <f t="shared" si="4"/>
        <v>100</v>
      </c>
      <c r="G21" s="56">
        <f>IF(D21=D20,"",_xlfn.IFNA(VLOOKUP(D21,'인원 입력 기능(직탐)'!$A$64:$D$116,4,FALSE),0))</f>
        <v>0</v>
      </c>
      <c r="H21" s="57">
        <f t="shared" si="1"/>
        <v>0</v>
      </c>
      <c r="I21" s="67">
        <f>SUM($G$7:G21)</f>
        <v>0</v>
      </c>
      <c r="J21" s="59">
        <f t="shared" si="5"/>
        <v>0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92</v>
      </c>
      <c r="E22" s="68">
        <f t="shared" si="0"/>
        <v>1</v>
      </c>
      <c r="F22" s="55">
        <f t="shared" si="4"/>
        <v>100</v>
      </c>
      <c r="G22" s="56">
        <f>IF(D22=D21,"",_xlfn.IFNA(VLOOKUP(D22,'인원 입력 기능(직탐)'!$A$64:$D$116,4,FALSE),0))</f>
        <v>0</v>
      </c>
      <c r="H22" s="57">
        <f t="shared" si="1"/>
        <v>0</v>
      </c>
      <c r="I22" s="67">
        <f>SUM($G$7:G22)</f>
        <v>0</v>
      </c>
      <c r="J22" s="59">
        <f t="shared" si="5"/>
        <v>0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90</v>
      </c>
      <c r="E23" s="68">
        <f t="shared" si="0"/>
        <v>1</v>
      </c>
      <c r="F23" s="55">
        <f t="shared" si="4"/>
        <v>100</v>
      </c>
      <c r="G23" s="56">
        <f>IF(D23=D22,"",_xlfn.IFNA(VLOOKUP(D23,'인원 입력 기능(직탐)'!$A$64:$D$116,4,FALSE),0))</f>
        <v>0</v>
      </c>
      <c r="H23" s="57">
        <f t="shared" si="1"/>
        <v>0</v>
      </c>
      <c r="I23" s="67">
        <f>SUM($G$7:G23)</f>
        <v>0</v>
      </c>
      <c r="J23" s="59">
        <f t="shared" si="5"/>
        <v>0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89</v>
      </c>
      <c r="E24" s="68">
        <f t="shared" si="0"/>
        <v>1</v>
      </c>
      <c r="F24" s="55">
        <f t="shared" si="4"/>
        <v>100</v>
      </c>
      <c r="G24" s="56">
        <f>IF(D24=D23,"",_xlfn.IFNA(VLOOKUP(D24,'인원 입력 기능(직탐)'!$A$64:$D$116,4,FALSE),0))</f>
        <v>0</v>
      </c>
      <c r="H24" s="57">
        <f t="shared" si="1"/>
        <v>0</v>
      </c>
      <c r="I24" s="67">
        <f>SUM($G$7:G24)</f>
        <v>0</v>
      </c>
      <c r="J24" s="59">
        <f t="shared" si="5"/>
        <v>0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87</v>
      </c>
      <c r="E25" s="68">
        <f t="shared" si="0"/>
        <v>1</v>
      </c>
      <c r="F25" s="55">
        <f t="shared" si="4"/>
        <v>100</v>
      </c>
      <c r="G25" s="56">
        <f>IF(D25=D24,"",_xlfn.IFNA(VLOOKUP(D25,'인원 입력 기능(직탐)'!$A$64:$D$116,4,FALSE),0))</f>
        <v>0</v>
      </c>
      <c r="H25" s="57">
        <f t="shared" si="1"/>
        <v>0</v>
      </c>
      <c r="I25" s="67">
        <f>SUM($G$7:G25)</f>
        <v>0</v>
      </c>
      <c r="J25" s="59">
        <f t="shared" si="5"/>
        <v>0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85</v>
      </c>
      <c r="E26" s="68">
        <f t="shared" si="0"/>
        <v>1</v>
      </c>
      <c r="F26" s="55">
        <f t="shared" si="4"/>
        <v>100</v>
      </c>
      <c r="G26" s="56">
        <f>IF(D26=D25,"",_xlfn.IFNA(VLOOKUP(D26,'인원 입력 기능(직탐)'!$A$64:$D$116,4,FALSE),0))</f>
        <v>0</v>
      </c>
      <c r="H26" s="57">
        <f t="shared" si="1"/>
        <v>0</v>
      </c>
      <c r="I26" s="67">
        <f>SUM($G$7:G26)</f>
        <v>0</v>
      </c>
      <c r="J26" s="59">
        <f t="shared" si="5"/>
        <v>0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83</v>
      </c>
      <c r="E27" s="68">
        <f t="shared" si="0"/>
        <v>1</v>
      </c>
      <c r="F27" s="55">
        <f t="shared" si="4"/>
        <v>99.22</v>
      </c>
      <c r="G27" s="56">
        <f>IF(D27=D26,"",_xlfn.IFNA(VLOOKUP(D27,'인원 입력 기능(직탐)'!$A$64:$D$116,4,FALSE),0))</f>
        <v>1</v>
      </c>
      <c r="H27" s="57">
        <f t="shared" si="1"/>
        <v>1.5625E-2</v>
      </c>
      <c r="I27" s="67">
        <f>SUM($G$7:G27)</f>
        <v>1</v>
      </c>
      <c r="J27" s="59">
        <f t="shared" si="5"/>
        <v>1.5625E-2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81</v>
      </c>
      <c r="E28" s="68">
        <f t="shared" si="0"/>
        <v>1</v>
      </c>
      <c r="F28" s="55">
        <f t="shared" si="4"/>
        <v>98.44</v>
      </c>
      <c r="G28" s="56">
        <f>IF(D28=D27,"",_xlfn.IFNA(VLOOKUP(D28,'인원 입력 기능(직탐)'!$A$64:$D$116,4,FALSE),0))</f>
        <v>0</v>
      </c>
      <c r="H28" s="57">
        <f t="shared" si="1"/>
        <v>0</v>
      </c>
      <c r="I28" s="67">
        <f>SUM($G$7:G28)</f>
        <v>1</v>
      </c>
      <c r="J28" s="59">
        <f t="shared" si="5"/>
        <v>1.5625E-2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79</v>
      </c>
      <c r="E29" s="68">
        <f t="shared" si="0"/>
        <v>1</v>
      </c>
      <c r="F29" s="55">
        <f t="shared" si="4"/>
        <v>98.44</v>
      </c>
      <c r="G29" s="56">
        <f>IF(D29=D28,"",_xlfn.IFNA(VLOOKUP(D29,'인원 입력 기능(직탐)'!$A$64:$D$116,4,FALSE),0))</f>
        <v>0</v>
      </c>
      <c r="H29" s="57">
        <f t="shared" si="1"/>
        <v>0</v>
      </c>
      <c r="I29" s="67">
        <f>SUM($G$7:G29)</f>
        <v>1</v>
      </c>
      <c r="J29" s="59">
        <f t="shared" si="5"/>
        <v>1.5625E-2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78</v>
      </c>
      <c r="E30" s="68">
        <f t="shared" si="0"/>
        <v>1</v>
      </c>
      <c r="F30" s="55">
        <f t="shared" si="4"/>
        <v>98.44</v>
      </c>
      <c r="G30" s="56">
        <f>IF(D30=D29,"",_xlfn.IFNA(VLOOKUP(D30,'인원 입력 기능(직탐)'!$A$64:$D$116,4,FALSE),0))</f>
        <v>0</v>
      </c>
      <c r="H30" s="57">
        <f t="shared" si="1"/>
        <v>0</v>
      </c>
      <c r="I30" s="67">
        <f>SUM($G$7:G30)</f>
        <v>1</v>
      </c>
      <c r="J30" s="59">
        <f t="shared" si="5"/>
        <v>1.5625E-2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76</v>
      </c>
      <c r="E31" s="68">
        <f t="shared" si="0"/>
        <v>1</v>
      </c>
      <c r="F31" s="55">
        <f t="shared" si="4"/>
        <v>98.44</v>
      </c>
      <c r="G31" s="56">
        <f>IF(D31=D30,"",_xlfn.IFNA(VLOOKUP(D31,'인원 입력 기능(직탐)'!$A$64:$D$116,4,FALSE),0))</f>
        <v>0</v>
      </c>
      <c r="H31" s="57">
        <f t="shared" si="1"/>
        <v>0</v>
      </c>
      <c r="I31" s="67">
        <f>SUM($G$7:G31)</f>
        <v>1</v>
      </c>
      <c r="J31" s="59">
        <f t="shared" si="5"/>
        <v>1.5625E-2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74</v>
      </c>
      <c r="E32" s="68">
        <f t="shared" si="0"/>
        <v>1</v>
      </c>
      <c r="F32" s="55">
        <f t="shared" si="4"/>
        <v>97.66</v>
      </c>
      <c r="G32" s="56">
        <f>IF(D32=D31,"",_xlfn.IFNA(VLOOKUP(D32,'인원 입력 기능(직탐)'!$A$64:$D$116,4,FALSE),0))</f>
        <v>1</v>
      </c>
      <c r="H32" s="57">
        <f t="shared" si="1"/>
        <v>1.5625E-2</v>
      </c>
      <c r="I32" s="67">
        <f>SUM($G$7:G32)</f>
        <v>2</v>
      </c>
      <c r="J32" s="59">
        <f t="shared" si="5"/>
        <v>3.125E-2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72</v>
      </c>
      <c r="E33" s="68">
        <f t="shared" si="0"/>
        <v>1</v>
      </c>
      <c r="F33" s="55">
        <f t="shared" si="4"/>
        <v>96.88</v>
      </c>
      <c r="G33" s="56">
        <f>IF(D33=D32,"",_xlfn.IFNA(VLOOKUP(D33,'인원 입력 기능(직탐)'!$A$64:$D$116,4,FALSE),0))</f>
        <v>0</v>
      </c>
      <c r="H33" s="57">
        <f t="shared" si="1"/>
        <v>0</v>
      </c>
      <c r="I33" s="67">
        <f>SUM($G$7:G33)</f>
        <v>2</v>
      </c>
      <c r="J33" s="59">
        <f t="shared" si="5"/>
        <v>3.125E-2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70</v>
      </c>
      <c r="E34" s="68">
        <f t="shared" si="0"/>
        <v>1</v>
      </c>
      <c r="F34" s="55">
        <f t="shared" si="4"/>
        <v>96.09</v>
      </c>
      <c r="G34" s="56">
        <f>IF(D34=D33,"",_xlfn.IFNA(VLOOKUP(D34,'인원 입력 기능(직탐)'!$A$64:$D$116,4,FALSE),0))</f>
        <v>1</v>
      </c>
      <c r="H34" s="57">
        <f t="shared" si="1"/>
        <v>1.5625E-2</v>
      </c>
      <c r="I34" s="67">
        <f>SUM($G$7:G34)</f>
        <v>3</v>
      </c>
      <c r="J34" s="59">
        <f t="shared" si="5"/>
        <v>4.6875E-2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68</v>
      </c>
      <c r="E35" s="68">
        <f t="shared" si="0"/>
        <v>2</v>
      </c>
      <c r="F35" s="55">
        <f t="shared" si="4"/>
        <v>94.53</v>
      </c>
      <c r="G35" s="56">
        <f>IF(D35=D34,"",_xlfn.IFNA(VLOOKUP(D35,'인원 입력 기능(직탐)'!$A$64:$D$116,4,FALSE),0))</f>
        <v>1</v>
      </c>
      <c r="H35" s="57">
        <f t="shared" si="1"/>
        <v>1.5625E-2</v>
      </c>
      <c r="I35" s="67">
        <f>SUM($G$7:G35)</f>
        <v>4</v>
      </c>
      <c r="J35" s="59">
        <f t="shared" si="5"/>
        <v>6.25E-2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67</v>
      </c>
      <c r="E36" s="68">
        <f t="shared" si="0"/>
        <v>2</v>
      </c>
      <c r="F36" s="55">
        <f t="shared" si="4"/>
        <v>92.97</v>
      </c>
      <c r="G36" s="56">
        <f>IF(D36=D35,"",_xlfn.IFNA(VLOOKUP(D36,'인원 입력 기능(직탐)'!$A$64:$D$116,4,FALSE),0))</f>
        <v>1</v>
      </c>
      <c r="H36" s="57">
        <f t="shared" si="1"/>
        <v>1.5625E-2</v>
      </c>
      <c r="I36" s="67">
        <f>SUM($G$7:G36)</f>
        <v>5</v>
      </c>
      <c r="J36" s="59">
        <f t="shared" si="5"/>
        <v>7.8125E-2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65</v>
      </c>
      <c r="E37" s="68">
        <f t="shared" si="0"/>
        <v>2</v>
      </c>
      <c r="F37" s="55">
        <f t="shared" si="4"/>
        <v>91.41</v>
      </c>
      <c r="G37" s="56">
        <f>IF(D37=D36,"",_xlfn.IFNA(VLOOKUP(D37,'인원 입력 기능(직탐)'!$A$64:$D$116,4,FALSE),0))</f>
        <v>1</v>
      </c>
      <c r="H37" s="57">
        <f t="shared" si="1"/>
        <v>1.5625E-2</v>
      </c>
      <c r="I37" s="67">
        <f>SUM($G$7:G37)</f>
        <v>6</v>
      </c>
      <c r="J37" s="59">
        <f t="shared" si="5"/>
        <v>9.375E-2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63</v>
      </c>
      <c r="E38" s="68">
        <f t="shared" si="0"/>
        <v>2</v>
      </c>
      <c r="F38" s="55">
        <f t="shared" si="4"/>
        <v>89.06</v>
      </c>
      <c r="G38" s="56">
        <f>IF(D38=D37,"",_xlfn.IFNA(VLOOKUP(D38,'인원 입력 기능(직탐)'!$A$64:$D$116,4,FALSE),0))</f>
        <v>2</v>
      </c>
      <c r="H38" s="57">
        <f t="shared" si="1"/>
        <v>3.125E-2</v>
      </c>
      <c r="I38" s="67">
        <f>SUM($G$7:G38)</f>
        <v>8</v>
      </c>
      <c r="J38" s="59">
        <f t="shared" si="5"/>
        <v>0.125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61</v>
      </c>
      <c r="E39" s="68">
        <f t="shared" si="0"/>
        <v>3</v>
      </c>
      <c r="F39" s="55">
        <f t="shared" si="4"/>
        <v>85.16</v>
      </c>
      <c r="G39" s="56">
        <f>IF(D39=D38,"",_xlfn.IFNA(VLOOKUP(D39,'인원 입력 기능(직탐)'!$A$64:$D$116,4,FALSE),0))</f>
        <v>3</v>
      </c>
      <c r="H39" s="57">
        <f t="shared" si="1"/>
        <v>4.6875E-2</v>
      </c>
      <c r="I39" s="67">
        <f>SUM($G$7:G39)</f>
        <v>11</v>
      </c>
      <c r="J39" s="59">
        <f t="shared" si="5"/>
        <v>0.171875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59</v>
      </c>
      <c r="E40" s="68">
        <f t="shared" si="0"/>
        <v>3</v>
      </c>
      <c r="F40" s="55">
        <f t="shared" si="4"/>
        <v>81.25</v>
      </c>
      <c r="G40" s="56">
        <f>IF(D40=D39,"",_xlfn.IFNA(VLOOKUP(D40,'인원 입력 기능(직탐)'!$A$64:$D$116,4,FALSE),0))</f>
        <v>2</v>
      </c>
      <c r="H40" s="57">
        <f t="shared" si="1"/>
        <v>3.125E-2</v>
      </c>
      <c r="I40" s="67">
        <f>SUM($G$7:G40)</f>
        <v>13</v>
      </c>
      <c r="J40" s="59">
        <f t="shared" si="5"/>
        <v>0.203125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57</v>
      </c>
      <c r="E41" s="68">
        <f t="shared" si="0"/>
        <v>3</v>
      </c>
      <c r="F41" s="55">
        <f t="shared" si="4"/>
        <v>77.34</v>
      </c>
      <c r="G41" s="56">
        <f>IF(D41=D40,"",_xlfn.IFNA(VLOOKUP(D41,'인원 입력 기능(직탐)'!$A$64:$D$116,4,FALSE),0))</f>
        <v>3</v>
      </c>
      <c r="H41" s="57">
        <f t="shared" si="1"/>
        <v>4.6875E-2</v>
      </c>
      <c r="I41" s="67">
        <f>SUM($G$7:G41)</f>
        <v>16</v>
      </c>
      <c r="J41" s="59">
        <f t="shared" si="5"/>
        <v>0.25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56</v>
      </c>
      <c r="E42" s="68">
        <f t="shared" si="0"/>
        <v>4</v>
      </c>
      <c r="F42" s="55">
        <f t="shared" si="4"/>
        <v>73.44</v>
      </c>
      <c r="G42" s="56">
        <f>IF(D42=D41,"",_xlfn.IFNA(VLOOKUP(D42,'인원 입력 기능(직탐)'!$A$64:$D$116,4,FALSE),0))</f>
        <v>2</v>
      </c>
      <c r="H42" s="57">
        <f t="shared" si="1"/>
        <v>3.125E-2</v>
      </c>
      <c r="I42" s="67">
        <f>SUM($G$7:G42)</f>
        <v>18</v>
      </c>
      <c r="J42" s="59">
        <f t="shared" si="5"/>
        <v>0.28125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54</v>
      </c>
      <c r="E43" s="68">
        <f t="shared" si="0"/>
        <v>4</v>
      </c>
      <c r="F43" s="55">
        <f t="shared" si="4"/>
        <v>71.88</v>
      </c>
      <c r="G43" s="56">
        <f>IF(D43=D42,"",_xlfn.IFNA(VLOOKUP(D43,'인원 입력 기능(직탐)'!$A$64:$D$116,4,FALSE),0))</f>
        <v>0</v>
      </c>
      <c r="H43" s="57">
        <f t="shared" si="1"/>
        <v>0</v>
      </c>
      <c r="I43" s="67">
        <f>SUM($G$7:G43)</f>
        <v>18</v>
      </c>
      <c r="J43" s="59">
        <f t="shared" si="5"/>
        <v>0.28125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52</v>
      </c>
      <c r="E44" s="68">
        <f t="shared" si="0"/>
        <v>4</v>
      </c>
      <c r="F44" s="55">
        <f t="shared" si="4"/>
        <v>65.63</v>
      </c>
      <c r="G44" s="56">
        <f>IF(D44=D43,"",_xlfn.IFNA(VLOOKUP(D44,'인원 입력 기능(직탐)'!$A$64:$D$116,4,FALSE),0))</f>
        <v>8</v>
      </c>
      <c r="H44" s="57">
        <f t="shared" si="1"/>
        <v>0.125</v>
      </c>
      <c r="I44" s="67">
        <f>SUM($G$7:G44)</f>
        <v>26</v>
      </c>
      <c r="J44" s="59">
        <f t="shared" si="5"/>
        <v>0.40625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50</v>
      </c>
      <c r="E45" s="68">
        <f t="shared" si="0"/>
        <v>5</v>
      </c>
      <c r="F45" s="55">
        <f t="shared" si="4"/>
        <v>56.25</v>
      </c>
      <c r="G45" s="56">
        <f>IF(D45=D44,"",_xlfn.IFNA(VLOOKUP(D45,'인원 입력 기능(직탐)'!$A$64:$D$116,4,FALSE),0))</f>
        <v>4</v>
      </c>
      <c r="H45" s="57">
        <f t="shared" si="1"/>
        <v>6.25E-2</v>
      </c>
      <c r="I45" s="67">
        <f>SUM($G$7:G45)</f>
        <v>30</v>
      </c>
      <c r="J45" s="59">
        <f t="shared" si="5"/>
        <v>0.46875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48</v>
      </c>
      <c r="E46" s="68">
        <f t="shared" si="0"/>
        <v>5</v>
      </c>
      <c r="F46" s="55">
        <f t="shared" si="4"/>
        <v>48.44</v>
      </c>
      <c r="G46" s="56">
        <f>IF(D46=D45,"",_xlfn.IFNA(VLOOKUP(D46,'인원 입력 기능(직탐)'!$A$64:$D$116,4,FALSE),0))</f>
        <v>6</v>
      </c>
      <c r="H46" s="57">
        <f t="shared" si="1"/>
        <v>9.375E-2</v>
      </c>
      <c r="I46" s="67">
        <f>SUM($G$7:G46)</f>
        <v>36</v>
      </c>
      <c r="J46" s="59">
        <f t="shared" si="5"/>
        <v>0.5625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46</v>
      </c>
      <c r="E47" s="68">
        <f t="shared" si="0"/>
        <v>5</v>
      </c>
      <c r="F47" s="55">
        <f t="shared" si="4"/>
        <v>39.06</v>
      </c>
      <c r="G47" s="56">
        <f>IF(D47=D46,"",_xlfn.IFNA(VLOOKUP(D47,'인원 입력 기능(직탐)'!$A$64:$D$116,4,FALSE),0))</f>
        <v>6</v>
      </c>
      <c r="H47" s="57">
        <f t="shared" si="1"/>
        <v>9.375E-2</v>
      </c>
      <c r="I47" s="67">
        <f>SUM($G$7:G47)</f>
        <v>42</v>
      </c>
      <c r="J47" s="59">
        <f t="shared" si="5"/>
        <v>0.65625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45</v>
      </c>
      <c r="E48" s="68">
        <f t="shared" si="0"/>
        <v>6</v>
      </c>
      <c r="F48" s="55">
        <f t="shared" si="4"/>
        <v>34.380000000000003</v>
      </c>
      <c r="G48" s="56">
        <f>IF(D48=D47,"",_xlfn.IFNA(VLOOKUP(D48,'인원 입력 기능(직탐)'!$A$64:$D$116,4,FALSE),0))</f>
        <v>0</v>
      </c>
      <c r="H48" s="57">
        <f t="shared" si="1"/>
        <v>0</v>
      </c>
      <c r="I48" s="67">
        <f>SUM($G$7:G48)</f>
        <v>42</v>
      </c>
      <c r="J48" s="59">
        <f t="shared" si="5"/>
        <v>0.65625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43</v>
      </c>
      <c r="E49" s="68">
        <f t="shared" si="0"/>
        <v>6</v>
      </c>
      <c r="F49" s="55">
        <f t="shared" si="4"/>
        <v>33.590000000000003</v>
      </c>
      <c r="G49" s="56">
        <f>IF(D49=D48,"",_xlfn.IFNA(VLOOKUP(D49,'인원 입력 기능(직탐)'!$A$64:$D$116,4,FALSE),0))</f>
        <v>1</v>
      </c>
      <c r="H49" s="57">
        <f t="shared" si="1"/>
        <v>1.5625E-2</v>
      </c>
      <c r="I49" s="67">
        <f>SUM($G$7:G49)</f>
        <v>43</v>
      </c>
      <c r="J49" s="59">
        <f t="shared" si="5"/>
        <v>0.671875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160">
        <v>7</v>
      </c>
      <c r="D50" s="161">
        <f t="shared" si="3"/>
        <v>41</v>
      </c>
      <c r="E50" s="161">
        <f t="shared" si="0"/>
        <v>6</v>
      </c>
      <c r="F50" s="162">
        <f t="shared" si="4"/>
        <v>20.309999999999999</v>
      </c>
      <c r="G50" s="163">
        <f>IF(D50=D49,"",_xlfn.IFNA(VLOOKUP(D50,'인원 입력 기능(직탐)'!$A$64:$D$116,4,FALSE),0))</f>
        <v>16</v>
      </c>
      <c r="H50" s="164">
        <f t="shared" si="1"/>
        <v>0.25</v>
      </c>
      <c r="I50" s="165">
        <f>SUM($G$7:G50)</f>
        <v>59</v>
      </c>
      <c r="J50" s="166">
        <f t="shared" si="5"/>
        <v>0.921875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39</v>
      </c>
      <c r="E51" s="68">
        <f t="shared" si="0"/>
        <v>8</v>
      </c>
      <c r="F51" s="55">
        <f t="shared" si="4"/>
        <v>6.25</v>
      </c>
      <c r="G51" s="56">
        <f>IF(D51=D50,"",_xlfn.IFNA(VLOOKUP(D51,'인원 입력 기능(직탐)'!$A$64:$D$116,4,FALSE),0))</f>
        <v>2</v>
      </c>
      <c r="H51" s="57">
        <f t="shared" si="1"/>
        <v>3.125E-2</v>
      </c>
      <c r="I51" s="67">
        <f>SUM($G$7:G51)</f>
        <v>61</v>
      </c>
      <c r="J51" s="59">
        <f t="shared" si="5"/>
        <v>0.953125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37</v>
      </c>
      <c r="E52" s="68">
        <f t="shared" si="0"/>
        <v>8</v>
      </c>
      <c r="F52" s="55">
        <f t="shared" si="4"/>
        <v>4.6900000000000004</v>
      </c>
      <c r="G52" s="56">
        <f>IF(D52=D51,"",_xlfn.IFNA(VLOOKUP(D52,'인원 입력 기능(직탐)'!$A$64:$D$116,4,FALSE),0))</f>
        <v>0</v>
      </c>
      <c r="H52" s="57">
        <f t="shared" si="1"/>
        <v>0</v>
      </c>
      <c r="I52" s="67">
        <f>SUM($G$7:G52)</f>
        <v>61</v>
      </c>
      <c r="J52" s="59">
        <f t="shared" si="5"/>
        <v>0.953125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35</v>
      </c>
      <c r="E53" s="54">
        <f t="shared" si="0"/>
        <v>8</v>
      </c>
      <c r="F53" s="55">
        <f t="shared" si="4"/>
        <v>2.34</v>
      </c>
      <c r="G53" s="56">
        <f>IF(D53=D52,"",_xlfn.IFNA(VLOOKUP(D53,'인원 입력 기능(직탐)'!$A$64:$D$116,4,FALSE),0))</f>
        <v>3</v>
      </c>
      <c r="H53" s="57">
        <f t="shared" si="1"/>
        <v>4.6875E-2</v>
      </c>
      <c r="I53" s="67">
        <f>SUM($G$7:G53)</f>
        <v>64</v>
      </c>
      <c r="J53" s="59">
        <f t="shared" si="5"/>
        <v>1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34</v>
      </c>
      <c r="E54" s="54">
        <f t="shared" si="0"/>
        <v>9</v>
      </c>
      <c r="F54" s="55">
        <f t="shared" si="4"/>
        <v>0</v>
      </c>
      <c r="G54" s="56">
        <f>IF(D54=D53,"",_xlfn.IFNA(VLOOKUP(D54,'인원 입력 기능(직탐)'!$A$64:$D$116,4,FALSE),0))</f>
        <v>0</v>
      </c>
      <c r="H54" s="57">
        <f t="shared" si="1"/>
        <v>0</v>
      </c>
      <c r="I54" s="67">
        <f>SUM($G$7:G54)</f>
        <v>64</v>
      </c>
      <c r="J54" s="59">
        <f t="shared" si="5"/>
        <v>1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0"/>
        <v>9</v>
      </c>
      <c r="F55" s="55">
        <f t="shared" si="4"/>
        <v>0</v>
      </c>
      <c r="G55" s="56">
        <f>IF(D55=D54,"",_xlfn.IFNA(VLOOKUP(D55,'인원 입력 기능(직탐)'!$A$64:$D$116,4,FALSE),0))</f>
        <v>0</v>
      </c>
      <c r="H55" s="57">
        <f t="shared" si="1"/>
        <v>0</v>
      </c>
      <c r="I55" s="67">
        <f>SUM($G$7:G55)</f>
        <v>64</v>
      </c>
      <c r="J55" s="59">
        <f t="shared" si="5"/>
        <v>1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28</v>
      </c>
      <c r="E57" s="109">
        <f t="shared" si="0"/>
        <v>9</v>
      </c>
      <c r="F57" s="74">
        <f>IF(I55=0,ROUND(100*(1-(I54+I57)/2/$J$3),2),ROUND(100*(1-(I55+I57)/2/$J$3),2))</f>
        <v>0</v>
      </c>
      <c r="G57" s="110">
        <f>_xlfn.IFNA(VLOOKUP(D57,'인원 입력 기능(직탐)'!$A$64:$D$116,4,FALSE),0)</f>
        <v>0</v>
      </c>
      <c r="H57" s="76">
        <f>G57/$J$3</f>
        <v>0</v>
      </c>
      <c r="I57" s="77">
        <f>SUM($G$7:G57)</f>
        <v>64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192"/>
      <c r="E58" s="192"/>
      <c r="F58" s="192"/>
      <c r="G58" s="192"/>
      <c r="H58" s="192"/>
      <c r="I58" s="192"/>
      <c r="J58" s="192"/>
      <c r="K58" s="34"/>
      <c r="L58" s="5"/>
      <c r="N58" s="1"/>
    </row>
    <row r="59" spans="1:14" x14ac:dyDescent="0.45">
      <c r="D59" s="193"/>
      <c r="E59" s="193"/>
      <c r="F59" s="193"/>
      <c r="G59" s="193"/>
      <c r="H59" s="193"/>
      <c r="I59" s="193"/>
      <c r="J59" s="193"/>
      <c r="N59" s="1"/>
    </row>
    <row r="60" spans="1:14" x14ac:dyDescent="0.45">
      <c r="D60" s="191"/>
      <c r="E60" s="191"/>
      <c r="F60" s="191"/>
      <c r="G60" s="191"/>
      <c r="H60" s="191"/>
      <c r="I60" s="191"/>
      <c r="J60" s="191"/>
      <c r="N60" s="1"/>
    </row>
    <row r="61" spans="1:14" x14ac:dyDescent="0.45">
      <c r="D61" s="191"/>
      <c r="E61" s="191"/>
      <c r="F61" s="191"/>
      <c r="G61" s="191"/>
      <c r="H61" s="191"/>
      <c r="I61" s="191"/>
      <c r="J61" s="191"/>
      <c r="N61" s="1"/>
    </row>
    <row r="62" spans="1:14" x14ac:dyDescent="0.45">
      <c r="D62" s="191"/>
      <c r="E62" s="191"/>
      <c r="F62" s="191"/>
      <c r="G62" s="191"/>
      <c r="H62" s="191"/>
      <c r="I62" s="191"/>
      <c r="J62" s="191"/>
      <c r="N62" s="1"/>
    </row>
    <row r="63" spans="1:14" x14ac:dyDescent="0.45">
      <c r="D63" s="191"/>
      <c r="E63" s="191"/>
      <c r="F63" s="191"/>
      <c r="G63" s="191"/>
      <c r="H63" s="191"/>
      <c r="I63" s="191"/>
      <c r="J63" s="191"/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1">
    <mergeCell ref="D3:F3"/>
    <mergeCell ref="D4:F4"/>
    <mergeCell ref="G5:J5"/>
    <mergeCell ref="D9:D18"/>
    <mergeCell ref="J9:J18"/>
    <mergeCell ref="I9:I18"/>
    <mergeCell ref="H9:H18"/>
    <mergeCell ref="G9:G18"/>
    <mergeCell ref="F9:F18"/>
    <mergeCell ref="E9:E18"/>
    <mergeCell ref="I58:I59"/>
    <mergeCell ref="J58:J59"/>
    <mergeCell ref="D60:D61"/>
    <mergeCell ref="E60:E61"/>
    <mergeCell ref="F60:F61"/>
    <mergeCell ref="G60:G61"/>
    <mergeCell ref="H60:H61"/>
    <mergeCell ref="I60:I61"/>
    <mergeCell ref="J60:J61"/>
    <mergeCell ref="D58:D59"/>
    <mergeCell ref="E58:E59"/>
    <mergeCell ref="F58:F59"/>
    <mergeCell ref="G58:G59"/>
    <mergeCell ref="H58:H59"/>
    <mergeCell ref="I62:I63"/>
    <mergeCell ref="J62:J63"/>
    <mergeCell ref="D62:D63"/>
    <mergeCell ref="E62:E63"/>
    <mergeCell ref="F62:F63"/>
    <mergeCell ref="G62:G63"/>
    <mergeCell ref="H62:H63"/>
  </mergeCells>
  <phoneticPr fontId="1" type="noConversion"/>
  <conditionalFormatting sqref="D7:G9 I7:J9 D19:G49 I19:J49 I51:J57 D51:G57">
    <cfRule type="expression" dxfId="7" priority="4">
      <formula>OR($D7=$Q$7:$Q$14)</formula>
    </cfRule>
  </conditionalFormatting>
  <conditionalFormatting sqref="C7:C49 C51:C57">
    <cfRule type="expression" dxfId="6" priority="3">
      <formula>OR(AND($D7=0,OR($D6=$Q$7:$Q$14)),AND($D8&gt;0,OR($D7=$Q$7:$Q$14)))</formula>
    </cfRule>
  </conditionalFormatting>
  <conditionalFormatting sqref="D7:D9 D19:D49 D51:D57">
    <cfRule type="expression" dxfId="5" priority="2">
      <formula>$D7=$D8</formula>
    </cfRule>
  </conditionalFormatting>
  <conditionalFormatting sqref="H7:H9 H19:H49 H51:H57">
    <cfRule type="expression" dxfId="4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93F9E-E852-45CA-BC6B-1933AFC9535B}">
  <sheetPr codeName="Sheet28"/>
  <dimension ref="A1:Q105"/>
  <sheetViews>
    <sheetView zoomScaleNormal="100" workbookViewId="0">
      <selection activeCell="B2" sqref="B2:K58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style="5" customWidth="1"/>
    <col min="12" max="12" width="14.1640625" customWidth="1"/>
  </cols>
  <sheetData>
    <row r="1" spans="1:17" x14ac:dyDescent="0.45">
      <c r="A1" s="5" t="s">
        <v>8</v>
      </c>
      <c r="C1" s="5"/>
      <c r="D1" s="5"/>
      <c r="E1" s="5"/>
      <c r="F1" s="5"/>
      <c r="G1" s="5"/>
      <c r="H1" s="5"/>
      <c r="I1" s="5"/>
      <c r="J1" s="5"/>
      <c r="L1" s="5"/>
    </row>
    <row r="2" spans="1:17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7" s="22" customFormat="1" ht="25" customHeight="1" thickBot="1" x14ac:dyDescent="0.5">
      <c r="A3" s="20"/>
      <c r="B3" s="35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기능'!D26</f>
        <v>19.89</v>
      </c>
      <c r="I3" s="21" t="s">
        <v>123</v>
      </c>
      <c r="J3" s="81">
        <f>'통계 및 응시자 수 입력 기능'!C26</f>
        <v>409</v>
      </c>
      <c r="K3" s="36"/>
      <c r="L3" s="20"/>
    </row>
    <row r="4" spans="1:17" s="22" customFormat="1" ht="25" customHeight="1" thickBot="1" x14ac:dyDescent="0.5">
      <c r="A4" s="20"/>
      <c r="B4" s="35"/>
      <c r="C4" s="82" t="s">
        <v>124</v>
      </c>
      <c r="D4" s="185" t="s">
        <v>137</v>
      </c>
      <c r="E4" s="186"/>
      <c r="F4" s="187"/>
      <c r="G4" s="83" t="s">
        <v>126</v>
      </c>
      <c r="H4" s="84" t="str">
        <f>'통계 및 응시자 수 입력 기능'!E26</f>
        <v xml:space="preserve"> 9.82</v>
      </c>
      <c r="I4" s="37"/>
      <c r="J4" s="38"/>
      <c r="K4" s="36"/>
      <c r="L4" s="20"/>
    </row>
    <row r="5" spans="1:17" s="22" customFormat="1" ht="25" customHeight="1" thickBot="1" x14ac:dyDescent="0.5">
      <c r="A5" s="20"/>
      <c r="B5" s="35"/>
      <c r="C5" s="19"/>
      <c r="D5" s="19"/>
      <c r="E5" s="19"/>
      <c r="F5" s="19"/>
      <c r="G5" s="188" t="s">
        <v>191</v>
      </c>
      <c r="H5" s="188"/>
      <c r="I5" s="188"/>
      <c r="J5" s="188"/>
      <c r="K5" s="36"/>
      <c r="L5" s="20"/>
    </row>
    <row r="6" spans="1:17" s="22" customFormat="1" ht="25" customHeight="1" thickBot="1" x14ac:dyDescent="0.5">
      <c r="A6" s="20"/>
      <c r="B6" s="35"/>
      <c r="C6" s="49" t="s">
        <v>113</v>
      </c>
      <c r="D6" s="50" t="s">
        <v>114</v>
      </c>
      <c r="E6" s="50" t="s">
        <v>115</v>
      </c>
      <c r="F6" s="50" t="s">
        <v>116</v>
      </c>
      <c r="G6" s="50" t="s">
        <v>117</v>
      </c>
      <c r="H6" s="50" t="s">
        <v>118</v>
      </c>
      <c r="I6" s="51" t="s">
        <v>119</v>
      </c>
      <c r="J6" s="52" t="s">
        <v>120</v>
      </c>
      <c r="K6" s="36"/>
      <c r="L6" s="19"/>
      <c r="M6" s="19"/>
      <c r="N6" s="23"/>
    </row>
    <row r="7" spans="1:17" s="22" customFormat="1" ht="25" customHeight="1" x14ac:dyDescent="0.45">
      <c r="A7" s="20"/>
      <c r="B7" s="35"/>
      <c r="C7" s="53">
        <v>50</v>
      </c>
      <c r="D7" s="54">
        <f>ROUND(10*(C7-$H$3)/$H$4+50,0)</f>
        <v>81</v>
      </c>
      <c r="E7" s="54">
        <f t="shared" ref="E7:E57" si="0">IF(ROUND(D7,0)&gt;=$Q$7,1,IF(ROUND(D7,0)&gt;=$Q$8,2,IF(ROUND(D7,0)&gt;=$Q$9,3,IF(ROUND(D7,0)&gt;=$Q$10,4,IF(ROUND(D7,0)&gt;=$Q$11,5,IF(ROUND(D7,0)&gt;=$Q$12,6,IF(ROUND(D7,0)&gt;=$Q$13,7,IF(ROUND(D7,0)&gt;=$Q$14,8,9))))))))</f>
        <v>1</v>
      </c>
      <c r="F7" s="55">
        <f>ROUND(100*(1-(0+I7)/2/$J$3),2)</f>
        <v>99.88</v>
      </c>
      <c r="G7" s="56">
        <f>_xlfn.IFNA(VLOOKUP(D7,'인원 입력 기능(직탐)'!$F$64:$I$116,4,FALSE),0)</f>
        <v>1</v>
      </c>
      <c r="H7" s="57">
        <f>G7/$J$3</f>
        <v>2.4449877750611247E-3</v>
      </c>
      <c r="I7" s="58">
        <f>G7</f>
        <v>1</v>
      </c>
      <c r="J7" s="59">
        <f>I7/$J$3</f>
        <v>2.4449877750611247E-3</v>
      </c>
      <c r="K7" s="36"/>
      <c r="L7" s="20" t="str">
        <f>IF(ABS((C7-$H$3)/$H$4*10+50-D7)&gt;0.49, "경고", "")</f>
        <v/>
      </c>
      <c r="N7" s="24"/>
      <c r="P7" s="24">
        <v>1</v>
      </c>
      <c r="Q7" s="24">
        <f>'표점등급&amp;절평인원 입력 기능'!C202</f>
        <v>66</v>
      </c>
    </row>
    <row r="8" spans="1:17" s="22" customFormat="1" ht="25" customHeight="1" x14ac:dyDescent="0.45">
      <c r="A8" s="20"/>
      <c r="B8" s="35"/>
      <c r="C8" s="60">
        <v>49</v>
      </c>
      <c r="D8" s="61" t="s">
        <v>59</v>
      </c>
      <c r="E8" s="61"/>
      <c r="F8" s="62"/>
      <c r="G8" s="63"/>
      <c r="H8" s="105"/>
      <c r="I8" s="65"/>
      <c r="J8" s="66"/>
      <c r="K8" s="36"/>
      <c r="L8" s="20"/>
      <c r="N8" s="24"/>
      <c r="P8" s="24">
        <v>2</v>
      </c>
      <c r="Q8" s="24">
        <f>'표점등급&amp;절평인원 입력 기능'!C203</f>
        <v>63</v>
      </c>
    </row>
    <row r="9" spans="1:17" s="22" customFormat="1" ht="25" customHeight="1" x14ac:dyDescent="0.45">
      <c r="A9" s="20"/>
      <c r="B9" s="35"/>
      <c r="C9" s="53">
        <v>48</v>
      </c>
      <c r="D9" s="54">
        <f>ROUND(10*(C9-$H$3)/$H$4+50,0)</f>
        <v>79</v>
      </c>
      <c r="E9" s="54">
        <f t="shared" si="0"/>
        <v>1</v>
      </c>
      <c r="F9" s="55">
        <f>IF(I8=0,ROUND(100*(1-(I7+I9)/2/$J$3),2),ROUND(100*(1-(I8+I9)/2/$J$3),2))</f>
        <v>99.76</v>
      </c>
      <c r="G9" s="56">
        <f>_xlfn.IFNA(VLOOKUP(D9,'인원 입력 기능(직탐)'!$F$64:$I$116,4,FALSE),0)</f>
        <v>0</v>
      </c>
      <c r="H9" s="57">
        <f t="shared" ref="H9:H55" si="1">G9/$J$3</f>
        <v>0</v>
      </c>
      <c r="I9" s="67">
        <f>SUM($G$7:G9)</f>
        <v>1</v>
      </c>
      <c r="J9" s="59">
        <f>I9/$J$3</f>
        <v>2.4449877750611247E-3</v>
      </c>
      <c r="K9" s="36"/>
      <c r="L9" s="20" t="str">
        <f t="shared" ref="L9:L57" si="2">IF(ABS((C9-$H$3)/$H$4*10+50-D9)&gt;0.49, "경고", "")</f>
        <v/>
      </c>
      <c r="N9" s="24"/>
      <c r="P9" s="24">
        <v>3</v>
      </c>
      <c r="Q9" s="24">
        <f>'표점등급&amp;절평인원 입력 기능'!C204</f>
        <v>59</v>
      </c>
    </row>
    <row r="10" spans="1:17" s="22" customFormat="1" ht="25" customHeight="1" x14ac:dyDescent="0.45">
      <c r="A10" s="20"/>
      <c r="B10" s="35"/>
      <c r="C10" s="60">
        <v>47</v>
      </c>
      <c r="D10" s="54">
        <f t="shared" ref="D10:D55" si="3">ROUND(10*(C10-$H$3)/$H$4+50,0)</f>
        <v>78</v>
      </c>
      <c r="E10" s="54">
        <f t="shared" si="0"/>
        <v>1</v>
      </c>
      <c r="F10" s="55">
        <f t="shared" ref="F10:F55" si="4">IF(I9=0,ROUND(100*(1-(I8+I10)/2/$J$3),2),ROUND(100*(1-(I9+I10)/2/$J$3),2))</f>
        <v>99.76</v>
      </c>
      <c r="G10" s="56">
        <f>IF(D10=D9,"",_xlfn.IFNA(VLOOKUP(D10,'인원 입력 기능(직탐)'!$F$64:$I$116,4,FALSE),0))</f>
        <v>0</v>
      </c>
      <c r="H10" s="57">
        <f t="shared" si="1"/>
        <v>0</v>
      </c>
      <c r="I10" s="67">
        <f>SUM($G$7:G10)</f>
        <v>1</v>
      </c>
      <c r="J10" s="59">
        <f t="shared" ref="J10:J55" si="5">I10/$J$3</f>
        <v>2.4449877750611247E-3</v>
      </c>
      <c r="K10" s="36"/>
      <c r="L10" s="20" t="str">
        <f t="shared" si="2"/>
        <v/>
      </c>
      <c r="N10" s="24"/>
      <c r="P10" s="24">
        <v>4</v>
      </c>
      <c r="Q10" s="24">
        <f>'표점등급&amp;절평인원 입력 기능'!C205</f>
        <v>53</v>
      </c>
    </row>
    <row r="11" spans="1:17" s="22" customFormat="1" ht="25" customHeight="1" x14ac:dyDescent="0.45">
      <c r="A11" s="20"/>
      <c r="B11" s="35"/>
      <c r="C11" s="53">
        <v>46</v>
      </c>
      <c r="D11" s="54">
        <f t="shared" si="3"/>
        <v>77</v>
      </c>
      <c r="E11" s="54">
        <f t="shared" si="0"/>
        <v>1</v>
      </c>
      <c r="F11" s="55">
        <f t="shared" si="4"/>
        <v>99.76</v>
      </c>
      <c r="G11" s="56">
        <f>IF(D11=D10,"",_xlfn.IFNA(VLOOKUP(D11,'인원 입력 기능(직탐)'!$F$64:$I$116,4,FALSE),0))</f>
        <v>0</v>
      </c>
      <c r="H11" s="57">
        <f t="shared" si="1"/>
        <v>0</v>
      </c>
      <c r="I11" s="67">
        <f>SUM($G$7:G11)</f>
        <v>1</v>
      </c>
      <c r="J11" s="59">
        <f t="shared" si="5"/>
        <v>2.4449877750611247E-3</v>
      </c>
      <c r="K11" s="36"/>
      <c r="L11" s="20" t="str">
        <f t="shared" si="2"/>
        <v/>
      </c>
      <c r="N11" s="24"/>
      <c r="P11" s="24">
        <v>5</v>
      </c>
      <c r="Q11" s="24">
        <f>'표점등급&amp;절평인원 입력 기능'!C206</f>
        <v>45</v>
      </c>
    </row>
    <row r="12" spans="1:17" s="22" customFormat="1" ht="25" customHeight="1" x14ac:dyDescent="0.45">
      <c r="A12" s="20"/>
      <c r="B12" s="35"/>
      <c r="C12" s="60">
        <v>45</v>
      </c>
      <c r="D12" s="54">
        <f t="shared" si="3"/>
        <v>76</v>
      </c>
      <c r="E12" s="54">
        <f t="shared" si="0"/>
        <v>1</v>
      </c>
      <c r="F12" s="55">
        <f t="shared" si="4"/>
        <v>99.76</v>
      </c>
      <c r="G12" s="56">
        <f>IF(D12=D11,"",_xlfn.IFNA(VLOOKUP(D12,'인원 입력 기능(직탐)'!$F$64:$I$116,4,FALSE),0))</f>
        <v>0</v>
      </c>
      <c r="H12" s="57">
        <f t="shared" si="1"/>
        <v>0</v>
      </c>
      <c r="I12" s="67">
        <f>SUM($G$7:G12)</f>
        <v>1</v>
      </c>
      <c r="J12" s="59">
        <f t="shared" si="5"/>
        <v>2.4449877750611247E-3</v>
      </c>
      <c r="K12" s="36"/>
      <c r="L12" s="20" t="str">
        <f t="shared" si="2"/>
        <v/>
      </c>
      <c r="N12" s="24"/>
      <c r="P12" s="24">
        <v>6</v>
      </c>
      <c r="Q12" s="24">
        <f>'표점등급&amp;절평인원 입력 기능'!C207</f>
        <v>41</v>
      </c>
    </row>
    <row r="13" spans="1:17" s="22" customFormat="1" ht="25" customHeight="1" x14ac:dyDescent="0.45">
      <c r="A13" s="20"/>
      <c r="B13" s="35"/>
      <c r="C13" s="53">
        <v>44</v>
      </c>
      <c r="D13" s="54">
        <f t="shared" si="3"/>
        <v>75</v>
      </c>
      <c r="E13" s="54">
        <f t="shared" si="0"/>
        <v>1</v>
      </c>
      <c r="F13" s="55">
        <f t="shared" si="4"/>
        <v>99.76</v>
      </c>
      <c r="G13" s="56">
        <f>IF(D13=D12,"",_xlfn.IFNA(VLOOKUP(D13,'인원 입력 기능(직탐)'!$F$64:$I$116,4,FALSE),0))</f>
        <v>0</v>
      </c>
      <c r="H13" s="57">
        <f t="shared" si="1"/>
        <v>0</v>
      </c>
      <c r="I13" s="67">
        <f>SUM($G$7:G13)</f>
        <v>1</v>
      </c>
      <c r="J13" s="59">
        <f t="shared" si="5"/>
        <v>2.4449877750611247E-3</v>
      </c>
      <c r="K13" s="36"/>
      <c r="L13" s="20" t="str">
        <f t="shared" si="2"/>
        <v/>
      </c>
      <c r="N13" s="24"/>
      <c r="P13" s="24">
        <v>7</v>
      </c>
      <c r="Q13" s="24">
        <f>'표점등급&amp;절평인원 입력 기능'!C208</f>
        <v>38</v>
      </c>
    </row>
    <row r="14" spans="1:17" s="22" customFormat="1" ht="25" customHeight="1" x14ac:dyDescent="0.45">
      <c r="A14" s="20"/>
      <c r="B14" s="35"/>
      <c r="C14" s="60">
        <v>43</v>
      </c>
      <c r="D14" s="54">
        <f t="shared" si="3"/>
        <v>74</v>
      </c>
      <c r="E14" s="54">
        <f t="shared" si="0"/>
        <v>1</v>
      </c>
      <c r="F14" s="55">
        <f t="shared" si="4"/>
        <v>99.63</v>
      </c>
      <c r="G14" s="56">
        <f>IF(D14=D13,"",_xlfn.IFNA(VLOOKUP(D14,'인원 입력 기능(직탐)'!$F$64:$I$116,4,FALSE),0))</f>
        <v>1</v>
      </c>
      <c r="H14" s="57">
        <f t="shared" si="1"/>
        <v>2.4449877750611247E-3</v>
      </c>
      <c r="I14" s="67">
        <f>SUM($G$7:G14)</f>
        <v>2</v>
      </c>
      <c r="J14" s="59">
        <f t="shared" si="5"/>
        <v>4.8899755501222494E-3</v>
      </c>
      <c r="K14" s="36"/>
      <c r="L14" s="20" t="str">
        <f t="shared" si="2"/>
        <v/>
      </c>
      <c r="N14" s="24"/>
      <c r="P14" s="24">
        <v>8</v>
      </c>
      <c r="Q14" s="24">
        <f>'표점등급&amp;절평인원 입력 기능'!C209</f>
        <v>35</v>
      </c>
    </row>
    <row r="15" spans="1:17" s="22" customFormat="1" ht="25" customHeight="1" x14ac:dyDescent="0.45">
      <c r="A15" s="20"/>
      <c r="B15" s="35"/>
      <c r="C15" s="53">
        <v>42</v>
      </c>
      <c r="D15" s="54">
        <f t="shared" si="3"/>
        <v>73</v>
      </c>
      <c r="E15" s="54">
        <f t="shared" si="0"/>
        <v>1</v>
      </c>
      <c r="F15" s="55">
        <f t="shared" si="4"/>
        <v>99.51</v>
      </c>
      <c r="G15" s="56">
        <f>IF(D15=D14,"",_xlfn.IFNA(VLOOKUP(D15,'인원 입력 기능(직탐)'!$F$64:$I$116,4,FALSE),0))</f>
        <v>0</v>
      </c>
      <c r="H15" s="57">
        <f t="shared" si="1"/>
        <v>0</v>
      </c>
      <c r="I15" s="67">
        <f>SUM($G$7:G15)</f>
        <v>2</v>
      </c>
      <c r="J15" s="59">
        <f t="shared" si="5"/>
        <v>4.8899755501222494E-3</v>
      </c>
      <c r="K15" s="36"/>
      <c r="L15" s="20" t="str">
        <f t="shared" si="2"/>
        <v/>
      </c>
      <c r="N15" s="24"/>
      <c r="P15" s="24">
        <v>9</v>
      </c>
      <c r="Q15" s="24"/>
    </row>
    <row r="16" spans="1:17" s="22" customFormat="1" ht="25" customHeight="1" x14ac:dyDescent="0.45">
      <c r="A16" s="20"/>
      <c r="B16" s="35"/>
      <c r="C16" s="60">
        <v>41</v>
      </c>
      <c r="D16" s="54">
        <f t="shared" si="3"/>
        <v>71</v>
      </c>
      <c r="E16" s="54">
        <f t="shared" si="0"/>
        <v>1</v>
      </c>
      <c r="F16" s="55">
        <f t="shared" si="4"/>
        <v>99.39</v>
      </c>
      <c r="G16" s="56">
        <f>IF(D16=D15,"",_xlfn.IFNA(VLOOKUP(D16,'인원 입력 기능(직탐)'!$F$64:$I$116,4,FALSE),0))</f>
        <v>1</v>
      </c>
      <c r="H16" s="57">
        <f t="shared" si="1"/>
        <v>2.4449877750611247E-3</v>
      </c>
      <c r="I16" s="67">
        <f>SUM($G$7:G16)</f>
        <v>3</v>
      </c>
      <c r="J16" s="59">
        <f t="shared" si="5"/>
        <v>7.3349633251833741E-3</v>
      </c>
      <c r="K16" s="36"/>
      <c r="L16" s="20" t="str">
        <f t="shared" si="2"/>
        <v>경고</v>
      </c>
      <c r="N16" s="24"/>
    </row>
    <row r="17" spans="1:17" s="22" customFormat="1" ht="25" customHeight="1" x14ac:dyDescent="0.45">
      <c r="A17" s="20"/>
      <c r="B17" s="35"/>
      <c r="C17" s="53">
        <v>40</v>
      </c>
      <c r="D17" s="54">
        <f t="shared" si="3"/>
        <v>70</v>
      </c>
      <c r="E17" s="54">
        <f t="shared" si="0"/>
        <v>1</v>
      </c>
      <c r="F17" s="55">
        <f t="shared" si="4"/>
        <v>98.9</v>
      </c>
      <c r="G17" s="56">
        <f>IF(D17=D16,"",_xlfn.IFNA(VLOOKUP(D17,'인원 입력 기능(직탐)'!$F$64:$I$116,4,FALSE),0))</f>
        <v>3</v>
      </c>
      <c r="H17" s="57">
        <f t="shared" si="1"/>
        <v>7.3349633251833741E-3</v>
      </c>
      <c r="I17" s="67">
        <f>SUM($G$7:G17)</f>
        <v>6</v>
      </c>
      <c r="J17" s="59">
        <f t="shared" si="5"/>
        <v>1.4669926650366748E-2</v>
      </c>
      <c r="K17" s="36"/>
      <c r="L17" s="20" t="str">
        <f t="shared" si="2"/>
        <v/>
      </c>
      <c r="N17" s="24"/>
      <c r="Q17" s="24">
        <f>Q7*H3*H4*J3*IFERROR(IF(J57=1, 1, 0), 0)</f>
        <v>5272462.6811999995</v>
      </c>
    </row>
    <row r="18" spans="1:17" s="22" customFormat="1" ht="25" customHeight="1" x14ac:dyDescent="0.45">
      <c r="A18" s="20"/>
      <c r="B18" s="35"/>
      <c r="C18" s="60">
        <v>39</v>
      </c>
      <c r="D18" s="54">
        <f t="shared" si="3"/>
        <v>69</v>
      </c>
      <c r="E18" s="54">
        <f t="shared" si="0"/>
        <v>1</v>
      </c>
      <c r="F18" s="55">
        <f t="shared" si="4"/>
        <v>97.92</v>
      </c>
      <c r="G18" s="56">
        <f>IF(D18=D17,"",_xlfn.IFNA(VLOOKUP(D18,'인원 입력 기능(직탐)'!$F$64:$I$116,4,FALSE),0))</f>
        <v>5</v>
      </c>
      <c r="H18" s="57">
        <f t="shared" si="1"/>
        <v>1.2224938875305624E-2</v>
      </c>
      <c r="I18" s="67">
        <f>SUM($G$7:G18)</f>
        <v>11</v>
      </c>
      <c r="J18" s="59">
        <f t="shared" si="5"/>
        <v>2.6894865525672371E-2</v>
      </c>
      <c r="K18" s="36"/>
      <c r="L18" s="20" t="str">
        <f t="shared" si="2"/>
        <v/>
      </c>
      <c r="N18" s="24"/>
    </row>
    <row r="19" spans="1:17" s="22" customFormat="1" ht="25" customHeight="1" x14ac:dyDescent="0.45">
      <c r="A19" s="20"/>
      <c r="B19" s="35"/>
      <c r="C19" s="53">
        <v>38</v>
      </c>
      <c r="D19" s="54">
        <f t="shared" si="3"/>
        <v>68</v>
      </c>
      <c r="E19" s="54">
        <f t="shared" si="0"/>
        <v>1</v>
      </c>
      <c r="F19" s="55">
        <f t="shared" si="4"/>
        <v>96.94</v>
      </c>
      <c r="G19" s="56">
        <f>IF(D19=D18,"",_xlfn.IFNA(VLOOKUP(D19,'인원 입력 기능(직탐)'!$F$64:$I$116,4,FALSE),0))</f>
        <v>3</v>
      </c>
      <c r="H19" s="57">
        <f t="shared" si="1"/>
        <v>7.3349633251833741E-3</v>
      </c>
      <c r="I19" s="67">
        <f>SUM($G$7:G19)</f>
        <v>14</v>
      </c>
      <c r="J19" s="59">
        <f t="shared" si="5"/>
        <v>3.4229828850855744E-2</v>
      </c>
      <c r="K19" s="36"/>
      <c r="L19" s="20" t="str">
        <f t="shared" si="2"/>
        <v/>
      </c>
      <c r="N19" s="24"/>
    </row>
    <row r="20" spans="1:17" s="22" customFormat="1" ht="25" customHeight="1" x14ac:dyDescent="0.45">
      <c r="A20" s="20"/>
      <c r="B20" s="35"/>
      <c r="C20" s="60">
        <v>37</v>
      </c>
      <c r="D20" s="54">
        <f t="shared" si="3"/>
        <v>67</v>
      </c>
      <c r="E20" s="54">
        <f t="shared" si="0"/>
        <v>1</v>
      </c>
      <c r="F20" s="55">
        <f t="shared" si="4"/>
        <v>96.33</v>
      </c>
      <c r="G20" s="56">
        <f>IF(D20=D19,"",_xlfn.IFNA(VLOOKUP(D20,'인원 입력 기능(직탐)'!$F$64:$I$116,4,FALSE),0))</f>
        <v>2</v>
      </c>
      <c r="H20" s="57">
        <f t="shared" si="1"/>
        <v>4.8899755501222494E-3</v>
      </c>
      <c r="I20" s="67">
        <f>SUM($G$7:G20)</f>
        <v>16</v>
      </c>
      <c r="J20" s="59">
        <f t="shared" si="5"/>
        <v>3.9119804400977995E-2</v>
      </c>
      <c r="K20" s="36"/>
      <c r="L20" s="20" t="str">
        <f t="shared" si="2"/>
        <v/>
      </c>
      <c r="N20" s="24"/>
    </row>
    <row r="21" spans="1:17" s="22" customFormat="1" ht="25" customHeight="1" x14ac:dyDescent="0.45">
      <c r="A21" s="20"/>
      <c r="B21" s="35"/>
      <c r="C21" s="106">
        <v>36</v>
      </c>
      <c r="D21" s="68">
        <f t="shared" si="3"/>
        <v>66</v>
      </c>
      <c r="E21" s="68">
        <f t="shared" si="0"/>
        <v>1</v>
      </c>
      <c r="F21" s="55">
        <f t="shared" si="4"/>
        <v>95.72</v>
      </c>
      <c r="G21" s="56">
        <f>IF(D21=D20,"",_xlfn.IFNA(VLOOKUP(D21,'인원 입력 기능(직탐)'!$F$64:$I$116,4,FALSE),0))</f>
        <v>3</v>
      </c>
      <c r="H21" s="57">
        <f t="shared" si="1"/>
        <v>7.3349633251833741E-3</v>
      </c>
      <c r="I21" s="67">
        <f>SUM($G$7:G21)</f>
        <v>19</v>
      </c>
      <c r="J21" s="59">
        <f t="shared" si="5"/>
        <v>4.6454767726161368E-2</v>
      </c>
      <c r="K21" s="36"/>
      <c r="L21" s="20" t="str">
        <f t="shared" si="2"/>
        <v/>
      </c>
      <c r="N21" s="24"/>
    </row>
    <row r="22" spans="1:17" s="22" customFormat="1" ht="25" customHeight="1" x14ac:dyDescent="0.45">
      <c r="A22" s="20"/>
      <c r="B22" s="35"/>
      <c r="C22" s="69">
        <v>35</v>
      </c>
      <c r="D22" s="68">
        <f t="shared" si="3"/>
        <v>65</v>
      </c>
      <c r="E22" s="68">
        <f t="shared" si="0"/>
        <v>2</v>
      </c>
      <c r="F22" s="55">
        <f t="shared" si="4"/>
        <v>93.77</v>
      </c>
      <c r="G22" s="56">
        <f>IF(D22=D21,"",_xlfn.IFNA(VLOOKUP(D22,'인원 입력 기능(직탐)'!$F$64:$I$116,4,FALSE),0))</f>
        <v>13</v>
      </c>
      <c r="H22" s="57">
        <f t="shared" si="1"/>
        <v>3.1784841075794622E-2</v>
      </c>
      <c r="I22" s="67">
        <f>SUM($G$7:G22)</f>
        <v>32</v>
      </c>
      <c r="J22" s="59">
        <f t="shared" si="5"/>
        <v>7.823960880195599E-2</v>
      </c>
      <c r="K22" s="36"/>
      <c r="L22" s="20" t="str">
        <f t="shared" si="2"/>
        <v/>
      </c>
      <c r="N22" s="24"/>
    </row>
    <row r="23" spans="1:17" s="22" customFormat="1" ht="25" customHeight="1" x14ac:dyDescent="0.45">
      <c r="A23" s="20"/>
      <c r="B23" s="35"/>
      <c r="C23" s="106">
        <v>34</v>
      </c>
      <c r="D23" s="68">
        <f t="shared" si="3"/>
        <v>64</v>
      </c>
      <c r="E23" s="68">
        <f t="shared" si="0"/>
        <v>2</v>
      </c>
      <c r="F23" s="55">
        <f t="shared" si="4"/>
        <v>91.08</v>
      </c>
      <c r="G23" s="56">
        <f>IF(D23=D22,"",_xlfn.IFNA(VLOOKUP(D23,'인원 입력 기능(직탐)'!$F$64:$I$116,4,FALSE),0))</f>
        <v>9</v>
      </c>
      <c r="H23" s="57">
        <f t="shared" si="1"/>
        <v>2.2004889975550123E-2</v>
      </c>
      <c r="I23" s="67">
        <f>SUM($G$7:G23)</f>
        <v>41</v>
      </c>
      <c r="J23" s="59">
        <f t="shared" si="5"/>
        <v>0.10024449877750612</v>
      </c>
      <c r="K23" s="36"/>
      <c r="L23" s="20" t="str">
        <f t="shared" si="2"/>
        <v/>
      </c>
      <c r="N23" s="24"/>
    </row>
    <row r="24" spans="1:17" s="22" customFormat="1" ht="25" customHeight="1" x14ac:dyDescent="0.45">
      <c r="A24" s="20"/>
      <c r="B24" s="35"/>
      <c r="C24" s="69">
        <v>33</v>
      </c>
      <c r="D24" s="68">
        <f t="shared" si="3"/>
        <v>63</v>
      </c>
      <c r="E24" s="68">
        <f t="shared" si="0"/>
        <v>2</v>
      </c>
      <c r="F24" s="55">
        <f t="shared" si="4"/>
        <v>89.49</v>
      </c>
      <c r="G24" s="56">
        <f>IF(D24=D23,"",_xlfn.IFNA(VLOOKUP(D24,'인원 입력 기능(직탐)'!$F$64:$I$116,4,FALSE),0))</f>
        <v>4</v>
      </c>
      <c r="H24" s="57">
        <f t="shared" si="1"/>
        <v>9.7799511002444987E-3</v>
      </c>
      <c r="I24" s="67">
        <f>SUM($G$7:G24)</f>
        <v>45</v>
      </c>
      <c r="J24" s="59">
        <f t="shared" si="5"/>
        <v>0.1100244498777506</v>
      </c>
      <c r="K24" s="36"/>
      <c r="L24" s="20" t="str">
        <f t="shared" si="2"/>
        <v/>
      </c>
      <c r="N24" s="24"/>
    </row>
    <row r="25" spans="1:17" s="22" customFormat="1" ht="25" customHeight="1" x14ac:dyDescent="0.45">
      <c r="A25" s="20"/>
      <c r="B25" s="35"/>
      <c r="C25" s="106">
        <v>32</v>
      </c>
      <c r="D25" s="68">
        <f t="shared" si="3"/>
        <v>62</v>
      </c>
      <c r="E25" s="68">
        <f t="shared" si="0"/>
        <v>3</v>
      </c>
      <c r="F25" s="55">
        <f t="shared" si="4"/>
        <v>87.53</v>
      </c>
      <c r="G25" s="56">
        <f>IF(D25=D24,"",_xlfn.IFNA(VLOOKUP(D25,'인원 입력 기능(직탐)'!$F$64:$I$116,4,FALSE),0))</f>
        <v>12</v>
      </c>
      <c r="H25" s="57">
        <f t="shared" si="1"/>
        <v>2.9339853300733496E-2</v>
      </c>
      <c r="I25" s="67">
        <f>SUM($G$7:G25)</f>
        <v>57</v>
      </c>
      <c r="J25" s="59">
        <f t="shared" si="5"/>
        <v>0.13936430317848411</v>
      </c>
      <c r="K25" s="36"/>
      <c r="L25" s="20" t="str">
        <f t="shared" si="2"/>
        <v/>
      </c>
      <c r="N25" s="24"/>
    </row>
    <row r="26" spans="1:17" s="22" customFormat="1" ht="25" customHeight="1" x14ac:dyDescent="0.45">
      <c r="A26" s="20"/>
      <c r="B26" s="35"/>
      <c r="C26" s="69">
        <v>31</v>
      </c>
      <c r="D26" s="68">
        <f t="shared" si="3"/>
        <v>61</v>
      </c>
      <c r="E26" s="68">
        <f t="shared" si="0"/>
        <v>3</v>
      </c>
      <c r="F26" s="55">
        <f t="shared" si="4"/>
        <v>83.99</v>
      </c>
      <c r="G26" s="56">
        <f>IF(D26=D25,"",_xlfn.IFNA(VLOOKUP(D26,'인원 입력 기능(직탐)'!$F$64:$I$116,4,FALSE),0))</f>
        <v>17</v>
      </c>
      <c r="H26" s="57">
        <f t="shared" si="1"/>
        <v>4.1564792176039117E-2</v>
      </c>
      <c r="I26" s="67">
        <f>SUM($G$7:G26)</f>
        <v>74</v>
      </c>
      <c r="J26" s="59">
        <f t="shared" si="5"/>
        <v>0.18092909535452323</v>
      </c>
      <c r="K26" s="36"/>
      <c r="L26" s="20" t="str">
        <f t="shared" si="2"/>
        <v/>
      </c>
      <c r="N26" s="24"/>
    </row>
    <row r="27" spans="1:17" s="22" customFormat="1" ht="25" customHeight="1" x14ac:dyDescent="0.45">
      <c r="A27" s="20"/>
      <c r="B27" s="35"/>
      <c r="C27" s="106">
        <v>30</v>
      </c>
      <c r="D27" s="68">
        <f t="shared" si="3"/>
        <v>60</v>
      </c>
      <c r="E27" s="68">
        <f t="shared" si="0"/>
        <v>3</v>
      </c>
      <c r="F27" s="55">
        <f t="shared" si="4"/>
        <v>80.319999999999993</v>
      </c>
      <c r="G27" s="56">
        <f>IF(D27=D26,"",_xlfn.IFNA(VLOOKUP(D27,'인원 입력 기능(직탐)'!$F$64:$I$116,4,FALSE),0))</f>
        <v>13</v>
      </c>
      <c r="H27" s="57">
        <f t="shared" si="1"/>
        <v>3.1784841075794622E-2</v>
      </c>
      <c r="I27" s="67">
        <f>SUM($G$7:G27)</f>
        <v>87</v>
      </c>
      <c r="J27" s="59">
        <f t="shared" si="5"/>
        <v>0.21271393643031786</v>
      </c>
      <c r="K27" s="36"/>
      <c r="L27" s="20" t="str">
        <f t="shared" si="2"/>
        <v/>
      </c>
      <c r="N27" s="24"/>
    </row>
    <row r="28" spans="1:17" s="22" customFormat="1" ht="25" customHeight="1" x14ac:dyDescent="0.45">
      <c r="A28" s="20"/>
      <c r="B28" s="35"/>
      <c r="C28" s="69">
        <v>29</v>
      </c>
      <c r="D28" s="68">
        <f t="shared" si="3"/>
        <v>59</v>
      </c>
      <c r="E28" s="68">
        <f t="shared" si="0"/>
        <v>3</v>
      </c>
      <c r="F28" s="55">
        <f t="shared" si="4"/>
        <v>77.14</v>
      </c>
      <c r="G28" s="56">
        <f>IF(D28=D27,"",_xlfn.IFNA(VLOOKUP(D28,'인원 입력 기능(직탐)'!$F$64:$I$116,4,FALSE),0))</f>
        <v>13</v>
      </c>
      <c r="H28" s="57">
        <f t="shared" si="1"/>
        <v>3.1784841075794622E-2</v>
      </c>
      <c r="I28" s="67">
        <f>SUM($G$7:G28)</f>
        <v>100</v>
      </c>
      <c r="J28" s="59">
        <f t="shared" si="5"/>
        <v>0.24449877750611246</v>
      </c>
      <c r="K28" s="36"/>
      <c r="L28" s="20" t="str">
        <f t="shared" si="2"/>
        <v/>
      </c>
      <c r="N28" s="24"/>
    </row>
    <row r="29" spans="1:17" s="22" customFormat="1" ht="25" customHeight="1" x14ac:dyDescent="0.45">
      <c r="A29" s="20"/>
      <c r="B29" s="35"/>
      <c r="C29" s="106">
        <v>28</v>
      </c>
      <c r="D29" s="68">
        <f t="shared" si="3"/>
        <v>58</v>
      </c>
      <c r="E29" s="68">
        <f t="shared" si="0"/>
        <v>4</v>
      </c>
      <c r="F29" s="55">
        <f t="shared" si="4"/>
        <v>74.209999999999994</v>
      </c>
      <c r="G29" s="56">
        <f>IF(D29=D28,"",_xlfn.IFNA(VLOOKUP(D29,'인원 입력 기능(직탐)'!$F$64:$I$116,4,FALSE),0))</f>
        <v>11</v>
      </c>
      <c r="H29" s="57">
        <f t="shared" si="1"/>
        <v>2.6894865525672371E-2</v>
      </c>
      <c r="I29" s="67">
        <f>SUM($G$7:G29)</f>
        <v>111</v>
      </c>
      <c r="J29" s="59">
        <f t="shared" si="5"/>
        <v>0.27139364303178481</v>
      </c>
      <c r="K29" s="36"/>
      <c r="L29" s="20" t="str">
        <f t="shared" si="2"/>
        <v/>
      </c>
      <c r="N29" s="24"/>
    </row>
    <row r="30" spans="1:17" s="22" customFormat="1" ht="25" customHeight="1" x14ac:dyDescent="0.45">
      <c r="A30" s="20"/>
      <c r="B30" s="35"/>
      <c r="C30" s="69">
        <v>27</v>
      </c>
      <c r="D30" s="68">
        <f t="shared" si="3"/>
        <v>57</v>
      </c>
      <c r="E30" s="68">
        <f t="shared" si="0"/>
        <v>4</v>
      </c>
      <c r="F30" s="55">
        <f t="shared" si="4"/>
        <v>71.64</v>
      </c>
      <c r="G30" s="56">
        <f>IF(D30=D29,"",_xlfn.IFNA(VLOOKUP(D30,'인원 입력 기능(직탐)'!$F$64:$I$116,4,FALSE),0))</f>
        <v>10</v>
      </c>
      <c r="H30" s="57">
        <f t="shared" si="1"/>
        <v>2.4449877750611249E-2</v>
      </c>
      <c r="I30" s="67">
        <f>SUM($G$7:G30)</f>
        <v>121</v>
      </c>
      <c r="J30" s="59">
        <f t="shared" si="5"/>
        <v>0.29584352078239606</v>
      </c>
      <c r="K30" s="36"/>
      <c r="L30" s="20" t="str">
        <f t="shared" si="2"/>
        <v/>
      </c>
      <c r="N30" s="24"/>
    </row>
    <row r="31" spans="1:17" s="22" customFormat="1" ht="25" customHeight="1" x14ac:dyDescent="0.45">
      <c r="A31" s="20"/>
      <c r="B31" s="35"/>
      <c r="C31" s="106">
        <v>26</v>
      </c>
      <c r="D31" s="68">
        <f t="shared" si="3"/>
        <v>56</v>
      </c>
      <c r="E31" s="68">
        <f t="shared" si="0"/>
        <v>4</v>
      </c>
      <c r="F31" s="55">
        <f t="shared" si="4"/>
        <v>69.069999999999993</v>
      </c>
      <c r="G31" s="56">
        <f>IF(D31=D30,"",_xlfn.IFNA(VLOOKUP(D31,'인원 입력 기능(직탐)'!$F$64:$I$116,4,FALSE),0))</f>
        <v>11</v>
      </c>
      <c r="H31" s="57">
        <f t="shared" si="1"/>
        <v>2.6894865525672371E-2</v>
      </c>
      <c r="I31" s="67">
        <f>SUM($G$7:G31)</f>
        <v>132</v>
      </c>
      <c r="J31" s="59">
        <f t="shared" si="5"/>
        <v>0.32273838630806845</v>
      </c>
      <c r="K31" s="36"/>
      <c r="L31" s="20" t="str">
        <f t="shared" si="2"/>
        <v/>
      </c>
      <c r="N31" s="24"/>
    </row>
    <row r="32" spans="1:17" s="22" customFormat="1" ht="25" customHeight="1" x14ac:dyDescent="0.45">
      <c r="A32" s="20"/>
      <c r="B32" s="35"/>
      <c r="C32" s="69">
        <v>25</v>
      </c>
      <c r="D32" s="68">
        <f t="shared" si="3"/>
        <v>55</v>
      </c>
      <c r="E32" s="68">
        <f t="shared" si="0"/>
        <v>4</v>
      </c>
      <c r="F32" s="55">
        <f t="shared" si="4"/>
        <v>66.260000000000005</v>
      </c>
      <c r="G32" s="56">
        <f>IF(D32=D31,"",_xlfn.IFNA(VLOOKUP(D32,'인원 입력 기능(직탐)'!$F$64:$I$116,4,FALSE),0))</f>
        <v>12</v>
      </c>
      <c r="H32" s="57">
        <f t="shared" si="1"/>
        <v>2.9339853300733496E-2</v>
      </c>
      <c r="I32" s="67">
        <f>SUM($G$7:G32)</f>
        <v>144</v>
      </c>
      <c r="J32" s="59">
        <f t="shared" si="5"/>
        <v>0.35207823960880197</v>
      </c>
      <c r="K32" s="36"/>
      <c r="L32" s="20" t="str">
        <f t="shared" si="2"/>
        <v/>
      </c>
      <c r="N32" s="24"/>
    </row>
    <row r="33" spans="1:14" s="22" customFormat="1" ht="25" customHeight="1" x14ac:dyDescent="0.45">
      <c r="A33" s="20"/>
      <c r="B33" s="35"/>
      <c r="C33" s="106">
        <v>24</v>
      </c>
      <c r="D33" s="68">
        <f t="shared" si="3"/>
        <v>54</v>
      </c>
      <c r="E33" s="68">
        <f t="shared" si="0"/>
        <v>4</v>
      </c>
      <c r="F33" s="55">
        <f t="shared" si="4"/>
        <v>63.45</v>
      </c>
      <c r="G33" s="56">
        <f>IF(D33=D32,"",_xlfn.IFNA(VLOOKUP(D33,'인원 입력 기능(직탐)'!$F$64:$I$116,4,FALSE),0))</f>
        <v>11</v>
      </c>
      <c r="H33" s="57">
        <f t="shared" si="1"/>
        <v>2.6894865525672371E-2</v>
      </c>
      <c r="I33" s="67">
        <f>SUM($G$7:G33)</f>
        <v>155</v>
      </c>
      <c r="J33" s="59">
        <f t="shared" si="5"/>
        <v>0.37897310513447435</v>
      </c>
      <c r="K33" s="36"/>
      <c r="L33" s="20" t="str">
        <f t="shared" si="2"/>
        <v/>
      </c>
      <c r="N33" s="24"/>
    </row>
    <row r="34" spans="1:14" s="22" customFormat="1" ht="25" customHeight="1" x14ac:dyDescent="0.45">
      <c r="A34" s="20"/>
      <c r="B34" s="35"/>
      <c r="C34" s="69">
        <v>23</v>
      </c>
      <c r="D34" s="68">
        <f t="shared" si="3"/>
        <v>53</v>
      </c>
      <c r="E34" s="68">
        <f t="shared" si="0"/>
        <v>4</v>
      </c>
      <c r="F34" s="55">
        <f t="shared" si="4"/>
        <v>60.64</v>
      </c>
      <c r="G34" s="56">
        <f>IF(D34=D33,"",_xlfn.IFNA(VLOOKUP(D34,'인원 입력 기능(직탐)'!$F$64:$I$116,4,FALSE),0))</f>
        <v>12</v>
      </c>
      <c r="H34" s="57">
        <f t="shared" si="1"/>
        <v>2.9339853300733496E-2</v>
      </c>
      <c r="I34" s="67">
        <f>SUM($G$7:G34)</f>
        <v>167</v>
      </c>
      <c r="J34" s="59">
        <f t="shared" si="5"/>
        <v>0.40831295843520782</v>
      </c>
      <c r="K34" s="36"/>
      <c r="L34" s="20" t="str">
        <f t="shared" si="2"/>
        <v/>
      </c>
      <c r="N34" s="24"/>
    </row>
    <row r="35" spans="1:14" s="22" customFormat="1" ht="25" customHeight="1" x14ac:dyDescent="0.45">
      <c r="A35" s="20"/>
      <c r="B35" s="35"/>
      <c r="C35" s="106">
        <v>22</v>
      </c>
      <c r="D35" s="68">
        <f t="shared" si="3"/>
        <v>52</v>
      </c>
      <c r="E35" s="68">
        <f t="shared" si="0"/>
        <v>5</v>
      </c>
      <c r="F35" s="55">
        <f t="shared" si="4"/>
        <v>57.58</v>
      </c>
      <c r="G35" s="56">
        <f>IF(D35=D34,"",_xlfn.IFNA(VLOOKUP(D35,'인원 입력 기능(직탐)'!$F$64:$I$116,4,FALSE),0))</f>
        <v>13</v>
      </c>
      <c r="H35" s="57">
        <f t="shared" si="1"/>
        <v>3.1784841075794622E-2</v>
      </c>
      <c r="I35" s="67">
        <f>SUM($G$7:G35)</f>
        <v>180</v>
      </c>
      <c r="J35" s="59">
        <f t="shared" si="5"/>
        <v>0.44009779951100242</v>
      </c>
      <c r="K35" s="36"/>
      <c r="L35" s="20" t="str">
        <f t="shared" si="2"/>
        <v/>
      </c>
      <c r="N35" s="24"/>
    </row>
    <row r="36" spans="1:14" s="22" customFormat="1" ht="25" customHeight="1" x14ac:dyDescent="0.45">
      <c r="A36" s="20"/>
      <c r="B36" s="35"/>
      <c r="C36" s="69">
        <v>21</v>
      </c>
      <c r="D36" s="68">
        <f t="shared" si="3"/>
        <v>51</v>
      </c>
      <c r="E36" s="68">
        <f t="shared" si="0"/>
        <v>5</v>
      </c>
      <c r="F36" s="55">
        <f t="shared" si="4"/>
        <v>54.4</v>
      </c>
      <c r="G36" s="56">
        <f>IF(D36=D35,"",_xlfn.IFNA(VLOOKUP(D36,'인원 입력 기능(직탐)'!$F$64:$I$116,4,FALSE),0))</f>
        <v>13</v>
      </c>
      <c r="H36" s="57">
        <f t="shared" si="1"/>
        <v>3.1784841075794622E-2</v>
      </c>
      <c r="I36" s="67">
        <f>SUM($G$7:G36)</f>
        <v>193</v>
      </c>
      <c r="J36" s="59">
        <f t="shared" si="5"/>
        <v>0.47188264058679708</v>
      </c>
      <c r="K36" s="36"/>
      <c r="L36" s="20" t="str">
        <f t="shared" si="2"/>
        <v/>
      </c>
      <c r="N36" s="24"/>
    </row>
    <row r="37" spans="1:14" s="22" customFormat="1" ht="25" customHeight="1" x14ac:dyDescent="0.45">
      <c r="A37" s="20"/>
      <c r="B37" s="35"/>
      <c r="C37" s="106">
        <v>20</v>
      </c>
      <c r="D37" s="68">
        <f t="shared" si="3"/>
        <v>50</v>
      </c>
      <c r="E37" s="68">
        <f t="shared" si="0"/>
        <v>5</v>
      </c>
      <c r="F37" s="55">
        <f t="shared" si="4"/>
        <v>51.71</v>
      </c>
      <c r="G37" s="56">
        <f>IF(D37=D36,"",_xlfn.IFNA(VLOOKUP(D37,'인원 입력 기능(직탐)'!$F$64:$I$116,4,FALSE),0))</f>
        <v>9</v>
      </c>
      <c r="H37" s="57">
        <f t="shared" si="1"/>
        <v>2.2004889975550123E-2</v>
      </c>
      <c r="I37" s="67">
        <f>SUM($G$7:G37)</f>
        <v>202</v>
      </c>
      <c r="J37" s="59">
        <f t="shared" si="5"/>
        <v>0.49388753056234719</v>
      </c>
      <c r="K37" s="36"/>
      <c r="L37" s="20" t="str">
        <f t="shared" si="2"/>
        <v/>
      </c>
      <c r="N37" s="24"/>
    </row>
    <row r="38" spans="1:14" s="22" customFormat="1" ht="25" customHeight="1" x14ac:dyDescent="0.45">
      <c r="A38" s="20"/>
      <c r="B38" s="35"/>
      <c r="C38" s="69">
        <v>19</v>
      </c>
      <c r="D38" s="68">
        <f t="shared" si="3"/>
        <v>49</v>
      </c>
      <c r="E38" s="68">
        <f t="shared" si="0"/>
        <v>5</v>
      </c>
      <c r="F38" s="55">
        <f t="shared" si="4"/>
        <v>49.76</v>
      </c>
      <c r="G38" s="56">
        <f>IF(D38=D37,"",_xlfn.IFNA(VLOOKUP(D38,'인원 입력 기능(직탐)'!$F$64:$I$116,4,FALSE),0))</f>
        <v>7</v>
      </c>
      <c r="H38" s="57">
        <f t="shared" si="1"/>
        <v>1.7114914425427872E-2</v>
      </c>
      <c r="I38" s="67">
        <f>SUM($G$7:G38)</f>
        <v>209</v>
      </c>
      <c r="J38" s="59">
        <f t="shared" si="5"/>
        <v>0.51100244498777503</v>
      </c>
      <c r="K38" s="36"/>
      <c r="L38" s="20" t="str">
        <f t="shared" si="2"/>
        <v/>
      </c>
      <c r="N38" s="24"/>
    </row>
    <row r="39" spans="1:14" s="22" customFormat="1" ht="25" customHeight="1" x14ac:dyDescent="0.45">
      <c r="A39" s="20"/>
      <c r="B39" s="35"/>
      <c r="C39" s="106">
        <v>18</v>
      </c>
      <c r="D39" s="68">
        <f t="shared" si="3"/>
        <v>48</v>
      </c>
      <c r="E39" s="68">
        <f t="shared" si="0"/>
        <v>5</v>
      </c>
      <c r="F39" s="55">
        <f t="shared" si="4"/>
        <v>47.68</v>
      </c>
      <c r="G39" s="56">
        <f>IF(D39=D38,"",_xlfn.IFNA(VLOOKUP(D39,'인원 입력 기능(직탐)'!$F$64:$I$116,4,FALSE),0))</f>
        <v>10</v>
      </c>
      <c r="H39" s="57">
        <f t="shared" si="1"/>
        <v>2.4449877750611249E-2</v>
      </c>
      <c r="I39" s="67">
        <f>SUM($G$7:G39)</f>
        <v>219</v>
      </c>
      <c r="J39" s="59">
        <f t="shared" si="5"/>
        <v>0.53545232273838628</v>
      </c>
      <c r="K39" s="36"/>
      <c r="L39" s="20" t="str">
        <f t="shared" si="2"/>
        <v/>
      </c>
      <c r="N39" s="24"/>
    </row>
    <row r="40" spans="1:14" s="22" customFormat="1" ht="25" customHeight="1" x14ac:dyDescent="0.45">
      <c r="A40" s="20"/>
      <c r="B40" s="35"/>
      <c r="C40" s="69">
        <v>17</v>
      </c>
      <c r="D40" s="68">
        <f t="shared" si="3"/>
        <v>47</v>
      </c>
      <c r="E40" s="68">
        <f t="shared" si="0"/>
        <v>5</v>
      </c>
      <c r="F40" s="55">
        <f t="shared" si="4"/>
        <v>44.62</v>
      </c>
      <c r="G40" s="56">
        <f>IF(D40=D39,"",_xlfn.IFNA(VLOOKUP(D40,'인원 입력 기능(직탐)'!$F$64:$I$116,4,FALSE),0))</f>
        <v>15</v>
      </c>
      <c r="H40" s="57">
        <f t="shared" si="1"/>
        <v>3.6674816625916873E-2</v>
      </c>
      <c r="I40" s="67">
        <f>SUM($G$7:G40)</f>
        <v>234</v>
      </c>
      <c r="J40" s="59">
        <f t="shared" si="5"/>
        <v>0.57212713936430315</v>
      </c>
      <c r="K40" s="36"/>
      <c r="L40" s="20" t="str">
        <f t="shared" si="2"/>
        <v/>
      </c>
      <c r="N40" s="24"/>
    </row>
    <row r="41" spans="1:14" s="22" customFormat="1" ht="25" customHeight="1" x14ac:dyDescent="0.45">
      <c r="A41" s="20"/>
      <c r="B41" s="35"/>
      <c r="C41" s="106">
        <v>16</v>
      </c>
      <c r="D41" s="68">
        <f t="shared" si="3"/>
        <v>46</v>
      </c>
      <c r="E41" s="68">
        <f t="shared" si="0"/>
        <v>5</v>
      </c>
      <c r="F41" s="55">
        <f t="shared" si="4"/>
        <v>41.44</v>
      </c>
      <c r="G41" s="56">
        <f>IF(D41=D40,"",_xlfn.IFNA(VLOOKUP(D41,'인원 입력 기능(직탐)'!$F$64:$I$116,4,FALSE),0))</f>
        <v>11</v>
      </c>
      <c r="H41" s="57">
        <f t="shared" si="1"/>
        <v>2.6894865525672371E-2</v>
      </c>
      <c r="I41" s="67">
        <f>SUM($G$7:G41)</f>
        <v>245</v>
      </c>
      <c r="J41" s="59">
        <f t="shared" si="5"/>
        <v>0.59902200488997559</v>
      </c>
      <c r="K41" s="36"/>
      <c r="L41" s="20" t="str">
        <f t="shared" si="2"/>
        <v/>
      </c>
      <c r="N41" s="24"/>
    </row>
    <row r="42" spans="1:14" s="22" customFormat="1" ht="25" customHeight="1" x14ac:dyDescent="0.45">
      <c r="A42" s="20"/>
      <c r="B42" s="35"/>
      <c r="C42" s="69">
        <v>15</v>
      </c>
      <c r="D42" s="68">
        <f t="shared" si="3"/>
        <v>45</v>
      </c>
      <c r="E42" s="68">
        <f t="shared" si="0"/>
        <v>5</v>
      </c>
      <c r="F42" s="55">
        <f t="shared" si="4"/>
        <v>38.75</v>
      </c>
      <c r="G42" s="56">
        <f>IF(D42=D41,"",_xlfn.IFNA(VLOOKUP(D42,'인원 입력 기능(직탐)'!$F$64:$I$116,4,FALSE),0))</f>
        <v>11</v>
      </c>
      <c r="H42" s="57">
        <f t="shared" si="1"/>
        <v>2.6894865525672371E-2</v>
      </c>
      <c r="I42" s="67">
        <f>SUM($G$7:G42)</f>
        <v>256</v>
      </c>
      <c r="J42" s="59">
        <f t="shared" si="5"/>
        <v>0.62591687041564792</v>
      </c>
      <c r="K42" s="36"/>
      <c r="L42" s="20" t="str">
        <f t="shared" si="2"/>
        <v/>
      </c>
      <c r="N42" s="24"/>
    </row>
    <row r="43" spans="1:14" s="22" customFormat="1" ht="25" customHeight="1" x14ac:dyDescent="0.45">
      <c r="A43" s="20"/>
      <c r="B43" s="35"/>
      <c r="C43" s="106">
        <v>14</v>
      </c>
      <c r="D43" s="68">
        <f t="shared" si="3"/>
        <v>44</v>
      </c>
      <c r="E43" s="68">
        <f t="shared" si="0"/>
        <v>6</v>
      </c>
      <c r="F43" s="55">
        <f t="shared" si="4"/>
        <v>36.92</v>
      </c>
      <c r="G43" s="56">
        <f>IF(D43=D42,"",_xlfn.IFNA(VLOOKUP(D43,'인원 입력 기능(직탐)'!$F$64:$I$116,4,FALSE),0))</f>
        <v>4</v>
      </c>
      <c r="H43" s="57">
        <f t="shared" si="1"/>
        <v>9.7799511002444987E-3</v>
      </c>
      <c r="I43" s="67">
        <f>SUM($G$7:G43)</f>
        <v>260</v>
      </c>
      <c r="J43" s="59">
        <f t="shared" si="5"/>
        <v>0.63569682151589246</v>
      </c>
      <c r="K43" s="36"/>
      <c r="L43" s="20" t="str">
        <f t="shared" si="2"/>
        <v/>
      </c>
      <c r="N43" s="24"/>
    </row>
    <row r="44" spans="1:14" s="22" customFormat="1" ht="25" customHeight="1" x14ac:dyDescent="0.45">
      <c r="A44" s="20"/>
      <c r="B44" s="35"/>
      <c r="C44" s="69">
        <v>13</v>
      </c>
      <c r="D44" s="68">
        <f t="shared" si="3"/>
        <v>43</v>
      </c>
      <c r="E44" s="68">
        <f t="shared" si="0"/>
        <v>6</v>
      </c>
      <c r="F44" s="55">
        <f t="shared" si="4"/>
        <v>34.72</v>
      </c>
      <c r="G44" s="56">
        <f>IF(D44=D43,"",_xlfn.IFNA(VLOOKUP(D44,'인원 입력 기능(직탐)'!$F$64:$I$116,4,FALSE),0))</f>
        <v>14</v>
      </c>
      <c r="H44" s="57">
        <f t="shared" si="1"/>
        <v>3.4229828850855744E-2</v>
      </c>
      <c r="I44" s="67">
        <f>SUM($G$7:G44)</f>
        <v>274</v>
      </c>
      <c r="J44" s="59">
        <f t="shared" si="5"/>
        <v>0.66992665036674814</v>
      </c>
      <c r="K44" s="36"/>
      <c r="L44" s="20" t="str">
        <f t="shared" si="2"/>
        <v/>
      </c>
      <c r="N44" s="24"/>
    </row>
    <row r="45" spans="1:14" s="22" customFormat="1" ht="25" customHeight="1" x14ac:dyDescent="0.45">
      <c r="A45" s="20"/>
      <c r="B45" s="35"/>
      <c r="C45" s="106">
        <v>12</v>
      </c>
      <c r="D45" s="68">
        <f t="shared" si="3"/>
        <v>42</v>
      </c>
      <c r="E45" s="68">
        <f t="shared" si="0"/>
        <v>6</v>
      </c>
      <c r="F45" s="55">
        <f t="shared" si="4"/>
        <v>29.95</v>
      </c>
      <c r="G45" s="56">
        <f>IF(D45=D44,"",_xlfn.IFNA(VLOOKUP(D45,'인원 입력 기능(직탐)'!$F$64:$I$116,4,FALSE),0))</f>
        <v>25</v>
      </c>
      <c r="H45" s="57">
        <f t="shared" si="1"/>
        <v>6.1124694376528114E-2</v>
      </c>
      <c r="I45" s="67">
        <f>SUM($G$7:G45)</f>
        <v>299</v>
      </c>
      <c r="J45" s="59">
        <f t="shared" si="5"/>
        <v>0.73105134474327627</v>
      </c>
      <c r="K45" s="36"/>
      <c r="L45" s="20" t="str">
        <f t="shared" si="2"/>
        <v/>
      </c>
      <c r="N45" s="24"/>
    </row>
    <row r="46" spans="1:14" s="22" customFormat="1" ht="25" customHeight="1" x14ac:dyDescent="0.45">
      <c r="A46" s="20"/>
      <c r="B46" s="35"/>
      <c r="C46" s="69">
        <v>11</v>
      </c>
      <c r="D46" s="68">
        <f t="shared" si="3"/>
        <v>41</v>
      </c>
      <c r="E46" s="68">
        <f t="shared" si="0"/>
        <v>6</v>
      </c>
      <c r="F46" s="55">
        <f t="shared" si="4"/>
        <v>22.86</v>
      </c>
      <c r="G46" s="56">
        <f>IF(D46=D45,"",_xlfn.IFNA(VLOOKUP(D46,'인원 입력 기능(직탐)'!$F$64:$I$116,4,FALSE),0))</f>
        <v>33</v>
      </c>
      <c r="H46" s="57">
        <f t="shared" si="1"/>
        <v>8.0684596577017112E-2</v>
      </c>
      <c r="I46" s="67">
        <f>SUM($G$7:G46)</f>
        <v>332</v>
      </c>
      <c r="J46" s="59">
        <f t="shared" si="5"/>
        <v>0.81173594132029336</v>
      </c>
      <c r="K46" s="36"/>
      <c r="L46" s="20" t="str">
        <f t="shared" si="2"/>
        <v/>
      </c>
      <c r="N46" s="24"/>
    </row>
    <row r="47" spans="1:14" s="22" customFormat="1" ht="25" customHeight="1" x14ac:dyDescent="0.45">
      <c r="A47" s="20"/>
      <c r="B47" s="35"/>
      <c r="C47" s="106">
        <v>10</v>
      </c>
      <c r="D47" s="68">
        <f t="shared" si="3"/>
        <v>40</v>
      </c>
      <c r="E47" s="68">
        <f t="shared" si="0"/>
        <v>7</v>
      </c>
      <c r="F47" s="55">
        <f t="shared" si="4"/>
        <v>16.989999999999998</v>
      </c>
      <c r="G47" s="56">
        <f>IF(D47=D46,"",_xlfn.IFNA(VLOOKUP(D47,'인원 입력 기능(직탐)'!$F$64:$I$116,4,FALSE),0))</f>
        <v>15</v>
      </c>
      <c r="H47" s="57">
        <f t="shared" si="1"/>
        <v>3.6674816625916873E-2</v>
      </c>
      <c r="I47" s="67">
        <f>SUM($G$7:G47)</f>
        <v>347</v>
      </c>
      <c r="J47" s="59">
        <f t="shared" si="5"/>
        <v>0.84841075794621024</v>
      </c>
      <c r="K47" s="36"/>
      <c r="L47" s="20" t="str">
        <f t="shared" si="2"/>
        <v/>
      </c>
      <c r="N47" s="24"/>
    </row>
    <row r="48" spans="1:14" s="22" customFormat="1" ht="25" customHeight="1" x14ac:dyDescent="0.45">
      <c r="A48" s="20"/>
      <c r="B48" s="35"/>
      <c r="C48" s="69">
        <v>9</v>
      </c>
      <c r="D48" s="68">
        <f t="shared" si="3"/>
        <v>39</v>
      </c>
      <c r="E48" s="68">
        <f t="shared" si="0"/>
        <v>7</v>
      </c>
      <c r="F48" s="55">
        <f t="shared" si="4"/>
        <v>13.69</v>
      </c>
      <c r="G48" s="56">
        <f>IF(D48=D47,"",_xlfn.IFNA(VLOOKUP(D48,'인원 입력 기능(직탐)'!$F$64:$I$116,4,FALSE),0))</f>
        <v>12</v>
      </c>
      <c r="H48" s="57">
        <f t="shared" si="1"/>
        <v>2.9339853300733496E-2</v>
      </c>
      <c r="I48" s="67">
        <f>SUM($G$7:G48)</f>
        <v>359</v>
      </c>
      <c r="J48" s="59">
        <f t="shared" si="5"/>
        <v>0.87775061124694376</v>
      </c>
      <c r="K48" s="36"/>
      <c r="L48" s="20" t="str">
        <f t="shared" si="2"/>
        <v/>
      </c>
      <c r="N48" s="24"/>
    </row>
    <row r="49" spans="1:14" s="22" customFormat="1" ht="25" customHeight="1" x14ac:dyDescent="0.45">
      <c r="A49" s="20"/>
      <c r="B49" s="35"/>
      <c r="C49" s="106">
        <v>8</v>
      </c>
      <c r="D49" s="68">
        <f t="shared" si="3"/>
        <v>38</v>
      </c>
      <c r="E49" s="68">
        <f t="shared" si="0"/>
        <v>7</v>
      </c>
      <c r="F49" s="55">
        <f t="shared" si="4"/>
        <v>9.9</v>
      </c>
      <c r="G49" s="56">
        <f>IF(D49=D48,"",_xlfn.IFNA(VLOOKUP(D49,'인원 입력 기능(직탐)'!$F$64:$I$116,4,FALSE),0))</f>
        <v>19</v>
      </c>
      <c r="H49" s="57">
        <f t="shared" si="1"/>
        <v>4.6454767726161368E-2</v>
      </c>
      <c r="I49" s="67">
        <f>SUM($G$7:G49)</f>
        <v>378</v>
      </c>
      <c r="J49" s="59">
        <f t="shared" si="5"/>
        <v>0.92420537897310517</v>
      </c>
      <c r="K49" s="36"/>
      <c r="L49" s="20" t="str">
        <f t="shared" si="2"/>
        <v/>
      </c>
      <c r="N49" s="24"/>
    </row>
    <row r="50" spans="1:14" s="22" customFormat="1" ht="25" customHeight="1" x14ac:dyDescent="0.45">
      <c r="A50" s="20"/>
      <c r="B50" s="35"/>
      <c r="C50" s="69">
        <v>7</v>
      </c>
      <c r="D50" s="68">
        <f t="shared" si="3"/>
        <v>37</v>
      </c>
      <c r="E50" s="68">
        <f t="shared" si="0"/>
        <v>8</v>
      </c>
      <c r="F50" s="55">
        <f t="shared" si="4"/>
        <v>6.6</v>
      </c>
      <c r="G50" s="56">
        <f>IF(D50=D49,"",_xlfn.IFNA(VLOOKUP(D50,'인원 입력 기능(직탐)'!$F$64:$I$116,4,FALSE),0))</f>
        <v>8</v>
      </c>
      <c r="H50" s="57">
        <f t="shared" si="1"/>
        <v>1.9559902200488997E-2</v>
      </c>
      <c r="I50" s="67">
        <f>SUM($G$7:G50)</f>
        <v>386</v>
      </c>
      <c r="J50" s="59">
        <f t="shared" si="5"/>
        <v>0.94376528117359415</v>
      </c>
      <c r="K50" s="36"/>
      <c r="L50" s="20" t="str">
        <f t="shared" si="2"/>
        <v/>
      </c>
      <c r="N50" s="24"/>
    </row>
    <row r="51" spans="1:14" s="22" customFormat="1" ht="25" customHeight="1" x14ac:dyDescent="0.45">
      <c r="A51" s="20"/>
      <c r="B51" s="35"/>
      <c r="C51" s="106">
        <v>6</v>
      </c>
      <c r="D51" s="68">
        <f t="shared" si="3"/>
        <v>36</v>
      </c>
      <c r="E51" s="68">
        <f t="shared" si="0"/>
        <v>8</v>
      </c>
      <c r="F51" s="55">
        <f t="shared" si="4"/>
        <v>4.8899999999999997</v>
      </c>
      <c r="G51" s="56">
        <f>IF(D51=D50,"",_xlfn.IFNA(VLOOKUP(D51,'인원 입력 기능(직탐)'!$F$64:$I$116,4,FALSE),0))</f>
        <v>6</v>
      </c>
      <c r="H51" s="57">
        <f t="shared" si="1"/>
        <v>1.4669926650366748E-2</v>
      </c>
      <c r="I51" s="67">
        <f>SUM($G$7:G51)</f>
        <v>392</v>
      </c>
      <c r="J51" s="59">
        <f t="shared" si="5"/>
        <v>0.95843520782396086</v>
      </c>
      <c r="K51" s="36"/>
      <c r="L51" s="20" t="str">
        <f t="shared" si="2"/>
        <v/>
      </c>
      <c r="N51" s="24"/>
    </row>
    <row r="52" spans="1:14" s="22" customFormat="1" ht="25" customHeight="1" x14ac:dyDescent="0.45">
      <c r="A52" s="20"/>
      <c r="B52" s="35"/>
      <c r="C52" s="69">
        <v>5</v>
      </c>
      <c r="D52" s="68">
        <f t="shared" si="3"/>
        <v>35</v>
      </c>
      <c r="E52" s="68">
        <f t="shared" si="0"/>
        <v>8</v>
      </c>
      <c r="F52" s="55">
        <f t="shared" si="4"/>
        <v>3.06</v>
      </c>
      <c r="G52" s="56">
        <f>IF(D52=D51,"",_xlfn.IFNA(VLOOKUP(D52,'인원 입력 기능(직탐)'!$F$64:$I$116,4,FALSE),0))</f>
        <v>9</v>
      </c>
      <c r="H52" s="57">
        <f t="shared" si="1"/>
        <v>2.2004889975550123E-2</v>
      </c>
      <c r="I52" s="67">
        <f>SUM($G$7:G52)</f>
        <v>401</v>
      </c>
      <c r="J52" s="59">
        <f t="shared" si="5"/>
        <v>0.98044009779951102</v>
      </c>
      <c r="K52" s="36"/>
      <c r="L52" s="20" t="str">
        <f t="shared" si="2"/>
        <v/>
      </c>
      <c r="N52" s="24"/>
    </row>
    <row r="53" spans="1:14" s="22" customFormat="1" ht="25" customHeight="1" x14ac:dyDescent="0.45">
      <c r="A53" s="20"/>
      <c r="B53" s="35"/>
      <c r="C53" s="53">
        <v>4</v>
      </c>
      <c r="D53" s="54">
        <f t="shared" si="3"/>
        <v>34</v>
      </c>
      <c r="E53" s="54">
        <f t="shared" si="0"/>
        <v>9</v>
      </c>
      <c r="F53" s="55">
        <f t="shared" si="4"/>
        <v>1.71</v>
      </c>
      <c r="G53" s="56">
        <f>IF(D53=D52,"",_xlfn.IFNA(VLOOKUP(D53,'인원 입력 기능(직탐)'!$F$64:$I$116,4,FALSE),0))</f>
        <v>2</v>
      </c>
      <c r="H53" s="57">
        <f t="shared" si="1"/>
        <v>4.8899755501222494E-3</v>
      </c>
      <c r="I53" s="67">
        <f>SUM($G$7:G53)</f>
        <v>403</v>
      </c>
      <c r="J53" s="59">
        <f t="shared" si="5"/>
        <v>0.9853300733496333</v>
      </c>
      <c r="K53" s="36"/>
      <c r="L53" s="20" t="str">
        <f t="shared" si="2"/>
        <v/>
      </c>
      <c r="N53" s="24"/>
    </row>
    <row r="54" spans="1:14" s="22" customFormat="1" ht="25" customHeight="1" x14ac:dyDescent="0.45">
      <c r="A54" s="20"/>
      <c r="B54" s="35"/>
      <c r="C54" s="60">
        <v>3</v>
      </c>
      <c r="D54" s="54">
        <f t="shared" si="3"/>
        <v>33</v>
      </c>
      <c r="E54" s="54">
        <f t="shared" si="0"/>
        <v>9</v>
      </c>
      <c r="F54" s="55">
        <f t="shared" si="4"/>
        <v>1.22</v>
      </c>
      <c r="G54" s="56">
        <f>IF(D54=D53,"",_xlfn.IFNA(VLOOKUP(D54,'인원 입력 기능(직탐)'!$F$64:$I$116,4,FALSE),0))</f>
        <v>2</v>
      </c>
      <c r="H54" s="57">
        <f t="shared" si="1"/>
        <v>4.8899755501222494E-3</v>
      </c>
      <c r="I54" s="67">
        <f>SUM($G$7:G54)</f>
        <v>405</v>
      </c>
      <c r="J54" s="59">
        <f t="shared" si="5"/>
        <v>0.99022004889975546</v>
      </c>
      <c r="K54" s="36"/>
      <c r="L54" s="20" t="str">
        <f t="shared" si="2"/>
        <v/>
      </c>
      <c r="N54" s="24"/>
    </row>
    <row r="55" spans="1:14" s="22" customFormat="1" ht="25" customHeight="1" x14ac:dyDescent="0.45">
      <c r="A55" s="20"/>
      <c r="B55" s="35"/>
      <c r="C55" s="53">
        <v>2</v>
      </c>
      <c r="D55" s="54">
        <f t="shared" si="3"/>
        <v>32</v>
      </c>
      <c r="E55" s="54">
        <f t="shared" si="0"/>
        <v>9</v>
      </c>
      <c r="F55" s="55">
        <f t="shared" si="4"/>
        <v>0.73</v>
      </c>
      <c r="G55" s="56">
        <f>IF(D55=D54,"",_xlfn.IFNA(VLOOKUP(D55,'인원 입력 기능(직탐)'!$F$64:$I$116,4,FALSE),0))</f>
        <v>2</v>
      </c>
      <c r="H55" s="57">
        <f t="shared" si="1"/>
        <v>4.8899755501222494E-3</v>
      </c>
      <c r="I55" s="67">
        <f>SUM($G$7:G55)</f>
        <v>407</v>
      </c>
      <c r="J55" s="59">
        <f t="shared" si="5"/>
        <v>0.99511002444987773</v>
      </c>
      <c r="K55" s="36"/>
      <c r="L55" s="20" t="str">
        <f t="shared" si="2"/>
        <v/>
      </c>
      <c r="N55" s="24"/>
    </row>
    <row r="56" spans="1:14" s="22" customFormat="1" ht="25" customHeight="1" x14ac:dyDescent="0.45">
      <c r="A56" s="20"/>
      <c r="B56" s="35"/>
      <c r="C56" s="60">
        <v>1</v>
      </c>
      <c r="D56" s="61" t="s">
        <v>59</v>
      </c>
      <c r="E56" s="61"/>
      <c r="F56" s="62"/>
      <c r="G56" s="107"/>
      <c r="H56" s="105"/>
      <c r="I56" s="71"/>
      <c r="J56" s="66"/>
      <c r="K56" s="36"/>
      <c r="L56" s="20"/>
      <c r="N56" s="24"/>
    </row>
    <row r="57" spans="1:14" s="22" customFormat="1" ht="25" customHeight="1" thickBot="1" x14ac:dyDescent="0.5">
      <c r="A57" s="20"/>
      <c r="B57" s="35"/>
      <c r="C57" s="108">
        <v>0</v>
      </c>
      <c r="D57" s="73">
        <f>ROUND(10*(C57-$H$3)/$H$4+50,0)</f>
        <v>30</v>
      </c>
      <c r="E57" s="109">
        <f t="shared" si="0"/>
        <v>9</v>
      </c>
      <c r="F57" s="74">
        <f>IF(I55=0,ROUND(100*(1-(I54+I57)/2/$J$3),2),ROUND(100*(1-(I55+I57)/2/$J$3),2))</f>
        <v>0.24</v>
      </c>
      <c r="G57" s="110">
        <f>_xlfn.IFNA(VLOOKUP(D57,'인원 입력 기능(직탐)'!$F$64:$I$116,4,FALSE),0)</f>
        <v>2</v>
      </c>
      <c r="H57" s="76">
        <f>G57/$J$3</f>
        <v>4.8899755501222494E-3</v>
      </c>
      <c r="I57" s="77">
        <f>SUM($G$7:G57)</f>
        <v>409</v>
      </c>
      <c r="J57" s="111">
        <f>I57/$J$3</f>
        <v>1</v>
      </c>
      <c r="K57" s="36"/>
      <c r="L57" s="20" t="str">
        <f t="shared" si="2"/>
        <v/>
      </c>
      <c r="N57" s="24"/>
    </row>
    <row r="58" spans="1:14" ht="6" customHeight="1" x14ac:dyDescent="0.45">
      <c r="A58" s="5"/>
      <c r="B58" s="32"/>
      <c r="C58" s="33"/>
      <c r="D58" s="33"/>
      <c r="E58" s="33"/>
      <c r="F58" s="33"/>
      <c r="G58" s="33"/>
      <c r="H58" s="33"/>
      <c r="I58" s="33"/>
      <c r="J58" s="33"/>
      <c r="K58" s="34"/>
      <c r="L58" s="5"/>
      <c r="N58" s="1"/>
    </row>
    <row r="59" spans="1:14" x14ac:dyDescent="0.45">
      <c r="N59" s="1"/>
    </row>
    <row r="60" spans="1:14" x14ac:dyDescent="0.45">
      <c r="N60" s="1"/>
    </row>
    <row r="61" spans="1:14" x14ac:dyDescent="0.45">
      <c r="N61" s="1"/>
    </row>
    <row r="62" spans="1:14" x14ac:dyDescent="0.45">
      <c r="N62" s="1"/>
    </row>
    <row r="63" spans="1:14" x14ac:dyDescent="0.45">
      <c r="N63" s="1"/>
    </row>
    <row r="64" spans="1:14" x14ac:dyDescent="0.45">
      <c r="N64" s="1"/>
    </row>
    <row r="65" spans="14:14" x14ac:dyDescent="0.45">
      <c r="N65" s="1"/>
    </row>
    <row r="66" spans="14:14" x14ac:dyDescent="0.45">
      <c r="N66" s="1"/>
    </row>
    <row r="67" spans="14:14" x14ac:dyDescent="0.45">
      <c r="N67" s="1"/>
    </row>
    <row r="68" spans="14:14" x14ac:dyDescent="0.45">
      <c r="N68" s="1"/>
    </row>
    <row r="69" spans="14:14" x14ac:dyDescent="0.45">
      <c r="N69" s="1"/>
    </row>
    <row r="70" spans="14:14" x14ac:dyDescent="0.45">
      <c r="N70" s="1"/>
    </row>
    <row r="71" spans="14:14" x14ac:dyDescent="0.45">
      <c r="N71" s="1"/>
    </row>
    <row r="72" spans="14:14" x14ac:dyDescent="0.45">
      <c r="N72" s="1"/>
    </row>
    <row r="73" spans="14:14" x14ac:dyDescent="0.45">
      <c r="N73" s="1"/>
    </row>
    <row r="74" spans="14:14" x14ac:dyDescent="0.45">
      <c r="N74" s="1"/>
    </row>
    <row r="75" spans="14:14" x14ac:dyDescent="0.45">
      <c r="N75" s="1"/>
    </row>
    <row r="76" spans="14:14" x14ac:dyDescent="0.45">
      <c r="N76" s="1"/>
    </row>
    <row r="77" spans="14:14" x14ac:dyDescent="0.45">
      <c r="N77" s="1"/>
    </row>
    <row r="78" spans="14:14" x14ac:dyDescent="0.45">
      <c r="N78" s="1"/>
    </row>
    <row r="79" spans="14:14" x14ac:dyDescent="0.45">
      <c r="N79" s="1"/>
    </row>
    <row r="80" spans="14:14" x14ac:dyDescent="0.45">
      <c r="N80" s="1"/>
    </row>
    <row r="81" spans="14:14" x14ac:dyDescent="0.45">
      <c r="N81" s="1"/>
    </row>
    <row r="82" spans="14:14" x14ac:dyDescent="0.45">
      <c r="N82" s="1"/>
    </row>
    <row r="83" spans="14:14" x14ac:dyDescent="0.45">
      <c r="N83" s="1"/>
    </row>
    <row r="84" spans="14:14" x14ac:dyDescent="0.45">
      <c r="N84" s="1"/>
    </row>
    <row r="85" spans="14:14" x14ac:dyDescent="0.45">
      <c r="N85" s="1"/>
    </row>
    <row r="86" spans="14:14" x14ac:dyDescent="0.45">
      <c r="N86" s="1"/>
    </row>
    <row r="87" spans="14:14" x14ac:dyDescent="0.45">
      <c r="N87" s="1"/>
    </row>
    <row r="88" spans="14:14" x14ac:dyDescent="0.45">
      <c r="N88" s="1"/>
    </row>
    <row r="89" spans="14:14" x14ac:dyDescent="0.45">
      <c r="N89" s="1"/>
    </row>
    <row r="90" spans="14:14" x14ac:dyDescent="0.45">
      <c r="N90" s="1"/>
    </row>
    <row r="91" spans="14:14" x14ac:dyDescent="0.45">
      <c r="N91" s="1"/>
    </row>
    <row r="92" spans="14:14" x14ac:dyDescent="0.45">
      <c r="N92" s="1"/>
    </row>
    <row r="93" spans="14:14" x14ac:dyDescent="0.45">
      <c r="N93" s="1"/>
    </row>
    <row r="94" spans="14:14" x14ac:dyDescent="0.45">
      <c r="N94" s="1"/>
    </row>
    <row r="95" spans="14:14" x14ac:dyDescent="0.45">
      <c r="N95" s="1"/>
    </row>
    <row r="96" spans="14:14" x14ac:dyDescent="0.45">
      <c r="N96" s="1"/>
    </row>
    <row r="97" spans="14:14" x14ac:dyDescent="0.45">
      <c r="N97" s="1"/>
    </row>
    <row r="98" spans="14:14" x14ac:dyDescent="0.45">
      <c r="N98" s="1"/>
    </row>
    <row r="99" spans="14:14" x14ac:dyDescent="0.45">
      <c r="N99" s="1"/>
    </row>
    <row r="100" spans="14:14" x14ac:dyDescent="0.45">
      <c r="N100" s="1"/>
    </row>
    <row r="101" spans="14:14" x14ac:dyDescent="0.45">
      <c r="N101" s="1"/>
    </row>
    <row r="102" spans="14:14" x14ac:dyDescent="0.45">
      <c r="N102" s="1"/>
    </row>
    <row r="103" spans="14:14" x14ac:dyDescent="0.45">
      <c r="N103" s="1"/>
    </row>
    <row r="104" spans="14:14" x14ac:dyDescent="0.45">
      <c r="N104" s="1"/>
    </row>
    <row r="105" spans="14:14" x14ac:dyDescent="0.45">
      <c r="N105" s="1"/>
    </row>
  </sheetData>
  <mergeCells count="3">
    <mergeCell ref="D3:F3"/>
    <mergeCell ref="D4:F4"/>
    <mergeCell ref="G5:J5"/>
  </mergeCells>
  <phoneticPr fontId="1" type="noConversion"/>
  <conditionalFormatting sqref="D7:G57 I7:J57">
    <cfRule type="expression" dxfId="3" priority="4">
      <formula>OR($D7=$Q$7:$Q$14)</formula>
    </cfRule>
  </conditionalFormatting>
  <conditionalFormatting sqref="C7:C57">
    <cfRule type="expression" dxfId="2" priority="3">
      <formula>OR(AND($D7=0,OR($D6=$Q$7:$Q$14)),AND($D8&gt;0,OR($D7=$Q$7:$Q$14)))</formula>
    </cfRule>
  </conditionalFormatting>
  <conditionalFormatting sqref="D7:D57">
    <cfRule type="expression" dxfId="1" priority="2">
      <formula>$D7=$D8</formula>
    </cfRule>
  </conditionalFormatting>
  <conditionalFormatting sqref="H7:H57">
    <cfRule type="expression" dxfId="0" priority="1">
      <formula>OR($D7=$Q$7:$Q$14)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053E8-AF8B-41CE-8FC2-7AB369CF160E}">
  <sheetPr codeName="Sheet29">
    <tabColor rgb="FF00B050"/>
    <pageSetUpPr fitToPage="1"/>
  </sheetPr>
  <dimension ref="A1:N51"/>
  <sheetViews>
    <sheetView topLeftCell="A32" zoomScale="70" zoomScaleNormal="70" workbookViewId="0">
      <selection activeCell="B3" sqref="B3:M50"/>
    </sheetView>
  </sheetViews>
  <sheetFormatPr defaultRowHeight="17" x14ac:dyDescent="0.45"/>
  <cols>
    <col min="1" max="1" width="8.6640625" style="5"/>
    <col min="2" max="2" width="1" customWidth="1"/>
    <col min="3" max="3" width="11.4140625" style="18" customWidth="1"/>
    <col min="4" max="11" width="12.4140625" style="1" customWidth="1"/>
    <col min="12" max="12" width="12.4140625" customWidth="1"/>
    <col min="13" max="13" width="1" customWidth="1"/>
  </cols>
  <sheetData>
    <row r="1" spans="1:13" s="5" customFormat="1" x14ac:dyDescent="0.45">
      <c r="A1" s="5" t="s">
        <v>89</v>
      </c>
      <c r="C1" s="17"/>
      <c r="D1" s="3"/>
      <c r="E1" s="3"/>
      <c r="F1" s="3"/>
      <c r="G1" s="3"/>
      <c r="H1" s="3"/>
      <c r="I1" s="3"/>
      <c r="J1" s="3"/>
      <c r="K1" s="3"/>
    </row>
    <row r="2" spans="1:13" x14ac:dyDescent="0.45">
      <c r="B2" s="5"/>
      <c r="C2" s="17"/>
      <c r="D2" s="3"/>
      <c r="E2" s="3"/>
      <c r="F2" s="3"/>
      <c r="G2" s="3"/>
      <c r="H2" s="3"/>
      <c r="I2" s="3"/>
      <c r="J2" s="3"/>
      <c r="K2" s="3"/>
      <c r="L2" s="5"/>
      <c r="M2" s="5"/>
    </row>
    <row r="3" spans="1:13" ht="6" customHeight="1" thickBot="1" x14ac:dyDescent="0.5">
      <c r="B3" s="27"/>
      <c r="C3" s="39"/>
      <c r="D3" s="40"/>
      <c r="E3" s="40"/>
      <c r="F3" s="40"/>
      <c r="G3" s="40"/>
      <c r="H3" s="40"/>
      <c r="I3" s="40"/>
      <c r="J3" s="40"/>
      <c r="K3" s="40"/>
      <c r="L3" s="28"/>
      <c r="M3" s="29"/>
    </row>
    <row r="4" spans="1:13" ht="25" customHeight="1" x14ac:dyDescent="0.45">
      <c r="B4" s="30"/>
      <c r="C4" s="79" t="s">
        <v>121</v>
      </c>
      <c r="D4" s="200" t="s">
        <v>190</v>
      </c>
      <c r="E4" s="200"/>
      <c r="F4" s="200"/>
      <c r="G4" s="201"/>
      <c r="H4" s="19"/>
      <c r="I4" s="19"/>
      <c r="J4" s="19"/>
      <c r="K4" s="19"/>
      <c r="L4" s="20"/>
      <c r="M4" s="31"/>
    </row>
    <row r="5" spans="1:13" ht="25" customHeight="1" thickBot="1" x14ac:dyDescent="0.5">
      <c r="B5" s="30"/>
      <c r="C5" s="82" t="s">
        <v>155</v>
      </c>
      <c r="D5" s="202" t="s">
        <v>156</v>
      </c>
      <c r="E5" s="202"/>
      <c r="F5" s="202"/>
      <c r="G5" s="203"/>
      <c r="H5" s="19"/>
      <c r="I5" s="19"/>
      <c r="J5" s="19"/>
      <c r="K5" s="19"/>
      <c r="L5" s="20"/>
      <c r="M5" s="31"/>
    </row>
    <row r="6" spans="1:13" ht="25" customHeight="1" x14ac:dyDescent="0.45">
      <c r="B6" s="30"/>
      <c r="C6" s="204" t="s">
        <v>192</v>
      </c>
      <c r="D6" s="204"/>
      <c r="E6" s="204"/>
      <c r="F6" s="204"/>
      <c r="G6" s="204"/>
      <c r="H6" s="204"/>
      <c r="I6" s="204"/>
      <c r="J6" s="204"/>
      <c r="K6" s="204"/>
      <c r="L6" s="204"/>
      <c r="M6" s="31"/>
    </row>
    <row r="7" spans="1:13" ht="25" customHeight="1" thickBot="1" x14ac:dyDescent="0.5">
      <c r="B7" s="30"/>
      <c r="C7" s="204"/>
      <c r="D7" s="204"/>
      <c r="E7" s="204"/>
      <c r="F7" s="204"/>
      <c r="G7" s="204"/>
      <c r="H7" s="204"/>
      <c r="I7" s="204"/>
      <c r="J7" s="204"/>
      <c r="K7" s="204"/>
      <c r="L7" s="204"/>
      <c r="M7" s="31"/>
    </row>
    <row r="8" spans="1:13" s="26" customFormat="1" ht="25" customHeight="1" thickBot="1" x14ac:dyDescent="0.5">
      <c r="A8" s="25"/>
      <c r="B8" s="41"/>
      <c r="C8" s="113" t="s">
        <v>157</v>
      </c>
      <c r="D8" s="114" t="s">
        <v>158</v>
      </c>
      <c r="E8" s="115" t="s">
        <v>159</v>
      </c>
      <c r="F8" s="37"/>
      <c r="G8" s="37"/>
      <c r="H8" s="37"/>
      <c r="I8" s="37"/>
      <c r="J8" s="37"/>
      <c r="K8" s="37"/>
      <c r="L8" s="38"/>
      <c r="M8" s="42"/>
    </row>
    <row r="9" spans="1:13" s="26" customFormat="1" ht="25" customHeight="1" x14ac:dyDescent="0.45">
      <c r="A9" s="25"/>
      <c r="B9" s="41"/>
      <c r="C9" s="116" t="s">
        <v>160</v>
      </c>
      <c r="D9" s="117">
        <f>ROUNDUP((국어!$Q7-0.5-100)/20*국어!$H$4+국어!$H$3, 0)</f>
        <v>84</v>
      </c>
      <c r="E9" s="118">
        <f>ROUNDUP((수학!$Q7-0.5-100)/20*수학!$H$4+수학!$H$3, 0)</f>
        <v>82</v>
      </c>
      <c r="F9" s="37"/>
      <c r="G9" s="37"/>
      <c r="H9" s="37"/>
      <c r="I9" s="37"/>
      <c r="J9" s="37"/>
      <c r="K9" s="37"/>
      <c r="L9" s="38"/>
      <c r="M9" s="42"/>
    </row>
    <row r="10" spans="1:13" s="26" customFormat="1" ht="25" customHeight="1" x14ac:dyDescent="0.45">
      <c r="A10" s="25"/>
      <c r="B10" s="41"/>
      <c r="C10" s="119" t="s">
        <v>161</v>
      </c>
      <c r="D10" s="106">
        <v>74</v>
      </c>
      <c r="E10" s="120">
        <f>ROUNDUP((수학!$Q8-0.5-100)/20*수학!$H$4+수학!$H$3, 0)</f>
        <v>69</v>
      </c>
      <c r="F10" s="37"/>
      <c r="G10" s="37"/>
      <c r="H10" s="37"/>
      <c r="I10" s="37"/>
      <c r="J10" s="37"/>
      <c r="K10" s="37"/>
      <c r="L10" s="38"/>
      <c r="M10" s="42"/>
    </row>
    <row r="11" spans="1:13" s="26" customFormat="1" ht="25" customHeight="1" x14ac:dyDescent="0.45">
      <c r="A11" s="25"/>
      <c r="B11" s="41"/>
      <c r="C11" s="119" t="s">
        <v>162</v>
      </c>
      <c r="D11" s="106">
        <f>ROUNDUP((국어!$Q9-0.5-100)/20*국어!$H$4+국어!$H$3, 0)</f>
        <v>64</v>
      </c>
      <c r="E11" s="120">
        <f>ROUNDUP((수학!$Q9-0.5-100)/20*수학!$H$4+수학!$H$3, 0)</f>
        <v>54</v>
      </c>
      <c r="F11" s="37"/>
      <c r="G11" s="37"/>
      <c r="H11" s="37"/>
      <c r="I11" s="37"/>
      <c r="J11" s="37"/>
      <c r="K11" s="37"/>
      <c r="L11" s="38"/>
      <c r="M11" s="42"/>
    </row>
    <row r="12" spans="1:13" s="26" customFormat="1" ht="25" customHeight="1" x14ac:dyDescent="0.45">
      <c r="A12" s="25"/>
      <c r="B12" s="41"/>
      <c r="C12" s="119" t="s">
        <v>163</v>
      </c>
      <c r="D12" s="106">
        <f>ROUNDUP((국어!$Q10-0.5-100)/20*국어!$H$4+국어!$H$3, 0)</f>
        <v>51</v>
      </c>
      <c r="E12" s="120">
        <f>ROUNDUP((수학!$Q10-0.5-100)/20*수학!$H$4+수학!$H$3, 0)</f>
        <v>38</v>
      </c>
      <c r="F12" s="37"/>
      <c r="G12" s="37"/>
      <c r="H12" s="37"/>
      <c r="I12" s="37"/>
      <c r="J12" s="37"/>
      <c r="K12" s="37"/>
      <c r="L12" s="38"/>
      <c r="M12" s="42"/>
    </row>
    <row r="13" spans="1:13" s="26" customFormat="1" ht="25" customHeight="1" x14ac:dyDescent="0.45">
      <c r="A13" s="25"/>
      <c r="B13" s="41"/>
      <c r="C13" s="119" t="s">
        <v>164</v>
      </c>
      <c r="D13" s="106">
        <f>ROUNDUP((국어!$Q11-0.5-100)/20*국어!$H$4+국어!$H$3, 0)</f>
        <v>37</v>
      </c>
      <c r="E13" s="120">
        <f>ROUNDUP((수학!$Q11-0.5-100)/20*수학!$H$4+수학!$H$3, 0)</f>
        <v>24</v>
      </c>
      <c r="F13" s="37"/>
      <c r="G13" s="37"/>
      <c r="H13" s="37"/>
      <c r="I13" s="37"/>
      <c r="J13" s="37"/>
      <c r="K13" s="37"/>
      <c r="L13" s="38"/>
      <c r="M13" s="42"/>
    </row>
    <row r="14" spans="1:13" s="26" customFormat="1" ht="25" customHeight="1" x14ac:dyDescent="0.45">
      <c r="A14" s="25"/>
      <c r="B14" s="41"/>
      <c r="C14" s="119" t="s">
        <v>165</v>
      </c>
      <c r="D14" s="106">
        <f>ROUNDUP((국어!$Q12-0.5-100)/20*국어!$H$4+국어!$H$3, 0)</f>
        <v>29</v>
      </c>
      <c r="E14" s="120">
        <f>ROUNDUP((수학!$Q12-0.5-100)/20*수학!$H$4+수학!$H$3, 0)</f>
        <v>16</v>
      </c>
      <c r="F14" s="37"/>
      <c r="G14" s="37"/>
      <c r="H14" s="37"/>
      <c r="I14" s="37"/>
      <c r="J14" s="37"/>
      <c r="K14" s="37"/>
      <c r="L14" s="38"/>
      <c r="M14" s="42"/>
    </row>
    <row r="15" spans="1:13" s="26" customFormat="1" ht="25" customHeight="1" x14ac:dyDescent="0.45">
      <c r="A15" s="25"/>
      <c r="B15" s="41"/>
      <c r="C15" s="119" t="s">
        <v>166</v>
      </c>
      <c r="D15" s="106">
        <f>ROUNDUP((국어!$Q13-0.5-100)/20*국어!$H$4+국어!$H$3, 0)</f>
        <v>20</v>
      </c>
      <c r="E15" s="120">
        <f>ROUNDUP((수학!$Q13-0.5-100)/20*수학!$H$4+수학!$H$3, 0)</f>
        <v>13</v>
      </c>
      <c r="F15" s="37"/>
      <c r="G15" s="37"/>
      <c r="H15" s="37"/>
      <c r="I15" s="37"/>
      <c r="J15" s="37"/>
      <c r="K15" s="37"/>
      <c r="L15" s="38"/>
      <c r="M15" s="42"/>
    </row>
    <row r="16" spans="1:13" s="26" customFormat="1" ht="25" customHeight="1" thickBot="1" x14ac:dyDescent="0.5">
      <c r="A16" s="25"/>
      <c r="B16" s="41"/>
      <c r="C16" s="121" t="s">
        <v>167</v>
      </c>
      <c r="D16" s="122">
        <f>ROUNDUP((국어!$Q14-0.5-100)/20*국어!$H$4+국어!$H$3, 0)</f>
        <v>14</v>
      </c>
      <c r="E16" s="123">
        <f>ROUNDUP((수학!$Q14-0.5-100)/20*수학!$H$4+수학!$H$3, 0)</f>
        <v>9</v>
      </c>
      <c r="F16" s="37"/>
      <c r="G16" s="37"/>
      <c r="H16" s="37"/>
      <c r="I16" s="37"/>
      <c r="J16" s="37"/>
      <c r="K16" s="37"/>
      <c r="L16" s="38"/>
      <c r="M16" s="42"/>
    </row>
    <row r="17" spans="1:13" s="26" customFormat="1" ht="25" customHeight="1" x14ac:dyDescent="0.45">
      <c r="A17" s="25"/>
      <c r="B17" s="41"/>
      <c r="C17" s="37"/>
      <c r="D17" s="37"/>
      <c r="E17" s="37"/>
      <c r="F17" s="37"/>
      <c r="G17" s="37"/>
      <c r="H17" s="37"/>
      <c r="I17" s="37"/>
      <c r="J17" s="37"/>
      <c r="K17" s="37"/>
      <c r="L17" s="38"/>
      <c r="M17" s="42"/>
    </row>
    <row r="18" spans="1:13" s="26" customFormat="1" ht="25" customHeight="1" thickBot="1" x14ac:dyDescent="0.5">
      <c r="A18" s="25"/>
      <c r="B18" s="41"/>
      <c r="C18" s="37"/>
      <c r="D18" s="37"/>
      <c r="E18" s="37"/>
      <c r="F18" s="37"/>
      <c r="G18" s="37"/>
      <c r="H18" s="37"/>
      <c r="I18" s="37"/>
      <c r="J18" s="37"/>
      <c r="K18" s="37"/>
      <c r="L18" s="38"/>
      <c r="M18" s="42"/>
    </row>
    <row r="19" spans="1:13" s="26" customFormat="1" ht="25" customHeight="1" thickBot="1" x14ac:dyDescent="0.5">
      <c r="A19" s="25"/>
      <c r="B19" s="41"/>
      <c r="C19" s="124" t="s">
        <v>168</v>
      </c>
      <c r="D19" s="125" t="s">
        <v>169</v>
      </c>
      <c r="E19" s="126" t="s">
        <v>170</v>
      </c>
      <c r="F19" s="126" t="s">
        <v>171</v>
      </c>
      <c r="G19" s="126" t="s">
        <v>172</v>
      </c>
      <c r="H19" s="126" t="s">
        <v>173</v>
      </c>
      <c r="I19" s="126" t="s">
        <v>174</v>
      </c>
      <c r="J19" s="126" t="s">
        <v>175</v>
      </c>
      <c r="K19" s="126" t="s">
        <v>176</v>
      </c>
      <c r="L19" s="115" t="s">
        <v>177</v>
      </c>
      <c r="M19" s="42"/>
    </row>
    <row r="20" spans="1:13" s="26" customFormat="1" ht="25" customHeight="1" x14ac:dyDescent="0.45">
      <c r="A20" s="25"/>
      <c r="B20" s="41"/>
      <c r="C20" s="127" t="s">
        <v>160</v>
      </c>
      <c r="D20" s="106">
        <f>ROUNDUP(('생활과 윤리'!$Q7-0.5-50)/10*'생활과 윤리'!$H$4+'생활과 윤리'!$H$3, 0)</f>
        <v>47</v>
      </c>
      <c r="E20" s="68">
        <f>ROUNDUP(('윤리와 사상'!$Q7-0.5-50)/10*'윤리와 사상'!$H$4+'윤리와 사상'!$H$3, 0)</f>
        <v>39</v>
      </c>
      <c r="F20" s="68">
        <f>ROUNDUP((한국지리!$Q7-0.5-50)/10*한국지리!$H$4+한국지리!$H$3, 0)</f>
        <v>45</v>
      </c>
      <c r="G20" s="68">
        <f>ROUNDUP((세계지리!$Q7-0.5-50)/10*세계지리!$H$4+세계지리!$H$3, 0)</f>
        <v>45</v>
      </c>
      <c r="H20" s="68">
        <f>ROUNDUP((동아시아사!$Q7-0.5-50)/10*동아시아사!$H$4+동아시아사!$H$3, 0)</f>
        <v>45</v>
      </c>
      <c r="I20" s="68">
        <f>ROUNDUP((세계사!$Q7-0.5-50)/10*세계사!$H$4+세계사!$H$3, 0)</f>
        <v>45</v>
      </c>
      <c r="J20" s="68">
        <f>ROUNDUP((경제!$Q7-0.5-50)/10*경제!$H$4+경제!$H$3, 0)</f>
        <v>47</v>
      </c>
      <c r="K20" s="68">
        <f>ROUNDUP(('정치와 법'!$Q7-0.5-50)/10*'정치와 법'!$H$4+'정치와 법'!$H$3, 0)</f>
        <v>47</v>
      </c>
      <c r="L20" s="128">
        <f>ROUNDUP((사회∙문화!$Q7-0.5-50)/10*사회∙문화!$H$4+사회∙문화!$H$3, 0)</f>
        <v>46</v>
      </c>
      <c r="M20" s="42"/>
    </row>
    <row r="21" spans="1:13" s="26" customFormat="1" ht="25" customHeight="1" x14ac:dyDescent="0.45">
      <c r="A21" s="25"/>
      <c r="B21" s="41"/>
      <c r="C21" s="129" t="s">
        <v>161</v>
      </c>
      <c r="D21" s="69">
        <f>ROUNDUP(('생활과 윤리'!$Q8-0.5-50)/10*'생활과 윤리'!$H$4+'생활과 윤리'!$H$3, 0)</f>
        <v>42</v>
      </c>
      <c r="E21" s="130">
        <f>ROUNDUP(('윤리와 사상'!$Q8-0.5-50)/10*'윤리와 사상'!$H$4+'윤리와 사상'!$H$3, 0)</f>
        <v>33</v>
      </c>
      <c r="F21" s="130">
        <f>ROUNDUP((한국지리!$Q8-0.5-50)/10*한국지리!$H$4+한국지리!$H$3, 0)</f>
        <v>38</v>
      </c>
      <c r="G21" s="130">
        <f>ROUNDUP((세계지리!$Q8-0.5-50)/10*세계지리!$H$4+세계지리!$H$3, 0)</f>
        <v>39</v>
      </c>
      <c r="H21" s="130">
        <f>ROUNDUP((동아시아사!$Q8-0.5-50)/10*동아시아사!$H$4+동아시아사!$H$3, 0)</f>
        <v>37</v>
      </c>
      <c r="I21" s="130">
        <f>ROUNDUP((세계사!$Q8-0.5-50)/10*세계사!$H$4+세계사!$H$3, 0)</f>
        <v>37</v>
      </c>
      <c r="J21" s="130">
        <f>ROUNDUP((경제!$Q8-0.5-50)/10*경제!$H$4+경제!$H$3, 0)</f>
        <v>39</v>
      </c>
      <c r="K21" s="130">
        <f>ROUNDUP(('정치와 법'!$Q8-0.5-50)/10*'정치와 법'!$H$4+'정치와 법'!$H$3, 0)</f>
        <v>42</v>
      </c>
      <c r="L21" s="131">
        <f>ROUNDUP((사회∙문화!$Q8-0.5-50)/10*사회∙문화!$H$4+사회∙문화!$H$3, 0)</f>
        <v>41</v>
      </c>
      <c r="M21" s="42"/>
    </row>
    <row r="22" spans="1:13" s="26" customFormat="1" ht="25" customHeight="1" x14ac:dyDescent="0.45">
      <c r="A22" s="25"/>
      <c r="B22" s="41"/>
      <c r="C22" s="129" t="s">
        <v>162</v>
      </c>
      <c r="D22" s="69">
        <f>ROUNDUP(('생활과 윤리'!$Q9-0.5-50)/10*'생활과 윤리'!$H$4+'생활과 윤리'!$H$3, 0)</f>
        <v>37</v>
      </c>
      <c r="E22" s="130">
        <f>ROUNDUP(('윤리와 사상'!$Q9-0.5-50)/10*'윤리와 사상'!$H$4+'윤리와 사상'!$H$3, 0)</f>
        <v>26</v>
      </c>
      <c r="F22" s="130">
        <f>ROUNDUP((한국지리!$Q9-0.5-50)/10*한국지리!$H$4+한국지리!$H$3, 0)</f>
        <v>33</v>
      </c>
      <c r="G22" s="130">
        <f>ROUNDUP((세계지리!$Q9-0.5-50)/10*세계지리!$H$4+세계지리!$H$3, 0)</f>
        <v>32</v>
      </c>
      <c r="H22" s="130">
        <f>ROUNDUP((동아시아사!$Q9-0.5-50)/10*동아시아사!$H$4+동아시아사!$H$3, 0)</f>
        <v>29</v>
      </c>
      <c r="I22" s="130">
        <f>ROUNDUP((세계사!$Q9-0.5-50)/10*세계사!$H$4+세계사!$H$3, 0)</f>
        <v>28</v>
      </c>
      <c r="J22" s="130">
        <f>ROUNDUP((경제!$Q9-0.5-50)/10*경제!$H$4+경제!$H$3, 0)</f>
        <v>33</v>
      </c>
      <c r="K22" s="130">
        <f>ROUNDUP(('정치와 법'!$Q9-0.5-50)/10*'정치와 법'!$H$4+'정치와 법'!$H$3, 0)</f>
        <v>36</v>
      </c>
      <c r="L22" s="131">
        <f>ROUNDUP((사회∙문화!$Q9-0.5-50)/10*사회∙문화!$H$4+사회∙문화!$H$3, 0)</f>
        <v>36</v>
      </c>
      <c r="M22" s="42"/>
    </row>
    <row r="23" spans="1:13" s="26" customFormat="1" ht="25" customHeight="1" x14ac:dyDescent="0.45">
      <c r="A23" s="25"/>
      <c r="B23" s="41"/>
      <c r="C23" s="129" t="s">
        <v>163</v>
      </c>
      <c r="D23" s="69">
        <f>ROUNDUP(('생활과 윤리'!$Q10-0.5-50)/10*'생활과 윤리'!$H$4+'생활과 윤리'!$H$3, 0)</f>
        <v>31</v>
      </c>
      <c r="E23" s="130">
        <f>ROUNDUP(('윤리와 사상'!$Q10-0.5-50)/10*'윤리와 사상'!$H$4+'윤리와 사상'!$H$3, 0)</f>
        <v>20</v>
      </c>
      <c r="F23" s="130">
        <f>ROUNDUP((한국지리!$Q10-0.5-50)/10*한국지리!$H$4+한국지리!$H$3, 0)</f>
        <v>27</v>
      </c>
      <c r="G23" s="130">
        <f>ROUNDUP((세계지리!$Q10-0.5-50)/10*세계지리!$H$4+세계지리!$H$3, 0)</f>
        <v>25</v>
      </c>
      <c r="H23" s="130">
        <f>ROUNDUP((동아시아사!$Q10-0.5-50)/10*동아시아사!$H$4+동아시아사!$H$3, 0)</f>
        <v>21</v>
      </c>
      <c r="I23" s="130">
        <f>ROUNDUP((세계사!$Q10-0.5-50)/10*세계사!$H$4+세계사!$H$3, 0)</f>
        <v>21</v>
      </c>
      <c r="J23" s="130">
        <f>ROUNDUP((경제!$Q10-0.5-50)/10*경제!$H$4+경제!$H$3, 0)</f>
        <v>24</v>
      </c>
      <c r="K23" s="130">
        <f>ROUNDUP(('정치와 법'!$Q10-0.5-50)/10*'정치와 법'!$H$4+'정치와 법'!$H$3, 0)</f>
        <v>28</v>
      </c>
      <c r="L23" s="131">
        <f>ROUNDUP((사회∙문화!$Q10-0.5-50)/10*사회∙문화!$H$4+사회∙문화!$H$3, 0)</f>
        <v>29</v>
      </c>
      <c r="M23" s="42"/>
    </row>
    <row r="24" spans="1:13" s="26" customFormat="1" ht="25" customHeight="1" x14ac:dyDescent="0.45">
      <c r="A24" s="25"/>
      <c r="B24" s="41"/>
      <c r="C24" s="129" t="s">
        <v>164</v>
      </c>
      <c r="D24" s="69">
        <f>ROUNDUP(('생활과 윤리'!$Q11-0.5-50)/10*'생활과 윤리'!$H$4+'생활과 윤리'!$H$3, 0)</f>
        <v>24</v>
      </c>
      <c r="E24" s="130">
        <f>ROUNDUP(('윤리와 사상'!$Q11-0.5-50)/10*'윤리와 사상'!$H$4+'윤리와 사상'!$H$3, 0)</f>
        <v>15</v>
      </c>
      <c r="F24" s="130">
        <f>ROUNDUP((한국지리!$Q11-0.5-50)/10*한국지리!$H$4+한국지리!$H$3, 0)</f>
        <v>19</v>
      </c>
      <c r="G24" s="130">
        <f>ROUNDUP((세계지리!$Q11-0.5-50)/10*세계지리!$H$4+세계지리!$H$3, 0)</f>
        <v>19</v>
      </c>
      <c r="H24" s="130">
        <f>ROUNDUP((동아시아사!$Q11-0.5-50)/10*동아시아사!$H$4+동아시아사!$H$3, 0)</f>
        <v>14</v>
      </c>
      <c r="I24" s="130">
        <f>ROUNDUP((세계사!$Q11-0.5-50)/10*세계사!$H$4+세계사!$H$3, 0)</f>
        <v>14</v>
      </c>
      <c r="J24" s="130">
        <f>ROUNDUP((경제!$Q11-0.5-50)/10*경제!$H$4+경제!$H$3, 0)</f>
        <v>14</v>
      </c>
      <c r="K24" s="130">
        <f>ROUNDUP(('정치와 법'!$Q11-0.5-50)/10*'정치와 법'!$H$4+'정치와 법'!$H$3, 0)</f>
        <v>17</v>
      </c>
      <c r="L24" s="131">
        <f>ROUNDUP((사회∙문화!$Q11-0.5-50)/10*사회∙문화!$H$4+사회∙문화!$H$3, 0)</f>
        <v>20</v>
      </c>
      <c r="M24" s="42"/>
    </row>
    <row r="25" spans="1:13" s="26" customFormat="1" ht="25" customHeight="1" x14ac:dyDescent="0.45">
      <c r="A25" s="25"/>
      <c r="B25" s="41"/>
      <c r="C25" s="129" t="s">
        <v>165</v>
      </c>
      <c r="D25" s="69">
        <f>ROUNDUP(('생활과 윤리'!$Q12-0.5-50)/10*'생활과 윤리'!$H$4+'생활과 윤리'!$H$3, 0)</f>
        <v>13</v>
      </c>
      <c r="E25" s="130">
        <f>ROUNDUP(('윤리와 사상'!$Q12-0.5-50)/10*'윤리와 사상'!$H$4+'윤리와 사상'!$H$3, 0)</f>
        <v>11</v>
      </c>
      <c r="F25" s="130">
        <f>ROUNDUP((한국지리!$Q12-0.5-50)/10*한국지리!$H$4+한국지리!$H$3, 0)</f>
        <v>12</v>
      </c>
      <c r="G25" s="130">
        <f>ROUNDUP((세계지리!$Q12-0.5-50)/10*세계지리!$H$4+세계지리!$H$3, 0)</f>
        <v>13</v>
      </c>
      <c r="H25" s="130">
        <f>ROUNDUP((동아시아사!$Q12-0.5-50)/10*동아시아사!$H$4+동아시아사!$H$3, 0)</f>
        <v>9</v>
      </c>
      <c r="I25" s="130">
        <f>ROUNDUP((세계사!$Q12-0.5-50)/10*세계사!$H$4+세계사!$H$3, 0)</f>
        <v>11</v>
      </c>
      <c r="J25" s="130">
        <f>ROUNDUP((경제!$Q12-0.5-50)/10*경제!$H$4+경제!$H$3, 0)</f>
        <v>11</v>
      </c>
      <c r="K25" s="130">
        <f>ROUNDUP(('정치와 법'!$Q12-0.5-50)/10*'정치와 법'!$H$4+'정치와 법'!$H$3, 0)</f>
        <v>11</v>
      </c>
      <c r="L25" s="131">
        <f>ROUNDUP((사회∙문화!$Q12-0.5-50)/10*사회∙문화!$H$4+사회∙문화!$H$3, 0)</f>
        <v>12</v>
      </c>
      <c r="M25" s="42"/>
    </row>
    <row r="26" spans="1:13" s="26" customFormat="1" ht="25" customHeight="1" x14ac:dyDescent="0.45">
      <c r="A26" s="25"/>
      <c r="B26" s="41"/>
      <c r="C26" s="129" t="s">
        <v>166</v>
      </c>
      <c r="D26" s="69">
        <f>ROUNDUP(('생활과 윤리'!$Q13-0.5-50)/10*'생활과 윤리'!$H$4+'생활과 윤리'!$H$3, 0)</f>
        <v>10</v>
      </c>
      <c r="E26" s="130">
        <f>ROUNDUP(('윤리와 사상'!$Q13-0.5-50)/10*'윤리와 사상'!$H$4+'윤리와 사상'!$H$3, 0)</f>
        <v>9</v>
      </c>
      <c r="F26" s="130">
        <f>ROUNDUP((한국지리!$Q13-0.5-50)/10*한국지리!$H$4+한국지리!$H$3, 0)</f>
        <v>10</v>
      </c>
      <c r="G26" s="130">
        <f>ROUNDUP((세계지리!$Q13-0.5-50)/10*세계지리!$H$4+세계지리!$H$3, 0)</f>
        <v>9</v>
      </c>
      <c r="H26" s="130">
        <f>ROUNDUP((동아시아사!$Q13-0.5-50)/10*동아시아사!$H$4+동아시아사!$H$3, 0)</f>
        <v>8</v>
      </c>
      <c r="I26" s="130">
        <f>ROUNDUP((세계사!$Q13-0.5-50)/10*세계사!$H$4+세계사!$H$3, 0)</f>
        <v>7</v>
      </c>
      <c r="J26" s="130">
        <f>ROUNDUP((경제!$Q13-0.5-50)/10*경제!$H$4+경제!$H$3, 0)</f>
        <v>9</v>
      </c>
      <c r="K26" s="130">
        <f>ROUNDUP(('정치와 법'!$Q13-0.5-50)/10*'정치와 법'!$H$4+'정치와 법'!$H$3, 0)</f>
        <v>8</v>
      </c>
      <c r="L26" s="131">
        <f>ROUNDUP((사회∙문화!$Q13-0.5-50)/10*사회∙문화!$H$4+사회∙문화!$H$3, 0)</f>
        <v>9</v>
      </c>
      <c r="M26" s="42"/>
    </row>
    <row r="27" spans="1:13" s="26" customFormat="1" ht="25" customHeight="1" thickBot="1" x14ac:dyDescent="0.5">
      <c r="A27" s="25"/>
      <c r="B27" s="41"/>
      <c r="C27" s="132" t="s">
        <v>167</v>
      </c>
      <c r="D27" s="133">
        <f>ROUNDUP(('생활과 윤리'!$Q14-0.5-50)/10*'생활과 윤리'!$H$4+'생활과 윤리'!$H$3, 0)</f>
        <v>8</v>
      </c>
      <c r="E27" s="134">
        <f>ROUNDUP(('윤리와 사상'!$Q14-0.5-50)/10*'윤리와 사상'!$H$4+'윤리와 사상'!$H$3, 0)</f>
        <v>7</v>
      </c>
      <c r="F27" s="134">
        <f>ROUNDUP((한국지리!$Q14-0.5-50)/10*한국지리!$H$4+한국지리!$H$3, 0)</f>
        <v>8</v>
      </c>
      <c r="G27" s="134">
        <f>ROUNDUP((세계지리!$Q14-0.5-50)/10*세계지리!$H$4+세계지리!$H$3, 0)</f>
        <v>9</v>
      </c>
      <c r="H27" s="134">
        <f>ROUNDUP((동아시아사!$Q14-0.5-50)/10*동아시아사!$H$4+동아시아사!$H$3, 0)</f>
        <v>6</v>
      </c>
      <c r="I27" s="134">
        <f>ROUNDUP((세계사!$Q14-0.5-50)/10*세계사!$H$4+세계사!$H$3, 0)</f>
        <v>6</v>
      </c>
      <c r="J27" s="134">
        <f>ROUNDUP((경제!$Q14-0.5-50)/10*경제!$H$4+경제!$H$3, 0)</f>
        <v>6</v>
      </c>
      <c r="K27" s="134">
        <f>ROUNDUP(('정치와 법'!$Q14-0.5-50)/10*'정치와 법'!$H$4+'정치와 법'!$H$3, 0)</f>
        <v>7</v>
      </c>
      <c r="L27" s="135">
        <f>ROUNDUP((사회∙문화!$Q14-0.5-50)/10*사회∙문화!$H$4+사회∙문화!$H$3, 0)</f>
        <v>7</v>
      </c>
      <c r="M27" s="42"/>
    </row>
    <row r="28" spans="1:13" s="26" customFormat="1" ht="25" customHeight="1" x14ac:dyDescent="0.45">
      <c r="A28" s="25"/>
      <c r="B28" s="41"/>
      <c r="C28" s="37"/>
      <c r="D28" s="37"/>
      <c r="E28" s="37"/>
      <c r="F28" s="37"/>
      <c r="G28" s="37"/>
      <c r="H28" s="37"/>
      <c r="I28" s="37"/>
      <c r="J28" s="37"/>
      <c r="K28" s="37"/>
      <c r="L28" s="38"/>
      <c r="M28" s="42"/>
    </row>
    <row r="29" spans="1:13" s="26" customFormat="1" ht="25" customHeight="1" thickBot="1" x14ac:dyDescent="0.5">
      <c r="A29" s="25"/>
      <c r="B29" s="41"/>
      <c r="C29" s="37"/>
      <c r="D29" s="37"/>
      <c r="E29" s="37"/>
      <c r="F29" s="37"/>
      <c r="G29" s="37"/>
      <c r="H29" s="37"/>
      <c r="I29" s="37"/>
      <c r="J29" s="37"/>
      <c r="K29" s="37"/>
      <c r="L29" s="38"/>
      <c r="M29" s="42"/>
    </row>
    <row r="30" spans="1:13" s="26" customFormat="1" ht="25" customHeight="1" thickBot="1" x14ac:dyDescent="0.5">
      <c r="A30" s="25"/>
      <c r="B30" s="41"/>
      <c r="C30" s="113" t="s">
        <v>178</v>
      </c>
      <c r="D30" s="114" t="s">
        <v>179</v>
      </c>
      <c r="E30" s="126" t="s">
        <v>180</v>
      </c>
      <c r="F30" s="114" t="s">
        <v>181</v>
      </c>
      <c r="G30" s="115" t="s">
        <v>182</v>
      </c>
      <c r="H30" s="37"/>
      <c r="I30" s="37"/>
      <c r="J30" s="38"/>
      <c r="K30" s="38"/>
      <c r="L30" s="38"/>
      <c r="M30" s="42"/>
    </row>
    <row r="31" spans="1:13" s="26" customFormat="1" ht="25" customHeight="1" x14ac:dyDescent="0.45">
      <c r="A31" s="25"/>
      <c r="B31" s="41"/>
      <c r="C31" s="116" t="s">
        <v>160</v>
      </c>
      <c r="D31" s="136">
        <v>50</v>
      </c>
      <c r="E31" s="136">
        <f>ROUNDUP((화학Ⅰ!$Q7-0.5-50)/10*화학Ⅰ!$H$4+화학Ⅰ!$H$3, 0)</f>
        <v>44</v>
      </c>
      <c r="F31" s="136">
        <f>ROUNDUP((생명과학Ⅰ!$Q7-0.5-50)/10*생명과학Ⅰ!$H$4+생명과학Ⅰ!$H$3, 0)</f>
        <v>44</v>
      </c>
      <c r="G31" s="118">
        <f>ROUNDUP((지구과학Ⅰ!$Q7-0.5-50)/10*지구과학Ⅰ!$H$4+지구과학Ⅰ!$H$3, 0)</f>
        <v>45</v>
      </c>
      <c r="H31" s="37"/>
      <c r="I31" s="37"/>
      <c r="J31" s="38"/>
      <c r="K31" s="38"/>
      <c r="L31" s="38"/>
      <c r="M31" s="42"/>
    </row>
    <row r="32" spans="1:13" s="26" customFormat="1" ht="25" customHeight="1" x14ac:dyDescent="0.45">
      <c r="A32" s="25"/>
      <c r="B32" s="41"/>
      <c r="C32" s="119" t="s">
        <v>161</v>
      </c>
      <c r="D32" s="137">
        <f>ROUNDUP((물리학Ⅰ!$Q8-0.5-50)/10*물리학Ⅰ!$H$4+물리학Ⅰ!$H$3, 0)</f>
        <v>44</v>
      </c>
      <c r="E32" s="137">
        <f>ROUNDUP((화학Ⅰ!$Q8-0.5-50)/10*화학Ⅰ!$H$4+화학Ⅰ!$H$3, 0)</f>
        <v>36</v>
      </c>
      <c r="F32" s="137">
        <f>ROUNDUP((생명과학Ⅰ!$Q8-0.5-50)/10*생명과학Ⅰ!$H$4+생명과학Ⅰ!$H$3, 0)</f>
        <v>37</v>
      </c>
      <c r="G32" s="120">
        <f>ROUNDUP((지구과학Ⅰ!$Q8-0.5-50)/10*지구과학Ⅰ!$H$4+지구과학Ⅰ!$H$3, 0)</f>
        <v>39</v>
      </c>
      <c r="H32" s="37"/>
      <c r="I32" s="37"/>
      <c r="J32" s="38"/>
      <c r="K32" s="38"/>
      <c r="L32" s="38"/>
      <c r="M32" s="42"/>
    </row>
    <row r="33" spans="1:14" s="26" customFormat="1" ht="25" customHeight="1" x14ac:dyDescent="0.45">
      <c r="A33" s="25"/>
      <c r="B33" s="41"/>
      <c r="C33" s="119" t="s">
        <v>162</v>
      </c>
      <c r="D33" s="137">
        <f>ROUNDUP((물리학Ⅰ!$Q9-0.5-50)/10*물리학Ⅰ!$H$4+물리학Ⅰ!$H$3, 0)</f>
        <v>38</v>
      </c>
      <c r="E33" s="137">
        <f>ROUNDUP((화학Ⅰ!$Q9-0.5-50)/10*화학Ⅰ!$H$4+화학Ⅰ!$H$3, 0)</f>
        <v>31</v>
      </c>
      <c r="F33" s="137">
        <f>ROUNDUP((생명과학Ⅰ!$Q9-0.5-50)/10*생명과학Ⅰ!$H$4+생명과학Ⅰ!$H$3, 0)</f>
        <v>31</v>
      </c>
      <c r="G33" s="120">
        <f>ROUNDUP((지구과학Ⅰ!$Q9-0.5-50)/10*지구과학Ⅰ!$H$4+지구과학Ⅰ!$H$3, 0)</f>
        <v>33</v>
      </c>
      <c r="H33" s="37"/>
      <c r="I33" s="37"/>
      <c r="J33" s="38"/>
      <c r="K33" s="38"/>
      <c r="L33" s="38"/>
      <c r="M33" s="42"/>
    </row>
    <row r="34" spans="1:14" s="26" customFormat="1" ht="25" customHeight="1" x14ac:dyDescent="0.45">
      <c r="A34" s="25"/>
      <c r="B34" s="41"/>
      <c r="C34" s="119" t="s">
        <v>163</v>
      </c>
      <c r="D34" s="137">
        <f>ROUNDUP((물리학Ⅰ!$Q10-0.5-50)/10*물리학Ⅰ!$H$4+물리학Ⅰ!$H$3, 0)</f>
        <v>29</v>
      </c>
      <c r="E34" s="137">
        <f>ROUNDUP((화학Ⅰ!$Q10-0.5-50)/10*화학Ⅰ!$H$4+화학Ⅰ!$H$3, 0)</f>
        <v>25</v>
      </c>
      <c r="F34" s="137">
        <f>ROUNDUP((생명과학Ⅰ!$Q10-0.5-50)/10*생명과학Ⅰ!$H$4+생명과학Ⅰ!$H$3, 0)</f>
        <v>24</v>
      </c>
      <c r="G34" s="120">
        <f>ROUNDUP((지구과학Ⅰ!$Q10-0.5-50)/10*지구과학Ⅰ!$H$4+지구과학Ⅰ!$H$3, 0)</f>
        <v>27</v>
      </c>
      <c r="H34" s="37"/>
      <c r="I34" s="37"/>
      <c r="J34" s="38"/>
      <c r="K34" s="38"/>
      <c r="L34" s="38"/>
      <c r="M34" s="42"/>
    </row>
    <row r="35" spans="1:14" s="26" customFormat="1" ht="25" customHeight="1" x14ac:dyDescent="0.45">
      <c r="A35" s="25"/>
      <c r="B35" s="41"/>
      <c r="C35" s="119" t="s">
        <v>164</v>
      </c>
      <c r="D35" s="137">
        <f>ROUNDUP((물리학Ⅰ!$Q11-0.5-50)/10*물리학Ⅰ!$H$4+물리학Ⅰ!$H$3, 0)</f>
        <v>19</v>
      </c>
      <c r="E35" s="137">
        <f>ROUNDUP((화학Ⅰ!$Q11-0.5-50)/10*화학Ⅰ!$H$4+화학Ⅰ!$H$3, 0)</f>
        <v>18</v>
      </c>
      <c r="F35" s="137">
        <f>ROUNDUP((생명과학Ⅰ!$Q11-0.5-50)/10*생명과학Ⅰ!$H$4+생명과학Ⅰ!$H$3, 0)</f>
        <v>18</v>
      </c>
      <c r="G35" s="120">
        <f>ROUNDUP((지구과학Ⅰ!$Q11-0.5-50)/10*지구과학Ⅰ!$H$4+지구과학Ⅰ!$H$3, 0)</f>
        <v>19</v>
      </c>
      <c r="H35" s="37"/>
      <c r="I35" s="37"/>
      <c r="J35" s="38"/>
      <c r="K35" s="38"/>
      <c r="L35" s="38"/>
      <c r="M35" s="42"/>
    </row>
    <row r="36" spans="1:14" s="26" customFormat="1" ht="25" customHeight="1" x14ac:dyDescent="0.45">
      <c r="A36" s="25"/>
      <c r="B36" s="41"/>
      <c r="C36" s="119" t="s">
        <v>165</v>
      </c>
      <c r="D36" s="137">
        <f>ROUNDUP((물리학Ⅰ!$Q12-0.5-50)/10*물리학Ⅰ!$H$4+물리학Ⅰ!$H$3, 0)</f>
        <v>14</v>
      </c>
      <c r="E36" s="137">
        <f>ROUNDUP((화학Ⅰ!$Q12-0.5-50)/10*화학Ⅰ!$H$4+화학Ⅰ!$H$3, 0)</f>
        <v>14</v>
      </c>
      <c r="F36" s="137">
        <f>ROUNDUP((생명과학Ⅰ!$Q12-0.5-50)/10*생명과학Ⅰ!$H$4+생명과학Ⅰ!$H$3, 0)</f>
        <v>13</v>
      </c>
      <c r="G36" s="120">
        <f>ROUNDUP((지구과학Ⅰ!$Q12-0.5-50)/10*지구과학Ⅰ!$H$4+지구과학Ⅰ!$H$3, 0)</f>
        <v>12</v>
      </c>
      <c r="H36" s="37"/>
      <c r="I36" s="37"/>
      <c r="J36" s="38"/>
      <c r="K36" s="38"/>
      <c r="L36" s="38"/>
      <c r="M36" s="42"/>
    </row>
    <row r="37" spans="1:14" s="26" customFormat="1" ht="25" customHeight="1" x14ac:dyDescent="0.45">
      <c r="A37" s="25"/>
      <c r="B37" s="41"/>
      <c r="C37" s="119" t="s">
        <v>166</v>
      </c>
      <c r="D37" s="137">
        <f>ROUNDUP((물리학Ⅰ!$Q13-0.5-50)/10*물리학Ⅰ!$H$4+물리학Ⅰ!$H$3, 0)</f>
        <v>10</v>
      </c>
      <c r="E37" s="137">
        <f>ROUNDUP((화학Ⅰ!$Q13-0.5-50)/10*화학Ⅰ!$H$4+화학Ⅰ!$H$3, 0)</f>
        <v>10</v>
      </c>
      <c r="F37" s="137">
        <f>ROUNDUP((생명과학Ⅰ!$Q13-0.5-50)/10*생명과학Ⅰ!$H$4+생명과학Ⅰ!$H$3, 0)</f>
        <v>10</v>
      </c>
      <c r="G37" s="120">
        <f>ROUNDUP((지구과학Ⅰ!$Q13-0.5-50)/10*지구과학Ⅰ!$H$4+지구과학Ⅰ!$H$3, 0)</f>
        <v>9</v>
      </c>
      <c r="H37" s="37"/>
      <c r="I37" s="37"/>
      <c r="J37" s="38"/>
      <c r="K37" s="38"/>
      <c r="L37" s="38"/>
      <c r="M37" s="42"/>
    </row>
    <row r="38" spans="1:14" s="26" customFormat="1" ht="25" customHeight="1" thickBot="1" x14ac:dyDescent="0.5">
      <c r="A38" s="25"/>
      <c r="B38" s="41"/>
      <c r="C38" s="121" t="s">
        <v>167</v>
      </c>
      <c r="D38" s="138">
        <f>ROUNDUP((물리학Ⅰ!$Q14-0.5-50)/10*물리학Ⅰ!$H$4+물리학Ⅰ!$H$3, 0)</f>
        <v>6</v>
      </c>
      <c r="E38" s="138">
        <f>ROUNDUP((화학Ⅰ!$Q14-0.5-50)/10*화학Ⅰ!$H$4+화학Ⅰ!$H$3, 0)</f>
        <v>6</v>
      </c>
      <c r="F38" s="138">
        <f>ROUNDUP((생명과학Ⅰ!$Q14-0.5-50)/10*생명과학Ⅰ!$H$4+생명과학Ⅰ!$H$3, 0)</f>
        <v>8</v>
      </c>
      <c r="G38" s="123">
        <f>ROUNDUP((지구과학Ⅰ!$Q14-0.5-50)/10*지구과학Ⅰ!$H$4+지구과학Ⅰ!$H$3, 0)</f>
        <v>7</v>
      </c>
      <c r="H38" s="37"/>
      <c r="I38" s="37"/>
      <c r="J38" s="38"/>
      <c r="K38" s="38"/>
      <c r="L38" s="38"/>
      <c r="M38" s="42"/>
    </row>
    <row r="39" spans="1:14" s="26" customFormat="1" ht="25" customHeight="1" x14ac:dyDescent="0.45">
      <c r="A39" s="25"/>
      <c r="B39" s="41"/>
      <c r="C39" s="37"/>
      <c r="D39" s="37"/>
      <c r="E39" s="37"/>
      <c r="F39" s="37"/>
      <c r="G39" s="37"/>
      <c r="H39" s="37"/>
      <c r="I39" s="37"/>
      <c r="J39" s="37"/>
      <c r="K39" s="37"/>
      <c r="L39" s="38"/>
      <c r="M39" s="42"/>
    </row>
    <row r="40" spans="1:14" s="26" customFormat="1" ht="25" customHeight="1" thickBot="1" x14ac:dyDescent="0.5">
      <c r="A40" s="25"/>
      <c r="B40" s="41"/>
      <c r="C40" s="37"/>
      <c r="D40" s="37"/>
      <c r="E40" s="37"/>
      <c r="F40" s="37"/>
      <c r="G40" s="37"/>
      <c r="H40" s="37"/>
      <c r="I40" s="37"/>
      <c r="J40" s="37"/>
      <c r="K40" s="37"/>
      <c r="L40" s="38"/>
      <c r="M40" s="42"/>
    </row>
    <row r="41" spans="1:14" s="26" customFormat="1" ht="40" customHeight="1" thickBot="1" x14ac:dyDescent="0.5">
      <c r="A41" s="25"/>
      <c r="B41" s="41"/>
      <c r="C41" s="113" t="s">
        <v>183</v>
      </c>
      <c r="D41" s="139" t="s">
        <v>184</v>
      </c>
      <c r="E41" s="140" t="s">
        <v>185</v>
      </c>
      <c r="F41" s="140" t="s">
        <v>186</v>
      </c>
      <c r="G41" s="140" t="s">
        <v>187</v>
      </c>
      <c r="H41" s="141" t="s">
        <v>188</v>
      </c>
      <c r="I41" s="142" t="s">
        <v>189</v>
      </c>
      <c r="J41" s="37"/>
      <c r="K41" s="37"/>
      <c r="L41" s="38"/>
      <c r="M41" s="42"/>
      <c r="N41" s="25"/>
    </row>
    <row r="42" spans="1:14" s="26" customFormat="1" ht="25" customHeight="1" x14ac:dyDescent="0.45">
      <c r="A42" s="25"/>
      <c r="B42" s="41"/>
      <c r="C42" s="127" t="s">
        <v>160</v>
      </c>
      <c r="D42" s="106">
        <f>ROUNDUP(('성공적인 직업생활'!$Q7-0.5-50)/10*'성공적인 직업생활'!$H$4+'성공적인 직업생활'!$H$3, 0)</f>
        <v>42</v>
      </c>
      <c r="E42" s="68">
        <f>ROUNDUP(('농업 기초 기술'!$Q7-0.5-50)/10*'농업 기초 기술'!$H$4+'농업 기초 기술'!$H$3, 0)</f>
        <v>29</v>
      </c>
      <c r="F42" s="68">
        <f>ROUNDUP(('공업 일반'!$Q7-0.5-50)/10*'공업 일반'!$H$4+'공업 일반'!$H$3, 0)</f>
        <v>40</v>
      </c>
      <c r="G42" s="68">
        <f>ROUNDUP(('상업 경제'!$Q7-0.5-50)/10*'상업 경제'!$H$4+'상업 경제'!$H$3, 0)</f>
        <v>44</v>
      </c>
      <c r="H42" s="68">
        <f>ROUNDUP(('수산∙해운 산업 기초'!$Q7-0.5-50)/10*'수산∙해운 산업 기초'!$H$4+'수산∙해운 산업 기초'!$H$3, 0)</f>
        <v>23</v>
      </c>
      <c r="I42" s="128">
        <f>ROUNDUP(('인간 발달'!$Q7-0.5-50)/10*'인간 발달'!$H$4+'인간 발달'!$H$3, 0)</f>
        <v>36</v>
      </c>
      <c r="J42" s="37"/>
      <c r="K42" s="37"/>
      <c r="L42" s="38"/>
      <c r="M42" s="42"/>
    </row>
    <row r="43" spans="1:14" s="26" customFormat="1" ht="25" customHeight="1" x14ac:dyDescent="0.45">
      <c r="A43" s="25"/>
      <c r="B43" s="41"/>
      <c r="C43" s="129" t="s">
        <v>161</v>
      </c>
      <c r="D43" s="69">
        <f>ROUNDUP(('성공적인 직업생활'!$Q8-0.5-50)/10*'성공적인 직업생활'!$H$4+'성공적인 직업생활'!$H$3, 0)</f>
        <v>35</v>
      </c>
      <c r="E43" s="130">
        <f>ROUNDUP(('농업 기초 기술'!$Q8-0.5-50)/10*'농업 기초 기술'!$H$4+'농업 기초 기술'!$H$3, 0)</f>
        <v>24</v>
      </c>
      <c r="F43" s="130">
        <f>ROUNDUP(('공업 일반'!$Q8-0.5-50)/10*'공업 일반'!$H$4+'공업 일반'!$H$3, 0)</f>
        <v>35</v>
      </c>
      <c r="G43" s="130">
        <f>ROUNDUP(('상업 경제'!$Q8-0.5-50)/10*'상업 경제'!$H$4+'상업 경제'!$H$3, 0)</f>
        <v>37</v>
      </c>
      <c r="H43" s="130">
        <f>ROUNDUP(('수산∙해운 산업 기초'!$Q8-0.5-50)/10*'수산∙해운 산업 기초'!$H$4+'수산∙해운 산업 기초'!$H$3, 0)</f>
        <v>19</v>
      </c>
      <c r="I43" s="131">
        <f>ROUNDUP(('인간 발달'!$Q8-0.5-50)/10*'인간 발달'!$H$4+'인간 발달'!$H$3, 0)</f>
        <v>33</v>
      </c>
      <c r="J43" s="37"/>
      <c r="K43" s="37"/>
      <c r="L43" s="38"/>
      <c r="M43" s="42"/>
    </row>
    <row r="44" spans="1:14" s="26" customFormat="1" ht="25" customHeight="1" x14ac:dyDescent="0.45">
      <c r="A44" s="25"/>
      <c r="B44" s="41"/>
      <c r="C44" s="129" t="s">
        <v>162</v>
      </c>
      <c r="D44" s="69">
        <f>ROUNDUP(('성공적인 직업생활'!$Q9-0.5-50)/10*'성공적인 직업생활'!$H$4+'성공적인 직업생활'!$H$3, 0)</f>
        <v>31</v>
      </c>
      <c r="E44" s="130">
        <f>ROUNDUP(('농업 기초 기술'!$Q9-0.5-50)/10*'농업 기초 기술'!$H$4+'농업 기초 기술'!$H$3, 0)</f>
        <v>18</v>
      </c>
      <c r="F44" s="130">
        <f>ROUNDUP(('공업 일반'!$Q9-0.5-50)/10*'공업 일반'!$H$4+'공업 일반'!$H$3, 0)</f>
        <v>29</v>
      </c>
      <c r="G44" s="130">
        <f>ROUNDUP(('상업 경제'!$Q9-0.5-50)/10*'상업 경제'!$H$4+'상업 경제'!$H$3, 0)</f>
        <v>31</v>
      </c>
      <c r="H44" s="130">
        <f>ROUNDUP(('수산∙해운 산업 기초'!$Q9-0.5-50)/10*'수산∙해운 산업 기초'!$H$4+'수산∙해운 산업 기초'!$H$3, 0)</f>
        <v>16</v>
      </c>
      <c r="I44" s="131">
        <f>ROUNDUP(('인간 발달'!$Q9-0.5-50)/10*'인간 발달'!$H$4+'인간 발달'!$H$3, 0)</f>
        <v>29</v>
      </c>
      <c r="J44" s="37"/>
      <c r="K44" s="37"/>
      <c r="L44" s="38"/>
      <c r="M44" s="42"/>
    </row>
    <row r="45" spans="1:14" s="26" customFormat="1" ht="25" customHeight="1" x14ac:dyDescent="0.45">
      <c r="A45" s="25"/>
      <c r="B45" s="41"/>
      <c r="C45" s="129" t="s">
        <v>163</v>
      </c>
      <c r="D45" s="69">
        <f>ROUNDUP(('성공적인 직업생활'!$Q10-0.5-50)/10*'성공적인 직업생활'!$H$4+'성공적인 직업생활'!$H$3, 0)</f>
        <v>24</v>
      </c>
      <c r="E45" s="130">
        <f>ROUNDUP(('농업 기초 기술'!$Q10-0.5-50)/10*'농업 기초 기술'!$H$4+'농업 기초 기술'!$H$3, 0)</f>
        <v>13</v>
      </c>
      <c r="F45" s="130">
        <f>ROUNDUP(('공업 일반'!$Q10-0.5-50)/10*'공업 일반'!$H$4+'공업 일반'!$H$3, 0)</f>
        <v>24</v>
      </c>
      <c r="G45" s="130">
        <f>ROUNDUP(('상업 경제'!$Q10-0.5-50)/10*'상업 경제'!$H$4+'상업 경제'!$H$3, 0)</f>
        <v>24</v>
      </c>
      <c r="H45" s="130">
        <f>ROUNDUP(('수산∙해운 산업 기초'!$Q10-0.5-50)/10*'수산∙해운 산업 기초'!$H$4+'수산∙해운 산업 기초'!$H$3, 0)</f>
        <v>13</v>
      </c>
      <c r="I45" s="131">
        <f>ROUNDUP(('인간 발달'!$Q10-0.5-50)/10*'인간 발달'!$H$4+'인간 발달'!$H$3, 0)</f>
        <v>23</v>
      </c>
      <c r="J45" s="37"/>
      <c r="K45" s="37"/>
      <c r="L45" s="38"/>
      <c r="M45" s="42"/>
    </row>
    <row r="46" spans="1:14" s="26" customFormat="1" ht="25" customHeight="1" x14ac:dyDescent="0.45">
      <c r="A46" s="25"/>
      <c r="B46" s="41"/>
      <c r="C46" s="129" t="s">
        <v>164</v>
      </c>
      <c r="D46" s="69">
        <f>ROUNDUP(('성공적인 직업생활'!$Q11-0.5-50)/10*'성공적인 직업생활'!$H$4+'성공적인 직업생활'!$H$3, 0)</f>
        <v>14</v>
      </c>
      <c r="E46" s="130">
        <f>ROUNDUP(('농업 기초 기술'!$Q11-0.5-50)/10*'농업 기초 기술'!$H$4+'농업 기초 기술'!$H$3, 0)</f>
        <v>10</v>
      </c>
      <c r="F46" s="130">
        <f>ROUNDUP(('공업 일반'!$Q11-0.5-50)/10*'공업 일반'!$H$4+'공업 일반'!$H$3, 0)</f>
        <v>17</v>
      </c>
      <c r="G46" s="130">
        <f>ROUNDUP(('상업 경제'!$Q11-0.5-50)/10*'상업 경제'!$H$4+'상업 경제'!$H$3, 0)</f>
        <v>16</v>
      </c>
      <c r="H46" s="130">
        <f>ROUNDUP(('수산∙해운 산업 기초'!$Q11-0.5-50)/10*'수산∙해운 산업 기초'!$H$4+'수산∙해운 산업 기초'!$H$3, 0)</f>
        <v>10</v>
      </c>
      <c r="I46" s="131">
        <f>ROUNDUP(('인간 발달'!$Q11-0.5-50)/10*'인간 발달'!$H$4+'인간 발달'!$H$3, 0)</f>
        <v>15</v>
      </c>
      <c r="J46" s="37"/>
      <c r="K46" s="37"/>
      <c r="L46" s="38"/>
      <c r="M46" s="42"/>
    </row>
    <row r="47" spans="1:14" s="26" customFormat="1" ht="25" customHeight="1" x14ac:dyDescent="0.45">
      <c r="A47" s="25"/>
      <c r="B47" s="41"/>
      <c r="C47" s="129" t="s">
        <v>165</v>
      </c>
      <c r="D47" s="69">
        <f>ROUNDUP(('성공적인 직업생활'!$Q12-0.5-50)/10*'성공적인 직업생활'!$H$4+'성공적인 직업생활'!$H$3, 0)</f>
        <v>12</v>
      </c>
      <c r="E47" s="130">
        <f>ROUNDUP(('농업 기초 기술'!$Q12-0.5-50)/10*'농업 기초 기술'!$H$4+'농업 기초 기술'!$H$3, 0)</f>
        <v>8</v>
      </c>
      <c r="F47" s="130">
        <f>ROUNDUP(('공업 일반'!$Q12-0.5-50)/10*'공업 일반'!$H$4+'공업 일반'!$H$3, 0)</f>
        <v>12</v>
      </c>
      <c r="G47" s="130">
        <f>ROUNDUP(('상업 경제'!$Q12-0.5-50)/10*'상업 경제'!$H$4+'상업 경제'!$H$3, 0)</f>
        <v>11</v>
      </c>
      <c r="H47" s="130">
        <f>ROUNDUP(('수산∙해운 산업 기초'!$Q12-0.5-50)/10*'수산∙해운 산업 기초'!$H$4+'수산∙해운 산업 기초'!$H$3, 0)</f>
        <v>7</v>
      </c>
      <c r="I47" s="131">
        <f>ROUNDUP(('인간 발달'!$Q12-0.5-50)/10*'인간 발달'!$H$4+'인간 발달'!$H$3, 0)</f>
        <v>11</v>
      </c>
      <c r="J47" s="37"/>
      <c r="K47" s="37"/>
      <c r="L47" s="38"/>
      <c r="M47" s="42"/>
    </row>
    <row r="48" spans="1:14" s="26" customFormat="1" ht="25" customHeight="1" x14ac:dyDescent="0.45">
      <c r="A48" s="25"/>
      <c r="B48" s="41"/>
      <c r="C48" s="129" t="s">
        <v>166</v>
      </c>
      <c r="D48" s="69">
        <f>ROUNDUP(('성공적인 직업생활'!$Q13-0.5-50)/10*'성공적인 직업생활'!$H$4+'성공적인 직업생활'!$H$3, 0)</f>
        <v>8</v>
      </c>
      <c r="E48" s="130">
        <f>ROUNDUP(('농업 기초 기술'!$Q13-0.5-50)/10*'농업 기초 기술'!$H$4+'농업 기초 기술'!$H$3, 0)</f>
        <v>7</v>
      </c>
      <c r="F48" s="130">
        <f>ROUNDUP(('공업 일반'!$Q13-0.5-50)/10*'공업 일반'!$H$4+'공업 일반'!$H$3, 0)</f>
        <v>10</v>
      </c>
      <c r="G48" s="130">
        <f>ROUNDUP(('상업 경제'!$Q13-0.5-50)/10*'상업 경제'!$H$4+'상업 경제'!$H$3, 0)</f>
        <v>9</v>
      </c>
      <c r="H48" s="130" t="s">
        <v>252</v>
      </c>
      <c r="I48" s="131">
        <f>ROUNDUP(('인간 발달'!$Q13-0.5-50)/10*'인간 발달'!$H$4+'인간 발달'!$H$3, 0)</f>
        <v>8</v>
      </c>
      <c r="J48" s="37"/>
      <c r="K48" s="37"/>
      <c r="L48" s="38"/>
      <c r="M48" s="42"/>
    </row>
    <row r="49" spans="1:13" s="26" customFormat="1" ht="25" customHeight="1" thickBot="1" x14ac:dyDescent="0.5">
      <c r="A49" s="25"/>
      <c r="B49" s="41"/>
      <c r="C49" s="132" t="s">
        <v>167</v>
      </c>
      <c r="D49" s="133">
        <f>ROUNDUP(('성공적인 직업생활'!$Q14-0.5-50)/10*'성공적인 직업생활'!$H$4+'성공적인 직업생활'!$H$3, 0)</f>
        <v>6</v>
      </c>
      <c r="E49" s="134">
        <f>ROUNDUP(('농업 기초 기술'!$Q14-0.5-50)/10*'농업 기초 기술'!$H$4+'농업 기초 기술'!$H$3, 0)</f>
        <v>4</v>
      </c>
      <c r="F49" s="134">
        <f>ROUNDUP(('공업 일반'!$Q14-0.5-50)/10*'공업 일반'!$H$4+'공업 일반'!$H$3, 0)</f>
        <v>7</v>
      </c>
      <c r="G49" s="134">
        <f>ROUNDUP(('상업 경제'!$Q14-0.5-50)/10*'상업 경제'!$H$4+'상업 경제'!$H$3, 0)</f>
        <v>7</v>
      </c>
      <c r="H49" s="134">
        <f>ROUNDUP(('수산∙해운 산업 기초'!$Q14-0.5-50)/10*'수산∙해운 산업 기초'!$H$4+'수산∙해운 산업 기초'!$H$3, 0)</f>
        <v>4</v>
      </c>
      <c r="I49" s="135">
        <f>ROUNDUP(('인간 발달'!$Q14-0.5-50)/10*'인간 발달'!$H$4+'인간 발달'!$H$3, 0)</f>
        <v>5</v>
      </c>
      <c r="J49" s="37"/>
      <c r="K49" s="37"/>
      <c r="L49" s="38"/>
      <c r="M49" s="42"/>
    </row>
    <row r="50" spans="1:13" ht="6" customHeight="1" x14ac:dyDescent="0.45">
      <c r="B50" s="32"/>
      <c r="C50" s="43"/>
      <c r="D50" s="44"/>
      <c r="E50" s="44"/>
      <c r="F50" s="44"/>
      <c r="G50" s="44"/>
      <c r="H50" s="44"/>
      <c r="I50" s="44"/>
      <c r="J50" s="44"/>
      <c r="K50" s="44"/>
      <c r="L50" s="33"/>
      <c r="M50" s="34"/>
    </row>
    <row r="51" spans="1:13" x14ac:dyDescent="0.45">
      <c r="B51" s="5"/>
      <c r="C51" s="17"/>
      <c r="D51" s="3"/>
      <c r="E51" s="3"/>
      <c r="F51" s="3"/>
      <c r="G51" s="3"/>
      <c r="H51" s="3"/>
      <c r="I51" s="3"/>
      <c r="J51" s="3"/>
      <c r="K51" s="3"/>
      <c r="L51" s="5"/>
      <c r="M51" s="5"/>
    </row>
  </sheetData>
  <mergeCells count="3">
    <mergeCell ref="D4:G4"/>
    <mergeCell ref="D5:G5"/>
    <mergeCell ref="C6:L7"/>
  </mergeCells>
  <phoneticPr fontId="1" type="noConversion"/>
  <pageMargins left="0.7" right="0.7" top="0.75" bottom="0.75" header="0.3" footer="0.3"/>
  <pageSetup paperSize="9" scale="72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D216C-9AAB-456B-86CB-4EB399850395}">
  <sheetPr codeName="Sheet30"/>
  <dimension ref="A1:L16"/>
  <sheetViews>
    <sheetView topLeftCell="A2"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기능'!D27</f>
        <v>35.54</v>
      </c>
      <c r="I3" s="21" t="s">
        <v>123</v>
      </c>
      <c r="J3" s="81">
        <f>'통계 및 응시자 수 입력 기능'!C27</f>
        <v>363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105</v>
      </c>
      <c r="E4" s="186"/>
      <c r="F4" s="187"/>
      <c r="G4" s="83" t="s">
        <v>126</v>
      </c>
      <c r="H4" s="84" t="str">
        <f>'통계 및 응시자 수 입력 기능'!E27</f>
        <v xml:space="preserve"> 9.54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143">
        <v>1</v>
      </c>
      <c r="D7" s="144">
        <v>45</v>
      </c>
      <c r="E7" s="89">
        <f>'표점등급&amp;절평인원 입력 기능'!D211</f>
        <v>64</v>
      </c>
      <c r="F7" s="90">
        <f>E7/$J$3</f>
        <v>0.17630853994490359</v>
      </c>
      <c r="G7" s="91">
        <f>SUM($E$7:E7)</f>
        <v>64</v>
      </c>
      <c r="H7" s="92">
        <f>G7/$J$3</f>
        <v>0.17630853994490359</v>
      </c>
      <c r="I7" s="20"/>
      <c r="J7" s="20"/>
      <c r="K7" s="31"/>
      <c r="L7" s="5"/>
    </row>
    <row r="8" spans="1:12" ht="25" customHeight="1" x14ac:dyDescent="0.45">
      <c r="A8" s="5"/>
      <c r="B8" s="30"/>
      <c r="C8" s="145">
        <v>2</v>
      </c>
      <c r="D8" s="146">
        <v>40</v>
      </c>
      <c r="E8" s="95">
        <f>'표점등급&amp;절평인원 입력 기능'!D212</f>
        <v>79</v>
      </c>
      <c r="F8" s="96">
        <f t="shared" ref="F8:F15" si="0">E8/$J$3</f>
        <v>0.21763085399449036</v>
      </c>
      <c r="G8" s="97">
        <f>SUM($E$7:E8)</f>
        <v>143</v>
      </c>
      <c r="H8" s="98">
        <f t="shared" ref="H8:H15" si="1">G8/$J$3</f>
        <v>0.39393939393939392</v>
      </c>
      <c r="I8" s="20"/>
      <c r="J8" s="20"/>
      <c r="K8" s="31"/>
      <c r="L8" s="5"/>
    </row>
    <row r="9" spans="1:12" ht="25" customHeight="1" x14ac:dyDescent="0.45">
      <c r="A9" s="5"/>
      <c r="B9" s="30"/>
      <c r="C9" s="145">
        <v>3</v>
      </c>
      <c r="D9" s="146">
        <v>35</v>
      </c>
      <c r="E9" s="95">
        <f>'표점등급&amp;절평인원 입력 기능'!D213</f>
        <v>88</v>
      </c>
      <c r="F9" s="96">
        <f t="shared" si="0"/>
        <v>0.24242424242424243</v>
      </c>
      <c r="G9" s="97">
        <f>SUM($E$7:E9)</f>
        <v>231</v>
      </c>
      <c r="H9" s="98">
        <f t="shared" si="1"/>
        <v>0.63636363636363635</v>
      </c>
      <c r="I9" s="20"/>
      <c r="J9" s="20"/>
      <c r="K9" s="31"/>
      <c r="L9" s="5"/>
    </row>
    <row r="10" spans="1:12" ht="25" customHeight="1" x14ac:dyDescent="0.45">
      <c r="A10" s="5"/>
      <c r="B10" s="30"/>
      <c r="C10" s="145">
        <v>4</v>
      </c>
      <c r="D10" s="146">
        <v>30</v>
      </c>
      <c r="E10" s="95">
        <f>'표점등급&amp;절평인원 입력 기능'!D214</f>
        <v>55</v>
      </c>
      <c r="F10" s="96">
        <f t="shared" si="0"/>
        <v>0.15151515151515152</v>
      </c>
      <c r="G10" s="97">
        <f>SUM($E$7:E10)</f>
        <v>286</v>
      </c>
      <c r="H10" s="98">
        <f t="shared" si="1"/>
        <v>0.78787878787878785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5">
        <v>5</v>
      </c>
      <c r="D11" s="146">
        <v>25</v>
      </c>
      <c r="E11" s="95">
        <f>'표점등급&amp;절평인원 입력 기능'!D215</f>
        <v>26</v>
      </c>
      <c r="F11" s="96">
        <f t="shared" si="0"/>
        <v>7.1625344352617082E-2</v>
      </c>
      <c r="G11" s="97">
        <f>SUM($E$7:E11)</f>
        <v>312</v>
      </c>
      <c r="H11" s="98">
        <f t="shared" si="1"/>
        <v>0.85950413223140498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5">
        <v>6</v>
      </c>
      <c r="D12" s="146">
        <v>20</v>
      </c>
      <c r="E12" s="95">
        <f>'표점등급&amp;절평인원 입력 기능'!D216</f>
        <v>20</v>
      </c>
      <c r="F12" s="96">
        <f t="shared" si="0"/>
        <v>5.5096418732782371E-2</v>
      </c>
      <c r="G12" s="97">
        <f>SUM($E$7:E12)</f>
        <v>332</v>
      </c>
      <c r="H12" s="98">
        <f t="shared" si="1"/>
        <v>0.91460055096418735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5">
        <v>7</v>
      </c>
      <c r="D13" s="146">
        <v>15</v>
      </c>
      <c r="E13" s="95">
        <f>'표점등급&amp;절평인원 입력 기능'!D217</f>
        <v>15</v>
      </c>
      <c r="F13" s="96">
        <f t="shared" si="0"/>
        <v>4.1322314049586778E-2</v>
      </c>
      <c r="G13" s="97">
        <f>SUM($E$7:E13)</f>
        <v>347</v>
      </c>
      <c r="H13" s="98">
        <f t="shared" si="1"/>
        <v>0.9559228650137741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5">
        <v>8</v>
      </c>
      <c r="D14" s="146">
        <v>10</v>
      </c>
      <c r="E14" s="95">
        <f>'표점등급&amp;절평인원 입력 기능'!D218</f>
        <v>11</v>
      </c>
      <c r="F14" s="96">
        <f t="shared" si="0"/>
        <v>3.0303030303030304E-2</v>
      </c>
      <c r="G14" s="97">
        <f>SUM($E$7:E14)</f>
        <v>358</v>
      </c>
      <c r="H14" s="98">
        <f t="shared" si="1"/>
        <v>0.98622589531680438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7">
        <v>9</v>
      </c>
      <c r="D15" s="148">
        <v>0</v>
      </c>
      <c r="E15" s="101">
        <f>'표점등급&amp;절평인원 입력 기능'!D219</f>
        <v>5</v>
      </c>
      <c r="F15" s="102">
        <f t="shared" si="0"/>
        <v>1.3774104683195593E-2</v>
      </c>
      <c r="G15" s="103">
        <f>SUM($E$7:E15)</f>
        <v>363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4DDAA-EBC2-4A73-845E-EE4171B2E1E7}">
  <sheetPr codeName="Sheet31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기능'!D28</f>
        <v>37.05</v>
      </c>
      <c r="I3" s="21" t="s">
        <v>123</v>
      </c>
      <c r="J3" s="81">
        <f>'통계 및 응시자 수 입력 기능'!C28</f>
        <v>429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106</v>
      </c>
      <c r="E4" s="186"/>
      <c r="F4" s="187"/>
      <c r="G4" s="83" t="s">
        <v>126</v>
      </c>
      <c r="H4" s="84" t="str">
        <f>'통계 및 응시자 수 입력 기능'!E28</f>
        <v xml:space="preserve"> 8.57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87">
        <v>1</v>
      </c>
      <c r="D7" s="88">
        <v>45</v>
      </c>
      <c r="E7" s="89">
        <f>'표점등급&amp;절평인원 입력 기능'!D220</f>
        <v>67</v>
      </c>
      <c r="F7" s="90">
        <f>E7/$J$3</f>
        <v>0.15617715617715619</v>
      </c>
      <c r="G7" s="91">
        <f>SUM($E$7:E7)</f>
        <v>67</v>
      </c>
      <c r="H7" s="92">
        <f>G7/$J$3</f>
        <v>0.15617715617715619</v>
      </c>
      <c r="I7" s="20"/>
      <c r="J7" s="20"/>
      <c r="K7" s="31"/>
      <c r="L7" s="5"/>
    </row>
    <row r="8" spans="1:12" ht="25" customHeight="1" x14ac:dyDescent="0.45">
      <c r="A8" s="5"/>
      <c r="B8" s="30"/>
      <c r="C8" s="93">
        <v>2</v>
      </c>
      <c r="D8" s="94">
        <v>40</v>
      </c>
      <c r="E8" s="95">
        <f>'표점등급&amp;절평인원 입력 기능'!D221</f>
        <v>136</v>
      </c>
      <c r="F8" s="96">
        <f t="shared" ref="F8:F15" si="0">E8/$J$3</f>
        <v>0.317016317016317</v>
      </c>
      <c r="G8" s="97">
        <f>SUM($E$7:E8)</f>
        <v>203</v>
      </c>
      <c r="H8" s="98">
        <f t="shared" ref="H8:H15" si="1">G8/$J$3</f>
        <v>0.47319347319347321</v>
      </c>
      <c r="I8" s="20"/>
      <c r="J8" s="20"/>
      <c r="K8" s="31"/>
      <c r="L8" s="5"/>
    </row>
    <row r="9" spans="1:12" ht="25" customHeight="1" x14ac:dyDescent="0.45">
      <c r="A9" s="5"/>
      <c r="B9" s="30"/>
      <c r="C9" s="93">
        <v>3</v>
      </c>
      <c r="D9" s="94">
        <v>35</v>
      </c>
      <c r="E9" s="95">
        <f>'표점등급&amp;절평인원 입력 기능'!D222</f>
        <v>104</v>
      </c>
      <c r="F9" s="96">
        <f t="shared" si="0"/>
        <v>0.24242424242424243</v>
      </c>
      <c r="G9" s="97">
        <f>SUM($E$7:E9)</f>
        <v>307</v>
      </c>
      <c r="H9" s="98">
        <f t="shared" si="1"/>
        <v>0.71561771561771559</v>
      </c>
      <c r="I9" s="20"/>
      <c r="J9" s="20"/>
      <c r="K9" s="31"/>
      <c r="L9" s="5"/>
    </row>
    <row r="10" spans="1:12" ht="25" customHeight="1" x14ac:dyDescent="0.45">
      <c r="A10" s="5"/>
      <c r="B10" s="30"/>
      <c r="C10" s="93">
        <v>4</v>
      </c>
      <c r="D10" s="94">
        <v>30</v>
      </c>
      <c r="E10" s="95">
        <f>'표점등급&amp;절평인원 입력 기능'!D223</f>
        <v>54</v>
      </c>
      <c r="F10" s="96">
        <f t="shared" si="0"/>
        <v>0.12587412587412589</v>
      </c>
      <c r="G10" s="97">
        <f>SUM($E$7:E10)</f>
        <v>361</v>
      </c>
      <c r="H10" s="98">
        <f t="shared" si="1"/>
        <v>0.84149184149184153</v>
      </c>
      <c r="I10" s="20"/>
      <c r="J10" s="20"/>
      <c r="K10" s="31"/>
      <c r="L10" s="5"/>
    </row>
    <row r="11" spans="1:12" ht="25" customHeight="1" x14ac:dyDescent="0.45">
      <c r="A11" s="5"/>
      <c r="B11" s="30"/>
      <c r="C11" s="93">
        <v>5</v>
      </c>
      <c r="D11" s="94">
        <v>25</v>
      </c>
      <c r="E11" s="95">
        <f>'표점등급&amp;절평인원 입력 기능'!D224</f>
        <v>31</v>
      </c>
      <c r="F11" s="96">
        <f t="shared" si="0"/>
        <v>7.2261072261072257E-2</v>
      </c>
      <c r="G11" s="97">
        <f>SUM($E$7:E11)</f>
        <v>392</v>
      </c>
      <c r="H11" s="98">
        <f t="shared" si="1"/>
        <v>0.91375291375291379</v>
      </c>
      <c r="I11" s="20"/>
      <c r="J11" s="20"/>
      <c r="K11" s="31"/>
      <c r="L11" s="5"/>
    </row>
    <row r="12" spans="1:12" ht="25" customHeight="1" x14ac:dyDescent="0.45">
      <c r="A12" s="5"/>
      <c r="B12" s="30"/>
      <c r="C12" s="93">
        <v>6</v>
      </c>
      <c r="D12" s="94">
        <v>20</v>
      </c>
      <c r="E12" s="95">
        <f>'표점등급&amp;절평인원 입력 기능'!D225</f>
        <v>12</v>
      </c>
      <c r="F12" s="96">
        <f t="shared" si="0"/>
        <v>2.7972027972027972E-2</v>
      </c>
      <c r="G12" s="97">
        <f>SUM($E$7:E12)</f>
        <v>404</v>
      </c>
      <c r="H12" s="98">
        <f t="shared" si="1"/>
        <v>0.9417249417249417</v>
      </c>
      <c r="I12" s="20"/>
      <c r="J12" s="20"/>
      <c r="K12" s="31"/>
      <c r="L12" s="5"/>
    </row>
    <row r="13" spans="1:12" ht="25" customHeight="1" x14ac:dyDescent="0.45">
      <c r="A13" s="5"/>
      <c r="B13" s="30"/>
      <c r="C13" s="93">
        <v>7</v>
      </c>
      <c r="D13" s="94">
        <v>15</v>
      </c>
      <c r="E13" s="95">
        <f>'표점등급&amp;절평인원 입력 기능'!D226</f>
        <v>13</v>
      </c>
      <c r="F13" s="96">
        <f t="shared" si="0"/>
        <v>3.0303030303030304E-2</v>
      </c>
      <c r="G13" s="97">
        <f>SUM($E$7:E13)</f>
        <v>417</v>
      </c>
      <c r="H13" s="98">
        <f t="shared" si="1"/>
        <v>0.97202797202797198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93">
        <v>8</v>
      </c>
      <c r="D14" s="94">
        <v>10</v>
      </c>
      <c r="E14" s="95">
        <f>'표점등급&amp;절평인원 입력 기능'!D227</f>
        <v>8</v>
      </c>
      <c r="F14" s="96">
        <f t="shared" si="0"/>
        <v>1.8648018648018648E-2</v>
      </c>
      <c r="G14" s="97">
        <f>SUM($E$7:E14)</f>
        <v>425</v>
      </c>
      <c r="H14" s="98">
        <f t="shared" si="1"/>
        <v>0.99067599067599066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99">
        <v>9</v>
      </c>
      <c r="D15" s="100">
        <v>0</v>
      </c>
      <c r="E15" s="101">
        <f>'표점등급&amp;절평인원 입력 기능'!D228</f>
        <v>4</v>
      </c>
      <c r="F15" s="102">
        <f t="shared" si="0"/>
        <v>9.324009324009324E-3</v>
      </c>
      <c r="G15" s="103">
        <f>SUM($E$7:E15)</f>
        <v>429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E8AA0-FEB9-4477-BA30-0657D1291FBB}">
  <sheetPr codeName="Sheet32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기능'!D29</f>
        <v>35.67</v>
      </c>
      <c r="I3" s="21" t="s">
        <v>123</v>
      </c>
      <c r="J3" s="81">
        <f>'통계 및 응시자 수 입력 기능'!C29</f>
        <v>227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107</v>
      </c>
      <c r="E4" s="186"/>
      <c r="F4" s="187"/>
      <c r="G4" s="83" t="s">
        <v>126</v>
      </c>
      <c r="H4" s="84" t="str">
        <f>'통계 및 응시자 수 입력 기능'!E29</f>
        <v>10.85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143">
        <v>1</v>
      </c>
      <c r="D7" s="144">
        <v>45</v>
      </c>
      <c r="E7" s="89">
        <f>'표점등급&amp;절평인원 입력 기능'!D229</f>
        <v>52</v>
      </c>
      <c r="F7" s="90">
        <f>E7/$J$3</f>
        <v>0.22907488986784141</v>
      </c>
      <c r="G7" s="91">
        <f>SUM($E$7:E7)</f>
        <v>52</v>
      </c>
      <c r="H7" s="92">
        <f>G7/$J$3</f>
        <v>0.22907488986784141</v>
      </c>
      <c r="I7" s="20"/>
      <c r="J7" s="20"/>
      <c r="K7" s="31"/>
      <c r="L7" s="5"/>
    </row>
    <row r="8" spans="1:12" ht="25" customHeight="1" x14ac:dyDescent="0.45">
      <c r="A8" s="5"/>
      <c r="B8" s="30"/>
      <c r="C8" s="145">
        <v>2</v>
      </c>
      <c r="D8" s="146">
        <v>40</v>
      </c>
      <c r="E8" s="95">
        <f>'표점등급&amp;절평인원 입력 기능'!D230</f>
        <v>53</v>
      </c>
      <c r="F8" s="96">
        <f t="shared" ref="F8:F15" si="0">E8/$J$3</f>
        <v>0.23348017621145375</v>
      </c>
      <c r="G8" s="97">
        <f>SUM($E$7:E8)</f>
        <v>105</v>
      </c>
      <c r="H8" s="98">
        <f t="shared" ref="H8:H15" si="1">G8/$J$3</f>
        <v>0.46255506607929514</v>
      </c>
      <c r="I8" s="20"/>
      <c r="J8" s="20"/>
      <c r="K8" s="31"/>
      <c r="L8" s="5"/>
    </row>
    <row r="9" spans="1:12" ht="25" customHeight="1" x14ac:dyDescent="0.45">
      <c r="A9" s="5"/>
      <c r="B9" s="30"/>
      <c r="C9" s="145">
        <v>3</v>
      </c>
      <c r="D9" s="146">
        <v>35</v>
      </c>
      <c r="E9" s="95">
        <f>'표점등급&amp;절평인원 입력 기능'!D231</f>
        <v>40</v>
      </c>
      <c r="F9" s="96">
        <f t="shared" si="0"/>
        <v>0.1762114537444934</v>
      </c>
      <c r="G9" s="97">
        <f>SUM($E$7:E9)</f>
        <v>145</v>
      </c>
      <c r="H9" s="98">
        <f t="shared" si="1"/>
        <v>0.63876651982378851</v>
      </c>
      <c r="I9" s="20"/>
      <c r="J9" s="20"/>
      <c r="K9" s="31"/>
      <c r="L9" s="5"/>
    </row>
    <row r="10" spans="1:12" ht="25" customHeight="1" x14ac:dyDescent="0.45">
      <c r="A10" s="5"/>
      <c r="B10" s="30"/>
      <c r="C10" s="145">
        <v>4</v>
      </c>
      <c r="D10" s="146">
        <v>30</v>
      </c>
      <c r="E10" s="95">
        <f>'표점등급&amp;절평인원 입력 기능'!D232</f>
        <v>29</v>
      </c>
      <c r="F10" s="96">
        <f t="shared" si="0"/>
        <v>0.1277533039647577</v>
      </c>
      <c r="G10" s="97">
        <f>SUM($E$7:E10)</f>
        <v>174</v>
      </c>
      <c r="H10" s="98">
        <f t="shared" si="1"/>
        <v>0.76651982378854622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5">
        <v>5</v>
      </c>
      <c r="D11" s="146">
        <v>25</v>
      </c>
      <c r="E11" s="95">
        <f>'표점등급&amp;절평인원 입력 기능'!D233</f>
        <v>16</v>
      </c>
      <c r="F11" s="96">
        <f t="shared" si="0"/>
        <v>7.0484581497797363E-2</v>
      </c>
      <c r="G11" s="97">
        <f>SUM($E$7:E11)</f>
        <v>190</v>
      </c>
      <c r="H11" s="98">
        <f t="shared" si="1"/>
        <v>0.83700440528634357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5">
        <v>6</v>
      </c>
      <c r="D12" s="146">
        <v>20</v>
      </c>
      <c r="E12" s="95">
        <f>'표점등급&amp;절평인원 입력 기능'!D234</f>
        <v>11</v>
      </c>
      <c r="F12" s="96">
        <f t="shared" si="0"/>
        <v>4.8458149779735685E-2</v>
      </c>
      <c r="G12" s="97">
        <f>SUM($E$7:E12)</f>
        <v>201</v>
      </c>
      <c r="H12" s="98">
        <f t="shared" si="1"/>
        <v>0.88546255506607929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5">
        <v>7</v>
      </c>
      <c r="D13" s="146">
        <v>15</v>
      </c>
      <c r="E13" s="95">
        <f>'표점등급&amp;절평인원 입력 기능'!D235</f>
        <v>11</v>
      </c>
      <c r="F13" s="96">
        <f t="shared" si="0"/>
        <v>4.8458149779735685E-2</v>
      </c>
      <c r="G13" s="97">
        <f>SUM($E$7:E13)</f>
        <v>212</v>
      </c>
      <c r="H13" s="98">
        <f t="shared" si="1"/>
        <v>0.93392070484581502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5">
        <v>8</v>
      </c>
      <c r="D14" s="146">
        <v>10</v>
      </c>
      <c r="E14" s="95">
        <f>'표점등급&amp;절평인원 입력 기능'!D236</f>
        <v>8</v>
      </c>
      <c r="F14" s="96">
        <f t="shared" si="0"/>
        <v>3.5242290748898682E-2</v>
      </c>
      <c r="G14" s="97">
        <f>SUM($E$7:E14)</f>
        <v>220</v>
      </c>
      <c r="H14" s="98">
        <f t="shared" si="1"/>
        <v>0.96916299559471364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7">
        <v>9</v>
      </c>
      <c r="D15" s="148">
        <v>0</v>
      </c>
      <c r="E15" s="101">
        <f>'표점등급&amp;절평인원 입력 기능'!D237</f>
        <v>7</v>
      </c>
      <c r="F15" s="102">
        <f t="shared" si="0"/>
        <v>3.0837004405286344E-2</v>
      </c>
      <c r="G15" s="103">
        <f>SUM($E$7:E15)</f>
        <v>227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6AA01-2400-473B-A1E4-51FC3A2400A3}">
  <sheetPr codeName="Sheet33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기능'!D30</f>
        <v>34.97</v>
      </c>
      <c r="I3" s="21" t="s">
        <v>123</v>
      </c>
      <c r="J3" s="81">
        <f>'통계 및 응시자 수 입력 기능'!C30</f>
        <v>760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109</v>
      </c>
      <c r="E4" s="186"/>
      <c r="F4" s="187"/>
      <c r="G4" s="83" t="s">
        <v>126</v>
      </c>
      <c r="H4" s="84" t="str">
        <f>'통계 및 응시자 수 입력 기능'!E30</f>
        <v xml:space="preserve"> 9.71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143">
        <v>1</v>
      </c>
      <c r="D7" s="144">
        <v>45</v>
      </c>
      <c r="E7" s="89">
        <f>'표점등급&amp;절평인원 입력 기능'!D238</f>
        <v>107</v>
      </c>
      <c r="F7" s="90">
        <f>E7/$J$3</f>
        <v>0.14078947368421052</v>
      </c>
      <c r="G7" s="91">
        <f>SUM($E$7:E7)</f>
        <v>107</v>
      </c>
      <c r="H7" s="92">
        <f>G7/$J$3</f>
        <v>0.14078947368421052</v>
      </c>
      <c r="I7" s="20"/>
      <c r="J7" s="20"/>
      <c r="K7" s="31"/>
      <c r="L7" s="5"/>
    </row>
    <row r="8" spans="1:12" ht="25" customHeight="1" x14ac:dyDescent="0.45">
      <c r="A8" s="5"/>
      <c r="B8" s="30"/>
      <c r="C8" s="145">
        <v>2</v>
      </c>
      <c r="D8" s="146">
        <v>40</v>
      </c>
      <c r="E8" s="95">
        <f>'표점등급&amp;절평인원 입력 기능'!D239</f>
        <v>184</v>
      </c>
      <c r="F8" s="96">
        <f t="shared" ref="F8:F15" si="0">E8/$J$3</f>
        <v>0.24210526315789474</v>
      </c>
      <c r="G8" s="97">
        <f>SUM($E$7:E8)</f>
        <v>291</v>
      </c>
      <c r="H8" s="98">
        <f t="shared" ref="H8:H15" si="1">G8/$J$3</f>
        <v>0.38289473684210529</v>
      </c>
      <c r="I8" s="20"/>
      <c r="J8" s="20"/>
      <c r="K8" s="31"/>
      <c r="L8" s="5"/>
    </row>
    <row r="9" spans="1:12" ht="25" customHeight="1" x14ac:dyDescent="0.45">
      <c r="A9" s="5"/>
      <c r="B9" s="30"/>
      <c r="C9" s="145">
        <v>3</v>
      </c>
      <c r="D9" s="146">
        <v>35</v>
      </c>
      <c r="E9" s="95">
        <f>'표점등급&amp;절평인원 입력 기능'!D240</f>
        <v>189</v>
      </c>
      <c r="F9" s="96">
        <f t="shared" si="0"/>
        <v>0.24868421052631579</v>
      </c>
      <c r="G9" s="97">
        <f>SUM($E$7:E9)</f>
        <v>480</v>
      </c>
      <c r="H9" s="98">
        <f t="shared" si="1"/>
        <v>0.63157894736842102</v>
      </c>
      <c r="I9" s="20"/>
      <c r="J9" s="20"/>
      <c r="K9" s="31"/>
      <c r="L9" s="5"/>
    </row>
    <row r="10" spans="1:12" ht="25" customHeight="1" x14ac:dyDescent="0.45">
      <c r="A10" s="5"/>
      <c r="B10" s="30"/>
      <c r="C10" s="145">
        <v>4</v>
      </c>
      <c r="D10" s="146">
        <v>30</v>
      </c>
      <c r="E10" s="95">
        <f>'표점등급&amp;절평인원 입력 기능'!D241</f>
        <v>95</v>
      </c>
      <c r="F10" s="96">
        <f t="shared" si="0"/>
        <v>0.125</v>
      </c>
      <c r="G10" s="97">
        <f>SUM($E$7:E10)</f>
        <v>575</v>
      </c>
      <c r="H10" s="98">
        <f t="shared" si="1"/>
        <v>0.75657894736842102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5">
        <v>5</v>
      </c>
      <c r="D11" s="146">
        <v>25</v>
      </c>
      <c r="E11" s="95">
        <f>'표점등급&amp;절평인원 입력 기능'!D242</f>
        <v>63</v>
      </c>
      <c r="F11" s="96">
        <f t="shared" si="0"/>
        <v>8.2894736842105257E-2</v>
      </c>
      <c r="G11" s="97">
        <f>SUM($E$7:E11)</f>
        <v>638</v>
      </c>
      <c r="H11" s="98">
        <f t="shared" si="1"/>
        <v>0.83947368421052626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5">
        <v>6</v>
      </c>
      <c r="D12" s="146">
        <v>20</v>
      </c>
      <c r="E12" s="95">
        <f>'표점등급&amp;절평인원 입력 기능'!D243</f>
        <v>49</v>
      </c>
      <c r="F12" s="96">
        <f t="shared" si="0"/>
        <v>6.4473684210526322E-2</v>
      </c>
      <c r="G12" s="97">
        <f>SUM($E$7:E12)</f>
        <v>687</v>
      </c>
      <c r="H12" s="98">
        <f t="shared" si="1"/>
        <v>0.90394736842105261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5">
        <v>7</v>
      </c>
      <c r="D13" s="146">
        <v>15</v>
      </c>
      <c r="E13" s="95">
        <f>'표점등급&amp;절평인원 입력 기능'!D244</f>
        <v>28</v>
      </c>
      <c r="F13" s="96">
        <f t="shared" si="0"/>
        <v>3.6842105263157891E-2</v>
      </c>
      <c r="G13" s="97">
        <f>SUM($E$7:E13)</f>
        <v>715</v>
      </c>
      <c r="H13" s="98">
        <f t="shared" si="1"/>
        <v>0.94078947368421051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5">
        <v>8</v>
      </c>
      <c r="D14" s="146">
        <v>10</v>
      </c>
      <c r="E14" s="95">
        <f>'표점등급&amp;절평인원 입력 기능'!D245</f>
        <v>36</v>
      </c>
      <c r="F14" s="96">
        <f t="shared" si="0"/>
        <v>4.736842105263158E-2</v>
      </c>
      <c r="G14" s="97">
        <f>SUM($E$7:E14)</f>
        <v>751</v>
      </c>
      <c r="H14" s="98">
        <f t="shared" si="1"/>
        <v>0.98815789473684212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7">
        <v>9</v>
      </c>
      <c r="D15" s="148">
        <v>0</v>
      </c>
      <c r="E15" s="101">
        <f>'표점등급&amp;절평인원 입력 기능'!D246</f>
        <v>9</v>
      </c>
      <c r="F15" s="102">
        <f t="shared" si="0"/>
        <v>1.1842105263157895E-2</v>
      </c>
      <c r="G15" s="103">
        <f>SUM($E$7:E15)</f>
        <v>760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5102-27E8-48EF-A367-B3DDC8D8FE89}">
  <sheetPr codeName="Sheet34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기능'!D31</f>
        <v>32.74</v>
      </c>
      <c r="I3" s="21" t="s">
        <v>123</v>
      </c>
      <c r="J3" s="81">
        <f>'통계 및 응시자 수 입력 기능'!C31</f>
        <v>644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108</v>
      </c>
      <c r="E4" s="186"/>
      <c r="F4" s="187"/>
      <c r="G4" s="83" t="s">
        <v>126</v>
      </c>
      <c r="H4" s="84" t="str">
        <f>'통계 및 응시자 수 입력 기능'!E31</f>
        <v>11.80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143">
        <v>1</v>
      </c>
      <c r="D7" s="144">
        <v>45</v>
      </c>
      <c r="E7" s="89">
        <f>'표점등급&amp;절평인원 입력 기능'!D247</f>
        <v>132</v>
      </c>
      <c r="F7" s="90">
        <f>E7/$J$3</f>
        <v>0.20496894409937888</v>
      </c>
      <c r="G7" s="91">
        <f>SUM($E$7:E7)</f>
        <v>132</v>
      </c>
      <c r="H7" s="92">
        <f>G7/$J$3</f>
        <v>0.20496894409937888</v>
      </c>
      <c r="I7" s="20"/>
      <c r="J7" s="20"/>
      <c r="K7" s="31"/>
      <c r="L7" s="5"/>
    </row>
    <row r="8" spans="1:12" ht="25" customHeight="1" x14ac:dyDescent="0.45">
      <c r="A8" s="5"/>
      <c r="B8" s="30"/>
      <c r="C8" s="145">
        <v>2</v>
      </c>
      <c r="D8" s="146">
        <v>40</v>
      </c>
      <c r="E8" s="95">
        <f>'표점등급&amp;절평인원 입력 기능'!D248</f>
        <v>110</v>
      </c>
      <c r="F8" s="96">
        <f t="shared" ref="F8:F15" si="0">E8/$J$3</f>
        <v>0.17080745341614906</v>
      </c>
      <c r="G8" s="97">
        <f>SUM($E$7:E8)</f>
        <v>242</v>
      </c>
      <c r="H8" s="98">
        <f t="shared" ref="H8:H15" si="1">G8/$J$3</f>
        <v>0.37577639751552794</v>
      </c>
      <c r="I8" s="20"/>
      <c r="J8" s="20"/>
      <c r="K8" s="31"/>
      <c r="L8" s="5"/>
    </row>
    <row r="9" spans="1:12" ht="25" customHeight="1" x14ac:dyDescent="0.45">
      <c r="A9" s="5"/>
      <c r="B9" s="30"/>
      <c r="C9" s="145">
        <v>3</v>
      </c>
      <c r="D9" s="146">
        <v>35</v>
      </c>
      <c r="E9" s="95">
        <f>'표점등급&amp;절평인원 입력 기능'!D249</f>
        <v>78</v>
      </c>
      <c r="F9" s="96">
        <f t="shared" si="0"/>
        <v>0.12111801242236025</v>
      </c>
      <c r="G9" s="97">
        <f>SUM($E$7:E9)</f>
        <v>320</v>
      </c>
      <c r="H9" s="98">
        <f t="shared" si="1"/>
        <v>0.49689440993788819</v>
      </c>
      <c r="I9" s="20"/>
      <c r="J9" s="20"/>
      <c r="K9" s="31"/>
      <c r="L9" s="5"/>
    </row>
    <row r="10" spans="1:12" ht="25" customHeight="1" x14ac:dyDescent="0.45">
      <c r="A10" s="5"/>
      <c r="B10" s="30"/>
      <c r="C10" s="145">
        <v>4</v>
      </c>
      <c r="D10" s="146">
        <v>30</v>
      </c>
      <c r="E10" s="95">
        <f>'표점등급&amp;절평인원 입력 기능'!D250</f>
        <v>79</v>
      </c>
      <c r="F10" s="96">
        <f t="shared" si="0"/>
        <v>0.12267080745341614</v>
      </c>
      <c r="G10" s="97">
        <f>SUM($E$7:E10)</f>
        <v>399</v>
      </c>
      <c r="H10" s="98">
        <f t="shared" si="1"/>
        <v>0.61956521739130432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5">
        <v>5</v>
      </c>
      <c r="D11" s="146">
        <v>25</v>
      </c>
      <c r="E11" s="95">
        <f>'표점등급&amp;절평인원 입력 기능'!D251</f>
        <v>64</v>
      </c>
      <c r="F11" s="96">
        <f t="shared" si="0"/>
        <v>9.9378881987577633E-2</v>
      </c>
      <c r="G11" s="97">
        <f>SUM($E$7:E11)</f>
        <v>463</v>
      </c>
      <c r="H11" s="98">
        <f t="shared" si="1"/>
        <v>0.71894409937888204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5">
        <v>6</v>
      </c>
      <c r="D12" s="146">
        <v>20</v>
      </c>
      <c r="E12" s="95">
        <f>'표점등급&amp;절평인원 입력 기능'!D252</f>
        <v>68</v>
      </c>
      <c r="F12" s="96">
        <f t="shared" si="0"/>
        <v>0.10559006211180125</v>
      </c>
      <c r="G12" s="97">
        <f>SUM($E$7:E12)</f>
        <v>531</v>
      </c>
      <c r="H12" s="98">
        <f t="shared" si="1"/>
        <v>0.82453416149068326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5">
        <v>7</v>
      </c>
      <c r="D13" s="146">
        <v>15</v>
      </c>
      <c r="E13" s="95">
        <f>'표점등급&amp;절평인원 입력 기능'!D253</f>
        <v>54</v>
      </c>
      <c r="F13" s="96">
        <f t="shared" si="0"/>
        <v>8.3850931677018639E-2</v>
      </c>
      <c r="G13" s="97">
        <f>SUM($E$7:E13)</f>
        <v>585</v>
      </c>
      <c r="H13" s="98">
        <f t="shared" si="1"/>
        <v>0.90838509316770188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5">
        <v>8</v>
      </c>
      <c r="D14" s="146">
        <v>10</v>
      </c>
      <c r="E14" s="95">
        <f>'표점등급&amp;절평인원 입력 기능'!D254</f>
        <v>47</v>
      </c>
      <c r="F14" s="96">
        <f t="shared" si="0"/>
        <v>7.2981366459627328E-2</v>
      </c>
      <c r="G14" s="97">
        <f>SUM($E$7:E14)</f>
        <v>632</v>
      </c>
      <c r="H14" s="98">
        <f t="shared" si="1"/>
        <v>0.98136645962732916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7">
        <v>9</v>
      </c>
      <c r="D15" s="148">
        <v>0</v>
      </c>
      <c r="E15" s="101">
        <f>'표점등급&amp;절평인원 입력 기능'!D255</f>
        <v>12</v>
      </c>
      <c r="F15" s="102">
        <f t="shared" si="0"/>
        <v>1.8633540372670808E-2</v>
      </c>
      <c r="G15" s="103">
        <f>SUM($E$7:E15)</f>
        <v>644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2F0A8-C55F-47D0-B0B6-D643EA30905F}">
  <sheetPr codeName="Sheet35"/>
  <dimension ref="A1:L16"/>
  <sheetViews>
    <sheetView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기능'!D32</f>
        <v>34.71</v>
      </c>
      <c r="I3" s="21" t="s">
        <v>123</v>
      </c>
      <c r="J3" s="81">
        <f>'통계 및 응시자 수 입력 기능'!C32</f>
        <v>124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110</v>
      </c>
      <c r="E4" s="186"/>
      <c r="F4" s="187"/>
      <c r="G4" s="83" t="s">
        <v>126</v>
      </c>
      <c r="H4" s="84" t="str">
        <f>'통계 및 응시자 수 입력 기능'!E32</f>
        <v>12.27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143">
        <v>1</v>
      </c>
      <c r="D7" s="144">
        <v>45</v>
      </c>
      <c r="E7" s="89">
        <f>'표점등급&amp;절평인원 입력 기능'!D256</f>
        <v>30</v>
      </c>
      <c r="F7" s="90">
        <f>E7/$J$3</f>
        <v>0.24193548387096775</v>
      </c>
      <c r="G7" s="91">
        <f>SUM($E$7:E7)</f>
        <v>30</v>
      </c>
      <c r="H7" s="92">
        <f>G7/$J$3</f>
        <v>0.24193548387096775</v>
      </c>
      <c r="I7" s="20"/>
      <c r="J7" s="20"/>
      <c r="K7" s="31"/>
      <c r="L7" s="5"/>
    </row>
    <row r="8" spans="1:12" ht="25" customHeight="1" x14ac:dyDescent="0.45">
      <c r="A8" s="5"/>
      <c r="B8" s="30"/>
      <c r="C8" s="145">
        <v>2</v>
      </c>
      <c r="D8" s="146">
        <v>40</v>
      </c>
      <c r="E8" s="95">
        <f>'표점등급&amp;절평인원 입력 기능'!D257</f>
        <v>25</v>
      </c>
      <c r="F8" s="96">
        <f t="shared" ref="F8:F15" si="0">E8/$J$3</f>
        <v>0.20161290322580644</v>
      </c>
      <c r="G8" s="97">
        <f>SUM($E$7:E8)</f>
        <v>55</v>
      </c>
      <c r="H8" s="98">
        <f t="shared" ref="H8:H15" si="1">G8/$J$3</f>
        <v>0.44354838709677419</v>
      </c>
      <c r="I8" s="20"/>
      <c r="J8" s="20"/>
      <c r="K8" s="31"/>
      <c r="L8" s="5"/>
    </row>
    <row r="9" spans="1:12" ht="25" customHeight="1" x14ac:dyDescent="0.45">
      <c r="A9" s="5"/>
      <c r="B9" s="30"/>
      <c r="C9" s="145">
        <v>3</v>
      </c>
      <c r="D9" s="146">
        <v>35</v>
      </c>
      <c r="E9" s="95">
        <f>'표점등급&amp;절평인원 입력 기능'!D258</f>
        <v>20</v>
      </c>
      <c r="F9" s="96">
        <f t="shared" si="0"/>
        <v>0.16129032258064516</v>
      </c>
      <c r="G9" s="97">
        <f>SUM($E$7:E9)</f>
        <v>75</v>
      </c>
      <c r="H9" s="98">
        <f t="shared" si="1"/>
        <v>0.60483870967741937</v>
      </c>
      <c r="I9" s="20"/>
      <c r="J9" s="20"/>
      <c r="K9" s="31"/>
      <c r="L9" s="5"/>
    </row>
    <row r="10" spans="1:12" ht="25" customHeight="1" x14ac:dyDescent="0.45">
      <c r="A10" s="5"/>
      <c r="B10" s="30"/>
      <c r="C10" s="145">
        <v>4</v>
      </c>
      <c r="D10" s="146">
        <v>30</v>
      </c>
      <c r="E10" s="95">
        <f>'표점등급&amp;절평인원 입력 기능'!D259</f>
        <v>16</v>
      </c>
      <c r="F10" s="96">
        <f t="shared" si="0"/>
        <v>0.12903225806451613</v>
      </c>
      <c r="G10" s="97">
        <f>SUM($E$7:E10)</f>
        <v>91</v>
      </c>
      <c r="H10" s="98">
        <f t="shared" si="1"/>
        <v>0.7338709677419355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5">
        <v>5</v>
      </c>
      <c r="D11" s="146">
        <v>25</v>
      </c>
      <c r="E11" s="95">
        <f>'표점등급&amp;절평인원 입력 기능'!D260</f>
        <v>3</v>
      </c>
      <c r="F11" s="96">
        <f t="shared" si="0"/>
        <v>2.4193548387096774E-2</v>
      </c>
      <c r="G11" s="97">
        <f>SUM($E$7:E11)</f>
        <v>94</v>
      </c>
      <c r="H11" s="98">
        <f t="shared" si="1"/>
        <v>0.75806451612903225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5">
        <v>6</v>
      </c>
      <c r="D12" s="146">
        <v>20</v>
      </c>
      <c r="E12" s="95">
        <f>'표점등급&amp;절평인원 입력 기능'!D261</f>
        <v>12</v>
      </c>
      <c r="F12" s="96">
        <f t="shared" si="0"/>
        <v>9.6774193548387094E-2</v>
      </c>
      <c r="G12" s="97">
        <f>SUM($E$7:E12)</f>
        <v>106</v>
      </c>
      <c r="H12" s="98">
        <f t="shared" si="1"/>
        <v>0.85483870967741937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5">
        <v>7</v>
      </c>
      <c r="D13" s="146">
        <v>15</v>
      </c>
      <c r="E13" s="95">
        <f>'표점등급&amp;절평인원 입력 기능'!D262</f>
        <v>4</v>
      </c>
      <c r="F13" s="96">
        <f t="shared" si="0"/>
        <v>3.2258064516129031E-2</v>
      </c>
      <c r="G13" s="97">
        <f>SUM($E$7:E13)</f>
        <v>110</v>
      </c>
      <c r="H13" s="98">
        <f t="shared" si="1"/>
        <v>0.88709677419354838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5">
        <v>8</v>
      </c>
      <c r="D14" s="146">
        <v>10</v>
      </c>
      <c r="E14" s="95">
        <f>'표점등급&amp;절평인원 입력 기능'!D263</f>
        <v>10</v>
      </c>
      <c r="F14" s="96">
        <f t="shared" si="0"/>
        <v>8.0645161290322578E-2</v>
      </c>
      <c r="G14" s="97">
        <f>SUM($E$7:E14)</f>
        <v>120</v>
      </c>
      <c r="H14" s="98">
        <f t="shared" si="1"/>
        <v>0.967741935483871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7">
        <v>9</v>
      </c>
      <c r="D15" s="148">
        <v>0</v>
      </c>
      <c r="E15" s="101">
        <f>'표점등급&amp;절평인원 입력 기능'!D264</f>
        <v>4</v>
      </c>
      <c r="F15" s="102">
        <f t="shared" si="0"/>
        <v>3.2258064516129031E-2</v>
      </c>
      <c r="G15" s="103">
        <f>SUM($E$7:E15)</f>
        <v>124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E72BD6-599F-4171-8780-18DBDF84382B}">
  <sheetPr codeName="Sheet36"/>
  <dimension ref="A1:L16"/>
  <sheetViews>
    <sheetView tabSelected="1" zoomScaleNormal="100" workbookViewId="0">
      <selection activeCell="B2" sqref="B2:K16"/>
    </sheetView>
  </sheetViews>
  <sheetFormatPr defaultRowHeight="17" x14ac:dyDescent="0.45"/>
  <cols>
    <col min="1" max="1" width="8.6640625" customWidth="1"/>
    <col min="2" max="2" width="1" style="5" customWidth="1"/>
    <col min="3" max="10" width="14.1640625" customWidth="1"/>
    <col min="11" max="11" width="1" customWidth="1"/>
  </cols>
  <sheetData>
    <row r="1" spans="1:12" x14ac:dyDescent="0.45">
      <c r="A1" s="5" t="s">
        <v>88</v>
      </c>
      <c r="C1" s="5"/>
      <c r="D1" s="5"/>
      <c r="E1" s="5"/>
      <c r="F1" s="5"/>
      <c r="G1" s="5"/>
      <c r="H1" s="5"/>
      <c r="I1" s="5"/>
      <c r="J1" s="5"/>
      <c r="K1" s="5"/>
    </row>
    <row r="2" spans="1:12" s="5" customFormat="1" ht="6" customHeight="1" thickBot="1" x14ac:dyDescent="0.5">
      <c r="B2" s="27"/>
      <c r="C2" s="28"/>
      <c r="D2" s="28"/>
      <c r="E2" s="28"/>
      <c r="F2" s="28"/>
      <c r="G2" s="28"/>
      <c r="H2" s="28"/>
      <c r="I2" s="28"/>
      <c r="J2" s="28"/>
      <c r="K2" s="29"/>
    </row>
    <row r="3" spans="1:12" ht="25" customHeight="1" thickBot="1" x14ac:dyDescent="0.5">
      <c r="A3" s="5"/>
      <c r="B3" s="30"/>
      <c r="C3" s="79" t="s">
        <v>121</v>
      </c>
      <c r="D3" s="182" t="s">
        <v>190</v>
      </c>
      <c r="E3" s="183"/>
      <c r="F3" s="184"/>
      <c r="G3" s="79" t="s">
        <v>122</v>
      </c>
      <c r="H3" s="80" t="str">
        <f>'통계 및 응시자 수 입력 기능'!D33</f>
        <v>27.86</v>
      </c>
      <c r="I3" s="21" t="s">
        <v>123</v>
      </c>
      <c r="J3" s="81">
        <f>'통계 및 응시자 수 입력 기능'!C33</f>
        <v>59</v>
      </c>
      <c r="K3" s="31"/>
    </row>
    <row r="4" spans="1:12" ht="25" customHeight="1" thickBot="1" x14ac:dyDescent="0.5">
      <c r="A4" s="5"/>
      <c r="B4" s="30"/>
      <c r="C4" s="82" t="s">
        <v>124</v>
      </c>
      <c r="D4" s="205" t="s">
        <v>111</v>
      </c>
      <c r="E4" s="186"/>
      <c r="F4" s="187"/>
      <c r="G4" s="83" t="s">
        <v>126</v>
      </c>
      <c r="H4" s="84" t="str">
        <f>'통계 및 응시자 수 입력 기능'!E33</f>
        <v>10.49</v>
      </c>
      <c r="I4" s="37"/>
      <c r="J4" s="38"/>
      <c r="K4" s="31"/>
    </row>
    <row r="5" spans="1:12" ht="25" customHeight="1" thickBot="1" x14ac:dyDescent="0.5">
      <c r="A5" s="5"/>
      <c r="B5" s="30"/>
      <c r="C5" s="20"/>
      <c r="D5" s="20"/>
      <c r="E5" s="20"/>
      <c r="F5" s="20"/>
      <c r="G5" s="188" t="s">
        <v>191</v>
      </c>
      <c r="H5" s="188"/>
      <c r="I5" s="188"/>
      <c r="J5" s="188"/>
      <c r="K5" s="31"/>
    </row>
    <row r="6" spans="1:12" ht="25" customHeight="1" thickBot="1" x14ac:dyDescent="0.5">
      <c r="A6" s="5"/>
      <c r="B6" s="30"/>
      <c r="C6" s="49" t="s">
        <v>130</v>
      </c>
      <c r="D6" s="85" t="s">
        <v>131</v>
      </c>
      <c r="E6" s="86" t="s">
        <v>132</v>
      </c>
      <c r="F6" s="50" t="s">
        <v>133</v>
      </c>
      <c r="G6" s="50" t="s">
        <v>134</v>
      </c>
      <c r="H6" s="52" t="s">
        <v>135</v>
      </c>
      <c r="I6" s="20"/>
      <c r="J6" s="20"/>
      <c r="K6" s="31"/>
      <c r="L6" s="5"/>
    </row>
    <row r="7" spans="1:12" ht="25" customHeight="1" x14ac:dyDescent="0.45">
      <c r="A7" s="5"/>
      <c r="B7" s="30"/>
      <c r="C7" s="143">
        <v>1</v>
      </c>
      <c r="D7" s="144">
        <v>45</v>
      </c>
      <c r="E7" s="89">
        <f>'표점등급&amp;절평인원 입력 기능'!D265</f>
        <v>3</v>
      </c>
      <c r="F7" s="90">
        <f>E7/$J$3</f>
        <v>5.0847457627118647E-2</v>
      </c>
      <c r="G7" s="91">
        <f>SUM($E$7:E7)</f>
        <v>3</v>
      </c>
      <c r="H7" s="92">
        <f>G7/$J$3</f>
        <v>5.0847457627118647E-2</v>
      </c>
      <c r="I7" s="20"/>
      <c r="J7" s="20"/>
      <c r="K7" s="31"/>
      <c r="L7" s="5"/>
    </row>
    <row r="8" spans="1:12" ht="25" customHeight="1" x14ac:dyDescent="0.45">
      <c r="A8" s="5"/>
      <c r="B8" s="30"/>
      <c r="C8" s="145">
        <v>2</v>
      </c>
      <c r="D8" s="146">
        <v>40</v>
      </c>
      <c r="E8" s="95">
        <f>'표점등급&amp;절평인원 입력 기능'!D266</f>
        <v>5</v>
      </c>
      <c r="F8" s="96">
        <f t="shared" ref="F8:F15" si="0">E8/$J$3</f>
        <v>8.4745762711864403E-2</v>
      </c>
      <c r="G8" s="97">
        <f>SUM($E$7:E8)</f>
        <v>8</v>
      </c>
      <c r="H8" s="98">
        <f t="shared" ref="H8:H15" si="1">G8/$J$3</f>
        <v>0.13559322033898305</v>
      </c>
      <c r="I8" s="20"/>
      <c r="J8" s="20"/>
      <c r="K8" s="31"/>
      <c r="L8" s="5"/>
    </row>
    <row r="9" spans="1:12" ht="25" customHeight="1" x14ac:dyDescent="0.45">
      <c r="A9" s="5"/>
      <c r="B9" s="30"/>
      <c r="C9" s="145">
        <v>3</v>
      </c>
      <c r="D9" s="146">
        <v>35</v>
      </c>
      <c r="E9" s="95">
        <f>'표점등급&amp;절평인원 입력 기능'!D267</f>
        <v>7</v>
      </c>
      <c r="F9" s="96">
        <f t="shared" si="0"/>
        <v>0.11864406779661017</v>
      </c>
      <c r="G9" s="97">
        <f>SUM($E$7:E9)</f>
        <v>15</v>
      </c>
      <c r="H9" s="98">
        <f t="shared" si="1"/>
        <v>0.25423728813559321</v>
      </c>
      <c r="I9" s="20"/>
      <c r="J9" s="20"/>
      <c r="K9" s="31"/>
      <c r="L9" s="5"/>
    </row>
    <row r="10" spans="1:12" ht="25" customHeight="1" x14ac:dyDescent="0.45">
      <c r="A10" s="5"/>
      <c r="B10" s="30"/>
      <c r="C10" s="145">
        <v>4</v>
      </c>
      <c r="D10" s="146">
        <v>30</v>
      </c>
      <c r="E10" s="95">
        <f>'표점등급&amp;절평인원 입력 기능'!D268</f>
        <v>9</v>
      </c>
      <c r="F10" s="96">
        <f t="shared" si="0"/>
        <v>0.15254237288135594</v>
      </c>
      <c r="G10" s="97">
        <f>SUM($E$7:E10)</f>
        <v>24</v>
      </c>
      <c r="H10" s="98">
        <f t="shared" si="1"/>
        <v>0.40677966101694918</v>
      </c>
      <c r="I10" s="20"/>
      <c r="J10" s="20"/>
      <c r="K10" s="31"/>
      <c r="L10" s="5"/>
    </row>
    <row r="11" spans="1:12" ht="25" customHeight="1" x14ac:dyDescent="0.45">
      <c r="A11" s="5"/>
      <c r="B11" s="30"/>
      <c r="C11" s="145">
        <v>5</v>
      </c>
      <c r="D11" s="146">
        <v>25</v>
      </c>
      <c r="E11" s="95">
        <f>'표점등급&amp;절평인원 입력 기능'!D269</f>
        <v>13</v>
      </c>
      <c r="F11" s="96">
        <f t="shared" si="0"/>
        <v>0.22033898305084745</v>
      </c>
      <c r="G11" s="97">
        <f>SUM($E$7:E11)</f>
        <v>37</v>
      </c>
      <c r="H11" s="98">
        <f t="shared" si="1"/>
        <v>0.6271186440677966</v>
      </c>
      <c r="I11" s="20"/>
      <c r="J11" s="20"/>
      <c r="K11" s="31"/>
      <c r="L11" s="5"/>
    </row>
    <row r="12" spans="1:12" ht="25" customHeight="1" x14ac:dyDescent="0.45">
      <c r="A12" s="5"/>
      <c r="B12" s="30"/>
      <c r="C12" s="145">
        <v>6</v>
      </c>
      <c r="D12" s="146">
        <v>20</v>
      </c>
      <c r="E12" s="95">
        <f>'표점등급&amp;절평인원 입력 기능'!D270</f>
        <v>10</v>
      </c>
      <c r="F12" s="96">
        <f t="shared" si="0"/>
        <v>0.16949152542372881</v>
      </c>
      <c r="G12" s="97">
        <f>SUM($E$7:E12)</f>
        <v>47</v>
      </c>
      <c r="H12" s="98">
        <f t="shared" si="1"/>
        <v>0.79661016949152541</v>
      </c>
      <c r="I12" s="20"/>
      <c r="J12" s="20"/>
      <c r="K12" s="31"/>
      <c r="L12" s="5"/>
    </row>
    <row r="13" spans="1:12" ht="25" customHeight="1" x14ac:dyDescent="0.45">
      <c r="A13" s="5"/>
      <c r="B13" s="30"/>
      <c r="C13" s="145">
        <v>7</v>
      </c>
      <c r="D13" s="146">
        <v>15</v>
      </c>
      <c r="E13" s="95">
        <f>'표점등급&amp;절평인원 입력 기능'!D271</f>
        <v>4</v>
      </c>
      <c r="F13" s="96">
        <f t="shared" si="0"/>
        <v>6.7796610169491525E-2</v>
      </c>
      <c r="G13" s="97">
        <f>SUM($E$7:E13)</f>
        <v>51</v>
      </c>
      <c r="H13" s="98">
        <f t="shared" si="1"/>
        <v>0.86440677966101698</v>
      </c>
      <c r="I13" s="20"/>
      <c r="J13" s="20"/>
      <c r="K13" s="31"/>
      <c r="L13" s="5"/>
    </row>
    <row r="14" spans="1:12" ht="25" customHeight="1" x14ac:dyDescent="0.45">
      <c r="A14" s="5"/>
      <c r="B14" s="30"/>
      <c r="C14" s="145">
        <v>8</v>
      </c>
      <c r="D14" s="146">
        <v>10</v>
      </c>
      <c r="E14" s="95">
        <f>'표점등급&amp;절평인원 입력 기능'!D272</f>
        <v>6</v>
      </c>
      <c r="F14" s="96">
        <f t="shared" si="0"/>
        <v>0.10169491525423729</v>
      </c>
      <c r="G14" s="97">
        <f>SUM($E$7:E14)</f>
        <v>57</v>
      </c>
      <c r="H14" s="98">
        <f t="shared" si="1"/>
        <v>0.96610169491525422</v>
      </c>
      <c r="I14" s="20"/>
      <c r="J14" s="20"/>
      <c r="K14" s="31"/>
      <c r="L14" s="5"/>
    </row>
    <row r="15" spans="1:12" ht="25" customHeight="1" thickBot="1" x14ac:dyDescent="0.5">
      <c r="A15" s="5"/>
      <c r="B15" s="30"/>
      <c r="C15" s="147">
        <v>9</v>
      </c>
      <c r="D15" s="148">
        <v>0</v>
      </c>
      <c r="E15" s="101">
        <f>'표점등급&amp;절평인원 입력 기능'!D273</f>
        <v>2</v>
      </c>
      <c r="F15" s="102">
        <f t="shared" si="0"/>
        <v>3.3898305084745763E-2</v>
      </c>
      <c r="G15" s="103">
        <f>SUM($E$7:E15)</f>
        <v>59</v>
      </c>
      <c r="H15" s="104">
        <f t="shared" si="1"/>
        <v>1</v>
      </c>
      <c r="I15" s="20"/>
      <c r="J15" s="20"/>
      <c r="K15" s="31"/>
      <c r="L15" s="5"/>
    </row>
    <row r="16" spans="1:12" ht="6" customHeight="1" x14ac:dyDescent="0.45">
      <c r="A16" s="5"/>
      <c r="B16" s="32"/>
      <c r="C16" s="33"/>
      <c r="D16" s="33"/>
      <c r="E16" s="33"/>
      <c r="F16" s="33"/>
      <c r="G16" s="33"/>
      <c r="H16" s="33"/>
      <c r="I16" s="33"/>
      <c r="J16" s="33"/>
      <c r="K16" s="34"/>
    </row>
  </sheetData>
  <mergeCells count="3">
    <mergeCell ref="D3:F3"/>
    <mergeCell ref="D4:F4"/>
    <mergeCell ref="G5:J5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36</vt:i4>
      </vt:variant>
    </vt:vector>
  </HeadingPairs>
  <TitlesOfParts>
    <vt:vector size="36" baseType="lpstr">
      <vt:lpstr>통계 및 응시자 수 입력 기능</vt:lpstr>
      <vt:lpstr>표점등급&amp;절평인원 입력 기능</vt:lpstr>
      <vt:lpstr>인원 입력 기능(국수)</vt:lpstr>
      <vt:lpstr>인원 입력 기능(사과탐)</vt:lpstr>
      <vt:lpstr>인원 입력 기능(직탐)</vt:lpstr>
      <vt:lpstr>국어</vt:lpstr>
      <vt:lpstr>수학</vt:lpstr>
      <vt:lpstr>영어</vt:lpstr>
      <vt:lpstr>한국사</vt:lpstr>
      <vt:lpstr>생활과 윤리</vt:lpstr>
      <vt:lpstr>윤리와 사상</vt:lpstr>
      <vt:lpstr>한국지리</vt:lpstr>
      <vt:lpstr>세계지리</vt:lpstr>
      <vt:lpstr>동아시아사</vt:lpstr>
      <vt:lpstr>세계사</vt:lpstr>
      <vt:lpstr>경제</vt:lpstr>
      <vt:lpstr>정치와 법</vt:lpstr>
      <vt:lpstr>사회∙문화</vt:lpstr>
      <vt:lpstr>물리학Ⅰ</vt:lpstr>
      <vt:lpstr>화학Ⅰ</vt:lpstr>
      <vt:lpstr>생명과학Ⅰ</vt:lpstr>
      <vt:lpstr>지구과학Ⅰ</vt:lpstr>
      <vt:lpstr>성공적인 직업생활</vt:lpstr>
      <vt:lpstr>농업 기초 기술</vt:lpstr>
      <vt:lpstr>공업 일반</vt:lpstr>
      <vt:lpstr>상업 경제</vt:lpstr>
      <vt:lpstr>수산∙해운 산업 기초</vt:lpstr>
      <vt:lpstr>인간 발달</vt:lpstr>
      <vt:lpstr>등급컷 모아보기</vt:lpstr>
      <vt:lpstr>독일어Ⅰ</vt:lpstr>
      <vt:lpstr>프랑스어Ⅰ</vt:lpstr>
      <vt:lpstr>스페인어Ⅰ</vt:lpstr>
      <vt:lpstr>중국어Ⅰ</vt:lpstr>
      <vt:lpstr>일본어Ⅰ</vt:lpstr>
      <vt:lpstr>러시아어Ⅰ</vt:lpstr>
      <vt:lpstr>한문Ⅰ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윤승혁</dc:creator>
  <cp:lastModifiedBy>-</cp:lastModifiedBy>
  <dcterms:created xsi:type="dcterms:W3CDTF">2018-04-21T04:34:05Z</dcterms:created>
  <dcterms:modified xsi:type="dcterms:W3CDTF">2024-10-30T08:39:33Z</dcterms:modified>
</cp:coreProperties>
</file>