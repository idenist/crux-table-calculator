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윤승혁\OneDrive - 홍익대학교\바탕 화면\모의고사&amp;수능 관련\2024\고1\"/>
    </mc:Choice>
  </mc:AlternateContent>
  <xr:revisionPtr revIDLastSave="0" documentId="13_ncr:1_{9138519E-9BB8-4FA0-BB36-AC5E48FFBB6B}" xr6:coauthVersionLast="47" xr6:coauthVersionMax="47" xr10:uidLastSave="{00000000-0000-0000-0000-000000000000}"/>
  <bookViews>
    <workbookView xWindow="-110" yWindow="-110" windowWidth="19420" windowHeight="11620" xr2:uid="{AB9EE284-95EA-49B1-8133-EE4E7651E7F1}"/>
  </bookViews>
  <sheets>
    <sheet name="통계 및 응시자 수 입력 기능" sheetId="67" r:id="rId1"/>
    <sheet name="표점등급&amp;절평인원 입력기능" sheetId="66" r:id="rId2"/>
    <sheet name="인원 입력 기능" sheetId="64" r:id="rId3"/>
    <sheet name="국어" sheetId="2" r:id="rId4"/>
    <sheet name="수학" sheetId="5" r:id="rId5"/>
    <sheet name="영어" sheetId="6" r:id="rId6"/>
    <sheet name="한국사" sheetId="25" r:id="rId7"/>
    <sheet name="사회" sheetId="69" r:id="rId8"/>
    <sheet name="과학" sheetId="6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68" l="1"/>
  <c r="H4" i="68"/>
  <c r="H3" i="68"/>
  <c r="J3" i="69"/>
  <c r="H4" i="69"/>
  <c r="H3" i="69"/>
  <c r="E15" i="68" l="1"/>
  <c r="F15" i="68" s="1"/>
  <c r="E9" i="68"/>
  <c r="F9" i="68" s="1"/>
  <c r="E10" i="68"/>
  <c r="F10" i="68" s="1"/>
  <c r="E11" i="68"/>
  <c r="F11" i="68" s="1"/>
  <c r="E12" i="68"/>
  <c r="F12" i="68" s="1"/>
  <c r="E13" i="68"/>
  <c r="F13" i="68" s="1"/>
  <c r="E14" i="68"/>
  <c r="F14" i="68" s="1"/>
  <c r="E8" i="68"/>
  <c r="F8" i="68" s="1"/>
  <c r="E7" i="68"/>
  <c r="F7" i="68" s="1"/>
  <c r="E15" i="69"/>
  <c r="F15" i="69" s="1"/>
  <c r="E14" i="69"/>
  <c r="F14" i="69" s="1"/>
  <c r="E9" i="69"/>
  <c r="F9" i="69" s="1"/>
  <c r="E10" i="69"/>
  <c r="F10" i="69" s="1"/>
  <c r="E11" i="69"/>
  <c r="F11" i="69" s="1"/>
  <c r="E12" i="69"/>
  <c r="F12" i="69" s="1"/>
  <c r="E13" i="69"/>
  <c r="F13" i="69" s="1"/>
  <c r="E8" i="69"/>
  <c r="F8" i="69" s="1"/>
  <c r="E7" i="69"/>
  <c r="F7" i="69" s="1"/>
  <c r="E15" i="25"/>
  <c r="E9" i="25"/>
  <c r="E10" i="25"/>
  <c r="E11" i="25"/>
  <c r="E12" i="25"/>
  <c r="E13" i="25"/>
  <c r="E14" i="25"/>
  <c r="E8" i="25"/>
  <c r="E7" i="25"/>
  <c r="E15" i="6"/>
  <c r="E14" i="6"/>
  <c r="E9" i="6"/>
  <c r="E10" i="6"/>
  <c r="E11" i="6"/>
  <c r="E12" i="6"/>
  <c r="E13" i="6"/>
  <c r="E8" i="6"/>
  <c r="E7" i="6"/>
  <c r="G13" i="68" l="1"/>
  <c r="H13" i="68" s="1"/>
  <c r="G7" i="68"/>
  <c r="H7" i="68" s="1"/>
  <c r="G11" i="68"/>
  <c r="H11" i="68" s="1"/>
  <c r="G15" i="68"/>
  <c r="H15" i="68" s="1"/>
  <c r="G10" i="68"/>
  <c r="H10" i="68" s="1"/>
  <c r="G14" i="68"/>
  <c r="H14" i="68" s="1"/>
  <c r="G8" i="68"/>
  <c r="H8" i="68" s="1"/>
  <c r="G12" i="68"/>
  <c r="H12" i="68" s="1"/>
  <c r="G9" i="68"/>
  <c r="H9" i="68" s="1"/>
  <c r="G13" i="69"/>
  <c r="H13" i="69" s="1"/>
  <c r="G11" i="69"/>
  <c r="H11" i="69" s="1"/>
  <c r="G7" i="69"/>
  <c r="H7" i="69" s="1"/>
  <c r="G10" i="69"/>
  <c r="H10" i="69" s="1"/>
  <c r="G14" i="69"/>
  <c r="H14" i="69" s="1"/>
  <c r="G8" i="69"/>
  <c r="H8" i="69" s="1"/>
  <c r="G12" i="69"/>
  <c r="H12" i="69" s="1"/>
  <c r="G9" i="69"/>
  <c r="H9" i="69" s="1"/>
  <c r="G15" i="69"/>
  <c r="H15" i="69" s="1"/>
  <c r="J3" i="2"/>
  <c r="J3" i="5"/>
  <c r="Q8" i="5" l="1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25"/>
  <c r="J3" i="6"/>
  <c r="H4" i="25"/>
  <c r="H4" i="6"/>
  <c r="H4" i="5"/>
  <c r="H4" i="2"/>
  <c r="H3" i="25"/>
  <c r="H3" i="6"/>
  <c r="H3" i="5"/>
  <c r="H3" i="2"/>
  <c r="D107" i="2" l="1"/>
  <c r="G107" i="2" s="1"/>
  <c r="H107" i="2" s="1"/>
  <c r="Q17" i="2"/>
  <c r="Q17" i="5"/>
  <c r="F9" i="6"/>
  <c r="F13" i="6"/>
  <c r="F10" i="6"/>
  <c r="F14" i="6"/>
  <c r="F8" i="6"/>
  <c r="F15" i="6"/>
  <c r="F11" i="6"/>
  <c r="F7" i="6"/>
  <c r="F12" i="6"/>
  <c r="F9" i="25"/>
  <c r="F13" i="25"/>
  <c r="F10" i="25"/>
  <c r="F14" i="25"/>
  <c r="F8" i="25"/>
  <c r="F7" i="25"/>
  <c r="F11" i="25"/>
  <c r="F15" i="25"/>
  <c r="F12" i="25"/>
  <c r="D102" i="5"/>
  <c r="D102" i="2"/>
  <c r="L102" i="2" s="1"/>
  <c r="L107" i="2" l="1"/>
  <c r="E102" i="5"/>
  <c r="L102" i="5"/>
  <c r="E102" i="2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D107" i="5" l="1"/>
  <c r="D10" i="5"/>
  <c r="L10" i="5" s="1"/>
  <c r="D11" i="5"/>
  <c r="D12" i="5"/>
  <c r="D13" i="5"/>
  <c r="L13" i="5" s="1"/>
  <c r="D14" i="5"/>
  <c r="L14" i="5" s="1"/>
  <c r="D15" i="5"/>
  <c r="D16" i="5"/>
  <c r="L16" i="5" s="1"/>
  <c r="D17" i="5"/>
  <c r="L17" i="5" s="1"/>
  <c r="D18" i="5"/>
  <c r="L18" i="5" s="1"/>
  <c r="D19" i="5"/>
  <c r="D20" i="5"/>
  <c r="L20" i="5" s="1"/>
  <c r="D21" i="5"/>
  <c r="L21" i="5" s="1"/>
  <c r="D22" i="5"/>
  <c r="L22" i="5" s="1"/>
  <c r="D23" i="5"/>
  <c r="D24" i="5"/>
  <c r="L24" i="5" s="1"/>
  <c r="D25" i="5"/>
  <c r="L25" i="5" s="1"/>
  <c r="D26" i="5"/>
  <c r="L26" i="5" s="1"/>
  <c r="D27" i="5"/>
  <c r="D28" i="5"/>
  <c r="L28" i="5" s="1"/>
  <c r="D29" i="5"/>
  <c r="L29" i="5" s="1"/>
  <c r="D30" i="5"/>
  <c r="L30" i="5" s="1"/>
  <c r="D31" i="5"/>
  <c r="D32" i="5"/>
  <c r="L32" i="5" s="1"/>
  <c r="D33" i="5"/>
  <c r="L33" i="5" s="1"/>
  <c r="D34" i="5"/>
  <c r="L34" i="5" s="1"/>
  <c r="D35" i="5"/>
  <c r="D36" i="5"/>
  <c r="L36" i="5" s="1"/>
  <c r="D37" i="5"/>
  <c r="L37" i="5" s="1"/>
  <c r="D38" i="5"/>
  <c r="L38" i="5" s="1"/>
  <c r="D39" i="5"/>
  <c r="D40" i="5"/>
  <c r="L40" i="5" s="1"/>
  <c r="D41" i="5"/>
  <c r="L41" i="5" s="1"/>
  <c r="L42" i="5"/>
  <c r="D43" i="5"/>
  <c r="D44" i="5"/>
  <c r="L44" i="5" s="1"/>
  <c r="D45" i="5"/>
  <c r="L45" i="5" s="1"/>
  <c r="D46" i="5"/>
  <c r="L46" i="5" s="1"/>
  <c r="D47" i="5"/>
  <c r="D48" i="5"/>
  <c r="L48" i="5" s="1"/>
  <c r="D49" i="5"/>
  <c r="L49" i="5" s="1"/>
  <c r="D50" i="5"/>
  <c r="L50" i="5" s="1"/>
  <c r="D51" i="5"/>
  <c r="D52" i="5"/>
  <c r="L52" i="5" s="1"/>
  <c r="D53" i="5"/>
  <c r="L53" i="5" s="1"/>
  <c r="D54" i="5"/>
  <c r="L54" i="5" s="1"/>
  <c r="D55" i="5"/>
  <c r="D56" i="5"/>
  <c r="L56" i="5" s="1"/>
  <c r="D57" i="5"/>
  <c r="L57" i="5" s="1"/>
  <c r="D58" i="5"/>
  <c r="L58" i="5" s="1"/>
  <c r="D59" i="5"/>
  <c r="D60" i="5"/>
  <c r="L60" i="5" s="1"/>
  <c r="D61" i="5"/>
  <c r="L61" i="5" s="1"/>
  <c r="D62" i="5"/>
  <c r="L62" i="5" s="1"/>
  <c r="D63" i="5"/>
  <c r="D64" i="5"/>
  <c r="L64" i="5" s="1"/>
  <c r="D65" i="5"/>
  <c r="L65" i="5" s="1"/>
  <c r="D66" i="5"/>
  <c r="L66" i="5" s="1"/>
  <c r="D67" i="5"/>
  <c r="D68" i="5"/>
  <c r="L68" i="5" s="1"/>
  <c r="D69" i="5"/>
  <c r="L69" i="5" s="1"/>
  <c r="D70" i="5"/>
  <c r="L70" i="5" s="1"/>
  <c r="D71" i="5"/>
  <c r="D72" i="5"/>
  <c r="L72" i="5" s="1"/>
  <c r="D73" i="5"/>
  <c r="L73" i="5" s="1"/>
  <c r="D74" i="5"/>
  <c r="L74" i="5" s="1"/>
  <c r="D75" i="5"/>
  <c r="D76" i="5"/>
  <c r="L76" i="5" s="1"/>
  <c r="D77" i="5"/>
  <c r="L77" i="5" s="1"/>
  <c r="D78" i="5"/>
  <c r="L78" i="5" s="1"/>
  <c r="D79" i="5"/>
  <c r="D80" i="5"/>
  <c r="L80" i="5" s="1"/>
  <c r="D81" i="5"/>
  <c r="L81" i="5" s="1"/>
  <c r="D82" i="5"/>
  <c r="L82" i="5" s="1"/>
  <c r="D83" i="5"/>
  <c r="D84" i="5"/>
  <c r="L84" i="5" s="1"/>
  <c r="D85" i="5"/>
  <c r="L85" i="5" s="1"/>
  <c r="D86" i="5"/>
  <c r="L86" i="5" s="1"/>
  <c r="D87" i="5"/>
  <c r="D88" i="5"/>
  <c r="L88" i="5" s="1"/>
  <c r="D89" i="5"/>
  <c r="L89" i="5" s="1"/>
  <c r="D90" i="5"/>
  <c r="L90" i="5" s="1"/>
  <c r="D91" i="5"/>
  <c r="D92" i="5"/>
  <c r="L92" i="5" s="1"/>
  <c r="D93" i="5"/>
  <c r="L93" i="5" s="1"/>
  <c r="D94" i="5"/>
  <c r="L94" i="5" s="1"/>
  <c r="D95" i="5"/>
  <c r="D96" i="5"/>
  <c r="L96" i="5" s="1"/>
  <c r="D97" i="5"/>
  <c r="L97" i="5" s="1"/>
  <c r="D98" i="5"/>
  <c r="L98" i="5" s="1"/>
  <c r="D99" i="5"/>
  <c r="D100" i="5"/>
  <c r="L100" i="5" s="1"/>
  <c r="D101" i="5"/>
  <c r="L101" i="5" s="1"/>
  <c r="D103" i="5"/>
  <c r="D104" i="5"/>
  <c r="D105" i="5"/>
  <c r="L105" i="5" s="1"/>
  <c r="D9" i="5"/>
  <c r="D7" i="5"/>
  <c r="G12" i="5" l="1"/>
  <c r="H12" i="5" s="1"/>
  <c r="L12" i="5"/>
  <c r="G104" i="5"/>
  <c r="H104" i="5" s="1"/>
  <c r="L104" i="5"/>
  <c r="G99" i="5"/>
  <c r="H99" i="5" s="1"/>
  <c r="L99" i="5"/>
  <c r="G95" i="5"/>
  <c r="H95" i="5" s="1"/>
  <c r="L95" i="5"/>
  <c r="G91" i="5"/>
  <c r="H91" i="5" s="1"/>
  <c r="L91" i="5"/>
  <c r="G87" i="5"/>
  <c r="H87" i="5" s="1"/>
  <c r="L87" i="5"/>
  <c r="G83" i="5"/>
  <c r="H83" i="5" s="1"/>
  <c r="L83" i="5"/>
  <c r="G79" i="5"/>
  <c r="H79" i="5" s="1"/>
  <c r="L79" i="5"/>
  <c r="G75" i="5"/>
  <c r="H75" i="5" s="1"/>
  <c r="L75" i="5"/>
  <c r="G71" i="5"/>
  <c r="H71" i="5" s="1"/>
  <c r="L71" i="5"/>
  <c r="G67" i="5"/>
  <c r="H67" i="5" s="1"/>
  <c r="L67" i="5"/>
  <c r="G63" i="5"/>
  <c r="H63" i="5" s="1"/>
  <c r="L63" i="5"/>
  <c r="G59" i="5"/>
  <c r="H59" i="5" s="1"/>
  <c r="L59" i="5"/>
  <c r="G55" i="5"/>
  <c r="H55" i="5" s="1"/>
  <c r="L55" i="5"/>
  <c r="G51" i="5"/>
  <c r="H51" i="5" s="1"/>
  <c r="L51" i="5"/>
  <c r="G47" i="5"/>
  <c r="H47" i="5" s="1"/>
  <c r="L47" i="5"/>
  <c r="G43" i="5"/>
  <c r="H43" i="5" s="1"/>
  <c r="L43" i="5"/>
  <c r="G39" i="5"/>
  <c r="H39" i="5" s="1"/>
  <c r="L39" i="5"/>
  <c r="G35" i="5"/>
  <c r="H35" i="5" s="1"/>
  <c r="L35" i="5"/>
  <c r="G31" i="5"/>
  <c r="H31" i="5" s="1"/>
  <c r="L31" i="5"/>
  <c r="G27" i="5"/>
  <c r="H27" i="5" s="1"/>
  <c r="L27" i="5"/>
  <c r="G23" i="5"/>
  <c r="H23" i="5" s="1"/>
  <c r="L23" i="5"/>
  <c r="G19" i="5"/>
  <c r="H19" i="5" s="1"/>
  <c r="L19" i="5"/>
  <c r="G15" i="5"/>
  <c r="H15" i="5" s="1"/>
  <c r="L15" i="5"/>
  <c r="G11" i="5"/>
  <c r="H11" i="5" s="1"/>
  <c r="L11" i="5"/>
  <c r="G7" i="5"/>
  <c r="H7" i="5" s="1"/>
  <c r="L7" i="5"/>
  <c r="G103" i="5"/>
  <c r="H103" i="5" s="1"/>
  <c r="L103" i="5"/>
  <c r="G9" i="5"/>
  <c r="H9" i="5" s="1"/>
  <c r="L9" i="5"/>
  <c r="G107" i="5"/>
  <c r="H107" i="5" s="1"/>
  <c r="L107" i="5"/>
  <c r="G80" i="5"/>
  <c r="H80" i="5" s="1"/>
  <c r="G76" i="5"/>
  <c r="H76" i="5" s="1"/>
  <c r="G72" i="5"/>
  <c r="H72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8" i="5"/>
  <c r="H28" i="5" s="1"/>
  <c r="G24" i="5"/>
  <c r="H24" i="5" s="1"/>
  <c r="G20" i="5"/>
  <c r="H20" i="5" s="1"/>
  <c r="G16" i="5"/>
  <c r="H16" i="5" s="1"/>
  <c r="G105" i="5"/>
  <c r="H105" i="5" s="1"/>
  <c r="G100" i="5"/>
  <c r="H100" i="5" s="1"/>
  <c r="G96" i="5"/>
  <c r="H96" i="5" s="1"/>
  <c r="G92" i="5"/>
  <c r="H92" i="5" s="1"/>
  <c r="G88" i="5"/>
  <c r="H88" i="5" s="1"/>
  <c r="G84" i="5"/>
  <c r="H84" i="5" s="1"/>
  <c r="G98" i="5"/>
  <c r="H98" i="5" s="1"/>
  <c r="G94" i="5"/>
  <c r="H94" i="5" s="1"/>
  <c r="G90" i="5"/>
  <c r="H90" i="5" s="1"/>
  <c r="G86" i="5"/>
  <c r="H86" i="5" s="1"/>
  <c r="G82" i="5"/>
  <c r="H82" i="5" s="1"/>
  <c r="G78" i="5"/>
  <c r="H78" i="5" s="1"/>
  <c r="G74" i="5"/>
  <c r="H74" i="5" s="1"/>
  <c r="G70" i="5"/>
  <c r="H70" i="5" s="1"/>
  <c r="G66" i="5"/>
  <c r="H66" i="5" s="1"/>
  <c r="G62" i="5"/>
  <c r="H62" i="5" s="1"/>
  <c r="G58" i="5"/>
  <c r="H58" i="5" s="1"/>
  <c r="G54" i="5"/>
  <c r="H54" i="5" s="1"/>
  <c r="G50" i="5"/>
  <c r="H50" i="5" s="1"/>
  <c r="G46" i="5"/>
  <c r="H46" i="5" s="1"/>
  <c r="G38" i="5"/>
  <c r="H38" i="5" s="1"/>
  <c r="G34" i="5"/>
  <c r="H34" i="5" s="1"/>
  <c r="G30" i="5"/>
  <c r="H30" i="5" s="1"/>
  <c r="G26" i="5"/>
  <c r="H26" i="5" s="1"/>
  <c r="G22" i="5"/>
  <c r="H22" i="5" s="1"/>
  <c r="G18" i="5"/>
  <c r="H18" i="5" s="1"/>
  <c r="G14" i="5"/>
  <c r="H14" i="5" s="1"/>
  <c r="G10" i="5"/>
  <c r="H10" i="5" s="1"/>
  <c r="G101" i="5"/>
  <c r="H101" i="5" s="1"/>
  <c r="G102" i="5"/>
  <c r="H102" i="5" s="1"/>
  <c r="G97" i="5"/>
  <c r="H97" i="5" s="1"/>
  <c r="G93" i="5"/>
  <c r="H93" i="5" s="1"/>
  <c r="G89" i="5"/>
  <c r="H89" i="5" s="1"/>
  <c r="G85" i="5"/>
  <c r="H85" i="5" s="1"/>
  <c r="G81" i="5"/>
  <c r="H81" i="5" s="1"/>
  <c r="G77" i="5"/>
  <c r="H77" i="5" s="1"/>
  <c r="G73" i="5"/>
  <c r="H73" i="5" s="1"/>
  <c r="G69" i="5"/>
  <c r="H69" i="5" s="1"/>
  <c r="G65" i="5"/>
  <c r="H65" i="5" s="1"/>
  <c r="G61" i="5"/>
  <c r="H61" i="5" s="1"/>
  <c r="G57" i="5"/>
  <c r="H57" i="5" s="1"/>
  <c r="G53" i="5"/>
  <c r="H53" i="5" s="1"/>
  <c r="G49" i="5"/>
  <c r="H49" i="5" s="1"/>
  <c r="G45" i="5"/>
  <c r="H45" i="5" s="1"/>
  <c r="G41" i="5"/>
  <c r="H41" i="5" s="1"/>
  <c r="G37" i="5"/>
  <c r="H37" i="5" s="1"/>
  <c r="G33" i="5"/>
  <c r="H33" i="5" s="1"/>
  <c r="G29" i="5"/>
  <c r="H29" i="5" s="1"/>
  <c r="G25" i="5"/>
  <c r="H25" i="5" s="1"/>
  <c r="G21" i="5"/>
  <c r="H21" i="5" s="1"/>
  <c r="G17" i="5"/>
  <c r="H17" i="5" s="1"/>
  <c r="G13" i="5"/>
  <c r="H13" i="5" s="1"/>
  <c r="E96" i="5"/>
  <c r="E84" i="5"/>
  <c r="E72" i="5"/>
  <c r="E60" i="5"/>
  <c r="E48" i="5"/>
  <c r="E36" i="5"/>
  <c r="E24" i="5"/>
  <c r="E12" i="5"/>
  <c r="E7" i="5"/>
  <c r="E103" i="5"/>
  <c r="E99" i="5"/>
  <c r="E95" i="5"/>
  <c r="E91" i="5"/>
  <c r="E87" i="5"/>
  <c r="E83" i="5"/>
  <c r="E79" i="5"/>
  <c r="E75" i="5"/>
  <c r="E71" i="5"/>
  <c r="E67" i="5"/>
  <c r="E63" i="5"/>
  <c r="E59" i="5"/>
  <c r="E55" i="5"/>
  <c r="E51" i="5"/>
  <c r="E47" i="5"/>
  <c r="E43" i="5"/>
  <c r="E39" i="5"/>
  <c r="E35" i="5"/>
  <c r="E31" i="5"/>
  <c r="E27" i="5"/>
  <c r="E23" i="5"/>
  <c r="E19" i="5"/>
  <c r="E15" i="5"/>
  <c r="E11" i="5"/>
  <c r="E104" i="5"/>
  <c r="E92" i="5"/>
  <c r="E76" i="5"/>
  <c r="E64" i="5"/>
  <c r="E52" i="5"/>
  <c r="E40" i="5"/>
  <c r="E28" i="5"/>
  <c r="E16" i="5"/>
  <c r="E9" i="5"/>
  <c r="E98" i="5"/>
  <c r="E94" i="5"/>
  <c r="E90" i="5"/>
  <c r="E86" i="5"/>
  <c r="E82" i="5"/>
  <c r="E78" i="5"/>
  <c r="E74" i="5"/>
  <c r="E70" i="5"/>
  <c r="E66" i="5"/>
  <c r="E62" i="5"/>
  <c r="E58" i="5"/>
  <c r="E54" i="5"/>
  <c r="E50" i="5"/>
  <c r="E46" i="5"/>
  <c r="E38" i="5"/>
  <c r="E34" i="5"/>
  <c r="E30" i="5"/>
  <c r="E26" i="5"/>
  <c r="E22" i="5"/>
  <c r="E18" i="5"/>
  <c r="E14" i="5"/>
  <c r="E10" i="5"/>
  <c r="E100" i="5"/>
  <c r="E88" i="5"/>
  <c r="E80" i="5"/>
  <c r="E68" i="5"/>
  <c r="E56" i="5"/>
  <c r="E44" i="5"/>
  <c r="E32" i="5"/>
  <c r="E20" i="5"/>
  <c r="E105" i="5"/>
  <c r="E101" i="5"/>
  <c r="E97" i="5"/>
  <c r="E93" i="5"/>
  <c r="E89" i="5"/>
  <c r="E85" i="5"/>
  <c r="E81" i="5"/>
  <c r="E77" i="5"/>
  <c r="E73" i="5"/>
  <c r="E69" i="5"/>
  <c r="E65" i="5"/>
  <c r="E61" i="5"/>
  <c r="E57" i="5"/>
  <c r="E53" i="5"/>
  <c r="E49" i="5"/>
  <c r="E45" i="5"/>
  <c r="E41" i="5"/>
  <c r="E37" i="5"/>
  <c r="E33" i="5"/>
  <c r="E29" i="5"/>
  <c r="E25" i="5"/>
  <c r="E21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L18" i="2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L27" i="2"/>
  <c r="D28" i="2"/>
  <c r="L28" i="2" s="1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L36" i="2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L45" i="2"/>
  <c r="D46" i="2"/>
  <c r="L46" i="2" s="1"/>
  <c r="D47" i="2"/>
  <c r="L47" i="2" s="1"/>
  <c r="D48" i="2"/>
  <c r="L48" i="2" s="1"/>
  <c r="D49" i="2"/>
  <c r="L49" i="2" s="1"/>
  <c r="D50" i="2"/>
  <c r="L50" i="2" s="1"/>
  <c r="D51" i="2"/>
  <c r="L51" i="2" s="1"/>
  <c r="D52" i="2"/>
  <c r="L52" i="2" s="1"/>
  <c r="D53" i="2"/>
  <c r="L53" i="2" s="1"/>
  <c r="L54" i="2"/>
  <c r="D55" i="2"/>
  <c r="L55" i="2" s="1"/>
  <c r="D56" i="2"/>
  <c r="L56" i="2" s="1"/>
  <c r="D57" i="2"/>
  <c r="L57" i="2" s="1"/>
  <c r="D58" i="2"/>
  <c r="L58" i="2" s="1"/>
  <c r="D59" i="2"/>
  <c r="L59" i="2" s="1"/>
  <c r="D60" i="2"/>
  <c r="L60" i="2" s="1"/>
  <c r="D61" i="2"/>
  <c r="L61" i="2" s="1"/>
  <c r="D62" i="2"/>
  <c r="L62" i="2" s="1"/>
  <c r="L63" i="2"/>
  <c r="D64" i="2"/>
  <c r="L64" i="2" s="1"/>
  <c r="D65" i="2"/>
  <c r="L65" i="2" s="1"/>
  <c r="D66" i="2"/>
  <c r="L66" i="2" s="1"/>
  <c r="D67" i="2"/>
  <c r="L67" i="2" s="1"/>
  <c r="D68" i="2"/>
  <c r="L68" i="2" s="1"/>
  <c r="D69" i="2"/>
  <c r="L69" i="2" s="1"/>
  <c r="D70" i="2"/>
  <c r="L70" i="2" s="1"/>
  <c r="D71" i="2"/>
  <c r="L71" i="2" s="1"/>
  <c r="L72" i="2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L81" i="2"/>
  <c r="D82" i="2"/>
  <c r="L82" i="2" s="1"/>
  <c r="D83" i="2"/>
  <c r="L83" i="2" s="1"/>
  <c r="D84" i="2"/>
  <c r="L84" i="2" s="1"/>
  <c r="D85" i="2"/>
  <c r="L85" i="2" s="1"/>
  <c r="D86" i="2"/>
  <c r="L86" i="2" s="1"/>
  <c r="D87" i="2"/>
  <c r="L87" i="2" s="1"/>
  <c r="D88" i="2"/>
  <c r="L88" i="2" s="1"/>
  <c r="D89" i="2"/>
  <c r="L89" i="2" s="1"/>
  <c r="L90" i="2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D98" i="2"/>
  <c r="L98" i="2" s="1"/>
  <c r="L99" i="2"/>
  <c r="D100" i="2"/>
  <c r="L100" i="2" s="1"/>
  <c r="D101" i="2"/>
  <c r="L101" i="2" s="1"/>
  <c r="D103" i="2"/>
  <c r="D104" i="2"/>
  <c r="L104" i="2" s="1"/>
  <c r="D105" i="2"/>
  <c r="L105" i="2" s="1"/>
  <c r="D9" i="2"/>
  <c r="D7" i="2"/>
  <c r="G7" i="2" l="1"/>
  <c r="H7" i="2" s="1"/>
  <c r="L7" i="2"/>
  <c r="G103" i="2"/>
  <c r="H103" i="2" s="1"/>
  <c r="L103" i="2"/>
  <c r="G9" i="2"/>
  <c r="H9" i="2" s="1"/>
  <c r="L9" i="2"/>
  <c r="G104" i="2"/>
  <c r="H104" i="2" s="1"/>
  <c r="G95" i="2"/>
  <c r="H95" i="2" s="1"/>
  <c r="G91" i="2"/>
  <c r="H91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59" i="2"/>
  <c r="H59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3" i="2"/>
  <c r="H23" i="2" s="1"/>
  <c r="G19" i="2"/>
  <c r="H19" i="2" s="1"/>
  <c r="G15" i="2"/>
  <c r="H15" i="2" s="1"/>
  <c r="G11" i="2"/>
  <c r="H11" i="2" s="1"/>
  <c r="G97" i="2"/>
  <c r="H97" i="2" s="1"/>
  <c r="G93" i="2"/>
  <c r="H93" i="2" s="1"/>
  <c r="G89" i="2"/>
  <c r="H89" i="2" s="1"/>
  <c r="G85" i="2"/>
  <c r="H85" i="2" s="1"/>
  <c r="G77" i="2"/>
  <c r="H77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73" i="2"/>
  <c r="H73" i="2" s="1"/>
  <c r="G98" i="2"/>
  <c r="H98" i="2" s="1"/>
  <c r="G94" i="2"/>
  <c r="H94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8" i="2"/>
  <c r="H58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4" i="2"/>
  <c r="H14" i="2" s="1"/>
  <c r="G10" i="2"/>
  <c r="H10" i="2" s="1"/>
  <c r="G101" i="2"/>
  <c r="H101" i="2" s="1"/>
  <c r="G102" i="2"/>
  <c r="H102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2" i="2"/>
  <c r="H32" i="2" s="1"/>
  <c r="G28" i="2"/>
  <c r="H28" i="2" s="1"/>
  <c r="G24" i="2"/>
  <c r="H24" i="2" s="1"/>
  <c r="G20" i="2"/>
  <c r="H20" i="2" s="1"/>
  <c r="G16" i="2"/>
  <c r="H16" i="2" s="1"/>
  <c r="G12" i="2"/>
  <c r="H12" i="2" s="1"/>
  <c r="I102" i="5"/>
  <c r="J102" i="5" s="1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I102" i="2" l="1"/>
  <c r="J102" i="2" s="1"/>
  <c r="I14" i="2"/>
  <c r="J14" i="2" s="1"/>
  <c r="I107" i="5"/>
  <c r="J107" i="5" s="1"/>
  <c r="I105" i="5"/>
  <c r="J105" i="5" s="1"/>
  <c r="I104" i="5"/>
  <c r="J104" i="5" s="1"/>
  <c r="I103" i="5"/>
  <c r="J103" i="5" s="1"/>
  <c r="I101" i="5"/>
  <c r="J101" i="5" s="1"/>
  <c r="I100" i="5"/>
  <c r="J100" i="5" s="1"/>
  <c r="I99" i="5"/>
  <c r="J99" i="5" s="1"/>
  <c r="I98" i="5"/>
  <c r="J98" i="5" s="1"/>
  <c r="I97" i="5"/>
  <c r="J97" i="5" s="1"/>
  <c r="I96" i="5"/>
  <c r="J96" i="5" s="1"/>
  <c r="I95" i="5"/>
  <c r="J95" i="5" s="1"/>
  <c r="I94" i="5"/>
  <c r="J94" i="5" s="1"/>
  <c r="I93" i="5"/>
  <c r="J93" i="5" s="1"/>
  <c r="I92" i="5"/>
  <c r="J92" i="5" s="1"/>
  <c r="I91" i="5"/>
  <c r="J91" i="5" s="1"/>
  <c r="I90" i="5"/>
  <c r="J90" i="5" s="1"/>
  <c r="I89" i="5"/>
  <c r="J89" i="5" s="1"/>
  <c r="I88" i="5"/>
  <c r="J88" i="5" s="1"/>
  <c r="I87" i="5"/>
  <c r="J87" i="5" s="1"/>
  <c r="I86" i="5"/>
  <c r="J86" i="5" s="1"/>
  <c r="I85" i="5"/>
  <c r="J85" i="5" s="1"/>
  <c r="I84" i="5"/>
  <c r="J84" i="5" s="1"/>
  <c r="I83" i="5"/>
  <c r="J83" i="5" s="1"/>
  <c r="I82" i="5"/>
  <c r="J82" i="5" s="1"/>
  <c r="I81" i="5"/>
  <c r="J81" i="5" s="1"/>
  <c r="I80" i="5"/>
  <c r="J80" i="5" s="1"/>
  <c r="I79" i="5"/>
  <c r="J79" i="5" s="1"/>
  <c r="I78" i="5"/>
  <c r="J78" i="5" s="1"/>
  <c r="I77" i="5"/>
  <c r="J77" i="5" s="1"/>
  <c r="I76" i="5"/>
  <c r="J76" i="5" s="1"/>
  <c r="I75" i="5"/>
  <c r="J75" i="5" s="1"/>
  <c r="I74" i="5"/>
  <c r="J74" i="5" s="1"/>
  <c r="I73" i="5"/>
  <c r="J73" i="5" s="1"/>
  <c r="I72" i="5"/>
  <c r="J72" i="5" s="1"/>
  <c r="I71" i="5"/>
  <c r="J71" i="5" s="1"/>
  <c r="I70" i="5"/>
  <c r="J70" i="5" s="1"/>
  <c r="I69" i="5"/>
  <c r="J69" i="5" s="1"/>
  <c r="I68" i="5"/>
  <c r="J68" i="5" s="1"/>
  <c r="I67" i="5"/>
  <c r="J67" i="5" s="1"/>
  <c r="I66" i="5"/>
  <c r="J66" i="5" s="1"/>
  <c r="I65" i="5"/>
  <c r="J65" i="5" s="1"/>
  <c r="I64" i="5"/>
  <c r="J64" i="5" s="1"/>
  <c r="I63" i="5"/>
  <c r="J63" i="5" s="1"/>
  <c r="I62" i="5"/>
  <c r="J62" i="5" s="1"/>
  <c r="I61" i="5"/>
  <c r="J61" i="5" s="1"/>
  <c r="I60" i="5"/>
  <c r="J60" i="5" s="1"/>
  <c r="I59" i="5"/>
  <c r="J59" i="5" s="1"/>
  <c r="I58" i="5"/>
  <c r="J58" i="5" s="1"/>
  <c r="I57" i="5"/>
  <c r="J57" i="5" s="1"/>
  <c r="I56" i="5"/>
  <c r="J56" i="5" s="1"/>
  <c r="I55" i="5"/>
  <c r="J55" i="5" s="1"/>
  <c r="I54" i="5"/>
  <c r="J54" i="5" s="1"/>
  <c r="I53" i="5"/>
  <c r="J53" i="5" s="1"/>
  <c r="I52" i="5"/>
  <c r="J52" i="5" s="1"/>
  <c r="I51" i="5"/>
  <c r="J51" i="5" s="1"/>
  <c r="I50" i="5"/>
  <c r="J50" i="5" s="1"/>
  <c r="I49" i="5"/>
  <c r="J49" i="5" s="1"/>
  <c r="I48" i="5"/>
  <c r="J48" i="5" s="1"/>
  <c r="I47" i="5"/>
  <c r="J47" i="5" s="1"/>
  <c r="I46" i="5"/>
  <c r="J46" i="5" s="1"/>
  <c r="I45" i="5"/>
  <c r="J45" i="5" s="1"/>
  <c r="I44" i="5"/>
  <c r="J44" i="5" s="1"/>
  <c r="I43" i="5"/>
  <c r="J43" i="5" s="1"/>
  <c r="I41" i="5"/>
  <c r="J41" i="5" s="1"/>
  <c r="I40" i="5"/>
  <c r="J40" i="5" s="1"/>
  <c r="I39" i="5"/>
  <c r="J39" i="5" s="1"/>
  <c r="I38" i="5"/>
  <c r="J38" i="5" s="1"/>
  <c r="I37" i="5"/>
  <c r="J37" i="5" s="1"/>
  <c r="I36" i="5"/>
  <c r="J36" i="5" s="1"/>
  <c r="I35" i="5"/>
  <c r="J35" i="5" s="1"/>
  <c r="I34" i="5"/>
  <c r="J34" i="5" s="1"/>
  <c r="I33" i="5"/>
  <c r="J33" i="5" s="1"/>
  <c r="I32" i="5"/>
  <c r="J32" i="5" s="1"/>
  <c r="I31" i="5"/>
  <c r="J31" i="5" s="1"/>
  <c r="I30" i="5"/>
  <c r="J30" i="5" s="1"/>
  <c r="I29" i="5"/>
  <c r="J29" i="5" s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7" i="5"/>
  <c r="J17" i="5" s="1"/>
  <c r="I16" i="5"/>
  <c r="J16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7" i="5"/>
  <c r="E7" i="2"/>
  <c r="I7" i="2"/>
  <c r="E9" i="2"/>
  <c r="I9" i="2"/>
  <c r="J9" i="2" s="1"/>
  <c r="E10" i="2"/>
  <c r="I10" i="2"/>
  <c r="J10" i="2" s="1"/>
  <c r="E11" i="2"/>
  <c r="I11" i="2"/>
  <c r="J11" i="2" s="1"/>
  <c r="E12" i="2"/>
  <c r="I12" i="2"/>
  <c r="J12" i="2" s="1"/>
  <c r="E13" i="2"/>
  <c r="I13" i="2"/>
  <c r="J13" i="2" s="1"/>
  <c r="E14" i="2"/>
  <c r="E15" i="2"/>
  <c r="I15" i="2"/>
  <c r="J15" i="2" s="1"/>
  <c r="E16" i="2"/>
  <c r="I16" i="2"/>
  <c r="J16" i="2" s="1"/>
  <c r="E17" i="2"/>
  <c r="I17" i="2"/>
  <c r="J17" i="2" s="1"/>
  <c r="E19" i="2"/>
  <c r="I19" i="2"/>
  <c r="J19" i="2" s="1"/>
  <c r="E20" i="2"/>
  <c r="I20" i="2"/>
  <c r="J20" i="2" s="1"/>
  <c r="E21" i="2"/>
  <c r="I21" i="2"/>
  <c r="J21" i="2" s="1"/>
  <c r="E22" i="2"/>
  <c r="I22" i="2"/>
  <c r="J22" i="2" s="1"/>
  <c r="E23" i="2"/>
  <c r="I23" i="2"/>
  <c r="J23" i="2" s="1"/>
  <c r="E24" i="2"/>
  <c r="I24" i="2"/>
  <c r="J24" i="2" s="1"/>
  <c r="E25" i="2"/>
  <c r="I25" i="2"/>
  <c r="J25" i="2" s="1"/>
  <c r="E26" i="2"/>
  <c r="I26" i="2"/>
  <c r="J26" i="2" s="1"/>
  <c r="E28" i="2"/>
  <c r="I28" i="2"/>
  <c r="J28" i="2" s="1"/>
  <c r="E29" i="2"/>
  <c r="I29" i="2"/>
  <c r="J29" i="2" s="1"/>
  <c r="E30" i="2"/>
  <c r="I30" i="2"/>
  <c r="J30" i="2" s="1"/>
  <c r="E31" i="2"/>
  <c r="I31" i="2"/>
  <c r="J31" i="2" s="1"/>
  <c r="E32" i="2"/>
  <c r="I32" i="2"/>
  <c r="J32" i="2" s="1"/>
  <c r="E33" i="2"/>
  <c r="I33" i="2"/>
  <c r="J33" i="2" s="1"/>
  <c r="E34" i="2"/>
  <c r="I34" i="2"/>
  <c r="J34" i="2" s="1"/>
  <c r="E35" i="2"/>
  <c r="I35" i="2"/>
  <c r="J35" i="2" s="1"/>
  <c r="E37" i="2"/>
  <c r="I37" i="2"/>
  <c r="J37" i="2" s="1"/>
  <c r="E38" i="2"/>
  <c r="I38" i="2"/>
  <c r="J38" i="2" s="1"/>
  <c r="E39" i="2"/>
  <c r="I39" i="2"/>
  <c r="J39" i="2" s="1"/>
  <c r="E40" i="2"/>
  <c r="I40" i="2"/>
  <c r="J40" i="2" s="1"/>
  <c r="E41" i="2"/>
  <c r="I41" i="2"/>
  <c r="J41" i="2" s="1"/>
  <c r="E42" i="2"/>
  <c r="I42" i="2"/>
  <c r="J42" i="2" s="1"/>
  <c r="E43" i="2"/>
  <c r="I43" i="2"/>
  <c r="J43" i="2" s="1"/>
  <c r="E44" i="2"/>
  <c r="I44" i="2"/>
  <c r="J44" i="2" s="1"/>
  <c r="E46" i="2"/>
  <c r="I46" i="2"/>
  <c r="J46" i="2" s="1"/>
  <c r="E47" i="2"/>
  <c r="I47" i="2"/>
  <c r="J47" i="2" s="1"/>
  <c r="E48" i="2"/>
  <c r="I48" i="2"/>
  <c r="J48" i="2" s="1"/>
  <c r="E49" i="2"/>
  <c r="I49" i="2"/>
  <c r="J49" i="2" s="1"/>
  <c r="E50" i="2"/>
  <c r="I50" i="2"/>
  <c r="J50" i="2" s="1"/>
  <c r="E51" i="2"/>
  <c r="I51" i="2"/>
  <c r="J51" i="2" s="1"/>
  <c r="E52" i="2"/>
  <c r="I52" i="2"/>
  <c r="J52" i="2" s="1"/>
  <c r="E53" i="2"/>
  <c r="I53" i="2"/>
  <c r="J53" i="2" s="1"/>
  <c r="E55" i="2"/>
  <c r="I55" i="2"/>
  <c r="J55" i="2" s="1"/>
  <c r="E56" i="2"/>
  <c r="I56" i="2"/>
  <c r="J56" i="2" s="1"/>
  <c r="E57" i="2"/>
  <c r="I57" i="2"/>
  <c r="J57" i="2" s="1"/>
  <c r="E58" i="2"/>
  <c r="I58" i="2"/>
  <c r="J58" i="2" s="1"/>
  <c r="E59" i="2"/>
  <c r="I59" i="2"/>
  <c r="J59" i="2" s="1"/>
  <c r="E60" i="2"/>
  <c r="I60" i="2"/>
  <c r="J60" i="2" s="1"/>
  <c r="E61" i="2"/>
  <c r="I61" i="2"/>
  <c r="J61" i="2" s="1"/>
  <c r="E62" i="2"/>
  <c r="I62" i="2"/>
  <c r="J62" i="2" s="1"/>
  <c r="E64" i="2"/>
  <c r="I64" i="2"/>
  <c r="J64" i="2" s="1"/>
  <c r="E65" i="2"/>
  <c r="I65" i="2"/>
  <c r="J65" i="2" s="1"/>
  <c r="E66" i="2"/>
  <c r="I66" i="2"/>
  <c r="J66" i="2" s="1"/>
  <c r="E67" i="2"/>
  <c r="I67" i="2"/>
  <c r="J67" i="2" s="1"/>
  <c r="E68" i="2"/>
  <c r="I68" i="2"/>
  <c r="J68" i="2" s="1"/>
  <c r="E69" i="2"/>
  <c r="I69" i="2"/>
  <c r="J69" i="2" s="1"/>
  <c r="E70" i="2"/>
  <c r="I70" i="2"/>
  <c r="J70" i="2" s="1"/>
  <c r="E71" i="2"/>
  <c r="I71" i="2"/>
  <c r="J71" i="2" s="1"/>
  <c r="E73" i="2"/>
  <c r="I73" i="2"/>
  <c r="J73" i="2" s="1"/>
  <c r="E74" i="2"/>
  <c r="I74" i="2"/>
  <c r="J74" i="2" s="1"/>
  <c r="E75" i="2"/>
  <c r="I75" i="2"/>
  <c r="J75" i="2" s="1"/>
  <c r="E76" i="2"/>
  <c r="I76" i="2"/>
  <c r="J76" i="2" s="1"/>
  <c r="E77" i="2"/>
  <c r="I77" i="2"/>
  <c r="J77" i="2" s="1"/>
  <c r="E78" i="2"/>
  <c r="I78" i="2"/>
  <c r="J78" i="2" s="1"/>
  <c r="E79" i="2"/>
  <c r="I79" i="2"/>
  <c r="J79" i="2" s="1"/>
  <c r="E80" i="2"/>
  <c r="I80" i="2"/>
  <c r="J80" i="2" s="1"/>
  <c r="E82" i="2"/>
  <c r="I82" i="2"/>
  <c r="J82" i="2" s="1"/>
  <c r="E83" i="2"/>
  <c r="I83" i="2"/>
  <c r="J83" i="2" s="1"/>
  <c r="E84" i="2"/>
  <c r="I84" i="2"/>
  <c r="J84" i="2" s="1"/>
  <c r="E85" i="2"/>
  <c r="I85" i="2"/>
  <c r="J85" i="2" s="1"/>
  <c r="E86" i="2"/>
  <c r="I86" i="2"/>
  <c r="J86" i="2" s="1"/>
  <c r="E87" i="2"/>
  <c r="I87" i="2"/>
  <c r="J87" i="2" s="1"/>
  <c r="E88" i="2"/>
  <c r="I88" i="2"/>
  <c r="J88" i="2" s="1"/>
  <c r="E89" i="2"/>
  <c r="I89" i="2"/>
  <c r="J89" i="2" s="1"/>
  <c r="E91" i="2"/>
  <c r="I91" i="2"/>
  <c r="J91" i="2" s="1"/>
  <c r="E92" i="2"/>
  <c r="I92" i="2"/>
  <c r="J92" i="2" s="1"/>
  <c r="E93" i="2"/>
  <c r="I93" i="2"/>
  <c r="J93" i="2" s="1"/>
  <c r="E94" i="2"/>
  <c r="I94" i="2"/>
  <c r="J94" i="2" s="1"/>
  <c r="E95" i="2"/>
  <c r="I95" i="2"/>
  <c r="J95" i="2" s="1"/>
  <c r="E96" i="2"/>
  <c r="I96" i="2"/>
  <c r="J96" i="2" s="1"/>
  <c r="E97" i="2"/>
  <c r="I97" i="2"/>
  <c r="J97" i="2" s="1"/>
  <c r="E98" i="2"/>
  <c r="I98" i="2"/>
  <c r="J98" i="2" s="1"/>
  <c r="E100" i="2"/>
  <c r="I100" i="2"/>
  <c r="J100" i="2" s="1"/>
  <c r="E101" i="2"/>
  <c r="I101" i="2"/>
  <c r="J101" i="2" s="1"/>
  <c r="E103" i="2"/>
  <c r="I103" i="2"/>
  <c r="J103" i="2" s="1"/>
  <c r="E104" i="2"/>
  <c r="I104" i="2"/>
  <c r="J104" i="2" s="1"/>
  <c r="E105" i="2"/>
  <c r="I105" i="2"/>
  <c r="J105" i="2" s="1"/>
  <c r="E107" i="2"/>
  <c r="I107" i="2"/>
  <c r="J107" i="2" s="1"/>
  <c r="F7" i="2" l="1"/>
  <c r="J7" i="2"/>
  <c r="F7" i="5"/>
  <c r="J7" i="5"/>
  <c r="F103" i="2"/>
  <c r="F25" i="2"/>
  <c r="F23" i="2"/>
  <c r="F21" i="2"/>
  <c r="F19" i="2"/>
  <c r="F18" i="5"/>
  <c r="F22" i="5"/>
  <c r="F30" i="5"/>
  <c r="F38" i="5"/>
  <c r="F46" i="5"/>
  <c r="F54" i="5"/>
  <c r="F58" i="5"/>
  <c r="F62" i="5"/>
  <c r="F70" i="5"/>
  <c r="F74" i="5"/>
  <c r="F78" i="5"/>
  <c r="F82" i="5"/>
  <c r="F86" i="5"/>
  <c r="F90" i="5"/>
  <c r="F94" i="5"/>
  <c r="F98" i="5"/>
  <c r="F14" i="5"/>
  <c r="F26" i="5"/>
  <c r="F34" i="5"/>
  <c r="F50" i="5"/>
  <c r="F66" i="5"/>
  <c r="F107" i="2"/>
  <c r="F104" i="2"/>
  <c r="F101" i="2"/>
  <c r="F97" i="2"/>
  <c r="F95" i="2"/>
  <c r="F93" i="2"/>
  <c r="F91" i="2"/>
  <c r="F89" i="2"/>
  <c r="F87" i="2"/>
  <c r="F85" i="2"/>
  <c r="F83" i="2"/>
  <c r="F79" i="2"/>
  <c r="F77" i="2"/>
  <c r="F75" i="2"/>
  <c r="F73" i="2"/>
  <c r="F71" i="2"/>
  <c r="F69" i="2"/>
  <c r="F67" i="2"/>
  <c r="F65" i="2"/>
  <c r="F61" i="2"/>
  <c r="F59" i="2"/>
  <c r="F57" i="2"/>
  <c r="F55" i="2"/>
  <c r="F53" i="2"/>
  <c r="F51" i="2"/>
  <c r="F49" i="2"/>
  <c r="F47" i="2"/>
  <c r="F43" i="2"/>
  <c r="F41" i="2"/>
  <c r="F39" i="2"/>
  <c r="F37" i="2"/>
  <c r="F35" i="2"/>
  <c r="F33" i="2"/>
  <c r="F31" i="2"/>
  <c r="F29" i="2"/>
  <c r="F12" i="2"/>
  <c r="F10" i="2"/>
  <c r="F104" i="5"/>
  <c r="F14" i="2"/>
  <c r="F19" i="5"/>
  <c r="F23" i="5"/>
  <c r="F27" i="5"/>
  <c r="F31" i="5"/>
  <c r="F35" i="5"/>
  <c r="F39" i="5"/>
  <c r="F43" i="5"/>
  <c r="F47" i="5"/>
  <c r="F51" i="5"/>
  <c r="F55" i="5"/>
  <c r="F59" i="5"/>
  <c r="F63" i="5"/>
  <c r="F67" i="5"/>
  <c r="F71" i="5"/>
  <c r="F75" i="5"/>
  <c r="F79" i="5"/>
  <c r="F83" i="5"/>
  <c r="F87" i="5"/>
  <c r="F91" i="5"/>
  <c r="F95" i="5"/>
  <c r="F99" i="5"/>
  <c r="F102" i="5"/>
  <c r="F103" i="5"/>
  <c r="F26" i="2"/>
  <c r="F24" i="2"/>
  <c r="F22" i="2"/>
  <c r="F20" i="2"/>
  <c r="F16" i="2"/>
  <c r="F12" i="5"/>
  <c r="F16" i="5"/>
  <c r="F20" i="5"/>
  <c r="F24" i="5"/>
  <c r="F28" i="5"/>
  <c r="F32" i="5"/>
  <c r="F36" i="5"/>
  <c r="F40" i="5"/>
  <c r="F44" i="5"/>
  <c r="F48" i="5"/>
  <c r="F52" i="5"/>
  <c r="F56" i="5"/>
  <c r="F60" i="5"/>
  <c r="F64" i="5"/>
  <c r="F68" i="5"/>
  <c r="F72" i="5"/>
  <c r="F76" i="5"/>
  <c r="F80" i="5"/>
  <c r="F84" i="5"/>
  <c r="F88" i="5"/>
  <c r="F92" i="5"/>
  <c r="F96" i="5"/>
  <c r="F100" i="5"/>
  <c r="F105" i="5"/>
  <c r="F105" i="2"/>
  <c r="F102" i="2"/>
  <c r="F100" i="2"/>
  <c r="F98" i="2"/>
  <c r="F96" i="2"/>
  <c r="F94" i="2"/>
  <c r="F92" i="2"/>
  <c r="F88" i="2"/>
  <c r="F86" i="2"/>
  <c r="F84" i="2"/>
  <c r="F82" i="2"/>
  <c r="F80" i="2"/>
  <c r="F78" i="2"/>
  <c r="F76" i="2"/>
  <c r="F74" i="2"/>
  <c r="F70" i="2"/>
  <c r="F68" i="2"/>
  <c r="F66" i="2"/>
  <c r="F64" i="2"/>
  <c r="F62" i="2"/>
  <c r="F60" i="2"/>
  <c r="F58" i="2"/>
  <c r="F56" i="2"/>
  <c r="F52" i="2"/>
  <c r="F50" i="2"/>
  <c r="F48" i="2"/>
  <c r="F46" i="2"/>
  <c r="F44" i="2"/>
  <c r="F42" i="2"/>
  <c r="F40" i="2"/>
  <c r="F38" i="2"/>
  <c r="F34" i="2"/>
  <c r="F32" i="2"/>
  <c r="F30" i="2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77" i="5"/>
  <c r="F81" i="5"/>
  <c r="F85" i="5"/>
  <c r="F89" i="5"/>
  <c r="F93" i="5"/>
  <c r="F97" i="5"/>
  <c r="F101" i="5"/>
  <c r="F107" i="5"/>
  <c r="F28" i="2"/>
  <c r="F9" i="5"/>
  <c r="F15" i="2"/>
  <c r="F17" i="2"/>
  <c r="F15" i="5"/>
  <c r="F13" i="2"/>
  <c r="F11" i="2"/>
  <c r="F10" i="5"/>
  <c r="F11" i="5"/>
  <c r="F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윤승혁</author>
  </authors>
  <commentList>
    <comment ref="B8" authorId="0" shapeId="0" xr:uid="{3485AEE5-E2B0-4118-B66D-8CE95F27DC0B}">
      <text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모의고사에서만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통합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단어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빼기
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모의고사부터는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</text>
    </comment>
  </commentList>
</comments>
</file>

<file path=xl/sharedStrings.xml><?xml version="1.0" encoding="utf-8"?>
<sst xmlns="http://schemas.openxmlformats.org/spreadsheetml/2006/main" count="188" uniqueCount="85">
  <si>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</si>
  <si>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</si>
  <si>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</si>
  <si>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</si>
  <si>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</si>
  <si>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</si>
  <si>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</si>
  <si>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</si>
  <si>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</si>
  <si>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</si>
  <si>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</si>
  <si>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</si>
  <si>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</si>
  <si>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</si>
  <si>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</si>
  <si>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</si>
  <si>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</si>
  <si>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수학</t>
    <phoneticPr fontId="1" type="noConversion"/>
  </si>
  <si>
    <t>통합 사회</t>
    <phoneticPr fontId="1" type="noConversion"/>
  </si>
  <si>
    <t>통합 과학</t>
    <phoneticPr fontId="1" type="noConversion"/>
  </si>
  <si>
    <t>국</t>
    <phoneticPr fontId="1" type="noConversion"/>
  </si>
  <si>
    <t>수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</si>
  <si>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</si>
  <si>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</si>
  <si>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</si>
  <si>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</si>
  <si>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</si>
  <si>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</si>
  <si>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</si>
  <si>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</si>
  <si>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</si>
  <si>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</si>
  <si>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이 아래로 붙여넣기</t>
    <phoneticPr fontId="1" type="noConversion"/>
  </si>
  <si>
    <t>영</t>
    <phoneticPr fontId="1" type="noConversion"/>
  </si>
  <si>
    <t>한</t>
    <phoneticPr fontId="1" type="noConversion"/>
  </si>
  <si>
    <t>사</t>
    <phoneticPr fontId="1" type="noConversion"/>
  </si>
  <si>
    <t>과</t>
    <phoneticPr fontId="1" type="noConversion"/>
  </si>
  <si>
    <t>-</t>
    <phoneticPr fontId="1" type="noConversion"/>
  </si>
  <si>
    <r>
      <rPr>
        <sz val="12"/>
        <color theme="1"/>
        <rFont val="돋움"/>
        <family val="3"/>
        <charset val="129"/>
      </rPr>
      <t>오차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돋움"/>
        <family val="3"/>
        <charset val="129"/>
      </rPr>
      <t>경고</t>
    </r>
    <phoneticPr fontId="1" type="noConversion"/>
  </si>
  <si>
    <t>B2:K108</t>
    <phoneticPr fontId="1" type="noConversion"/>
  </si>
  <si>
    <t>B2:K16</t>
    <phoneticPr fontId="1" type="noConversion"/>
  </si>
  <si>
    <r>
      <rPr>
        <sz val="12"/>
        <color theme="1"/>
        <rFont val="맑은 고딕"/>
        <family val="3"/>
        <charset val="129"/>
      </rPr>
      <t>시험명</t>
    </r>
  </si>
  <si>
    <r>
      <rPr>
        <sz val="12"/>
        <color theme="1"/>
        <rFont val="맑은 고딕"/>
        <family val="3"/>
        <charset val="129"/>
      </rPr>
      <t>평균</t>
    </r>
    <phoneticPr fontId="1" type="noConversion"/>
  </si>
  <si>
    <r>
      <rPr>
        <sz val="12"/>
        <color theme="1"/>
        <rFont val="맑은 고딕"/>
        <family val="3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수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</si>
  <si>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  <phoneticPr fontId="1" type="noConversion"/>
  </si>
  <si>
    <r>
      <rPr>
        <sz val="12"/>
        <color theme="1"/>
        <rFont val="맑은 고딕"/>
        <family val="3"/>
        <charset val="129"/>
      </rPr>
      <t>국어</t>
    </r>
    <phoneticPr fontId="1" type="noConversion"/>
  </si>
  <si>
    <r>
      <rPr>
        <sz val="12"/>
        <color theme="1"/>
        <rFont val="맑은 고딕"/>
        <family val="3"/>
        <charset val="129"/>
      </rPr>
      <t>표준편차</t>
    </r>
    <phoneticPr fontId="1" type="noConversion"/>
  </si>
  <si>
    <r>
      <rPr>
        <sz val="12"/>
        <color theme="1"/>
        <rFont val="맑은 고딕"/>
        <family val="3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</si>
  <si>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</si>
  <si>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</si>
  <si>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</si>
  <si>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</si>
  <si>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</si>
  <si>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</si>
  <si>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</si>
  <si>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</si>
  <si>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</si>
  <si>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</si>
  <si>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</si>
  <si>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</si>
  <si>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</si>
  <si>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</si>
  <si>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</si>
  <si>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</si>
  <si>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</si>
  <si>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</si>
  <si>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</si>
  <si>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</si>
  <si>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</si>
  <si>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통합 사회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</si>
  <si>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통합 과학</t>
    </r>
    <r>
      <rPr>
        <sz val="12"/>
        <color theme="1"/>
        <rFont val="Microsoft Sans Serif"/>
        <family val="2"/>
      </rPr>
      <t>)</t>
    </r>
    <phoneticPr fontId="1" type="noConversion"/>
  </si>
  <si>
    <t>2024학년도 10월 고1 전국연합학력평가</t>
  </si>
  <si>
    <r>
      <t xml:space="preserve">작성자 : 크럭스 모의고사(수능)자료분석팀장 </t>
    </r>
    <r>
      <rPr>
        <b/>
        <sz val="10"/>
        <color rgb="FF888888"/>
        <rFont val="맑은 고딕"/>
        <family val="3"/>
        <charset val="129"/>
        <scheme val="minor"/>
      </rPr>
      <t>환동</t>
    </r>
    <phoneticPr fontId="1" type="noConversion"/>
  </si>
  <si>
    <t>49.04</t>
  </si>
  <si>
    <t>22.50</t>
  </si>
  <si>
    <t>37.22</t>
  </si>
  <si>
    <t>20.20</t>
  </si>
  <si>
    <t>51.31</t>
  </si>
  <si>
    <t>20.44</t>
  </si>
  <si>
    <t>27.73</t>
  </si>
  <si>
    <t>12.02</t>
  </si>
  <si>
    <t>32.86</t>
  </si>
  <si>
    <t>11.98</t>
  </si>
  <si>
    <t>24.34</t>
  </si>
  <si>
    <t>13.10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</si>
</sst>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.00_ "/>
    <numFmt numFmtId="177" formatCode="#,##0_ "/>
    <numFmt numFmtId="178" formatCode="0.00_);[Red]\(0.00\)"/>
    <numFmt numFmtId="180" formatCode="_-* #,##0_-;\-* #,##0_-;_-* &quot;-&quot;_-;_-@_-"/>
    <numFmt numFmtId="183" formatCode="0.00_ "/>
  </numFmts>
  <fonts count="4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2"/>
      <color theme="1"/>
      <name val="맑은 고딕"/>
      <family val="3"/>
      <charset val="129"/>
    </font>
    <font>
      <sz val="12"/>
      <color theme="1"/>
      <name val="Microsoft Sans Serif"/>
      <family val="2"/>
    </font>
    <font>
      <sz val="12"/>
      <name val="Microsoft Sans Serif"/>
      <family val="2"/>
    </font>
    <font>
      <sz val="11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2"/>
      <color theme="1"/>
      <name val="돋움"/>
      <family val="3"/>
      <charset val="129"/>
    </font>
    <font>
      <sz val="12"/>
      <color theme="1"/>
      <name val="Microsoft Sans Serif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b/>
      <sz val="12"/>
      <color theme="1"/>
      <name val="Microsoft Sans Serif"/>
      <family val="2"/>
    </font>
    <font>
      <b/>
      <sz val="12"/>
      <color indexed="8"/>
      <name val="Microsoft Sans Serif"/>
      <family val="2"/>
    </font>
    <font>
      <sz val="12"/>
      <color theme="1"/>
      <name val="Arial Unicode MS"/>
      <family val="2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2"/>
      <color theme="1"/>
      <name val="Microsoft Sans Serif"/>
      <family val="2"/>
      <charset val="129"/>
    </font>
    <font>
      <sz val="10"/>
      <color theme="1"/>
      <name val="맑은 고딕"/>
      <family val="3"/>
      <charset val="129"/>
      <scheme val="minor"/>
    </font>
    <font>
      <sz val="10"/>
      <color rgb="FF888888"/>
      <name val="맑은 고딕"/>
      <family val="3"/>
      <charset val="129"/>
      <scheme val="minor"/>
    </font>
    <font>
      <b/>
      <sz val="10"/>
      <color rgb="FF888888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돋움"/>
      <family val="3"/>
      <charset val="129"/>
    </font>
  </fonts>
  <fills count="4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rgb="FF000000"/>
      </patternFill>
    </fill>
  </fills>
  <borders count="60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6">
    <xf numFmtId="0" fontId="0" fillId="0" borderId="0">
      <alignment vertical="center"/>
    </xf>
    <xf numFmtId="0" fontId="2" fillId="0" borderId="0"/>
    <xf numFmtId="0" fontId="4" fillId="0" borderId="25" applyNumberFormat="0" applyFill="0" applyAlignment="0" applyProtection="0">
      <alignment vertical="center"/>
    </xf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9" fillId="10" borderId="28" applyNumberFormat="0" applyAlignment="0" applyProtection="0">
      <alignment vertical="center"/>
    </xf>
    <xf numFmtId="0" fontId="10" fillId="11" borderId="29" applyNumberFormat="0" applyAlignment="0" applyProtection="0">
      <alignment vertical="center"/>
    </xf>
    <xf numFmtId="0" fontId="11" fillId="11" borderId="28" applyNumberFormat="0" applyAlignment="0" applyProtection="0">
      <alignment vertical="center"/>
    </xf>
    <xf numFmtId="0" fontId="12" fillId="0" borderId="30" applyNumberFormat="0" applyFill="0" applyAlignment="0" applyProtection="0">
      <alignment vertical="center"/>
    </xf>
    <xf numFmtId="0" fontId="13" fillId="12" borderId="3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3" applyNumberFormat="0" applyFill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3" borderId="32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9" fontId="3" fillId="0" borderId="0" applyFont="0" applyFill="0" applyBorder="0" applyAlignment="0" applyProtection="0">
      <alignment vertical="center"/>
    </xf>
    <xf numFmtId="0" fontId="18" fillId="0" borderId="0"/>
    <xf numFmtId="0" fontId="18" fillId="0" borderId="0"/>
    <xf numFmtId="0" fontId="18" fillId="0" borderId="0"/>
    <xf numFmtId="180" fontId="2" fillId="0" borderId="0" applyFont="0" applyFill="0" applyBorder="0" applyAlignment="0" applyProtection="0">
      <alignment vertical="center"/>
    </xf>
    <xf numFmtId="180" fontId="2" fillId="0" borderId="0" applyFon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6" borderId="0" xfId="0" applyFill="1">
      <alignment vertical="center"/>
    </xf>
    <xf numFmtId="0" fontId="0" fillId="0" borderId="3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>
      <alignment vertical="center"/>
    </xf>
    <xf numFmtId="0" fontId="0" fillId="0" borderId="16" xfId="0" applyBorder="1">
      <alignment vertical="center"/>
    </xf>
    <xf numFmtId="0" fontId="0" fillId="0" borderId="40" xfId="0" applyBorder="1">
      <alignment vertical="center"/>
    </xf>
    <xf numFmtId="0" fontId="0" fillId="38" borderId="0" xfId="0" applyFill="1" applyAlignment="1">
      <alignment horizontal="center" vertical="center"/>
    </xf>
    <xf numFmtId="0" fontId="0" fillId="0" borderId="41" xfId="0" applyBorder="1">
      <alignment vertical="center"/>
    </xf>
    <xf numFmtId="0" fontId="24" fillId="6" borderId="0" xfId="0" applyFont="1" applyFill="1">
      <alignment vertical="center"/>
    </xf>
    <xf numFmtId="0" fontId="24" fillId="5" borderId="15" xfId="0" applyFont="1" applyFill="1" applyBorder="1" applyAlignment="1">
      <alignment horizontal="center" vertical="center"/>
    </xf>
    <xf numFmtId="0" fontId="24" fillId="0" borderId="0" xfId="0" applyFont="1">
      <alignment vertical="center"/>
    </xf>
    <xf numFmtId="0" fontId="24" fillId="6" borderId="0" xfId="0" applyFont="1" applyFill="1" applyAlignment="1">
      <alignment horizontal="center" vertical="center"/>
    </xf>
    <xf numFmtId="0" fontId="24" fillId="6" borderId="0" xfId="0" quotePrefix="1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6" fillId="6" borderId="0" xfId="0" applyFont="1" applyFill="1">
      <alignment vertical="center"/>
    </xf>
    <xf numFmtId="0" fontId="26" fillId="0" borderId="0" xfId="0" applyFont="1">
      <alignment vertical="center"/>
    </xf>
    <xf numFmtId="0" fontId="0" fillId="6" borderId="0" xfId="0" applyFill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0" fillId="6" borderId="49" xfId="0" applyFill="1" applyBorder="1">
      <alignment vertical="center"/>
    </xf>
    <xf numFmtId="0" fontId="0" fillId="6" borderId="50" xfId="0" applyFill="1" applyBorder="1">
      <alignment vertical="center"/>
    </xf>
    <xf numFmtId="0" fontId="0" fillId="6" borderId="51" xfId="0" applyFill="1" applyBorder="1">
      <alignment vertical="center"/>
    </xf>
    <xf numFmtId="0" fontId="24" fillId="6" borderId="52" xfId="0" applyFont="1" applyFill="1" applyBorder="1">
      <alignment vertical="center"/>
    </xf>
    <xf numFmtId="3" fontId="26" fillId="6" borderId="53" xfId="0" applyNumberFormat="1" applyFont="1" applyFill="1" applyBorder="1" applyAlignment="1">
      <alignment horizontal="center" vertical="center"/>
    </xf>
    <xf numFmtId="0" fontId="26" fillId="6" borderId="53" xfId="0" applyFont="1" applyFill="1" applyBorder="1">
      <alignment vertical="center"/>
    </xf>
    <xf numFmtId="0" fontId="24" fillId="6" borderId="53" xfId="0" applyFont="1" applyFill="1" applyBorder="1">
      <alignment vertical="center"/>
    </xf>
    <xf numFmtId="0" fontId="24" fillId="6" borderId="53" xfId="0" applyFont="1" applyFill="1" applyBorder="1" applyAlignment="1">
      <alignment horizontal="center" vertical="center"/>
    </xf>
    <xf numFmtId="10" fontId="25" fillId="6" borderId="53" xfId="1" applyNumberFormat="1" applyFont="1" applyFill="1" applyBorder="1" applyAlignment="1">
      <alignment horizontal="center" vertical="center"/>
    </xf>
    <xf numFmtId="176" fontId="25" fillId="6" borderId="53" xfId="1" applyNumberFormat="1" applyFont="1" applyFill="1" applyBorder="1" applyAlignment="1">
      <alignment horizontal="center" vertical="center"/>
    </xf>
    <xf numFmtId="0" fontId="0" fillId="6" borderId="54" xfId="0" applyFill="1" applyBorder="1">
      <alignment vertical="center"/>
    </xf>
    <xf numFmtId="0" fontId="0" fillId="6" borderId="55" xfId="0" applyFill="1" applyBorder="1">
      <alignment vertical="center"/>
    </xf>
    <xf numFmtId="0" fontId="0" fillId="6" borderId="56" xfId="0" applyFill="1" applyBorder="1">
      <alignment vertical="center"/>
    </xf>
    <xf numFmtId="10" fontId="25" fillId="6" borderId="53" xfId="50" applyNumberFormat="1" applyFont="1" applyFill="1" applyBorder="1" applyAlignment="1">
      <alignment horizontal="center" vertical="center"/>
    </xf>
    <xf numFmtId="0" fontId="26" fillId="6" borderId="52" xfId="0" applyFont="1" applyFill="1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36" xfId="0" applyBorder="1">
      <alignment vertical="center"/>
    </xf>
    <xf numFmtId="0" fontId="24" fillId="5" borderId="21" xfId="0" applyFont="1" applyFill="1" applyBorder="1" applyAlignment="1">
      <alignment horizontal="center" vertical="center"/>
    </xf>
    <xf numFmtId="2" fontId="24" fillId="0" borderId="20" xfId="0" applyNumberFormat="1" applyFont="1" applyBorder="1" applyAlignment="1">
      <alignment horizontal="center" vertical="center"/>
    </xf>
    <xf numFmtId="3" fontId="24" fillId="0" borderId="19" xfId="0" applyNumberFormat="1" applyFont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31" fillId="5" borderId="15" xfId="0" applyFont="1" applyFill="1" applyBorder="1" applyAlignment="1">
      <alignment horizontal="center" vertical="center"/>
    </xf>
    <xf numFmtId="0" fontId="31" fillId="5" borderId="14" xfId="0" applyFont="1" applyFill="1" applyBorder="1" applyAlignment="1">
      <alignment horizontal="center" vertical="center"/>
    </xf>
    <xf numFmtId="0" fontId="31" fillId="5" borderId="13" xfId="0" applyFont="1" applyFill="1" applyBorder="1" applyAlignment="1">
      <alignment horizontal="center" vertical="center"/>
    </xf>
    <xf numFmtId="0" fontId="31" fillId="5" borderId="12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0" fontId="33" fillId="0" borderId="7" xfId="1" applyNumberFormat="1" applyFont="1" applyBorder="1" applyAlignment="1">
      <alignment horizontal="center" vertical="center"/>
    </xf>
    <xf numFmtId="177" fontId="31" fillId="0" borderId="10" xfId="0" applyNumberFormat="1" applyFont="1" applyBorder="1" applyAlignment="1">
      <alignment horizontal="center" vertical="center"/>
    </xf>
    <xf numFmtId="10" fontId="33" fillId="0" borderId="5" xfId="1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4" borderId="8" xfId="0" applyFont="1" applyFill="1" applyBorder="1" applyAlignment="1">
      <alignment horizontal="center" vertical="center"/>
    </xf>
    <xf numFmtId="178" fontId="31" fillId="4" borderId="8" xfId="0" applyNumberFormat="1" applyFont="1" applyFill="1" applyBorder="1" applyAlignment="1">
      <alignment horizontal="center" vertical="center"/>
    </xf>
    <xf numFmtId="0" fontId="31" fillId="4" borderId="6" xfId="0" applyFont="1" applyFill="1" applyBorder="1">
      <alignment vertical="center"/>
    </xf>
    <xf numFmtId="176" fontId="33" fillId="4" borderId="7" xfId="1" applyNumberFormat="1" applyFont="1" applyFill="1" applyBorder="1" applyAlignment="1">
      <alignment horizontal="center" vertical="center"/>
    </xf>
    <xf numFmtId="177" fontId="31" fillId="4" borderId="8" xfId="0" applyNumberFormat="1" applyFont="1" applyFill="1" applyBorder="1" applyAlignment="1">
      <alignment horizontal="center" vertical="center"/>
    </xf>
    <xf numFmtId="176" fontId="33" fillId="4" borderId="5" xfId="1" applyNumberFormat="1" applyFont="1" applyFill="1" applyBorder="1" applyAlignment="1">
      <alignment horizontal="center" vertical="center"/>
    </xf>
    <xf numFmtId="177" fontId="31" fillId="0" borderId="6" xfId="0" applyNumberFormat="1" applyFont="1" applyBorder="1" applyAlignment="1">
      <alignment horizontal="center" vertical="center"/>
    </xf>
    <xf numFmtId="0" fontId="31" fillId="6" borderId="9" xfId="0" applyFont="1" applyFill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177" fontId="31" fillId="6" borderId="6" xfId="0" applyNumberFormat="1" applyFont="1" applyFill="1" applyBorder="1" applyAlignment="1">
      <alignment horizontal="center" vertical="center"/>
    </xf>
    <xf numFmtId="177" fontId="31" fillId="4" borderId="6" xfId="0" applyNumberFormat="1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178" fontId="31" fillId="2" borderId="2" xfId="0" applyNumberFormat="1" applyFont="1" applyFill="1" applyBorder="1" applyAlignment="1">
      <alignment horizontal="center" vertical="center"/>
    </xf>
    <xf numFmtId="177" fontId="33" fillId="2" borderId="2" xfId="1" applyNumberFormat="1" applyFont="1" applyFill="1" applyBorder="1" applyAlignment="1">
      <alignment horizontal="center" vertical="center"/>
    </xf>
    <xf numFmtId="10" fontId="33" fillId="2" borderId="2" xfId="1" applyNumberFormat="1" applyFont="1" applyFill="1" applyBorder="1" applyAlignment="1">
      <alignment horizontal="center" vertical="center"/>
    </xf>
    <xf numFmtId="177" fontId="31" fillId="2" borderId="2" xfId="0" applyNumberFormat="1" applyFont="1" applyFill="1" applyBorder="1" applyAlignment="1">
      <alignment horizontal="center" vertical="center"/>
    </xf>
    <xf numFmtId="10" fontId="33" fillId="2" borderId="1" xfId="50" applyNumberFormat="1" applyFont="1" applyFill="1" applyBorder="1" applyAlignment="1">
      <alignment horizontal="center" vertical="center"/>
    </xf>
    <xf numFmtId="10" fontId="33" fillId="2" borderId="1" xfId="1" applyNumberFormat="1" applyFont="1" applyFill="1" applyBorder="1" applyAlignment="1">
      <alignment horizontal="center" vertical="center"/>
    </xf>
    <xf numFmtId="0" fontId="31" fillId="5" borderId="19" xfId="0" applyFont="1" applyFill="1" applyBorder="1" applyAlignment="1">
      <alignment horizontal="center" vertical="center"/>
    </xf>
    <xf numFmtId="0" fontId="31" fillId="5" borderId="44" xfId="0" applyFont="1" applyFill="1" applyBorder="1" applyAlignment="1">
      <alignment horizontal="center" vertical="center"/>
    </xf>
    <xf numFmtId="0" fontId="35" fillId="39" borderId="21" xfId="0" applyFont="1" applyFill="1" applyBorder="1" applyAlignment="1">
      <alignment horizontal="center" vertical="center"/>
    </xf>
    <xf numFmtId="0" fontId="35" fillId="39" borderId="22" xfId="0" applyFont="1" applyFill="1" applyBorder="1" applyAlignment="1">
      <alignment horizontal="center" vertical="center"/>
    </xf>
    <xf numFmtId="3" fontId="31" fillId="0" borderId="45" xfId="0" applyNumberFormat="1" applyFont="1" applyBorder="1" applyAlignment="1">
      <alignment horizontal="center" vertical="center"/>
    </xf>
    <xf numFmtId="10" fontId="31" fillId="0" borderId="8" xfId="50" applyNumberFormat="1" applyFont="1" applyBorder="1" applyAlignment="1">
      <alignment horizontal="center" vertical="center"/>
    </xf>
    <xf numFmtId="3" fontId="31" fillId="0" borderId="10" xfId="0" applyNumberFormat="1" applyFont="1" applyBorder="1" applyAlignment="1">
      <alignment horizontal="center" vertical="center"/>
    </xf>
    <xf numFmtId="10" fontId="31" fillId="0" borderId="24" xfId="50" applyNumberFormat="1" applyFont="1" applyBorder="1" applyAlignment="1">
      <alignment horizontal="center" vertical="center"/>
    </xf>
    <xf numFmtId="0" fontId="35" fillId="39" borderId="9" xfId="0" applyFont="1" applyFill="1" applyBorder="1" applyAlignment="1">
      <alignment horizontal="center" vertical="center"/>
    </xf>
    <xf numFmtId="0" fontId="35" fillId="39" borderId="48" xfId="0" applyFont="1" applyFill="1" applyBorder="1" applyAlignment="1">
      <alignment horizontal="center" vertical="center"/>
    </xf>
    <xf numFmtId="3" fontId="31" fillId="0" borderId="46" xfId="0" applyNumberFormat="1" applyFont="1" applyBorder="1" applyAlignment="1">
      <alignment horizontal="center" vertical="center"/>
    </xf>
    <xf numFmtId="3" fontId="31" fillId="0" borderId="6" xfId="0" applyNumberFormat="1" applyFont="1" applyBorder="1" applyAlignment="1">
      <alignment horizontal="center" vertical="center"/>
    </xf>
    <xf numFmtId="0" fontId="35" fillId="39" borderId="4" xfId="0" applyFont="1" applyFill="1" applyBorder="1" applyAlignment="1">
      <alignment horizontal="center" vertical="center"/>
    </xf>
    <xf numFmtId="0" fontId="35" fillId="39" borderId="1" xfId="0" applyFont="1" applyFill="1" applyBorder="1" applyAlignment="1">
      <alignment horizontal="center" vertical="center"/>
    </xf>
    <xf numFmtId="3" fontId="31" fillId="0" borderId="47" xfId="0" applyNumberFormat="1" applyFont="1" applyBorder="1" applyAlignment="1">
      <alignment horizontal="center" vertical="center"/>
    </xf>
    <xf numFmtId="10" fontId="31" fillId="0" borderId="42" xfId="5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0" fontId="31" fillId="0" borderId="43" xfId="50" applyNumberFormat="1" applyFont="1" applyBorder="1" applyAlignment="1">
      <alignment horizontal="center" vertical="center"/>
    </xf>
    <xf numFmtId="0" fontId="36" fillId="39" borderId="21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48" xfId="0" applyFont="1" applyFill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0" fontId="37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3" fillId="6" borderId="39" xfId="0" applyFont="1" applyFill="1" applyBorder="1" applyAlignment="1">
      <alignment vertical="center" wrapText="1"/>
    </xf>
    <xf numFmtId="0" fontId="43" fillId="6" borderId="39" xfId="0" applyFont="1" applyFill="1" applyBorder="1">
      <alignment vertical="center"/>
    </xf>
    <xf numFmtId="0" fontId="0" fillId="38" borderId="0" xfId="0" applyFill="1" applyAlignment="1">
      <alignment horizontal="center" vertical="center"/>
    </xf>
    <xf numFmtId="0" fontId="24" fillId="6" borderId="23" xfId="0" applyFont="1" applyFill="1" applyBorder="1" applyAlignment="1">
      <alignment horizontal="center" vertical="center"/>
    </xf>
    <xf numFmtId="0" fontId="24" fillId="6" borderId="20" xfId="0" applyFont="1" applyFill="1" applyBorder="1" applyAlignment="1">
      <alignment horizontal="center" vertical="center"/>
    </xf>
    <xf numFmtId="0" fontId="24" fillId="6" borderId="22" xfId="0" applyFont="1" applyFill="1" applyBorder="1" applyAlignment="1">
      <alignment horizontal="center" vertical="center"/>
    </xf>
    <xf numFmtId="0" fontId="24" fillId="6" borderId="3" xfId="0" applyFont="1" applyFill="1" applyBorder="1" applyAlignment="1">
      <alignment horizontal="center" vertical="center"/>
    </xf>
    <xf numFmtId="0" fontId="24" fillId="6" borderId="18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4" fillId="6" borderId="40" xfId="0" applyFont="1" applyFill="1" applyBorder="1" applyAlignment="1">
      <alignment horizontal="right" vertical="center" wrapText="1"/>
    </xf>
    <xf numFmtId="0" fontId="44" fillId="40" borderId="0" xfId="0" applyFont="1" applyFill="1" applyAlignment="1">
      <alignment horizontal="right" vertical="center" wrapText="1"/>
    </xf>
    <xf numFmtId="0" fontId="42" fillId="6" borderId="3" xfId="0" applyFont="1" applyFill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0" fontId="31" fillId="6" borderId="58" xfId="0" applyFont="1" applyFill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0" fontId="31" fillId="0" borderId="58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177" fontId="47" fillId="0" borderId="6" xfId="34" applyNumberFormat="1" applyFont="1" applyBorder="1" applyAlignment="1">
      <alignment horizontal="center" vertical="center"/>
    </xf>
    <xf numFmtId="183" fontId="47" fillId="0" borderId="6" xfId="34" applyNumberFormat="1" applyFont="1" applyBorder="1" applyAlignment="1">
      <alignment horizontal="center" vertical="center"/>
    </xf>
    <xf numFmtId="177" fontId="33" fillId="0" borderId="58" xfId="1" applyNumberFormat="1" applyFont="1" applyBorder="1" applyAlignment="1">
      <alignment horizontal="center" vertical="center"/>
    </xf>
    <xf numFmtId="178" fontId="31" fillId="0" borderId="58" xfId="0" applyNumberFormat="1" applyFont="1" applyBorder="1" applyAlignment="1">
      <alignment horizontal="center" vertical="center"/>
    </xf>
    <xf numFmtId="0" fontId="47" fillId="0" borderId="6" xfId="34" applyFont="1" applyBorder="1" applyAlignment="1">
      <alignment horizontal="center" vertical="center"/>
    </xf>
    <xf numFmtId="38" fontId="47" fillId="0" borderId="6" xfId="34" applyNumberFormat="1" applyFont="1" applyBorder="1" applyAlignment="1">
      <alignment horizontal="center" vertical="center"/>
    </xf>
    <xf numFmtId="38" fontId="46" fillId="0" borderId="57" xfId="45" applyNumberFormat="1" applyFont="1" applyBorder="1" applyAlignment="1">
      <alignment horizontal="center" vertical="center"/>
    </xf>
    <xf numFmtId="0" fontId="46" fillId="0" borderId="57" xfId="45" applyFont="1" applyBorder="1" applyAlignment="1">
      <alignment horizontal="center" vertical="center"/>
    </xf>
    <xf numFmtId="10" fontId="33" fillId="0" borderId="58" xfId="1" applyNumberFormat="1" applyFont="1" applyBorder="1" applyAlignment="1">
      <alignment horizontal="center" vertical="center"/>
    </xf>
    <xf numFmtId="10" fontId="33" fillId="0" borderId="8" xfId="1" applyNumberFormat="1" applyFont="1" applyBorder="1" applyAlignment="1">
      <alignment horizontal="center" vertical="center"/>
    </xf>
    <xf numFmtId="177" fontId="31" fillId="6" borderId="58" xfId="0" applyNumberFormat="1" applyFont="1" applyFill="1" applyBorder="1" applyAlignment="1">
      <alignment horizontal="center" vertical="center"/>
    </xf>
    <xf numFmtId="177" fontId="31" fillId="6" borderId="8" xfId="0" applyNumberFormat="1" applyFont="1" applyFill="1" applyBorder="1" applyAlignment="1">
      <alignment horizontal="center" vertical="center"/>
    </xf>
    <xf numFmtId="10" fontId="33" fillId="0" borderId="59" xfId="1" applyNumberFormat="1" applyFont="1" applyBorder="1" applyAlignment="1">
      <alignment horizontal="center" vertical="center"/>
    </xf>
    <xf numFmtId="10" fontId="33" fillId="0" borderId="24" xfId="1" applyNumberFormat="1" applyFont="1" applyBorder="1" applyAlignment="1">
      <alignment horizontal="center" vertical="center"/>
    </xf>
  </cellXfs>
  <cellStyles count="56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0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쉼표 [0] 2" xfId="54" xr:uid="{1ECAE1BE-BC15-4D08-BA41-118178127983}"/>
    <cellStyle name="쉼표 [0] 2 2" xfId="55" xr:uid="{01193168-6D71-4CA5-BBFE-AF02D1DA237D}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2 2" xfId="52" xr:uid="{A318B459-CA23-42E2-8ECC-411DF5A1766C}"/>
    <cellStyle name="표준 4 3" xfId="51" xr:uid="{B5FB9756-37D5-4E35-A31F-6F633157E1B2}"/>
    <cellStyle name="표준 5" xfId="48" xr:uid="{00000000-0005-0000-0000-00002F000000}"/>
    <cellStyle name="표준 5 2" xfId="53" xr:uid="{BD8C11C9-B385-4C7C-B99C-9E87BFEF6523}"/>
    <cellStyle name="하이퍼링크 2" xfId="46" xr:uid="{00000000-0005-0000-0000-000030000000}"/>
  </cellStyles>
  <dxfs count="6"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CC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6350</xdr:colOff>
          <xdr:row>6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 기능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46125" y="168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32118" y="10570882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15290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4740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</xdr:row>
      <xdr:rowOff>311150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075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211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9"/>
  <sheetViews>
    <sheetView tabSelected="1" workbookViewId="0">
      <selection activeCell="C4" sqref="C4:E9"/>
    </sheetView>
  </sheetViews>
  <sheetFormatPr defaultRowHeight="17"/>
  <cols>
    <col min="2" max="5" width="12.58203125" style="1" customWidth="1"/>
  </cols>
  <sheetData>
    <row r="3" spans="2:5">
      <c r="C3" s="1" t="s">
        <v>1</v>
      </c>
      <c r="D3" s="1" t="s">
        <v>2</v>
      </c>
      <c r="E3" s="1" t="s">
        <v>0</v>
      </c>
    </row>
    <row r="4" spans="2:5">
      <c r="B4" s="1" t="s">
        <v>3</v>
      </c>
      <c r="C4" s="120">
        <v>330488</v>
      </c>
      <c r="D4" s="121" t="s">
        <v>73</v>
      </c>
      <c r="E4" s="121" t="s">
        <v>74</v>
      </c>
    </row>
    <row r="5" spans="2:5">
      <c r="B5" s="1" t="s">
        <v>17</v>
      </c>
      <c r="C5" s="120">
        <v>328689</v>
      </c>
      <c r="D5" s="121" t="s">
        <v>75</v>
      </c>
      <c r="E5" s="121" t="s">
        <v>76</v>
      </c>
    </row>
    <row r="6" spans="2:5">
      <c r="B6" s="1" t="s">
        <v>4</v>
      </c>
      <c r="C6" s="120">
        <v>325418</v>
      </c>
      <c r="D6" s="121" t="s">
        <v>77</v>
      </c>
      <c r="E6" s="121" t="s">
        <v>78</v>
      </c>
    </row>
    <row r="7" spans="2:5">
      <c r="B7" s="1" t="s">
        <v>5</v>
      </c>
      <c r="C7" s="120">
        <v>323663</v>
      </c>
      <c r="D7" s="121" t="s">
        <v>79</v>
      </c>
      <c r="E7" s="121" t="s">
        <v>80</v>
      </c>
    </row>
    <row r="8" spans="2:5">
      <c r="B8" s="1" t="s">
        <v>18</v>
      </c>
      <c r="C8" s="120">
        <v>322740</v>
      </c>
      <c r="D8" s="121" t="s">
        <v>81</v>
      </c>
      <c r="E8" s="121" t="s">
        <v>82</v>
      </c>
    </row>
    <row r="9" spans="2:5">
      <c r="B9" s="1" t="s">
        <v>19</v>
      </c>
      <c r="C9" s="120">
        <v>322285</v>
      </c>
      <c r="D9" s="121" t="s">
        <v>83</v>
      </c>
      <c r="E9" s="121" t="s">
        <v>84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6350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F57"/>
  <sheetViews>
    <sheetView workbookViewId="0">
      <selection activeCell="C4" sqref="C4:D57"/>
    </sheetView>
  </sheetViews>
  <sheetFormatPr defaultRowHeight="17"/>
  <cols>
    <col min="2" max="2" width="12.58203125" customWidth="1"/>
    <col min="3" max="3" width="17.58203125" customWidth="1"/>
    <col min="4" max="4" width="18.08203125" customWidth="1"/>
    <col min="5" max="6" width="12.58203125" customWidth="1"/>
  </cols>
  <sheetData>
    <row r="3" spans="1:6">
      <c r="C3" s="104" t="s">
        <v>32</v>
      </c>
      <c r="D3" s="104"/>
      <c r="E3" s="1"/>
      <c r="F3" s="1"/>
    </row>
    <row r="4" spans="1:6">
      <c r="A4" t="s">
        <v>20</v>
      </c>
      <c r="B4" s="1" t="s">
        <v>9</v>
      </c>
      <c r="C4" s="124">
        <v>136</v>
      </c>
      <c r="D4" s="125">
        <v>14736</v>
      </c>
      <c r="E4" s="1"/>
      <c r="F4" s="1"/>
    </row>
    <row r="5" spans="1:6">
      <c r="B5" s="1" t="s">
        <v>10</v>
      </c>
      <c r="C5" s="124">
        <v>128</v>
      </c>
      <c r="D5" s="125">
        <v>22286</v>
      </c>
      <c r="E5" s="1"/>
      <c r="F5" s="1"/>
    </row>
    <row r="6" spans="1:6">
      <c r="B6" s="1" t="s">
        <v>11</v>
      </c>
      <c r="C6" s="124">
        <v>117</v>
      </c>
      <c r="D6" s="125">
        <v>41802</v>
      </c>
      <c r="E6" s="1"/>
      <c r="F6" s="1"/>
    </row>
    <row r="7" spans="1:6">
      <c r="B7" s="1" t="s">
        <v>12</v>
      </c>
      <c r="C7" s="124">
        <v>105</v>
      </c>
      <c r="D7" s="125">
        <v>55091</v>
      </c>
      <c r="E7" s="1"/>
      <c r="F7" s="1"/>
    </row>
    <row r="8" spans="1:6">
      <c r="B8" s="1" t="s">
        <v>13</v>
      </c>
      <c r="C8" s="124">
        <v>92</v>
      </c>
      <c r="D8" s="125">
        <v>67548</v>
      </c>
      <c r="E8" s="1"/>
      <c r="F8" s="1"/>
    </row>
    <row r="9" spans="1:6">
      <c r="B9" s="1" t="s">
        <v>14</v>
      </c>
      <c r="C9" s="124">
        <v>82</v>
      </c>
      <c r="D9" s="125">
        <v>55221</v>
      </c>
      <c r="E9" s="1"/>
      <c r="F9" s="1"/>
    </row>
    <row r="10" spans="1:6">
      <c r="B10" s="1" t="s">
        <v>15</v>
      </c>
      <c r="C10" s="124">
        <v>76</v>
      </c>
      <c r="D10" s="125">
        <v>37910</v>
      </c>
      <c r="E10" s="1"/>
      <c r="F10" s="1"/>
    </row>
    <row r="11" spans="1:6">
      <c r="B11" s="1" t="s">
        <v>16</v>
      </c>
      <c r="C11" s="124">
        <v>70</v>
      </c>
      <c r="D11" s="125">
        <v>27379</v>
      </c>
      <c r="E11" s="1"/>
      <c r="F11" s="1"/>
    </row>
    <row r="12" spans="1:6">
      <c r="B12" s="1" t="s">
        <v>23</v>
      </c>
      <c r="C12" s="124">
        <v>56</v>
      </c>
      <c r="D12" s="125">
        <v>8515</v>
      </c>
    </row>
    <row r="13" spans="1:6">
      <c r="A13" t="s">
        <v>21</v>
      </c>
      <c r="B13" s="1" t="s">
        <v>24</v>
      </c>
      <c r="C13" s="124">
        <v>138</v>
      </c>
      <c r="D13" s="125">
        <v>15738</v>
      </c>
    </row>
    <row r="14" spans="1:6">
      <c r="B14" s="1" t="s">
        <v>25</v>
      </c>
      <c r="C14" s="124">
        <v>127</v>
      </c>
      <c r="D14" s="125">
        <v>23024</v>
      </c>
    </row>
    <row r="15" spans="1:6">
      <c r="B15" s="1" t="s">
        <v>26</v>
      </c>
      <c r="C15" s="124">
        <v>116</v>
      </c>
      <c r="D15" s="125">
        <v>39594</v>
      </c>
    </row>
    <row r="16" spans="1:6">
      <c r="B16" s="1" t="s">
        <v>27</v>
      </c>
      <c r="C16" s="124">
        <v>104</v>
      </c>
      <c r="D16" s="125">
        <v>56182</v>
      </c>
    </row>
    <row r="17" spans="1:4">
      <c r="B17" s="1" t="s">
        <v>28</v>
      </c>
      <c r="C17" s="124">
        <v>92</v>
      </c>
      <c r="D17" s="125">
        <v>62785</v>
      </c>
    </row>
    <row r="18" spans="1:4">
      <c r="B18" s="1" t="s">
        <v>29</v>
      </c>
      <c r="C18" s="124">
        <v>83</v>
      </c>
      <c r="D18" s="125">
        <v>56854</v>
      </c>
    </row>
    <row r="19" spans="1:4">
      <c r="B19" s="1" t="s">
        <v>30</v>
      </c>
      <c r="C19" s="124">
        <v>76</v>
      </c>
      <c r="D19" s="125">
        <v>46113</v>
      </c>
    </row>
    <row r="20" spans="1:4">
      <c r="B20" s="1" t="s">
        <v>31</v>
      </c>
      <c r="C20" s="124">
        <v>73</v>
      </c>
      <c r="D20" s="125">
        <v>18498</v>
      </c>
    </row>
    <row r="21" spans="1:4">
      <c r="B21" s="1" t="s">
        <v>22</v>
      </c>
      <c r="C21" s="124">
        <v>63</v>
      </c>
      <c r="D21" s="125">
        <v>9901</v>
      </c>
    </row>
    <row r="22" spans="1:4">
      <c r="A22" t="s">
        <v>33</v>
      </c>
      <c r="B22" s="1" t="s">
        <v>9</v>
      </c>
      <c r="C22" s="124">
        <v>90</v>
      </c>
      <c r="D22" s="125">
        <v>8832</v>
      </c>
    </row>
    <row r="23" spans="1:4">
      <c r="B23" s="1" t="s">
        <v>10</v>
      </c>
      <c r="C23" s="124">
        <v>80</v>
      </c>
      <c r="D23" s="125">
        <v>20866</v>
      </c>
    </row>
    <row r="24" spans="1:4">
      <c r="B24" s="1" t="s">
        <v>11</v>
      </c>
      <c r="C24" s="124">
        <v>70</v>
      </c>
      <c r="D24" s="125">
        <v>37941</v>
      </c>
    </row>
    <row r="25" spans="1:4">
      <c r="B25" s="1" t="s">
        <v>12</v>
      </c>
      <c r="C25" s="124">
        <v>60</v>
      </c>
      <c r="D25" s="125">
        <v>51663</v>
      </c>
    </row>
    <row r="26" spans="1:4">
      <c r="B26" s="1" t="s">
        <v>13</v>
      </c>
      <c r="C26" s="124">
        <v>50</v>
      </c>
      <c r="D26" s="125">
        <v>54607</v>
      </c>
    </row>
    <row r="27" spans="1:4">
      <c r="B27" s="1" t="s">
        <v>14</v>
      </c>
      <c r="C27" s="124">
        <v>40</v>
      </c>
      <c r="D27" s="125">
        <v>49616</v>
      </c>
    </row>
    <row r="28" spans="1:4">
      <c r="B28" s="1" t="s">
        <v>15</v>
      </c>
      <c r="C28" s="124">
        <v>30</v>
      </c>
      <c r="D28" s="125">
        <v>44525</v>
      </c>
    </row>
    <row r="29" spans="1:4">
      <c r="B29" s="1" t="s">
        <v>16</v>
      </c>
      <c r="C29" s="124">
        <v>20</v>
      </c>
      <c r="D29" s="125">
        <v>43003</v>
      </c>
    </row>
    <row r="30" spans="1:4">
      <c r="B30" s="1" t="s">
        <v>23</v>
      </c>
      <c r="C30" s="124">
        <v>0</v>
      </c>
      <c r="D30" s="125">
        <v>14365</v>
      </c>
    </row>
    <row r="31" spans="1:4">
      <c r="A31" t="s">
        <v>34</v>
      </c>
      <c r="B31" s="1" t="s">
        <v>9</v>
      </c>
      <c r="C31" s="124">
        <v>40</v>
      </c>
      <c r="D31" s="125">
        <v>64536</v>
      </c>
    </row>
    <row r="32" spans="1:4">
      <c r="B32" s="1" t="s">
        <v>25</v>
      </c>
      <c r="C32" s="124">
        <v>35</v>
      </c>
      <c r="D32" s="125">
        <v>39665</v>
      </c>
    </row>
    <row r="33" spans="1:4">
      <c r="B33" s="1" t="s">
        <v>26</v>
      </c>
      <c r="C33" s="124">
        <v>30</v>
      </c>
      <c r="D33" s="125">
        <v>43656</v>
      </c>
    </row>
    <row r="34" spans="1:4">
      <c r="B34" s="1" t="s">
        <v>27</v>
      </c>
      <c r="C34" s="124">
        <v>25</v>
      </c>
      <c r="D34" s="125">
        <v>43327</v>
      </c>
    </row>
    <row r="35" spans="1:4">
      <c r="B35" s="1" t="s">
        <v>28</v>
      </c>
      <c r="C35" s="124">
        <v>20</v>
      </c>
      <c r="D35" s="125">
        <v>39105</v>
      </c>
    </row>
    <row r="36" spans="1:4">
      <c r="B36" s="1" t="s">
        <v>29</v>
      </c>
      <c r="C36" s="124">
        <v>15</v>
      </c>
      <c r="D36" s="125">
        <v>34843</v>
      </c>
    </row>
    <row r="37" spans="1:4">
      <c r="B37" s="1" t="s">
        <v>30</v>
      </c>
      <c r="C37" s="124">
        <v>10</v>
      </c>
      <c r="D37" s="125">
        <v>41250</v>
      </c>
    </row>
    <row r="38" spans="1:4">
      <c r="B38" s="1" t="s">
        <v>31</v>
      </c>
      <c r="C38" s="124">
        <v>5</v>
      </c>
      <c r="D38" s="125">
        <v>13932</v>
      </c>
    </row>
    <row r="39" spans="1:4">
      <c r="B39" s="1" t="s">
        <v>22</v>
      </c>
      <c r="C39" s="124">
        <v>0</v>
      </c>
      <c r="D39" s="125">
        <v>3349</v>
      </c>
    </row>
    <row r="40" spans="1:4">
      <c r="A40" t="s">
        <v>35</v>
      </c>
      <c r="B40" s="1" t="s">
        <v>9</v>
      </c>
      <c r="C40" s="124">
        <v>40</v>
      </c>
      <c r="D40" s="125">
        <v>112842</v>
      </c>
    </row>
    <row r="41" spans="1:4">
      <c r="B41" s="1" t="s">
        <v>10</v>
      </c>
      <c r="C41" s="124">
        <v>35</v>
      </c>
      <c r="D41" s="125">
        <v>69703</v>
      </c>
    </row>
    <row r="42" spans="1:4">
      <c r="B42" s="1" t="s">
        <v>11</v>
      </c>
      <c r="C42" s="124">
        <v>30</v>
      </c>
      <c r="D42" s="125">
        <v>42441</v>
      </c>
    </row>
    <row r="43" spans="1:4">
      <c r="B43" s="1" t="s">
        <v>12</v>
      </c>
      <c r="C43" s="124">
        <v>25</v>
      </c>
      <c r="D43" s="125">
        <v>23958</v>
      </c>
    </row>
    <row r="44" spans="1:4">
      <c r="B44" s="1" t="s">
        <v>13</v>
      </c>
      <c r="C44" s="124">
        <v>20</v>
      </c>
      <c r="D44" s="125">
        <v>16019</v>
      </c>
    </row>
    <row r="45" spans="1:4">
      <c r="B45" s="1" t="s">
        <v>14</v>
      </c>
      <c r="C45" s="124">
        <v>15</v>
      </c>
      <c r="D45" s="125">
        <v>15003</v>
      </c>
    </row>
    <row r="46" spans="1:4">
      <c r="B46" s="1" t="s">
        <v>15</v>
      </c>
      <c r="C46" s="124">
        <v>10</v>
      </c>
      <c r="D46" s="125">
        <v>23404</v>
      </c>
    </row>
    <row r="47" spans="1:4">
      <c r="B47" s="1" t="s">
        <v>16</v>
      </c>
      <c r="C47" s="124">
        <v>5</v>
      </c>
      <c r="D47" s="125">
        <v>17474</v>
      </c>
    </row>
    <row r="48" spans="1:4">
      <c r="B48" s="1" t="s">
        <v>23</v>
      </c>
      <c r="C48" s="124">
        <v>0</v>
      </c>
      <c r="D48" s="125">
        <v>1896</v>
      </c>
    </row>
    <row r="49" spans="1:4">
      <c r="A49" t="s">
        <v>36</v>
      </c>
      <c r="B49" s="1" t="s">
        <v>9</v>
      </c>
      <c r="C49" s="124">
        <v>40</v>
      </c>
      <c r="D49" s="125">
        <v>54343</v>
      </c>
    </row>
    <row r="50" spans="1:4">
      <c r="B50" s="1" t="s">
        <v>25</v>
      </c>
      <c r="C50" s="124">
        <v>35</v>
      </c>
      <c r="D50" s="125">
        <v>32324</v>
      </c>
    </row>
    <row r="51" spans="1:4">
      <c r="B51" s="1" t="s">
        <v>26</v>
      </c>
      <c r="C51" s="124">
        <v>30</v>
      </c>
      <c r="D51" s="125">
        <v>32786</v>
      </c>
    </row>
    <row r="52" spans="1:4">
      <c r="B52" s="1" t="s">
        <v>27</v>
      </c>
      <c r="C52" s="124">
        <v>25</v>
      </c>
      <c r="D52" s="125">
        <v>32494</v>
      </c>
    </row>
    <row r="53" spans="1:4">
      <c r="B53" s="1" t="s">
        <v>28</v>
      </c>
      <c r="C53" s="124">
        <v>20</v>
      </c>
      <c r="D53" s="125">
        <v>33567</v>
      </c>
    </row>
    <row r="54" spans="1:4">
      <c r="B54" s="1" t="s">
        <v>29</v>
      </c>
      <c r="C54" s="124">
        <v>15</v>
      </c>
      <c r="D54" s="125">
        <v>37932</v>
      </c>
    </row>
    <row r="55" spans="1:4">
      <c r="B55" s="1" t="s">
        <v>30</v>
      </c>
      <c r="C55" s="124">
        <v>10</v>
      </c>
      <c r="D55" s="125">
        <v>47837</v>
      </c>
    </row>
    <row r="56" spans="1:4">
      <c r="B56" s="1" t="s">
        <v>31</v>
      </c>
      <c r="C56" s="124">
        <v>5</v>
      </c>
      <c r="D56" s="125">
        <v>45877</v>
      </c>
    </row>
    <row r="57" spans="1:4">
      <c r="B57" s="1" t="s">
        <v>22</v>
      </c>
      <c r="C57" s="124">
        <v>0</v>
      </c>
      <c r="D57" s="125">
        <v>5125</v>
      </c>
    </row>
  </sheetData>
  <mergeCells count="1">
    <mergeCell ref="C3:D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P102"/>
  <sheetViews>
    <sheetView workbookViewId="0">
      <selection activeCell="A5" sqref="A5:J101"/>
    </sheetView>
  </sheetViews>
  <sheetFormatPr defaultRowHeight="17"/>
  <sheetData>
    <row r="1" spans="1:16">
      <c r="A1" s="8"/>
    </row>
    <row r="2" spans="1:16" ht="17.5" thickBot="1"/>
    <row r="3" spans="1:16">
      <c r="A3" s="35" t="s">
        <v>8</v>
      </c>
      <c r="B3" s="36"/>
      <c r="C3" s="36"/>
      <c r="D3" s="37"/>
      <c r="F3" s="35" t="s">
        <v>17</v>
      </c>
      <c r="G3" s="36"/>
      <c r="H3" s="36"/>
      <c r="I3" s="37"/>
    </row>
    <row r="4" spans="1:16">
      <c r="A4" s="3" t="s">
        <v>6</v>
      </c>
      <c r="B4" s="1"/>
      <c r="C4" s="1"/>
      <c r="D4" s="4" t="s">
        <v>7</v>
      </c>
      <c r="E4" s="9"/>
      <c r="F4" s="1" t="s">
        <v>6</v>
      </c>
      <c r="G4" s="1"/>
      <c r="H4" s="1"/>
      <c r="I4" s="4" t="s">
        <v>7</v>
      </c>
      <c r="L4" s="1"/>
      <c r="M4" s="1"/>
      <c r="O4" s="1"/>
      <c r="P4" s="1"/>
    </row>
    <row r="5" spans="1:16">
      <c r="A5" s="127">
        <v>145</v>
      </c>
      <c r="B5" s="126">
        <v>367</v>
      </c>
      <c r="C5" s="126">
        <v>493</v>
      </c>
      <c r="D5" s="126">
        <v>877</v>
      </c>
      <c r="E5" s="126">
        <v>877</v>
      </c>
      <c r="F5" s="127">
        <v>162</v>
      </c>
      <c r="G5" s="126">
        <v>401</v>
      </c>
      <c r="H5" s="126">
        <v>193</v>
      </c>
      <c r="I5" s="126">
        <v>599</v>
      </c>
      <c r="J5" s="126">
        <v>599</v>
      </c>
      <c r="L5" s="1"/>
      <c r="M5" s="1"/>
      <c r="O5" s="1"/>
      <c r="P5" s="1"/>
    </row>
    <row r="6" spans="1:16">
      <c r="A6" s="127">
        <v>144</v>
      </c>
      <c r="B6" s="126">
        <v>527</v>
      </c>
      <c r="C6" s="126">
        <v>694</v>
      </c>
      <c r="D6" s="126">
        <v>1243</v>
      </c>
      <c r="E6" s="126">
        <v>2120</v>
      </c>
      <c r="F6" s="127">
        <v>160</v>
      </c>
      <c r="G6" s="126">
        <v>7</v>
      </c>
      <c r="H6" s="126">
        <v>1</v>
      </c>
      <c r="I6" s="126">
        <v>9</v>
      </c>
      <c r="J6" s="126">
        <v>608</v>
      </c>
      <c r="L6" s="1"/>
      <c r="M6" s="1"/>
      <c r="O6" s="1"/>
      <c r="P6" s="1"/>
    </row>
    <row r="7" spans="1:16">
      <c r="A7" s="127">
        <v>143</v>
      </c>
      <c r="B7" s="126">
        <v>245</v>
      </c>
      <c r="C7" s="126">
        <v>367</v>
      </c>
      <c r="D7" s="126">
        <v>626</v>
      </c>
      <c r="E7" s="126">
        <v>2746</v>
      </c>
      <c r="F7" s="127">
        <v>159</v>
      </c>
      <c r="G7" s="126">
        <v>36</v>
      </c>
      <c r="H7" s="126">
        <v>13</v>
      </c>
      <c r="I7" s="126">
        <v>49</v>
      </c>
      <c r="J7" s="126">
        <v>657</v>
      </c>
      <c r="L7" s="1"/>
      <c r="M7" s="1"/>
      <c r="O7" s="1"/>
      <c r="P7" s="1"/>
    </row>
    <row r="8" spans="1:16">
      <c r="A8" s="127">
        <v>142</v>
      </c>
      <c r="B8" s="126">
        <v>419</v>
      </c>
      <c r="C8" s="126">
        <v>551</v>
      </c>
      <c r="D8" s="126">
        <v>990</v>
      </c>
      <c r="E8" s="126">
        <v>3736</v>
      </c>
      <c r="F8" s="127">
        <v>158</v>
      </c>
      <c r="G8" s="126">
        <v>631</v>
      </c>
      <c r="H8" s="126">
        <v>256</v>
      </c>
      <c r="I8" s="126">
        <v>897</v>
      </c>
      <c r="J8" s="126">
        <v>1554</v>
      </c>
      <c r="L8" s="1"/>
      <c r="M8" s="1"/>
      <c r="O8" s="1"/>
      <c r="P8" s="1"/>
    </row>
    <row r="9" spans="1:16">
      <c r="A9" s="127">
        <v>141</v>
      </c>
      <c r="B9" s="126">
        <v>505</v>
      </c>
      <c r="C9" s="126">
        <v>866</v>
      </c>
      <c r="D9" s="126">
        <v>1392</v>
      </c>
      <c r="E9" s="126">
        <v>5128</v>
      </c>
      <c r="F9" s="127">
        <v>156</v>
      </c>
      <c r="G9" s="126">
        <v>22</v>
      </c>
      <c r="H9" s="126">
        <v>7</v>
      </c>
      <c r="I9" s="126">
        <v>29</v>
      </c>
      <c r="J9" s="126">
        <v>1583</v>
      </c>
      <c r="L9" s="1"/>
      <c r="M9" s="1"/>
      <c r="O9" s="1"/>
      <c r="P9" s="1"/>
    </row>
    <row r="10" spans="1:16">
      <c r="A10" s="127">
        <v>140</v>
      </c>
      <c r="B10" s="126">
        <v>425</v>
      </c>
      <c r="C10" s="126">
        <v>522</v>
      </c>
      <c r="D10" s="126">
        <v>965</v>
      </c>
      <c r="E10" s="126">
        <v>6093</v>
      </c>
      <c r="F10" s="127">
        <v>155</v>
      </c>
      <c r="G10" s="126">
        <v>78</v>
      </c>
      <c r="H10" s="126">
        <v>41</v>
      </c>
      <c r="I10" s="126">
        <v>123</v>
      </c>
      <c r="J10" s="126">
        <v>1706</v>
      </c>
      <c r="L10" s="1"/>
      <c r="M10" s="1"/>
      <c r="O10" s="1"/>
      <c r="P10" s="1"/>
    </row>
    <row r="11" spans="1:16">
      <c r="A11" s="127">
        <v>139</v>
      </c>
      <c r="B11" s="126">
        <v>683</v>
      </c>
      <c r="C11" s="126">
        <v>941</v>
      </c>
      <c r="D11" s="126">
        <v>1661</v>
      </c>
      <c r="E11" s="126">
        <v>7754</v>
      </c>
      <c r="F11" s="127">
        <v>154</v>
      </c>
      <c r="G11" s="126">
        <v>833</v>
      </c>
      <c r="H11" s="126">
        <v>366</v>
      </c>
      <c r="I11" s="126">
        <v>1219</v>
      </c>
      <c r="J11" s="126">
        <v>2925</v>
      </c>
      <c r="L11" s="1"/>
      <c r="M11" s="1"/>
      <c r="O11" s="1"/>
      <c r="P11" s="1"/>
    </row>
    <row r="12" spans="1:16">
      <c r="A12" s="127">
        <v>138</v>
      </c>
      <c r="B12" s="126">
        <v>568</v>
      </c>
      <c r="C12" s="126">
        <v>826</v>
      </c>
      <c r="D12" s="126">
        <v>1421</v>
      </c>
      <c r="E12" s="126">
        <v>9175</v>
      </c>
      <c r="F12" s="127">
        <v>153</v>
      </c>
      <c r="G12" s="126">
        <v>1</v>
      </c>
      <c r="H12" s="126">
        <v>0</v>
      </c>
      <c r="I12" s="126">
        <v>1</v>
      </c>
      <c r="J12" s="126">
        <v>2926</v>
      </c>
      <c r="L12" s="1"/>
      <c r="M12" s="1"/>
      <c r="O12" s="1"/>
      <c r="P12" s="1"/>
    </row>
    <row r="13" spans="1:16">
      <c r="A13" s="127">
        <v>137</v>
      </c>
      <c r="B13" s="126">
        <v>795</v>
      </c>
      <c r="C13" s="126">
        <v>1024</v>
      </c>
      <c r="D13" s="126">
        <v>1857</v>
      </c>
      <c r="E13" s="126">
        <v>11032</v>
      </c>
      <c r="F13" s="127">
        <v>152</v>
      </c>
      <c r="G13" s="126">
        <v>32</v>
      </c>
      <c r="H13" s="126">
        <v>7</v>
      </c>
      <c r="I13" s="126">
        <v>40</v>
      </c>
      <c r="J13" s="126">
        <v>2966</v>
      </c>
      <c r="L13" s="1"/>
      <c r="M13" s="1"/>
      <c r="O13" s="1"/>
      <c r="P13" s="1"/>
    </row>
    <row r="14" spans="1:16">
      <c r="A14" s="127">
        <v>136</v>
      </c>
      <c r="B14" s="126">
        <v>1500</v>
      </c>
      <c r="C14" s="126">
        <v>2145</v>
      </c>
      <c r="D14" s="126">
        <v>3704</v>
      </c>
      <c r="E14" s="126">
        <v>14736</v>
      </c>
      <c r="F14" s="127">
        <v>151</v>
      </c>
      <c r="G14" s="126">
        <v>133</v>
      </c>
      <c r="H14" s="126">
        <v>62</v>
      </c>
      <c r="I14" s="126">
        <v>199</v>
      </c>
      <c r="J14" s="126">
        <v>3165</v>
      </c>
      <c r="L14" s="1"/>
      <c r="M14" s="1"/>
      <c r="O14" s="1"/>
      <c r="P14" s="1"/>
    </row>
    <row r="15" spans="1:16">
      <c r="A15" s="127">
        <v>135</v>
      </c>
      <c r="B15" s="126">
        <v>919</v>
      </c>
      <c r="C15" s="126">
        <v>1224</v>
      </c>
      <c r="D15" s="126">
        <v>2191</v>
      </c>
      <c r="E15" s="126">
        <v>16927</v>
      </c>
      <c r="F15" s="127">
        <v>150</v>
      </c>
      <c r="G15" s="126">
        <v>1072</v>
      </c>
      <c r="H15" s="126">
        <v>569</v>
      </c>
      <c r="I15" s="126">
        <v>1663</v>
      </c>
      <c r="J15" s="126">
        <v>4828</v>
      </c>
      <c r="L15" s="1"/>
      <c r="M15" s="1"/>
      <c r="O15" s="1"/>
      <c r="P15" s="1"/>
    </row>
    <row r="16" spans="1:16">
      <c r="A16" s="127">
        <v>134</v>
      </c>
      <c r="B16" s="126">
        <v>815</v>
      </c>
      <c r="C16" s="126">
        <v>1196</v>
      </c>
      <c r="D16" s="126">
        <v>2058</v>
      </c>
      <c r="E16" s="126">
        <v>18985</v>
      </c>
      <c r="F16" s="127">
        <v>149</v>
      </c>
      <c r="G16" s="126">
        <v>7</v>
      </c>
      <c r="H16" s="126">
        <v>1</v>
      </c>
      <c r="I16" s="126">
        <v>8</v>
      </c>
      <c r="J16" s="126">
        <v>4836</v>
      </c>
      <c r="L16" s="1"/>
      <c r="M16" s="1"/>
      <c r="O16" s="1"/>
      <c r="P16" s="1"/>
    </row>
    <row r="17" spans="1:16">
      <c r="A17" s="127">
        <v>133</v>
      </c>
      <c r="B17" s="126">
        <v>952</v>
      </c>
      <c r="C17" s="126">
        <v>1312</v>
      </c>
      <c r="D17" s="126">
        <v>2311</v>
      </c>
      <c r="E17" s="126">
        <v>21296</v>
      </c>
      <c r="F17" s="127">
        <v>148</v>
      </c>
      <c r="G17" s="126">
        <v>49</v>
      </c>
      <c r="H17" s="126">
        <v>17</v>
      </c>
      <c r="I17" s="126">
        <v>67</v>
      </c>
      <c r="J17" s="126">
        <v>4903</v>
      </c>
      <c r="L17" s="1"/>
      <c r="M17" s="1"/>
      <c r="O17" s="1"/>
      <c r="P17" s="1"/>
    </row>
    <row r="18" spans="1:16">
      <c r="A18" s="127">
        <v>132</v>
      </c>
      <c r="B18" s="126">
        <v>973</v>
      </c>
      <c r="C18" s="126">
        <v>1279</v>
      </c>
      <c r="D18" s="126">
        <v>2286</v>
      </c>
      <c r="E18" s="126">
        <v>23582</v>
      </c>
      <c r="F18" s="127">
        <v>147</v>
      </c>
      <c r="G18" s="126">
        <v>261</v>
      </c>
      <c r="H18" s="126">
        <v>109</v>
      </c>
      <c r="I18" s="126">
        <v>373</v>
      </c>
      <c r="J18" s="126">
        <v>5276</v>
      </c>
      <c r="L18" s="1"/>
      <c r="M18" s="1"/>
      <c r="O18" s="1"/>
      <c r="P18" s="1"/>
    </row>
    <row r="19" spans="1:16">
      <c r="A19" s="127">
        <v>131</v>
      </c>
      <c r="B19" s="126">
        <v>1047</v>
      </c>
      <c r="C19" s="126">
        <v>1409</v>
      </c>
      <c r="D19" s="126">
        <v>2505</v>
      </c>
      <c r="E19" s="126">
        <v>26087</v>
      </c>
      <c r="F19" s="127">
        <v>146</v>
      </c>
      <c r="G19" s="126">
        <v>1447</v>
      </c>
      <c r="H19" s="126">
        <v>693</v>
      </c>
      <c r="I19" s="126">
        <v>2173</v>
      </c>
      <c r="J19" s="126">
        <v>7449</v>
      </c>
      <c r="L19" s="1"/>
      <c r="M19" s="1"/>
      <c r="O19" s="1"/>
      <c r="P19" s="1"/>
    </row>
    <row r="20" spans="1:16">
      <c r="A20" s="127">
        <v>130</v>
      </c>
      <c r="B20" s="126">
        <v>1099</v>
      </c>
      <c r="C20" s="126">
        <v>1431</v>
      </c>
      <c r="D20" s="126">
        <v>2585</v>
      </c>
      <c r="E20" s="126">
        <v>28672</v>
      </c>
      <c r="F20" s="127">
        <v>145</v>
      </c>
      <c r="G20" s="126">
        <v>15</v>
      </c>
      <c r="H20" s="126">
        <v>6</v>
      </c>
      <c r="I20" s="126">
        <v>21</v>
      </c>
      <c r="J20" s="126">
        <v>7470</v>
      </c>
      <c r="L20" s="1"/>
      <c r="M20" s="1"/>
      <c r="O20" s="1"/>
      <c r="P20" s="1"/>
    </row>
    <row r="21" spans="1:16">
      <c r="A21" s="127">
        <v>129</v>
      </c>
      <c r="B21" s="126">
        <v>1164</v>
      </c>
      <c r="C21" s="126">
        <v>1435</v>
      </c>
      <c r="D21" s="126">
        <v>2656</v>
      </c>
      <c r="E21" s="126">
        <v>31328</v>
      </c>
      <c r="F21" s="127">
        <v>144</v>
      </c>
      <c r="G21" s="126">
        <v>82</v>
      </c>
      <c r="H21" s="126">
        <v>30</v>
      </c>
      <c r="I21" s="126">
        <v>113</v>
      </c>
      <c r="J21" s="126">
        <v>7583</v>
      </c>
      <c r="L21" s="1"/>
      <c r="M21" s="1"/>
      <c r="O21" s="1"/>
      <c r="P21" s="1"/>
    </row>
    <row r="22" spans="1:16">
      <c r="A22" s="127">
        <v>128</v>
      </c>
      <c r="B22" s="126">
        <v>2415</v>
      </c>
      <c r="C22" s="126">
        <v>3162</v>
      </c>
      <c r="D22" s="126">
        <v>5694</v>
      </c>
      <c r="E22" s="126">
        <v>37022</v>
      </c>
      <c r="F22" s="127">
        <v>143</v>
      </c>
      <c r="G22" s="126">
        <v>422</v>
      </c>
      <c r="H22" s="126">
        <v>209</v>
      </c>
      <c r="I22" s="126">
        <v>643</v>
      </c>
      <c r="J22" s="126">
        <v>8226</v>
      </c>
      <c r="L22" s="1"/>
      <c r="M22" s="1"/>
      <c r="O22" s="1"/>
      <c r="P22" s="1"/>
    </row>
    <row r="23" spans="1:16">
      <c r="A23" s="127">
        <v>127</v>
      </c>
      <c r="B23" s="126">
        <v>1320</v>
      </c>
      <c r="C23" s="126">
        <v>1664</v>
      </c>
      <c r="D23" s="126">
        <v>3049</v>
      </c>
      <c r="E23" s="126">
        <v>40071</v>
      </c>
      <c r="F23" s="127">
        <v>142</v>
      </c>
      <c r="G23" s="126">
        <v>1761</v>
      </c>
      <c r="H23" s="126">
        <v>1004</v>
      </c>
      <c r="I23" s="126">
        <v>2810</v>
      </c>
      <c r="J23" s="126">
        <v>11036</v>
      </c>
      <c r="L23" s="1"/>
      <c r="M23" s="1"/>
      <c r="O23" s="1"/>
      <c r="P23" s="1"/>
    </row>
    <row r="24" spans="1:16">
      <c r="A24" s="127">
        <v>126</v>
      </c>
      <c r="B24" s="126">
        <v>1252</v>
      </c>
      <c r="C24" s="126">
        <v>1720</v>
      </c>
      <c r="D24" s="126">
        <v>3039</v>
      </c>
      <c r="E24" s="126">
        <v>43110</v>
      </c>
      <c r="F24" s="127">
        <v>141</v>
      </c>
      <c r="G24" s="126">
        <v>18</v>
      </c>
      <c r="H24" s="126">
        <v>9</v>
      </c>
      <c r="I24" s="126">
        <v>29</v>
      </c>
      <c r="J24" s="126">
        <v>11065</v>
      </c>
      <c r="L24" s="1"/>
      <c r="M24" s="1"/>
      <c r="O24" s="1"/>
      <c r="P24" s="1"/>
    </row>
    <row r="25" spans="1:16">
      <c r="A25" s="127">
        <v>125</v>
      </c>
      <c r="B25" s="126">
        <v>1439</v>
      </c>
      <c r="C25" s="126">
        <v>1860</v>
      </c>
      <c r="D25" s="126">
        <v>3380</v>
      </c>
      <c r="E25" s="126">
        <v>46490</v>
      </c>
      <c r="F25" s="127">
        <v>140</v>
      </c>
      <c r="G25" s="126">
        <v>126</v>
      </c>
      <c r="H25" s="126">
        <v>75</v>
      </c>
      <c r="I25" s="126">
        <v>208</v>
      </c>
      <c r="J25" s="126">
        <v>11273</v>
      </c>
      <c r="L25" s="1"/>
      <c r="M25" s="1"/>
      <c r="O25" s="1"/>
      <c r="P25" s="1"/>
    </row>
    <row r="26" spans="1:16">
      <c r="A26" s="127">
        <v>124</v>
      </c>
      <c r="B26" s="126">
        <v>1478</v>
      </c>
      <c r="C26" s="126">
        <v>1776</v>
      </c>
      <c r="D26" s="126">
        <v>3323</v>
      </c>
      <c r="E26" s="126">
        <v>49813</v>
      </c>
      <c r="F26" s="127">
        <v>139</v>
      </c>
      <c r="G26" s="126">
        <v>668</v>
      </c>
      <c r="H26" s="126">
        <v>360</v>
      </c>
      <c r="I26" s="126">
        <v>1048</v>
      </c>
      <c r="J26" s="126">
        <v>12321</v>
      </c>
      <c r="L26" s="1"/>
      <c r="M26" s="1"/>
      <c r="O26" s="1"/>
      <c r="P26" s="1"/>
    </row>
    <row r="27" spans="1:16">
      <c r="A27" s="127">
        <v>123</v>
      </c>
      <c r="B27" s="126">
        <v>1492</v>
      </c>
      <c r="C27" s="126">
        <v>1946</v>
      </c>
      <c r="D27" s="126">
        <v>3518</v>
      </c>
      <c r="E27" s="126">
        <v>53331</v>
      </c>
      <c r="F27" s="127">
        <v>138</v>
      </c>
      <c r="G27" s="126">
        <v>2068</v>
      </c>
      <c r="H27" s="126">
        <v>1277</v>
      </c>
      <c r="I27" s="126">
        <v>3417</v>
      </c>
      <c r="J27" s="126">
        <v>15738</v>
      </c>
      <c r="L27" s="1"/>
      <c r="M27" s="1"/>
      <c r="O27" s="1"/>
      <c r="P27" s="1"/>
    </row>
    <row r="28" spans="1:16">
      <c r="A28" s="127">
        <v>122</v>
      </c>
      <c r="B28" s="126">
        <v>1516</v>
      </c>
      <c r="C28" s="126">
        <v>1901</v>
      </c>
      <c r="D28" s="126">
        <v>3502</v>
      </c>
      <c r="E28" s="126">
        <v>56833</v>
      </c>
      <c r="F28" s="127">
        <v>137</v>
      </c>
      <c r="G28" s="126">
        <v>35</v>
      </c>
      <c r="H28" s="126">
        <v>19</v>
      </c>
      <c r="I28" s="126">
        <v>56</v>
      </c>
      <c r="J28" s="126">
        <v>15794</v>
      </c>
      <c r="L28" s="1"/>
      <c r="M28" s="1"/>
      <c r="O28" s="1"/>
      <c r="P28" s="1"/>
    </row>
    <row r="29" spans="1:16">
      <c r="A29" s="127">
        <v>121</v>
      </c>
      <c r="B29" s="126">
        <v>1495</v>
      </c>
      <c r="C29" s="126">
        <v>1915</v>
      </c>
      <c r="D29" s="126">
        <v>3486</v>
      </c>
      <c r="E29" s="126">
        <v>60319</v>
      </c>
      <c r="F29" s="127">
        <v>136</v>
      </c>
      <c r="G29" s="126">
        <v>228</v>
      </c>
      <c r="H29" s="126">
        <v>112</v>
      </c>
      <c r="I29" s="126">
        <v>346</v>
      </c>
      <c r="J29" s="126">
        <v>16140</v>
      </c>
      <c r="L29" s="1"/>
      <c r="M29" s="1"/>
      <c r="O29" s="1"/>
      <c r="P29" s="1"/>
    </row>
    <row r="30" spans="1:16">
      <c r="A30" s="127">
        <v>120</v>
      </c>
      <c r="B30" s="126">
        <v>3110</v>
      </c>
      <c r="C30" s="126">
        <v>4039</v>
      </c>
      <c r="D30" s="126">
        <v>7324</v>
      </c>
      <c r="E30" s="126">
        <v>67643</v>
      </c>
      <c r="F30" s="127">
        <v>135</v>
      </c>
      <c r="G30" s="126">
        <v>893</v>
      </c>
      <c r="H30" s="126">
        <v>578</v>
      </c>
      <c r="I30" s="126">
        <v>1507</v>
      </c>
      <c r="J30" s="126">
        <v>17647</v>
      </c>
      <c r="L30" s="1"/>
      <c r="M30" s="1"/>
      <c r="O30" s="1"/>
      <c r="P30" s="1"/>
    </row>
    <row r="31" spans="1:16">
      <c r="A31" s="127">
        <v>119</v>
      </c>
      <c r="B31" s="126">
        <v>1535</v>
      </c>
      <c r="C31" s="126">
        <v>2041</v>
      </c>
      <c r="D31" s="126">
        <v>3666</v>
      </c>
      <c r="E31" s="126">
        <v>71309</v>
      </c>
      <c r="F31" s="127">
        <v>134</v>
      </c>
      <c r="G31" s="126">
        <v>2264</v>
      </c>
      <c r="H31" s="126">
        <v>1628</v>
      </c>
      <c r="I31" s="126">
        <v>3960</v>
      </c>
      <c r="J31" s="126">
        <v>21607</v>
      </c>
      <c r="L31" s="1"/>
      <c r="M31" s="1"/>
      <c r="O31" s="1"/>
      <c r="P31" s="1"/>
    </row>
    <row r="32" spans="1:16">
      <c r="A32" s="127">
        <v>118</v>
      </c>
      <c r="B32" s="126">
        <v>1596</v>
      </c>
      <c r="C32" s="126">
        <v>2054</v>
      </c>
      <c r="D32" s="126">
        <v>3733</v>
      </c>
      <c r="E32" s="126">
        <v>75042</v>
      </c>
      <c r="F32" s="127">
        <v>133</v>
      </c>
      <c r="G32" s="126">
        <v>66</v>
      </c>
      <c r="H32" s="126">
        <v>30</v>
      </c>
      <c r="I32" s="126">
        <v>98</v>
      </c>
      <c r="J32" s="126">
        <v>21705</v>
      </c>
      <c r="L32" s="1"/>
      <c r="M32" s="1"/>
      <c r="O32" s="1"/>
      <c r="P32" s="1"/>
    </row>
    <row r="33" spans="1:16">
      <c r="A33" s="127">
        <v>117</v>
      </c>
      <c r="B33" s="126">
        <v>1645</v>
      </c>
      <c r="C33" s="126">
        <v>2066</v>
      </c>
      <c r="D33" s="126">
        <v>3782</v>
      </c>
      <c r="E33" s="126">
        <v>78824</v>
      </c>
      <c r="F33" s="127">
        <v>132</v>
      </c>
      <c r="G33" s="126">
        <v>373</v>
      </c>
      <c r="H33" s="126">
        <v>225</v>
      </c>
      <c r="I33" s="126">
        <v>617</v>
      </c>
      <c r="J33" s="126">
        <v>22322</v>
      </c>
      <c r="L33" s="1"/>
      <c r="M33" s="1"/>
      <c r="O33" s="1"/>
      <c r="P33" s="1"/>
    </row>
    <row r="34" spans="1:16">
      <c r="A34" s="127">
        <v>116</v>
      </c>
      <c r="B34" s="126">
        <v>1698</v>
      </c>
      <c r="C34" s="126">
        <v>2113</v>
      </c>
      <c r="D34" s="126">
        <v>3894</v>
      </c>
      <c r="E34" s="126">
        <v>82718</v>
      </c>
      <c r="F34" s="127">
        <v>131</v>
      </c>
      <c r="G34" s="126">
        <v>1312</v>
      </c>
      <c r="H34" s="126">
        <v>967</v>
      </c>
      <c r="I34" s="126">
        <v>2325</v>
      </c>
      <c r="J34" s="126">
        <v>24647</v>
      </c>
      <c r="L34" s="1"/>
      <c r="M34" s="1"/>
      <c r="O34" s="1"/>
      <c r="P34" s="1"/>
    </row>
    <row r="35" spans="1:16">
      <c r="A35" s="127">
        <v>115</v>
      </c>
      <c r="B35" s="126">
        <v>1711</v>
      </c>
      <c r="C35" s="126">
        <v>2222</v>
      </c>
      <c r="D35" s="126">
        <v>4037</v>
      </c>
      <c r="E35" s="126">
        <v>86755</v>
      </c>
      <c r="F35" s="127">
        <v>130</v>
      </c>
      <c r="G35" s="126">
        <v>2467</v>
      </c>
      <c r="H35" s="126">
        <v>1979</v>
      </c>
      <c r="I35" s="126">
        <v>4508</v>
      </c>
      <c r="J35" s="126">
        <v>29155</v>
      </c>
      <c r="L35" s="1"/>
      <c r="M35" s="1"/>
      <c r="O35" s="1"/>
      <c r="P35" s="1"/>
    </row>
    <row r="36" spans="1:16">
      <c r="A36" s="127">
        <v>114</v>
      </c>
      <c r="B36" s="126">
        <v>1771</v>
      </c>
      <c r="C36" s="126">
        <v>2271</v>
      </c>
      <c r="D36" s="126">
        <v>4133</v>
      </c>
      <c r="E36" s="126">
        <v>90888</v>
      </c>
      <c r="F36" s="127">
        <v>129</v>
      </c>
      <c r="G36" s="126">
        <v>129</v>
      </c>
      <c r="H36" s="126">
        <v>96</v>
      </c>
      <c r="I36" s="126">
        <v>230</v>
      </c>
      <c r="J36" s="126">
        <v>29385</v>
      </c>
      <c r="L36" s="1"/>
      <c r="M36" s="1"/>
      <c r="O36" s="1"/>
      <c r="P36" s="1"/>
    </row>
    <row r="37" spans="1:16">
      <c r="A37" s="127">
        <v>113</v>
      </c>
      <c r="B37" s="126">
        <v>1768</v>
      </c>
      <c r="C37" s="126">
        <v>2263</v>
      </c>
      <c r="D37" s="126">
        <v>4122</v>
      </c>
      <c r="E37" s="126">
        <v>95010</v>
      </c>
      <c r="F37" s="127">
        <v>128</v>
      </c>
      <c r="G37" s="126">
        <v>2357</v>
      </c>
      <c r="H37" s="126">
        <v>1973</v>
      </c>
      <c r="I37" s="126">
        <v>4439</v>
      </c>
      <c r="J37" s="126">
        <v>33824</v>
      </c>
      <c r="L37" s="1"/>
      <c r="M37" s="1"/>
      <c r="O37" s="1"/>
      <c r="P37" s="1"/>
    </row>
    <row r="38" spans="1:16">
      <c r="A38" s="127">
        <v>112</v>
      </c>
      <c r="B38" s="126">
        <v>3764</v>
      </c>
      <c r="C38" s="126">
        <v>4586</v>
      </c>
      <c r="D38" s="126">
        <v>8529</v>
      </c>
      <c r="E38" s="126">
        <v>103539</v>
      </c>
      <c r="F38" s="127">
        <v>127</v>
      </c>
      <c r="G38" s="126">
        <v>2534</v>
      </c>
      <c r="H38" s="126">
        <v>2309</v>
      </c>
      <c r="I38" s="126">
        <v>4938</v>
      </c>
      <c r="J38" s="126">
        <v>38762</v>
      </c>
      <c r="L38" s="1"/>
      <c r="M38" s="1"/>
      <c r="O38" s="1"/>
      <c r="P38" s="1"/>
    </row>
    <row r="39" spans="1:16">
      <c r="A39" s="127">
        <v>111</v>
      </c>
      <c r="B39" s="126">
        <v>1879</v>
      </c>
      <c r="C39" s="126">
        <v>2313</v>
      </c>
      <c r="D39" s="126">
        <v>4295</v>
      </c>
      <c r="E39" s="126">
        <v>107834</v>
      </c>
      <c r="F39" s="127">
        <v>126</v>
      </c>
      <c r="G39" s="126">
        <v>284</v>
      </c>
      <c r="H39" s="126">
        <v>226</v>
      </c>
      <c r="I39" s="126">
        <v>521</v>
      </c>
      <c r="J39" s="126">
        <v>39283</v>
      </c>
      <c r="L39" s="1"/>
      <c r="M39" s="1"/>
      <c r="O39" s="1"/>
      <c r="P39" s="1"/>
    </row>
    <row r="40" spans="1:16">
      <c r="A40" s="127">
        <v>110</v>
      </c>
      <c r="B40" s="126">
        <v>1786</v>
      </c>
      <c r="C40" s="126">
        <v>2323</v>
      </c>
      <c r="D40" s="126">
        <v>4211</v>
      </c>
      <c r="E40" s="126">
        <v>112045</v>
      </c>
      <c r="F40" s="127">
        <v>125</v>
      </c>
      <c r="G40" s="126">
        <v>1046</v>
      </c>
      <c r="H40" s="126">
        <v>964</v>
      </c>
      <c r="I40" s="126">
        <v>2050</v>
      </c>
      <c r="J40" s="126">
        <v>41333</v>
      </c>
      <c r="L40" s="1"/>
      <c r="M40" s="1"/>
      <c r="O40" s="1"/>
      <c r="P40" s="1"/>
    </row>
    <row r="41" spans="1:16">
      <c r="A41" s="127">
        <v>109</v>
      </c>
      <c r="B41" s="126">
        <v>1915</v>
      </c>
      <c r="C41" s="126">
        <v>2259</v>
      </c>
      <c r="D41" s="126">
        <v>4281</v>
      </c>
      <c r="E41" s="126">
        <v>116326</v>
      </c>
      <c r="F41" s="127">
        <v>124</v>
      </c>
      <c r="G41" s="126">
        <v>2317</v>
      </c>
      <c r="H41" s="126">
        <v>2305</v>
      </c>
      <c r="I41" s="126">
        <v>4735</v>
      </c>
      <c r="J41" s="126">
        <v>46068</v>
      </c>
      <c r="L41" s="1"/>
      <c r="M41" s="1"/>
      <c r="O41" s="1"/>
      <c r="P41" s="1"/>
    </row>
    <row r="42" spans="1:16">
      <c r="A42" s="127">
        <v>108</v>
      </c>
      <c r="B42" s="126">
        <v>1880</v>
      </c>
      <c r="C42" s="126">
        <v>2306</v>
      </c>
      <c r="D42" s="126">
        <v>4275</v>
      </c>
      <c r="E42" s="126">
        <v>120601</v>
      </c>
      <c r="F42" s="127">
        <v>123</v>
      </c>
      <c r="G42" s="126">
        <v>2342</v>
      </c>
      <c r="H42" s="126">
        <v>2245</v>
      </c>
      <c r="I42" s="126">
        <v>4681</v>
      </c>
      <c r="J42" s="126">
        <v>50749</v>
      </c>
      <c r="L42" s="1"/>
      <c r="M42" s="1"/>
      <c r="O42" s="1"/>
      <c r="P42" s="1"/>
    </row>
    <row r="43" spans="1:16">
      <c r="A43" s="127">
        <v>107</v>
      </c>
      <c r="B43" s="126">
        <v>1957</v>
      </c>
      <c r="C43" s="126">
        <v>2424</v>
      </c>
      <c r="D43" s="126">
        <v>4500</v>
      </c>
      <c r="E43" s="126">
        <v>125101</v>
      </c>
      <c r="F43" s="127">
        <v>122</v>
      </c>
      <c r="G43" s="126">
        <v>612</v>
      </c>
      <c r="H43" s="126">
        <v>577</v>
      </c>
      <c r="I43" s="126">
        <v>1221</v>
      </c>
      <c r="J43" s="126">
        <v>51970</v>
      </c>
      <c r="L43" s="1"/>
      <c r="M43" s="1"/>
      <c r="O43" s="1"/>
      <c r="P43" s="1"/>
    </row>
    <row r="44" spans="1:16">
      <c r="A44" s="127">
        <v>106</v>
      </c>
      <c r="B44" s="126">
        <v>1942</v>
      </c>
      <c r="C44" s="126">
        <v>2359</v>
      </c>
      <c r="D44" s="126">
        <v>4400</v>
      </c>
      <c r="E44" s="126">
        <v>129501</v>
      </c>
      <c r="F44" s="127">
        <v>121</v>
      </c>
      <c r="G44" s="126">
        <v>1760</v>
      </c>
      <c r="H44" s="126">
        <v>1744</v>
      </c>
      <c r="I44" s="126">
        <v>3579</v>
      </c>
      <c r="J44" s="126">
        <v>55549</v>
      </c>
      <c r="L44" s="1"/>
      <c r="M44" s="1"/>
      <c r="O44" s="1"/>
      <c r="P44" s="1"/>
    </row>
    <row r="45" spans="1:16">
      <c r="A45" s="127">
        <v>105</v>
      </c>
      <c r="B45" s="126">
        <v>1924</v>
      </c>
      <c r="C45" s="126">
        <v>2376</v>
      </c>
      <c r="D45" s="126">
        <v>4414</v>
      </c>
      <c r="E45" s="126">
        <v>133915</v>
      </c>
      <c r="F45" s="127">
        <v>120</v>
      </c>
      <c r="G45" s="126">
        <v>2733</v>
      </c>
      <c r="H45" s="126">
        <v>2707</v>
      </c>
      <c r="I45" s="126">
        <v>5547</v>
      </c>
      <c r="J45" s="126">
        <v>61096</v>
      </c>
      <c r="L45" s="1"/>
      <c r="M45" s="1"/>
      <c r="O45" s="1"/>
      <c r="P45" s="1"/>
    </row>
    <row r="46" spans="1:16">
      <c r="A46" s="127">
        <v>104</v>
      </c>
      <c r="B46" s="126">
        <v>3981</v>
      </c>
      <c r="C46" s="126">
        <v>4635</v>
      </c>
      <c r="D46" s="126">
        <v>8832</v>
      </c>
      <c r="E46" s="126">
        <v>142747</v>
      </c>
      <c r="F46" s="127">
        <v>119</v>
      </c>
      <c r="G46" s="126">
        <v>1873</v>
      </c>
      <c r="H46" s="126">
        <v>1984</v>
      </c>
      <c r="I46" s="126">
        <v>3933</v>
      </c>
      <c r="J46" s="126">
        <v>65029</v>
      </c>
      <c r="L46" s="1"/>
      <c r="M46" s="1"/>
      <c r="O46" s="1"/>
      <c r="P46" s="1"/>
    </row>
    <row r="47" spans="1:16">
      <c r="A47" s="127">
        <v>103</v>
      </c>
      <c r="B47" s="126">
        <v>1979</v>
      </c>
      <c r="C47" s="126">
        <v>2343</v>
      </c>
      <c r="D47" s="126">
        <v>4441</v>
      </c>
      <c r="E47" s="126">
        <v>147188</v>
      </c>
      <c r="F47" s="127">
        <v>118</v>
      </c>
      <c r="G47" s="126">
        <v>1293</v>
      </c>
      <c r="H47" s="126">
        <v>1362</v>
      </c>
      <c r="I47" s="126">
        <v>2698</v>
      </c>
      <c r="J47" s="126">
        <v>67727</v>
      </c>
      <c r="L47" s="1"/>
      <c r="M47" s="1"/>
      <c r="O47" s="1"/>
      <c r="P47" s="1"/>
    </row>
    <row r="48" spans="1:16">
      <c r="A48" s="127">
        <v>102</v>
      </c>
      <c r="B48" s="126">
        <v>1961</v>
      </c>
      <c r="C48" s="126">
        <v>2319</v>
      </c>
      <c r="D48" s="126">
        <v>4392</v>
      </c>
      <c r="E48" s="126">
        <v>151580</v>
      </c>
      <c r="F48" s="127">
        <v>117</v>
      </c>
      <c r="G48" s="126">
        <v>2500</v>
      </c>
      <c r="H48" s="126">
        <v>2546</v>
      </c>
      <c r="I48" s="126">
        <v>5165</v>
      </c>
      <c r="J48" s="126">
        <v>72892</v>
      </c>
      <c r="L48" s="1"/>
      <c r="M48" s="1"/>
      <c r="O48" s="1"/>
      <c r="P48" s="1"/>
    </row>
    <row r="49" spans="1:16">
      <c r="A49" s="127">
        <v>101</v>
      </c>
      <c r="B49" s="126">
        <v>2049</v>
      </c>
      <c r="C49" s="126">
        <v>2299</v>
      </c>
      <c r="D49" s="126">
        <v>4467</v>
      </c>
      <c r="E49" s="126">
        <v>156047</v>
      </c>
      <c r="F49" s="127">
        <v>116</v>
      </c>
      <c r="G49" s="126">
        <v>2679</v>
      </c>
      <c r="H49" s="126">
        <v>2693</v>
      </c>
      <c r="I49" s="126">
        <v>5464</v>
      </c>
      <c r="J49" s="126">
        <v>78356</v>
      </c>
      <c r="L49" s="1"/>
      <c r="M49" s="1"/>
      <c r="O49" s="1"/>
      <c r="P49" s="1"/>
    </row>
    <row r="50" spans="1:16">
      <c r="A50" s="127">
        <v>100</v>
      </c>
      <c r="B50" s="126">
        <v>2008</v>
      </c>
      <c r="C50" s="126">
        <v>2293</v>
      </c>
      <c r="D50" s="126">
        <v>4393</v>
      </c>
      <c r="E50" s="126">
        <v>160440</v>
      </c>
      <c r="F50" s="127">
        <v>115</v>
      </c>
      <c r="G50" s="126">
        <v>1718</v>
      </c>
      <c r="H50" s="126">
        <v>1751</v>
      </c>
      <c r="I50" s="126">
        <v>3537</v>
      </c>
      <c r="J50" s="126">
        <v>81893</v>
      </c>
      <c r="L50" s="1"/>
      <c r="M50" s="1"/>
      <c r="O50" s="1"/>
      <c r="P50" s="1"/>
    </row>
    <row r="51" spans="1:16">
      <c r="A51" s="127">
        <v>99</v>
      </c>
      <c r="B51" s="126">
        <v>2064</v>
      </c>
      <c r="C51" s="126">
        <v>2424</v>
      </c>
      <c r="D51" s="126">
        <v>4617</v>
      </c>
      <c r="E51" s="126">
        <v>165057</v>
      </c>
      <c r="F51" s="127">
        <v>114</v>
      </c>
      <c r="G51" s="126">
        <v>1978</v>
      </c>
      <c r="H51" s="126">
        <v>2123</v>
      </c>
      <c r="I51" s="126">
        <v>4189</v>
      </c>
      <c r="J51" s="126">
        <v>86082</v>
      </c>
      <c r="L51" s="1"/>
      <c r="M51" s="1"/>
      <c r="O51" s="1"/>
      <c r="P51" s="1"/>
    </row>
    <row r="52" spans="1:16">
      <c r="A52" s="127">
        <v>98</v>
      </c>
      <c r="B52" s="126">
        <v>2133</v>
      </c>
      <c r="C52" s="126">
        <v>2299</v>
      </c>
      <c r="D52" s="126">
        <v>4540</v>
      </c>
      <c r="E52" s="126">
        <v>169597</v>
      </c>
      <c r="F52" s="127">
        <v>113</v>
      </c>
      <c r="G52" s="126">
        <v>2683</v>
      </c>
      <c r="H52" s="126">
        <v>2819</v>
      </c>
      <c r="I52" s="126">
        <v>5621</v>
      </c>
      <c r="J52" s="126">
        <v>91703</v>
      </c>
      <c r="L52" s="1"/>
      <c r="M52" s="1"/>
      <c r="O52" s="1"/>
      <c r="P52" s="1"/>
    </row>
    <row r="53" spans="1:16">
      <c r="A53" s="127">
        <v>97</v>
      </c>
      <c r="B53" s="126">
        <v>2060</v>
      </c>
      <c r="C53" s="126">
        <v>2303</v>
      </c>
      <c r="D53" s="126">
        <v>4479</v>
      </c>
      <c r="E53" s="126">
        <v>174076</v>
      </c>
      <c r="F53" s="127">
        <v>112</v>
      </c>
      <c r="G53" s="126">
        <v>2089</v>
      </c>
      <c r="H53" s="126">
        <v>2262</v>
      </c>
      <c r="I53" s="126">
        <v>4449</v>
      </c>
      <c r="J53" s="126">
        <v>96152</v>
      </c>
    </row>
    <row r="54" spans="1:16">
      <c r="A54" s="127">
        <v>96</v>
      </c>
      <c r="B54" s="126">
        <v>4198</v>
      </c>
      <c r="C54" s="126">
        <v>4625</v>
      </c>
      <c r="D54" s="126">
        <v>9083</v>
      </c>
      <c r="E54" s="126">
        <v>183159</v>
      </c>
      <c r="F54" s="127">
        <v>111</v>
      </c>
      <c r="G54" s="126">
        <v>1906</v>
      </c>
      <c r="H54" s="126">
        <v>2119</v>
      </c>
      <c r="I54" s="126">
        <v>4110</v>
      </c>
      <c r="J54" s="126">
        <v>100262</v>
      </c>
    </row>
    <row r="55" spans="1:16">
      <c r="A55" s="127">
        <v>95</v>
      </c>
      <c r="B55" s="126">
        <v>2145</v>
      </c>
      <c r="C55" s="126">
        <v>2285</v>
      </c>
      <c r="D55" s="126">
        <v>4556</v>
      </c>
      <c r="E55" s="126">
        <v>187715</v>
      </c>
      <c r="F55" s="127">
        <v>110</v>
      </c>
      <c r="G55" s="126">
        <v>2559</v>
      </c>
      <c r="H55" s="126">
        <v>2830</v>
      </c>
      <c r="I55" s="126">
        <v>5501</v>
      </c>
      <c r="J55" s="126">
        <v>105763</v>
      </c>
    </row>
    <row r="56" spans="1:16">
      <c r="A56" s="127">
        <v>94</v>
      </c>
      <c r="B56" s="126">
        <v>2193</v>
      </c>
      <c r="C56" s="126">
        <v>2258</v>
      </c>
      <c r="D56" s="126">
        <v>4578</v>
      </c>
      <c r="E56" s="126">
        <v>192293</v>
      </c>
      <c r="F56" s="127">
        <v>109</v>
      </c>
      <c r="G56" s="126">
        <v>2434</v>
      </c>
      <c r="H56" s="126">
        <v>2469</v>
      </c>
      <c r="I56" s="126">
        <v>5015</v>
      </c>
      <c r="J56" s="126">
        <v>110778</v>
      </c>
    </row>
    <row r="57" spans="1:16">
      <c r="A57" s="127">
        <v>93</v>
      </c>
      <c r="B57" s="126">
        <v>2187</v>
      </c>
      <c r="C57" s="126">
        <v>2288</v>
      </c>
      <c r="D57" s="126">
        <v>4594</v>
      </c>
      <c r="E57" s="126">
        <v>196887</v>
      </c>
      <c r="F57" s="127">
        <v>108</v>
      </c>
      <c r="G57" s="126">
        <v>1878</v>
      </c>
      <c r="H57" s="126">
        <v>2110</v>
      </c>
      <c r="I57" s="126">
        <v>4074</v>
      </c>
      <c r="J57" s="126">
        <v>114852</v>
      </c>
    </row>
    <row r="58" spans="1:16">
      <c r="A58" s="127">
        <v>92</v>
      </c>
      <c r="B58" s="126">
        <v>2178</v>
      </c>
      <c r="C58" s="126">
        <v>2260</v>
      </c>
      <c r="D58" s="126">
        <v>4576</v>
      </c>
      <c r="E58" s="126">
        <v>201463</v>
      </c>
      <c r="F58" s="127">
        <v>107</v>
      </c>
      <c r="G58" s="126">
        <v>2334</v>
      </c>
      <c r="H58" s="126">
        <v>2689</v>
      </c>
      <c r="I58" s="126">
        <v>5135</v>
      </c>
      <c r="J58" s="126">
        <v>119987</v>
      </c>
    </row>
    <row r="59" spans="1:16">
      <c r="A59" s="127">
        <v>91</v>
      </c>
      <c r="B59" s="126">
        <v>2212</v>
      </c>
      <c r="C59" s="126">
        <v>2268</v>
      </c>
      <c r="D59" s="126">
        <v>4639</v>
      </c>
      <c r="E59" s="126">
        <v>206102</v>
      </c>
      <c r="F59" s="127">
        <v>106</v>
      </c>
      <c r="G59" s="126">
        <v>2440</v>
      </c>
      <c r="H59" s="126">
        <v>2647</v>
      </c>
      <c r="I59" s="126">
        <v>5201</v>
      </c>
      <c r="J59" s="126">
        <v>125188</v>
      </c>
    </row>
    <row r="60" spans="1:16">
      <c r="A60" s="127">
        <v>90</v>
      </c>
      <c r="B60" s="126">
        <v>2269</v>
      </c>
      <c r="C60" s="126">
        <v>2280</v>
      </c>
      <c r="D60" s="126">
        <v>4694</v>
      </c>
      <c r="E60" s="126">
        <v>210796</v>
      </c>
      <c r="F60" s="127">
        <v>105</v>
      </c>
      <c r="G60" s="126">
        <v>1867</v>
      </c>
      <c r="H60" s="126">
        <v>2049</v>
      </c>
      <c r="I60" s="126">
        <v>4008</v>
      </c>
      <c r="J60" s="126">
        <v>129196</v>
      </c>
    </row>
    <row r="61" spans="1:16">
      <c r="A61" s="127">
        <v>89</v>
      </c>
      <c r="B61" s="126">
        <v>2463</v>
      </c>
      <c r="C61" s="126">
        <v>2309</v>
      </c>
      <c r="D61" s="126">
        <v>4949</v>
      </c>
      <c r="E61" s="126">
        <v>215745</v>
      </c>
      <c r="F61" s="127">
        <v>104</v>
      </c>
      <c r="G61" s="126">
        <v>2358</v>
      </c>
      <c r="H61" s="126">
        <v>2855</v>
      </c>
      <c r="I61" s="126">
        <v>5342</v>
      </c>
      <c r="J61" s="126">
        <v>134538</v>
      </c>
    </row>
    <row r="62" spans="1:16">
      <c r="A62" s="127">
        <v>88</v>
      </c>
      <c r="B62" s="126">
        <v>4936</v>
      </c>
      <c r="C62" s="126">
        <v>4506</v>
      </c>
      <c r="D62" s="126">
        <v>9797</v>
      </c>
      <c r="E62" s="126">
        <v>225542</v>
      </c>
      <c r="F62" s="127">
        <v>103</v>
      </c>
      <c r="G62" s="126">
        <v>2518</v>
      </c>
      <c r="H62" s="126">
        <v>2845</v>
      </c>
      <c r="I62" s="126">
        <v>5488</v>
      </c>
      <c r="J62" s="126">
        <v>140026</v>
      </c>
    </row>
    <row r="63" spans="1:16">
      <c r="A63" s="127">
        <v>87</v>
      </c>
      <c r="B63" s="126">
        <v>2566</v>
      </c>
      <c r="C63" s="126">
        <v>2225</v>
      </c>
      <c r="D63" s="126">
        <v>4986</v>
      </c>
      <c r="E63" s="126">
        <v>230528</v>
      </c>
      <c r="F63" s="127">
        <v>102</v>
      </c>
      <c r="G63" s="126">
        <v>1793</v>
      </c>
      <c r="H63" s="126">
        <v>2068</v>
      </c>
      <c r="I63" s="126">
        <v>3967</v>
      </c>
      <c r="J63" s="126">
        <v>143993</v>
      </c>
    </row>
    <row r="64" spans="1:16">
      <c r="A64" s="127">
        <v>86</v>
      </c>
      <c r="B64" s="126">
        <v>2565</v>
      </c>
      <c r="C64" s="126">
        <v>2121</v>
      </c>
      <c r="D64" s="126">
        <v>4868</v>
      </c>
      <c r="E64" s="126">
        <v>235396</v>
      </c>
      <c r="F64" s="127">
        <v>101</v>
      </c>
      <c r="G64" s="126">
        <v>2369</v>
      </c>
      <c r="H64" s="126">
        <v>2738</v>
      </c>
      <c r="I64" s="126">
        <v>5223</v>
      </c>
      <c r="J64" s="126">
        <v>149216</v>
      </c>
    </row>
    <row r="65" spans="1:10">
      <c r="A65" s="127">
        <v>85</v>
      </c>
      <c r="B65" s="126">
        <v>2830</v>
      </c>
      <c r="C65" s="126">
        <v>2263</v>
      </c>
      <c r="D65" s="126">
        <v>5298</v>
      </c>
      <c r="E65" s="126">
        <v>240694</v>
      </c>
      <c r="F65" s="127">
        <v>100</v>
      </c>
      <c r="G65" s="126">
        <v>2549</v>
      </c>
      <c r="H65" s="126">
        <v>2866</v>
      </c>
      <c r="I65" s="126">
        <v>5567</v>
      </c>
      <c r="J65" s="126">
        <v>154783</v>
      </c>
    </row>
    <row r="66" spans="1:10">
      <c r="A66" s="127">
        <v>84</v>
      </c>
      <c r="B66" s="126">
        <v>3243</v>
      </c>
      <c r="C66" s="126">
        <v>2425</v>
      </c>
      <c r="D66" s="126">
        <v>5959</v>
      </c>
      <c r="E66" s="126">
        <v>246653</v>
      </c>
      <c r="F66" s="127">
        <v>99</v>
      </c>
      <c r="G66" s="126">
        <v>1938</v>
      </c>
      <c r="H66" s="126">
        <v>2189</v>
      </c>
      <c r="I66" s="126">
        <v>4233</v>
      </c>
      <c r="J66" s="126">
        <v>159016</v>
      </c>
    </row>
    <row r="67" spans="1:10">
      <c r="A67" s="127">
        <v>83</v>
      </c>
      <c r="B67" s="126">
        <v>2985</v>
      </c>
      <c r="C67" s="126">
        <v>2103</v>
      </c>
      <c r="D67" s="126">
        <v>5318</v>
      </c>
      <c r="E67" s="126">
        <v>251971</v>
      </c>
      <c r="F67" s="127">
        <v>98</v>
      </c>
      <c r="G67" s="126">
        <v>2416</v>
      </c>
      <c r="H67" s="126">
        <v>2767</v>
      </c>
      <c r="I67" s="126">
        <v>5317</v>
      </c>
      <c r="J67" s="126">
        <v>164333</v>
      </c>
    </row>
    <row r="68" spans="1:10">
      <c r="A68" s="127">
        <v>82</v>
      </c>
      <c r="B68" s="126">
        <v>2573</v>
      </c>
      <c r="C68" s="126">
        <v>1937</v>
      </c>
      <c r="D68" s="126">
        <v>4713</v>
      </c>
      <c r="E68" s="126">
        <v>256684</v>
      </c>
      <c r="F68" s="127">
        <v>97</v>
      </c>
      <c r="G68" s="126">
        <v>2782</v>
      </c>
      <c r="H68" s="126">
        <v>3167</v>
      </c>
      <c r="I68" s="126">
        <v>6104</v>
      </c>
      <c r="J68" s="126">
        <v>170437</v>
      </c>
    </row>
    <row r="69" spans="1:10">
      <c r="A69" s="127">
        <v>81</v>
      </c>
      <c r="B69" s="126">
        <v>2991</v>
      </c>
      <c r="C69" s="126">
        <v>2041</v>
      </c>
      <c r="D69" s="126">
        <v>5261</v>
      </c>
      <c r="E69" s="126">
        <v>261945</v>
      </c>
      <c r="F69" s="127">
        <v>96</v>
      </c>
      <c r="G69" s="126">
        <v>2053</v>
      </c>
      <c r="H69" s="126">
        <v>2254</v>
      </c>
      <c r="I69" s="126">
        <v>4411</v>
      </c>
      <c r="J69" s="126">
        <v>174848</v>
      </c>
    </row>
    <row r="70" spans="1:10">
      <c r="A70" s="127">
        <v>80</v>
      </c>
      <c r="B70" s="126">
        <v>8418</v>
      </c>
      <c r="C70" s="126">
        <v>4789</v>
      </c>
      <c r="D70" s="126">
        <v>14025</v>
      </c>
      <c r="E70" s="126">
        <v>275970</v>
      </c>
      <c r="F70" s="127">
        <v>95</v>
      </c>
      <c r="G70" s="126">
        <v>2502</v>
      </c>
      <c r="H70" s="126">
        <v>2999</v>
      </c>
      <c r="I70" s="126">
        <v>5634</v>
      </c>
      <c r="J70" s="126">
        <v>180482</v>
      </c>
    </row>
    <row r="71" spans="1:10">
      <c r="A71" s="127">
        <v>79</v>
      </c>
      <c r="B71" s="126">
        <v>2974</v>
      </c>
      <c r="C71" s="126">
        <v>1721</v>
      </c>
      <c r="D71" s="126">
        <v>4960</v>
      </c>
      <c r="E71" s="126">
        <v>280930</v>
      </c>
      <c r="F71" s="127">
        <v>94</v>
      </c>
      <c r="G71" s="126">
        <v>3010</v>
      </c>
      <c r="H71" s="126">
        <v>3211</v>
      </c>
      <c r="I71" s="126">
        <v>6391</v>
      </c>
      <c r="J71" s="126">
        <v>186873</v>
      </c>
    </row>
    <row r="72" spans="1:10">
      <c r="A72" s="127">
        <v>78</v>
      </c>
      <c r="B72" s="126">
        <v>2585</v>
      </c>
      <c r="C72" s="126">
        <v>1473</v>
      </c>
      <c r="D72" s="126">
        <v>4276</v>
      </c>
      <c r="E72" s="126">
        <v>285206</v>
      </c>
      <c r="F72" s="127">
        <v>93</v>
      </c>
      <c r="G72" s="126">
        <v>2126</v>
      </c>
      <c r="H72" s="126">
        <v>2260</v>
      </c>
      <c r="I72" s="126">
        <v>4498</v>
      </c>
      <c r="J72" s="126">
        <v>191371</v>
      </c>
    </row>
    <row r="73" spans="1:10">
      <c r="A73" s="127">
        <v>77</v>
      </c>
      <c r="B73" s="126">
        <v>2594</v>
      </c>
      <c r="C73" s="126">
        <v>1512</v>
      </c>
      <c r="D73" s="126">
        <v>4297</v>
      </c>
      <c r="E73" s="126">
        <v>289503</v>
      </c>
      <c r="F73" s="127">
        <v>92</v>
      </c>
      <c r="G73" s="126">
        <v>2668</v>
      </c>
      <c r="H73" s="126">
        <v>3105</v>
      </c>
      <c r="I73" s="126">
        <v>5952</v>
      </c>
      <c r="J73" s="126">
        <v>197323</v>
      </c>
    </row>
    <row r="74" spans="1:10">
      <c r="A74" s="127">
        <v>76</v>
      </c>
      <c r="B74" s="126">
        <v>3214</v>
      </c>
      <c r="C74" s="126">
        <v>1591</v>
      </c>
      <c r="D74" s="126">
        <v>5091</v>
      </c>
      <c r="E74" s="126">
        <v>294594</v>
      </c>
      <c r="F74" s="127">
        <v>91</v>
      </c>
      <c r="G74" s="126">
        <v>3204</v>
      </c>
      <c r="H74" s="126">
        <v>3662</v>
      </c>
      <c r="I74" s="126">
        <v>7047</v>
      </c>
      <c r="J74" s="126">
        <v>204370</v>
      </c>
    </row>
    <row r="75" spans="1:10">
      <c r="A75" s="127">
        <v>75</v>
      </c>
      <c r="B75" s="126">
        <v>2491</v>
      </c>
      <c r="C75" s="126">
        <v>1289</v>
      </c>
      <c r="D75" s="126">
        <v>4014</v>
      </c>
      <c r="E75" s="126">
        <v>298608</v>
      </c>
      <c r="F75" s="127">
        <v>90</v>
      </c>
      <c r="G75" s="126">
        <v>2184</v>
      </c>
      <c r="H75" s="126">
        <v>2380</v>
      </c>
      <c r="I75" s="126">
        <v>4704</v>
      </c>
      <c r="J75" s="126">
        <v>209074</v>
      </c>
    </row>
    <row r="76" spans="1:10">
      <c r="A76" s="127">
        <v>74</v>
      </c>
      <c r="B76" s="126">
        <v>2006</v>
      </c>
      <c r="C76" s="126">
        <v>1008</v>
      </c>
      <c r="D76" s="126">
        <v>3200</v>
      </c>
      <c r="E76" s="126">
        <v>301808</v>
      </c>
      <c r="F76" s="127">
        <v>89</v>
      </c>
      <c r="G76" s="126">
        <v>2927</v>
      </c>
      <c r="H76" s="126">
        <v>3266</v>
      </c>
      <c r="I76" s="126">
        <v>6376</v>
      </c>
      <c r="J76" s="126">
        <v>215450</v>
      </c>
    </row>
    <row r="77" spans="1:10">
      <c r="A77" s="127">
        <v>73</v>
      </c>
      <c r="B77" s="126">
        <v>2251</v>
      </c>
      <c r="C77" s="126">
        <v>1164</v>
      </c>
      <c r="D77" s="126">
        <v>3638</v>
      </c>
      <c r="E77" s="126">
        <v>305446</v>
      </c>
      <c r="F77" s="127">
        <v>88</v>
      </c>
      <c r="G77" s="126">
        <v>3517</v>
      </c>
      <c r="H77" s="126">
        <v>3707</v>
      </c>
      <c r="I77" s="126">
        <v>7425</v>
      </c>
      <c r="J77" s="126">
        <v>222875</v>
      </c>
    </row>
    <row r="78" spans="1:10">
      <c r="A78" s="127">
        <v>72</v>
      </c>
      <c r="B78" s="126">
        <v>3702</v>
      </c>
      <c r="C78" s="126">
        <v>1695</v>
      </c>
      <c r="D78" s="126">
        <v>5724</v>
      </c>
      <c r="E78" s="126">
        <v>311170</v>
      </c>
      <c r="F78" s="127">
        <v>87</v>
      </c>
      <c r="G78" s="126">
        <v>2441</v>
      </c>
      <c r="H78" s="126">
        <v>2667</v>
      </c>
      <c r="I78" s="126">
        <v>5252</v>
      </c>
      <c r="J78" s="126">
        <v>228127</v>
      </c>
    </row>
    <row r="79" spans="1:10">
      <c r="A79" s="127">
        <v>71</v>
      </c>
      <c r="B79" s="126">
        <v>1295</v>
      </c>
      <c r="C79" s="126">
        <v>632</v>
      </c>
      <c r="D79" s="126">
        <v>2029</v>
      </c>
      <c r="E79" s="126">
        <v>313199</v>
      </c>
      <c r="F79" s="127">
        <v>86</v>
      </c>
      <c r="G79" s="126">
        <v>3026</v>
      </c>
      <c r="H79" s="126">
        <v>3149</v>
      </c>
      <c r="I79" s="126">
        <v>6341</v>
      </c>
      <c r="J79" s="126">
        <v>234468</v>
      </c>
    </row>
    <row r="80" spans="1:10">
      <c r="A80" s="127">
        <v>70</v>
      </c>
      <c r="B80" s="126">
        <v>5671</v>
      </c>
      <c r="C80" s="126">
        <v>2324</v>
      </c>
      <c r="D80" s="126">
        <v>8774</v>
      </c>
      <c r="E80" s="126">
        <v>321973</v>
      </c>
      <c r="F80" s="127">
        <v>85</v>
      </c>
      <c r="G80" s="126">
        <v>4093</v>
      </c>
      <c r="H80" s="126">
        <v>3777</v>
      </c>
      <c r="I80" s="126">
        <v>8150</v>
      </c>
      <c r="J80" s="126">
        <v>242618</v>
      </c>
    </row>
    <row r="81" spans="1:10">
      <c r="A81" s="127">
        <v>69</v>
      </c>
      <c r="B81" s="126">
        <v>822</v>
      </c>
      <c r="C81" s="126">
        <v>403</v>
      </c>
      <c r="D81" s="126">
        <v>1315</v>
      </c>
      <c r="E81" s="126">
        <v>323288</v>
      </c>
      <c r="F81" s="127">
        <v>84</v>
      </c>
      <c r="G81" s="126">
        <v>2722</v>
      </c>
      <c r="H81" s="126">
        <v>2814</v>
      </c>
      <c r="I81" s="126">
        <v>5711</v>
      </c>
      <c r="J81" s="126">
        <v>248329</v>
      </c>
    </row>
    <row r="82" spans="1:10">
      <c r="A82" s="127">
        <v>68</v>
      </c>
      <c r="B82" s="126">
        <v>704</v>
      </c>
      <c r="C82" s="126">
        <v>290</v>
      </c>
      <c r="D82" s="126">
        <v>1068</v>
      </c>
      <c r="E82" s="126">
        <v>324356</v>
      </c>
      <c r="F82" s="127">
        <v>83</v>
      </c>
      <c r="G82" s="126">
        <v>2755</v>
      </c>
      <c r="H82" s="126">
        <v>2941</v>
      </c>
      <c r="I82" s="126">
        <v>5848</v>
      </c>
      <c r="J82" s="126">
        <v>254177</v>
      </c>
    </row>
    <row r="83" spans="1:10">
      <c r="A83" s="127">
        <v>67</v>
      </c>
      <c r="B83" s="126">
        <v>658</v>
      </c>
      <c r="C83" s="126">
        <v>320</v>
      </c>
      <c r="D83" s="126">
        <v>1049</v>
      </c>
      <c r="E83" s="126">
        <v>325405</v>
      </c>
      <c r="F83" s="127">
        <v>82</v>
      </c>
      <c r="G83" s="126">
        <v>2916</v>
      </c>
      <c r="H83" s="126">
        <v>2813</v>
      </c>
      <c r="I83" s="126">
        <v>5916</v>
      </c>
      <c r="J83" s="126">
        <v>260093</v>
      </c>
    </row>
    <row r="84" spans="1:10">
      <c r="A84" s="127">
        <v>66</v>
      </c>
      <c r="B84" s="126">
        <v>441</v>
      </c>
      <c r="C84" s="126">
        <v>190</v>
      </c>
      <c r="D84" s="126">
        <v>685</v>
      </c>
      <c r="E84" s="126">
        <v>326090</v>
      </c>
      <c r="F84" s="127">
        <v>81</v>
      </c>
      <c r="G84" s="126">
        <v>2783</v>
      </c>
      <c r="H84" s="126">
        <v>3012</v>
      </c>
      <c r="I84" s="126">
        <v>5980</v>
      </c>
      <c r="J84" s="126">
        <v>266073</v>
      </c>
    </row>
    <row r="85" spans="1:10">
      <c r="A85" s="127">
        <v>65</v>
      </c>
      <c r="B85" s="126">
        <v>343</v>
      </c>
      <c r="C85" s="126">
        <v>153</v>
      </c>
      <c r="D85" s="126">
        <v>539</v>
      </c>
      <c r="E85" s="126">
        <v>326629</v>
      </c>
      <c r="F85" s="127">
        <v>80</v>
      </c>
      <c r="G85" s="126">
        <v>2885</v>
      </c>
      <c r="H85" s="126">
        <v>2817</v>
      </c>
      <c r="I85" s="126">
        <v>5917</v>
      </c>
      <c r="J85" s="126">
        <v>271990</v>
      </c>
    </row>
    <row r="86" spans="1:10">
      <c r="A86" s="127">
        <v>64</v>
      </c>
      <c r="B86" s="126">
        <v>398</v>
      </c>
      <c r="C86" s="126">
        <v>198</v>
      </c>
      <c r="D86" s="126">
        <v>645</v>
      </c>
      <c r="E86" s="126">
        <v>327274</v>
      </c>
      <c r="F86" s="127">
        <v>79</v>
      </c>
      <c r="G86" s="126">
        <v>2545</v>
      </c>
      <c r="H86" s="126">
        <v>2355</v>
      </c>
      <c r="I86" s="126">
        <v>5086</v>
      </c>
      <c r="J86" s="126">
        <v>277076</v>
      </c>
    </row>
    <row r="87" spans="1:10">
      <c r="A87" s="127">
        <v>63</v>
      </c>
      <c r="B87" s="126">
        <v>83</v>
      </c>
      <c r="C87" s="126">
        <v>25</v>
      </c>
      <c r="D87" s="126">
        <v>117</v>
      </c>
      <c r="E87" s="126">
        <v>327391</v>
      </c>
      <c r="F87" s="127">
        <v>78</v>
      </c>
      <c r="G87" s="126">
        <v>3153</v>
      </c>
      <c r="H87" s="126">
        <v>3136</v>
      </c>
      <c r="I87" s="126">
        <v>6508</v>
      </c>
      <c r="J87" s="126">
        <v>283584</v>
      </c>
    </row>
    <row r="88" spans="1:10">
      <c r="A88" s="127">
        <v>62</v>
      </c>
      <c r="B88" s="126">
        <v>851</v>
      </c>
      <c r="C88" s="126">
        <v>355</v>
      </c>
      <c r="D88" s="126">
        <v>1312</v>
      </c>
      <c r="E88" s="126">
        <v>328703</v>
      </c>
      <c r="F88" s="127">
        <v>77</v>
      </c>
      <c r="G88" s="126">
        <v>2437</v>
      </c>
      <c r="H88" s="126">
        <v>2183</v>
      </c>
      <c r="I88" s="126">
        <v>4783</v>
      </c>
      <c r="J88" s="126">
        <v>288367</v>
      </c>
    </row>
    <row r="89" spans="1:10">
      <c r="A89" s="127">
        <v>61</v>
      </c>
      <c r="B89" s="126">
        <v>29</v>
      </c>
      <c r="C89" s="126">
        <v>12</v>
      </c>
      <c r="D89" s="126">
        <v>46</v>
      </c>
      <c r="E89" s="126">
        <v>328749</v>
      </c>
      <c r="F89" s="127">
        <v>76</v>
      </c>
      <c r="G89" s="126">
        <v>6458</v>
      </c>
      <c r="H89" s="126">
        <v>4875</v>
      </c>
      <c r="I89" s="126">
        <v>11923</v>
      </c>
      <c r="J89" s="126">
        <v>300290</v>
      </c>
    </row>
    <row r="90" spans="1:10">
      <c r="A90" s="127">
        <v>60</v>
      </c>
      <c r="B90" s="126">
        <v>79</v>
      </c>
      <c r="C90" s="126">
        <v>44</v>
      </c>
      <c r="D90" s="126">
        <v>137</v>
      </c>
      <c r="E90" s="126">
        <v>328886</v>
      </c>
      <c r="F90" s="127">
        <v>75</v>
      </c>
      <c r="G90" s="126">
        <v>2191</v>
      </c>
      <c r="H90" s="126">
        <v>2000</v>
      </c>
      <c r="I90" s="126">
        <v>4334</v>
      </c>
      <c r="J90" s="126">
        <v>304624</v>
      </c>
    </row>
    <row r="91" spans="1:10">
      <c r="A91" s="127">
        <v>59</v>
      </c>
      <c r="B91" s="126">
        <v>14</v>
      </c>
      <c r="C91" s="126">
        <v>3</v>
      </c>
      <c r="D91" s="126">
        <v>18</v>
      </c>
      <c r="E91" s="126">
        <v>328904</v>
      </c>
      <c r="F91" s="127">
        <v>74</v>
      </c>
      <c r="G91" s="126">
        <v>1377</v>
      </c>
      <c r="H91" s="126">
        <v>1201</v>
      </c>
      <c r="I91" s="126">
        <v>2690</v>
      </c>
      <c r="J91" s="126">
        <v>307314</v>
      </c>
    </row>
    <row r="92" spans="1:10">
      <c r="A92" s="127">
        <v>58</v>
      </c>
      <c r="B92" s="126">
        <v>66</v>
      </c>
      <c r="C92" s="126">
        <v>18</v>
      </c>
      <c r="D92" s="126">
        <v>90</v>
      </c>
      <c r="E92" s="126">
        <v>328994</v>
      </c>
      <c r="F92" s="127">
        <v>73</v>
      </c>
      <c r="G92" s="126">
        <v>6692</v>
      </c>
      <c r="H92" s="126">
        <v>4117</v>
      </c>
      <c r="I92" s="126">
        <v>11474</v>
      </c>
      <c r="J92" s="126">
        <v>318788</v>
      </c>
    </row>
    <row r="93" spans="1:10">
      <c r="A93" s="127">
        <v>56</v>
      </c>
      <c r="B93" s="126">
        <v>956</v>
      </c>
      <c r="C93" s="126">
        <v>358</v>
      </c>
      <c r="D93" s="126">
        <v>1494</v>
      </c>
      <c r="E93" s="126">
        <v>330488</v>
      </c>
      <c r="F93" s="127">
        <v>72</v>
      </c>
      <c r="G93" s="126">
        <v>995</v>
      </c>
      <c r="H93" s="126">
        <v>798</v>
      </c>
      <c r="I93" s="126">
        <v>1867</v>
      </c>
      <c r="J93" s="126">
        <v>320655</v>
      </c>
    </row>
    <row r="94" spans="1:10">
      <c r="A94" s="127"/>
      <c r="B94" s="126"/>
      <c r="C94" s="126"/>
      <c r="D94" s="126"/>
      <c r="E94" s="126"/>
      <c r="F94" s="127">
        <v>71</v>
      </c>
      <c r="G94" s="126">
        <v>769</v>
      </c>
      <c r="H94" s="126">
        <v>677</v>
      </c>
      <c r="I94" s="126">
        <v>1506</v>
      </c>
      <c r="J94" s="126">
        <v>322161</v>
      </c>
    </row>
    <row r="95" spans="1:10">
      <c r="A95" s="127"/>
      <c r="B95" s="126"/>
      <c r="C95" s="126"/>
      <c r="D95" s="126"/>
      <c r="E95" s="126"/>
      <c r="F95" s="127">
        <v>70</v>
      </c>
      <c r="G95" s="126">
        <v>801</v>
      </c>
      <c r="H95" s="126">
        <v>597</v>
      </c>
      <c r="I95" s="126">
        <v>1459</v>
      </c>
      <c r="J95" s="126">
        <v>323620</v>
      </c>
    </row>
    <row r="96" spans="1:10">
      <c r="A96" s="127"/>
      <c r="B96" s="126"/>
      <c r="C96" s="126"/>
      <c r="D96" s="126"/>
      <c r="E96" s="126"/>
      <c r="F96" s="127">
        <v>69</v>
      </c>
      <c r="G96" s="126">
        <v>601</v>
      </c>
      <c r="H96" s="126">
        <v>483</v>
      </c>
      <c r="I96" s="126">
        <v>1139</v>
      </c>
      <c r="J96" s="126">
        <v>324759</v>
      </c>
    </row>
    <row r="97" spans="1:10">
      <c r="A97" s="127"/>
      <c r="B97" s="126"/>
      <c r="C97" s="126"/>
      <c r="D97" s="126"/>
      <c r="E97" s="126"/>
      <c r="F97" s="127">
        <v>68</v>
      </c>
      <c r="G97" s="126">
        <v>354</v>
      </c>
      <c r="H97" s="126">
        <v>269</v>
      </c>
      <c r="I97" s="126">
        <v>660</v>
      </c>
      <c r="J97" s="126">
        <v>325419</v>
      </c>
    </row>
    <row r="98" spans="1:10">
      <c r="A98" s="127"/>
      <c r="B98" s="126"/>
      <c r="C98" s="126"/>
      <c r="D98" s="126"/>
      <c r="E98" s="126"/>
      <c r="F98" s="127">
        <v>67</v>
      </c>
      <c r="G98" s="126">
        <v>428</v>
      </c>
      <c r="H98" s="126">
        <v>289</v>
      </c>
      <c r="I98" s="126">
        <v>765</v>
      </c>
      <c r="J98" s="126">
        <v>326184</v>
      </c>
    </row>
    <row r="99" spans="1:10">
      <c r="A99" s="127"/>
      <c r="B99" s="126"/>
      <c r="C99" s="126"/>
      <c r="D99" s="126"/>
      <c r="E99" s="126"/>
      <c r="F99" s="127">
        <v>66</v>
      </c>
      <c r="G99" s="126">
        <v>250</v>
      </c>
      <c r="H99" s="126">
        <v>174</v>
      </c>
      <c r="I99" s="126">
        <v>443</v>
      </c>
      <c r="J99" s="126">
        <v>326627</v>
      </c>
    </row>
    <row r="100" spans="1:10">
      <c r="A100" s="127"/>
      <c r="B100" s="126"/>
      <c r="C100" s="126"/>
      <c r="D100" s="126"/>
      <c r="E100" s="126"/>
      <c r="F100" s="127">
        <v>65</v>
      </c>
      <c r="G100" s="126">
        <v>119</v>
      </c>
      <c r="H100" s="126">
        <v>98</v>
      </c>
      <c r="I100" s="126">
        <v>234</v>
      </c>
      <c r="J100" s="126">
        <v>326861</v>
      </c>
    </row>
    <row r="101" spans="1:10">
      <c r="A101" s="127"/>
      <c r="B101" s="126"/>
      <c r="C101" s="126"/>
      <c r="D101" s="126"/>
      <c r="E101" s="126"/>
      <c r="F101" s="127">
        <v>63</v>
      </c>
      <c r="G101" s="126">
        <v>1153</v>
      </c>
      <c r="H101" s="126">
        <v>523</v>
      </c>
      <c r="I101" s="126">
        <v>1828</v>
      </c>
      <c r="J101" s="126">
        <v>328689</v>
      </c>
    </row>
    <row r="102" spans="1:10" ht="17.5" thickBot="1">
      <c r="A102" s="5"/>
      <c r="B102" s="7"/>
      <c r="C102" s="7"/>
      <c r="D102" s="6"/>
      <c r="F102" s="5"/>
      <c r="G102" s="7"/>
      <c r="H102" s="7"/>
      <c r="I102" s="6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4"/>
  <dimension ref="A1:Q109"/>
  <sheetViews>
    <sheetView zoomScaleNormal="100" workbookViewId="0">
      <selection activeCell="B2" sqref="B2:K108"/>
    </sheetView>
  </sheetViews>
  <sheetFormatPr defaultRowHeight="17"/>
  <cols>
    <col min="1" max="1" width="8.6640625" customWidth="1"/>
    <col min="2" max="2" width="1" customWidth="1"/>
    <col min="3" max="10" width="14.1640625" customWidth="1"/>
    <col min="11" max="11" width="1" style="2" customWidth="1"/>
    <col min="12" max="12" width="14.1640625" style="1" customWidth="1"/>
    <col min="13" max="13" width="13.75" customWidth="1"/>
    <col min="14" max="14" width="12.1640625" customWidth="1"/>
  </cols>
  <sheetData>
    <row r="1" spans="1:17">
      <c r="A1" s="2" t="s">
        <v>39</v>
      </c>
      <c r="B1" s="2"/>
      <c r="C1" s="2"/>
      <c r="D1" s="2"/>
      <c r="E1" s="2"/>
      <c r="F1" s="2"/>
      <c r="G1" s="2"/>
      <c r="H1" s="2"/>
      <c r="I1" s="2"/>
      <c r="J1" s="2"/>
      <c r="L1" s="18"/>
    </row>
    <row r="2" spans="1:17" ht="6" customHeight="1" thickBot="1">
      <c r="A2" s="2"/>
      <c r="B2" s="20"/>
      <c r="C2" s="21"/>
      <c r="D2" s="21"/>
      <c r="E2" s="21"/>
      <c r="F2" s="21"/>
      <c r="G2" s="21"/>
      <c r="H2" s="21"/>
      <c r="I2" s="21"/>
      <c r="J2" s="21"/>
      <c r="K2" s="22"/>
      <c r="L2" s="18"/>
    </row>
    <row r="3" spans="1:17" s="12" customFormat="1" ht="25" customHeight="1" thickBot="1">
      <c r="A3" s="10"/>
      <c r="B3" s="23"/>
      <c r="C3" s="38" t="s">
        <v>41</v>
      </c>
      <c r="D3" s="105" t="s">
        <v>71</v>
      </c>
      <c r="E3" s="106"/>
      <c r="F3" s="107"/>
      <c r="G3" s="38" t="s">
        <v>42</v>
      </c>
      <c r="H3" s="39" t="str">
        <f>'통계 및 응시자 수 입력 기능'!D4</f>
        <v>49.04</v>
      </c>
      <c r="I3" s="11" t="s">
        <v>43</v>
      </c>
      <c r="J3" s="40">
        <f>'통계 및 응시자 수 입력 기능'!C4</f>
        <v>330488</v>
      </c>
      <c r="K3" s="24"/>
      <c r="L3" s="13"/>
    </row>
    <row r="4" spans="1:17" s="12" customFormat="1" ht="25" customHeight="1" thickBot="1">
      <c r="A4" s="10"/>
      <c r="B4" s="23"/>
      <c r="C4" s="41" t="s">
        <v>44</v>
      </c>
      <c r="D4" s="108" t="s">
        <v>45</v>
      </c>
      <c r="E4" s="109"/>
      <c r="F4" s="110"/>
      <c r="G4" s="42" t="s">
        <v>46</v>
      </c>
      <c r="H4" s="43" t="str">
        <f>'통계 및 응시자 수 입력 기능'!E4</f>
        <v>22.50</v>
      </c>
      <c r="I4" s="102"/>
      <c r="J4" s="103"/>
      <c r="K4" s="25"/>
      <c r="L4" s="15"/>
    </row>
    <row r="5" spans="1:17" s="12" customFormat="1" ht="25" customHeight="1" thickBot="1">
      <c r="A5" s="10"/>
      <c r="B5" s="23"/>
      <c r="C5" s="13"/>
      <c r="D5" s="13"/>
      <c r="E5" s="13"/>
      <c r="F5" s="100"/>
      <c r="G5" s="111" t="s">
        <v>72</v>
      </c>
      <c r="H5" s="111"/>
      <c r="I5" s="111"/>
      <c r="J5" s="111"/>
      <c r="K5" s="26"/>
      <c r="L5" s="13"/>
    </row>
    <row r="6" spans="1:17" s="12" customFormat="1" ht="25" customHeight="1" thickBot="1">
      <c r="A6" s="10"/>
      <c r="B6" s="23"/>
      <c r="C6" s="44" t="s">
        <v>48</v>
      </c>
      <c r="D6" s="45" t="s">
        <v>49</v>
      </c>
      <c r="E6" s="45" t="s">
        <v>50</v>
      </c>
      <c r="F6" s="45" t="s">
        <v>51</v>
      </c>
      <c r="G6" s="45" t="s">
        <v>52</v>
      </c>
      <c r="H6" s="46" t="s">
        <v>53</v>
      </c>
      <c r="I6" s="46" t="s">
        <v>54</v>
      </c>
      <c r="J6" s="47" t="s">
        <v>55</v>
      </c>
      <c r="K6" s="27"/>
      <c r="L6" s="19" t="s">
        <v>38</v>
      </c>
      <c r="M6" s="13"/>
      <c r="N6" s="14"/>
    </row>
    <row r="7" spans="1:17" s="12" customFormat="1" ht="25" customHeight="1">
      <c r="A7" s="10"/>
      <c r="B7" s="23"/>
      <c r="C7" s="48">
        <v>100</v>
      </c>
      <c r="D7" s="49">
        <f>ROUND(20*(C7-$H$3)/$H$4+100,0)</f>
        <v>145</v>
      </c>
      <c r="E7" s="4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0">
        <f>ROUND(100*(1-(0+I7)/2/$J$3),2)</f>
        <v>99.87</v>
      </c>
      <c r="G7" s="51">
        <f>_xlfn.IFNA(VLOOKUP(D7,'인원 입력 기능'!$A$5:$D$103,4,FALSE),0)</f>
        <v>877</v>
      </c>
      <c r="H7" s="52">
        <f>G7/$J$3</f>
        <v>2.653651569799811E-3</v>
      </c>
      <c r="I7" s="53">
        <f>G7</f>
        <v>877</v>
      </c>
      <c r="J7" s="54">
        <f>I7/$J$3</f>
        <v>2.653651569799811E-3</v>
      </c>
      <c r="K7" s="28"/>
      <c r="L7" s="16" t="str">
        <f>IF(ABS((C7-$H$3)/$H$4*20+100-D7)&gt;0.49, "경고", "")</f>
        <v/>
      </c>
      <c r="N7" s="15"/>
      <c r="P7" s="15">
        <v>1</v>
      </c>
      <c r="Q7" s="15">
        <f>'표점등급&amp;절평인원 입력기능'!C4</f>
        <v>136</v>
      </c>
    </row>
    <row r="8" spans="1:17" s="12" customFormat="1" ht="25" customHeight="1">
      <c r="A8" s="10"/>
      <c r="B8" s="23"/>
      <c r="C8" s="55">
        <v>99</v>
      </c>
      <c r="D8" s="56" t="s">
        <v>37</v>
      </c>
      <c r="E8" s="56"/>
      <c r="F8" s="57"/>
      <c r="G8" s="58"/>
      <c r="H8" s="59"/>
      <c r="I8" s="60"/>
      <c r="J8" s="61"/>
      <c r="K8" s="29"/>
      <c r="L8" s="13"/>
      <c r="N8" s="15"/>
      <c r="P8" s="15">
        <v>2</v>
      </c>
      <c r="Q8" s="15">
        <f>'표점등급&amp;절평인원 입력기능'!C5</f>
        <v>128</v>
      </c>
    </row>
    <row r="9" spans="1:17" s="12" customFormat="1" ht="25" customHeight="1">
      <c r="A9" s="10"/>
      <c r="B9" s="23"/>
      <c r="C9" s="55">
        <v>98</v>
      </c>
      <c r="D9" s="49">
        <f>ROUND(20*(C9-$H$3)/$H$4+100,0)</f>
        <v>144</v>
      </c>
      <c r="E9" s="49">
        <f t="shared" si="0"/>
        <v>1</v>
      </c>
      <c r="F9" s="50">
        <f>IF(I8=0,ROUND(100*(1-(I7+I9)/2/$J$3),2),ROUND(100*(1-(I8+I9)/2/$J$3),2))</f>
        <v>99.55</v>
      </c>
      <c r="G9" s="51">
        <f>_xlfn.IFNA(VLOOKUP(D9,'인원 입력 기능'!$A$5:$D$103,4,FALSE),0)</f>
        <v>1243</v>
      </c>
      <c r="H9" s="52">
        <f>G9/$J$3</f>
        <v>3.7611047904916365E-3</v>
      </c>
      <c r="I9" s="62">
        <f>SUM($G$7:G9)</f>
        <v>2120</v>
      </c>
      <c r="J9" s="54">
        <f>I9/$J$3</f>
        <v>6.4147563602914475E-3</v>
      </c>
      <c r="K9" s="28"/>
      <c r="L9" s="16" t="str">
        <f t="shared" ref="L9:L40" si="1">IF(ABS((C9-$H$3)/$H$4*20+100-D9)&gt;0.49, "경고", "")</f>
        <v/>
      </c>
      <c r="N9" s="15"/>
      <c r="P9" s="15">
        <v>3</v>
      </c>
      <c r="Q9" s="15">
        <f>'표점등급&amp;절평인원 입력기능'!C6</f>
        <v>117</v>
      </c>
    </row>
    <row r="10" spans="1:17" s="12" customFormat="1" ht="25" customHeight="1">
      <c r="A10" s="10"/>
      <c r="B10" s="23"/>
      <c r="C10" s="55">
        <v>97</v>
      </c>
      <c r="D10" s="49">
        <f t="shared" ref="D10:D73" si="2">ROUND(20*(C10-$H$3)/$H$4+100,0)</f>
        <v>143</v>
      </c>
      <c r="E10" s="49">
        <f t="shared" si="0"/>
        <v>1</v>
      </c>
      <c r="F10" s="50">
        <f t="shared" ref="F10:F73" si="3">IF(I9=0,ROUND(100*(1-(I8+I10)/2/$J$3),2),ROUND(100*(1-(I9+I10)/2/$J$3),2))</f>
        <v>99.26</v>
      </c>
      <c r="G10" s="51">
        <f>IF(D10=D9,"",_xlfn.IFNA(VLOOKUP(D10,'인원 입력 기능'!$A$5:$D$103,4,FALSE),0))</f>
        <v>626</v>
      </c>
      <c r="H10" s="52">
        <f t="shared" ref="H10:H73" si="4">G10/$J$3</f>
        <v>1.8941686233690785E-3</v>
      </c>
      <c r="I10" s="62">
        <f>SUM($G$7:G10)</f>
        <v>2746</v>
      </c>
      <c r="J10" s="54">
        <f t="shared" ref="J10:J73" si="5">I10/$J$3</f>
        <v>8.3089249836605268E-3</v>
      </c>
      <c r="K10" s="28"/>
      <c r="L10" s="16" t="str">
        <f t="shared" si="1"/>
        <v/>
      </c>
      <c r="N10" s="15"/>
      <c r="P10" s="15">
        <v>4</v>
      </c>
      <c r="Q10" s="15">
        <f>'표점등급&amp;절평인원 입력기능'!C7</f>
        <v>105</v>
      </c>
    </row>
    <row r="11" spans="1:17" s="12" customFormat="1" ht="25" customHeight="1">
      <c r="A11" s="10"/>
      <c r="B11" s="23"/>
      <c r="C11" s="55">
        <v>96</v>
      </c>
      <c r="D11" s="49">
        <f t="shared" si="2"/>
        <v>142</v>
      </c>
      <c r="E11" s="49">
        <f t="shared" si="0"/>
        <v>1</v>
      </c>
      <c r="F11" s="50">
        <f t="shared" si="3"/>
        <v>99.02</v>
      </c>
      <c r="G11" s="51">
        <f>IF(D11=D10,"",_xlfn.IFNA(VLOOKUP(D11,'인원 입력 기능'!$A$5:$D$103,4,FALSE),0))</f>
        <v>990</v>
      </c>
      <c r="H11" s="52">
        <f t="shared" si="4"/>
        <v>2.9955701871172326E-3</v>
      </c>
      <c r="I11" s="62">
        <f>SUM($G$7:G11)</f>
        <v>3736</v>
      </c>
      <c r="J11" s="54">
        <f t="shared" si="5"/>
        <v>1.1304495170777759E-2</v>
      </c>
      <c r="K11" s="28"/>
      <c r="L11" s="16" t="str">
        <f t="shared" si="1"/>
        <v/>
      </c>
      <c r="N11" s="15"/>
      <c r="P11" s="15">
        <v>5</v>
      </c>
      <c r="Q11" s="15">
        <f>'표점등급&amp;절평인원 입력기능'!C8</f>
        <v>92</v>
      </c>
    </row>
    <row r="12" spans="1:17" s="12" customFormat="1" ht="25" customHeight="1">
      <c r="A12" s="10"/>
      <c r="B12" s="23"/>
      <c r="C12" s="55">
        <v>95</v>
      </c>
      <c r="D12" s="49">
        <f t="shared" si="2"/>
        <v>141</v>
      </c>
      <c r="E12" s="49">
        <f t="shared" si="0"/>
        <v>1</v>
      </c>
      <c r="F12" s="50">
        <f t="shared" si="3"/>
        <v>98.66</v>
      </c>
      <c r="G12" s="51">
        <f>IF(D12=D11,"",_xlfn.IFNA(VLOOKUP(D12,'인원 입력 기능'!$A$5:$D$103,4,FALSE),0))</f>
        <v>1392</v>
      </c>
      <c r="H12" s="52">
        <f t="shared" si="4"/>
        <v>4.2119532327951391E-3</v>
      </c>
      <c r="I12" s="62">
        <f>SUM($G$7:G12)</f>
        <v>5128</v>
      </c>
      <c r="J12" s="54">
        <f t="shared" si="5"/>
        <v>1.5516448403572898E-2</v>
      </c>
      <c r="K12" s="28"/>
      <c r="L12" s="16" t="str">
        <f t="shared" si="1"/>
        <v/>
      </c>
      <c r="N12" s="15"/>
      <c r="P12" s="15">
        <v>6</v>
      </c>
      <c r="Q12" s="15">
        <f>'표점등급&amp;절평인원 입력기능'!C9</f>
        <v>82</v>
      </c>
    </row>
    <row r="13" spans="1:17" s="12" customFormat="1" ht="25" customHeight="1">
      <c r="A13" s="10"/>
      <c r="B13" s="23"/>
      <c r="C13" s="55">
        <v>94</v>
      </c>
      <c r="D13" s="49">
        <f t="shared" si="2"/>
        <v>140</v>
      </c>
      <c r="E13" s="49">
        <f t="shared" si="0"/>
        <v>1</v>
      </c>
      <c r="F13" s="50">
        <f t="shared" si="3"/>
        <v>98.3</v>
      </c>
      <c r="G13" s="51">
        <f>IF(D13=D12,"",_xlfn.IFNA(VLOOKUP(D13,'인원 입력 기능'!$A$5:$D$103,4,FALSE),0))</f>
        <v>965</v>
      </c>
      <c r="H13" s="52">
        <f t="shared" si="4"/>
        <v>2.919924475321343E-3</v>
      </c>
      <c r="I13" s="62">
        <f>SUM($G$7:G13)</f>
        <v>6093</v>
      </c>
      <c r="J13" s="54">
        <f t="shared" si="5"/>
        <v>1.8436372878894242E-2</v>
      </c>
      <c r="K13" s="28"/>
      <c r="L13" s="16" t="str">
        <f t="shared" si="1"/>
        <v/>
      </c>
      <c r="N13" s="15"/>
      <c r="P13" s="15">
        <v>7</v>
      </c>
      <c r="Q13" s="15">
        <f>'표점등급&amp;절평인원 입력기능'!C10</f>
        <v>76</v>
      </c>
    </row>
    <row r="14" spans="1:17" s="12" customFormat="1" ht="25" customHeight="1">
      <c r="A14" s="10"/>
      <c r="B14" s="23"/>
      <c r="C14" s="55">
        <v>93</v>
      </c>
      <c r="D14" s="49">
        <f t="shared" si="2"/>
        <v>139</v>
      </c>
      <c r="E14" s="49">
        <f t="shared" si="0"/>
        <v>1</v>
      </c>
      <c r="F14" s="50">
        <f t="shared" si="3"/>
        <v>97.91</v>
      </c>
      <c r="G14" s="51">
        <f>IF(D14=D13,"",_xlfn.IFNA(VLOOKUP(D14,'인원 입력 기능'!$A$5:$D$103,4,FALSE),0))</f>
        <v>1661</v>
      </c>
      <c r="H14" s="52">
        <f t="shared" si="4"/>
        <v>5.025901091718913E-3</v>
      </c>
      <c r="I14" s="62">
        <f>SUM($G$7:G14)</f>
        <v>7754</v>
      </c>
      <c r="J14" s="54">
        <f t="shared" si="5"/>
        <v>2.3462273970613155E-2</v>
      </c>
      <c r="K14" s="28"/>
      <c r="L14" s="16" t="str">
        <f t="shared" si="1"/>
        <v/>
      </c>
      <c r="N14" s="15"/>
      <c r="P14" s="15">
        <v>8</v>
      </c>
      <c r="Q14" s="15">
        <f>'표점등급&amp;절평인원 입력기능'!C11</f>
        <v>70</v>
      </c>
    </row>
    <row r="15" spans="1:17" s="12" customFormat="1" ht="25" customHeight="1">
      <c r="A15" s="10"/>
      <c r="B15" s="23"/>
      <c r="C15" s="55">
        <v>92</v>
      </c>
      <c r="D15" s="49">
        <f t="shared" si="2"/>
        <v>138</v>
      </c>
      <c r="E15" s="49">
        <f t="shared" si="0"/>
        <v>1</v>
      </c>
      <c r="F15" s="50">
        <f t="shared" si="3"/>
        <v>97.44</v>
      </c>
      <c r="G15" s="51">
        <f>IF(D15=D14,"",_xlfn.IFNA(VLOOKUP(D15,'인원 입력 기능'!$A$5:$D$103,4,FALSE),0))</f>
        <v>1421</v>
      </c>
      <c r="H15" s="52">
        <f t="shared" si="4"/>
        <v>4.2997022584783714E-3</v>
      </c>
      <c r="I15" s="62">
        <f>SUM($G$7:G15)</f>
        <v>9175</v>
      </c>
      <c r="J15" s="54">
        <f t="shared" si="5"/>
        <v>2.7761976229091524E-2</v>
      </c>
      <c r="K15" s="28"/>
      <c r="L15" s="16" t="str">
        <f t="shared" si="1"/>
        <v/>
      </c>
      <c r="N15" s="15"/>
      <c r="P15" s="15">
        <v>9</v>
      </c>
      <c r="Q15" s="15"/>
    </row>
    <row r="16" spans="1:17" s="12" customFormat="1" ht="25" customHeight="1">
      <c r="A16" s="10"/>
      <c r="B16" s="23"/>
      <c r="C16" s="63">
        <v>91</v>
      </c>
      <c r="D16" s="49">
        <f t="shared" si="2"/>
        <v>137</v>
      </c>
      <c r="E16" s="64">
        <f t="shared" si="0"/>
        <v>1</v>
      </c>
      <c r="F16" s="50">
        <f t="shared" si="3"/>
        <v>96.94</v>
      </c>
      <c r="G16" s="51">
        <f>IF(D16=D15,"",_xlfn.IFNA(VLOOKUP(D16,'인원 입력 기능'!$A$5:$D$103,4,FALSE),0))</f>
        <v>1857</v>
      </c>
      <c r="H16" s="52">
        <f t="shared" si="4"/>
        <v>5.6189634721986884E-3</v>
      </c>
      <c r="I16" s="65">
        <f>SUM($G$7:G16)</f>
        <v>11032</v>
      </c>
      <c r="J16" s="54">
        <f t="shared" si="5"/>
        <v>3.3380939701290212E-2</v>
      </c>
      <c r="K16" s="28"/>
      <c r="L16" s="16" t="str">
        <f t="shared" si="1"/>
        <v/>
      </c>
      <c r="N16" s="15"/>
    </row>
    <row r="17" spans="1:17" s="12" customFormat="1" ht="25" customHeight="1">
      <c r="A17" s="10"/>
      <c r="B17" s="23"/>
      <c r="C17" s="63">
        <v>90</v>
      </c>
      <c r="D17" s="118">
        <f t="shared" si="2"/>
        <v>136</v>
      </c>
      <c r="E17" s="116">
        <f t="shared" si="0"/>
        <v>1</v>
      </c>
      <c r="F17" s="123">
        <f t="shared" si="3"/>
        <v>96.1</v>
      </c>
      <c r="G17" s="122">
        <f>IF(D17=D16,"",_xlfn.IFNA(VLOOKUP(D17,'인원 입력 기능'!$A$5:$D$103,4,FALSE),0))</f>
        <v>3704</v>
      </c>
      <c r="H17" s="128">
        <f t="shared" si="4"/>
        <v>1.120766865967902E-2</v>
      </c>
      <c r="I17" s="130">
        <f>SUM($G$7:G17)</f>
        <v>14736</v>
      </c>
      <c r="J17" s="132">
        <f t="shared" si="5"/>
        <v>4.4588608360969235E-2</v>
      </c>
      <c r="K17" s="28"/>
      <c r="L17" s="16" t="str">
        <f t="shared" si="1"/>
        <v/>
      </c>
      <c r="N17" s="15"/>
      <c r="Q17" s="12">
        <f>IF(H3*H4*J3*Q7=0, 0, 1)</f>
        <v>1</v>
      </c>
    </row>
    <row r="18" spans="1:17" s="12" customFormat="1" ht="25" customHeight="1">
      <c r="A18" s="10"/>
      <c r="B18" s="23"/>
      <c r="C18" s="63">
        <v>89</v>
      </c>
      <c r="D18" s="119"/>
      <c r="E18" s="117"/>
      <c r="F18" s="115"/>
      <c r="G18" s="114"/>
      <c r="H18" s="129"/>
      <c r="I18" s="131"/>
      <c r="J18" s="133"/>
      <c r="K18" s="28"/>
      <c r="L18" s="16" t="str">
        <f t="shared" si="1"/>
        <v>경고</v>
      </c>
      <c r="N18" s="15"/>
    </row>
    <row r="19" spans="1:17" s="12" customFormat="1" ht="25" customHeight="1">
      <c r="A19" s="10"/>
      <c r="B19" s="23"/>
      <c r="C19" s="63">
        <v>88</v>
      </c>
      <c r="D19" s="49">
        <f t="shared" si="2"/>
        <v>135</v>
      </c>
      <c r="E19" s="64">
        <f t="shared" si="0"/>
        <v>2</v>
      </c>
      <c r="F19" s="50">
        <f t="shared" si="3"/>
        <v>95.21</v>
      </c>
      <c r="G19" s="51">
        <f>IF(D19=D18,"",_xlfn.IFNA(VLOOKUP(D19,'인원 입력 기능'!$A$5:$D$103,4,FALSE),0))</f>
        <v>2191</v>
      </c>
      <c r="H19" s="52">
        <f t="shared" si="4"/>
        <v>6.6295901817917747E-3</v>
      </c>
      <c r="I19" s="65">
        <f>SUM($G$7:G19)</f>
        <v>16927</v>
      </c>
      <c r="J19" s="54">
        <f t="shared" si="5"/>
        <v>5.1218198542761009E-2</v>
      </c>
      <c r="K19" s="28"/>
      <c r="L19" s="16" t="str">
        <f t="shared" si="1"/>
        <v/>
      </c>
      <c r="N19" s="101"/>
    </row>
    <row r="20" spans="1:17" s="12" customFormat="1" ht="25" customHeight="1">
      <c r="A20" s="10"/>
      <c r="B20" s="23"/>
      <c r="C20" s="63">
        <v>87</v>
      </c>
      <c r="D20" s="49">
        <f t="shared" si="2"/>
        <v>134</v>
      </c>
      <c r="E20" s="64">
        <f t="shared" si="0"/>
        <v>2</v>
      </c>
      <c r="F20" s="50">
        <f t="shared" si="3"/>
        <v>94.57</v>
      </c>
      <c r="G20" s="51">
        <f>IF(D20=D19,"",_xlfn.IFNA(VLOOKUP(D20,'인원 입력 기능'!$A$5:$D$103,4,FALSE),0))</f>
        <v>2058</v>
      </c>
      <c r="H20" s="52">
        <f t="shared" si="4"/>
        <v>6.2271549950376412E-3</v>
      </c>
      <c r="I20" s="65">
        <f>SUM($G$7:G20)</f>
        <v>18985</v>
      </c>
      <c r="J20" s="54">
        <f t="shared" si="5"/>
        <v>5.744535353779865E-2</v>
      </c>
      <c r="K20" s="28"/>
      <c r="L20" s="16" t="str">
        <f t="shared" si="1"/>
        <v/>
      </c>
      <c r="N20" s="101"/>
    </row>
    <row r="21" spans="1:17" s="12" customFormat="1" ht="25" customHeight="1">
      <c r="A21" s="10"/>
      <c r="B21" s="23"/>
      <c r="C21" s="63">
        <v>86</v>
      </c>
      <c r="D21" s="49">
        <f t="shared" si="2"/>
        <v>133</v>
      </c>
      <c r="E21" s="64">
        <f t="shared" si="0"/>
        <v>2</v>
      </c>
      <c r="F21" s="50">
        <f t="shared" si="3"/>
        <v>93.91</v>
      </c>
      <c r="G21" s="51">
        <f>IF(D21=D20,"",_xlfn.IFNA(VLOOKUP(D21,'인원 입력 기능'!$A$5:$D$103,4,FALSE),0))</f>
        <v>2311</v>
      </c>
      <c r="H21" s="52">
        <f t="shared" si="4"/>
        <v>6.9926895984120455E-3</v>
      </c>
      <c r="I21" s="65">
        <f>SUM($G$7:G21)</f>
        <v>21296</v>
      </c>
      <c r="J21" s="54">
        <f t="shared" si="5"/>
        <v>6.4438043136210696E-2</v>
      </c>
      <c r="K21" s="28"/>
      <c r="L21" s="16" t="str">
        <f t="shared" si="1"/>
        <v/>
      </c>
      <c r="N21" s="15"/>
    </row>
    <row r="22" spans="1:17" s="12" customFormat="1" ht="25" customHeight="1">
      <c r="A22" s="10"/>
      <c r="B22" s="23"/>
      <c r="C22" s="63">
        <v>85</v>
      </c>
      <c r="D22" s="49">
        <f t="shared" si="2"/>
        <v>132</v>
      </c>
      <c r="E22" s="64">
        <f t="shared" si="0"/>
        <v>2</v>
      </c>
      <c r="F22" s="50">
        <f t="shared" si="3"/>
        <v>93.21</v>
      </c>
      <c r="G22" s="51">
        <f>IF(D22=D21,"",_xlfn.IFNA(VLOOKUP(D22,'인원 입력 기능'!$A$5:$D$103,4,FALSE),0))</f>
        <v>2286</v>
      </c>
      <c r="H22" s="52">
        <f t="shared" si="4"/>
        <v>6.9170438866161558E-3</v>
      </c>
      <c r="I22" s="65">
        <f>SUM($G$7:G22)</f>
        <v>23582</v>
      </c>
      <c r="J22" s="54">
        <f t="shared" si="5"/>
        <v>7.1355087022826849E-2</v>
      </c>
      <c r="K22" s="28"/>
      <c r="L22" s="16" t="str">
        <f t="shared" si="1"/>
        <v/>
      </c>
      <c r="N22" s="15"/>
    </row>
    <row r="23" spans="1:17" s="12" customFormat="1" ht="25" customHeight="1">
      <c r="A23" s="10"/>
      <c r="B23" s="23"/>
      <c r="C23" s="63">
        <v>84</v>
      </c>
      <c r="D23" s="49">
        <f t="shared" si="2"/>
        <v>131</v>
      </c>
      <c r="E23" s="64">
        <f t="shared" si="0"/>
        <v>2</v>
      </c>
      <c r="F23" s="50">
        <f t="shared" si="3"/>
        <v>92.49</v>
      </c>
      <c r="G23" s="51">
        <f>IF(D23=D22,"",_xlfn.IFNA(VLOOKUP(D23,'인원 입력 기능'!$A$5:$D$103,4,FALSE),0))</f>
        <v>2505</v>
      </c>
      <c r="H23" s="52">
        <f t="shared" si="4"/>
        <v>7.5797003219481495E-3</v>
      </c>
      <c r="I23" s="65">
        <f>SUM($G$7:G23)</f>
        <v>26087</v>
      </c>
      <c r="J23" s="54">
        <f t="shared" si="5"/>
        <v>7.8934787344774993E-2</v>
      </c>
      <c r="K23" s="28"/>
      <c r="L23" s="16" t="str">
        <f t="shared" si="1"/>
        <v/>
      </c>
      <c r="N23" s="15"/>
    </row>
    <row r="24" spans="1:17" s="12" customFormat="1" ht="25" customHeight="1">
      <c r="A24" s="10"/>
      <c r="B24" s="23"/>
      <c r="C24" s="63">
        <v>83</v>
      </c>
      <c r="D24" s="49">
        <f t="shared" si="2"/>
        <v>130</v>
      </c>
      <c r="E24" s="64">
        <f t="shared" si="0"/>
        <v>2</v>
      </c>
      <c r="F24" s="50">
        <f t="shared" si="3"/>
        <v>91.72</v>
      </c>
      <c r="G24" s="51">
        <f>IF(D24=D23,"",_xlfn.IFNA(VLOOKUP(D24,'인원 입력 기능'!$A$5:$D$103,4,FALSE),0))</f>
        <v>2585</v>
      </c>
      <c r="H24" s="52">
        <f t="shared" si="4"/>
        <v>7.8217665996949959E-3</v>
      </c>
      <c r="I24" s="65">
        <f>SUM($G$7:G24)</f>
        <v>28672</v>
      </c>
      <c r="J24" s="54">
        <f t="shared" si="5"/>
        <v>8.6756553944470002E-2</v>
      </c>
      <c r="K24" s="28"/>
      <c r="L24" s="16" t="str">
        <f t="shared" si="1"/>
        <v/>
      </c>
      <c r="N24" s="15"/>
    </row>
    <row r="25" spans="1:17" s="12" customFormat="1" ht="25" customHeight="1">
      <c r="A25" s="10"/>
      <c r="B25" s="23"/>
      <c r="C25" s="63">
        <v>82</v>
      </c>
      <c r="D25" s="49">
        <f t="shared" si="2"/>
        <v>129</v>
      </c>
      <c r="E25" s="64">
        <f t="shared" si="0"/>
        <v>2</v>
      </c>
      <c r="F25" s="50">
        <f t="shared" si="3"/>
        <v>90.92</v>
      </c>
      <c r="G25" s="51">
        <f>IF(D25=D24,"",_xlfn.IFNA(VLOOKUP(D25,'인원 입력 기능'!$A$5:$D$103,4,FALSE),0))</f>
        <v>2656</v>
      </c>
      <c r="H25" s="52">
        <f t="shared" si="4"/>
        <v>8.0366004211953231E-3</v>
      </c>
      <c r="I25" s="65">
        <f>SUM($G$7:G25)</f>
        <v>31328</v>
      </c>
      <c r="J25" s="54">
        <f t="shared" si="5"/>
        <v>9.4793154365665322E-2</v>
      </c>
      <c r="K25" s="28"/>
      <c r="L25" s="16" t="str">
        <f t="shared" si="1"/>
        <v/>
      </c>
      <c r="N25" s="15"/>
    </row>
    <row r="26" spans="1:17" s="12" customFormat="1" ht="25" customHeight="1">
      <c r="A26" s="10"/>
      <c r="B26" s="23"/>
      <c r="C26" s="63">
        <v>81</v>
      </c>
      <c r="D26" s="118">
        <f t="shared" si="2"/>
        <v>128</v>
      </c>
      <c r="E26" s="116">
        <f t="shared" si="0"/>
        <v>2</v>
      </c>
      <c r="F26" s="123">
        <f t="shared" si="3"/>
        <v>89.66</v>
      </c>
      <c r="G26" s="122">
        <f>IF(D26=D25,"",_xlfn.IFNA(VLOOKUP(D26,'인원 입력 기능'!$A$5:$D$103,4,FALSE),0))</f>
        <v>5694</v>
      </c>
      <c r="H26" s="128">
        <f t="shared" si="4"/>
        <v>1.722906731863184E-2</v>
      </c>
      <c r="I26" s="130">
        <f>SUM($G$7:G26)</f>
        <v>37022</v>
      </c>
      <c r="J26" s="132">
        <f t="shared" si="5"/>
        <v>0.11202222168429717</v>
      </c>
      <c r="K26" s="28"/>
      <c r="L26" s="16" t="str">
        <f t="shared" si="1"/>
        <v/>
      </c>
      <c r="N26" s="15"/>
    </row>
    <row r="27" spans="1:17" s="12" customFormat="1" ht="25" customHeight="1">
      <c r="A27" s="10"/>
      <c r="B27" s="23"/>
      <c r="C27" s="63">
        <v>80</v>
      </c>
      <c r="D27" s="119"/>
      <c r="E27" s="117"/>
      <c r="F27" s="115"/>
      <c r="G27" s="114"/>
      <c r="H27" s="129"/>
      <c r="I27" s="131"/>
      <c r="J27" s="133"/>
      <c r="K27" s="28"/>
      <c r="L27" s="16" t="str">
        <f t="shared" si="1"/>
        <v>경고</v>
      </c>
      <c r="N27" s="15"/>
    </row>
    <row r="28" spans="1:17" s="12" customFormat="1" ht="25" customHeight="1">
      <c r="A28" s="10"/>
      <c r="B28" s="23"/>
      <c r="C28" s="63">
        <v>79</v>
      </c>
      <c r="D28" s="49">
        <f t="shared" si="2"/>
        <v>127</v>
      </c>
      <c r="E28" s="64">
        <f t="shared" si="0"/>
        <v>3</v>
      </c>
      <c r="F28" s="50">
        <f t="shared" si="3"/>
        <v>88.34</v>
      </c>
      <c r="G28" s="51">
        <f>IF(D28=D27,"",_xlfn.IFNA(VLOOKUP(D28,'인원 입력 기능'!$A$5:$D$103,4,FALSE),0))</f>
        <v>3049</v>
      </c>
      <c r="H28" s="52">
        <f t="shared" si="4"/>
        <v>9.2257510106267104E-3</v>
      </c>
      <c r="I28" s="65">
        <f>SUM($G$7:G28)</f>
        <v>40071</v>
      </c>
      <c r="J28" s="54">
        <f t="shared" si="5"/>
        <v>0.12124797269492386</v>
      </c>
      <c r="K28" s="28"/>
      <c r="L28" s="16" t="str">
        <f t="shared" si="1"/>
        <v/>
      </c>
      <c r="N28" s="15"/>
    </row>
    <row r="29" spans="1:17" s="12" customFormat="1" ht="25" customHeight="1">
      <c r="A29" s="10"/>
      <c r="B29" s="23"/>
      <c r="C29" s="63">
        <v>78</v>
      </c>
      <c r="D29" s="49">
        <f t="shared" si="2"/>
        <v>126</v>
      </c>
      <c r="E29" s="64">
        <f t="shared" si="0"/>
        <v>3</v>
      </c>
      <c r="F29" s="50">
        <f t="shared" si="3"/>
        <v>87.42</v>
      </c>
      <c r="G29" s="51">
        <f>IF(D29=D28,"",_xlfn.IFNA(VLOOKUP(D29,'인원 입력 기능'!$A$5:$D$103,4,FALSE),0))</f>
        <v>3039</v>
      </c>
      <c r="H29" s="52">
        <f t="shared" si="4"/>
        <v>9.1954927259083538E-3</v>
      </c>
      <c r="I29" s="65">
        <f>SUM($G$7:G29)</f>
        <v>43110</v>
      </c>
      <c r="J29" s="54">
        <f t="shared" si="5"/>
        <v>0.13044346542083221</v>
      </c>
      <c r="K29" s="28"/>
      <c r="L29" s="16" t="str">
        <f t="shared" si="1"/>
        <v/>
      </c>
      <c r="N29" s="15"/>
    </row>
    <row r="30" spans="1:17" s="12" customFormat="1" ht="25" customHeight="1">
      <c r="A30" s="10"/>
      <c r="B30" s="23"/>
      <c r="C30" s="63">
        <v>77</v>
      </c>
      <c r="D30" s="49">
        <f t="shared" si="2"/>
        <v>125</v>
      </c>
      <c r="E30" s="64">
        <f t="shared" si="0"/>
        <v>3</v>
      </c>
      <c r="F30" s="50">
        <f t="shared" si="3"/>
        <v>86.44</v>
      </c>
      <c r="G30" s="51">
        <f>IF(D30=D29,"",_xlfn.IFNA(VLOOKUP(D30,'인원 입력 기능'!$A$5:$D$103,4,FALSE),0))</f>
        <v>3380</v>
      </c>
      <c r="H30" s="52">
        <f t="shared" si="4"/>
        <v>1.0227300234804289E-2</v>
      </c>
      <c r="I30" s="65">
        <f>SUM($G$7:G30)</f>
        <v>46490</v>
      </c>
      <c r="J30" s="54">
        <f t="shared" si="5"/>
        <v>0.14067076565563652</v>
      </c>
      <c r="K30" s="28"/>
      <c r="L30" s="16" t="str">
        <f t="shared" si="1"/>
        <v/>
      </c>
      <c r="N30" s="15"/>
    </row>
    <row r="31" spans="1:17" s="12" customFormat="1" ht="25" customHeight="1">
      <c r="A31" s="10"/>
      <c r="B31" s="23"/>
      <c r="C31" s="63">
        <v>76</v>
      </c>
      <c r="D31" s="49">
        <f t="shared" si="2"/>
        <v>124</v>
      </c>
      <c r="E31" s="64">
        <f t="shared" si="0"/>
        <v>3</v>
      </c>
      <c r="F31" s="50">
        <f t="shared" si="3"/>
        <v>85.43</v>
      </c>
      <c r="G31" s="51">
        <f>IF(D31=D30,"",_xlfn.IFNA(VLOOKUP(D31,'인원 입력 기능'!$A$5:$D$103,4,FALSE),0))</f>
        <v>3323</v>
      </c>
      <c r="H31" s="52">
        <f t="shared" si="4"/>
        <v>1.0054828011909661E-2</v>
      </c>
      <c r="I31" s="65">
        <f>SUM($G$7:G31)</f>
        <v>49813</v>
      </c>
      <c r="J31" s="54">
        <f t="shared" si="5"/>
        <v>0.15072559366754618</v>
      </c>
      <c r="K31" s="28"/>
      <c r="L31" s="16" t="str">
        <f t="shared" si="1"/>
        <v/>
      </c>
      <c r="N31" s="15"/>
    </row>
    <row r="32" spans="1:17" s="12" customFormat="1" ht="25" customHeight="1">
      <c r="A32" s="10"/>
      <c r="B32" s="23"/>
      <c r="C32" s="63">
        <v>75</v>
      </c>
      <c r="D32" s="49">
        <f t="shared" si="2"/>
        <v>123</v>
      </c>
      <c r="E32" s="64">
        <f t="shared" si="0"/>
        <v>3</v>
      </c>
      <c r="F32" s="50">
        <f t="shared" si="3"/>
        <v>84.4</v>
      </c>
      <c r="G32" s="51">
        <f>IF(D32=D31,"",_xlfn.IFNA(VLOOKUP(D32,'인원 입력 기능'!$A$5:$D$103,4,FALSE),0))</f>
        <v>3518</v>
      </c>
      <c r="H32" s="52">
        <f t="shared" si="4"/>
        <v>1.0644864563917601E-2</v>
      </c>
      <c r="I32" s="65">
        <f>SUM($G$7:G32)</f>
        <v>53331</v>
      </c>
      <c r="J32" s="54">
        <f t="shared" si="5"/>
        <v>0.16137045823146379</v>
      </c>
      <c r="K32" s="28"/>
      <c r="L32" s="16" t="str">
        <f t="shared" si="1"/>
        <v/>
      </c>
      <c r="N32" s="15"/>
    </row>
    <row r="33" spans="1:14" s="12" customFormat="1" ht="25" customHeight="1">
      <c r="A33" s="10"/>
      <c r="B33" s="23"/>
      <c r="C33" s="63">
        <v>74</v>
      </c>
      <c r="D33" s="49">
        <f t="shared" si="2"/>
        <v>122</v>
      </c>
      <c r="E33" s="64">
        <f t="shared" si="0"/>
        <v>3</v>
      </c>
      <c r="F33" s="50">
        <f t="shared" si="3"/>
        <v>83.33</v>
      </c>
      <c r="G33" s="51">
        <f>IF(D33=D32,"",_xlfn.IFNA(VLOOKUP(D33,'인원 입력 기능'!$A$5:$D$103,4,FALSE),0))</f>
        <v>3502</v>
      </c>
      <c r="H33" s="52">
        <f t="shared" si="4"/>
        <v>1.0596451308368232E-2</v>
      </c>
      <c r="I33" s="65">
        <f>SUM($G$7:G33)</f>
        <v>56833</v>
      </c>
      <c r="J33" s="54">
        <f t="shared" si="5"/>
        <v>0.17196690953983201</v>
      </c>
      <c r="K33" s="28"/>
      <c r="L33" s="16" t="str">
        <f t="shared" si="1"/>
        <v/>
      </c>
      <c r="N33" s="15"/>
    </row>
    <row r="34" spans="1:14" s="12" customFormat="1" ht="25" customHeight="1">
      <c r="A34" s="10"/>
      <c r="B34" s="23"/>
      <c r="C34" s="63">
        <v>73</v>
      </c>
      <c r="D34" s="49">
        <f t="shared" si="2"/>
        <v>121</v>
      </c>
      <c r="E34" s="64">
        <f t="shared" si="0"/>
        <v>3</v>
      </c>
      <c r="F34" s="50">
        <f t="shared" si="3"/>
        <v>82.28</v>
      </c>
      <c r="G34" s="51">
        <f>IF(D34=D33,"",_xlfn.IFNA(VLOOKUP(D34,'인원 입력 기능'!$A$5:$D$103,4,FALSE),0))</f>
        <v>3486</v>
      </c>
      <c r="H34" s="52">
        <f t="shared" si="4"/>
        <v>1.0548038052818861E-2</v>
      </c>
      <c r="I34" s="65">
        <f>SUM($G$7:G34)</f>
        <v>60319</v>
      </c>
      <c r="J34" s="54">
        <f t="shared" si="5"/>
        <v>0.18251494759265086</v>
      </c>
      <c r="K34" s="28"/>
      <c r="L34" s="16" t="str">
        <f t="shared" si="1"/>
        <v/>
      </c>
      <c r="N34" s="15"/>
    </row>
    <row r="35" spans="1:14" s="12" customFormat="1" ht="25" customHeight="1">
      <c r="A35" s="10"/>
      <c r="B35" s="23"/>
      <c r="C35" s="63">
        <v>72</v>
      </c>
      <c r="D35" s="118">
        <f t="shared" si="2"/>
        <v>120</v>
      </c>
      <c r="E35" s="116">
        <f t="shared" si="0"/>
        <v>3</v>
      </c>
      <c r="F35" s="123">
        <f t="shared" si="3"/>
        <v>80.64</v>
      </c>
      <c r="G35" s="122">
        <f>IF(D35=D34,"",_xlfn.IFNA(VLOOKUP(D35,'인원 입력 기능'!$A$5:$D$103,4,FALSE),0))</f>
        <v>7324</v>
      </c>
      <c r="H35" s="128">
        <f t="shared" si="4"/>
        <v>2.2161167727723852E-2</v>
      </c>
      <c r="I35" s="130">
        <f>SUM($G$7:G35)</f>
        <v>67643</v>
      </c>
      <c r="J35" s="132">
        <f t="shared" si="5"/>
        <v>0.20467611532037472</v>
      </c>
      <c r="K35" s="28"/>
      <c r="L35" s="16" t="str">
        <f t="shared" si="1"/>
        <v/>
      </c>
      <c r="N35" s="15"/>
    </row>
    <row r="36" spans="1:14" s="12" customFormat="1" ht="25" customHeight="1">
      <c r="A36" s="10"/>
      <c r="B36" s="23"/>
      <c r="C36" s="63">
        <v>71</v>
      </c>
      <c r="D36" s="119"/>
      <c r="E36" s="117"/>
      <c r="F36" s="115"/>
      <c r="G36" s="114"/>
      <c r="H36" s="129"/>
      <c r="I36" s="131"/>
      <c r="J36" s="133"/>
      <c r="K36" s="28"/>
      <c r="L36" s="16" t="str">
        <f t="shared" si="1"/>
        <v>경고</v>
      </c>
      <c r="N36" s="15"/>
    </row>
    <row r="37" spans="1:14" s="12" customFormat="1" ht="25" customHeight="1">
      <c r="A37" s="10"/>
      <c r="B37" s="23"/>
      <c r="C37" s="63">
        <v>70</v>
      </c>
      <c r="D37" s="49">
        <f t="shared" si="2"/>
        <v>119</v>
      </c>
      <c r="E37" s="64">
        <f t="shared" si="0"/>
        <v>3</v>
      </c>
      <c r="F37" s="50">
        <f t="shared" si="3"/>
        <v>78.98</v>
      </c>
      <c r="G37" s="51">
        <f>IF(D37=D36,"",_xlfn.IFNA(VLOOKUP(D37,'인원 입력 기능'!$A$5:$D$103,4,FALSE),0))</f>
        <v>3666</v>
      </c>
      <c r="H37" s="52">
        <f t="shared" si="4"/>
        <v>1.1092687177749267E-2</v>
      </c>
      <c r="I37" s="65">
        <f>SUM($G$7:G37)</f>
        <v>71309</v>
      </c>
      <c r="J37" s="54">
        <f t="shared" si="5"/>
        <v>0.215768802498124</v>
      </c>
      <c r="K37" s="28"/>
      <c r="L37" s="16" t="str">
        <f t="shared" si="1"/>
        <v/>
      </c>
      <c r="N37" s="15"/>
    </row>
    <row r="38" spans="1:14" s="12" customFormat="1" ht="25" customHeight="1">
      <c r="A38" s="10"/>
      <c r="B38" s="23"/>
      <c r="C38" s="63">
        <v>69</v>
      </c>
      <c r="D38" s="49">
        <f t="shared" si="2"/>
        <v>118</v>
      </c>
      <c r="E38" s="64">
        <f t="shared" si="0"/>
        <v>3</v>
      </c>
      <c r="F38" s="50">
        <f t="shared" si="3"/>
        <v>77.86</v>
      </c>
      <c r="G38" s="51">
        <f>IF(D38=D37,"",_xlfn.IFNA(VLOOKUP(D38,'인원 입력 기능'!$A$5:$D$103,4,FALSE),0))</f>
        <v>3733</v>
      </c>
      <c r="H38" s="52">
        <f t="shared" si="4"/>
        <v>1.1295417685362252E-2</v>
      </c>
      <c r="I38" s="65">
        <f>SUM($G$7:G38)</f>
        <v>75042</v>
      </c>
      <c r="J38" s="54">
        <f t="shared" si="5"/>
        <v>0.22706422018348624</v>
      </c>
      <c r="K38" s="28"/>
      <c r="L38" s="16" t="str">
        <f t="shared" si="1"/>
        <v/>
      </c>
      <c r="N38" s="15"/>
    </row>
    <row r="39" spans="1:14" s="12" customFormat="1" ht="25" customHeight="1">
      <c r="A39" s="10"/>
      <c r="B39" s="23"/>
      <c r="C39" s="63">
        <v>68</v>
      </c>
      <c r="D39" s="49">
        <f t="shared" si="2"/>
        <v>117</v>
      </c>
      <c r="E39" s="64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50">
        <f t="shared" si="3"/>
        <v>76.72</v>
      </c>
      <c r="G39" s="51">
        <f>IF(D39=D38,"",_xlfn.IFNA(VLOOKUP(D39,'인원 입력 기능'!$A$5:$D$103,4,FALSE),0))</f>
        <v>3782</v>
      </c>
      <c r="H39" s="52">
        <f t="shared" si="4"/>
        <v>1.1443683280482196E-2</v>
      </c>
      <c r="I39" s="65">
        <f>SUM($G$7:G39)</f>
        <v>78824</v>
      </c>
      <c r="J39" s="54">
        <f t="shared" si="5"/>
        <v>0.23850790346396844</v>
      </c>
      <c r="K39" s="28"/>
      <c r="L39" s="16" t="str">
        <f t="shared" si="1"/>
        <v/>
      </c>
      <c r="N39" s="15"/>
    </row>
    <row r="40" spans="1:14" s="12" customFormat="1" ht="25" customHeight="1">
      <c r="A40" s="10"/>
      <c r="B40" s="23"/>
      <c r="C40" s="63">
        <v>67</v>
      </c>
      <c r="D40" s="49">
        <f t="shared" si="2"/>
        <v>116</v>
      </c>
      <c r="E40" s="64">
        <f t="shared" si="6"/>
        <v>4</v>
      </c>
      <c r="F40" s="50">
        <f t="shared" si="3"/>
        <v>75.56</v>
      </c>
      <c r="G40" s="51">
        <f>IF(D40=D39,"",_xlfn.IFNA(VLOOKUP(D40,'인원 입력 기능'!$A$5:$D$103,4,FALSE),0))</f>
        <v>3894</v>
      </c>
      <c r="H40" s="52">
        <f t="shared" si="4"/>
        <v>1.1782576069327783E-2</v>
      </c>
      <c r="I40" s="65">
        <f>SUM($G$7:G40)</f>
        <v>82718</v>
      </c>
      <c r="J40" s="54">
        <f t="shared" si="5"/>
        <v>0.2502904795332962</v>
      </c>
      <c r="K40" s="28"/>
      <c r="L40" s="16" t="str">
        <f t="shared" si="1"/>
        <v/>
      </c>
      <c r="N40" s="15"/>
    </row>
    <row r="41" spans="1:14" s="12" customFormat="1" ht="25" customHeight="1">
      <c r="A41" s="10"/>
      <c r="B41" s="23"/>
      <c r="C41" s="63">
        <v>66</v>
      </c>
      <c r="D41" s="49">
        <f t="shared" si="2"/>
        <v>115</v>
      </c>
      <c r="E41" s="64">
        <f t="shared" si="6"/>
        <v>4</v>
      </c>
      <c r="F41" s="50">
        <f t="shared" si="3"/>
        <v>74.36</v>
      </c>
      <c r="G41" s="51">
        <f>IF(D41=D40,"",_xlfn.IFNA(VLOOKUP(D41,'인원 입력 기능'!$A$5:$D$103,4,FALSE),0))</f>
        <v>4037</v>
      </c>
      <c r="H41" s="52">
        <f t="shared" si="4"/>
        <v>1.2215269540800272E-2</v>
      </c>
      <c r="I41" s="65">
        <f>SUM($G$7:G41)</f>
        <v>86755</v>
      </c>
      <c r="J41" s="54">
        <f t="shared" si="5"/>
        <v>0.26250574907409646</v>
      </c>
      <c r="K41" s="28"/>
      <c r="L41" s="16" t="str">
        <f t="shared" ref="L41:L72" si="7">IF(ABS((C41-$H$3)/$H$4*20+100-D41)&gt;0.49, "경고", "")</f>
        <v/>
      </c>
      <c r="N41" s="15"/>
    </row>
    <row r="42" spans="1:14" s="12" customFormat="1" ht="25" customHeight="1">
      <c r="A42" s="10"/>
      <c r="B42" s="23"/>
      <c r="C42" s="63">
        <v>65</v>
      </c>
      <c r="D42" s="49">
        <f t="shared" si="2"/>
        <v>114</v>
      </c>
      <c r="E42" s="64">
        <f t="shared" si="6"/>
        <v>4</v>
      </c>
      <c r="F42" s="50">
        <f t="shared" si="3"/>
        <v>73.12</v>
      </c>
      <c r="G42" s="51">
        <f>IF(D42=D41,"",_xlfn.IFNA(VLOOKUP(D42,'인원 입력 기능'!$A$5:$D$103,4,FALSE),0))</f>
        <v>4133</v>
      </c>
      <c r="H42" s="52">
        <f t="shared" si="4"/>
        <v>1.2505749074096488E-2</v>
      </c>
      <c r="I42" s="65">
        <f>SUM($G$7:G42)</f>
        <v>90888</v>
      </c>
      <c r="J42" s="54">
        <f t="shared" si="5"/>
        <v>0.27501149814819298</v>
      </c>
      <c r="K42" s="28"/>
      <c r="L42" s="16" t="str">
        <f t="shared" si="7"/>
        <v/>
      </c>
      <c r="N42" s="15"/>
    </row>
    <row r="43" spans="1:14" s="12" customFormat="1" ht="25" customHeight="1">
      <c r="A43" s="10"/>
      <c r="B43" s="23"/>
      <c r="C43" s="63">
        <v>64</v>
      </c>
      <c r="D43" s="49">
        <f t="shared" si="2"/>
        <v>113</v>
      </c>
      <c r="E43" s="64">
        <f t="shared" si="6"/>
        <v>4</v>
      </c>
      <c r="F43" s="50">
        <f t="shared" si="3"/>
        <v>71.88</v>
      </c>
      <c r="G43" s="51">
        <f>IF(D43=D42,"",_xlfn.IFNA(VLOOKUP(D43,'인원 입력 기능'!$A$5:$D$103,4,FALSE),0))</f>
        <v>4122</v>
      </c>
      <c r="H43" s="52">
        <f t="shared" si="4"/>
        <v>1.2472464960906296E-2</v>
      </c>
      <c r="I43" s="65">
        <f>SUM($G$7:G43)</f>
        <v>95010</v>
      </c>
      <c r="J43" s="54">
        <f t="shared" si="5"/>
        <v>0.28748396310909929</v>
      </c>
      <c r="K43" s="28"/>
      <c r="L43" s="16" t="str">
        <f t="shared" si="7"/>
        <v/>
      </c>
      <c r="N43" s="15"/>
    </row>
    <row r="44" spans="1:14" s="12" customFormat="1" ht="25" customHeight="1">
      <c r="A44" s="10"/>
      <c r="B44" s="23"/>
      <c r="C44" s="63">
        <v>63</v>
      </c>
      <c r="D44" s="118">
        <f t="shared" si="2"/>
        <v>112</v>
      </c>
      <c r="E44" s="116">
        <f t="shared" si="6"/>
        <v>4</v>
      </c>
      <c r="F44" s="123">
        <f t="shared" si="3"/>
        <v>69.959999999999994</v>
      </c>
      <c r="G44" s="122">
        <f>IF(D44=D43,"",_xlfn.IFNA(VLOOKUP(D44,'인원 입력 기능'!$A$5:$D$103,4,FALSE),0))</f>
        <v>8529</v>
      </c>
      <c r="H44" s="128">
        <f t="shared" si="4"/>
        <v>2.5807291036285734E-2</v>
      </c>
      <c r="I44" s="130">
        <f>SUM($G$7:G44)</f>
        <v>103539</v>
      </c>
      <c r="J44" s="132">
        <f t="shared" si="5"/>
        <v>0.313291254145385</v>
      </c>
      <c r="K44" s="28"/>
      <c r="L44" s="16" t="str">
        <f t="shared" si="7"/>
        <v/>
      </c>
      <c r="N44" s="15"/>
    </row>
    <row r="45" spans="1:14" s="12" customFormat="1" ht="25" customHeight="1">
      <c r="A45" s="10"/>
      <c r="B45" s="23"/>
      <c r="C45" s="63">
        <v>62</v>
      </c>
      <c r="D45" s="119"/>
      <c r="E45" s="117"/>
      <c r="F45" s="115"/>
      <c r="G45" s="114"/>
      <c r="H45" s="129"/>
      <c r="I45" s="131"/>
      <c r="J45" s="133"/>
      <c r="K45" s="28"/>
      <c r="L45" s="16" t="str">
        <f t="shared" si="7"/>
        <v>경고</v>
      </c>
      <c r="N45" s="15"/>
    </row>
    <row r="46" spans="1:14" s="12" customFormat="1" ht="25" customHeight="1">
      <c r="A46" s="10"/>
      <c r="B46" s="23"/>
      <c r="C46" s="63">
        <v>61</v>
      </c>
      <c r="D46" s="49">
        <f t="shared" si="2"/>
        <v>111</v>
      </c>
      <c r="E46" s="64">
        <f t="shared" si="6"/>
        <v>4</v>
      </c>
      <c r="F46" s="50">
        <f t="shared" si="3"/>
        <v>68.02</v>
      </c>
      <c r="G46" s="51">
        <f>IF(D46=D45,"",_xlfn.IFNA(VLOOKUP(D46,'인원 입력 기능'!$A$5:$D$103,4,FALSE),0))</f>
        <v>4295</v>
      </c>
      <c r="H46" s="52">
        <f t="shared" si="4"/>
        <v>1.2995933286533853E-2</v>
      </c>
      <c r="I46" s="65">
        <f>SUM($G$7:G46)</f>
        <v>107834</v>
      </c>
      <c r="J46" s="54">
        <f t="shared" si="5"/>
        <v>0.32628718743191887</v>
      </c>
      <c r="K46" s="28"/>
      <c r="L46" s="16" t="str">
        <f t="shared" si="7"/>
        <v/>
      </c>
      <c r="N46" s="15"/>
    </row>
    <row r="47" spans="1:14" s="12" customFormat="1" ht="25" customHeight="1">
      <c r="A47" s="10"/>
      <c r="B47" s="23"/>
      <c r="C47" s="63">
        <v>60</v>
      </c>
      <c r="D47" s="49">
        <f t="shared" si="2"/>
        <v>110</v>
      </c>
      <c r="E47" s="64">
        <f t="shared" si="6"/>
        <v>4</v>
      </c>
      <c r="F47" s="50">
        <f t="shared" si="3"/>
        <v>66.73</v>
      </c>
      <c r="G47" s="51">
        <f>IF(D47=D46,"",_xlfn.IFNA(VLOOKUP(D47,'인원 입력 기능'!$A$5:$D$103,4,FALSE),0))</f>
        <v>4211</v>
      </c>
      <c r="H47" s="52">
        <f t="shared" si="4"/>
        <v>1.2741763694899664E-2</v>
      </c>
      <c r="I47" s="65">
        <f>SUM($G$7:G47)</f>
        <v>112045</v>
      </c>
      <c r="J47" s="54">
        <f t="shared" si="5"/>
        <v>0.33902895112681852</v>
      </c>
      <c r="K47" s="28"/>
      <c r="L47" s="16" t="str">
        <f t="shared" si="7"/>
        <v/>
      </c>
      <c r="N47" s="15"/>
    </row>
    <row r="48" spans="1:14" s="12" customFormat="1" ht="25" customHeight="1">
      <c r="A48" s="10"/>
      <c r="B48" s="23"/>
      <c r="C48" s="63">
        <v>59</v>
      </c>
      <c r="D48" s="49">
        <f t="shared" si="2"/>
        <v>109</v>
      </c>
      <c r="E48" s="64">
        <f t="shared" si="6"/>
        <v>4</v>
      </c>
      <c r="F48" s="50">
        <f t="shared" si="3"/>
        <v>65.45</v>
      </c>
      <c r="G48" s="51">
        <f>IF(D48=D47,"",_xlfn.IFNA(VLOOKUP(D48,'인원 입력 기능'!$A$5:$D$103,4,FALSE),0))</f>
        <v>4281</v>
      </c>
      <c r="H48" s="52">
        <f t="shared" si="4"/>
        <v>1.2953571687928154E-2</v>
      </c>
      <c r="I48" s="65">
        <f>SUM($G$7:G48)</f>
        <v>116326</v>
      </c>
      <c r="J48" s="54">
        <f t="shared" si="5"/>
        <v>0.35198252281474668</v>
      </c>
      <c r="K48" s="28"/>
      <c r="L48" s="16" t="str">
        <f t="shared" si="7"/>
        <v/>
      </c>
      <c r="N48" s="15"/>
    </row>
    <row r="49" spans="1:14" s="12" customFormat="1" ht="25" customHeight="1">
      <c r="A49" s="10"/>
      <c r="B49" s="23"/>
      <c r="C49" s="63">
        <v>58</v>
      </c>
      <c r="D49" s="49">
        <f t="shared" si="2"/>
        <v>108</v>
      </c>
      <c r="E49" s="64">
        <f t="shared" si="6"/>
        <v>4</v>
      </c>
      <c r="F49" s="50">
        <f t="shared" si="3"/>
        <v>64.150000000000006</v>
      </c>
      <c r="G49" s="51">
        <f>IF(D49=D48,"",_xlfn.IFNA(VLOOKUP(D49,'인원 입력 기능'!$A$5:$D$103,4,FALSE),0))</f>
        <v>4275</v>
      </c>
      <c r="H49" s="52">
        <f t="shared" si="4"/>
        <v>1.2935416717097142E-2</v>
      </c>
      <c r="I49" s="65">
        <f>SUM($G$7:G49)</f>
        <v>120601</v>
      </c>
      <c r="J49" s="54">
        <f t="shared" si="5"/>
        <v>0.36491793953184382</v>
      </c>
      <c r="K49" s="28"/>
      <c r="L49" s="16" t="str">
        <f t="shared" si="7"/>
        <v/>
      </c>
      <c r="N49" s="15"/>
    </row>
    <row r="50" spans="1:14" s="12" customFormat="1" ht="25" customHeight="1">
      <c r="A50" s="10"/>
      <c r="B50" s="23"/>
      <c r="C50" s="63">
        <v>57</v>
      </c>
      <c r="D50" s="49">
        <f t="shared" si="2"/>
        <v>107</v>
      </c>
      <c r="E50" s="64">
        <f t="shared" si="6"/>
        <v>4</v>
      </c>
      <c r="F50" s="50">
        <f t="shared" si="3"/>
        <v>62.83</v>
      </c>
      <c r="G50" s="51">
        <f>IF(D50=D49,"",_xlfn.IFNA(VLOOKUP(D50,'인원 입력 기능'!$A$5:$D$103,4,FALSE),0))</f>
        <v>4500</v>
      </c>
      <c r="H50" s="52">
        <f t="shared" si="4"/>
        <v>1.3616228123260148E-2</v>
      </c>
      <c r="I50" s="65">
        <f>SUM($G$7:G50)</f>
        <v>125101</v>
      </c>
      <c r="J50" s="54">
        <f t="shared" si="5"/>
        <v>0.37853416765510395</v>
      </c>
      <c r="K50" s="28"/>
      <c r="L50" s="16" t="str">
        <f t="shared" si="7"/>
        <v/>
      </c>
      <c r="N50" s="15"/>
    </row>
    <row r="51" spans="1:14" s="12" customFormat="1" ht="25" customHeight="1">
      <c r="A51" s="10"/>
      <c r="B51" s="23"/>
      <c r="C51" s="63">
        <v>56</v>
      </c>
      <c r="D51" s="49">
        <f t="shared" si="2"/>
        <v>106</v>
      </c>
      <c r="E51" s="64">
        <f t="shared" si="6"/>
        <v>4</v>
      </c>
      <c r="F51" s="50">
        <f t="shared" si="3"/>
        <v>61.48</v>
      </c>
      <c r="G51" s="51">
        <f>IF(D51=D50,"",_xlfn.IFNA(VLOOKUP(D51,'인원 입력 기능'!$A$5:$D$103,4,FALSE),0))</f>
        <v>4400</v>
      </c>
      <c r="H51" s="52">
        <f t="shared" si="4"/>
        <v>1.3313645276076589E-2</v>
      </c>
      <c r="I51" s="65">
        <f>SUM($G$7:G51)</f>
        <v>129501</v>
      </c>
      <c r="J51" s="54">
        <f t="shared" si="5"/>
        <v>0.39184781293118054</v>
      </c>
      <c r="K51" s="28"/>
      <c r="L51" s="16" t="str">
        <f t="shared" si="7"/>
        <v/>
      </c>
      <c r="N51" s="15"/>
    </row>
    <row r="52" spans="1:14" s="12" customFormat="1" ht="25" customHeight="1">
      <c r="A52" s="10"/>
      <c r="B52" s="23"/>
      <c r="C52" s="63">
        <v>55</v>
      </c>
      <c r="D52" s="49">
        <f t="shared" si="2"/>
        <v>105</v>
      </c>
      <c r="E52" s="64">
        <f t="shared" si="6"/>
        <v>4</v>
      </c>
      <c r="F52" s="50">
        <f t="shared" si="3"/>
        <v>60.15</v>
      </c>
      <c r="G52" s="51">
        <f>IF(D52=D51,"",_xlfn.IFNA(VLOOKUP(D52,'인원 입력 기능'!$A$5:$D$103,4,FALSE),0))</f>
        <v>4414</v>
      </c>
      <c r="H52" s="52">
        <f t="shared" si="4"/>
        <v>1.3356006874682289E-2</v>
      </c>
      <c r="I52" s="65">
        <f>SUM($G$7:G52)</f>
        <v>133915</v>
      </c>
      <c r="J52" s="54">
        <f t="shared" si="5"/>
        <v>0.40520381980586284</v>
      </c>
      <c r="K52" s="28"/>
      <c r="L52" s="16" t="str">
        <f t="shared" si="7"/>
        <v/>
      </c>
      <c r="N52" s="15"/>
    </row>
    <row r="53" spans="1:14" s="12" customFormat="1" ht="25" customHeight="1">
      <c r="A53" s="10"/>
      <c r="B53" s="23"/>
      <c r="C53" s="63">
        <v>54</v>
      </c>
      <c r="D53" s="118">
        <f t="shared" si="2"/>
        <v>104</v>
      </c>
      <c r="E53" s="116">
        <f t="shared" si="6"/>
        <v>5</v>
      </c>
      <c r="F53" s="123">
        <f t="shared" si="3"/>
        <v>58.14</v>
      </c>
      <c r="G53" s="122">
        <f>IF(D53=D52,"",_xlfn.IFNA(VLOOKUP(D53,'인원 입력 기능'!$A$5:$D$103,4,FALSE),0))</f>
        <v>8832</v>
      </c>
      <c r="H53" s="128">
        <f t="shared" si="4"/>
        <v>2.672411706325192E-2</v>
      </c>
      <c r="I53" s="130">
        <f>SUM($G$7:G53)</f>
        <v>142747</v>
      </c>
      <c r="J53" s="132">
        <f t="shared" si="5"/>
        <v>0.43192793686911474</v>
      </c>
      <c r="K53" s="28"/>
      <c r="L53" s="16" t="str">
        <f t="shared" si="7"/>
        <v/>
      </c>
      <c r="N53" s="15"/>
    </row>
    <row r="54" spans="1:14" s="12" customFormat="1" ht="25" customHeight="1">
      <c r="A54" s="10"/>
      <c r="B54" s="23"/>
      <c r="C54" s="63">
        <v>53</v>
      </c>
      <c r="D54" s="119"/>
      <c r="E54" s="117"/>
      <c r="F54" s="115"/>
      <c r="G54" s="114"/>
      <c r="H54" s="129"/>
      <c r="I54" s="131"/>
      <c r="J54" s="133"/>
      <c r="K54" s="28"/>
      <c r="L54" s="16" t="str">
        <f t="shared" si="7"/>
        <v>경고</v>
      </c>
      <c r="N54" s="15"/>
    </row>
    <row r="55" spans="1:14" s="12" customFormat="1" ht="25" customHeight="1">
      <c r="A55" s="10"/>
      <c r="B55" s="23"/>
      <c r="C55" s="63">
        <v>52</v>
      </c>
      <c r="D55" s="49">
        <f t="shared" si="2"/>
        <v>103</v>
      </c>
      <c r="E55" s="64">
        <f t="shared" si="6"/>
        <v>5</v>
      </c>
      <c r="F55" s="50">
        <f t="shared" si="3"/>
        <v>56.14</v>
      </c>
      <c r="G55" s="51">
        <f>IF(D55=D54,"",_xlfn.IFNA(VLOOKUP(D55,'인원 입력 기능'!$A$5:$D$103,4,FALSE),0))</f>
        <v>4441</v>
      </c>
      <c r="H55" s="52">
        <f t="shared" si="4"/>
        <v>1.3437704243421849E-2</v>
      </c>
      <c r="I55" s="65">
        <f>SUM($G$7:G55)</f>
        <v>147188</v>
      </c>
      <c r="J55" s="54">
        <f t="shared" si="5"/>
        <v>0.44536564111253663</v>
      </c>
      <c r="K55" s="28"/>
      <c r="L55" s="16" t="str">
        <f t="shared" si="7"/>
        <v/>
      </c>
      <c r="N55" s="15"/>
    </row>
    <row r="56" spans="1:14" s="12" customFormat="1" ht="25" customHeight="1">
      <c r="A56" s="10"/>
      <c r="B56" s="23"/>
      <c r="C56" s="63">
        <v>51</v>
      </c>
      <c r="D56" s="49">
        <f t="shared" si="2"/>
        <v>102</v>
      </c>
      <c r="E56" s="64">
        <f t="shared" si="6"/>
        <v>5</v>
      </c>
      <c r="F56" s="50">
        <f t="shared" si="3"/>
        <v>54.8</v>
      </c>
      <c r="G56" s="51">
        <f>IF(D56=D55,"",_xlfn.IFNA(VLOOKUP(D56,'인원 입력 기능'!$A$5:$D$103,4,FALSE),0))</f>
        <v>4392</v>
      </c>
      <c r="H56" s="52">
        <f t="shared" si="4"/>
        <v>1.3289438648301906E-2</v>
      </c>
      <c r="I56" s="65">
        <f>SUM($G$7:G56)</f>
        <v>151580</v>
      </c>
      <c r="J56" s="54">
        <f t="shared" si="5"/>
        <v>0.45865507976083852</v>
      </c>
      <c r="K56" s="28"/>
      <c r="L56" s="16" t="str">
        <f t="shared" si="7"/>
        <v/>
      </c>
      <c r="N56" s="15"/>
    </row>
    <row r="57" spans="1:14" s="12" customFormat="1" ht="25" customHeight="1">
      <c r="A57" s="10"/>
      <c r="B57" s="23"/>
      <c r="C57" s="63">
        <v>50</v>
      </c>
      <c r="D57" s="49">
        <f t="shared" si="2"/>
        <v>101</v>
      </c>
      <c r="E57" s="64">
        <f t="shared" si="6"/>
        <v>5</v>
      </c>
      <c r="F57" s="50">
        <f t="shared" si="3"/>
        <v>53.46</v>
      </c>
      <c r="G57" s="51">
        <f>IF(D57=D56,"",_xlfn.IFNA(VLOOKUP(D57,'인원 입력 기능'!$A$5:$D$103,4,FALSE),0))</f>
        <v>4467</v>
      </c>
      <c r="H57" s="52">
        <f t="shared" si="4"/>
        <v>1.3516375783689574E-2</v>
      </c>
      <c r="I57" s="65">
        <f>SUM($G$7:G57)</f>
        <v>156047</v>
      </c>
      <c r="J57" s="54">
        <f t="shared" si="5"/>
        <v>0.47217145554452811</v>
      </c>
      <c r="K57" s="28"/>
      <c r="L57" s="16" t="str">
        <f t="shared" si="7"/>
        <v/>
      </c>
      <c r="N57" s="15"/>
    </row>
    <row r="58" spans="1:14" s="12" customFormat="1" ht="25" customHeight="1">
      <c r="A58" s="10"/>
      <c r="B58" s="23"/>
      <c r="C58" s="63">
        <v>49</v>
      </c>
      <c r="D58" s="49">
        <f t="shared" si="2"/>
        <v>100</v>
      </c>
      <c r="E58" s="64">
        <f t="shared" si="6"/>
        <v>5</v>
      </c>
      <c r="F58" s="50">
        <f t="shared" si="3"/>
        <v>52.12</v>
      </c>
      <c r="G58" s="51">
        <f>IF(D58=D57,"",_xlfn.IFNA(VLOOKUP(D58,'인원 입력 기능'!$A$5:$D$103,4,FALSE),0))</f>
        <v>4393</v>
      </c>
      <c r="H58" s="52">
        <f t="shared" si="4"/>
        <v>1.3292464476773741E-2</v>
      </c>
      <c r="I58" s="65">
        <f>SUM($G$7:G58)</f>
        <v>160440</v>
      </c>
      <c r="J58" s="54">
        <f t="shared" si="5"/>
        <v>0.48546392002130184</v>
      </c>
      <c r="K58" s="28"/>
      <c r="L58" s="16" t="str">
        <f t="shared" si="7"/>
        <v/>
      </c>
      <c r="N58" s="15"/>
    </row>
    <row r="59" spans="1:14" s="12" customFormat="1" ht="25" customHeight="1">
      <c r="A59" s="10"/>
      <c r="B59" s="23"/>
      <c r="C59" s="63">
        <v>48</v>
      </c>
      <c r="D59" s="49">
        <f t="shared" si="2"/>
        <v>99</v>
      </c>
      <c r="E59" s="64">
        <f t="shared" si="6"/>
        <v>5</v>
      </c>
      <c r="F59" s="50">
        <f t="shared" si="3"/>
        <v>50.76</v>
      </c>
      <c r="G59" s="51">
        <f>IF(D59=D58,"",_xlfn.IFNA(VLOOKUP(D59,'인원 입력 기능'!$A$5:$D$103,4,FALSE),0))</f>
        <v>4617</v>
      </c>
      <c r="H59" s="52">
        <f t="shared" si="4"/>
        <v>1.3970250054464912E-2</v>
      </c>
      <c r="I59" s="65">
        <f>SUM($G$7:G59)</f>
        <v>165057</v>
      </c>
      <c r="J59" s="54">
        <f t="shared" si="5"/>
        <v>0.49943417007576674</v>
      </c>
      <c r="K59" s="28"/>
      <c r="L59" s="16" t="str">
        <f t="shared" si="7"/>
        <v/>
      </c>
      <c r="N59" s="15"/>
    </row>
    <row r="60" spans="1:14" s="12" customFormat="1" ht="25" customHeight="1">
      <c r="A60" s="10"/>
      <c r="B60" s="23"/>
      <c r="C60" s="63">
        <v>47</v>
      </c>
      <c r="D60" s="49">
        <f t="shared" si="2"/>
        <v>98</v>
      </c>
      <c r="E60" s="64">
        <f t="shared" si="6"/>
        <v>5</v>
      </c>
      <c r="F60" s="50">
        <f t="shared" si="3"/>
        <v>49.37</v>
      </c>
      <c r="G60" s="51">
        <f>IF(D60=D59,"",_xlfn.IFNA(VLOOKUP(D60,'인원 입력 기능'!$A$5:$D$103,4,FALSE),0))</f>
        <v>4540</v>
      </c>
      <c r="H60" s="52">
        <f t="shared" si="4"/>
        <v>1.3737261262133572E-2</v>
      </c>
      <c r="I60" s="65">
        <f>SUM($G$7:G60)</f>
        <v>169597</v>
      </c>
      <c r="J60" s="54">
        <f t="shared" si="5"/>
        <v>0.51317143133790033</v>
      </c>
      <c r="K60" s="28"/>
      <c r="L60" s="16" t="str">
        <f t="shared" si="7"/>
        <v/>
      </c>
      <c r="N60" s="15"/>
    </row>
    <row r="61" spans="1:14" s="12" customFormat="1" ht="25" customHeight="1">
      <c r="A61" s="10"/>
      <c r="B61" s="23"/>
      <c r="C61" s="63">
        <v>46</v>
      </c>
      <c r="D61" s="49">
        <f t="shared" si="2"/>
        <v>97</v>
      </c>
      <c r="E61" s="64">
        <f t="shared" si="6"/>
        <v>5</v>
      </c>
      <c r="F61" s="50">
        <f t="shared" si="3"/>
        <v>48.01</v>
      </c>
      <c r="G61" s="51">
        <f>IF(D61=D60,"",_xlfn.IFNA(VLOOKUP(D61,'인원 입력 기능'!$A$5:$D$103,4,FALSE),0))</f>
        <v>4479</v>
      </c>
      <c r="H61" s="52">
        <f t="shared" si="4"/>
        <v>1.3552685725351602E-2</v>
      </c>
      <c r="I61" s="65">
        <f>SUM($G$7:G61)</f>
        <v>174076</v>
      </c>
      <c r="J61" s="54">
        <f t="shared" si="5"/>
        <v>0.52672411706325195</v>
      </c>
      <c r="K61" s="28"/>
      <c r="L61" s="16" t="str">
        <f t="shared" si="7"/>
        <v/>
      </c>
      <c r="N61" s="15"/>
    </row>
    <row r="62" spans="1:14" s="12" customFormat="1" ht="25" customHeight="1">
      <c r="A62" s="10"/>
      <c r="B62" s="23"/>
      <c r="C62" s="63">
        <v>45</v>
      </c>
      <c r="D62" s="118">
        <f t="shared" si="2"/>
        <v>96</v>
      </c>
      <c r="E62" s="116">
        <f t="shared" si="6"/>
        <v>5</v>
      </c>
      <c r="F62" s="123">
        <f t="shared" si="3"/>
        <v>45.95</v>
      </c>
      <c r="G62" s="122">
        <f>IF(D62=D61,"",_xlfn.IFNA(VLOOKUP(D62,'인원 입력 기능'!$A$5:$D$103,4,FALSE),0))</f>
        <v>9083</v>
      </c>
      <c r="H62" s="128">
        <f t="shared" si="4"/>
        <v>2.7483600009682651E-2</v>
      </c>
      <c r="I62" s="130">
        <f>SUM($G$7:G62)</f>
        <v>183159</v>
      </c>
      <c r="J62" s="132">
        <f t="shared" si="5"/>
        <v>0.55420771707293459</v>
      </c>
      <c r="K62" s="28"/>
      <c r="L62" s="16" t="str">
        <f t="shared" si="7"/>
        <v/>
      </c>
      <c r="N62" s="15"/>
    </row>
    <row r="63" spans="1:14" s="12" customFormat="1" ht="25" customHeight="1">
      <c r="A63" s="10"/>
      <c r="B63" s="23"/>
      <c r="C63" s="63">
        <v>44</v>
      </c>
      <c r="D63" s="119"/>
      <c r="E63" s="117"/>
      <c r="F63" s="115"/>
      <c r="G63" s="114"/>
      <c r="H63" s="129"/>
      <c r="I63" s="131"/>
      <c r="J63" s="133"/>
      <c r="K63" s="28"/>
      <c r="L63" s="16" t="str">
        <f t="shared" si="7"/>
        <v>경고</v>
      </c>
      <c r="N63" s="15"/>
    </row>
    <row r="64" spans="1:14" s="12" customFormat="1" ht="25" customHeight="1">
      <c r="A64" s="10"/>
      <c r="B64" s="23"/>
      <c r="C64" s="63">
        <v>43</v>
      </c>
      <c r="D64" s="49">
        <f t="shared" si="2"/>
        <v>95</v>
      </c>
      <c r="E64" s="64">
        <f t="shared" si="6"/>
        <v>5</v>
      </c>
      <c r="F64" s="50">
        <f t="shared" si="3"/>
        <v>43.89</v>
      </c>
      <c r="G64" s="51">
        <f>IF(D64=D63,"",_xlfn.IFNA(VLOOKUP(D64,'인원 입력 기능'!$A$5:$D$103,4,FALSE),0))</f>
        <v>4556</v>
      </c>
      <c r="H64" s="52">
        <f t="shared" si="4"/>
        <v>1.3785674517682941E-2</v>
      </c>
      <c r="I64" s="65">
        <f>SUM($G$7:G64)</f>
        <v>187715</v>
      </c>
      <c r="J64" s="54">
        <f t="shared" si="5"/>
        <v>0.56799339159061746</v>
      </c>
      <c r="K64" s="28"/>
      <c r="L64" s="16" t="str">
        <f t="shared" si="7"/>
        <v/>
      </c>
      <c r="N64" s="15"/>
    </row>
    <row r="65" spans="1:14" s="12" customFormat="1" ht="25" customHeight="1">
      <c r="A65" s="10"/>
      <c r="B65" s="23"/>
      <c r="C65" s="63">
        <v>42</v>
      </c>
      <c r="D65" s="49">
        <f t="shared" si="2"/>
        <v>94</v>
      </c>
      <c r="E65" s="64">
        <f t="shared" si="6"/>
        <v>5</v>
      </c>
      <c r="F65" s="50">
        <f t="shared" si="3"/>
        <v>42.51</v>
      </c>
      <c r="G65" s="51">
        <f>IF(D65=D64,"",_xlfn.IFNA(VLOOKUP(D65,'인원 입력 기능'!$A$5:$D$103,4,FALSE),0))</f>
        <v>4578</v>
      </c>
      <c r="H65" s="52">
        <f t="shared" si="4"/>
        <v>1.3852242744063324E-2</v>
      </c>
      <c r="I65" s="65">
        <f>SUM($G$7:G65)</f>
        <v>192293</v>
      </c>
      <c r="J65" s="54">
        <f t="shared" si="5"/>
        <v>0.58184563433468084</v>
      </c>
      <c r="K65" s="28"/>
      <c r="L65" s="16" t="str">
        <f t="shared" si="7"/>
        <v/>
      </c>
      <c r="N65" s="15"/>
    </row>
    <row r="66" spans="1:14" s="12" customFormat="1" ht="25" customHeight="1">
      <c r="A66" s="10"/>
      <c r="B66" s="23"/>
      <c r="C66" s="63">
        <v>41</v>
      </c>
      <c r="D66" s="49">
        <f t="shared" si="2"/>
        <v>93</v>
      </c>
      <c r="E66" s="64">
        <f t="shared" si="6"/>
        <v>5</v>
      </c>
      <c r="F66" s="50">
        <f t="shared" si="3"/>
        <v>41.12</v>
      </c>
      <c r="G66" s="51">
        <f>IF(D66=D65,"",_xlfn.IFNA(VLOOKUP(D66,'인원 입력 기능'!$A$5:$D$103,4,FALSE),0))</f>
        <v>4594</v>
      </c>
      <c r="H66" s="52">
        <f t="shared" si="4"/>
        <v>1.3900655999612694E-2</v>
      </c>
      <c r="I66" s="65">
        <f>SUM($G$7:G66)</f>
        <v>196887</v>
      </c>
      <c r="J66" s="54">
        <f t="shared" si="5"/>
        <v>0.59574629033429349</v>
      </c>
      <c r="K66" s="28"/>
      <c r="L66" s="16" t="str">
        <f t="shared" si="7"/>
        <v/>
      </c>
      <c r="N66" s="15"/>
    </row>
    <row r="67" spans="1:14" s="12" customFormat="1" ht="25" customHeight="1">
      <c r="A67" s="10"/>
      <c r="B67" s="23"/>
      <c r="C67" s="63">
        <v>40</v>
      </c>
      <c r="D67" s="49">
        <f t="shared" si="2"/>
        <v>92</v>
      </c>
      <c r="E67" s="64">
        <f t="shared" si="6"/>
        <v>5</v>
      </c>
      <c r="F67" s="50">
        <f t="shared" si="3"/>
        <v>39.729999999999997</v>
      </c>
      <c r="G67" s="51">
        <f>IF(D67=D66,"",_xlfn.IFNA(VLOOKUP(D67,'인원 입력 기능'!$A$5:$D$103,4,FALSE),0))</f>
        <v>4576</v>
      </c>
      <c r="H67" s="52">
        <f t="shared" si="4"/>
        <v>1.3846191087119653E-2</v>
      </c>
      <c r="I67" s="65">
        <f>SUM($G$7:G67)</f>
        <v>201463</v>
      </c>
      <c r="J67" s="54">
        <f t="shared" si="5"/>
        <v>0.6095924814214132</v>
      </c>
      <c r="K67" s="28"/>
      <c r="L67" s="16" t="str">
        <f t="shared" si="7"/>
        <v/>
      </c>
      <c r="N67" s="15"/>
    </row>
    <row r="68" spans="1:14" s="12" customFormat="1" ht="25" customHeight="1">
      <c r="A68" s="10"/>
      <c r="B68" s="23"/>
      <c r="C68" s="63">
        <v>39</v>
      </c>
      <c r="D68" s="49">
        <f t="shared" si="2"/>
        <v>91</v>
      </c>
      <c r="E68" s="64">
        <f t="shared" si="6"/>
        <v>6</v>
      </c>
      <c r="F68" s="50">
        <f t="shared" si="3"/>
        <v>38.340000000000003</v>
      </c>
      <c r="G68" s="51">
        <f>IF(D68=D67,"",_xlfn.IFNA(VLOOKUP(D68,'인원 입력 기능'!$A$5:$D$103,4,FALSE),0))</f>
        <v>4639</v>
      </c>
      <c r="H68" s="52">
        <f t="shared" si="4"/>
        <v>1.4036818280845296E-2</v>
      </c>
      <c r="I68" s="65">
        <f>SUM($G$7:G68)</f>
        <v>206102</v>
      </c>
      <c r="J68" s="54">
        <f t="shared" si="5"/>
        <v>0.62362929970225844</v>
      </c>
      <c r="K68" s="28"/>
      <c r="L68" s="16" t="str">
        <f t="shared" si="7"/>
        <v/>
      </c>
      <c r="N68" s="15"/>
    </row>
    <row r="69" spans="1:14" s="12" customFormat="1" ht="25" customHeight="1">
      <c r="A69" s="10"/>
      <c r="B69" s="23"/>
      <c r="C69" s="63">
        <v>38</v>
      </c>
      <c r="D69" s="49">
        <f t="shared" si="2"/>
        <v>90</v>
      </c>
      <c r="E69" s="64">
        <f t="shared" si="6"/>
        <v>6</v>
      </c>
      <c r="F69" s="50">
        <f t="shared" si="3"/>
        <v>36.93</v>
      </c>
      <c r="G69" s="51">
        <f>IF(D69=D68,"",_xlfn.IFNA(VLOOKUP(D69,'인원 입력 기능'!$A$5:$D$103,4,FALSE),0))</f>
        <v>4694</v>
      </c>
      <c r="H69" s="52">
        <f t="shared" si="4"/>
        <v>1.4203238846796253E-2</v>
      </c>
      <c r="I69" s="65">
        <f>SUM($G$7:G69)</f>
        <v>210796</v>
      </c>
      <c r="J69" s="54">
        <f t="shared" si="5"/>
        <v>0.63783253854905475</v>
      </c>
      <c r="K69" s="28"/>
      <c r="L69" s="16" t="str">
        <f t="shared" si="7"/>
        <v/>
      </c>
      <c r="N69" s="15"/>
    </row>
    <row r="70" spans="1:14" s="12" customFormat="1" ht="25" customHeight="1">
      <c r="A70" s="10"/>
      <c r="B70" s="23"/>
      <c r="C70" s="63">
        <v>37</v>
      </c>
      <c r="D70" s="49">
        <f t="shared" si="2"/>
        <v>89</v>
      </c>
      <c r="E70" s="64">
        <f t="shared" si="6"/>
        <v>6</v>
      </c>
      <c r="F70" s="50">
        <f t="shared" si="3"/>
        <v>35.47</v>
      </c>
      <c r="G70" s="51">
        <f>IF(D70=D69,"",_xlfn.IFNA(VLOOKUP(D70,'인원 입력 기능'!$A$5:$D$103,4,FALSE),0))</f>
        <v>4949</v>
      </c>
      <c r="H70" s="52">
        <f t="shared" si="4"/>
        <v>1.4974825107114328E-2</v>
      </c>
      <c r="I70" s="65">
        <f>SUM($G$7:G70)</f>
        <v>215745</v>
      </c>
      <c r="J70" s="54">
        <f t="shared" si="5"/>
        <v>0.65280736365616909</v>
      </c>
      <c r="K70" s="28"/>
      <c r="L70" s="16" t="str">
        <f t="shared" si="7"/>
        <v/>
      </c>
      <c r="N70" s="15"/>
    </row>
    <row r="71" spans="1:14" s="12" customFormat="1" ht="25" customHeight="1">
      <c r="A71" s="10"/>
      <c r="B71" s="23"/>
      <c r="C71" s="63">
        <v>36</v>
      </c>
      <c r="D71" s="118">
        <f t="shared" si="2"/>
        <v>88</v>
      </c>
      <c r="E71" s="116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123">
        <f t="shared" si="3"/>
        <v>33.24</v>
      </c>
      <c r="G71" s="122">
        <f>IF(D71=D70,"",_xlfn.IFNA(VLOOKUP(D71,'인원 입력 기능'!$A$5:$D$103,4,FALSE),0))</f>
        <v>9797</v>
      </c>
      <c r="H71" s="128">
        <f t="shared" si="4"/>
        <v>2.9644041538573262E-2</v>
      </c>
      <c r="I71" s="130">
        <f>SUM($G$7:G71)</f>
        <v>225542</v>
      </c>
      <c r="J71" s="132">
        <f t="shared" si="5"/>
        <v>0.68245140519474234</v>
      </c>
      <c r="K71" s="28"/>
      <c r="L71" s="16" t="str">
        <f t="shared" si="7"/>
        <v/>
      </c>
      <c r="N71" s="15"/>
    </row>
    <row r="72" spans="1:14" s="12" customFormat="1" ht="25" customHeight="1">
      <c r="A72" s="10"/>
      <c r="B72" s="23"/>
      <c r="C72" s="63">
        <v>35</v>
      </c>
      <c r="D72" s="119"/>
      <c r="E72" s="117"/>
      <c r="F72" s="115"/>
      <c r="G72" s="114"/>
      <c r="H72" s="129"/>
      <c r="I72" s="131"/>
      <c r="J72" s="133"/>
      <c r="K72" s="28"/>
      <c r="L72" s="16" t="str">
        <f t="shared" si="7"/>
        <v>경고</v>
      </c>
      <c r="N72" s="15"/>
    </row>
    <row r="73" spans="1:14" s="12" customFormat="1" ht="25" customHeight="1">
      <c r="A73" s="10"/>
      <c r="B73" s="23"/>
      <c r="C73" s="63">
        <v>34</v>
      </c>
      <c r="D73" s="49">
        <f t="shared" si="2"/>
        <v>87</v>
      </c>
      <c r="E73" s="64">
        <f t="shared" si="8"/>
        <v>6</v>
      </c>
      <c r="F73" s="50">
        <f t="shared" si="3"/>
        <v>31</v>
      </c>
      <c r="G73" s="51">
        <f>IF(D73=D72,"",_xlfn.IFNA(VLOOKUP(D73,'인원 입력 기능'!$A$5:$D$103,4,FALSE),0))</f>
        <v>4986</v>
      </c>
      <c r="H73" s="52">
        <f t="shared" si="4"/>
        <v>1.5086780760572245E-2</v>
      </c>
      <c r="I73" s="65">
        <f>SUM($G$7:G73)</f>
        <v>230528</v>
      </c>
      <c r="J73" s="54">
        <f t="shared" si="5"/>
        <v>0.69753818595531458</v>
      </c>
      <c r="K73" s="28"/>
      <c r="L73" s="16" t="str">
        <f t="shared" ref="L73:L105" si="9">IF(ABS((C73-$H$3)/$H$4*20+100-D73)&gt;0.49, "경고", "")</f>
        <v/>
      </c>
      <c r="N73" s="15"/>
    </row>
    <row r="74" spans="1:14" s="12" customFormat="1" ht="25" customHeight="1">
      <c r="A74" s="10"/>
      <c r="B74" s="23"/>
      <c r="C74" s="63">
        <v>33</v>
      </c>
      <c r="D74" s="49">
        <f t="shared" ref="D74:D105" si="10">ROUND(20*(C74-$H$3)/$H$4+100,0)</f>
        <v>86</v>
      </c>
      <c r="E74" s="64">
        <f t="shared" si="8"/>
        <v>6</v>
      </c>
      <c r="F74" s="50">
        <f t="shared" ref="F74:F105" si="11">IF(I73=0,ROUND(100*(1-(I72+I74)/2/$J$3),2),ROUND(100*(1-(I73+I74)/2/$J$3),2))</f>
        <v>29.51</v>
      </c>
      <c r="G74" s="51">
        <f>IF(D74=D73,"",_xlfn.IFNA(VLOOKUP(D74,'인원 입력 기능'!$A$5:$D$103,4,FALSE),0))</f>
        <v>4868</v>
      </c>
      <c r="H74" s="52">
        <f t="shared" ref="H74:H105" si="12">G74/$J$3</f>
        <v>1.4729733000895645E-2</v>
      </c>
      <c r="I74" s="65">
        <f>SUM($G$7:G74)</f>
        <v>235396</v>
      </c>
      <c r="J74" s="54">
        <f t="shared" ref="J74:J105" si="13">I74/$J$3</f>
        <v>0.71226791895621022</v>
      </c>
      <c r="K74" s="28"/>
      <c r="L74" s="16" t="str">
        <f t="shared" si="9"/>
        <v/>
      </c>
      <c r="N74" s="15"/>
    </row>
    <row r="75" spans="1:14" s="12" customFormat="1" ht="25" customHeight="1">
      <c r="A75" s="10"/>
      <c r="B75" s="23"/>
      <c r="C75" s="63">
        <v>32</v>
      </c>
      <c r="D75" s="49">
        <f t="shared" si="10"/>
        <v>85</v>
      </c>
      <c r="E75" s="64">
        <f t="shared" si="8"/>
        <v>6</v>
      </c>
      <c r="F75" s="50">
        <f t="shared" si="11"/>
        <v>27.97</v>
      </c>
      <c r="G75" s="51">
        <f>IF(D75=D74,"",_xlfn.IFNA(VLOOKUP(D75,'인원 입력 기능'!$A$5:$D$103,4,FALSE),0))</f>
        <v>5298</v>
      </c>
      <c r="H75" s="52">
        <f t="shared" si="12"/>
        <v>1.6030839243784949E-2</v>
      </c>
      <c r="I75" s="65">
        <f>SUM($G$7:G75)</f>
        <v>240694</v>
      </c>
      <c r="J75" s="54">
        <f t="shared" si="13"/>
        <v>0.72829875819999512</v>
      </c>
      <c r="K75" s="28"/>
      <c r="L75" s="16" t="str">
        <f t="shared" si="9"/>
        <v/>
      </c>
      <c r="N75" s="15"/>
    </row>
    <row r="76" spans="1:14" s="12" customFormat="1" ht="25" customHeight="1">
      <c r="A76" s="10"/>
      <c r="B76" s="23"/>
      <c r="C76" s="63">
        <v>31</v>
      </c>
      <c r="D76" s="49">
        <f t="shared" si="10"/>
        <v>84</v>
      </c>
      <c r="E76" s="64">
        <f t="shared" si="8"/>
        <v>6</v>
      </c>
      <c r="F76" s="50">
        <f t="shared" si="11"/>
        <v>26.27</v>
      </c>
      <c r="G76" s="51">
        <f>IF(D76=D75,"",_xlfn.IFNA(VLOOKUP(D76,'인원 입력 기능'!$A$5:$D$103,4,FALSE),0))</f>
        <v>5959</v>
      </c>
      <c r="H76" s="52">
        <f t="shared" si="12"/>
        <v>1.8030911863668272E-2</v>
      </c>
      <c r="I76" s="65">
        <f>SUM($G$7:G76)</f>
        <v>246653</v>
      </c>
      <c r="J76" s="54">
        <f t="shared" si="13"/>
        <v>0.74632967006366346</v>
      </c>
      <c r="K76" s="28"/>
      <c r="L76" s="16" t="str">
        <f t="shared" si="9"/>
        <v/>
      </c>
      <c r="N76" s="15"/>
    </row>
    <row r="77" spans="1:14" s="12" customFormat="1" ht="25" customHeight="1">
      <c r="A77" s="10"/>
      <c r="B77" s="23"/>
      <c r="C77" s="63">
        <v>30</v>
      </c>
      <c r="D77" s="49">
        <f t="shared" si="10"/>
        <v>83</v>
      </c>
      <c r="E77" s="64">
        <f t="shared" si="8"/>
        <v>6</v>
      </c>
      <c r="F77" s="50">
        <f t="shared" si="11"/>
        <v>24.56</v>
      </c>
      <c r="G77" s="51">
        <f>IF(D77=D76,"",_xlfn.IFNA(VLOOKUP(D77,'인원 입력 기능'!$A$5:$D$103,4,FALSE),0))</f>
        <v>5318</v>
      </c>
      <c r="H77" s="52">
        <f t="shared" si="12"/>
        <v>1.6091355813221662E-2</v>
      </c>
      <c r="I77" s="65">
        <f>SUM($G$7:G77)</f>
        <v>251971</v>
      </c>
      <c r="J77" s="54">
        <f t="shared" si="13"/>
        <v>0.76242102587688509</v>
      </c>
      <c r="K77" s="28"/>
      <c r="L77" s="16" t="str">
        <f t="shared" si="9"/>
        <v/>
      </c>
      <c r="N77" s="15"/>
    </row>
    <row r="78" spans="1:14" s="12" customFormat="1" ht="25" customHeight="1">
      <c r="A78" s="10"/>
      <c r="B78" s="23"/>
      <c r="C78" s="63">
        <v>29</v>
      </c>
      <c r="D78" s="49">
        <f t="shared" si="10"/>
        <v>82</v>
      </c>
      <c r="E78" s="64">
        <f t="shared" si="8"/>
        <v>6</v>
      </c>
      <c r="F78" s="50">
        <f t="shared" si="11"/>
        <v>23.04</v>
      </c>
      <c r="G78" s="51">
        <f>IF(D78=D77,"",_xlfn.IFNA(VLOOKUP(D78,'인원 입력 기능'!$A$5:$D$103,4,FALSE),0))</f>
        <v>4713</v>
      </c>
      <c r="H78" s="52">
        <f t="shared" si="12"/>
        <v>1.4260729587761129E-2</v>
      </c>
      <c r="I78" s="65">
        <f>SUM($G$7:G78)</f>
        <v>256684</v>
      </c>
      <c r="J78" s="54">
        <f t="shared" si="13"/>
        <v>0.77668175546464624</v>
      </c>
      <c r="K78" s="28"/>
      <c r="L78" s="16" t="str">
        <f t="shared" si="9"/>
        <v/>
      </c>
      <c r="N78" s="15"/>
    </row>
    <row r="79" spans="1:14" s="12" customFormat="1" ht="25" customHeight="1">
      <c r="A79" s="10"/>
      <c r="B79" s="23"/>
      <c r="C79" s="63">
        <v>28</v>
      </c>
      <c r="D79" s="49">
        <f t="shared" si="10"/>
        <v>81</v>
      </c>
      <c r="E79" s="64">
        <f t="shared" si="8"/>
        <v>7</v>
      </c>
      <c r="F79" s="50">
        <f t="shared" si="11"/>
        <v>21.54</v>
      </c>
      <c r="G79" s="51">
        <f>IF(D79=D78,"",_xlfn.IFNA(VLOOKUP(D79,'인원 입력 기능'!$A$5:$D$103,4,FALSE),0))</f>
        <v>5261</v>
      </c>
      <c r="H79" s="52">
        <f t="shared" si="12"/>
        <v>1.5918883590327032E-2</v>
      </c>
      <c r="I79" s="65">
        <f>SUM($G$7:G79)</f>
        <v>261945</v>
      </c>
      <c r="J79" s="54">
        <f t="shared" si="13"/>
        <v>0.79260063905497324</v>
      </c>
      <c r="K79" s="28"/>
      <c r="L79" s="16" t="str">
        <f t="shared" si="9"/>
        <v/>
      </c>
      <c r="N79" s="15"/>
    </row>
    <row r="80" spans="1:14" s="12" customFormat="1" ht="25" customHeight="1">
      <c r="A80" s="10"/>
      <c r="B80" s="23"/>
      <c r="C80" s="63">
        <v>27</v>
      </c>
      <c r="D80" s="118">
        <f t="shared" si="10"/>
        <v>80</v>
      </c>
      <c r="E80" s="116">
        <f t="shared" si="8"/>
        <v>7</v>
      </c>
      <c r="F80" s="123">
        <f t="shared" si="11"/>
        <v>18.62</v>
      </c>
      <c r="G80" s="122">
        <f>IF(D80=D79,"",_xlfn.IFNA(VLOOKUP(D80,'인원 입력 기능'!$A$5:$D$103,4,FALSE),0))</f>
        <v>14025</v>
      </c>
      <c r="H80" s="128">
        <f t="shared" si="12"/>
        <v>4.2437244317494127E-2</v>
      </c>
      <c r="I80" s="130">
        <f>SUM($G$7:G80)</f>
        <v>275970</v>
      </c>
      <c r="J80" s="132">
        <f t="shared" si="13"/>
        <v>0.83503788337246743</v>
      </c>
      <c r="K80" s="28"/>
      <c r="L80" s="16" t="str">
        <f t="shared" si="9"/>
        <v/>
      </c>
      <c r="N80" s="15"/>
    </row>
    <row r="81" spans="1:14" s="12" customFormat="1" ht="25" customHeight="1">
      <c r="A81" s="10"/>
      <c r="B81" s="23"/>
      <c r="C81" s="63">
        <v>26</v>
      </c>
      <c r="D81" s="119"/>
      <c r="E81" s="117"/>
      <c r="F81" s="115"/>
      <c r="G81" s="114"/>
      <c r="H81" s="129"/>
      <c r="I81" s="131"/>
      <c r="J81" s="133"/>
      <c r="K81" s="28"/>
      <c r="L81" s="16" t="str">
        <f t="shared" si="9"/>
        <v>경고</v>
      </c>
      <c r="N81" s="15"/>
    </row>
    <row r="82" spans="1:14" s="12" customFormat="1" ht="25" customHeight="1">
      <c r="A82" s="10"/>
      <c r="B82" s="23"/>
      <c r="C82" s="63">
        <v>25</v>
      </c>
      <c r="D82" s="49">
        <f t="shared" si="10"/>
        <v>79</v>
      </c>
      <c r="E82" s="64">
        <f t="shared" si="8"/>
        <v>7</v>
      </c>
      <c r="F82" s="50">
        <f t="shared" si="11"/>
        <v>15.75</v>
      </c>
      <c r="G82" s="51">
        <f>IF(D82=D81,"",_xlfn.IFNA(VLOOKUP(D82,'인원 입력 기능'!$A$5:$D$103,4,FALSE),0))</f>
        <v>4960</v>
      </c>
      <c r="H82" s="52">
        <f t="shared" si="12"/>
        <v>1.500810922030452E-2</v>
      </c>
      <c r="I82" s="65">
        <f>SUM($G$7:G82)</f>
        <v>280930</v>
      </c>
      <c r="J82" s="54">
        <f t="shared" si="13"/>
        <v>0.85004599259277192</v>
      </c>
      <c r="K82" s="28"/>
      <c r="L82" s="16" t="str">
        <f t="shared" si="9"/>
        <v/>
      </c>
      <c r="N82" s="15"/>
    </row>
    <row r="83" spans="1:14" s="12" customFormat="1" ht="25" customHeight="1">
      <c r="A83" s="10"/>
      <c r="B83" s="23"/>
      <c r="C83" s="63">
        <v>24</v>
      </c>
      <c r="D83" s="49">
        <f t="shared" si="10"/>
        <v>78</v>
      </c>
      <c r="E83" s="64">
        <f t="shared" si="8"/>
        <v>7</v>
      </c>
      <c r="F83" s="50">
        <f t="shared" si="11"/>
        <v>14.35</v>
      </c>
      <c r="G83" s="51">
        <f>IF(D83=D82,"",_xlfn.IFNA(VLOOKUP(D83,'인원 입력 기능'!$A$5:$D$103,4,FALSE),0))</f>
        <v>4276</v>
      </c>
      <c r="H83" s="52">
        <f t="shared" si="12"/>
        <v>1.2938442545568977E-2</v>
      </c>
      <c r="I83" s="65">
        <f>SUM($G$7:G83)</f>
        <v>285206</v>
      </c>
      <c r="J83" s="54">
        <f t="shared" si="13"/>
        <v>0.86298443513834089</v>
      </c>
      <c r="K83" s="28"/>
      <c r="L83" s="16" t="str">
        <f t="shared" si="9"/>
        <v/>
      </c>
      <c r="N83" s="15"/>
    </row>
    <row r="84" spans="1:14" s="12" customFormat="1" ht="25" customHeight="1">
      <c r="A84" s="10"/>
      <c r="B84" s="23"/>
      <c r="C84" s="63">
        <v>23</v>
      </c>
      <c r="D84" s="49">
        <f t="shared" si="10"/>
        <v>77</v>
      </c>
      <c r="E84" s="64">
        <f t="shared" si="8"/>
        <v>7</v>
      </c>
      <c r="F84" s="50">
        <f t="shared" si="11"/>
        <v>13.05</v>
      </c>
      <c r="G84" s="51">
        <f>IF(D84=D83,"",_xlfn.IFNA(VLOOKUP(D84,'인원 입력 기능'!$A$5:$D$103,4,FALSE),0))</f>
        <v>4297</v>
      </c>
      <c r="H84" s="52">
        <f t="shared" si="12"/>
        <v>1.3001984943477525E-2</v>
      </c>
      <c r="I84" s="65">
        <f>SUM($G$7:G84)</f>
        <v>289503</v>
      </c>
      <c r="J84" s="54">
        <f t="shared" si="13"/>
        <v>0.87598642008181837</v>
      </c>
      <c r="K84" s="28"/>
      <c r="L84" s="16" t="str">
        <f t="shared" si="9"/>
        <v/>
      </c>
      <c r="N84" s="15"/>
    </row>
    <row r="85" spans="1:14" s="12" customFormat="1" ht="25" customHeight="1">
      <c r="A85" s="10"/>
      <c r="B85" s="23"/>
      <c r="C85" s="63">
        <v>22</v>
      </c>
      <c r="D85" s="49">
        <f t="shared" si="10"/>
        <v>76</v>
      </c>
      <c r="E85" s="64">
        <f t="shared" si="8"/>
        <v>7</v>
      </c>
      <c r="F85" s="50">
        <f t="shared" si="11"/>
        <v>11.63</v>
      </c>
      <c r="G85" s="51">
        <f>IF(D85=D84,"",_xlfn.IFNA(VLOOKUP(D85,'인원 입력 기능'!$A$5:$D$103,4,FALSE),0))</f>
        <v>5091</v>
      </c>
      <c r="H85" s="52">
        <f t="shared" si="12"/>
        <v>1.5404492750114981E-2</v>
      </c>
      <c r="I85" s="65">
        <f>SUM($G$7:G85)</f>
        <v>294594</v>
      </c>
      <c r="J85" s="54">
        <f t="shared" si="13"/>
        <v>0.89139091283193339</v>
      </c>
      <c r="K85" s="28"/>
      <c r="L85" s="16" t="str">
        <f t="shared" si="9"/>
        <v/>
      </c>
      <c r="N85" s="15"/>
    </row>
    <row r="86" spans="1:14" s="12" customFormat="1" ht="25" customHeight="1">
      <c r="A86" s="10"/>
      <c r="B86" s="23"/>
      <c r="C86" s="63">
        <v>21</v>
      </c>
      <c r="D86" s="49">
        <f t="shared" si="10"/>
        <v>75</v>
      </c>
      <c r="E86" s="64">
        <f t="shared" si="8"/>
        <v>8</v>
      </c>
      <c r="F86" s="50">
        <f t="shared" si="11"/>
        <v>10.25</v>
      </c>
      <c r="G86" s="51">
        <f>IF(D86=D85,"",_xlfn.IFNA(VLOOKUP(D86,'인원 입력 기능'!$A$5:$D$103,4,FALSE),0))</f>
        <v>4014</v>
      </c>
      <c r="H86" s="52">
        <f t="shared" si="12"/>
        <v>1.2145675485948053E-2</v>
      </c>
      <c r="I86" s="65">
        <f>SUM($G$7:G86)</f>
        <v>298608</v>
      </c>
      <c r="J86" s="54">
        <f t="shared" si="13"/>
        <v>0.90353658831788142</v>
      </c>
      <c r="K86" s="28"/>
      <c r="L86" s="16" t="str">
        <f t="shared" si="9"/>
        <v/>
      </c>
      <c r="N86" s="15"/>
    </row>
    <row r="87" spans="1:14" s="12" customFormat="1" ht="25" customHeight="1">
      <c r="A87" s="10"/>
      <c r="B87" s="23"/>
      <c r="C87" s="63">
        <v>20</v>
      </c>
      <c r="D87" s="49">
        <f t="shared" si="10"/>
        <v>74</v>
      </c>
      <c r="E87" s="64">
        <f t="shared" si="8"/>
        <v>8</v>
      </c>
      <c r="F87" s="50">
        <f t="shared" si="11"/>
        <v>9.16</v>
      </c>
      <c r="G87" s="51">
        <f>IF(D87=D86,"",_xlfn.IFNA(VLOOKUP(D87,'인원 입력 기능'!$A$5:$D$103,4,FALSE),0))</f>
        <v>3200</v>
      </c>
      <c r="H87" s="52">
        <f t="shared" si="12"/>
        <v>9.682651109873883E-3</v>
      </c>
      <c r="I87" s="65">
        <f>SUM($G$7:G87)</f>
        <v>301808</v>
      </c>
      <c r="J87" s="54">
        <f t="shared" si="13"/>
        <v>0.91321923942775529</v>
      </c>
      <c r="K87" s="28"/>
      <c r="L87" s="16" t="str">
        <f t="shared" si="9"/>
        <v/>
      </c>
      <c r="N87" s="15"/>
    </row>
    <row r="88" spans="1:14" s="12" customFormat="1" ht="25" customHeight="1">
      <c r="A88" s="10"/>
      <c r="B88" s="23"/>
      <c r="C88" s="63">
        <v>19</v>
      </c>
      <c r="D88" s="49">
        <f t="shared" si="10"/>
        <v>73</v>
      </c>
      <c r="E88" s="64">
        <f t="shared" si="8"/>
        <v>8</v>
      </c>
      <c r="F88" s="50">
        <f t="shared" si="11"/>
        <v>8.1300000000000008</v>
      </c>
      <c r="G88" s="51">
        <f>IF(D88=D87,"",_xlfn.IFNA(VLOOKUP(D88,'인원 입력 기능'!$A$5:$D$103,4,FALSE),0))</f>
        <v>3638</v>
      </c>
      <c r="H88" s="52">
        <f t="shared" si="12"/>
        <v>1.100796398053787E-2</v>
      </c>
      <c r="I88" s="65">
        <f>SUM($G$7:G88)</f>
        <v>305446</v>
      </c>
      <c r="J88" s="54">
        <f t="shared" si="13"/>
        <v>0.92422720340829323</v>
      </c>
      <c r="K88" s="28"/>
      <c r="L88" s="16" t="str">
        <f t="shared" si="9"/>
        <v/>
      </c>
      <c r="N88" s="15"/>
    </row>
    <row r="89" spans="1:14" s="12" customFormat="1" ht="25" customHeight="1">
      <c r="A89" s="10"/>
      <c r="B89" s="23"/>
      <c r="C89" s="63">
        <v>18</v>
      </c>
      <c r="D89" s="118">
        <f t="shared" si="10"/>
        <v>72</v>
      </c>
      <c r="E89" s="116">
        <f t="shared" si="8"/>
        <v>8</v>
      </c>
      <c r="F89" s="123">
        <f t="shared" si="11"/>
        <v>6.71</v>
      </c>
      <c r="G89" s="122">
        <f>IF(D89=D88,"",_xlfn.IFNA(VLOOKUP(D89,'인원 입력 기능'!$A$5:$D$103,4,FALSE),0))</f>
        <v>5724</v>
      </c>
      <c r="H89" s="128">
        <f t="shared" si="12"/>
        <v>1.7319842172786908E-2</v>
      </c>
      <c r="I89" s="130">
        <f>SUM($G$7:G89)</f>
        <v>311170</v>
      </c>
      <c r="J89" s="132">
        <f t="shared" si="13"/>
        <v>0.94154704558108004</v>
      </c>
      <c r="K89" s="28"/>
      <c r="L89" s="16" t="str">
        <f t="shared" si="9"/>
        <v/>
      </c>
      <c r="N89" s="15"/>
    </row>
    <row r="90" spans="1:14" s="12" customFormat="1" ht="25" customHeight="1">
      <c r="A90" s="10"/>
      <c r="B90" s="23"/>
      <c r="C90" s="63">
        <v>17</v>
      </c>
      <c r="D90" s="119"/>
      <c r="E90" s="117"/>
      <c r="F90" s="115"/>
      <c r="G90" s="114"/>
      <c r="H90" s="129"/>
      <c r="I90" s="131"/>
      <c r="J90" s="133"/>
      <c r="K90" s="28"/>
      <c r="L90" s="16" t="str">
        <f t="shared" si="9"/>
        <v>경고</v>
      </c>
      <c r="N90" s="15"/>
    </row>
    <row r="91" spans="1:14" s="12" customFormat="1" ht="25" customHeight="1">
      <c r="A91" s="10"/>
      <c r="B91" s="23"/>
      <c r="C91" s="63">
        <v>16</v>
      </c>
      <c r="D91" s="49">
        <f t="shared" si="10"/>
        <v>71</v>
      </c>
      <c r="E91" s="64">
        <f t="shared" si="8"/>
        <v>8</v>
      </c>
      <c r="F91" s="50">
        <f t="shared" si="11"/>
        <v>5.54</v>
      </c>
      <c r="G91" s="51">
        <f>IF(D91=D90,"",_xlfn.IFNA(VLOOKUP(D91,'인원 입력 기능'!$A$5:$D$103,4,FALSE),0))</f>
        <v>2029</v>
      </c>
      <c r="H91" s="52">
        <f t="shared" si="12"/>
        <v>6.1394059693544089E-3</v>
      </c>
      <c r="I91" s="65">
        <f>SUM($G$7:G91)</f>
        <v>313199</v>
      </c>
      <c r="J91" s="54">
        <f t="shared" si="13"/>
        <v>0.94768645155043452</v>
      </c>
      <c r="K91" s="28"/>
      <c r="L91" s="16" t="str">
        <f t="shared" si="9"/>
        <v/>
      </c>
      <c r="N91" s="15"/>
    </row>
    <row r="92" spans="1:14" s="12" customFormat="1" ht="25" customHeight="1">
      <c r="A92" s="10"/>
      <c r="B92" s="23"/>
      <c r="C92" s="63">
        <v>15</v>
      </c>
      <c r="D92" s="49">
        <f t="shared" si="10"/>
        <v>70</v>
      </c>
      <c r="E92" s="64">
        <f t="shared" si="8"/>
        <v>8</v>
      </c>
      <c r="F92" s="50">
        <f t="shared" si="11"/>
        <v>3.9</v>
      </c>
      <c r="G92" s="51">
        <f>IF(D92=D91,"",_xlfn.IFNA(VLOOKUP(D92,'인원 입력 기능'!$A$5:$D$103,4,FALSE),0))</f>
        <v>8774</v>
      </c>
      <c r="H92" s="52">
        <f t="shared" si="12"/>
        <v>2.6548619011885453E-2</v>
      </c>
      <c r="I92" s="65">
        <f>SUM($G$7:G92)</f>
        <v>321973</v>
      </c>
      <c r="J92" s="54">
        <f t="shared" si="13"/>
        <v>0.97423507056231995</v>
      </c>
      <c r="K92" s="28"/>
      <c r="L92" s="16" t="str">
        <f t="shared" si="9"/>
        <v/>
      </c>
      <c r="N92" s="15"/>
    </row>
    <row r="93" spans="1:14" s="12" customFormat="1" ht="25" customHeight="1">
      <c r="A93" s="10"/>
      <c r="B93" s="23"/>
      <c r="C93" s="63">
        <v>14</v>
      </c>
      <c r="D93" s="49">
        <f t="shared" si="10"/>
        <v>69</v>
      </c>
      <c r="E93" s="64">
        <f t="shared" si="8"/>
        <v>9</v>
      </c>
      <c r="F93" s="50">
        <f t="shared" si="11"/>
        <v>2.38</v>
      </c>
      <c r="G93" s="51">
        <f>IF(D93=D92,"",_xlfn.IFNA(VLOOKUP(D93,'인원 입력 기능'!$A$5:$D$103,4,FALSE),0))</f>
        <v>1315</v>
      </c>
      <c r="H93" s="52">
        <f t="shared" si="12"/>
        <v>3.9789644404637989E-3</v>
      </c>
      <c r="I93" s="65">
        <f>SUM($G$7:G93)</f>
        <v>323288</v>
      </c>
      <c r="J93" s="54">
        <f t="shared" si="13"/>
        <v>0.97821403500278381</v>
      </c>
      <c r="K93" s="28"/>
      <c r="L93" s="16" t="str">
        <f t="shared" si="9"/>
        <v/>
      </c>
      <c r="N93" s="15"/>
    </row>
    <row r="94" spans="1:14" s="12" customFormat="1" ht="25" customHeight="1">
      <c r="A94" s="10"/>
      <c r="B94" s="23"/>
      <c r="C94" s="63">
        <v>13</v>
      </c>
      <c r="D94" s="49">
        <f t="shared" si="10"/>
        <v>68</v>
      </c>
      <c r="E94" s="64">
        <f t="shared" si="8"/>
        <v>9</v>
      </c>
      <c r="F94" s="50">
        <f t="shared" si="11"/>
        <v>2.02</v>
      </c>
      <c r="G94" s="51">
        <f>IF(D94=D93,"",_xlfn.IFNA(VLOOKUP(D94,'인원 입력 기능'!$A$5:$D$103,4,FALSE),0))</f>
        <v>1068</v>
      </c>
      <c r="H94" s="52">
        <f t="shared" si="12"/>
        <v>3.2315848079204085E-3</v>
      </c>
      <c r="I94" s="65">
        <f>SUM($G$7:G94)</f>
        <v>324356</v>
      </c>
      <c r="J94" s="54">
        <f t="shared" si="13"/>
        <v>0.98144561981070422</v>
      </c>
      <c r="K94" s="28"/>
      <c r="L94" s="16" t="str">
        <f t="shared" si="9"/>
        <v/>
      </c>
      <c r="N94" s="15"/>
    </row>
    <row r="95" spans="1:14" s="12" customFormat="1" ht="25" customHeight="1">
      <c r="A95" s="10"/>
      <c r="B95" s="23"/>
      <c r="C95" s="63">
        <v>12</v>
      </c>
      <c r="D95" s="49">
        <f t="shared" si="10"/>
        <v>67</v>
      </c>
      <c r="E95" s="64">
        <f t="shared" si="8"/>
        <v>9</v>
      </c>
      <c r="F95" s="50">
        <f t="shared" si="11"/>
        <v>1.7</v>
      </c>
      <c r="G95" s="51">
        <f>IF(D95=D94,"",_xlfn.IFNA(VLOOKUP(D95,'인원 입력 기능'!$A$5:$D$103,4,FALSE),0))</f>
        <v>1049</v>
      </c>
      <c r="H95" s="52">
        <f t="shared" si="12"/>
        <v>3.1740940669555324E-3</v>
      </c>
      <c r="I95" s="65">
        <f>SUM($G$7:G95)</f>
        <v>325405</v>
      </c>
      <c r="J95" s="54">
        <f t="shared" si="13"/>
        <v>0.98461971387765967</v>
      </c>
      <c r="K95" s="28"/>
      <c r="L95" s="16" t="str">
        <f t="shared" si="9"/>
        <v/>
      </c>
      <c r="N95" s="15"/>
    </row>
    <row r="96" spans="1:14" s="12" customFormat="1" ht="25" customHeight="1">
      <c r="A96" s="10"/>
      <c r="B96" s="23"/>
      <c r="C96" s="63">
        <v>11</v>
      </c>
      <c r="D96" s="49">
        <f t="shared" si="10"/>
        <v>66</v>
      </c>
      <c r="E96" s="64">
        <f t="shared" si="8"/>
        <v>9</v>
      </c>
      <c r="F96" s="50">
        <f t="shared" si="11"/>
        <v>1.43</v>
      </c>
      <c r="G96" s="51">
        <f>IF(D96=D95,"",_xlfn.IFNA(VLOOKUP(D96,'인원 입력 기능'!$A$5:$D$103,4,FALSE),0))</f>
        <v>685</v>
      </c>
      <c r="H96" s="52">
        <f t="shared" si="12"/>
        <v>2.0726925032073782E-3</v>
      </c>
      <c r="I96" s="65">
        <f>SUM($G$7:G96)</f>
        <v>326090</v>
      </c>
      <c r="J96" s="54">
        <f t="shared" si="13"/>
        <v>0.98669240638086708</v>
      </c>
      <c r="K96" s="28"/>
      <c r="L96" s="16" t="str">
        <f t="shared" si="9"/>
        <v/>
      </c>
      <c r="N96" s="15"/>
    </row>
    <row r="97" spans="1:14" s="12" customFormat="1" ht="25" customHeight="1">
      <c r="A97" s="10"/>
      <c r="B97" s="23"/>
      <c r="C97" s="63">
        <v>10</v>
      </c>
      <c r="D97" s="49">
        <f t="shared" si="10"/>
        <v>65</v>
      </c>
      <c r="E97" s="64">
        <f t="shared" si="8"/>
        <v>9</v>
      </c>
      <c r="F97" s="50">
        <f t="shared" si="11"/>
        <v>1.25</v>
      </c>
      <c r="G97" s="51">
        <f>IF(D97=D96,"",_xlfn.IFNA(VLOOKUP(D97,'인원 입력 기능'!$A$5:$D$103,4,FALSE),0))</f>
        <v>539</v>
      </c>
      <c r="H97" s="52">
        <f t="shared" si="12"/>
        <v>1.6309215463193823E-3</v>
      </c>
      <c r="I97" s="65">
        <f>SUM($G$7:G97)</f>
        <v>326629</v>
      </c>
      <c r="J97" s="54">
        <f t="shared" si="13"/>
        <v>0.98832332792718647</v>
      </c>
      <c r="K97" s="28"/>
      <c r="L97" s="16" t="str">
        <f t="shared" si="9"/>
        <v/>
      </c>
      <c r="N97" s="15"/>
    </row>
    <row r="98" spans="1:14" s="12" customFormat="1" ht="25" customHeight="1">
      <c r="A98" s="10"/>
      <c r="B98" s="23"/>
      <c r="C98" s="63">
        <v>9</v>
      </c>
      <c r="D98" s="118">
        <f t="shared" si="10"/>
        <v>64</v>
      </c>
      <c r="E98" s="116">
        <f t="shared" si="8"/>
        <v>9</v>
      </c>
      <c r="F98" s="123">
        <f t="shared" si="11"/>
        <v>1.07</v>
      </c>
      <c r="G98" s="122">
        <f>IF(D98=D97,"",_xlfn.IFNA(VLOOKUP(D98,'인원 입력 기능'!$A$5:$D$103,4,FALSE),0))</f>
        <v>645</v>
      </c>
      <c r="H98" s="128">
        <f t="shared" si="12"/>
        <v>1.9516593643339546E-3</v>
      </c>
      <c r="I98" s="130">
        <f>SUM($G$7:G98)</f>
        <v>327274</v>
      </c>
      <c r="J98" s="132">
        <f t="shared" si="13"/>
        <v>0.99027498729152041</v>
      </c>
      <c r="K98" s="28"/>
      <c r="L98" s="16" t="str">
        <f t="shared" si="9"/>
        <v/>
      </c>
      <c r="N98" s="15"/>
    </row>
    <row r="99" spans="1:14" s="12" customFormat="1" ht="25" customHeight="1">
      <c r="A99" s="10"/>
      <c r="B99" s="23"/>
      <c r="C99" s="63">
        <v>8</v>
      </c>
      <c r="D99" s="119"/>
      <c r="E99" s="117"/>
      <c r="F99" s="115"/>
      <c r="G99" s="114"/>
      <c r="H99" s="129"/>
      <c r="I99" s="131"/>
      <c r="J99" s="133"/>
      <c r="K99" s="28"/>
      <c r="L99" s="16" t="str">
        <f t="shared" si="9"/>
        <v>경고</v>
      </c>
      <c r="N99" s="15"/>
    </row>
    <row r="100" spans="1:14" s="12" customFormat="1" ht="25" customHeight="1">
      <c r="A100" s="10"/>
      <c r="B100" s="23"/>
      <c r="C100" s="63">
        <v>7</v>
      </c>
      <c r="D100" s="49">
        <f t="shared" si="10"/>
        <v>63</v>
      </c>
      <c r="E100" s="64">
        <f t="shared" si="8"/>
        <v>9</v>
      </c>
      <c r="F100" s="50">
        <f t="shared" si="11"/>
        <v>0.95</v>
      </c>
      <c r="G100" s="51">
        <f>IF(D100=D99,"",_xlfn.IFNA(VLOOKUP(D100,'인원 입력 기능'!$A$5:$D$103,4,FALSE),0))</f>
        <v>117</v>
      </c>
      <c r="H100" s="52">
        <f t="shared" si="12"/>
        <v>3.5402193120476384E-4</v>
      </c>
      <c r="I100" s="65">
        <f>SUM($G$7:G100)</f>
        <v>327391</v>
      </c>
      <c r="J100" s="54">
        <f t="shared" si="13"/>
        <v>0.99062900922272523</v>
      </c>
      <c r="K100" s="28"/>
      <c r="L100" s="16" t="str">
        <f t="shared" si="9"/>
        <v/>
      </c>
      <c r="N100" s="15"/>
    </row>
    <row r="101" spans="1:14" s="12" customFormat="1" ht="25" customHeight="1">
      <c r="A101" s="10"/>
      <c r="B101" s="23"/>
      <c r="C101" s="55">
        <v>6</v>
      </c>
      <c r="D101" s="49">
        <f t="shared" si="10"/>
        <v>62</v>
      </c>
      <c r="E101" s="49">
        <f t="shared" si="8"/>
        <v>9</v>
      </c>
      <c r="F101" s="50">
        <f t="shared" si="11"/>
        <v>0.74</v>
      </c>
      <c r="G101" s="51">
        <f>IF(D101=D100,"",_xlfn.IFNA(VLOOKUP(D101,'인원 입력 기능'!$A$5:$D$103,4,FALSE),0))</f>
        <v>1312</v>
      </c>
      <c r="H101" s="52">
        <f t="shared" si="12"/>
        <v>3.9698869550482919E-3</v>
      </c>
      <c r="I101" s="62">
        <f>SUM($G$7:G101)</f>
        <v>328703</v>
      </c>
      <c r="J101" s="54">
        <f t="shared" si="13"/>
        <v>0.99459889617777353</v>
      </c>
      <c r="K101" s="28"/>
      <c r="L101" s="16" t="str">
        <f t="shared" si="9"/>
        <v/>
      </c>
      <c r="N101" s="15"/>
    </row>
    <row r="102" spans="1:14" s="12" customFormat="1" ht="25" customHeight="1">
      <c r="A102" s="10"/>
      <c r="B102" s="23"/>
      <c r="C102" s="55">
        <v>5</v>
      </c>
      <c r="D102" s="49">
        <f t="shared" si="10"/>
        <v>61</v>
      </c>
      <c r="E102" s="49">
        <f t="shared" si="8"/>
        <v>9</v>
      </c>
      <c r="F102" s="50">
        <f t="shared" si="11"/>
        <v>0.53</v>
      </c>
      <c r="G102" s="51">
        <f>IF(D102=D101,"",_xlfn.IFNA(VLOOKUP(D102,'인원 입력 기능'!$A$5:$D$103,4,FALSE),0))</f>
        <v>46</v>
      </c>
      <c r="H102" s="52">
        <f t="shared" si="12"/>
        <v>1.3918810970443707E-4</v>
      </c>
      <c r="I102" s="62">
        <f>SUM($G$7:G102)</f>
        <v>328749</v>
      </c>
      <c r="J102" s="54">
        <f t="shared" si="13"/>
        <v>0.9947380842874779</v>
      </c>
      <c r="K102" s="28"/>
      <c r="L102" s="16" t="str">
        <f t="shared" si="9"/>
        <v/>
      </c>
      <c r="N102" s="15"/>
    </row>
    <row r="103" spans="1:14" s="12" customFormat="1" ht="25" customHeight="1">
      <c r="A103" s="10"/>
      <c r="B103" s="23"/>
      <c r="C103" s="55">
        <v>4</v>
      </c>
      <c r="D103" s="49">
        <f t="shared" si="10"/>
        <v>60</v>
      </c>
      <c r="E103" s="49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50">
        <f t="shared" si="11"/>
        <v>0.51</v>
      </c>
      <c r="G103" s="51">
        <f>IF(D103=D102,"",_xlfn.IFNA(VLOOKUP(D103,'인원 입력 기능'!$A$5:$D$103,4,FALSE),0))</f>
        <v>137</v>
      </c>
      <c r="H103" s="52">
        <f t="shared" si="12"/>
        <v>4.1453850064147564E-4</v>
      </c>
      <c r="I103" s="62">
        <f>SUM($G$7:G103)</f>
        <v>328886</v>
      </c>
      <c r="J103" s="54">
        <f t="shared" si="13"/>
        <v>0.99515262278811933</v>
      </c>
      <c r="K103" s="28"/>
      <c r="L103" s="16" t="str">
        <f t="shared" si="9"/>
        <v/>
      </c>
      <c r="N103" s="15"/>
    </row>
    <row r="104" spans="1:14" s="12" customFormat="1" ht="25" customHeight="1">
      <c r="A104" s="10"/>
      <c r="B104" s="23"/>
      <c r="C104" s="55">
        <v>3</v>
      </c>
      <c r="D104" s="49">
        <f t="shared" si="10"/>
        <v>59</v>
      </c>
      <c r="E104" s="49">
        <f t="shared" si="14"/>
        <v>9</v>
      </c>
      <c r="F104" s="50">
        <f t="shared" si="11"/>
        <v>0.48</v>
      </c>
      <c r="G104" s="51">
        <f>IF(D104=D103,"",_xlfn.IFNA(VLOOKUP(D104,'인원 입력 기능'!$A$5:$D$103,4,FALSE),0))</f>
        <v>18</v>
      </c>
      <c r="H104" s="52">
        <f t="shared" si="12"/>
        <v>5.4464912493040593E-5</v>
      </c>
      <c r="I104" s="62">
        <f>SUM($G$7:G104)</f>
        <v>328904</v>
      </c>
      <c r="J104" s="54">
        <f t="shared" si="13"/>
        <v>0.99520708770061239</v>
      </c>
      <c r="K104" s="28"/>
      <c r="L104" s="16" t="str">
        <f t="shared" si="9"/>
        <v/>
      </c>
      <c r="N104" s="15"/>
    </row>
    <row r="105" spans="1:14" s="12" customFormat="1" ht="25" customHeight="1">
      <c r="A105" s="10"/>
      <c r="B105" s="23"/>
      <c r="C105" s="55">
        <v>2</v>
      </c>
      <c r="D105" s="49">
        <f t="shared" si="10"/>
        <v>58</v>
      </c>
      <c r="E105" s="49">
        <f t="shared" si="14"/>
        <v>9</v>
      </c>
      <c r="F105" s="50">
        <f t="shared" si="11"/>
        <v>0.47</v>
      </c>
      <c r="G105" s="51">
        <f>IF(D105=D104,"",_xlfn.IFNA(VLOOKUP(D105,'인원 입력 기능'!$A$5:$D$103,4,FALSE),0))</f>
        <v>90</v>
      </c>
      <c r="H105" s="52">
        <f t="shared" si="12"/>
        <v>2.72324562465203E-4</v>
      </c>
      <c r="I105" s="62">
        <f>SUM($G$7:G105)</f>
        <v>328994</v>
      </c>
      <c r="J105" s="54">
        <f t="shared" si="13"/>
        <v>0.99547941226307768</v>
      </c>
      <c r="K105" s="28"/>
      <c r="L105" s="16" t="str">
        <f t="shared" si="9"/>
        <v/>
      </c>
      <c r="N105" s="15"/>
    </row>
    <row r="106" spans="1:14" s="12" customFormat="1" ht="25" customHeight="1">
      <c r="A106" s="10"/>
      <c r="B106" s="23"/>
      <c r="C106" s="55">
        <v>1</v>
      </c>
      <c r="D106" s="56" t="s">
        <v>37</v>
      </c>
      <c r="E106" s="56"/>
      <c r="F106" s="57"/>
      <c r="G106" s="58"/>
      <c r="H106" s="59"/>
      <c r="I106" s="66"/>
      <c r="J106" s="61"/>
      <c r="K106" s="29"/>
      <c r="L106" s="16"/>
    </row>
    <row r="107" spans="1:14" s="12" customFormat="1" ht="25" customHeight="1" thickBot="1">
      <c r="A107" s="10"/>
      <c r="B107" s="23"/>
      <c r="C107" s="67">
        <v>0</v>
      </c>
      <c r="D107" s="68">
        <f>ROUND(20*(C107-$H$3)/$H$4+100,0)</f>
        <v>56</v>
      </c>
      <c r="E107" s="6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69">
        <f>IF(I105=0,ROUND(100*(1-(I104+I107)/2/$J$3),2),ROUND(100*(1-(I105+I107)/2/$J$3),2))</f>
        <v>0.23</v>
      </c>
      <c r="G107" s="70">
        <f>_xlfn.IFNA(VLOOKUP(D107,'인원 입력 기능'!$A$5:$D$103,4,FALSE),0)</f>
        <v>1494</v>
      </c>
      <c r="H107" s="71">
        <f>G107/$J$3</f>
        <v>4.520587736922369E-3</v>
      </c>
      <c r="I107" s="72">
        <f>SUM($G$7:G107)</f>
        <v>330488</v>
      </c>
      <c r="J107" s="73">
        <f>I107/$J$3</f>
        <v>1</v>
      </c>
      <c r="K107" s="33"/>
      <c r="L107" s="16" t="str">
        <f>IF(ABS((C107-$H$3)/$H$4*20+100-D107)&gt;0.49, "경고", "")</f>
        <v/>
      </c>
    </row>
    <row r="108" spans="1:14" s="2" customFormat="1" ht="6" customHeight="1">
      <c r="B108" s="30"/>
      <c r="C108" s="31"/>
      <c r="D108" s="31"/>
      <c r="E108" s="31"/>
      <c r="F108" s="31"/>
      <c r="G108" s="31"/>
      <c r="H108" s="31"/>
      <c r="I108" s="31"/>
      <c r="J108" s="31"/>
      <c r="K108" s="32"/>
      <c r="L108" s="18"/>
    </row>
    <row r="109" spans="1:14">
      <c r="A109" s="2"/>
      <c r="B109" s="2"/>
      <c r="C109" s="2"/>
      <c r="D109" s="2"/>
      <c r="E109" s="2"/>
      <c r="F109" s="2"/>
      <c r="G109" s="2"/>
      <c r="H109" s="2"/>
      <c r="I109" s="2"/>
      <c r="J109" s="2"/>
      <c r="L109" s="18"/>
    </row>
  </sheetData>
  <mergeCells count="73">
    <mergeCell ref="I98:I99"/>
    <mergeCell ref="J98:J99"/>
    <mergeCell ref="D98:D99"/>
    <mergeCell ref="E98:E99"/>
    <mergeCell ref="F98:F99"/>
    <mergeCell ref="G98:G99"/>
    <mergeCell ref="H98:H99"/>
    <mergeCell ref="I80:I81"/>
    <mergeCell ref="J80:J81"/>
    <mergeCell ref="D89:D90"/>
    <mergeCell ref="E89:E90"/>
    <mergeCell ref="F89:F90"/>
    <mergeCell ref="G89:G90"/>
    <mergeCell ref="H89:H90"/>
    <mergeCell ref="I89:I90"/>
    <mergeCell ref="J89:J90"/>
    <mergeCell ref="D80:D81"/>
    <mergeCell ref="E80:E81"/>
    <mergeCell ref="F80:F81"/>
    <mergeCell ref="G80:G81"/>
    <mergeCell ref="H80:H81"/>
    <mergeCell ref="I62:I63"/>
    <mergeCell ref="J62:J63"/>
    <mergeCell ref="D71:D72"/>
    <mergeCell ref="E71:E72"/>
    <mergeCell ref="F71:F72"/>
    <mergeCell ref="G71:G72"/>
    <mergeCell ref="H71:H72"/>
    <mergeCell ref="I71:I72"/>
    <mergeCell ref="J71:J72"/>
    <mergeCell ref="D62:D63"/>
    <mergeCell ref="E62:E63"/>
    <mergeCell ref="F62:F63"/>
    <mergeCell ref="G62:G63"/>
    <mergeCell ref="H62:H63"/>
    <mergeCell ref="I44:I45"/>
    <mergeCell ref="J44:J45"/>
    <mergeCell ref="D53:D54"/>
    <mergeCell ref="E53:E54"/>
    <mergeCell ref="F53:F54"/>
    <mergeCell ref="G53:G54"/>
    <mergeCell ref="H53:H54"/>
    <mergeCell ref="I53:I54"/>
    <mergeCell ref="J53:J54"/>
    <mergeCell ref="D44:D45"/>
    <mergeCell ref="E44:E45"/>
    <mergeCell ref="F44:F45"/>
    <mergeCell ref="G44:G45"/>
    <mergeCell ref="H44:H45"/>
    <mergeCell ref="I26:I27"/>
    <mergeCell ref="J26:J27"/>
    <mergeCell ref="D35:D36"/>
    <mergeCell ref="E35:E36"/>
    <mergeCell ref="F35:F36"/>
    <mergeCell ref="G35:G36"/>
    <mergeCell ref="H35:H36"/>
    <mergeCell ref="I35:I36"/>
    <mergeCell ref="J35:J36"/>
    <mergeCell ref="D26:D27"/>
    <mergeCell ref="E26:E27"/>
    <mergeCell ref="F26:F27"/>
    <mergeCell ref="G26:G27"/>
    <mergeCell ref="H26:H27"/>
    <mergeCell ref="D3:F3"/>
    <mergeCell ref="D4:F4"/>
    <mergeCell ref="G5:J5"/>
    <mergeCell ref="D17:D18"/>
    <mergeCell ref="E17:E18"/>
    <mergeCell ref="F17:F18"/>
    <mergeCell ref="G17:G18"/>
    <mergeCell ref="H17:H18"/>
    <mergeCell ref="I17:I18"/>
    <mergeCell ref="J17:J18"/>
  </mergeCells>
  <phoneticPr fontId="1" type="noConversion"/>
  <conditionalFormatting sqref="D7:J17 D19:J26 D28:J35 D37:J44 D46:J53 D55:J62 D64:J71 D73:J80 D82:J89 D91:J98 D100:J107">
    <cfRule type="expression" dxfId="5" priority="3">
      <formula>OR($D7=$Q$7:$Q$14)</formula>
    </cfRule>
  </conditionalFormatting>
  <conditionalFormatting sqref="C7:C107">
    <cfRule type="expression" dxfId="4" priority="2">
      <formula>OR(AND($D7=0,OR($D6=$Q$7:$Q$14)),AND($D8&gt;0,OR($D7=$Q$7:$Q$14)))</formula>
    </cfRule>
  </conditionalFormatting>
  <conditionalFormatting sqref="D7:D17 D19:D26 D28:D35 D37:D44 D46:D53 D55:D62 D64:D71 D73:D80 D82:D89 D91:D98 D100:D107">
    <cfRule type="expression" dxfId="3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5"/>
  <dimension ref="A1:Q108"/>
  <sheetViews>
    <sheetView zoomScale="115" zoomScaleNormal="115" workbookViewId="0">
      <selection activeCell="B2" sqref="B2:K108"/>
    </sheetView>
  </sheetViews>
  <sheetFormatPr defaultRowHeight="17"/>
  <cols>
    <col min="2" max="2" width="1" style="2" customWidth="1"/>
    <col min="3" max="10" width="14.1640625" customWidth="1"/>
    <col min="11" max="11" width="1" style="2" customWidth="1"/>
    <col min="12" max="12" width="14.1640625" customWidth="1"/>
    <col min="13" max="14" width="12.4140625" customWidth="1"/>
  </cols>
  <sheetData>
    <row r="1" spans="1:17">
      <c r="A1" s="2" t="s">
        <v>39</v>
      </c>
      <c r="C1" s="2"/>
      <c r="D1" s="2"/>
      <c r="E1" s="2"/>
      <c r="F1" s="2"/>
      <c r="G1" s="2"/>
      <c r="H1" s="2"/>
      <c r="I1" s="2"/>
      <c r="J1" s="2"/>
      <c r="L1" s="2"/>
    </row>
    <row r="2" spans="1:17" s="2" customFormat="1" ht="6" customHeight="1" thickBot="1">
      <c r="B2" s="20"/>
      <c r="C2" s="21"/>
      <c r="D2" s="21"/>
      <c r="E2" s="21"/>
      <c r="F2" s="21"/>
      <c r="G2" s="21"/>
      <c r="H2" s="21"/>
      <c r="I2" s="21"/>
      <c r="J2" s="21"/>
      <c r="K2" s="22"/>
    </row>
    <row r="3" spans="1:17" s="12" customFormat="1" ht="25" customHeight="1" thickBot="1">
      <c r="A3" s="10"/>
      <c r="B3" s="23"/>
      <c r="C3" s="38" t="s">
        <v>41</v>
      </c>
      <c r="D3" s="105" t="s">
        <v>71</v>
      </c>
      <c r="E3" s="106"/>
      <c r="F3" s="107"/>
      <c r="G3" s="38" t="s">
        <v>42</v>
      </c>
      <c r="H3" s="39" t="str">
        <f>'통계 및 응시자 수 입력 기능'!D5</f>
        <v>37.22</v>
      </c>
      <c r="I3" s="11" t="s">
        <v>43</v>
      </c>
      <c r="J3" s="40">
        <f>'통계 및 응시자 수 입력 기능'!C5</f>
        <v>328689</v>
      </c>
      <c r="K3" s="24"/>
      <c r="L3" s="10"/>
    </row>
    <row r="4" spans="1:17" s="12" customFormat="1" ht="25" customHeight="1" thickBot="1">
      <c r="A4" s="10"/>
      <c r="B4" s="23"/>
      <c r="C4" s="41" t="s">
        <v>44</v>
      </c>
      <c r="D4" s="108" t="s">
        <v>47</v>
      </c>
      <c r="E4" s="109"/>
      <c r="F4" s="110"/>
      <c r="G4" s="42" t="s">
        <v>46</v>
      </c>
      <c r="H4" s="43" t="str">
        <f>'통계 및 응시자 수 입력 기능'!E5</f>
        <v>20.20</v>
      </c>
      <c r="I4" s="102"/>
      <c r="J4" s="103"/>
      <c r="K4" s="25"/>
      <c r="L4" s="10"/>
    </row>
    <row r="5" spans="1:17" s="12" customFormat="1" ht="25" customHeight="1" thickBot="1">
      <c r="A5" s="10"/>
      <c r="B5" s="23"/>
      <c r="C5" s="13"/>
      <c r="D5" s="13"/>
      <c r="E5" s="13"/>
      <c r="F5" s="99"/>
      <c r="G5" s="111" t="s">
        <v>72</v>
      </c>
      <c r="H5" s="111"/>
      <c r="I5" s="111"/>
      <c r="J5" s="111"/>
      <c r="K5" s="26"/>
      <c r="L5" s="10"/>
    </row>
    <row r="6" spans="1:17" s="12" customFormat="1" ht="25" customHeight="1" thickBot="1">
      <c r="A6" s="10"/>
      <c r="B6" s="23"/>
      <c r="C6" s="44" t="s">
        <v>48</v>
      </c>
      <c r="D6" s="45" t="s">
        <v>49</v>
      </c>
      <c r="E6" s="45" t="s">
        <v>50</v>
      </c>
      <c r="F6" s="45" t="s">
        <v>51</v>
      </c>
      <c r="G6" s="45" t="s">
        <v>52</v>
      </c>
      <c r="H6" s="46" t="s">
        <v>53</v>
      </c>
      <c r="I6" s="46" t="s">
        <v>54</v>
      </c>
      <c r="J6" s="47" t="s">
        <v>55</v>
      </c>
      <c r="K6" s="27"/>
      <c r="L6" s="19" t="s">
        <v>38</v>
      </c>
      <c r="M6" s="13"/>
      <c r="N6" s="14"/>
    </row>
    <row r="7" spans="1:17" s="12" customFormat="1" ht="25" customHeight="1">
      <c r="A7" s="10"/>
      <c r="B7" s="23"/>
      <c r="C7" s="48">
        <v>100</v>
      </c>
      <c r="D7" s="49">
        <f>ROUND(20*(C7-$H$3)/$H$4+100,0)</f>
        <v>162</v>
      </c>
      <c r="E7" s="49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0">
        <f>ROUND(100*(1-(0+I7)/2/$J$3),2)</f>
        <v>99.91</v>
      </c>
      <c r="G7" s="51">
        <f>_xlfn.IFNA(VLOOKUP(D7,'인원 입력 기능'!$F$5:$I$103,4,FALSE),0)</f>
        <v>599</v>
      </c>
      <c r="H7" s="52">
        <f>G7/$J$3</f>
        <v>1.8223913790847883E-3</v>
      </c>
      <c r="I7" s="53">
        <f>G7</f>
        <v>599</v>
      </c>
      <c r="J7" s="54">
        <f>I7/$J$3</f>
        <v>1.8223913790847883E-3</v>
      </c>
      <c r="K7" s="28"/>
      <c r="L7" s="16" t="str">
        <f>IF(ABS((C7-$H$3)/$H$4*20+100-D7)&gt;0.49, "경고", "")</f>
        <v/>
      </c>
      <c r="N7" s="15"/>
      <c r="P7" s="15">
        <v>1</v>
      </c>
      <c r="Q7" s="15">
        <f>'표점등급&amp;절평인원 입력기능'!C13</f>
        <v>138</v>
      </c>
    </row>
    <row r="8" spans="1:17" s="12" customFormat="1" ht="25" customHeight="1">
      <c r="A8" s="10"/>
      <c r="B8" s="23"/>
      <c r="C8" s="55">
        <v>99</v>
      </c>
      <c r="D8" s="56" t="s">
        <v>37</v>
      </c>
      <c r="E8" s="56"/>
      <c r="F8" s="57"/>
      <c r="G8" s="58"/>
      <c r="H8" s="59"/>
      <c r="I8" s="60"/>
      <c r="J8" s="61"/>
      <c r="K8" s="29"/>
      <c r="L8" s="16"/>
      <c r="N8" s="15"/>
      <c r="P8" s="15">
        <v>2</v>
      </c>
      <c r="Q8" s="15">
        <f>'표점등급&amp;절평인원 입력기능'!C14</f>
        <v>127</v>
      </c>
    </row>
    <row r="9" spans="1:17" s="12" customFormat="1" ht="25" customHeight="1">
      <c r="A9" s="10"/>
      <c r="B9" s="23"/>
      <c r="C9" s="55">
        <v>98</v>
      </c>
      <c r="D9" s="49">
        <f t="shared" ref="D9:D40" si="1">ROUND(20*(C9-$H$3)/$H$4+100,0)</f>
        <v>160</v>
      </c>
      <c r="E9" s="49">
        <f t="shared" si="0"/>
        <v>1</v>
      </c>
      <c r="F9" s="50">
        <f>IF(I8=0,ROUND(100*(1-(I7+I9)/2/$J$3),2),ROUND(100*(1-(I8+I9)/2/$J$3),2))</f>
        <v>99.82</v>
      </c>
      <c r="G9" s="51">
        <f>_xlfn.IFNA(VLOOKUP(D9,'인원 입력 기능'!$F$5:$I$103,4,FALSE),0)</f>
        <v>9</v>
      </c>
      <c r="H9" s="52">
        <f>G9/$J$3</f>
        <v>2.7381506530489306E-5</v>
      </c>
      <c r="I9" s="62">
        <f>SUM($G$7:G9)</f>
        <v>608</v>
      </c>
      <c r="J9" s="54">
        <f>I9/$J$3</f>
        <v>1.8497728856152777E-3</v>
      </c>
      <c r="K9" s="28"/>
      <c r="L9" s="16" t="str">
        <f t="shared" ref="L9:L40" si="2">IF(ABS((C9-$H$3)/$H$4*20+100-D9)&gt;0.49, "경고", "")</f>
        <v/>
      </c>
      <c r="N9" s="15"/>
      <c r="P9" s="15">
        <v>3</v>
      </c>
      <c r="Q9" s="15">
        <f>'표점등급&amp;절평인원 입력기능'!C15</f>
        <v>116</v>
      </c>
    </row>
    <row r="10" spans="1:17" s="12" customFormat="1" ht="25" customHeight="1">
      <c r="A10" s="10"/>
      <c r="B10" s="23"/>
      <c r="C10" s="55">
        <v>97</v>
      </c>
      <c r="D10" s="49">
        <f t="shared" si="1"/>
        <v>159</v>
      </c>
      <c r="E10" s="49">
        <f t="shared" si="0"/>
        <v>1</v>
      </c>
      <c r="F10" s="50">
        <f t="shared" ref="F10:F73" si="3">IF(I9=0,ROUND(100*(1-(I8+I10)/2/$J$3),2),ROUND(100*(1-(I9+I10)/2/$J$3),2))</f>
        <v>99.81</v>
      </c>
      <c r="G10" s="51">
        <f>IF(D10=D9,"",_xlfn.IFNA(VLOOKUP(D10,'인원 입력 기능'!$F$5:$I$103,4,FALSE),0))</f>
        <v>49</v>
      </c>
      <c r="H10" s="52">
        <f t="shared" ref="H10:H73" si="4">G10/$J$3</f>
        <v>1.4907709111044179E-4</v>
      </c>
      <c r="I10" s="62">
        <f>SUM($G$7:G10)</f>
        <v>657</v>
      </c>
      <c r="J10" s="54">
        <f t="shared" ref="J10:J73" si="5">I10/$J$3</f>
        <v>1.9988499767257194E-3</v>
      </c>
      <c r="K10" s="28"/>
      <c r="L10" s="16" t="str">
        <f t="shared" si="2"/>
        <v/>
      </c>
      <c r="N10" s="15"/>
      <c r="P10" s="15">
        <v>4</v>
      </c>
      <c r="Q10" s="15">
        <f>'표점등급&amp;절평인원 입력기능'!C16</f>
        <v>104</v>
      </c>
    </row>
    <row r="11" spans="1:17" s="12" customFormat="1" ht="25" customHeight="1">
      <c r="A11" s="10"/>
      <c r="B11" s="23"/>
      <c r="C11" s="55">
        <v>96</v>
      </c>
      <c r="D11" s="49">
        <f t="shared" si="1"/>
        <v>158</v>
      </c>
      <c r="E11" s="49">
        <f t="shared" si="0"/>
        <v>1</v>
      </c>
      <c r="F11" s="50">
        <f t="shared" si="3"/>
        <v>99.66</v>
      </c>
      <c r="G11" s="51">
        <f>IF(D11=D10,"",_xlfn.IFNA(VLOOKUP(D11,'인원 입력 기능'!$F$5:$I$103,4,FALSE),0))</f>
        <v>897</v>
      </c>
      <c r="H11" s="52">
        <f t="shared" si="4"/>
        <v>2.7290234842054341E-3</v>
      </c>
      <c r="I11" s="62">
        <f>SUM($G$7:G11)</f>
        <v>1554</v>
      </c>
      <c r="J11" s="54">
        <f t="shared" si="5"/>
        <v>4.727873460931154E-3</v>
      </c>
      <c r="K11" s="28"/>
      <c r="L11" s="16" t="str">
        <f t="shared" si="2"/>
        <v/>
      </c>
      <c r="N11" s="15"/>
      <c r="P11" s="15">
        <v>5</v>
      </c>
      <c r="Q11" s="15">
        <f>'표점등급&amp;절평인원 입력기능'!C17</f>
        <v>92</v>
      </c>
    </row>
    <row r="12" spans="1:17" s="12" customFormat="1" ht="25" customHeight="1">
      <c r="A12" s="10"/>
      <c r="B12" s="23"/>
      <c r="C12" s="55">
        <v>95</v>
      </c>
      <c r="D12" s="49">
        <f t="shared" si="1"/>
        <v>157</v>
      </c>
      <c r="E12" s="49">
        <f t="shared" si="0"/>
        <v>1</v>
      </c>
      <c r="F12" s="50">
        <f t="shared" si="3"/>
        <v>99.53</v>
      </c>
      <c r="G12" s="51">
        <f>IF(D12=D11,"",_xlfn.IFNA(VLOOKUP(D12,'인원 입력 기능'!$F$5:$I$103,4,FALSE),0))</f>
        <v>0</v>
      </c>
      <c r="H12" s="52">
        <f t="shared" si="4"/>
        <v>0</v>
      </c>
      <c r="I12" s="62">
        <f>SUM($G$7:G12)</f>
        <v>1554</v>
      </c>
      <c r="J12" s="54">
        <f t="shared" si="5"/>
        <v>4.727873460931154E-3</v>
      </c>
      <c r="K12" s="28"/>
      <c r="L12" s="16" t="str">
        <f t="shared" si="2"/>
        <v/>
      </c>
      <c r="N12" s="15"/>
      <c r="P12" s="15">
        <v>6</v>
      </c>
      <c r="Q12" s="15">
        <f>'표점등급&amp;절평인원 입력기능'!C18</f>
        <v>83</v>
      </c>
    </row>
    <row r="13" spans="1:17" s="12" customFormat="1" ht="25" customHeight="1">
      <c r="A13" s="10"/>
      <c r="B13" s="23"/>
      <c r="C13" s="55">
        <v>94</v>
      </c>
      <c r="D13" s="49">
        <f t="shared" si="1"/>
        <v>156</v>
      </c>
      <c r="E13" s="49">
        <f t="shared" si="0"/>
        <v>1</v>
      </c>
      <c r="F13" s="50">
        <f t="shared" si="3"/>
        <v>99.52</v>
      </c>
      <c r="G13" s="51">
        <f>IF(D13=D12,"",_xlfn.IFNA(VLOOKUP(D13,'인원 입력 기능'!$F$5:$I$103,4,FALSE),0))</f>
        <v>29</v>
      </c>
      <c r="H13" s="52">
        <f t="shared" si="4"/>
        <v>8.8229298820465549E-5</v>
      </c>
      <c r="I13" s="62">
        <f>SUM($G$7:G13)</f>
        <v>1583</v>
      </c>
      <c r="J13" s="54">
        <f t="shared" si="5"/>
        <v>4.8161027597516193E-3</v>
      </c>
      <c r="K13" s="28"/>
      <c r="L13" s="16" t="str">
        <f t="shared" si="2"/>
        <v/>
      </c>
      <c r="N13" s="15"/>
      <c r="P13" s="15">
        <v>7</v>
      </c>
      <c r="Q13" s="15">
        <f>'표점등급&amp;절평인원 입력기능'!C19</f>
        <v>76</v>
      </c>
    </row>
    <row r="14" spans="1:17" s="12" customFormat="1" ht="25" customHeight="1">
      <c r="A14" s="10"/>
      <c r="B14" s="23"/>
      <c r="C14" s="55">
        <v>93</v>
      </c>
      <c r="D14" s="49">
        <f t="shared" si="1"/>
        <v>155</v>
      </c>
      <c r="E14" s="49">
        <f t="shared" si="0"/>
        <v>1</v>
      </c>
      <c r="F14" s="50">
        <f t="shared" si="3"/>
        <v>99.5</v>
      </c>
      <c r="G14" s="51">
        <f>IF(D14=D13,"",_xlfn.IFNA(VLOOKUP(D14,'인원 입력 기능'!$F$5:$I$103,4,FALSE),0))</f>
        <v>123</v>
      </c>
      <c r="H14" s="52">
        <f t="shared" si="4"/>
        <v>3.7421392258335387E-4</v>
      </c>
      <c r="I14" s="62">
        <f>SUM($G$7:G14)</f>
        <v>1706</v>
      </c>
      <c r="J14" s="54">
        <f t="shared" si="5"/>
        <v>5.1903166823349728E-3</v>
      </c>
      <c r="K14" s="28"/>
      <c r="L14" s="16" t="str">
        <f t="shared" si="2"/>
        <v/>
      </c>
      <c r="N14" s="15"/>
      <c r="P14" s="15">
        <v>8</v>
      </c>
      <c r="Q14" s="15">
        <f>'표점등급&amp;절평인원 입력기능'!C20</f>
        <v>73</v>
      </c>
    </row>
    <row r="15" spans="1:17" s="12" customFormat="1" ht="25" customHeight="1">
      <c r="A15" s="10"/>
      <c r="B15" s="23"/>
      <c r="C15" s="55">
        <v>92</v>
      </c>
      <c r="D15" s="49">
        <f t="shared" si="1"/>
        <v>154</v>
      </c>
      <c r="E15" s="49">
        <f t="shared" si="0"/>
        <v>1</v>
      </c>
      <c r="F15" s="50">
        <f t="shared" si="3"/>
        <v>99.3</v>
      </c>
      <c r="G15" s="51">
        <f>IF(D15=D14,"",_xlfn.IFNA(VLOOKUP(D15,'인원 입력 기능'!$F$5:$I$103,4,FALSE),0))</f>
        <v>1219</v>
      </c>
      <c r="H15" s="52">
        <f t="shared" si="4"/>
        <v>3.7086729400740517E-3</v>
      </c>
      <c r="I15" s="62">
        <f>SUM($G$7:G15)</f>
        <v>2925</v>
      </c>
      <c r="J15" s="54">
        <f t="shared" si="5"/>
        <v>8.8989896224090249E-3</v>
      </c>
      <c r="K15" s="28"/>
      <c r="L15" s="16" t="str">
        <f t="shared" si="2"/>
        <v/>
      </c>
      <c r="N15" s="15"/>
      <c r="P15" s="15">
        <v>9</v>
      </c>
    </row>
    <row r="16" spans="1:17" s="12" customFormat="1" ht="25" customHeight="1">
      <c r="A16" s="10"/>
      <c r="B16" s="23"/>
      <c r="C16" s="55">
        <v>91</v>
      </c>
      <c r="D16" s="49">
        <f t="shared" si="1"/>
        <v>153</v>
      </c>
      <c r="E16" s="49">
        <f t="shared" si="0"/>
        <v>1</v>
      </c>
      <c r="F16" s="50">
        <f t="shared" si="3"/>
        <v>99.11</v>
      </c>
      <c r="G16" s="51">
        <f>IF(D16=D15,"",_xlfn.IFNA(VLOOKUP(D16,'인원 입력 기능'!$F$5:$I$103,4,FALSE),0))</f>
        <v>1</v>
      </c>
      <c r="H16" s="52">
        <f t="shared" si="4"/>
        <v>3.0423896144988119E-6</v>
      </c>
      <c r="I16" s="62">
        <f>SUM($G$7:G16)</f>
        <v>2926</v>
      </c>
      <c r="J16" s="54">
        <f t="shared" si="5"/>
        <v>8.9020320120235235E-3</v>
      </c>
      <c r="K16" s="28"/>
      <c r="L16" s="16" t="str">
        <f t="shared" si="2"/>
        <v/>
      </c>
      <c r="N16" s="15"/>
    </row>
    <row r="17" spans="1:17" s="12" customFormat="1" ht="25" customHeight="1">
      <c r="A17" s="10"/>
      <c r="B17" s="23"/>
      <c r="C17" s="55">
        <v>90</v>
      </c>
      <c r="D17" s="49">
        <f t="shared" si="1"/>
        <v>152</v>
      </c>
      <c r="E17" s="49">
        <f t="shared" si="0"/>
        <v>1</v>
      </c>
      <c r="F17" s="50">
        <f t="shared" si="3"/>
        <v>99.1</v>
      </c>
      <c r="G17" s="51">
        <f>IF(D17=D16,"",_xlfn.IFNA(VLOOKUP(D17,'인원 입력 기능'!$F$5:$I$103,4,FALSE),0))</f>
        <v>40</v>
      </c>
      <c r="H17" s="52">
        <f t="shared" si="4"/>
        <v>1.2169558457995247E-4</v>
      </c>
      <c r="I17" s="62">
        <f>SUM($G$7:G17)</f>
        <v>2966</v>
      </c>
      <c r="J17" s="54">
        <f t="shared" si="5"/>
        <v>9.0237275966034754E-3</v>
      </c>
      <c r="K17" s="28"/>
      <c r="L17" s="16" t="str">
        <f t="shared" si="2"/>
        <v/>
      </c>
      <c r="N17" s="15"/>
      <c r="Q17" s="12">
        <f>IF(H3*H4*J3*Q7=0, 0, 1)</f>
        <v>1</v>
      </c>
    </row>
    <row r="18" spans="1:17" s="12" customFormat="1" ht="25" customHeight="1">
      <c r="A18" s="10"/>
      <c r="B18" s="23"/>
      <c r="C18" s="55">
        <v>89</v>
      </c>
      <c r="D18" s="49">
        <f t="shared" si="1"/>
        <v>151</v>
      </c>
      <c r="E18" s="49">
        <f t="shared" si="0"/>
        <v>1</v>
      </c>
      <c r="F18" s="50">
        <f t="shared" si="3"/>
        <v>99.07</v>
      </c>
      <c r="G18" s="51">
        <f>IF(D18=D17,"",_xlfn.IFNA(VLOOKUP(D18,'인원 입력 기능'!$F$5:$I$103,4,FALSE),0))</f>
        <v>199</v>
      </c>
      <c r="H18" s="52">
        <f t="shared" si="4"/>
        <v>6.0543553328526358E-4</v>
      </c>
      <c r="I18" s="62">
        <f>SUM($G$7:G18)</f>
        <v>3165</v>
      </c>
      <c r="J18" s="54">
        <f t="shared" si="5"/>
        <v>9.62916312988874E-3</v>
      </c>
      <c r="K18" s="28"/>
      <c r="L18" s="16" t="str">
        <f t="shared" si="2"/>
        <v/>
      </c>
      <c r="N18" s="15"/>
    </row>
    <row r="19" spans="1:17" s="12" customFormat="1" ht="25" customHeight="1">
      <c r="A19" s="10"/>
      <c r="B19" s="23"/>
      <c r="C19" s="55">
        <v>88</v>
      </c>
      <c r="D19" s="49">
        <f t="shared" si="1"/>
        <v>150</v>
      </c>
      <c r="E19" s="64">
        <f t="shared" si="0"/>
        <v>1</v>
      </c>
      <c r="F19" s="50">
        <f t="shared" si="3"/>
        <v>98.78</v>
      </c>
      <c r="G19" s="51">
        <f>IF(D19=D18,"",_xlfn.IFNA(VLOOKUP(D19,'인원 입력 기능'!$F$5:$I$103,4,FALSE),0))</f>
        <v>1663</v>
      </c>
      <c r="H19" s="52">
        <f t="shared" si="4"/>
        <v>5.0594939289115241E-3</v>
      </c>
      <c r="I19" s="62">
        <f>SUM($G$7:G19)</f>
        <v>4828</v>
      </c>
      <c r="J19" s="54">
        <f t="shared" si="5"/>
        <v>1.4688657058800264E-2</v>
      </c>
      <c r="K19" s="28"/>
      <c r="L19" s="16" t="str">
        <f t="shared" si="2"/>
        <v/>
      </c>
      <c r="N19" s="15"/>
    </row>
    <row r="20" spans="1:17" s="12" customFormat="1" ht="25" customHeight="1">
      <c r="A20" s="10"/>
      <c r="B20" s="23"/>
      <c r="C20" s="55">
        <v>87</v>
      </c>
      <c r="D20" s="49">
        <f t="shared" si="1"/>
        <v>149</v>
      </c>
      <c r="E20" s="64">
        <f t="shared" si="0"/>
        <v>1</v>
      </c>
      <c r="F20" s="50">
        <f t="shared" si="3"/>
        <v>98.53</v>
      </c>
      <c r="G20" s="51">
        <f>IF(D20=D19,"",_xlfn.IFNA(VLOOKUP(D20,'인원 입력 기능'!$F$5:$I$103,4,FALSE),0))</f>
        <v>8</v>
      </c>
      <c r="H20" s="52">
        <f t="shared" si="4"/>
        <v>2.4339116915990495E-5</v>
      </c>
      <c r="I20" s="62">
        <f>SUM($G$7:G20)</f>
        <v>4836</v>
      </c>
      <c r="J20" s="54">
        <f t="shared" si="5"/>
        <v>1.4712996175716255E-2</v>
      </c>
      <c r="K20" s="28"/>
      <c r="L20" s="16" t="str">
        <f t="shared" si="2"/>
        <v/>
      </c>
      <c r="N20" s="15"/>
    </row>
    <row r="21" spans="1:17" s="12" customFormat="1" ht="25" customHeight="1">
      <c r="A21" s="10"/>
      <c r="B21" s="23"/>
      <c r="C21" s="55">
        <v>86</v>
      </c>
      <c r="D21" s="49">
        <f t="shared" si="1"/>
        <v>148</v>
      </c>
      <c r="E21" s="64">
        <f t="shared" si="0"/>
        <v>1</v>
      </c>
      <c r="F21" s="50">
        <f t="shared" si="3"/>
        <v>98.52</v>
      </c>
      <c r="G21" s="51">
        <f>IF(D21=D20,"",_xlfn.IFNA(VLOOKUP(D21,'인원 입력 기능'!$F$5:$I$103,4,FALSE),0))</f>
        <v>67</v>
      </c>
      <c r="H21" s="52">
        <f t="shared" si="4"/>
        <v>2.038401041714204E-4</v>
      </c>
      <c r="I21" s="62">
        <f>SUM($G$7:G21)</f>
        <v>4903</v>
      </c>
      <c r="J21" s="54">
        <f t="shared" si="5"/>
        <v>1.4916836279887675E-2</v>
      </c>
      <c r="K21" s="28"/>
      <c r="L21" s="16" t="str">
        <f t="shared" si="2"/>
        <v/>
      </c>
      <c r="N21" s="15"/>
    </row>
    <row r="22" spans="1:17" s="12" customFormat="1" ht="25" customHeight="1">
      <c r="A22" s="10"/>
      <c r="B22" s="23"/>
      <c r="C22" s="55">
        <v>85</v>
      </c>
      <c r="D22" s="49">
        <f t="shared" si="1"/>
        <v>147</v>
      </c>
      <c r="E22" s="64">
        <f t="shared" si="0"/>
        <v>1</v>
      </c>
      <c r="F22" s="50">
        <f t="shared" si="3"/>
        <v>98.45</v>
      </c>
      <c r="G22" s="51">
        <f>IF(D22=D21,"",_xlfn.IFNA(VLOOKUP(D22,'인원 입력 기능'!$F$5:$I$103,4,FALSE),0))</f>
        <v>373</v>
      </c>
      <c r="H22" s="52">
        <f t="shared" si="4"/>
        <v>1.1348113262080568E-3</v>
      </c>
      <c r="I22" s="62">
        <f>SUM($G$7:G22)</f>
        <v>5276</v>
      </c>
      <c r="J22" s="54">
        <f t="shared" si="5"/>
        <v>1.6051647606095731E-2</v>
      </c>
      <c r="K22" s="28"/>
      <c r="L22" s="16" t="str">
        <f t="shared" si="2"/>
        <v/>
      </c>
      <c r="N22" s="15"/>
    </row>
    <row r="23" spans="1:17" s="12" customFormat="1" ht="25" customHeight="1">
      <c r="A23" s="10"/>
      <c r="B23" s="23"/>
      <c r="C23" s="55">
        <v>84</v>
      </c>
      <c r="D23" s="49">
        <f t="shared" si="1"/>
        <v>146</v>
      </c>
      <c r="E23" s="64">
        <f t="shared" si="0"/>
        <v>1</v>
      </c>
      <c r="F23" s="50">
        <f t="shared" si="3"/>
        <v>98.06</v>
      </c>
      <c r="G23" s="51">
        <f>IF(D23=D22,"",_xlfn.IFNA(VLOOKUP(D23,'인원 입력 기능'!$F$5:$I$103,4,FALSE),0))</f>
        <v>2173</v>
      </c>
      <c r="H23" s="52">
        <f t="shared" si="4"/>
        <v>6.6111126323059183E-3</v>
      </c>
      <c r="I23" s="62">
        <f>SUM($G$7:G23)</f>
        <v>7449</v>
      </c>
      <c r="J23" s="54">
        <f t="shared" si="5"/>
        <v>2.266276023840165E-2</v>
      </c>
      <c r="K23" s="28"/>
      <c r="L23" s="16" t="str">
        <f t="shared" si="2"/>
        <v/>
      </c>
      <c r="N23" s="15"/>
    </row>
    <row r="24" spans="1:17" s="12" customFormat="1" ht="25" customHeight="1">
      <c r="A24" s="10"/>
      <c r="B24" s="23"/>
      <c r="C24" s="63">
        <v>83</v>
      </c>
      <c r="D24" s="64">
        <f t="shared" si="1"/>
        <v>145</v>
      </c>
      <c r="E24" s="64">
        <f t="shared" si="0"/>
        <v>1</v>
      </c>
      <c r="F24" s="50">
        <f t="shared" si="3"/>
        <v>97.73</v>
      </c>
      <c r="G24" s="51">
        <f>IF(D24=D23,"",_xlfn.IFNA(VLOOKUP(D24,'인원 입력 기능'!$F$5:$I$103,4,FALSE),0))</f>
        <v>21</v>
      </c>
      <c r="H24" s="52">
        <f t="shared" si="4"/>
        <v>6.3890181904475057E-5</v>
      </c>
      <c r="I24" s="65">
        <f>SUM($G$7:G24)</f>
        <v>7470</v>
      </c>
      <c r="J24" s="54">
        <f t="shared" si="5"/>
        <v>2.2726650420306124E-2</v>
      </c>
      <c r="K24" s="28"/>
      <c r="L24" s="16" t="str">
        <f t="shared" si="2"/>
        <v/>
      </c>
      <c r="N24" s="15"/>
    </row>
    <row r="25" spans="1:17" s="12" customFormat="1" ht="25" customHeight="1">
      <c r="A25" s="10"/>
      <c r="B25" s="23"/>
      <c r="C25" s="63">
        <v>82</v>
      </c>
      <c r="D25" s="64">
        <f t="shared" si="1"/>
        <v>144</v>
      </c>
      <c r="E25" s="64">
        <f t="shared" si="0"/>
        <v>1</v>
      </c>
      <c r="F25" s="50">
        <f t="shared" si="3"/>
        <v>97.71</v>
      </c>
      <c r="G25" s="51">
        <f>IF(D25=D24,"",_xlfn.IFNA(VLOOKUP(D25,'인원 입력 기능'!$F$5:$I$103,4,FALSE),0))</f>
        <v>113</v>
      </c>
      <c r="H25" s="52">
        <f t="shared" si="4"/>
        <v>3.4379002643836572E-4</v>
      </c>
      <c r="I25" s="65">
        <f>SUM($G$7:G25)</f>
        <v>7583</v>
      </c>
      <c r="J25" s="54">
        <f t="shared" si="5"/>
        <v>2.307044044674449E-2</v>
      </c>
      <c r="K25" s="28"/>
      <c r="L25" s="16" t="str">
        <f t="shared" si="2"/>
        <v/>
      </c>
      <c r="N25" s="15"/>
    </row>
    <row r="26" spans="1:17" s="12" customFormat="1" ht="25" customHeight="1">
      <c r="A26" s="10"/>
      <c r="B26" s="23"/>
      <c r="C26" s="63">
        <v>81</v>
      </c>
      <c r="D26" s="64">
        <f t="shared" si="1"/>
        <v>143</v>
      </c>
      <c r="E26" s="64">
        <f t="shared" si="0"/>
        <v>1</v>
      </c>
      <c r="F26" s="50">
        <f t="shared" si="3"/>
        <v>97.6</v>
      </c>
      <c r="G26" s="51">
        <f>IF(D26=D25,"",_xlfn.IFNA(VLOOKUP(D26,'인원 입력 기능'!$F$5:$I$103,4,FALSE),0))</f>
        <v>643</v>
      </c>
      <c r="H26" s="52">
        <f t="shared" si="4"/>
        <v>1.9562565221227361E-3</v>
      </c>
      <c r="I26" s="65">
        <f>SUM($G$7:G26)</f>
        <v>8226</v>
      </c>
      <c r="J26" s="54">
        <f t="shared" si="5"/>
        <v>2.5026696968867227E-2</v>
      </c>
      <c r="K26" s="28"/>
      <c r="L26" s="16" t="str">
        <f t="shared" si="2"/>
        <v/>
      </c>
      <c r="N26" s="15"/>
    </row>
    <row r="27" spans="1:17" s="12" customFormat="1" ht="25" customHeight="1">
      <c r="A27" s="10"/>
      <c r="B27" s="23"/>
      <c r="C27" s="63">
        <v>80</v>
      </c>
      <c r="D27" s="64">
        <f t="shared" si="1"/>
        <v>142</v>
      </c>
      <c r="E27" s="64">
        <f t="shared" si="0"/>
        <v>1</v>
      </c>
      <c r="F27" s="50">
        <f t="shared" si="3"/>
        <v>97.07</v>
      </c>
      <c r="G27" s="51">
        <f>IF(D27=D26,"",_xlfn.IFNA(VLOOKUP(D27,'인원 입력 기능'!$F$5:$I$103,4,FALSE),0))</f>
        <v>2810</v>
      </c>
      <c r="H27" s="52">
        <f t="shared" si="4"/>
        <v>8.5491148167416622E-3</v>
      </c>
      <c r="I27" s="65">
        <f>SUM($G$7:G27)</f>
        <v>11036</v>
      </c>
      <c r="J27" s="54">
        <f t="shared" si="5"/>
        <v>3.3575811785608888E-2</v>
      </c>
      <c r="K27" s="28"/>
      <c r="L27" s="16" t="str">
        <f t="shared" si="2"/>
        <v/>
      </c>
      <c r="N27" s="15"/>
    </row>
    <row r="28" spans="1:17" s="12" customFormat="1" ht="25" customHeight="1">
      <c r="A28" s="10"/>
      <c r="B28" s="23"/>
      <c r="C28" s="63">
        <v>79</v>
      </c>
      <c r="D28" s="64">
        <f t="shared" si="1"/>
        <v>141</v>
      </c>
      <c r="E28" s="64">
        <f t="shared" si="0"/>
        <v>1</v>
      </c>
      <c r="F28" s="50">
        <f t="shared" si="3"/>
        <v>96.64</v>
      </c>
      <c r="G28" s="51">
        <f>IF(D28=D27,"",_xlfn.IFNA(VLOOKUP(D28,'인원 입력 기능'!$F$5:$I$103,4,FALSE),0))</f>
        <v>29</v>
      </c>
      <c r="H28" s="52">
        <f t="shared" si="4"/>
        <v>8.8229298820465549E-5</v>
      </c>
      <c r="I28" s="65">
        <f>SUM($G$7:G28)</f>
        <v>11065</v>
      </c>
      <c r="J28" s="54">
        <f t="shared" si="5"/>
        <v>3.3664041084429351E-2</v>
      </c>
      <c r="K28" s="28"/>
      <c r="L28" s="16" t="str">
        <f t="shared" si="2"/>
        <v/>
      </c>
      <c r="N28" s="15"/>
    </row>
    <row r="29" spans="1:17" s="12" customFormat="1" ht="25" customHeight="1">
      <c r="A29" s="10"/>
      <c r="B29" s="23"/>
      <c r="C29" s="63">
        <v>78</v>
      </c>
      <c r="D29" s="64">
        <f t="shared" si="1"/>
        <v>140</v>
      </c>
      <c r="E29" s="64">
        <f t="shared" si="0"/>
        <v>1</v>
      </c>
      <c r="F29" s="50">
        <f t="shared" si="3"/>
        <v>96.6</v>
      </c>
      <c r="G29" s="51">
        <f>IF(D29=D28,"",_xlfn.IFNA(VLOOKUP(D29,'인원 입력 기능'!$F$5:$I$103,4,FALSE),0))</f>
        <v>208</v>
      </c>
      <c r="H29" s="52">
        <f t="shared" si="4"/>
        <v>6.3281703981575284E-4</v>
      </c>
      <c r="I29" s="65">
        <f>SUM($G$7:G29)</f>
        <v>11273</v>
      </c>
      <c r="J29" s="54">
        <f t="shared" si="5"/>
        <v>3.4296858124245107E-2</v>
      </c>
      <c r="K29" s="28"/>
      <c r="L29" s="16" t="str">
        <f t="shared" si="2"/>
        <v/>
      </c>
      <c r="N29" s="15"/>
    </row>
    <row r="30" spans="1:17" s="12" customFormat="1" ht="25" customHeight="1">
      <c r="A30" s="10"/>
      <c r="B30" s="23"/>
      <c r="C30" s="63">
        <v>77</v>
      </c>
      <c r="D30" s="64">
        <f t="shared" si="1"/>
        <v>139</v>
      </c>
      <c r="E30" s="64">
        <f t="shared" si="0"/>
        <v>1</v>
      </c>
      <c r="F30" s="50">
        <f t="shared" si="3"/>
        <v>96.41</v>
      </c>
      <c r="G30" s="51">
        <f>IF(D30=D29,"",_xlfn.IFNA(VLOOKUP(D30,'인원 입력 기능'!$F$5:$I$103,4,FALSE),0))</f>
        <v>1048</v>
      </c>
      <c r="H30" s="52">
        <f t="shared" si="4"/>
        <v>3.1884243159947551E-3</v>
      </c>
      <c r="I30" s="65">
        <f>SUM($G$7:G30)</f>
        <v>12321</v>
      </c>
      <c r="J30" s="54">
        <f t="shared" si="5"/>
        <v>3.748528244023986E-2</v>
      </c>
      <c r="K30" s="28"/>
      <c r="L30" s="16" t="str">
        <f t="shared" si="2"/>
        <v/>
      </c>
      <c r="N30" s="15"/>
    </row>
    <row r="31" spans="1:17" s="12" customFormat="1" ht="25" customHeight="1">
      <c r="A31" s="10"/>
      <c r="B31" s="23"/>
      <c r="C31" s="63">
        <v>76</v>
      </c>
      <c r="D31" s="64">
        <f t="shared" si="1"/>
        <v>138</v>
      </c>
      <c r="E31" s="64">
        <f t="shared" si="0"/>
        <v>1</v>
      </c>
      <c r="F31" s="50">
        <f t="shared" si="3"/>
        <v>95.73</v>
      </c>
      <c r="G31" s="51">
        <f>IF(D31=D30,"",_xlfn.IFNA(VLOOKUP(D31,'인원 입력 기능'!$F$5:$I$103,4,FALSE),0))</f>
        <v>3417</v>
      </c>
      <c r="H31" s="52">
        <f t="shared" si="4"/>
        <v>1.039584531274244E-2</v>
      </c>
      <c r="I31" s="65">
        <f>SUM($G$7:G31)</f>
        <v>15738</v>
      </c>
      <c r="J31" s="54">
        <f t="shared" si="5"/>
        <v>4.7881127752982304E-2</v>
      </c>
      <c r="K31" s="28"/>
      <c r="L31" s="16" t="str">
        <f t="shared" si="2"/>
        <v/>
      </c>
      <c r="N31" s="15"/>
    </row>
    <row r="32" spans="1:17" s="12" customFormat="1" ht="25" customHeight="1">
      <c r="A32" s="10"/>
      <c r="B32" s="23"/>
      <c r="C32" s="63">
        <v>75</v>
      </c>
      <c r="D32" s="64">
        <f t="shared" si="1"/>
        <v>137</v>
      </c>
      <c r="E32" s="64">
        <f t="shared" si="0"/>
        <v>2</v>
      </c>
      <c r="F32" s="50">
        <f t="shared" si="3"/>
        <v>95.2</v>
      </c>
      <c r="G32" s="51">
        <f>IF(D32=D31,"",_xlfn.IFNA(VLOOKUP(D32,'인원 입력 기능'!$F$5:$I$103,4,FALSE),0))</f>
        <v>56</v>
      </c>
      <c r="H32" s="52">
        <f t="shared" si="4"/>
        <v>1.7037381841193347E-4</v>
      </c>
      <c r="I32" s="65">
        <f>SUM($G$7:G32)</f>
        <v>15794</v>
      </c>
      <c r="J32" s="54">
        <f t="shared" si="5"/>
        <v>4.8051501571394234E-2</v>
      </c>
      <c r="K32" s="28"/>
      <c r="L32" s="16" t="str">
        <f t="shared" si="2"/>
        <v/>
      </c>
      <c r="N32" s="15"/>
    </row>
    <row r="33" spans="1:14" s="12" customFormat="1" ht="25" customHeight="1">
      <c r="A33" s="10"/>
      <c r="B33" s="23"/>
      <c r="C33" s="63">
        <v>74</v>
      </c>
      <c r="D33" s="64">
        <f t="shared" si="1"/>
        <v>136</v>
      </c>
      <c r="E33" s="64">
        <f t="shared" si="0"/>
        <v>2</v>
      </c>
      <c r="F33" s="50">
        <f t="shared" si="3"/>
        <v>95.14</v>
      </c>
      <c r="G33" s="51">
        <f>IF(D33=D32,"",_xlfn.IFNA(VLOOKUP(D33,'인원 입력 기능'!$F$5:$I$103,4,FALSE),0))</f>
        <v>346</v>
      </c>
      <c r="H33" s="52">
        <f t="shared" si="4"/>
        <v>1.0526668066165889E-3</v>
      </c>
      <c r="I33" s="65">
        <f>SUM($G$7:G33)</f>
        <v>16140</v>
      </c>
      <c r="J33" s="54">
        <f t="shared" si="5"/>
        <v>4.9104168378010828E-2</v>
      </c>
      <c r="K33" s="28"/>
      <c r="L33" s="16" t="str">
        <f t="shared" si="2"/>
        <v/>
      </c>
      <c r="N33" s="15"/>
    </row>
    <row r="34" spans="1:14" s="12" customFormat="1" ht="25" customHeight="1">
      <c r="A34" s="10"/>
      <c r="B34" s="23"/>
      <c r="C34" s="63">
        <v>73</v>
      </c>
      <c r="D34" s="64">
        <f t="shared" si="1"/>
        <v>135</v>
      </c>
      <c r="E34" s="64">
        <f t="shared" si="0"/>
        <v>2</v>
      </c>
      <c r="F34" s="50">
        <f t="shared" si="3"/>
        <v>94.86</v>
      </c>
      <c r="G34" s="51">
        <f>IF(D34=D33,"",_xlfn.IFNA(VLOOKUP(D34,'인원 입력 기능'!$F$5:$I$103,4,FALSE),0))</f>
        <v>1507</v>
      </c>
      <c r="H34" s="52">
        <f t="shared" si="4"/>
        <v>4.5848811490497099E-3</v>
      </c>
      <c r="I34" s="65">
        <f>SUM($G$7:G34)</f>
        <v>17647</v>
      </c>
      <c r="J34" s="54">
        <f t="shared" si="5"/>
        <v>5.3689049527060537E-2</v>
      </c>
      <c r="K34" s="28"/>
      <c r="L34" s="16" t="str">
        <f t="shared" si="2"/>
        <v/>
      </c>
      <c r="N34" s="15"/>
    </row>
    <row r="35" spans="1:14" s="12" customFormat="1" ht="25" customHeight="1">
      <c r="A35" s="10"/>
      <c r="B35" s="23"/>
      <c r="C35" s="63">
        <v>72</v>
      </c>
      <c r="D35" s="64">
        <f t="shared" si="1"/>
        <v>134</v>
      </c>
      <c r="E35" s="64">
        <f t="shared" si="0"/>
        <v>2</v>
      </c>
      <c r="F35" s="50">
        <f t="shared" si="3"/>
        <v>94.03</v>
      </c>
      <c r="G35" s="51">
        <f>IF(D35=D34,"",_xlfn.IFNA(VLOOKUP(D35,'인원 입력 기능'!$F$5:$I$103,4,FALSE),0))</f>
        <v>3960</v>
      </c>
      <c r="H35" s="52">
        <f t="shared" si="4"/>
        <v>1.2047862873415296E-2</v>
      </c>
      <c r="I35" s="65">
        <f>SUM($G$7:G35)</f>
        <v>21607</v>
      </c>
      <c r="J35" s="54">
        <f t="shared" si="5"/>
        <v>6.5736912400475828E-2</v>
      </c>
      <c r="K35" s="28"/>
      <c r="L35" s="16" t="str">
        <f t="shared" si="2"/>
        <v/>
      </c>
      <c r="N35" s="15"/>
    </row>
    <row r="36" spans="1:14" s="12" customFormat="1" ht="25" customHeight="1">
      <c r="A36" s="10"/>
      <c r="B36" s="23"/>
      <c r="C36" s="63">
        <v>71</v>
      </c>
      <c r="D36" s="64">
        <f t="shared" si="1"/>
        <v>133</v>
      </c>
      <c r="E36" s="64">
        <f t="shared" si="0"/>
        <v>2</v>
      </c>
      <c r="F36" s="50">
        <f t="shared" si="3"/>
        <v>93.41</v>
      </c>
      <c r="G36" s="51">
        <f>IF(D36=D35,"",_xlfn.IFNA(VLOOKUP(D36,'인원 입력 기능'!$F$5:$I$103,4,FALSE),0))</f>
        <v>98</v>
      </c>
      <c r="H36" s="52">
        <f t="shared" si="4"/>
        <v>2.9815418222088358E-4</v>
      </c>
      <c r="I36" s="65">
        <f>SUM($G$7:G36)</f>
        <v>21705</v>
      </c>
      <c r="J36" s="54">
        <f t="shared" si="5"/>
        <v>6.6035066582696714E-2</v>
      </c>
      <c r="K36" s="28"/>
      <c r="L36" s="16" t="str">
        <f t="shared" si="2"/>
        <v/>
      </c>
      <c r="N36" s="15"/>
    </row>
    <row r="37" spans="1:14" s="12" customFormat="1" ht="25" customHeight="1">
      <c r="A37" s="10"/>
      <c r="B37" s="23"/>
      <c r="C37" s="63">
        <v>70</v>
      </c>
      <c r="D37" s="64">
        <f t="shared" si="1"/>
        <v>132</v>
      </c>
      <c r="E37" s="64">
        <f t="shared" si="0"/>
        <v>2</v>
      </c>
      <c r="F37" s="50">
        <f t="shared" si="3"/>
        <v>93.3</v>
      </c>
      <c r="G37" s="51">
        <f>IF(D37=D36,"",_xlfn.IFNA(VLOOKUP(D37,'인원 입력 기능'!$F$5:$I$103,4,FALSE),0))</f>
        <v>617</v>
      </c>
      <c r="H37" s="52">
        <f t="shared" si="4"/>
        <v>1.877154392145767E-3</v>
      </c>
      <c r="I37" s="65">
        <f>SUM($G$7:G37)</f>
        <v>22322</v>
      </c>
      <c r="J37" s="54">
        <f t="shared" si="5"/>
        <v>6.791222097484248E-2</v>
      </c>
      <c r="K37" s="28"/>
      <c r="L37" s="16" t="str">
        <f t="shared" si="2"/>
        <v/>
      </c>
      <c r="N37" s="15"/>
    </row>
    <row r="38" spans="1:14" s="12" customFormat="1" ht="25" customHeight="1">
      <c r="A38" s="10"/>
      <c r="B38" s="23"/>
      <c r="C38" s="63">
        <v>69</v>
      </c>
      <c r="D38" s="64">
        <f t="shared" si="1"/>
        <v>131</v>
      </c>
      <c r="E38" s="64">
        <f t="shared" si="0"/>
        <v>2</v>
      </c>
      <c r="F38" s="50">
        <f t="shared" si="3"/>
        <v>92.86</v>
      </c>
      <c r="G38" s="51">
        <f>IF(D38=D37,"",_xlfn.IFNA(VLOOKUP(D38,'인원 입력 기능'!$F$5:$I$103,4,FALSE),0))</f>
        <v>2325</v>
      </c>
      <c r="H38" s="52">
        <f t="shared" si="4"/>
        <v>7.0735558537097379E-3</v>
      </c>
      <c r="I38" s="65">
        <f>SUM($G$7:G38)</f>
        <v>24647</v>
      </c>
      <c r="J38" s="54">
        <f t="shared" si="5"/>
        <v>7.4985776828552217E-2</v>
      </c>
      <c r="K38" s="28"/>
      <c r="L38" s="16" t="str">
        <f t="shared" si="2"/>
        <v/>
      </c>
      <c r="N38" s="15"/>
    </row>
    <row r="39" spans="1:14" s="12" customFormat="1" ht="25" customHeight="1">
      <c r="A39" s="10"/>
      <c r="B39" s="23"/>
      <c r="C39" s="63">
        <v>68</v>
      </c>
      <c r="D39" s="64">
        <f t="shared" si="1"/>
        <v>130</v>
      </c>
      <c r="E39" s="64">
        <f t="shared" si="0"/>
        <v>2</v>
      </c>
      <c r="F39" s="50">
        <f t="shared" si="3"/>
        <v>91.82</v>
      </c>
      <c r="G39" s="51">
        <f>IF(D39=D38,"",_xlfn.IFNA(VLOOKUP(D39,'인원 입력 기능'!$F$5:$I$103,4,FALSE),0))</f>
        <v>4508</v>
      </c>
      <c r="H39" s="52">
        <f t="shared" si="4"/>
        <v>1.3715092382160645E-2</v>
      </c>
      <c r="I39" s="65">
        <f>SUM($G$7:G39)</f>
        <v>29155</v>
      </c>
      <c r="J39" s="54">
        <f t="shared" si="5"/>
        <v>8.8700869210712865E-2</v>
      </c>
      <c r="K39" s="28"/>
      <c r="L39" s="16" t="str">
        <f t="shared" si="2"/>
        <v/>
      </c>
      <c r="N39" s="15"/>
    </row>
    <row r="40" spans="1:14" s="12" customFormat="1" ht="25" customHeight="1">
      <c r="A40" s="10"/>
      <c r="B40" s="23"/>
      <c r="C40" s="63">
        <v>67</v>
      </c>
      <c r="D40" s="64">
        <f t="shared" si="1"/>
        <v>129</v>
      </c>
      <c r="E40" s="64">
        <f t="shared" si="0"/>
        <v>2</v>
      </c>
      <c r="F40" s="50">
        <f t="shared" si="3"/>
        <v>91.09</v>
      </c>
      <c r="G40" s="51">
        <f>IF(D40=D39,"",_xlfn.IFNA(VLOOKUP(D40,'인원 입력 기능'!$F$5:$I$103,4,FALSE),0))</f>
        <v>230</v>
      </c>
      <c r="H40" s="52">
        <f t="shared" si="4"/>
        <v>6.9974961133472671E-4</v>
      </c>
      <c r="I40" s="65">
        <f>SUM($G$7:G40)</f>
        <v>29385</v>
      </c>
      <c r="J40" s="54">
        <f t="shared" si="5"/>
        <v>8.9400618822047584E-2</v>
      </c>
      <c r="K40" s="28"/>
      <c r="L40" s="16" t="str">
        <f t="shared" si="2"/>
        <v/>
      </c>
      <c r="N40" s="15"/>
    </row>
    <row r="41" spans="1:14" s="12" customFormat="1" ht="25" customHeight="1">
      <c r="A41" s="10"/>
      <c r="B41" s="23"/>
      <c r="C41" s="63">
        <v>66</v>
      </c>
      <c r="D41" s="116">
        <f t="shared" ref="D41:D72" si="6">ROUND(20*(C41-$H$3)/$H$4+100,0)</f>
        <v>128</v>
      </c>
      <c r="E41" s="116">
        <f t="shared" si="0"/>
        <v>2</v>
      </c>
      <c r="F41" s="123">
        <f t="shared" si="3"/>
        <v>90.38</v>
      </c>
      <c r="G41" s="122">
        <f>IF(D41=D40,"",_xlfn.IFNA(VLOOKUP(D41,'인원 입력 기능'!$F$5:$I$103,4,FALSE),0))</f>
        <v>4439</v>
      </c>
      <c r="H41" s="128">
        <f t="shared" si="4"/>
        <v>1.3505167498760226E-2</v>
      </c>
      <c r="I41" s="130">
        <f>SUM($G$7:G41)</f>
        <v>33824</v>
      </c>
      <c r="J41" s="132">
        <f t="shared" si="5"/>
        <v>0.10290578632080781</v>
      </c>
      <c r="K41" s="28"/>
      <c r="L41" s="16" t="str">
        <f t="shared" ref="L41:L72" si="7">IF(ABS((C41-$H$3)/$H$4*20+100-D41)&gt;0.49, "경고", "")</f>
        <v>경고</v>
      </c>
      <c r="N41" s="15"/>
    </row>
    <row r="42" spans="1:14" s="12" customFormat="1" ht="25" customHeight="1">
      <c r="A42" s="10"/>
      <c r="B42" s="23"/>
      <c r="C42" s="63">
        <v>65</v>
      </c>
      <c r="D42" s="117"/>
      <c r="E42" s="117"/>
      <c r="F42" s="115"/>
      <c r="G42" s="114"/>
      <c r="H42" s="129"/>
      <c r="I42" s="131"/>
      <c r="J42" s="133"/>
      <c r="K42" s="28"/>
      <c r="L42" s="16" t="str">
        <f t="shared" si="7"/>
        <v>경고</v>
      </c>
      <c r="N42" s="15"/>
    </row>
    <row r="43" spans="1:14" s="12" customFormat="1" ht="25" customHeight="1">
      <c r="A43" s="10"/>
      <c r="B43" s="23"/>
      <c r="C43" s="63">
        <v>64</v>
      </c>
      <c r="D43" s="64">
        <f t="shared" si="6"/>
        <v>127</v>
      </c>
      <c r="E43" s="64">
        <f t="shared" si="0"/>
        <v>2</v>
      </c>
      <c r="F43" s="50">
        <f t="shared" si="3"/>
        <v>88.96</v>
      </c>
      <c r="G43" s="51">
        <f>IF(D43=D42,"",_xlfn.IFNA(VLOOKUP(D43,'인원 입력 기능'!$F$5:$I$103,4,FALSE),0))</f>
        <v>4938</v>
      </c>
      <c r="H43" s="52">
        <f t="shared" si="4"/>
        <v>1.5023319916395134E-2</v>
      </c>
      <c r="I43" s="65">
        <f>SUM($G$7:G43)</f>
        <v>38762</v>
      </c>
      <c r="J43" s="54">
        <f t="shared" si="5"/>
        <v>0.11792910623720294</v>
      </c>
      <c r="K43" s="28"/>
      <c r="L43" s="16" t="str">
        <f t="shared" si="7"/>
        <v/>
      </c>
      <c r="N43" s="15"/>
    </row>
    <row r="44" spans="1:14" s="12" customFormat="1" ht="25" customHeight="1">
      <c r="A44" s="10"/>
      <c r="B44" s="23"/>
      <c r="C44" s="63">
        <v>63</v>
      </c>
      <c r="D44" s="64">
        <f t="shared" si="6"/>
        <v>126</v>
      </c>
      <c r="E44" s="64">
        <f t="shared" si="0"/>
        <v>3</v>
      </c>
      <c r="F44" s="50">
        <f t="shared" si="3"/>
        <v>88.13</v>
      </c>
      <c r="G44" s="51">
        <f>IF(D44=D43,"",_xlfn.IFNA(VLOOKUP(D44,'인원 입력 기능'!$F$5:$I$103,4,FALSE),0))</f>
        <v>521</v>
      </c>
      <c r="H44" s="52">
        <f t="shared" si="4"/>
        <v>1.585084989153881E-3</v>
      </c>
      <c r="I44" s="65">
        <f>SUM($G$7:G44)</f>
        <v>39283</v>
      </c>
      <c r="J44" s="54">
        <f t="shared" si="5"/>
        <v>0.11951419122635683</v>
      </c>
      <c r="K44" s="28"/>
      <c r="L44" s="16" t="str">
        <f t="shared" si="7"/>
        <v/>
      </c>
      <c r="N44" s="15"/>
    </row>
    <row r="45" spans="1:14" s="12" customFormat="1" ht="25" customHeight="1">
      <c r="A45" s="10"/>
      <c r="B45" s="23"/>
      <c r="C45" s="63">
        <v>62</v>
      </c>
      <c r="D45" s="64">
        <f t="shared" si="6"/>
        <v>125</v>
      </c>
      <c r="E45" s="64">
        <f t="shared" si="0"/>
        <v>3</v>
      </c>
      <c r="F45" s="50">
        <f t="shared" si="3"/>
        <v>87.74</v>
      </c>
      <c r="G45" s="51">
        <f>IF(D45=D44,"",_xlfn.IFNA(VLOOKUP(D45,'인원 입력 기능'!$F$5:$I$103,4,FALSE),0))</f>
        <v>2050</v>
      </c>
      <c r="H45" s="52">
        <f t="shared" si="4"/>
        <v>6.2368987097225648E-3</v>
      </c>
      <c r="I45" s="65">
        <f>SUM($G$7:G45)</f>
        <v>41333</v>
      </c>
      <c r="J45" s="54">
        <f t="shared" si="5"/>
        <v>0.12575108993607939</v>
      </c>
      <c r="K45" s="28"/>
      <c r="L45" s="16" t="str">
        <f t="shared" si="7"/>
        <v/>
      </c>
      <c r="N45" s="15"/>
    </row>
    <row r="46" spans="1:14" s="12" customFormat="1" ht="25" customHeight="1">
      <c r="A46" s="10"/>
      <c r="B46" s="23"/>
      <c r="C46" s="63">
        <v>61</v>
      </c>
      <c r="D46" s="64">
        <f t="shared" si="6"/>
        <v>124</v>
      </c>
      <c r="E46" s="64">
        <f t="shared" si="0"/>
        <v>3</v>
      </c>
      <c r="F46" s="50">
        <f t="shared" si="3"/>
        <v>86.7</v>
      </c>
      <c r="G46" s="51">
        <f>IF(D46=D45,"",_xlfn.IFNA(VLOOKUP(D46,'인원 입력 기능'!$F$5:$I$103,4,FALSE),0))</f>
        <v>4735</v>
      </c>
      <c r="H46" s="52">
        <f t="shared" si="4"/>
        <v>1.4405714824651875E-2</v>
      </c>
      <c r="I46" s="65">
        <f>SUM($G$7:G46)</f>
        <v>46068</v>
      </c>
      <c r="J46" s="54">
        <f t="shared" si="5"/>
        <v>0.14015680476073128</v>
      </c>
      <c r="K46" s="28"/>
      <c r="L46" s="16" t="str">
        <f t="shared" si="7"/>
        <v/>
      </c>
      <c r="N46" s="15"/>
    </row>
    <row r="47" spans="1:14" s="12" customFormat="1" ht="25" customHeight="1">
      <c r="A47" s="10"/>
      <c r="B47" s="23"/>
      <c r="C47" s="63">
        <v>60</v>
      </c>
      <c r="D47" s="64">
        <f t="shared" si="6"/>
        <v>123</v>
      </c>
      <c r="E47" s="64">
        <f t="shared" si="0"/>
        <v>3</v>
      </c>
      <c r="F47" s="50">
        <f t="shared" si="3"/>
        <v>85.27</v>
      </c>
      <c r="G47" s="51">
        <f>IF(D47=D46,"",_xlfn.IFNA(VLOOKUP(D47,'인원 입력 기능'!$F$5:$I$103,4,FALSE),0))</f>
        <v>4681</v>
      </c>
      <c r="H47" s="52">
        <f t="shared" si="4"/>
        <v>1.4241425785468938E-2</v>
      </c>
      <c r="I47" s="65">
        <f>SUM($G$7:G47)</f>
        <v>50749</v>
      </c>
      <c r="J47" s="54">
        <f t="shared" si="5"/>
        <v>0.15439823054620022</v>
      </c>
      <c r="K47" s="28"/>
      <c r="L47" s="16" t="str">
        <f t="shared" si="7"/>
        <v/>
      </c>
      <c r="N47" s="15"/>
    </row>
    <row r="48" spans="1:14" s="12" customFormat="1" ht="25" customHeight="1">
      <c r="A48" s="10"/>
      <c r="B48" s="23"/>
      <c r="C48" s="63">
        <v>59</v>
      </c>
      <c r="D48" s="64">
        <f t="shared" si="6"/>
        <v>122</v>
      </c>
      <c r="E48" s="64">
        <f t="shared" si="0"/>
        <v>3</v>
      </c>
      <c r="F48" s="50">
        <f t="shared" si="3"/>
        <v>84.37</v>
      </c>
      <c r="G48" s="51">
        <f>IF(D48=D47,"",_xlfn.IFNA(VLOOKUP(D48,'인원 입력 기능'!$F$5:$I$103,4,FALSE),0))</f>
        <v>1221</v>
      </c>
      <c r="H48" s="52">
        <f t="shared" si="4"/>
        <v>3.7147577193030494E-3</v>
      </c>
      <c r="I48" s="65">
        <f>SUM($G$7:G48)</f>
        <v>51970</v>
      </c>
      <c r="J48" s="54">
        <f t="shared" si="5"/>
        <v>0.15811298826550327</v>
      </c>
      <c r="K48" s="28"/>
      <c r="L48" s="16" t="str">
        <f t="shared" si="7"/>
        <v/>
      </c>
      <c r="N48" s="15"/>
    </row>
    <row r="49" spans="1:14" s="12" customFormat="1" ht="25" customHeight="1">
      <c r="A49" s="10"/>
      <c r="B49" s="23"/>
      <c r="C49" s="63">
        <v>58</v>
      </c>
      <c r="D49" s="64">
        <f t="shared" si="6"/>
        <v>121</v>
      </c>
      <c r="E49" s="64">
        <f t="shared" si="0"/>
        <v>3</v>
      </c>
      <c r="F49" s="50">
        <f t="shared" si="3"/>
        <v>83.64</v>
      </c>
      <c r="G49" s="51">
        <f>IF(D49=D48,"",_xlfn.IFNA(VLOOKUP(D49,'인원 입력 기능'!$F$5:$I$103,4,FALSE),0))</f>
        <v>3579</v>
      </c>
      <c r="H49" s="52">
        <f t="shared" si="4"/>
        <v>1.0888712430291247E-2</v>
      </c>
      <c r="I49" s="65">
        <f>SUM($G$7:G49)</f>
        <v>55549</v>
      </c>
      <c r="J49" s="54">
        <f t="shared" si="5"/>
        <v>0.16900170069579451</v>
      </c>
      <c r="K49" s="28"/>
      <c r="L49" s="16" t="str">
        <f t="shared" si="7"/>
        <v/>
      </c>
      <c r="N49" s="15"/>
    </row>
    <row r="50" spans="1:14" s="12" customFormat="1" ht="25" customHeight="1">
      <c r="A50" s="10"/>
      <c r="B50" s="23"/>
      <c r="C50" s="63">
        <v>57</v>
      </c>
      <c r="D50" s="64">
        <f t="shared" si="6"/>
        <v>120</v>
      </c>
      <c r="E50" s="64">
        <f t="shared" si="0"/>
        <v>3</v>
      </c>
      <c r="F50" s="50">
        <f t="shared" si="3"/>
        <v>82.26</v>
      </c>
      <c r="G50" s="51">
        <f>IF(D50=D49,"",_xlfn.IFNA(VLOOKUP(D50,'인원 입력 기능'!$F$5:$I$103,4,FALSE),0))</f>
        <v>5547</v>
      </c>
      <c r="H50" s="52">
        <f t="shared" si="4"/>
        <v>1.6876135191624911E-2</v>
      </c>
      <c r="I50" s="65">
        <f>SUM($G$7:G50)</f>
        <v>61096</v>
      </c>
      <c r="J50" s="54">
        <f t="shared" si="5"/>
        <v>0.18587783588741941</v>
      </c>
      <c r="K50" s="28"/>
      <c r="L50" s="16" t="str">
        <f t="shared" si="7"/>
        <v/>
      </c>
      <c r="N50" s="15"/>
    </row>
    <row r="51" spans="1:14" s="12" customFormat="1" ht="25" customHeight="1">
      <c r="A51" s="10"/>
      <c r="B51" s="23"/>
      <c r="C51" s="63">
        <v>56</v>
      </c>
      <c r="D51" s="64">
        <f t="shared" si="6"/>
        <v>119</v>
      </c>
      <c r="E51" s="64">
        <f t="shared" si="0"/>
        <v>3</v>
      </c>
      <c r="F51" s="50">
        <f t="shared" si="3"/>
        <v>80.81</v>
      </c>
      <c r="G51" s="51">
        <f>IF(D51=D50,"",_xlfn.IFNA(VLOOKUP(D51,'인원 입력 기능'!$F$5:$I$103,4,FALSE),0))</f>
        <v>3933</v>
      </c>
      <c r="H51" s="52">
        <f t="shared" si="4"/>
        <v>1.1965718353823828E-2</v>
      </c>
      <c r="I51" s="65">
        <f>SUM($G$7:G51)</f>
        <v>65029</v>
      </c>
      <c r="J51" s="54">
        <f t="shared" si="5"/>
        <v>0.19784355424124325</v>
      </c>
      <c r="K51" s="28"/>
      <c r="L51" s="16" t="str">
        <f t="shared" si="7"/>
        <v/>
      </c>
      <c r="N51" s="15"/>
    </row>
    <row r="52" spans="1:14" s="12" customFormat="1" ht="25" customHeight="1">
      <c r="A52" s="10"/>
      <c r="B52" s="23"/>
      <c r="C52" s="63">
        <v>55</v>
      </c>
      <c r="D52" s="64">
        <f t="shared" si="6"/>
        <v>118</v>
      </c>
      <c r="E52" s="64">
        <f t="shared" si="0"/>
        <v>3</v>
      </c>
      <c r="F52" s="50">
        <f t="shared" si="3"/>
        <v>79.81</v>
      </c>
      <c r="G52" s="51">
        <f>IF(D52=D51,"",_xlfn.IFNA(VLOOKUP(D52,'인원 입력 기능'!$F$5:$I$103,4,FALSE),0))</f>
        <v>2698</v>
      </c>
      <c r="H52" s="52">
        <f t="shared" si="4"/>
        <v>8.2083671799177953E-3</v>
      </c>
      <c r="I52" s="65">
        <f>SUM($G$7:G52)</f>
        <v>67727</v>
      </c>
      <c r="J52" s="54">
        <f t="shared" si="5"/>
        <v>0.20605192142116105</v>
      </c>
      <c r="K52" s="28"/>
      <c r="L52" s="16" t="str">
        <f t="shared" si="7"/>
        <v/>
      </c>
      <c r="N52" s="15"/>
    </row>
    <row r="53" spans="1:14" s="12" customFormat="1" ht="25" customHeight="1">
      <c r="A53" s="10"/>
      <c r="B53" s="23"/>
      <c r="C53" s="63">
        <v>54</v>
      </c>
      <c r="D53" s="64">
        <f t="shared" si="6"/>
        <v>117</v>
      </c>
      <c r="E53" s="64">
        <f t="shared" si="0"/>
        <v>3</v>
      </c>
      <c r="F53" s="50">
        <f t="shared" si="3"/>
        <v>78.61</v>
      </c>
      <c r="G53" s="51">
        <f>IF(D53=D52,"",_xlfn.IFNA(VLOOKUP(D53,'인원 입력 기능'!$F$5:$I$103,4,FALSE),0))</f>
        <v>5165</v>
      </c>
      <c r="H53" s="52">
        <f t="shared" si="4"/>
        <v>1.5713942358886363E-2</v>
      </c>
      <c r="I53" s="65">
        <f>SUM($G$7:G53)</f>
        <v>72892</v>
      </c>
      <c r="J53" s="54">
        <f t="shared" si="5"/>
        <v>0.2217658637800474</v>
      </c>
      <c r="K53" s="28"/>
      <c r="L53" s="16" t="str">
        <f t="shared" si="7"/>
        <v/>
      </c>
      <c r="N53" s="15"/>
    </row>
    <row r="54" spans="1:14" s="12" customFormat="1" ht="25" customHeight="1">
      <c r="A54" s="10"/>
      <c r="B54" s="23"/>
      <c r="C54" s="63">
        <v>53</v>
      </c>
      <c r="D54" s="64">
        <f t="shared" si="6"/>
        <v>116</v>
      </c>
      <c r="E54" s="64">
        <f t="shared" si="0"/>
        <v>3</v>
      </c>
      <c r="F54" s="50">
        <f t="shared" si="3"/>
        <v>76.989999999999995</v>
      </c>
      <c r="G54" s="51">
        <f>IF(D54=D53,"",_xlfn.IFNA(VLOOKUP(D54,'인원 입력 기능'!$F$5:$I$103,4,FALSE),0))</f>
        <v>5464</v>
      </c>
      <c r="H54" s="52">
        <f t="shared" si="4"/>
        <v>1.6623616853621508E-2</v>
      </c>
      <c r="I54" s="65">
        <f>SUM($G$7:G54)</f>
        <v>78356</v>
      </c>
      <c r="J54" s="54">
        <f t="shared" si="5"/>
        <v>0.23838948063366891</v>
      </c>
      <c r="K54" s="28"/>
      <c r="L54" s="16" t="str">
        <f t="shared" si="7"/>
        <v/>
      </c>
      <c r="N54" s="15"/>
    </row>
    <row r="55" spans="1:14" s="12" customFormat="1" ht="25" customHeight="1">
      <c r="A55" s="10"/>
      <c r="B55" s="23"/>
      <c r="C55" s="63">
        <v>52</v>
      </c>
      <c r="D55" s="64">
        <f t="shared" si="6"/>
        <v>115</v>
      </c>
      <c r="E55" s="64">
        <f t="shared" si="0"/>
        <v>4</v>
      </c>
      <c r="F55" s="50">
        <f t="shared" si="3"/>
        <v>75.62</v>
      </c>
      <c r="G55" s="51">
        <f>IF(D55=D54,"",_xlfn.IFNA(VLOOKUP(D55,'인원 입력 기능'!$F$5:$I$103,4,FALSE),0))</f>
        <v>3537</v>
      </c>
      <c r="H55" s="52">
        <f t="shared" si="4"/>
        <v>1.0760932066482298E-2</v>
      </c>
      <c r="I55" s="65">
        <f>SUM($G$7:G55)</f>
        <v>81893</v>
      </c>
      <c r="J55" s="54">
        <f t="shared" si="5"/>
        <v>0.2491504127001512</v>
      </c>
      <c r="K55" s="28"/>
      <c r="L55" s="16" t="str">
        <f t="shared" si="7"/>
        <v/>
      </c>
      <c r="N55" s="15"/>
    </row>
    <row r="56" spans="1:14" s="12" customFormat="1" ht="25" customHeight="1">
      <c r="A56" s="10"/>
      <c r="B56" s="23"/>
      <c r="C56" s="63">
        <v>51</v>
      </c>
      <c r="D56" s="64">
        <f t="shared" si="6"/>
        <v>114</v>
      </c>
      <c r="E56" s="64">
        <f t="shared" si="0"/>
        <v>4</v>
      </c>
      <c r="F56" s="50">
        <f t="shared" si="3"/>
        <v>74.45</v>
      </c>
      <c r="G56" s="51">
        <f>IF(D56=D55,"",_xlfn.IFNA(VLOOKUP(D56,'인원 입력 기능'!$F$5:$I$103,4,FALSE),0))</f>
        <v>4189</v>
      </c>
      <c r="H56" s="52">
        <f t="shared" si="4"/>
        <v>1.2744570095135523E-2</v>
      </c>
      <c r="I56" s="65">
        <f>SUM($G$7:G56)</f>
        <v>86082</v>
      </c>
      <c r="J56" s="54">
        <f t="shared" si="5"/>
        <v>0.26189498279528672</v>
      </c>
      <c r="K56" s="28"/>
      <c r="L56" s="16" t="str">
        <f t="shared" si="7"/>
        <v/>
      </c>
      <c r="N56" s="15"/>
    </row>
    <row r="57" spans="1:14" s="12" customFormat="1" ht="25" customHeight="1">
      <c r="A57" s="10"/>
      <c r="B57" s="23"/>
      <c r="C57" s="63">
        <v>50</v>
      </c>
      <c r="D57" s="64">
        <f t="shared" si="6"/>
        <v>113</v>
      </c>
      <c r="E57" s="64">
        <f t="shared" si="0"/>
        <v>4</v>
      </c>
      <c r="F57" s="50">
        <f t="shared" si="3"/>
        <v>72.959999999999994</v>
      </c>
      <c r="G57" s="51">
        <f>IF(D57=D56,"",_xlfn.IFNA(VLOOKUP(D57,'인원 입력 기능'!$F$5:$I$103,4,FALSE),0))</f>
        <v>5621</v>
      </c>
      <c r="H57" s="52">
        <f t="shared" si="4"/>
        <v>1.7101272023097823E-2</v>
      </c>
      <c r="I57" s="65">
        <f>SUM($G$7:G57)</f>
        <v>91703</v>
      </c>
      <c r="J57" s="54">
        <f t="shared" si="5"/>
        <v>0.27899625481838453</v>
      </c>
      <c r="K57" s="28"/>
      <c r="L57" s="16" t="str">
        <f t="shared" si="7"/>
        <v/>
      </c>
      <c r="N57" s="15"/>
    </row>
    <row r="58" spans="1:14" s="12" customFormat="1" ht="25" customHeight="1">
      <c r="A58" s="10"/>
      <c r="B58" s="23"/>
      <c r="C58" s="63">
        <v>49</v>
      </c>
      <c r="D58" s="64">
        <f t="shared" si="6"/>
        <v>112</v>
      </c>
      <c r="E58" s="64">
        <f t="shared" si="0"/>
        <v>4</v>
      </c>
      <c r="F58" s="50">
        <f t="shared" si="3"/>
        <v>71.42</v>
      </c>
      <c r="G58" s="51">
        <f>IF(D58=D57,"",_xlfn.IFNA(VLOOKUP(D58,'인원 입력 기능'!$F$5:$I$103,4,FALSE),0))</f>
        <v>4449</v>
      </c>
      <c r="H58" s="52">
        <f t="shared" si="4"/>
        <v>1.3535591394905214E-2</v>
      </c>
      <c r="I58" s="65">
        <f>SUM($G$7:G58)</f>
        <v>96152</v>
      </c>
      <c r="J58" s="54">
        <f t="shared" si="5"/>
        <v>0.29253184621328976</v>
      </c>
      <c r="K58" s="28"/>
      <c r="L58" s="16" t="str">
        <f t="shared" si="7"/>
        <v/>
      </c>
      <c r="N58" s="15"/>
    </row>
    <row r="59" spans="1:14" s="12" customFormat="1" ht="25" customHeight="1">
      <c r="A59" s="10"/>
      <c r="B59" s="23"/>
      <c r="C59" s="63">
        <v>48</v>
      </c>
      <c r="D59" s="64">
        <f t="shared" si="6"/>
        <v>111</v>
      </c>
      <c r="E59" s="64">
        <f t="shared" si="0"/>
        <v>4</v>
      </c>
      <c r="F59" s="50">
        <f t="shared" si="3"/>
        <v>70.12</v>
      </c>
      <c r="G59" s="51">
        <f>IF(D59=D58,"",_xlfn.IFNA(VLOOKUP(D59,'인원 입력 기능'!$F$5:$I$103,4,FALSE),0))</f>
        <v>4110</v>
      </c>
      <c r="H59" s="52">
        <f t="shared" si="4"/>
        <v>1.2504221315590118E-2</v>
      </c>
      <c r="I59" s="65">
        <f>SUM($G$7:G59)</f>
        <v>100262</v>
      </c>
      <c r="J59" s="54">
        <f t="shared" si="5"/>
        <v>0.30503606752887991</v>
      </c>
      <c r="K59" s="28"/>
      <c r="L59" s="16" t="str">
        <f t="shared" si="7"/>
        <v/>
      </c>
      <c r="N59" s="15"/>
    </row>
    <row r="60" spans="1:14" s="12" customFormat="1" ht="25" customHeight="1">
      <c r="A60" s="10"/>
      <c r="B60" s="23"/>
      <c r="C60" s="63">
        <v>47</v>
      </c>
      <c r="D60" s="64">
        <f t="shared" si="6"/>
        <v>110</v>
      </c>
      <c r="E60" s="64">
        <f t="shared" si="0"/>
        <v>4</v>
      </c>
      <c r="F60" s="50">
        <f t="shared" si="3"/>
        <v>68.66</v>
      </c>
      <c r="G60" s="51">
        <f>IF(D60=D59,"",_xlfn.IFNA(VLOOKUP(D60,'인원 입력 기능'!$F$5:$I$103,4,FALSE),0))</f>
        <v>5501</v>
      </c>
      <c r="H60" s="52">
        <f t="shared" si="4"/>
        <v>1.6736185269357964E-2</v>
      </c>
      <c r="I60" s="65">
        <f>SUM($G$7:G60)</f>
        <v>105763</v>
      </c>
      <c r="J60" s="54">
        <f t="shared" si="5"/>
        <v>0.32177225279823785</v>
      </c>
      <c r="K60" s="28"/>
      <c r="L60" s="16" t="str">
        <f t="shared" si="7"/>
        <v/>
      </c>
      <c r="N60" s="15"/>
    </row>
    <row r="61" spans="1:14" s="12" customFormat="1" ht="25" customHeight="1">
      <c r="A61" s="10"/>
      <c r="B61" s="23"/>
      <c r="C61" s="63">
        <v>46</v>
      </c>
      <c r="D61" s="64">
        <f t="shared" si="6"/>
        <v>109</v>
      </c>
      <c r="E61" s="64">
        <f t="shared" si="0"/>
        <v>4</v>
      </c>
      <c r="F61" s="50">
        <f t="shared" si="3"/>
        <v>67.06</v>
      </c>
      <c r="G61" s="51">
        <f>IF(D61=D60,"",_xlfn.IFNA(VLOOKUP(D61,'인원 입력 기능'!$F$5:$I$103,4,FALSE),0))</f>
        <v>5015</v>
      </c>
      <c r="H61" s="52">
        <f t="shared" si="4"/>
        <v>1.5257583916711542E-2</v>
      </c>
      <c r="I61" s="65">
        <f>SUM($G$7:G61)</f>
        <v>110778</v>
      </c>
      <c r="J61" s="54">
        <f t="shared" si="5"/>
        <v>0.3370298367149494</v>
      </c>
      <c r="K61" s="28"/>
      <c r="L61" s="16" t="str">
        <f t="shared" si="7"/>
        <v/>
      </c>
      <c r="N61" s="15"/>
    </row>
    <row r="62" spans="1:14" s="12" customFormat="1" ht="25" customHeight="1">
      <c r="A62" s="10"/>
      <c r="B62" s="23"/>
      <c r="C62" s="63">
        <v>45</v>
      </c>
      <c r="D62" s="64">
        <f t="shared" si="6"/>
        <v>108</v>
      </c>
      <c r="E62" s="64">
        <f t="shared" si="0"/>
        <v>4</v>
      </c>
      <c r="F62" s="50">
        <f t="shared" si="3"/>
        <v>65.680000000000007</v>
      </c>
      <c r="G62" s="51">
        <f>IF(D62=D61,"",_xlfn.IFNA(VLOOKUP(D62,'인원 입력 기능'!$F$5:$I$103,4,FALSE),0))</f>
        <v>4074</v>
      </c>
      <c r="H62" s="52">
        <f t="shared" si="4"/>
        <v>1.239469528946816E-2</v>
      </c>
      <c r="I62" s="65">
        <f>SUM($G$7:G62)</f>
        <v>114852</v>
      </c>
      <c r="J62" s="54">
        <f t="shared" si="5"/>
        <v>0.34942453200441753</v>
      </c>
      <c r="K62" s="28"/>
      <c r="L62" s="16" t="str">
        <f t="shared" si="7"/>
        <v/>
      </c>
      <c r="N62" s="15"/>
    </row>
    <row r="63" spans="1:14" s="12" customFormat="1" ht="25" customHeight="1">
      <c r="A63" s="10"/>
      <c r="B63" s="23"/>
      <c r="C63" s="63">
        <v>44</v>
      </c>
      <c r="D63" s="64">
        <f t="shared" si="6"/>
        <v>107</v>
      </c>
      <c r="E63" s="64">
        <f t="shared" si="0"/>
        <v>4</v>
      </c>
      <c r="F63" s="50">
        <f t="shared" si="3"/>
        <v>64.28</v>
      </c>
      <c r="G63" s="51">
        <f>IF(D63=D62,"",_xlfn.IFNA(VLOOKUP(D63,'인원 입력 기능'!$F$5:$I$103,4,FALSE),0))</f>
        <v>5135</v>
      </c>
      <c r="H63" s="52">
        <f t="shared" si="4"/>
        <v>1.5622670670451399E-2</v>
      </c>
      <c r="I63" s="65">
        <f>SUM($G$7:G63)</f>
        <v>119987</v>
      </c>
      <c r="J63" s="54">
        <f t="shared" si="5"/>
        <v>0.36504720267486895</v>
      </c>
      <c r="K63" s="28"/>
      <c r="L63" s="16" t="str">
        <f t="shared" si="7"/>
        <v/>
      </c>
      <c r="N63" s="15"/>
    </row>
    <row r="64" spans="1:14" s="12" customFormat="1" ht="25" customHeight="1">
      <c r="A64" s="10"/>
      <c r="B64" s="23"/>
      <c r="C64" s="63">
        <v>43</v>
      </c>
      <c r="D64" s="64">
        <f t="shared" si="6"/>
        <v>106</v>
      </c>
      <c r="E64" s="64">
        <f t="shared" si="0"/>
        <v>4</v>
      </c>
      <c r="F64" s="50">
        <f t="shared" si="3"/>
        <v>62.7</v>
      </c>
      <c r="G64" s="51">
        <f>IF(D64=D63,"",_xlfn.IFNA(VLOOKUP(D64,'인원 입력 기능'!$F$5:$I$103,4,FALSE),0))</f>
        <v>5201</v>
      </c>
      <c r="H64" s="52">
        <f t="shared" si="4"/>
        <v>1.5823468385008321E-2</v>
      </c>
      <c r="I64" s="65">
        <f>SUM($G$7:G64)</f>
        <v>125188</v>
      </c>
      <c r="J64" s="54">
        <f t="shared" si="5"/>
        <v>0.38087067105987726</v>
      </c>
      <c r="K64" s="28"/>
      <c r="L64" s="16" t="str">
        <f t="shared" si="7"/>
        <v/>
      </c>
      <c r="N64" s="15"/>
    </row>
    <row r="65" spans="1:14" s="12" customFormat="1" ht="25" customHeight="1">
      <c r="A65" s="10"/>
      <c r="B65" s="23"/>
      <c r="C65" s="63">
        <v>42</v>
      </c>
      <c r="D65" s="64">
        <f t="shared" si="6"/>
        <v>105</v>
      </c>
      <c r="E65" s="64">
        <f t="shared" si="0"/>
        <v>4</v>
      </c>
      <c r="F65" s="50">
        <f t="shared" si="3"/>
        <v>61.3</v>
      </c>
      <c r="G65" s="51">
        <f>IF(D65=D64,"",_xlfn.IFNA(VLOOKUP(D65,'인원 입력 기능'!$F$5:$I$103,4,FALSE),0))</f>
        <v>4008</v>
      </c>
      <c r="H65" s="52">
        <f t="shared" si="4"/>
        <v>1.2193897574911239E-2</v>
      </c>
      <c r="I65" s="65">
        <f>SUM($G$7:G65)</f>
        <v>129196</v>
      </c>
      <c r="J65" s="54">
        <f t="shared" si="5"/>
        <v>0.3930645686347885</v>
      </c>
      <c r="K65" s="28"/>
      <c r="L65" s="16" t="str">
        <f t="shared" si="7"/>
        <v/>
      </c>
      <c r="N65" s="15"/>
    </row>
    <row r="66" spans="1:14" s="12" customFormat="1" ht="25" customHeight="1">
      <c r="A66" s="10"/>
      <c r="B66" s="23"/>
      <c r="C66" s="63">
        <v>41</v>
      </c>
      <c r="D66" s="64">
        <f t="shared" si="6"/>
        <v>104</v>
      </c>
      <c r="E66" s="64">
        <f t="shared" si="0"/>
        <v>4</v>
      </c>
      <c r="F66" s="50">
        <f t="shared" si="3"/>
        <v>59.88</v>
      </c>
      <c r="G66" s="51">
        <f>IF(D66=D65,"",_xlfn.IFNA(VLOOKUP(D66,'인원 입력 기능'!$F$5:$I$103,4,FALSE),0))</f>
        <v>5342</v>
      </c>
      <c r="H66" s="52">
        <f t="shared" si="4"/>
        <v>1.6252445320652655E-2</v>
      </c>
      <c r="I66" s="65">
        <f>SUM($G$7:G66)</f>
        <v>134538</v>
      </c>
      <c r="J66" s="54">
        <f t="shared" si="5"/>
        <v>0.40931701395544118</v>
      </c>
      <c r="K66" s="28"/>
      <c r="L66" s="16" t="str">
        <f t="shared" si="7"/>
        <v/>
      </c>
      <c r="N66" s="15"/>
    </row>
    <row r="67" spans="1:14" s="12" customFormat="1" ht="25" customHeight="1">
      <c r="A67" s="10"/>
      <c r="B67" s="23"/>
      <c r="C67" s="63">
        <v>40</v>
      </c>
      <c r="D67" s="64">
        <f t="shared" si="6"/>
        <v>103</v>
      </c>
      <c r="E67" s="64">
        <f t="shared" si="0"/>
        <v>5</v>
      </c>
      <c r="F67" s="50">
        <f t="shared" si="3"/>
        <v>58.23</v>
      </c>
      <c r="G67" s="51">
        <f>IF(D67=D66,"",_xlfn.IFNA(VLOOKUP(D67,'인원 입력 기능'!$F$5:$I$103,4,FALSE),0))</f>
        <v>5488</v>
      </c>
      <c r="H67" s="52">
        <f t="shared" si="4"/>
        <v>1.6696634204369482E-2</v>
      </c>
      <c r="I67" s="65">
        <f>SUM($G$7:G67)</f>
        <v>140026</v>
      </c>
      <c r="J67" s="54">
        <f t="shared" si="5"/>
        <v>0.42601364815981063</v>
      </c>
      <c r="K67" s="28"/>
      <c r="L67" s="16" t="str">
        <f t="shared" si="7"/>
        <v/>
      </c>
      <c r="N67" s="15"/>
    </row>
    <row r="68" spans="1:14" s="12" customFormat="1" ht="25" customHeight="1">
      <c r="A68" s="10"/>
      <c r="B68" s="23"/>
      <c r="C68" s="63">
        <v>39</v>
      </c>
      <c r="D68" s="64">
        <f t="shared" si="6"/>
        <v>102</v>
      </c>
      <c r="E68" s="64">
        <f t="shared" si="0"/>
        <v>5</v>
      </c>
      <c r="F68" s="50">
        <f t="shared" si="3"/>
        <v>56.8</v>
      </c>
      <c r="G68" s="51">
        <f>IF(D68=D67,"",_xlfn.IFNA(VLOOKUP(D68,'인원 입력 기능'!$F$5:$I$103,4,FALSE),0))</f>
        <v>3967</v>
      </c>
      <c r="H68" s="52">
        <f t="shared" si="4"/>
        <v>1.2069159600716787E-2</v>
      </c>
      <c r="I68" s="65">
        <f>SUM($G$7:G68)</f>
        <v>143993</v>
      </c>
      <c r="J68" s="54">
        <f t="shared" si="5"/>
        <v>0.43808280776052744</v>
      </c>
      <c r="K68" s="28"/>
      <c r="L68" s="16" t="str">
        <f t="shared" si="7"/>
        <v/>
      </c>
      <c r="N68" s="15"/>
    </row>
    <row r="69" spans="1:14" s="12" customFormat="1" ht="25" customHeight="1">
      <c r="A69" s="10"/>
      <c r="B69" s="23"/>
      <c r="C69" s="63">
        <v>38</v>
      </c>
      <c r="D69" s="64">
        <f t="shared" si="6"/>
        <v>101</v>
      </c>
      <c r="E69" s="64">
        <f t="shared" si="0"/>
        <v>5</v>
      </c>
      <c r="F69" s="50">
        <f t="shared" si="3"/>
        <v>55.4</v>
      </c>
      <c r="G69" s="51">
        <f>IF(D69=D68,"",_xlfn.IFNA(VLOOKUP(D69,'인원 입력 기능'!$F$5:$I$103,4,FALSE),0))</f>
        <v>5223</v>
      </c>
      <c r="H69" s="52">
        <f t="shared" si="4"/>
        <v>1.5890400956527294E-2</v>
      </c>
      <c r="I69" s="65">
        <f>SUM($G$7:G69)</f>
        <v>149216</v>
      </c>
      <c r="J69" s="54">
        <f t="shared" si="5"/>
        <v>0.45397320871705471</v>
      </c>
      <c r="K69" s="28"/>
      <c r="L69" s="16" t="str">
        <f t="shared" si="7"/>
        <v/>
      </c>
      <c r="N69" s="15"/>
    </row>
    <row r="70" spans="1:14" s="12" customFormat="1" ht="25" customHeight="1">
      <c r="A70" s="10"/>
      <c r="B70" s="23"/>
      <c r="C70" s="63">
        <v>37</v>
      </c>
      <c r="D70" s="64">
        <f t="shared" si="6"/>
        <v>100</v>
      </c>
      <c r="E70" s="64">
        <f t="shared" si="0"/>
        <v>5</v>
      </c>
      <c r="F70" s="50">
        <f t="shared" si="3"/>
        <v>53.76</v>
      </c>
      <c r="G70" s="51">
        <f>IF(D70=D69,"",_xlfn.IFNA(VLOOKUP(D70,'인원 입력 기능'!$F$5:$I$103,4,FALSE),0))</f>
        <v>5567</v>
      </c>
      <c r="H70" s="52">
        <f t="shared" si="4"/>
        <v>1.6936982983914887E-2</v>
      </c>
      <c r="I70" s="65">
        <f>SUM($G$7:G70)</f>
        <v>154783</v>
      </c>
      <c r="J70" s="54">
        <f t="shared" si="5"/>
        <v>0.47091019170096959</v>
      </c>
      <c r="K70" s="28"/>
      <c r="L70" s="16" t="str">
        <f t="shared" si="7"/>
        <v/>
      </c>
      <c r="N70" s="15"/>
    </row>
    <row r="71" spans="1:14" s="12" customFormat="1" ht="25" customHeight="1">
      <c r="A71" s="10"/>
      <c r="B71" s="23"/>
      <c r="C71" s="63">
        <v>36</v>
      </c>
      <c r="D71" s="64">
        <f t="shared" si="6"/>
        <v>99</v>
      </c>
      <c r="E71" s="64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50">
        <f t="shared" si="3"/>
        <v>52.27</v>
      </c>
      <c r="G71" s="51">
        <f>IF(D71=D70,"",_xlfn.IFNA(VLOOKUP(D71,'인원 입력 기능'!$F$5:$I$103,4,FALSE),0))</f>
        <v>4233</v>
      </c>
      <c r="H71" s="52">
        <f t="shared" si="4"/>
        <v>1.2878435238173471E-2</v>
      </c>
      <c r="I71" s="65">
        <f>SUM($G$7:G71)</f>
        <v>159016</v>
      </c>
      <c r="J71" s="54">
        <f t="shared" si="5"/>
        <v>0.4837886269391431</v>
      </c>
      <c r="K71" s="28"/>
      <c r="L71" s="16" t="str">
        <f t="shared" si="7"/>
        <v/>
      </c>
      <c r="N71" s="15"/>
    </row>
    <row r="72" spans="1:14" s="12" customFormat="1" ht="25" customHeight="1">
      <c r="A72" s="10"/>
      <c r="B72" s="23"/>
      <c r="C72" s="63">
        <v>35</v>
      </c>
      <c r="D72" s="64">
        <f t="shared" si="6"/>
        <v>98</v>
      </c>
      <c r="E72" s="64">
        <f t="shared" si="8"/>
        <v>5</v>
      </c>
      <c r="F72" s="50">
        <f t="shared" si="3"/>
        <v>50.81</v>
      </c>
      <c r="G72" s="51">
        <f>IF(D72=D71,"",_xlfn.IFNA(VLOOKUP(D72,'인원 입력 기능'!$F$5:$I$103,4,FALSE),0))</f>
        <v>5317</v>
      </c>
      <c r="H72" s="52">
        <f t="shared" si="4"/>
        <v>1.6176385580290182E-2</v>
      </c>
      <c r="I72" s="65">
        <f>SUM($G$7:G72)</f>
        <v>164333</v>
      </c>
      <c r="J72" s="54">
        <f t="shared" si="5"/>
        <v>0.49996501251943326</v>
      </c>
      <c r="K72" s="28"/>
      <c r="L72" s="16" t="str">
        <f t="shared" si="7"/>
        <v/>
      </c>
      <c r="N72" s="15"/>
    </row>
    <row r="73" spans="1:14" s="12" customFormat="1" ht="25" customHeight="1">
      <c r="A73" s="10"/>
      <c r="B73" s="23"/>
      <c r="C73" s="63">
        <v>34</v>
      </c>
      <c r="D73" s="64">
        <f t="shared" ref="D73:D104" si="9">ROUND(20*(C73-$H$3)/$H$4+100,0)</f>
        <v>97</v>
      </c>
      <c r="E73" s="64">
        <f t="shared" si="8"/>
        <v>5</v>
      </c>
      <c r="F73" s="50">
        <f t="shared" si="3"/>
        <v>49.07</v>
      </c>
      <c r="G73" s="51">
        <f>IF(D73=D72,"",_xlfn.IFNA(VLOOKUP(D73,'인원 입력 기능'!$F$5:$I$103,4,FALSE),0))</f>
        <v>6104</v>
      </c>
      <c r="H73" s="52">
        <f t="shared" si="4"/>
        <v>1.8570746206900749E-2</v>
      </c>
      <c r="I73" s="65">
        <f>SUM($G$7:G73)</f>
        <v>170437</v>
      </c>
      <c r="J73" s="54">
        <f t="shared" si="5"/>
        <v>0.51853575872633406</v>
      </c>
      <c r="K73" s="28"/>
      <c r="L73" s="16" t="str">
        <f t="shared" ref="L73:L105" si="10">IF(ABS((C73-$H$3)/$H$4*20+100-D73)&gt;0.49, "경고", "")</f>
        <v/>
      </c>
      <c r="N73" s="15"/>
    </row>
    <row r="74" spans="1:14" s="12" customFormat="1" ht="25" customHeight="1">
      <c r="A74" s="10"/>
      <c r="B74" s="23"/>
      <c r="C74" s="63">
        <v>33</v>
      </c>
      <c r="D74" s="64">
        <f t="shared" si="9"/>
        <v>96</v>
      </c>
      <c r="E74" s="64">
        <f t="shared" si="8"/>
        <v>5</v>
      </c>
      <c r="F74" s="50">
        <f t="shared" ref="F74:F105" si="11">IF(I73=0,ROUND(100*(1-(I72+I74)/2/$J$3),2),ROUND(100*(1-(I73+I74)/2/$J$3),2))</f>
        <v>47.48</v>
      </c>
      <c r="G74" s="51">
        <f>IF(D74=D73,"",_xlfn.IFNA(VLOOKUP(D74,'인원 입력 기능'!$F$5:$I$103,4,FALSE),0))</f>
        <v>4411</v>
      </c>
      <c r="H74" s="52">
        <f t="shared" ref="H74:H105" si="12">G74/$J$3</f>
        <v>1.3419980589554259E-2</v>
      </c>
      <c r="I74" s="65">
        <f>SUM($G$7:G74)</f>
        <v>174848</v>
      </c>
      <c r="J74" s="54">
        <f t="shared" ref="J74:J105" si="13">I74/$J$3</f>
        <v>0.53195573931588824</v>
      </c>
      <c r="K74" s="28"/>
      <c r="L74" s="16" t="str">
        <f t="shared" si="10"/>
        <v/>
      </c>
      <c r="N74" s="15"/>
    </row>
    <row r="75" spans="1:14" s="12" customFormat="1" ht="25" customHeight="1">
      <c r="A75" s="10"/>
      <c r="B75" s="23"/>
      <c r="C75" s="63">
        <v>32</v>
      </c>
      <c r="D75" s="64">
        <f t="shared" si="9"/>
        <v>95</v>
      </c>
      <c r="E75" s="64">
        <f t="shared" si="8"/>
        <v>5</v>
      </c>
      <c r="F75" s="50">
        <f t="shared" si="11"/>
        <v>45.95</v>
      </c>
      <c r="G75" s="51">
        <f>IF(D75=D74,"",_xlfn.IFNA(VLOOKUP(D75,'인원 입력 기능'!$F$5:$I$103,4,FALSE),0))</f>
        <v>5634</v>
      </c>
      <c r="H75" s="52">
        <f t="shared" si="12"/>
        <v>1.7140823088086305E-2</v>
      </c>
      <c r="I75" s="65">
        <f>SUM($G$7:G75)</f>
        <v>180482</v>
      </c>
      <c r="J75" s="54">
        <f t="shared" si="13"/>
        <v>0.54909656240397453</v>
      </c>
      <c r="K75" s="28"/>
      <c r="L75" s="16" t="str">
        <f t="shared" si="10"/>
        <v/>
      </c>
      <c r="N75" s="15"/>
    </row>
    <row r="76" spans="1:14" s="12" customFormat="1" ht="25" customHeight="1">
      <c r="A76" s="10"/>
      <c r="B76" s="23"/>
      <c r="C76" s="63">
        <v>31</v>
      </c>
      <c r="D76" s="64">
        <f t="shared" si="9"/>
        <v>94</v>
      </c>
      <c r="E76" s="64">
        <f t="shared" si="8"/>
        <v>5</v>
      </c>
      <c r="F76" s="50">
        <f t="shared" si="11"/>
        <v>44.12</v>
      </c>
      <c r="G76" s="51">
        <f>IF(D76=D75,"",_xlfn.IFNA(VLOOKUP(D76,'인원 입력 기능'!$F$5:$I$103,4,FALSE),0))</f>
        <v>6391</v>
      </c>
      <c r="H76" s="52">
        <f t="shared" si="12"/>
        <v>1.9443912026261907E-2</v>
      </c>
      <c r="I76" s="65">
        <f>SUM($G$7:G76)</f>
        <v>186873</v>
      </c>
      <c r="J76" s="54">
        <f t="shared" si="13"/>
        <v>0.56854047443023648</v>
      </c>
      <c r="K76" s="28"/>
      <c r="L76" s="16" t="str">
        <f t="shared" si="10"/>
        <v/>
      </c>
      <c r="N76" s="15"/>
    </row>
    <row r="77" spans="1:14" s="12" customFormat="1" ht="25" customHeight="1">
      <c r="A77" s="10"/>
      <c r="B77" s="23"/>
      <c r="C77" s="63">
        <v>30</v>
      </c>
      <c r="D77" s="64">
        <f t="shared" si="9"/>
        <v>93</v>
      </c>
      <c r="E77" s="64">
        <f t="shared" si="8"/>
        <v>5</v>
      </c>
      <c r="F77" s="50">
        <f t="shared" si="11"/>
        <v>42.46</v>
      </c>
      <c r="G77" s="51">
        <f>IF(D77=D76,"",_xlfn.IFNA(VLOOKUP(D77,'인원 입력 기능'!$F$5:$I$103,4,FALSE),0))</f>
        <v>4498</v>
      </c>
      <c r="H77" s="52">
        <f t="shared" si="12"/>
        <v>1.3684668486015655E-2</v>
      </c>
      <c r="I77" s="65">
        <f>SUM($G$7:G77)</f>
        <v>191371</v>
      </c>
      <c r="J77" s="54">
        <f t="shared" si="13"/>
        <v>0.58222514291625216</v>
      </c>
      <c r="K77" s="28"/>
      <c r="L77" s="16" t="str">
        <f t="shared" si="10"/>
        <v/>
      </c>
      <c r="N77" s="15"/>
    </row>
    <row r="78" spans="1:14" s="12" customFormat="1" ht="25" customHeight="1">
      <c r="A78" s="10"/>
      <c r="B78" s="23"/>
      <c r="C78" s="63">
        <v>29</v>
      </c>
      <c r="D78" s="64">
        <f t="shared" si="9"/>
        <v>92</v>
      </c>
      <c r="E78" s="64">
        <f t="shared" si="8"/>
        <v>5</v>
      </c>
      <c r="F78" s="50">
        <f t="shared" si="11"/>
        <v>40.869999999999997</v>
      </c>
      <c r="G78" s="51">
        <f>IF(D78=D77,"",_xlfn.IFNA(VLOOKUP(D78,'인원 입력 기능'!$F$5:$I$103,4,FALSE),0))</f>
        <v>5952</v>
      </c>
      <c r="H78" s="52">
        <f t="shared" si="12"/>
        <v>1.810830298549693E-2</v>
      </c>
      <c r="I78" s="65">
        <f>SUM($G$7:G78)</f>
        <v>197323</v>
      </c>
      <c r="J78" s="54">
        <f t="shared" si="13"/>
        <v>0.60033344590174909</v>
      </c>
      <c r="K78" s="28"/>
      <c r="L78" s="16" t="str">
        <f t="shared" si="10"/>
        <v/>
      </c>
      <c r="N78" s="15"/>
    </row>
    <row r="79" spans="1:14" s="12" customFormat="1" ht="25" customHeight="1">
      <c r="A79" s="10"/>
      <c r="B79" s="23"/>
      <c r="C79" s="63">
        <v>28</v>
      </c>
      <c r="D79" s="64">
        <f t="shared" si="9"/>
        <v>91</v>
      </c>
      <c r="E79" s="64">
        <f t="shared" si="8"/>
        <v>6</v>
      </c>
      <c r="F79" s="50">
        <f t="shared" si="11"/>
        <v>38.89</v>
      </c>
      <c r="G79" s="51">
        <f>IF(D79=D78,"",_xlfn.IFNA(VLOOKUP(D79,'인원 입력 기능'!$F$5:$I$103,4,FALSE),0))</f>
        <v>7047</v>
      </c>
      <c r="H79" s="52">
        <f t="shared" si="12"/>
        <v>2.143971961337313E-2</v>
      </c>
      <c r="I79" s="65">
        <f>SUM($G$7:G79)</f>
        <v>204370</v>
      </c>
      <c r="J79" s="54">
        <f t="shared" si="13"/>
        <v>0.62177316551512218</v>
      </c>
      <c r="K79" s="28"/>
      <c r="L79" s="16" t="str">
        <f t="shared" si="10"/>
        <v/>
      </c>
      <c r="N79" s="15"/>
    </row>
    <row r="80" spans="1:14" s="12" customFormat="1" ht="25" customHeight="1">
      <c r="A80" s="10"/>
      <c r="B80" s="23"/>
      <c r="C80" s="63">
        <v>27</v>
      </c>
      <c r="D80" s="64">
        <f t="shared" si="9"/>
        <v>90</v>
      </c>
      <c r="E80" s="64">
        <f t="shared" si="8"/>
        <v>6</v>
      </c>
      <c r="F80" s="50">
        <f t="shared" si="11"/>
        <v>37.11</v>
      </c>
      <c r="G80" s="51">
        <f>IF(D80=D79,"",_xlfn.IFNA(VLOOKUP(D80,'인원 입력 기능'!$F$5:$I$103,4,FALSE),0))</f>
        <v>4704</v>
      </c>
      <c r="H80" s="52">
        <f t="shared" si="12"/>
        <v>1.4311400746602412E-2</v>
      </c>
      <c r="I80" s="65">
        <f>SUM($G$7:G80)</f>
        <v>209074</v>
      </c>
      <c r="J80" s="54">
        <f t="shared" si="13"/>
        <v>0.6360845662617246</v>
      </c>
      <c r="K80" s="28"/>
      <c r="L80" s="16" t="str">
        <f t="shared" si="10"/>
        <v/>
      </c>
      <c r="N80" s="15"/>
    </row>
    <row r="81" spans="1:14" s="12" customFormat="1" ht="25" customHeight="1">
      <c r="A81" s="10"/>
      <c r="B81" s="23"/>
      <c r="C81" s="63">
        <v>26</v>
      </c>
      <c r="D81" s="64">
        <f t="shared" si="9"/>
        <v>89</v>
      </c>
      <c r="E81" s="64">
        <f t="shared" si="8"/>
        <v>6</v>
      </c>
      <c r="F81" s="50">
        <f t="shared" si="11"/>
        <v>35.42</v>
      </c>
      <c r="G81" s="51">
        <f>IF(D81=D80,"",_xlfn.IFNA(VLOOKUP(D81,'인원 입력 기능'!$F$5:$I$103,4,FALSE),0))</f>
        <v>6376</v>
      </c>
      <c r="H81" s="52">
        <f t="shared" si="12"/>
        <v>1.9398276182044424E-2</v>
      </c>
      <c r="I81" s="65">
        <f>SUM($G$7:G81)</f>
        <v>215450</v>
      </c>
      <c r="J81" s="54">
        <f t="shared" si="13"/>
        <v>0.65548284244376909</v>
      </c>
      <c r="K81" s="28"/>
      <c r="L81" s="16" t="str">
        <f t="shared" si="10"/>
        <v/>
      </c>
      <c r="N81" s="15"/>
    </row>
    <row r="82" spans="1:14" s="12" customFormat="1" ht="25" customHeight="1">
      <c r="A82" s="10"/>
      <c r="B82" s="23"/>
      <c r="C82" s="63">
        <v>25</v>
      </c>
      <c r="D82" s="64">
        <f t="shared" si="9"/>
        <v>88</v>
      </c>
      <c r="E82" s="64">
        <f t="shared" si="8"/>
        <v>6</v>
      </c>
      <c r="F82" s="50">
        <f t="shared" si="11"/>
        <v>33.32</v>
      </c>
      <c r="G82" s="51">
        <f>IF(D82=D81,"",_xlfn.IFNA(VLOOKUP(D82,'인원 입력 기능'!$F$5:$I$103,4,FALSE),0))</f>
        <v>7425</v>
      </c>
      <c r="H82" s="52">
        <f t="shared" si="12"/>
        <v>2.2589742887653679E-2</v>
      </c>
      <c r="I82" s="65">
        <f>SUM($G$7:G82)</f>
        <v>222875</v>
      </c>
      <c r="J82" s="54">
        <f t="shared" si="13"/>
        <v>0.67807258533142267</v>
      </c>
      <c r="K82" s="28"/>
      <c r="L82" s="16" t="str">
        <f t="shared" si="10"/>
        <v/>
      </c>
      <c r="N82" s="15"/>
    </row>
    <row r="83" spans="1:14" s="12" customFormat="1" ht="25" customHeight="1">
      <c r="A83" s="10"/>
      <c r="B83" s="23"/>
      <c r="C83" s="63">
        <v>24</v>
      </c>
      <c r="D83" s="64">
        <f t="shared" si="9"/>
        <v>87</v>
      </c>
      <c r="E83" s="64">
        <f t="shared" si="8"/>
        <v>6</v>
      </c>
      <c r="F83" s="50">
        <f t="shared" si="11"/>
        <v>31.39</v>
      </c>
      <c r="G83" s="51">
        <f>IF(D83=D82,"",_xlfn.IFNA(VLOOKUP(D83,'인원 입력 기능'!$F$5:$I$103,4,FALSE),0))</f>
        <v>5252</v>
      </c>
      <c r="H83" s="52">
        <f t="shared" si="12"/>
        <v>1.5978630255347761E-2</v>
      </c>
      <c r="I83" s="65">
        <f>SUM($G$7:G83)</f>
        <v>228127</v>
      </c>
      <c r="J83" s="54">
        <f t="shared" si="13"/>
        <v>0.69405121558677052</v>
      </c>
      <c r="K83" s="28"/>
      <c r="L83" s="16" t="str">
        <f t="shared" si="10"/>
        <v/>
      </c>
      <c r="N83" s="15"/>
    </row>
    <row r="84" spans="1:14" s="12" customFormat="1" ht="25" customHeight="1">
      <c r="A84" s="10"/>
      <c r="B84" s="23"/>
      <c r="C84" s="63">
        <v>23</v>
      </c>
      <c r="D84" s="64">
        <f t="shared" si="9"/>
        <v>86</v>
      </c>
      <c r="E84" s="64">
        <f t="shared" si="8"/>
        <v>6</v>
      </c>
      <c r="F84" s="50">
        <f t="shared" si="11"/>
        <v>29.63</v>
      </c>
      <c r="G84" s="51">
        <f>IF(D84=D83,"",_xlfn.IFNA(VLOOKUP(D84,'인원 입력 기능'!$F$5:$I$103,4,FALSE),0))</f>
        <v>6341</v>
      </c>
      <c r="H84" s="52">
        <f t="shared" si="12"/>
        <v>1.9291792545536965E-2</v>
      </c>
      <c r="I84" s="65">
        <f>SUM($G$7:G84)</f>
        <v>234468</v>
      </c>
      <c r="J84" s="54">
        <f t="shared" si="13"/>
        <v>0.71334300813230744</v>
      </c>
      <c r="K84" s="28"/>
      <c r="L84" s="16" t="str">
        <f t="shared" si="10"/>
        <v/>
      </c>
      <c r="N84" s="15"/>
    </row>
    <row r="85" spans="1:14" s="12" customFormat="1" ht="25" customHeight="1">
      <c r="A85" s="10"/>
      <c r="B85" s="23"/>
      <c r="C85" s="63">
        <v>22</v>
      </c>
      <c r="D85" s="64">
        <f t="shared" si="9"/>
        <v>85</v>
      </c>
      <c r="E85" s="64">
        <f t="shared" si="8"/>
        <v>6</v>
      </c>
      <c r="F85" s="50">
        <f t="shared" si="11"/>
        <v>27.43</v>
      </c>
      <c r="G85" s="51">
        <f>IF(D85=D84,"",_xlfn.IFNA(VLOOKUP(D85,'인원 입력 기능'!$F$5:$I$103,4,FALSE),0))</f>
        <v>8150</v>
      </c>
      <c r="H85" s="52">
        <f t="shared" si="12"/>
        <v>2.4795475358165318E-2</v>
      </c>
      <c r="I85" s="65">
        <f>SUM($G$7:G85)</f>
        <v>242618</v>
      </c>
      <c r="J85" s="54">
        <f t="shared" si="13"/>
        <v>0.73813848349047273</v>
      </c>
      <c r="K85" s="28"/>
      <c r="L85" s="16" t="str">
        <f t="shared" si="10"/>
        <v/>
      </c>
      <c r="N85" s="15"/>
    </row>
    <row r="86" spans="1:14" s="12" customFormat="1" ht="25" customHeight="1">
      <c r="A86" s="10"/>
      <c r="B86" s="23"/>
      <c r="C86" s="63">
        <v>21</v>
      </c>
      <c r="D86" s="64">
        <f t="shared" si="9"/>
        <v>84</v>
      </c>
      <c r="E86" s="64">
        <f t="shared" si="8"/>
        <v>6</v>
      </c>
      <c r="F86" s="50">
        <f t="shared" si="11"/>
        <v>25.32</v>
      </c>
      <c r="G86" s="51">
        <f>IF(D86=D85,"",_xlfn.IFNA(VLOOKUP(D86,'인원 입력 기능'!$F$5:$I$103,4,FALSE),0))</f>
        <v>5711</v>
      </c>
      <c r="H86" s="52">
        <f t="shared" si="12"/>
        <v>1.7375087088402717E-2</v>
      </c>
      <c r="I86" s="65">
        <f>SUM($G$7:G86)</f>
        <v>248329</v>
      </c>
      <c r="J86" s="54">
        <f t="shared" si="13"/>
        <v>0.75551357057887547</v>
      </c>
      <c r="K86" s="28"/>
      <c r="L86" s="16" t="str">
        <f t="shared" si="10"/>
        <v/>
      </c>
      <c r="N86" s="15"/>
    </row>
    <row r="87" spans="1:14" s="12" customFormat="1" ht="25" customHeight="1">
      <c r="A87" s="10"/>
      <c r="B87" s="23"/>
      <c r="C87" s="63">
        <v>20</v>
      </c>
      <c r="D87" s="64">
        <f t="shared" si="9"/>
        <v>83</v>
      </c>
      <c r="E87" s="64">
        <f t="shared" si="8"/>
        <v>6</v>
      </c>
      <c r="F87" s="50">
        <f t="shared" si="11"/>
        <v>23.56</v>
      </c>
      <c r="G87" s="51">
        <f>IF(D87=D86,"",_xlfn.IFNA(VLOOKUP(D87,'인원 입력 기능'!$F$5:$I$103,4,FALSE),0))</f>
        <v>5848</v>
      </c>
      <c r="H87" s="52">
        <f t="shared" si="12"/>
        <v>1.7791894465589052E-2</v>
      </c>
      <c r="I87" s="65">
        <f>SUM($G$7:G87)</f>
        <v>254177</v>
      </c>
      <c r="J87" s="54">
        <f t="shared" si="13"/>
        <v>0.77330546504446451</v>
      </c>
      <c r="K87" s="28"/>
      <c r="L87" s="16" t="str">
        <f t="shared" si="10"/>
        <v/>
      </c>
      <c r="N87" s="15"/>
    </row>
    <row r="88" spans="1:14" s="12" customFormat="1" ht="25" customHeight="1">
      <c r="A88" s="10"/>
      <c r="B88" s="23"/>
      <c r="C88" s="63">
        <v>19</v>
      </c>
      <c r="D88" s="64">
        <f t="shared" si="9"/>
        <v>82</v>
      </c>
      <c r="E88" s="64">
        <f t="shared" si="8"/>
        <v>7</v>
      </c>
      <c r="F88" s="50">
        <f t="shared" si="11"/>
        <v>21.77</v>
      </c>
      <c r="G88" s="51">
        <f>IF(D88=D87,"",_xlfn.IFNA(VLOOKUP(D88,'인원 입력 기능'!$F$5:$I$103,4,FALSE),0))</f>
        <v>5916</v>
      </c>
      <c r="H88" s="52">
        <f t="shared" si="12"/>
        <v>1.7998776959374973E-2</v>
      </c>
      <c r="I88" s="65">
        <f>SUM($G$7:G88)</f>
        <v>260093</v>
      </c>
      <c r="J88" s="54">
        <f t="shared" si="13"/>
        <v>0.79130424200383953</v>
      </c>
      <c r="K88" s="28"/>
      <c r="L88" s="16" t="str">
        <f t="shared" si="10"/>
        <v/>
      </c>
      <c r="N88" s="15"/>
    </row>
    <row r="89" spans="1:14" s="12" customFormat="1" ht="25" customHeight="1">
      <c r="A89" s="10"/>
      <c r="B89" s="23"/>
      <c r="C89" s="63">
        <v>18</v>
      </c>
      <c r="D89" s="64">
        <f t="shared" si="9"/>
        <v>81</v>
      </c>
      <c r="E89" s="64">
        <f t="shared" si="8"/>
        <v>7</v>
      </c>
      <c r="F89" s="50">
        <f t="shared" si="11"/>
        <v>19.96</v>
      </c>
      <c r="G89" s="51">
        <f>IF(D89=D88,"",_xlfn.IFNA(VLOOKUP(D89,'인원 입력 기능'!$F$5:$I$103,4,FALSE),0))</f>
        <v>5980</v>
      </c>
      <c r="H89" s="52">
        <f t="shared" si="12"/>
        <v>1.8193489894702895E-2</v>
      </c>
      <c r="I89" s="65">
        <f>SUM($G$7:G89)</f>
        <v>266073</v>
      </c>
      <c r="J89" s="54">
        <f t="shared" si="13"/>
        <v>0.80949773189854235</v>
      </c>
      <c r="K89" s="28"/>
      <c r="L89" s="16" t="str">
        <f t="shared" si="10"/>
        <v/>
      </c>
      <c r="N89" s="15"/>
    </row>
    <row r="90" spans="1:14" s="12" customFormat="1" ht="25" customHeight="1">
      <c r="A90" s="10"/>
      <c r="B90" s="23"/>
      <c r="C90" s="63">
        <v>17</v>
      </c>
      <c r="D90" s="64">
        <f t="shared" si="9"/>
        <v>80</v>
      </c>
      <c r="E90" s="64">
        <f t="shared" si="8"/>
        <v>7</v>
      </c>
      <c r="F90" s="50">
        <f t="shared" si="11"/>
        <v>18.149999999999999</v>
      </c>
      <c r="G90" s="51">
        <f>IF(D90=D89,"",_xlfn.IFNA(VLOOKUP(D90,'인원 입력 기능'!$F$5:$I$103,4,FALSE),0))</f>
        <v>5917</v>
      </c>
      <c r="H90" s="52">
        <f t="shared" si="12"/>
        <v>1.8001819348989472E-2</v>
      </c>
      <c r="I90" s="65">
        <f>SUM($G$7:G90)</f>
        <v>271990</v>
      </c>
      <c r="J90" s="54">
        <f t="shared" si="13"/>
        <v>0.82749955124753183</v>
      </c>
      <c r="K90" s="28"/>
      <c r="L90" s="16" t="str">
        <f t="shared" si="10"/>
        <v/>
      </c>
      <c r="N90" s="15"/>
    </row>
    <row r="91" spans="1:14" s="12" customFormat="1" ht="25" customHeight="1">
      <c r="A91" s="10"/>
      <c r="B91" s="23"/>
      <c r="C91" s="63">
        <v>16</v>
      </c>
      <c r="D91" s="64">
        <f t="shared" si="9"/>
        <v>79</v>
      </c>
      <c r="E91" s="64">
        <f t="shared" si="8"/>
        <v>7</v>
      </c>
      <c r="F91" s="50">
        <f t="shared" si="11"/>
        <v>16.48</v>
      </c>
      <c r="G91" s="51">
        <f>IF(D91=D90,"",_xlfn.IFNA(VLOOKUP(D91,'인원 입력 기능'!$F$5:$I$103,4,FALSE),0))</f>
        <v>5086</v>
      </c>
      <c r="H91" s="52">
        <f t="shared" si="12"/>
        <v>1.5473593579340958E-2</v>
      </c>
      <c r="I91" s="65">
        <f>SUM($G$7:G91)</f>
        <v>277076</v>
      </c>
      <c r="J91" s="54">
        <f t="shared" si="13"/>
        <v>0.8429731448268728</v>
      </c>
      <c r="K91" s="28"/>
      <c r="L91" s="16" t="str">
        <f t="shared" si="10"/>
        <v/>
      </c>
      <c r="N91" s="15"/>
    </row>
    <row r="92" spans="1:14" s="12" customFormat="1" ht="25" customHeight="1">
      <c r="A92" s="10"/>
      <c r="B92" s="23"/>
      <c r="C92" s="63">
        <v>15</v>
      </c>
      <c r="D92" s="64">
        <f t="shared" si="9"/>
        <v>78</v>
      </c>
      <c r="E92" s="64">
        <f t="shared" si="8"/>
        <v>7</v>
      </c>
      <c r="F92" s="50">
        <f t="shared" si="11"/>
        <v>14.71</v>
      </c>
      <c r="G92" s="51">
        <f>IF(D92=D91,"",_xlfn.IFNA(VLOOKUP(D92,'인원 입력 기능'!$F$5:$I$103,4,FALSE),0))</f>
        <v>6508</v>
      </c>
      <c r="H92" s="52">
        <f t="shared" si="12"/>
        <v>1.9799871611158266E-2</v>
      </c>
      <c r="I92" s="65">
        <f>SUM($G$7:G92)</f>
        <v>283584</v>
      </c>
      <c r="J92" s="54">
        <f t="shared" si="13"/>
        <v>0.86277301643803106</v>
      </c>
      <c r="K92" s="28"/>
      <c r="L92" s="16" t="str">
        <f t="shared" si="10"/>
        <v/>
      </c>
      <c r="N92" s="15"/>
    </row>
    <row r="93" spans="1:14" s="12" customFormat="1" ht="25" customHeight="1">
      <c r="A93" s="10"/>
      <c r="B93" s="23"/>
      <c r="C93" s="63">
        <v>14</v>
      </c>
      <c r="D93" s="64">
        <f t="shared" si="9"/>
        <v>77</v>
      </c>
      <c r="E93" s="64">
        <f t="shared" si="8"/>
        <v>7</v>
      </c>
      <c r="F93" s="50">
        <f t="shared" si="11"/>
        <v>13</v>
      </c>
      <c r="G93" s="51">
        <f>IF(D93=D92,"",_xlfn.IFNA(VLOOKUP(D93,'인원 입력 기능'!$F$5:$I$103,4,FALSE),0))</f>
        <v>4783</v>
      </c>
      <c r="H93" s="52">
        <f t="shared" si="12"/>
        <v>1.4551749526147817E-2</v>
      </c>
      <c r="I93" s="65">
        <f>SUM($G$7:G93)</f>
        <v>288367</v>
      </c>
      <c r="J93" s="54">
        <f t="shared" si="13"/>
        <v>0.87732476596417885</v>
      </c>
      <c r="K93" s="28"/>
      <c r="L93" s="16" t="str">
        <f t="shared" si="10"/>
        <v/>
      </c>
      <c r="N93" s="15"/>
    </row>
    <row r="94" spans="1:14" s="12" customFormat="1" ht="25" customHeight="1">
      <c r="A94" s="10"/>
      <c r="B94" s="23"/>
      <c r="C94" s="63">
        <v>13</v>
      </c>
      <c r="D94" s="64">
        <f t="shared" si="9"/>
        <v>76</v>
      </c>
      <c r="E94" s="64">
        <f t="shared" si="8"/>
        <v>7</v>
      </c>
      <c r="F94" s="50">
        <f t="shared" si="11"/>
        <v>10.45</v>
      </c>
      <c r="G94" s="51">
        <f>IF(D94=D93,"",_xlfn.IFNA(VLOOKUP(D94,'인원 입력 기능'!$F$5:$I$103,4,FALSE),0))</f>
        <v>11923</v>
      </c>
      <c r="H94" s="52">
        <f t="shared" si="12"/>
        <v>3.6274411373669338E-2</v>
      </c>
      <c r="I94" s="65">
        <f>SUM($G$7:G94)</f>
        <v>300290</v>
      </c>
      <c r="J94" s="54">
        <f t="shared" si="13"/>
        <v>0.91359917733784823</v>
      </c>
      <c r="K94" s="28"/>
      <c r="L94" s="16" t="str">
        <f t="shared" si="10"/>
        <v/>
      </c>
      <c r="N94" s="15"/>
    </row>
    <row r="95" spans="1:14" s="12" customFormat="1" ht="25" customHeight="1">
      <c r="A95" s="10"/>
      <c r="B95" s="23"/>
      <c r="C95" s="63">
        <v>12</v>
      </c>
      <c r="D95" s="64">
        <f t="shared" si="9"/>
        <v>75</v>
      </c>
      <c r="E95" s="64">
        <f t="shared" si="8"/>
        <v>8</v>
      </c>
      <c r="F95" s="50">
        <f t="shared" si="11"/>
        <v>7.98</v>
      </c>
      <c r="G95" s="51">
        <f>IF(D95=D94,"",_xlfn.IFNA(VLOOKUP(D95,'인원 입력 기능'!$F$5:$I$103,4,FALSE),0))</f>
        <v>4334</v>
      </c>
      <c r="H95" s="52">
        <f t="shared" si="12"/>
        <v>1.3185716589237851E-2</v>
      </c>
      <c r="I95" s="65">
        <f>SUM($G$7:G95)</f>
        <v>304624</v>
      </c>
      <c r="J95" s="54">
        <f t="shared" si="13"/>
        <v>0.92678489392708607</v>
      </c>
      <c r="K95" s="28"/>
      <c r="L95" s="16" t="str">
        <f t="shared" si="10"/>
        <v/>
      </c>
      <c r="N95" s="15"/>
    </row>
    <row r="96" spans="1:14" s="12" customFormat="1" ht="25" customHeight="1">
      <c r="A96" s="10"/>
      <c r="B96" s="23"/>
      <c r="C96" s="63">
        <v>11</v>
      </c>
      <c r="D96" s="64">
        <f t="shared" si="9"/>
        <v>74</v>
      </c>
      <c r="E96" s="64">
        <f t="shared" si="8"/>
        <v>8</v>
      </c>
      <c r="F96" s="50">
        <f t="shared" si="11"/>
        <v>6.91</v>
      </c>
      <c r="G96" s="51">
        <f>IF(D96=D95,"",_xlfn.IFNA(VLOOKUP(D96,'인원 입력 기능'!$F$5:$I$103,4,FALSE),0))</f>
        <v>2690</v>
      </c>
      <c r="H96" s="52">
        <f t="shared" si="12"/>
        <v>8.1840280630018046E-3</v>
      </c>
      <c r="I96" s="65">
        <f>SUM($G$7:G96)</f>
        <v>307314</v>
      </c>
      <c r="J96" s="54">
        <f t="shared" si="13"/>
        <v>0.93496892199008785</v>
      </c>
      <c r="K96" s="28"/>
      <c r="L96" s="16" t="str">
        <f t="shared" si="10"/>
        <v/>
      </c>
      <c r="N96" s="15"/>
    </row>
    <row r="97" spans="1:14" s="12" customFormat="1" ht="25" customHeight="1">
      <c r="A97" s="10"/>
      <c r="B97" s="23"/>
      <c r="C97" s="63">
        <v>10</v>
      </c>
      <c r="D97" s="64">
        <f t="shared" si="9"/>
        <v>73</v>
      </c>
      <c r="E97" s="64">
        <f t="shared" si="8"/>
        <v>8</v>
      </c>
      <c r="F97" s="50">
        <f t="shared" si="11"/>
        <v>4.76</v>
      </c>
      <c r="G97" s="51">
        <f>IF(D97=D96,"",_xlfn.IFNA(VLOOKUP(D97,'인원 입력 기능'!$F$5:$I$103,4,FALSE),0))</f>
        <v>11474</v>
      </c>
      <c r="H97" s="52">
        <f t="shared" si="12"/>
        <v>3.4908378436759369E-2</v>
      </c>
      <c r="I97" s="65">
        <f>SUM($G$7:G97)</f>
        <v>318788</v>
      </c>
      <c r="J97" s="54">
        <f t="shared" si="13"/>
        <v>0.96987730042684728</v>
      </c>
      <c r="K97" s="28"/>
      <c r="L97" s="16" t="str">
        <f t="shared" si="10"/>
        <v/>
      </c>
      <c r="N97" s="15"/>
    </row>
    <row r="98" spans="1:14" s="12" customFormat="1" ht="25" customHeight="1">
      <c r="A98" s="10"/>
      <c r="B98" s="23"/>
      <c r="C98" s="63">
        <v>9</v>
      </c>
      <c r="D98" s="64">
        <f t="shared" si="9"/>
        <v>72</v>
      </c>
      <c r="E98" s="64">
        <f t="shared" si="8"/>
        <v>9</v>
      </c>
      <c r="F98" s="50">
        <f t="shared" si="11"/>
        <v>2.73</v>
      </c>
      <c r="G98" s="51">
        <f>IF(D98=D97,"",_xlfn.IFNA(VLOOKUP(D98,'인원 입력 기능'!$F$5:$I$103,4,FALSE),0))</f>
        <v>1867</v>
      </c>
      <c r="H98" s="52">
        <f t="shared" si="12"/>
        <v>5.6801414102692818E-3</v>
      </c>
      <c r="I98" s="65">
        <f>SUM($G$7:G98)</f>
        <v>320655</v>
      </c>
      <c r="J98" s="54">
        <f t="shared" si="13"/>
        <v>0.97555744183711657</v>
      </c>
      <c r="K98" s="28"/>
      <c r="L98" s="16" t="str">
        <f t="shared" si="10"/>
        <v/>
      </c>
      <c r="N98" s="15"/>
    </row>
    <row r="99" spans="1:14" s="12" customFormat="1" ht="25" customHeight="1">
      <c r="A99" s="10"/>
      <c r="B99" s="23"/>
      <c r="C99" s="63">
        <v>8</v>
      </c>
      <c r="D99" s="64">
        <f t="shared" si="9"/>
        <v>71</v>
      </c>
      <c r="E99" s="64">
        <f t="shared" si="8"/>
        <v>9</v>
      </c>
      <c r="F99" s="50">
        <f t="shared" si="11"/>
        <v>2.2200000000000002</v>
      </c>
      <c r="G99" s="51">
        <f>IF(D99=D98,"",_xlfn.IFNA(VLOOKUP(D99,'인원 입력 기능'!$F$5:$I$103,4,FALSE),0))</f>
        <v>1506</v>
      </c>
      <c r="H99" s="52">
        <f t="shared" si="12"/>
        <v>4.5818387594352104E-3</v>
      </c>
      <c r="I99" s="65">
        <f>SUM($G$7:G99)</f>
        <v>322161</v>
      </c>
      <c r="J99" s="54">
        <f t="shared" si="13"/>
        <v>0.98013928059655175</v>
      </c>
      <c r="K99" s="28"/>
      <c r="L99" s="16" t="str">
        <f t="shared" si="10"/>
        <v/>
      </c>
      <c r="N99" s="15"/>
    </row>
    <row r="100" spans="1:14" s="12" customFormat="1" ht="25" customHeight="1">
      <c r="A100" s="10"/>
      <c r="B100" s="23"/>
      <c r="C100" s="63">
        <v>7</v>
      </c>
      <c r="D100" s="64">
        <f t="shared" si="9"/>
        <v>70</v>
      </c>
      <c r="E100" s="64">
        <f t="shared" si="8"/>
        <v>9</v>
      </c>
      <c r="F100" s="50">
        <f t="shared" si="11"/>
        <v>1.76</v>
      </c>
      <c r="G100" s="51">
        <f>IF(D100=D99,"",_xlfn.IFNA(VLOOKUP(D100,'인원 입력 기능'!$F$5:$I$103,4,FALSE),0))</f>
        <v>1459</v>
      </c>
      <c r="H100" s="52">
        <f t="shared" si="12"/>
        <v>4.4388464475537664E-3</v>
      </c>
      <c r="I100" s="65">
        <f>SUM($G$7:G100)</f>
        <v>323620</v>
      </c>
      <c r="J100" s="54">
        <f t="shared" si="13"/>
        <v>0.98457812704410552</v>
      </c>
      <c r="K100" s="28"/>
      <c r="L100" s="16" t="str">
        <f t="shared" si="10"/>
        <v/>
      </c>
      <c r="N100" s="15"/>
    </row>
    <row r="101" spans="1:14" s="12" customFormat="1" ht="25" customHeight="1">
      <c r="A101" s="10"/>
      <c r="B101" s="23"/>
      <c r="C101" s="55">
        <v>6</v>
      </c>
      <c r="D101" s="49">
        <f t="shared" si="9"/>
        <v>69</v>
      </c>
      <c r="E101" s="64">
        <f t="shared" si="8"/>
        <v>9</v>
      </c>
      <c r="F101" s="50">
        <f t="shared" si="11"/>
        <v>1.37</v>
      </c>
      <c r="G101" s="51">
        <f>IF(D101=D100,"",_xlfn.IFNA(VLOOKUP(D101,'인원 입력 기능'!$F$5:$I$103,4,FALSE),0))</f>
        <v>1139</v>
      </c>
      <c r="H101" s="52">
        <f t="shared" si="12"/>
        <v>3.4652817709141469E-3</v>
      </c>
      <c r="I101" s="62">
        <f>SUM($G$7:G101)</f>
        <v>324759</v>
      </c>
      <c r="J101" s="54">
        <f t="shared" si="13"/>
        <v>0.98804340881501962</v>
      </c>
      <c r="K101" s="28"/>
      <c r="L101" s="16" t="str">
        <f t="shared" si="10"/>
        <v/>
      </c>
      <c r="N101" s="15"/>
    </row>
    <row r="102" spans="1:14" s="12" customFormat="1" ht="25" customHeight="1">
      <c r="A102" s="10"/>
      <c r="B102" s="23"/>
      <c r="C102" s="55">
        <v>5</v>
      </c>
      <c r="D102" s="49">
        <f t="shared" si="9"/>
        <v>68</v>
      </c>
      <c r="E102" s="64">
        <f t="shared" si="8"/>
        <v>9</v>
      </c>
      <c r="F102" s="50">
        <f t="shared" si="11"/>
        <v>1.1000000000000001</v>
      </c>
      <c r="G102" s="51">
        <f>IF(D102=D101,"",_xlfn.IFNA(VLOOKUP(D102,'인원 입력 기능'!$F$5:$I$103,4,FALSE),0))</f>
        <v>660</v>
      </c>
      <c r="H102" s="52">
        <f t="shared" si="12"/>
        <v>2.0079771455692157E-3</v>
      </c>
      <c r="I102" s="62">
        <f>SUM($G$7:G102)</f>
        <v>325419</v>
      </c>
      <c r="J102" s="54">
        <f t="shared" si="13"/>
        <v>0.99005138596058884</v>
      </c>
      <c r="K102" s="28"/>
      <c r="L102" s="16" t="str">
        <f t="shared" si="10"/>
        <v/>
      </c>
      <c r="N102" s="15"/>
    </row>
    <row r="103" spans="1:14" s="12" customFormat="1" ht="25" customHeight="1">
      <c r="A103" s="10"/>
      <c r="B103" s="23"/>
      <c r="C103" s="55">
        <v>4</v>
      </c>
      <c r="D103" s="49">
        <f t="shared" si="9"/>
        <v>67</v>
      </c>
      <c r="E103" s="64">
        <f t="shared" si="8"/>
        <v>9</v>
      </c>
      <c r="F103" s="50">
        <f t="shared" si="11"/>
        <v>0.88</v>
      </c>
      <c r="G103" s="51">
        <f>IF(D103=D102,"",_xlfn.IFNA(VLOOKUP(D103,'인원 입력 기능'!$F$5:$I$103,4,FALSE),0))</f>
        <v>765</v>
      </c>
      <c r="H103" s="52">
        <f t="shared" si="12"/>
        <v>2.3274280550915913E-3</v>
      </c>
      <c r="I103" s="62">
        <f>SUM($G$7:G103)</f>
        <v>326184</v>
      </c>
      <c r="J103" s="54">
        <f t="shared" si="13"/>
        <v>0.99237881401568051</v>
      </c>
      <c r="K103" s="28"/>
      <c r="L103" s="16" t="str">
        <f t="shared" si="10"/>
        <v/>
      </c>
      <c r="N103" s="15"/>
    </row>
    <row r="104" spans="1:14" s="12" customFormat="1" ht="25" customHeight="1">
      <c r="A104" s="10"/>
      <c r="B104" s="23"/>
      <c r="C104" s="55">
        <v>3</v>
      </c>
      <c r="D104" s="49">
        <f t="shared" si="9"/>
        <v>66</v>
      </c>
      <c r="E104" s="49">
        <f t="shared" si="8"/>
        <v>9</v>
      </c>
      <c r="F104" s="50">
        <f t="shared" si="11"/>
        <v>0.69</v>
      </c>
      <c r="G104" s="51">
        <f>IF(D104=D103,"",_xlfn.IFNA(VLOOKUP(D104,'인원 입력 기능'!$F$5:$I$103,4,FALSE),0))</f>
        <v>443</v>
      </c>
      <c r="H104" s="52">
        <f t="shared" si="12"/>
        <v>1.3477785992229738E-3</v>
      </c>
      <c r="I104" s="62">
        <f>SUM($G$7:G104)</f>
        <v>326627</v>
      </c>
      <c r="J104" s="54">
        <f t="shared" si="13"/>
        <v>0.99372659261490348</v>
      </c>
      <c r="K104" s="28"/>
      <c r="L104" s="16" t="str">
        <f t="shared" si="10"/>
        <v/>
      </c>
      <c r="N104" s="15"/>
    </row>
    <row r="105" spans="1:14" s="12" customFormat="1" ht="25" customHeight="1">
      <c r="A105" s="10"/>
      <c r="B105" s="23"/>
      <c r="C105" s="55">
        <v>2</v>
      </c>
      <c r="D105" s="49">
        <f t="shared" ref="D105" si="14">ROUND(20*(C105-$H$3)/$H$4+100,0)</f>
        <v>65</v>
      </c>
      <c r="E105" s="49">
        <f t="shared" si="8"/>
        <v>9</v>
      </c>
      <c r="F105" s="50">
        <f t="shared" si="11"/>
        <v>0.59</v>
      </c>
      <c r="G105" s="51">
        <f>IF(D105=D104,"",_xlfn.IFNA(VLOOKUP(D105,'인원 입력 기능'!$F$5:$I$103,4,FALSE),0))</f>
        <v>234</v>
      </c>
      <c r="H105" s="52">
        <f t="shared" si="12"/>
        <v>7.1191916979272197E-4</v>
      </c>
      <c r="I105" s="62">
        <f>SUM($G$7:G105)</f>
        <v>326861</v>
      </c>
      <c r="J105" s="54">
        <f t="shared" si="13"/>
        <v>0.99443851178469622</v>
      </c>
      <c r="K105" s="28"/>
      <c r="L105" s="16" t="str">
        <f t="shared" si="10"/>
        <v/>
      </c>
      <c r="N105" s="15"/>
    </row>
    <row r="106" spans="1:14" s="12" customFormat="1" ht="25" customHeight="1">
      <c r="A106" s="10"/>
      <c r="B106" s="23"/>
      <c r="C106" s="55">
        <v>1</v>
      </c>
      <c r="D106" s="56" t="s">
        <v>37</v>
      </c>
      <c r="E106" s="56"/>
      <c r="F106" s="57"/>
      <c r="G106" s="58"/>
      <c r="H106" s="59"/>
      <c r="I106" s="66"/>
      <c r="J106" s="61"/>
      <c r="K106" s="29"/>
      <c r="L106" s="16"/>
    </row>
    <row r="107" spans="1:14" s="12" customFormat="1" ht="25" customHeight="1" thickBot="1">
      <c r="A107" s="10"/>
      <c r="B107" s="23"/>
      <c r="C107" s="67">
        <v>0</v>
      </c>
      <c r="D107" s="68">
        <f>ROUND(20*(C107-$H$3)/$H$4+100,0)</f>
        <v>63</v>
      </c>
      <c r="E107" s="6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69">
        <f>IF(I105=0,ROUND(100*(1-(I104+I107)/2/$J$3),2),ROUND(100*(1-(I105+I107)/2/$J$3),2))</f>
        <v>0.28000000000000003</v>
      </c>
      <c r="G107" s="70">
        <f>_xlfn.IFNA(VLOOKUP(D107,'인원 입력 기능'!$F$5:$I$103,4,FALSE),0)</f>
        <v>1828</v>
      </c>
      <c r="H107" s="71">
        <f>G107/$J$3</f>
        <v>5.5614882153038284E-3</v>
      </c>
      <c r="I107" s="72">
        <f>SUM($G$7:G107)</f>
        <v>328689</v>
      </c>
      <c r="J107" s="74">
        <f>I107/$J$3</f>
        <v>1</v>
      </c>
      <c r="K107" s="28"/>
      <c r="L107" s="16" t="str">
        <f>IF(ABS((C107-$H$3)/$H$4*20+100-D107)&gt;0.49, "경고", "")</f>
        <v/>
      </c>
    </row>
    <row r="108" spans="1:14" ht="6" customHeight="1">
      <c r="A108" s="2"/>
      <c r="B108" s="30"/>
      <c r="C108" s="31"/>
      <c r="D108" s="31"/>
      <c r="E108" s="31"/>
      <c r="F108" s="31"/>
      <c r="G108" s="31"/>
      <c r="H108" s="31"/>
      <c r="I108" s="31"/>
      <c r="J108" s="31"/>
      <c r="K108" s="32"/>
      <c r="L108" s="2"/>
    </row>
  </sheetData>
  <mergeCells count="10">
    <mergeCell ref="D3:F3"/>
    <mergeCell ref="D4:F4"/>
    <mergeCell ref="G5:J5"/>
    <mergeCell ref="D41:D42"/>
    <mergeCell ref="E41:E42"/>
    <mergeCell ref="F41:F42"/>
    <mergeCell ref="G41:G42"/>
    <mergeCell ref="H41:H42"/>
    <mergeCell ref="I41:I42"/>
    <mergeCell ref="J41:J42"/>
  </mergeCells>
  <phoneticPr fontId="1" type="noConversion"/>
  <conditionalFormatting sqref="C7:C107">
    <cfRule type="expression" dxfId="2" priority="3">
      <formula>OR(AND($D7=0,OR($D6=$Q$7:$Q$14)),AND($D8&gt;0,OR($D7=$Q$7:$Q$14)))</formula>
    </cfRule>
  </conditionalFormatting>
  <conditionalFormatting sqref="D7:J41 D43:J107">
    <cfRule type="expression" dxfId="1" priority="2">
      <formula>OR($D7=$Q$7:$Q$14)</formula>
    </cfRule>
  </conditionalFormatting>
  <conditionalFormatting sqref="D7:D41 D43:D107">
    <cfRule type="expression" dxfId="0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6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0"/>
      <c r="C2" s="21"/>
      <c r="D2" s="21"/>
      <c r="E2" s="21"/>
      <c r="F2" s="21"/>
      <c r="G2" s="21"/>
      <c r="H2" s="21"/>
      <c r="I2" s="21"/>
      <c r="J2" s="21"/>
      <c r="K2" s="22"/>
    </row>
    <row r="3" spans="1:12" s="17" customFormat="1" ht="25" customHeight="1" thickBot="1">
      <c r="A3" s="16"/>
      <c r="B3" s="34"/>
      <c r="C3" s="38" t="s">
        <v>56</v>
      </c>
      <c r="D3" s="105" t="s">
        <v>71</v>
      </c>
      <c r="E3" s="106"/>
      <c r="F3" s="107"/>
      <c r="G3" s="38" t="s">
        <v>57</v>
      </c>
      <c r="H3" s="39" t="str">
        <f>'통계 및 응시자 수 입력 기능'!D6</f>
        <v>51.31</v>
      </c>
      <c r="I3" s="11" t="s">
        <v>58</v>
      </c>
      <c r="J3" s="40">
        <f>'통계 및 응시자 수 입력 기능'!C6</f>
        <v>325418</v>
      </c>
      <c r="K3" s="25"/>
    </row>
    <row r="4" spans="1:12" s="17" customFormat="1" ht="25" customHeight="1" thickBot="1">
      <c r="A4" s="16"/>
      <c r="B4" s="34"/>
      <c r="C4" s="41" t="s">
        <v>59</v>
      </c>
      <c r="D4" s="108" t="s">
        <v>60</v>
      </c>
      <c r="E4" s="109"/>
      <c r="F4" s="110"/>
      <c r="G4" s="42" t="s">
        <v>61</v>
      </c>
      <c r="H4" s="43" t="str">
        <f>'통계 및 응시자 수 입력 기능'!E6</f>
        <v>20.44</v>
      </c>
      <c r="I4" s="102"/>
      <c r="J4" s="103"/>
      <c r="K4" s="25"/>
    </row>
    <row r="5" spans="1:12" s="17" customFormat="1" ht="25" customHeight="1" thickBot="1">
      <c r="A5" s="16"/>
      <c r="B5" s="34"/>
      <c r="C5" s="10"/>
      <c r="D5" s="10"/>
      <c r="E5" s="10"/>
      <c r="F5" s="10"/>
      <c r="G5" s="112" t="s">
        <v>72</v>
      </c>
      <c r="H5" s="112"/>
      <c r="I5" s="112"/>
      <c r="J5" s="112"/>
      <c r="K5" s="25"/>
    </row>
    <row r="6" spans="1:12" s="17" customFormat="1" ht="25" customHeight="1" thickBot="1">
      <c r="A6" s="16"/>
      <c r="B6" s="34"/>
      <c r="C6" s="44" t="s">
        <v>63</v>
      </c>
      <c r="D6" s="75" t="s">
        <v>64</v>
      </c>
      <c r="E6" s="76" t="s">
        <v>65</v>
      </c>
      <c r="F6" s="45" t="s">
        <v>66</v>
      </c>
      <c r="G6" s="45" t="s">
        <v>67</v>
      </c>
      <c r="H6" s="47" t="s">
        <v>68</v>
      </c>
      <c r="I6" s="10"/>
      <c r="J6" s="10"/>
      <c r="K6" s="25"/>
      <c r="L6" s="16"/>
    </row>
    <row r="7" spans="1:12" s="17" customFormat="1" ht="25" customHeight="1">
      <c r="A7" s="16"/>
      <c r="B7" s="34"/>
      <c r="C7" s="77">
        <v>1</v>
      </c>
      <c r="D7" s="78">
        <v>90</v>
      </c>
      <c r="E7" s="79">
        <f>'표점등급&amp;절평인원 입력기능'!D22</f>
        <v>8832</v>
      </c>
      <c r="F7" s="80">
        <f>E7/$J$3</f>
        <v>2.714047778549435E-2</v>
      </c>
      <c r="G7" s="81">
        <f>SUM($E$7:E7)</f>
        <v>8832</v>
      </c>
      <c r="H7" s="82">
        <f>G7/$J$3</f>
        <v>2.714047778549435E-2</v>
      </c>
      <c r="I7" s="10"/>
      <c r="J7" s="10"/>
      <c r="K7" s="25"/>
      <c r="L7" s="16"/>
    </row>
    <row r="8" spans="1:12" s="17" customFormat="1" ht="25" customHeight="1">
      <c r="A8" s="16"/>
      <c r="B8" s="34"/>
      <c r="C8" s="83">
        <v>2</v>
      </c>
      <c r="D8" s="84">
        <v>80</v>
      </c>
      <c r="E8" s="85">
        <f>'표점등급&amp;절평인원 입력기능'!D23</f>
        <v>20866</v>
      </c>
      <c r="F8" s="80">
        <f t="shared" ref="F8:F15" si="0">E8/$J$3</f>
        <v>6.4120607956535902E-2</v>
      </c>
      <c r="G8" s="86">
        <f>SUM($E$7:E8)</f>
        <v>29698</v>
      </c>
      <c r="H8" s="82">
        <f t="shared" ref="H8:H15" si="1">G8/$J$3</f>
        <v>9.1261085742030248E-2</v>
      </c>
      <c r="I8" s="10"/>
      <c r="J8" s="10"/>
      <c r="K8" s="25"/>
      <c r="L8" s="16"/>
    </row>
    <row r="9" spans="1:12" s="17" customFormat="1" ht="25" customHeight="1">
      <c r="A9" s="16"/>
      <c r="B9" s="34"/>
      <c r="C9" s="83">
        <v>3</v>
      </c>
      <c r="D9" s="84">
        <v>70</v>
      </c>
      <c r="E9" s="85">
        <f>'표점등급&amp;절평인원 입력기능'!D24</f>
        <v>37941</v>
      </c>
      <c r="F9" s="80">
        <f t="shared" si="0"/>
        <v>0.11659158374767223</v>
      </c>
      <c r="G9" s="86">
        <f>SUM($E$7:E9)</f>
        <v>67639</v>
      </c>
      <c r="H9" s="82">
        <f t="shared" si="1"/>
        <v>0.20785266948970246</v>
      </c>
      <c r="I9" s="10"/>
      <c r="J9" s="10"/>
      <c r="K9" s="25"/>
      <c r="L9" s="16"/>
    </row>
    <row r="10" spans="1:12" s="17" customFormat="1" ht="25" customHeight="1">
      <c r="A10" s="16"/>
      <c r="B10" s="34"/>
      <c r="C10" s="83">
        <v>4</v>
      </c>
      <c r="D10" s="84">
        <v>60</v>
      </c>
      <c r="E10" s="85">
        <f>'표점등급&amp;절평인원 입력기능'!D25</f>
        <v>51663</v>
      </c>
      <c r="F10" s="80">
        <f t="shared" si="0"/>
        <v>0.15875888856793416</v>
      </c>
      <c r="G10" s="86">
        <f>SUM($E$7:E10)</f>
        <v>119302</v>
      </c>
      <c r="H10" s="82">
        <f t="shared" si="1"/>
        <v>0.36661155805763662</v>
      </c>
      <c r="I10" s="10"/>
      <c r="J10" s="10"/>
      <c r="K10" s="25"/>
      <c r="L10" s="16"/>
    </row>
    <row r="11" spans="1:12" s="17" customFormat="1" ht="25" customHeight="1">
      <c r="A11" s="16"/>
      <c r="B11" s="34"/>
      <c r="C11" s="83">
        <v>5</v>
      </c>
      <c r="D11" s="84">
        <v>50</v>
      </c>
      <c r="E11" s="85">
        <f>'표점등급&amp;절평인원 입력기능'!D26</f>
        <v>54607</v>
      </c>
      <c r="F11" s="80">
        <f t="shared" si="0"/>
        <v>0.16780571449643228</v>
      </c>
      <c r="G11" s="86">
        <f>SUM($E$7:E11)</f>
        <v>173909</v>
      </c>
      <c r="H11" s="82">
        <f t="shared" si="1"/>
        <v>0.5344172725540689</v>
      </c>
      <c r="I11" s="10"/>
      <c r="J11" s="10"/>
      <c r="K11" s="25"/>
      <c r="L11" s="16"/>
    </row>
    <row r="12" spans="1:12" s="17" customFormat="1" ht="25" customHeight="1">
      <c r="A12" s="16"/>
      <c r="B12" s="34"/>
      <c r="C12" s="83">
        <v>6</v>
      </c>
      <c r="D12" s="84">
        <v>40</v>
      </c>
      <c r="E12" s="85">
        <f>'표점등급&amp;절평인원 입력기능'!D27</f>
        <v>49616</v>
      </c>
      <c r="F12" s="80">
        <f t="shared" si="0"/>
        <v>0.15246851741452533</v>
      </c>
      <c r="G12" s="86">
        <f>SUM($E$7:E12)</f>
        <v>223525</v>
      </c>
      <c r="H12" s="82">
        <f t="shared" si="1"/>
        <v>0.68688578996859428</v>
      </c>
      <c r="I12" s="10"/>
      <c r="J12" s="10"/>
      <c r="K12" s="25"/>
      <c r="L12" s="16"/>
    </row>
    <row r="13" spans="1:12" s="17" customFormat="1" ht="25" customHeight="1">
      <c r="A13" s="16"/>
      <c r="B13" s="34"/>
      <c r="C13" s="83">
        <v>7</v>
      </c>
      <c r="D13" s="84">
        <v>30</v>
      </c>
      <c r="E13" s="85">
        <f>'표점등급&amp;절평인원 입력기능'!D28</f>
        <v>44525</v>
      </c>
      <c r="F13" s="80">
        <f t="shared" si="0"/>
        <v>0.13682402325624274</v>
      </c>
      <c r="G13" s="86">
        <f>SUM($E$7:E13)</f>
        <v>268050</v>
      </c>
      <c r="H13" s="82">
        <f t="shared" si="1"/>
        <v>0.82370981322483694</v>
      </c>
      <c r="I13" s="10"/>
      <c r="J13" s="10"/>
      <c r="K13" s="25"/>
      <c r="L13" s="16"/>
    </row>
    <row r="14" spans="1:12" s="17" customFormat="1" ht="25" customHeight="1">
      <c r="A14" s="16"/>
      <c r="B14" s="34"/>
      <c r="C14" s="83">
        <v>8</v>
      </c>
      <c r="D14" s="84">
        <v>20</v>
      </c>
      <c r="E14" s="85">
        <f>'표점등급&amp;절평인원 입력기능'!D29</f>
        <v>43003</v>
      </c>
      <c r="F14" s="80">
        <f t="shared" si="0"/>
        <v>0.13214696175380589</v>
      </c>
      <c r="G14" s="86">
        <f>SUM($E$7:E14)</f>
        <v>311053</v>
      </c>
      <c r="H14" s="82">
        <f t="shared" si="1"/>
        <v>0.95585677497864285</v>
      </c>
      <c r="I14" s="10"/>
      <c r="J14" s="10"/>
      <c r="K14" s="25"/>
      <c r="L14" s="16"/>
    </row>
    <row r="15" spans="1:12" s="17" customFormat="1" ht="25" customHeight="1" thickBot="1">
      <c r="A15" s="16"/>
      <c r="B15" s="34"/>
      <c r="C15" s="87">
        <v>9</v>
      </c>
      <c r="D15" s="88">
        <v>0</v>
      </c>
      <c r="E15" s="89">
        <f>'표점등급&amp;절평인원 입력기능'!D30</f>
        <v>14365</v>
      </c>
      <c r="F15" s="90">
        <f t="shared" si="0"/>
        <v>4.4143225021357146E-2</v>
      </c>
      <c r="G15" s="91">
        <f>SUM($E$7:E15)</f>
        <v>325418</v>
      </c>
      <c r="H15" s="92">
        <f t="shared" si="1"/>
        <v>1</v>
      </c>
      <c r="I15" s="10"/>
      <c r="J15" s="10"/>
      <c r="K15" s="25"/>
      <c r="L15" s="16"/>
    </row>
    <row r="16" spans="1:12" ht="6" customHeight="1">
      <c r="A16" s="2"/>
      <c r="B16" s="30"/>
      <c r="C16" s="31"/>
      <c r="D16" s="31"/>
      <c r="E16" s="31"/>
      <c r="F16" s="31"/>
      <c r="G16" s="31"/>
      <c r="H16" s="31"/>
      <c r="I16" s="31"/>
      <c r="J16" s="31"/>
      <c r="K16" s="32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7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0"/>
      <c r="C2" s="21"/>
      <c r="D2" s="21"/>
      <c r="E2" s="21"/>
      <c r="F2" s="21"/>
      <c r="G2" s="21"/>
      <c r="H2" s="21"/>
      <c r="I2" s="21"/>
      <c r="J2" s="21"/>
      <c r="K2" s="22"/>
    </row>
    <row r="3" spans="1:12" s="17" customFormat="1" ht="25" customHeight="1" thickBot="1">
      <c r="A3" s="16"/>
      <c r="B3" s="34"/>
      <c r="C3" s="38" t="s">
        <v>56</v>
      </c>
      <c r="D3" s="105" t="s">
        <v>71</v>
      </c>
      <c r="E3" s="106"/>
      <c r="F3" s="107"/>
      <c r="G3" s="38" t="s">
        <v>57</v>
      </c>
      <c r="H3" s="39" t="str">
        <f>'통계 및 응시자 수 입력 기능'!D7</f>
        <v>27.73</v>
      </c>
      <c r="I3" s="11" t="s">
        <v>58</v>
      </c>
      <c r="J3" s="40">
        <f>'통계 및 응시자 수 입력 기능'!C7</f>
        <v>323663</v>
      </c>
      <c r="K3" s="25"/>
    </row>
    <row r="4" spans="1:12" s="17" customFormat="1" ht="25" customHeight="1" thickBot="1">
      <c r="A4" s="16"/>
      <c r="B4" s="34"/>
      <c r="C4" s="41" t="s">
        <v>59</v>
      </c>
      <c r="D4" s="108" t="s">
        <v>62</v>
      </c>
      <c r="E4" s="109"/>
      <c r="F4" s="110"/>
      <c r="G4" s="42" t="s">
        <v>61</v>
      </c>
      <c r="H4" s="43" t="str">
        <f>'통계 및 응시자 수 입력 기능'!E7</f>
        <v>12.02</v>
      </c>
      <c r="I4" s="102"/>
      <c r="J4" s="103"/>
      <c r="K4" s="25"/>
    </row>
    <row r="5" spans="1:12" s="17" customFormat="1" ht="25" customHeight="1" thickBot="1">
      <c r="A5" s="16"/>
      <c r="B5" s="34"/>
      <c r="C5" s="10"/>
      <c r="D5" s="10"/>
      <c r="E5" s="10"/>
      <c r="F5" s="10"/>
      <c r="G5" s="112" t="s">
        <v>72</v>
      </c>
      <c r="H5" s="112"/>
      <c r="I5" s="112"/>
      <c r="J5" s="112"/>
      <c r="K5" s="25"/>
    </row>
    <row r="6" spans="1:12" s="17" customFormat="1" ht="25" customHeight="1" thickBot="1">
      <c r="A6" s="16"/>
      <c r="B6" s="34"/>
      <c r="C6" s="44" t="s">
        <v>63</v>
      </c>
      <c r="D6" s="75" t="s">
        <v>64</v>
      </c>
      <c r="E6" s="76" t="s">
        <v>65</v>
      </c>
      <c r="F6" s="45" t="s">
        <v>66</v>
      </c>
      <c r="G6" s="45" t="s">
        <v>67</v>
      </c>
      <c r="H6" s="47" t="s">
        <v>68</v>
      </c>
      <c r="I6" s="10"/>
      <c r="J6" s="10"/>
      <c r="K6" s="25"/>
      <c r="L6" s="16"/>
    </row>
    <row r="7" spans="1:12" s="17" customFormat="1" ht="25" customHeight="1">
      <c r="A7" s="16"/>
      <c r="B7" s="34"/>
      <c r="C7" s="93">
        <v>1</v>
      </c>
      <c r="D7" s="94">
        <v>40</v>
      </c>
      <c r="E7" s="79">
        <f>'표점등급&amp;절평인원 입력기능'!D31</f>
        <v>64536</v>
      </c>
      <c r="F7" s="80">
        <f>E7/$J$3</f>
        <v>0.19939257808275893</v>
      </c>
      <c r="G7" s="81">
        <f>SUM($E$7:E7)</f>
        <v>64536</v>
      </c>
      <c r="H7" s="82">
        <f>G7/$J$3</f>
        <v>0.19939257808275893</v>
      </c>
      <c r="I7" s="10"/>
      <c r="J7" s="10"/>
      <c r="K7" s="25"/>
      <c r="L7" s="16"/>
    </row>
    <row r="8" spans="1:12" s="17" customFormat="1" ht="25" customHeight="1">
      <c r="A8" s="16"/>
      <c r="B8" s="34"/>
      <c r="C8" s="95">
        <v>2</v>
      </c>
      <c r="D8" s="96">
        <v>35</v>
      </c>
      <c r="E8" s="85">
        <f>'표점등급&amp;절평인원 입력기능'!D32</f>
        <v>39665</v>
      </c>
      <c r="F8" s="80">
        <f t="shared" ref="F8:F15" si="0">E8/$J$3</f>
        <v>0.12255030695507364</v>
      </c>
      <c r="G8" s="86">
        <f>SUM($E$7:E8)</f>
        <v>104201</v>
      </c>
      <c r="H8" s="82">
        <f t="shared" ref="H8:H15" si="1">G8/$J$3</f>
        <v>0.32194288503783258</v>
      </c>
      <c r="I8" s="10"/>
      <c r="J8" s="10"/>
      <c r="K8" s="25"/>
      <c r="L8" s="16"/>
    </row>
    <row r="9" spans="1:12" s="17" customFormat="1" ht="25" customHeight="1">
      <c r="A9" s="16"/>
      <c r="B9" s="34"/>
      <c r="C9" s="95">
        <v>3</v>
      </c>
      <c r="D9" s="96">
        <v>30</v>
      </c>
      <c r="E9" s="85">
        <f>'표점등급&amp;절평인원 입력기능'!D33</f>
        <v>43656</v>
      </c>
      <c r="F9" s="80">
        <f t="shared" si="0"/>
        <v>0.13488103366773466</v>
      </c>
      <c r="G9" s="86">
        <f>SUM($E$7:E9)</f>
        <v>147857</v>
      </c>
      <c r="H9" s="82">
        <f t="shared" si="1"/>
        <v>0.45682391870556721</v>
      </c>
      <c r="I9" s="10"/>
      <c r="J9" s="10"/>
      <c r="K9" s="25"/>
      <c r="L9" s="16"/>
    </row>
    <row r="10" spans="1:12" s="17" customFormat="1" ht="25" customHeight="1">
      <c r="A10" s="16"/>
      <c r="B10" s="34"/>
      <c r="C10" s="95">
        <v>4</v>
      </c>
      <c r="D10" s="96">
        <v>25</v>
      </c>
      <c r="E10" s="85">
        <f>'표점등급&amp;절평인원 입력기능'!D34</f>
        <v>43327</v>
      </c>
      <c r="F10" s="80">
        <f t="shared" si="0"/>
        <v>0.13386454429452857</v>
      </c>
      <c r="G10" s="86">
        <f>SUM($E$7:E10)</f>
        <v>191184</v>
      </c>
      <c r="H10" s="82">
        <f t="shared" si="1"/>
        <v>0.59068846300009581</v>
      </c>
      <c r="I10" s="10"/>
      <c r="J10" s="10"/>
      <c r="K10" s="25"/>
      <c r="L10" s="16"/>
    </row>
    <row r="11" spans="1:12" s="17" customFormat="1" ht="25" customHeight="1">
      <c r="A11" s="16"/>
      <c r="B11" s="34"/>
      <c r="C11" s="95">
        <v>5</v>
      </c>
      <c r="D11" s="96">
        <v>20</v>
      </c>
      <c r="E11" s="85">
        <f>'표점등급&amp;절평인원 입력기능'!D35</f>
        <v>39105</v>
      </c>
      <c r="F11" s="80">
        <f t="shared" si="0"/>
        <v>0.12082011227727606</v>
      </c>
      <c r="G11" s="86">
        <f>SUM($E$7:E11)</f>
        <v>230289</v>
      </c>
      <c r="H11" s="82">
        <f t="shared" si="1"/>
        <v>0.71150857527737188</v>
      </c>
      <c r="I11" s="10"/>
      <c r="J11" s="10"/>
      <c r="K11" s="25"/>
      <c r="L11" s="16"/>
    </row>
    <row r="12" spans="1:12" s="17" customFormat="1" ht="25" customHeight="1">
      <c r="A12" s="16"/>
      <c r="B12" s="34"/>
      <c r="C12" s="95">
        <v>6</v>
      </c>
      <c r="D12" s="96">
        <v>15</v>
      </c>
      <c r="E12" s="85">
        <f>'표점등급&amp;절평인원 입력기능'!D36</f>
        <v>34843</v>
      </c>
      <c r="F12" s="80">
        <f t="shared" si="0"/>
        <v>0.10765209492589514</v>
      </c>
      <c r="G12" s="86">
        <f>SUM($E$7:E12)</f>
        <v>265132</v>
      </c>
      <c r="H12" s="82">
        <f t="shared" si="1"/>
        <v>0.81916067020326699</v>
      </c>
      <c r="I12" s="10"/>
      <c r="J12" s="10"/>
      <c r="K12" s="25"/>
      <c r="L12" s="16"/>
    </row>
    <row r="13" spans="1:12" s="17" customFormat="1" ht="25" customHeight="1">
      <c r="A13" s="16"/>
      <c r="B13" s="34"/>
      <c r="C13" s="95">
        <v>7</v>
      </c>
      <c r="D13" s="96">
        <v>10</v>
      </c>
      <c r="E13" s="85">
        <f>'표점등급&amp;절평인원 입력기능'!D37</f>
        <v>41250</v>
      </c>
      <c r="F13" s="80">
        <f t="shared" si="0"/>
        <v>0.12744737581991145</v>
      </c>
      <c r="G13" s="86">
        <f>SUM($E$7:E13)</f>
        <v>306382</v>
      </c>
      <c r="H13" s="82">
        <f t="shared" si="1"/>
        <v>0.94660804602317838</v>
      </c>
      <c r="I13" s="10"/>
      <c r="J13" s="10"/>
      <c r="K13" s="25"/>
      <c r="L13" s="16"/>
    </row>
    <row r="14" spans="1:12" s="17" customFormat="1" ht="25" customHeight="1">
      <c r="A14" s="16"/>
      <c r="B14" s="34"/>
      <c r="C14" s="95">
        <v>8</v>
      </c>
      <c r="D14" s="96">
        <v>5</v>
      </c>
      <c r="E14" s="85">
        <f>'표점등급&amp;절평인원 입력기능'!D38</f>
        <v>13932</v>
      </c>
      <c r="F14" s="80">
        <f t="shared" si="0"/>
        <v>4.3044771876921364E-2</v>
      </c>
      <c r="G14" s="86">
        <f>SUM($E$7:E14)</f>
        <v>320314</v>
      </c>
      <c r="H14" s="82">
        <f t="shared" si="1"/>
        <v>0.98965281790009985</v>
      </c>
      <c r="I14" s="10"/>
      <c r="J14" s="10"/>
      <c r="K14" s="25"/>
      <c r="L14" s="16"/>
    </row>
    <row r="15" spans="1:12" s="17" customFormat="1" ht="25" customHeight="1" thickBot="1">
      <c r="A15" s="16"/>
      <c r="B15" s="34"/>
      <c r="C15" s="97">
        <v>9</v>
      </c>
      <c r="D15" s="98">
        <v>0</v>
      </c>
      <c r="E15" s="89">
        <f>'표점등급&amp;절평인원 입력기능'!D39</f>
        <v>3349</v>
      </c>
      <c r="F15" s="90">
        <f t="shared" si="0"/>
        <v>1.0347182099900204E-2</v>
      </c>
      <c r="G15" s="91">
        <f>SUM($E$7:E15)</f>
        <v>323663</v>
      </c>
      <c r="H15" s="92">
        <f t="shared" si="1"/>
        <v>1</v>
      </c>
      <c r="I15" s="10"/>
      <c r="J15" s="10"/>
      <c r="K15" s="25"/>
      <c r="L15" s="16"/>
    </row>
    <row r="16" spans="1:12" ht="6" customHeight="1">
      <c r="A16" s="2"/>
      <c r="B16" s="30"/>
      <c r="C16" s="31"/>
      <c r="D16" s="31"/>
      <c r="E16" s="31"/>
      <c r="F16" s="31"/>
      <c r="G16" s="31"/>
      <c r="H16" s="31"/>
      <c r="I16" s="31"/>
      <c r="J16" s="31"/>
      <c r="K16" s="32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5C796-3132-4C04-AFE6-AEEFC657C7D6}">
  <sheetPr codeName="Sheet8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0"/>
      <c r="C2" s="21"/>
      <c r="D2" s="21"/>
      <c r="E2" s="21"/>
      <c r="F2" s="21"/>
      <c r="G2" s="21"/>
      <c r="H2" s="21"/>
      <c r="I2" s="21"/>
      <c r="J2" s="21"/>
      <c r="K2" s="22"/>
    </row>
    <row r="3" spans="1:12" s="17" customFormat="1" ht="25" customHeight="1" thickBot="1">
      <c r="A3" s="16"/>
      <c r="B3" s="34"/>
      <c r="C3" s="38" t="s">
        <v>56</v>
      </c>
      <c r="D3" s="105" t="s">
        <v>71</v>
      </c>
      <c r="E3" s="106"/>
      <c r="F3" s="107"/>
      <c r="G3" s="38" t="s">
        <v>57</v>
      </c>
      <c r="H3" s="39" t="str">
        <f>'통계 및 응시자 수 입력 기능'!D8</f>
        <v>32.86</v>
      </c>
      <c r="I3" s="11" t="s">
        <v>58</v>
      </c>
      <c r="J3" s="40">
        <f>'통계 및 응시자 수 입력 기능'!C8</f>
        <v>322740</v>
      </c>
      <c r="K3" s="25"/>
    </row>
    <row r="4" spans="1:12" s="17" customFormat="1" ht="25" customHeight="1" thickBot="1">
      <c r="A4" s="16"/>
      <c r="B4" s="34"/>
      <c r="C4" s="41" t="s">
        <v>59</v>
      </c>
      <c r="D4" s="113" t="s">
        <v>69</v>
      </c>
      <c r="E4" s="109"/>
      <c r="F4" s="110"/>
      <c r="G4" s="42" t="s">
        <v>61</v>
      </c>
      <c r="H4" s="43" t="str">
        <f>'통계 및 응시자 수 입력 기능'!E8</f>
        <v>11.98</v>
      </c>
      <c r="I4" s="102"/>
      <c r="J4" s="103"/>
      <c r="K4" s="25"/>
    </row>
    <row r="5" spans="1:12" s="17" customFormat="1" ht="25" customHeight="1" thickBot="1">
      <c r="A5" s="16"/>
      <c r="B5" s="34"/>
      <c r="C5" s="10"/>
      <c r="D5" s="10"/>
      <c r="E5" s="10"/>
      <c r="F5" s="10"/>
      <c r="G5" s="112" t="s">
        <v>72</v>
      </c>
      <c r="H5" s="112"/>
      <c r="I5" s="112"/>
      <c r="J5" s="112"/>
      <c r="K5" s="25"/>
    </row>
    <row r="6" spans="1:12" s="17" customFormat="1" ht="25" customHeight="1" thickBot="1">
      <c r="A6" s="16"/>
      <c r="B6" s="34"/>
      <c r="C6" s="44" t="s">
        <v>63</v>
      </c>
      <c r="D6" s="75" t="s">
        <v>64</v>
      </c>
      <c r="E6" s="76" t="s">
        <v>65</v>
      </c>
      <c r="F6" s="45" t="s">
        <v>66</v>
      </c>
      <c r="G6" s="45" t="s">
        <v>67</v>
      </c>
      <c r="H6" s="47" t="s">
        <v>68</v>
      </c>
      <c r="I6" s="10"/>
      <c r="J6" s="10"/>
      <c r="K6" s="25"/>
      <c r="L6" s="16"/>
    </row>
    <row r="7" spans="1:12" s="17" customFormat="1" ht="25" customHeight="1">
      <c r="A7" s="16"/>
      <c r="B7" s="34"/>
      <c r="C7" s="93">
        <v>1</v>
      </c>
      <c r="D7" s="94">
        <v>40</v>
      </c>
      <c r="E7" s="79">
        <f>'표점등급&amp;절평인원 입력기능'!D40</f>
        <v>112842</v>
      </c>
      <c r="F7" s="80">
        <f>E7/$J$3</f>
        <v>0.34963747908533183</v>
      </c>
      <c r="G7" s="81">
        <f>SUM($E$7:E7)</f>
        <v>112842</v>
      </c>
      <c r="H7" s="82">
        <f>G7/$J$3</f>
        <v>0.34963747908533183</v>
      </c>
      <c r="I7" s="10"/>
      <c r="J7" s="10"/>
      <c r="K7" s="25"/>
      <c r="L7" s="16"/>
    </row>
    <row r="8" spans="1:12" s="17" customFormat="1" ht="25" customHeight="1">
      <c r="A8" s="16"/>
      <c r="B8" s="34"/>
      <c r="C8" s="95">
        <v>2</v>
      </c>
      <c r="D8" s="96">
        <v>35</v>
      </c>
      <c r="E8" s="85">
        <f>'표점등급&amp;절평인원 입력기능'!D41</f>
        <v>69703</v>
      </c>
      <c r="F8" s="80">
        <f t="shared" ref="F8:F15" si="0">E8/$J$3</f>
        <v>0.21597260953089173</v>
      </c>
      <c r="G8" s="86">
        <f>SUM($E$7:E8)</f>
        <v>182545</v>
      </c>
      <c r="H8" s="82">
        <f t="shared" ref="H8:H15" si="1">G8/$J$3</f>
        <v>0.56561008861622364</v>
      </c>
      <c r="I8" s="10"/>
      <c r="J8" s="10"/>
      <c r="K8" s="25"/>
      <c r="L8" s="16"/>
    </row>
    <row r="9" spans="1:12" s="17" customFormat="1" ht="25" customHeight="1">
      <c r="A9" s="16"/>
      <c r="B9" s="34"/>
      <c r="C9" s="95">
        <v>3</v>
      </c>
      <c r="D9" s="96">
        <v>30</v>
      </c>
      <c r="E9" s="85">
        <f>'표점등급&amp;절평인원 입력기능'!D42</f>
        <v>42441</v>
      </c>
      <c r="F9" s="80">
        <f t="shared" si="0"/>
        <v>0.13150213794385573</v>
      </c>
      <c r="G9" s="86">
        <f>SUM($E$7:E9)</f>
        <v>224986</v>
      </c>
      <c r="H9" s="82">
        <f t="shared" si="1"/>
        <v>0.69711222656007932</v>
      </c>
      <c r="I9" s="10"/>
      <c r="J9" s="10"/>
      <c r="K9" s="25"/>
      <c r="L9" s="16"/>
    </row>
    <row r="10" spans="1:12" s="17" customFormat="1" ht="25" customHeight="1">
      <c r="A10" s="16"/>
      <c r="B10" s="34"/>
      <c r="C10" s="95">
        <v>4</v>
      </c>
      <c r="D10" s="96">
        <v>25</v>
      </c>
      <c r="E10" s="85">
        <f>'표점등급&amp;절평인원 입력기능'!D43</f>
        <v>23958</v>
      </c>
      <c r="F10" s="80">
        <f t="shared" si="0"/>
        <v>7.423312883435583E-2</v>
      </c>
      <c r="G10" s="86">
        <f>SUM($E$7:E10)</f>
        <v>248944</v>
      </c>
      <c r="H10" s="82">
        <f t="shared" si="1"/>
        <v>0.77134535539443516</v>
      </c>
      <c r="I10" s="10"/>
      <c r="J10" s="10"/>
      <c r="K10" s="25"/>
      <c r="L10" s="16"/>
    </row>
    <row r="11" spans="1:12" s="17" customFormat="1" ht="25" customHeight="1">
      <c r="A11" s="16"/>
      <c r="B11" s="34"/>
      <c r="C11" s="95">
        <v>5</v>
      </c>
      <c r="D11" s="96">
        <v>20</v>
      </c>
      <c r="E11" s="85">
        <f>'표점등급&amp;절평인원 입력기능'!D44</f>
        <v>16019</v>
      </c>
      <c r="F11" s="80">
        <f t="shared" si="0"/>
        <v>4.9634380615975707E-2</v>
      </c>
      <c r="G11" s="86">
        <f>SUM($E$7:E11)</f>
        <v>264963</v>
      </c>
      <c r="H11" s="82">
        <f t="shared" si="1"/>
        <v>0.82097973601041085</v>
      </c>
      <c r="I11" s="10"/>
      <c r="J11" s="10"/>
      <c r="K11" s="25"/>
      <c r="L11" s="16"/>
    </row>
    <row r="12" spans="1:12" s="17" customFormat="1" ht="25" customHeight="1">
      <c r="A12" s="16"/>
      <c r="B12" s="34"/>
      <c r="C12" s="95">
        <v>6</v>
      </c>
      <c r="D12" s="96">
        <v>15</v>
      </c>
      <c r="E12" s="85">
        <f>'표점등급&amp;절평인원 입력기능'!D45</f>
        <v>15003</v>
      </c>
      <c r="F12" s="80">
        <f t="shared" si="0"/>
        <v>4.6486335750139433E-2</v>
      </c>
      <c r="G12" s="86">
        <f>SUM($E$7:E12)</f>
        <v>279966</v>
      </c>
      <c r="H12" s="82">
        <f t="shared" si="1"/>
        <v>0.86746607176055024</v>
      </c>
      <c r="I12" s="10"/>
      <c r="J12" s="10"/>
      <c r="K12" s="25"/>
      <c r="L12" s="16"/>
    </row>
    <row r="13" spans="1:12" s="17" customFormat="1" ht="25" customHeight="1">
      <c r="A13" s="16"/>
      <c r="B13" s="34"/>
      <c r="C13" s="95">
        <v>7</v>
      </c>
      <c r="D13" s="96">
        <v>10</v>
      </c>
      <c r="E13" s="85">
        <f>'표점등급&amp;절평인원 입력기능'!D46</f>
        <v>23404</v>
      </c>
      <c r="F13" s="80">
        <f t="shared" si="0"/>
        <v>7.2516576811055333E-2</v>
      </c>
      <c r="G13" s="86">
        <f>SUM($E$7:E13)</f>
        <v>303370</v>
      </c>
      <c r="H13" s="82">
        <f t="shared" si="1"/>
        <v>0.93998264857160563</v>
      </c>
      <c r="I13" s="10"/>
      <c r="J13" s="10"/>
      <c r="K13" s="25"/>
      <c r="L13" s="16"/>
    </row>
    <row r="14" spans="1:12" s="17" customFormat="1" ht="25" customHeight="1">
      <c r="A14" s="16"/>
      <c r="B14" s="34"/>
      <c r="C14" s="95">
        <v>8</v>
      </c>
      <c r="D14" s="96">
        <v>5</v>
      </c>
      <c r="E14" s="85">
        <f>'표점등급&amp;절평인원 입력기능'!D47</f>
        <v>17474</v>
      </c>
      <c r="F14" s="80">
        <f t="shared" si="0"/>
        <v>5.4142653529156599E-2</v>
      </c>
      <c r="G14" s="86">
        <f>SUM($E$7:E14)</f>
        <v>320844</v>
      </c>
      <c r="H14" s="82">
        <f t="shared" si="1"/>
        <v>0.99412530210076222</v>
      </c>
      <c r="I14" s="10"/>
      <c r="J14" s="10"/>
      <c r="K14" s="25"/>
      <c r="L14" s="16"/>
    </row>
    <row r="15" spans="1:12" s="17" customFormat="1" ht="25" customHeight="1" thickBot="1">
      <c r="A15" s="16"/>
      <c r="B15" s="34"/>
      <c r="C15" s="97">
        <v>9</v>
      </c>
      <c r="D15" s="98">
        <v>0</v>
      </c>
      <c r="E15" s="89">
        <f>'표점등급&amp;절평인원 입력기능'!D48</f>
        <v>1896</v>
      </c>
      <c r="F15" s="90">
        <f t="shared" si="0"/>
        <v>5.8746978992377762E-3</v>
      </c>
      <c r="G15" s="91">
        <f>SUM($E$7:E15)</f>
        <v>322740</v>
      </c>
      <c r="H15" s="92">
        <f t="shared" si="1"/>
        <v>1</v>
      </c>
      <c r="I15" s="10"/>
      <c r="J15" s="10"/>
      <c r="K15" s="25"/>
      <c r="L15" s="16"/>
    </row>
    <row r="16" spans="1:12" ht="6" customHeight="1">
      <c r="A16" s="2"/>
      <c r="B16" s="30"/>
      <c r="C16" s="31"/>
      <c r="D16" s="31"/>
      <c r="E16" s="31"/>
      <c r="F16" s="31"/>
      <c r="G16" s="31"/>
      <c r="H16" s="31"/>
      <c r="I16" s="31"/>
      <c r="J16" s="31"/>
      <c r="K16" s="32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FAE8D-03E5-4BB1-A552-691C1EE8C097}">
  <sheetPr codeName="Sheet9"/>
  <dimension ref="A1:L16"/>
  <sheetViews>
    <sheetView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0"/>
      <c r="C2" s="21"/>
      <c r="D2" s="21"/>
      <c r="E2" s="21"/>
      <c r="F2" s="21"/>
      <c r="G2" s="21"/>
      <c r="H2" s="21"/>
      <c r="I2" s="21"/>
      <c r="J2" s="21"/>
      <c r="K2" s="22"/>
    </row>
    <row r="3" spans="1:12" s="17" customFormat="1" ht="25" customHeight="1" thickBot="1">
      <c r="A3" s="16"/>
      <c r="B3" s="34"/>
      <c r="C3" s="38" t="s">
        <v>56</v>
      </c>
      <c r="D3" s="105" t="s">
        <v>71</v>
      </c>
      <c r="E3" s="106"/>
      <c r="F3" s="107"/>
      <c r="G3" s="38" t="s">
        <v>57</v>
      </c>
      <c r="H3" s="39" t="str">
        <f>'통계 및 응시자 수 입력 기능'!D9</f>
        <v>24.34</v>
      </c>
      <c r="I3" s="11" t="s">
        <v>58</v>
      </c>
      <c r="J3" s="40">
        <f>'통계 및 응시자 수 입력 기능'!C9</f>
        <v>322285</v>
      </c>
      <c r="K3" s="25"/>
    </row>
    <row r="4" spans="1:12" s="17" customFormat="1" ht="25" customHeight="1" thickBot="1">
      <c r="A4" s="16"/>
      <c r="B4" s="34"/>
      <c r="C4" s="41" t="s">
        <v>59</v>
      </c>
      <c r="D4" s="113" t="s">
        <v>70</v>
      </c>
      <c r="E4" s="109"/>
      <c r="F4" s="110"/>
      <c r="G4" s="42" t="s">
        <v>61</v>
      </c>
      <c r="H4" s="43" t="str">
        <f>'통계 및 응시자 수 입력 기능'!E9</f>
        <v>13.10</v>
      </c>
      <c r="I4" s="102"/>
      <c r="J4" s="103"/>
      <c r="K4" s="25"/>
    </row>
    <row r="5" spans="1:12" s="17" customFormat="1" ht="25" customHeight="1" thickBot="1">
      <c r="A5" s="16"/>
      <c r="B5" s="34"/>
      <c r="C5" s="10"/>
      <c r="D5" s="10"/>
      <c r="E5" s="10"/>
      <c r="F5" s="10"/>
      <c r="G5" s="112" t="s">
        <v>72</v>
      </c>
      <c r="H5" s="112"/>
      <c r="I5" s="112"/>
      <c r="J5" s="112"/>
      <c r="K5" s="25"/>
    </row>
    <row r="6" spans="1:12" s="17" customFormat="1" ht="25" customHeight="1" thickBot="1">
      <c r="A6" s="16"/>
      <c r="B6" s="34"/>
      <c r="C6" s="44" t="s">
        <v>63</v>
      </c>
      <c r="D6" s="75" t="s">
        <v>64</v>
      </c>
      <c r="E6" s="76" t="s">
        <v>65</v>
      </c>
      <c r="F6" s="45" t="s">
        <v>66</v>
      </c>
      <c r="G6" s="45" t="s">
        <v>67</v>
      </c>
      <c r="H6" s="47" t="s">
        <v>68</v>
      </c>
      <c r="I6" s="10"/>
      <c r="J6" s="10"/>
      <c r="K6" s="25"/>
      <c r="L6" s="16"/>
    </row>
    <row r="7" spans="1:12" s="17" customFormat="1" ht="25" customHeight="1">
      <c r="A7" s="16"/>
      <c r="B7" s="34"/>
      <c r="C7" s="93">
        <v>1</v>
      </c>
      <c r="D7" s="94">
        <v>40</v>
      </c>
      <c r="E7" s="79">
        <f>'표점등급&amp;절평인원 입력기능'!D49</f>
        <v>54343</v>
      </c>
      <c r="F7" s="80">
        <f>E7/$J$3</f>
        <v>0.16861783824875498</v>
      </c>
      <c r="G7" s="81">
        <f>SUM($E$7:E7)</f>
        <v>54343</v>
      </c>
      <c r="H7" s="82">
        <f>G7/$J$3</f>
        <v>0.16861783824875498</v>
      </c>
      <c r="I7" s="10"/>
      <c r="J7" s="10"/>
      <c r="K7" s="25"/>
      <c r="L7" s="16"/>
    </row>
    <row r="8" spans="1:12" s="17" customFormat="1" ht="25" customHeight="1">
      <c r="A8" s="16"/>
      <c r="B8" s="34"/>
      <c r="C8" s="95">
        <v>2</v>
      </c>
      <c r="D8" s="96">
        <v>35</v>
      </c>
      <c r="E8" s="85">
        <f>'표점등급&amp;절평인원 입력기능'!D50</f>
        <v>32324</v>
      </c>
      <c r="F8" s="80">
        <f t="shared" ref="F8:F15" si="0">E8/$J$3</f>
        <v>0.10029632157872691</v>
      </c>
      <c r="G8" s="86">
        <f>SUM($E$7:E8)</f>
        <v>86667</v>
      </c>
      <c r="H8" s="82">
        <f t="shared" ref="H8:H15" si="1">G8/$J$3</f>
        <v>0.2689141598274819</v>
      </c>
      <c r="I8" s="10"/>
      <c r="J8" s="10"/>
      <c r="K8" s="25"/>
      <c r="L8" s="16"/>
    </row>
    <row r="9" spans="1:12" s="17" customFormat="1" ht="25" customHeight="1">
      <c r="A9" s="16"/>
      <c r="B9" s="34"/>
      <c r="C9" s="95">
        <v>3</v>
      </c>
      <c r="D9" s="96">
        <v>30</v>
      </c>
      <c r="E9" s="85">
        <f>'표점등급&amp;절평인원 입력기능'!D51</f>
        <v>32786</v>
      </c>
      <c r="F9" s="80">
        <f t="shared" si="0"/>
        <v>0.10172983539413873</v>
      </c>
      <c r="G9" s="86">
        <f>SUM($E$7:E9)</f>
        <v>119453</v>
      </c>
      <c r="H9" s="82">
        <f t="shared" si="1"/>
        <v>0.37064399522162061</v>
      </c>
      <c r="I9" s="10"/>
      <c r="J9" s="10"/>
      <c r="K9" s="25"/>
      <c r="L9" s="16"/>
    </row>
    <row r="10" spans="1:12" s="17" customFormat="1" ht="25" customHeight="1">
      <c r="A10" s="16"/>
      <c r="B10" s="34"/>
      <c r="C10" s="95">
        <v>4</v>
      </c>
      <c r="D10" s="96">
        <v>25</v>
      </c>
      <c r="E10" s="85">
        <f>'표점등급&amp;절평인원 입력기능'!D52</f>
        <v>32494</v>
      </c>
      <c r="F10" s="80">
        <f t="shared" si="0"/>
        <v>0.10082380501729836</v>
      </c>
      <c r="G10" s="86">
        <f>SUM($E$7:E10)</f>
        <v>151947</v>
      </c>
      <c r="H10" s="82">
        <f t="shared" si="1"/>
        <v>0.47146780023891899</v>
      </c>
      <c r="I10" s="10"/>
      <c r="J10" s="10"/>
      <c r="K10" s="25"/>
      <c r="L10" s="16"/>
    </row>
    <row r="11" spans="1:12" s="17" customFormat="1" ht="25" customHeight="1">
      <c r="A11" s="16"/>
      <c r="B11" s="34"/>
      <c r="C11" s="95">
        <v>5</v>
      </c>
      <c r="D11" s="96">
        <v>20</v>
      </c>
      <c r="E11" s="85">
        <f>'표점등급&amp;절평인원 입력기능'!D53</f>
        <v>33567</v>
      </c>
      <c r="F11" s="80">
        <f t="shared" si="0"/>
        <v>0.1041531563678111</v>
      </c>
      <c r="G11" s="86">
        <f>SUM($E$7:E11)</f>
        <v>185514</v>
      </c>
      <c r="H11" s="82">
        <f t="shared" si="1"/>
        <v>0.57562095660673007</v>
      </c>
      <c r="I11" s="10"/>
      <c r="J11" s="10"/>
      <c r="K11" s="25"/>
      <c r="L11" s="16"/>
    </row>
    <row r="12" spans="1:12" s="17" customFormat="1" ht="25" customHeight="1">
      <c r="A12" s="16"/>
      <c r="B12" s="34"/>
      <c r="C12" s="95">
        <v>6</v>
      </c>
      <c r="D12" s="96">
        <v>15</v>
      </c>
      <c r="E12" s="85">
        <f>'표점등급&amp;절평인원 입력기능'!D54</f>
        <v>37932</v>
      </c>
      <c r="F12" s="80">
        <f t="shared" si="0"/>
        <v>0.11769706936407218</v>
      </c>
      <c r="G12" s="86">
        <f>SUM($E$7:E12)</f>
        <v>223446</v>
      </c>
      <c r="H12" s="82">
        <f t="shared" si="1"/>
        <v>0.69331802597080228</v>
      </c>
      <c r="I12" s="10"/>
      <c r="J12" s="10"/>
      <c r="K12" s="25"/>
      <c r="L12" s="16"/>
    </row>
    <row r="13" spans="1:12" s="17" customFormat="1" ht="25" customHeight="1">
      <c r="A13" s="16"/>
      <c r="B13" s="34"/>
      <c r="C13" s="95">
        <v>7</v>
      </c>
      <c r="D13" s="96">
        <v>10</v>
      </c>
      <c r="E13" s="85">
        <f>'표점등급&amp;절평인원 입력기능'!D55</f>
        <v>47837</v>
      </c>
      <c r="F13" s="80">
        <f t="shared" si="0"/>
        <v>0.14843073677024993</v>
      </c>
      <c r="G13" s="86">
        <f>SUM($E$7:E13)</f>
        <v>271283</v>
      </c>
      <c r="H13" s="82">
        <f t="shared" si="1"/>
        <v>0.84174876274105215</v>
      </c>
      <c r="I13" s="10"/>
      <c r="J13" s="10"/>
      <c r="K13" s="25"/>
      <c r="L13" s="16"/>
    </row>
    <row r="14" spans="1:12" s="17" customFormat="1" ht="25" customHeight="1">
      <c r="A14" s="16"/>
      <c r="B14" s="34"/>
      <c r="C14" s="95">
        <v>8</v>
      </c>
      <c r="D14" s="96">
        <v>5</v>
      </c>
      <c r="E14" s="85">
        <f>'표점등급&amp;절평인원 입력기능'!D56</f>
        <v>45877</v>
      </c>
      <c r="F14" s="80">
        <f t="shared" si="0"/>
        <v>0.14234916300789674</v>
      </c>
      <c r="G14" s="86">
        <f>SUM($E$7:E14)</f>
        <v>317160</v>
      </c>
      <c r="H14" s="82">
        <f t="shared" si="1"/>
        <v>0.98409792574894894</v>
      </c>
      <c r="I14" s="10"/>
      <c r="J14" s="10"/>
      <c r="K14" s="25"/>
      <c r="L14" s="16"/>
    </row>
    <row r="15" spans="1:12" s="17" customFormat="1" ht="25" customHeight="1" thickBot="1">
      <c r="A15" s="16"/>
      <c r="B15" s="34"/>
      <c r="C15" s="97">
        <v>9</v>
      </c>
      <c r="D15" s="98">
        <v>0</v>
      </c>
      <c r="E15" s="89">
        <f>'표점등급&amp;절평인원 입력기능'!D57</f>
        <v>5125</v>
      </c>
      <c r="F15" s="90">
        <f t="shared" si="0"/>
        <v>1.5902074251051088E-2</v>
      </c>
      <c r="G15" s="91">
        <f>SUM($E$7:E15)</f>
        <v>322285</v>
      </c>
      <c r="H15" s="92">
        <f t="shared" si="1"/>
        <v>1</v>
      </c>
      <c r="I15" s="10"/>
      <c r="J15" s="10"/>
      <c r="K15" s="25"/>
      <c r="L15" s="16"/>
    </row>
    <row r="16" spans="1:12" ht="6" customHeight="1">
      <c r="A16" s="2"/>
      <c r="B16" s="30"/>
      <c r="C16" s="31"/>
      <c r="D16" s="31"/>
      <c r="E16" s="31"/>
      <c r="F16" s="31"/>
      <c r="G16" s="31"/>
      <c r="H16" s="31"/>
      <c r="I16" s="31"/>
      <c r="J16" s="31"/>
      <c r="K16" s="32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통계 및 응시자 수 입력 기능</vt:lpstr>
      <vt:lpstr>표점등급&amp;절평인원 입력기능</vt:lpstr>
      <vt:lpstr>인원 입력 기능</vt:lpstr>
      <vt:lpstr>국어</vt:lpstr>
      <vt:lpstr>수학</vt:lpstr>
      <vt:lpstr>영어</vt:lpstr>
      <vt:lpstr>한국사</vt:lpstr>
      <vt:lpstr>사회</vt:lpstr>
      <vt:lpstr>과학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-</cp:lastModifiedBy>
  <cp:lastPrinted>2022-05-21T13:19:13Z</cp:lastPrinted>
  <dcterms:created xsi:type="dcterms:W3CDTF">2018-04-21T04:34:05Z</dcterms:created>
  <dcterms:modified xsi:type="dcterms:W3CDTF">2024-10-30T04:28:42Z</dcterms:modified>
</cp:coreProperties>
</file>