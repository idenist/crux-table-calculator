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4\고3\영한탐(외)\"/>
    </mc:Choice>
  </mc:AlternateContent>
  <xr:revisionPtr revIDLastSave="0" documentId="13_ncr:1_{CA1A073C-D029-42D1-9B14-1DF1C456D1B3}" xr6:coauthVersionLast="47" xr6:coauthVersionMax="47" xr10:uidLastSave="{00000000-0000-0000-0000-000000000000}"/>
  <bookViews>
    <workbookView xWindow="-110" yWindow="-110" windowWidth="19420" windowHeight="11620" tabRatio="738" firstSheet="3" activeTab="11" xr2:uid="{AB9EE284-95EA-49B1-8133-EE4E7651E7F1}"/>
  </bookViews>
  <sheets>
    <sheet name="통계 및 응시자 수 입력 기능" sheetId="67" r:id="rId1"/>
    <sheet name="인원 입력 기능" sheetId="64" r:id="rId2"/>
    <sheet name="표준점수 등급컷 입력기능" sheetId="66" r:id="rId3"/>
    <sheet name="생활과 윤리" sheetId="3" r:id="rId4"/>
    <sheet name="윤리와 사상" sheetId="26" r:id="rId5"/>
    <sheet name="한국지리" sheetId="27" r:id="rId6"/>
    <sheet name="세계지리" sheetId="28" r:id="rId7"/>
    <sheet name="동아시아사" sheetId="29" r:id="rId8"/>
    <sheet name="세계사" sheetId="30" r:id="rId9"/>
    <sheet name="경제" sheetId="31" r:id="rId10"/>
    <sheet name="정치와 법" sheetId="32" r:id="rId11"/>
    <sheet name="사회∙문화" sheetId="33" r:id="rId12"/>
    <sheet name="물리학Ⅰ" sheetId="34" r:id="rId13"/>
    <sheet name="화학Ⅰ" sheetId="35" r:id="rId14"/>
    <sheet name="생명과학Ⅰ" sheetId="36" r:id="rId15"/>
    <sheet name="지구과학Ⅰ" sheetId="37" r:id="rId16"/>
    <sheet name="물리학Ⅱ" sheetId="68" r:id="rId17"/>
    <sheet name="화학Ⅱ" sheetId="39" r:id="rId18"/>
    <sheet name="생명과학Ⅱ" sheetId="40" r:id="rId19"/>
    <sheet name="지구과학Ⅱ" sheetId="41" r:id="rId20"/>
    <sheet name="성공적인 직업생활" sheetId="71" r:id="rId21"/>
    <sheet name="농업 기초 기술" sheetId="72" r:id="rId22"/>
    <sheet name="공업 일반" sheetId="73" r:id="rId23"/>
    <sheet name="상업 경제" sheetId="74" r:id="rId24"/>
    <sheet name="수산·해운 산업 기초" sheetId="75" r:id="rId25"/>
    <sheet name="인간 발달" sheetId="76" r:id="rId26"/>
    <sheet name="등급컷 모아보기" sheetId="70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P7" i="3"/>
  <c r="D12" i="3" l="1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E28" i="3" s="1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P8" i="76"/>
  <c r="P9" i="76"/>
  <c r="I33" i="70" s="1"/>
  <c r="P10" i="76"/>
  <c r="P11" i="76"/>
  <c r="P12" i="76"/>
  <c r="P13" i="76"/>
  <c r="P14" i="76"/>
  <c r="P7" i="76"/>
  <c r="P8" i="75"/>
  <c r="P9" i="75"/>
  <c r="P10" i="75"/>
  <c r="P11" i="75"/>
  <c r="P12" i="75"/>
  <c r="P13" i="75"/>
  <c r="P14" i="75"/>
  <c r="P7" i="75"/>
  <c r="H4" i="76"/>
  <c r="H3" i="76"/>
  <c r="D21" i="76" s="1"/>
  <c r="P8" i="74"/>
  <c r="P9" i="74"/>
  <c r="P10" i="74"/>
  <c r="P11" i="74"/>
  <c r="P12" i="74"/>
  <c r="P13" i="74"/>
  <c r="P14" i="74"/>
  <c r="P7" i="74"/>
  <c r="H4" i="75"/>
  <c r="D25" i="75" s="1"/>
  <c r="H3" i="75"/>
  <c r="H4" i="74"/>
  <c r="H3" i="74"/>
  <c r="P8" i="73"/>
  <c r="P9" i="73"/>
  <c r="P10" i="73"/>
  <c r="P11" i="73"/>
  <c r="P12" i="73"/>
  <c r="P13" i="73"/>
  <c r="P14" i="73"/>
  <c r="P7" i="73"/>
  <c r="H4" i="73"/>
  <c r="H3" i="73"/>
  <c r="H4" i="72"/>
  <c r="D35" i="72" s="1"/>
  <c r="H3" i="72"/>
  <c r="P8" i="72"/>
  <c r="P9" i="72"/>
  <c r="P10" i="72"/>
  <c r="P11" i="72"/>
  <c r="P12" i="72"/>
  <c r="P13" i="72"/>
  <c r="P14" i="72"/>
  <c r="P7" i="72"/>
  <c r="P8" i="71"/>
  <c r="P9" i="71"/>
  <c r="P10" i="71"/>
  <c r="P11" i="71"/>
  <c r="P12" i="71"/>
  <c r="P13" i="71"/>
  <c r="D37" i="70" s="1"/>
  <c r="P14" i="71"/>
  <c r="P7" i="71"/>
  <c r="H4" i="71"/>
  <c r="H3" i="71"/>
  <c r="D51" i="72"/>
  <c r="I38" i="70" l="1"/>
  <c r="I36" i="70"/>
  <c r="I35" i="70"/>
  <c r="I32" i="70"/>
  <c r="I37" i="70"/>
  <c r="I34" i="70"/>
  <c r="D37" i="73"/>
  <c r="F32" i="70"/>
  <c r="F38" i="70"/>
  <c r="F34" i="70"/>
  <c r="F33" i="70"/>
  <c r="F37" i="70"/>
  <c r="F36" i="70"/>
  <c r="F35" i="70"/>
  <c r="G37" i="70"/>
  <c r="G34" i="70"/>
  <c r="G36" i="70"/>
  <c r="G35" i="70"/>
  <c r="G33" i="70"/>
  <c r="G32" i="70"/>
  <c r="G31" i="70"/>
  <c r="G38" i="70"/>
  <c r="D36" i="70"/>
  <c r="D35" i="70"/>
  <c r="D34" i="70"/>
  <c r="D33" i="70"/>
  <c r="D32" i="70"/>
  <c r="D38" i="70"/>
  <c r="G27" i="3"/>
  <c r="G19" i="3"/>
  <c r="G40" i="3"/>
  <c r="G24" i="3"/>
  <c r="G47" i="3"/>
  <c r="G23" i="3"/>
  <c r="G48" i="3"/>
  <c r="E40" i="3"/>
  <c r="E25" i="3"/>
  <c r="G25" i="3"/>
  <c r="E17" i="3"/>
  <c r="G17" i="3"/>
  <c r="F31" i="70"/>
  <c r="E46" i="3"/>
  <c r="G46" i="3"/>
  <c r="G39" i="3"/>
  <c r="G31" i="3"/>
  <c r="G16" i="3"/>
  <c r="E26" i="3"/>
  <c r="G26" i="3"/>
  <c r="I31" i="70"/>
  <c r="E45" i="3"/>
  <c r="G45" i="3"/>
  <c r="E38" i="3"/>
  <c r="G38" i="3"/>
  <c r="E30" i="3"/>
  <c r="G30" i="3"/>
  <c r="G15" i="3"/>
  <c r="E49" i="3"/>
  <c r="G49" i="3"/>
  <c r="E34" i="3"/>
  <c r="G34" i="3"/>
  <c r="G21" i="76"/>
  <c r="E33" i="3"/>
  <c r="G33" i="3"/>
  <c r="D31" i="70"/>
  <c r="E44" i="3"/>
  <c r="G44" i="3"/>
  <c r="E37" i="3"/>
  <c r="G37" i="3"/>
  <c r="E29" i="3"/>
  <c r="G29" i="3"/>
  <c r="E22" i="3"/>
  <c r="G22" i="3"/>
  <c r="E14" i="3"/>
  <c r="G14" i="3"/>
  <c r="D45" i="73"/>
  <c r="E41" i="3"/>
  <c r="G41" i="3"/>
  <c r="D57" i="73"/>
  <c r="G57" i="73" s="1"/>
  <c r="G18" i="3"/>
  <c r="G35" i="72"/>
  <c r="G51" i="3"/>
  <c r="G43" i="3"/>
  <c r="G36" i="3"/>
  <c r="E21" i="3"/>
  <c r="G21" i="3"/>
  <c r="E13" i="3"/>
  <c r="G13" i="3"/>
  <c r="E32" i="3"/>
  <c r="G32" i="3"/>
  <c r="E50" i="3"/>
  <c r="G50" i="3"/>
  <c r="E42" i="3"/>
  <c r="G42" i="3"/>
  <c r="G35" i="3"/>
  <c r="G28" i="3"/>
  <c r="E20" i="3"/>
  <c r="G20" i="3"/>
  <c r="E12" i="3"/>
  <c r="E18" i="3"/>
  <c r="E48" i="3"/>
  <c r="E24" i="3"/>
  <c r="E16" i="3"/>
  <c r="E36" i="3"/>
  <c r="E51" i="3"/>
  <c r="E47" i="3"/>
  <c r="E43" i="3"/>
  <c r="E39" i="3"/>
  <c r="E35" i="3"/>
  <c r="E31" i="3"/>
  <c r="E27" i="3"/>
  <c r="E23" i="3"/>
  <c r="E19" i="3"/>
  <c r="E15" i="3"/>
  <c r="D17" i="75"/>
  <c r="G17" i="75" s="1"/>
  <c r="D35" i="75"/>
  <c r="G35" i="75" s="1"/>
  <c r="D31" i="75"/>
  <c r="G31" i="75" s="1"/>
  <c r="D18" i="75"/>
  <c r="D51" i="75"/>
  <c r="D50" i="75"/>
  <c r="D46" i="75"/>
  <c r="D55" i="74"/>
  <c r="E55" i="74" s="1"/>
  <c r="D15" i="74"/>
  <c r="G15" i="74" s="1"/>
  <c r="D7" i="74"/>
  <c r="G7" i="74" s="1"/>
  <c r="D11" i="74"/>
  <c r="D23" i="74"/>
  <c r="D48" i="74"/>
  <c r="D57" i="74"/>
  <c r="G57" i="74" s="1"/>
  <c r="D13" i="74"/>
  <c r="E13" i="74" s="1"/>
  <c r="D18" i="74"/>
  <c r="D32" i="74"/>
  <c r="D9" i="74"/>
  <c r="G9" i="74" s="1"/>
  <c r="D40" i="74"/>
  <c r="D19" i="72"/>
  <c r="D50" i="72"/>
  <c r="G50" i="72" s="1"/>
  <c r="D10" i="72"/>
  <c r="D47" i="72"/>
  <c r="D13" i="72"/>
  <c r="D26" i="72"/>
  <c r="D42" i="72"/>
  <c r="D14" i="72"/>
  <c r="D27" i="72"/>
  <c r="D43" i="72"/>
  <c r="G43" i="72" s="1"/>
  <c r="D9" i="72"/>
  <c r="G9" i="72" s="1"/>
  <c r="D18" i="72"/>
  <c r="E18" i="72" s="1"/>
  <c r="D34" i="72"/>
  <c r="D52" i="71"/>
  <c r="D25" i="71"/>
  <c r="D38" i="71"/>
  <c r="D7" i="71"/>
  <c r="G7" i="71" s="1"/>
  <c r="D26" i="71"/>
  <c r="D45" i="71"/>
  <c r="D53" i="71"/>
  <c r="G53" i="71" s="1"/>
  <c r="E19" i="72"/>
  <c r="E27" i="72"/>
  <c r="E35" i="72"/>
  <c r="E37" i="73"/>
  <c r="D55" i="71"/>
  <c r="G55" i="71" s="1"/>
  <c r="D17" i="71"/>
  <c r="D20" i="71"/>
  <c r="D30" i="71"/>
  <c r="D33" i="71"/>
  <c r="D36" i="71"/>
  <c r="D46" i="71"/>
  <c r="G46" i="71" s="1"/>
  <c r="D11" i="72"/>
  <c r="E14" i="72"/>
  <c r="D15" i="72"/>
  <c r="G15" i="72" s="1"/>
  <c r="D23" i="72"/>
  <c r="G23" i="72" s="1"/>
  <c r="D31" i="72"/>
  <c r="G31" i="72" s="1"/>
  <c r="D39" i="72"/>
  <c r="D54" i="71"/>
  <c r="D22" i="71"/>
  <c r="D28" i="71"/>
  <c r="D44" i="71"/>
  <c r="D48" i="71"/>
  <c r="D57" i="71"/>
  <c r="G57" i="71" s="1"/>
  <c r="D16" i="71"/>
  <c r="D29" i="71"/>
  <c r="D32" i="71"/>
  <c r="D42" i="71"/>
  <c r="G42" i="71" s="1"/>
  <c r="E13" i="72"/>
  <c r="E51" i="72"/>
  <c r="E57" i="73"/>
  <c r="D18" i="71"/>
  <c r="G18" i="71" s="1"/>
  <c r="D24" i="71"/>
  <c r="D34" i="71"/>
  <c r="G34" i="71" s="1"/>
  <c r="H34" i="71" s="1"/>
  <c r="D37" i="71"/>
  <c r="G37" i="71" s="1"/>
  <c r="D40" i="71"/>
  <c r="D49" i="71"/>
  <c r="D54" i="72"/>
  <c r="G54" i="72" s="1"/>
  <c r="D57" i="72"/>
  <c r="G57" i="72" s="1"/>
  <c r="D52" i="72"/>
  <c r="G52" i="72" s="1"/>
  <c r="D48" i="72"/>
  <c r="G48" i="72" s="1"/>
  <c r="D44" i="72"/>
  <c r="G44" i="72" s="1"/>
  <c r="D40" i="72"/>
  <c r="G40" i="72" s="1"/>
  <c r="D36" i="72"/>
  <c r="G36" i="72" s="1"/>
  <c r="D32" i="72"/>
  <c r="D28" i="72"/>
  <c r="D24" i="72"/>
  <c r="D20" i="72"/>
  <c r="G20" i="72" s="1"/>
  <c r="D16" i="72"/>
  <c r="G16" i="72" s="1"/>
  <c r="D7" i="72"/>
  <c r="G7" i="72" s="1"/>
  <c r="D55" i="72"/>
  <c r="G55" i="72" s="1"/>
  <c r="D53" i="72"/>
  <c r="D49" i="72"/>
  <c r="D45" i="72"/>
  <c r="D41" i="72"/>
  <c r="D37" i="72"/>
  <c r="G37" i="72" s="1"/>
  <c r="D33" i="72"/>
  <c r="G33" i="72" s="1"/>
  <c r="D29" i="72"/>
  <c r="G29" i="72" s="1"/>
  <c r="D25" i="72"/>
  <c r="G25" i="72" s="1"/>
  <c r="D21" i="72"/>
  <c r="D17" i="72"/>
  <c r="D12" i="72"/>
  <c r="G12" i="72" s="1"/>
  <c r="D22" i="72"/>
  <c r="D30" i="72"/>
  <c r="D38" i="72"/>
  <c r="G38" i="72" s="1"/>
  <c r="D46" i="72"/>
  <c r="G46" i="72" s="1"/>
  <c r="D55" i="73"/>
  <c r="G55" i="73" s="1"/>
  <c r="D43" i="73"/>
  <c r="D39" i="73"/>
  <c r="D35" i="73"/>
  <c r="D31" i="73"/>
  <c r="G31" i="73" s="1"/>
  <c r="D27" i="73"/>
  <c r="D23" i="73"/>
  <c r="G23" i="73" s="1"/>
  <c r="D19" i="73"/>
  <c r="D14" i="73"/>
  <c r="G14" i="73" s="1"/>
  <c r="D13" i="73"/>
  <c r="D54" i="73"/>
  <c r="D52" i="73"/>
  <c r="D48" i="73"/>
  <c r="D44" i="73"/>
  <c r="G44" i="73" s="1"/>
  <c r="D40" i="73"/>
  <c r="G40" i="73" s="1"/>
  <c r="D36" i="73"/>
  <c r="D32" i="73"/>
  <c r="D28" i="73"/>
  <c r="D16" i="73"/>
  <c r="D7" i="73"/>
  <c r="G7" i="73" s="1"/>
  <c r="D46" i="73"/>
  <c r="D30" i="73"/>
  <c r="G30" i="73" s="1"/>
  <c r="D22" i="73"/>
  <c r="D12" i="73"/>
  <c r="D49" i="73"/>
  <c r="D41" i="73"/>
  <c r="D25" i="73"/>
  <c r="D17" i="73"/>
  <c r="D9" i="73"/>
  <c r="G9" i="73" s="1"/>
  <c r="D50" i="73"/>
  <c r="D34" i="73"/>
  <c r="D26" i="73"/>
  <c r="D18" i="73"/>
  <c r="D10" i="73"/>
  <c r="D21" i="73"/>
  <c r="D53" i="73"/>
  <c r="E50" i="75"/>
  <c r="E17" i="75"/>
  <c r="E51" i="75"/>
  <c r="E21" i="76"/>
  <c r="D9" i="71"/>
  <c r="G9" i="71" s="1"/>
  <c r="D10" i="71"/>
  <c r="D12" i="71"/>
  <c r="G12" i="71" s="1"/>
  <c r="D13" i="71"/>
  <c r="D14" i="71"/>
  <c r="G14" i="71" s="1"/>
  <c r="H14" i="71" s="1"/>
  <c r="D15" i="71"/>
  <c r="D19" i="71"/>
  <c r="G19" i="71" s="1"/>
  <c r="D23" i="71"/>
  <c r="D27" i="71"/>
  <c r="G27" i="71" s="1"/>
  <c r="D35" i="71"/>
  <c r="D39" i="71"/>
  <c r="D43" i="71"/>
  <c r="D47" i="71"/>
  <c r="G47" i="71" s="1"/>
  <c r="H47" i="71" s="1"/>
  <c r="D51" i="71"/>
  <c r="E23" i="74"/>
  <c r="E25" i="75"/>
  <c r="D53" i="74"/>
  <c r="D49" i="74"/>
  <c r="G49" i="74" s="1"/>
  <c r="D45" i="74"/>
  <c r="D41" i="74"/>
  <c r="G41" i="74" s="1"/>
  <c r="D37" i="74"/>
  <c r="G37" i="74" s="1"/>
  <c r="D33" i="74"/>
  <c r="G33" i="74" s="1"/>
  <c r="H33" i="74" s="1"/>
  <c r="D29" i="74"/>
  <c r="D25" i="74"/>
  <c r="D21" i="74"/>
  <c r="D17" i="74"/>
  <c r="D50" i="74"/>
  <c r="D46" i="74"/>
  <c r="G46" i="74" s="1"/>
  <c r="D42" i="74"/>
  <c r="D38" i="74"/>
  <c r="D34" i="74"/>
  <c r="D30" i="74"/>
  <c r="D26" i="74"/>
  <c r="G26" i="74" s="1"/>
  <c r="D22" i="74"/>
  <c r="D19" i="74"/>
  <c r="D20" i="74"/>
  <c r="D28" i="74"/>
  <c r="D36" i="74"/>
  <c r="D44" i="74"/>
  <c r="D52" i="74"/>
  <c r="D16" i="75"/>
  <c r="D7" i="75"/>
  <c r="G7" i="75" s="1"/>
  <c r="D22" i="75"/>
  <c r="D27" i="75"/>
  <c r="G27" i="75" s="1"/>
  <c r="H27" i="75" s="1"/>
  <c r="D30" i="75"/>
  <c r="G30" i="75" s="1"/>
  <c r="H30" i="75" s="1"/>
  <c r="D38" i="75"/>
  <c r="D54" i="75"/>
  <c r="G54" i="75" s="1"/>
  <c r="D37" i="76"/>
  <c r="D41" i="76"/>
  <c r="D7" i="76"/>
  <c r="G7" i="76" s="1"/>
  <c r="D10" i="74"/>
  <c r="G10" i="74" s="1"/>
  <c r="H10" i="74" s="1"/>
  <c r="D12" i="74"/>
  <c r="G12" i="74" s="1"/>
  <c r="D14" i="74"/>
  <c r="D27" i="74"/>
  <c r="D35" i="74"/>
  <c r="G35" i="74" s="1"/>
  <c r="D43" i="74"/>
  <c r="D51" i="74"/>
  <c r="G51" i="74" s="1"/>
  <c r="D21" i="75"/>
  <c r="G21" i="75" s="1"/>
  <c r="D43" i="75"/>
  <c r="G43" i="75" s="1"/>
  <c r="H43" i="75" s="1"/>
  <c r="D53" i="76"/>
  <c r="G53" i="76" s="1"/>
  <c r="D20" i="75"/>
  <c r="D24" i="75"/>
  <c r="G24" i="75" s="1"/>
  <c r="D34" i="75"/>
  <c r="D42" i="75"/>
  <c r="D57" i="75"/>
  <c r="G57" i="75" s="1"/>
  <c r="D52" i="75"/>
  <c r="G52" i="75" s="1"/>
  <c r="D48" i="75"/>
  <c r="D44" i="75"/>
  <c r="D40" i="75"/>
  <c r="D36" i="75"/>
  <c r="D32" i="75"/>
  <c r="D28" i="75"/>
  <c r="D53" i="75"/>
  <c r="D49" i="75"/>
  <c r="D45" i="75"/>
  <c r="G45" i="75" s="1"/>
  <c r="H45" i="75" s="1"/>
  <c r="D41" i="75"/>
  <c r="G41" i="75" s="1"/>
  <c r="H41" i="75" s="1"/>
  <c r="D37" i="75"/>
  <c r="D33" i="75"/>
  <c r="G33" i="75" s="1"/>
  <c r="D9" i="75"/>
  <c r="G9" i="75" s="1"/>
  <c r="D10" i="75"/>
  <c r="D11" i="75"/>
  <c r="G11" i="75" s="1"/>
  <c r="D12" i="75"/>
  <c r="G12" i="75" s="1"/>
  <c r="D13" i="75"/>
  <c r="G13" i="75" s="1"/>
  <c r="H13" i="75" s="1"/>
  <c r="D14" i="75"/>
  <c r="D15" i="75"/>
  <c r="D19" i="75"/>
  <c r="G19" i="75" s="1"/>
  <c r="D23" i="75"/>
  <c r="D26" i="75"/>
  <c r="G26" i="75" s="1"/>
  <c r="D29" i="75"/>
  <c r="G29" i="75" s="1"/>
  <c r="D39" i="75"/>
  <c r="G39" i="75" s="1"/>
  <c r="D47" i="75"/>
  <c r="G47" i="75" s="1"/>
  <c r="H47" i="75" s="1"/>
  <c r="D55" i="75"/>
  <c r="G55" i="75" s="1"/>
  <c r="H55" i="75" s="1"/>
  <c r="D54" i="76"/>
  <c r="D50" i="76"/>
  <c r="G50" i="76" s="1"/>
  <c r="D46" i="76"/>
  <c r="D34" i="76"/>
  <c r="D30" i="76"/>
  <c r="D26" i="76"/>
  <c r="G26" i="76" s="1"/>
  <c r="D22" i="76"/>
  <c r="G22" i="76" s="1"/>
  <c r="D18" i="76"/>
  <c r="D43" i="76"/>
  <c r="G43" i="76" s="1"/>
  <c r="D39" i="76"/>
  <c r="D35" i="76"/>
  <c r="G35" i="76" s="1"/>
  <c r="D31" i="76"/>
  <c r="D27" i="76"/>
  <c r="D23" i="76"/>
  <c r="G23" i="76" s="1"/>
  <c r="D19" i="76"/>
  <c r="D15" i="76"/>
  <c r="D14" i="76"/>
  <c r="D13" i="76"/>
  <c r="D12" i="76"/>
  <c r="D10" i="76"/>
  <c r="D57" i="76"/>
  <c r="G57" i="76" s="1"/>
  <c r="D52" i="76"/>
  <c r="G52" i="76" s="1"/>
  <c r="D48" i="76"/>
  <c r="G48" i="76" s="1"/>
  <c r="D44" i="76"/>
  <c r="G44" i="76" s="1"/>
  <c r="D40" i="76"/>
  <c r="G40" i="76" s="1"/>
  <c r="D36" i="76"/>
  <c r="G36" i="76" s="1"/>
  <c r="D32" i="76"/>
  <c r="G32" i="76" s="1"/>
  <c r="D28" i="76"/>
  <c r="D24" i="76"/>
  <c r="G24" i="76" s="1"/>
  <c r="D9" i="76"/>
  <c r="G9" i="76" s="1"/>
  <c r="D17" i="76"/>
  <c r="D49" i="76"/>
  <c r="D45" i="76"/>
  <c r="C26" i="67"/>
  <c r="J3" i="76" s="1"/>
  <c r="C25" i="67"/>
  <c r="J3" i="75" s="1"/>
  <c r="C24" i="67"/>
  <c r="J3" i="74" s="1"/>
  <c r="C23" i="67"/>
  <c r="J3" i="73" s="1"/>
  <c r="C22" i="67"/>
  <c r="J3" i="72" s="1"/>
  <c r="C21" i="67"/>
  <c r="J3" i="71" s="1"/>
  <c r="G12" i="76" l="1"/>
  <c r="H12" i="76" s="1"/>
  <c r="G28" i="76"/>
  <c r="H28" i="76" s="1"/>
  <c r="G17" i="76"/>
  <c r="G13" i="76"/>
  <c r="H13" i="76" s="1"/>
  <c r="G39" i="76"/>
  <c r="H39" i="76" s="1"/>
  <c r="G30" i="76"/>
  <c r="H30" i="76" s="1"/>
  <c r="G54" i="73"/>
  <c r="G36" i="73"/>
  <c r="G45" i="73"/>
  <c r="G26" i="73"/>
  <c r="H26" i="73" s="1"/>
  <c r="G41" i="73"/>
  <c r="G16" i="73"/>
  <c r="H16" i="73" s="1"/>
  <c r="G48" i="73"/>
  <c r="G18" i="73"/>
  <c r="H18" i="73" s="1"/>
  <c r="G34" i="73"/>
  <c r="H34" i="73" s="1"/>
  <c r="G52" i="73"/>
  <c r="G18" i="74"/>
  <c r="G19" i="74"/>
  <c r="G50" i="74"/>
  <c r="H50" i="74" s="1"/>
  <c r="G27" i="74"/>
  <c r="H27" i="74" s="1"/>
  <c r="E9" i="74"/>
  <c r="G44" i="74"/>
  <c r="H44" i="74" s="1"/>
  <c r="G53" i="74"/>
  <c r="G28" i="74"/>
  <c r="H28" i="74" s="1"/>
  <c r="G20" i="74"/>
  <c r="H20" i="74" s="1"/>
  <c r="G42" i="74"/>
  <c r="H42" i="74" s="1"/>
  <c r="G23" i="71"/>
  <c r="G36" i="71"/>
  <c r="G13" i="71"/>
  <c r="H13" i="71" s="1"/>
  <c r="G24" i="71"/>
  <c r="H24" i="71" s="1"/>
  <c r="G29" i="71"/>
  <c r="G25" i="71"/>
  <c r="H25" i="71" s="1"/>
  <c r="G33" i="71"/>
  <c r="H33" i="71" s="1"/>
  <c r="G30" i="71"/>
  <c r="H30" i="71" s="1"/>
  <c r="G20" i="71"/>
  <c r="H20" i="71" s="1"/>
  <c r="G43" i="71"/>
  <c r="H43" i="71" s="1"/>
  <c r="G39" i="71"/>
  <c r="H39" i="71" s="1"/>
  <c r="H32" i="76"/>
  <c r="H26" i="76"/>
  <c r="H53" i="76"/>
  <c r="H40" i="76"/>
  <c r="H24" i="76"/>
  <c r="H57" i="76"/>
  <c r="H23" i="76"/>
  <c r="H50" i="76"/>
  <c r="H19" i="75"/>
  <c r="H33" i="75"/>
  <c r="H24" i="75"/>
  <c r="H54" i="75"/>
  <c r="H22" i="76"/>
  <c r="H17" i="76"/>
  <c r="H31" i="75"/>
  <c r="H35" i="76"/>
  <c r="H9" i="76"/>
  <c r="H44" i="76"/>
  <c r="H43" i="76"/>
  <c r="H39" i="75"/>
  <c r="H12" i="75"/>
  <c r="H52" i="75"/>
  <c r="H21" i="75"/>
  <c r="H35" i="75"/>
  <c r="H36" i="76"/>
  <c r="H48" i="76"/>
  <c r="H7" i="76"/>
  <c r="H21" i="76"/>
  <c r="H36" i="71"/>
  <c r="H57" i="71"/>
  <c r="H23" i="71"/>
  <c r="H9" i="71"/>
  <c r="H7" i="71"/>
  <c r="H12" i="71"/>
  <c r="H37" i="71"/>
  <c r="G27" i="73"/>
  <c r="H27" i="73" s="1"/>
  <c r="H44" i="72"/>
  <c r="G34" i="76"/>
  <c r="H34" i="76" s="1"/>
  <c r="H46" i="74"/>
  <c r="H31" i="73"/>
  <c r="H18" i="74"/>
  <c r="G15" i="76"/>
  <c r="H15" i="76" s="1"/>
  <c r="H57" i="75"/>
  <c r="H41" i="74"/>
  <c r="G35" i="71"/>
  <c r="H35" i="71" s="1"/>
  <c r="G35" i="73"/>
  <c r="H35" i="73" s="1"/>
  <c r="H37" i="72"/>
  <c r="H52" i="72"/>
  <c r="H42" i="71"/>
  <c r="H15" i="72"/>
  <c r="H53" i="71"/>
  <c r="E52" i="71"/>
  <c r="G52" i="71"/>
  <c r="H52" i="71" s="1"/>
  <c r="G19" i="72"/>
  <c r="H19" i="72" s="1"/>
  <c r="G13" i="74"/>
  <c r="H13" i="74" s="1"/>
  <c r="H15" i="74"/>
  <c r="H17" i="75"/>
  <c r="G25" i="75"/>
  <c r="H25" i="75" s="1"/>
  <c r="H41" i="73"/>
  <c r="H7" i="72"/>
  <c r="H31" i="72"/>
  <c r="G10" i="72"/>
  <c r="H10" i="72" s="1"/>
  <c r="G22" i="75"/>
  <c r="H22" i="75" s="1"/>
  <c r="H52" i="73"/>
  <c r="H48" i="72"/>
  <c r="G48" i="71"/>
  <c r="H48" i="71" s="1"/>
  <c r="H50" i="72"/>
  <c r="H7" i="74"/>
  <c r="H29" i="75"/>
  <c r="H11" i="75"/>
  <c r="G53" i="75"/>
  <c r="H53" i="75" s="1"/>
  <c r="H51" i="74"/>
  <c r="H7" i="75"/>
  <c r="G12" i="73"/>
  <c r="H12" i="73" s="1"/>
  <c r="H54" i="73"/>
  <c r="G30" i="72"/>
  <c r="H30" i="72" s="1"/>
  <c r="H20" i="72"/>
  <c r="G44" i="71"/>
  <c r="H44" i="71" s="1"/>
  <c r="G27" i="72"/>
  <c r="H27" i="72" s="1"/>
  <c r="H52" i="76"/>
  <c r="G19" i="76"/>
  <c r="H19" i="76" s="1"/>
  <c r="H26" i="75"/>
  <c r="G10" i="75"/>
  <c r="H10" i="75" s="1"/>
  <c r="G28" i="75"/>
  <c r="H28" i="75" s="1"/>
  <c r="G42" i="75"/>
  <c r="H42" i="75" s="1"/>
  <c r="G43" i="74"/>
  <c r="H43" i="74" s="1"/>
  <c r="G41" i="76"/>
  <c r="H41" i="76" s="1"/>
  <c r="G16" i="75"/>
  <c r="H16" i="75" s="1"/>
  <c r="G22" i="74"/>
  <c r="H22" i="74" s="1"/>
  <c r="G45" i="74"/>
  <c r="H45" i="74" s="1"/>
  <c r="E18" i="74"/>
  <c r="G50" i="73"/>
  <c r="H50" i="73" s="1"/>
  <c r="G22" i="73"/>
  <c r="H22" i="73" s="1"/>
  <c r="G28" i="73"/>
  <c r="H28" i="73" s="1"/>
  <c r="G13" i="73"/>
  <c r="H13" i="73" s="1"/>
  <c r="G39" i="73"/>
  <c r="H39" i="73" s="1"/>
  <c r="G22" i="72"/>
  <c r="H22" i="72" s="1"/>
  <c r="G41" i="72"/>
  <c r="H41" i="72" s="1"/>
  <c r="G24" i="72"/>
  <c r="H24" i="72" s="1"/>
  <c r="H57" i="72"/>
  <c r="H18" i="71"/>
  <c r="G32" i="71"/>
  <c r="H32" i="71" s="1"/>
  <c r="G28" i="71"/>
  <c r="H28" i="71" s="1"/>
  <c r="G17" i="71"/>
  <c r="H17" i="71" s="1"/>
  <c r="G45" i="71"/>
  <c r="H45" i="71" s="1"/>
  <c r="E50" i="72"/>
  <c r="G14" i="72"/>
  <c r="H14" i="72" s="1"/>
  <c r="H57" i="74"/>
  <c r="G55" i="74"/>
  <c r="H55" i="74" s="1"/>
  <c r="G48" i="75"/>
  <c r="H48" i="75" s="1"/>
  <c r="H48" i="73"/>
  <c r="H9" i="72"/>
  <c r="H45" i="73"/>
  <c r="G49" i="73"/>
  <c r="H49" i="73" s="1"/>
  <c r="H33" i="72"/>
  <c r="H23" i="72"/>
  <c r="H43" i="72"/>
  <c r="G45" i="76"/>
  <c r="H45" i="76" s="1"/>
  <c r="G46" i="76"/>
  <c r="H46" i="76" s="1"/>
  <c r="G23" i="75"/>
  <c r="H23" i="75" s="1"/>
  <c r="H9" i="75"/>
  <c r="G32" i="75"/>
  <c r="H32" i="75" s="1"/>
  <c r="G34" i="75"/>
  <c r="H34" i="75" s="1"/>
  <c r="H35" i="74"/>
  <c r="G37" i="76"/>
  <c r="H37" i="76" s="1"/>
  <c r="G52" i="74"/>
  <c r="H52" i="74" s="1"/>
  <c r="H26" i="74"/>
  <c r="G17" i="74"/>
  <c r="H17" i="74" s="1"/>
  <c r="H49" i="74"/>
  <c r="H27" i="71"/>
  <c r="G10" i="71"/>
  <c r="H10" i="71" s="1"/>
  <c r="G53" i="73"/>
  <c r="H53" i="73" s="1"/>
  <c r="H9" i="73"/>
  <c r="H30" i="73"/>
  <c r="G32" i="73"/>
  <c r="H32" i="73" s="1"/>
  <c r="H14" i="73"/>
  <c r="G43" i="73"/>
  <c r="H43" i="73" s="1"/>
  <c r="H12" i="72"/>
  <c r="G45" i="72"/>
  <c r="H45" i="72" s="1"/>
  <c r="G28" i="72"/>
  <c r="H28" i="72" s="1"/>
  <c r="H54" i="72"/>
  <c r="E15" i="74"/>
  <c r="H29" i="71"/>
  <c r="G22" i="71"/>
  <c r="H22" i="71" s="1"/>
  <c r="G11" i="72"/>
  <c r="H11" i="72" s="1"/>
  <c r="H55" i="71"/>
  <c r="G26" i="71"/>
  <c r="H26" i="71" s="1"/>
  <c r="E42" i="72"/>
  <c r="G42" i="72"/>
  <c r="H42" i="72" s="1"/>
  <c r="E40" i="74"/>
  <c r="G40" i="74"/>
  <c r="H40" i="74" s="1"/>
  <c r="E48" i="74"/>
  <c r="G48" i="74"/>
  <c r="H48" i="74" s="1"/>
  <c r="G46" i="75"/>
  <c r="H46" i="75" s="1"/>
  <c r="G51" i="72"/>
  <c r="H51" i="72" s="1"/>
  <c r="H29" i="72"/>
  <c r="G14" i="76"/>
  <c r="H14" i="76" s="1"/>
  <c r="H37" i="74"/>
  <c r="H16" i="72"/>
  <c r="G10" i="76"/>
  <c r="H10" i="76" s="1"/>
  <c r="G18" i="76"/>
  <c r="H18" i="76" s="1"/>
  <c r="H53" i="74"/>
  <c r="G17" i="73"/>
  <c r="H17" i="73" s="1"/>
  <c r="G17" i="72"/>
  <c r="H17" i="72" s="1"/>
  <c r="G49" i="71"/>
  <c r="H49" i="71" s="1"/>
  <c r="G16" i="71"/>
  <c r="H16" i="71" s="1"/>
  <c r="E10" i="72"/>
  <c r="G26" i="72"/>
  <c r="H26" i="72" s="1"/>
  <c r="G50" i="75"/>
  <c r="H50" i="75" s="1"/>
  <c r="H57" i="73"/>
  <c r="H46" i="72"/>
  <c r="E32" i="74"/>
  <c r="G32" i="74"/>
  <c r="H32" i="74" s="1"/>
  <c r="G49" i="75"/>
  <c r="H49" i="75" s="1"/>
  <c r="H19" i="74"/>
  <c r="H38" i="72"/>
  <c r="E9" i="72"/>
  <c r="G27" i="76"/>
  <c r="H27" i="76" s="1"/>
  <c r="G36" i="75"/>
  <c r="H36" i="75" s="1"/>
  <c r="G30" i="74"/>
  <c r="H30" i="74" s="1"/>
  <c r="G21" i="74"/>
  <c r="H21" i="74" s="1"/>
  <c r="E7" i="74"/>
  <c r="G21" i="73"/>
  <c r="H21" i="73" s="1"/>
  <c r="H36" i="73"/>
  <c r="G49" i="72"/>
  <c r="H49" i="72" s="1"/>
  <c r="G32" i="72"/>
  <c r="H32" i="72" s="1"/>
  <c r="E26" i="72"/>
  <c r="G49" i="76"/>
  <c r="H49" i="76" s="1"/>
  <c r="G31" i="76"/>
  <c r="H31" i="76" s="1"/>
  <c r="G54" i="76"/>
  <c r="H54" i="76" s="1"/>
  <c r="G15" i="75"/>
  <c r="H15" i="75" s="1"/>
  <c r="G37" i="75"/>
  <c r="H37" i="75" s="1"/>
  <c r="G40" i="75"/>
  <c r="H40" i="75" s="1"/>
  <c r="G20" i="75"/>
  <c r="H20" i="75" s="1"/>
  <c r="G14" i="74"/>
  <c r="H14" i="74" s="1"/>
  <c r="G38" i="75"/>
  <c r="H38" i="75" s="1"/>
  <c r="G36" i="74"/>
  <c r="H36" i="74" s="1"/>
  <c r="G34" i="74"/>
  <c r="H34" i="74" s="1"/>
  <c r="G25" i="74"/>
  <c r="H25" i="74" s="1"/>
  <c r="E35" i="75"/>
  <c r="G51" i="71"/>
  <c r="H51" i="71" s="1"/>
  <c r="H19" i="71"/>
  <c r="G10" i="73"/>
  <c r="H10" i="73" s="1"/>
  <c r="G25" i="73"/>
  <c r="H25" i="73" s="1"/>
  <c r="G46" i="73"/>
  <c r="H46" i="73" s="1"/>
  <c r="H40" i="73"/>
  <c r="G19" i="73"/>
  <c r="H19" i="73" s="1"/>
  <c r="G21" i="72"/>
  <c r="H21" i="72" s="1"/>
  <c r="G53" i="72"/>
  <c r="H53" i="72" s="1"/>
  <c r="H36" i="72"/>
  <c r="G40" i="71"/>
  <c r="H40" i="71" s="1"/>
  <c r="E46" i="75"/>
  <c r="G54" i="71"/>
  <c r="H54" i="71" s="1"/>
  <c r="H46" i="71"/>
  <c r="E43" i="72"/>
  <c r="G34" i="72"/>
  <c r="H34" i="72" s="1"/>
  <c r="G13" i="72"/>
  <c r="H13" i="72" s="1"/>
  <c r="H9" i="74"/>
  <c r="G23" i="74"/>
  <c r="H23" i="74" s="1"/>
  <c r="G51" i="75"/>
  <c r="H51" i="75" s="1"/>
  <c r="G14" i="75"/>
  <c r="H14" i="75" s="1"/>
  <c r="G44" i="75"/>
  <c r="H44" i="75" s="1"/>
  <c r="H12" i="74"/>
  <c r="G38" i="74"/>
  <c r="H38" i="74" s="1"/>
  <c r="G29" i="74"/>
  <c r="H29" i="74" s="1"/>
  <c r="E31" i="75"/>
  <c r="G15" i="71"/>
  <c r="H15" i="71" s="1"/>
  <c r="H7" i="73"/>
  <c r="H44" i="73"/>
  <c r="H23" i="73"/>
  <c r="H55" i="73"/>
  <c r="H25" i="72"/>
  <c r="H55" i="72"/>
  <c r="H40" i="72"/>
  <c r="E45" i="73"/>
  <c r="G39" i="72"/>
  <c r="H39" i="72" s="1"/>
  <c r="G38" i="71"/>
  <c r="H38" i="71" s="1"/>
  <c r="G18" i="72"/>
  <c r="H18" i="72" s="1"/>
  <c r="E47" i="72"/>
  <c r="G47" i="72"/>
  <c r="H47" i="72" s="1"/>
  <c r="E11" i="74"/>
  <c r="G11" i="74"/>
  <c r="H11" i="74" s="1"/>
  <c r="E18" i="75"/>
  <c r="G18" i="75"/>
  <c r="H18" i="75" s="1"/>
  <c r="H35" i="72"/>
  <c r="G37" i="73"/>
  <c r="H37" i="73" s="1"/>
  <c r="E57" i="74"/>
  <c r="E34" i="72"/>
  <c r="E48" i="76"/>
  <c r="E15" i="76"/>
  <c r="E31" i="76"/>
  <c r="E22" i="76"/>
  <c r="E54" i="76"/>
  <c r="E15" i="75"/>
  <c r="E37" i="75"/>
  <c r="E40" i="75"/>
  <c r="E57" i="75"/>
  <c r="E51" i="74"/>
  <c r="E7" i="76"/>
  <c r="E7" i="75"/>
  <c r="E50" i="74"/>
  <c r="E41" i="74"/>
  <c r="E23" i="71"/>
  <c r="E13" i="71"/>
  <c r="E50" i="73"/>
  <c r="E22" i="73"/>
  <c r="E28" i="73"/>
  <c r="E44" i="73"/>
  <c r="E23" i="73"/>
  <c r="E39" i="73"/>
  <c r="E22" i="72"/>
  <c r="E41" i="72"/>
  <c r="E55" i="72"/>
  <c r="E40" i="72"/>
  <c r="E37" i="71"/>
  <c r="E48" i="71"/>
  <c r="E39" i="72"/>
  <c r="E23" i="72"/>
  <c r="E33" i="71"/>
  <c r="E55" i="71"/>
  <c r="E45" i="71"/>
  <c r="E52" i="76"/>
  <c r="E12" i="76"/>
  <c r="E35" i="76"/>
  <c r="E55" i="75"/>
  <c r="E14" i="75"/>
  <c r="E41" i="75"/>
  <c r="E28" i="75"/>
  <c r="E42" i="75"/>
  <c r="E53" i="76"/>
  <c r="E12" i="74"/>
  <c r="E41" i="76"/>
  <c r="E16" i="75"/>
  <c r="E22" i="74"/>
  <c r="E38" i="74"/>
  <c r="E29" i="74"/>
  <c r="E51" i="71"/>
  <c r="E35" i="71"/>
  <c r="E12" i="71"/>
  <c r="E53" i="73"/>
  <c r="E26" i="73"/>
  <c r="E41" i="73"/>
  <c r="E16" i="73"/>
  <c r="E32" i="73"/>
  <c r="E14" i="73"/>
  <c r="E27" i="73"/>
  <c r="E46" i="72"/>
  <c r="E12" i="72"/>
  <c r="E45" i="72"/>
  <c r="E7" i="72"/>
  <c r="E28" i="72"/>
  <c r="E44" i="72"/>
  <c r="E54" i="72"/>
  <c r="E16" i="71"/>
  <c r="E44" i="71"/>
  <c r="E54" i="71"/>
  <c r="E30" i="71"/>
  <c r="E26" i="71"/>
  <c r="E25" i="71"/>
  <c r="E45" i="76"/>
  <c r="E17" i="76"/>
  <c r="E24" i="76"/>
  <c r="E40" i="76"/>
  <c r="E57" i="76"/>
  <c r="E13" i="76"/>
  <c r="E23" i="76"/>
  <c r="E39" i="76"/>
  <c r="E30" i="76"/>
  <c r="E46" i="76"/>
  <c r="E47" i="75"/>
  <c r="E23" i="75"/>
  <c r="E13" i="75"/>
  <c r="E9" i="75"/>
  <c r="E45" i="75"/>
  <c r="E32" i="75"/>
  <c r="E48" i="75"/>
  <c r="E34" i="75"/>
  <c r="E43" i="75"/>
  <c r="E35" i="74"/>
  <c r="E10" i="74"/>
  <c r="E37" i="76"/>
  <c r="E27" i="75"/>
  <c r="E52" i="74"/>
  <c r="E20" i="74"/>
  <c r="E26" i="74"/>
  <c r="E42" i="74"/>
  <c r="E17" i="74"/>
  <c r="E33" i="74"/>
  <c r="E49" i="74"/>
  <c r="E47" i="71"/>
  <c r="E15" i="71"/>
  <c r="E21" i="73"/>
  <c r="E34" i="73"/>
  <c r="E17" i="73"/>
  <c r="E49" i="73"/>
  <c r="E36" i="73"/>
  <c r="E52" i="73"/>
  <c r="E31" i="73"/>
  <c r="E38" i="72"/>
  <c r="E17" i="72"/>
  <c r="E33" i="72"/>
  <c r="E49" i="72"/>
  <c r="E16" i="72"/>
  <c r="E32" i="72"/>
  <c r="E48" i="72"/>
  <c r="E49" i="71"/>
  <c r="E24" i="71"/>
  <c r="E42" i="71"/>
  <c r="E28" i="71"/>
  <c r="E31" i="72"/>
  <c r="E15" i="72"/>
  <c r="E46" i="71"/>
  <c r="E20" i="71"/>
  <c r="E7" i="71"/>
  <c r="E49" i="76"/>
  <c r="E32" i="76"/>
  <c r="E29" i="75"/>
  <c r="E11" i="75"/>
  <c r="E53" i="75"/>
  <c r="E20" i="75"/>
  <c r="E14" i="74"/>
  <c r="E38" i="75"/>
  <c r="E36" i="74"/>
  <c r="E34" i="74"/>
  <c r="E25" i="74"/>
  <c r="I10" i="74"/>
  <c r="J10" i="74" s="1"/>
  <c r="I9" i="74"/>
  <c r="J9" i="74" s="1"/>
  <c r="I11" i="74"/>
  <c r="J11" i="74" s="1"/>
  <c r="I7" i="74"/>
  <c r="J7" i="74" s="1"/>
  <c r="E39" i="71"/>
  <c r="E9" i="71"/>
  <c r="E18" i="73"/>
  <c r="E7" i="73"/>
  <c r="E13" i="73"/>
  <c r="E55" i="73"/>
  <c r="E25" i="72"/>
  <c r="E24" i="72"/>
  <c r="E57" i="72"/>
  <c r="E18" i="71"/>
  <c r="E29" i="71"/>
  <c r="E11" i="72"/>
  <c r="E38" i="71"/>
  <c r="E36" i="76"/>
  <c r="E19" i="76"/>
  <c r="E26" i="76"/>
  <c r="E26" i="75"/>
  <c r="E10" i="75"/>
  <c r="E44" i="75"/>
  <c r="E43" i="74"/>
  <c r="E30" i="75"/>
  <c r="E28" i="74"/>
  <c r="E45" i="74"/>
  <c r="E19" i="71"/>
  <c r="E9" i="73"/>
  <c r="E30" i="73"/>
  <c r="E48" i="73"/>
  <c r="E43" i="73"/>
  <c r="E29" i="72"/>
  <c r="E34" i="71"/>
  <c r="E9" i="76"/>
  <c r="E28" i="76"/>
  <c r="E44" i="76"/>
  <c r="E10" i="76"/>
  <c r="E14" i="76"/>
  <c r="E27" i="76"/>
  <c r="E43" i="76"/>
  <c r="E18" i="76"/>
  <c r="E34" i="76"/>
  <c r="E50" i="76"/>
  <c r="E39" i="75"/>
  <c r="E19" i="75"/>
  <c r="E12" i="75"/>
  <c r="E33" i="75"/>
  <c r="E49" i="75"/>
  <c r="E36" i="75"/>
  <c r="E52" i="75"/>
  <c r="E24" i="75"/>
  <c r="E21" i="75"/>
  <c r="E27" i="74"/>
  <c r="E54" i="75"/>
  <c r="E22" i="75"/>
  <c r="E44" i="74"/>
  <c r="E19" i="74"/>
  <c r="E30" i="74"/>
  <c r="E46" i="74"/>
  <c r="E21" i="74"/>
  <c r="E37" i="74"/>
  <c r="E53" i="74"/>
  <c r="E43" i="71"/>
  <c r="E27" i="71"/>
  <c r="E14" i="71"/>
  <c r="E10" i="71"/>
  <c r="E10" i="73"/>
  <c r="E25" i="73"/>
  <c r="E12" i="73"/>
  <c r="E46" i="73"/>
  <c r="E40" i="73"/>
  <c r="E54" i="73"/>
  <c r="E19" i="73"/>
  <c r="E35" i="73"/>
  <c r="E30" i="72"/>
  <c r="E21" i="72"/>
  <c r="E37" i="72"/>
  <c r="E53" i="72"/>
  <c r="E20" i="72"/>
  <c r="E36" i="72"/>
  <c r="E52" i="72"/>
  <c r="E40" i="71"/>
  <c r="E32" i="71"/>
  <c r="E57" i="71"/>
  <c r="E22" i="71"/>
  <c r="E36" i="71"/>
  <c r="E17" i="71"/>
  <c r="E53" i="71"/>
  <c r="C20" i="67"/>
  <c r="C19" i="67"/>
  <c r="C18" i="67"/>
  <c r="C17" i="67"/>
  <c r="J3" i="68" s="1"/>
  <c r="C16" i="67"/>
  <c r="C15" i="67"/>
  <c r="C14" i="67"/>
  <c r="C13" i="67"/>
  <c r="C12" i="67"/>
  <c r="C11" i="67"/>
  <c r="C10" i="67"/>
  <c r="C9" i="67"/>
  <c r="C8" i="67"/>
  <c r="C7" i="67"/>
  <c r="C6" i="67"/>
  <c r="C5" i="67"/>
  <c r="C4" i="67"/>
  <c r="J3" i="3" s="1"/>
  <c r="H29" i="3" s="1"/>
  <c r="P8" i="68"/>
  <c r="P9" i="68"/>
  <c r="P10" i="68"/>
  <c r="P11" i="68"/>
  <c r="P12" i="68"/>
  <c r="P13" i="68"/>
  <c r="P14" i="68"/>
  <c r="P7" i="68"/>
  <c r="H4" i="68"/>
  <c r="D44" i="68" s="1"/>
  <c r="H3" i="68"/>
  <c r="I18" i="74" l="1"/>
  <c r="J18" i="74" s="1"/>
  <c r="I15" i="74"/>
  <c r="J15" i="74" s="1"/>
  <c r="I22" i="74"/>
  <c r="J22" i="74" s="1"/>
  <c r="I17" i="74"/>
  <c r="J17" i="74" s="1"/>
  <c r="I20" i="74"/>
  <c r="J20" i="74" s="1"/>
  <c r="I21" i="74"/>
  <c r="J21" i="74" s="1"/>
  <c r="I13" i="74"/>
  <c r="J13" i="74" s="1"/>
  <c r="I25" i="74"/>
  <c r="J25" i="74" s="1"/>
  <c r="I28" i="74"/>
  <c r="J28" i="74" s="1"/>
  <c r="I36" i="74"/>
  <c r="J36" i="74" s="1"/>
  <c r="I33" i="74"/>
  <c r="J33" i="74" s="1"/>
  <c r="I32" i="74"/>
  <c r="J32" i="74" s="1"/>
  <c r="I35" i="74"/>
  <c r="J35" i="74" s="1"/>
  <c r="I26" i="74"/>
  <c r="J26" i="74" s="1"/>
  <c r="I44" i="74"/>
  <c r="J44" i="74" s="1"/>
  <c r="I52" i="74"/>
  <c r="J52" i="74" s="1"/>
  <c r="I41" i="74"/>
  <c r="J41" i="74" s="1"/>
  <c r="I40" i="74"/>
  <c r="J40" i="74" s="1"/>
  <c r="I30" i="74"/>
  <c r="J30" i="74" s="1"/>
  <c r="I43" i="74"/>
  <c r="J43" i="74" s="1"/>
  <c r="I27" i="74"/>
  <c r="J27" i="74" s="1"/>
  <c r="I50" i="74"/>
  <c r="J50" i="74" s="1"/>
  <c r="I49" i="74"/>
  <c r="J49" i="74" s="1"/>
  <c r="I48" i="74"/>
  <c r="J48" i="74" s="1"/>
  <c r="I34" i="74"/>
  <c r="J34" i="74" s="1"/>
  <c r="I57" i="74"/>
  <c r="J57" i="74" s="1"/>
  <c r="P17" i="74" s="1"/>
  <c r="I38" i="74"/>
  <c r="J38" i="74" s="1"/>
  <c r="I29" i="74"/>
  <c r="J29" i="74" s="1"/>
  <c r="I37" i="74"/>
  <c r="J37" i="74" s="1"/>
  <c r="I12" i="74"/>
  <c r="J12" i="74" s="1"/>
  <c r="I19" i="74"/>
  <c r="J19" i="74" s="1"/>
  <c r="I51" i="74"/>
  <c r="J51" i="74" s="1"/>
  <c r="I42" i="74"/>
  <c r="J42" i="74" s="1"/>
  <c r="I45" i="74"/>
  <c r="J45" i="74" s="1"/>
  <c r="I53" i="74"/>
  <c r="J53" i="74" s="1"/>
  <c r="I14" i="74"/>
  <c r="J14" i="74" s="1"/>
  <c r="I23" i="74"/>
  <c r="J23" i="74" s="1"/>
  <c r="I55" i="74"/>
  <c r="J55" i="74" s="1"/>
  <c r="I46" i="74"/>
  <c r="J46" i="74" s="1"/>
  <c r="H21" i="70"/>
  <c r="H24" i="70"/>
  <c r="H23" i="70"/>
  <c r="H43" i="3"/>
  <c r="H28" i="3"/>
  <c r="D7" i="68"/>
  <c r="G7" i="68" s="1"/>
  <c r="H7" i="68" s="1"/>
  <c r="H22" i="70"/>
  <c r="H36" i="3"/>
  <c r="H38" i="3"/>
  <c r="H34" i="3"/>
  <c r="H37" i="3"/>
  <c r="H20" i="70"/>
  <c r="H18" i="3"/>
  <c r="H13" i="3"/>
  <c r="H44" i="3"/>
  <c r="H31" i="3"/>
  <c r="H26" i="70"/>
  <c r="H21" i="3"/>
  <c r="H16" i="3"/>
  <c r="H32" i="3"/>
  <c r="H46" i="3"/>
  <c r="H35" i="3"/>
  <c r="H27" i="3"/>
  <c r="H30" i="3"/>
  <c r="H48" i="3"/>
  <c r="H14" i="3"/>
  <c r="H24" i="3"/>
  <c r="H49" i="3"/>
  <c r="H33" i="3"/>
  <c r="H17" i="3"/>
  <c r="H26" i="3"/>
  <c r="H41" i="3"/>
  <c r="H23" i="3"/>
  <c r="H22" i="3"/>
  <c r="H42" i="3"/>
  <c r="H25" i="3"/>
  <c r="H47" i="3"/>
  <c r="H51" i="3"/>
  <c r="H19" i="3"/>
  <c r="H45" i="3"/>
  <c r="H20" i="3"/>
  <c r="H50" i="3"/>
  <c r="H40" i="3"/>
  <c r="H27" i="70"/>
  <c r="H25" i="70"/>
  <c r="H39" i="3"/>
  <c r="H15" i="3"/>
  <c r="F13" i="74"/>
  <c r="F12" i="74"/>
  <c r="F15" i="74"/>
  <c r="I55" i="72"/>
  <c r="J55" i="72" s="1"/>
  <c r="I57" i="72"/>
  <c r="J57" i="72" s="1"/>
  <c r="P17" i="72" s="1"/>
  <c r="I53" i="72"/>
  <c r="J53" i="72" s="1"/>
  <c r="I49" i="72"/>
  <c r="J49" i="72" s="1"/>
  <c r="I45" i="72"/>
  <c r="J45" i="72" s="1"/>
  <c r="I41" i="72"/>
  <c r="J41" i="72" s="1"/>
  <c r="I37" i="72"/>
  <c r="J37" i="72" s="1"/>
  <c r="I33" i="72"/>
  <c r="J33" i="72" s="1"/>
  <c r="I29" i="72"/>
  <c r="J29" i="72" s="1"/>
  <c r="I25" i="72"/>
  <c r="J25" i="72" s="1"/>
  <c r="I21" i="72"/>
  <c r="J21" i="72" s="1"/>
  <c r="I17" i="72"/>
  <c r="J17" i="72" s="1"/>
  <c r="I50" i="72"/>
  <c r="J50" i="72" s="1"/>
  <c r="I46" i="72"/>
  <c r="J46" i="72" s="1"/>
  <c r="I42" i="72"/>
  <c r="J42" i="72" s="1"/>
  <c r="I38" i="72"/>
  <c r="J38" i="72" s="1"/>
  <c r="I34" i="72"/>
  <c r="J34" i="72" s="1"/>
  <c r="I30" i="72"/>
  <c r="J30" i="72" s="1"/>
  <c r="I26" i="72"/>
  <c r="J26" i="72" s="1"/>
  <c r="I22" i="72"/>
  <c r="J22" i="72" s="1"/>
  <c r="I18" i="72"/>
  <c r="J18" i="72" s="1"/>
  <c r="I51" i="72"/>
  <c r="J51" i="72" s="1"/>
  <c r="I43" i="72"/>
  <c r="J43" i="72" s="1"/>
  <c r="I35" i="72"/>
  <c r="J35" i="72" s="1"/>
  <c r="I27" i="72"/>
  <c r="J27" i="72" s="1"/>
  <c r="I19" i="72"/>
  <c r="J19" i="72" s="1"/>
  <c r="I13" i="72"/>
  <c r="J13" i="72" s="1"/>
  <c r="I9" i="72"/>
  <c r="J9" i="72" s="1"/>
  <c r="I11" i="72"/>
  <c r="J11" i="72" s="1"/>
  <c r="I54" i="72"/>
  <c r="J54" i="72" s="1"/>
  <c r="I40" i="72"/>
  <c r="J40" i="72" s="1"/>
  <c r="I7" i="72"/>
  <c r="J7" i="72" s="1"/>
  <c r="I52" i="72"/>
  <c r="J52" i="72" s="1"/>
  <c r="I44" i="72"/>
  <c r="J44" i="72" s="1"/>
  <c r="I36" i="72"/>
  <c r="J36" i="72" s="1"/>
  <c r="I28" i="72"/>
  <c r="J28" i="72" s="1"/>
  <c r="I20" i="72"/>
  <c r="J20" i="72" s="1"/>
  <c r="I12" i="72"/>
  <c r="J12" i="72" s="1"/>
  <c r="I47" i="72"/>
  <c r="J47" i="72" s="1"/>
  <c r="I39" i="72"/>
  <c r="J39" i="72" s="1"/>
  <c r="I31" i="72"/>
  <c r="J31" i="72" s="1"/>
  <c r="I23" i="72"/>
  <c r="J23" i="72" s="1"/>
  <c r="I15" i="72"/>
  <c r="J15" i="72" s="1"/>
  <c r="I48" i="72"/>
  <c r="J48" i="72" s="1"/>
  <c r="I32" i="72"/>
  <c r="J32" i="72" s="1"/>
  <c r="I24" i="72"/>
  <c r="J24" i="72" s="1"/>
  <c r="I16" i="72"/>
  <c r="J16" i="72" s="1"/>
  <c r="I14" i="72"/>
  <c r="J14" i="72" s="1"/>
  <c r="I10" i="72"/>
  <c r="J10" i="72" s="1"/>
  <c r="F9" i="74"/>
  <c r="F7" i="74"/>
  <c r="I57" i="73"/>
  <c r="J57" i="73" s="1"/>
  <c r="P17" i="73" s="1"/>
  <c r="I55" i="73"/>
  <c r="J55" i="73" s="1"/>
  <c r="I52" i="73"/>
  <c r="J52" i="73" s="1"/>
  <c r="I48" i="73"/>
  <c r="J48" i="73" s="1"/>
  <c r="I44" i="73"/>
  <c r="J44" i="73" s="1"/>
  <c r="I40" i="73"/>
  <c r="J40" i="73" s="1"/>
  <c r="I36" i="73"/>
  <c r="J36" i="73" s="1"/>
  <c r="I32" i="73"/>
  <c r="J32" i="73" s="1"/>
  <c r="I28" i="73"/>
  <c r="J28" i="73" s="1"/>
  <c r="I16" i="73"/>
  <c r="J16" i="73" s="1"/>
  <c r="I54" i="73"/>
  <c r="J54" i="73" s="1"/>
  <c r="I49" i="73"/>
  <c r="J49" i="73" s="1"/>
  <c r="I45" i="73"/>
  <c r="J45" i="73" s="1"/>
  <c r="I41" i="73"/>
  <c r="J41" i="73" s="1"/>
  <c r="I37" i="73"/>
  <c r="J37" i="73" s="1"/>
  <c r="I25" i="73"/>
  <c r="J25" i="73" s="1"/>
  <c r="I21" i="73"/>
  <c r="J21" i="73" s="1"/>
  <c r="I17" i="73"/>
  <c r="J17" i="73" s="1"/>
  <c r="I43" i="73"/>
  <c r="J43" i="73" s="1"/>
  <c r="I35" i="73"/>
  <c r="J35" i="73" s="1"/>
  <c r="I27" i="73"/>
  <c r="J27" i="73" s="1"/>
  <c r="I19" i="73"/>
  <c r="J19" i="73" s="1"/>
  <c r="I13" i="73"/>
  <c r="J13" i="73" s="1"/>
  <c r="I53" i="73"/>
  <c r="J53" i="73" s="1"/>
  <c r="I46" i="73"/>
  <c r="J46" i="73" s="1"/>
  <c r="I30" i="73"/>
  <c r="J30" i="73" s="1"/>
  <c r="I22" i="73"/>
  <c r="J22" i="73" s="1"/>
  <c r="I12" i="73"/>
  <c r="J12" i="73" s="1"/>
  <c r="I9" i="73"/>
  <c r="J9" i="73" s="1"/>
  <c r="I7" i="73"/>
  <c r="J7" i="73" s="1"/>
  <c r="I39" i="73"/>
  <c r="J39" i="73" s="1"/>
  <c r="I31" i="73"/>
  <c r="J31" i="73" s="1"/>
  <c r="I23" i="73"/>
  <c r="J23" i="73" s="1"/>
  <c r="I10" i="73"/>
  <c r="J10" i="73" s="1"/>
  <c r="I34" i="73"/>
  <c r="J34" i="73" s="1"/>
  <c r="I18" i="73"/>
  <c r="J18" i="73" s="1"/>
  <c r="I26" i="73"/>
  <c r="J26" i="73" s="1"/>
  <c r="I50" i="73"/>
  <c r="J50" i="73" s="1"/>
  <c r="I14" i="73"/>
  <c r="J14" i="73" s="1"/>
  <c r="I43" i="76"/>
  <c r="J43" i="76" s="1"/>
  <c r="I39" i="76"/>
  <c r="J39" i="76" s="1"/>
  <c r="I35" i="76"/>
  <c r="J35" i="76" s="1"/>
  <c r="I31" i="76"/>
  <c r="J31" i="76" s="1"/>
  <c r="I27" i="76"/>
  <c r="J27" i="76" s="1"/>
  <c r="I23" i="76"/>
  <c r="J23" i="76" s="1"/>
  <c r="I19" i="76"/>
  <c r="J19" i="76" s="1"/>
  <c r="I15" i="76"/>
  <c r="J15" i="76" s="1"/>
  <c r="I57" i="76"/>
  <c r="J57" i="76" s="1"/>
  <c r="P17" i="76" s="1"/>
  <c r="I52" i="76"/>
  <c r="J52" i="76" s="1"/>
  <c r="I48" i="76"/>
  <c r="J48" i="76" s="1"/>
  <c r="I44" i="76"/>
  <c r="J44" i="76" s="1"/>
  <c r="I40" i="76"/>
  <c r="J40" i="76" s="1"/>
  <c r="I36" i="76"/>
  <c r="J36" i="76" s="1"/>
  <c r="I32" i="76"/>
  <c r="J32" i="76" s="1"/>
  <c r="I28" i="76"/>
  <c r="J28" i="76" s="1"/>
  <c r="I24" i="76"/>
  <c r="J24" i="76" s="1"/>
  <c r="I53" i="76"/>
  <c r="J53" i="76" s="1"/>
  <c r="I49" i="76"/>
  <c r="J49" i="76" s="1"/>
  <c r="I45" i="76"/>
  <c r="J45" i="76" s="1"/>
  <c r="I41" i="76"/>
  <c r="J41" i="76" s="1"/>
  <c r="I37" i="76"/>
  <c r="J37" i="76" s="1"/>
  <c r="I21" i="76"/>
  <c r="J21" i="76" s="1"/>
  <c r="I17" i="76"/>
  <c r="J17" i="76" s="1"/>
  <c r="I26" i="76"/>
  <c r="J26" i="76" s="1"/>
  <c r="I46" i="76"/>
  <c r="J46" i="76" s="1"/>
  <c r="I30" i="76"/>
  <c r="J30" i="76" s="1"/>
  <c r="I13" i="76"/>
  <c r="J13" i="76" s="1"/>
  <c r="I9" i="76"/>
  <c r="J9" i="76" s="1"/>
  <c r="I7" i="76"/>
  <c r="J7" i="76" s="1"/>
  <c r="I50" i="76"/>
  <c r="J50" i="76" s="1"/>
  <c r="I18" i="76"/>
  <c r="J18" i="76" s="1"/>
  <c r="I10" i="76"/>
  <c r="J10" i="76" s="1"/>
  <c r="I54" i="76"/>
  <c r="J54" i="76" s="1"/>
  <c r="I22" i="76"/>
  <c r="J22" i="76" s="1"/>
  <c r="I12" i="76"/>
  <c r="J12" i="76" s="1"/>
  <c r="I34" i="76"/>
  <c r="J34" i="76" s="1"/>
  <c r="I14" i="76"/>
  <c r="J14" i="76" s="1"/>
  <c r="I55" i="71"/>
  <c r="J55" i="71" s="1"/>
  <c r="I51" i="71"/>
  <c r="J51" i="71" s="1"/>
  <c r="I47" i="71"/>
  <c r="J47" i="71" s="1"/>
  <c r="I57" i="71"/>
  <c r="J57" i="71" s="1"/>
  <c r="P17" i="71" s="1"/>
  <c r="I52" i="71"/>
  <c r="J52" i="71" s="1"/>
  <c r="I48" i="71"/>
  <c r="J48" i="71" s="1"/>
  <c r="I44" i="71"/>
  <c r="J44" i="71" s="1"/>
  <c r="I40" i="71"/>
  <c r="J40" i="71" s="1"/>
  <c r="I36" i="71"/>
  <c r="J36" i="71" s="1"/>
  <c r="I32" i="71"/>
  <c r="J32" i="71" s="1"/>
  <c r="I28" i="71"/>
  <c r="J28" i="71" s="1"/>
  <c r="I24" i="71"/>
  <c r="J24" i="71" s="1"/>
  <c r="I20" i="71"/>
  <c r="J20" i="71" s="1"/>
  <c r="I16" i="71"/>
  <c r="J16" i="71" s="1"/>
  <c r="I7" i="71"/>
  <c r="J7" i="71" s="1"/>
  <c r="I54" i="71"/>
  <c r="J54" i="71" s="1"/>
  <c r="I37" i="71"/>
  <c r="J37" i="71" s="1"/>
  <c r="I34" i="71"/>
  <c r="J34" i="71" s="1"/>
  <c r="I18" i="71"/>
  <c r="J18" i="71" s="1"/>
  <c r="I15" i="71"/>
  <c r="J15" i="71" s="1"/>
  <c r="I13" i="71"/>
  <c r="J13" i="71" s="1"/>
  <c r="I9" i="71"/>
  <c r="J9" i="71" s="1"/>
  <c r="I45" i="71"/>
  <c r="J45" i="71" s="1"/>
  <c r="I39" i="71"/>
  <c r="J39" i="71" s="1"/>
  <c r="I26" i="71"/>
  <c r="J26" i="71" s="1"/>
  <c r="I23" i="71"/>
  <c r="J23" i="71" s="1"/>
  <c r="I14" i="71"/>
  <c r="J14" i="71" s="1"/>
  <c r="I12" i="71"/>
  <c r="J12" i="71" s="1"/>
  <c r="I10" i="71"/>
  <c r="J10" i="71" s="1"/>
  <c r="I53" i="71"/>
  <c r="J53" i="71" s="1"/>
  <c r="I38" i="71"/>
  <c r="J38" i="71" s="1"/>
  <c r="I35" i="71"/>
  <c r="J35" i="71" s="1"/>
  <c r="I25" i="71"/>
  <c r="J25" i="71" s="1"/>
  <c r="I22" i="71"/>
  <c r="J22" i="71" s="1"/>
  <c r="I49" i="71"/>
  <c r="J49" i="71" s="1"/>
  <c r="I46" i="71"/>
  <c r="J46" i="71" s="1"/>
  <c r="I43" i="71"/>
  <c r="J43" i="71" s="1"/>
  <c r="I33" i="71"/>
  <c r="J33" i="71" s="1"/>
  <c r="I30" i="71"/>
  <c r="J30" i="71" s="1"/>
  <c r="I27" i="71"/>
  <c r="J27" i="71" s="1"/>
  <c r="I17" i="71"/>
  <c r="J17" i="71" s="1"/>
  <c r="I42" i="71"/>
  <c r="J42" i="71" s="1"/>
  <c r="I29" i="71"/>
  <c r="J29" i="71" s="1"/>
  <c r="I19" i="71"/>
  <c r="J19" i="71" s="1"/>
  <c r="F10" i="74"/>
  <c r="F14" i="74"/>
  <c r="F28" i="74"/>
  <c r="I53" i="75"/>
  <c r="J53" i="75" s="1"/>
  <c r="I49" i="75"/>
  <c r="J49" i="75" s="1"/>
  <c r="I45" i="75"/>
  <c r="J45" i="75" s="1"/>
  <c r="I41" i="75"/>
  <c r="J41" i="75" s="1"/>
  <c r="I37" i="75"/>
  <c r="J37" i="75" s="1"/>
  <c r="I33" i="75"/>
  <c r="J33" i="75" s="1"/>
  <c r="I29" i="75"/>
  <c r="J29" i="75" s="1"/>
  <c r="I25" i="75"/>
  <c r="J25" i="75" s="1"/>
  <c r="I54" i="75"/>
  <c r="J54" i="75" s="1"/>
  <c r="I50" i="75"/>
  <c r="J50" i="75" s="1"/>
  <c r="I46" i="75"/>
  <c r="J46" i="75" s="1"/>
  <c r="I42" i="75"/>
  <c r="J42" i="75" s="1"/>
  <c r="I38" i="75"/>
  <c r="J38" i="75" s="1"/>
  <c r="I34" i="75"/>
  <c r="J34" i="75" s="1"/>
  <c r="I52" i="75"/>
  <c r="J52" i="75" s="1"/>
  <c r="I44" i="75"/>
  <c r="J44" i="75" s="1"/>
  <c r="I36" i="75"/>
  <c r="J36" i="75" s="1"/>
  <c r="I26" i="75"/>
  <c r="J26" i="75" s="1"/>
  <c r="I24" i="75"/>
  <c r="J24" i="75" s="1"/>
  <c r="I20" i="75"/>
  <c r="J20" i="75" s="1"/>
  <c r="I16" i="75"/>
  <c r="J16" i="75" s="1"/>
  <c r="I7" i="75"/>
  <c r="J7" i="75" s="1"/>
  <c r="I55" i="75"/>
  <c r="J55" i="75" s="1"/>
  <c r="I47" i="75"/>
  <c r="J47" i="75" s="1"/>
  <c r="I39" i="75"/>
  <c r="J39" i="75" s="1"/>
  <c r="I21" i="75"/>
  <c r="J21" i="75" s="1"/>
  <c r="I17" i="75"/>
  <c r="J17" i="75" s="1"/>
  <c r="I57" i="75"/>
  <c r="J57" i="75" s="1"/>
  <c r="P17" i="75" s="1"/>
  <c r="I40" i="75"/>
  <c r="J40" i="75" s="1"/>
  <c r="I31" i="75"/>
  <c r="J31" i="75" s="1"/>
  <c r="I28" i="75"/>
  <c r="J28" i="75" s="1"/>
  <c r="I18" i="75"/>
  <c r="J18" i="75" s="1"/>
  <c r="I14" i="75"/>
  <c r="J14" i="75" s="1"/>
  <c r="I10" i="75"/>
  <c r="J10" i="75" s="1"/>
  <c r="I51" i="75"/>
  <c r="J51" i="75" s="1"/>
  <c r="I35" i="75"/>
  <c r="J35" i="75" s="1"/>
  <c r="I19" i="75"/>
  <c r="J19" i="75" s="1"/>
  <c r="I13" i="75"/>
  <c r="J13" i="75" s="1"/>
  <c r="I9" i="75"/>
  <c r="J9" i="75" s="1"/>
  <c r="I48" i="75"/>
  <c r="J48" i="75" s="1"/>
  <c r="I22" i="75"/>
  <c r="J22" i="75" s="1"/>
  <c r="I43" i="75"/>
  <c r="J43" i="75" s="1"/>
  <c r="I30" i="75"/>
  <c r="J30" i="75" s="1"/>
  <c r="I27" i="75"/>
  <c r="J27" i="75" s="1"/>
  <c r="I15" i="75"/>
  <c r="J15" i="75" s="1"/>
  <c r="I12" i="75"/>
  <c r="J12" i="75" s="1"/>
  <c r="I11" i="75"/>
  <c r="J11" i="75" s="1"/>
  <c r="I32" i="75"/>
  <c r="J32" i="75" s="1"/>
  <c r="I23" i="75"/>
  <c r="J23" i="75" s="1"/>
  <c r="F29" i="74"/>
  <c r="F22" i="74"/>
  <c r="F11" i="74"/>
  <c r="F23" i="74"/>
  <c r="D40" i="68"/>
  <c r="E40" i="68" s="1"/>
  <c r="D10" i="68"/>
  <c r="D37" i="68"/>
  <c r="D23" i="68"/>
  <c r="D33" i="68"/>
  <c r="G33" i="68" s="1"/>
  <c r="H33" i="68" s="1"/>
  <c r="D19" i="68"/>
  <c r="D54" i="68"/>
  <c r="D50" i="68"/>
  <c r="D47" i="68"/>
  <c r="D43" i="68"/>
  <c r="D36" i="68"/>
  <c r="D32" i="68"/>
  <c r="E32" i="68" s="1"/>
  <c r="D29" i="68"/>
  <c r="D25" i="68"/>
  <c r="D15" i="68"/>
  <c r="D9" i="68"/>
  <c r="D14" i="68"/>
  <c r="D53" i="68"/>
  <c r="D49" i="68"/>
  <c r="E49" i="68" s="1"/>
  <c r="D39" i="68"/>
  <c r="D35" i="68"/>
  <c r="D28" i="68"/>
  <c r="D24" i="68"/>
  <c r="G24" i="68" s="1"/>
  <c r="H24" i="68" s="1"/>
  <c r="D21" i="68"/>
  <c r="D17" i="68"/>
  <c r="D57" i="68"/>
  <c r="G57" i="68" s="1"/>
  <c r="H57" i="68" s="1"/>
  <c r="D52" i="68"/>
  <c r="D48" i="68"/>
  <c r="D45" i="68"/>
  <c r="G45" i="68" s="1"/>
  <c r="H45" i="68" s="1"/>
  <c r="D41" i="68"/>
  <c r="D31" i="68"/>
  <c r="G31" i="68" s="1"/>
  <c r="H31" i="68" s="1"/>
  <c r="D27" i="68"/>
  <c r="D20" i="68"/>
  <c r="G20" i="68" s="1"/>
  <c r="H20" i="68" s="1"/>
  <c r="D16" i="68"/>
  <c r="D12" i="68"/>
  <c r="D11" i="68"/>
  <c r="E44" i="68"/>
  <c r="F55" i="74" l="1"/>
  <c r="F34" i="74"/>
  <c r="F17" i="74"/>
  <c r="F21" i="74"/>
  <c r="F53" i="74"/>
  <c r="F38" i="74"/>
  <c r="F32" i="74"/>
  <c r="F18" i="74"/>
  <c r="F30" i="74"/>
  <c r="F40" i="74"/>
  <c r="F51" i="74"/>
  <c r="F45" i="74"/>
  <c r="F50" i="74"/>
  <c r="F42" i="74"/>
  <c r="F35" i="74"/>
  <c r="F43" i="74"/>
  <c r="F46" i="74"/>
  <c r="F25" i="74"/>
  <c r="F19" i="74"/>
  <c r="F36" i="74"/>
  <c r="F44" i="74"/>
  <c r="F57" i="74"/>
  <c r="F52" i="74"/>
  <c r="F48" i="74"/>
  <c r="F26" i="74"/>
  <c r="F27" i="74"/>
  <c r="F37" i="74"/>
  <c r="F33" i="74"/>
  <c r="F49" i="74"/>
  <c r="F41" i="74"/>
  <c r="F20" i="74"/>
  <c r="G41" i="68"/>
  <c r="H41" i="68" s="1"/>
  <c r="E33" i="68"/>
  <c r="G28" i="68"/>
  <c r="H28" i="68" s="1"/>
  <c r="G39" i="68"/>
  <c r="H39" i="68" s="1"/>
  <c r="E7" i="68"/>
  <c r="G54" i="68"/>
  <c r="H54" i="68" s="1"/>
  <c r="G27" i="68"/>
  <c r="H27" i="68" s="1"/>
  <c r="G43" i="68"/>
  <c r="H43" i="68" s="1"/>
  <c r="G12" i="68"/>
  <c r="H12" i="68" s="1"/>
  <c r="G35" i="68"/>
  <c r="H35" i="68" s="1"/>
  <c r="G15" i="68"/>
  <c r="H15" i="68" s="1"/>
  <c r="G47" i="68"/>
  <c r="H47" i="68" s="1"/>
  <c r="G16" i="68"/>
  <c r="H16" i="68" s="1"/>
  <c r="E48" i="68"/>
  <c r="G48" i="68"/>
  <c r="H48" i="68" s="1"/>
  <c r="E50" i="68"/>
  <c r="G50" i="68"/>
  <c r="H50" i="68" s="1"/>
  <c r="E41" i="68"/>
  <c r="E37" i="68"/>
  <c r="G37" i="68"/>
  <c r="H37" i="68" s="1"/>
  <c r="E52" i="68"/>
  <c r="G52" i="68"/>
  <c r="H52" i="68" s="1"/>
  <c r="E25" i="68"/>
  <c r="G25" i="68"/>
  <c r="H25" i="68" s="1"/>
  <c r="E19" i="68"/>
  <c r="G19" i="68"/>
  <c r="H19" i="68" s="1"/>
  <c r="G40" i="68"/>
  <c r="H40" i="68" s="1"/>
  <c r="G44" i="68"/>
  <c r="H44" i="68" s="1"/>
  <c r="E10" i="68"/>
  <c r="G10" i="68"/>
  <c r="H10" i="68" s="1"/>
  <c r="G49" i="68"/>
  <c r="H49" i="68" s="1"/>
  <c r="E29" i="68"/>
  <c r="G29" i="68"/>
  <c r="H29" i="68" s="1"/>
  <c r="G11" i="68"/>
  <c r="H11" i="68" s="1"/>
  <c r="G21" i="68"/>
  <c r="H21" i="68" s="1"/>
  <c r="G53" i="68"/>
  <c r="H53" i="68" s="1"/>
  <c r="G32" i="68"/>
  <c r="H32" i="68" s="1"/>
  <c r="E9" i="68"/>
  <c r="G9" i="68"/>
  <c r="H9" i="68" s="1"/>
  <c r="E35" i="68"/>
  <c r="E17" i="68"/>
  <c r="G17" i="68"/>
  <c r="H17" i="68" s="1"/>
  <c r="G14" i="68"/>
  <c r="H14" i="68" s="1"/>
  <c r="G36" i="68"/>
  <c r="H36" i="68" s="1"/>
  <c r="G23" i="68"/>
  <c r="H23" i="68" s="1"/>
  <c r="F44" i="75"/>
  <c r="F11" i="75"/>
  <c r="F18" i="75"/>
  <c r="F25" i="75"/>
  <c r="F30" i="75"/>
  <c r="F20" i="71"/>
  <c r="F47" i="71"/>
  <c r="F19" i="71"/>
  <c r="F53" i="71"/>
  <c r="F23" i="76"/>
  <c r="F14" i="76"/>
  <c r="F30" i="76"/>
  <c r="F21" i="76"/>
  <c r="F53" i="76"/>
  <c r="F24" i="76"/>
  <c r="F57" i="76"/>
  <c r="F46" i="73"/>
  <c r="F37" i="73"/>
  <c r="F17" i="72"/>
  <c r="F48" i="72"/>
  <c r="F14" i="72"/>
  <c r="F44" i="72"/>
  <c r="F43" i="72"/>
  <c r="F50" i="72"/>
  <c r="F16" i="75"/>
  <c r="F15" i="75"/>
  <c r="F22" i="75"/>
  <c r="F27" i="75"/>
  <c r="F51" i="75"/>
  <c r="F50" i="75"/>
  <c r="F30" i="71"/>
  <c r="F13" i="71"/>
  <c r="F12" i="71"/>
  <c r="F55" i="71"/>
  <c r="F25" i="71"/>
  <c r="F31" i="76"/>
  <c r="F44" i="76"/>
  <c r="F16" i="73"/>
  <c r="F23" i="73"/>
  <c r="F36" i="73"/>
  <c r="F34" i="73"/>
  <c r="F50" i="73"/>
  <c r="F41" i="73"/>
  <c r="F57" i="73"/>
  <c r="F25" i="72"/>
  <c r="F13" i="72"/>
  <c r="F55" i="72"/>
  <c r="F52" i="72"/>
  <c r="F47" i="72"/>
  <c r="F38" i="72"/>
  <c r="F33" i="75"/>
  <c r="F28" i="75"/>
  <c r="F49" i="75"/>
  <c r="F36" i="75"/>
  <c r="F19" i="75"/>
  <c r="F40" i="75"/>
  <c r="F17" i="75"/>
  <c r="F37" i="75"/>
  <c r="F39" i="75"/>
  <c r="F55" i="75"/>
  <c r="F38" i="75"/>
  <c r="F54" i="75"/>
  <c r="F43" i="71"/>
  <c r="F34" i="71"/>
  <c r="F23" i="71"/>
  <c r="F42" i="71"/>
  <c r="F15" i="71"/>
  <c r="F46" i="71"/>
  <c r="F14" i="71"/>
  <c r="F32" i="71"/>
  <c r="F9" i="71"/>
  <c r="F7" i="71"/>
  <c r="F29" i="71"/>
  <c r="F45" i="71"/>
  <c r="F48" i="71"/>
  <c r="F35" i="76"/>
  <c r="F10" i="76"/>
  <c r="F22" i="76"/>
  <c r="F54" i="76"/>
  <c r="F45" i="76"/>
  <c r="F32" i="76"/>
  <c r="F48" i="76"/>
  <c r="F19" i="73"/>
  <c r="F7" i="73"/>
  <c r="F9" i="73"/>
  <c r="F31" i="73"/>
  <c r="F14" i="73"/>
  <c r="F44" i="73"/>
  <c r="F22" i="73"/>
  <c r="F55" i="73"/>
  <c r="F45" i="73"/>
  <c r="F11" i="72"/>
  <c r="F33" i="72"/>
  <c r="F32" i="72"/>
  <c r="F21" i="72"/>
  <c r="F53" i="72"/>
  <c r="F12" i="72"/>
  <c r="F28" i="72"/>
  <c r="F19" i="72"/>
  <c r="F35" i="72"/>
  <c r="F51" i="72"/>
  <c r="F26" i="72"/>
  <c r="F42" i="72"/>
  <c r="F13" i="75"/>
  <c r="F14" i="75"/>
  <c r="F32" i="75"/>
  <c r="F57" i="75"/>
  <c r="F53" i="75"/>
  <c r="F47" i="75"/>
  <c r="F46" i="75"/>
  <c r="F28" i="71"/>
  <c r="F36" i="71"/>
  <c r="F27" i="71"/>
  <c r="F10" i="71"/>
  <c r="F38" i="71"/>
  <c r="F37" i="71"/>
  <c r="F57" i="71"/>
  <c r="F15" i="76"/>
  <c r="F43" i="76"/>
  <c r="F46" i="76"/>
  <c r="F37" i="76"/>
  <c r="F40" i="76"/>
  <c r="F43" i="73"/>
  <c r="F40" i="73"/>
  <c r="F13" i="73"/>
  <c r="F28" i="73"/>
  <c r="F30" i="73"/>
  <c r="F21" i="73"/>
  <c r="F53" i="73"/>
  <c r="F16" i="72"/>
  <c r="F37" i="72"/>
  <c r="F41" i="72"/>
  <c r="F27" i="72"/>
  <c r="F18" i="72"/>
  <c r="F34" i="72"/>
  <c r="F24" i="75"/>
  <c r="F23" i="75"/>
  <c r="F20" i="75"/>
  <c r="F41" i="75"/>
  <c r="F7" i="75"/>
  <c r="F9" i="75"/>
  <c r="F35" i="75"/>
  <c r="F34" i="75"/>
  <c r="F39" i="71"/>
  <c r="F40" i="71"/>
  <c r="F22" i="71"/>
  <c r="F7" i="76"/>
  <c r="F9" i="76"/>
  <c r="F18" i="76"/>
  <c r="F34" i="76"/>
  <c r="F50" i="76"/>
  <c r="F41" i="76"/>
  <c r="F28" i="76"/>
  <c r="F27" i="73"/>
  <c r="F48" i="73"/>
  <c r="F54" i="73"/>
  <c r="F18" i="73"/>
  <c r="F25" i="73"/>
  <c r="F24" i="72"/>
  <c r="F45" i="72"/>
  <c r="F20" i="72"/>
  <c r="F31" i="72"/>
  <c r="F22" i="72"/>
  <c r="F54" i="72"/>
  <c r="F12" i="75"/>
  <c r="F31" i="75"/>
  <c r="F10" i="75"/>
  <c r="F52" i="75"/>
  <c r="F29" i="75"/>
  <c r="F48" i="75"/>
  <c r="F21" i="75"/>
  <c r="F45" i="75"/>
  <c r="F43" i="75"/>
  <c r="F26" i="75"/>
  <c r="F42" i="75"/>
  <c r="F18" i="71"/>
  <c r="F44" i="71"/>
  <c r="F26" i="71"/>
  <c r="F54" i="71"/>
  <c r="F24" i="71"/>
  <c r="F51" i="71"/>
  <c r="F16" i="71"/>
  <c r="F35" i="71"/>
  <c r="F17" i="71"/>
  <c r="F33" i="71"/>
  <c r="F49" i="71"/>
  <c r="F52" i="71"/>
  <c r="F39" i="76"/>
  <c r="F13" i="76"/>
  <c r="F19" i="76"/>
  <c r="F12" i="76"/>
  <c r="F27" i="76"/>
  <c r="F26" i="76"/>
  <c r="F17" i="76"/>
  <c r="F49" i="76"/>
  <c r="F36" i="76"/>
  <c r="F52" i="76"/>
  <c r="F12" i="73"/>
  <c r="F35" i="73"/>
  <c r="F32" i="73"/>
  <c r="F10" i="73"/>
  <c r="F39" i="73"/>
  <c r="F52" i="73"/>
  <c r="F26" i="73"/>
  <c r="F17" i="73"/>
  <c r="F49" i="73"/>
  <c r="F15" i="72"/>
  <c r="F49" i="72"/>
  <c r="F40" i="72"/>
  <c r="F29" i="72"/>
  <c r="F9" i="72"/>
  <c r="F7" i="72"/>
  <c r="F10" i="72"/>
  <c r="F36" i="72"/>
  <c r="F23" i="72"/>
  <c r="F39" i="72"/>
  <c r="F30" i="72"/>
  <c r="F46" i="72"/>
  <c r="F57" i="72"/>
  <c r="E45" i="68"/>
  <c r="E16" i="68"/>
  <c r="E39" i="68"/>
  <c r="E53" i="68"/>
  <c r="E15" i="68"/>
  <c r="E47" i="68"/>
  <c r="E11" i="68"/>
  <c r="E20" i="68"/>
  <c r="E24" i="68"/>
  <c r="E27" i="68"/>
  <c r="E28" i="68"/>
  <c r="E14" i="68"/>
  <c r="E36" i="68"/>
  <c r="E23" i="68"/>
  <c r="E12" i="68"/>
  <c r="E31" i="68"/>
  <c r="E43" i="68"/>
  <c r="E54" i="68"/>
  <c r="E57" i="68"/>
  <c r="E21" i="68"/>
  <c r="I7" i="68"/>
  <c r="J7" i="68" s="1"/>
  <c r="I28" i="68" l="1"/>
  <c r="J28" i="68" s="1"/>
  <c r="I14" i="68"/>
  <c r="F15" i="68" s="1"/>
  <c r="F14" i="68"/>
  <c r="I47" i="68"/>
  <c r="J47" i="68" s="1"/>
  <c r="I29" i="68"/>
  <c r="I53" i="68"/>
  <c r="J53" i="68" s="1"/>
  <c r="I49" i="68"/>
  <c r="J49" i="68" s="1"/>
  <c r="I27" i="68"/>
  <c r="I44" i="68"/>
  <c r="I9" i="68"/>
  <c r="I39" i="68"/>
  <c r="I24" i="68"/>
  <c r="J24" i="68" s="1"/>
  <c r="I31" i="68"/>
  <c r="I48" i="68"/>
  <c r="J48" i="68" s="1"/>
  <c r="I10" i="68"/>
  <c r="F11" i="68" s="1"/>
  <c r="I33" i="68"/>
  <c r="J33" i="68" s="1"/>
  <c r="I50" i="68"/>
  <c r="F19" i="68"/>
  <c r="I23" i="68"/>
  <c r="J23" i="68" s="1"/>
  <c r="I40" i="68"/>
  <c r="I37" i="68"/>
  <c r="J37" i="68" s="1"/>
  <c r="I21" i="68"/>
  <c r="I19" i="68"/>
  <c r="J19" i="68" s="1"/>
  <c r="I25" i="68"/>
  <c r="I36" i="68"/>
  <c r="J36" i="68" s="1"/>
  <c r="I43" i="68"/>
  <c r="J43" i="68" s="1"/>
  <c r="I41" i="68"/>
  <c r="J41" i="68" s="1"/>
  <c r="I35" i="68"/>
  <c r="J35" i="68" s="1"/>
  <c r="I12" i="68"/>
  <c r="J12" i="68" s="1"/>
  <c r="I52" i="68"/>
  <c r="J52" i="68" s="1"/>
  <c r="I20" i="68"/>
  <c r="F21" i="68" s="1"/>
  <c r="I17" i="68"/>
  <c r="F17" i="68" s="1"/>
  <c r="I11" i="68"/>
  <c r="I16" i="68"/>
  <c r="I54" i="68"/>
  <c r="J54" i="68" s="1"/>
  <c r="I45" i="68"/>
  <c r="I15" i="68"/>
  <c r="F16" i="68" s="1"/>
  <c r="I57" i="68"/>
  <c r="J57" i="68" s="1"/>
  <c r="P17" i="68" s="1"/>
  <c r="I32" i="68"/>
  <c r="J32" i="68" s="1"/>
  <c r="F10" i="68"/>
  <c r="J9" i="68"/>
  <c r="J11" i="68"/>
  <c r="J16" i="68"/>
  <c r="F20" i="68"/>
  <c r="J14" i="68"/>
  <c r="F9" i="68"/>
  <c r="F7" i="68"/>
  <c r="F29" i="68" l="1"/>
  <c r="F49" i="68"/>
  <c r="F41" i="68"/>
  <c r="J45" i="68"/>
  <c r="F27" i="68"/>
  <c r="F48" i="68"/>
  <c r="F28" i="68"/>
  <c r="F32" i="68"/>
  <c r="F39" i="68"/>
  <c r="F25" i="68"/>
  <c r="J27" i="68"/>
  <c r="F43" i="68"/>
  <c r="F33" i="68"/>
  <c r="J40" i="68"/>
  <c r="F44" i="68"/>
  <c r="J44" i="68"/>
  <c r="F53" i="68"/>
  <c r="F45" i="68"/>
  <c r="J31" i="68"/>
  <c r="J21" i="68"/>
  <c r="F50" i="68"/>
  <c r="F31" i="68"/>
  <c r="F40" i="68"/>
  <c r="J29" i="68"/>
  <c r="F54" i="68"/>
  <c r="F47" i="68"/>
  <c r="F23" i="68"/>
  <c r="F57" i="68"/>
  <c r="J17" i="68"/>
  <c r="F24" i="68"/>
  <c r="J20" i="68"/>
  <c r="J39" i="68"/>
  <c r="F36" i="68"/>
  <c r="J50" i="68"/>
  <c r="F52" i="68"/>
  <c r="F12" i="68"/>
  <c r="J10" i="68"/>
  <c r="J15" i="68"/>
  <c r="F35" i="68"/>
  <c r="F37" i="68"/>
  <c r="J25" i="68"/>
  <c r="P8" i="26"/>
  <c r="P9" i="26"/>
  <c r="P10" i="26"/>
  <c r="P11" i="26"/>
  <c r="P12" i="26"/>
  <c r="P13" i="26"/>
  <c r="P14" i="26"/>
  <c r="P8" i="27"/>
  <c r="P9" i="27"/>
  <c r="P10" i="27"/>
  <c r="P11" i="27"/>
  <c r="P12" i="27"/>
  <c r="P13" i="27"/>
  <c r="P14" i="27"/>
  <c r="P8" i="28"/>
  <c r="P9" i="28"/>
  <c r="P10" i="28"/>
  <c r="P11" i="28"/>
  <c r="P12" i="28"/>
  <c r="P13" i="28"/>
  <c r="P14" i="28"/>
  <c r="P8" i="29"/>
  <c r="P9" i="29"/>
  <c r="P10" i="29"/>
  <c r="P11" i="29"/>
  <c r="P12" i="29"/>
  <c r="P13" i="29"/>
  <c r="P14" i="29"/>
  <c r="P8" i="30"/>
  <c r="P9" i="30"/>
  <c r="P10" i="30"/>
  <c r="P11" i="30"/>
  <c r="P12" i="30"/>
  <c r="P13" i="30"/>
  <c r="P14" i="30"/>
  <c r="P8" i="31"/>
  <c r="P9" i="31"/>
  <c r="P10" i="31"/>
  <c r="P11" i="31"/>
  <c r="P12" i="31"/>
  <c r="P13" i="31"/>
  <c r="P14" i="31"/>
  <c r="P8" i="32"/>
  <c r="P9" i="32"/>
  <c r="P10" i="32"/>
  <c r="P11" i="32"/>
  <c r="P12" i="32"/>
  <c r="P13" i="32"/>
  <c r="P14" i="32"/>
  <c r="P8" i="33"/>
  <c r="P9" i="33"/>
  <c r="P10" i="33"/>
  <c r="P11" i="33"/>
  <c r="P12" i="33"/>
  <c r="P13" i="33"/>
  <c r="L15" i="70" s="1"/>
  <c r="P14" i="33"/>
  <c r="L16" i="70" s="1"/>
  <c r="P8" i="34"/>
  <c r="P9" i="34"/>
  <c r="P10" i="34"/>
  <c r="P11" i="34"/>
  <c r="P12" i="34"/>
  <c r="P13" i="34"/>
  <c r="P14" i="34"/>
  <c r="P8" i="35"/>
  <c r="P9" i="35"/>
  <c r="P10" i="35"/>
  <c r="P11" i="35"/>
  <c r="P12" i="35"/>
  <c r="P13" i="35"/>
  <c r="P14" i="35"/>
  <c r="P8" i="36"/>
  <c r="F21" i="70" s="1"/>
  <c r="P9" i="36"/>
  <c r="F22" i="70" s="1"/>
  <c r="P10" i="36"/>
  <c r="P11" i="36"/>
  <c r="P12" i="36"/>
  <c r="P13" i="36"/>
  <c r="P14" i="36"/>
  <c r="P8" i="37"/>
  <c r="P9" i="37"/>
  <c r="P10" i="37"/>
  <c r="P11" i="37"/>
  <c r="P12" i="37"/>
  <c r="P13" i="37"/>
  <c r="P14" i="37"/>
  <c r="P8" i="39"/>
  <c r="P9" i="39"/>
  <c r="P10" i="39"/>
  <c r="P11" i="39"/>
  <c r="P12" i="39"/>
  <c r="P13" i="39"/>
  <c r="P14" i="39"/>
  <c r="P8" i="40"/>
  <c r="P9" i="40"/>
  <c r="P10" i="40"/>
  <c r="P11" i="40"/>
  <c r="P12" i="40"/>
  <c r="P13" i="40"/>
  <c r="P14" i="40"/>
  <c r="P8" i="41"/>
  <c r="P9" i="41"/>
  <c r="P10" i="41"/>
  <c r="P11" i="41"/>
  <c r="P12" i="41"/>
  <c r="P13" i="41"/>
  <c r="K26" i="70" s="1"/>
  <c r="P14" i="41"/>
  <c r="P8" i="3"/>
  <c r="P9" i="3"/>
  <c r="P10" i="3"/>
  <c r="P11" i="3"/>
  <c r="P12" i="3"/>
  <c r="P13" i="3"/>
  <c r="P14" i="3"/>
  <c r="P7" i="41"/>
  <c r="P7" i="40"/>
  <c r="P7" i="39"/>
  <c r="P7" i="37"/>
  <c r="P7" i="36"/>
  <c r="P7" i="35"/>
  <c r="P7" i="34"/>
  <c r="P7" i="33"/>
  <c r="L9" i="70" s="1"/>
  <c r="P7" i="32"/>
  <c r="P7" i="31"/>
  <c r="P7" i="30"/>
  <c r="P7" i="29"/>
  <c r="P7" i="28"/>
  <c r="P7" i="27"/>
  <c r="P7" i="26"/>
  <c r="J3" i="41"/>
  <c r="J3" i="40"/>
  <c r="J3" i="39"/>
  <c r="J3" i="37"/>
  <c r="J3" i="36"/>
  <c r="J3" i="35"/>
  <c r="J3" i="34"/>
  <c r="J3" i="33"/>
  <c r="J3" i="32"/>
  <c r="J3" i="31"/>
  <c r="J3" i="30"/>
  <c r="J3" i="29"/>
  <c r="J3" i="28"/>
  <c r="J3" i="27"/>
  <c r="J3" i="26"/>
  <c r="H4" i="41"/>
  <c r="H4" i="40"/>
  <c r="H4" i="39"/>
  <c r="H4" i="37"/>
  <c r="H4" i="36"/>
  <c r="H4" i="35"/>
  <c r="H4" i="34"/>
  <c r="H4" i="33"/>
  <c r="H4" i="32"/>
  <c r="H4" i="31"/>
  <c r="H4" i="30"/>
  <c r="H4" i="29"/>
  <c r="H4" i="28"/>
  <c r="H4" i="27"/>
  <c r="H4" i="26"/>
  <c r="H3" i="41"/>
  <c r="H3" i="40"/>
  <c r="H3" i="39"/>
  <c r="H3" i="37"/>
  <c r="H3" i="36"/>
  <c r="H3" i="35"/>
  <c r="H3" i="34"/>
  <c r="H3" i="33"/>
  <c r="H3" i="32"/>
  <c r="H3" i="31"/>
  <c r="H3" i="30"/>
  <c r="H3" i="29"/>
  <c r="H3" i="28"/>
  <c r="H3" i="27"/>
  <c r="H3" i="26"/>
  <c r="G23" i="70" l="1"/>
  <c r="G22" i="70"/>
  <c r="G26" i="70"/>
  <c r="E21" i="70"/>
  <c r="D27" i="70"/>
  <c r="D20" i="70"/>
  <c r="K15" i="70"/>
  <c r="J24" i="70"/>
  <c r="K24" i="70"/>
  <c r="J23" i="70"/>
  <c r="I22" i="70"/>
  <c r="G21" i="70"/>
  <c r="E27" i="70"/>
  <c r="D26" i="70"/>
  <c r="L14" i="70"/>
  <c r="K13" i="70"/>
  <c r="J12" i="70"/>
  <c r="J25" i="70"/>
  <c r="F20" i="70"/>
  <c r="K23" i="70"/>
  <c r="J22" i="70"/>
  <c r="I21" i="70"/>
  <c r="F27" i="70"/>
  <c r="E26" i="70"/>
  <c r="D25" i="70"/>
  <c r="L13" i="70"/>
  <c r="K12" i="70"/>
  <c r="J11" i="70"/>
  <c r="G20" i="70"/>
  <c r="K22" i="70"/>
  <c r="J21" i="70"/>
  <c r="G27" i="70"/>
  <c r="F26" i="70"/>
  <c r="E25" i="70"/>
  <c r="D24" i="70"/>
  <c r="L12" i="70"/>
  <c r="K11" i="70"/>
  <c r="J10" i="70"/>
  <c r="K21" i="70"/>
  <c r="F25" i="70"/>
  <c r="E24" i="70"/>
  <c r="D23" i="70"/>
  <c r="L11" i="70"/>
  <c r="K10" i="70"/>
  <c r="F13" i="70"/>
  <c r="K25" i="70"/>
  <c r="I23" i="70"/>
  <c r="K14" i="70"/>
  <c r="J9" i="70"/>
  <c r="J20" i="70"/>
  <c r="J27" i="70"/>
  <c r="I26" i="70"/>
  <c r="G25" i="70"/>
  <c r="F24" i="70"/>
  <c r="E23" i="70"/>
  <c r="D22" i="70"/>
  <c r="L10" i="70"/>
  <c r="J16" i="70"/>
  <c r="I24" i="70"/>
  <c r="J14" i="70"/>
  <c r="J13" i="70"/>
  <c r="I20" i="70"/>
  <c r="I27" i="70"/>
  <c r="K9" i="70"/>
  <c r="K20" i="70"/>
  <c r="K27" i="70"/>
  <c r="J26" i="70"/>
  <c r="I25" i="70"/>
  <c r="G24" i="70"/>
  <c r="F23" i="70"/>
  <c r="E22" i="70"/>
  <c r="D21" i="70"/>
  <c r="K16" i="70"/>
  <c r="J15" i="70"/>
  <c r="D15" i="70"/>
  <c r="D11" i="70"/>
  <c r="H15" i="70"/>
  <c r="H11" i="70"/>
  <c r="D13" i="70"/>
  <c r="H13" i="70"/>
  <c r="F15" i="70"/>
  <c r="F11" i="70"/>
  <c r="I9" i="70"/>
  <c r="G9" i="70"/>
  <c r="I14" i="70"/>
  <c r="I10" i="70"/>
  <c r="G16" i="70"/>
  <c r="G12" i="70"/>
  <c r="E14" i="70"/>
  <c r="D9" i="70"/>
  <c r="H9" i="70"/>
  <c r="D16" i="70"/>
  <c r="D12" i="70"/>
  <c r="I13" i="70"/>
  <c r="H16" i="70"/>
  <c r="H12" i="70"/>
  <c r="G15" i="70"/>
  <c r="G11" i="70"/>
  <c r="F14" i="70"/>
  <c r="F10" i="70"/>
  <c r="E13" i="70"/>
  <c r="E12" i="70"/>
  <c r="I16" i="70"/>
  <c r="I12" i="70"/>
  <c r="G14" i="70"/>
  <c r="G10" i="70"/>
  <c r="E16" i="70"/>
  <c r="F9" i="70"/>
  <c r="D14" i="70"/>
  <c r="D10" i="70"/>
  <c r="I15" i="70"/>
  <c r="I11" i="70"/>
  <c r="H14" i="70"/>
  <c r="H10" i="70"/>
  <c r="G13" i="70"/>
  <c r="F16" i="70"/>
  <c r="F12" i="70"/>
  <c r="E15" i="70"/>
  <c r="E11" i="70"/>
  <c r="E9" i="70"/>
  <c r="E10" i="70"/>
  <c r="D13" i="28" l="1"/>
  <c r="D15" i="28"/>
  <c r="D16" i="28"/>
  <c r="G16" i="28" s="1"/>
  <c r="H16" i="28" s="1"/>
  <c r="D17" i="28"/>
  <c r="G17" i="28" s="1"/>
  <c r="H17" i="28" s="1"/>
  <c r="D19" i="28"/>
  <c r="D20" i="28"/>
  <c r="D21" i="28"/>
  <c r="D22" i="28"/>
  <c r="G22" i="28" s="1"/>
  <c r="H22" i="28" s="1"/>
  <c r="D24" i="28"/>
  <c r="G24" i="28" s="1"/>
  <c r="H24" i="28" s="1"/>
  <c r="D25" i="28"/>
  <c r="G25" i="28" s="1"/>
  <c r="H25" i="28" s="1"/>
  <c r="D26" i="28"/>
  <c r="G26" i="28" s="1"/>
  <c r="H26" i="28" s="1"/>
  <c r="D28" i="28"/>
  <c r="D29" i="28"/>
  <c r="D30" i="28"/>
  <c r="G30" i="28" s="1"/>
  <c r="H30" i="28" s="1"/>
  <c r="D32" i="28"/>
  <c r="G32" i="28" s="1"/>
  <c r="H32" i="28" s="1"/>
  <c r="D33" i="28"/>
  <c r="G33" i="28" s="1"/>
  <c r="H33" i="28" s="1"/>
  <c r="D34" i="28"/>
  <c r="G34" i="28" s="1"/>
  <c r="H34" i="28" s="1"/>
  <c r="D36" i="28"/>
  <c r="G36" i="28" s="1"/>
  <c r="H36" i="28" s="1"/>
  <c r="D37" i="28"/>
  <c r="D38" i="28"/>
  <c r="G38" i="28" s="1"/>
  <c r="H38" i="28" s="1"/>
  <c r="D39" i="28"/>
  <c r="D41" i="28"/>
  <c r="G41" i="28" s="1"/>
  <c r="H41" i="28" s="1"/>
  <c r="D42" i="28"/>
  <c r="G42" i="28" s="1"/>
  <c r="H42" i="28" s="1"/>
  <c r="D43" i="28"/>
  <c r="D45" i="28"/>
  <c r="D46" i="28"/>
  <c r="G46" i="28" s="1"/>
  <c r="H46" i="28" s="1"/>
  <c r="D47" i="28"/>
  <c r="D49" i="28"/>
  <c r="G49" i="28" s="1"/>
  <c r="H49" i="28" s="1"/>
  <c r="D50" i="28"/>
  <c r="G50" i="28" s="1"/>
  <c r="H50" i="28" s="1"/>
  <c r="D51" i="28"/>
  <c r="D53" i="28"/>
  <c r="D54" i="28"/>
  <c r="G54" i="28" s="1"/>
  <c r="H54" i="28" s="1"/>
  <c r="D55" i="28"/>
  <c r="D57" i="28"/>
  <c r="G57" i="28" s="1"/>
  <c r="H57" i="28" s="1"/>
  <c r="G28" i="28" l="1"/>
  <c r="H28" i="28" s="1"/>
  <c r="G20" i="28"/>
  <c r="H20" i="28" s="1"/>
  <c r="G29" i="28"/>
  <c r="H29" i="28" s="1"/>
  <c r="G51" i="28"/>
  <c r="H51" i="28" s="1"/>
  <c r="G43" i="28"/>
  <c r="H43" i="28" s="1"/>
  <c r="G19" i="28"/>
  <c r="H19" i="28" s="1"/>
  <c r="G55" i="28"/>
  <c r="H55" i="28" s="1"/>
  <c r="G47" i="28"/>
  <c r="H47" i="28" s="1"/>
  <c r="G39" i="28"/>
  <c r="H39" i="28" s="1"/>
  <c r="G15" i="28"/>
  <c r="H15" i="28" s="1"/>
  <c r="G53" i="28"/>
  <c r="H53" i="28" s="1"/>
  <c r="G45" i="28"/>
  <c r="H45" i="28" s="1"/>
  <c r="G37" i="28"/>
  <c r="H37" i="28" s="1"/>
  <c r="G21" i="28"/>
  <c r="H21" i="28" s="1"/>
  <c r="D57" i="41"/>
  <c r="G57" i="41" s="1"/>
  <c r="H57" i="41" s="1"/>
  <c r="D55" i="41"/>
  <c r="D54" i="41"/>
  <c r="D53" i="41"/>
  <c r="D51" i="41"/>
  <c r="G51" i="41" s="1"/>
  <c r="H51" i="41" s="1"/>
  <c r="D50" i="41"/>
  <c r="D49" i="41"/>
  <c r="D48" i="41"/>
  <c r="D46" i="41"/>
  <c r="D45" i="41"/>
  <c r="D44" i="41"/>
  <c r="D42" i="41"/>
  <c r="D41" i="41"/>
  <c r="D40" i="41"/>
  <c r="D39" i="41"/>
  <c r="D37" i="41"/>
  <c r="D36" i="41"/>
  <c r="D35" i="41"/>
  <c r="G35" i="41" s="1"/>
  <c r="H35" i="41" s="1"/>
  <c r="D34" i="41"/>
  <c r="D32" i="41"/>
  <c r="D31" i="41"/>
  <c r="D30" i="41"/>
  <c r="D29" i="41"/>
  <c r="D27" i="41"/>
  <c r="G27" i="41" s="1"/>
  <c r="H27" i="41" s="1"/>
  <c r="D26" i="41"/>
  <c r="D25" i="41"/>
  <c r="D24" i="41"/>
  <c r="D22" i="41"/>
  <c r="D21" i="41"/>
  <c r="D20" i="41"/>
  <c r="D18" i="41"/>
  <c r="D17" i="41"/>
  <c r="D16" i="41"/>
  <c r="D15" i="41"/>
  <c r="D13" i="41"/>
  <c r="D12" i="41"/>
  <c r="D11" i="41"/>
  <c r="G11" i="41" s="1"/>
  <c r="H11" i="41" s="1"/>
  <c r="D10" i="41"/>
  <c r="D9" i="41"/>
  <c r="G9" i="41" s="1"/>
  <c r="H9" i="41" s="1"/>
  <c r="D7" i="41"/>
  <c r="G7" i="41" s="1"/>
  <c r="H7" i="41" s="1"/>
  <c r="D57" i="40"/>
  <c r="G57" i="40" s="1"/>
  <c r="H57" i="40" s="1"/>
  <c r="D55" i="40"/>
  <c r="G55" i="40" s="1"/>
  <c r="H55" i="40" s="1"/>
  <c r="D54" i="40"/>
  <c r="D53" i="40"/>
  <c r="D52" i="40"/>
  <c r="G52" i="40" s="1"/>
  <c r="H52" i="40" s="1"/>
  <c r="D50" i="40"/>
  <c r="D49" i="40"/>
  <c r="D48" i="40"/>
  <c r="D47" i="40"/>
  <c r="G47" i="40" s="1"/>
  <c r="H47" i="40" s="1"/>
  <c r="D46" i="40"/>
  <c r="D44" i="40"/>
  <c r="D43" i="40"/>
  <c r="D42" i="40"/>
  <c r="D41" i="40"/>
  <c r="D40" i="40"/>
  <c r="D39" i="40"/>
  <c r="G39" i="40" s="1"/>
  <c r="H39" i="40" s="1"/>
  <c r="D37" i="40"/>
  <c r="D36" i="40"/>
  <c r="D35" i="40"/>
  <c r="D34" i="40"/>
  <c r="D33" i="40"/>
  <c r="D32" i="40"/>
  <c r="D30" i="40"/>
  <c r="D29" i="40"/>
  <c r="D28" i="40"/>
  <c r="D27" i="40"/>
  <c r="D26" i="40"/>
  <c r="D24" i="40"/>
  <c r="D23" i="40"/>
  <c r="G23" i="40" s="1"/>
  <c r="H23" i="40" s="1"/>
  <c r="D22" i="40"/>
  <c r="D21" i="40"/>
  <c r="D20" i="40"/>
  <c r="D19" i="40"/>
  <c r="D17" i="40"/>
  <c r="D16" i="40"/>
  <c r="D15" i="40"/>
  <c r="G15" i="40" s="1"/>
  <c r="H15" i="40" s="1"/>
  <c r="D14" i="40"/>
  <c r="D13" i="40"/>
  <c r="D12" i="40"/>
  <c r="D10" i="40"/>
  <c r="D9" i="40"/>
  <c r="G9" i="40" s="1"/>
  <c r="H9" i="40" s="1"/>
  <c r="D7" i="40"/>
  <c r="G7" i="40" s="1"/>
  <c r="H7" i="40" s="1"/>
  <c r="D57" i="39"/>
  <c r="G57" i="39" s="1"/>
  <c r="H57" i="39" s="1"/>
  <c r="D55" i="39"/>
  <c r="D54" i="39"/>
  <c r="G54" i="39" s="1"/>
  <c r="H54" i="39" s="1"/>
  <c r="D53" i="39"/>
  <c r="D51" i="39"/>
  <c r="D50" i="39"/>
  <c r="D49" i="39"/>
  <c r="D48" i="39"/>
  <c r="D47" i="39"/>
  <c r="D45" i="39"/>
  <c r="D44" i="39"/>
  <c r="D43" i="39"/>
  <c r="D42" i="39"/>
  <c r="D41" i="39"/>
  <c r="D39" i="39"/>
  <c r="D38" i="39"/>
  <c r="D37" i="39"/>
  <c r="D36" i="39"/>
  <c r="D35" i="39"/>
  <c r="D33" i="39"/>
  <c r="D32" i="39"/>
  <c r="D31" i="39"/>
  <c r="D30" i="39"/>
  <c r="D29" i="39"/>
  <c r="D27" i="39"/>
  <c r="D26" i="39"/>
  <c r="D25" i="39"/>
  <c r="D24" i="39"/>
  <c r="D23" i="39"/>
  <c r="D21" i="39"/>
  <c r="D20" i="39"/>
  <c r="D19" i="39"/>
  <c r="D18" i="39"/>
  <c r="D17" i="39"/>
  <c r="D15" i="39"/>
  <c r="D14" i="39"/>
  <c r="D13" i="39"/>
  <c r="D12" i="39"/>
  <c r="D11" i="39"/>
  <c r="D9" i="39"/>
  <c r="G9" i="39" s="1"/>
  <c r="H9" i="39" s="1"/>
  <c r="D7" i="39"/>
  <c r="G7" i="39" s="1"/>
  <c r="H7" i="39" s="1"/>
  <c r="D57" i="37"/>
  <c r="G57" i="37" s="1"/>
  <c r="H57" i="37" s="1"/>
  <c r="D55" i="37"/>
  <c r="D54" i="37"/>
  <c r="D53" i="37"/>
  <c r="D52" i="37"/>
  <c r="D51" i="37"/>
  <c r="D50" i="37"/>
  <c r="D48" i="37"/>
  <c r="D47" i="37"/>
  <c r="D46" i="37"/>
  <c r="D45" i="37"/>
  <c r="D44" i="37"/>
  <c r="D43" i="37"/>
  <c r="D42" i="37"/>
  <c r="D40" i="37"/>
  <c r="D39" i="37"/>
  <c r="D38" i="37"/>
  <c r="D37" i="37"/>
  <c r="D36" i="37"/>
  <c r="D35" i="37"/>
  <c r="D34" i="37"/>
  <c r="D32" i="37"/>
  <c r="D31" i="37"/>
  <c r="D30" i="37"/>
  <c r="D29" i="37"/>
  <c r="D28" i="37"/>
  <c r="D27" i="37"/>
  <c r="D26" i="37"/>
  <c r="D24" i="37"/>
  <c r="D23" i="37"/>
  <c r="D22" i="37"/>
  <c r="D21" i="37"/>
  <c r="D20" i="37"/>
  <c r="D19" i="37"/>
  <c r="D18" i="37"/>
  <c r="D16" i="37"/>
  <c r="D15" i="37"/>
  <c r="D14" i="37"/>
  <c r="D13" i="37"/>
  <c r="D12" i="37"/>
  <c r="D11" i="37"/>
  <c r="D10" i="37"/>
  <c r="D9" i="37"/>
  <c r="G9" i="37" s="1"/>
  <c r="H9" i="37" s="1"/>
  <c r="D7" i="37"/>
  <c r="G7" i="37" s="1"/>
  <c r="H7" i="37" s="1"/>
  <c r="D57" i="36"/>
  <c r="G57" i="36" s="1"/>
  <c r="H57" i="36" s="1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19" i="36"/>
  <c r="D18" i="36"/>
  <c r="D17" i="36"/>
  <c r="D16" i="36"/>
  <c r="D15" i="36"/>
  <c r="D14" i="36"/>
  <c r="D13" i="36"/>
  <c r="D12" i="36"/>
  <c r="D11" i="36"/>
  <c r="D10" i="36"/>
  <c r="D9" i="36"/>
  <c r="G9" i="36" s="1"/>
  <c r="H9" i="36" s="1"/>
  <c r="D7" i="36"/>
  <c r="G7" i="36" s="1"/>
  <c r="H7" i="36" s="1"/>
  <c r="D57" i="35"/>
  <c r="G57" i="35" s="1"/>
  <c r="H57" i="35" s="1"/>
  <c r="D55" i="35"/>
  <c r="D54" i="35"/>
  <c r="D52" i="35"/>
  <c r="D51" i="35"/>
  <c r="G51" i="35" s="1"/>
  <c r="H51" i="35" s="1"/>
  <c r="D49" i="35"/>
  <c r="D48" i="35"/>
  <c r="D47" i="35"/>
  <c r="D45" i="35"/>
  <c r="D44" i="35"/>
  <c r="D43" i="35"/>
  <c r="G43" i="35" s="1"/>
  <c r="H43" i="35" s="1"/>
  <c r="D41" i="35"/>
  <c r="D40" i="35"/>
  <c r="D39" i="35"/>
  <c r="D37" i="35"/>
  <c r="D36" i="35"/>
  <c r="D34" i="35"/>
  <c r="D33" i="35"/>
  <c r="D32" i="35"/>
  <c r="D30" i="35"/>
  <c r="D29" i="35"/>
  <c r="D28" i="35"/>
  <c r="D26" i="35"/>
  <c r="D25" i="35"/>
  <c r="D24" i="35"/>
  <c r="D22" i="35"/>
  <c r="D21" i="35"/>
  <c r="D20" i="35"/>
  <c r="D18" i="35"/>
  <c r="D17" i="35"/>
  <c r="D15" i="35"/>
  <c r="D14" i="35"/>
  <c r="D13" i="35"/>
  <c r="D11" i="35"/>
  <c r="G11" i="35" s="1"/>
  <c r="H11" i="35" s="1"/>
  <c r="D10" i="35"/>
  <c r="D9" i="35"/>
  <c r="G9" i="35" s="1"/>
  <c r="H9" i="35" s="1"/>
  <c r="D7" i="35"/>
  <c r="G7" i="35" s="1"/>
  <c r="H7" i="35" s="1"/>
  <c r="D57" i="34"/>
  <c r="G57" i="34" s="1"/>
  <c r="H57" i="34" s="1"/>
  <c r="D55" i="34"/>
  <c r="D53" i="34"/>
  <c r="D52" i="34"/>
  <c r="D51" i="34"/>
  <c r="D49" i="34"/>
  <c r="D48" i="34"/>
  <c r="D47" i="34"/>
  <c r="D45" i="34"/>
  <c r="D44" i="34"/>
  <c r="D43" i="34"/>
  <c r="D42" i="34"/>
  <c r="D40" i="34"/>
  <c r="D39" i="34"/>
  <c r="D38" i="34"/>
  <c r="D36" i="34"/>
  <c r="D35" i="34"/>
  <c r="D34" i="34"/>
  <c r="D32" i="34"/>
  <c r="D31" i="34"/>
  <c r="D30" i="34"/>
  <c r="D29" i="34"/>
  <c r="D27" i="34"/>
  <c r="D26" i="34"/>
  <c r="D25" i="34"/>
  <c r="D23" i="34"/>
  <c r="D22" i="34"/>
  <c r="D21" i="34"/>
  <c r="D20" i="34"/>
  <c r="G20" i="34" s="1"/>
  <c r="H20" i="34" s="1"/>
  <c r="D18" i="34"/>
  <c r="D17" i="34"/>
  <c r="D16" i="34"/>
  <c r="G16" i="34" s="1"/>
  <c r="H16" i="34" s="1"/>
  <c r="D14" i="34"/>
  <c r="D13" i="34"/>
  <c r="D12" i="34"/>
  <c r="D10" i="34"/>
  <c r="D9" i="34"/>
  <c r="G9" i="34" s="1"/>
  <c r="H9" i="34" s="1"/>
  <c r="D7" i="34"/>
  <c r="G7" i="34" s="1"/>
  <c r="H7" i="34" s="1"/>
  <c r="D57" i="33"/>
  <c r="G57" i="33" s="1"/>
  <c r="H57" i="33" s="1"/>
  <c r="D55" i="33"/>
  <c r="D54" i="33"/>
  <c r="G54" i="33" s="1"/>
  <c r="H54" i="33" s="1"/>
  <c r="D53" i="33"/>
  <c r="D52" i="33"/>
  <c r="D51" i="33"/>
  <c r="D49" i="33"/>
  <c r="G49" i="33" s="1"/>
  <c r="H49" i="33" s="1"/>
  <c r="D48" i="33"/>
  <c r="D47" i="33"/>
  <c r="D46" i="33"/>
  <c r="G46" i="33" s="1"/>
  <c r="H46" i="33" s="1"/>
  <c r="D45" i="33"/>
  <c r="D44" i="33"/>
  <c r="D43" i="33"/>
  <c r="D41" i="33"/>
  <c r="G41" i="33" s="1"/>
  <c r="H41" i="33" s="1"/>
  <c r="D40" i="33"/>
  <c r="D39" i="33"/>
  <c r="D38" i="33"/>
  <c r="G38" i="33" s="1"/>
  <c r="H38" i="33" s="1"/>
  <c r="D37" i="33"/>
  <c r="D36" i="33"/>
  <c r="D35" i="33"/>
  <c r="D34" i="33"/>
  <c r="D32" i="33"/>
  <c r="D31" i="33"/>
  <c r="D30" i="33"/>
  <c r="G30" i="33" s="1"/>
  <c r="H30" i="33" s="1"/>
  <c r="D29" i="33"/>
  <c r="D28" i="33"/>
  <c r="D27" i="33"/>
  <c r="D26" i="33"/>
  <c r="D24" i="33"/>
  <c r="D23" i="33"/>
  <c r="D22" i="33"/>
  <c r="G22" i="33" s="1"/>
  <c r="H22" i="33" s="1"/>
  <c r="D21" i="33"/>
  <c r="D20" i="33"/>
  <c r="D19" i="33"/>
  <c r="D18" i="33"/>
  <c r="D16" i="33"/>
  <c r="D15" i="33"/>
  <c r="D14" i="33"/>
  <c r="G14" i="33" s="1"/>
  <c r="H14" i="33" s="1"/>
  <c r="D13" i="33"/>
  <c r="D12" i="33"/>
  <c r="D11" i="33"/>
  <c r="D10" i="33"/>
  <c r="D9" i="33"/>
  <c r="G9" i="33" s="1"/>
  <c r="H9" i="33" s="1"/>
  <c r="D7" i="33"/>
  <c r="G7" i="33" s="1"/>
  <c r="H7" i="33" s="1"/>
  <c r="D57" i="32"/>
  <c r="G57" i="32" s="1"/>
  <c r="H57" i="32" s="1"/>
  <c r="D55" i="32"/>
  <c r="D54" i="32"/>
  <c r="D52" i="32"/>
  <c r="D51" i="32"/>
  <c r="D50" i="32"/>
  <c r="G50" i="32" s="1"/>
  <c r="H50" i="32" s="1"/>
  <c r="D48" i="32"/>
  <c r="D47" i="32"/>
  <c r="D46" i="32"/>
  <c r="D44" i="32"/>
  <c r="D43" i="32"/>
  <c r="D42" i="32"/>
  <c r="G42" i="32" s="1"/>
  <c r="H42" i="32" s="1"/>
  <c r="D40" i="32"/>
  <c r="D39" i="32"/>
  <c r="D38" i="32"/>
  <c r="D36" i="32"/>
  <c r="D35" i="32"/>
  <c r="D34" i="32"/>
  <c r="G34" i="32" s="1"/>
  <c r="H34" i="32" s="1"/>
  <c r="D32" i="32"/>
  <c r="D31" i="32"/>
  <c r="D30" i="32"/>
  <c r="D28" i="32"/>
  <c r="D27" i="32"/>
  <c r="D26" i="32"/>
  <c r="G26" i="32" s="1"/>
  <c r="H26" i="32" s="1"/>
  <c r="D24" i="32"/>
  <c r="D23" i="32"/>
  <c r="D22" i="32"/>
  <c r="D20" i="32"/>
  <c r="D19" i="32"/>
  <c r="D18" i="32"/>
  <c r="G18" i="32" s="1"/>
  <c r="H18" i="32" s="1"/>
  <c r="D16" i="32"/>
  <c r="D15" i="32"/>
  <c r="D14" i="32"/>
  <c r="D12" i="32"/>
  <c r="D11" i="32"/>
  <c r="D10" i="32"/>
  <c r="G10" i="32" s="1"/>
  <c r="H10" i="32" s="1"/>
  <c r="D9" i="32"/>
  <c r="G9" i="32" s="1"/>
  <c r="H9" i="32" s="1"/>
  <c r="D7" i="32"/>
  <c r="G7" i="32" s="1"/>
  <c r="H7" i="32" s="1"/>
  <c r="D57" i="31"/>
  <c r="G57" i="31" s="1"/>
  <c r="H57" i="31" s="1"/>
  <c r="D55" i="31"/>
  <c r="D54" i="31"/>
  <c r="D52" i="31"/>
  <c r="D51" i="31"/>
  <c r="G51" i="31" s="1"/>
  <c r="H51" i="31" s="1"/>
  <c r="D50" i="31"/>
  <c r="D49" i="31"/>
  <c r="D48" i="31"/>
  <c r="D46" i="31"/>
  <c r="D45" i="31"/>
  <c r="D44" i="31"/>
  <c r="D43" i="31"/>
  <c r="G43" i="31" s="1"/>
  <c r="H43" i="31" s="1"/>
  <c r="D41" i="31"/>
  <c r="D40" i="31"/>
  <c r="D39" i="31"/>
  <c r="D38" i="31"/>
  <c r="D36" i="31"/>
  <c r="D35" i="31"/>
  <c r="G35" i="31" s="1"/>
  <c r="H35" i="31" s="1"/>
  <c r="D34" i="31"/>
  <c r="D33" i="31"/>
  <c r="D31" i="31"/>
  <c r="D30" i="31"/>
  <c r="D29" i="31"/>
  <c r="D28" i="31"/>
  <c r="D26" i="31"/>
  <c r="D25" i="31"/>
  <c r="D24" i="31"/>
  <c r="D23" i="31"/>
  <c r="D21" i="31"/>
  <c r="D20" i="31"/>
  <c r="D19" i="31"/>
  <c r="G19" i="31" s="1"/>
  <c r="H19" i="31" s="1"/>
  <c r="D18" i="31"/>
  <c r="D16" i="31"/>
  <c r="D15" i="31"/>
  <c r="D14" i="31"/>
  <c r="D13" i="31"/>
  <c r="D12" i="31"/>
  <c r="D10" i="31"/>
  <c r="D9" i="31"/>
  <c r="G9" i="31" s="1"/>
  <c r="H9" i="31" s="1"/>
  <c r="D7" i="31"/>
  <c r="G7" i="31" s="1"/>
  <c r="H7" i="31" s="1"/>
  <c r="D57" i="30"/>
  <c r="G57" i="30" s="1"/>
  <c r="H57" i="30" s="1"/>
  <c r="D55" i="30"/>
  <c r="D53" i="30"/>
  <c r="D52" i="30"/>
  <c r="G52" i="30" s="1"/>
  <c r="H52" i="30" s="1"/>
  <c r="D51" i="30"/>
  <c r="D49" i="30"/>
  <c r="D48" i="30"/>
  <c r="D47" i="30"/>
  <c r="D45" i="30"/>
  <c r="D44" i="30"/>
  <c r="G44" i="30" s="1"/>
  <c r="H44" i="30" s="1"/>
  <c r="D43" i="30"/>
  <c r="D41" i="30"/>
  <c r="D40" i="30"/>
  <c r="D39" i="30"/>
  <c r="D38" i="30"/>
  <c r="D36" i="30"/>
  <c r="G36" i="30" s="1"/>
  <c r="H36" i="30" s="1"/>
  <c r="D35" i="30"/>
  <c r="D34" i="30"/>
  <c r="D32" i="30"/>
  <c r="D31" i="30"/>
  <c r="D30" i="30"/>
  <c r="D28" i="30"/>
  <c r="G28" i="30" s="1"/>
  <c r="H28" i="30" s="1"/>
  <c r="D27" i="30"/>
  <c r="D26" i="30"/>
  <c r="D24" i="30"/>
  <c r="D23" i="30"/>
  <c r="D22" i="30"/>
  <c r="D20" i="30"/>
  <c r="G20" i="30" s="1"/>
  <c r="H20" i="30" s="1"/>
  <c r="D19" i="30"/>
  <c r="D18" i="30"/>
  <c r="D17" i="30"/>
  <c r="D15" i="30"/>
  <c r="D14" i="30"/>
  <c r="D13" i="30"/>
  <c r="D11" i="30"/>
  <c r="D10" i="30"/>
  <c r="D9" i="30"/>
  <c r="G9" i="30" s="1"/>
  <c r="H9" i="30" s="1"/>
  <c r="D7" i="30"/>
  <c r="G7" i="30" s="1"/>
  <c r="H7" i="30" s="1"/>
  <c r="D57" i="29"/>
  <c r="G57" i="29" s="1"/>
  <c r="H57" i="29" s="1"/>
  <c r="D55" i="29"/>
  <c r="D54" i="29"/>
  <c r="D53" i="29"/>
  <c r="G53" i="29" s="1"/>
  <c r="H53" i="29" s="1"/>
  <c r="D51" i="29"/>
  <c r="D50" i="29"/>
  <c r="D49" i="29"/>
  <c r="D47" i="29"/>
  <c r="D46" i="29"/>
  <c r="D44" i="29"/>
  <c r="D43" i="29"/>
  <c r="D42" i="29"/>
  <c r="D40" i="29"/>
  <c r="D39" i="29"/>
  <c r="D38" i="29"/>
  <c r="D36" i="29"/>
  <c r="D35" i="29"/>
  <c r="D33" i="29"/>
  <c r="D32" i="29"/>
  <c r="D31" i="29"/>
  <c r="D29" i="29"/>
  <c r="G29" i="29" s="1"/>
  <c r="H29" i="29" s="1"/>
  <c r="D28" i="29"/>
  <c r="D27" i="29"/>
  <c r="D25" i="29"/>
  <c r="D24" i="29"/>
  <c r="D22" i="29"/>
  <c r="D21" i="29"/>
  <c r="G21" i="29" s="1"/>
  <c r="H21" i="29" s="1"/>
  <c r="D20" i="29"/>
  <c r="D18" i="29"/>
  <c r="D17" i="29"/>
  <c r="D16" i="29"/>
  <c r="D14" i="29"/>
  <c r="D13" i="29"/>
  <c r="G13" i="29" s="1"/>
  <c r="H13" i="29" s="1"/>
  <c r="D11" i="29"/>
  <c r="D10" i="29"/>
  <c r="D9" i="29"/>
  <c r="G9" i="29" s="1"/>
  <c r="H9" i="29" s="1"/>
  <c r="D7" i="29"/>
  <c r="G7" i="29" s="1"/>
  <c r="H7" i="29" s="1"/>
  <c r="E57" i="28"/>
  <c r="E55" i="28"/>
  <c r="E54" i="28"/>
  <c r="E53" i="28"/>
  <c r="E51" i="28"/>
  <c r="E50" i="28"/>
  <c r="E49" i="28"/>
  <c r="E47" i="28"/>
  <c r="E46" i="28"/>
  <c r="E45" i="28"/>
  <c r="E43" i="28"/>
  <c r="E42" i="28"/>
  <c r="E41" i="28"/>
  <c r="E39" i="28"/>
  <c r="E38" i="28"/>
  <c r="E37" i="28"/>
  <c r="E36" i="28"/>
  <c r="E34" i="28"/>
  <c r="E33" i="28"/>
  <c r="E32" i="28"/>
  <c r="E30" i="28"/>
  <c r="E29" i="28"/>
  <c r="E28" i="28"/>
  <c r="E26" i="28"/>
  <c r="E25" i="28"/>
  <c r="E24" i="28"/>
  <c r="E22" i="28"/>
  <c r="E21" i="28"/>
  <c r="E20" i="28"/>
  <c r="E19" i="28"/>
  <c r="E17" i="28"/>
  <c r="E16" i="28"/>
  <c r="E15" i="28"/>
  <c r="E13" i="28"/>
  <c r="D12" i="28"/>
  <c r="D11" i="28"/>
  <c r="D9" i="28"/>
  <c r="G9" i="28" s="1"/>
  <c r="H9" i="28" s="1"/>
  <c r="D7" i="28"/>
  <c r="G7" i="28" s="1"/>
  <c r="H7" i="28" s="1"/>
  <c r="D57" i="27"/>
  <c r="G57" i="27" s="1"/>
  <c r="H57" i="27" s="1"/>
  <c r="D55" i="27"/>
  <c r="G55" i="27" s="1"/>
  <c r="H55" i="27" s="1"/>
  <c r="D54" i="27"/>
  <c r="D52" i="27"/>
  <c r="G52" i="27" s="1"/>
  <c r="H52" i="27" s="1"/>
  <c r="D51" i="27"/>
  <c r="D50" i="27"/>
  <c r="D48" i="27"/>
  <c r="D47" i="27"/>
  <c r="D46" i="27"/>
  <c r="D44" i="27"/>
  <c r="G44" i="27" s="1"/>
  <c r="H44" i="27" s="1"/>
  <c r="D43" i="27"/>
  <c r="D42" i="27"/>
  <c r="D40" i="27"/>
  <c r="D39" i="27"/>
  <c r="D38" i="27"/>
  <c r="D36" i="27"/>
  <c r="G36" i="27" s="1"/>
  <c r="H36" i="27" s="1"/>
  <c r="D35" i="27"/>
  <c r="D34" i="27"/>
  <c r="D32" i="27"/>
  <c r="D31" i="27"/>
  <c r="D30" i="27"/>
  <c r="D28" i="27"/>
  <c r="G28" i="27" s="1"/>
  <c r="H28" i="27" s="1"/>
  <c r="D27" i="27"/>
  <c r="D25" i="27"/>
  <c r="D24" i="27"/>
  <c r="D23" i="27"/>
  <c r="D21" i="27"/>
  <c r="D20" i="27"/>
  <c r="G20" i="27" s="1"/>
  <c r="H20" i="27" s="1"/>
  <c r="D19" i="27"/>
  <c r="D17" i="27"/>
  <c r="D16" i="27"/>
  <c r="D15" i="27"/>
  <c r="D13" i="27"/>
  <c r="D12" i="27"/>
  <c r="G12" i="27" s="1"/>
  <c r="H12" i="27" s="1"/>
  <c r="D11" i="27"/>
  <c r="D9" i="27"/>
  <c r="G9" i="27" s="1"/>
  <c r="H9" i="27" s="1"/>
  <c r="D7" i="27"/>
  <c r="G7" i="27" s="1"/>
  <c r="H7" i="27" s="1"/>
  <c r="D57" i="26"/>
  <c r="G57" i="26" s="1"/>
  <c r="H57" i="26" s="1"/>
  <c r="D55" i="26"/>
  <c r="D54" i="26"/>
  <c r="D53" i="26"/>
  <c r="D52" i="26"/>
  <c r="D51" i="26"/>
  <c r="D50" i="26"/>
  <c r="D48" i="26"/>
  <c r="D47" i="26"/>
  <c r="D46" i="26"/>
  <c r="D45" i="26"/>
  <c r="D44" i="26"/>
  <c r="D43" i="26"/>
  <c r="D42" i="26"/>
  <c r="D41" i="26"/>
  <c r="D40" i="26"/>
  <c r="D38" i="26"/>
  <c r="D37" i="26"/>
  <c r="D36" i="26"/>
  <c r="D35" i="26"/>
  <c r="D34" i="26"/>
  <c r="D33" i="26"/>
  <c r="D32" i="26"/>
  <c r="D31" i="26"/>
  <c r="D29" i="26"/>
  <c r="D28" i="26"/>
  <c r="D27" i="26"/>
  <c r="D26" i="26"/>
  <c r="D25" i="26"/>
  <c r="D24" i="26"/>
  <c r="D23" i="26"/>
  <c r="D22" i="26"/>
  <c r="D21" i="26"/>
  <c r="D19" i="26"/>
  <c r="D18" i="26"/>
  <c r="D17" i="26"/>
  <c r="D16" i="26"/>
  <c r="D15" i="26"/>
  <c r="D14" i="26"/>
  <c r="D13" i="26"/>
  <c r="D12" i="26"/>
  <c r="D11" i="26"/>
  <c r="D9" i="26"/>
  <c r="G9" i="26" s="1"/>
  <c r="H9" i="26" s="1"/>
  <c r="D7" i="26"/>
  <c r="G7" i="26" s="1"/>
  <c r="H7" i="26" s="1"/>
  <c r="G12" i="41" l="1"/>
  <c r="H12" i="41" s="1"/>
  <c r="G20" i="41"/>
  <c r="H20" i="41" s="1"/>
  <c r="G36" i="41"/>
  <c r="H36" i="41" s="1"/>
  <c r="G44" i="41"/>
  <c r="H44" i="41" s="1"/>
  <c r="G22" i="41"/>
  <c r="H22" i="41" s="1"/>
  <c r="G30" i="41"/>
  <c r="H30" i="41" s="1"/>
  <c r="G46" i="41"/>
  <c r="H46" i="41" s="1"/>
  <c r="G54" i="41"/>
  <c r="H54" i="41" s="1"/>
  <c r="G17" i="41"/>
  <c r="H17" i="41" s="1"/>
  <c r="G25" i="41"/>
  <c r="H25" i="41" s="1"/>
  <c r="G41" i="41"/>
  <c r="H41" i="41" s="1"/>
  <c r="G49" i="41"/>
  <c r="H49" i="41" s="1"/>
  <c r="G49" i="40"/>
  <c r="H49" i="40" s="1"/>
  <c r="G50" i="40"/>
  <c r="H50" i="40" s="1"/>
  <c r="G20" i="40"/>
  <c r="H20" i="40" s="1"/>
  <c r="G44" i="40"/>
  <c r="H44" i="40" s="1"/>
  <c r="G13" i="40"/>
  <c r="H13" i="40" s="1"/>
  <c r="G21" i="40"/>
  <c r="H21" i="40" s="1"/>
  <c r="G29" i="40"/>
  <c r="H29" i="40" s="1"/>
  <c r="G37" i="40"/>
  <c r="H37" i="40" s="1"/>
  <c r="G53" i="40"/>
  <c r="H53" i="40" s="1"/>
  <c r="G33" i="40"/>
  <c r="H33" i="40" s="1"/>
  <c r="G10" i="40"/>
  <c r="H10" i="40" s="1"/>
  <c r="G34" i="40"/>
  <c r="H34" i="40" s="1"/>
  <c r="G36" i="40"/>
  <c r="H36" i="40" s="1"/>
  <c r="G17" i="40"/>
  <c r="H17" i="40" s="1"/>
  <c r="G41" i="40"/>
  <c r="H41" i="40" s="1"/>
  <c r="G26" i="40"/>
  <c r="H26" i="40" s="1"/>
  <c r="G42" i="40"/>
  <c r="H42" i="40" s="1"/>
  <c r="G12" i="40"/>
  <c r="H12" i="40" s="1"/>
  <c r="G28" i="40"/>
  <c r="H28" i="40" s="1"/>
  <c r="G13" i="39"/>
  <c r="H13" i="39" s="1"/>
  <c r="G21" i="39"/>
  <c r="H21" i="39" s="1"/>
  <c r="G29" i="39"/>
  <c r="H29" i="39" s="1"/>
  <c r="G37" i="39"/>
  <c r="H37" i="39" s="1"/>
  <c r="G45" i="39"/>
  <c r="H45" i="39" s="1"/>
  <c r="G53" i="39"/>
  <c r="H53" i="39" s="1"/>
  <c r="G26" i="39"/>
  <c r="H26" i="39" s="1"/>
  <c r="G42" i="39"/>
  <c r="H42" i="39" s="1"/>
  <c r="G11" i="39"/>
  <c r="H11" i="39" s="1"/>
  <c r="G19" i="39"/>
  <c r="H19" i="39" s="1"/>
  <c r="G27" i="39"/>
  <c r="H27" i="39" s="1"/>
  <c r="G35" i="39"/>
  <c r="H35" i="39" s="1"/>
  <c r="G43" i="39"/>
  <c r="H43" i="39" s="1"/>
  <c r="G51" i="39"/>
  <c r="H51" i="39" s="1"/>
  <c r="G18" i="39"/>
  <c r="H18" i="39" s="1"/>
  <c r="G50" i="39"/>
  <c r="H50" i="39" s="1"/>
  <c r="G24" i="39"/>
  <c r="H24" i="39" s="1"/>
  <c r="G32" i="39"/>
  <c r="H32" i="39" s="1"/>
  <c r="G48" i="39"/>
  <c r="H48" i="39" s="1"/>
  <c r="G11" i="37"/>
  <c r="H11" i="37" s="1"/>
  <c r="G51" i="37"/>
  <c r="H51" i="37" s="1"/>
  <c r="G19" i="37"/>
  <c r="H19" i="37" s="1"/>
  <c r="G27" i="37"/>
  <c r="H27" i="37" s="1"/>
  <c r="G35" i="37"/>
  <c r="H35" i="37" s="1"/>
  <c r="G43" i="37"/>
  <c r="H43" i="37" s="1"/>
  <c r="G12" i="37"/>
  <c r="H12" i="37" s="1"/>
  <c r="G20" i="37"/>
  <c r="H20" i="37" s="1"/>
  <c r="G28" i="37"/>
  <c r="H28" i="37" s="1"/>
  <c r="G36" i="37"/>
  <c r="H36" i="37" s="1"/>
  <c r="G44" i="37"/>
  <c r="H44" i="37" s="1"/>
  <c r="G52" i="37"/>
  <c r="H52" i="37" s="1"/>
  <c r="G22" i="37"/>
  <c r="H22" i="37" s="1"/>
  <c r="G14" i="37"/>
  <c r="H14" i="37" s="1"/>
  <c r="G46" i="37"/>
  <c r="H46" i="37" s="1"/>
  <c r="G30" i="37"/>
  <c r="H30" i="37" s="1"/>
  <c r="G38" i="37"/>
  <c r="H38" i="37" s="1"/>
  <c r="G54" i="37"/>
  <c r="H54" i="37" s="1"/>
  <c r="G10" i="36"/>
  <c r="H10" i="36" s="1"/>
  <c r="G18" i="36"/>
  <c r="H18" i="36" s="1"/>
  <c r="G26" i="36"/>
  <c r="H26" i="36" s="1"/>
  <c r="G34" i="36"/>
  <c r="H34" i="36" s="1"/>
  <c r="G42" i="36"/>
  <c r="H42" i="36" s="1"/>
  <c r="G50" i="36"/>
  <c r="H50" i="36" s="1"/>
  <c r="G21" i="36"/>
  <c r="H21" i="36" s="1"/>
  <c r="G29" i="36"/>
  <c r="H29" i="36" s="1"/>
  <c r="G15" i="36"/>
  <c r="H15" i="36" s="1"/>
  <c r="G23" i="36"/>
  <c r="H23" i="36" s="1"/>
  <c r="G31" i="36"/>
  <c r="H31" i="36" s="1"/>
  <c r="G47" i="36"/>
  <c r="H47" i="36" s="1"/>
  <c r="G55" i="36"/>
  <c r="H55" i="36" s="1"/>
  <c r="G36" i="36"/>
  <c r="H36" i="36" s="1"/>
  <c r="G52" i="36"/>
  <c r="H52" i="36" s="1"/>
  <c r="G37" i="36"/>
  <c r="H37" i="36" s="1"/>
  <c r="G12" i="36"/>
  <c r="H12" i="36" s="1"/>
  <c r="G28" i="36"/>
  <c r="H28" i="36" s="1"/>
  <c r="G44" i="36"/>
  <c r="H44" i="36" s="1"/>
  <c r="G53" i="36"/>
  <c r="H53" i="36" s="1"/>
  <c r="G13" i="36"/>
  <c r="H13" i="36" s="1"/>
  <c r="G45" i="36"/>
  <c r="H45" i="36" s="1"/>
  <c r="G13" i="35"/>
  <c r="H13" i="35" s="1"/>
  <c r="G21" i="35"/>
  <c r="H21" i="35" s="1"/>
  <c r="G29" i="35"/>
  <c r="H29" i="35" s="1"/>
  <c r="G37" i="35"/>
  <c r="H37" i="35" s="1"/>
  <c r="G45" i="35"/>
  <c r="H45" i="35" s="1"/>
  <c r="G14" i="35"/>
  <c r="H14" i="35" s="1"/>
  <c r="G22" i="35"/>
  <c r="H22" i="35" s="1"/>
  <c r="G30" i="35"/>
  <c r="H30" i="35" s="1"/>
  <c r="G54" i="35"/>
  <c r="H54" i="35" s="1"/>
  <c r="G32" i="35"/>
  <c r="H32" i="35" s="1"/>
  <c r="G40" i="35"/>
  <c r="H40" i="35" s="1"/>
  <c r="G24" i="35"/>
  <c r="H24" i="35" s="1"/>
  <c r="G48" i="35"/>
  <c r="H48" i="35" s="1"/>
  <c r="G17" i="34"/>
  <c r="H17" i="34" s="1"/>
  <c r="G25" i="34"/>
  <c r="H25" i="34" s="1"/>
  <c r="G49" i="34"/>
  <c r="H49" i="34" s="1"/>
  <c r="G38" i="34"/>
  <c r="H38" i="34" s="1"/>
  <c r="G47" i="34"/>
  <c r="H47" i="34" s="1"/>
  <c r="G13" i="34"/>
  <c r="H13" i="34" s="1"/>
  <c r="G31" i="34"/>
  <c r="H31" i="34" s="1"/>
  <c r="G30" i="34"/>
  <c r="H30" i="34" s="1"/>
  <c r="G23" i="34"/>
  <c r="H23" i="34" s="1"/>
  <c r="G39" i="34"/>
  <c r="H39" i="34" s="1"/>
  <c r="G22" i="34"/>
  <c r="H22" i="34" s="1"/>
  <c r="G55" i="34"/>
  <c r="H55" i="34" s="1"/>
  <c r="G36" i="34"/>
  <c r="H36" i="34" s="1"/>
  <c r="G44" i="34"/>
  <c r="H44" i="34" s="1"/>
  <c r="G52" i="34"/>
  <c r="H52" i="34" s="1"/>
  <c r="G12" i="33"/>
  <c r="H12" i="33" s="1"/>
  <c r="G20" i="33"/>
  <c r="H20" i="33" s="1"/>
  <c r="G28" i="33"/>
  <c r="H28" i="33" s="1"/>
  <c r="G36" i="33"/>
  <c r="H36" i="33" s="1"/>
  <c r="G44" i="33"/>
  <c r="H44" i="33" s="1"/>
  <c r="G52" i="33"/>
  <c r="H52" i="33" s="1"/>
  <c r="G15" i="33"/>
  <c r="H15" i="33" s="1"/>
  <c r="G23" i="33"/>
  <c r="H23" i="33" s="1"/>
  <c r="G31" i="33"/>
  <c r="H31" i="33" s="1"/>
  <c r="G39" i="33"/>
  <c r="H39" i="33" s="1"/>
  <c r="G47" i="33"/>
  <c r="H47" i="33" s="1"/>
  <c r="G55" i="33"/>
  <c r="H55" i="33" s="1"/>
  <c r="G31" i="32"/>
  <c r="H31" i="32" s="1"/>
  <c r="G55" i="32"/>
  <c r="H55" i="32" s="1"/>
  <c r="G23" i="32"/>
  <c r="H23" i="32" s="1"/>
  <c r="G39" i="32"/>
  <c r="H39" i="32" s="1"/>
  <c r="G16" i="32"/>
  <c r="H16" i="32" s="1"/>
  <c r="G24" i="32"/>
  <c r="H24" i="32" s="1"/>
  <c r="G32" i="32"/>
  <c r="H32" i="32" s="1"/>
  <c r="G40" i="32"/>
  <c r="H40" i="32" s="1"/>
  <c r="G48" i="32"/>
  <c r="H48" i="32" s="1"/>
  <c r="G15" i="32"/>
  <c r="H15" i="32" s="1"/>
  <c r="G47" i="32"/>
  <c r="H47" i="32" s="1"/>
  <c r="G48" i="31"/>
  <c r="H48" i="31" s="1"/>
  <c r="G54" i="31"/>
  <c r="H54" i="31" s="1"/>
  <c r="G14" i="31"/>
  <c r="H14" i="31" s="1"/>
  <c r="G38" i="31"/>
  <c r="H38" i="31" s="1"/>
  <c r="G24" i="31"/>
  <c r="H24" i="31" s="1"/>
  <c r="G25" i="31"/>
  <c r="H25" i="31" s="1"/>
  <c r="G33" i="31"/>
  <c r="H33" i="31" s="1"/>
  <c r="G41" i="31"/>
  <c r="H41" i="31" s="1"/>
  <c r="G49" i="31"/>
  <c r="H49" i="31" s="1"/>
  <c r="G30" i="31"/>
  <c r="H30" i="31" s="1"/>
  <c r="G46" i="31"/>
  <c r="H46" i="31" s="1"/>
  <c r="G16" i="31"/>
  <c r="H16" i="31" s="1"/>
  <c r="G40" i="31"/>
  <c r="H40" i="31" s="1"/>
  <c r="G55" i="30"/>
  <c r="H55" i="30" s="1"/>
  <c r="G31" i="30"/>
  <c r="H31" i="30" s="1"/>
  <c r="G17" i="30"/>
  <c r="H17" i="30" s="1"/>
  <c r="G41" i="30"/>
  <c r="H41" i="30" s="1"/>
  <c r="G49" i="30"/>
  <c r="H49" i="30" s="1"/>
  <c r="G23" i="30"/>
  <c r="H23" i="30" s="1"/>
  <c r="G47" i="30"/>
  <c r="H47" i="30" s="1"/>
  <c r="G10" i="30"/>
  <c r="H10" i="30" s="1"/>
  <c r="G18" i="30"/>
  <c r="H18" i="30" s="1"/>
  <c r="G26" i="30"/>
  <c r="H26" i="30" s="1"/>
  <c r="G34" i="30"/>
  <c r="H34" i="30" s="1"/>
  <c r="G15" i="30"/>
  <c r="H15" i="30" s="1"/>
  <c r="G39" i="30"/>
  <c r="H39" i="30" s="1"/>
  <c r="G40" i="29"/>
  <c r="H40" i="29" s="1"/>
  <c r="G24" i="29"/>
  <c r="H24" i="29" s="1"/>
  <c r="G32" i="29"/>
  <c r="H32" i="29" s="1"/>
  <c r="G16" i="29"/>
  <c r="H16" i="29" s="1"/>
  <c r="G10" i="29"/>
  <c r="H10" i="29" s="1"/>
  <c r="G18" i="29"/>
  <c r="H18" i="29" s="1"/>
  <c r="G42" i="29"/>
  <c r="H42" i="29" s="1"/>
  <c r="G50" i="29"/>
  <c r="H50" i="29" s="1"/>
  <c r="G11" i="29"/>
  <c r="H11" i="29" s="1"/>
  <c r="G27" i="29"/>
  <c r="H27" i="29" s="1"/>
  <c r="G35" i="29"/>
  <c r="H35" i="29" s="1"/>
  <c r="G43" i="29"/>
  <c r="H43" i="29" s="1"/>
  <c r="G51" i="29"/>
  <c r="H51" i="29" s="1"/>
  <c r="G11" i="28"/>
  <c r="H11" i="28" s="1"/>
  <c r="G12" i="28"/>
  <c r="H12" i="28" s="1"/>
  <c r="G15" i="27"/>
  <c r="H15" i="27" s="1"/>
  <c r="G39" i="27"/>
  <c r="H39" i="27" s="1"/>
  <c r="G23" i="27"/>
  <c r="H23" i="27" s="1"/>
  <c r="G47" i="27"/>
  <c r="H47" i="27" s="1"/>
  <c r="G31" i="27"/>
  <c r="H31" i="27" s="1"/>
  <c r="G13" i="27"/>
  <c r="H13" i="27" s="1"/>
  <c r="G21" i="27"/>
  <c r="H21" i="27" s="1"/>
  <c r="G34" i="27"/>
  <c r="H34" i="27" s="1"/>
  <c r="G42" i="27"/>
  <c r="H42" i="27" s="1"/>
  <c r="G50" i="27"/>
  <c r="H50" i="27" s="1"/>
  <c r="G54" i="26"/>
  <c r="H54" i="26" s="1"/>
  <c r="G14" i="26"/>
  <c r="H14" i="26" s="1"/>
  <c r="G22" i="26"/>
  <c r="H22" i="26" s="1"/>
  <c r="G38" i="26"/>
  <c r="H38" i="26" s="1"/>
  <c r="G46" i="26"/>
  <c r="H46" i="26" s="1"/>
  <c r="G11" i="26"/>
  <c r="H11" i="26" s="1"/>
  <c r="G19" i="26"/>
  <c r="H19" i="26" s="1"/>
  <c r="G27" i="26"/>
  <c r="H27" i="26" s="1"/>
  <c r="G35" i="26"/>
  <c r="H35" i="26" s="1"/>
  <c r="G43" i="26"/>
  <c r="H43" i="26" s="1"/>
  <c r="G51" i="26"/>
  <c r="H51" i="26" s="1"/>
  <c r="G13" i="26"/>
  <c r="H13" i="26" s="1"/>
  <c r="G21" i="26"/>
  <c r="H21" i="26" s="1"/>
  <c r="G29" i="26"/>
  <c r="H29" i="26" s="1"/>
  <c r="G37" i="26"/>
  <c r="H37" i="26" s="1"/>
  <c r="G45" i="26"/>
  <c r="H45" i="26" s="1"/>
  <c r="G53" i="26"/>
  <c r="H53" i="26" s="1"/>
  <c r="G16" i="26"/>
  <c r="H16" i="26" s="1"/>
  <c r="G32" i="26"/>
  <c r="H32" i="26" s="1"/>
  <c r="G40" i="26"/>
  <c r="H40" i="26" s="1"/>
  <c r="G48" i="26"/>
  <c r="H48" i="26" s="1"/>
  <c r="G24" i="26"/>
  <c r="H24" i="26" s="1"/>
  <c r="G13" i="28"/>
  <c r="H13" i="28" s="1"/>
  <c r="G15" i="26"/>
  <c r="H15" i="26" s="1"/>
  <c r="G23" i="26"/>
  <c r="H23" i="26" s="1"/>
  <c r="G31" i="26"/>
  <c r="H31" i="26" s="1"/>
  <c r="G47" i="26"/>
  <c r="H47" i="26" s="1"/>
  <c r="G55" i="26"/>
  <c r="H55" i="26" s="1"/>
  <c r="G30" i="27"/>
  <c r="H30" i="27" s="1"/>
  <c r="G38" i="27"/>
  <c r="H38" i="27" s="1"/>
  <c r="G46" i="27"/>
  <c r="H46" i="27" s="1"/>
  <c r="G54" i="27"/>
  <c r="H54" i="27" s="1"/>
  <c r="G20" i="29"/>
  <c r="H20" i="29" s="1"/>
  <c r="G28" i="29"/>
  <c r="H28" i="29" s="1"/>
  <c r="G36" i="29"/>
  <c r="H36" i="29" s="1"/>
  <c r="G44" i="29"/>
  <c r="H44" i="29" s="1"/>
  <c r="G11" i="30"/>
  <c r="H11" i="30" s="1"/>
  <c r="G19" i="30"/>
  <c r="H19" i="30" s="1"/>
  <c r="G27" i="30"/>
  <c r="H27" i="30" s="1"/>
  <c r="G35" i="30"/>
  <c r="H35" i="30" s="1"/>
  <c r="G43" i="30"/>
  <c r="H43" i="30" s="1"/>
  <c r="G51" i="30"/>
  <c r="H51" i="30" s="1"/>
  <c r="G10" i="31"/>
  <c r="H10" i="31" s="1"/>
  <c r="G18" i="31"/>
  <c r="H18" i="31" s="1"/>
  <c r="G26" i="31"/>
  <c r="H26" i="31" s="1"/>
  <c r="G34" i="31"/>
  <c r="H34" i="31" s="1"/>
  <c r="G50" i="31"/>
  <c r="H50" i="31" s="1"/>
  <c r="G16" i="33"/>
  <c r="H16" i="33" s="1"/>
  <c r="G24" i="33"/>
  <c r="H24" i="33" s="1"/>
  <c r="G32" i="33"/>
  <c r="H32" i="33" s="1"/>
  <c r="G40" i="33"/>
  <c r="H40" i="33" s="1"/>
  <c r="G48" i="33"/>
  <c r="H48" i="33" s="1"/>
  <c r="G32" i="34"/>
  <c r="H32" i="34" s="1"/>
  <c r="G40" i="34"/>
  <c r="H40" i="34" s="1"/>
  <c r="G48" i="34"/>
  <c r="H48" i="34" s="1"/>
  <c r="G15" i="35"/>
  <c r="H15" i="35" s="1"/>
  <c r="G39" i="35"/>
  <c r="H39" i="35" s="1"/>
  <c r="G47" i="35"/>
  <c r="H47" i="35" s="1"/>
  <c r="G55" i="35"/>
  <c r="H55" i="35" s="1"/>
  <c r="G14" i="36"/>
  <c r="H14" i="36" s="1"/>
  <c r="G22" i="36"/>
  <c r="H22" i="36" s="1"/>
  <c r="G30" i="36"/>
  <c r="H30" i="36" s="1"/>
  <c r="G38" i="36"/>
  <c r="H38" i="36" s="1"/>
  <c r="G46" i="36"/>
  <c r="H46" i="36" s="1"/>
  <c r="G54" i="36"/>
  <c r="H54" i="36" s="1"/>
  <c r="G13" i="37"/>
  <c r="H13" i="37" s="1"/>
  <c r="G21" i="37"/>
  <c r="H21" i="37" s="1"/>
  <c r="G29" i="37"/>
  <c r="H29" i="37" s="1"/>
  <c r="G37" i="37"/>
  <c r="H37" i="37" s="1"/>
  <c r="G45" i="37"/>
  <c r="H45" i="37" s="1"/>
  <c r="G53" i="37"/>
  <c r="H53" i="37" s="1"/>
  <c r="G12" i="39"/>
  <c r="H12" i="39" s="1"/>
  <c r="G20" i="39"/>
  <c r="H20" i="39" s="1"/>
  <c r="G36" i="39"/>
  <c r="H36" i="39" s="1"/>
  <c r="G44" i="39"/>
  <c r="H44" i="39" s="1"/>
  <c r="G19" i="40"/>
  <c r="H19" i="40" s="1"/>
  <c r="G27" i="40"/>
  <c r="H27" i="40" s="1"/>
  <c r="G35" i="40"/>
  <c r="H35" i="40" s="1"/>
  <c r="G43" i="40"/>
  <c r="H43" i="40" s="1"/>
  <c r="G10" i="41"/>
  <c r="H10" i="41" s="1"/>
  <c r="G18" i="41"/>
  <c r="H18" i="41" s="1"/>
  <c r="G26" i="41"/>
  <c r="H26" i="41" s="1"/>
  <c r="G34" i="41"/>
  <c r="H34" i="41" s="1"/>
  <c r="G42" i="41"/>
  <c r="H42" i="41" s="1"/>
  <c r="G50" i="41"/>
  <c r="H50" i="41" s="1"/>
  <c r="G12" i="31"/>
  <c r="H12" i="31" s="1"/>
  <c r="G52" i="31"/>
  <c r="H52" i="31" s="1"/>
  <c r="G19" i="32"/>
  <c r="H19" i="32" s="1"/>
  <c r="G35" i="32"/>
  <c r="H35" i="32" s="1"/>
  <c r="G51" i="32"/>
  <c r="H51" i="32" s="1"/>
  <c r="G18" i="33"/>
  <c r="H18" i="33" s="1"/>
  <c r="G34" i="33"/>
  <c r="H34" i="33" s="1"/>
  <c r="G18" i="34"/>
  <c r="H18" i="34" s="1"/>
  <c r="G34" i="34"/>
  <c r="H34" i="34" s="1"/>
  <c r="G42" i="34"/>
  <c r="H42" i="34" s="1"/>
  <c r="G17" i="35"/>
  <c r="H17" i="35" s="1"/>
  <c r="G25" i="35"/>
  <c r="H25" i="35" s="1"/>
  <c r="G33" i="35"/>
  <c r="H33" i="35" s="1"/>
  <c r="G41" i="35"/>
  <c r="H41" i="35" s="1"/>
  <c r="G49" i="35"/>
  <c r="H49" i="35" s="1"/>
  <c r="G16" i="36"/>
  <c r="H16" i="36" s="1"/>
  <c r="G24" i="36"/>
  <c r="H24" i="36" s="1"/>
  <c r="G32" i="36"/>
  <c r="H32" i="36" s="1"/>
  <c r="G40" i="36"/>
  <c r="H40" i="36" s="1"/>
  <c r="G48" i="36"/>
  <c r="H48" i="36" s="1"/>
  <c r="G15" i="37"/>
  <c r="H15" i="37" s="1"/>
  <c r="G23" i="37"/>
  <c r="H23" i="37" s="1"/>
  <c r="G31" i="37"/>
  <c r="H31" i="37" s="1"/>
  <c r="G39" i="37"/>
  <c r="H39" i="37" s="1"/>
  <c r="G47" i="37"/>
  <c r="H47" i="37" s="1"/>
  <c r="G55" i="37"/>
  <c r="H55" i="37" s="1"/>
  <c r="G14" i="39"/>
  <c r="H14" i="39" s="1"/>
  <c r="G30" i="39"/>
  <c r="H30" i="39" s="1"/>
  <c r="G38" i="39"/>
  <c r="H38" i="39" s="1"/>
  <c r="G25" i="26"/>
  <c r="H25" i="26" s="1"/>
  <c r="G38" i="29"/>
  <c r="H38" i="29" s="1"/>
  <c r="G53" i="30"/>
  <c r="H53" i="30" s="1"/>
  <c r="G36" i="31"/>
  <c r="H36" i="31" s="1"/>
  <c r="G11" i="32"/>
  <c r="H11" i="32" s="1"/>
  <c r="G27" i="32"/>
  <c r="H27" i="32" s="1"/>
  <c r="G43" i="32"/>
  <c r="H43" i="32" s="1"/>
  <c r="G10" i="33"/>
  <c r="H10" i="33" s="1"/>
  <c r="G26" i="33"/>
  <c r="H26" i="33" s="1"/>
  <c r="G26" i="34"/>
  <c r="H26" i="34" s="1"/>
  <c r="G18" i="26"/>
  <c r="H18" i="26" s="1"/>
  <c r="G26" i="26"/>
  <c r="H26" i="26" s="1"/>
  <c r="G34" i="26"/>
  <c r="H34" i="26" s="1"/>
  <c r="G42" i="26"/>
  <c r="H42" i="26" s="1"/>
  <c r="G50" i="26"/>
  <c r="H50" i="26" s="1"/>
  <c r="G17" i="27"/>
  <c r="H17" i="27" s="1"/>
  <c r="G25" i="27"/>
  <c r="H25" i="27" s="1"/>
  <c r="G31" i="29"/>
  <c r="H31" i="29" s="1"/>
  <c r="G39" i="29"/>
  <c r="H39" i="29" s="1"/>
  <c r="G47" i="29"/>
  <c r="H47" i="29" s="1"/>
  <c r="G55" i="29"/>
  <c r="H55" i="29" s="1"/>
  <c r="G14" i="30"/>
  <c r="H14" i="30" s="1"/>
  <c r="G22" i="30"/>
  <c r="H22" i="30" s="1"/>
  <c r="G30" i="30"/>
  <c r="H30" i="30" s="1"/>
  <c r="G38" i="30"/>
  <c r="H38" i="30" s="1"/>
  <c r="G13" i="31"/>
  <c r="H13" i="31" s="1"/>
  <c r="G21" i="31"/>
  <c r="H21" i="31" s="1"/>
  <c r="G29" i="31"/>
  <c r="H29" i="31" s="1"/>
  <c r="G45" i="31"/>
  <c r="H45" i="31" s="1"/>
  <c r="G12" i="32"/>
  <c r="H12" i="32" s="1"/>
  <c r="G20" i="32"/>
  <c r="H20" i="32" s="1"/>
  <c r="G28" i="32"/>
  <c r="H28" i="32" s="1"/>
  <c r="G36" i="32"/>
  <c r="H36" i="32" s="1"/>
  <c r="G44" i="32"/>
  <c r="H44" i="32" s="1"/>
  <c r="G52" i="32"/>
  <c r="H52" i="32" s="1"/>
  <c r="G11" i="33"/>
  <c r="H11" i="33" s="1"/>
  <c r="G19" i="33"/>
  <c r="H19" i="33" s="1"/>
  <c r="G27" i="33"/>
  <c r="H27" i="33" s="1"/>
  <c r="G35" i="33"/>
  <c r="H35" i="33" s="1"/>
  <c r="G43" i="33"/>
  <c r="H43" i="33" s="1"/>
  <c r="G51" i="33"/>
  <c r="H51" i="33" s="1"/>
  <c r="G10" i="34"/>
  <c r="H10" i="34" s="1"/>
  <c r="G27" i="34"/>
  <c r="H27" i="34" s="1"/>
  <c r="G35" i="34"/>
  <c r="H35" i="34" s="1"/>
  <c r="G43" i="34"/>
  <c r="H43" i="34" s="1"/>
  <c r="G51" i="34"/>
  <c r="H51" i="34" s="1"/>
  <c r="G10" i="35"/>
  <c r="H10" i="35" s="1"/>
  <c r="G18" i="35"/>
  <c r="H18" i="35" s="1"/>
  <c r="G26" i="35"/>
  <c r="H26" i="35" s="1"/>
  <c r="G34" i="35"/>
  <c r="H34" i="35" s="1"/>
  <c r="G17" i="36"/>
  <c r="H17" i="36" s="1"/>
  <c r="G25" i="36"/>
  <c r="H25" i="36" s="1"/>
  <c r="G33" i="36"/>
  <c r="H33" i="36" s="1"/>
  <c r="G41" i="36"/>
  <c r="H41" i="36" s="1"/>
  <c r="G49" i="36"/>
  <c r="H49" i="36" s="1"/>
  <c r="G16" i="37"/>
  <c r="H16" i="37" s="1"/>
  <c r="G24" i="37"/>
  <c r="H24" i="37" s="1"/>
  <c r="G32" i="37"/>
  <c r="H32" i="37" s="1"/>
  <c r="G40" i="37"/>
  <c r="H40" i="37" s="1"/>
  <c r="G48" i="37"/>
  <c r="H48" i="37" s="1"/>
  <c r="G15" i="39"/>
  <c r="H15" i="39" s="1"/>
  <c r="G23" i="39"/>
  <c r="H23" i="39" s="1"/>
  <c r="G31" i="39"/>
  <c r="H31" i="39" s="1"/>
  <c r="G39" i="39"/>
  <c r="H39" i="39" s="1"/>
  <c r="G47" i="39"/>
  <c r="H47" i="39" s="1"/>
  <c r="G55" i="39"/>
  <c r="H55" i="39" s="1"/>
  <c r="G14" i="40"/>
  <c r="H14" i="40" s="1"/>
  <c r="G22" i="40"/>
  <c r="H22" i="40" s="1"/>
  <c r="G30" i="40"/>
  <c r="H30" i="40" s="1"/>
  <c r="G46" i="40"/>
  <c r="H46" i="40" s="1"/>
  <c r="G54" i="40"/>
  <c r="H54" i="40" s="1"/>
  <c r="G13" i="41"/>
  <c r="H13" i="41" s="1"/>
  <c r="G21" i="41"/>
  <c r="H21" i="41" s="1"/>
  <c r="G29" i="41"/>
  <c r="H29" i="41" s="1"/>
  <c r="G37" i="41"/>
  <c r="H37" i="41" s="1"/>
  <c r="G45" i="41"/>
  <c r="H45" i="41" s="1"/>
  <c r="G53" i="41"/>
  <c r="H53" i="41" s="1"/>
  <c r="G32" i="27"/>
  <c r="H32" i="27" s="1"/>
  <c r="G46" i="29"/>
  <c r="H46" i="29" s="1"/>
  <c r="G28" i="31"/>
  <c r="H28" i="31" s="1"/>
  <c r="G17" i="26"/>
  <c r="H17" i="26" s="1"/>
  <c r="G41" i="26"/>
  <c r="H41" i="26" s="1"/>
  <c r="G24" i="27"/>
  <c r="H24" i="27" s="1"/>
  <c r="G48" i="27"/>
  <c r="H48" i="27" s="1"/>
  <c r="G22" i="29"/>
  <c r="H22" i="29" s="1"/>
  <c r="G13" i="30"/>
  <c r="H13" i="30" s="1"/>
  <c r="G20" i="31"/>
  <c r="H20" i="31" s="1"/>
  <c r="G12" i="26"/>
  <c r="H12" i="26" s="1"/>
  <c r="G28" i="26"/>
  <c r="H28" i="26" s="1"/>
  <c r="G36" i="26"/>
  <c r="H36" i="26" s="1"/>
  <c r="G44" i="26"/>
  <c r="H44" i="26" s="1"/>
  <c r="G52" i="26"/>
  <c r="H52" i="26" s="1"/>
  <c r="G11" i="27"/>
  <c r="H11" i="27" s="1"/>
  <c r="G19" i="27"/>
  <c r="H19" i="27" s="1"/>
  <c r="G27" i="27"/>
  <c r="H27" i="27" s="1"/>
  <c r="G35" i="27"/>
  <c r="H35" i="27" s="1"/>
  <c r="G43" i="27"/>
  <c r="H43" i="27" s="1"/>
  <c r="G51" i="27"/>
  <c r="H51" i="27" s="1"/>
  <c r="G17" i="29"/>
  <c r="H17" i="29" s="1"/>
  <c r="G25" i="29"/>
  <c r="H25" i="29" s="1"/>
  <c r="G33" i="29"/>
  <c r="H33" i="29" s="1"/>
  <c r="G49" i="29"/>
  <c r="H49" i="29" s="1"/>
  <c r="G24" i="30"/>
  <c r="H24" i="30" s="1"/>
  <c r="G32" i="30"/>
  <c r="H32" i="30" s="1"/>
  <c r="G40" i="30"/>
  <c r="H40" i="30" s="1"/>
  <c r="G48" i="30"/>
  <c r="H48" i="30" s="1"/>
  <c r="G15" i="31"/>
  <c r="H15" i="31" s="1"/>
  <c r="G23" i="31"/>
  <c r="H23" i="31" s="1"/>
  <c r="G31" i="31"/>
  <c r="H31" i="31" s="1"/>
  <c r="G39" i="31"/>
  <c r="H39" i="31" s="1"/>
  <c r="G55" i="31"/>
  <c r="H55" i="31" s="1"/>
  <c r="G14" i="32"/>
  <c r="H14" i="32" s="1"/>
  <c r="G22" i="32"/>
  <c r="H22" i="32" s="1"/>
  <c r="G30" i="32"/>
  <c r="H30" i="32" s="1"/>
  <c r="G38" i="32"/>
  <c r="H38" i="32" s="1"/>
  <c r="G46" i="32"/>
  <c r="H46" i="32" s="1"/>
  <c r="G54" i="32"/>
  <c r="H54" i="32" s="1"/>
  <c r="G13" i="33"/>
  <c r="H13" i="33" s="1"/>
  <c r="G21" i="33"/>
  <c r="H21" i="33" s="1"/>
  <c r="G29" i="33"/>
  <c r="H29" i="33" s="1"/>
  <c r="G37" i="33"/>
  <c r="H37" i="33" s="1"/>
  <c r="G45" i="33"/>
  <c r="H45" i="33" s="1"/>
  <c r="G53" i="33"/>
  <c r="H53" i="33" s="1"/>
  <c r="G12" i="34"/>
  <c r="H12" i="34" s="1"/>
  <c r="G21" i="34"/>
  <c r="H21" i="34" s="1"/>
  <c r="G29" i="34"/>
  <c r="H29" i="34" s="1"/>
  <c r="G45" i="34"/>
  <c r="H45" i="34" s="1"/>
  <c r="G53" i="34"/>
  <c r="H53" i="34" s="1"/>
  <c r="G20" i="35"/>
  <c r="H20" i="35" s="1"/>
  <c r="G28" i="35"/>
  <c r="H28" i="35" s="1"/>
  <c r="G36" i="35"/>
  <c r="H36" i="35" s="1"/>
  <c r="G44" i="35"/>
  <c r="H44" i="35" s="1"/>
  <c r="G52" i="35"/>
  <c r="H52" i="35" s="1"/>
  <c r="G11" i="36"/>
  <c r="H11" i="36" s="1"/>
  <c r="G19" i="36"/>
  <c r="H19" i="36" s="1"/>
  <c r="G27" i="36"/>
  <c r="H27" i="36" s="1"/>
  <c r="G35" i="36"/>
  <c r="H35" i="36" s="1"/>
  <c r="G43" i="36"/>
  <c r="H43" i="36" s="1"/>
  <c r="G51" i="36"/>
  <c r="H51" i="36" s="1"/>
  <c r="G10" i="37"/>
  <c r="H10" i="37" s="1"/>
  <c r="G18" i="37"/>
  <c r="H18" i="37" s="1"/>
  <c r="G26" i="37"/>
  <c r="H26" i="37" s="1"/>
  <c r="G34" i="37"/>
  <c r="H34" i="37" s="1"/>
  <c r="G42" i="37"/>
  <c r="H42" i="37" s="1"/>
  <c r="G50" i="37"/>
  <c r="H50" i="37" s="1"/>
  <c r="G17" i="39"/>
  <c r="H17" i="39" s="1"/>
  <c r="G25" i="39"/>
  <c r="H25" i="39" s="1"/>
  <c r="G33" i="39"/>
  <c r="H33" i="39" s="1"/>
  <c r="G41" i="39"/>
  <c r="H41" i="39" s="1"/>
  <c r="G49" i="39"/>
  <c r="H49" i="39" s="1"/>
  <c r="G16" i="40"/>
  <c r="H16" i="40" s="1"/>
  <c r="G24" i="40"/>
  <c r="H24" i="40" s="1"/>
  <c r="G32" i="40"/>
  <c r="H32" i="40" s="1"/>
  <c r="G40" i="40"/>
  <c r="H40" i="40" s="1"/>
  <c r="G48" i="40"/>
  <c r="H48" i="40" s="1"/>
  <c r="G15" i="41"/>
  <c r="H15" i="41" s="1"/>
  <c r="G31" i="41"/>
  <c r="H31" i="41" s="1"/>
  <c r="G39" i="41"/>
  <c r="H39" i="41" s="1"/>
  <c r="G55" i="41"/>
  <c r="H55" i="41" s="1"/>
  <c r="G14" i="34"/>
  <c r="H14" i="34" s="1"/>
  <c r="G33" i="26"/>
  <c r="H33" i="26" s="1"/>
  <c r="G16" i="27"/>
  <c r="H16" i="27" s="1"/>
  <c r="G40" i="27"/>
  <c r="H40" i="27" s="1"/>
  <c r="G14" i="29"/>
  <c r="H14" i="29" s="1"/>
  <c r="G54" i="29"/>
  <c r="H54" i="29" s="1"/>
  <c r="G45" i="30"/>
  <c r="H45" i="30" s="1"/>
  <c r="G44" i="31"/>
  <c r="H44" i="31" s="1"/>
  <c r="G16" i="41"/>
  <c r="H16" i="41" s="1"/>
  <c r="G24" i="41"/>
  <c r="H24" i="41" s="1"/>
  <c r="G32" i="41"/>
  <c r="H32" i="41" s="1"/>
  <c r="G40" i="41"/>
  <c r="H40" i="41" s="1"/>
  <c r="G48" i="41"/>
  <c r="H48" i="41" s="1"/>
  <c r="E41" i="26"/>
  <c r="E16" i="33"/>
  <c r="E32" i="33"/>
  <c r="E51" i="35"/>
  <c r="E21" i="37"/>
  <c r="E37" i="37"/>
  <c r="E53" i="37"/>
  <c r="E19" i="40"/>
  <c r="E35" i="40"/>
  <c r="E22" i="41"/>
  <c r="E30" i="41"/>
  <c r="E42" i="41"/>
  <c r="E46" i="41"/>
  <c r="E21" i="26"/>
  <c r="E43" i="29"/>
  <c r="E35" i="36"/>
  <c r="E53" i="39"/>
  <c r="E53" i="26"/>
  <c r="E23" i="32"/>
  <c r="E39" i="32"/>
  <c r="E55" i="32"/>
  <c r="E25" i="26"/>
  <c r="E37" i="26"/>
  <c r="E17" i="27"/>
  <c r="E21" i="27"/>
  <c r="E16" i="32"/>
  <c r="E11" i="39"/>
  <c r="E57" i="39"/>
  <c r="E31" i="31"/>
  <c r="E35" i="31"/>
  <c r="E39" i="31"/>
  <c r="E43" i="31"/>
  <c r="E51" i="31"/>
  <c r="E7" i="32"/>
  <c r="E10" i="32"/>
  <c r="E15" i="32"/>
  <c r="E10" i="33"/>
  <c r="E34" i="33"/>
  <c r="E16" i="36"/>
  <c r="E25" i="36"/>
  <c r="E53" i="36"/>
  <c r="E42" i="37"/>
  <c r="E30" i="40"/>
  <c r="E44" i="40"/>
  <c r="E50" i="41"/>
  <c r="E7" i="31"/>
  <c r="E10" i="31"/>
  <c r="E14" i="31"/>
  <c r="E18" i="31"/>
  <c r="E26" i="31"/>
  <c r="E30" i="31"/>
  <c r="E34" i="31"/>
  <c r="E38" i="31"/>
  <c r="E46" i="31"/>
  <c r="E50" i="31"/>
  <c r="E54" i="31"/>
  <c r="E57" i="31"/>
  <c r="E9" i="32"/>
  <c r="E14" i="32"/>
  <c r="E20" i="32"/>
  <c r="E32" i="32"/>
  <c r="E34" i="32"/>
  <c r="E36" i="32"/>
  <c r="E38" i="32"/>
  <c r="E47" i="32"/>
  <c r="E51" i="32"/>
  <c r="E9" i="33"/>
  <c r="E14" i="33"/>
  <c r="E19" i="33"/>
  <c r="E23" i="33"/>
  <c r="E24" i="33"/>
  <c r="E28" i="33"/>
  <c r="E36" i="33"/>
  <c r="E40" i="33"/>
  <c r="E46" i="33"/>
  <c r="E53" i="33"/>
  <c r="E16" i="34"/>
  <c r="E21" i="34"/>
  <c r="E9" i="35"/>
  <c r="E14" i="35"/>
  <c r="E28" i="35"/>
  <c r="E37" i="35"/>
  <c r="E11" i="36"/>
  <c r="E34" i="36"/>
  <c r="E48" i="36"/>
  <c r="E15" i="37"/>
  <c r="E20" i="37"/>
  <c r="E13" i="39"/>
  <c r="E18" i="39"/>
  <c r="E50" i="39"/>
  <c r="E55" i="39"/>
  <c r="E34" i="40"/>
  <c r="E39" i="40"/>
  <c r="E48" i="40"/>
  <c r="E53" i="40"/>
  <c r="E24" i="41"/>
  <c r="E29" i="41"/>
  <c r="E34" i="41"/>
  <c r="E24" i="32"/>
  <c r="E28" i="32"/>
  <c r="E30" i="32"/>
  <c r="E43" i="32"/>
  <c r="E7" i="33"/>
  <c r="E15" i="33"/>
  <c r="E20" i="33"/>
  <c r="E44" i="33"/>
  <c r="E10" i="34"/>
  <c r="E30" i="36"/>
  <c r="E44" i="36"/>
  <c r="E9" i="37"/>
  <c r="E45" i="41"/>
  <c r="E9" i="31"/>
  <c r="E13" i="31"/>
  <c r="E21" i="31"/>
  <c r="E25" i="31"/>
  <c r="E29" i="31"/>
  <c r="E33" i="31"/>
  <c r="E41" i="31"/>
  <c r="E45" i="31"/>
  <c r="E49" i="31"/>
  <c r="E12" i="32"/>
  <c r="E19" i="32"/>
  <c r="E27" i="32"/>
  <c r="E40" i="32"/>
  <c r="E42" i="32"/>
  <c r="E44" i="32"/>
  <c r="E46" i="32"/>
  <c r="E57" i="32"/>
  <c r="E13" i="33"/>
  <c r="E18" i="33"/>
  <c r="E22" i="33"/>
  <c r="E27" i="33"/>
  <c r="E31" i="33"/>
  <c r="E39" i="33"/>
  <c r="E45" i="33"/>
  <c r="E49" i="33"/>
  <c r="E55" i="33"/>
  <c r="E7" i="34"/>
  <c r="E14" i="34"/>
  <c r="E25" i="34"/>
  <c r="E57" i="34"/>
  <c r="E18" i="35"/>
  <c r="E32" i="35"/>
  <c r="E41" i="35"/>
  <c r="E43" i="36"/>
  <c r="E10" i="37"/>
  <c r="E31" i="37"/>
  <c r="E36" i="37"/>
  <c r="E38" i="39"/>
  <c r="E12" i="40"/>
  <c r="E43" i="40"/>
  <c r="E51" i="41"/>
  <c r="E15" i="31"/>
  <c r="E19" i="31"/>
  <c r="E23" i="31"/>
  <c r="E55" i="31"/>
  <c r="E26" i="32"/>
  <c r="E29" i="33"/>
  <c r="E37" i="33"/>
  <c r="E42" i="34"/>
  <c r="E30" i="39"/>
  <c r="E12" i="31"/>
  <c r="E16" i="31"/>
  <c r="E20" i="31"/>
  <c r="E24" i="31"/>
  <c r="E28" i="31"/>
  <c r="E36" i="31"/>
  <c r="E40" i="31"/>
  <c r="E44" i="31"/>
  <c r="E48" i="31"/>
  <c r="E52" i="31"/>
  <c r="E11" i="32"/>
  <c r="E18" i="32"/>
  <c r="E22" i="32"/>
  <c r="E31" i="32"/>
  <c r="E35" i="32"/>
  <c r="E48" i="32"/>
  <c r="E50" i="32"/>
  <c r="E52" i="32"/>
  <c r="E54" i="32"/>
  <c r="E11" i="33"/>
  <c r="E12" i="33"/>
  <c r="E21" i="33"/>
  <c r="E26" i="33"/>
  <c r="E30" i="33"/>
  <c r="E35" i="33"/>
  <c r="E41" i="33"/>
  <c r="E48" i="33"/>
  <c r="E51" i="33"/>
  <c r="E54" i="33"/>
  <c r="E17" i="34"/>
  <c r="E29" i="34"/>
  <c r="E55" i="35"/>
  <c r="E12" i="36"/>
  <c r="E21" i="36"/>
  <c r="E26" i="37"/>
  <c r="E47" i="37"/>
  <c r="E52" i="37"/>
  <c r="E26" i="39"/>
  <c r="E42" i="39"/>
  <c r="E16" i="40"/>
  <c r="E21" i="40"/>
  <c r="E13" i="41"/>
  <c r="E18" i="41"/>
  <c r="E35" i="41"/>
  <c r="E40" i="41"/>
  <c r="E20" i="34"/>
  <c r="E32" i="34"/>
  <c r="E36" i="34"/>
  <c r="E40" i="34"/>
  <c r="E45" i="34"/>
  <c r="E49" i="34"/>
  <c r="E53" i="34"/>
  <c r="E13" i="35"/>
  <c r="E17" i="35"/>
  <c r="E22" i="35"/>
  <c r="E26" i="35"/>
  <c r="E36" i="35"/>
  <c r="E40" i="35"/>
  <c r="E45" i="35"/>
  <c r="E49" i="35"/>
  <c r="E54" i="35"/>
  <c r="E7" i="36"/>
  <c r="E10" i="36"/>
  <c r="E15" i="36"/>
  <c r="E24" i="36"/>
  <c r="E29" i="36"/>
  <c r="E33" i="36"/>
  <c r="E38" i="36"/>
  <c r="E42" i="36"/>
  <c r="E47" i="36"/>
  <c r="E52" i="36"/>
  <c r="E14" i="37"/>
  <c r="E19" i="37"/>
  <c r="E24" i="37"/>
  <c r="E30" i="37"/>
  <c r="E35" i="37"/>
  <c r="E40" i="37"/>
  <c r="E46" i="37"/>
  <c r="E51" i="37"/>
  <c r="E12" i="39"/>
  <c r="E17" i="39"/>
  <c r="E21" i="39"/>
  <c r="E25" i="39"/>
  <c r="E29" i="39"/>
  <c r="E33" i="39"/>
  <c r="E37" i="39"/>
  <c r="E41" i="39"/>
  <c r="E45" i="39"/>
  <c r="E49" i="39"/>
  <c r="E54" i="39"/>
  <c r="E7" i="40"/>
  <c r="E10" i="40"/>
  <c r="E15" i="40"/>
  <c r="E20" i="40"/>
  <c r="E24" i="40"/>
  <c r="E29" i="40"/>
  <c r="E33" i="40"/>
  <c r="E42" i="40"/>
  <c r="E47" i="40"/>
  <c r="E52" i="40"/>
  <c r="E12" i="41"/>
  <c r="E17" i="41"/>
  <c r="E39" i="41"/>
  <c r="E44" i="41"/>
  <c r="E49" i="41"/>
  <c r="E55" i="41"/>
  <c r="E57" i="33"/>
  <c r="E9" i="34"/>
  <c r="E13" i="34"/>
  <c r="E23" i="34"/>
  <c r="E27" i="34"/>
  <c r="E31" i="34"/>
  <c r="E35" i="34"/>
  <c r="E39" i="34"/>
  <c r="E44" i="34"/>
  <c r="E48" i="34"/>
  <c r="E52" i="34"/>
  <c r="E21" i="35"/>
  <c r="E25" i="35"/>
  <c r="E30" i="35"/>
  <c r="E34" i="35"/>
  <c r="E39" i="35"/>
  <c r="E44" i="35"/>
  <c r="E48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2" i="37"/>
  <c r="E13" i="37"/>
  <c r="E18" i="37"/>
  <c r="E23" i="37"/>
  <c r="E28" i="37"/>
  <c r="E29" i="37"/>
  <c r="E34" i="37"/>
  <c r="E39" i="37"/>
  <c r="E44" i="37"/>
  <c r="E45" i="37"/>
  <c r="E50" i="37"/>
  <c r="E55" i="37"/>
  <c r="E7" i="39"/>
  <c r="E20" i="39"/>
  <c r="E24" i="39"/>
  <c r="E32" i="39"/>
  <c r="E36" i="39"/>
  <c r="E44" i="39"/>
  <c r="E48" i="39"/>
  <c r="E9" i="40"/>
  <c r="E14" i="40"/>
  <c r="E23" i="40"/>
  <c r="E28" i="40"/>
  <c r="E32" i="40"/>
  <c r="E37" i="40"/>
  <c r="E41" i="40"/>
  <c r="E46" i="40"/>
  <c r="E50" i="40"/>
  <c r="E55" i="40"/>
  <c r="E7" i="41"/>
  <c r="E11" i="41"/>
  <c r="E16" i="41"/>
  <c r="E21" i="41"/>
  <c r="E27" i="41"/>
  <c r="E32" i="41"/>
  <c r="E37" i="41"/>
  <c r="E48" i="41"/>
  <c r="E53" i="41"/>
  <c r="E54" i="41"/>
  <c r="E57" i="41"/>
  <c r="E38" i="33"/>
  <c r="E43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22" i="37"/>
  <c r="E27" i="37"/>
  <c r="E32" i="37"/>
  <c r="E38" i="37"/>
  <c r="E43" i="37"/>
  <c r="E48" i="37"/>
  <c r="E54" i="37"/>
  <c r="E57" i="37"/>
  <c r="E9" i="39"/>
  <c r="E14" i="39"/>
  <c r="E15" i="39"/>
  <c r="E19" i="39"/>
  <c r="E23" i="39"/>
  <c r="E27" i="39"/>
  <c r="E31" i="39"/>
  <c r="E35" i="39"/>
  <c r="E39" i="39"/>
  <c r="E43" i="39"/>
  <c r="E47" i="39"/>
  <c r="E51" i="39"/>
  <c r="E13" i="40"/>
  <c r="E17" i="40"/>
  <c r="E22" i="40"/>
  <c r="E26" i="40"/>
  <c r="E27" i="40"/>
  <c r="E36" i="40"/>
  <c r="E40" i="40"/>
  <c r="E49" i="40"/>
  <c r="E54" i="40"/>
  <c r="E57" i="40"/>
  <c r="E9" i="41"/>
  <c r="E10" i="41"/>
  <c r="E15" i="41"/>
  <c r="E20" i="41"/>
  <c r="E25" i="41"/>
  <c r="E26" i="41"/>
  <c r="E31" i="41"/>
  <c r="E36" i="41"/>
  <c r="E41" i="41"/>
  <c r="E15" i="27"/>
  <c r="E14" i="29"/>
  <c r="E22" i="29"/>
  <c r="E38" i="29"/>
  <c r="E42" i="29"/>
  <c r="E47" i="29"/>
  <c r="E7" i="30"/>
  <c r="E14" i="30"/>
  <c r="E18" i="30"/>
  <c r="E19" i="27"/>
  <c r="E24" i="27"/>
  <c r="E35" i="27"/>
  <c r="E40" i="27"/>
  <c r="E46" i="27"/>
  <c r="E51" i="27"/>
  <c r="E13" i="29"/>
  <c r="E17" i="29"/>
  <c r="E21" i="29"/>
  <c r="E25" i="29"/>
  <c r="E29" i="29"/>
  <c r="E33" i="29"/>
  <c r="E46" i="29"/>
  <c r="E50" i="29"/>
  <c r="E54" i="29"/>
  <c r="E57" i="29"/>
  <c r="E9" i="30"/>
  <c r="E17" i="30"/>
  <c r="E41" i="30"/>
  <c r="E45" i="30"/>
  <c r="E49" i="30"/>
  <c r="E53" i="30"/>
  <c r="E7" i="27"/>
  <c r="E12" i="27"/>
  <c r="E13" i="27"/>
  <c r="E23" i="27"/>
  <c r="E28" i="27"/>
  <c r="E34" i="27"/>
  <c r="E39" i="27"/>
  <c r="E44" i="27"/>
  <c r="E50" i="27"/>
  <c r="E54" i="27"/>
  <c r="E57" i="27"/>
  <c r="E9" i="28"/>
  <c r="E16" i="29"/>
  <c r="E20" i="29"/>
  <c r="E24" i="29"/>
  <c r="E28" i="29"/>
  <c r="E32" i="29"/>
  <c r="E36" i="29"/>
  <c r="E40" i="29"/>
  <c r="E49" i="29"/>
  <c r="E53" i="29"/>
  <c r="E20" i="30"/>
  <c r="E24" i="30"/>
  <c r="E28" i="30"/>
  <c r="E32" i="30"/>
  <c r="E36" i="30"/>
  <c r="E40" i="30"/>
  <c r="E44" i="30"/>
  <c r="E48" i="30"/>
  <c r="E52" i="30"/>
  <c r="E20" i="27"/>
  <c r="E31" i="27"/>
  <c r="E36" i="27"/>
  <c r="E42" i="27"/>
  <c r="E47" i="27"/>
  <c r="E52" i="27"/>
  <c r="E12" i="28"/>
  <c r="E9" i="29"/>
  <c r="E18" i="29"/>
  <c r="E51" i="29"/>
  <c r="E55" i="29"/>
  <c r="E10" i="30"/>
  <c r="E22" i="30"/>
  <c r="E26" i="30"/>
  <c r="E30" i="30"/>
  <c r="E34" i="30"/>
  <c r="E38" i="30"/>
  <c r="E57" i="30"/>
  <c r="E9" i="27"/>
  <c r="E25" i="27"/>
  <c r="E30" i="27"/>
  <c r="E55" i="27"/>
  <c r="E7" i="28"/>
  <c r="E11" i="28"/>
  <c r="E13" i="30"/>
  <c r="E11" i="27"/>
  <c r="E16" i="27"/>
  <c r="E27" i="27"/>
  <c r="E32" i="27"/>
  <c r="E38" i="27"/>
  <c r="E43" i="27"/>
  <c r="E48" i="27"/>
  <c r="E7" i="29"/>
  <c r="E10" i="29"/>
  <c r="E11" i="29"/>
  <c r="E27" i="29"/>
  <c r="E31" i="29"/>
  <c r="E35" i="29"/>
  <c r="E39" i="29"/>
  <c r="E44" i="29"/>
  <c r="E11" i="30"/>
  <c r="E15" i="30"/>
  <c r="E19" i="30"/>
  <c r="E23" i="30"/>
  <c r="E27" i="30"/>
  <c r="E31" i="30"/>
  <c r="E35" i="30"/>
  <c r="E39" i="30"/>
  <c r="E43" i="30"/>
  <c r="E47" i="30"/>
  <c r="E51" i="30"/>
  <c r="E55" i="30"/>
  <c r="E9" i="26"/>
  <c r="E35" i="26"/>
  <c r="E40" i="26"/>
  <c r="E7" i="26"/>
  <c r="E12" i="26"/>
  <c r="E13" i="26"/>
  <c r="E18" i="26"/>
  <c r="E23" i="26"/>
  <c r="E28" i="26"/>
  <c r="E29" i="26"/>
  <c r="E34" i="26"/>
  <c r="E44" i="26"/>
  <c r="E45" i="26"/>
  <c r="E50" i="26"/>
  <c r="E55" i="26"/>
  <c r="E11" i="26"/>
  <c r="E16" i="26"/>
  <c r="E17" i="26"/>
  <c r="E22" i="26"/>
  <c r="E27" i="26"/>
  <c r="E32" i="26"/>
  <c r="E33" i="26"/>
  <c r="E38" i="26"/>
  <c r="E43" i="26"/>
  <c r="E48" i="26"/>
  <c r="E54" i="26"/>
  <c r="E57" i="26"/>
  <c r="E14" i="26"/>
  <c r="E19" i="26"/>
  <c r="E24" i="26"/>
  <c r="E46" i="26"/>
  <c r="E51" i="26"/>
  <c r="E15" i="26"/>
  <c r="E26" i="26"/>
  <c r="E31" i="26"/>
  <c r="E36" i="26"/>
  <c r="E42" i="26"/>
  <c r="E47" i="26"/>
  <c r="E52" i="26"/>
  <c r="I22" i="29" l="1"/>
  <c r="J22" i="29" s="1"/>
  <c r="I55" i="29"/>
  <c r="J55" i="29" s="1"/>
  <c r="I49" i="29"/>
  <c r="J49" i="29" s="1"/>
  <c r="I31" i="29"/>
  <c r="J31" i="29" s="1"/>
  <c r="I38" i="29"/>
  <c r="J38" i="29" s="1"/>
  <c r="I28" i="29"/>
  <c r="J28" i="29" s="1"/>
  <c r="I27" i="29"/>
  <c r="J27" i="29" s="1"/>
  <c r="I43" i="29"/>
  <c r="J43" i="29" s="1"/>
  <c r="I54" i="29"/>
  <c r="J54" i="29" s="1"/>
  <c r="I21" i="29"/>
  <c r="J21" i="29" s="1"/>
  <c r="I18" i="29"/>
  <c r="J18" i="29" s="1"/>
  <c r="I25" i="29"/>
  <c r="J25" i="29" s="1"/>
  <c r="I42" i="29"/>
  <c r="J42" i="29" s="1"/>
  <c r="I10" i="29"/>
  <c r="J10" i="29" s="1"/>
  <c r="I47" i="29"/>
  <c r="J47" i="29" s="1"/>
  <c r="I9" i="29"/>
  <c r="I53" i="29"/>
  <c r="I16" i="29"/>
  <c r="J16" i="29" s="1"/>
  <c r="I36" i="29"/>
  <c r="J36" i="29" s="1"/>
  <c r="I20" i="29"/>
  <c r="I7" i="29"/>
  <c r="J7" i="29" s="1"/>
  <c r="I14" i="29"/>
  <c r="J14" i="29" s="1"/>
  <c r="I32" i="29"/>
  <c r="J32" i="29" s="1"/>
  <c r="I46" i="29"/>
  <c r="J46" i="29" s="1"/>
  <c r="I29" i="29"/>
  <c r="J29" i="29" s="1"/>
  <c r="I13" i="29"/>
  <c r="J13" i="29" s="1"/>
  <c r="I44" i="29"/>
  <c r="J44" i="29" s="1"/>
  <c r="I11" i="29"/>
  <c r="I40" i="29"/>
  <c r="J40" i="29" s="1"/>
  <c r="I24" i="29"/>
  <c r="I57" i="29"/>
  <c r="J57" i="29" s="1"/>
  <c r="P17" i="29" s="1"/>
  <c r="I50" i="29"/>
  <c r="J50" i="29" s="1"/>
  <c r="I33" i="29"/>
  <c r="I17" i="29"/>
  <c r="I39" i="29"/>
  <c r="I51" i="29"/>
  <c r="I35" i="29"/>
  <c r="I57" i="35"/>
  <c r="J57" i="35" s="1"/>
  <c r="P17" i="35" s="1"/>
  <c r="I48" i="35"/>
  <c r="J48" i="35" s="1"/>
  <c r="I44" i="35"/>
  <c r="J44" i="35" s="1"/>
  <c r="I39" i="35"/>
  <c r="J39" i="35" s="1"/>
  <c r="I34" i="35"/>
  <c r="J34" i="35" s="1"/>
  <c r="I30" i="35"/>
  <c r="J30" i="35" s="1"/>
  <c r="I25" i="35"/>
  <c r="J25" i="35" s="1"/>
  <c r="I21" i="35"/>
  <c r="J21" i="35" s="1"/>
  <c r="I54" i="35"/>
  <c r="J54" i="35" s="1"/>
  <c r="I49" i="35"/>
  <c r="J49" i="35" s="1"/>
  <c r="I45" i="35"/>
  <c r="J45" i="35" s="1"/>
  <c r="I40" i="35"/>
  <c r="J40" i="35" s="1"/>
  <c r="I36" i="35"/>
  <c r="J36" i="35" s="1"/>
  <c r="I26" i="35"/>
  <c r="J26" i="35" s="1"/>
  <c r="I22" i="35"/>
  <c r="J22" i="35" s="1"/>
  <c r="I17" i="35"/>
  <c r="J17" i="35" s="1"/>
  <c r="I13" i="35"/>
  <c r="J13" i="35" s="1"/>
  <c r="I55" i="35"/>
  <c r="I51" i="35"/>
  <c r="J51" i="35" s="1"/>
  <c r="I41" i="35"/>
  <c r="J41" i="35" s="1"/>
  <c r="I37" i="35"/>
  <c r="J37" i="35" s="1"/>
  <c r="I32" i="35"/>
  <c r="J32" i="35" s="1"/>
  <c r="I28" i="35"/>
  <c r="J28" i="35" s="1"/>
  <c r="I18" i="35"/>
  <c r="J18" i="35" s="1"/>
  <c r="I14" i="35"/>
  <c r="J14" i="35" s="1"/>
  <c r="I9" i="35"/>
  <c r="J9" i="35" s="1"/>
  <c r="I11" i="35"/>
  <c r="J11" i="35" s="1"/>
  <c r="I52" i="35"/>
  <c r="J52" i="35" s="1"/>
  <c r="I47" i="35"/>
  <c r="J47" i="35" s="1"/>
  <c r="I33" i="35"/>
  <c r="J33" i="35" s="1"/>
  <c r="I24" i="35"/>
  <c r="J24" i="35" s="1"/>
  <c r="I7" i="35"/>
  <c r="J7" i="35" s="1"/>
  <c r="I43" i="35"/>
  <c r="J43" i="35" s="1"/>
  <c r="I29" i="35"/>
  <c r="J29" i="35" s="1"/>
  <c r="I20" i="35"/>
  <c r="J20" i="35" s="1"/>
  <c r="I15" i="35"/>
  <c r="J15" i="35" s="1"/>
  <c r="I10" i="35"/>
  <c r="J10" i="35" s="1"/>
  <c r="I57" i="39"/>
  <c r="J57" i="39" s="1"/>
  <c r="P17" i="39" s="1"/>
  <c r="I53" i="39"/>
  <c r="J53" i="39" s="1"/>
  <c r="I48" i="39"/>
  <c r="J48" i="39" s="1"/>
  <c r="I44" i="39"/>
  <c r="J44" i="39" s="1"/>
  <c r="I36" i="39"/>
  <c r="J36" i="39" s="1"/>
  <c r="I32" i="39"/>
  <c r="J32" i="39" s="1"/>
  <c r="I24" i="39"/>
  <c r="J24" i="39" s="1"/>
  <c r="I20" i="39"/>
  <c r="J20" i="39" s="1"/>
  <c r="I11" i="39"/>
  <c r="J11" i="39" s="1"/>
  <c r="I7" i="39"/>
  <c r="J7" i="39" s="1"/>
  <c r="I54" i="39"/>
  <c r="J54" i="39" s="1"/>
  <c r="I49" i="39"/>
  <c r="J49" i="39" s="1"/>
  <c r="I45" i="39"/>
  <c r="J45" i="39" s="1"/>
  <c r="I41" i="39"/>
  <c r="J41" i="39" s="1"/>
  <c r="I37" i="39"/>
  <c r="J37" i="39" s="1"/>
  <c r="I33" i="39"/>
  <c r="J33" i="39" s="1"/>
  <c r="I29" i="39"/>
  <c r="J29" i="39" s="1"/>
  <c r="I25" i="39"/>
  <c r="J25" i="39" s="1"/>
  <c r="I21" i="39"/>
  <c r="J21" i="39" s="1"/>
  <c r="I17" i="39"/>
  <c r="J17" i="39" s="1"/>
  <c r="I12" i="39"/>
  <c r="J12" i="39" s="1"/>
  <c r="I55" i="39"/>
  <c r="I50" i="39"/>
  <c r="J50" i="39" s="1"/>
  <c r="I42" i="39"/>
  <c r="J42" i="39" s="1"/>
  <c r="I38" i="39"/>
  <c r="J38" i="39" s="1"/>
  <c r="I30" i="39"/>
  <c r="J30" i="39" s="1"/>
  <c r="I26" i="39"/>
  <c r="J26" i="39" s="1"/>
  <c r="I18" i="39"/>
  <c r="J18" i="39" s="1"/>
  <c r="I13" i="39"/>
  <c r="J13" i="39" s="1"/>
  <c r="I47" i="39"/>
  <c r="J47" i="39" s="1"/>
  <c r="I31" i="39"/>
  <c r="J31" i="39" s="1"/>
  <c r="I15" i="39"/>
  <c r="J15" i="39" s="1"/>
  <c r="I9" i="39"/>
  <c r="J9" i="39" s="1"/>
  <c r="I43" i="39"/>
  <c r="J43" i="39" s="1"/>
  <c r="I27" i="39"/>
  <c r="J27" i="39" s="1"/>
  <c r="I35" i="39"/>
  <c r="J35" i="39" s="1"/>
  <c r="I39" i="39"/>
  <c r="J39" i="39" s="1"/>
  <c r="I23" i="39"/>
  <c r="J23" i="39" s="1"/>
  <c r="I51" i="39"/>
  <c r="J51" i="39" s="1"/>
  <c r="I19" i="39"/>
  <c r="J19" i="39" s="1"/>
  <c r="I14" i="39"/>
  <c r="J14" i="39" s="1"/>
  <c r="I55" i="37"/>
  <c r="I50" i="37"/>
  <c r="J50" i="37" s="1"/>
  <c r="I45" i="37"/>
  <c r="J45" i="37" s="1"/>
  <c r="I44" i="37"/>
  <c r="J44" i="37" s="1"/>
  <c r="I39" i="37"/>
  <c r="J39" i="37" s="1"/>
  <c r="I34" i="37"/>
  <c r="J34" i="37" s="1"/>
  <c r="I29" i="37"/>
  <c r="J29" i="37" s="1"/>
  <c r="I28" i="37"/>
  <c r="J28" i="37" s="1"/>
  <c r="I23" i="37"/>
  <c r="J23" i="37" s="1"/>
  <c r="I18" i="37"/>
  <c r="J18" i="37" s="1"/>
  <c r="I13" i="37"/>
  <c r="J13" i="37" s="1"/>
  <c r="I12" i="37"/>
  <c r="J12" i="37" s="1"/>
  <c r="I7" i="37"/>
  <c r="J7" i="37" s="1"/>
  <c r="I51" i="37"/>
  <c r="J51" i="37" s="1"/>
  <c r="I46" i="37"/>
  <c r="J46" i="37" s="1"/>
  <c r="I40" i="37"/>
  <c r="J40" i="37" s="1"/>
  <c r="I35" i="37"/>
  <c r="J35" i="37" s="1"/>
  <c r="I30" i="37"/>
  <c r="J30" i="37" s="1"/>
  <c r="I24" i="37"/>
  <c r="J24" i="37" s="1"/>
  <c r="I19" i="37"/>
  <c r="J19" i="37" s="1"/>
  <c r="I14" i="37"/>
  <c r="J14" i="37" s="1"/>
  <c r="I9" i="37"/>
  <c r="J9" i="37" s="1"/>
  <c r="I53" i="37"/>
  <c r="J53" i="37" s="1"/>
  <c r="I52" i="37"/>
  <c r="J52" i="37" s="1"/>
  <c r="I47" i="37"/>
  <c r="J47" i="37" s="1"/>
  <c r="I42" i="37"/>
  <c r="J42" i="37" s="1"/>
  <c r="I37" i="37"/>
  <c r="J37" i="37" s="1"/>
  <c r="I36" i="37"/>
  <c r="J36" i="37" s="1"/>
  <c r="I31" i="37"/>
  <c r="J31" i="37" s="1"/>
  <c r="I26" i="37"/>
  <c r="J26" i="37" s="1"/>
  <c r="I21" i="37"/>
  <c r="J21" i="37" s="1"/>
  <c r="I20" i="37"/>
  <c r="J20" i="37" s="1"/>
  <c r="I15" i="37"/>
  <c r="J15" i="37" s="1"/>
  <c r="I10" i="37"/>
  <c r="J10" i="37" s="1"/>
  <c r="I43" i="37"/>
  <c r="J43" i="37" s="1"/>
  <c r="I22" i="37"/>
  <c r="J22" i="37" s="1"/>
  <c r="I48" i="37"/>
  <c r="J48" i="37" s="1"/>
  <c r="I27" i="37"/>
  <c r="J27" i="37" s="1"/>
  <c r="I57" i="37"/>
  <c r="J57" i="37" s="1"/>
  <c r="P17" i="37" s="1"/>
  <c r="I38" i="37"/>
  <c r="J38" i="37" s="1"/>
  <c r="I16" i="37"/>
  <c r="J16" i="37" s="1"/>
  <c r="I54" i="37"/>
  <c r="J54" i="37" s="1"/>
  <c r="I32" i="37"/>
  <c r="J32" i="37" s="1"/>
  <c r="I11" i="37"/>
  <c r="J11" i="37" s="1"/>
  <c r="I49" i="31"/>
  <c r="J49" i="31" s="1"/>
  <c r="I45" i="31"/>
  <c r="J45" i="31" s="1"/>
  <c r="I41" i="31"/>
  <c r="J41" i="31" s="1"/>
  <c r="I33" i="31"/>
  <c r="J33" i="31" s="1"/>
  <c r="I29" i="31"/>
  <c r="J29" i="31" s="1"/>
  <c r="I25" i="31"/>
  <c r="J25" i="31" s="1"/>
  <c r="I21" i="31"/>
  <c r="J21" i="31" s="1"/>
  <c r="I13" i="31"/>
  <c r="J13" i="31" s="1"/>
  <c r="I9" i="31"/>
  <c r="J9" i="31" s="1"/>
  <c r="I24" i="31"/>
  <c r="J24" i="31" s="1"/>
  <c r="I20" i="31"/>
  <c r="J20" i="31" s="1"/>
  <c r="I16" i="31"/>
  <c r="J16" i="31" s="1"/>
  <c r="I12" i="31"/>
  <c r="J12" i="31" s="1"/>
  <c r="I57" i="31"/>
  <c r="J57" i="31" s="1"/>
  <c r="P17" i="31" s="1"/>
  <c r="I54" i="31"/>
  <c r="J54" i="31" s="1"/>
  <c r="I50" i="31"/>
  <c r="J50" i="31" s="1"/>
  <c r="I46" i="31"/>
  <c r="J46" i="31" s="1"/>
  <c r="I38" i="31"/>
  <c r="J38" i="31" s="1"/>
  <c r="I34" i="31"/>
  <c r="J34" i="31" s="1"/>
  <c r="I30" i="31"/>
  <c r="J30" i="31" s="1"/>
  <c r="I26" i="31"/>
  <c r="J26" i="31" s="1"/>
  <c r="I18" i="31"/>
  <c r="J18" i="31" s="1"/>
  <c r="I14" i="31"/>
  <c r="J14" i="31" s="1"/>
  <c r="I10" i="31"/>
  <c r="J10" i="31" s="1"/>
  <c r="I7" i="31"/>
  <c r="J7" i="31" s="1"/>
  <c r="I28" i="31"/>
  <c r="J28" i="31" s="1"/>
  <c r="I55" i="31"/>
  <c r="I51" i="31"/>
  <c r="J51" i="31" s="1"/>
  <c r="I43" i="31"/>
  <c r="J43" i="31" s="1"/>
  <c r="I39" i="31"/>
  <c r="J39" i="31" s="1"/>
  <c r="I35" i="31"/>
  <c r="J35" i="31" s="1"/>
  <c r="I31" i="31"/>
  <c r="J31" i="31" s="1"/>
  <c r="I23" i="31"/>
  <c r="J23" i="31" s="1"/>
  <c r="I19" i="31"/>
  <c r="J19" i="31" s="1"/>
  <c r="I15" i="31"/>
  <c r="J15" i="31" s="1"/>
  <c r="I52" i="31"/>
  <c r="J52" i="31" s="1"/>
  <c r="I48" i="31"/>
  <c r="J48" i="31" s="1"/>
  <c r="I44" i="31"/>
  <c r="J44" i="31" s="1"/>
  <c r="I40" i="31"/>
  <c r="J40" i="31" s="1"/>
  <c r="I36" i="31"/>
  <c r="J36" i="31" s="1"/>
  <c r="I55" i="36"/>
  <c r="I51" i="36"/>
  <c r="J51" i="36" s="1"/>
  <c r="I50" i="36"/>
  <c r="J50" i="36" s="1"/>
  <c r="I46" i="36"/>
  <c r="J46" i="36" s="1"/>
  <c r="I41" i="36"/>
  <c r="J41" i="36" s="1"/>
  <c r="I37" i="36"/>
  <c r="J37" i="36" s="1"/>
  <c r="I32" i="36"/>
  <c r="J32" i="36" s="1"/>
  <c r="I28" i="36"/>
  <c r="J28" i="36" s="1"/>
  <c r="I23" i="36"/>
  <c r="J23" i="36" s="1"/>
  <c r="I19" i="36"/>
  <c r="J19" i="36" s="1"/>
  <c r="I18" i="36"/>
  <c r="J18" i="36" s="1"/>
  <c r="I14" i="36"/>
  <c r="J14" i="36" s="1"/>
  <c r="I9" i="36"/>
  <c r="J9" i="36" s="1"/>
  <c r="I52" i="36"/>
  <c r="J52" i="36" s="1"/>
  <c r="I47" i="36"/>
  <c r="J47" i="36" s="1"/>
  <c r="I43" i="36"/>
  <c r="J43" i="36" s="1"/>
  <c r="I42" i="36"/>
  <c r="J42" i="36" s="1"/>
  <c r="I38" i="36"/>
  <c r="J38" i="36" s="1"/>
  <c r="I33" i="36"/>
  <c r="J33" i="36" s="1"/>
  <c r="I29" i="36"/>
  <c r="J29" i="36" s="1"/>
  <c r="I24" i="36"/>
  <c r="J24" i="36" s="1"/>
  <c r="I15" i="36"/>
  <c r="J15" i="36" s="1"/>
  <c r="I11" i="36"/>
  <c r="J11" i="36" s="1"/>
  <c r="I10" i="36"/>
  <c r="J10" i="36" s="1"/>
  <c r="I7" i="36"/>
  <c r="J7" i="36" s="1"/>
  <c r="I53" i="36"/>
  <c r="J53" i="36" s="1"/>
  <c r="I48" i="36"/>
  <c r="J48" i="36" s="1"/>
  <c r="I44" i="36"/>
  <c r="J44" i="36" s="1"/>
  <c r="I35" i="36"/>
  <c r="J35" i="36" s="1"/>
  <c r="I34" i="36"/>
  <c r="J34" i="36" s="1"/>
  <c r="I30" i="36"/>
  <c r="J30" i="36" s="1"/>
  <c r="I25" i="36"/>
  <c r="J25" i="36" s="1"/>
  <c r="I21" i="36"/>
  <c r="J21" i="36" s="1"/>
  <c r="I16" i="36"/>
  <c r="J16" i="36" s="1"/>
  <c r="I12" i="36"/>
  <c r="J12" i="36" s="1"/>
  <c r="I54" i="36"/>
  <c r="J54" i="36" s="1"/>
  <c r="I45" i="36"/>
  <c r="J45" i="36" s="1"/>
  <c r="I36" i="36"/>
  <c r="J36" i="36" s="1"/>
  <c r="I31" i="36"/>
  <c r="J31" i="36" s="1"/>
  <c r="I26" i="36"/>
  <c r="J26" i="36" s="1"/>
  <c r="I17" i="36"/>
  <c r="J17" i="36" s="1"/>
  <c r="I57" i="36"/>
  <c r="J57" i="36" s="1"/>
  <c r="P17" i="36" s="1"/>
  <c r="I27" i="36"/>
  <c r="J27" i="36" s="1"/>
  <c r="I22" i="36"/>
  <c r="J22" i="36" s="1"/>
  <c r="I13" i="36"/>
  <c r="J13" i="36" s="1"/>
  <c r="I49" i="36"/>
  <c r="J49" i="36" s="1"/>
  <c r="I40" i="36"/>
  <c r="J40" i="36" s="1"/>
  <c r="I19" i="32"/>
  <c r="J19" i="32" s="1"/>
  <c r="I12" i="32"/>
  <c r="J12" i="32" s="1"/>
  <c r="I18" i="32"/>
  <c r="J18" i="32" s="1"/>
  <c r="I20" i="32"/>
  <c r="J20" i="32" s="1"/>
  <c r="I14" i="32"/>
  <c r="J14" i="32" s="1"/>
  <c r="I9" i="32"/>
  <c r="J9" i="32" s="1"/>
  <c r="I16" i="32"/>
  <c r="J16" i="32" s="1"/>
  <c r="I15" i="32"/>
  <c r="J15" i="32" s="1"/>
  <c r="I10" i="32"/>
  <c r="J10" i="32" s="1"/>
  <c r="I7" i="32"/>
  <c r="I11" i="32"/>
  <c r="J11" i="32" s="1"/>
  <c r="I55" i="40"/>
  <c r="I50" i="40"/>
  <c r="J50" i="40" s="1"/>
  <c r="I46" i="40"/>
  <c r="J46" i="40" s="1"/>
  <c r="I41" i="40"/>
  <c r="J41" i="40" s="1"/>
  <c r="I37" i="40"/>
  <c r="J37" i="40" s="1"/>
  <c r="I32" i="40"/>
  <c r="J32" i="40" s="1"/>
  <c r="I28" i="40"/>
  <c r="J28" i="40" s="1"/>
  <c r="I23" i="40"/>
  <c r="J23" i="40" s="1"/>
  <c r="I19" i="40"/>
  <c r="J19" i="40" s="1"/>
  <c r="I14" i="40"/>
  <c r="J14" i="40" s="1"/>
  <c r="I9" i="40"/>
  <c r="J9" i="40" s="1"/>
  <c r="I52" i="40"/>
  <c r="J52" i="40" s="1"/>
  <c r="I47" i="40"/>
  <c r="J47" i="40" s="1"/>
  <c r="I43" i="40"/>
  <c r="J43" i="40" s="1"/>
  <c r="I42" i="40"/>
  <c r="J42" i="40" s="1"/>
  <c r="I33" i="40"/>
  <c r="J33" i="40" s="1"/>
  <c r="I29" i="40"/>
  <c r="J29" i="40" s="1"/>
  <c r="I24" i="40"/>
  <c r="J24" i="40" s="1"/>
  <c r="I20" i="40"/>
  <c r="J20" i="40" s="1"/>
  <c r="I15" i="40"/>
  <c r="J15" i="40" s="1"/>
  <c r="I10" i="40"/>
  <c r="J10" i="40" s="1"/>
  <c r="I7" i="40"/>
  <c r="J7" i="40" s="1"/>
  <c r="I53" i="40"/>
  <c r="J53" i="40" s="1"/>
  <c r="I48" i="40"/>
  <c r="J48" i="40" s="1"/>
  <c r="I44" i="40"/>
  <c r="J44" i="40" s="1"/>
  <c r="I39" i="40"/>
  <c r="J39" i="40" s="1"/>
  <c r="I35" i="40"/>
  <c r="J35" i="40" s="1"/>
  <c r="I34" i="40"/>
  <c r="J34" i="40" s="1"/>
  <c r="I30" i="40"/>
  <c r="J30" i="40" s="1"/>
  <c r="I21" i="40"/>
  <c r="J21" i="40" s="1"/>
  <c r="I16" i="40"/>
  <c r="J16" i="40" s="1"/>
  <c r="I12" i="40"/>
  <c r="J12" i="40" s="1"/>
  <c r="I57" i="40"/>
  <c r="J57" i="40" s="1"/>
  <c r="P17" i="40" s="1"/>
  <c r="I36" i="40"/>
  <c r="J36" i="40" s="1"/>
  <c r="I26" i="40"/>
  <c r="J26" i="40" s="1"/>
  <c r="I27" i="40"/>
  <c r="J27" i="40" s="1"/>
  <c r="I22" i="40"/>
  <c r="J22" i="40" s="1"/>
  <c r="I17" i="40"/>
  <c r="J17" i="40" s="1"/>
  <c r="I49" i="40"/>
  <c r="J49" i="40" s="1"/>
  <c r="I40" i="40"/>
  <c r="J40" i="40" s="1"/>
  <c r="I13" i="40"/>
  <c r="J13" i="40" s="1"/>
  <c r="I54" i="40"/>
  <c r="J54" i="40" s="1"/>
  <c r="I52" i="34"/>
  <c r="J52" i="34" s="1"/>
  <c r="I48" i="34"/>
  <c r="J48" i="34" s="1"/>
  <c r="I44" i="34"/>
  <c r="J44" i="34" s="1"/>
  <c r="I39" i="34"/>
  <c r="J39" i="34" s="1"/>
  <c r="I35" i="34"/>
  <c r="J35" i="34" s="1"/>
  <c r="I31" i="34"/>
  <c r="J31" i="34" s="1"/>
  <c r="I27" i="34"/>
  <c r="J27" i="34" s="1"/>
  <c r="I23" i="34"/>
  <c r="J23" i="34" s="1"/>
  <c r="I13" i="34"/>
  <c r="J13" i="34" s="1"/>
  <c r="I9" i="34"/>
  <c r="J9" i="34" s="1"/>
  <c r="I53" i="34"/>
  <c r="J53" i="34" s="1"/>
  <c r="I49" i="34"/>
  <c r="J49" i="34" s="1"/>
  <c r="I45" i="34"/>
  <c r="J45" i="34" s="1"/>
  <c r="I40" i="34"/>
  <c r="J40" i="34" s="1"/>
  <c r="I36" i="34"/>
  <c r="J36" i="34" s="1"/>
  <c r="I32" i="34"/>
  <c r="J32" i="34" s="1"/>
  <c r="I20" i="34"/>
  <c r="J20" i="34" s="1"/>
  <c r="I16" i="34"/>
  <c r="J16" i="34" s="1"/>
  <c r="I14" i="34"/>
  <c r="J14" i="34" s="1"/>
  <c r="I10" i="34"/>
  <c r="J10" i="34" s="1"/>
  <c r="I7" i="34"/>
  <c r="J7" i="34" s="1"/>
  <c r="I57" i="34"/>
  <c r="J57" i="34" s="1"/>
  <c r="P17" i="34" s="1"/>
  <c r="I42" i="34"/>
  <c r="J42" i="34" s="1"/>
  <c r="I29" i="34"/>
  <c r="J29" i="34" s="1"/>
  <c r="I25" i="34"/>
  <c r="J25" i="34" s="1"/>
  <c r="I21" i="34"/>
  <c r="J21" i="34" s="1"/>
  <c r="I43" i="34"/>
  <c r="J43" i="34" s="1"/>
  <c r="I34" i="34"/>
  <c r="J34" i="34" s="1"/>
  <c r="I18" i="34"/>
  <c r="J18" i="34" s="1"/>
  <c r="I17" i="34"/>
  <c r="J17" i="34" s="1"/>
  <c r="I55" i="34"/>
  <c r="I30" i="34"/>
  <c r="J30" i="34" s="1"/>
  <c r="I12" i="34"/>
  <c r="J12" i="34" s="1"/>
  <c r="I47" i="34"/>
  <c r="J47" i="34" s="1"/>
  <c r="I38" i="34"/>
  <c r="J38" i="34" s="1"/>
  <c r="I22" i="34"/>
  <c r="J22" i="34" s="1"/>
  <c r="I51" i="34"/>
  <c r="J51" i="34" s="1"/>
  <c r="I26" i="34"/>
  <c r="J26" i="34" s="1"/>
  <c r="I57" i="33"/>
  <c r="J57" i="33" s="1"/>
  <c r="P17" i="33" s="1"/>
  <c r="I53" i="33"/>
  <c r="J53" i="33" s="1"/>
  <c r="I49" i="33"/>
  <c r="J49" i="33" s="1"/>
  <c r="I44" i="33"/>
  <c r="J44" i="33" s="1"/>
  <c r="I40" i="33"/>
  <c r="J40" i="33" s="1"/>
  <c r="I39" i="33"/>
  <c r="J39" i="33" s="1"/>
  <c r="I35" i="33"/>
  <c r="J35" i="33" s="1"/>
  <c r="I55" i="33"/>
  <c r="I52" i="33"/>
  <c r="J52" i="33" s="1"/>
  <c r="I45" i="33"/>
  <c r="J45" i="33" s="1"/>
  <c r="I32" i="33"/>
  <c r="J32" i="33" s="1"/>
  <c r="I31" i="33"/>
  <c r="J31" i="33" s="1"/>
  <c r="I27" i="33"/>
  <c r="J27" i="33" s="1"/>
  <c r="I22" i="33"/>
  <c r="J22" i="33" s="1"/>
  <c r="I18" i="33"/>
  <c r="J18" i="33" s="1"/>
  <c r="I13" i="33"/>
  <c r="J13" i="33" s="1"/>
  <c r="I54" i="33"/>
  <c r="J54" i="33" s="1"/>
  <c r="I41" i="33"/>
  <c r="J41" i="33" s="1"/>
  <c r="I38" i="33"/>
  <c r="J38" i="33" s="1"/>
  <c r="I30" i="33"/>
  <c r="J30" i="33" s="1"/>
  <c r="I46" i="33"/>
  <c r="J46" i="33" s="1"/>
  <c r="I43" i="33"/>
  <c r="J43" i="33" s="1"/>
  <c r="I36" i="33"/>
  <c r="J36" i="33" s="1"/>
  <c r="I28" i="33"/>
  <c r="J28" i="33" s="1"/>
  <c r="I24" i="33"/>
  <c r="J24" i="33" s="1"/>
  <c r="I23" i="33"/>
  <c r="J23" i="33" s="1"/>
  <c r="I19" i="33"/>
  <c r="J19" i="33" s="1"/>
  <c r="I14" i="33"/>
  <c r="J14" i="33" s="1"/>
  <c r="I9" i="33"/>
  <c r="J9" i="33" s="1"/>
  <c r="I48" i="33"/>
  <c r="J48" i="33" s="1"/>
  <c r="I21" i="33"/>
  <c r="J21" i="33" s="1"/>
  <c r="I12" i="33"/>
  <c r="J12" i="33" s="1"/>
  <c r="I11" i="33"/>
  <c r="J11" i="33" s="1"/>
  <c r="I47" i="33"/>
  <c r="J47" i="33" s="1"/>
  <c r="I37" i="33"/>
  <c r="J37" i="33" s="1"/>
  <c r="I34" i="33"/>
  <c r="J34" i="33" s="1"/>
  <c r="I29" i="33"/>
  <c r="J29" i="33" s="1"/>
  <c r="I20" i="33"/>
  <c r="J20" i="33" s="1"/>
  <c r="I16" i="33"/>
  <c r="J16" i="33" s="1"/>
  <c r="I15" i="33"/>
  <c r="J15" i="33" s="1"/>
  <c r="I10" i="33"/>
  <c r="J10" i="33" s="1"/>
  <c r="I7" i="33"/>
  <c r="I51" i="33"/>
  <c r="J51" i="33" s="1"/>
  <c r="I26" i="33"/>
  <c r="J26" i="33" s="1"/>
  <c r="I57" i="41"/>
  <c r="J57" i="41" s="1"/>
  <c r="P17" i="41" s="1"/>
  <c r="I54" i="41"/>
  <c r="J54" i="41" s="1"/>
  <c r="I53" i="41"/>
  <c r="J53" i="41" s="1"/>
  <c r="I48" i="41"/>
  <c r="J48" i="41" s="1"/>
  <c r="I37" i="41"/>
  <c r="J37" i="41" s="1"/>
  <c r="I32" i="41"/>
  <c r="J32" i="41" s="1"/>
  <c r="I27" i="41"/>
  <c r="J27" i="41" s="1"/>
  <c r="I22" i="41"/>
  <c r="J22" i="41" s="1"/>
  <c r="I21" i="41"/>
  <c r="J21" i="41" s="1"/>
  <c r="I16" i="41"/>
  <c r="J16" i="41" s="1"/>
  <c r="I11" i="41"/>
  <c r="J11" i="41" s="1"/>
  <c r="I7" i="41"/>
  <c r="J7" i="41" s="1"/>
  <c r="I55" i="41"/>
  <c r="I50" i="41"/>
  <c r="J50" i="41" s="1"/>
  <c r="I49" i="41"/>
  <c r="J49" i="41" s="1"/>
  <c r="I44" i="41"/>
  <c r="J44" i="41" s="1"/>
  <c r="I39" i="41"/>
  <c r="J39" i="41" s="1"/>
  <c r="I34" i="41"/>
  <c r="J34" i="41" s="1"/>
  <c r="I18" i="41"/>
  <c r="J18" i="41" s="1"/>
  <c r="I17" i="41"/>
  <c r="J17" i="41" s="1"/>
  <c r="I12" i="41"/>
  <c r="J12" i="41" s="1"/>
  <c r="I51" i="41"/>
  <c r="J51" i="41" s="1"/>
  <c r="I46" i="41"/>
  <c r="J46" i="41" s="1"/>
  <c r="I45" i="41"/>
  <c r="J45" i="41" s="1"/>
  <c r="I40" i="41"/>
  <c r="J40" i="41" s="1"/>
  <c r="I35" i="41"/>
  <c r="J35" i="41" s="1"/>
  <c r="I30" i="41"/>
  <c r="J30" i="41" s="1"/>
  <c r="I29" i="41"/>
  <c r="J29" i="41" s="1"/>
  <c r="I24" i="41"/>
  <c r="J24" i="41" s="1"/>
  <c r="I13" i="41"/>
  <c r="J13" i="41" s="1"/>
  <c r="I31" i="41"/>
  <c r="J31" i="41" s="1"/>
  <c r="I26" i="41"/>
  <c r="J26" i="41" s="1"/>
  <c r="I42" i="41"/>
  <c r="J42" i="41" s="1"/>
  <c r="I41" i="41"/>
  <c r="J41" i="41" s="1"/>
  <c r="I36" i="41"/>
  <c r="J36" i="41" s="1"/>
  <c r="I9" i="41"/>
  <c r="J9" i="41" s="1"/>
  <c r="I15" i="41"/>
  <c r="J15" i="41" s="1"/>
  <c r="I10" i="41"/>
  <c r="J10" i="41" s="1"/>
  <c r="I25" i="41"/>
  <c r="J25" i="41" s="1"/>
  <c r="I20" i="41"/>
  <c r="J20" i="41" s="1"/>
  <c r="I52" i="30"/>
  <c r="J52" i="30" s="1"/>
  <c r="I48" i="30"/>
  <c r="J48" i="30" s="1"/>
  <c r="I44" i="30"/>
  <c r="J44" i="30" s="1"/>
  <c r="I40" i="30"/>
  <c r="J40" i="30" s="1"/>
  <c r="I36" i="30"/>
  <c r="J36" i="30" s="1"/>
  <c r="I32" i="30"/>
  <c r="J32" i="30" s="1"/>
  <c r="I28" i="30"/>
  <c r="J28" i="30" s="1"/>
  <c r="I24" i="30"/>
  <c r="J24" i="30" s="1"/>
  <c r="I20" i="30"/>
  <c r="J20" i="30" s="1"/>
  <c r="I38" i="30"/>
  <c r="J38" i="30" s="1"/>
  <c r="I30" i="30"/>
  <c r="J30" i="30" s="1"/>
  <c r="I22" i="30"/>
  <c r="J22" i="30" s="1"/>
  <c r="I14" i="30"/>
  <c r="J14" i="30" s="1"/>
  <c r="I47" i="30"/>
  <c r="J47" i="30" s="1"/>
  <c r="I43" i="30"/>
  <c r="J43" i="30" s="1"/>
  <c r="I39" i="30"/>
  <c r="J39" i="30" s="1"/>
  <c r="I35" i="30"/>
  <c r="J35" i="30" s="1"/>
  <c r="I31" i="30"/>
  <c r="J31" i="30" s="1"/>
  <c r="I27" i="30"/>
  <c r="J27" i="30" s="1"/>
  <c r="I23" i="30"/>
  <c r="J23" i="30" s="1"/>
  <c r="I11" i="30"/>
  <c r="J11" i="30" s="1"/>
  <c r="I53" i="30"/>
  <c r="J53" i="30" s="1"/>
  <c r="I49" i="30"/>
  <c r="J49" i="30" s="1"/>
  <c r="I45" i="30"/>
  <c r="J45" i="30" s="1"/>
  <c r="I41" i="30"/>
  <c r="J41" i="30" s="1"/>
  <c r="I17" i="30"/>
  <c r="J17" i="30" s="1"/>
  <c r="I13" i="30"/>
  <c r="J13" i="30" s="1"/>
  <c r="I9" i="30"/>
  <c r="J9" i="30" s="1"/>
  <c r="I57" i="30"/>
  <c r="J57" i="30" s="1"/>
  <c r="P17" i="30" s="1"/>
  <c r="I34" i="30"/>
  <c r="J34" i="30" s="1"/>
  <c r="I26" i="30"/>
  <c r="J26" i="30" s="1"/>
  <c r="I18" i="30"/>
  <c r="J18" i="30" s="1"/>
  <c r="I10" i="30"/>
  <c r="J10" i="30" s="1"/>
  <c r="I7" i="30"/>
  <c r="J7" i="30" s="1"/>
  <c r="I55" i="30"/>
  <c r="J55" i="30" s="1"/>
  <c r="I51" i="30"/>
  <c r="J51" i="30" s="1"/>
  <c r="I19" i="30"/>
  <c r="J19" i="30" s="1"/>
  <c r="I15" i="30"/>
  <c r="J15" i="30" s="1"/>
  <c r="I55" i="28"/>
  <c r="J55" i="28" s="1"/>
  <c r="I50" i="28"/>
  <c r="J50" i="28" s="1"/>
  <c r="I46" i="28"/>
  <c r="J46" i="28" s="1"/>
  <c r="I42" i="28"/>
  <c r="J42" i="28" s="1"/>
  <c r="I38" i="28"/>
  <c r="J38" i="28" s="1"/>
  <c r="I34" i="28"/>
  <c r="J34" i="28" s="1"/>
  <c r="I30" i="28"/>
  <c r="J30" i="28" s="1"/>
  <c r="I26" i="28"/>
  <c r="J26" i="28" s="1"/>
  <c r="I22" i="28"/>
  <c r="J22" i="28" s="1"/>
  <c r="I9" i="28"/>
  <c r="J9" i="28" s="1"/>
  <c r="I24" i="28"/>
  <c r="J24" i="28" s="1"/>
  <c r="I20" i="28"/>
  <c r="J20" i="28" s="1"/>
  <c r="I12" i="28"/>
  <c r="J12" i="28" s="1"/>
  <c r="I45" i="28"/>
  <c r="J45" i="28" s="1"/>
  <c r="I37" i="28"/>
  <c r="J37" i="28" s="1"/>
  <c r="I29" i="28"/>
  <c r="J29" i="28" s="1"/>
  <c r="I21" i="28"/>
  <c r="J21" i="28" s="1"/>
  <c r="I13" i="28"/>
  <c r="J13" i="28" s="1"/>
  <c r="I51" i="28"/>
  <c r="J51" i="28" s="1"/>
  <c r="I47" i="28"/>
  <c r="J47" i="28" s="1"/>
  <c r="I43" i="28"/>
  <c r="J43" i="28" s="1"/>
  <c r="I39" i="28"/>
  <c r="J39" i="28" s="1"/>
  <c r="I19" i="28"/>
  <c r="J19" i="28" s="1"/>
  <c r="I15" i="28"/>
  <c r="J15" i="28" s="1"/>
  <c r="I11" i="28"/>
  <c r="J11" i="28" s="1"/>
  <c r="I7" i="28"/>
  <c r="J7" i="28" s="1"/>
  <c r="I53" i="28"/>
  <c r="J53" i="28" s="1"/>
  <c r="I36" i="28"/>
  <c r="J36" i="28" s="1"/>
  <c r="I32" i="28"/>
  <c r="J32" i="28" s="1"/>
  <c r="I28" i="28"/>
  <c r="J28" i="28" s="1"/>
  <c r="I16" i="28"/>
  <c r="J16" i="28" s="1"/>
  <c r="I57" i="28"/>
  <c r="J57" i="28" s="1"/>
  <c r="P17" i="28" s="1"/>
  <c r="I54" i="28"/>
  <c r="J54" i="28" s="1"/>
  <c r="I49" i="28"/>
  <c r="J49" i="28" s="1"/>
  <c r="I41" i="28"/>
  <c r="J41" i="28" s="1"/>
  <c r="I33" i="28"/>
  <c r="J33" i="28" s="1"/>
  <c r="I25" i="28"/>
  <c r="J25" i="28" s="1"/>
  <c r="I17" i="28"/>
  <c r="J17" i="28" s="1"/>
  <c r="I57" i="27"/>
  <c r="J57" i="27" s="1"/>
  <c r="P17" i="27" s="1"/>
  <c r="I54" i="27"/>
  <c r="J54" i="27" s="1"/>
  <c r="I50" i="27"/>
  <c r="J50" i="27" s="1"/>
  <c r="I44" i="27"/>
  <c r="J44" i="27" s="1"/>
  <c r="I39" i="27"/>
  <c r="J39" i="27" s="1"/>
  <c r="I34" i="27"/>
  <c r="J34" i="27" s="1"/>
  <c r="I28" i="27"/>
  <c r="J28" i="27" s="1"/>
  <c r="I23" i="27"/>
  <c r="J23" i="27" s="1"/>
  <c r="I13" i="27"/>
  <c r="J13" i="27" s="1"/>
  <c r="I12" i="27"/>
  <c r="J12" i="27" s="1"/>
  <c r="I7" i="27"/>
  <c r="J7" i="27" s="1"/>
  <c r="I42" i="27"/>
  <c r="J42" i="27" s="1"/>
  <c r="I31" i="27"/>
  <c r="J31" i="27" s="1"/>
  <c r="I15" i="27"/>
  <c r="J15" i="27" s="1"/>
  <c r="I48" i="27"/>
  <c r="J48" i="27" s="1"/>
  <c r="I43" i="27"/>
  <c r="J43" i="27" s="1"/>
  <c r="I38" i="27"/>
  <c r="J38" i="27" s="1"/>
  <c r="I32" i="27"/>
  <c r="J32" i="27" s="1"/>
  <c r="I27" i="27"/>
  <c r="J27" i="27" s="1"/>
  <c r="I11" i="27"/>
  <c r="J11" i="27" s="1"/>
  <c r="I55" i="27"/>
  <c r="I51" i="27"/>
  <c r="J51" i="27" s="1"/>
  <c r="I46" i="27"/>
  <c r="J46" i="27" s="1"/>
  <c r="I40" i="27"/>
  <c r="J40" i="27" s="1"/>
  <c r="I35" i="27"/>
  <c r="J35" i="27" s="1"/>
  <c r="I30" i="27"/>
  <c r="J30" i="27" s="1"/>
  <c r="I25" i="27"/>
  <c r="J25" i="27" s="1"/>
  <c r="I24" i="27"/>
  <c r="J24" i="27" s="1"/>
  <c r="I19" i="27"/>
  <c r="J19" i="27" s="1"/>
  <c r="I9" i="27"/>
  <c r="J9" i="27" s="1"/>
  <c r="I52" i="27"/>
  <c r="J52" i="27" s="1"/>
  <c r="I47" i="27"/>
  <c r="J47" i="27" s="1"/>
  <c r="I36" i="27"/>
  <c r="J36" i="27" s="1"/>
  <c r="I21" i="27"/>
  <c r="J21" i="27" s="1"/>
  <c r="I20" i="27"/>
  <c r="J20" i="27" s="1"/>
  <c r="I17" i="27"/>
  <c r="J17" i="27" s="1"/>
  <c r="I16" i="27"/>
  <c r="J16" i="27" s="1"/>
  <c r="I57" i="26"/>
  <c r="J57" i="26" s="1"/>
  <c r="P17" i="26" s="1"/>
  <c r="I54" i="26"/>
  <c r="J54" i="26" s="1"/>
  <c r="I48" i="26"/>
  <c r="J48" i="26" s="1"/>
  <c r="I43" i="26"/>
  <c r="J43" i="26" s="1"/>
  <c r="I38" i="26"/>
  <c r="J38" i="26" s="1"/>
  <c r="I33" i="26"/>
  <c r="J33" i="26" s="1"/>
  <c r="I32" i="26"/>
  <c r="J32" i="26" s="1"/>
  <c r="I27" i="26"/>
  <c r="J27" i="26" s="1"/>
  <c r="I22" i="26"/>
  <c r="J22" i="26" s="1"/>
  <c r="I17" i="26"/>
  <c r="J17" i="26" s="1"/>
  <c r="I16" i="26"/>
  <c r="J16" i="26" s="1"/>
  <c r="I11" i="26"/>
  <c r="J11" i="26" s="1"/>
  <c r="I53" i="26"/>
  <c r="J53" i="26" s="1"/>
  <c r="I52" i="26"/>
  <c r="J52" i="26" s="1"/>
  <c r="I47" i="26"/>
  <c r="J47" i="26" s="1"/>
  <c r="I42" i="26"/>
  <c r="J42" i="26" s="1"/>
  <c r="I26" i="26"/>
  <c r="J26" i="26" s="1"/>
  <c r="I21" i="26"/>
  <c r="J21" i="26" s="1"/>
  <c r="I15" i="26"/>
  <c r="J15" i="26" s="1"/>
  <c r="I55" i="26"/>
  <c r="I50" i="26"/>
  <c r="J50" i="26" s="1"/>
  <c r="I45" i="26"/>
  <c r="J45" i="26" s="1"/>
  <c r="I44" i="26"/>
  <c r="J44" i="26" s="1"/>
  <c r="I34" i="26"/>
  <c r="J34" i="26" s="1"/>
  <c r="I29" i="26"/>
  <c r="J29" i="26" s="1"/>
  <c r="I28" i="26"/>
  <c r="J28" i="26" s="1"/>
  <c r="I23" i="26"/>
  <c r="J23" i="26" s="1"/>
  <c r="I18" i="26"/>
  <c r="J18" i="26" s="1"/>
  <c r="I13" i="26"/>
  <c r="J13" i="26" s="1"/>
  <c r="I12" i="26"/>
  <c r="J12" i="26" s="1"/>
  <c r="I7" i="26"/>
  <c r="J7" i="26" s="1"/>
  <c r="I51" i="26"/>
  <c r="J51" i="26" s="1"/>
  <c r="I46" i="26"/>
  <c r="J46" i="26" s="1"/>
  <c r="I41" i="26"/>
  <c r="J41" i="26" s="1"/>
  <c r="I40" i="26"/>
  <c r="J40" i="26" s="1"/>
  <c r="I35" i="26"/>
  <c r="J35" i="26" s="1"/>
  <c r="I25" i="26"/>
  <c r="J25" i="26" s="1"/>
  <c r="I24" i="26"/>
  <c r="J24" i="26" s="1"/>
  <c r="I19" i="26"/>
  <c r="J19" i="26" s="1"/>
  <c r="I14" i="26"/>
  <c r="J14" i="26" s="1"/>
  <c r="I9" i="26"/>
  <c r="J9" i="26" s="1"/>
  <c r="I37" i="26"/>
  <c r="J37" i="26" s="1"/>
  <c r="I36" i="26"/>
  <c r="J36" i="26" s="1"/>
  <c r="I31" i="26"/>
  <c r="J31" i="26" s="1"/>
  <c r="F57" i="41" l="1"/>
  <c r="J55" i="41"/>
  <c r="F57" i="33"/>
  <c r="J55" i="33"/>
  <c r="F57" i="39"/>
  <c r="J55" i="39"/>
  <c r="F57" i="35"/>
  <c r="J55" i="35"/>
  <c r="F36" i="29"/>
  <c r="J35" i="29"/>
  <c r="F18" i="29"/>
  <c r="J17" i="29"/>
  <c r="F25" i="29"/>
  <c r="J24" i="29"/>
  <c r="F49" i="29"/>
  <c r="F21" i="29"/>
  <c r="J20" i="29"/>
  <c r="F10" i="29"/>
  <c r="J9" i="29"/>
  <c r="F57" i="26"/>
  <c r="J55" i="26"/>
  <c r="F9" i="33"/>
  <c r="J7" i="33"/>
  <c r="F57" i="40"/>
  <c r="J55" i="40"/>
  <c r="F57" i="31"/>
  <c r="J55" i="31"/>
  <c r="F57" i="37"/>
  <c r="J55" i="37"/>
  <c r="J33" i="29"/>
  <c r="J11" i="29"/>
  <c r="J51" i="29"/>
  <c r="F46" i="29"/>
  <c r="F57" i="27"/>
  <c r="J55" i="27"/>
  <c r="F57" i="34"/>
  <c r="J55" i="34"/>
  <c r="F9" i="32"/>
  <c r="J7" i="32"/>
  <c r="F57" i="36"/>
  <c r="J55" i="36"/>
  <c r="F40" i="29"/>
  <c r="J39" i="29"/>
  <c r="F31" i="29"/>
  <c r="F16" i="29"/>
  <c r="F54" i="29"/>
  <c r="J53" i="29"/>
  <c r="F43" i="29"/>
  <c r="F22" i="29"/>
  <c r="F28" i="29"/>
  <c r="F47" i="29"/>
  <c r="F55" i="29"/>
  <c r="F42" i="29"/>
  <c r="F53" i="29"/>
  <c r="F51" i="29"/>
  <c r="F35" i="29"/>
  <c r="F17" i="29"/>
  <c r="F38" i="29"/>
  <c r="F20" i="29"/>
  <c r="F24" i="29"/>
  <c r="F29" i="29"/>
  <c r="F50" i="29"/>
  <c r="F57" i="28"/>
  <c r="F13" i="29"/>
  <c r="F39" i="29"/>
  <c r="F57" i="30"/>
  <c r="F14" i="29"/>
  <c r="F33" i="29"/>
  <c r="F11" i="29"/>
  <c r="F44" i="29"/>
  <c r="F32" i="29"/>
  <c r="F57" i="29"/>
  <c r="F7" i="29"/>
  <c r="F9" i="29"/>
  <c r="F27" i="29"/>
  <c r="F9" i="40"/>
  <c r="F9" i="36"/>
  <c r="F9" i="31"/>
  <c r="F9" i="26"/>
  <c r="F9" i="27"/>
  <c r="F9" i="30"/>
  <c r="F9" i="35"/>
  <c r="F9" i="41"/>
  <c r="F9" i="34"/>
  <c r="F9" i="28"/>
  <c r="F9" i="37"/>
  <c r="F9" i="39"/>
  <c r="F11" i="41"/>
  <c r="F27" i="41"/>
  <c r="F54" i="41"/>
  <c r="F30" i="33"/>
  <c r="F22" i="33"/>
  <c r="F31" i="33"/>
  <c r="F32" i="33"/>
  <c r="F41" i="33"/>
  <c r="F31" i="34"/>
  <c r="F26" i="34"/>
  <c r="F43" i="34"/>
  <c r="F14" i="34"/>
  <c r="F55" i="40"/>
  <c r="F13" i="40"/>
  <c r="F10" i="40"/>
  <c r="F15" i="32"/>
  <c r="F41" i="36"/>
  <c r="F32" i="36"/>
  <c r="F45" i="36"/>
  <c r="F25" i="36"/>
  <c r="F24" i="36"/>
  <c r="F20" i="31"/>
  <c r="F54" i="31"/>
  <c r="F39" i="37"/>
  <c r="F16" i="37"/>
  <c r="F48" i="37"/>
  <c r="F31" i="37"/>
  <c r="F47" i="37"/>
  <c r="F30" i="37"/>
  <c r="F15" i="39"/>
  <c r="F31" i="39"/>
  <c r="F18" i="39"/>
  <c r="F50" i="39"/>
  <c r="F12" i="39"/>
  <c r="F29" i="39"/>
  <c r="F45" i="39"/>
  <c r="F21" i="35"/>
  <c r="F48" i="35"/>
  <c r="F29" i="35"/>
  <c r="F14" i="35"/>
  <c r="F49" i="35"/>
  <c r="F16" i="41"/>
  <c r="F42" i="41"/>
  <c r="F32" i="41"/>
  <c r="F25" i="41"/>
  <c r="F41" i="41"/>
  <c r="F13" i="41"/>
  <c r="F29" i="41"/>
  <c r="F45" i="41"/>
  <c r="F7" i="41"/>
  <c r="F39" i="41"/>
  <c r="F55" i="41"/>
  <c r="F52" i="33"/>
  <c r="F35" i="33"/>
  <c r="F12" i="33"/>
  <c r="F49" i="33"/>
  <c r="F24" i="33"/>
  <c r="F37" i="33"/>
  <c r="F39" i="33"/>
  <c r="F19" i="33"/>
  <c r="F45" i="33"/>
  <c r="F39" i="34"/>
  <c r="F35" i="34"/>
  <c r="F30" i="34"/>
  <c r="F47" i="34"/>
  <c r="F7" i="34"/>
  <c r="F21" i="34"/>
  <c r="F20" i="34"/>
  <c r="F36" i="34"/>
  <c r="F53" i="34"/>
  <c r="F14" i="40"/>
  <c r="F23" i="40"/>
  <c r="F37" i="40"/>
  <c r="F17" i="40"/>
  <c r="F35" i="40"/>
  <c r="F49" i="40"/>
  <c r="F12" i="40"/>
  <c r="F30" i="40"/>
  <c r="F44" i="40"/>
  <c r="F15" i="40"/>
  <c r="F29" i="40"/>
  <c r="F47" i="40"/>
  <c r="F16" i="32"/>
  <c r="F14" i="32"/>
  <c r="F50" i="36"/>
  <c r="F37" i="36"/>
  <c r="F17" i="36"/>
  <c r="F35" i="36"/>
  <c r="F49" i="36"/>
  <c r="F12" i="36"/>
  <c r="F30" i="36"/>
  <c r="F44" i="36"/>
  <c r="F15" i="36"/>
  <c r="F29" i="36"/>
  <c r="F47" i="36"/>
  <c r="F24" i="31"/>
  <c r="F40" i="31"/>
  <c r="F15" i="31"/>
  <c r="F31" i="31"/>
  <c r="F13" i="31"/>
  <c r="F10" i="31"/>
  <c r="F26" i="31"/>
  <c r="F55" i="37"/>
  <c r="F23" i="37"/>
  <c r="F21" i="37"/>
  <c r="F37" i="37"/>
  <c r="F53" i="37"/>
  <c r="F20" i="37"/>
  <c r="F36" i="37"/>
  <c r="F52" i="37"/>
  <c r="F19" i="37"/>
  <c r="F35" i="37"/>
  <c r="F51" i="37"/>
  <c r="F20" i="39"/>
  <c r="F36" i="39"/>
  <c r="F19" i="39"/>
  <c r="F35" i="39"/>
  <c r="F51" i="39"/>
  <c r="F38" i="39"/>
  <c r="F55" i="39"/>
  <c r="F17" i="39"/>
  <c r="F33" i="39"/>
  <c r="F49" i="39"/>
  <c r="F30" i="35"/>
  <c r="F25" i="35"/>
  <c r="F33" i="35"/>
  <c r="F51" i="35"/>
  <c r="F18" i="35"/>
  <c r="F32" i="35"/>
  <c r="F22" i="35"/>
  <c r="F36" i="35"/>
  <c r="F54" i="35"/>
  <c r="F37" i="41"/>
  <c r="F36" i="41"/>
  <c r="F40" i="41"/>
  <c r="F16" i="33"/>
  <c r="F20" i="33"/>
  <c r="F32" i="34"/>
  <c r="F43" i="40"/>
  <c r="F42" i="40"/>
  <c r="F11" i="32"/>
  <c r="F28" i="36"/>
  <c r="F13" i="36"/>
  <c r="F11" i="36"/>
  <c r="F43" i="36"/>
  <c r="F42" i="36"/>
  <c r="F33" i="31"/>
  <c r="F49" i="31"/>
  <c r="F36" i="31"/>
  <c r="F52" i="31"/>
  <c r="F43" i="31"/>
  <c r="F25" i="31"/>
  <c r="F38" i="31"/>
  <c r="F50" i="37"/>
  <c r="F18" i="37"/>
  <c r="F32" i="37"/>
  <c r="F15" i="37"/>
  <c r="F14" i="37"/>
  <c r="F46" i="37"/>
  <c r="F14" i="39"/>
  <c r="F47" i="39"/>
  <c r="F7" i="35"/>
  <c r="F15" i="35"/>
  <c r="F47" i="35"/>
  <c r="F28" i="35"/>
  <c r="F21" i="41"/>
  <c r="F53" i="41"/>
  <c r="F30" i="41"/>
  <c r="F46" i="41"/>
  <c r="F18" i="41"/>
  <c r="F34" i="41"/>
  <c r="F50" i="41"/>
  <c r="F12" i="41"/>
  <c r="F44" i="41"/>
  <c r="F7" i="33"/>
  <c r="F21" i="33"/>
  <c r="F38" i="33"/>
  <c r="F13" i="33"/>
  <c r="F10" i="33"/>
  <c r="F44" i="33"/>
  <c r="F23" i="33"/>
  <c r="F43" i="33"/>
  <c r="F36" i="33"/>
  <c r="F27" i="34"/>
  <c r="F48" i="34"/>
  <c r="F18" i="34"/>
  <c r="F44" i="34"/>
  <c r="F34" i="34"/>
  <c r="F51" i="34"/>
  <c r="F25" i="34"/>
  <c r="F40" i="34"/>
  <c r="F16" i="34"/>
  <c r="F41" i="40"/>
  <c r="F28" i="40"/>
  <c r="F46" i="40"/>
  <c r="F22" i="40"/>
  <c r="F36" i="40"/>
  <c r="F54" i="40"/>
  <c r="F16" i="40"/>
  <c r="F34" i="40"/>
  <c r="F48" i="40"/>
  <c r="F19" i="40"/>
  <c r="F33" i="40"/>
  <c r="F12" i="32"/>
  <c r="F18" i="32"/>
  <c r="F20" i="32"/>
  <c r="F14" i="36"/>
  <c r="F18" i="36"/>
  <c r="F46" i="36"/>
  <c r="F22" i="36"/>
  <c r="F36" i="36"/>
  <c r="F54" i="36"/>
  <c r="F16" i="36"/>
  <c r="F34" i="36"/>
  <c r="F48" i="36"/>
  <c r="F19" i="36"/>
  <c r="F33" i="36"/>
  <c r="F51" i="36"/>
  <c r="F41" i="31"/>
  <c r="F12" i="31"/>
  <c r="F28" i="31"/>
  <c r="F44" i="31"/>
  <c r="F29" i="31"/>
  <c r="F19" i="31"/>
  <c r="F35" i="31"/>
  <c r="F51" i="31"/>
  <c r="F14" i="31"/>
  <c r="F30" i="31"/>
  <c r="F46" i="31"/>
  <c r="F12" i="37"/>
  <c r="F28" i="37"/>
  <c r="F44" i="37"/>
  <c r="F22" i="37"/>
  <c r="F38" i="37"/>
  <c r="F54" i="37"/>
  <c r="F7" i="37"/>
  <c r="F24" i="37"/>
  <c r="F40" i="37"/>
  <c r="F32" i="39"/>
  <c r="F23" i="39"/>
  <c r="F39" i="39"/>
  <c r="F26" i="39"/>
  <c r="F42" i="39"/>
  <c r="F7" i="39"/>
  <c r="F21" i="39"/>
  <c r="F37" i="39"/>
  <c r="F53" i="39"/>
  <c r="F11" i="35"/>
  <c r="F39" i="35"/>
  <c r="F34" i="35"/>
  <c r="F20" i="35"/>
  <c r="F52" i="35"/>
  <c r="F37" i="35"/>
  <c r="F55" i="35"/>
  <c r="F26" i="35"/>
  <c r="F40" i="35"/>
  <c r="F20" i="41"/>
  <c r="F24" i="41"/>
  <c r="F22" i="41"/>
  <c r="F27" i="33"/>
  <c r="F51" i="33"/>
  <c r="F34" i="33"/>
  <c r="F14" i="33"/>
  <c r="F53" i="33"/>
  <c r="F23" i="34"/>
  <c r="F17" i="34"/>
  <c r="F49" i="34"/>
  <c r="F32" i="40"/>
  <c r="F24" i="40"/>
  <c r="F31" i="36"/>
  <c r="F10" i="36"/>
  <c r="F17" i="35"/>
  <c r="F26" i="41"/>
  <c r="F10" i="41"/>
  <c r="F48" i="41"/>
  <c r="F15" i="41"/>
  <c r="F31" i="41"/>
  <c r="F35" i="41"/>
  <c r="F51" i="41"/>
  <c r="F17" i="41"/>
  <c r="F49" i="41"/>
  <c r="F11" i="33"/>
  <c r="F26" i="33"/>
  <c r="F48" i="33"/>
  <c r="F18" i="33"/>
  <c r="F15" i="33"/>
  <c r="F29" i="33"/>
  <c r="F47" i="33"/>
  <c r="F55" i="33"/>
  <c r="F28" i="33"/>
  <c r="F46" i="33"/>
  <c r="F40" i="33"/>
  <c r="F54" i="33"/>
  <c r="F52" i="34"/>
  <c r="F13" i="34"/>
  <c r="F12" i="34"/>
  <c r="F22" i="34"/>
  <c r="F38" i="34"/>
  <c r="F55" i="34"/>
  <c r="F29" i="34"/>
  <c r="F42" i="34"/>
  <c r="F10" i="34"/>
  <c r="F45" i="34"/>
  <c r="F50" i="40"/>
  <c r="F27" i="40"/>
  <c r="F26" i="40"/>
  <c r="F40" i="40"/>
  <c r="F7" i="40"/>
  <c r="F21" i="40"/>
  <c r="F39" i="40"/>
  <c r="F53" i="40"/>
  <c r="F20" i="40"/>
  <c r="F52" i="40"/>
  <c r="F7" i="32"/>
  <c r="F10" i="32"/>
  <c r="F19" i="32"/>
  <c r="F23" i="36"/>
  <c r="F27" i="36"/>
  <c r="F55" i="36"/>
  <c r="F26" i="36"/>
  <c r="F40" i="36"/>
  <c r="F7" i="36"/>
  <c r="F21" i="36"/>
  <c r="F53" i="36"/>
  <c r="F38" i="36"/>
  <c r="F52" i="36"/>
  <c r="F45" i="31"/>
  <c r="F16" i="31"/>
  <c r="F48" i="31"/>
  <c r="F7" i="31"/>
  <c r="F23" i="31"/>
  <c r="F39" i="31"/>
  <c r="F55" i="31"/>
  <c r="F21" i="31"/>
  <c r="F18" i="31"/>
  <c r="F34" i="31"/>
  <c r="F50" i="31"/>
  <c r="F34" i="37"/>
  <c r="F11" i="37"/>
  <c r="F27" i="37"/>
  <c r="F43" i="37"/>
  <c r="F10" i="37"/>
  <c r="F26" i="37"/>
  <c r="F42" i="37"/>
  <c r="F13" i="37"/>
  <c r="F29" i="37"/>
  <c r="F45" i="37"/>
  <c r="F24" i="39"/>
  <c r="F44" i="39"/>
  <c r="F48" i="39"/>
  <c r="F27" i="39"/>
  <c r="F43" i="39"/>
  <c r="F13" i="39"/>
  <c r="F30" i="39"/>
  <c r="F11" i="39"/>
  <c r="F25" i="39"/>
  <c r="F41" i="39"/>
  <c r="F54" i="39"/>
  <c r="F44" i="35"/>
  <c r="F43" i="35"/>
  <c r="F10" i="35"/>
  <c r="F24" i="35"/>
  <c r="F41" i="35"/>
  <c r="F13" i="35"/>
  <c r="F45" i="35"/>
  <c r="F12" i="27"/>
  <c r="F41" i="28"/>
  <c r="F24" i="28"/>
  <c r="F53" i="28"/>
  <c r="F25" i="28"/>
  <c r="F19" i="30"/>
  <c r="F14" i="30"/>
  <c r="F40" i="30"/>
  <c r="F45" i="30"/>
  <c r="F21" i="27"/>
  <c r="F38" i="27"/>
  <c r="F15" i="27"/>
  <c r="F31" i="27"/>
  <c r="F47" i="27"/>
  <c r="F23" i="27"/>
  <c r="F39" i="27"/>
  <c r="F54" i="27"/>
  <c r="F43" i="27"/>
  <c r="F19" i="27"/>
  <c r="F35" i="27"/>
  <c r="F51" i="27"/>
  <c r="F50" i="28"/>
  <c r="F29" i="28"/>
  <c r="F45" i="28"/>
  <c r="F12" i="28"/>
  <c r="F28" i="28"/>
  <c r="F46" i="28"/>
  <c r="F39" i="28"/>
  <c r="F27" i="30"/>
  <c r="F55" i="30"/>
  <c r="F18" i="30"/>
  <c r="F34" i="30"/>
  <c r="F28" i="30"/>
  <c r="F44" i="30"/>
  <c r="F31" i="30"/>
  <c r="F17" i="30"/>
  <c r="F49" i="30"/>
  <c r="F34" i="27"/>
  <c r="F50" i="27"/>
  <c r="F30" i="27"/>
  <c r="F46" i="27"/>
  <c r="F42" i="28"/>
  <c r="F7" i="28"/>
  <c r="F38" i="28"/>
  <c r="F19" i="28"/>
  <c r="F51" i="28"/>
  <c r="F52" i="30"/>
  <c r="F51" i="30"/>
  <c r="F30" i="30"/>
  <c r="F24" i="30"/>
  <c r="F23" i="30"/>
  <c r="F48" i="27"/>
  <c r="F20" i="27"/>
  <c r="F36" i="27"/>
  <c r="F52" i="27"/>
  <c r="F28" i="27"/>
  <c r="F44" i="27"/>
  <c r="F11" i="27"/>
  <c r="F7" i="27"/>
  <c r="F24" i="27"/>
  <c r="F40" i="27"/>
  <c r="F55" i="27"/>
  <c r="F26" i="28"/>
  <c r="F55" i="28"/>
  <c r="F33" i="28"/>
  <c r="F49" i="28"/>
  <c r="F16" i="28"/>
  <c r="F32" i="28"/>
  <c r="F22" i="28"/>
  <c r="F13" i="28"/>
  <c r="F11" i="28"/>
  <c r="F43" i="28"/>
  <c r="F7" i="30"/>
  <c r="F35" i="30"/>
  <c r="F22" i="30"/>
  <c r="F38" i="30"/>
  <c r="F32" i="30"/>
  <c r="F48" i="30"/>
  <c r="F39" i="30"/>
  <c r="F53" i="30"/>
  <c r="F42" i="27"/>
  <c r="F32" i="27"/>
  <c r="F17" i="28"/>
  <c r="F13" i="30"/>
  <c r="F17" i="27"/>
  <c r="F27" i="27"/>
  <c r="F25" i="27"/>
  <c r="F16" i="27"/>
  <c r="F13" i="27"/>
  <c r="F34" i="28"/>
  <c r="F37" i="28"/>
  <c r="F54" i="28"/>
  <c r="F20" i="28"/>
  <c r="F36" i="28"/>
  <c r="F30" i="28"/>
  <c r="F21" i="28"/>
  <c r="F15" i="28"/>
  <c r="F47" i="28"/>
  <c r="F20" i="30"/>
  <c r="F11" i="30"/>
  <c r="F43" i="30"/>
  <c r="F10" i="30"/>
  <c r="F26" i="30"/>
  <c r="F36" i="30"/>
  <c r="F15" i="30"/>
  <c r="F47" i="30"/>
  <c r="F41" i="30"/>
  <c r="F37" i="26"/>
  <c r="F36" i="26"/>
  <c r="F19" i="26"/>
  <c r="F51" i="26"/>
  <c r="F53" i="26"/>
  <c r="F50" i="26"/>
  <c r="F38" i="26"/>
  <c r="F25" i="26"/>
  <c r="F41" i="26"/>
  <c r="F7" i="26"/>
  <c r="F24" i="26"/>
  <c r="F40" i="26"/>
  <c r="F27" i="26"/>
  <c r="F54" i="26"/>
  <c r="F23" i="26"/>
  <c r="F55" i="26"/>
  <c r="F11" i="26"/>
  <c r="F26" i="26"/>
  <c r="F42" i="26"/>
  <c r="F13" i="26"/>
  <c r="F29" i="26"/>
  <c r="F45" i="26"/>
  <c r="F16" i="26"/>
  <c r="F43" i="26"/>
  <c r="F12" i="26"/>
  <c r="F28" i="26"/>
  <c r="F44" i="26"/>
  <c r="F52" i="26"/>
  <c r="F35" i="26"/>
  <c r="F22" i="26"/>
  <c r="F18" i="26"/>
  <c r="F34" i="26"/>
  <c r="F32" i="26"/>
  <c r="F15" i="26"/>
  <c r="F31" i="26"/>
  <c r="F47" i="26"/>
  <c r="F14" i="26"/>
  <c r="F46" i="26"/>
  <c r="F21" i="26"/>
  <c r="F48" i="26"/>
  <c r="F17" i="26"/>
  <c r="F33" i="26"/>
  <c r="D57" i="3" l="1"/>
  <c r="D10" i="3"/>
  <c r="D11" i="3"/>
  <c r="D52" i="3"/>
  <c r="D53" i="3"/>
  <c r="D54" i="3"/>
  <c r="G54" i="3" s="1"/>
  <c r="D55" i="3"/>
  <c r="G55" i="3" s="1"/>
  <c r="D9" i="3"/>
  <c r="D7" i="3"/>
  <c r="G53" i="3" l="1"/>
  <c r="H53" i="3" s="1"/>
  <c r="G9" i="3"/>
  <c r="H9" i="3" s="1"/>
  <c r="G52" i="3"/>
  <c r="H52" i="3" s="1"/>
  <c r="G57" i="3"/>
  <c r="H57" i="3" s="1"/>
  <c r="G11" i="3"/>
  <c r="H11" i="3" s="1"/>
  <c r="G12" i="3"/>
  <c r="H12" i="3" s="1"/>
  <c r="G7" i="3"/>
  <c r="G10" i="3"/>
  <c r="H10" i="3" s="1"/>
  <c r="H54" i="3"/>
  <c r="H55" i="3"/>
  <c r="I57" i="3" l="1"/>
  <c r="J57" i="3" s="1"/>
  <c r="P17" i="3" s="1"/>
  <c r="I7" i="3"/>
  <c r="J7" i="3" s="1"/>
  <c r="H7" i="3"/>
  <c r="I9" i="3"/>
  <c r="J9" i="3" s="1"/>
  <c r="I11" i="3"/>
  <c r="F12" i="3" s="1"/>
  <c r="I10" i="3"/>
  <c r="J10" i="3" s="1"/>
  <c r="I49" i="3"/>
  <c r="J49" i="3" s="1"/>
  <c r="I26" i="3"/>
  <c r="J26" i="3" s="1"/>
  <c r="I19" i="3"/>
  <c r="J19" i="3" s="1"/>
  <c r="I51" i="3"/>
  <c r="J51" i="3" s="1"/>
  <c r="I32" i="3"/>
  <c r="J32" i="3" s="1"/>
  <c r="I46" i="3"/>
  <c r="J46" i="3" s="1"/>
  <c r="I34" i="3"/>
  <c r="J34" i="3" s="1"/>
  <c r="I40" i="3"/>
  <c r="J40" i="3" s="1"/>
  <c r="I24" i="3"/>
  <c r="J24" i="3" s="1"/>
  <c r="I16" i="3"/>
  <c r="I47" i="3"/>
  <c r="J47" i="3" s="1"/>
  <c r="I25" i="3"/>
  <c r="J25" i="3" s="1"/>
  <c r="I17" i="3"/>
  <c r="J17" i="3" s="1"/>
  <c r="I44" i="3"/>
  <c r="I30" i="3"/>
  <c r="J30" i="3" s="1"/>
  <c r="I45" i="3"/>
  <c r="I33" i="3"/>
  <c r="J33" i="3" s="1"/>
  <c r="I38" i="3"/>
  <c r="I22" i="3"/>
  <c r="J22" i="3" s="1"/>
  <c r="I14" i="3"/>
  <c r="J14" i="3" s="1"/>
  <c r="I39" i="3"/>
  <c r="J39" i="3" s="1"/>
  <c r="I23" i="3"/>
  <c r="J23" i="3" s="1"/>
  <c r="I15" i="3"/>
  <c r="J15" i="3" s="1"/>
  <c r="I42" i="3"/>
  <c r="J42" i="3" s="1"/>
  <c r="I29" i="3"/>
  <c r="J29" i="3" s="1"/>
  <c r="I43" i="3"/>
  <c r="F44" i="3" s="1"/>
  <c r="I31" i="3"/>
  <c r="J31" i="3" s="1"/>
  <c r="I37" i="3"/>
  <c r="J37" i="3" s="1"/>
  <c r="I20" i="3"/>
  <c r="J20" i="3" s="1"/>
  <c r="I12" i="3"/>
  <c r="I50" i="3"/>
  <c r="J50" i="3" s="1"/>
  <c r="I28" i="3"/>
  <c r="J28" i="3" s="1"/>
  <c r="I21" i="3"/>
  <c r="J21" i="3" s="1"/>
  <c r="I13" i="3"/>
  <c r="I41" i="3"/>
  <c r="J41" i="3" s="1"/>
  <c r="I27" i="3"/>
  <c r="J27" i="3" s="1"/>
  <c r="I36" i="3"/>
  <c r="J36" i="3" s="1"/>
  <c r="I48" i="3"/>
  <c r="I35" i="3"/>
  <c r="J35" i="3" s="1"/>
  <c r="I18" i="3"/>
  <c r="J18" i="3" s="1"/>
  <c r="F10" i="3"/>
  <c r="I53" i="3"/>
  <c r="J53" i="3" s="1"/>
  <c r="I55" i="3"/>
  <c r="J55" i="3" s="1"/>
  <c r="I52" i="3"/>
  <c r="J52" i="3" s="1"/>
  <c r="I54" i="3"/>
  <c r="J54" i="3" s="1"/>
  <c r="F11" i="3" l="1"/>
  <c r="F15" i="3"/>
  <c r="F14" i="3"/>
  <c r="F39" i="3"/>
  <c r="F17" i="3"/>
  <c r="F42" i="3"/>
  <c r="J11" i="3"/>
  <c r="F51" i="3"/>
  <c r="F46" i="3"/>
  <c r="F25" i="3"/>
  <c r="F49" i="3"/>
  <c r="F13" i="3"/>
  <c r="F45" i="3"/>
  <c r="F16" i="3"/>
  <c r="F34" i="3"/>
  <c r="F48" i="3"/>
  <c r="F20" i="3"/>
  <c r="F23" i="3"/>
  <c r="F38" i="3"/>
  <c r="J38" i="3"/>
  <c r="F7" i="3"/>
  <c r="F28" i="3"/>
  <c r="J43" i="3"/>
  <c r="F26" i="3"/>
  <c r="F9" i="3"/>
  <c r="F30" i="3"/>
  <c r="J16" i="3"/>
  <c r="F32" i="3"/>
  <c r="F36" i="3"/>
  <c r="F31" i="3"/>
  <c r="F19" i="3"/>
  <c r="F29" i="3"/>
  <c r="F43" i="3"/>
  <c r="J48" i="3"/>
  <c r="J45" i="3"/>
  <c r="F41" i="3"/>
  <c r="F37" i="3"/>
  <c r="F35" i="3"/>
  <c r="F24" i="3"/>
  <c r="F47" i="3"/>
  <c r="F27" i="3"/>
  <c r="J13" i="3"/>
  <c r="J12" i="3"/>
  <c r="J44" i="3"/>
  <c r="F22" i="3"/>
  <c r="F21" i="3"/>
  <c r="F40" i="3"/>
  <c r="F18" i="3"/>
  <c r="F33" i="3"/>
  <c r="F50" i="3"/>
  <c r="F55" i="3"/>
  <c r="F57" i="3"/>
  <c r="F54" i="3"/>
  <c r="F53" i="3"/>
  <c r="F52" i="3"/>
  <c r="E7" i="3"/>
  <c r="E9" i="3"/>
  <c r="E10" i="3"/>
  <c r="E11" i="3"/>
  <c r="E52" i="3"/>
  <c r="E53" i="3"/>
  <c r="E54" i="3"/>
  <c r="E55" i="3"/>
  <c r="E57" i="3"/>
  <c r="I52" i="32" l="1"/>
  <c r="I46" i="32"/>
  <c r="I42" i="32"/>
  <c r="I38" i="32"/>
  <c r="I34" i="32"/>
  <c r="I30" i="32"/>
  <c r="I26" i="32"/>
  <c r="I22" i="32"/>
  <c r="I43" i="32"/>
  <c r="I51" i="32"/>
  <c r="I39" i="32"/>
  <c r="I50" i="32"/>
  <c r="I54" i="32"/>
  <c r="J54" i="32" s="1"/>
  <c r="I48" i="32"/>
  <c r="I44" i="32"/>
  <c r="I40" i="32"/>
  <c r="I36" i="32"/>
  <c r="I32" i="32"/>
  <c r="I28" i="32"/>
  <c r="I24" i="32"/>
  <c r="I57" i="32"/>
  <c r="J57" i="32" s="1"/>
  <c r="P17" i="32" s="1"/>
  <c r="I31" i="32"/>
  <c r="I27" i="32"/>
  <c r="I55" i="32"/>
  <c r="J55" i="32" s="1"/>
  <c r="I23" i="32"/>
  <c r="I47" i="32"/>
  <c r="I35" i="32"/>
  <c r="F26" i="32" l="1"/>
  <c r="F42" i="32"/>
  <c r="J48" i="32"/>
  <c r="F23" i="32"/>
  <c r="J22" i="32"/>
  <c r="J36" i="32"/>
  <c r="F30" i="32"/>
  <c r="F27" i="32"/>
  <c r="J26" i="32"/>
  <c r="F28" i="32"/>
  <c r="J27" i="32"/>
  <c r="J40" i="32"/>
  <c r="F51" i="32"/>
  <c r="J50" i="32"/>
  <c r="F34" i="32"/>
  <c r="F31" i="32"/>
  <c r="J30" i="32"/>
  <c r="F47" i="32"/>
  <c r="J46" i="32"/>
  <c r="F36" i="32"/>
  <c r="J35" i="32"/>
  <c r="F50" i="32"/>
  <c r="J32" i="32"/>
  <c r="F52" i="32"/>
  <c r="J51" i="32"/>
  <c r="F39" i="32"/>
  <c r="J38" i="32"/>
  <c r="F22" i="32"/>
  <c r="F46" i="32"/>
  <c r="F43" i="32"/>
  <c r="J42" i="32"/>
  <c r="F48" i="32"/>
  <c r="J47" i="32"/>
  <c r="F24" i="32"/>
  <c r="J23" i="32"/>
  <c r="J24" i="32"/>
  <c r="F54" i="32"/>
  <c r="F38" i="32"/>
  <c r="F32" i="32"/>
  <c r="J31" i="32"/>
  <c r="J28" i="32"/>
  <c r="J44" i="32"/>
  <c r="F40" i="32"/>
  <c r="J39" i="32"/>
  <c r="F44" i="32"/>
  <c r="J43" i="32"/>
  <c r="F35" i="32"/>
  <c r="J34" i="32"/>
  <c r="J52" i="32"/>
  <c r="F57" i="32"/>
  <c r="F55" i="32"/>
</calcChain>
</file>

<file path=xl/sharedStrings.xml><?xml version="1.0" encoding="utf-8"?>
<sst xmlns="http://schemas.openxmlformats.org/spreadsheetml/2006/main" count="744" uniqueCount="146">
  <si>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</si>
  <si>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</si>
  <si>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</si>
  <si>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</si>
  <si>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</si>
  <si>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표준점수</t>
    <phoneticPr fontId="1" type="noConversion"/>
  </si>
  <si>
    <t>인원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</si>
  <si>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</si>
  <si>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</si>
  <si>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</si>
  <si>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</si>
  <si>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</si>
  <si>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</si>
  <si>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</si>
  <si>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</si>
  <si>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</si>
  <si>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</si>
  <si>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</si>
  <si>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</si>
  <si>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</si>
  <si>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</si>
  <si>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</si>
  <si>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</si>
  <si>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</si>
  <si>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</si>
  <si>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</si>
  <si>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</si>
  <si>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</si>
  <si>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</si>
  <si>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</si>
  <si>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</si>
  <si>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</si>
  <si>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</si>
  <si>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인간 발달</t>
    <phoneticPr fontId="1" type="noConversion"/>
  </si>
  <si>
    <t>9등급</t>
    <phoneticPr fontId="1" type="noConversion"/>
  </si>
  <si>
    <t>-</t>
    <phoneticPr fontId="1" type="noConversion"/>
  </si>
  <si>
    <t>물리학Ⅱ</t>
    <phoneticPr fontId="1" type="noConversion"/>
  </si>
  <si>
    <t>물리학Ⅰ</t>
    <phoneticPr fontId="1" type="noConversion"/>
  </si>
  <si>
    <t>정치와 법</t>
    <phoneticPr fontId="1" type="noConversion"/>
  </si>
  <si>
    <t>수산·해운 산업 기초</t>
    <phoneticPr fontId="1" type="noConversion"/>
  </si>
  <si>
    <t>성공적인 직업생활</t>
    <phoneticPr fontId="1" type="noConversion"/>
  </si>
  <si>
    <t>물리학Ⅱ</t>
    <phoneticPr fontId="1" type="noConversion"/>
  </si>
  <si>
    <t>성직</t>
    <phoneticPr fontId="1" type="noConversion"/>
  </si>
  <si>
    <t>농업</t>
    <phoneticPr fontId="1" type="noConversion"/>
  </si>
  <si>
    <t>공업</t>
    <phoneticPr fontId="1" type="noConversion"/>
  </si>
  <si>
    <t>상업</t>
    <phoneticPr fontId="1" type="noConversion"/>
  </si>
  <si>
    <t>시험명</t>
    <phoneticPr fontId="1" type="noConversion"/>
  </si>
  <si>
    <t>직업탐구 (수산·해운 산업 기초)</t>
    <phoneticPr fontId="1" type="noConversion"/>
  </si>
  <si>
    <t>누적(계)</t>
    <phoneticPr fontId="27" type="noConversion"/>
  </si>
  <si>
    <t>B2:K58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</si>
  <si>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</si>
  <si>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</si>
  <si>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</si>
  <si>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</si>
  <si>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</si>
  <si>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</si>
  <si>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</si>
  <si>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</si>
  <si>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인간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발달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</si>
  <si>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상업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</si>
  <si>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공업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일반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</si>
  <si>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성공적인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직업생활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</si>
  <si>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</si>
  <si>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</si>
  <si>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</si>
  <si>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</si>
  <si>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</si>
  <si>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</si>
  <si>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</si>
  <si>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</si>
  <si>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</si>
  <si>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</si>
  <si>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</si>
  <si>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</si>
  <si>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</si>
  <si>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</si>
  <si>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</si>
  <si>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</si>
  <si>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phoneticPr fontId="1" type="noConversion"/>
  </si>
  <si>
    <r>
      <rPr>
        <sz val="13"/>
        <color theme="1"/>
        <rFont val="맑은 고딕"/>
        <family val="2"/>
        <charset val="129"/>
      </rPr>
      <t>표준점수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</si>
  <si>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</si>
  <si>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백분위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</si>
  <si>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</si>
  <si>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</si>
  <si>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</si>
  <si>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</si>
  <si>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</si>
  <si>
    <r>
      <rPr>
        <sz val="12"/>
        <color theme="1"/>
        <rFont val="맑은 고딕"/>
        <family val="3"/>
        <charset val="129"/>
      </rPr>
      <t>탐구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</si>
  <si>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</si>
  <si>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</si>
  <si>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</si>
  <si>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</si>
  <si>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</si>
  <si>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</si>
  <si>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</si>
  <si>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</si>
  <si>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</si>
  <si>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</si>
  <si>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</si>
  <si>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</si>
  <si>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</si>
  <si>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</si>
  <si>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</si>
  <si>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</si>
  <si>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</si>
  <si>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</si>
  <si>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</si>
  <si>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</si>
  <si>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</si>
  <si>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</si>
  <si>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</si>
  <si>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</si>
  <si>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직업탐구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</si>
  <si>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성공적인</t>
    </r>
    <r>
      <rPr>
        <b/>
        <sz val="13"/>
        <color theme="1"/>
        <rFont val="Microsoft Sans Serif"/>
        <family val="2"/>
      </rPr>
      <t xml:space="preserve">    </t>
    </r>
    <r>
      <rPr>
        <b/>
        <sz val="13"/>
        <color theme="1"/>
        <rFont val="맑은 고딕"/>
        <family val="3"/>
        <charset val="129"/>
      </rPr>
      <t>직업생활</t>
    </r>
    <phoneticPr fontId="1" type="noConversion"/>
  </si>
  <si>
    <r>
      <rPr>
        <b/>
        <sz val="13"/>
        <color theme="1"/>
        <rFont val="맑은 고딕"/>
        <family val="3"/>
        <charset val="129"/>
      </rPr>
      <t>농업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기술</t>
    </r>
    <phoneticPr fontId="1" type="noConversion"/>
  </si>
  <si>
    <r>
      <rPr>
        <b/>
        <sz val="13"/>
        <color theme="1"/>
        <rFont val="맑은 고딕"/>
        <family val="3"/>
        <charset val="129"/>
      </rPr>
      <t>공업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일반</t>
    </r>
    <phoneticPr fontId="1" type="noConversion"/>
  </si>
  <si>
    <r>
      <rPr>
        <b/>
        <sz val="13"/>
        <color theme="1"/>
        <rFont val="맑은 고딕"/>
        <family val="3"/>
        <charset val="129"/>
      </rPr>
      <t>상업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</si>
  <si>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수산∙해운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산업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phoneticPr fontId="1" type="noConversion"/>
  </si>
  <si>
    <r>
      <rPr>
        <b/>
        <sz val="13"/>
        <color theme="1"/>
        <rFont val="맑은 고딕"/>
        <family val="3"/>
        <charset val="129"/>
      </rPr>
      <t>인간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발달</t>
    </r>
    <phoneticPr fontId="1" type="noConversion"/>
  </si>
  <si>
    <t>직업탐구 (농업 기초 기술)</t>
    <phoneticPr fontId="1" type="noConversion"/>
  </si>
  <si>
    <r>
      <t xml:space="preserve">작성자 : 크럭스(Crux) 컨설팅 입시분석 팀장 </t>
    </r>
    <r>
      <rPr>
        <b/>
        <sz val="10"/>
        <color rgb="FF888888"/>
        <rFont val="맑은 고딕"/>
        <family val="3"/>
        <charset val="129"/>
        <scheme val="minor"/>
      </rPr>
      <t>환동</t>
    </r>
    <phoneticPr fontId="1" type="noConversion"/>
  </si>
  <si>
    <r>
      <t xml:space="preserve">작성자 : 크럭스(Crux) 컨설팅 입시분석 팀장 </t>
    </r>
    <r>
      <rPr>
        <b/>
        <sz val="16"/>
        <color rgb="FF888888"/>
        <rFont val="맑은 고딕"/>
        <family val="3"/>
        <charset val="129"/>
        <scheme val="minor"/>
      </rPr>
      <t>환동</t>
    </r>
    <phoneticPr fontId="1" type="noConversion"/>
  </si>
  <si>
    <r>
      <t>2025</t>
    </r>
    <r>
      <rPr>
        <sz val="12"/>
        <color theme="1"/>
        <rFont val="맑은 고딕"/>
        <family val="3"/>
        <charset val="129"/>
        <scheme val="major"/>
      </rPr>
      <t>학년도 대학수학능력시험</t>
    </r>
    <r>
      <rPr>
        <sz val="12"/>
        <color theme="1"/>
        <rFont val="Microsoft Sans Serif"/>
        <family val="2"/>
      </rPr>
      <t xml:space="preserve">  </t>
    </r>
    <phoneticPr fontId="1" type="noConversion"/>
  </si>
  <si>
    <r>
      <t>2025</t>
    </r>
    <r>
      <rPr>
        <sz val="12"/>
        <color theme="1"/>
        <rFont val="맑은 고딕"/>
        <family val="3"/>
        <charset val="129"/>
        <scheme val="major"/>
      </rPr>
      <t xml:space="preserve">학년도 대학수학능력시험  </t>
    </r>
    <phoneticPr fontId="1" type="noConversion"/>
  </si>
  <si>
    <t>34미만</t>
  </si>
  <si>
    <t>35미만</t>
  </si>
  <si>
    <t>37미만</t>
  </si>
  <si>
    <t>등급</t>
  </si>
  <si>
    <t>동아시아사</t>
  </si>
  <si>
    <t>세계사</t>
  </si>
  <si>
    <t>경제</t>
  </si>
  <si>
    <t>정치와 법</t>
  </si>
  <si>
    <t>인원(명)</t>
  </si>
  <si>
    <t>비율(%)</t>
  </si>
  <si>
    <t>구분 점수</t>
  </si>
  <si>
    <t>36미만</t>
  </si>
  <si>
    <t>사회·문화</t>
  </si>
  <si>
    <t>32미만</t>
  </si>
  <si>
    <r>
      <rPr>
        <sz val="10"/>
        <color indexed="8"/>
        <rFont val="한양중고딕,한컴돋움"/>
        <family val="3"/>
        <charset val="129"/>
      </rPr>
      <t>물리학</t>
    </r>
    <r>
      <rPr>
        <sz val="10"/>
        <color indexed="8"/>
        <rFont val="맑은 고딕"/>
        <family val="3"/>
        <charset val="129"/>
      </rPr>
      <t>Ⅱ</t>
    </r>
  </si>
  <si>
    <r>
      <rPr>
        <sz val="10"/>
        <color indexed="8"/>
        <rFont val="한양중고딕,한컴돋움"/>
        <family val="3"/>
        <charset val="129"/>
      </rPr>
      <t>화학</t>
    </r>
    <r>
      <rPr>
        <sz val="10"/>
        <color indexed="8"/>
        <rFont val="맑은 고딕"/>
        <family val="3"/>
        <charset val="129"/>
      </rPr>
      <t>Ⅱ</t>
    </r>
  </si>
  <si>
    <r>
      <rPr>
        <sz val="10"/>
        <color indexed="8"/>
        <rFont val="한양중고딕,한컴돋움"/>
        <family val="3"/>
        <charset val="129"/>
      </rPr>
      <t>생명과학</t>
    </r>
    <r>
      <rPr>
        <sz val="10"/>
        <color indexed="8"/>
        <rFont val="맑은 고딕"/>
        <family val="3"/>
        <charset val="129"/>
      </rPr>
      <t>Ⅱ</t>
    </r>
  </si>
  <si>
    <r>
      <rPr>
        <sz val="10"/>
        <color indexed="8"/>
        <rFont val="한양중고딕,한컴돋움"/>
        <family val="3"/>
        <charset val="129"/>
      </rPr>
      <t>지구과학</t>
    </r>
    <r>
      <rPr>
        <sz val="10"/>
        <color indexed="8"/>
        <rFont val="맑은 고딕"/>
        <family val="3"/>
        <charset val="129"/>
      </rPr>
      <t>Ⅱ</t>
    </r>
  </si>
  <si>
    <t>수산·해운 산업 기초</t>
  </si>
  <si>
    <t>인간 발달</t>
  </si>
  <si>
    <t>28미만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</si>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</sst>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#,##0_ "/>
    <numFmt numFmtId="177" formatCode="0_);[Red]\(0\)"/>
    <numFmt numFmtId="178" formatCode="#,##0_);[Red]\(#,##0\)"/>
    <numFmt numFmtId="179" formatCode="0.00_ "/>
  </numFmts>
  <fonts count="4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</font>
    <font>
      <sz val="8"/>
      <name val="돋움"/>
      <family val="3"/>
      <charset val="129"/>
    </font>
    <font>
      <sz val="9"/>
      <name val="한컴돋움"/>
      <family val="1"/>
      <charset val="129"/>
    </font>
    <font>
      <sz val="10"/>
      <name val="한양중고딕,한컴돋움"/>
      <family val="3"/>
      <charset val="129"/>
    </font>
    <font>
      <sz val="11"/>
      <color rgb="FF000000"/>
      <name val="맑은 고딕"/>
      <family val="3"/>
      <charset val="129"/>
    </font>
    <font>
      <sz val="12"/>
      <color theme="1"/>
      <name val="Microsoft Sans Serif"/>
      <family val="2"/>
      <charset val="129"/>
    </font>
    <font>
      <sz val="12"/>
      <color theme="1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2"/>
      <charset val="129"/>
    </font>
    <font>
      <sz val="13"/>
      <name val="Microsoft Sans Serif"/>
      <family val="2"/>
    </font>
    <font>
      <b/>
      <sz val="13"/>
      <color theme="1"/>
      <name val="Microsoft Sans Serif"/>
      <family val="2"/>
    </font>
    <font>
      <b/>
      <sz val="13"/>
      <color theme="1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10"/>
      <color rgb="FF888888"/>
      <name val="맑은 고딕"/>
      <family val="3"/>
      <charset val="129"/>
      <scheme val="minor"/>
    </font>
    <font>
      <b/>
      <sz val="10"/>
      <color rgb="FF888888"/>
      <name val="맑은 고딕"/>
      <family val="3"/>
      <charset val="129"/>
      <scheme val="minor"/>
    </font>
    <font>
      <sz val="16"/>
      <color rgb="FF888888"/>
      <name val="맑은 고딕"/>
      <family val="3"/>
      <charset val="129"/>
      <scheme val="minor"/>
    </font>
    <font>
      <b/>
      <sz val="16"/>
      <color rgb="FF88888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0"/>
      <color indexed="8"/>
      <name val="한양중고딕,한컴돋움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</fonts>
  <fills count="3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indexed="22"/>
        <bgColor indexed="64"/>
      </patternFill>
    </fill>
  </fills>
  <borders count="152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8"/>
      </right>
      <top style="thin">
        <color indexed="8"/>
      </top>
      <bottom style="thin">
        <color indexed="23"/>
      </bottom>
      <diagonal/>
    </border>
    <border>
      <left style="thin">
        <color indexed="23"/>
      </left>
      <right style="thin">
        <color indexed="8"/>
      </right>
      <top style="thin">
        <color indexed="23"/>
      </top>
      <bottom style="hair">
        <color indexed="8"/>
      </bottom>
      <diagonal/>
    </border>
    <border>
      <left style="thin">
        <color theme="0" tint="-0.499984740745262"/>
      </left>
      <right style="thin">
        <color indexed="8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8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8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8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8"/>
      </right>
      <top style="thin">
        <color theme="0" tint="-0.499984740745262"/>
      </top>
      <bottom/>
      <diagonal/>
    </border>
    <border>
      <left style="thin">
        <color indexed="8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double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double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double">
        <color indexed="64"/>
      </bottom>
      <diagonal/>
    </border>
    <border>
      <left style="thin">
        <color indexed="8"/>
      </left>
      <right style="double">
        <color indexed="8"/>
      </right>
      <top/>
      <bottom style="double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64"/>
      </bottom>
      <diagonal/>
    </border>
    <border>
      <left style="thin">
        <color indexed="64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 style="double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 diagonalUp="1">
      <left/>
      <right/>
      <top/>
      <bottom/>
      <diagonal style="thin">
        <color indexed="64"/>
      </diagonal>
    </border>
    <border diagonalUp="1">
      <left/>
      <right/>
      <top style="medium">
        <color indexed="64"/>
      </top>
      <bottom/>
      <diagonal style="thin">
        <color indexed="64"/>
      </diagonal>
    </border>
    <border diagonalUp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>
      <left/>
      <right style="medium">
        <color indexed="64"/>
      </right>
      <top/>
      <bottom/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/>
      <bottom style="double">
        <color indexed="64"/>
      </bottom>
      <diagonal/>
    </border>
    <border>
      <left style="thin">
        <color indexed="8"/>
      </left>
      <right style="double">
        <color indexed="64"/>
      </right>
      <top/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 style="double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double">
        <color indexed="64"/>
      </left>
      <right/>
      <top style="medium">
        <color indexed="8"/>
      </top>
      <bottom style="thin">
        <color indexed="8"/>
      </bottom>
      <diagonal/>
    </border>
    <border>
      <left/>
      <right style="double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7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9" borderId="28" applyNumberFormat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0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1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2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</cellStyleXfs>
  <cellXfs count="2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0" fillId="5" borderId="0" xfId="0" applyFill="1">
      <alignment vertical="center"/>
    </xf>
    <xf numFmtId="0" fontId="0" fillId="0" borderId="3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36" xfId="0" applyBorder="1">
      <alignment vertical="center"/>
    </xf>
    <xf numFmtId="0" fontId="23" fillId="5" borderId="0" xfId="0" applyFont="1" applyFill="1" applyAlignment="1">
      <alignment horizontal="center" vertical="center"/>
    </xf>
    <xf numFmtId="0" fontId="23" fillId="5" borderId="0" xfId="0" applyFont="1" applyFill="1">
      <alignment vertical="center"/>
    </xf>
    <xf numFmtId="0" fontId="24" fillId="5" borderId="0" xfId="0" applyFont="1" applyFill="1" applyAlignment="1">
      <alignment horizontal="center"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178" fontId="28" fillId="38" borderId="59" xfId="0" applyNumberFormat="1" applyFont="1" applyFill="1" applyBorder="1" applyAlignment="1">
      <alignment horizontal="center" vertical="center"/>
    </xf>
    <xf numFmtId="178" fontId="28" fillId="0" borderId="60" xfId="34" applyNumberFormat="1" applyFont="1" applyBorder="1" applyAlignment="1">
      <alignment horizontal="center" vertical="center"/>
    </xf>
    <xf numFmtId="178" fontId="28" fillId="0" borderId="61" xfId="34" applyNumberFormat="1" applyFont="1" applyBorder="1" applyAlignment="1">
      <alignment horizontal="center" vertical="center"/>
    </xf>
    <xf numFmtId="178" fontId="28" fillId="38" borderId="58" xfId="0" applyNumberFormat="1" applyFont="1" applyFill="1" applyBorder="1">
      <alignment vertical="center"/>
    </xf>
    <xf numFmtId="0" fontId="25" fillId="5" borderId="62" xfId="0" applyFont="1" applyFill="1" applyBorder="1">
      <alignment vertical="center"/>
    </xf>
    <xf numFmtId="0" fontId="0" fillId="5" borderId="64" xfId="0" applyFill="1" applyBorder="1">
      <alignment vertical="center"/>
    </xf>
    <xf numFmtId="0" fontId="25" fillId="5" borderId="65" xfId="0" applyFont="1" applyFill="1" applyBorder="1">
      <alignment vertical="center"/>
    </xf>
    <xf numFmtId="0" fontId="0" fillId="5" borderId="66" xfId="0" applyFill="1" applyBorder="1">
      <alignment vertical="center"/>
    </xf>
    <xf numFmtId="0" fontId="24" fillId="5" borderId="0" xfId="0" applyFont="1" applyFill="1">
      <alignment vertical="center"/>
    </xf>
    <xf numFmtId="0" fontId="0" fillId="5" borderId="67" xfId="0" applyFill="1" applyBorder="1">
      <alignment vertical="center"/>
    </xf>
    <xf numFmtId="0" fontId="0" fillId="5" borderId="68" xfId="0" applyFill="1" applyBorder="1">
      <alignment vertical="center"/>
    </xf>
    <xf numFmtId="0" fontId="0" fillId="5" borderId="69" xfId="0" applyFill="1" applyBorder="1">
      <alignment vertical="center"/>
    </xf>
    <xf numFmtId="0" fontId="25" fillId="5" borderId="63" xfId="0" applyFont="1" applyFill="1" applyBorder="1">
      <alignment vertical="center"/>
    </xf>
    <xf numFmtId="0" fontId="23" fillId="5" borderId="62" xfId="0" applyFont="1" applyFill="1" applyBorder="1">
      <alignment vertical="center"/>
    </xf>
    <xf numFmtId="0" fontId="23" fillId="5" borderId="63" xfId="0" applyFont="1" applyFill="1" applyBorder="1" applyAlignment="1">
      <alignment horizontal="center" vertical="center"/>
    </xf>
    <xf numFmtId="0" fontId="23" fillId="5" borderId="65" xfId="0" applyFont="1" applyFill="1" applyBorder="1">
      <alignment vertical="center"/>
    </xf>
    <xf numFmtId="0" fontId="23" fillId="5" borderId="67" xfId="0" applyFont="1" applyFill="1" applyBorder="1">
      <alignment vertical="center"/>
    </xf>
    <xf numFmtId="0" fontId="23" fillId="5" borderId="68" xfId="0" applyFont="1" applyFill="1" applyBorder="1" applyAlignment="1">
      <alignment horizontal="center" vertical="center"/>
    </xf>
    <xf numFmtId="0" fontId="23" fillId="5" borderId="69" xfId="0" applyFont="1" applyFill="1" applyBorder="1">
      <alignment vertical="center"/>
    </xf>
    <xf numFmtId="0" fontId="23" fillId="0" borderId="63" xfId="0" applyFont="1" applyBorder="1">
      <alignment vertical="center"/>
    </xf>
    <xf numFmtId="0" fontId="23" fillId="5" borderId="66" xfId="0" applyFont="1" applyFill="1" applyBorder="1">
      <alignment vertical="center"/>
    </xf>
    <xf numFmtId="0" fontId="23" fillId="5" borderId="68" xfId="0" applyFont="1" applyFill="1" applyBorder="1">
      <alignment vertical="center"/>
    </xf>
    <xf numFmtId="0" fontId="23" fillId="5" borderId="64" xfId="0" applyFont="1" applyFill="1" applyBorder="1">
      <alignment vertical="center"/>
    </xf>
    <xf numFmtId="0" fontId="24" fillId="4" borderId="20" xfId="0" applyFont="1" applyFill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33" fillId="4" borderId="15" xfId="0" applyFont="1" applyFill="1" applyBorder="1" applyAlignment="1">
      <alignment horizontal="center" vertical="center"/>
    </xf>
    <xf numFmtId="0" fontId="33" fillId="4" borderId="14" xfId="0" applyFont="1" applyFill="1" applyBorder="1" applyAlignment="1">
      <alignment horizontal="center" vertical="center"/>
    </xf>
    <xf numFmtId="0" fontId="33" fillId="4" borderId="13" xfId="0" applyFont="1" applyFill="1" applyBorder="1" applyAlignment="1">
      <alignment horizontal="center" vertical="center"/>
    </xf>
    <xf numFmtId="0" fontId="33" fillId="4" borderId="12" xfId="0" applyFont="1" applyFill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177" fontId="33" fillId="0" borderId="8" xfId="0" applyNumberFormat="1" applyFont="1" applyBorder="1" applyAlignment="1">
      <alignment horizontal="center" vertical="center"/>
    </xf>
    <xf numFmtId="176" fontId="35" fillId="0" borderId="8" xfId="1" applyNumberFormat="1" applyFont="1" applyBorder="1" applyAlignment="1">
      <alignment horizontal="center" vertical="center"/>
    </xf>
    <xf numFmtId="10" fontId="35" fillId="0" borderId="7" xfId="50" applyNumberFormat="1" applyFont="1" applyBorder="1" applyAlignment="1">
      <alignment horizontal="center" vertical="center"/>
    </xf>
    <xf numFmtId="176" fontId="33" fillId="0" borderId="10" xfId="0" applyNumberFormat="1" applyFont="1" applyBorder="1" applyAlignment="1">
      <alignment horizontal="center" vertical="center"/>
    </xf>
    <xf numFmtId="10" fontId="35" fillId="0" borderId="5" xfId="50" applyNumberFormat="1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0" fontId="33" fillId="5" borderId="11" xfId="0" applyFont="1" applyFill="1" applyBorder="1" applyAlignment="1">
      <alignment horizontal="center" vertical="center"/>
    </xf>
    <xf numFmtId="0" fontId="33" fillId="5" borderId="9" xfId="0" applyFont="1" applyFill="1" applyBorder="1" applyAlignment="1">
      <alignment horizontal="center" vertical="center"/>
    </xf>
    <xf numFmtId="0" fontId="33" fillId="5" borderId="8" xfId="0" applyFont="1" applyFill="1" applyBorder="1" applyAlignment="1">
      <alignment horizontal="center" vertical="center"/>
    </xf>
    <xf numFmtId="0" fontId="33" fillId="3" borderId="41" xfId="0" applyFont="1" applyFill="1" applyBorder="1">
      <alignment vertical="center"/>
    </xf>
    <xf numFmtId="0" fontId="33" fillId="3" borderId="42" xfId="0" applyFont="1" applyFill="1" applyBorder="1">
      <alignment vertical="center"/>
    </xf>
    <xf numFmtId="0" fontId="33" fillId="3" borderId="43" xfId="0" applyFont="1" applyFill="1" applyBorder="1">
      <alignment vertical="center"/>
    </xf>
    <xf numFmtId="0" fontId="33" fillId="2" borderId="17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2" borderId="23" xfId="0" applyFont="1" applyFill="1" applyBorder="1" applyAlignment="1">
      <alignment horizontal="center" vertical="center"/>
    </xf>
    <xf numFmtId="177" fontId="33" fillId="2" borderId="2" xfId="0" applyNumberFormat="1" applyFont="1" applyFill="1" applyBorder="1" applyAlignment="1">
      <alignment horizontal="center" vertical="center"/>
    </xf>
    <xf numFmtId="176" fontId="35" fillId="2" borderId="23" xfId="1" applyNumberFormat="1" applyFont="1" applyFill="1" applyBorder="1" applyAlignment="1">
      <alignment horizontal="center" vertical="center"/>
    </xf>
    <xf numFmtId="10" fontId="35" fillId="2" borderId="23" xfId="50" applyNumberFormat="1" applyFont="1" applyFill="1" applyBorder="1" applyAlignment="1">
      <alignment horizontal="center" vertical="center"/>
    </xf>
    <xf numFmtId="176" fontId="33" fillId="2" borderId="2" xfId="0" applyNumberFormat="1" applyFont="1" applyFill="1" applyBorder="1" applyAlignment="1">
      <alignment horizontal="center" vertical="center"/>
    </xf>
    <xf numFmtId="10" fontId="35" fillId="2" borderId="16" xfId="50" applyNumberFormat="1" applyFont="1" applyFill="1" applyBorder="1" applyAlignment="1">
      <alignment horizontal="center" vertical="center"/>
    </xf>
    <xf numFmtId="0" fontId="36" fillId="37" borderId="46" xfId="0" applyFont="1" applyFill="1" applyBorder="1" applyAlignment="1">
      <alignment horizontal="center" vertical="center"/>
    </xf>
    <xf numFmtId="0" fontId="36" fillId="37" borderId="47" xfId="0" applyFont="1" applyFill="1" applyBorder="1" applyAlignment="1">
      <alignment horizontal="center" vertical="center"/>
    </xf>
    <xf numFmtId="0" fontId="36" fillId="37" borderId="14" xfId="0" applyFont="1" applyFill="1" applyBorder="1" applyAlignment="1">
      <alignment horizontal="center" vertical="center"/>
    </xf>
    <xf numFmtId="0" fontId="37" fillId="37" borderId="12" xfId="0" applyFont="1" applyFill="1" applyBorder="1" applyAlignment="1">
      <alignment horizontal="center" vertical="center"/>
    </xf>
    <xf numFmtId="0" fontId="36" fillId="37" borderId="48" xfId="0" applyFont="1" applyFill="1" applyBorder="1" applyAlignment="1">
      <alignment horizontal="center" vertical="center"/>
    </xf>
    <xf numFmtId="0" fontId="33" fillId="5" borderId="20" xfId="0" applyFont="1" applyFill="1" applyBorder="1" applyAlignment="1">
      <alignment horizontal="center" vertical="center"/>
    </xf>
    <xf numFmtId="0" fontId="33" fillId="5" borderId="49" xfId="0" applyFont="1" applyFill="1" applyBorder="1" applyAlignment="1">
      <alignment horizontal="center" vertical="center"/>
    </xf>
    <xf numFmtId="0" fontId="33" fillId="5" borderId="21" xfId="0" applyFont="1" applyFill="1" applyBorder="1" applyAlignment="1">
      <alignment horizontal="center" vertical="center"/>
    </xf>
    <xf numFmtId="0" fontId="36" fillId="37" borderId="50" xfId="0" applyFont="1" applyFill="1" applyBorder="1" applyAlignment="1">
      <alignment horizontal="center" vertical="center"/>
    </xf>
    <xf numFmtId="0" fontId="33" fillId="5" borderId="51" xfId="0" applyFont="1" applyFill="1" applyBorder="1" applyAlignment="1">
      <alignment horizontal="center" vertical="center"/>
    </xf>
    <xf numFmtId="0" fontId="33" fillId="5" borderId="5" xfId="0" applyFont="1" applyFill="1" applyBorder="1" applyAlignment="1">
      <alignment horizontal="center" vertical="center"/>
    </xf>
    <xf numFmtId="0" fontId="36" fillId="37" borderId="52" xfId="0" applyFont="1" applyFill="1" applyBorder="1" applyAlignment="1">
      <alignment horizontal="center" vertical="center"/>
    </xf>
    <xf numFmtId="0" fontId="33" fillId="5" borderId="17" xfId="0" applyFont="1" applyFill="1" applyBorder="1" applyAlignment="1">
      <alignment horizontal="center" vertical="center"/>
    </xf>
    <xf numFmtId="0" fontId="33" fillId="5" borderId="53" xfId="0" applyFont="1" applyFill="1" applyBorder="1" applyAlignment="1">
      <alignment horizontal="center" vertical="center"/>
    </xf>
    <xf numFmtId="0" fontId="33" fillId="5" borderId="16" xfId="0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0" fontId="33" fillId="5" borderId="0" xfId="0" applyFont="1" applyFill="1">
      <alignment vertical="center"/>
    </xf>
    <xf numFmtId="0" fontId="36" fillId="37" borderId="15" xfId="0" applyFont="1" applyFill="1" applyBorder="1" applyAlignment="1">
      <alignment horizontal="center" vertical="center"/>
    </xf>
    <xf numFmtId="0" fontId="37" fillId="37" borderId="47" xfId="0" applyFont="1" applyFill="1" applyBorder="1" applyAlignment="1">
      <alignment horizontal="center" vertical="center"/>
    </xf>
    <xf numFmtId="0" fontId="36" fillId="37" borderId="12" xfId="0" applyFont="1" applyFill="1" applyBorder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37" borderId="15" xfId="0" applyFont="1" applyFill="1" applyBorder="1" applyAlignment="1">
      <alignment horizontal="center" vertical="center" wrapText="1"/>
    </xf>
    <xf numFmtId="0" fontId="36" fillId="37" borderId="14" xfId="0" applyFont="1" applyFill="1" applyBorder="1" applyAlignment="1">
      <alignment horizontal="center" vertical="center" wrapText="1"/>
    </xf>
    <xf numFmtId="0" fontId="36" fillId="37" borderId="13" xfId="0" applyFont="1" applyFill="1" applyBorder="1" applyAlignment="1">
      <alignment horizontal="center" vertical="center" wrapText="1"/>
    </xf>
    <xf numFmtId="0" fontId="36" fillId="37" borderId="12" xfId="0" applyFont="1" applyFill="1" applyBorder="1" applyAlignment="1">
      <alignment horizontal="center" vertical="center" wrapText="1"/>
    </xf>
    <xf numFmtId="0" fontId="36" fillId="37" borderId="54" xfId="0" applyFont="1" applyFill="1" applyBorder="1" applyAlignment="1">
      <alignment horizontal="center" vertical="center"/>
    </xf>
    <xf numFmtId="0" fontId="33" fillId="5" borderId="57" xfId="0" applyFont="1" applyFill="1" applyBorder="1" applyAlignment="1">
      <alignment horizontal="center" vertical="center"/>
    </xf>
    <xf numFmtId="0" fontId="36" fillId="37" borderId="55" xfId="0" applyFont="1" applyFill="1" applyBorder="1" applyAlignment="1">
      <alignment horizontal="center" vertical="center"/>
    </xf>
    <xf numFmtId="0" fontId="33" fillId="5" borderId="6" xfId="0" applyFont="1" applyFill="1" applyBorder="1" applyAlignment="1">
      <alignment horizontal="center" vertical="center"/>
    </xf>
    <xf numFmtId="0" fontId="33" fillId="5" borderId="24" xfId="0" applyFont="1" applyFill="1" applyBorder="1" applyAlignment="1">
      <alignment horizontal="center" vertical="center"/>
    </xf>
    <xf numFmtId="0" fontId="36" fillId="37" borderId="56" xfId="0" applyFont="1" applyFill="1" applyBorder="1" applyAlignment="1">
      <alignment horizontal="center" vertical="center"/>
    </xf>
    <xf numFmtId="0" fontId="33" fillId="5" borderId="4" xfId="0" applyFont="1" applyFill="1" applyBorder="1" applyAlignment="1">
      <alignment horizontal="center" vertical="center"/>
    </xf>
    <xf numFmtId="0" fontId="33" fillId="5" borderId="2" xfId="0" applyFont="1" applyFill="1" applyBorder="1" applyAlignment="1">
      <alignment horizontal="center" vertical="center"/>
    </xf>
    <xf numFmtId="0" fontId="33" fillId="5" borderId="45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2" fontId="24" fillId="0" borderId="21" xfId="0" applyNumberFormat="1" applyFont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3" fontId="24" fillId="0" borderId="12" xfId="0" applyNumberFormat="1" applyFont="1" applyBorder="1" applyAlignment="1">
      <alignment horizontal="center" vertical="center"/>
    </xf>
    <xf numFmtId="0" fontId="24" fillId="5" borderId="63" xfId="0" applyFont="1" applyFill="1" applyBorder="1" applyAlignment="1">
      <alignment horizontal="center" vertical="center"/>
    </xf>
    <xf numFmtId="38" fontId="28" fillId="0" borderId="71" xfId="45" applyNumberFormat="1" applyFont="1" applyBorder="1" applyAlignment="1">
      <alignment horizontal="center" vertical="center"/>
    </xf>
    <xf numFmtId="38" fontId="28" fillId="0" borderId="70" xfId="45" applyNumberFormat="1" applyFont="1" applyBorder="1" applyAlignment="1">
      <alignment horizontal="center" vertical="center"/>
    </xf>
    <xf numFmtId="38" fontId="28" fillId="0" borderId="61" xfId="45" applyNumberFormat="1" applyFont="1" applyBorder="1" applyAlignment="1">
      <alignment horizontal="center" vertical="center"/>
    </xf>
    <xf numFmtId="38" fontId="28" fillId="0" borderId="72" xfId="45" applyNumberFormat="1" applyFont="1" applyBorder="1" applyAlignment="1">
      <alignment horizontal="center" vertical="center"/>
    </xf>
    <xf numFmtId="0" fontId="28" fillId="0" borderId="70" xfId="34" applyFont="1" applyBorder="1" applyAlignment="1">
      <alignment horizontal="center" vertical="center"/>
    </xf>
    <xf numFmtId="38" fontId="28" fillId="0" borderId="71" xfId="34" applyNumberFormat="1" applyFont="1" applyBorder="1" applyAlignment="1">
      <alignment horizontal="center" vertical="center"/>
    </xf>
    <xf numFmtId="38" fontId="28" fillId="0" borderId="72" xfId="34" applyNumberFormat="1" applyFont="1" applyBorder="1" applyAlignment="1">
      <alignment horizontal="center" vertical="center"/>
    </xf>
    <xf numFmtId="38" fontId="28" fillId="0" borderId="61" xfId="34" applyNumberFormat="1" applyFont="1" applyBorder="1" applyAlignment="1">
      <alignment horizontal="center" vertical="center"/>
    </xf>
    <xf numFmtId="0" fontId="28" fillId="0" borderId="77" xfId="34" applyFont="1" applyBorder="1" applyAlignment="1">
      <alignment horizontal="center" vertical="center"/>
    </xf>
    <xf numFmtId="38" fontId="28" fillId="0" borderId="78" xfId="34" applyNumberFormat="1" applyFont="1" applyBorder="1" applyAlignment="1">
      <alignment horizontal="center" vertical="center"/>
    </xf>
    <xf numFmtId="38" fontId="28" fillId="0" borderId="60" xfId="34" applyNumberFormat="1" applyFont="1" applyBorder="1" applyAlignment="1">
      <alignment horizontal="center" vertical="center"/>
    </xf>
    <xf numFmtId="38" fontId="28" fillId="0" borderId="76" xfId="45" applyNumberFormat="1" applyFont="1" applyBorder="1" applyAlignment="1">
      <alignment horizontal="center" vertical="center"/>
    </xf>
    <xf numFmtId="38" fontId="28" fillId="0" borderId="74" xfId="45" applyNumberFormat="1" applyFont="1" applyBorder="1" applyAlignment="1">
      <alignment horizontal="center" vertical="center"/>
    </xf>
    <xf numFmtId="38" fontId="28" fillId="0" borderId="75" xfId="45" applyNumberFormat="1" applyFont="1" applyBorder="1" applyAlignment="1">
      <alignment horizontal="center" vertical="center"/>
    </xf>
    <xf numFmtId="38" fontId="28" fillId="0" borderId="79" xfId="45" applyNumberFormat="1" applyFont="1" applyBorder="1" applyAlignment="1">
      <alignment horizontal="center" vertical="center"/>
    </xf>
    <xf numFmtId="0" fontId="28" fillId="0" borderId="74" xfId="34" applyFont="1" applyBorder="1" applyAlignment="1">
      <alignment horizontal="center" vertical="center"/>
    </xf>
    <xf numFmtId="38" fontId="28" fillId="0" borderId="75" xfId="34" applyNumberFormat="1" applyFont="1" applyBorder="1" applyAlignment="1">
      <alignment horizontal="center" vertical="center"/>
    </xf>
    <xf numFmtId="38" fontId="28" fillId="0" borderId="76" xfId="34" applyNumberFormat="1" applyFont="1" applyBorder="1" applyAlignment="1">
      <alignment horizontal="center" vertical="center"/>
    </xf>
    <xf numFmtId="38" fontId="28" fillId="0" borderId="81" xfId="34" applyNumberFormat="1" applyFont="1" applyBorder="1" applyAlignment="1">
      <alignment horizontal="center" vertical="center"/>
    </xf>
    <xf numFmtId="0" fontId="28" fillId="0" borderId="73" xfId="34" applyFont="1" applyBorder="1" applyAlignment="1">
      <alignment horizontal="center" vertical="center"/>
    </xf>
    <xf numFmtId="38" fontId="28" fillId="0" borderId="70" xfId="45" applyNumberFormat="1" applyFont="1" applyBorder="1" applyAlignment="1">
      <alignment horizontal="center" vertical="center" shrinkToFit="1"/>
    </xf>
    <xf numFmtId="38" fontId="28" fillId="0" borderId="71" xfId="45" applyNumberFormat="1" applyFont="1" applyBorder="1" applyAlignment="1">
      <alignment horizontal="center" vertical="center" shrinkToFit="1"/>
    </xf>
    <xf numFmtId="38" fontId="28" fillId="0" borderId="61" xfId="45" applyNumberFormat="1" applyFont="1" applyBorder="1" applyAlignment="1">
      <alignment horizontal="center" vertical="center" shrinkToFit="1"/>
    </xf>
    <xf numFmtId="0" fontId="44" fillId="38" borderId="82" xfId="51" applyFont="1" applyFill="1" applyBorder="1" applyAlignment="1">
      <alignment horizontal="center" vertical="center" wrapText="1"/>
    </xf>
    <xf numFmtId="176" fontId="29" fillId="0" borderId="91" xfId="34" applyNumberFormat="1" applyFont="1" applyBorder="1" applyAlignment="1">
      <alignment horizontal="center" vertical="center"/>
    </xf>
    <xf numFmtId="0" fontId="29" fillId="0" borderId="93" xfId="34" applyFont="1" applyBorder="1" applyAlignment="1">
      <alignment horizontal="center" vertical="center"/>
    </xf>
    <xf numFmtId="0" fontId="29" fillId="0" borderId="94" xfId="34" applyFont="1" applyBorder="1" applyAlignment="1">
      <alignment horizontal="center" vertical="center"/>
    </xf>
    <xf numFmtId="176" fontId="29" fillId="0" borderId="87" xfId="34" applyNumberFormat="1" applyFont="1" applyBorder="1" applyAlignment="1">
      <alignment horizontal="center" vertical="center"/>
    </xf>
    <xf numFmtId="0" fontId="29" fillId="0" borderId="90" xfId="34" applyFont="1" applyBorder="1" applyAlignment="1">
      <alignment horizontal="center" vertical="center"/>
    </xf>
    <xf numFmtId="0" fontId="29" fillId="0" borderId="88" xfId="34" applyFont="1" applyBorder="1" applyAlignment="1">
      <alignment horizontal="center" vertical="center"/>
    </xf>
    <xf numFmtId="176" fontId="29" fillId="0" borderId="146" xfId="34" applyNumberFormat="1" applyFont="1" applyBorder="1" applyAlignment="1">
      <alignment horizontal="center" vertical="center"/>
    </xf>
    <xf numFmtId="0" fontId="29" fillId="0" borderId="148" xfId="34" applyFont="1" applyBorder="1" applyAlignment="1">
      <alignment horizontal="center" vertical="center"/>
    </xf>
    <xf numFmtId="0" fontId="29" fillId="0" borderId="149" xfId="34" applyFont="1" applyBorder="1" applyAlignment="1">
      <alignment horizontal="center" vertical="center"/>
    </xf>
    <xf numFmtId="0" fontId="44" fillId="38" borderId="82" xfId="51" applyFont="1" applyFill="1" applyBorder="1" applyAlignment="1">
      <alignment horizontal="center" vertical="center"/>
    </xf>
    <xf numFmtId="0" fontId="44" fillId="38" borderId="103" xfId="51" applyFont="1" applyFill="1" applyBorder="1" applyAlignment="1">
      <alignment horizontal="center" vertical="center"/>
    </xf>
    <xf numFmtId="0" fontId="44" fillId="38" borderId="85" xfId="51" applyFont="1" applyFill="1" applyBorder="1" applyAlignment="1">
      <alignment horizontal="center" vertical="center"/>
    </xf>
    <xf numFmtId="0" fontId="44" fillId="38" borderId="105" xfId="51" applyFont="1" applyFill="1" applyBorder="1" applyAlignment="1">
      <alignment horizontal="center" vertical="center"/>
    </xf>
    <xf numFmtId="179" fontId="29" fillId="0" borderId="92" xfId="34" applyNumberFormat="1" applyFont="1" applyBorder="1" applyAlignment="1">
      <alignment horizontal="center" vertical="center"/>
    </xf>
    <xf numFmtId="179" fontId="29" fillId="0" borderId="89" xfId="34" applyNumberFormat="1" applyFont="1" applyBorder="1" applyAlignment="1">
      <alignment horizontal="center" vertical="center"/>
    </xf>
    <xf numFmtId="179" fontId="29" fillId="0" borderId="147" xfId="34" applyNumberFormat="1" applyFont="1" applyBorder="1" applyAlignment="1">
      <alignment horizontal="center" vertical="center"/>
    </xf>
    <xf numFmtId="2" fontId="29" fillId="0" borderId="89" xfId="34" applyNumberFormat="1" applyFont="1" applyBorder="1" applyAlignment="1">
      <alignment horizontal="center" vertical="center"/>
    </xf>
    <xf numFmtId="2" fontId="29" fillId="0" borderId="147" xfId="34" applyNumberFormat="1" applyFont="1" applyBorder="1" applyAlignment="1">
      <alignment horizontal="center" vertical="center"/>
    </xf>
    <xf numFmtId="0" fontId="44" fillId="38" borderId="96" xfId="51" applyFont="1" applyFill="1" applyBorder="1" applyAlignment="1">
      <alignment horizontal="center" vertical="center"/>
    </xf>
    <xf numFmtId="0" fontId="29" fillId="0" borderId="96" xfId="34" applyFont="1" applyBorder="1" applyAlignment="1">
      <alignment horizontal="center" vertical="center"/>
    </xf>
    <xf numFmtId="176" fontId="29" fillId="0" borderId="82" xfId="34" applyNumberFormat="1" applyFont="1" applyBorder="1" applyAlignment="1">
      <alignment horizontal="center" vertical="center"/>
    </xf>
    <xf numFmtId="179" fontId="29" fillId="0" borderId="84" xfId="34" applyNumberFormat="1" applyFont="1" applyBorder="1" applyAlignment="1">
      <alignment horizontal="center" vertical="center"/>
    </xf>
    <xf numFmtId="179" fontId="29" fillId="0" borderId="124" xfId="34" applyNumberFormat="1" applyFont="1" applyBorder="1" applyAlignment="1">
      <alignment horizontal="center" vertical="center"/>
    </xf>
    <xf numFmtId="179" fontId="29" fillId="0" borderId="113" xfId="34" applyNumberFormat="1" applyFont="1" applyBorder="1" applyAlignment="1">
      <alignment horizontal="center" vertical="center"/>
    </xf>
    <xf numFmtId="179" fontId="29" fillId="0" borderId="125" xfId="34" applyNumberFormat="1" applyFont="1" applyBorder="1" applyAlignment="1">
      <alignment horizontal="center" vertical="center"/>
    </xf>
    <xf numFmtId="179" fontId="29" fillId="0" borderId="122" xfId="34" applyNumberFormat="1" applyFont="1" applyBorder="1" applyAlignment="1">
      <alignment horizontal="center" vertical="center"/>
    </xf>
    <xf numFmtId="176" fontId="29" fillId="0" borderId="127" xfId="34" applyNumberFormat="1" applyFont="1" applyBorder="1" applyAlignment="1">
      <alignment horizontal="center" vertical="center"/>
    </xf>
    <xf numFmtId="0" fontId="44" fillId="38" borderId="129" xfId="51" applyFont="1" applyFill="1" applyBorder="1" applyAlignment="1">
      <alignment horizontal="center" vertical="center"/>
    </xf>
    <xf numFmtId="179" fontId="29" fillId="0" borderId="130" xfId="34" applyNumberFormat="1" applyFont="1" applyBorder="1" applyAlignment="1">
      <alignment horizontal="center" vertical="center"/>
    </xf>
    <xf numFmtId="179" fontId="29" fillId="0" borderId="114" xfId="34" applyNumberFormat="1" applyFont="1" applyBorder="1" applyAlignment="1">
      <alignment horizontal="center" vertical="center"/>
    </xf>
    <xf numFmtId="179" fontId="29" fillId="0" borderId="131" xfId="34" applyNumberFormat="1" applyFont="1" applyBorder="1" applyAlignment="1">
      <alignment horizontal="center" vertical="center"/>
    </xf>
    <xf numFmtId="179" fontId="29" fillId="0" borderId="134" xfId="34" applyNumberFormat="1" applyFont="1" applyBorder="1" applyAlignment="1">
      <alignment horizontal="center" vertical="center"/>
    </xf>
    <xf numFmtId="179" fontId="29" fillId="0" borderId="135" xfId="34" applyNumberFormat="1" applyFont="1" applyBorder="1" applyAlignment="1">
      <alignment horizontal="center" vertical="center"/>
    </xf>
    <xf numFmtId="0" fontId="29" fillId="0" borderId="138" xfId="34" applyFont="1" applyBorder="1" applyAlignment="1">
      <alignment horizontal="center" vertical="center"/>
    </xf>
    <xf numFmtId="2" fontId="29" fillId="0" borderId="92" xfId="34" applyNumberFormat="1" applyFont="1" applyBorder="1" applyAlignment="1">
      <alignment horizontal="center" vertical="center"/>
    </xf>
    <xf numFmtId="0" fontId="44" fillId="38" borderId="85" xfId="51" applyFont="1" applyFill="1" applyBorder="1" applyAlignment="1">
      <alignment horizontal="center" vertical="center" wrapText="1"/>
    </xf>
    <xf numFmtId="0" fontId="44" fillId="38" borderId="86" xfId="51" applyFont="1" applyFill="1" applyBorder="1" applyAlignment="1">
      <alignment horizontal="center" vertical="center" wrapText="1"/>
    </xf>
    <xf numFmtId="0" fontId="29" fillId="0" borderId="91" xfId="34" applyFont="1" applyBorder="1" applyAlignment="1">
      <alignment horizontal="center" vertical="center"/>
    </xf>
    <xf numFmtId="0" fontId="29" fillId="0" borderId="87" xfId="34" applyFont="1" applyBorder="1" applyAlignment="1">
      <alignment horizontal="center" vertical="center"/>
    </xf>
    <xf numFmtId="0" fontId="29" fillId="0" borderId="146" xfId="34" applyFont="1" applyBorder="1" applyAlignment="1">
      <alignment horizontal="center" vertical="center"/>
    </xf>
    <xf numFmtId="0" fontId="44" fillId="38" borderId="83" xfId="51" applyFont="1" applyFill="1" applyBorder="1" applyAlignment="1">
      <alignment horizontal="center" vertical="center" wrapText="1"/>
    </xf>
    <xf numFmtId="0" fontId="29" fillId="0" borderId="126" xfId="34" applyFont="1" applyBorder="1" applyAlignment="1">
      <alignment horizontal="center" vertical="center"/>
    </xf>
    <xf numFmtId="179" fontId="29" fillId="0" borderId="139" xfId="34" applyNumberFormat="1" applyFont="1" applyBorder="1" applyAlignment="1">
      <alignment horizontal="center" vertical="center"/>
    </xf>
    <xf numFmtId="2" fontId="29" fillId="0" borderId="140" xfId="34" applyNumberFormat="1" applyFont="1" applyBorder="1" applyAlignment="1">
      <alignment horizontal="center" vertical="center"/>
    </xf>
    <xf numFmtId="2" fontId="29" fillId="0" borderId="113" xfId="34" applyNumberFormat="1" applyFont="1" applyBorder="1" applyAlignment="1">
      <alignment horizontal="center" vertical="center"/>
    </xf>
    <xf numFmtId="0" fontId="29" fillId="0" borderId="127" xfId="34" applyFont="1" applyBorder="1" applyAlignment="1">
      <alignment horizontal="center" vertical="center"/>
    </xf>
    <xf numFmtId="2" fontId="29" fillId="0" borderId="124" xfId="34" applyNumberFormat="1" applyFont="1" applyBorder="1" applyAlignment="1">
      <alignment horizontal="center" vertical="center"/>
    </xf>
    <xf numFmtId="2" fontId="29" fillId="0" borderId="139" xfId="34" applyNumberFormat="1" applyFont="1" applyBorder="1" applyAlignment="1">
      <alignment horizontal="center" vertical="center"/>
    </xf>
    <xf numFmtId="0" fontId="44" fillId="38" borderId="83" xfId="51" applyFont="1" applyFill="1" applyBorder="1" applyAlignment="1">
      <alignment horizontal="center" vertical="center"/>
    </xf>
    <xf numFmtId="0" fontId="29" fillId="0" borderId="107" xfId="34" applyFont="1" applyBorder="1" applyAlignment="1">
      <alignment horizontal="center" vertical="center"/>
    </xf>
    <xf numFmtId="176" fontId="29" fillId="0" borderId="8" xfId="34" applyNumberFormat="1" applyFont="1" applyBorder="1" applyAlignment="1">
      <alignment horizontal="center" vertical="center"/>
    </xf>
    <xf numFmtId="0" fontId="29" fillId="0" borderId="51" xfId="34" applyFont="1" applyBorder="1" applyAlignment="1">
      <alignment horizontal="center" vertical="center"/>
    </xf>
    <xf numFmtId="0" fontId="29" fillId="0" borderId="109" xfId="34" applyFont="1" applyBorder="1" applyAlignment="1">
      <alignment horizontal="center" vertical="center"/>
    </xf>
    <xf numFmtId="176" fontId="29" fillId="0" borderId="6" xfId="34" applyNumberFormat="1" applyFont="1" applyBorder="1" applyAlignment="1">
      <alignment horizontal="center" vertical="center"/>
    </xf>
    <xf numFmtId="0" fontId="29" fillId="0" borderId="102" xfId="34" applyFont="1" applyBorder="1" applyAlignment="1">
      <alignment horizontal="center" vertical="center"/>
    </xf>
    <xf numFmtId="179" fontId="29" fillId="0" borderId="106" xfId="34" applyNumberFormat="1" applyFont="1" applyBorder="1" applyAlignment="1">
      <alignment horizontal="center" vertical="center"/>
    </xf>
    <xf numFmtId="179" fontId="29" fillId="0" borderId="108" xfId="34" applyNumberFormat="1" applyFont="1" applyBorder="1" applyAlignment="1">
      <alignment horizontal="center" vertical="center"/>
    </xf>
    <xf numFmtId="179" fontId="29" fillId="0" borderId="57" xfId="34" applyNumberFormat="1" applyFont="1" applyBorder="1" applyAlignment="1">
      <alignment horizontal="center" vertical="center"/>
    </xf>
    <xf numFmtId="179" fontId="29" fillId="0" borderId="24" xfId="34" applyNumberFormat="1" applyFont="1" applyBorder="1" applyAlignment="1">
      <alignment horizontal="center" vertical="center"/>
    </xf>
    <xf numFmtId="179" fontId="29" fillId="0" borderId="115" xfId="34" applyNumberFormat="1" applyFont="1" applyBorder="1" applyAlignment="1">
      <alignment horizontal="center" vertical="center"/>
    </xf>
    <xf numFmtId="179" fontId="29" fillId="0" borderId="128" xfId="34" applyNumberFormat="1" applyFont="1" applyBorder="1" applyAlignment="1">
      <alignment horizontal="center" vertical="center"/>
    </xf>
    <xf numFmtId="0" fontId="29" fillId="0" borderId="85" xfId="34" applyFont="1" applyBorder="1" applyAlignment="1">
      <alignment horizontal="center" vertical="center"/>
    </xf>
    <xf numFmtId="0" fontId="44" fillId="0" borderId="39" xfId="51" applyFont="1" applyBorder="1" applyAlignment="1">
      <alignment horizontal="center" vertical="center" wrapText="1"/>
    </xf>
    <xf numFmtId="0" fontId="28" fillId="0" borderId="80" xfId="34" applyFont="1" applyBorder="1" applyAlignment="1">
      <alignment horizontal="center" vertical="center"/>
    </xf>
    <xf numFmtId="0" fontId="28" fillId="0" borderId="70" xfId="45" applyFont="1" applyBorder="1" applyAlignment="1">
      <alignment horizontal="center" vertical="center"/>
    </xf>
    <xf numFmtId="0" fontId="28" fillId="0" borderId="74" xfId="45" applyFont="1" applyBorder="1" applyAlignment="1">
      <alignment horizontal="center" vertical="center"/>
    </xf>
    <xf numFmtId="0" fontId="44" fillId="38" borderId="87" xfId="51" applyFont="1" applyFill="1" applyBorder="1" applyAlignment="1">
      <alignment horizontal="center" vertical="center" wrapText="1"/>
    </xf>
    <xf numFmtId="0" fontId="44" fillId="38" borderId="144" xfId="51" applyFont="1" applyFill="1" applyBorder="1" applyAlignment="1">
      <alignment horizontal="center" vertical="center" wrapText="1"/>
    </xf>
    <xf numFmtId="0" fontId="44" fillId="38" borderId="89" xfId="51" applyFont="1" applyFill="1" applyBorder="1" applyAlignment="1">
      <alignment horizontal="center" vertical="center" wrapText="1"/>
    </xf>
    <xf numFmtId="0" fontId="44" fillId="38" borderId="145" xfId="51" applyFont="1" applyFill="1" applyBorder="1" applyAlignment="1">
      <alignment horizontal="center" vertical="center" wrapText="1"/>
    </xf>
    <xf numFmtId="0" fontId="44" fillId="0" borderId="117" xfId="51" applyFont="1" applyBorder="1" applyAlignment="1">
      <alignment horizontal="center" vertical="center" wrapText="1"/>
    </xf>
    <xf numFmtId="0" fontId="44" fillId="0" borderId="118" xfId="51" applyFont="1" applyBorder="1" applyAlignment="1">
      <alignment horizontal="center" vertical="center" wrapText="1"/>
    </xf>
    <xf numFmtId="0" fontId="44" fillId="0" borderId="116" xfId="51" applyFont="1" applyBorder="1" applyAlignment="1">
      <alignment horizontal="center" vertical="center" wrapText="1"/>
    </xf>
    <xf numFmtId="0" fontId="44" fillId="0" borderId="119" xfId="51" applyFont="1" applyBorder="1" applyAlignment="1">
      <alignment horizontal="center" vertical="center" wrapText="1"/>
    </xf>
    <xf numFmtId="0" fontId="44" fillId="0" borderId="120" xfId="51" applyFont="1" applyBorder="1" applyAlignment="1">
      <alignment horizontal="center" vertical="center" wrapText="1"/>
    </xf>
    <xf numFmtId="0" fontId="44" fillId="0" borderId="121" xfId="51" applyFont="1" applyBorder="1" applyAlignment="1">
      <alignment horizontal="center" vertical="center" wrapText="1"/>
    </xf>
    <xf numFmtId="0" fontId="45" fillId="38" borderId="101" xfId="51" applyFont="1" applyFill="1" applyBorder="1" applyAlignment="1">
      <alignment horizontal="center" vertical="center" wrapText="1"/>
    </xf>
    <xf numFmtId="0" fontId="46" fillId="38" borderId="99" xfId="51" applyFont="1" applyFill="1" applyBorder="1" applyAlignment="1">
      <alignment horizontal="center" vertical="center" wrapText="1"/>
    </xf>
    <xf numFmtId="0" fontId="46" fillId="38" borderId="100" xfId="51" applyFont="1" applyFill="1" applyBorder="1" applyAlignment="1">
      <alignment horizontal="center" vertical="center" wrapText="1"/>
    </xf>
    <xf numFmtId="0" fontId="45" fillId="38" borderId="98" xfId="51" applyFont="1" applyFill="1" applyBorder="1" applyAlignment="1">
      <alignment horizontal="center" vertical="center" wrapText="1"/>
    </xf>
    <xf numFmtId="0" fontId="46" fillId="38" borderId="137" xfId="51" applyFont="1" applyFill="1" applyBorder="1" applyAlignment="1">
      <alignment horizontal="center" vertical="center" wrapText="1"/>
    </xf>
    <xf numFmtId="0" fontId="44" fillId="38" borderId="110" xfId="51" applyFont="1" applyFill="1" applyBorder="1" applyAlignment="1">
      <alignment horizontal="center" vertical="center" wrapText="1"/>
    </xf>
    <xf numFmtId="0" fontId="44" fillId="38" borderId="111" xfId="51" applyFont="1" applyFill="1" applyBorder="1" applyAlignment="1">
      <alignment horizontal="center" vertical="center" wrapText="1"/>
    </xf>
    <xf numFmtId="0" fontId="44" fillId="38" borderId="112" xfId="51" applyFont="1" applyFill="1" applyBorder="1" applyAlignment="1">
      <alignment horizontal="center" vertical="center" wrapText="1"/>
    </xf>
    <xf numFmtId="0" fontId="44" fillId="38" borderId="136" xfId="51" applyFont="1" applyFill="1" applyBorder="1" applyAlignment="1">
      <alignment horizontal="center" vertical="center" wrapText="1"/>
    </xf>
    <xf numFmtId="0" fontId="44" fillId="38" borderId="82" xfId="51" applyFont="1" applyFill="1" applyBorder="1" applyAlignment="1">
      <alignment horizontal="center" vertical="center" wrapText="1"/>
    </xf>
    <xf numFmtId="0" fontId="44" fillId="38" borderId="103" xfId="51" applyFont="1" applyFill="1" applyBorder="1" applyAlignment="1">
      <alignment horizontal="center" vertical="center" wrapText="1"/>
    </xf>
    <xf numFmtId="0" fontId="44" fillId="38" borderId="84" xfId="51" applyFont="1" applyFill="1" applyBorder="1" applyAlignment="1">
      <alignment horizontal="center" vertical="center" wrapText="1"/>
    </xf>
    <xf numFmtId="0" fontId="44" fillId="38" borderId="104" xfId="51" applyFont="1" applyFill="1" applyBorder="1" applyAlignment="1">
      <alignment horizontal="center" vertical="center" wrapText="1"/>
    </xf>
    <xf numFmtId="0" fontId="44" fillId="38" borderId="122" xfId="51" applyFont="1" applyFill="1" applyBorder="1" applyAlignment="1">
      <alignment horizontal="center" vertical="center" wrapText="1"/>
    </xf>
    <xf numFmtId="0" fontId="44" fillId="38" borderId="123" xfId="51" applyFont="1" applyFill="1" applyBorder="1" applyAlignment="1">
      <alignment horizontal="center" vertical="center" wrapText="1"/>
    </xf>
    <xf numFmtId="0" fontId="44" fillId="38" borderId="97" xfId="51" applyFont="1" applyFill="1" applyBorder="1" applyAlignment="1">
      <alignment horizontal="center" vertical="center" wrapText="1"/>
    </xf>
    <xf numFmtId="0" fontId="44" fillId="38" borderId="95" xfId="51" applyFont="1" applyFill="1" applyBorder="1" applyAlignment="1">
      <alignment horizontal="center" vertical="center" wrapText="1"/>
    </xf>
    <xf numFmtId="0" fontId="44" fillId="38" borderId="133" xfId="51" applyFont="1" applyFill="1" applyBorder="1" applyAlignment="1">
      <alignment horizontal="center" vertical="center" wrapText="1"/>
    </xf>
    <xf numFmtId="0" fontId="44" fillId="38" borderId="131" xfId="51" applyFont="1" applyFill="1" applyBorder="1" applyAlignment="1">
      <alignment horizontal="center" vertical="center" wrapText="1"/>
    </xf>
    <xf numFmtId="0" fontId="44" fillId="38" borderId="132" xfId="51" applyFont="1" applyFill="1" applyBorder="1" applyAlignment="1">
      <alignment horizontal="center" vertical="center" wrapText="1"/>
    </xf>
    <xf numFmtId="0" fontId="44" fillId="38" borderId="98" xfId="51" applyFont="1" applyFill="1" applyBorder="1" applyAlignment="1">
      <alignment horizontal="center" vertical="center" wrapText="1"/>
    </xf>
    <xf numFmtId="0" fontId="44" fillId="38" borderId="99" xfId="51" applyFont="1" applyFill="1" applyBorder="1" applyAlignment="1">
      <alignment horizontal="center" vertical="center" wrapText="1"/>
    </xf>
    <xf numFmtId="0" fontId="44" fillId="38" borderId="142" xfId="51" applyFont="1" applyFill="1" applyBorder="1" applyAlignment="1">
      <alignment horizontal="center" vertical="center" wrapText="1"/>
    </xf>
    <xf numFmtId="0" fontId="44" fillId="38" borderId="143" xfId="51" applyFont="1" applyFill="1" applyBorder="1" applyAlignment="1">
      <alignment horizontal="center" vertical="center" wrapText="1"/>
    </xf>
    <xf numFmtId="0" fontId="44" fillId="38" borderId="100" xfId="51" applyFont="1" applyFill="1" applyBorder="1" applyAlignment="1">
      <alignment horizontal="center" vertical="center" wrapText="1"/>
    </xf>
    <xf numFmtId="0" fontId="44" fillId="38" borderId="141" xfId="51" applyFont="1" applyFill="1" applyBorder="1" applyAlignment="1">
      <alignment horizontal="center" vertical="center" wrapText="1"/>
    </xf>
    <xf numFmtId="0" fontId="44" fillId="38" borderId="137" xfId="51" applyFont="1" applyFill="1" applyBorder="1" applyAlignment="1">
      <alignment horizontal="center" vertical="center" wrapText="1"/>
    </xf>
    <xf numFmtId="0" fontId="24" fillId="5" borderId="22" xfId="0" applyFont="1" applyFill="1" applyBorder="1" applyAlignment="1">
      <alignment horizontal="center" vertical="center"/>
    </xf>
    <xf numFmtId="0" fontId="24" fillId="5" borderId="19" xfId="0" applyFont="1" applyFill="1" applyBorder="1" applyAlignment="1">
      <alignment horizontal="center" vertical="center"/>
    </xf>
    <xf numFmtId="0" fontId="24" fillId="5" borderId="21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33" fillId="3" borderId="41" xfId="0" applyFont="1" applyFill="1" applyBorder="1" applyAlignment="1">
      <alignment horizontal="center" vertical="center"/>
    </xf>
    <xf numFmtId="0" fontId="33" fillId="3" borderId="42" xfId="0" applyFont="1" applyFill="1" applyBorder="1" applyAlignment="1">
      <alignment horizontal="center" vertical="center"/>
    </xf>
    <xf numFmtId="0" fontId="33" fillId="3" borderId="43" xfId="0" applyFont="1" applyFill="1" applyBorder="1" applyAlignment="1">
      <alignment horizontal="center" vertical="center"/>
    </xf>
    <xf numFmtId="0" fontId="39" fillId="5" borderId="40" xfId="0" applyFont="1" applyFill="1" applyBorder="1" applyAlignment="1">
      <alignment horizontal="right" vertical="center" wrapText="1"/>
    </xf>
    <xf numFmtId="0" fontId="31" fillId="5" borderId="3" xfId="0" applyFont="1" applyFill="1" applyBorder="1" applyAlignment="1">
      <alignment horizontal="center" vertical="center"/>
    </xf>
    <xf numFmtId="0" fontId="38" fillId="5" borderId="3" xfId="0" applyFont="1" applyFill="1" applyBorder="1" applyAlignment="1">
      <alignment horizontal="center" vertical="center"/>
    </xf>
    <xf numFmtId="0" fontId="38" fillId="5" borderId="18" xfId="0" applyFont="1" applyFill="1" applyBorder="1" applyAlignment="1">
      <alignment horizontal="center" vertical="center"/>
    </xf>
    <xf numFmtId="0" fontId="38" fillId="5" borderId="1" xfId="0" applyFont="1" applyFill="1" applyBorder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center" vertical="center"/>
    </xf>
    <xf numFmtId="0" fontId="24" fillId="5" borderId="44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45" xfId="0" applyFont="1" applyFill="1" applyBorder="1" applyAlignment="1">
      <alignment horizontal="center" vertical="center"/>
    </xf>
    <xf numFmtId="0" fontId="41" fillId="5" borderId="0" xfId="0" applyFont="1" applyFill="1" applyAlignment="1">
      <alignment horizontal="right" vertical="center"/>
    </xf>
    <xf numFmtId="0" fontId="41" fillId="5" borderId="40" xfId="0" applyFont="1" applyFill="1" applyBorder="1" applyAlignment="1">
      <alignment horizontal="right" vertical="center"/>
    </xf>
    <xf numFmtId="0" fontId="33" fillId="0" borderId="8" xfId="0" applyFont="1" applyBorder="1" applyAlignment="1">
      <alignment horizontal="center" vertical="center"/>
    </xf>
    <xf numFmtId="0" fontId="33" fillId="0" borderId="150" xfId="0" applyFont="1" applyBorder="1" applyAlignment="1">
      <alignment horizontal="center" vertical="center"/>
    </xf>
    <xf numFmtId="177" fontId="33" fillId="0" borderId="8" xfId="0" applyNumberFormat="1" applyFont="1" applyBorder="1" applyAlignment="1">
      <alignment horizontal="center" vertical="center"/>
    </xf>
    <xf numFmtId="177" fontId="33" fillId="0" borderId="150" xfId="0" applyNumberFormat="1" applyFont="1" applyBorder="1" applyAlignment="1">
      <alignment horizontal="center" vertical="center"/>
    </xf>
    <xf numFmtId="176" fontId="35" fillId="0" borderId="8" xfId="1" applyNumberFormat="1" applyFont="1" applyBorder="1" applyAlignment="1">
      <alignment horizontal="center" vertical="center"/>
    </xf>
    <xf numFmtId="176" fontId="35" fillId="0" borderId="150" xfId="1" applyNumberFormat="1" applyFont="1" applyBorder="1" applyAlignment="1">
      <alignment horizontal="center" vertical="center"/>
    </xf>
    <xf numFmtId="10" fontId="35" fillId="0" borderId="150" xfId="50" applyNumberFormat="1" applyFont="1" applyBorder="1" applyAlignment="1">
      <alignment horizontal="center" vertical="center"/>
    </xf>
    <xf numFmtId="10" fontId="35" fillId="0" borderId="8" xfId="50" applyNumberFormat="1" applyFont="1" applyBorder="1" applyAlignment="1">
      <alignment horizontal="center" vertical="center"/>
    </xf>
    <xf numFmtId="176" fontId="33" fillId="0" borderId="150" xfId="0" applyNumberFormat="1" applyFont="1" applyBorder="1" applyAlignment="1">
      <alignment horizontal="center" vertical="center"/>
    </xf>
    <xf numFmtId="176" fontId="33" fillId="0" borderId="8" xfId="0" applyNumberFormat="1" applyFont="1" applyBorder="1" applyAlignment="1">
      <alignment horizontal="center" vertical="center"/>
    </xf>
    <xf numFmtId="10" fontId="35" fillId="0" borderId="151" xfId="50" applyNumberFormat="1" applyFont="1" applyBorder="1" applyAlignment="1">
      <alignment horizontal="center" vertical="center"/>
    </xf>
    <xf numFmtId="10" fontId="35" fillId="0" borderId="57" xfId="50" applyNumberFormat="1" applyFont="1" applyBorder="1" applyAlignment="1">
      <alignment horizontal="center" vertical="center"/>
    </xf>
    <xf numFmtId="0" fontId="33" fillId="5" borderId="8" xfId="0" applyFont="1" applyFill="1" applyBorder="1" applyAlignment="1">
      <alignment horizontal="center" vertical="center"/>
    </xf>
    <xf numFmtId="0" fontId="33" fillId="5" borderId="150" xfId="0" applyFont="1" applyFill="1" applyBorder="1" applyAlignment="1">
      <alignment horizontal="center" vertical="center"/>
    </xf>
  </cellXfs>
  <cellStyles count="57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2 2" xfId="54" xr:uid="{FD5EB33F-4528-4F9A-9FF3-51C775E5E023}"/>
    <cellStyle name="표준 5" xfId="48" xr:uid="{00000000-0005-0000-0000-00002F000000}"/>
    <cellStyle name="표준 5 2" xfId="55" xr:uid="{70AA516D-0B37-4903-9F98-CB607DD1E435}"/>
    <cellStyle name="표준 6" xfId="53" xr:uid="{25670C1E-0C6B-410C-84A9-E23D726A68A0}"/>
    <cellStyle name="표준 7" xfId="56" xr:uid="{1F6F2A8E-DA2B-4B59-9B1F-B6312CA0ED00}"/>
    <cellStyle name="표준 8" xfId="52" xr:uid="{BAB5A853-53EB-4389-B3C5-9A4F43DEB59A}"/>
    <cellStyle name="표준 9" xfId="51" xr:uid="{8AECFD61-44B0-40D1-89D1-2C9F8054198E}"/>
    <cellStyle name="하이퍼링크 2" xfId="46" xr:uid="{00000000-0005-0000-0000-000030000000}"/>
  </cellStyles>
  <dxfs count="163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E67982C-11A5-44C0-851F-54084DDF7E1F}">
      <tableStyleElement type="wholeTable" dxfId="162"/>
      <tableStyleElement type="headerRow" dxfId="161"/>
    </tableStyle>
  </tableStyles>
  <colors>
    <mruColors>
      <color rgb="FFFFFF99"/>
      <color rgb="FFD4D4D4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5</xdr:row>
          <xdr:rowOff>6350</xdr:rowOff>
        </xdr:from>
        <xdr:to>
          <xdr:col>8</xdr:col>
          <xdr:colOff>6350</xdr:colOff>
          <xdr:row>8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6"/>
  <sheetViews>
    <sheetView topLeftCell="A4" workbookViewId="0">
      <selection activeCell="E27" sqref="E27"/>
    </sheetView>
  </sheetViews>
  <sheetFormatPr defaultRowHeight="17"/>
  <cols>
    <col min="2" max="2" width="22" style="1" customWidth="1"/>
    <col min="3" max="5" width="12.58203125" style="1" customWidth="1"/>
  </cols>
  <sheetData>
    <row r="3" spans="2:5">
      <c r="C3" s="1" t="s">
        <v>3</v>
      </c>
      <c r="D3" s="1" t="s">
        <v>4</v>
      </c>
      <c r="E3" s="1" t="s">
        <v>2</v>
      </c>
    </row>
    <row r="4" spans="2:5">
      <c r="B4" s="1" t="s">
        <v>7</v>
      </c>
      <c r="C4" s="1">
        <f>MAX('인원 입력 기능'!F:F)</f>
        <v>157938</v>
      </c>
      <c r="D4" s="1">
        <v>23.738739252111589</v>
      </c>
      <c r="E4" s="1">
        <v>9.659493775096859</v>
      </c>
    </row>
    <row r="5" spans="2:5">
      <c r="B5" s="1" t="s">
        <v>8</v>
      </c>
      <c r="C5" s="1">
        <f>MAX('인원 입력 기능'!K:K)</f>
        <v>39787</v>
      </c>
      <c r="D5" s="1">
        <v>24.11</v>
      </c>
      <c r="E5" s="1">
        <v>11.13</v>
      </c>
    </row>
    <row r="6" spans="2:5">
      <c r="B6" s="1" t="s">
        <v>9</v>
      </c>
      <c r="C6" s="1">
        <f>MAX('인원 입력 기능'!P:P)</f>
        <v>34933</v>
      </c>
      <c r="D6" s="1">
        <v>24.62</v>
      </c>
      <c r="E6" s="1">
        <v>13.45</v>
      </c>
    </row>
    <row r="7" spans="2:5">
      <c r="B7" s="1" t="s">
        <v>10</v>
      </c>
      <c r="C7" s="1">
        <f>MAX('인원 입력 기능'!U:U)</f>
        <v>30002</v>
      </c>
      <c r="D7" s="1">
        <v>26.52</v>
      </c>
      <c r="E7" s="1">
        <v>13.09</v>
      </c>
    </row>
    <row r="8" spans="2:5">
      <c r="B8" s="1" t="s">
        <v>11</v>
      </c>
      <c r="C8" s="1">
        <f>MAX('인원 입력 기능'!Z:Z)</f>
        <v>17521</v>
      </c>
      <c r="D8" s="1">
        <v>26.12</v>
      </c>
      <c r="E8" s="1">
        <v>13.74</v>
      </c>
    </row>
    <row r="9" spans="2:5">
      <c r="B9" s="1" t="s">
        <v>12</v>
      </c>
      <c r="C9" s="1">
        <f>MAX('인원 입력 기능'!AE:AE)</f>
        <v>15457</v>
      </c>
      <c r="D9" s="1">
        <v>25.87</v>
      </c>
      <c r="E9" s="1">
        <v>13.13</v>
      </c>
    </row>
    <row r="10" spans="2:5">
      <c r="B10" s="1" t="s">
        <v>13</v>
      </c>
      <c r="C10" s="1">
        <f>MAX('인원 입력 기능'!AJ:AJ)</f>
        <v>6030</v>
      </c>
      <c r="D10" s="1">
        <v>23.02</v>
      </c>
      <c r="E10" s="1">
        <v>12.41</v>
      </c>
    </row>
    <row r="11" spans="2:5">
      <c r="B11" s="1" t="s">
        <v>38</v>
      </c>
      <c r="C11" s="1">
        <f>MAX('인원 입력 기능'!AO:AO)</f>
        <v>29915</v>
      </c>
      <c r="D11" s="1">
        <v>28.45</v>
      </c>
      <c r="E11" s="1">
        <v>13.31</v>
      </c>
    </row>
    <row r="12" spans="2:5">
      <c r="B12" s="1" t="s">
        <v>14</v>
      </c>
      <c r="C12" s="1">
        <f>MAX('인원 입력 기능'!AT:AT)</f>
        <v>164456</v>
      </c>
      <c r="D12" s="1">
        <v>27.96</v>
      </c>
      <c r="E12" s="1">
        <v>11.38</v>
      </c>
    </row>
    <row r="13" spans="2:5">
      <c r="B13" s="1" t="s">
        <v>37</v>
      </c>
      <c r="C13" s="1">
        <f>MAX('인원 입력 기능'!AY:AY)</f>
        <v>58049</v>
      </c>
      <c r="D13" s="1">
        <v>28.25</v>
      </c>
      <c r="E13" s="1">
        <v>12.97</v>
      </c>
    </row>
    <row r="14" spans="2:5">
      <c r="B14" s="1" t="s">
        <v>15</v>
      </c>
      <c r="C14" s="1">
        <f>MAX('인원 입력 기능'!BD:BD)</f>
        <v>44074</v>
      </c>
      <c r="D14" s="1">
        <v>29.13</v>
      </c>
      <c r="E14" s="1">
        <v>13.6</v>
      </c>
    </row>
    <row r="15" spans="2:5">
      <c r="B15" s="1" t="s">
        <v>16</v>
      </c>
      <c r="C15" s="1">
        <f>MAX('인원 입력 기능'!BI:BI)</f>
        <v>129818</v>
      </c>
      <c r="D15" s="1">
        <v>29.06</v>
      </c>
      <c r="E15" s="1">
        <v>10.55</v>
      </c>
    </row>
    <row r="16" spans="2:5">
      <c r="B16" s="1" t="s">
        <v>17</v>
      </c>
      <c r="C16" s="1">
        <f>MAX('인원 입력 기능'!BN:BN)</f>
        <v>142672</v>
      </c>
      <c r="D16" s="1">
        <v>24.5</v>
      </c>
      <c r="E16" s="1">
        <v>11.42</v>
      </c>
    </row>
    <row r="17" spans="2:5">
      <c r="B17" s="1" t="s">
        <v>36</v>
      </c>
      <c r="C17" s="1">
        <f>MAX('인원 입력 기능'!BS:BS)</f>
        <v>5148</v>
      </c>
      <c r="D17" s="1">
        <v>23.52</v>
      </c>
      <c r="E17" s="1">
        <v>13.19</v>
      </c>
    </row>
    <row r="18" spans="2:5">
      <c r="B18" s="1" t="s">
        <v>18</v>
      </c>
      <c r="C18" s="1">
        <f>MAX('인원 입력 기능'!BX:BX)</f>
        <v>5360</v>
      </c>
      <c r="D18" s="1">
        <v>22.3</v>
      </c>
      <c r="E18" s="1">
        <v>12</v>
      </c>
    </row>
    <row r="19" spans="2:5">
      <c r="B19" s="1" t="s">
        <v>19</v>
      </c>
      <c r="C19" s="1">
        <f>MAX('인원 입력 기능'!CC:CC)</f>
        <v>6909</v>
      </c>
      <c r="D19" s="1">
        <v>24.2</v>
      </c>
      <c r="E19" s="1">
        <v>11.76</v>
      </c>
    </row>
    <row r="20" spans="2:5">
      <c r="B20" s="1" t="s">
        <v>20</v>
      </c>
      <c r="C20" s="1">
        <f>MAX('인원 입력 기능'!CH:CH)</f>
        <v>4508</v>
      </c>
      <c r="D20" s="1">
        <v>21.96</v>
      </c>
      <c r="E20" s="1">
        <v>12.64</v>
      </c>
    </row>
    <row r="21" spans="2:5">
      <c r="B21" s="1" t="s">
        <v>40</v>
      </c>
      <c r="C21" s="1">
        <f>MAX('인원 입력 기능'!CM:CM)</f>
        <v>3512</v>
      </c>
      <c r="D21" s="1">
        <v>25.36</v>
      </c>
      <c r="E21" s="1">
        <v>11.13</v>
      </c>
    </row>
    <row r="22" spans="2:5">
      <c r="B22" s="1" t="s">
        <v>30</v>
      </c>
      <c r="C22" s="1">
        <f>MAX('인원 입력 기능'!CR:CR)</f>
        <v>234</v>
      </c>
    </row>
    <row r="23" spans="2:5">
      <c r="B23" s="1" t="s">
        <v>31</v>
      </c>
      <c r="C23" s="1">
        <f>MAX('인원 입력 기능'!CW:CW)</f>
        <v>1294</v>
      </c>
      <c r="D23" s="1">
        <v>27.14</v>
      </c>
      <c r="E23" s="1">
        <v>12.85</v>
      </c>
    </row>
    <row r="24" spans="2:5">
      <c r="B24" s="1" t="s">
        <v>32</v>
      </c>
      <c r="C24" s="1">
        <f>MAX('인원 입력 기능'!DB:DB)</f>
        <v>1049</v>
      </c>
      <c r="D24" s="1">
        <v>24.25</v>
      </c>
      <c r="E24" s="1">
        <v>11.52</v>
      </c>
    </row>
    <row r="25" spans="2:5">
      <c r="B25" s="1" t="s">
        <v>39</v>
      </c>
      <c r="C25" s="1">
        <f>MAX('인원 입력 기능'!DG:DG)</f>
        <v>17</v>
      </c>
    </row>
    <row r="26" spans="2:5">
      <c r="B26" s="1" t="s">
        <v>33</v>
      </c>
      <c r="C26" s="1">
        <f>MAX('인원 입력 기능'!DL:DL)</f>
        <v>1034</v>
      </c>
      <c r="D26" s="1">
        <v>29.79</v>
      </c>
      <c r="E26" s="1">
        <v>12.93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매크로3">
                <anchor moveWithCells="1" sizeWithCells="1">
                  <from>
                    <xdr:col>6</xdr:col>
                    <xdr:colOff>6350</xdr:colOff>
                    <xdr:row>5</xdr:row>
                    <xdr:rowOff>6350</xdr:rowOff>
                  </from>
                  <to>
                    <xdr:col>8</xdr:col>
                    <xdr:colOff>6350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2"/>
  <dimension ref="B2:DL53"/>
  <sheetViews>
    <sheetView topLeftCell="A37" zoomScale="60" zoomScaleNormal="60" workbookViewId="0">
      <selection activeCell="B53" sqref="B5:DL53"/>
    </sheetView>
  </sheetViews>
  <sheetFormatPr defaultRowHeight="17"/>
  <cols>
    <col min="5" max="5" width="8.6640625" customWidth="1"/>
    <col min="7" max="8" width="8.6640625" customWidth="1"/>
    <col min="58" max="58" width="8.6640625" customWidth="1"/>
  </cols>
  <sheetData>
    <row r="2" spans="2:116" ht="17.5" thickBot="1"/>
    <row r="3" spans="2:116">
      <c r="B3" s="10" t="s">
        <v>7</v>
      </c>
      <c r="C3" s="11"/>
      <c r="D3" s="11"/>
      <c r="E3" s="12"/>
      <c r="G3" s="10" t="s">
        <v>8</v>
      </c>
      <c r="H3" s="11"/>
      <c r="I3" s="11"/>
      <c r="J3" s="12"/>
      <c r="L3" s="10" t="s">
        <v>9</v>
      </c>
      <c r="M3" s="11"/>
      <c r="N3" s="11"/>
      <c r="O3" s="12"/>
      <c r="Q3" s="10" t="s">
        <v>10</v>
      </c>
      <c r="R3" s="11"/>
      <c r="S3" s="11"/>
      <c r="T3" s="12"/>
      <c r="V3" s="10" t="s">
        <v>11</v>
      </c>
      <c r="W3" s="11"/>
      <c r="X3" s="11"/>
      <c r="Y3" s="12"/>
      <c r="AA3" s="10" t="s">
        <v>12</v>
      </c>
      <c r="AB3" s="11"/>
      <c r="AC3" s="11"/>
      <c r="AD3" s="12"/>
      <c r="AE3" s="21"/>
      <c r="AF3" s="10" t="s">
        <v>13</v>
      </c>
      <c r="AG3" s="11"/>
      <c r="AH3" s="11"/>
      <c r="AI3" s="12"/>
      <c r="AK3" s="10" t="s">
        <v>38</v>
      </c>
      <c r="AL3" s="11"/>
      <c r="AM3" s="11"/>
      <c r="AN3" s="12"/>
      <c r="AP3" s="10" t="s">
        <v>14</v>
      </c>
      <c r="AQ3" s="11"/>
      <c r="AR3" s="11"/>
      <c r="AS3" s="12"/>
      <c r="AU3" s="10" t="s">
        <v>37</v>
      </c>
      <c r="AV3" s="11"/>
      <c r="AW3" s="11"/>
      <c r="AX3" s="12"/>
      <c r="AZ3" s="10" t="s">
        <v>15</v>
      </c>
      <c r="BA3" s="11"/>
      <c r="BB3" s="11"/>
      <c r="BC3" s="12"/>
      <c r="BE3" s="10" t="s">
        <v>16</v>
      </c>
      <c r="BF3" s="11"/>
      <c r="BG3" s="11"/>
      <c r="BH3" s="12"/>
      <c r="BJ3" s="10" t="s">
        <v>17</v>
      </c>
      <c r="BK3" s="11"/>
      <c r="BL3" s="11"/>
      <c r="BM3" s="12"/>
      <c r="BO3" s="10" t="s">
        <v>36</v>
      </c>
      <c r="BP3" s="11"/>
      <c r="BQ3" s="11"/>
      <c r="BR3" s="12"/>
      <c r="BT3" s="10" t="s">
        <v>18</v>
      </c>
      <c r="BU3" s="11"/>
      <c r="BV3" s="11"/>
      <c r="BW3" s="12"/>
      <c r="BY3" s="10" t="s">
        <v>19</v>
      </c>
      <c r="BZ3" s="11"/>
      <c r="CA3" s="11"/>
      <c r="CB3" s="12"/>
      <c r="CD3" s="10" t="s">
        <v>20</v>
      </c>
      <c r="CE3" s="11"/>
      <c r="CF3" s="11"/>
      <c r="CG3" s="12"/>
      <c r="CI3" s="10" t="s">
        <v>40</v>
      </c>
      <c r="CJ3" s="11"/>
      <c r="CK3" s="11"/>
      <c r="CL3" s="12"/>
      <c r="CN3" s="10" t="s">
        <v>30</v>
      </c>
      <c r="CO3" s="11"/>
      <c r="CP3" s="11"/>
      <c r="CQ3" s="12"/>
      <c r="CS3" s="10" t="s">
        <v>31</v>
      </c>
      <c r="CT3" s="11"/>
      <c r="CU3" s="11"/>
      <c r="CV3" s="12"/>
      <c r="CX3" s="10" t="s">
        <v>32</v>
      </c>
      <c r="CY3" s="11"/>
      <c r="CZ3" s="11"/>
      <c r="DA3" s="12"/>
      <c r="DC3" s="10" t="s">
        <v>39</v>
      </c>
      <c r="DD3" s="11"/>
      <c r="DE3" s="11"/>
      <c r="DF3" s="12"/>
      <c r="DH3" s="10" t="s">
        <v>33</v>
      </c>
      <c r="DI3" s="11"/>
      <c r="DJ3" s="11"/>
      <c r="DK3" s="12"/>
    </row>
    <row r="4" spans="2:116">
      <c r="B4" s="6" t="s">
        <v>1</v>
      </c>
      <c r="C4" s="1"/>
      <c r="D4" s="1"/>
      <c r="E4" s="7" t="s">
        <v>0</v>
      </c>
      <c r="G4" s="6" t="s">
        <v>1</v>
      </c>
      <c r="H4" s="1"/>
      <c r="I4" s="1"/>
      <c r="J4" s="7" t="s">
        <v>0</v>
      </c>
      <c r="L4" s="6" t="s">
        <v>1</v>
      </c>
      <c r="M4" s="1"/>
      <c r="N4" s="1"/>
      <c r="O4" s="7" t="s">
        <v>0</v>
      </c>
      <c r="Q4" s="6" t="s">
        <v>1</v>
      </c>
      <c r="R4" s="1"/>
      <c r="S4" s="1"/>
      <c r="T4" s="7" t="s">
        <v>0</v>
      </c>
      <c r="V4" s="6" t="s">
        <v>1</v>
      </c>
      <c r="W4" s="1"/>
      <c r="X4" s="1"/>
      <c r="Y4" s="7" t="s">
        <v>0</v>
      </c>
      <c r="AA4" s="6" t="s">
        <v>1</v>
      </c>
      <c r="AB4" s="1"/>
      <c r="AC4" s="1"/>
      <c r="AD4" s="7" t="s">
        <v>0</v>
      </c>
      <c r="AE4" s="18" t="s">
        <v>48</v>
      </c>
      <c r="AF4" s="6" t="s">
        <v>5</v>
      </c>
      <c r="AG4" s="1"/>
      <c r="AH4" s="1"/>
      <c r="AI4" s="7" t="s">
        <v>6</v>
      </c>
      <c r="AK4" s="6" t="s">
        <v>5</v>
      </c>
      <c r="AL4" s="1"/>
      <c r="AM4" s="1"/>
      <c r="AN4" s="7" t="s">
        <v>6</v>
      </c>
      <c r="AP4" s="6" t="s">
        <v>5</v>
      </c>
      <c r="AQ4" s="1"/>
      <c r="AR4" s="1"/>
      <c r="AS4" s="7" t="s">
        <v>6</v>
      </c>
      <c r="AU4" s="6" t="s">
        <v>5</v>
      </c>
      <c r="AV4" s="1"/>
      <c r="AW4" s="1"/>
      <c r="AX4" s="7" t="s">
        <v>6</v>
      </c>
      <c r="AZ4" s="6" t="s">
        <v>5</v>
      </c>
      <c r="BA4" s="1"/>
      <c r="BB4" s="1"/>
      <c r="BC4" s="7" t="s">
        <v>6</v>
      </c>
      <c r="BE4" s="6" t="s">
        <v>5</v>
      </c>
      <c r="BF4" s="1"/>
      <c r="BG4" s="1"/>
      <c r="BH4" s="7" t="s">
        <v>6</v>
      </c>
      <c r="BJ4" s="6" t="s">
        <v>5</v>
      </c>
      <c r="BK4" s="1"/>
      <c r="BL4" s="1"/>
      <c r="BM4" s="7" t="s">
        <v>6</v>
      </c>
      <c r="BO4" s="6" t="s">
        <v>5</v>
      </c>
      <c r="BP4" s="1"/>
      <c r="BQ4" s="1"/>
      <c r="BR4" s="7" t="s">
        <v>6</v>
      </c>
      <c r="BT4" s="6" t="s">
        <v>5</v>
      </c>
      <c r="BU4" s="1"/>
      <c r="BV4" s="1"/>
      <c r="BW4" s="7" t="s">
        <v>6</v>
      </c>
      <c r="BY4" s="6" t="s">
        <v>5</v>
      </c>
      <c r="BZ4" s="1"/>
      <c r="CA4" s="1"/>
      <c r="CB4" s="7" t="s">
        <v>6</v>
      </c>
      <c r="CD4" s="6" t="s">
        <v>5</v>
      </c>
      <c r="CE4" s="1"/>
      <c r="CF4" s="1"/>
      <c r="CG4" s="7" t="s">
        <v>6</v>
      </c>
      <c r="CI4" s="6" t="s">
        <v>1</v>
      </c>
      <c r="CJ4" s="1"/>
      <c r="CK4" s="1"/>
      <c r="CL4" s="7" t="s">
        <v>0</v>
      </c>
      <c r="CN4" s="6" t="s">
        <v>1</v>
      </c>
      <c r="CO4" s="1"/>
      <c r="CP4" s="1"/>
      <c r="CQ4" s="7" t="s">
        <v>0</v>
      </c>
      <c r="CS4" s="6" t="s">
        <v>1</v>
      </c>
      <c r="CT4" s="1"/>
      <c r="CU4" s="1"/>
      <c r="CV4" s="7" t="s">
        <v>0</v>
      </c>
      <c r="CX4" s="6" t="s">
        <v>1</v>
      </c>
      <c r="CY4" s="1"/>
      <c r="CZ4" s="1"/>
      <c r="DA4" s="7" t="s">
        <v>0</v>
      </c>
      <c r="DC4" s="6" t="s">
        <v>1</v>
      </c>
      <c r="DD4" s="1"/>
      <c r="DE4" s="1"/>
      <c r="DF4" s="7" t="s">
        <v>0</v>
      </c>
      <c r="DH4" s="6" t="s">
        <v>1</v>
      </c>
      <c r="DI4" s="1"/>
      <c r="DJ4" s="1"/>
      <c r="DK4" s="7" t="s">
        <v>0</v>
      </c>
    </row>
    <row r="5" spans="2:116">
      <c r="B5" s="120">
        <v>77</v>
      </c>
      <c r="C5" s="121">
        <v>34</v>
      </c>
      <c r="D5" s="121">
        <v>51</v>
      </c>
      <c r="E5" s="121">
        <v>85</v>
      </c>
      <c r="F5" s="122">
        <v>85</v>
      </c>
      <c r="G5" s="120">
        <v>73</v>
      </c>
      <c r="H5" s="121">
        <v>36</v>
      </c>
      <c r="I5" s="121">
        <v>51</v>
      </c>
      <c r="J5" s="121">
        <v>87</v>
      </c>
      <c r="K5" s="122">
        <v>87</v>
      </c>
      <c r="L5" s="120">
        <v>69</v>
      </c>
      <c r="M5" s="121">
        <v>202</v>
      </c>
      <c r="N5" s="121">
        <v>141</v>
      </c>
      <c r="O5" s="121">
        <v>343</v>
      </c>
      <c r="P5" s="122">
        <v>343</v>
      </c>
      <c r="Q5" s="120">
        <v>68</v>
      </c>
      <c r="R5" s="121">
        <v>159</v>
      </c>
      <c r="S5" s="121">
        <v>56</v>
      </c>
      <c r="T5" s="121">
        <v>215</v>
      </c>
      <c r="U5" s="122">
        <v>215</v>
      </c>
      <c r="V5" s="120">
        <v>67</v>
      </c>
      <c r="W5" s="121">
        <v>345</v>
      </c>
      <c r="X5" s="121">
        <v>114</v>
      </c>
      <c r="Y5" s="121">
        <v>459</v>
      </c>
      <c r="Z5" s="122">
        <v>459</v>
      </c>
      <c r="AA5" s="120">
        <v>68</v>
      </c>
      <c r="AB5" s="121">
        <v>259</v>
      </c>
      <c r="AC5" s="121">
        <v>90</v>
      </c>
      <c r="AD5" s="121">
        <v>349</v>
      </c>
      <c r="AE5" s="122">
        <v>349</v>
      </c>
      <c r="AF5" s="120">
        <v>72</v>
      </c>
      <c r="AG5" s="121">
        <v>73</v>
      </c>
      <c r="AH5" s="121">
        <v>9</v>
      </c>
      <c r="AI5" s="121">
        <v>82</v>
      </c>
      <c r="AJ5" s="122">
        <v>82</v>
      </c>
      <c r="AK5" s="120">
        <v>66</v>
      </c>
      <c r="AL5" s="121">
        <v>424</v>
      </c>
      <c r="AM5" s="121">
        <v>374</v>
      </c>
      <c r="AN5" s="121">
        <v>798</v>
      </c>
      <c r="AO5" s="122">
        <v>798</v>
      </c>
      <c r="AP5" s="199">
        <v>69</v>
      </c>
      <c r="AQ5" s="121">
        <v>533</v>
      </c>
      <c r="AR5" s="121">
        <v>500</v>
      </c>
      <c r="AS5" s="121">
        <v>1033</v>
      </c>
      <c r="AT5" s="130">
        <v>1033</v>
      </c>
      <c r="AU5" s="120">
        <v>67</v>
      </c>
      <c r="AV5" s="121">
        <v>1524</v>
      </c>
      <c r="AW5" s="121">
        <v>177</v>
      </c>
      <c r="AX5" s="121">
        <v>1701</v>
      </c>
      <c r="AY5" s="122">
        <v>1701</v>
      </c>
      <c r="AZ5" s="120">
        <v>65</v>
      </c>
      <c r="BA5" s="121">
        <v>1821</v>
      </c>
      <c r="BB5" s="121">
        <v>778</v>
      </c>
      <c r="BC5" s="121">
        <v>2599</v>
      </c>
      <c r="BD5" s="122">
        <v>2599</v>
      </c>
      <c r="BE5" s="120">
        <v>70</v>
      </c>
      <c r="BF5" s="121">
        <v>469</v>
      </c>
      <c r="BG5" s="121">
        <v>220</v>
      </c>
      <c r="BH5" s="121">
        <v>689</v>
      </c>
      <c r="BI5" s="122">
        <v>689</v>
      </c>
      <c r="BJ5" s="120">
        <v>72</v>
      </c>
      <c r="BK5" s="121">
        <v>362</v>
      </c>
      <c r="BL5" s="121">
        <v>121</v>
      </c>
      <c r="BM5" s="121">
        <v>483</v>
      </c>
      <c r="BN5" s="122">
        <v>483</v>
      </c>
      <c r="BO5" s="120">
        <v>70</v>
      </c>
      <c r="BP5" s="121">
        <v>184</v>
      </c>
      <c r="BQ5" s="121">
        <v>12</v>
      </c>
      <c r="BR5" s="121">
        <v>196</v>
      </c>
      <c r="BS5" s="122">
        <v>196</v>
      </c>
      <c r="BT5" s="120">
        <v>73</v>
      </c>
      <c r="BU5" s="121">
        <v>62</v>
      </c>
      <c r="BV5" s="121">
        <v>7</v>
      </c>
      <c r="BW5" s="121">
        <v>69</v>
      </c>
      <c r="BX5" s="122">
        <v>69</v>
      </c>
      <c r="BY5" s="120">
        <v>72</v>
      </c>
      <c r="BZ5" s="121">
        <v>35</v>
      </c>
      <c r="CA5" s="121">
        <v>17</v>
      </c>
      <c r="CB5" s="121">
        <v>52</v>
      </c>
      <c r="CC5" s="122">
        <v>52</v>
      </c>
      <c r="CD5" s="120">
        <v>72</v>
      </c>
      <c r="CE5" s="121">
        <v>55</v>
      </c>
      <c r="CF5" s="121">
        <v>8</v>
      </c>
      <c r="CG5" s="121">
        <v>63</v>
      </c>
      <c r="CH5" s="122">
        <v>63</v>
      </c>
      <c r="CI5" s="120">
        <v>72</v>
      </c>
      <c r="CJ5" s="121">
        <v>24</v>
      </c>
      <c r="CK5" s="121">
        <v>8</v>
      </c>
      <c r="CL5" s="121">
        <v>32</v>
      </c>
      <c r="CM5" s="122">
        <v>32</v>
      </c>
      <c r="CN5" s="120">
        <v>68</v>
      </c>
      <c r="CO5" s="121">
        <v>1</v>
      </c>
      <c r="CP5" s="121">
        <v>3</v>
      </c>
      <c r="CQ5" s="121">
        <v>4</v>
      </c>
      <c r="CR5" s="122">
        <v>4</v>
      </c>
      <c r="CS5" s="120">
        <v>68</v>
      </c>
      <c r="CT5" s="121">
        <v>16</v>
      </c>
      <c r="CU5" s="121">
        <v>4</v>
      </c>
      <c r="CV5" s="121">
        <v>20</v>
      </c>
      <c r="CW5" s="122">
        <v>20</v>
      </c>
      <c r="CX5" s="120">
        <v>72</v>
      </c>
      <c r="CY5" s="121">
        <v>6</v>
      </c>
      <c r="CZ5" s="121">
        <v>2</v>
      </c>
      <c r="DA5" s="121">
        <v>8</v>
      </c>
      <c r="DB5" s="122">
        <v>8</v>
      </c>
      <c r="DC5" s="120">
        <v>66</v>
      </c>
      <c r="DD5" s="121">
        <v>1</v>
      </c>
      <c r="DE5" s="121">
        <v>0</v>
      </c>
      <c r="DF5" s="121">
        <v>1</v>
      </c>
      <c r="DG5" s="122">
        <v>1</v>
      </c>
      <c r="DH5" s="120">
        <v>66</v>
      </c>
      <c r="DI5" s="121">
        <v>32</v>
      </c>
      <c r="DJ5" s="121">
        <v>53</v>
      </c>
      <c r="DK5" s="121">
        <v>85</v>
      </c>
      <c r="DL5" s="122">
        <v>85</v>
      </c>
    </row>
    <row r="6" spans="2:116">
      <c r="B6" s="120">
        <v>75</v>
      </c>
      <c r="C6" s="121">
        <v>59</v>
      </c>
      <c r="D6" s="121">
        <v>120</v>
      </c>
      <c r="E6" s="121">
        <v>179</v>
      </c>
      <c r="F6" s="122">
        <v>264</v>
      </c>
      <c r="G6" s="120">
        <v>71</v>
      </c>
      <c r="H6" s="121">
        <v>170</v>
      </c>
      <c r="I6" s="121">
        <v>224</v>
      </c>
      <c r="J6" s="121">
        <v>394</v>
      </c>
      <c r="K6" s="122">
        <v>481</v>
      </c>
      <c r="L6" s="120">
        <v>67</v>
      </c>
      <c r="M6" s="121">
        <v>669</v>
      </c>
      <c r="N6" s="121">
        <v>538</v>
      </c>
      <c r="O6" s="121">
        <v>1207</v>
      </c>
      <c r="P6" s="122">
        <v>1550</v>
      </c>
      <c r="Q6" s="120">
        <v>66</v>
      </c>
      <c r="R6" s="121">
        <v>725</v>
      </c>
      <c r="S6" s="121">
        <v>307</v>
      </c>
      <c r="T6" s="121">
        <v>1032</v>
      </c>
      <c r="U6" s="122">
        <v>1247</v>
      </c>
      <c r="V6" s="120">
        <v>66</v>
      </c>
      <c r="W6" s="121">
        <v>304</v>
      </c>
      <c r="X6" s="121">
        <v>172</v>
      </c>
      <c r="Y6" s="121">
        <v>476</v>
      </c>
      <c r="Z6" s="122">
        <v>935</v>
      </c>
      <c r="AA6" s="120">
        <v>67</v>
      </c>
      <c r="AB6" s="121">
        <v>122</v>
      </c>
      <c r="AC6" s="121">
        <v>30</v>
      </c>
      <c r="AD6" s="121">
        <v>152</v>
      </c>
      <c r="AE6" s="122">
        <v>501</v>
      </c>
      <c r="AF6" s="120">
        <v>70</v>
      </c>
      <c r="AG6" s="121">
        <v>42</v>
      </c>
      <c r="AH6" s="121">
        <v>7</v>
      </c>
      <c r="AI6" s="121">
        <v>49</v>
      </c>
      <c r="AJ6" s="122">
        <v>131</v>
      </c>
      <c r="AK6" s="120">
        <v>65</v>
      </c>
      <c r="AL6" s="121">
        <v>216</v>
      </c>
      <c r="AM6" s="121">
        <v>201</v>
      </c>
      <c r="AN6" s="121">
        <v>417</v>
      </c>
      <c r="AO6" s="122">
        <v>1215</v>
      </c>
      <c r="AP6" s="199">
        <v>68</v>
      </c>
      <c r="AQ6" s="121">
        <v>816</v>
      </c>
      <c r="AR6" s="121">
        <v>951</v>
      </c>
      <c r="AS6" s="121">
        <v>1767</v>
      </c>
      <c r="AT6" s="130">
        <v>2800</v>
      </c>
      <c r="AU6" s="120">
        <v>65</v>
      </c>
      <c r="AV6" s="121">
        <v>718</v>
      </c>
      <c r="AW6" s="121">
        <v>92</v>
      </c>
      <c r="AX6" s="121">
        <v>810</v>
      </c>
      <c r="AY6" s="122">
        <v>2511</v>
      </c>
      <c r="AZ6" s="120">
        <v>64</v>
      </c>
      <c r="BA6" s="121">
        <v>560</v>
      </c>
      <c r="BB6" s="121">
        <v>313</v>
      </c>
      <c r="BC6" s="121">
        <v>873</v>
      </c>
      <c r="BD6" s="122">
        <v>3472</v>
      </c>
      <c r="BE6" s="120">
        <v>68</v>
      </c>
      <c r="BF6" s="121">
        <v>224</v>
      </c>
      <c r="BG6" s="121">
        <v>140</v>
      </c>
      <c r="BH6" s="121">
        <v>364</v>
      </c>
      <c r="BI6" s="122">
        <v>1053</v>
      </c>
      <c r="BJ6" s="120">
        <v>71</v>
      </c>
      <c r="BK6" s="121">
        <v>325</v>
      </c>
      <c r="BL6" s="121">
        <v>111</v>
      </c>
      <c r="BM6" s="121">
        <v>436</v>
      </c>
      <c r="BN6" s="122">
        <v>919</v>
      </c>
      <c r="BO6" s="120">
        <v>69</v>
      </c>
      <c r="BP6" s="121">
        <v>51</v>
      </c>
      <c r="BQ6" s="121">
        <v>4</v>
      </c>
      <c r="BR6" s="121">
        <v>55</v>
      </c>
      <c r="BS6" s="122">
        <v>251</v>
      </c>
      <c r="BT6" s="120">
        <v>71</v>
      </c>
      <c r="BU6" s="121">
        <v>96</v>
      </c>
      <c r="BV6" s="121">
        <v>16</v>
      </c>
      <c r="BW6" s="121">
        <v>112</v>
      </c>
      <c r="BX6" s="122">
        <v>181</v>
      </c>
      <c r="BY6" s="120">
        <v>70</v>
      </c>
      <c r="BZ6" s="121">
        <v>28</v>
      </c>
      <c r="CA6" s="121">
        <v>8</v>
      </c>
      <c r="CB6" s="121">
        <v>36</v>
      </c>
      <c r="CC6" s="122">
        <v>88</v>
      </c>
      <c r="CD6" s="120">
        <v>71</v>
      </c>
      <c r="CE6" s="121">
        <v>47</v>
      </c>
      <c r="CF6" s="121">
        <v>1</v>
      </c>
      <c r="CG6" s="121">
        <v>48</v>
      </c>
      <c r="CH6" s="122">
        <v>111</v>
      </c>
      <c r="CI6" s="120">
        <v>70</v>
      </c>
      <c r="CJ6" s="121">
        <v>6</v>
      </c>
      <c r="CK6" s="121">
        <v>2</v>
      </c>
      <c r="CL6" s="121">
        <v>8</v>
      </c>
      <c r="CM6" s="122">
        <v>40</v>
      </c>
      <c r="CN6" s="120">
        <v>66</v>
      </c>
      <c r="CO6" s="121">
        <v>4</v>
      </c>
      <c r="CP6" s="121">
        <v>1</v>
      </c>
      <c r="CQ6" s="121">
        <v>5</v>
      </c>
      <c r="CR6" s="122">
        <v>9</v>
      </c>
      <c r="CS6" s="120">
        <v>66</v>
      </c>
      <c r="CT6" s="121">
        <v>13</v>
      </c>
      <c r="CU6" s="121">
        <v>1</v>
      </c>
      <c r="CV6" s="121">
        <v>14</v>
      </c>
      <c r="CW6" s="122">
        <v>34</v>
      </c>
      <c r="CX6" s="120">
        <v>71</v>
      </c>
      <c r="CY6" s="121">
        <v>7</v>
      </c>
      <c r="CZ6" s="121">
        <v>3</v>
      </c>
      <c r="DA6" s="121">
        <v>10</v>
      </c>
      <c r="DB6" s="122">
        <v>18</v>
      </c>
      <c r="DC6" s="120">
        <v>64</v>
      </c>
      <c r="DD6" s="121">
        <v>1</v>
      </c>
      <c r="DE6" s="121">
        <v>0</v>
      </c>
      <c r="DF6" s="121">
        <v>1</v>
      </c>
      <c r="DG6" s="122">
        <v>2</v>
      </c>
      <c r="DH6" s="120">
        <v>64</v>
      </c>
      <c r="DI6" s="121">
        <v>4</v>
      </c>
      <c r="DJ6" s="121">
        <v>7</v>
      </c>
      <c r="DK6" s="121">
        <v>11</v>
      </c>
      <c r="DL6" s="122">
        <v>96</v>
      </c>
    </row>
    <row r="7" spans="2:116">
      <c r="B7" s="120">
        <v>74</v>
      </c>
      <c r="C7" s="121">
        <v>193</v>
      </c>
      <c r="D7" s="121">
        <v>207</v>
      </c>
      <c r="E7" s="121">
        <v>400</v>
      </c>
      <c r="F7" s="122">
        <v>664</v>
      </c>
      <c r="G7" s="120">
        <v>70</v>
      </c>
      <c r="H7" s="121">
        <v>6</v>
      </c>
      <c r="I7" s="121">
        <v>10</v>
      </c>
      <c r="J7" s="121">
        <v>16</v>
      </c>
      <c r="K7" s="122">
        <v>497</v>
      </c>
      <c r="L7" s="120">
        <v>66</v>
      </c>
      <c r="M7" s="121">
        <v>382</v>
      </c>
      <c r="N7" s="121">
        <v>308</v>
      </c>
      <c r="O7" s="121">
        <v>690</v>
      </c>
      <c r="P7" s="122">
        <v>2240</v>
      </c>
      <c r="Q7" s="120">
        <v>65</v>
      </c>
      <c r="R7" s="121">
        <v>487</v>
      </c>
      <c r="S7" s="121">
        <v>307</v>
      </c>
      <c r="T7" s="121">
        <v>794</v>
      </c>
      <c r="U7" s="122">
        <v>2041</v>
      </c>
      <c r="V7" s="120">
        <v>65</v>
      </c>
      <c r="W7" s="121">
        <v>269</v>
      </c>
      <c r="X7" s="121">
        <v>127</v>
      </c>
      <c r="Y7" s="121">
        <v>396</v>
      </c>
      <c r="Z7" s="122">
        <v>1331</v>
      </c>
      <c r="AA7" s="120">
        <v>66</v>
      </c>
      <c r="AB7" s="121">
        <v>367</v>
      </c>
      <c r="AC7" s="121">
        <v>174</v>
      </c>
      <c r="AD7" s="121">
        <v>541</v>
      </c>
      <c r="AE7" s="122">
        <v>1042</v>
      </c>
      <c r="AF7" s="120">
        <v>69</v>
      </c>
      <c r="AG7" s="121">
        <v>111</v>
      </c>
      <c r="AH7" s="121">
        <v>13</v>
      </c>
      <c r="AI7" s="121">
        <v>124</v>
      </c>
      <c r="AJ7" s="122">
        <v>255</v>
      </c>
      <c r="AK7" s="120">
        <v>64</v>
      </c>
      <c r="AL7" s="121">
        <v>651</v>
      </c>
      <c r="AM7" s="121">
        <v>590</v>
      </c>
      <c r="AN7" s="121">
        <v>1241</v>
      </c>
      <c r="AO7" s="122">
        <v>2456</v>
      </c>
      <c r="AP7" s="199">
        <v>67</v>
      </c>
      <c r="AQ7" s="121">
        <v>753</v>
      </c>
      <c r="AR7" s="121">
        <v>701</v>
      </c>
      <c r="AS7" s="121">
        <v>1454</v>
      </c>
      <c r="AT7" s="130">
        <v>4254</v>
      </c>
      <c r="AU7" s="120">
        <v>64</v>
      </c>
      <c r="AV7" s="121">
        <v>1730</v>
      </c>
      <c r="AW7" s="121">
        <v>289</v>
      </c>
      <c r="AX7" s="121">
        <v>2019</v>
      </c>
      <c r="AY7" s="122">
        <v>4530</v>
      </c>
      <c r="AZ7" s="120">
        <v>63</v>
      </c>
      <c r="BA7" s="121">
        <v>1501</v>
      </c>
      <c r="BB7" s="121">
        <v>647</v>
      </c>
      <c r="BC7" s="121">
        <v>2148</v>
      </c>
      <c r="BD7" s="122">
        <v>5620</v>
      </c>
      <c r="BE7" s="120">
        <v>67</v>
      </c>
      <c r="BF7" s="121">
        <v>1750</v>
      </c>
      <c r="BG7" s="121">
        <v>1072</v>
      </c>
      <c r="BH7" s="121">
        <v>2822</v>
      </c>
      <c r="BI7" s="122">
        <v>3875</v>
      </c>
      <c r="BJ7" s="120">
        <v>70</v>
      </c>
      <c r="BK7" s="121">
        <v>914</v>
      </c>
      <c r="BL7" s="121">
        <v>339</v>
      </c>
      <c r="BM7" s="121">
        <v>1253</v>
      </c>
      <c r="BN7" s="122">
        <v>2172</v>
      </c>
      <c r="BO7" s="120">
        <v>68</v>
      </c>
      <c r="BP7" s="121">
        <v>102</v>
      </c>
      <c r="BQ7" s="121">
        <v>10</v>
      </c>
      <c r="BR7" s="121">
        <v>112</v>
      </c>
      <c r="BS7" s="122">
        <v>363</v>
      </c>
      <c r="BT7" s="120">
        <v>70</v>
      </c>
      <c r="BU7" s="121">
        <v>3</v>
      </c>
      <c r="BV7" s="121">
        <v>0</v>
      </c>
      <c r="BW7" s="121">
        <v>3</v>
      </c>
      <c r="BX7" s="122">
        <v>184</v>
      </c>
      <c r="BY7" s="120">
        <v>69</v>
      </c>
      <c r="BZ7" s="121">
        <v>69</v>
      </c>
      <c r="CA7" s="121">
        <v>26</v>
      </c>
      <c r="CB7" s="121">
        <v>95</v>
      </c>
      <c r="CC7" s="122">
        <v>183</v>
      </c>
      <c r="CD7" s="120">
        <v>70</v>
      </c>
      <c r="CE7" s="121">
        <v>64</v>
      </c>
      <c r="CF7" s="121">
        <v>8</v>
      </c>
      <c r="CG7" s="121">
        <v>72</v>
      </c>
      <c r="CH7" s="122">
        <v>183</v>
      </c>
      <c r="CI7" s="120">
        <v>69</v>
      </c>
      <c r="CJ7" s="121">
        <v>57</v>
      </c>
      <c r="CK7" s="121">
        <v>35</v>
      </c>
      <c r="CL7" s="121">
        <v>92</v>
      </c>
      <c r="CM7" s="122">
        <v>132</v>
      </c>
      <c r="CN7" s="120">
        <v>65</v>
      </c>
      <c r="CO7" s="121">
        <v>0</v>
      </c>
      <c r="CP7" s="121">
        <v>1</v>
      </c>
      <c r="CQ7" s="121">
        <v>1</v>
      </c>
      <c r="CR7" s="122">
        <v>10</v>
      </c>
      <c r="CS7" s="120">
        <v>65</v>
      </c>
      <c r="CT7" s="121">
        <v>28</v>
      </c>
      <c r="CU7" s="121">
        <v>11</v>
      </c>
      <c r="CV7" s="121">
        <v>39</v>
      </c>
      <c r="CW7" s="122">
        <v>73</v>
      </c>
      <c r="CX7" s="120">
        <v>70</v>
      </c>
      <c r="CY7" s="121">
        <v>12</v>
      </c>
      <c r="CZ7" s="121">
        <v>4</v>
      </c>
      <c r="DA7" s="121">
        <v>16</v>
      </c>
      <c r="DB7" s="122">
        <v>34</v>
      </c>
      <c r="DC7" s="120">
        <v>61</v>
      </c>
      <c r="DD7" s="121">
        <v>1</v>
      </c>
      <c r="DE7" s="121">
        <v>0</v>
      </c>
      <c r="DF7" s="121">
        <v>1</v>
      </c>
      <c r="DG7" s="122">
        <v>3</v>
      </c>
      <c r="DH7" s="120">
        <v>63</v>
      </c>
      <c r="DI7" s="121">
        <v>28</v>
      </c>
      <c r="DJ7" s="121">
        <v>51</v>
      </c>
      <c r="DK7" s="121">
        <v>79</v>
      </c>
      <c r="DL7" s="122">
        <v>175</v>
      </c>
    </row>
    <row r="8" spans="2:116">
      <c r="B8" s="120">
        <v>73</v>
      </c>
      <c r="C8" s="121">
        <v>44</v>
      </c>
      <c r="D8" s="121">
        <v>67</v>
      </c>
      <c r="E8" s="121">
        <v>111</v>
      </c>
      <c r="F8" s="122">
        <v>775</v>
      </c>
      <c r="G8" s="120">
        <v>69</v>
      </c>
      <c r="H8" s="121">
        <v>95</v>
      </c>
      <c r="I8" s="121">
        <v>157</v>
      </c>
      <c r="J8" s="121">
        <v>252</v>
      </c>
      <c r="K8" s="122">
        <v>749</v>
      </c>
      <c r="L8" s="120">
        <v>65</v>
      </c>
      <c r="M8" s="121">
        <v>587</v>
      </c>
      <c r="N8" s="121">
        <v>480</v>
      </c>
      <c r="O8" s="121">
        <v>1067</v>
      </c>
      <c r="P8" s="122">
        <v>3307</v>
      </c>
      <c r="Q8" s="120">
        <v>64</v>
      </c>
      <c r="R8" s="121">
        <v>457</v>
      </c>
      <c r="S8" s="121">
        <v>250</v>
      </c>
      <c r="T8" s="121">
        <v>707</v>
      </c>
      <c r="U8" s="122">
        <v>2748</v>
      </c>
      <c r="V8" s="120">
        <v>64</v>
      </c>
      <c r="W8" s="121">
        <v>492</v>
      </c>
      <c r="X8" s="121">
        <v>395</v>
      </c>
      <c r="Y8" s="121">
        <v>887</v>
      </c>
      <c r="Z8" s="122">
        <v>2218</v>
      </c>
      <c r="AA8" s="120">
        <v>65</v>
      </c>
      <c r="AB8" s="121">
        <v>330</v>
      </c>
      <c r="AC8" s="121">
        <v>141</v>
      </c>
      <c r="AD8" s="121">
        <v>471</v>
      </c>
      <c r="AE8" s="122">
        <v>1513</v>
      </c>
      <c r="AF8" s="120">
        <v>68</v>
      </c>
      <c r="AG8" s="121">
        <v>99</v>
      </c>
      <c r="AH8" s="121">
        <v>21</v>
      </c>
      <c r="AI8" s="121">
        <v>120</v>
      </c>
      <c r="AJ8" s="122">
        <v>375</v>
      </c>
      <c r="AK8" s="120">
        <v>63</v>
      </c>
      <c r="AL8" s="121">
        <v>51</v>
      </c>
      <c r="AM8" s="121">
        <v>49</v>
      </c>
      <c r="AN8" s="121">
        <v>100</v>
      </c>
      <c r="AO8" s="122">
        <v>2556</v>
      </c>
      <c r="AP8" s="199">
        <v>66</v>
      </c>
      <c r="AQ8" s="121">
        <v>655</v>
      </c>
      <c r="AR8" s="121">
        <v>880</v>
      </c>
      <c r="AS8" s="121">
        <v>1535</v>
      </c>
      <c r="AT8" s="130">
        <v>5789</v>
      </c>
      <c r="AU8" s="120">
        <v>63</v>
      </c>
      <c r="AV8" s="121">
        <v>1695</v>
      </c>
      <c r="AW8" s="121">
        <v>279</v>
      </c>
      <c r="AX8" s="121">
        <v>1974</v>
      </c>
      <c r="AY8" s="122">
        <v>6504</v>
      </c>
      <c r="AZ8" s="120">
        <v>62</v>
      </c>
      <c r="BA8" s="121">
        <v>1442</v>
      </c>
      <c r="BB8" s="121">
        <v>819</v>
      </c>
      <c r="BC8" s="121">
        <v>2261</v>
      </c>
      <c r="BD8" s="122">
        <v>7881</v>
      </c>
      <c r="BE8" s="120">
        <v>66</v>
      </c>
      <c r="BF8" s="121">
        <v>106</v>
      </c>
      <c r="BG8" s="121">
        <v>55</v>
      </c>
      <c r="BH8" s="121">
        <v>161</v>
      </c>
      <c r="BI8" s="122">
        <v>4036</v>
      </c>
      <c r="BJ8" s="120">
        <v>69</v>
      </c>
      <c r="BK8" s="121">
        <v>96</v>
      </c>
      <c r="BL8" s="121">
        <v>34</v>
      </c>
      <c r="BM8" s="121">
        <v>130</v>
      </c>
      <c r="BN8" s="122">
        <v>2302</v>
      </c>
      <c r="BO8" s="120">
        <v>67</v>
      </c>
      <c r="BP8" s="121">
        <v>23</v>
      </c>
      <c r="BQ8" s="121">
        <v>3</v>
      </c>
      <c r="BR8" s="121">
        <v>26</v>
      </c>
      <c r="BS8" s="122">
        <v>389</v>
      </c>
      <c r="BT8" s="120">
        <v>69</v>
      </c>
      <c r="BU8" s="121">
        <v>34</v>
      </c>
      <c r="BV8" s="121">
        <v>8</v>
      </c>
      <c r="BW8" s="121">
        <v>42</v>
      </c>
      <c r="BX8" s="122">
        <v>226</v>
      </c>
      <c r="BY8" s="120">
        <v>68</v>
      </c>
      <c r="BZ8" s="121">
        <v>66</v>
      </c>
      <c r="CA8" s="121">
        <v>20</v>
      </c>
      <c r="CB8" s="121">
        <v>86</v>
      </c>
      <c r="CC8" s="122">
        <v>269</v>
      </c>
      <c r="CD8" s="120">
        <v>69</v>
      </c>
      <c r="CE8" s="121">
        <v>14</v>
      </c>
      <c r="CF8" s="121">
        <v>2</v>
      </c>
      <c r="CG8" s="121">
        <v>16</v>
      </c>
      <c r="CH8" s="122">
        <v>199</v>
      </c>
      <c r="CI8" s="120">
        <v>68</v>
      </c>
      <c r="CJ8" s="121">
        <v>25</v>
      </c>
      <c r="CK8" s="121">
        <v>15</v>
      </c>
      <c r="CL8" s="121">
        <v>40</v>
      </c>
      <c r="CM8" s="122">
        <v>172</v>
      </c>
      <c r="CN8" s="120">
        <v>64</v>
      </c>
      <c r="CO8" s="121">
        <v>4</v>
      </c>
      <c r="CP8" s="121">
        <v>1</v>
      </c>
      <c r="CQ8" s="121">
        <v>5</v>
      </c>
      <c r="CR8" s="122">
        <v>15</v>
      </c>
      <c r="CS8" s="120">
        <v>64</v>
      </c>
      <c r="CT8" s="121">
        <v>34</v>
      </c>
      <c r="CU8" s="121">
        <v>7</v>
      </c>
      <c r="CV8" s="121">
        <v>41</v>
      </c>
      <c r="CW8" s="122">
        <v>114</v>
      </c>
      <c r="CX8" s="120">
        <v>69</v>
      </c>
      <c r="CY8" s="121">
        <v>0</v>
      </c>
      <c r="CZ8" s="121">
        <v>1</v>
      </c>
      <c r="DA8" s="121">
        <v>1</v>
      </c>
      <c r="DB8" s="122">
        <v>35</v>
      </c>
      <c r="DC8" s="120">
        <v>59</v>
      </c>
      <c r="DD8" s="121">
        <v>1</v>
      </c>
      <c r="DE8" s="121">
        <v>0</v>
      </c>
      <c r="DF8" s="121">
        <v>1</v>
      </c>
      <c r="DG8" s="122">
        <v>4</v>
      </c>
      <c r="DH8" s="120">
        <v>62</v>
      </c>
      <c r="DI8" s="121">
        <v>10</v>
      </c>
      <c r="DJ8" s="121">
        <v>11</v>
      </c>
      <c r="DK8" s="121">
        <v>21</v>
      </c>
      <c r="DL8" s="122">
        <v>196</v>
      </c>
    </row>
    <row r="9" spans="2:116">
      <c r="B9" s="120">
        <v>72</v>
      </c>
      <c r="C9" s="121">
        <v>383</v>
      </c>
      <c r="D9" s="121">
        <v>623</v>
      </c>
      <c r="E9" s="121">
        <v>1006</v>
      </c>
      <c r="F9" s="122">
        <v>1781</v>
      </c>
      <c r="G9" s="120">
        <v>68</v>
      </c>
      <c r="H9" s="121">
        <v>284</v>
      </c>
      <c r="I9" s="121">
        <v>422</v>
      </c>
      <c r="J9" s="121">
        <v>706</v>
      </c>
      <c r="K9" s="122">
        <v>1455</v>
      </c>
      <c r="L9" s="120">
        <v>64</v>
      </c>
      <c r="M9" s="121">
        <v>866</v>
      </c>
      <c r="N9" s="121">
        <v>682</v>
      </c>
      <c r="O9" s="121">
        <v>1548</v>
      </c>
      <c r="P9" s="122">
        <v>4855</v>
      </c>
      <c r="Q9" s="120">
        <v>63</v>
      </c>
      <c r="R9" s="121">
        <v>976</v>
      </c>
      <c r="S9" s="121">
        <v>684</v>
      </c>
      <c r="T9" s="121">
        <v>1660</v>
      </c>
      <c r="U9" s="122">
        <v>4408</v>
      </c>
      <c r="V9" s="120">
        <v>63</v>
      </c>
      <c r="W9" s="121">
        <v>177</v>
      </c>
      <c r="X9" s="121">
        <v>105</v>
      </c>
      <c r="Y9" s="121">
        <v>282</v>
      </c>
      <c r="Z9" s="122">
        <v>2500</v>
      </c>
      <c r="AA9" s="120">
        <v>64</v>
      </c>
      <c r="AB9" s="121">
        <v>251</v>
      </c>
      <c r="AC9" s="121">
        <v>170</v>
      </c>
      <c r="AD9" s="121">
        <v>421</v>
      </c>
      <c r="AE9" s="122">
        <v>1934</v>
      </c>
      <c r="AF9" s="120">
        <v>67</v>
      </c>
      <c r="AG9" s="121">
        <v>75</v>
      </c>
      <c r="AH9" s="121">
        <v>21</v>
      </c>
      <c r="AI9" s="121">
        <v>96</v>
      </c>
      <c r="AJ9" s="122">
        <v>471</v>
      </c>
      <c r="AK9" s="120">
        <v>62</v>
      </c>
      <c r="AL9" s="121">
        <v>1073</v>
      </c>
      <c r="AM9" s="121">
        <v>1205</v>
      </c>
      <c r="AN9" s="121">
        <v>2278</v>
      </c>
      <c r="AO9" s="122">
        <v>4834</v>
      </c>
      <c r="AP9" s="199">
        <v>65</v>
      </c>
      <c r="AQ9" s="121">
        <v>1678</v>
      </c>
      <c r="AR9" s="121">
        <v>2019</v>
      </c>
      <c r="AS9" s="121">
        <v>3697</v>
      </c>
      <c r="AT9" s="130">
        <v>9486</v>
      </c>
      <c r="AU9" s="120">
        <v>62</v>
      </c>
      <c r="AV9" s="121">
        <v>1226</v>
      </c>
      <c r="AW9" s="121">
        <v>222</v>
      </c>
      <c r="AX9" s="121">
        <v>1448</v>
      </c>
      <c r="AY9" s="122">
        <v>7952</v>
      </c>
      <c r="AZ9" s="120">
        <v>61</v>
      </c>
      <c r="BA9" s="121">
        <v>685</v>
      </c>
      <c r="BB9" s="121">
        <v>357</v>
      </c>
      <c r="BC9" s="121">
        <v>1042</v>
      </c>
      <c r="BD9" s="122">
        <v>8923</v>
      </c>
      <c r="BE9" s="120">
        <v>65</v>
      </c>
      <c r="BF9" s="121">
        <v>1139</v>
      </c>
      <c r="BG9" s="121">
        <v>751</v>
      </c>
      <c r="BH9" s="121">
        <v>1890</v>
      </c>
      <c r="BI9" s="122">
        <v>5926</v>
      </c>
      <c r="BJ9" s="120">
        <v>68</v>
      </c>
      <c r="BK9" s="121">
        <v>1231</v>
      </c>
      <c r="BL9" s="121">
        <v>450</v>
      </c>
      <c r="BM9" s="121">
        <v>1681</v>
      </c>
      <c r="BN9" s="122">
        <v>3983</v>
      </c>
      <c r="BO9" s="120">
        <v>66</v>
      </c>
      <c r="BP9" s="121">
        <v>172</v>
      </c>
      <c r="BQ9" s="121">
        <v>11</v>
      </c>
      <c r="BR9" s="121">
        <v>183</v>
      </c>
      <c r="BS9" s="122">
        <v>572</v>
      </c>
      <c r="BT9" s="120">
        <v>68</v>
      </c>
      <c r="BU9" s="121">
        <v>81</v>
      </c>
      <c r="BV9" s="121">
        <v>18</v>
      </c>
      <c r="BW9" s="121">
        <v>99</v>
      </c>
      <c r="BX9" s="122">
        <v>325</v>
      </c>
      <c r="BY9" s="120">
        <v>67</v>
      </c>
      <c r="BZ9" s="121">
        <v>48</v>
      </c>
      <c r="CA9" s="121">
        <v>28</v>
      </c>
      <c r="CB9" s="121">
        <v>76</v>
      </c>
      <c r="CC9" s="122">
        <v>345</v>
      </c>
      <c r="CD9" s="120">
        <v>68</v>
      </c>
      <c r="CE9" s="121">
        <v>85</v>
      </c>
      <c r="CF9" s="121">
        <v>8</v>
      </c>
      <c r="CG9" s="121">
        <v>93</v>
      </c>
      <c r="CH9" s="122">
        <v>292</v>
      </c>
      <c r="CI9" s="120">
        <v>67</v>
      </c>
      <c r="CJ9" s="121">
        <v>77</v>
      </c>
      <c r="CK9" s="121">
        <v>40</v>
      </c>
      <c r="CL9" s="121">
        <v>117</v>
      </c>
      <c r="CM9" s="122">
        <v>289</v>
      </c>
      <c r="CN9" s="120">
        <v>63</v>
      </c>
      <c r="CO9" s="121">
        <v>9</v>
      </c>
      <c r="CP9" s="121">
        <v>4</v>
      </c>
      <c r="CQ9" s="121">
        <v>13</v>
      </c>
      <c r="CR9" s="122">
        <v>28</v>
      </c>
      <c r="CS9" s="120">
        <v>63</v>
      </c>
      <c r="CT9" s="121">
        <v>37</v>
      </c>
      <c r="CU9" s="121">
        <v>10</v>
      </c>
      <c r="CV9" s="121">
        <v>47</v>
      </c>
      <c r="CW9" s="122">
        <v>161</v>
      </c>
      <c r="CX9" s="120">
        <v>68</v>
      </c>
      <c r="CY9" s="121">
        <v>9</v>
      </c>
      <c r="CZ9" s="121">
        <v>15</v>
      </c>
      <c r="DA9" s="121">
        <v>24</v>
      </c>
      <c r="DB9" s="122">
        <v>59</v>
      </c>
      <c r="DC9" s="120">
        <v>57</v>
      </c>
      <c r="DD9" s="121">
        <v>0</v>
      </c>
      <c r="DE9" s="121">
        <v>1</v>
      </c>
      <c r="DF9" s="121">
        <v>1</v>
      </c>
      <c r="DG9" s="122">
        <v>5</v>
      </c>
      <c r="DH9" s="120">
        <v>61</v>
      </c>
      <c r="DI9" s="121">
        <v>16</v>
      </c>
      <c r="DJ9" s="121">
        <v>35</v>
      </c>
      <c r="DK9" s="121">
        <v>51</v>
      </c>
      <c r="DL9" s="122">
        <v>247</v>
      </c>
    </row>
    <row r="10" spans="2:116">
      <c r="B10" s="120">
        <v>71</v>
      </c>
      <c r="C10" s="121">
        <v>342</v>
      </c>
      <c r="D10" s="121">
        <v>408</v>
      </c>
      <c r="E10" s="121">
        <v>750</v>
      </c>
      <c r="F10" s="122">
        <v>2531</v>
      </c>
      <c r="G10" s="120">
        <v>67</v>
      </c>
      <c r="H10" s="121">
        <v>37</v>
      </c>
      <c r="I10" s="121">
        <v>54</v>
      </c>
      <c r="J10" s="121">
        <v>91</v>
      </c>
      <c r="K10" s="122">
        <v>1546</v>
      </c>
      <c r="L10" s="120">
        <v>63</v>
      </c>
      <c r="M10" s="121">
        <v>455</v>
      </c>
      <c r="N10" s="121">
        <v>367</v>
      </c>
      <c r="O10" s="121">
        <v>822</v>
      </c>
      <c r="P10" s="122">
        <v>5677</v>
      </c>
      <c r="Q10" s="120">
        <v>62</v>
      </c>
      <c r="R10" s="121">
        <v>344</v>
      </c>
      <c r="S10" s="121">
        <v>235</v>
      </c>
      <c r="T10" s="121">
        <v>579</v>
      </c>
      <c r="U10" s="122">
        <v>4987</v>
      </c>
      <c r="V10" s="120">
        <v>62</v>
      </c>
      <c r="W10" s="121">
        <v>515</v>
      </c>
      <c r="X10" s="121">
        <v>439</v>
      </c>
      <c r="Y10" s="121">
        <v>954</v>
      </c>
      <c r="Z10" s="122">
        <v>3454</v>
      </c>
      <c r="AA10" s="120">
        <v>63</v>
      </c>
      <c r="AB10" s="121">
        <v>120</v>
      </c>
      <c r="AC10" s="121">
        <v>50</v>
      </c>
      <c r="AD10" s="121">
        <v>170</v>
      </c>
      <c r="AE10" s="122">
        <v>2104</v>
      </c>
      <c r="AF10" s="120">
        <v>66</v>
      </c>
      <c r="AG10" s="121">
        <v>39</v>
      </c>
      <c r="AH10" s="121">
        <v>10</v>
      </c>
      <c r="AI10" s="121">
        <v>49</v>
      </c>
      <c r="AJ10" s="122">
        <v>520</v>
      </c>
      <c r="AK10" s="120">
        <v>61</v>
      </c>
      <c r="AL10" s="121">
        <v>178</v>
      </c>
      <c r="AM10" s="121">
        <v>209</v>
      </c>
      <c r="AN10" s="121">
        <v>387</v>
      </c>
      <c r="AO10" s="122">
        <v>5221</v>
      </c>
      <c r="AP10" s="199">
        <v>64</v>
      </c>
      <c r="AQ10" s="121">
        <v>770</v>
      </c>
      <c r="AR10" s="121">
        <v>969</v>
      </c>
      <c r="AS10" s="121">
        <v>1739</v>
      </c>
      <c r="AT10" s="130">
        <v>11225</v>
      </c>
      <c r="AU10" s="120">
        <v>61</v>
      </c>
      <c r="AV10" s="121">
        <v>2902</v>
      </c>
      <c r="AW10" s="121">
        <v>587</v>
      </c>
      <c r="AX10" s="121">
        <v>3489</v>
      </c>
      <c r="AY10" s="122">
        <v>11441</v>
      </c>
      <c r="AZ10" s="120">
        <v>60</v>
      </c>
      <c r="BA10" s="121">
        <v>556</v>
      </c>
      <c r="BB10" s="121">
        <v>340</v>
      </c>
      <c r="BC10" s="121">
        <v>896</v>
      </c>
      <c r="BD10" s="122">
        <v>9819</v>
      </c>
      <c r="BE10" s="120">
        <v>64</v>
      </c>
      <c r="BF10" s="121">
        <v>2298</v>
      </c>
      <c r="BG10" s="121">
        <v>1588</v>
      </c>
      <c r="BH10" s="121">
        <v>3886</v>
      </c>
      <c r="BI10" s="122">
        <v>9812</v>
      </c>
      <c r="BJ10" s="120">
        <v>67</v>
      </c>
      <c r="BK10" s="121">
        <v>1503</v>
      </c>
      <c r="BL10" s="121">
        <v>613</v>
      </c>
      <c r="BM10" s="121">
        <v>2116</v>
      </c>
      <c r="BN10" s="122">
        <v>6099</v>
      </c>
      <c r="BO10" s="120">
        <v>65</v>
      </c>
      <c r="BP10" s="121">
        <v>49</v>
      </c>
      <c r="BQ10" s="121">
        <v>11</v>
      </c>
      <c r="BR10" s="121">
        <v>60</v>
      </c>
      <c r="BS10" s="122">
        <v>632</v>
      </c>
      <c r="BT10" s="120">
        <v>67</v>
      </c>
      <c r="BU10" s="121">
        <v>8</v>
      </c>
      <c r="BV10" s="121">
        <v>2</v>
      </c>
      <c r="BW10" s="121">
        <v>10</v>
      </c>
      <c r="BX10" s="122">
        <v>335</v>
      </c>
      <c r="BY10" s="120">
        <v>66</v>
      </c>
      <c r="BZ10" s="121">
        <v>44</v>
      </c>
      <c r="CA10" s="121">
        <v>16</v>
      </c>
      <c r="CB10" s="121">
        <v>60</v>
      </c>
      <c r="CC10" s="122">
        <v>405</v>
      </c>
      <c r="CD10" s="120">
        <v>67</v>
      </c>
      <c r="CE10" s="121">
        <v>72</v>
      </c>
      <c r="CF10" s="121">
        <v>12</v>
      </c>
      <c r="CG10" s="121">
        <v>84</v>
      </c>
      <c r="CH10" s="122">
        <v>376</v>
      </c>
      <c r="CI10" s="120">
        <v>66</v>
      </c>
      <c r="CJ10" s="121">
        <v>4</v>
      </c>
      <c r="CK10" s="121">
        <v>5</v>
      </c>
      <c r="CL10" s="121">
        <v>9</v>
      </c>
      <c r="CM10" s="122">
        <v>298</v>
      </c>
      <c r="CN10" s="120">
        <v>62</v>
      </c>
      <c r="CO10" s="121">
        <v>2</v>
      </c>
      <c r="CP10" s="121">
        <v>2</v>
      </c>
      <c r="CQ10" s="121">
        <v>4</v>
      </c>
      <c r="CR10" s="122">
        <v>32</v>
      </c>
      <c r="CS10" s="120">
        <v>62</v>
      </c>
      <c r="CT10" s="121">
        <v>68</v>
      </c>
      <c r="CU10" s="121">
        <v>11</v>
      </c>
      <c r="CV10" s="121">
        <v>79</v>
      </c>
      <c r="CW10" s="122">
        <v>240</v>
      </c>
      <c r="CX10" s="120">
        <v>67</v>
      </c>
      <c r="CY10" s="121">
        <v>6</v>
      </c>
      <c r="CZ10" s="121">
        <v>5</v>
      </c>
      <c r="DA10" s="121">
        <v>11</v>
      </c>
      <c r="DB10" s="122">
        <v>70</v>
      </c>
      <c r="DC10" s="120">
        <v>55</v>
      </c>
      <c r="DD10" s="121">
        <v>1</v>
      </c>
      <c r="DE10" s="121">
        <v>0</v>
      </c>
      <c r="DF10" s="121">
        <v>1</v>
      </c>
      <c r="DG10" s="122">
        <v>6</v>
      </c>
      <c r="DH10" s="120">
        <v>60</v>
      </c>
      <c r="DI10" s="121">
        <v>2</v>
      </c>
      <c r="DJ10" s="121">
        <v>6</v>
      </c>
      <c r="DK10" s="121">
        <v>8</v>
      </c>
      <c r="DL10" s="122">
        <v>255</v>
      </c>
    </row>
    <row r="11" spans="2:116">
      <c r="B11" s="120">
        <v>70</v>
      </c>
      <c r="C11" s="121">
        <v>224</v>
      </c>
      <c r="D11" s="121">
        <v>358</v>
      </c>
      <c r="E11" s="121">
        <v>582</v>
      </c>
      <c r="F11" s="122">
        <v>3113</v>
      </c>
      <c r="G11" s="120">
        <v>66</v>
      </c>
      <c r="H11" s="121">
        <v>214</v>
      </c>
      <c r="I11" s="121">
        <v>413</v>
      </c>
      <c r="J11" s="121">
        <v>627</v>
      </c>
      <c r="K11" s="122">
        <v>2173</v>
      </c>
      <c r="L11" s="120">
        <v>62</v>
      </c>
      <c r="M11" s="121">
        <v>297</v>
      </c>
      <c r="N11" s="121">
        <v>289</v>
      </c>
      <c r="O11" s="121">
        <v>586</v>
      </c>
      <c r="P11" s="122">
        <v>6263</v>
      </c>
      <c r="Q11" s="120">
        <v>61</v>
      </c>
      <c r="R11" s="121">
        <v>501</v>
      </c>
      <c r="S11" s="121">
        <v>371</v>
      </c>
      <c r="T11" s="121">
        <v>872</v>
      </c>
      <c r="U11" s="122">
        <v>5859</v>
      </c>
      <c r="V11" s="120">
        <v>61</v>
      </c>
      <c r="W11" s="121">
        <v>142</v>
      </c>
      <c r="X11" s="121">
        <v>127</v>
      </c>
      <c r="Y11" s="121">
        <v>269</v>
      </c>
      <c r="Z11" s="122">
        <v>3723</v>
      </c>
      <c r="AA11" s="120">
        <v>62</v>
      </c>
      <c r="AB11" s="121">
        <v>523</v>
      </c>
      <c r="AC11" s="121">
        <v>275</v>
      </c>
      <c r="AD11" s="121">
        <v>798</v>
      </c>
      <c r="AE11" s="122">
        <v>2902</v>
      </c>
      <c r="AF11" s="120">
        <v>65</v>
      </c>
      <c r="AG11" s="121">
        <v>140</v>
      </c>
      <c r="AH11" s="121">
        <v>31</v>
      </c>
      <c r="AI11" s="121">
        <v>171</v>
      </c>
      <c r="AJ11" s="122">
        <v>691</v>
      </c>
      <c r="AK11" s="120">
        <v>60</v>
      </c>
      <c r="AL11" s="121">
        <v>642</v>
      </c>
      <c r="AM11" s="121">
        <v>808</v>
      </c>
      <c r="AN11" s="121">
        <v>1450</v>
      </c>
      <c r="AO11" s="122">
        <v>6671</v>
      </c>
      <c r="AP11" s="199">
        <v>63</v>
      </c>
      <c r="AQ11" s="121">
        <v>1866</v>
      </c>
      <c r="AR11" s="121">
        <v>2604</v>
      </c>
      <c r="AS11" s="121">
        <v>4470</v>
      </c>
      <c r="AT11" s="130">
        <v>15695</v>
      </c>
      <c r="AU11" s="120">
        <v>60</v>
      </c>
      <c r="AV11" s="121">
        <v>937</v>
      </c>
      <c r="AW11" s="121">
        <v>230</v>
      </c>
      <c r="AX11" s="121">
        <v>1167</v>
      </c>
      <c r="AY11" s="122">
        <v>12608</v>
      </c>
      <c r="AZ11" s="120">
        <v>59</v>
      </c>
      <c r="BA11" s="121">
        <v>1489</v>
      </c>
      <c r="BB11" s="121">
        <v>865</v>
      </c>
      <c r="BC11" s="121">
        <v>2354</v>
      </c>
      <c r="BD11" s="122">
        <v>12173</v>
      </c>
      <c r="BE11" s="120">
        <v>63</v>
      </c>
      <c r="BF11" s="121">
        <v>597</v>
      </c>
      <c r="BG11" s="121">
        <v>442</v>
      </c>
      <c r="BH11" s="121">
        <v>1039</v>
      </c>
      <c r="BI11" s="122">
        <v>10851</v>
      </c>
      <c r="BJ11" s="120">
        <v>66</v>
      </c>
      <c r="BK11" s="121">
        <v>447</v>
      </c>
      <c r="BL11" s="121">
        <v>174</v>
      </c>
      <c r="BM11" s="121">
        <v>621</v>
      </c>
      <c r="BN11" s="122">
        <v>6720</v>
      </c>
      <c r="BO11" s="120">
        <v>64</v>
      </c>
      <c r="BP11" s="121">
        <v>87</v>
      </c>
      <c r="BQ11" s="121">
        <v>9</v>
      </c>
      <c r="BR11" s="121">
        <v>96</v>
      </c>
      <c r="BS11" s="122">
        <v>728</v>
      </c>
      <c r="BT11" s="120">
        <v>66</v>
      </c>
      <c r="BU11" s="121">
        <v>154</v>
      </c>
      <c r="BV11" s="121">
        <v>31</v>
      </c>
      <c r="BW11" s="121">
        <v>185</v>
      </c>
      <c r="BX11" s="122">
        <v>520</v>
      </c>
      <c r="BY11" s="120">
        <v>65</v>
      </c>
      <c r="BZ11" s="121">
        <v>97</v>
      </c>
      <c r="CA11" s="121">
        <v>42</v>
      </c>
      <c r="CB11" s="121">
        <v>139</v>
      </c>
      <c r="CC11" s="122">
        <v>544</v>
      </c>
      <c r="CD11" s="120">
        <v>66</v>
      </c>
      <c r="CE11" s="121">
        <v>91</v>
      </c>
      <c r="CF11" s="121">
        <v>21</v>
      </c>
      <c r="CG11" s="121">
        <v>112</v>
      </c>
      <c r="CH11" s="122">
        <v>488</v>
      </c>
      <c r="CI11" s="120">
        <v>65</v>
      </c>
      <c r="CJ11" s="121">
        <v>42</v>
      </c>
      <c r="CK11" s="121">
        <v>24</v>
      </c>
      <c r="CL11" s="121">
        <v>66</v>
      </c>
      <c r="CM11" s="122">
        <v>364</v>
      </c>
      <c r="CN11" s="120">
        <v>61</v>
      </c>
      <c r="CO11" s="121">
        <v>4</v>
      </c>
      <c r="CP11" s="121">
        <v>4</v>
      </c>
      <c r="CQ11" s="121">
        <v>8</v>
      </c>
      <c r="CR11" s="122">
        <v>40</v>
      </c>
      <c r="CS11" s="120">
        <v>61</v>
      </c>
      <c r="CT11" s="121">
        <v>26</v>
      </c>
      <c r="CU11" s="121">
        <v>3</v>
      </c>
      <c r="CV11" s="121">
        <v>29</v>
      </c>
      <c r="CW11" s="122">
        <v>269</v>
      </c>
      <c r="CX11" s="120">
        <v>66</v>
      </c>
      <c r="CY11" s="121">
        <v>2</v>
      </c>
      <c r="CZ11" s="121">
        <v>3</v>
      </c>
      <c r="DA11" s="121">
        <v>5</v>
      </c>
      <c r="DB11" s="122">
        <v>75</v>
      </c>
      <c r="DC11" s="120">
        <v>53</v>
      </c>
      <c r="DD11" s="121">
        <v>1</v>
      </c>
      <c r="DE11" s="121">
        <v>0</v>
      </c>
      <c r="DF11" s="121">
        <v>1</v>
      </c>
      <c r="DG11" s="122">
        <v>7</v>
      </c>
      <c r="DH11" s="120">
        <v>59</v>
      </c>
      <c r="DI11" s="121">
        <v>19</v>
      </c>
      <c r="DJ11" s="121">
        <v>41</v>
      </c>
      <c r="DK11" s="121">
        <v>60</v>
      </c>
      <c r="DL11" s="122">
        <v>315</v>
      </c>
    </row>
    <row r="12" spans="2:116">
      <c r="B12" s="120">
        <v>69</v>
      </c>
      <c r="C12" s="121">
        <v>988</v>
      </c>
      <c r="D12" s="121">
        <v>1429</v>
      </c>
      <c r="E12" s="121">
        <v>2417</v>
      </c>
      <c r="F12" s="122">
        <v>5530</v>
      </c>
      <c r="G12" s="120">
        <v>65</v>
      </c>
      <c r="H12" s="121">
        <v>340</v>
      </c>
      <c r="I12" s="121">
        <v>600</v>
      </c>
      <c r="J12" s="121">
        <v>940</v>
      </c>
      <c r="K12" s="122">
        <v>3113</v>
      </c>
      <c r="L12" s="120">
        <v>61</v>
      </c>
      <c r="M12" s="121">
        <v>813</v>
      </c>
      <c r="N12" s="121">
        <v>789</v>
      </c>
      <c r="O12" s="121">
        <v>1602</v>
      </c>
      <c r="P12" s="122">
        <v>7865</v>
      </c>
      <c r="Q12" s="120">
        <v>60</v>
      </c>
      <c r="R12" s="121">
        <v>823</v>
      </c>
      <c r="S12" s="121">
        <v>660</v>
      </c>
      <c r="T12" s="121">
        <v>1483</v>
      </c>
      <c r="U12" s="122">
        <v>7342</v>
      </c>
      <c r="V12" s="120">
        <v>60</v>
      </c>
      <c r="W12" s="121">
        <v>255</v>
      </c>
      <c r="X12" s="121">
        <v>242</v>
      </c>
      <c r="Y12" s="121">
        <v>497</v>
      </c>
      <c r="Z12" s="122">
        <v>4220</v>
      </c>
      <c r="AA12" s="120">
        <v>61</v>
      </c>
      <c r="AB12" s="121">
        <v>221</v>
      </c>
      <c r="AC12" s="121">
        <v>105</v>
      </c>
      <c r="AD12" s="121">
        <v>326</v>
      </c>
      <c r="AE12" s="122">
        <v>3228</v>
      </c>
      <c r="AF12" s="120">
        <v>64</v>
      </c>
      <c r="AG12" s="121">
        <v>132</v>
      </c>
      <c r="AH12" s="121">
        <v>31</v>
      </c>
      <c r="AI12" s="121">
        <v>163</v>
      </c>
      <c r="AJ12" s="122">
        <v>854</v>
      </c>
      <c r="AK12" s="120">
        <v>59</v>
      </c>
      <c r="AL12" s="121">
        <v>631</v>
      </c>
      <c r="AM12" s="121">
        <v>878</v>
      </c>
      <c r="AN12" s="121">
        <v>1509</v>
      </c>
      <c r="AO12" s="122">
        <v>8180</v>
      </c>
      <c r="AP12" s="199">
        <v>62</v>
      </c>
      <c r="AQ12" s="121">
        <v>1780</v>
      </c>
      <c r="AR12" s="121">
        <v>2324</v>
      </c>
      <c r="AS12" s="121">
        <v>4104</v>
      </c>
      <c r="AT12" s="130">
        <v>19799</v>
      </c>
      <c r="AU12" s="120">
        <v>59</v>
      </c>
      <c r="AV12" s="121">
        <v>1566</v>
      </c>
      <c r="AW12" s="121">
        <v>322</v>
      </c>
      <c r="AX12" s="121">
        <v>1888</v>
      </c>
      <c r="AY12" s="122">
        <v>14496</v>
      </c>
      <c r="AZ12" s="120">
        <v>58</v>
      </c>
      <c r="BA12" s="121">
        <v>697</v>
      </c>
      <c r="BB12" s="121">
        <v>455</v>
      </c>
      <c r="BC12" s="121">
        <v>1152</v>
      </c>
      <c r="BD12" s="122">
        <v>13325</v>
      </c>
      <c r="BE12" s="120">
        <v>62</v>
      </c>
      <c r="BF12" s="121">
        <v>2498</v>
      </c>
      <c r="BG12" s="121">
        <v>1951</v>
      </c>
      <c r="BH12" s="121">
        <v>4449</v>
      </c>
      <c r="BI12" s="122">
        <v>15300</v>
      </c>
      <c r="BJ12" s="120">
        <v>65</v>
      </c>
      <c r="BK12" s="121">
        <v>2443</v>
      </c>
      <c r="BL12" s="121">
        <v>1125</v>
      </c>
      <c r="BM12" s="121">
        <v>3568</v>
      </c>
      <c r="BN12" s="122">
        <v>10288</v>
      </c>
      <c r="BO12" s="120">
        <v>63</v>
      </c>
      <c r="BP12" s="121">
        <v>57</v>
      </c>
      <c r="BQ12" s="121">
        <v>4</v>
      </c>
      <c r="BR12" s="121">
        <v>61</v>
      </c>
      <c r="BS12" s="122">
        <v>789</v>
      </c>
      <c r="BT12" s="120">
        <v>65</v>
      </c>
      <c r="BU12" s="121">
        <v>27</v>
      </c>
      <c r="BV12" s="121">
        <v>3</v>
      </c>
      <c r="BW12" s="121">
        <v>30</v>
      </c>
      <c r="BX12" s="122">
        <v>550</v>
      </c>
      <c r="BY12" s="120">
        <v>64</v>
      </c>
      <c r="BZ12" s="121">
        <v>55</v>
      </c>
      <c r="CA12" s="121">
        <v>27</v>
      </c>
      <c r="CB12" s="121">
        <v>82</v>
      </c>
      <c r="CC12" s="122">
        <v>626</v>
      </c>
      <c r="CD12" s="120">
        <v>65</v>
      </c>
      <c r="CE12" s="121">
        <v>41</v>
      </c>
      <c r="CF12" s="121">
        <v>9</v>
      </c>
      <c r="CG12" s="121">
        <v>50</v>
      </c>
      <c r="CH12" s="122">
        <v>538</v>
      </c>
      <c r="CI12" s="120">
        <v>64</v>
      </c>
      <c r="CJ12" s="121">
        <v>66</v>
      </c>
      <c r="CK12" s="121">
        <v>52</v>
      </c>
      <c r="CL12" s="121">
        <v>118</v>
      </c>
      <c r="CM12" s="122">
        <v>482</v>
      </c>
      <c r="CN12" s="120">
        <v>60</v>
      </c>
      <c r="CO12" s="121">
        <v>8</v>
      </c>
      <c r="CP12" s="121">
        <v>6</v>
      </c>
      <c r="CQ12" s="121">
        <v>14</v>
      </c>
      <c r="CR12" s="122">
        <v>54</v>
      </c>
      <c r="CS12" s="120">
        <v>60</v>
      </c>
      <c r="CT12" s="121">
        <v>29</v>
      </c>
      <c r="CU12" s="121">
        <v>11</v>
      </c>
      <c r="CV12" s="121">
        <v>40</v>
      </c>
      <c r="CW12" s="122">
        <v>309</v>
      </c>
      <c r="CX12" s="120">
        <v>65</v>
      </c>
      <c r="CY12" s="121">
        <v>29</v>
      </c>
      <c r="CZ12" s="121">
        <v>18</v>
      </c>
      <c r="DA12" s="121">
        <v>47</v>
      </c>
      <c r="DB12" s="122">
        <v>122</v>
      </c>
      <c r="DC12" s="120">
        <v>51</v>
      </c>
      <c r="DD12" s="121">
        <v>2</v>
      </c>
      <c r="DE12" s="121">
        <v>0</v>
      </c>
      <c r="DF12" s="121">
        <v>2</v>
      </c>
      <c r="DG12" s="122">
        <v>9</v>
      </c>
      <c r="DH12" s="120">
        <v>58</v>
      </c>
      <c r="DI12" s="121">
        <v>3</v>
      </c>
      <c r="DJ12" s="121">
        <v>3</v>
      </c>
      <c r="DK12" s="121">
        <v>6</v>
      </c>
      <c r="DL12" s="122">
        <v>321</v>
      </c>
    </row>
    <row r="13" spans="2:116">
      <c r="B13" s="120">
        <v>68</v>
      </c>
      <c r="C13" s="121">
        <v>510</v>
      </c>
      <c r="D13" s="121">
        <v>648</v>
      </c>
      <c r="E13" s="121">
        <v>1158</v>
      </c>
      <c r="F13" s="122">
        <v>6688</v>
      </c>
      <c r="G13" s="120">
        <v>64</v>
      </c>
      <c r="H13" s="121">
        <v>111</v>
      </c>
      <c r="I13" s="121">
        <v>220</v>
      </c>
      <c r="J13" s="121">
        <v>331</v>
      </c>
      <c r="K13" s="122">
        <v>3444</v>
      </c>
      <c r="L13" s="120">
        <v>60</v>
      </c>
      <c r="M13" s="121">
        <v>339</v>
      </c>
      <c r="N13" s="121">
        <v>345</v>
      </c>
      <c r="O13" s="121">
        <v>684</v>
      </c>
      <c r="P13" s="122">
        <v>8549</v>
      </c>
      <c r="Q13" s="120">
        <v>59</v>
      </c>
      <c r="R13" s="121">
        <v>467</v>
      </c>
      <c r="S13" s="121">
        <v>395</v>
      </c>
      <c r="T13" s="121">
        <v>862</v>
      </c>
      <c r="U13" s="122">
        <v>8204</v>
      </c>
      <c r="V13" s="120">
        <v>59</v>
      </c>
      <c r="W13" s="121">
        <v>374</v>
      </c>
      <c r="X13" s="121">
        <v>319</v>
      </c>
      <c r="Y13" s="121">
        <v>693</v>
      </c>
      <c r="Z13" s="122">
        <v>4913</v>
      </c>
      <c r="AA13" s="120">
        <v>60</v>
      </c>
      <c r="AB13" s="121">
        <v>258</v>
      </c>
      <c r="AC13" s="121">
        <v>164</v>
      </c>
      <c r="AD13" s="121">
        <v>422</v>
      </c>
      <c r="AE13" s="122">
        <v>3650</v>
      </c>
      <c r="AF13" s="120">
        <v>63</v>
      </c>
      <c r="AG13" s="121">
        <v>106</v>
      </c>
      <c r="AH13" s="121">
        <v>46</v>
      </c>
      <c r="AI13" s="121">
        <v>152</v>
      </c>
      <c r="AJ13" s="122">
        <v>1006</v>
      </c>
      <c r="AK13" s="120">
        <v>58</v>
      </c>
      <c r="AL13" s="121">
        <v>492</v>
      </c>
      <c r="AM13" s="121">
        <v>680</v>
      </c>
      <c r="AN13" s="121">
        <v>1172</v>
      </c>
      <c r="AO13" s="122">
        <v>9352</v>
      </c>
      <c r="AP13" s="199">
        <v>61</v>
      </c>
      <c r="AQ13" s="121">
        <v>4033</v>
      </c>
      <c r="AR13" s="121">
        <v>5486</v>
      </c>
      <c r="AS13" s="121">
        <v>9519</v>
      </c>
      <c r="AT13" s="130">
        <v>29318</v>
      </c>
      <c r="AU13" s="120">
        <v>58</v>
      </c>
      <c r="AV13" s="121">
        <v>2686</v>
      </c>
      <c r="AW13" s="121">
        <v>588</v>
      </c>
      <c r="AX13" s="121">
        <v>3274</v>
      </c>
      <c r="AY13" s="122">
        <v>17770</v>
      </c>
      <c r="AZ13" s="120">
        <v>57</v>
      </c>
      <c r="BA13" s="121">
        <v>1157</v>
      </c>
      <c r="BB13" s="121">
        <v>739</v>
      </c>
      <c r="BC13" s="121">
        <v>1896</v>
      </c>
      <c r="BD13" s="122">
        <v>15221</v>
      </c>
      <c r="BE13" s="120">
        <v>61</v>
      </c>
      <c r="BF13" s="121">
        <v>1997</v>
      </c>
      <c r="BG13" s="121">
        <v>1537</v>
      </c>
      <c r="BH13" s="121">
        <v>3534</v>
      </c>
      <c r="BI13" s="122">
        <v>18834</v>
      </c>
      <c r="BJ13" s="120">
        <v>64</v>
      </c>
      <c r="BK13" s="121">
        <v>2994</v>
      </c>
      <c r="BL13" s="121">
        <v>1383</v>
      </c>
      <c r="BM13" s="121">
        <v>4377</v>
      </c>
      <c r="BN13" s="122">
        <v>14665</v>
      </c>
      <c r="BO13" s="120">
        <v>62</v>
      </c>
      <c r="BP13" s="121">
        <v>146</v>
      </c>
      <c r="BQ13" s="121">
        <v>14</v>
      </c>
      <c r="BR13" s="121">
        <v>160</v>
      </c>
      <c r="BS13" s="122">
        <v>949</v>
      </c>
      <c r="BT13" s="120">
        <v>64</v>
      </c>
      <c r="BU13" s="121">
        <v>95</v>
      </c>
      <c r="BV13" s="121">
        <v>24</v>
      </c>
      <c r="BW13" s="121">
        <v>119</v>
      </c>
      <c r="BX13" s="122">
        <v>669</v>
      </c>
      <c r="BY13" s="120">
        <v>63</v>
      </c>
      <c r="BZ13" s="121">
        <v>225</v>
      </c>
      <c r="CA13" s="121">
        <v>141</v>
      </c>
      <c r="CB13" s="121">
        <v>366</v>
      </c>
      <c r="CC13" s="122">
        <v>992</v>
      </c>
      <c r="CD13" s="120">
        <v>64</v>
      </c>
      <c r="CE13" s="121">
        <v>57</v>
      </c>
      <c r="CF13" s="121">
        <v>9</v>
      </c>
      <c r="CG13" s="121">
        <v>66</v>
      </c>
      <c r="CH13" s="122">
        <v>604</v>
      </c>
      <c r="CI13" s="120">
        <v>63</v>
      </c>
      <c r="CJ13" s="121">
        <v>10</v>
      </c>
      <c r="CK13" s="121">
        <v>6</v>
      </c>
      <c r="CL13" s="121">
        <v>16</v>
      </c>
      <c r="CM13" s="122">
        <v>498</v>
      </c>
      <c r="CN13" s="120">
        <v>59</v>
      </c>
      <c r="CO13" s="121">
        <v>7</v>
      </c>
      <c r="CP13" s="121">
        <v>1</v>
      </c>
      <c r="CQ13" s="121">
        <v>8</v>
      </c>
      <c r="CR13" s="122">
        <v>62</v>
      </c>
      <c r="CS13" s="120">
        <v>59</v>
      </c>
      <c r="CT13" s="121">
        <v>35</v>
      </c>
      <c r="CU13" s="121">
        <v>7</v>
      </c>
      <c r="CV13" s="121">
        <v>42</v>
      </c>
      <c r="CW13" s="122">
        <v>351</v>
      </c>
      <c r="CX13" s="120">
        <v>64</v>
      </c>
      <c r="CY13" s="121">
        <v>7</v>
      </c>
      <c r="CZ13" s="121">
        <v>4</v>
      </c>
      <c r="DA13" s="121">
        <v>11</v>
      </c>
      <c r="DB13" s="122">
        <v>133</v>
      </c>
      <c r="DC13" s="120">
        <v>50</v>
      </c>
      <c r="DD13" s="121">
        <v>1</v>
      </c>
      <c r="DE13" s="121">
        <v>1</v>
      </c>
      <c r="DF13" s="121">
        <v>2</v>
      </c>
      <c r="DG13" s="122">
        <v>11</v>
      </c>
      <c r="DH13" s="120">
        <v>57</v>
      </c>
      <c r="DI13" s="121">
        <v>7</v>
      </c>
      <c r="DJ13" s="121">
        <v>16</v>
      </c>
      <c r="DK13" s="121">
        <v>23</v>
      </c>
      <c r="DL13" s="122">
        <v>344</v>
      </c>
    </row>
    <row r="14" spans="2:116">
      <c r="B14" s="120">
        <v>67</v>
      </c>
      <c r="C14" s="121">
        <v>795</v>
      </c>
      <c r="D14" s="121">
        <v>1261</v>
      </c>
      <c r="E14" s="121">
        <v>2056</v>
      </c>
      <c r="F14" s="122">
        <v>8744</v>
      </c>
      <c r="G14" s="120">
        <v>63</v>
      </c>
      <c r="H14" s="121">
        <v>419</v>
      </c>
      <c r="I14" s="121">
        <v>751</v>
      </c>
      <c r="J14" s="121">
        <v>1170</v>
      </c>
      <c r="K14" s="122">
        <v>4614</v>
      </c>
      <c r="L14" s="120">
        <v>59</v>
      </c>
      <c r="M14" s="121">
        <v>383</v>
      </c>
      <c r="N14" s="121">
        <v>423</v>
      </c>
      <c r="O14" s="121">
        <v>806</v>
      </c>
      <c r="P14" s="122">
        <v>9355</v>
      </c>
      <c r="Q14" s="120">
        <v>58</v>
      </c>
      <c r="R14" s="121">
        <v>348</v>
      </c>
      <c r="S14" s="121">
        <v>284</v>
      </c>
      <c r="T14" s="121">
        <v>632</v>
      </c>
      <c r="U14" s="122">
        <v>8836</v>
      </c>
      <c r="V14" s="120">
        <v>58</v>
      </c>
      <c r="W14" s="121">
        <v>210</v>
      </c>
      <c r="X14" s="121">
        <v>183</v>
      </c>
      <c r="Y14" s="121">
        <v>393</v>
      </c>
      <c r="Z14" s="122">
        <v>5306</v>
      </c>
      <c r="AA14" s="120">
        <v>59</v>
      </c>
      <c r="AB14" s="121">
        <v>179</v>
      </c>
      <c r="AC14" s="121">
        <v>85</v>
      </c>
      <c r="AD14" s="121">
        <v>264</v>
      </c>
      <c r="AE14" s="122">
        <v>3914</v>
      </c>
      <c r="AF14" s="120">
        <v>62</v>
      </c>
      <c r="AG14" s="121">
        <v>48</v>
      </c>
      <c r="AH14" s="121">
        <v>18</v>
      </c>
      <c r="AI14" s="121">
        <v>66</v>
      </c>
      <c r="AJ14" s="122">
        <v>1072</v>
      </c>
      <c r="AK14" s="120">
        <v>57</v>
      </c>
      <c r="AL14" s="121">
        <v>231</v>
      </c>
      <c r="AM14" s="121">
        <v>323</v>
      </c>
      <c r="AN14" s="121">
        <v>554</v>
      </c>
      <c r="AO14" s="122">
        <v>9906</v>
      </c>
      <c r="AP14" s="199">
        <v>60</v>
      </c>
      <c r="AQ14" s="121">
        <v>1763</v>
      </c>
      <c r="AR14" s="121">
        <v>2249</v>
      </c>
      <c r="AS14" s="121">
        <v>4012</v>
      </c>
      <c r="AT14" s="130">
        <v>33330</v>
      </c>
      <c r="AU14" s="120">
        <v>57</v>
      </c>
      <c r="AV14" s="121">
        <v>1657</v>
      </c>
      <c r="AW14" s="121">
        <v>442</v>
      </c>
      <c r="AX14" s="121">
        <v>2099</v>
      </c>
      <c r="AY14" s="122">
        <v>19869</v>
      </c>
      <c r="AZ14" s="120">
        <v>56</v>
      </c>
      <c r="BA14" s="121">
        <v>632</v>
      </c>
      <c r="BB14" s="121">
        <v>442</v>
      </c>
      <c r="BC14" s="121">
        <v>1074</v>
      </c>
      <c r="BD14" s="122">
        <v>16295</v>
      </c>
      <c r="BE14" s="120">
        <v>60</v>
      </c>
      <c r="BF14" s="121">
        <v>1759</v>
      </c>
      <c r="BG14" s="121">
        <v>1509</v>
      </c>
      <c r="BH14" s="121">
        <v>3268</v>
      </c>
      <c r="BI14" s="122">
        <v>22102</v>
      </c>
      <c r="BJ14" s="120">
        <v>63</v>
      </c>
      <c r="BK14" s="121">
        <v>3287</v>
      </c>
      <c r="BL14" s="121">
        <v>1773</v>
      </c>
      <c r="BM14" s="121">
        <v>5060</v>
      </c>
      <c r="BN14" s="122">
        <v>19725</v>
      </c>
      <c r="BO14" s="120">
        <v>61</v>
      </c>
      <c r="BP14" s="121">
        <v>79</v>
      </c>
      <c r="BQ14" s="121">
        <v>9</v>
      </c>
      <c r="BR14" s="121">
        <v>88</v>
      </c>
      <c r="BS14" s="122">
        <v>1037</v>
      </c>
      <c r="BT14" s="120">
        <v>63</v>
      </c>
      <c r="BU14" s="121">
        <v>67</v>
      </c>
      <c r="BV14" s="121">
        <v>12</v>
      </c>
      <c r="BW14" s="121">
        <v>79</v>
      </c>
      <c r="BX14" s="122">
        <v>748</v>
      </c>
      <c r="BY14" s="120">
        <v>62</v>
      </c>
      <c r="BZ14" s="121">
        <v>69</v>
      </c>
      <c r="CA14" s="121">
        <v>57</v>
      </c>
      <c r="CB14" s="121">
        <v>126</v>
      </c>
      <c r="CC14" s="122">
        <v>1118</v>
      </c>
      <c r="CD14" s="120">
        <v>63</v>
      </c>
      <c r="CE14" s="121">
        <v>122</v>
      </c>
      <c r="CF14" s="121">
        <v>28</v>
      </c>
      <c r="CG14" s="121">
        <v>150</v>
      </c>
      <c r="CH14" s="122">
        <v>754</v>
      </c>
      <c r="CI14" s="120">
        <v>62</v>
      </c>
      <c r="CJ14" s="121">
        <v>52</v>
      </c>
      <c r="CK14" s="121">
        <v>30</v>
      </c>
      <c r="CL14" s="121">
        <v>82</v>
      </c>
      <c r="CM14" s="122">
        <v>580</v>
      </c>
      <c r="CN14" s="120">
        <v>58</v>
      </c>
      <c r="CO14" s="121">
        <v>3</v>
      </c>
      <c r="CP14" s="121">
        <v>1</v>
      </c>
      <c r="CQ14" s="121">
        <v>4</v>
      </c>
      <c r="CR14" s="122">
        <v>66</v>
      </c>
      <c r="CS14" s="120">
        <v>58</v>
      </c>
      <c r="CT14" s="121">
        <v>48</v>
      </c>
      <c r="CU14" s="121">
        <v>7</v>
      </c>
      <c r="CV14" s="121">
        <v>55</v>
      </c>
      <c r="CW14" s="122">
        <v>406</v>
      </c>
      <c r="CX14" s="120">
        <v>63</v>
      </c>
      <c r="CY14" s="121">
        <v>14</v>
      </c>
      <c r="CZ14" s="121">
        <v>14</v>
      </c>
      <c r="DA14" s="121">
        <v>28</v>
      </c>
      <c r="DB14" s="122">
        <v>161</v>
      </c>
      <c r="DC14" s="120">
        <v>47</v>
      </c>
      <c r="DD14" s="121">
        <v>0</v>
      </c>
      <c r="DE14" s="121">
        <v>1</v>
      </c>
      <c r="DF14" s="121">
        <v>1</v>
      </c>
      <c r="DG14" s="122">
        <v>12</v>
      </c>
      <c r="DH14" s="120">
        <v>56</v>
      </c>
      <c r="DI14" s="121">
        <v>9</v>
      </c>
      <c r="DJ14" s="121">
        <v>19</v>
      </c>
      <c r="DK14" s="121">
        <v>28</v>
      </c>
      <c r="DL14" s="122">
        <v>372</v>
      </c>
    </row>
    <row r="15" spans="2:116">
      <c r="B15" s="120">
        <v>66</v>
      </c>
      <c r="C15" s="121">
        <v>1343</v>
      </c>
      <c r="D15" s="121">
        <v>2242</v>
      </c>
      <c r="E15" s="121">
        <v>3585</v>
      </c>
      <c r="F15" s="122">
        <v>12329</v>
      </c>
      <c r="G15" s="120">
        <v>62</v>
      </c>
      <c r="H15" s="121">
        <v>623</v>
      </c>
      <c r="I15" s="121">
        <v>1095</v>
      </c>
      <c r="J15" s="121">
        <v>1718</v>
      </c>
      <c r="K15" s="122">
        <v>6332</v>
      </c>
      <c r="L15" s="120">
        <v>58</v>
      </c>
      <c r="M15" s="121">
        <v>572</v>
      </c>
      <c r="N15" s="121">
        <v>602</v>
      </c>
      <c r="O15" s="121">
        <v>1174</v>
      </c>
      <c r="P15" s="122">
        <v>10529</v>
      </c>
      <c r="Q15" s="120">
        <v>57</v>
      </c>
      <c r="R15" s="121">
        <v>425</v>
      </c>
      <c r="S15" s="121">
        <v>294</v>
      </c>
      <c r="T15" s="121">
        <v>719</v>
      </c>
      <c r="U15" s="122">
        <v>9555</v>
      </c>
      <c r="V15" s="120">
        <v>57</v>
      </c>
      <c r="W15" s="121">
        <v>157</v>
      </c>
      <c r="X15" s="121">
        <v>139</v>
      </c>
      <c r="Y15" s="121">
        <v>296</v>
      </c>
      <c r="Z15" s="122">
        <v>5602</v>
      </c>
      <c r="AA15" s="120">
        <v>58</v>
      </c>
      <c r="AB15" s="121">
        <v>416</v>
      </c>
      <c r="AC15" s="121">
        <v>250</v>
      </c>
      <c r="AD15" s="121">
        <v>666</v>
      </c>
      <c r="AE15" s="122">
        <v>4580</v>
      </c>
      <c r="AF15" s="120">
        <v>61</v>
      </c>
      <c r="AG15" s="121">
        <v>96</v>
      </c>
      <c r="AH15" s="121">
        <v>26</v>
      </c>
      <c r="AI15" s="121">
        <v>122</v>
      </c>
      <c r="AJ15" s="122">
        <v>1194</v>
      </c>
      <c r="AK15" s="120">
        <v>56</v>
      </c>
      <c r="AL15" s="121">
        <v>633</v>
      </c>
      <c r="AM15" s="121">
        <v>1002</v>
      </c>
      <c r="AN15" s="121">
        <v>1635</v>
      </c>
      <c r="AO15" s="122">
        <v>11541</v>
      </c>
      <c r="AP15" s="199">
        <v>59</v>
      </c>
      <c r="AQ15" s="121">
        <v>2306</v>
      </c>
      <c r="AR15" s="121">
        <v>3182</v>
      </c>
      <c r="AS15" s="121">
        <v>5488</v>
      </c>
      <c r="AT15" s="130">
        <v>38818</v>
      </c>
      <c r="AU15" s="120">
        <v>56</v>
      </c>
      <c r="AV15" s="121">
        <v>1080</v>
      </c>
      <c r="AW15" s="121">
        <v>294</v>
      </c>
      <c r="AX15" s="121">
        <v>1374</v>
      </c>
      <c r="AY15" s="122">
        <v>21243</v>
      </c>
      <c r="AZ15" s="120">
        <v>55</v>
      </c>
      <c r="BA15" s="121">
        <v>464</v>
      </c>
      <c r="BB15" s="121">
        <v>346</v>
      </c>
      <c r="BC15" s="121">
        <v>810</v>
      </c>
      <c r="BD15" s="122">
        <v>17105</v>
      </c>
      <c r="BE15" s="120">
        <v>59</v>
      </c>
      <c r="BF15" s="121">
        <v>3202</v>
      </c>
      <c r="BG15" s="121">
        <v>2872</v>
      </c>
      <c r="BH15" s="121">
        <v>6074</v>
      </c>
      <c r="BI15" s="122">
        <v>28176</v>
      </c>
      <c r="BJ15" s="120">
        <v>62</v>
      </c>
      <c r="BK15" s="121">
        <v>1707</v>
      </c>
      <c r="BL15" s="121">
        <v>850</v>
      </c>
      <c r="BM15" s="121">
        <v>2557</v>
      </c>
      <c r="BN15" s="122">
        <v>22282</v>
      </c>
      <c r="BO15" s="120">
        <v>60</v>
      </c>
      <c r="BP15" s="121">
        <v>80</v>
      </c>
      <c r="BQ15" s="121">
        <v>8</v>
      </c>
      <c r="BR15" s="121">
        <v>88</v>
      </c>
      <c r="BS15" s="122">
        <v>1125</v>
      </c>
      <c r="BT15" s="120">
        <v>62</v>
      </c>
      <c r="BU15" s="121">
        <v>60</v>
      </c>
      <c r="BV15" s="121">
        <v>11</v>
      </c>
      <c r="BW15" s="121">
        <v>71</v>
      </c>
      <c r="BX15" s="122">
        <v>819</v>
      </c>
      <c r="BY15" s="120">
        <v>61</v>
      </c>
      <c r="BZ15" s="121">
        <v>124</v>
      </c>
      <c r="CA15" s="121">
        <v>109</v>
      </c>
      <c r="CB15" s="121">
        <v>233</v>
      </c>
      <c r="CC15" s="122">
        <v>1351</v>
      </c>
      <c r="CD15" s="120">
        <v>62</v>
      </c>
      <c r="CE15" s="121">
        <v>63</v>
      </c>
      <c r="CF15" s="121">
        <v>18</v>
      </c>
      <c r="CG15" s="121">
        <v>81</v>
      </c>
      <c r="CH15" s="122">
        <v>835</v>
      </c>
      <c r="CI15" s="120">
        <v>61</v>
      </c>
      <c r="CJ15" s="121">
        <v>60</v>
      </c>
      <c r="CK15" s="121">
        <v>37</v>
      </c>
      <c r="CL15" s="121">
        <v>97</v>
      </c>
      <c r="CM15" s="122">
        <v>677</v>
      </c>
      <c r="CN15" s="120">
        <v>57</v>
      </c>
      <c r="CO15" s="121">
        <v>5</v>
      </c>
      <c r="CP15" s="121">
        <v>2</v>
      </c>
      <c r="CQ15" s="121">
        <v>7</v>
      </c>
      <c r="CR15" s="122">
        <v>73</v>
      </c>
      <c r="CS15" s="120">
        <v>57</v>
      </c>
      <c r="CT15" s="121">
        <v>33</v>
      </c>
      <c r="CU15" s="121">
        <v>2</v>
      </c>
      <c r="CV15" s="121">
        <v>35</v>
      </c>
      <c r="CW15" s="122">
        <v>441</v>
      </c>
      <c r="CX15" s="120">
        <v>62</v>
      </c>
      <c r="CY15" s="121">
        <v>9</v>
      </c>
      <c r="CZ15" s="121">
        <v>11</v>
      </c>
      <c r="DA15" s="121">
        <v>20</v>
      </c>
      <c r="DB15" s="122">
        <v>181</v>
      </c>
      <c r="DC15" s="120">
        <v>45</v>
      </c>
      <c r="DD15" s="121">
        <v>0</v>
      </c>
      <c r="DE15" s="121">
        <v>1</v>
      </c>
      <c r="DF15" s="121">
        <v>1</v>
      </c>
      <c r="DG15" s="122">
        <v>13</v>
      </c>
      <c r="DH15" s="120">
        <v>55</v>
      </c>
      <c r="DI15" s="121">
        <v>6</v>
      </c>
      <c r="DJ15" s="121">
        <v>9</v>
      </c>
      <c r="DK15" s="121">
        <v>15</v>
      </c>
      <c r="DL15" s="122">
        <v>387</v>
      </c>
    </row>
    <row r="16" spans="2:116">
      <c r="B16" s="120">
        <v>65</v>
      </c>
      <c r="C16" s="121">
        <v>709</v>
      </c>
      <c r="D16" s="121">
        <v>1062</v>
      </c>
      <c r="E16" s="121">
        <v>1771</v>
      </c>
      <c r="F16" s="122">
        <v>14100</v>
      </c>
      <c r="G16" s="120">
        <v>61</v>
      </c>
      <c r="H16" s="121">
        <v>483</v>
      </c>
      <c r="I16" s="121">
        <v>949</v>
      </c>
      <c r="J16" s="121">
        <v>1432</v>
      </c>
      <c r="K16" s="122">
        <v>7764</v>
      </c>
      <c r="L16" s="120">
        <v>57</v>
      </c>
      <c r="M16" s="121">
        <v>315</v>
      </c>
      <c r="N16" s="121">
        <v>286</v>
      </c>
      <c r="O16" s="121">
        <v>601</v>
      </c>
      <c r="P16" s="122">
        <v>11130</v>
      </c>
      <c r="Q16" s="120">
        <v>56</v>
      </c>
      <c r="R16" s="121">
        <v>693</v>
      </c>
      <c r="S16" s="121">
        <v>586</v>
      </c>
      <c r="T16" s="121">
        <v>1279</v>
      </c>
      <c r="U16" s="122">
        <v>10834</v>
      </c>
      <c r="V16" s="120">
        <v>56</v>
      </c>
      <c r="W16" s="121">
        <v>400</v>
      </c>
      <c r="X16" s="121">
        <v>263</v>
      </c>
      <c r="Y16" s="121">
        <v>663</v>
      </c>
      <c r="Z16" s="122">
        <v>6265</v>
      </c>
      <c r="AA16" s="120">
        <v>57</v>
      </c>
      <c r="AB16" s="121">
        <v>193</v>
      </c>
      <c r="AC16" s="121">
        <v>98</v>
      </c>
      <c r="AD16" s="121">
        <v>291</v>
      </c>
      <c r="AE16" s="122">
        <v>4871</v>
      </c>
      <c r="AF16" s="120">
        <v>60</v>
      </c>
      <c r="AG16" s="121">
        <v>130</v>
      </c>
      <c r="AH16" s="121">
        <v>37</v>
      </c>
      <c r="AI16" s="121">
        <v>167</v>
      </c>
      <c r="AJ16" s="122">
        <v>1361</v>
      </c>
      <c r="AK16" s="120">
        <v>55</v>
      </c>
      <c r="AL16" s="121">
        <v>245</v>
      </c>
      <c r="AM16" s="121">
        <v>347</v>
      </c>
      <c r="AN16" s="121">
        <v>592</v>
      </c>
      <c r="AO16" s="122">
        <v>12133</v>
      </c>
      <c r="AP16" s="199">
        <v>58</v>
      </c>
      <c r="AQ16" s="121">
        <v>2684</v>
      </c>
      <c r="AR16" s="121">
        <v>3759</v>
      </c>
      <c r="AS16" s="121">
        <v>6443</v>
      </c>
      <c r="AT16" s="130">
        <v>45261</v>
      </c>
      <c r="AU16" s="120">
        <v>55</v>
      </c>
      <c r="AV16" s="121">
        <v>1103</v>
      </c>
      <c r="AW16" s="121">
        <v>290</v>
      </c>
      <c r="AX16" s="121">
        <v>1393</v>
      </c>
      <c r="AY16" s="122">
        <v>22636</v>
      </c>
      <c r="AZ16" s="120">
        <v>54</v>
      </c>
      <c r="BA16" s="121">
        <v>1009</v>
      </c>
      <c r="BB16" s="121">
        <v>733</v>
      </c>
      <c r="BC16" s="121">
        <v>1742</v>
      </c>
      <c r="BD16" s="122">
        <v>18847</v>
      </c>
      <c r="BE16" s="120">
        <v>58</v>
      </c>
      <c r="BF16" s="121">
        <v>4771</v>
      </c>
      <c r="BG16" s="121">
        <v>4415</v>
      </c>
      <c r="BH16" s="121">
        <v>9186</v>
      </c>
      <c r="BI16" s="122">
        <v>37362</v>
      </c>
      <c r="BJ16" s="120">
        <v>61</v>
      </c>
      <c r="BK16" s="121">
        <v>2187</v>
      </c>
      <c r="BL16" s="121">
        <v>1222</v>
      </c>
      <c r="BM16" s="121">
        <v>3409</v>
      </c>
      <c r="BN16" s="122">
        <v>25691</v>
      </c>
      <c r="BO16" s="120">
        <v>59</v>
      </c>
      <c r="BP16" s="121">
        <v>153</v>
      </c>
      <c r="BQ16" s="121">
        <v>11</v>
      </c>
      <c r="BR16" s="121">
        <v>164</v>
      </c>
      <c r="BS16" s="122">
        <v>1289</v>
      </c>
      <c r="BT16" s="120">
        <v>61</v>
      </c>
      <c r="BU16" s="121">
        <v>166</v>
      </c>
      <c r="BV16" s="121">
        <v>40</v>
      </c>
      <c r="BW16" s="121">
        <v>206</v>
      </c>
      <c r="BX16" s="122">
        <v>1025</v>
      </c>
      <c r="BY16" s="120">
        <v>60</v>
      </c>
      <c r="BZ16" s="121">
        <v>90</v>
      </c>
      <c r="CA16" s="121">
        <v>71</v>
      </c>
      <c r="CB16" s="121">
        <v>161</v>
      </c>
      <c r="CC16" s="122">
        <v>1512</v>
      </c>
      <c r="CD16" s="120">
        <v>61</v>
      </c>
      <c r="CE16" s="121">
        <v>67</v>
      </c>
      <c r="CF16" s="121">
        <v>16</v>
      </c>
      <c r="CG16" s="121">
        <v>83</v>
      </c>
      <c r="CH16" s="122">
        <v>918</v>
      </c>
      <c r="CI16" s="120">
        <v>60</v>
      </c>
      <c r="CJ16" s="121">
        <v>74</v>
      </c>
      <c r="CK16" s="121">
        <v>40</v>
      </c>
      <c r="CL16" s="121">
        <v>114</v>
      </c>
      <c r="CM16" s="122">
        <v>791</v>
      </c>
      <c r="CN16" s="120">
        <v>56</v>
      </c>
      <c r="CO16" s="121">
        <v>5</v>
      </c>
      <c r="CP16" s="121">
        <v>4</v>
      </c>
      <c r="CQ16" s="121">
        <v>9</v>
      </c>
      <c r="CR16" s="122">
        <v>82</v>
      </c>
      <c r="CS16" s="120">
        <v>56</v>
      </c>
      <c r="CT16" s="121">
        <v>21</v>
      </c>
      <c r="CU16" s="121">
        <v>2</v>
      </c>
      <c r="CV16" s="121">
        <v>23</v>
      </c>
      <c r="CW16" s="122">
        <v>464</v>
      </c>
      <c r="CX16" s="120">
        <v>61</v>
      </c>
      <c r="CY16" s="121">
        <v>10</v>
      </c>
      <c r="CZ16" s="121">
        <v>4</v>
      </c>
      <c r="DA16" s="121">
        <v>14</v>
      </c>
      <c r="DB16" s="122">
        <v>195</v>
      </c>
      <c r="DC16" s="120">
        <v>41</v>
      </c>
      <c r="DD16" s="121">
        <v>1</v>
      </c>
      <c r="DE16" s="121">
        <v>0</v>
      </c>
      <c r="DF16" s="121">
        <v>1</v>
      </c>
      <c r="DG16" s="122">
        <v>14</v>
      </c>
      <c r="DH16" s="120">
        <v>54</v>
      </c>
      <c r="DI16" s="121">
        <v>4</v>
      </c>
      <c r="DJ16" s="121">
        <v>11</v>
      </c>
      <c r="DK16" s="121">
        <v>15</v>
      </c>
      <c r="DL16" s="122">
        <v>402</v>
      </c>
    </row>
    <row r="17" spans="2:116">
      <c r="B17" s="120">
        <v>64</v>
      </c>
      <c r="C17" s="121">
        <v>1380</v>
      </c>
      <c r="D17" s="121">
        <v>2403</v>
      </c>
      <c r="E17" s="121">
        <v>3783</v>
      </c>
      <c r="F17" s="122">
        <v>17883</v>
      </c>
      <c r="G17" s="120">
        <v>60</v>
      </c>
      <c r="H17" s="121">
        <v>304</v>
      </c>
      <c r="I17" s="121">
        <v>604</v>
      </c>
      <c r="J17" s="121">
        <v>908</v>
      </c>
      <c r="K17" s="122">
        <v>8672</v>
      </c>
      <c r="L17" s="120">
        <v>56</v>
      </c>
      <c r="M17" s="121">
        <v>279</v>
      </c>
      <c r="N17" s="121">
        <v>259</v>
      </c>
      <c r="O17" s="121">
        <v>538</v>
      </c>
      <c r="P17" s="122">
        <v>11668</v>
      </c>
      <c r="Q17" s="120">
        <v>55</v>
      </c>
      <c r="R17" s="121">
        <v>408</v>
      </c>
      <c r="S17" s="121">
        <v>308</v>
      </c>
      <c r="T17" s="121">
        <v>716</v>
      </c>
      <c r="U17" s="122">
        <v>11550</v>
      </c>
      <c r="V17" s="120">
        <v>55</v>
      </c>
      <c r="W17" s="121">
        <v>139</v>
      </c>
      <c r="X17" s="121">
        <v>123</v>
      </c>
      <c r="Y17" s="121">
        <v>262</v>
      </c>
      <c r="Z17" s="122">
        <v>6527</v>
      </c>
      <c r="AA17" s="120">
        <v>56</v>
      </c>
      <c r="AB17" s="121">
        <v>202</v>
      </c>
      <c r="AC17" s="121">
        <v>144</v>
      </c>
      <c r="AD17" s="121">
        <v>346</v>
      </c>
      <c r="AE17" s="122">
        <v>5217</v>
      </c>
      <c r="AF17" s="120">
        <v>59</v>
      </c>
      <c r="AG17" s="121">
        <v>75</v>
      </c>
      <c r="AH17" s="121">
        <v>30</v>
      </c>
      <c r="AI17" s="121">
        <v>105</v>
      </c>
      <c r="AJ17" s="122">
        <v>1466</v>
      </c>
      <c r="AK17" s="120">
        <v>54</v>
      </c>
      <c r="AL17" s="121">
        <v>290</v>
      </c>
      <c r="AM17" s="121">
        <v>481</v>
      </c>
      <c r="AN17" s="121">
        <v>771</v>
      </c>
      <c r="AO17" s="122">
        <v>12904</v>
      </c>
      <c r="AP17" s="199">
        <v>57</v>
      </c>
      <c r="AQ17" s="121">
        <v>1860</v>
      </c>
      <c r="AR17" s="121">
        <v>2542</v>
      </c>
      <c r="AS17" s="121">
        <v>4402</v>
      </c>
      <c r="AT17" s="130">
        <v>49663</v>
      </c>
      <c r="AU17" s="120">
        <v>54</v>
      </c>
      <c r="AV17" s="121">
        <v>2125</v>
      </c>
      <c r="AW17" s="121">
        <v>610</v>
      </c>
      <c r="AX17" s="121">
        <v>2735</v>
      </c>
      <c r="AY17" s="122">
        <v>25371</v>
      </c>
      <c r="AZ17" s="120">
        <v>53</v>
      </c>
      <c r="BA17" s="121">
        <v>405</v>
      </c>
      <c r="BB17" s="121">
        <v>312</v>
      </c>
      <c r="BC17" s="121">
        <v>717</v>
      </c>
      <c r="BD17" s="122">
        <v>19564</v>
      </c>
      <c r="BE17" s="120">
        <v>57</v>
      </c>
      <c r="BF17" s="121">
        <v>2360</v>
      </c>
      <c r="BG17" s="121">
        <v>2388</v>
      </c>
      <c r="BH17" s="121">
        <v>4748</v>
      </c>
      <c r="BI17" s="122">
        <v>42110</v>
      </c>
      <c r="BJ17" s="120">
        <v>60</v>
      </c>
      <c r="BK17" s="121">
        <v>3269</v>
      </c>
      <c r="BL17" s="121">
        <v>1865</v>
      </c>
      <c r="BM17" s="121">
        <v>5134</v>
      </c>
      <c r="BN17" s="122">
        <v>30825</v>
      </c>
      <c r="BO17" s="120">
        <v>58</v>
      </c>
      <c r="BP17" s="121">
        <v>55</v>
      </c>
      <c r="BQ17" s="121">
        <v>11</v>
      </c>
      <c r="BR17" s="121">
        <v>66</v>
      </c>
      <c r="BS17" s="122">
        <v>1355</v>
      </c>
      <c r="BT17" s="120">
        <v>60</v>
      </c>
      <c r="BU17" s="121">
        <v>106</v>
      </c>
      <c r="BV17" s="121">
        <v>25</v>
      </c>
      <c r="BW17" s="121">
        <v>131</v>
      </c>
      <c r="BX17" s="122">
        <v>1156</v>
      </c>
      <c r="BY17" s="120">
        <v>59</v>
      </c>
      <c r="BZ17" s="121">
        <v>97</v>
      </c>
      <c r="CA17" s="121">
        <v>77</v>
      </c>
      <c r="CB17" s="121">
        <v>174</v>
      </c>
      <c r="CC17" s="122">
        <v>1686</v>
      </c>
      <c r="CD17" s="120">
        <v>60</v>
      </c>
      <c r="CE17" s="121">
        <v>109</v>
      </c>
      <c r="CF17" s="121">
        <v>28</v>
      </c>
      <c r="CG17" s="121">
        <v>137</v>
      </c>
      <c r="CH17" s="122">
        <v>1055</v>
      </c>
      <c r="CI17" s="120">
        <v>59</v>
      </c>
      <c r="CJ17" s="121">
        <v>44</v>
      </c>
      <c r="CK17" s="121">
        <v>31</v>
      </c>
      <c r="CL17" s="121">
        <v>75</v>
      </c>
      <c r="CM17" s="122">
        <v>866</v>
      </c>
      <c r="CN17" s="120">
        <v>55</v>
      </c>
      <c r="CO17" s="121">
        <v>1</v>
      </c>
      <c r="CP17" s="121">
        <v>3</v>
      </c>
      <c r="CQ17" s="121">
        <v>4</v>
      </c>
      <c r="CR17" s="122">
        <v>86</v>
      </c>
      <c r="CS17" s="120">
        <v>55</v>
      </c>
      <c r="CT17" s="121">
        <v>36</v>
      </c>
      <c r="CU17" s="121">
        <v>12</v>
      </c>
      <c r="CV17" s="121">
        <v>48</v>
      </c>
      <c r="CW17" s="122">
        <v>512</v>
      </c>
      <c r="CX17" s="120">
        <v>60</v>
      </c>
      <c r="CY17" s="121">
        <v>14</v>
      </c>
      <c r="CZ17" s="121">
        <v>16</v>
      </c>
      <c r="DA17" s="121">
        <v>30</v>
      </c>
      <c r="DB17" s="122">
        <v>225</v>
      </c>
      <c r="DC17" s="120">
        <v>38</v>
      </c>
      <c r="DD17" s="121">
        <v>1</v>
      </c>
      <c r="DE17" s="121">
        <v>0</v>
      </c>
      <c r="DF17" s="121">
        <v>1</v>
      </c>
      <c r="DG17" s="122">
        <v>15</v>
      </c>
      <c r="DH17" s="120">
        <v>53</v>
      </c>
      <c r="DI17" s="121">
        <v>5</v>
      </c>
      <c r="DJ17" s="121">
        <v>7</v>
      </c>
      <c r="DK17" s="121">
        <v>12</v>
      </c>
      <c r="DL17" s="122">
        <v>414</v>
      </c>
    </row>
    <row r="18" spans="2:116">
      <c r="B18" s="120">
        <v>63</v>
      </c>
      <c r="C18" s="121">
        <v>1569</v>
      </c>
      <c r="D18" s="121">
        <v>2461</v>
      </c>
      <c r="E18" s="121">
        <v>4030</v>
      </c>
      <c r="F18" s="122">
        <v>21913</v>
      </c>
      <c r="G18" s="120">
        <v>59</v>
      </c>
      <c r="H18" s="121">
        <v>436</v>
      </c>
      <c r="I18" s="121">
        <v>853</v>
      </c>
      <c r="J18" s="121">
        <v>1289</v>
      </c>
      <c r="K18" s="122">
        <v>9961</v>
      </c>
      <c r="L18" s="120">
        <v>55</v>
      </c>
      <c r="M18" s="121">
        <v>534</v>
      </c>
      <c r="N18" s="121">
        <v>533</v>
      </c>
      <c r="O18" s="121">
        <v>1067</v>
      </c>
      <c r="P18" s="122">
        <v>12735</v>
      </c>
      <c r="Q18" s="120">
        <v>54</v>
      </c>
      <c r="R18" s="121">
        <v>301</v>
      </c>
      <c r="S18" s="121">
        <v>262</v>
      </c>
      <c r="T18" s="121">
        <v>563</v>
      </c>
      <c r="U18" s="122">
        <v>12113</v>
      </c>
      <c r="V18" s="120">
        <v>54</v>
      </c>
      <c r="W18" s="121">
        <v>324</v>
      </c>
      <c r="X18" s="121">
        <v>249</v>
      </c>
      <c r="Y18" s="121">
        <v>573</v>
      </c>
      <c r="Z18" s="122">
        <v>7100</v>
      </c>
      <c r="AA18" s="120">
        <v>55</v>
      </c>
      <c r="AB18" s="121">
        <v>384</v>
      </c>
      <c r="AC18" s="121">
        <v>231</v>
      </c>
      <c r="AD18" s="121">
        <v>615</v>
      </c>
      <c r="AE18" s="122">
        <v>5832</v>
      </c>
      <c r="AF18" s="120">
        <v>58</v>
      </c>
      <c r="AG18" s="121">
        <v>71</v>
      </c>
      <c r="AH18" s="121">
        <v>21</v>
      </c>
      <c r="AI18" s="121">
        <v>92</v>
      </c>
      <c r="AJ18" s="122">
        <v>1558</v>
      </c>
      <c r="AK18" s="120">
        <v>53</v>
      </c>
      <c r="AL18" s="121">
        <v>442</v>
      </c>
      <c r="AM18" s="121">
        <v>677</v>
      </c>
      <c r="AN18" s="121">
        <v>1119</v>
      </c>
      <c r="AO18" s="122">
        <v>14023</v>
      </c>
      <c r="AP18" s="199">
        <v>56</v>
      </c>
      <c r="AQ18" s="121">
        <v>2677</v>
      </c>
      <c r="AR18" s="121">
        <v>3935</v>
      </c>
      <c r="AS18" s="121">
        <v>6612</v>
      </c>
      <c r="AT18" s="130">
        <v>56275</v>
      </c>
      <c r="AU18" s="120">
        <v>53</v>
      </c>
      <c r="AV18" s="121">
        <v>1068</v>
      </c>
      <c r="AW18" s="121">
        <v>295</v>
      </c>
      <c r="AX18" s="121">
        <v>1363</v>
      </c>
      <c r="AY18" s="122">
        <v>26734</v>
      </c>
      <c r="AZ18" s="120">
        <v>52</v>
      </c>
      <c r="BA18" s="121">
        <v>436</v>
      </c>
      <c r="BB18" s="121">
        <v>333</v>
      </c>
      <c r="BC18" s="121">
        <v>769</v>
      </c>
      <c r="BD18" s="122">
        <v>20333</v>
      </c>
      <c r="BE18" s="120">
        <v>56</v>
      </c>
      <c r="BF18" s="121">
        <v>1924</v>
      </c>
      <c r="BG18" s="121">
        <v>2025</v>
      </c>
      <c r="BH18" s="121">
        <v>3949</v>
      </c>
      <c r="BI18" s="122">
        <v>46059</v>
      </c>
      <c r="BJ18" s="120">
        <v>59</v>
      </c>
      <c r="BK18" s="121">
        <v>1853</v>
      </c>
      <c r="BL18" s="121">
        <v>974</v>
      </c>
      <c r="BM18" s="121">
        <v>2827</v>
      </c>
      <c r="BN18" s="122">
        <v>33652</v>
      </c>
      <c r="BO18" s="120">
        <v>57</v>
      </c>
      <c r="BP18" s="121">
        <v>78</v>
      </c>
      <c r="BQ18" s="121">
        <v>8</v>
      </c>
      <c r="BR18" s="121">
        <v>86</v>
      </c>
      <c r="BS18" s="122">
        <v>1441</v>
      </c>
      <c r="BT18" s="120">
        <v>59</v>
      </c>
      <c r="BU18" s="121">
        <v>70</v>
      </c>
      <c r="BV18" s="121">
        <v>19</v>
      </c>
      <c r="BW18" s="121">
        <v>89</v>
      </c>
      <c r="BX18" s="122">
        <v>1245</v>
      </c>
      <c r="BY18" s="120">
        <v>58</v>
      </c>
      <c r="BZ18" s="121">
        <v>93</v>
      </c>
      <c r="CA18" s="121">
        <v>108</v>
      </c>
      <c r="CB18" s="121">
        <v>201</v>
      </c>
      <c r="CC18" s="122">
        <v>1887</v>
      </c>
      <c r="CD18" s="120">
        <v>59</v>
      </c>
      <c r="CE18" s="121">
        <v>47</v>
      </c>
      <c r="CF18" s="121">
        <v>10</v>
      </c>
      <c r="CG18" s="121">
        <v>57</v>
      </c>
      <c r="CH18" s="122">
        <v>1112</v>
      </c>
      <c r="CI18" s="120">
        <v>58</v>
      </c>
      <c r="CJ18" s="121">
        <v>32</v>
      </c>
      <c r="CK18" s="121">
        <v>19</v>
      </c>
      <c r="CL18" s="121">
        <v>51</v>
      </c>
      <c r="CM18" s="122">
        <v>917</v>
      </c>
      <c r="CN18" s="120">
        <v>54</v>
      </c>
      <c r="CO18" s="121">
        <v>3</v>
      </c>
      <c r="CP18" s="121">
        <v>3</v>
      </c>
      <c r="CQ18" s="121">
        <v>6</v>
      </c>
      <c r="CR18" s="122">
        <v>92</v>
      </c>
      <c r="CS18" s="120">
        <v>54</v>
      </c>
      <c r="CT18" s="121">
        <v>27</v>
      </c>
      <c r="CU18" s="121">
        <v>5</v>
      </c>
      <c r="CV18" s="121">
        <v>32</v>
      </c>
      <c r="CW18" s="122">
        <v>544</v>
      </c>
      <c r="CX18" s="120">
        <v>59</v>
      </c>
      <c r="CY18" s="121">
        <v>4</v>
      </c>
      <c r="CZ18" s="121">
        <v>2</v>
      </c>
      <c r="DA18" s="121">
        <v>6</v>
      </c>
      <c r="DB18" s="122">
        <v>231</v>
      </c>
      <c r="DC18" s="120">
        <v>34</v>
      </c>
      <c r="DD18" s="121">
        <v>0</v>
      </c>
      <c r="DE18" s="121">
        <v>1</v>
      </c>
      <c r="DF18" s="121">
        <v>1</v>
      </c>
      <c r="DG18" s="122">
        <v>16</v>
      </c>
      <c r="DH18" s="120">
        <v>52</v>
      </c>
      <c r="DI18" s="121">
        <v>10</v>
      </c>
      <c r="DJ18" s="121">
        <v>19</v>
      </c>
      <c r="DK18" s="121">
        <v>29</v>
      </c>
      <c r="DL18" s="122">
        <v>443</v>
      </c>
    </row>
    <row r="19" spans="2:116">
      <c r="B19" s="120">
        <v>62</v>
      </c>
      <c r="C19" s="121">
        <v>1088</v>
      </c>
      <c r="D19" s="121">
        <v>1769</v>
      </c>
      <c r="E19" s="121">
        <v>2857</v>
      </c>
      <c r="F19" s="122">
        <v>24770</v>
      </c>
      <c r="G19" s="120">
        <v>58</v>
      </c>
      <c r="H19" s="121">
        <v>442</v>
      </c>
      <c r="I19" s="121">
        <v>836</v>
      </c>
      <c r="J19" s="121">
        <v>1278</v>
      </c>
      <c r="K19" s="122">
        <v>11239</v>
      </c>
      <c r="L19" s="120">
        <v>54</v>
      </c>
      <c r="M19" s="121">
        <v>264</v>
      </c>
      <c r="N19" s="121">
        <v>262</v>
      </c>
      <c r="O19" s="121">
        <v>526</v>
      </c>
      <c r="P19" s="122">
        <v>13261</v>
      </c>
      <c r="Q19" s="120">
        <v>53</v>
      </c>
      <c r="R19" s="121">
        <v>689</v>
      </c>
      <c r="S19" s="121">
        <v>514</v>
      </c>
      <c r="T19" s="121">
        <v>1203</v>
      </c>
      <c r="U19" s="122">
        <v>13316</v>
      </c>
      <c r="V19" s="120">
        <v>53</v>
      </c>
      <c r="W19" s="121">
        <v>155</v>
      </c>
      <c r="X19" s="121">
        <v>137</v>
      </c>
      <c r="Y19" s="121">
        <v>292</v>
      </c>
      <c r="Z19" s="122">
        <v>7392</v>
      </c>
      <c r="AA19" s="120">
        <v>54</v>
      </c>
      <c r="AB19" s="121">
        <v>154</v>
      </c>
      <c r="AC19" s="121">
        <v>96</v>
      </c>
      <c r="AD19" s="121">
        <v>250</v>
      </c>
      <c r="AE19" s="122">
        <v>6082</v>
      </c>
      <c r="AF19" s="120">
        <v>57</v>
      </c>
      <c r="AG19" s="121">
        <v>59</v>
      </c>
      <c r="AH19" s="121">
        <v>22</v>
      </c>
      <c r="AI19" s="121">
        <v>81</v>
      </c>
      <c r="AJ19" s="122">
        <v>1639</v>
      </c>
      <c r="AK19" s="120">
        <v>52</v>
      </c>
      <c r="AL19" s="121">
        <v>246</v>
      </c>
      <c r="AM19" s="121">
        <v>313</v>
      </c>
      <c r="AN19" s="121">
        <v>559</v>
      </c>
      <c r="AO19" s="122">
        <v>14582</v>
      </c>
      <c r="AP19" s="199">
        <v>55</v>
      </c>
      <c r="AQ19" s="121">
        <v>2215</v>
      </c>
      <c r="AR19" s="121">
        <v>2896</v>
      </c>
      <c r="AS19" s="121">
        <v>5111</v>
      </c>
      <c r="AT19" s="130">
        <v>61386</v>
      </c>
      <c r="AU19" s="120">
        <v>52</v>
      </c>
      <c r="AV19" s="121">
        <v>952</v>
      </c>
      <c r="AW19" s="121">
        <v>255</v>
      </c>
      <c r="AX19" s="121">
        <v>1207</v>
      </c>
      <c r="AY19" s="122">
        <v>27941</v>
      </c>
      <c r="AZ19" s="120">
        <v>51</v>
      </c>
      <c r="BA19" s="121">
        <v>910</v>
      </c>
      <c r="BB19" s="121">
        <v>700</v>
      </c>
      <c r="BC19" s="121">
        <v>1610</v>
      </c>
      <c r="BD19" s="122">
        <v>21943</v>
      </c>
      <c r="BE19" s="120">
        <v>55</v>
      </c>
      <c r="BF19" s="121">
        <v>2908</v>
      </c>
      <c r="BG19" s="121">
        <v>3333</v>
      </c>
      <c r="BH19" s="121">
        <v>6241</v>
      </c>
      <c r="BI19" s="122">
        <v>52300</v>
      </c>
      <c r="BJ19" s="120">
        <v>58</v>
      </c>
      <c r="BK19" s="121">
        <v>2752</v>
      </c>
      <c r="BL19" s="121">
        <v>1549</v>
      </c>
      <c r="BM19" s="121">
        <v>4301</v>
      </c>
      <c r="BN19" s="122">
        <v>37953</v>
      </c>
      <c r="BO19" s="120">
        <v>56</v>
      </c>
      <c r="BP19" s="121">
        <v>156</v>
      </c>
      <c r="BQ19" s="121">
        <v>16</v>
      </c>
      <c r="BR19" s="121">
        <v>172</v>
      </c>
      <c r="BS19" s="122">
        <v>1613</v>
      </c>
      <c r="BT19" s="120">
        <v>58</v>
      </c>
      <c r="BU19" s="121">
        <v>78</v>
      </c>
      <c r="BV19" s="121">
        <v>25</v>
      </c>
      <c r="BW19" s="121">
        <v>103</v>
      </c>
      <c r="BX19" s="122">
        <v>1348</v>
      </c>
      <c r="BY19" s="120">
        <v>57</v>
      </c>
      <c r="BZ19" s="121">
        <v>178</v>
      </c>
      <c r="CA19" s="121">
        <v>144</v>
      </c>
      <c r="CB19" s="121">
        <v>322</v>
      </c>
      <c r="CC19" s="122">
        <v>2209</v>
      </c>
      <c r="CD19" s="120">
        <v>58</v>
      </c>
      <c r="CE19" s="121">
        <v>58</v>
      </c>
      <c r="CF19" s="121">
        <v>15</v>
      </c>
      <c r="CG19" s="121">
        <v>73</v>
      </c>
      <c r="CH19" s="122">
        <v>1185</v>
      </c>
      <c r="CI19" s="120">
        <v>57</v>
      </c>
      <c r="CJ19" s="121">
        <v>58</v>
      </c>
      <c r="CK19" s="121">
        <v>30</v>
      </c>
      <c r="CL19" s="121">
        <v>88</v>
      </c>
      <c r="CM19" s="122">
        <v>1005</v>
      </c>
      <c r="CN19" s="120">
        <v>53</v>
      </c>
      <c r="CO19" s="121">
        <v>4</v>
      </c>
      <c r="CP19" s="121">
        <v>3</v>
      </c>
      <c r="CQ19" s="121">
        <v>7</v>
      </c>
      <c r="CR19" s="122">
        <v>99</v>
      </c>
      <c r="CS19" s="120">
        <v>53</v>
      </c>
      <c r="CT19" s="121">
        <v>17</v>
      </c>
      <c r="CU19" s="121">
        <v>8</v>
      </c>
      <c r="CV19" s="121">
        <v>25</v>
      </c>
      <c r="CW19" s="122">
        <v>569</v>
      </c>
      <c r="CX19" s="120">
        <v>58</v>
      </c>
      <c r="CY19" s="121">
        <v>23</v>
      </c>
      <c r="CZ19" s="121">
        <v>23</v>
      </c>
      <c r="DA19" s="121">
        <v>46</v>
      </c>
      <c r="DB19" s="122">
        <v>277</v>
      </c>
      <c r="DC19" s="120">
        <v>28</v>
      </c>
      <c r="DD19" s="121">
        <v>1</v>
      </c>
      <c r="DE19" s="121">
        <v>0</v>
      </c>
      <c r="DF19" s="121">
        <v>1</v>
      </c>
      <c r="DG19" s="122">
        <v>17</v>
      </c>
      <c r="DH19" s="120">
        <v>51</v>
      </c>
      <c r="DI19" s="121">
        <v>5</v>
      </c>
      <c r="DJ19" s="121">
        <v>10</v>
      </c>
      <c r="DK19" s="121">
        <v>15</v>
      </c>
      <c r="DL19" s="122">
        <v>458</v>
      </c>
    </row>
    <row r="20" spans="2:116">
      <c r="B20" s="120">
        <v>61</v>
      </c>
      <c r="C20" s="121">
        <v>1799</v>
      </c>
      <c r="D20" s="121">
        <v>3215</v>
      </c>
      <c r="E20" s="121">
        <v>5014</v>
      </c>
      <c r="F20" s="122">
        <v>29784</v>
      </c>
      <c r="G20" s="120">
        <v>57</v>
      </c>
      <c r="H20" s="121">
        <v>312</v>
      </c>
      <c r="I20" s="121">
        <v>622</v>
      </c>
      <c r="J20" s="121">
        <v>934</v>
      </c>
      <c r="K20" s="122">
        <v>12173</v>
      </c>
      <c r="L20" s="120">
        <v>53</v>
      </c>
      <c r="M20" s="121">
        <v>526</v>
      </c>
      <c r="N20" s="121">
        <v>527</v>
      </c>
      <c r="O20" s="121">
        <v>1053</v>
      </c>
      <c r="P20" s="122">
        <v>14314</v>
      </c>
      <c r="Q20" s="120">
        <v>52</v>
      </c>
      <c r="R20" s="121">
        <v>274</v>
      </c>
      <c r="S20" s="121">
        <v>232</v>
      </c>
      <c r="T20" s="121">
        <v>506</v>
      </c>
      <c r="U20" s="122">
        <v>13822</v>
      </c>
      <c r="V20" s="120">
        <v>52</v>
      </c>
      <c r="W20" s="121">
        <v>161</v>
      </c>
      <c r="X20" s="121">
        <v>131</v>
      </c>
      <c r="Y20" s="121">
        <v>292</v>
      </c>
      <c r="Z20" s="122">
        <v>7684</v>
      </c>
      <c r="AA20" s="120">
        <v>53</v>
      </c>
      <c r="AB20" s="121">
        <v>164</v>
      </c>
      <c r="AC20" s="121">
        <v>121</v>
      </c>
      <c r="AD20" s="121">
        <v>285</v>
      </c>
      <c r="AE20" s="122">
        <v>6367</v>
      </c>
      <c r="AF20" s="120">
        <v>56</v>
      </c>
      <c r="AG20" s="121">
        <v>155</v>
      </c>
      <c r="AH20" s="121">
        <v>56</v>
      </c>
      <c r="AI20" s="121">
        <v>211</v>
      </c>
      <c r="AJ20" s="122">
        <v>1850</v>
      </c>
      <c r="AK20" s="120">
        <v>51</v>
      </c>
      <c r="AL20" s="121">
        <v>181</v>
      </c>
      <c r="AM20" s="121">
        <v>297</v>
      </c>
      <c r="AN20" s="121">
        <v>478</v>
      </c>
      <c r="AO20" s="122">
        <v>15060</v>
      </c>
      <c r="AP20" s="199">
        <v>54</v>
      </c>
      <c r="AQ20" s="121">
        <v>4638</v>
      </c>
      <c r="AR20" s="121">
        <v>6513</v>
      </c>
      <c r="AS20" s="121">
        <v>11151</v>
      </c>
      <c r="AT20" s="130">
        <v>72537</v>
      </c>
      <c r="AU20" s="120">
        <v>51</v>
      </c>
      <c r="AV20" s="121">
        <v>1767</v>
      </c>
      <c r="AW20" s="121">
        <v>493</v>
      </c>
      <c r="AX20" s="121">
        <v>2260</v>
      </c>
      <c r="AY20" s="122">
        <v>30201</v>
      </c>
      <c r="AZ20" s="120">
        <v>50</v>
      </c>
      <c r="BA20" s="121">
        <v>464</v>
      </c>
      <c r="BB20" s="121">
        <v>361</v>
      </c>
      <c r="BC20" s="121">
        <v>825</v>
      </c>
      <c r="BD20" s="122">
        <v>22768</v>
      </c>
      <c r="BE20" s="120">
        <v>54</v>
      </c>
      <c r="BF20" s="121">
        <v>1593</v>
      </c>
      <c r="BG20" s="121">
        <v>1741</v>
      </c>
      <c r="BH20" s="121">
        <v>3334</v>
      </c>
      <c r="BI20" s="122">
        <v>55634</v>
      </c>
      <c r="BJ20" s="120">
        <v>57</v>
      </c>
      <c r="BK20" s="121">
        <v>4702</v>
      </c>
      <c r="BL20" s="121">
        <v>2702</v>
      </c>
      <c r="BM20" s="121">
        <v>7404</v>
      </c>
      <c r="BN20" s="122">
        <v>45357</v>
      </c>
      <c r="BO20" s="120">
        <v>55</v>
      </c>
      <c r="BP20" s="121">
        <v>80</v>
      </c>
      <c r="BQ20" s="121">
        <v>8</v>
      </c>
      <c r="BR20" s="121">
        <v>88</v>
      </c>
      <c r="BS20" s="122">
        <v>1701</v>
      </c>
      <c r="BT20" s="120">
        <v>57</v>
      </c>
      <c r="BU20" s="121">
        <v>92</v>
      </c>
      <c r="BV20" s="121">
        <v>20</v>
      </c>
      <c r="BW20" s="121">
        <v>112</v>
      </c>
      <c r="BX20" s="122">
        <v>1460</v>
      </c>
      <c r="BY20" s="120">
        <v>56</v>
      </c>
      <c r="BZ20" s="121">
        <v>78</v>
      </c>
      <c r="CA20" s="121">
        <v>72</v>
      </c>
      <c r="CB20" s="121">
        <v>150</v>
      </c>
      <c r="CC20" s="122">
        <v>2359</v>
      </c>
      <c r="CD20" s="120">
        <v>57</v>
      </c>
      <c r="CE20" s="121">
        <v>42</v>
      </c>
      <c r="CF20" s="121">
        <v>15</v>
      </c>
      <c r="CG20" s="121">
        <v>57</v>
      </c>
      <c r="CH20" s="122">
        <v>1242</v>
      </c>
      <c r="CI20" s="120">
        <v>56</v>
      </c>
      <c r="CJ20" s="121">
        <v>42</v>
      </c>
      <c r="CK20" s="121">
        <v>31</v>
      </c>
      <c r="CL20" s="121">
        <v>73</v>
      </c>
      <c r="CM20" s="122">
        <v>1078</v>
      </c>
      <c r="CN20" s="120">
        <v>52</v>
      </c>
      <c r="CO20" s="121">
        <v>5</v>
      </c>
      <c r="CP20" s="121">
        <v>3</v>
      </c>
      <c r="CQ20" s="121">
        <v>8</v>
      </c>
      <c r="CR20" s="122">
        <v>107</v>
      </c>
      <c r="CS20" s="120">
        <v>52</v>
      </c>
      <c r="CT20" s="121">
        <v>12</v>
      </c>
      <c r="CU20" s="121">
        <v>1</v>
      </c>
      <c r="CV20" s="121">
        <v>13</v>
      </c>
      <c r="CW20" s="122">
        <v>582</v>
      </c>
      <c r="CX20" s="120">
        <v>57</v>
      </c>
      <c r="CY20" s="121">
        <v>5</v>
      </c>
      <c r="CZ20" s="121">
        <v>11</v>
      </c>
      <c r="DA20" s="121">
        <v>16</v>
      </c>
      <c r="DB20" s="122">
        <v>293</v>
      </c>
      <c r="DC20" s="120"/>
      <c r="DD20" s="121"/>
      <c r="DE20" s="121"/>
      <c r="DF20" s="121"/>
      <c r="DG20" s="122"/>
      <c r="DH20" s="120">
        <v>50</v>
      </c>
      <c r="DI20" s="121">
        <v>5</v>
      </c>
      <c r="DJ20" s="121">
        <v>20</v>
      </c>
      <c r="DK20" s="121">
        <v>25</v>
      </c>
      <c r="DL20" s="122">
        <v>483</v>
      </c>
    </row>
    <row r="21" spans="2:116">
      <c r="B21" s="120">
        <v>60</v>
      </c>
      <c r="C21" s="121">
        <v>1397</v>
      </c>
      <c r="D21" s="121">
        <v>2251</v>
      </c>
      <c r="E21" s="121">
        <v>3648</v>
      </c>
      <c r="F21" s="122">
        <v>33432</v>
      </c>
      <c r="G21" s="120">
        <v>56</v>
      </c>
      <c r="H21" s="121">
        <v>431</v>
      </c>
      <c r="I21" s="121">
        <v>844</v>
      </c>
      <c r="J21" s="121">
        <v>1275</v>
      </c>
      <c r="K21" s="122">
        <v>13448</v>
      </c>
      <c r="L21" s="120">
        <v>52</v>
      </c>
      <c r="M21" s="121">
        <v>264</v>
      </c>
      <c r="N21" s="121">
        <v>282</v>
      </c>
      <c r="O21" s="121">
        <v>546</v>
      </c>
      <c r="P21" s="122">
        <v>14860</v>
      </c>
      <c r="Q21" s="120">
        <v>51</v>
      </c>
      <c r="R21" s="121">
        <v>327</v>
      </c>
      <c r="S21" s="121">
        <v>266</v>
      </c>
      <c r="T21" s="121">
        <v>593</v>
      </c>
      <c r="U21" s="122">
        <v>14415</v>
      </c>
      <c r="V21" s="120">
        <v>51</v>
      </c>
      <c r="W21" s="121">
        <v>315</v>
      </c>
      <c r="X21" s="121">
        <v>228</v>
      </c>
      <c r="Y21" s="121">
        <v>543</v>
      </c>
      <c r="Z21" s="122">
        <v>8227</v>
      </c>
      <c r="AA21" s="120">
        <v>52</v>
      </c>
      <c r="AB21" s="121">
        <v>310</v>
      </c>
      <c r="AC21" s="121">
        <v>195</v>
      </c>
      <c r="AD21" s="121">
        <v>505</v>
      </c>
      <c r="AE21" s="122">
        <v>6872</v>
      </c>
      <c r="AF21" s="120">
        <v>55</v>
      </c>
      <c r="AG21" s="121">
        <v>101</v>
      </c>
      <c r="AH21" s="121">
        <v>32</v>
      </c>
      <c r="AI21" s="121">
        <v>133</v>
      </c>
      <c r="AJ21" s="122">
        <v>1983</v>
      </c>
      <c r="AK21" s="120">
        <v>50</v>
      </c>
      <c r="AL21" s="121">
        <v>398</v>
      </c>
      <c r="AM21" s="121">
        <v>569</v>
      </c>
      <c r="AN21" s="121">
        <v>967</v>
      </c>
      <c r="AO21" s="122">
        <v>16027</v>
      </c>
      <c r="AP21" s="199">
        <v>53</v>
      </c>
      <c r="AQ21" s="121">
        <v>1746</v>
      </c>
      <c r="AR21" s="121">
        <v>2549</v>
      </c>
      <c r="AS21" s="121">
        <v>4295</v>
      </c>
      <c r="AT21" s="130">
        <v>76832</v>
      </c>
      <c r="AU21" s="120">
        <v>50</v>
      </c>
      <c r="AV21" s="121">
        <v>769</v>
      </c>
      <c r="AW21" s="121">
        <v>242</v>
      </c>
      <c r="AX21" s="121">
        <v>1011</v>
      </c>
      <c r="AY21" s="122">
        <v>31212</v>
      </c>
      <c r="AZ21" s="120">
        <v>49</v>
      </c>
      <c r="BA21" s="121">
        <v>428</v>
      </c>
      <c r="BB21" s="121">
        <v>352</v>
      </c>
      <c r="BC21" s="121">
        <v>780</v>
      </c>
      <c r="BD21" s="122">
        <v>23548</v>
      </c>
      <c r="BE21" s="120">
        <v>53</v>
      </c>
      <c r="BF21" s="121">
        <v>2209</v>
      </c>
      <c r="BG21" s="121">
        <v>2495</v>
      </c>
      <c r="BH21" s="121">
        <v>4704</v>
      </c>
      <c r="BI21" s="122">
        <v>60338</v>
      </c>
      <c r="BJ21" s="120">
        <v>56</v>
      </c>
      <c r="BK21" s="121">
        <v>2600</v>
      </c>
      <c r="BL21" s="121">
        <v>1670</v>
      </c>
      <c r="BM21" s="121">
        <v>4270</v>
      </c>
      <c r="BN21" s="122">
        <v>49627</v>
      </c>
      <c r="BO21" s="120">
        <v>54</v>
      </c>
      <c r="BP21" s="121">
        <v>69</v>
      </c>
      <c r="BQ21" s="121">
        <v>10</v>
      </c>
      <c r="BR21" s="121">
        <v>79</v>
      </c>
      <c r="BS21" s="122">
        <v>1780</v>
      </c>
      <c r="BT21" s="120">
        <v>56</v>
      </c>
      <c r="BU21" s="121">
        <v>138</v>
      </c>
      <c r="BV21" s="121">
        <v>70</v>
      </c>
      <c r="BW21" s="121">
        <v>208</v>
      </c>
      <c r="BX21" s="122">
        <v>1668</v>
      </c>
      <c r="BY21" s="120">
        <v>55</v>
      </c>
      <c r="BZ21" s="121">
        <v>72</v>
      </c>
      <c r="CA21" s="121">
        <v>76</v>
      </c>
      <c r="CB21" s="121">
        <v>148</v>
      </c>
      <c r="CC21" s="122">
        <v>2507</v>
      </c>
      <c r="CD21" s="120">
        <v>56</v>
      </c>
      <c r="CE21" s="121">
        <v>95</v>
      </c>
      <c r="CF21" s="121">
        <v>34</v>
      </c>
      <c r="CG21" s="121">
        <v>129</v>
      </c>
      <c r="CH21" s="122">
        <v>1371</v>
      </c>
      <c r="CI21" s="120">
        <v>55</v>
      </c>
      <c r="CJ21" s="121">
        <v>34</v>
      </c>
      <c r="CK21" s="121">
        <v>30</v>
      </c>
      <c r="CL21" s="121">
        <v>64</v>
      </c>
      <c r="CM21" s="122">
        <v>1142</v>
      </c>
      <c r="CN21" s="120">
        <v>51</v>
      </c>
      <c r="CO21" s="121">
        <v>1</v>
      </c>
      <c r="CP21" s="121">
        <v>4</v>
      </c>
      <c r="CQ21" s="121">
        <v>5</v>
      </c>
      <c r="CR21" s="122">
        <v>112</v>
      </c>
      <c r="CS21" s="120">
        <v>51</v>
      </c>
      <c r="CT21" s="121">
        <v>42</v>
      </c>
      <c r="CU21" s="121">
        <v>7</v>
      </c>
      <c r="CV21" s="121">
        <v>49</v>
      </c>
      <c r="CW21" s="122">
        <v>631</v>
      </c>
      <c r="CX21" s="120">
        <v>56</v>
      </c>
      <c r="CY21" s="121">
        <v>6</v>
      </c>
      <c r="CZ21" s="121">
        <v>14</v>
      </c>
      <c r="DA21" s="121">
        <v>20</v>
      </c>
      <c r="DB21" s="122">
        <v>313</v>
      </c>
      <c r="DC21" s="120"/>
      <c r="DD21" s="121"/>
      <c r="DE21" s="121"/>
      <c r="DF21" s="121"/>
      <c r="DG21" s="122"/>
      <c r="DH21" s="120">
        <v>49</v>
      </c>
      <c r="DI21" s="121">
        <v>19</v>
      </c>
      <c r="DJ21" s="121">
        <v>30</v>
      </c>
      <c r="DK21" s="121">
        <v>49</v>
      </c>
      <c r="DL21" s="122">
        <v>532</v>
      </c>
    </row>
    <row r="22" spans="2:116">
      <c r="B22" s="120">
        <v>59</v>
      </c>
      <c r="C22" s="121">
        <v>1692</v>
      </c>
      <c r="D22" s="121">
        <v>2743</v>
      </c>
      <c r="E22" s="121">
        <v>4435</v>
      </c>
      <c r="F22" s="122">
        <v>37867</v>
      </c>
      <c r="G22" s="120">
        <v>55</v>
      </c>
      <c r="H22" s="121">
        <v>282</v>
      </c>
      <c r="I22" s="121">
        <v>588</v>
      </c>
      <c r="J22" s="121">
        <v>870</v>
      </c>
      <c r="K22" s="122">
        <v>14318</v>
      </c>
      <c r="L22" s="120">
        <v>51</v>
      </c>
      <c r="M22" s="121">
        <v>260</v>
      </c>
      <c r="N22" s="121">
        <v>229</v>
      </c>
      <c r="O22" s="121">
        <v>489</v>
      </c>
      <c r="P22" s="122">
        <v>15349</v>
      </c>
      <c r="Q22" s="120">
        <v>50</v>
      </c>
      <c r="R22" s="121">
        <v>608</v>
      </c>
      <c r="S22" s="121">
        <v>461</v>
      </c>
      <c r="T22" s="121">
        <v>1069</v>
      </c>
      <c r="U22" s="122">
        <v>15484</v>
      </c>
      <c r="V22" s="120">
        <v>50</v>
      </c>
      <c r="W22" s="121">
        <v>144</v>
      </c>
      <c r="X22" s="121">
        <v>112</v>
      </c>
      <c r="Y22" s="121">
        <v>256</v>
      </c>
      <c r="Z22" s="122">
        <v>8483</v>
      </c>
      <c r="AA22" s="120">
        <v>51</v>
      </c>
      <c r="AB22" s="121">
        <v>146</v>
      </c>
      <c r="AC22" s="121">
        <v>123</v>
      </c>
      <c r="AD22" s="121">
        <v>269</v>
      </c>
      <c r="AE22" s="122">
        <v>7141</v>
      </c>
      <c r="AF22" s="120">
        <v>54</v>
      </c>
      <c r="AG22" s="121">
        <v>80</v>
      </c>
      <c r="AH22" s="121">
        <v>33</v>
      </c>
      <c r="AI22" s="121">
        <v>113</v>
      </c>
      <c r="AJ22" s="122">
        <v>2096</v>
      </c>
      <c r="AK22" s="120">
        <v>49</v>
      </c>
      <c r="AL22" s="121">
        <v>195</v>
      </c>
      <c r="AM22" s="121">
        <v>301</v>
      </c>
      <c r="AN22" s="121">
        <v>496</v>
      </c>
      <c r="AO22" s="122">
        <v>16523</v>
      </c>
      <c r="AP22" s="199">
        <v>52</v>
      </c>
      <c r="AQ22" s="121">
        <v>2324</v>
      </c>
      <c r="AR22" s="121">
        <v>3116</v>
      </c>
      <c r="AS22" s="121">
        <v>5440</v>
      </c>
      <c r="AT22" s="130">
        <v>82272</v>
      </c>
      <c r="AU22" s="120">
        <v>49</v>
      </c>
      <c r="AV22" s="121">
        <v>822</v>
      </c>
      <c r="AW22" s="121">
        <v>253</v>
      </c>
      <c r="AX22" s="121">
        <v>1075</v>
      </c>
      <c r="AY22" s="122">
        <v>32287</v>
      </c>
      <c r="AZ22" s="120">
        <v>48</v>
      </c>
      <c r="BA22" s="121">
        <v>864</v>
      </c>
      <c r="BB22" s="121">
        <v>742</v>
      </c>
      <c r="BC22" s="121">
        <v>1606</v>
      </c>
      <c r="BD22" s="122">
        <v>25154</v>
      </c>
      <c r="BE22" s="120">
        <v>52</v>
      </c>
      <c r="BF22" s="121">
        <v>2006</v>
      </c>
      <c r="BG22" s="121">
        <v>2414</v>
      </c>
      <c r="BH22" s="121">
        <v>4420</v>
      </c>
      <c r="BI22" s="122">
        <v>64758</v>
      </c>
      <c r="BJ22" s="120">
        <v>55</v>
      </c>
      <c r="BK22" s="121">
        <v>2124</v>
      </c>
      <c r="BL22" s="121">
        <v>1389</v>
      </c>
      <c r="BM22" s="121">
        <v>3513</v>
      </c>
      <c r="BN22" s="122">
        <v>53140</v>
      </c>
      <c r="BO22" s="120">
        <v>53</v>
      </c>
      <c r="BP22" s="121">
        <v>131</v>
      </c>
      <c r="BQ22" s="121">
        <v>19</v>
      </c>
      <c r="BR22" s="121">
        <v>150</v>
      </c>
      <c r="BS22" s="122">
        <v>1930</v>
      </c>
      <c r="BT22" s="120">
        <v>55</v>
      </c>
      <c r="BU22" s="121">
        <v>79</v>
      </c>
      <c r="BV22" s="121">
        <v>39</v>
      </c>
      <c r="BW22" s="121">
        <v>118</v>
      </c>
      <c r="BX22" s="122">
        <v>1786</v>
      </c>
      <c r="BY22" s="120">
        <v>54</v>
      </c>
      <c r="BZ22" s="121">
        <v>73</v>
      </c>
      <c r="CA22" s="121">
        <v>64</v>
      </c>
      <c r="CB22" s="121">
        <v>137</v>
      </c>
      <c r="CC22" s="122">
        <v>2644</v>
      </c>
      <c r="CD22" s="120">
        <v>55</v>
      </c>
      <c r="CE22" s="121">
        <v>37</v>
      </c>
      <c r="CF22" s="121">
        <v>21</v>
      </c>
      <c r="CG22" s="121">
        <v>58</v>
      </c>
      <c r="CH22" s="122">
        <v>1429</v>
      </c>
      <c r="CI22" s="120">
        <v>54</v>
      </c>
      <c r="CJ22" s="121">
        <v>55</v>
      </c>
      <c r="CK22" s="121">
        <v>35</v>
      </c>
      <c r="CL22" s="121">
        <v>90</v>
      </c>
      <c r="CM22" s="122">
        <v>1232</v>
      </c>
      <c r="CN22" s="120">
        <v>50</v>
      </c>
      <c r="CO22" s="121">
        <v>8</v>
      </c>
      <c r="CP22" s="121">
        <v>5</v>
      </c>
      <c r="CQ22" s="121">
        <v>13</v>
      </c>
      <c r="CR22" s="122">
        <v>125</v>
      </c>
      <c r="CS22" s="120">
        <v>50</v>
      </c>
      <c r="CT22" s="121">
        <v>17</v>
      </c>
      <c r="CU22" s="121">
        <v>6</v>
      </c>
      <c r="CV22" s="121">
        <v>23</v>
      </c>
      <c r="CW22" s="122">
        <v>654</v>
      </c>
      <c r="CX22" s="120">
        <v>55</v>
      </c>
      <c r="CY22" s="121">
        <v>13</v>
      </c>
      <c r="CZ22" s="121">
        <v>16</v>
      </c>
      <c r="DA22" s="121">
        <v>29</v>
      </c>
      <c r="DB22" s="122">
        <v>342</v>
      </c>
      <c r="DC22" s="120"/>
      <c r="DD22" s="121"/>
      <c r="DE22" s="121"/>
      <c r="DF22" s="121"/>
      <c r="DG22" s="122"/>
      <c r="DH22" s="120">
        <v>48</v>
      </c>
      <c r="DI22" s="121">
        <v>10</v>
      </c>
      <c r="DJ22" s="121">
        <v>20</v>
      </c>
      <c r="DK22" s="121">
        <v>30</v>
      </c>
      <c r="DL22" s="122">
        <v>562</v>
      </c>
    </row>
    <row r="23" spans="2:116">
      <c r="B23" s="120">
        <v>58</v>
      </c>
      <c r="C23" s="121">
        <v>1798</v>
      </c>
      <c r="D23" s="121">
        <v>3214</v>
      </c>
      <c r="E23" s="121">
        <v>5012</v>
      </c>
      <c r="F23" s="122">
        <v>42879</v>
      </c>
      <c r="G23" s="120">
        <v>54</v>
      </c>
      <c r="H23" s="121">
        <v>366</v>
      </c>
      <c r="I23" s="121">
        <v>731</v>
      </c>
      <c r="J23" s="121">
        <v>1097</v>
      </c>
      <c r="K23" s="122">
        <v>15415</v>
      </c>
      <c r="L23" s="120">
        <v>50</v>
      </c>
      <c r="M23" s="121">
        <v>597</v>
      </c>
      <c r="N23" s="121">
        <v>548</v>
      </c>
      <c r="O23" s="121">
        <v>1145</v>
      </c>
      <c r="P23" s="122">
        <v>16494</v>
      </c>
      <c r="Q23" s="120">
        <v>49</v>
      </c>
      <c r="R23" s="121">
        <v>320</v>
      </c>
      <c r="S23" s="121">
        <v>272</v>
      </c>
      <c r="T23" s="121">
        <v>592</v>
      </c>
      <c r="U23" s="122">
        <v>16076</v>
      </c>
      <c r="V23" s="120">
        <v>49</v>
      </c>
      <c r="W23" s="121">
        <v>166</v>
      </c>
      <c r="X23" s="121">
        <v>130</v>
      </c>
      <c r="Y23" s="121">
        <v>296</v>
      </c>
      <c r="Z23" s="122">
        <v>8779</v>
      </c>
      <c r="AA23" s="120">
        <v>50</v>
      </c>
      <c r="AB23" s="121">
        <v>155</v>
      </c>
      <c r="AC23" s="121">
        <v>96</v>
      </c>
      <c r="AD23" s="121">
        <v>251</v>
      </c>
      <c r="AE23" s="122">
        <v>7392</v>
      </c>
      <c r="AF23" s="120">
        <v>53</v>
      </c>
      <c r="AG23" s="121">
        <v>86</v>
      </c>
      <c r="AH23" s="121">
        <v>38</v>
      </c>
      <c r="AI23" s="121">
        <v>124</v>
      </c>
      <c r="AJ23" s="122">
        <v>2220</v>
      </c>
      <c r="AK23" s="120">
        <v>48</v>
      </c>
      <c r="AL23" s="121">
        <v>212</v>
      </c>
      <c r="AM23" s="121">
        <v>327</v>
      </c>
      <c r="AN23" s="121">
        <v>539</v>
      </c>
      <c r="AO23" s="122">
        <v>17062</v>
      </c>
      <c r="AP23" s="199">
        <v>51</v>
      </c>
      <c r="AQ23" s="121">
        <v>1925</v>
      </c>
      <c r="AR23" s="121">
        <v>2618</v>
      </c>
      <c r="AS23" s="121">
        <v>4543</v>
      </c>
      <c r="AT23" s="130">
        <v>86815</v>
      </c>
      <c r="AU23" s="120">
        <v>48</v>
      </c>
      <c r="AV23" s="121">
        <v>754</v>
      </c>
      <c r="AW23" s="121">
        <v>250</v>
      </c>
      <c r="AX23" s="121">
        <v>1004</v>
      </c>
      <c r="AY23" s="122">
        <v>33291</v>
      </c>
      <c r="AZ23" s="120">
        <v>47</v>
      </c>
      <c r="BA23" s="121">
        <v>470</v>
      </c>
      <c r="BB23" s="121">
        <v>404</v>
      </c>
      <c r="BC23" s="121">
        <v>874</v>
      </c>
      <c r="BD23" s="122">
        <v>26028</v>
      </c>
      <c r="BE23" s="120">
        <v>51</v>
      </c>
      <c r="BF23" s="121">
        <v>1391</v>
      </c>
      <c r="BG23" s="121">
        <v>1716</v>
      </c>
      <c r="BH23" s="121">
        <v>3107</v>
      </c>
      <c r="BI23" s="122">
        <v>67865</v>
      </c>
      <c r="BJ23" s="120">
        <v>54</v>
      </c>
      <c r="BK23" s="121">
        <v>2272</v>
      </c>
      <c r="BL23" s="121">
        <v>1451</v>
      </c>
      <c r="BM23" s="121">
        <v>3723</v>
      </c>
      <c r="BN23" s="122">
        <v>56863</v>
      </c>
      <c r="BO23" s="120">
        <v>52</v>
      </c>
      <c r="BP23" s="121">
        <v>49</v>
      </c>
      <c r="BQ23" s="121">
        <v>10</v>
      </c>
      <c r="BR23" s="121">
        <v>59</v>
      </c>
      <c r="BS23" s="122">
        <v>1989</v>
      </c>
      <c r="BT23" s="120">
        <v>54</v>
      </c>
      <c r="BU23" s="121">
        <v>79</v>
      </c>
      <c r="BV23" s="121">
        <v>34</v>
      </c>
      <c r="BW23" s="121">
        <v>113</v>
      </c>
      <c r="BX23" s="122">
        <v>1899</v>
      </c>
      <c r="BY23" s="120">
        <v>53</v>
      </c>
      <c r="BZ23" s="121">
        <v>66</v>
      </c>
      <c r="CA23" s="121">
        <v>74</v>
      </c>
      <c r="CB23" s="121">
        <v>140</v>
      </c>
      <c r="CC23" s="122">
        <v>2784</v>
      </c>
      <c r="CD23" s="120">
        <v>54</v>
      </c>
      <c r="CE23" s="121">
        <v>36</v>
      </c>
      <c r="CF23" s="121">
        <v>16</v>
      </c>
      <c r="CG23" s="121">
        <v>52</v>
      </c>
      <c r="CH23" s="122">
        <v>1481</v>
      </c>
      <c r="CI23" s="120">
        <v>53</v>
      </c>
      <c r="CJ23" s="121">
        <v>34</v>
      </c>
      <c r="CK23" s="121">
        <v>18</v>
      </c>
      <c r="CL23" s="121">
        <v>52</v>
      </c>
      <c r="CM23" s="122">
        <v>1284</v>
      </c>
      <c r="CN23" s="120">
        <v>49</v>
      </c>
      <c r="CO23" s="121">
        <v>3</v>
      </c>
      <c r="CP23" s="121">
        <v>4</v>
      </c>
      <c r="CQ23" s="121">
        <v>7</v>
      </c>
      <c r="CR23" s="122">
        <v>132</v>
      </c>
      <c r="CS23" s="120">
        <v>49</v>
      </c>
      <c r="CT23" s="121">
        <v>20</v>
      </c>
      <c r="CU23" s="121">
        <v>3</v>
      </c>
      <c r="CV23" s="121">
        <v>23</v>
      </c>
      <c r="CW23" s="122">
        <v>677</v>
      </c>
      <c r="CX23" s="120">
        <v>54</v>
      </c>
      <c r="CY23" s="121">
        <v>11</v>
      </c>
      <c r="CZ23" s="121">
        <v>10</v>
      </c>
      <c r="DA23" s="121">
        <v>21</v>
      </c>
      <c r="DB23" s="122">
        <v>363</v>
      </c>
      <c r="DC23" s="120"/>
      <c r="DD23" s="121"/>
      <c r="DE23" s="121"/>
      <c r="DF23" s="121"/>
      <c r="DG23" s="122"/>
      <c r="DH23" s="120">
        <v>47</v>
      </c>
      <c r="DI23" s="121">
        <v>8</v>
      </c>
      <c r="DJ23" s="121">
        <v>13</v>
      </c>
      <c r="DK23" s="121">
        <v>21</v>
      </c>
      <c r="DL23" s="122">
        <v>583</v>
      </c>
    </row>
    <row r="24" spans="2:116">
      <c r="B24" s="120">
        <v>56</v>
      </c>
      <c r="C24" s="121">
        <v>1465</v>
      </c>
      <c r="D24" s="121">
        <v>2363</v>
      </c>
      <c r="E24" s="121">
        <v>3828</v>
      </c>
      <c r="F24" s="122">
        <v>46707</v>
      </c>
      <c r="G24" s="120">
        <v>53</v>
      </c>
      <c r="H24" s="121">
        <v>622</v>
      </c>
      <c r="I24" s="121">
        <v>1250</v>
      </c>
      <c r="J24" s="121">
        <v>1872</v>
      </c>
      <c r="K24" s="122">
        <v>17287</v>
      </c>
      <c r="L24" s="120">
        <v>49</v>
      </c>
      <c r="M24" s="121">
        <v>294</v>
      </c>
      <c r="N24" s="121">
        <v>306</v>
      </c>
      <c r="O24" s="121">
        <v>600</v>
      </c>
      <c r="P24" s="122">
        <v>17094</v>
      </c>
      <c r="Q24" s="120">
        <v>48</v>
      </c>
      <c r="R24" s="121">
        <v>268</v>
      </c>
      <c r="S24" s="121">
        <v>238</v>
      </c>
      <c r="T24" s="121">
        <v>506</v>
      </c>
      <c r="U24" s="122">
        <v>16582</v>
      </c>
      <c r="V24" s="120">
        <v>48</v>
      </c>
      <c r="W24" s="121">
        <v>326</v>
      </c>
      <c r="X24" s="121">
        <v>256</v>
      </c>
      <c r="Y24" s="121">
        <v>582</v>
      </c>
      <c r="Z24" s="122">
        <v>9361</v>
      </c>
      <c r="AA24" s="120">
        <v>49</v>
      </c>
      <c r="AB24" s="121">
        <v>324</v>
      </c>
      <c r="AC24" s="121">
        <v>234</v>
      </c>
      <c r="AD24" s="121">
        <v>558</v>
      </c>
      <c r="AE24" s="122">
        <v>7950</v>
      </c>
      <c r="AF24" s="120">
        <v>52</v>
      </c>
      <c r="AG24" s="121">
        <v>150</v>
      </c>
      <c r="AH24" s="121">
        <v>82</v>
      </c>
      <c r="AI24" s="121">
        <v>232</v>
      </c>
      <c r="AJ24" s="122">
        <v>2452</v>
      </c>
      <c r="AK24" s="120">
        <v>47</v>
      </c>
      <c r="AL24" s="121">
        <v>435</v>
      </c>
      <c r="AM24" s="121">
        <v>643</v>
      </c>
      <c r="AN24" s="121">
        <v>1078</v>
      </c>
      <c r="AO24" s="122">
        <v>18140</v>
      </c>
      <c r="AP24" s="199">
        <v>50</v>
      </c>
      <c r="AQ24" s="121">
        <v>1792</v>
      </c>
      <c r="AR24" s="121">
        <v>2440</v>
      </c>
      <c r="AS24" s="121">
        <v>4232</v>
      </c>
      <c r="AT24" s="130">
        <v>91047</v>
      </c>
      <c r="AU24" s="120">
        <v>47</v>
      </c>
      <c r="AV24" s="121">
        <v>1537</v>
      </c>
      <c r="AW24" s="121">
        <v>531</v>
      </c>
      <c r="AX24" s="121">
        <v>2068</v>
      </c>
      <c r="AY24" s="122">
        <v>35359</v>
      </c>
      <c r="AZ24" s="120">
        <v>46</v>
      </c>
      <c r="BA24" s="121">
        <v>444</v>
      </c>
      <c r="BB24" s="121">
        <v>422</v>
      </c>
      <c r="BC24" s="121">
        <v>866</v>
      </c>
      <c r="BD24" s="122">
        <v>26894</v>
      </c>
      <c r="BE24" s="120">
        <v>50</v>
      </c>
      <c r="BF24" s="121">
        <v>1888</v>
      </c>
      <c r="BG24" s="121">
        <v>2543</v>
      </c>
      <c r="BH24" s="121">
        <v>4431</v>
      </c>
      <c r="BI24" s="122">
        <v>72296</v>
      </c>
      <c r="BJ24" s="120">
        <v>53</v>
      </c>
      <c r="BK24" s="121">
        <v>2208</v>
      </c>
      <c r="BL24" s="121">
        <v>1368</v>
      </c>
      <c r="BM24" s="121">
        <v>3576</v>
      </c>
      <c r="BN24" s="122">
        <v>60439</v>
      </c>
      <c r="BO24" s="120">
        <v>51</v>
      </c>
      <c r="BP24" s="121">
        <v>71</v>
      </c>
      <c r="BQ24" s="121">
        <v>9</v>
      </c>
      <c r="BR24" s="121">
        <v>80</v>
      </c>
      <c r="BS24" s="122">
        <v>2069</v>
      </c>
      <c r="BT24" s="120">
        <v>53</v>
      </c>
      <c r="BU24" s="121">
        <v>89</v>
      </c>
      <c r="BV24" s="121">
        <v>37</v>
      </c>
      <c r="BW24" s="121">
        <v>126</v>
      </c>
      <c r="BX24" s="122">
        <v>2025</v>
      </c>
      <c r="BY24" s="120">
        <v>52</v>
      </c>
      <c r="BZ24" s="121">
        <v>123</v>
      </c>
      <c r="CA24" s="121">
        <v>158</v>
      </c>
      <c r="CB24" s="121">
        <v>281</v>
      </c>
      <c r="CC24" s="122">
        <v>3065</v>
      </c>
      <c r="CD24" s="120">
        <v>53</v>
      </c>
      <c r="CE24" s="121">
        <v>37</v>
      </c>
      <c r="CF24" s="121">
        <v>21</v>
      </c>
      <c r="CG24" s="121">
        <v>58</v>
      </c>
      <c r="CH24" s="122">
        <v>1539</v>
      </c>
      <c r="CI24" s="120">
        <v>52</v>
      </c>
      <c r="CJ24" s="121">
        <v>51</v>
      </c>
      <c r="CK24" s="121">
        <v>43</v>
      </c>
      <c r="CL24" s="121">
        <v>94</v>
      </c>
      <c r="CM24" s="122">
        <v>1378</v>
      </c>
      <c r="CN24" s="120">
        <v>48</v>
      </c>
      <c r="CO24" s="121">
        <v>4</v>
      </c>
      <c r="CP24" s="121">
        <v>6</v>
      </c>
      <c r="CQ24" s="121">
        <v>10</v>
      </c>
      <c r="CR24" s="122">
        <v>142</v>
      </c>
      <c r="CS24" s="120">
        <v>48</v>
      </c>
      <c r="CT24" s="121">
        <v>38</v>
      </c>
      <c r="CU24" s="121">
        <v>13</v>
      </c>
      <c r="CV24" s="121">
        <v>51</v>
      </c>
      <c r="CW24" s="122">
        <v>728</v>
      </c>
      <c r="CX24" s="120">
        <v>53</v>
      </c>
      <c r="CY24" s="121">
        <v>13</v>
      </c>
      <c r="CZ24" s="121">
        <v>22</v>
      </c>
      <c r="DA24" s="121">
        <v>35</v>
      </c>
      <c r="DB24" s="122">
        <v>398</v>
      </c>
      <c r="DC24" s="120"/>
      <c r="DD24" s="121"/>
      <c r="DE24" s="121"/>
      <c r="DF24" s="121"/>
      <c r="DG24" s="122"/>
      <c r="DH24" s="120">
        <v>46</v>
      </c>
      <c r="DI24" s="121">
        <v>20</v>
      </c>
      <c r="DJ24" s="121">
        <v>36</v>
      </c>
      <c r="DK24" s="121">
        <v>56</v>
      </c>
      <c r="DL24" s="122">
        <v>639</v>
      </c>
    </row>
    <row r="25" spans="2:116">
      <c r="B25" s="120">
        <v>55</v>
      </c>
      <c r="C25" s="121">
        <v>1898</v>
      </c>
      <c r="D25" s="121">
        <v>3437</v>
      </c>
      <c r="E25" s="121">
        <v>5335</v>
      </c>
      <c r="F25" s="122">
        <v>52042</v>
      </c>
      <c r="G25" s="120">
        <v>52</v>
      </c>
      <c r="H25" s="121">
        <v>330</v>
      </c>
      <c r="I25" s="121">
        <v>679</v>
      </c>
      <c r="J25" s="121">
        <v>1009</v>
      </c>
      <c r="K25" s="122">
        <v>18296</v>
      </c>
      <c r="L25" s="120">
        <v>48</v>
      </c>
      <c r="M25" s="121">
        <v>318</v>
      </c>
      <c r="N25" s="121">
        <v>338</v>
      </c>
      <c r="O25" s="121">
        <v>656</v>
      </c>
      <c r="P25" s="122">
        <v>17750</v>
      </c>
      <c r="Q25" s="120">
        <v>47</v>
      </c>
      <c r="R25" s="121">
        <v>655</v>
      </c>
      <c r="S25" s="121">
        <v>549</v>
      </c>
      <c r="T25" s="121">
        <v>1204</v>
      </c>
      <c r="U25" s="122">
        <v>17786</v>
      </c>
      <c r="V25" s="120">
        <v>47</v>
      </c>
      <c r="W25" s="121">
        <v>155</v>
      </c>
      <c r="X25" s="121">
        <v>148</v>
      </c>
      <c r="Y25" s="121">
        <v>303</v>
      </c>
      <c r="Z25" s="122">
        <v>9664</v>
      </c>
      <c r="AA25" s="120">
        <v>48</v>
      </c>
      <c r="AB25" s="121">
        <v>190</v>
      </c>
      <c r="AC25" s="121">
        <v>116</v>
      </c>
      <c r="AD25" s="121">
        <v>306</v>
      </c>
      <c r="AE25" s="122">
        <v>8256</v>
      </c>
      <c r="AF25" s="120">
        <v>51</v>
      </c>
      <c r="AG25" s="121">
        <v>76</v>
      </c>
      <c r="AH25" s="121">
        <v>36</v>
      </c>
      <c r="AI25" s="121">
        <v>112</v>
      </c>
      <c r="AJ25" s="122">
        <v>2564</v>
      </c>
      <c r="AK25" s="120">
        <v>46</v>
      </c>
      <c r="AL25" s="121">
        <v>189</v>
      </c>
      <c r="AM25" s="121">
        <v>307</v>
      </c>
      <c r="AN25" s="121">
        <v>496</v>
      </c>
      <c r="AO25" s="122">
        <v>18636</v>
      </c>
      <c r="AP25" s="199">
        <v>49</v>
      </c>
      <c r="AQ25" s="121">
        <v>1932</v>
      </c>
      <c r="AR25" s="121">
        <v>2668</v>
      </c>
      <c r="AS25" s="121">
        <v>4600</v>
      </c>
      <c r="AT25" s="130">
        <v>95647</v>
      </c>
      <c r="AU25" s="120">
        <v>46</v>
      </c>
      <c r="AV25" s="121">
        <v>719</v>
      </c>
      <c r="AW25" s="121">
        <v>298</v>
      </c>
      <c r="AX25" s="121">
        <v>1017</v>
      </c>
      <c r="AY25" s="122">
        <v>36376</v>
      </c>
      <c r="AZ25" s="120">
        <v>45</v>
      </c>
      <c r="BA25" s="121">
        <v>972</v>
      </c>
      <c r="BB25" s="121">
        <v>805</v>
      </c>
      <c r="BC25" s="121">
        <v>1777</v>
      </c>
      <c r="BD25" s="122">
        <v>28671</v>
      </c>
      <c r="BE25" s="120">
        <v>49</v>
      </c>
      <c r="BF25" s="121">
        <v>1394</v>
      </c>
      <c r="BG25" s="121">
        <v>1779</v>
      </c>
      <c r="BH25" s="121">
        <v>3173</v>
      </c>
      <c r="BI25" s="122">
        <v>75469</v>
      </c>
      <c r="BJ25" s="120">
        <v>52</v>
      </c>
      <c r="BK25" s="121">
        <v>1991</v>
      </c>
      <c r="BL25" s="121">
        <v>1363</v>
      </c>
      <c r="BM25" s="121">
        <v>3354</v>
      </c>
      <c r="BN25" s="122">
        <v>63793</v>
      </c>
      <c r="BO25" s="120">
        <v>50</v>
      </c>
      <c r="BP25" s="121">
        <v>164</v>
      </c>
      <c r="BQ25" s="121">
        <v>32</v>
      </c>
      <c r="BR25" s="121">
        <v>196</v>
      </c>
      <c r="BS25" s="122">
        <v>2265</v>
      </c>
      <c r="BT25" s="120">
        <v>52</v>
      </c>
      <c r="BU25" s="121">
        <v>85</v>
      </c>
      <c r="BV25" s="121">
        <v>44</v>
      </c>
      <c r="BW25" s="121">
        <v>129</v>
      </c>
      <c r="BX25" s="122">
        <v>2154</v>
      </c>
      <c r="BY25" s="120">
        <v>51</v>
      </c>
      <c r="BZ25" s="121">
        <v>73</v>
      </c>
      <c r="CA25" s="121">
        <v>72</v>
      </c>
      <c r="CB25" s="121">
        <v>145</v>
      </c>
      <c r="CC25" s="122">
        <v>3210</v>
      </c>
      <c r="CD25" s="120">
        <v>52</v>
      </c>
      <c r="CE25" s="121">
        <v>102</v>
      </c>
      <c r="CF25" s="121">
        <v>48</v>
      </c>
      <c r="CG25" s="121">
        <v>150</v>
      </c>
      <c r="CH25" s="122">
        <v>1689</v>
      </c>
      <c r="CI25" s="120">
        <v>51</v>
      </c>
      <c r="CJ25" s="121">
        <v>82</v>
      </c>
      <c r="CK25" s="121">
        <v>72</v>
      </c>
      <c r="CL25" s="121">
        <v>154</v>
      </c>
      <c r="CM25" s="122">
        <v>1532</v>
      </c>
      <c r="CN25" s="120">
        <v>47</v>
      </c>
      <c r="CO25" s="121">
        <v>4</v>
      </c>
      <c r="CP25" s="121">
        <v>9</v>
      </c>
      <c r="CQ25" s="121">
        <v>13</v>
      </c>
      <c r="CR25" s="122">
        <v>155</v>
      </c>
      <c r="CS25" s="120">
        <v>47</v>
      </c>
      <c r="CT25" s="121">
        <v>27</v>
      </c>
      <c r="CU25" s="121">
        <v>7</v>
      </c>
      <c r="CV25" s="121">
        <v>34</v>
      </c>
      <c r="CW25" s="122">
        <v>762</v>
      </c>
      <c r="CX25" s="120">
        <v>52</v>
      </c>
      <c r="CY25" s="121">
        <v>19</v>
      </c>
      <c r="CZ25" s="121">
        <v>28</v>
      </c>
      <c r="DA25" s="121">
        <v>47</v>
      </c>
      <c r="DB25" s="122">
        <v>445</v>
      </c>
      <c r="DC25" s="120"/>
      <c r="DD25" s="121"/>
      <c r="DE25" s="121"/>
      <c r="DF25" s="121"/>
      <c r="DG25" s="122"/>
      <c r="DH25" s="120">
        <v>45</v>
      </c>
      <c r="DI25" s="121">
        <v>10</v>
      </c>
      <c r="DJ25" s="121">
        <v>11</v>
      </c>
      <c r="DK25" s="121">
        <v>21</v>
      </c>
      <c r="DL25" s="122">
        <v>660</v>
      </c>
    </row>
    <row r="26" spans="2:116">
      <c r="B26" s="120">
        <v>54</v>
      </c>
      <c r="C26" s="121">
        <v>1699</v>
      </c>
      <c r="D26" s="121">
        <v>2911</v>
      </c>
      <c r="E26" s="121">
        <v>4610</v>
      </c>
      <c r="F26" s="122">
        <v>56652</v>
      </c>
      <c r="G26" s="120">
        <v>51</v>
      </c>
      <c r="H26" s="121">
        <v>325</v>
      </c>
      <c r="I26" s="121">
        <v>554</v>
      </c>
      <c r="J26" s="121">
        <v>879</v>
      </c>
      <c r="K26" s="122">
        <v>19175</v>
      </c>
      <c r="L26" s="120">
        <v>47</v>
      </c>
      <c r="M26" s="121">
        <v>691</v>
      </c>
      <c r="N26" s="121">
        <v>748</v>
      </c>
      <c r="O26" s="121">
        <v>1439</v>
      </c>
      <c r="P26" s="122">
        <v>19189</v>
      </c>
      <c r="Q26" s="120">
        <v>46</v>
      </c>
      <c r="R26" s="121">
        <v>345</v>
      </c>
      <c r="S26" s="121">
        <v>283</v>
      </c>
      <c r="T26" s="121">
        <v>628</v>
      </c>
      <c r="U26" s="122">
        <v>18414</v>
      </c>
      <c r="V26" s="120">
        <v>46</v>
      </c>
      <c r="W26" s="121">
        <v>382</v>
      </c>
      <c r="X26" s="121">
        <v>336</v>
      </c>
      <c r="Y26" s="121">
        <v>718</v>
      </c>
      <c r="Z26" s="122">
        <v>10382</v>
      </c>
      <c r="AA26" s="120">
        <v>47</v>
      </c>
      <c r="AB26" s="121">
        <v>173</v>
      </c>
      <c r="AC26" s="121">
        <v>136</v>
      </c>
      <c r="AD26" s="121">
        <v>309</v>
      </c>
      <c r="AE26" s="122">
        <v>8565</v>
      </c>
      <c r="AF26" s="120">
        <v>50</v>
      </c>
      <c r="AG26" s="121">
        <v>86</v>
      </c>
      <c r="AH26" s="121">
        <v>34</v>
      </c>
      <c r="AI26" s="121">
        <v>120</v>
      </c>
      <c r="AJ26" s="122">
        <v>2684</v>
      </c>
      <c r="AK26" s="120">
        <v>45</v>
      </c>
      <c r="AL26" s="121">
        <v>225</v>
      </c>
      <c r="AM26" s="121">
        <v>368</v>
      </c>
      <c r="AN26" s="121">
        <v>593</v>
      </c>
      <c r="AO26" s="122">
        <v>19229</v>
      </c>
      <c r="AP26" s="199">
        <v>48</v>
      </c>
      <c r="AQ26" s="121">
        <v>1382</v>
      </c>
      <c r="AR26" s="121">
        <v>2062</v>
      </c>
      <c r="AS26" s="121">
        <v>3444</v>
      </c>
      <c r="AT26" s="130">
        <v>99091</v>
      </c>
      <c r="AU26" s="120">
        <v>45</v>
      </c>
      <c r="AV26" s="121">
        <v>834</v>
      </c>
      <c r="AW26" s="121">
        <v>292</v>
      </c>
      <c r="AX26" s="121">
        <v>1126</v>
      </c>
      <c r="AY26" s="122">
        <v>37502</v>
      </c>
      <c r="AZ26" s="120">
        <v>44</v>
      </c>
      <c r="BA26" s="121">
        <v>445</v>
      </c>
      <c r="BB26" s="121">
        <v>402</v>
      </c>
      <c r="BC26" s="121">
        <v>847</v>
      </c>
      <c r="BD26" s="122">
        <v>29518</v>
      </c>
      <c r="BE26" s="120">
        <v>48</v>
      </c>
      <c r="BF26" s="121">
        <v>1507</v>
      </c>
      <c r="BG26" s="121">
        <v>1944</v>
      </c>
      <c r="BH26" s="121">
        <v>3451</v>
      </c>
      <c r="BI26" s="122">
        <v>78920</v>
      </c>
      <c r="BJ26" s="120">
        <v>51</v>
      </c>
      <c r="BK26" s="121">
        <v>2073</v>
      </c>
      <c r="BL26" s="121">
        <v>1402</v>
      </c>
      <c r="BM26" s="121">
        <v>3475</v>
      </c>
      <c r="BN26" s="122">
        <v>67268</v>
      </c>
      <c r="BO26" s="120">
        <v>49</v>
      </c>
      <c r="BP26" s="121">
        <v>95</v>
      </c>
      <c r="BQ26" s="121">
        <v>19</v>
      </c>
      <c r="BR26" s="121">
        <v>114</v>
      </c>
      <c r="BS26" s="122">
        <v>2379</v>
      </c>
      <c r="BT26" s="120">
        <v>51</v>
      </c>
      <c r="BU26" s="121">
        <v>174</v>
      </c>
      <c r="BV26" s="121">
        <v>79</v>
      </c>
      <c r="BW26" s="121">
        <v>253</v>
      </c>
      <c r="BX26" s="122">
        <v>2407</v>
      </c>
      <c r="BY26" s="120">
        <v>50</v>
      </c>
      <c r="BZ26" s="121">
        <v>60</v>
      </c>
      <c r="CA26" s="121">
        <v>79</v>
      </c>
      <c r="CB26" s="121">
        <v>139</v>
      </c>
      <c r="CC26" s="122">
        <v>3349</v>
      </c>
      <c r="CD26" s="120">
        <v>51</v>
      </c>
      <c r="CE26" s="121">
        <v>58</v>
      </c>
      <c r="CF26" s="121">
        <v>23</v>
      </c>
      <c r="CG26" s="121">
        <v>81</v>
      </c>
      <c r="CH26" s="122">
        <v>1770</v>
      </c>
      <c r="CI26" s="120">
        <v>50</v>
      </c>
      <c r="CJ26" s="121">
        <v>49</v>
      </c>
      <c r="CK26" s="121">
        <v>55</v>
      </c>
      <c r="CL26" s="121">
        <v>104</v>
      </c>
      <c r="CM26" s="122">
        <v>1636</v>
      </c>
      <c r="CN26" s="120">
        <v>46</v>
      </c>
      <c r="CO26" s="121">
        <v>1</v>
      </c>
      <c r="CP26" s="121">
        <v>3</v>
      </c>
      <c r="CQ26" s="121">
        <v>4</v>
      </c>
      <c r="CR26" s="122">
        <v>159</v>
      </c>
      <c r="CS26" s="120">
        <v>46</v>
      </c>
      <c r="CT26" s="121">
        <v>22</v>
      </c>
      <c r="CU26" s="121">
        <v>4</v>
      </c>
      <c r="CV26" s="121">
        <v>26</v>
      </c>
      <c r="CW26" s="122">
        <v>788</v>
      </c>
      <c r="CX26" s="120">
        <v>51</v>
      </c>
      <c r="CY26" s="121">
        <v>12</v>
      </c>
      <c r="CZ26" s="121">
        <v>17</v>
      </c>
      <c r="DA26" s="121">
        <v>29</v>
      </c>
      <c r="DB26" s="122">
        <v>474</v>
      </c>
      <c r="DC26" s="120"/>
      <c r="DD26" s="121"/>
      <c r="DE26" s="121"/>
      <c r="DF26" s="121"/>
      <c r="DG26" s="122"/>
      <c r="DH26" s="120">
        <v>44</v>
      </c>
      <c r="DI26" s="121">
        <v>10</v>
      </c>
      <c r="DJ26" s="121">
        <v>18</v>
      </c>
      <c r="DK26" s="121">
        <v>28</v>
      </c>
      <c r="DL26" s="122">
        <v>688</v>
      </c>
    </row>
    <row r="27" spans="2:116">
      <c r="B27" s="120">
        <v>53</v>
      </c>
      <c r="C27" s="121">
        <v>1789</v>
      </c>
      <c r="D27" s="121">
        <v>2888</v>
      </c>
      <c r="E27" s="121">
        <v>4677</v>
      </c>
      <c r="F27" s="122">
        <v>61329</v>
      </c>
      <c r="G27" s="120">
        <v>50</v>
      </c>
      <c r="H27" s="121">
        <v>358</v>
      </c>
      <c r="I27" s="121">
        <v>634</v>
      </c>
      <c r="J27" s="121">
        <v>992</v>
      </c>
      <c r="K27" s="122">
        <v>20167</v>
      </c>
      <c r="L27" s="120">
        <v>46</v>
      </c>
      <c r="M27" s="121">
        <v>406</v>
      </c>
      <c r="N27" s="121">
        <v>383</v>
      </c>
      <c r="O27" s="121">
        <v>789</v>
      </c>
      <c r="P27" s="122">
        <v>19978</v>
      </c>
      <c r="Q27" s="120">
        <v>45</v>
      </c>
      <c r="R27" s="121">
        <v>382</v>
      </c>
      <c r="S27" s="121">
        <v>337</v>
      </c>
      <c r="T27" s="121">
        <v>719</v>
      </c>
      <c r="U27" s="122">
        <v>19133</v>
      </c>
      <c r="V27" s="120">
        <v>45</v>
      </c>
      <c r="W27" s="121">
        <v>199</v>
      </c>
      <c r="X27" s="121">
        <v>194</v>
      </c>
      <c r="Y27" s="121">
        <v>393</v>
      </c>
      <c r="Z27" s="122">
        <v>10775</v>
      </c>
      <c r="AA27" s="120">
        <v>46</v>
      </c>
      <c r="AB27" s="121">
        <v>356</v>
      </c>
      <c r="AC27" s="121">
        <v>287</v>
      </c>
      <c r="AD27" s="121">
        <v>643</v>
      </c>
      <c r="AE27" s="122">
        <v>9208</v>
      </c>
      <c r="AF27" s="120">
        <v>49</v>
      </c>
      <c r="AG27" s="121">
        <v>107</v>
      </c>
      <c r="AH27" s="121">
        <v>61</v>
      </c>
      <c r="AI27" s="121">
        <v>168</v>
      </c>
      <c r="AJ27" s="122">
        <v>2852</v>
      </c>
      <c r="AK27" s="120">
        <v>44</v>
      </c>
      <c r="AL27" s="121">
        <v>478</v>
      </c>
      <c r="AM27" s="121">
        <v>682</v>
      </c>
      <c r="AN27" s="121">
        <v>1160</v>
      </c>
      <c r="AO27" s="122">
        <v>20389</v>
      </c>
      <c r="AP27" s="199">
        <v>47</v>
      </c>
      <c r="AQ27" s="121">
        <v>3222</v>
      </c>
      <c r="AR27" s="121">
        <v>4446</v>
      </c>
      <c r="AS27" s="121">
        <v>7668</v>
      </c>
      <c r="AT27" s="130">
        <v>106759</v>
      </c>
      <c r="AU27" s="120">
        <v>44</v>
      </c>
      <c r="AV27" s="121">
        <v>1664</v>
      </c>
      <c r="AW27" s="121">
        <v>587</v>
      </c>
      <c r="AX27" s="121">
        <v>2251</v>
      </c>
      <c r="AY27" s="122">
        <v>39753</v>
      </c>
      <c r="AZ27" s="120">
        <v>43</v>
      </c>
      <c r="BA27" s="121">
        <v>988</v>
      </c>
      <c r="BB27" s="121">
        <v>936</v>
      </c>
      <c r="BC27" s="121">
        <v>1924</v>
      </c>
      <c r="BD27" s="122">
        <v>31442</v>
      </c>
      <c r="BE27" s="120">
        <v>47</v>
      </c>
      <c r="BF27" s="121">
        <v>1499</v>
      </c>
      <c r="BG27" s="121">
        <v>2085</v>
      </c>
      <c r="BH27" s="121">
        <v>3584</v>
      </c>
      <c r="BI27" s="122">
        <v>82504</v>
      </c>
      <c r="BJ27" s="120">
        <v>50</v>
      </c>
      <c r="BK27" s="121">
        <v>3913</v>
      </c>
      <c r="BL27" s="121">
        <v>2784</v>
      </c>
      <c r="BM27" s="121">
        <v>6697</v>
      </c>
      <c r="BN27" s="122">
        <v>73965</v>
      </c>
      <c r="BO27" s="120">
        <v>48</v>
      </c>
      <c r="BP27" s="121">
        <v>81</v>
      </c>
      <c r="BQ27" s="121">
        <v>23</v>
      </c>
      <c r="BR27" s="121">
        <v>104</v>
      </c>
      <c r="BS27" s="122">
        <v>2483</v>
      </c>
      <c r="BT27" s="120">
        <v>50</v>
      </c>
      <c r="BU27" s="121">
        <v>95</v>
      </c>
      <c r="BV27" s="121">
        <v>43</v>
      </c>
      <c r="BW27" s="121">
        <v>138</v>
      </c>
      <c r="BX27" s="122">
        <v>2545</v>
      </c>
      <c r="BY27" s="120">
        <v>49</v>
      </c>
      <c r="BZ27" s="121">
        <v>72</v>
      </c>
      <c r="CA27" s="121">
        <v>90</v>
      </c>
      <c r="CB27" s="121">
        <v>162</v>
      </c>
      <c r="CC27" s="122">
        <v>3511</v>
      </c>
      <c r="CD27" s="120">
        <v>50</v>
      </c>
      <c r="CE27" s="121">
        <v>73</v>
      </c>
      <c r="CF27" s="121">
        <v>38</v>
      </c>
      <c r="CG27" s="121">
        <v>111</v>
      </c>
      <c r="CH27" s="122">
        <v>1881</v>
      </c>
      <c r="CI27" s="120">
        <v>49</v>
      </c>
      <c r="CJ27" s="121">
        <v>63</v>
      </c>
      <c r="CK27" s="121">
        <v>49</v>
      </c>
      <c r="CL27" s="121">
        <v>112</v>
      </c>
      <c r="CM27" s="122">
        <v>1748</v>
      </c>
      <c r="CN27" s="120">
        <v>45</v>
      </c>
      <c r="CO27" s="121">
        <v>6</v>
      </c>
      <c r="CP27" s="121">
        <v>4</v>
      </c>
      <c r="CQ27" s="121">
        <v>10</v>
      </c>
      <c r="CR27" s="122">
        <v>169</v>
      </c>
      <c r="CS27" s="120">
        <v>45</v>
      </c>
      <c r="CT27" s="121">
        <v>16</v>
      </c>
      <c r="CU27" s="121">
        <v>8</v>
      </c>
      <c r="CV27" s="121">
        <v>24</v>
      </c>
      <c r="CW27" s="122">
        <v>812</v>
      </c>
      <c r="CX27" s="120">
        <v>50</v>
      </c>
      <c r="CY27" s="121">
        <v>8</v>
      </c>
      <c r="CZ27" s="121">
        <v>13</v>
      </c>
      <c r="DA27" s="121">
        <v>21</v>
      </c>
      <c r="DB27" s="122">
        <v>495</v>
      </c>
      <c r="DC27" s="120"/>
      <c r="DD27" s="121"/>
      <c r="DE27" s="121"/>
      <c r="DF27" s="121"/>
      <c r="DG27" s="122"/>
      <c r="DH27" s="120">
        <v>43</v>
      </c>
      <c r="DI27" s="121">
        <v>5</v>
      </c>
      <c r="DJ27" s="121">
        <v>18</v>
      </c>
      <c r="DK27" s="121">
        <v>23</v>
      </c>
      <c r="DL27" s="122">
        <v>711</v>
      </c>
    </row>
    <row r="28" spans="2:116">
      <c r="B28" s="120">
        <v>52</v>
      </c>
      <c r="C28" s="121">
        <v>2023</v>
      </c>
      <c r="D28" s="121">
        <v>3406</v>
      </c>
      <c r="E28" s="121">
        <v>5429</v>
      </c>
      <c r="F28" s="122">
        <v>66758</v>
      </c>
      <c r="G28" s="120">
        <v>49</v>
      </c>
      <c r="H28" s="121">
        <v>316</v>
      </c>
      <c r="I28" s="121">
        <v>573</v>
      </c>
      <c r="J28" s="121">
        <v>889</v>
      </c>
      <c r="K28" s="122">
        <v>21056</v>
      </c>
      <c r="L28" s="120">
        <v>45</v>
      </c>
      <c r="M28" s="121">
        <v>415</v>
      </c>
      <c r="N28" s="121">
        <v>443</v>
      </c>
      <c r="O28" s="121">
        <v>858</v>
      </c>
      <c r="P28" s="122">
        <v>20836</v>
      </c>
      <c r="Q28" s="120">
        <v>44</v>
      </c>
      <c r="R28" s="121">
        <v>385</v>
      </c>
      <c r="S28" s="121">
        <v>290</v>
      </c>
      <c r="T28" s="121">
        <v>675</v>
      </c>
      <c r="U28" s="122">
        <v>19808</v>
      </c>
      <c r="V28" s="120">
        <v>44</v>
      </c>
      <c r="W28" s="121">
        <v>226</v>
      </c>
      <c r="X28" s="121">
        <v>196</v>
      </c>
      <c r="Y28" s="121">
        <v>422</v>
      </c>
      <c r="Z28" s="122">
        <v>11197</v>
      </c>
      <c r="AA28" s="120">
        <v>45</v>
      </c>
      <c r="AB28" s="121">
        <v>201</v>
      </c>
      <c r="AC28" s="121">
        <v>178</v>
      </c>
      <c r="AD28" s="121">
        <v>379</v>
      </c>
      <c r="AE28" s="122">
        <v>9587</v>
      </c>
      <c r="AF28" s="120">
        <v>48</v>
      </c>
      <c r="AG28" s="121">
        <v>196</v>
      </c>
      <c r="AH28" s="121">
        <v>114</v>
      </c>
      <c r="AI28" s="121">
        <v>310</v>
      </c>
      <c r="AJ28" s="122">
        <v>3162</v>
      </c>
      <c r="AK28" s="120">
        <v>43</v>
      </c>
      <c r="AL28" s="121">
        <v>266</v>
      </c>
      <c r="AM28" s="121">
        <v>411</v>
      </c>
      <c r="AN28" s="121">
        <v>677</v>
      </c>
      <c r="AO28" s="122">
        <v>21066</v>
      </c>
      <c r="AP28" s="199">
        <v>46</v>
      </c>
      <c r="AQ28" s="121">
        <v>1635</v>
      </c>
      <c r="AR28" s="121">
        <v>2138</v>
      </c>
      <c r="AS28" s="121">
        <v>3773</v>
      </c>
      <c r="AT28" s="130">
        <v>110532</v>
      </c>
      <c r="AU28" s="120">
        <v>43</v>
      </c>
      <c r="AV28" s="121">
        <v>885</v>
      </c>
      <c r="AW28" s="121">
        <v>331</v>
      </c>
      <c r="AX28" s="121">
        <v>1216</v>
      </c>
      <c r="AY28" s="122">
        <v>40969</v>
      </c>
      <c r="AZ28" s="120">
        <v>42</v>
      </c>
      <c r="BA28" s="121">
        <v>465</v>
      </c>
      <c r="BB28" s="121">
        <v>444</v>
      </c>
      <c r="BC28" s="121">
        <v>909</v>
      </c>
      <c r="BD28" s="122">
        <v>32351</v>
      </c>
      <c r="BE28" s="120">
        <v>46</v>
      </c>
      <c r="BF28" s="121">
        <v>1319</v>
      </c>
      <c r="BG28" s="121">
        <v>1697</v>
      </c>
      <c r="BH28" s="121">
        <v>3016</v>
      </c>
      <c r="BI28" s="122">
        <v>85520</v>
      </c>
      <c r="BJ28" s="120">
        <v>49</v>
      </c>
      <c r="BK28" s="121">
        <v>1960</v>
      </c>
      <c r="BL28" s="121">
        <v>1439</v>
      </c>
      <c r="BM28" s="121">
        <v>3399</v>
      </c>
      <c r="BN28" s="122">
        <v>77364</v>
      </c>
      <c r="BO28" s="120">
        <v>47</v>
      </c>
      <c r="BP28" s="121">
        <v>202</v>
      </c>
      <c r="BQ28" s="121">
        <v>70</v>
      </c>
      <c r="BR28" s="121">
        <v>272</v>
      </c>
      <c r="BS28" s="122">
        <v>2755</v>
      </c>
      <c r="BT28" s="120">
        <v>49</v>
      </c>
      <c r="BU28" s="121">
        <v>86</v>
      </c>
      <c r="BV28" s="121">
        <v>33</v>
      </c>
      <c r="BW28" s="121">
        <v>119</v>
      </c>
      <c r="BX28" s="122">
        <v>2664</v>
      </c>
      <c r="BY28" s="120">
        <v>48</v>
      </c>
      <c r="BZ28" s="121">
        <v>66</v>
      </c>
      <c r="CA28" s="121">
        <v>119</v>
      </c>
      <c r="CB28" s="121">
        <v>185</v>
      </c>
      <c r="CC28" s="122">
        <v>3696</v>
      </c>
      <c r="CD28" s="120">
        <v>49</v>
      </c>
      <c r="CE28" s="121">
        <v>63</v>
      </c>
      <c r="CF28" s="121">
        <v>33</v>
      </c>
      <c r="CG28" s="121">
        <v>96</v>
      </c>
      <c r="CH28" s="122">
        <v>1977</v>
      </c>
      <c r="CI28" s="120">
        <v>48</v>
      </c>
      <c r="CJ28" s="121">
        <v>59</v>
      </c>
      <c r="CK28" s="121">
        <v>68</v>
      </c>
      <c r="CL28" s="121">
        <v>127</v>
      </c>
      <c r="CM28" s="122">
        <v>1875</v>
      </c>
      <c r="CN28" s="120">
        <v>44</v>
      </c>
      <c r="CO28" s="121">
        <v>1</v>
      </c>
      <c r="CP28" s="121">
        <v>2</v>
      </c>
      <c r="CQ28" s="121">
        <v>3</v>
      </c>
      <c r="CR28" s="122">
        <v>172</v>
      </c>
      <c r="CS28" s="120">
        <v>44</v>
      </c>
      <c r="CT28" s="121">
        <v>50</v>
      </c>
      <c r="CU28" s="121">
        <v>7</v>
      </c>
      <c r="CV28" s="121">
        <v>57</v>
      </c>
      <c r="CW28" s="122">
        <v>869</v>
      </c>
      <c r="CX28" s="120">
        <v>49</v>
      </c>
      <c r="CY28" s="121">
        <v>21</v>
      </c>
      <c r="CZ28" s="121">
        <v>18</v>
      </c>
      <c r="DA28" s="121">
        <v>39</v>
      </c>
      <c r="DB28" s="122">
        <v>534</v>
      </c>
      <c r="DC28" s="120"/>
      <c r="DD28" s="121"/>
      <c r="DE28" s="121"/>
      <c r="DF28" s="121"/>
      <c r="DG28" s="122"/>
      <c r="DH28" s="120">
        <v>42</v>
      </c>
      <c r="DI28" s="121">
        <v>22</v>
      </c>
      <c r="DJ28" s="121">
        <v>39</v>
      </c>
      <c r="DK28" s="121">
        <v>61</v>
      </c>
      <c r="DL28" s="122">
        <v>772</v>
      </c>
    </row>
    <row r="29" spans="2:116">
      <c r="B29" s="120">
        <v>51</v>
      </c>
      <c r="C29" s="121">
        <v>1766</v>
      </c>
      <c r="D29" s="121">
        <v>2787</v>
      </c>
      <c r="E29" s="121">
        <v>4553</v>
      </c>
      <c r="F29" s="122">
        <v>71311</v>
      </c>
      <c r="G29" s="120">
        <v>48</v>
      </c>
      <c r="H29" s="121">
        <v>335</v>
      </c>
      <c r="I29" s="121">
        <v>635</v>
      </c>
      <c r="J29" s="121">
        <v>970</v>
      </c>
      <c r="K29" s="122">
        <v>22026</v>
      </c>
      <c r="L29" s="120">
        <v>44</v>
      </c>
      <c r="M29" s="121">
        <v>994</v>
      </c>
      <c r="N29" s="121">
        <v>983</v>
      </c>
      <c r="O29" s="121">
        <v>1977</v>
      </c>
      <c r="P29" s="122">
        <v>22813</v>
      </c>
      <c r="Q29" s="120">
        <v>43</v>
      </c>
      <c r="R29" s="121">
        <v>742</v>
      </c>
      <c r="S29" s="121">
        <v>656</v>
      </c>
      <c r="T29" s="121">
        <v>1398</v>
      </c>
      <c r="U29" s="122">
        <v>21206</v>
      </c>
      <c r="V29" s="120">
        <v>43</v>
      </c>
      <c r="W29" s="121">
        <v>493</v>
      </c>
      <c r="X29" s="121">
        <v>417</v>
      </c>
      <c r="Y29" s="121">
        <v>910</v>
      </c>
      <c r="Z29" s="122">
        <v>12107</v>
      </c>
      <c r="AA29" s="120">
        <v>44</v>
      </c>
      <c r="AB29" s="121">
        <v>200</v>
      </c>
      <c r="AC29" s="121">
        <v>180</v>
      </c>
      <c r="AD29" s="121">
        <v>380</v>
      </c>
      <c r="AE29" s="122">
        <v>9967</v>
      </c>
      <c r="AF29" s="120">
        <v>47</v>
      </c>
      <c r="AG29" s="121">
        <v>114</v>
      </c>
      <c r="AH29" s="121">
        <v>59</v>
      </c>
      <c r="AI29" s="121">
        <v>173</v>
      </c>
      <c r="AJ29" s="122">
        <v>3335</v>
      </c>
      <c r="AK29" s="120">
        <v>42</v>
      </c>
      <c r="AL29" s="121">
        <v>239</v>
      </c>
      <c r="AM29" s="121">
        <v>361</v>
      </c>
      <c r="AN29" s="121">
        <v>600</v>
      </c>
      <c r="AO29" s="122">
        <v>21666</v>
      </c>
      <c r="AP29" s="199">
        <v>45</v>
      </c>
      <c r="AQ29" s="121">
        <v>1558</v>
      </c>
      <c r="AR29" s="121">
        <v>2063</v>
      </c>
      <c r="AS29" s="121">
        <v>3621</v>
      </c>
      <c r="AT29" s="130">
        <v>114153</v>
      </c>
      <c r="AU29" s="120">
        <v>42</v>
      </c>
      <c r="AV29" s="121">
        <v>888</v>
      </c>
      <c r="AW29" s="121">
        <v>299</v>
      </c>
      <c r="AX29" s="121">
        <v>1187</v>
      </c>
      <c r="AY29" s="122">
        <v>42156</v>
      </c>
      <c r="AZ29" s="120">
        <v>41</v>
      </c>
      <c r="BA29" s="121">
        <v>543</v>
      </c>
      <c r="BB29" s="121">
        <v>469</v>
      </c>
      <c r="BC29" s="121">
        <v>1012</v>
      </c>
      <c r="BD29" s="122">
        <v>33363</v>
      </c>
      <c r="BE29" s="120">
        <v>45</v>
      </c>
      <c r="BF29" s="121">
        <v>1598</v>
      </c>
      <c r="BG29" s="121">
        <v>2037</v>
      </c>
      <c r="BH29" s="121">
        <v>3635</v>
      </c>
      <c r="BI29" s="122">
        <v>89155</v>
      </c>
      <c r="BJ29" s="120">
        <v>48</v>
      </c>
      <c r="BK29" s="121">
        <v>1955</v>
      </c>
      <c r="BL29" s="121">
        <v>1357</v>
      </c>
      <c r="BM29" s="121">
        <v>3312</v>
      </c>
      <c r="BN29" s="122">
        <v>80676</v>
      </c>
      <c r="BO29" s="120">
        <v>46</v>
      </c>
      <c r="BP29" s="121">
        <v>97</v>
      </c>
      <c r="BQ29" s="121">
        <v>25</v>
      </c>
      <c r="BR29" s="121">
        <v>122</v>
      </c>
      <c r="BS29" s="122">
        <v>2877</v>
      </c>
      <c r="BT29" s="120">
        <v>48</v>
      </c>
      <c r="BU29" s="121">
        <v>90</v>
      </c>
      <c r="BV29" s="121">
        <v>52</v>
      </c>
      <c r="BW29" s="121">
        <v>142</v>
      </c>
      <c r="BX29" s="122">
        <v>2806</v>
      </c>
      <c r="BY29" s="120">
        <v>47</v>
      </c>
      <c r="BZ29" s="121">
        <v>81</v>
      </c>
      <c r="CA29" s="121">
        <v>94</v>
      </c>
      <c r="CB29" s="121">
        <v>175</v>
      </c>
      <c r="CC29" s="122">
        <v>3871</v>
      </c>
      <c r="CD29" s="120">
        <v>48</v>
      </c>
      <c r="CE29" s="121">
        <v>141</v>
      </c>
      <c r="CF29" s="121">
        <v>95</v>
      </c>
      <c r="CG29" s="121">
        <v>236</v>
      </c>
      <c r="CH29" s="122">
        <v>2213</v>
      </c>
      <c r="CI29" s="120">
        <v>47</v>
      </c>
      <c r="CJ29" s="121">
        <v>48</v>
      </c>
      <c r="CK29" s="121">
        <v>64</v>
      </c>
      <c r="CL29" s="121">
        <v>112</v>
      </c>
      <c r="CM29" s="122">
        <v>1987</v>
      </c>
      <c r="CN29" s="120">
        <v>43</v>
      </c>
      <c r="CO29" s="121">
        <v>1</v>
      </c>
      <c r="CP29" s="121">
        <v>2</v>
      </c>
      <c r="CQ29" s="121">
        <v>3</v>
      </c>
      <c r="CR29" s="122">
        <v>175</v>
      </c>
      <c r="CS29" s="120">
        <v>43</v>
      </c>
      <c r="CT29" s="121">
        <v>17</v>
      </c>
      <c r="CU29" s="121">
        <v>11</v>
      </c>
      <c r="CV29" s="121">
        <v>28</v>
      </c>
      <c r="CW29" s="122">
        <v>897</v>
      </c>
      <c r="CX29" s="120">
        <v>48</v>
      </c>
      <c r="CY29" s="121">
        <v>11</v>
      </c>
      <c r="CZ29" s="121">
        <v>22</v>
      </c>
      <c r="DA29" s="121">
        <v>33</v>
      </c>
      <c r="DB29" s="122">
        <v>567</v>
      </c>
      <c r="DC29" s="120"/>
      <c r="DD29" s="121"/>
      <c r="DE29" s="121"/>
      <c r="DF29" s="121"/>
      <c r="DG29" s="122"/>
      <c r="DH29" s="120">
        <v>41</v>
      </c>
      <c r="DI29" s="121">
        <v>14</v>
      </c>
      <c r="DJ29" s="121">
        <v>17</v>
      </c>
      <c r="DK29" s="121">
        <v>31</v>
      </c>
      <c r="DL29" s="122">
        <v>803</v>
      </c>
    </row>
    <row r="30" spans="2:116">
      <c r="B30" s="120">
        <v>50</v>
      </c>
      <c r="C30" s="121">
        <v>2134</v>
      </c>
      <c r="D30" s="121">
        <v>3484</v>
      </c>
      <c r="E30" s="121">
        <v>5618</v>
      </c>
      <c r="F30" s="122">
        <v>76929</v>
      </c>
      <c r="G30" s="120">
        <v>47</v>
      </c>
      <c r="H30" s="121">
        <v>341</v>
      </c>
      <c r="I30" s="121">
        <v>631</v>
      </c>
      <c r="J30" s="121">
        <v>972</v>
      </c>
      <c r="K30" s="122">
        <v>22998</v>
      </c>
      <c r="L30" s="120">
        <v>43</v>
      </c>
      <c r="M30" s="121">
        <v>566</v>
      </c>
      <c r="N30" s="121">
        <v>564</v>
      </c>
      <c r="O30" s="121">
        <v>1130</v>
      </c>
      <c r="P30" s="122">
        <v>23943</v>
      </c>
      <c r="Q30" s="120">
        <v>42</v>
      </c>
      <c r="R30" s="121">
        <v>452</v>
      </c>
      <c r="S30" s="121">
        <v>366</v>
      </c>
      <c r="T30" s="121">
        <v>818</v>
      </c>
      <c r="U30" s="122">
        <v>22024</v>
      </c>
      <c r="V30" s="120">
        <v>42</v>
      </c>
      <c r="W30" s="121">
        <v>316</v>
      </c>
      <c r="X30" s="121">
        <v>268</v>
      </c>
      <c r="Y30" s="121">
        <v>584</v>
      </c>
      <c r="Z30" s="122">
        <v>12691</v>
      </c>
      <c r="AA30" s="120">
        <v>43</v>
      </c>
      <c r="AB30" s="121">
        <v>248</v>
      </c>
      <c r="AC30" s="121">
        <v>221</v>
      </c>
      <c r="AD30" s="121">
        <v>469</v>
      </c>
      <c r="AE30" s="122">
        <v>10436</v>
      </c>
      <c r="AF30" s="120">
        <v>46</v>
      </c>
      <c r="AG30" s="121">
        <v>130</v>
      </c>
      <c r="AH30" s="121">
        <v>56</v>
      </c>
      <c r="AI30" s="121">
        <v>186</v>
      </c>
      <c r="AJ30" s="122">
        <v>3521</v>
      </c>
      <c r="AK30" s="120">
        <v>41</v>
      </c>
      <c r="AL30" s="121">
        <v>535</v>
      </c>
      <c r="AM30" s="121">
        <v>817</v>
      </c>
      <c r="AN30" s="121">
        <v>1352</v>
      </c>
      <c r="AO30" s="122">
        <v>23018</v>
      </c>
      <c r="AP30" s="199">
        <v>44</v>
      </c>
      <c r="AQ30" s="121">
        <v>1419</v>
      </c>
      <c r="AR30" s="121">
        <v>1914</v>
      </c>
      <c r="AS30" s="121">
        <v>3333</v>
      </c>
      <c r="AT30" s="130">
        <v>117486</v>
      </c>
      <c r="AU30" s="120">
        <v>41</v>
      </c>
      <c r="AV30" s="121">
        <v>1859</v>
      </c>
      <c r="AW30" s="121">
        <v>661</v>
      </c>
      <c r="AX30" s="121">
        <v>2520</v>
      </c>
      <c r="AY30" s="122">
        <v>44676</v>
      </c>
      <c r="AZ30" s="120">
        <v>40</v>
      </c>
      <c r="BA30" s="121">
        <v>1139</v>
      </c>
      <c r="BB30" s="121">
        <v>904</v>
      </c>
      <c r="BC30" s="121">
        <v>2043</v>
      </c>
      <c r="BD30" s="122">
        <v>35406</v>
      </c>
      <c r="BE30" s="120">
        <v>44</v>
      </c>
      <c r="BF30" s="121">
        <v>1388</v>
      </c>
      <c r="BG30" s="121">
        <v>1738</v>
      </c>
      <c r="BH30" s="121">
        <v>3126</v>
      </c>
      <c r="BI30" s="122">
        <v>92281</v>
      </c>
      <c r="BJ30" s="120">
        <v>47</v>
      </c>
      <c r="BK30" s="121">
        <v>1970</v>
      </c>
      <c r="BL30" s="121">
        <v>1447</v>
      </c>
      <c r="BM30" s="121">
        <v>3417</v>
      </c>
      <c r="BN30" s="122">
        <v>84093</v>
      </c>
      <c r="BO30" s="120">
        <v>45</v>
      </c>
      <c r="BP30" s="121">
        <v>149</v>
      </c>
      <c r="BQ30" s="121">
        <v>43</v>
      </c>
      <c r="BR30" s="121">
        <v>192</v>
      </c>
      <c r="BS30" s="122">
        <v>3069</v>
      </c>
      <c r="BT30" s="120">
        <v>47</v>
      </c>
      <c r="BU30" s="121">
        <v>98</v>
      </c>
      <c r="BV30" s="121">
        <v>68</v>
      </c>
      <c r="BW30" s="121">
        <v>166</v>
      </c>
      <c r="BX30" s="122">
        <v>2972</v>
      </c>
      <c r="BY30" s="120">
        <v>46</v>
      </c>
      <c r="BZ30" s="121">
        <v>165</v>
      </c>
      <c r="CA30" s="121">
        <v>214</v>
      </c>
      <c r="CB30" s="121">
        <v>379</v>
      </c>
      <c r="CC30" s="122">
        <v>4250</v>
      </c>
      <c r="CD30" s="120">
        <v>47</v>
      </c>
      <c r="CE30" s="121">
        <v>90</v>
      </c>
      <c r="CF30" s="121">
        <v>44</v>
      </c>
      <c r="CG30" s="121">
        <v>134</v>
      </c>
      <c r="CH30" s="122">
        <v>2347</v>
      </c>
      <c r="CI30" s="120">
        <v>46</v>
      </c>
      <c r="CJ30" s="121">
        <v>71</v>
      </c>
      <c r="CK30" s="121">
        <v>62</v>
      </c>
      <c r="CL30" s="121">
        <v>133</v>
      </c>
      <c r="CM30" s="122">
        <v>2120</v>
      </c>
      <c r="CN30" s="120">
        <v>42</v>
      </c>
      <c r="CO30" s="121">
        <v>5</v>
      </c>
      <c r="CP30" s="121">
        <v>2</v>
      </c>
      <c r="CQ30" s="121">
        <v>7</v>
      </c>
      <c r="CR30" s="122">
        <v>182</v>
      </c>
      <c r="CS30" s="120">
        <v>42</v>
      </c>
      <c r="CT30" s="121">
        <v>38</v>
      </c>
      <c r="CU30" s="121">
        <v>9</v>
      </c>
      <c r="CV30" s="121">
        <v>47</v>
      </c>
      <c r="CW30" s="122">
        <v>944</v>
      </c>
      <c r="CX30" s="120">
        <v>47</v>
      </c>
      <c r="CY30" s="121">
        <v>13</v>
      </c>
      <c r="CZ30" s="121">
        <v>17</v>
      </c>
      <c r="DA30" s="121">
        <v>30</v>
      </c>
      <c r="DB30" s="122">
        <v>597</v>
      </c>
      <c r="DC30" s="120"/>
      <c r="DD30" s="121"/>
      <c r="DE30" s="121"/>
      <c r="DF30" s="121"/>
      <c r="DG30" s="122"/>
      <c r="DH30" s="120">
        <v>40</v>
      </c>
      <c r="DI30" s="121">
        <v>13</v>
      </c>
      <c r="DJ30" s="121">
        <v>16</v>
      </c>
      <c r="DK30" s="121">
        <v>29</v>
      </c>
      <c r="DL30" s="122">
        <v>832</v>
      </c>
    </row>
    <row r="31" spans="2:116">
      <c r="B31" s="120">
        <v>49</v>
      </c>
      <c r="C31" s="121">
        <v>2005</v>
      </c>
      <c r="D31" s="121">
        <v>3182</v>
      </c>
      <c r="E31" s="121">
        <v>5187</v>
      </c>
      <c r="F31" s="122">
        <v>82116</v>
      </c>
      <c r="G31" s="120">
        <v>46</v>
      </c>
      <c r="H31" s="121">
        <v>369</v>
      </c>
      <c r="I31" s="121">
        <v>634</v>
      </c>
      <c r="J31" s="121">
        <v>1003</v>
      </c>
      <c r="K31" s="122">
        <v>24001</v>
      </c>
      <c r="L31" s="120">
        <v>42</v>
      </c>
      <c r="M31" s="121">
        <v>601</v>
      </c>
      <c r="N31" s="121">
        <v>574</v>
      </c>
      <c r="O31" s="121">
        <v>1175</v>
      </c>
      <c r="P31" s="122">
        <v>25118</v>
      </c>
      <c r="Q31" s="120">
        <v>41</v>
      </c>
      <c r="R31" s="121">
        <v>456</v>
      </c>
      <c r="S31" s="121">
        <v>358</v>
      </c>
      <c r="T31" s="121">
        <v>814</v>
      </c>
      <c r="U31" s="122">
        <v>22838</v>
      </c>
      <c r="V31" s="120">
        <v>41</v>
      </c>
      <c r="W31" s="121">
        <v>242</v>
      </c>
      <c r="X31" s="121">
        <v>212</v>
      </c>
      <c r="Y31" s="121">
        <v>454</v>
      </c>
      <c r="Z31" s="122">
        <v>13145</v>
      </c>
      <c r="AA31" s="120">
        <v>42</v>
      </c>
      <c r="AB31" s="121">
        <v>521</v>
      </c>
      <c r="AC31" s="121">
        <v>498</v>
      </c>
      <c r="AD31" s="121">
        <v>1019</v>
      </c>
      <c r="AE31" s="122">
        <v>11455</v>
      </c>
      <c r="AF31" s="120">
        <v>45</v>
      </c>
      <c r="AG31" s="121">
        <v>115</v>
      </c>
      <c r="AH31" s="121">
        <v>64</v>
      </c>
      <c r="AI31" s="121">
        <v>179</v>
      </c>
      <c r="AJ31" s="122">
        <v>3700</v>
      </c>
      <c r="AK31" s="120">
        <v>40</v>
      </c>
      <c r="AL31" s="121">
        <v>314</v>
      </c>
      <c r="AM31" s="121">
        <v>423</v>
      </c>
      <c r="AN31" s="121">
        <v>737</v>
      </c>
      <c r="AO31" s="122">
        <v>23755</v>
      </c>
      <c r="AP31" s="199">
        <v>43</v>
      </c>
      <c r="AQ31" s="121">
        <v>1587</v>
      </c>
      <c r="AR31" s="121">
        <v>2073</v>
      </c>
      <c r="AS31" s="121">
        <v>3660</v>
      </c>
      <c r="AT31" s="130">
        <v>121146</v>
      </c>
      <c r="AU31" s="120">
        <v>40</v>
      </c>
      <c r="AV31" s="121">
        <v>1100</v>
      </c>
      <c r="AW31" s="121">
        <v>394</v>
      </c>
      <c r="AX31" s="121">
        <v>1494</v>
      </c>
      <c r="AY31" s="122">
        <v>46170</v>
      </c>
      <c r="AZ31" s="120">
        <v>39</v>
      </c>
      <c r="BA31" s="121">
        <v>543</v>
      </c>
      <c r="BB31" s="121">
        <v>429</v>
      </c>
      <c r="BC31" s="121">
        <v>972</v>
      </c>
      <c r="BD31" s="122">
        <v>36378</v>
      </c>
      <c r="BE31" s="120">
        <v>43</v>
      </c>
      <c r="BF31" s="121">
        <v>1527</v>
      </c>
      <c r="BG31" s="121">
        <v>1807</v>
      </c>
      <c r="BH31" s="121">
        <v>3334</v>
      </c>
      <c r="BI31" s="122">
        <v>95615</v>
      </c>
      <c r="BJ31" s="120">
        <v>46</v>
      </c>
      <c r="BK31" s="121">
        <v>2047</v>
      </c>
      <c r="BL31" s="121">
        <v>1622</v>
      </c>
      <c r="BM31" s="121">
        <v>3669</v>
      </c>
      <c r="BN31" s="122">
        <v>87762</v>
      </c>
      <c r="BO31" s="120">
        <v>44</v>
      </c>
      <c r="BP31" s="121">
        <v>293</v>
      </c>
      <c r="BQ31" s="121">
        <v>106</v>
      </c>
      <c r="BR31" s="121">
        <v>399</v>
      </c>
      <c r="BS31" s="122">
        <v>3468</v>
      </c>
      <c r="BT31" s="120">
        <v>46</v>
      </c>
      <c r="BU31" s="121">
        <v>197</v>
      </c>
      <c r="BV31" s="121">
        <v>134</v>
      </c>
      <c r="BW31" s="121">
        <v>331</v>
      </c>
      <c r="BX31" s="122">
        <v>3303</v>
      </c>
      <c r="BY31" s="120">
        <v>45</v>
      </c>
      <c r="BZ31" s="121">
        <v>106</v>
      </c>
      <c r="CA31" s="121">
        <v>123</v>
      </c>
      <c r="CB31" s="121">
        <v>229</v>
      </c>
      <c r="CC31" s="122">
        <v>4479</v>
      </c>
      <c r="CD31" s="120">
        <v>46</v>
      </c>
      <c r="CE31" s="121">
        <v>118</v>
      </c>
      <c r="CF31" s="121">
        <v>41</v>
      </c>
      <c r="CG31" s="121">
        <v>159</v>
      </c>
      <c r="CH31" s="122">
        <v>2506</v>
      </c>
      <c r="CI31" s="120">
        <v>45</v>
      </c>
      <c r="CJ31" s="121">
        <v>60</v>
      </c>
      <c r="CK31" s="121">
        <v>70</v>
      </c>
      <c r="CL31" s="121">
        <v>130</v>
      </c>
      <c r="CM31" s="122">
        <v>2250</v>
      </c>
      <c r="CN31" s="120">
        <v>41</v>
      </c>
      <c r="CO31" s="121">
        <v>2</v>
      </c>
      <c r="CP31" s="121">
        <v>5</v>
      </c>
      <c r="CQ31" s="121">
        <v>7</v>
      </c>
      <c r="CR31" s="122">
        <v>189</v>
      </c>
      <c r="CS31" s="120">
        <v>41</v>
      </c>
      <c r="CT31" s="121">
        <v>51</v>
      </c>
      <c r="CU31" s="121">
        <v>15</v>
      </c>
      <c r="CV31" s="121">
        <v>66</v>
      </c>
      <c r="CW31" s="122">
        <v>1010</v>
      </c>
      <c r="CX31" s="120">
        <v>46</v>
      </c>
      <c r="CY31" s="121">
        <v>10</v>
      </c>
      <c r="CZ31" s="121">
        <v>25</v>
      </c>
      <c r="DA31" s="121">
        <v>35</v>
      </c>
      <c r="DB31" s="122">
        <v>632</v>
      </c>
      <c r="DC31" s="120"/>
      <c r="DD31" s="121"/>
      <c r="DE31" s="121"/>
      <c r="DF31" s="121"/>
      <c r="DG31" s="122"/>
      <c r="DH31" s="120">
        <v>39</v>
      </c>
      <c r="DI31" s="121">
        <v>35</v>
      </c>
      <c r="DJ31" s="121">
        <v>44</v>
      </c>
      <c r="DK31" s="121">
        <v>79</v>
      </c>
      <c r="DL31" s="122">
        <v>911</v>
      </c>
    </row>
    <row r="32" spans="2:116">
      <c r="B32" s="120">
        <v>48</v>
      </c>
      <c r="C32" s="121">
        <v>2203</v>
      </c>
      <c r="D32" s="121">
        <v>3342</v>
      </c>
      <c r="E32" s="121">
        <v>5545</v>
      </c>
      <c r="F32" s="122">
        <v>87661</v>
      </c>
      <c r="G32" s="120">
        <v>45</v>
      </c>
      <c r="H32" s="121">
        <v>823</v>
      </c>
      <c r="I32" s="121">
        <v>1326</v>
      </c>
      <c r="J32" s="121">
        <v>2149</v>
      </c>
      <c r="K32" s="122">
        <v>26150</v>
      </c>
      <c r="L32" s="120">
        <v>41</v>
      </c>
      <c r="M32" s="121">
        <v>1200</v>
      </c>
      <c r="N32" s="121">
        <v>1111</v>
      </c>
      <c r="O32" s="121">
        <v>2311</v>
      </c>
      <c r="P32" s="122">
        <v>27429</v>
      </c>
      <c r="Q32" s="120">
        <v>40</v>
      </c>
      <c r="R32" s="121">
        <v>825</v>
      </c>
      <c r="S32" s="121">
        <v>749</v>
      </c>
      <c r="T32" s="121">
        <v>1574</v>
      </c>
      <c r="U32" s="122">
        <v>24412</v>
      </c>
      <c r="V32" s="120">
        <v>40</v>
      </c>
      <c r="W32" s="121">
        <v>687</v>
      </c>
      <c r="X32" s="121">
        <v>660</v>
      </c>
      <c r="Y32" s="121">
        <v>1347</v>
      </c>
      <c r="Z32" s="122">
        <v>14492</v>
      </c>
      <c r="AA32" s="120">
        <v>41</v>
      </c>
      <c r="AB32" s="121">
        <v>268</v>
      </c>
      <c r="AC32" s="121">
        <v>216</v>
      </c>
      <c r="AD32" s="121">
        <v>484</v>
      </c>
      <c r="AE32" s="122">
        <v>11939</v>
      </c>
      <c r="AF32" s="120">
        <v>44</v>
      </c>
      <c r="AG32" s="121">
        <v>278</v>
      </c>
      <c r="AH32" s="121">
        <v>138</v>
      </c>
      <c r="AI32" s="121">
        <v>416</v>
      </c>
      <c r="AJ32" s="122">
        <v>4116</v>
      </c>
      <c r="AK32" s="120">
        <v>39</v>
      </c>
      <c r="AL32" s="121">
        <v>249</v>
      </c>
      <c r="AM32" s="121">
        <v>397</v>
      </c>
      <c r="AN32" s="121">
        <v>646</v>
      </c>
      <c r="AO32" s="122">
        <v>24401</v>
      </c>
      <c r="AP32" s="199">
        <v>42</v>
      </c>
      <c r="AQ32" s="121">
        <v>1441</v>
      </c>
      <c r="AR32" s="121">
        <v>1819</v>
      </c>
      <c r="AS32" s="121">
        <v>3260</v>
      </c>
      <c r="AT32" s="130">
        <v>124406</v>
      </c>
      <c r="AU32" s="120">
        <v>39</v>
      </c>
      <c r="AV32" s="121">
        <v>939</v>
      </c>
      <c r="AW32" s="121">
        <v>318</v>
      </c>
      <c r="AX32" s="121">
        <v>1257</v>
      </c>
      <c r="AY32" s="122">
        <v>47427</v>
      </c>
      <c r="AZ32" s="120">
        <v>38</v>
      </c>
      <c r="BA32" s="121">
        <v>756</v>
      </c>
      <c r="BB32" s="121">
        <v>669</v>
      </c>
      <c r="BC32" s="121">
        <v>1425</v>
      </c>
      <c r="BD32" s="122">
        <v>37803</v>
      </c>
      <c r="BE32" s="120">
        <v>42</v>
      </c>
      <c r="BF32" s="121">
        <v>1360</v>
      </c>
      <c r="BG32" s="121">
        <v>1865</v>
      </c>
      <c r="BH32" s="121">
        <v>3225</v>
      </c>
      <c r="BI32" s="122">
        <v>98840</v>
      </c>
      <c r="BJ32" s="120">
        <v>45</v>
      </c>
      <c r="BK32" s="121">
        <v>2025</v>
      </c>
      <c r="BL32" s="121">
        <v>1693</v>
      </c>
      <c r="BM32" s="121">
        <v>3718</v>
      </c>
      <c r="BN32" s="122">
        <v>91480</v>
      </c>
      <c r="BO32" s="120">
        <v>43</v>
      </c>
      <c r="BP32" s="121">
        <v>139</v>
      </c>
      <c r="BQ32" s="121">
        <v>53</v>
      </c>
      <c r="BR32" s="121">
        <v>192</v>
      </c>
      <c r="BS32" s="122">
        <v>3660</v>
      </c>
      <c r="BT32" s="120">
        <v>45</v>
      </c>
      <c r="BU32" s="121">
        <v>94</v>
      </c>
      <c r="BV32" s="121">
        <v>56</v>
      </c>
      <c r="BW32" s="121">
        <v>150</v>
      </c>
      <c r="BX32" s="122">
        <v>3453</v>
      </c>
      <c r="BY32" s="120">
        <v>44</v>
      </c>
      <c r="BZ32" s="121">
        <v>102</v>
      </c>
      <c r="CA32" s="121">
        <v>118</v>
      </c>
      <c r="CB32" s="121">
        <v>220</v>
      </c>
      <c r="CC32" s="122">
        <v>4699</v>
      </c>
      <c r="CD32" s="120">
        <v>45</v>
      </c>
      <c r="CE32" s="121">
        <v>108</v>
      </c>
      <c r="CF32" s="121">
        <v>53</v>
      </c>
      <c r="CG32" s="121">
        <v>161</v>
      </c>
      <c r="CH32" s="122">
        <v>2667</v>
      </c>
      <c r="CI32" s="120">
        <v>44</v>
      </c>
      <c r="CJ32" s="121">
        <v>65</v>
      </c>
      <c r="CK32" s="121">
        <v>72</v>
      </c>
      <c r="CL32" s="121">
        <v>137</v>
      </c>
      <c r="CM32" s="122">
        <v>2387</v>
      </c>
      <c r="CN32" s="120">
        <v>39</v>
      </c>
      <c r="CO32" s="121">
        <v>4</v>
      </c>
      <c r="CP32" s="121">
        <v>4</v>
      </c>
      <c r="CQ32" s="121">
        <v>8</v>
      </c>
      <c r="CR32" s="122">
        <v>197</v>
      </c>
      <c r="CS32" s="120">
        <v>40</v>
      </c>
      <c r="CT32" s="121">
        <v>24</v>
      </c>
      <c r="CU32" s="121">
        <v>11</v>
      </c>
      <c r="CV32" s="121">
        <v>35</v>
      </c>
      <c r="CW32" s="122">
        <v>1045</v>
      </c>
      <c r="CX32" s="120">
        <v>45</v>
      </c>
      <c r="CY32" s="121">
        <v>23</v>
      </c>
      <c r="CZ32" s="121">
        <v>33</v>
      </c>
      <c r="DA32" s="121">
        <v>56</v>
      </c>
      <c r="DB32" s="122">
        <v>688</v>
      </c>
      <c r="DC32" s="120"/>
      <c r="DD32" s="121"/>
      <c r="DE32" s="121"/>
      <c r="DF32" s="121"/>
      <c r="DG32" s="122"/>
      <c r="DH32" s="120">
        <v>38</v>
      </c>
      <c r="DI32" s="121">
        <v>6</v>
      </c>
      <c r="DJ32" s="121">
        <v>15</v>
      </c>
      <c r="DK32" s="121">
        <v>21</v>
      </c>
      <c r="DL32" s="122">
        <v>932</v>
      </c>
    </row>
    <row r="33" spans="2:116">
      <c r="B33" s="120">
        <v>47</v>
      </c>
      <c r="C33" s="121">
        <v>2212</v>
      </c>
      <c r="D33" s="121">
        <v>3595</v>
      </c>
      <c r="E33" s="121">
        <v>5807</v>
      </c>
      <c r="F33" s="122">
        <v>93468</v>
      </c>
      <c r="G33" s="120">
        <v>44</v>
      </c>
      <c r="H33" s="121">
        <v>481</v>
      </c>
      <c r="I33" s="121">
        <v>720</v>
      </c>
      <c r="J33" s="121">
        <v>1201</v>
      </c>
      <c r="K33" s="122">
        <v>27351</v>
      </c>
      <c r="L33" s="120">
        <v>40</v>
      </c>
      <c r="M33" s="121">
        <v>628</v>
      </c>
      <c r="N33" s="121">
        <v>578</v>
      </c>
      <c r="O33" s="121">
        <v>1206</v>
      </c>
      <c r="P33" s="122">
        <v>28635</v>
      </c>
      <c r="Q33" s="120">
        <v>39</v>
      </c>
      <c r="R33" s="121">
        <v>391</v>
      </c>
      <c r="S33" s="121">
        <v>356</v>
      </c>
      <c r="T33" s="121">
        <v>747</v>
      </c>
      <c r="U33" s="122">
        <v>25159</v>
      </c>
      <c r="V33" s="120">
        <v>39</v>
      </c>
      <c r="W33" s="121">
        <v>211</v>
      </c>
      <c r="X33" s="121">
        <v>232</v>
      </c>
      <c r="Y33" s="121">
        <v>443</v>
      </c>
      <c r="Z33" s="122">
        <v>14935</v>
      </c>
      <c r="AA33" s="120">
        <v>40</v>
      </c>
      <c r="AB33" s="121">
        <v>232</v>
      </c>
      <c r="AC33" s="121">
        <v>217</v>
      </c>
      <c r="AD33" s="121">
        <v>449</v>
      </c>
      <c r="AE33" s="122">
        <v>12388</v>
      </c>
      <c r="AF33" s="120">
        <v>43</v>
      </c>
      <c r="AG33" s="121">
        <v>148</v>
      </c>
      <c r="AH33" s="121">
        <v>58</v>
      </c>
      <c r="AI33" s="121">
        <v>206</v>
      </c>
      <c r="AJ33" s="122">
        <v>4322</v>
      </c>
      <c r="AK33" s="120">
        <v>38</v>
      </c>
      <c r="AL33" s="121">
        <v>851</v>
      </c>
      <c r="AM33" s="121">
        <v>940</v>
      </c>
      <c r="AN33" s="121">
        <v>1791</v>
      </c>
      <c r="AO33" s="122">
        <v>26192</v>
      </c>
      <c r="AP33" s="199">
        <v>41</v>
      </c>
      <c r="AQ33" s="121">
        <v>1497</v>
      </c>
      <c r="AR33" s="121">
        <v>1902</v>
      </c>
      <c r="AS33" s="121">
        <v>3399</v>
      </c>
      <c r="AT33" s="130">
        <v>127805</v>
      </c>
      <c r="AU33" s="120">
        <v>38</v>
      </c>
      <c r="AV33" s="121">
        <v>1548</v>
      </c>
      <c r="AW33" s="121">
        <v>458</v>
      </c>
      <c r="AX33" s="121">
        <v>2006</v>
      </c>
      <c r="AY33" s="122">
        <v>49433</v>
      </c>
      <c r="AZ33" s="120">
        <v>37</v>
      </c>
      <c r="BA33" s="121">
        <v>1352</v>
      </c>
      <c r="BB33" s="121">
        <v>995</v>
      </c>
      <c r="BC33" s="121">
        <v>2347</v>
      </c>
      <c r="BD33" s="122">
        <v>40150</v>
      </c>
      <c r="BE33" s="120">
        <v>41</v>
      </c>
      <c r="BF33" s="121">
        <v>1320</v>
      </c>
      <c r="BG33" s="121">
        <v>1691</v>
      </c>
      <c r="BH33" s="121">
        <v>3011</v>
      </c>
      <c r="BI33" s="122">
        <v>101851</v>
      </c>
      <c r="BJ33" s="120">
        <v>44</v>
      </c>
      <c r="BK33" s="121">
        <v>2128</v>
      </c>
      <c r="BL33" s="121">
        <v>1659</v>
      </c>
      <c r="BM33" s="121">
        <v>3787</v>
      </c>
      <c r="BN33" s="122">
        <v>95267</v>
      </c>
      <c r="BO33" s="120">
        <v>42</v>
      </c>
      <c r="BP33" s="121">
        <v>163</v>
      </c>
      <c r="BQ33" s="121">
        <v>48</v>
      </c>
      <c r="BR33" s="121">
        <v>211</v>
      </c>
      <c r="BS33" s="122">
        <v>3871</v>
      </c>
      <c r="BT33" s="120">
        <v>44</v>
      </c>
      <c r="BU33" s="121">
        <v>96</v>
      </c>
      <c r="BV33" s="121">
        <v>61</v>
      </c>
      <c r="BW33" s="121">
        <v>157</v>
      </c>
      <c r="BX33" s="122">
        <v>3610</v>
      </c>
      <c r="BY33" s="120">
        <v>43</v>
      </c>
      <c r="BZ33" s="121">
        <v>100</v>
      </c>
      <c r="CA33" s="121">
        <v>113</v>
      </c>
      <c r="CB33" s="121">
        <v>213</v>
      </c>
      <c r="CC33" s="122">
        <v>4912</v>
      </c>
      <c r="CD33" s="120">
        <v>44</v>
      </c>
      <c r="CE33" s="121">
        <v>239</v>
      </c>
      <c r="CF33" s="121">
        <v>111</v>
      </c>
      <c r="CG33" s="121">
        <v>350</v>
      </c>
      <c r="CH33" s="122">
        <v>3017</v>
      </c>
      <c r="CI33" s="120">
        <v>43</v>
      </c>
      <c r="CJ33" s="121">
        <v>70</v>
      </c>
      <c r="CK33" s="121">
        <v>72</v>
      </c>
      <c r="CL33" s="121">
        <v>142</v>
      </c>
      <c r="CM33" s="122">
        <v>2529</v>
      </c>
      <c r="CN33" s="120">
        <v>38</v>
      </c>
      <c r="CO33" s="121">
        <v>1</v>
      </c>
      <c r="CP33" s="121">
        <v>3</v>
      </c>
      <c r="CQ33" s="121">
        <v>4</v>
      </c>
      <c r="CR33" s="122">
        <v>201</v>
      </c>
      <c r="CS33" s="120">
        <v>39</v>
      </c>
      <c r="CT33" s="121">
        <v>30</v>
      </c>
      <c r="CU33" s="121">
        <v>4</v>
      </c>
      <c r="CV33" s="121">
        <v>34</v>
      </c>
      <c r="CW33" s="122">
        <v>1079</v>
      </c>
      <c r="CX33" s="120">
        <v>44</v>
      </c>
      <c r="CY33" s="121">
        <v>5</v>
      </c>
      <c r="CZ33" s="121">
        <v>38</v>
      </c>
      <c r="DA33" s="121">
        <v>43</v>
      </c>
      <c r="DB33" s="122">
        <v>731</v>
      </c>
      <c r="DC33" s="120"/>
      <c r="DD33" s="121"/>
      <c r="DE33" s="121"/>
      <c r="DF33" s="121"/>
      <c r="DG33" s="122"/>
      <c r="DH33" s="120">
        <v>37</v>
      </c>
      <c r="DI33" s="121">
        <v>9</v>
      </c>
      <c r="DJ33" s="121">
        <v>14</v>
      </c>
      <c r="DK33" s="121">
        <v>23</v>
      </c>
      <c r="DL33" s="122">
        <v>955</v>
      </c>
    </row>
    <row r="34" spans="2:116">
      <c r="B34" s="120">
        <v>46</v>
      </c>
      <c r="C34" s="121">
        <v>2122</v>
      </c>
      <c r="D34" s="121">
        <v>3271</v>
      </c>
      <c r="E34" s="121">
        <v>5393</v>
      </c>
      <c r="F34" s="122">
        <v>98861</v>
      </c>
      <c r="G34" s="120">
        <v>43</v>
      </c>
      <c r="H34" s="121">
        <v>420</v>
      </c>
      <c r="I34" s="121">
        <v>607</v>
      </c>
      <c r="J34" s="121">
        <v>1027</v>
      </c>
      <c r="K34" s="122">
        <v>28378</v>
      </c>
      <c r="L34" s="120">
        <v>39</v>
      </c>
      <c r="M34" s="121">
        <v>961</v>
      </c>
      <c r="N34" s="121">
        <v>833</v>
      </c>
      <c r="O34" s="121">
        <v>1794</v>
      </c>
      <c r="P34" s="122">
        <v>30429</v>
      </c>
      <c r="Q34" s="120">
        <v>38</v>
      </c>
      <c r="R34" s="121">
        <v>382</v>
      </c>
      <c r="S34" s="121">
        <v>289</v>
      </c>
      <c r="T34" s="121">
        <v>671</v>
      </c>
      <c r="U34" s="122">
        <v>25830</v>
      </c>
      <c r="V34" s="120">
        <v>38</v>
      </c>
      <c r="W34" s="121">
        <v>607</v>
      </c>
      <c r="X34" s="121">
        <v>547</v>
      </c>
      <c r="Y34" s="121">
        <v>1154</v>
      </c>
      <c r="Z34" s="122">
        <v>16089</v>
      </c>
      <c r="AA34" s="120">
        <v>39</v>
      </c>
      <c r="AB34" s="121">
        <v>616</v>
      </c>
      <c r="AC34" s="121">
        <v>451</v>
      </c>
      <c r="AD34" s="121">
        <v>1067</v>
      </c>
      <c r="AE34" s="122">
        <v>13455</v>
      </c>
      <c r="AF34" s="120">
        <v>42</v>
      </c>
      <c r="AG34" s="121">
        <v>163</v>
      </c>
      <c r="AH34" s="121">
        <v>78</v>
      </c>
      <c r="AI34" s="121">
        <v>241</v>
      </c>
      <c r="AJ34" s="122">
        <v>4563</v>
      </c>
      <c r="AK34" s="120">
        <v>37</v>
      </c>
      <c r="AL34" s="121">
        <v>239</v>
      </c>
      <c r="AM34" s="121">
        <v>344</v>
      </c>
      <c r="AN34" s="121">
        <v>583</v>
      </c>
      <c r="AO34" s="122">
        <v>26775</v>
      </c>
      <c r="AP34" s="199">
        <v>40</v>
      </c>
      <c r="AQ34" s="121">
        <v>1466</v>
      </c>
      <c r="AR34" s="121">
        <v>1817</v>
      </c>
      <c r="AS34" s="121">
        <v>3283</v>
      </c>
      <c r="AT34" s="130">
        <v>131088</v>
      </c>
      <c r="AU34" s="120">
        <v>37</v>
      </c>
      <c r="AV34" s="121">
        <v>1946</v>
      </c>
      <c r="AW34" s="121">
        <v>664</v>
      </c>
      <c r="AX34" s="121">
        <v>2610</v>
      </c>
      <c r="AY34" s="122">
        <v>52043</v>
      </c>
      <c r="AZ34" s="120">
        <v>36</v>
      </c>
      <c r="BA34" s="121">
        <v>539</v>
      </c>
      <c r="BB34" s="121">
        <v>420</v>
      </c>
      <c r="BC34" s="121">
        <v>959</v>
      </c>
      <c r="BD34" s="122">
        <v>41109</v>
      </c>
      <c r="BE34" s="120">
        <v>40</v>
      </c>
      <c r="BF34" s="121">
        <v>2680</v>
      </c>
      <c r="BG34" s="121">
        <v>3222</v>
      </c>
      <c r="BH34" s="121">
        <v>5902</v>
      </c>
      <c r="BI34" s="122">
        <v>107753</v>
      </c>
      <c r="BJ34" s="120">
        <v>43</v>
      </c>
      <c r="BK34" s="121">
        <v>4264</v>
      </c>
      <c r="BL34" s="121">
        <v>3420</v>
      </c>
      <c r="BM34" s="121">
        <v>7684</v>
      </c>
      <c r="BN34" s="122">
        <v>102951</v>
      </c>
      <c r="BO34" s="120">
        <v>41</v>
      </c>
      <c r="BP34" s="121">
        <v>281</v>
      </c>
      <c r="BQ34" s="121">
        <v>90</v>
      </c>
      <c r="BR34" s="121">
        <v>371</v>
      </c>
      <c r="BS34" s="122">
        <v>4242</v>
      </c>
      <c r="BT34" s="120">
        <v>43</v>
      </c>
      <c r="BU34" s="121">
        <v>115</v>
      </c>
      <c r="BV34" s="121">
        <v>89</v>
      </c>
      <c r="BW34" s="121">
        <v>204</v>
      </c>
      <c r="BX34" s="122">
        <v>3814</v>
      </c>
      <c r="BY34" s="120">
        <v>42</v>
      </c>
      <c r="BZ34" s="121">
        <v>90</v>
      </c>
      <c r="CA34" s="121">
        <v>109</v>
      </c>
      <c r="CB34" s="121">
        <v>199</v>
      </c>
      <c r="CC34" s="122">
        <v>5111</v>
      </c>
      <c r="CD34" s="120">
        <v>43</v>
      </c>
      <c r="CE34" s="121">
        <v>130</v>
      </c>
      <c r="CF34" s="121">
        <v>65</v>
      </c>
      <c r="CG34" s="121">
        <v>195</v>
      </c>
      <c r="CH34" s="122">
        <v>3212</v>
      </c>
      <c r="CI34" s="120">
        <v>42</v>
      </c>
      <c r="CJ34" s="121">
        <v>109</v>
      </c>
      <c r="CK34" s="121">
        <v>126</v>
      </c>
      <c r="CL34" s="121">
        <v>235</v>
      </c>
      <c r="CM34" s="122">
        <v>2764</v>
      </c>
      <c r="CN34" s="120">
        <v>37</v>
      </c>
      <c r="CO34" s="121">
        <v>2</v>
      </c>
      <c r="CP34" s="121">
        <v>3</v>
      </c>
      <c r="CQ34" s="121">
        <v>5</v>
      </c>
      <c r="CR34" s="122">
        <v>206</v>
      </c>
      <c r="CS34" s="120">
        <v>38</v>
      </c>
      <c r="CT34" s="121">
        <v>34</v>
      </c>
      <c r="CU34" s="121">
        <v>10</v>
      </c>
      <c r="CV34" s="121">
        <v>44</v>
      </c>
      <c r="CW34" s="122">
        <v>1123</v>
      </c>
      <c r="CX34" s="120">
        <v>43</v>
      </c>
      <c r="CY34" s="121">
        <v>8</v>
      </c>
      <c r="CZ34" s="121">
        <v>23</v>
      </c>
      <c r="DA34" s="121">
        <v>31</v>
      </c>
      <c r="DB34" s="122">
        <v>762</v>
      </c>
      <c r="DC34" s="120"/>
      <c r="DD34" s="121"/>
      <c r="DE34" s="121"/>
      <c r="DF34" s="121"/>
      <c r="DG34" s="122"/>
      <c r="DH34" s="120">
        <v>36</v>
      </c>
      <c r="DI34" s="121">
        <v>15</v>
      </c>
      <c r="DJ34" s="121">
        <v>10</v>
      </c>
      <c r="DK34" s="121">
        <v>25</v>
      </c>
      <c r="DL34" s="122">
        <v>980</v>
      </c>
    </row>
    <row r="35" spans="2:116">
      <c r="B35" s="120">
        <v>45</v>
      </c>
      <c r="C35" s="121">
        <v>2492</v>
      </c>
      <c r="D35" s="121">
        <v>3698</v>
      </c>
      <c r="E35" s="121">
        <v>6190</v>
      </c>
      <c r="F35" s="122">
        <v>105051</v>
      </c>
      <c r="G35" s="120">
        <v>42</v>
      </c>
      <c r="H35" s="121">
        <v>630</v>
      </c>
      <c r="I35" s="121">
        <v>845</v>
      </c>
      <c r="J35" s="121">
        <v>1475</v>
      </c>
      <c r="K35" s="122">
        <v>29853</v>
      </c>
      <c r="L35" s="120">
        <v>38</v>
      </c>
      <c r="M35" s="121">
        <v>1303</v>
      </c>
      <c r="N35" s="121">
        <v>1049</v>
      </c>
      <c r="O35" s="121">
        <v>2352</v>
      </c>
      <c r="P35" s="122">
        <v>32781</v>
      </c>
      <c r="Q35" s="120">
        <v>37</v>
      </c>
      <c r="R35" s="121">
        <v>831</v>
      </c>
      <c r="S35" s="121">
        <v>737</v>
      </c>
      <c r="T35" s="121">
        <v>1568</v>
      </c>
      <c r="U35" s="122">
        <v>27398</v>
      </c>
      <c r="V35" s="120">
        <v>37</v>
      </c>
      <c r="W35" s="121">
        <v>187</v>
      </c>
      <c r="X35" s="121">
        <v>202</v>
      </c>
      <c r="Y35" s="121">
        <v>389</v>
      </c>
      <c r="Z35" s="122">
        <v>16478</v>
      </c>
      <c r="AA35" s="120">
        <v>38</v>
      </c>
      <c r="AB35" s="121">
        <v>318</v>
      </c>
      <c r="AC35" s="121">
        <v>247</v>
      </c>
      <c r="AD35" s="121">
        <v>565</v>
      </c>
      <c r="AE35" s="122">
        <v>14020</v>
      </c>
      <c r="AF35" s="120">
        <v>41</v>
      </c>
      <c r="AG35" s="121">
        <v>115</v>
      </c>
      <c r="AH35" s="121">
        <v>54</v>
      </c>
      <c r="AI35" s="121">
        <v>169</v>
      </c>
      <c r="AJ35" s="122">
        <v>4732</v>
      </c>
      <c r="AK35" s="120">
        <v>36</v>
      </c>
      <c r="AL35" s="121">
        <v>280</v>
      </c>
      <c r="AM35" s="121">
        <v>299</v>
      </c>
      <c r="AN35" s="121">
        <v>579</v>
      </c>
      <c r="AO35" s="122">
        <v>27354</v>
      </c>
      <c r="AP35" s="199">
        <v>39</v>
      </c>
      <c r="AQ35" s="121">
        <v>2770</v>
      </c>
      <c r="AR35" s="121">
        <v>3461</v>
      </c>
      <c r="AS35" s="121">
        <v>6231</v>
      </c>
      <c r="AT35" s="130">
        <v>137319</v>
      </c>
      <c r="AU35" s="120">
        <v>36</v>
      </c>
      <c r="AV35" s="121">
        <v>965</v>
      </c>
      <c r="AW35" s="121">
        <v>356</v>
      </c>
      <c r="AX35" s="121">
        <v>1321</v>
      </c>
      <c r="AY35" s="122">
        <v>53364</v>
      </c>
      <c r="AZ35" s="120">
        <v>35</v>
      </c>
      <c r="BA35" s="121">
        <v>552</v>
      </c>
      <c r="BB35" s="121">
        <v>407</v>
      </c>
      <c r="BC35" s="121">
        <v>959</v>
      </c>
      <c r="BD35" s="122">
        <v>42068</v>
      </c>
      <c r="BE35" s="120">
        <v>39</v>
      </c>
      <c r="BF35" s="121">
        <v>1289</v>
      </c>
      <c r="BG35" s="121">
        <v>1464</v>
      </c>
      <c r="BH35" s="121">
        <v>2753</v>
      </c>
      <c r="BI35" s="122">
        <v>110506</v>
      </c>
      <c r="BJ35" s="120">
        <v>42</v>
      </c>
      <c r="BK35" s="121">
        <v>2491</v>
      </c>
      <c r="BL35" s="121">
        <v>1923</v>
      </c>
      <c r="BM35" s="121">
        <v>4414</v>
      </c>
      <c r="BN35" s="122">
        <v>107365</v>
      </c>
      <c r="BO35" s="120">
        <v>40</v>
      </c>
      <c r="BP35" s="121">
        <v>291</v>
      </c>
      <c r="BQ35" s="121">
        <v>76</v>
      </c>
      <c r="BR35" s="121">
        <v>367</v>
      </c>
      <c r="BS35" s="122">
        <v>4609</v>
      </c>
      <c r="BT35" s="120">
        <v>42</v>
      </c>
      <c r="BU35" s="121">
        <v>113</v>
      </c>
      <c r="BV35" s="121">
        <v>63</v>
      </c>
      <c r="BW35" s="121">
        <v>176</v>
      </c>
      <c r="BX35" s="122">
        <v>3990</v>
      </c>
      <c r="BY35" s="120">
        <v>41</v>
      </c>
      <c r="BZ35" s="121">
        <v>104</v>
      </c>
      <c r="CA35" s="121">
        <v>136</v>
      </c>
      <c r="CB35" s="121">
        <v>240</v>
      </c>
      <c r="CC35" s="122">
        <v>5351</v>
      </c>
      <c r="CD35" s="120">
        <v>42</v>
      </c>
      <c r="CE35" s="121">
        <v>143</v>
      </c>
      <c r="CF35" s="121">
        <v>65</v>
      </c>
      <c r="CG35" s="121">
        <v>208</v>
      </c>
      <c r="CH35" s="122">
        <v>3420</v>
      </c>
      <c r="CI35" s="116">
        <v>41</v>
      </c>
      <c r="CJ35" s="117">
        <v>64</v>
      </c>
      <c r="CK35" s="117">
        <v>56</v>
      </c>
      <c r="CL35" s="117">
        <v>120</v>
      </c>
      <c r="CM35" s="119">
        <v>2884</v>
      </c>
      <c r="CN35" s="116">
        <v>36</v>
      </c>
      <c r="CO35" s="117">
        <v>2</v>
      </c>
      <c r="CP35" s="117">
        <v>1</v>
      </c>
      <c r="CQ35" s="117">
        <v>3</v>
      </c>
      <c r="CR35" s="119">
        <v>209</v>
      </c>
      <c r="CS35" s="116">
        <v>37</v>
      </c>
      <c r="CT35" s="117">
        <v>48</v>
      </c>
      <c r="CU35" s="117">
        <v>13</v>
      </c>
      <c r="CV35" s="117">
        <v>61</v>
      </c>
      <c r="CW35" s="119">
        <v>1184</v>
      </c>
      <c r="CX35" s="116">
        <v>42</v>
      </c>
      <c r="CY35" s="117">
        <v>7</v>
      </c>
      <c r="CZ35" s="117">
        <v>27</v>
      </c>
      <c r="DA35" s="117">
        <v>34</v>
      </c>
      <c r="DB35" s="119">
        <v>796</v>
      </c>
      <c r="DC35" s="116"/>
      <c r="DD35" s="117"/>
      <c r="DE35" s="117"/>
      <c r="DF35" s="117"/>
      <c r="DG35" s="119"/>
      <c r="DH35" s="116">
        <v>35</v>
      </c>
      <c r="DI35" s="117">
        <v>15</v>
      </c>
      <c r="DJ35" s="117">
        <v>13</v>
      </c>
      <c r="DK35" s="117">
        <v>28</v>
      </c>
      <c r="DL35" s="119">
        <v>1008</v>
      </c>
    </row>
    <row r="36" spans="2:116">
      <c r="B36" s="120">
        <v>44</v>
      </c>
      <c r="C36" s="121">
        <v>2236</v>
      </c>
      <c r="D36" s="121">
        <v>3330</v>
      </c>
      <c r="E36" s="121">
        <v>5566</v>
      </c>
      <c r="F36" s="122">
        <v>110617</v>
      </c>
      <c r="G36" s="120">
        <v>41</v>
      </c>
      <c r="H36" s="121">
        <v>426</v>
      </c>
      <c r="I36" s="121">
        <v>595</v>
      </c>
      <c r="J36" s="121">
        <v>1021</v>
      </c>
      <c r="K36" s="122">
        <v>30874</v>
      </c>
      <c r="L36" s="120">
        <v>37</v>
      </c>
      <c r="M36" s="121">
        <v>442</v>
      </c>
      <c r="N36" s="121">
        <v>393</v>
      </c>
      <c r="O36" s="121">
        <v>835</v>
      </c>
      <c r="P36" s="122">
        <v>33616</v>
      </c>
      <c r="Q36" s="120">
        <v>36</v>
      </c>
      <c r="R36" s="121">
        <v>391</v>
      </c>
      <c r="S36" s="121">
        <v>284</v>
      </c>
      <c r="T36" s="121">
        <v>675</v>
      </c>
      <c r="U36" s="122">
        <v>28073</v>
      </c>
      <c r="V36" s="120">
        <v>36</v>
      </c>
      <c r="W36" s="121">
        <v>165</v>
      </c>
      <c r="X36" s="121">
        <v>156</v>
      </c>
      <c r="Y36" s="121">
        <v>321</v>
      </c>
      <c r="Z36" s="122">
        <v>16799</v>
      </c>
      <c r="AA36" s="120">
        <v>37</v>
      </c>
      <c r="AB36" s="121">
        <v>164</v>
      </c>
      <c r="AC36" s="121">
        <v>124</v>
      </c>
      <c r="AD36" s="121">
        <v>288</v>
      </c>
      <c r="AE36" s="122">
        <v>14308</v>
      </c>
      <c r="AF36" s="120">
        <v>40</v>
      </c>
      <c r="AG36" s="121">
        <v>293</v>
      </c>
      <c r="AH36" s="121">
        <v>106</v>
      </c>
      <c r="AI36" s="121">
        <v>399</v>
      </c>
      <c r="AJ36" s="122">
        <v>5131</v>
      </c>
      <c r="AK36" s="120">
        <v>35</v>
      </c>
      <c r="AL36" s="121">
        <v>422</v>
      </c>
      <c r="AM36" s="121">
        <v>526</v>
      </c>
      <c r="AN36" s="121">
        <v>948</v>
      </c>
      <c r="AO36" s="122">
        <v>28302</v>
      </c>
      <c r="AP36" s="199">
        <v>38</v>
      </c>
      <c r="AQ36" s="121">
        <v>1223</v>
      </c>
      <c r="AR36" s="121">
        <v>1457</v>
      </c>
      <c r="AS36" s="121">
        <v>2680</v>
      </c>
      <c r="AT36" s="130">
        <v>139999</v>
      </c>
      <c r="AU36" s="120">
        <v>35</v>
      </c>
      <c r="AV36" s="121">
        <v>1036</v>
      </c>
      <c r="AW36" s="121">
        <v>336</v>
      </c>
      <c r="AX36" s="121">
        <v>1372</v>
      </c>
      <c r="AY36" s="122">
        <v>54736</v>
      </c>
      <c r="AZ36" s="120">
        <v>34</v>
      </c>
      <c r="BA36" s="121">
        <v>633</v>
      </c>
      <c r="BB36" s="121">
        <v>473</v>
      </c>
      <c r="BC36" s="121">
        <v>1106</v>
      </c>
      <c r="BD36" s="122">
        <v>43174</v>
      </c>
      <c r="BE36" s="120">
        <v>38</v>
      </c>
      <c r="BF36" s="121">
        <v>1147</v>
      </c>
      <c r="BG36" s="121">
        <v>1344</v>
      </c>
      <c r="BH36" s="121">
        <v>2491</v>
      </c>
      <c r="BI36" s="122">
        <v>112997</v>
      </c>
      <c r="BJ36" s="120">
        <v>41</v>
      </c>
      <c r="BK36" s="121">
        <v>2190</v>
      </c>
      <c r="BL36" s="121">
        <v>1741</v>
      </c>
      <c r="BM36" s="121">
        <v>3931</v>
      </c>
      <c r="BN36" s="122">
        <v>111296</v>
      </c>
      <c r="BO36" s="120">
        <v>39</v>
      </c>
      <c r="BP36" s="121">
        <v>104</v>
      </c>
      <c r="BQ36" s="121">
        <v>38</v>
      </c>
      <c r="BR36" s="121">
        <v>142</v>
      </c>
      <c r="BS36" s="122">
        <v>4751</v>
      </c>
      <c r="BT36" s="120">
        <v>41</v>
      </c>
      <c r="BU36" s="121">
        <v>188</v>
      </c>
      <c r="BV36" s="121">
        <v>133</v>
      </c>
      <c r="BW36" s="121">
        <v>321</v>
      </c>
      <c r="BX36" s="122">
        <v>4311</v>
      </c>
      <c r="BY36" s="120">
        <v>40</v>
      </c>
      <c r="BZ36" s="121">
        <v>203</v>
      </c>
      <c r="CA36" s="121">
        <v>247</v>
      </c>
      <c r="CB36" s="121">
        <v>450</v>
      </c>
      <c r="CC36" s="122">
        <v>5801</v>
      </c>
      <c r="CD36" s="120">
        <v>41</v>
      </c>
      <c r="CE36" s="121">
        <v>349</v>
      </c>
      <c r="CF36" s="121">
        <v>151</v>
      </c>
      <c r="CG36" s="121">
        <v>500</v>
      </c>
      <c r="CH36" s="122">
        <v>3920</v>
      </c>
      <c r="CI36" s="116">
        <v>40</v>
      </c>
      <c r="CJ36" s="117">
        <v>50</v>
      </c>
      <c r="CK36" s="117">
        <v>37</v>
      </c>
      <c r="CL36" s="117">
        <v>87</v>
      </c>
      <c r="CM36" s="119">
        <v>2971</v>
      </c>
      <c r="CN36" s="116">
        <v>35</v>
      </c>
      <c r="CO36" s="117">
        <v>1</v>
      </c>
      <c r="CP36" s="117">
        <v>3</v>
      </c>
      <c r="CQ36" s="117">
        <v>4</v>
      </c>
      <c r="CR36" s="119">
        <v>213</v>
      </c>
      <c r="CS36" s="116">
        <v>36</v>
      </c>
      <c r="CT36" s="117">
        <v>16</v>
      </c>
      <c r="CU36" s="117">
        <v>10</v>
      </c>
      <c r="CV36" s="117">
        <v>26</v>
      </c>
      <c r="CW36" s="119">
        <v>1210</v>
      </c>
      <c r="CX36" s="116">
        <v>41</v>
      </c>
      <c r="CY36" s="117">
        <v>7</v>
      </c>
      <c r="CZ36" s="117">
        <v>21</v>
      </c>
      <c r="DA36" s="117">
        <v>28</v>
      </c>
      <c r="DB36" s="119">
        <v>824</v>
      </c>
      <c r="DC36" s="116"/>
      <c r="DD36" s="117"/>
      <c r="DE36" s="117"/>
      <c r="DF36" s="117"/>
      <c r="DG36" s="119"/>
      <c r="DH36" s="116">
        <v>34</v>
      </c>
      <c r="DI36" s="117">
        <v>2</v>
      </c>
      <c r="DJ36" s="117">
        <v>2</v>
      </c>
      <c r="DK36" s="117">
        <v>4</v>
      </c>
      <c r="DL36" s="119">
        <v>1012</v>
      </c>
    </row>
    <row r="37" spans="2:116">
      <c r="B37" s="120">
        <v>43</v>
      </c>
      <c r="C37" s="121">
        <v>2241</v>
      </c>
      <c r="D37" s="121">
        <v>3325</v>
      </c>
      <c r="E37" s="121">
        <v>5566</v>
      </c>
      <c r="F37" s="122">
        <v>116183</v>
      </c>
      <c r="G37" s="120">
        <v>40</v>
      </c>
      <c r="H37" s="121">
        <v>740</v>
      </c>
      <c r="I37" s="121">
        <v>953</v>
      </c>
      <c r="J37" s="121">
        <v>1693</v>
      </c>
      <c r="K37" s="122">
        <v>32567</v>
      </c>
      <c r="L37" s="120">
        <v>36</v>
      </c>
      <c r="M37" s="121">
        <v>181</v>
      </c>
      <c r="N37" s="121">
        <v>187</v>
      </c>
      <c r="O37" s="121">
        <v>368</v>
      </c>
      <c r="P37" s="122">
        <v>33984</v>
      </c>
      <c r="Q37" s="120">
        <v>35</v>
      </c>
      <c r="R37" s="121">
        <v>285</v>
      </c>
      <c r="S37" s="121">
        <v>230</v>
      </c>
      <c r="T37" s="121">
        <v>515</v>
      </c>
      <c r="U37" s="122">
        <v>28588</v>
      </c>
      <c r="V37" s="120">
        <v>35</v>
      </c>
      <c r="W37" s="121">
        <v>202</v>
      </c>
      <c r="X37" s="121">
        <v>215</v>
      </c>
      <c r="Y37" s="121">
        <v>417</v>
      </c>
      <c r="Z37" s="122">
        <v>17216</v>
      </c>
      <c r="AA37" s="120">
        <v>36</v>
      </c>
      <c r="AB37" s="121">
        <v>414</v>
      </c>
      <c r="AC37" s="121">
        <v>316</v>
      </c>
      <c r="AD37" s="121">
        <v>730</v>
      </c>
      <c r="AE37" s="122">
        <v>15038</v>
      </c>
      <c r="AF37" s="120">
        <v>39</v>
      </c>
      <c r="AG37" s="121">
        <v>230</v>
      </c>
      <c r="AH37" s="121">
        <v>110</v>
      </c>
      <c r="AI37" s="121">
        <v>340</v>
      </c>
      <c r="AJ37" s="122">
        <v>5471</v>
      </c>
      <c r="AK37" s="120">
        <v>34</v>
      </c>
      <c r="AL37" s="121">
        <v>398</v>
      </c>
      <c r="AM37" s="121">
        <v>466</v>
      </c>
      <c r="AN37" s="121">
        <v>864</v>
      </c>
      <c r="AO37" s="122">
        <v>29166</v>
      </c>
      <c r="AP37" s="199">
        <v>37</v>
      </c>
      <c r="AQ37" s="121">
        <v>3052</v>
      </c>
      <c r="AR37" s="121">
        <v>2777</v>
      </c>
      <c r="AS37" s="121">
        <v>5829</v>
      </c>
      <c r="AT37" s="130">
        <v>145828</v>
      </c>
      <c r="AU37" s="120">
        <v>34</v>
      </c>
      <c r="AV37" s="121">
        <v>1285</v>
      </c>
      <c r="AW37" s="121">
        <v>418</v>
      </c>
      <c r="AX37" s="121">
        <v>1703</v>
      </c>
      <c r="AY37" s="122">
        <v>56439</v>
      </c>
      <c r="AZ37" s="120">
        <v>33</v>
      </c>
      <c r="BA37" s="121">
        <v>152</v>
      </c>
      <c r="BB37" s="121">
        <v>112</v>
      </c>
      <c r="BC37" s="121">
        <v>264</v>
      </c>
      <c r="BD37" s="122">
        <v>43438</v>
      </c>
      <c r="BE37" s="120">
        <v>37</v>
      </c>
      <c r="BF37" s="121">
        <v>1128</v>
      </c>
      <c r="BG37" s="121">
        <v>1223</v>
      </c>
      <c r="BH37" s="121">
        <v>2351</v>
      </c>
      <c r="BI37" s="122">
        <v>115348</v>
      </c>
      <c r="BJ37" s="120">
        <v>40</v>
      </c>
      <c r="BK37" s="121">
        <v>2493</v>
      </c>
      <c r="BL37" s="121">
        <v>1936</v>
      </c>
      <c r="BM37" s="121">
        <v>4429</v>
      </c>
      <c r="BN37" s="122">
        <v>115725</v>
      </c>
      <c r="BO37" s="120">
        <v>38</v>
      </c>
      <c r="BP37" s="121">
        <v>52</v>
      </c>
      <c r="BQ37" s="121">
        <v>28</v>
      </c>
      <c r="BR37" s="121">
        <v>80</v>
      </c>
      <c r="BS37" s="122">
        <v>4831</v>
      </c>
      <c r="BT37" s="120">
        <v>40</v>
      </c>
      <c r="BU37" s="121">
        <v>160</v>
      </c>
      <c r="BV37" s="121">
        <v>86</v>
      </c>
      <c r="BW37" s="121">
        <v>246</v>
      </c>
      <c r="BX37" s="122">
        <v>4557</v>
      </c>
      <c r="BY37" s="120">
        <v>39</v>
      </c>
      <c r="BZ37" s="121">
        <v>80</v>
      </c>
      <c r="CA37" s="121">
        <v>81</v>
      </c>
      <c r="CB37" s="121">
        <v>161</v>
      </c>
      <c r="CC37" s="122">
        <v>5962</v>
      </c>
      <c r="CD37" s="120">
        <v>40</v>
      </c>
      <c r="CE37" s="121">
        <v>82</v>
      </c>
      <c r="CF37" s="121">
        <v>31</v>
      </c>
      <c r="CG37" s="121">
        <v>113</v>
      </c>
      <c r="CH37" s="122">
        <v>4033</v>
      </c>
      <c r="CI37" s="116">
        <v>39</v>
      </c>
      <c r="CJ37" s="117">
        <v>78</v>
      </c>
      <c r="CK37" s="117">
        <v>62</v>
      </c>
      <c r="CL37" s="117">
        <v>140</v>
      </c>
      <c r="CM37" s="119">
        <v>3111</v>
      </c>
      <c r="CN37" s="116">
        <v>34</v>
      </c>
      <c r="CO37" s="117">
        <v>1</v>
      </c>
      <c r="CP37" s="117">
        <v>2</v>
      </c>
      <c r="CQ37" s="117">
        <v>3</v>
      </c>
      <c r="CR37" s="119">
        <v>216</v>
      </c>
      <c r="CS37" s="116">
        <v>35</v>
      </c>
      <c r="CT37" s="117">
        <v>18</v>
      </c>
      <c r="CU37" s="117">
        <v>2</v>
      </c>
      <c r="CV37" s="117">
        <v>20</v>
      </c>
      <c r="CW37" s="119">
        <v>1230</v>
      </c>
      <c r="CX37" s="116">
        <v>40</v>
      </c>
      <c r="CY37" s="117">
        <v>14</v>
      </c>
      <c r="CZ37" s="117">
        <v>30</v>
      </c>
      <c r="DA37" s="117">
        <v>44</v>
      </c>
      <c r="DB37" s="119">
        <v>868</v>
      </c>
      <c r="DC37" s="116"/>
      <c r="DD37" s="117"/>
      <c r="DE37" s="117"/>
      <c r="DF37" s="117"/>
      <c r="DG37" s="119"/>
      <c r="DH37" s="116">
        <v>33</v>
      </c>
      <c r="DI37" s="117">
        <v>4</v>
      </c>
      <c r="DJ37" s="117">
        <v>2</v>
      </c>
      <c r="DK37" s="117">
        <v>6</v>
      </c>
      <c r="DL37" s="119">
        <v>1018</v>
      </c>
    </row>
    <row r="38" spans="2:116">
      <c r="B38" s="120">
        <v>42</v>
      </c>
      <c r="C38" s="121">
        <v>2303</v>
      </c>
      <c r="D38" s="121">
        <v>3334</v>
      </c>
      <c r="E38" s="121">
        <v>5637</v>
      </c>
      <c r="F38" s="122">
        <v>121820</v>
      </c>
      <c r="G38" s="120">
        <v>39</v>
      </c>
      <c r="H38" s="121">
        <v>468</v>
      </c>
      <c r="I38" s="121">
        <v>608</v>
      </c>
      <c r="J38" s="121">
        <v>1076</v>
      </c>
      <c r="K38" s="122">
        <v>33643</v>
      </c>
      <c r="L38" s="120">
        <v>35</v>
      </c>
      <c r="M38" s="121">
        <v>347</v>
      </c>
      <c r="N38" s="121">
        <v>313</v>
      </c>
      <c r="O38" s="121">
        <v>660</v>
      </c>
      <c r="P38" s="122">
        <v>34644</v>
      </c>
      <c r="Q38" s="120">
        <v>34</v>
      </c>
      <c r="R38" s="121">
        <v>599</v>
      </c>
      <c r="S38" s="121">
        <v>455</v>
      </c>
      <c r="T38" s="121">
        <v>1054</v>
      </c>
      <c r="U38" s="122">
        <v>29642</v>
      </c>
      <c r="V38" s="120">
        <v>34</v>
      </c>
      <c r="W38" s="121">
        <v>44</v>
      </c>
      <c r="X38" s="121">
        <v>62</v>
      </c>
      <c r="Y38" s="121">
        <v>106</v>
      </c>
      <c r="Z38" s="122">
        <v>17322</v>
      </c>
      <c r="AA38" s="120">
        <v>35</v>
      </c>
      <c r="AB38" s="121">
        <v>67</v>
      </c>
      <c r="AC38" s="121">
        <v>52</v>
      </c>
      <c r="AD38" s="121">
        <v>119</v>
      </c>
      <c r="AE38" s="122">
        <v>15157</v>
      </c>
      <c r="AF38" s="120">
        <v>38</v>
      </c>
      <c r="AG38" s="121">
        <v>105</v>
      </c>
      <c r="AH38" s="121">
        <v>28</v>
      </c>
      <c r="AI38" s="121">
        <v>133</v>
      </c>
      <c r="AJ38" s="122">
        <v>5604</v>
      </c>
      <c r="AK38" s="120">
        <v>33</v>
      </c>
      <c r="AL38" s="121">
        <v>77</v>
      </c>
      <c r="AM38" s="121">
        <v>104</v>
      </c>
      <c r="AN38" s="121">
        <v>181</v>
      </c>
      <c r="AO38" s="122">
        <v>29347</v>
      </c>
      <c r="AP38" s="199">
        <v>36</v>
      </c>
      <c r="AQ38" s="121">
        <v>1168</v>
      </c>
      <c r="AR38" s="121">
        <v>1387</v>
      </c>
      <c r="AS38" s="121">
        <v>2555</v>
      </c>
      <c r="AT38" s="130">
        <v>148383</v>
      </c>
      <c r="AU38" s="120">
        <v>33</v>
      </c>
      <c r="AV38" s="121">
        <v>315</v>
      </c>
      <c r="AW38" s="121">
        <v>92</v>
      </c>
      <c r="AX38" s="121">
        <v>407</v>
      </c>
      <c r="AY38" s="122">
        <v>56846</v>
      </c>
      <c r="AZ38" s="120">
        <v>32</v>
      </c>
      <c r="BA38" s="121">
        <v>136</v>
      </c>
      <c r="BB38" s="121">
        <v>97</v>
      </c>
      <c r="BC38" s="121">
        <v>233</v>
      </c>
      <c r="BD38" s="122">
        <v>43671</v>
      </c>
      <c r="BE38" s="120">
        <v>36</v>
      </c>
      <c r="BF38" s="121">
        <v>1159</v>
      </c>
      <c r="BG38" s="121">
        <v>1184</v>
      </c>
      <c r="BH38" s="121">
        <v>2343</v>
      </c>
      <c r="BI38" s="122">
        <v>117691</v>
      </c>
      <c r="BJ38" s="120">
        <v>39</v>
      </c>
      <c r="BK38" s="121">
        <v>2505</v>
      </c>
      <c r="BL38" s="121">
        <v>2020</v>
      </c>
      <c r="BM38" s="121">
        <v>4525</v>
      </c>
      <c r="BN38" s="122">
        <v>120250</v>
      </c>
      <c r="BO38" s="120">
        <v>37</v>
      </c>
      <c r="BP38" s="121">
        <v>131</v>
      </c>
      <c r="BQ38" s="121">
        <v>34</v>
      </c>
      <c r="BR38" s="121">
        <v>165</v>
      </c>
      <c r="BS38" s="122">
        <v>4996</v>
      </c>
      <c r="BT38" s="120">
        <v>39</v>
      </c>
      <c r="BU38" s="121">
        <v>104</v>
      </c>
      <c r="BV38" s="121">
        <v>43</v>
      </c>
      <c r="BW38" s="121">
        <v>147</v>
      </c>
      <c r="BX38" s="122">
        <v>4704</v>
      </c>
      <c r="BY38" s="120">
        <v>38</v>
      </c>
      <c r="BZ38" s="121">
        <v>150</v>
      </c>
      <c r="CA38" s="121">
        <v>114</v>
      </c>
      <c r="CB38" s="121">
        <v>264</v>
      </c>
      <c r="CC38" s="122">
        <v>6226</v>
      </c>
      <c r="CD38" s="120">
        <v>39</v>
      </c>
      <c r="CE38" s="121">
        <v>87</v>
      </c>
      <c r="CF38" s="121">
        <v>38</v>
      </c>
      <c r="CG38" s="121">
        <v>125</v>
      </c>
      <c r="CH38" s="122">
        <v>4158</v>
      </c>
      <c r="CI38" s="116">
        <v>38</v>
      </c>
      <c r="CJ38" s="117">
        <v>53</v>
      </c>
      <c r="CK38" s="117">
        <v>32</v>
      </c>
      <c r="CL38" s="117">
        <v>85</v>
      </c>
      <c r="CM38" s="119">
        <v>3196</v>
      </c>
      <c r="CN38" s="116">
        <v>33</v>
      </c>
      <c r="CO38" s="117">
        <v>3</v>
      </c>
      <c r="CP38" s="117">
        <v>3</v>
      </c>
      <c r="CQ38" s="117">
        <v>6</v>
      </c>
      <c r="CR38" s="119">
        <v>222</v>
      </c>
      <c r="CS38" s="116">
        <v>34</v>
      </c>
      <c r="CT38" s="117">
        <v>36</v>
      </c>
      <c r="CU38" s="117">
        <v>7</v>
      </c>
      <c r="CV38" s="117">
        <v>43</v>
      </c>
      <c r="CW38" s="119">
        <v>1273</v>
      </c>
      <c r="CX38" s="116">
        <v>39</v>
      </c>
      <c r="CY38" s="117">
        <v>5</v>
      </c>
      <c r="CZ38" s="117">
        <v>22</v>
      </c>
      <c r="DA38" s="117">
        <v>27</v>
      </c>
      <c r="DB38" s="119">
        <v>895</v>
      </c>
      <c r="DC38" s="116"/>
      <c r="DD38" s="117"/>
      <c r="DE38" s="117"/>
      <c r="DF38" s="117"/>
      <c r="DG38" s="119"/>
      <c r="DH38" s="116">
        <v>32</v>
      </c>
      <c r="DI38" s="117">
        <v>5</v>
      </c>
      <c r="DJ38" s="117">
        <v>5</v>
      </c>
      <c r="DK38" s="117">
        <v>10</v>
      </c>
      <c r="DL38" s="119">
        <v>1028</v>
      </c>
    </row>
    <row r="39" spans="2:116">
      <c r="B39" s="120">
        <v>41</v>
      </c>
      <c r="C39" s="121">
        <v>1936</v>
      </c>
      <c r="D39" s="121">
        <v>2684</v>
      </c>
      <c r="E39" s="121">
        <v>4620</v>
      </c>
      <c r="F39" s="122">
        <v>126440</v>
      </c>
      <c r="G39" s="120">
        <v>38</v>
      </c>
      <c r="H39" s="121">
        <v>542</v>
      </c>
      <c r="I39" s="121">
        <v>602</v>
      </c>
      <c r="J39" s="121">
        <v>1144</v>
      </c>
      <c r="K39" s="122">
        <v>34787</v>
      </c>
      <c r="L39" s="120">
        <v>34</v>
      </c>
      <c r="M39" s="121">
        <v>52</v>
      </c>
      <c r="N39" s="121">
        <v>41</v>
      </c>
      <c r="O39" s="121">
        <v>93</v>
      </c>
      <c r="P39" s="122">
        <v>34737</v>
      </c>
      <c r="Q39" s="120">
        <v>33</v>
      </c>
      <c r="R39" s="121">
        <v>63</v>
      </c>
      <c r="S39" s="121">
        <v>44</v>
      </c>
      <c r="T39" s="121">
        <v>107</v>
      </c>
      <c r="U39" s="122">
        <v>29749</v>
      </c>
      <c r="V39" s="120">
        <v>33</v>
      </c>
      <c r="W39" s="121">
        <v>31</v>
      </c>
      <c r="X39" s="121">
        <v>57</v>
      </c>
      <c r="Y39" s="121">
        <v>88</v>
      </c>
      <c r="Z39" s="122">
        <v>17410</v>
      </c>
      <c r="AA39" s="120">
        <v>34</v>
      </c>
      <c r="AB39" s="121">
        <v>92</v>
      </c>
      <c r="AC39" s="121">
        <v>46</v>
      </c>
      <c r="AD39" s="121">
        <v>138</v>
      </c>
      <c r="AE39" s="122">
        <v>15295</v>
      </c>
      <c r="AF39" s="120">
        <v>37</v>
      </c>
      <c r="AG39" s="121">
        <v>110</v>
      </c>
      <c r="AH39" s="121">
        <v>42</v>
      </c>
      <c r="AI39" s="121">
        <v>152</v>
      </c>
      <c r="AJ39" s="122">
        <v>5756</v>
      </c>
      <c r="AK39" s="120">
        <v>32</v>
      </c>
      <c r="AL39" s="121">
        <v>190</v>
      </c>
      <c r="AM39" s="121">
        <v>184</v>
      </c>
      <c r="AN39" s="121">
        <v>374</v>
      </c>
      <c r="AO39" s="122">
        <v>29721</v>
      </c>
      <c r="AP39" s="199">
        <v>35</v>
      </c>
      <c r="AQ39" s="121">
        <v>1076</v>
      </c>
      <c r="AR39" s="121">
        <v>1252</v>
      </c>
      <c r="AS39" s="121">
        <v>2328</v>
      </c>
      <c r="AT39" s="130">
        <v>150711</v>
      </c>
      <c r="AU39" s="120">
        <v>32</v>
      </c>
      <c r="AV39" s="121">
        <v>430</v>
      </c>
      <c r="AW39" s="121">
        <v>139</v>
      </c>
      <c r="AX39" s="121">
        <v>569</v>
      </c>
      <c r="AY39" s="122">
        <v>57415</v>
      </c>
      <c r="AZ39" s="120">
        <v>31</v>
      </c>
      <c r="BA39" s="121">
        <v>138</v>
      </c>
      <c r="BB39" s="121">
        <v>97</v>
      </c>
      <c r="BC39" s="121">
        <v>235</v>
      </c>
      <c r="BD39" s="122">
        <v>43906</v>
      </c>
      <c r="BE39" s="120">
        <v>35</v>
      </c>
      <c r="BF39" s="121">
        <v>1097</v>
      </c>
      <c r="BG39" s="121">
        <v>1044</v>
      </c>
      <c r="BH39" s="121">
        <v>2141</v>
      </c>
      <c r="BI39" s="122">
        <v>119832</v>
      </c>
      <c r="BJ39" s="120">
        <v>38</v>
      </c>
      <c r="BK39" s="121">
        <v>1758</v>
      </c>
      <c r="BL39" s="121">
        <v>1417</v>
      </c>
      <c r="BM39" s="121">
        <v>3175</v>
      </c>
      <c r="BN39" s="122">
        <v>123425</v>
      </c>
      <c r="BO39" s="120">
        <v>36</v>
      </c>
      <c r="BP39" s="121">
        <v>38</v>
      </c>
      <c r="BQ39" s="121">
        <v>13</v>
      </c>
      <c r="BR39" s="121">
        <v>51</v>
      </c>
      <c r="BS39" s="122">
        <v>5047</v>
      </c>
      <c r="BT39" s="120">
        <v>38</v>
      </c>
      <c r="BU39" s="121">
        <v>80</v>
      </c>
      <c r="BV39" s="121">
        <v>45</v>
      </c>
      <c r="BW39" s="121">
        <v>125</v>
      </c>
      <c r="BX39" s="122">
        <v>4829</v>
      </c>
      <c r="BY39" s="120">
        <v>37</v>
      </c>
      <c r="BZ39" s="121">
        <v>104</v>
      </c>
      <c r="CA39" s="121">
        <v>86</v>
      </c>
      <c r="CB39" s="121">
        <v>190</v>
      </c>
      <c r="CC39" s="122">
        <v>6416</v>
      </c>
      <c r="CD39" s="120">
        <v>38</v>
      </c>
      <c r="CE39" s="121">
        <v>108</v>
      </c>
      <c r="CF39" s="121">
        <v>37</v>
      </c>
      <c r="CG39" s="121">
        <v>145</v>
      </c>
      <c r="CH39" s="122">
        <v>4303</v>
      </c>
      <c r="CI39" s="116">
        <v>37</v>
      </c>
      <c r="CJ39" s="117">
        <v>38</v>
      </c>
      <c r="CK39" s="117">
        <v>30</v>
      </c>
      <c r="CL39" s="117">
        <v>68</v>
      </c>
      <c r="CM39" s="119">
        <v>3264</v>
      </c>
      <c r="CN39" s="116">
        <v>32</v>
      </c>
      <c r="CO39" s="117">
        <v>7</v>
      </c>
      <c r="CP39" s="117">
        <v>1</v>
      </c>
      <c r="CQ39" s="117">
        <v>8</v>
      </c>
      <c r="CR39" s="119">
        <v>230</v>
      </c>
      <c r="CS39" s="116">
        <v>33</v>
      </c>
      <c r="CT39" s="117">
        <v>10</v>
      </c>
      <c r="CU39" s="117">
        <v>0</v>
      </c>
      <c r="CV39" s="117">
        <v>10</v>
      </c>
      <c r="CW39" s="119">
        <v>1283</v>
      </c>
      <c r="CX39" s="116">
        <v>38</v>
      </c>
      <c r="CY39" s="117">
        <v>22</v>
      </c>
      <c r="CZ39" s="117">
        <v>44</v>
      </c>
      <c r="DA39" s="117">
        <v>66</v>
      </c>
      <c r="DB39" s="119">
        <v>961</v>
      </c>
      <c r="DC39" s="116"/>
      <c r="DD39" s="117"/>
      <c r="DE39" s="117"/>
      <c r="DF39" s="117"/>
      <c r="DG39" s="119"/>
      <c r="DH39" s="116">
        <v>31</v>
      </c>
      <c r="DI39" s="117">
        <v>3</v>
      </c>
      <c r="DJ39" s="117">
        <v>0</v>
      </c>
      <c r="DK39" s="117">
        <v>3</v>
      </c>
      <c r="DL39" s="119">
        <v>1031</v>
      </c>
    </row>
    <row r="40" spans="2:116">
      <c r="B40" s="120">
        <v>40</v>
      </c>
      <c r="C40" s="121">
        <v>2068</v>
      </c>
      <c r="D40" s="121">
        <v>2824</v>
      </c>
      <c r="E40" s="121">
        <v>4892</v>
      </c>
      <c r="F40" s="122">
        <v>131332</v>
      </c>
      <c r="G40" s="120">
        <v>37</v>
      </c>
      <c r="H40" s="121">
        <v>404</v>
      </c>
      <c r="I40" s="121">
        <v>529</v>
      </c>
      <c r="J40" s="121">
        <v>933</v>
      </c>
      <c r="K40" s="122">
        <v>35720</v>
      </c>
      <c r="L40" s="120">
        <v>33</v>
      </c>
      <c r="M40" s="121">
        <v>80</v>
      </c>
      <c r="N40" s="121">
        <v>68</v>
      </c>
      <c r="O40" s="121">
        <v>148</v>
      </c>
      <c r="P40" s="122">
        <v>34885</v>
      </c>
      <c r="Q40" s="120">
        <v>32</v>
      </c>
      <c r="R40" s="121">
        <v>71</v>
      </c>
      <c r="S40" s="121">
        <v>55</v>
      </c>
      <c r="T40" s="121">
        <v>126</v>
      </c>
      <c r="U40" s="122">
        <v>29875</v>
      </c>
      <c r="V40" s="120">
        <v>32</v>
      </c>
      <c r="W40" s="121">
        <v>43</v>
      </c>
      <c r="X40" s="121">
        <v>35</v>
      </c>
      <c r="Y40" s="121">
        <v>78</v>
      </c>
      <c r="Z40" s="122">
        <v>17488</v>
      </c>
      <c r="AA40" s="120">
        <v>33</v>
      </c>
      <c r="AB40" s="121">
        <v>76</v>
      </c>
      <c r="AC40" s="121">
        <v>33</v>
      </c>
      <c r="AD40" s="121">
        <v>109</v>
      </c>
      <c r="AE40" s="122">
        <v>15404</v>
      </c>
      <c r="AF40" s="120">
        <v>36</v>
      </c>
      <c r="AG40" s="121">
        <v>52</v>
      </c>
      <c r="AH40" s="121">
        <v>25</v>
      </c>
      <c r="AI40" s="121">
        <v>77</v>
      </c>
      <c r="AJ40" s="122">
        <v>5833</v>
      </c>
      <c r="AK40" s="120">
        <v>31</v>
      </c>
      <c r="AL40" s="121">
        <v>36</v>
      </c>
      <c r="AM40" s="121">
        <v>39</v>
      </c>
      <c r="AN40" s="121">
        <v>75</v>
      </c>
      <c r="AO40" s="122">
        <v>29796</v>
      </c>
      <c r="AP40" s="199">
        <v>34</v>
      </c>
      <c r="AQ40" s="121">
        <v>1155</v>
      </c>
      <c r="AR40" s="121">
        <v>1284</v>
      </c>
      <c r="AS40" s="121">
        <v>2439</v>
      </c>
      <c r="AT40" s="130">
        <v>153150</v>
      </c>
      <c r="AU40" s="120">
        <v>31</v>
      </c>
      <c r="AV40" s="121">
        <v>275</v>
      </c>
      <c r="AW40" s="121">
        <v>83</v>
      </c>
      <c r="AX40" s="121">
        <v>358</v>
      </c>
      <c r="AY40" s="122">
        <v>57773</v>
      </c>
      <c r="AZ40" s="120">
        <v>30</v>
      </c>
      <c r="BA40" s="121">
        <v>69</v>
      </c>
      <c r="BB40" s="121">
        <v>38</v>
      </c>
      <c r="BC40" s="121">
        <v>107</v>
      </c>
      <c r="BD40" s="122">
        <v>44013</v>
      </c>
      <c r="BE40" s="120">
        <v>34</v>
      </c>
      <c r="BF40" s="121">
        <v>859</v>
      </c>
      <c r="BG40" s="121">
        <v>872</v>
      </c>
      <c r="BH40" s="121">
        <v>1731</v>
      </c>
      <c r="BI40" s="122">
        <v>121563</v>
      </c>
      <c r="BJ40" s="120">
        <v>37</v>
      </c>
      <c r="BK40" s="121">
        <v>2385</v>
      </c>
      <c r="BL40" s="121">
        <v>1772</v>
      </c>
      <c r="BM40" s="121">
        <v>4157</v>
      </c>
      <c r="BN40" s="122">
        <v>127582</v>
      </c>
      <c r="BO40" s="120">
        <v>35</v>
      </c>
      <c r="BP40" s="121">
        <v>30</v>
      </c>
      <c r="BQ40" s="121">
        <v>8</v>
      </c>
      <c r="BR40" s="121">
        <v>38</v>
      </c>
      <c r="BS40" s="122">
        <v>5085</v>
      </c>
      <c r="BT40" s="120">
        <v>37</v>
      </c>
      <c r="BU40" s="121">
        <v>154</v>
      </c>
      <c r="BV40" s="121">
        <v>78</v>
      </c>
      <c r="BW40" s="121">
        <v>232</v>
      </c>
      <c r="BX40" s="122">
        <v>5061</v>
      </c>
      <c r="BY40" s="120">
        <v>36</v>
      </c>
      <c r="BZ40" s="121">
        <v>51</v>
      </c>
      <c r="CA40" s="121">
        <v>46</v>
      </c>
      <c r="CB40" s="121">
        <v>97</v>
      </c>
      <c r="CC40" s="122">
        <v>6513</v>
      </c>
      <c r="CD40" s="120">
        <v>37</v>
      </c>
      <c r="CE40" s="121">
        <v>76</v>
      </c>
      <c r="CF40" s="121">
        <v>32</v>
      </c>
      <c r="CG40" s="121">
        <v>108</v>
      </c>
      <c r="CH40" s="122">
        <v>4411</v>
      </c>
      <c r="CI40" s="116">
        <v>36</v>
      </c>
      <c r="CJ40" s="117">
        <v>46</v>
      </c>
      <c r="CK40" s="117">
        <v>42</v>
      </c>
      <c r="CL40" s="117">
        <v>88</v>
      </c>
      <c r="CM40" s="119">
        <v>3352</v>
      </c>
      <c r="CN40" s="116">
        <v>31</v>
      </c>
      <c r="CO40" s="117">
        <v>2</v>
      </c>
      <c r="CP40" s="117">
        <v>0</v>
      </c>
      <c r="CQ40" s="117">
        <v>2</v>
      </c>
      <c r="CR40" s="119">
        <v>232</v>
      </c>
      <c r="CS40" s="116">
        <v>32</v>
      </c>
      <c r="CT40" s="117">
        <v>3</v>
      </c>
      <c r="CU40" s="117">
        <v>1</v>
      </c>
      <c r="CV40" s="117">
        <v>4</v>
      </c>
      <c r="CW40" s="119">
        <v>1287</v>
      </c>
      <c r="CX40" s="116">
        <v>37</v>
      </c>
      <c r="CY40" s="117">
        <v>9</v>
      </c>
      <c r="CZ40" s="117">
        <v>15</v>
      </c>
      <c r="DA40" s="117">
        <v>24</v>
      </c>
      <c r="DB40" s="119">
        <v>985</v>
      </c>
      <c r="DC40" s="116"/>
      <c r="DD40" s="117"/>
      <c r="DE40" s="117"/>
      <c r="DF40" s="117"/>
      <c r="DG40" s="119"/>
      <c r="DH40" s="116">
        <v>30</v>
      </c>
      <c r="DI40" s="117">
        <v>0</v>
      </c>
      <c r="DJ40" s="117">
        <v>1</v>
      </c>
      <c r="DK40" s="117">
        <v>1</v>
      </c>
      <c r="DL40" s="119">
        <v>1032</v>
      </c>
    </row>
    <row r="41" spans="2:116">
      <c r="B41" s="120">
        <v>39</v>
      </c>
      <c r="C41" s="121">
        <v>2692</v>
      </c>
      <c r="D41" s="121">
        <v>3224</v>
      </c>
      <c r="E41" s="121">
        <v>5916</v>
      </c>
      <c r="F41" s="122">
        <v>137248</v>
      </c>
      <c r="G41" s="120">
        <v>36</v>
      </c>
      <c r="H41" s="121">
        <v>1080</v>
      </c>
      <c r="I41" s="121">
        <v>1105</v>
      </c>
      <c r="J41" s="121">
        <v>2185</v>
      </c>
      <c r="K41" s="122">
        <v>37905</v>
      </c>
      <c r="L41" s="120">
        <v>32</v>
      </c>
      <c r="M41" s="121">
        <v>31</v>
      </c>
      <c r="N41" s="121">
        <v>17</v>
      </c>
      <c r="O41" s="121">
        <v>48</v>
      </c>
      <c r="P41" s="122">
        <v>34933</v>
      </c>
      <c r="Q41" s="120">
        <v>31</v>
      </c>
      <c r="R41" s="121">
        <v>51</v>
      </c>
      <c r="S41" s="121">
        <v>39</v>
      </c>
      <c r="T41" s="121">
        <v>90</v>
      </c>
      <c r="U41" s="122">
        <v>29965</v>
      </c>
      <c r="V41" s="120">
        <v>31</v>
      </c>
      <c r="W41" s="121">
        <v>14</v>
      </c>
      <c r="X41" s="121">
        <v>19</v>
      </c>
      <c r="Y41" s="121">
        <v>33</v>
      </c>
      <c r="Z41" s="122">
        <v>17521</v>
      </c>
      <c r="AA41" s="120">
        <v>32</v>
      </c>
      <c r="AB41" s="121">
        <v>22</v>
      </c>
      <c r="AC41" s="121">
        <v>11</v>
      </c>
      <c r="AD41" s="121">
        <v>33</v>
      </c>
      <c r="AE41" s="122">
        <v>15437</v>
      </c>
      <c r="AF41" s="120">
        <v>35</v>
      </c>
      <c r="AG41" s="121">
        <v>95</v>
      </c>
      <c r="AH41" s="121">
        <v>30</v>
      </c>
      <c r="AI41" s="121">
        <v>125</v>
      </c>
      <c r="AJ41" s="122">
        <v>5958</v>
      </c>
      <c r="AK41" s="120">
        <v>30</v>
      </c>
      <c r="AL41" s="121">
        <v>34</v>
      </c>
      <c r="AM41" s="121">
        <v>46</v>
      </c>
      <c r="AN41" s="121">
        <v>80</v>
      </c>
      <c r="AO41" s="122">
        <v>29876</v>
      </c>
      <c r="AP41" s="199">
        <v>33</v>
      </c>
      <c r="AQ41" s="121">
        <v>1075</v>
      </c>
      <c r="AR41" s="121">
        <v>1127</v>
      </c>
      <c r="AS41" s="121">
        <v>2202</v>
      </c>
      <c r="AT41" s="130">
        <v>155352</v>
      </c>
      <c r="AU41" s="120">
        <v>30</v>
      </c>
      <c r="AV41" s="121">
        <v>116</v>
      </c>
      <c r="AW41" s="121">
        <v>57</v>
      </c>
      <c r="AX41" s="121">
        <v>173</v>
      </c>
      <c r="AY41" s="122">
        <v>57946</v>
      </c>
      <c r="AZ41" s="120">
        <v>29</v>
      </c>
      <c r="BA41" s="121">
        <v>39</v>
      </c>
      <c r="BB41" s="121">
        <v>22</v>
      </c>
      <c r="BC41" s="121">
        <v>61</v>
      </c>
      <c r="BD41" s="122">
        <v>44074</v>
      </c>
      <c r="BE41" s="120">
        <v>33</v>
      </c>
      <c r="BF41" s="121">
        <v>1156</v>
      </c>
      <c r="BG41" s="121">
        <v>951</v>
      </c>
      <c r="BH41" s="121">
        <v>2107</v>
      </c>
      <c r="BI41" s="122">
        <v>123670</v>
      </c>
      <c r="BJ41" s="120">
        <v>36</v>
      </c>
      <c r="BK41" s="121">
        <v>5027</v>
      </c>
      <c r="BL41" s="121">
        <v>3273</v>
      </c>
      <c r="BM41" s="121">
        <v>8300</v>
      </c>
      <c r="BN41" s="122">
        <v>135882</v>
      </c>
      <c r="BO41" s="120">
        <v>34</v>
      </c>
      <c r="BP41" s="121">
        <v>28</v>
      </c>
      <c r="BQ41" s="121">
        <v>12</v>
      </c>
      <c r="BR41" s="121">
        <v>40</v>
      </c>
      <c r="BS41" s="122">
        <v>5125</v>
      </c>
      <c r="BT41" s="120">
        <v>36</v>
      </c>
      <c r="BU41" s="121">
        <v>124</v>
      </c>
      <c r="BV41" s="121">
        <v>56</v>
      </c>
      <c r="BW41" s="121">
        <v>180</v>
      </c>
      <c r="BX41" s="122">
        <v>5241</v>
      </c>
      <c r="BY41" s="120">
        <v>35</v>
      </c>
      <c r="BZ41" s="121">
        <v>133</v>
      </c>
      <c r="CA41" s="121">
        <v>77</v>
      </c>
      <c r="CB41" s="121">
        <v>210</v>
      </c>
      <c r="CC41" s="122">
        <v>6723</v>
      </c>
      <c r="CD41" s="120">
        <v>36</v>
      </c>
      <c r="CE41" s="121">
        <v>17</v>
      </c>
      <c r="CF41" s="121">
        <v>15</v>
      </c>
      <c r="CG41" s="121">
        <v>32</v>
      </c>
      <c r="CH41" s="122">
        <v>4443</v>
      </c>
      <c r="CI41" s="116">
        <v>35</v>
      </c>
      <c r="CJ41" s="117">
        <v>19</v>
      </c>
      <c r="CK41" s="117">
        <v>18</v>
      </c>
      <c r="CL41" s="117">
        <v>37</v>
      </c>
      <c r="CM41" s="119">
        <v>3389</v>
      </c>
      <c r="CN41" s="116">
        <v>29</v>
      </c>
      <c r="CO41" s="117">
        <v>1</v>
      </c>
      <c r="CP41" s="117">
        <v>0</v>
      </c>
      <c r="CQ41" s="117">
        <v>1</v>
      </c>
      <c r="CR41" s="119">
        <v>233</v>
      </c>
      <c r="CS41" s="116">
        <v>30</v>
      </c>
      <c r="CT41" s="117">
        <v>3</v>
      </c>
      <c r="CU41" s="117">
        <v>0</v>
      </c>
      <c r="CV41" s="117">
        <v>3</v>
      </c>
      <c r="CW41" s="119">
        <v>1290</v>
      </c>
      <c r="CX41" s="116">
        <v>36</v>
      </c>
      <c r="CY41" s="117">
        <v>6</v>
      </c>
      <c r="CZ41" s="117">
        <v>12</v>
      </c>
      <c r="DA41" s="117">
        <v>18</v>
      </c>
      <c r="DB41" s="119">
        <v>1003</v>
      </c>
      <c r="DC41" s="116"/>
      <c r="DD41" s="117"/>
      <c r="DE41" s="117"/>
      <c r="DF41" s="117"/>
      <c r="DG41" s="119"/>
      <c r="DH41" s="116">
        <v>29</v>
      </c>
      <c r="DI41" s="117">
        <v>1</v>
      </c>
      <c r="DJ41" s="117">
        <v>1</v>
      </c>
      <c r="DK41" s="117">
        <v>2</v>
      </c>
      <c r="DL41" s="119">
        <v>1034</v>
      </c>
    </row>
    <row r="42" spans="2:116">
      <c r="B42" s="120">
        <v>38</v>
      </c>
      <c r="C42" s="121">
        <v>1497</v>
      </c>
      <c r="D42" s="121">
        <v>2110</v>
      </c>
      <c r="E42" s="121">
        <v>3607</v>
      </c>
      <c r="F42" s="122">
        <v>140855</v>
      </c>
      <c r="G42" s="120">
        <v>35</v>
      </c>
      <c r="H42" s="121">
        <v>341</v>
      </c>
      <c r="I42" s="121">
        <v>370</v>
      </c>
      <c r="J42" s="121">
        <v>711</v>
      </c>
      <c r="K42" s="122">
        <v>38616</v>
      </c>
      <c r="L42" s="120"/>
      <c r="M42" s="121"/>
      <c r="N42" s="121"/>
      <c r="O42" s="121"/>
      <c r="P42" s="122"/>
      <c r="Q42" s="120">
        <v>30</v>
      </c>
      <c r="R42" s="121">
        <v>26</v>
      </c>
      <c r="S42" s="121">
        <v>11</v>
      </c>
      <c r="T42" s="121">
        <v>37</v>
      </c>
      <c r="U42" s="122">
        <v>30002</v>
      </c>
      <c r="V42" s="120"/>
      <c r="W42" s="121"/>
      <c r="X42" s="121"/>
      <c r="Y42" s="121"/>
      <c r="Z42" s="122"/>
      <c r="AA42" s="120">
        <v>30</v>
      </c>
      <c r="AB42" s="121">
        <v>13</v>
      </c>
      <c r="AC42" s="121">
        <v>7</v>
      </c>
      <c r="AD42" s="121">
        <v>20</v>
      </c>
      <c r="AE42" s="122">
        <v>15457</v>
      </c>
      <c r="AF42" s="120">
        <v>34</v>
      </c>
      <c r="AG42" s="121">
        <v>23</v>
      </c>
      <c r="AH42" s="121">
        <v>8</v>
      </c>
      <c r="AI42" s="121">
        <v>31</v>
      </c>
      <c r="AJ42" s="122">
        <v>5989</v>
      </c>
      <c r="AK42" s="120">
        <v>29</v>
      </c>
      <c r="AL42" s="121">
        <v>22</v>
      </c>
      <c r="AM42" s="121">
        <v>17</v>
      </c>
      <c r="AN42" s="121">
        <v>39</v>
      </c>
      <c r="AO42" s="122">
        <v>29915</v>
      </c>
      <c r="AP42" s="199">
        <v>32</v>
      </c>
      <c r="AQ42" s="121">
        <v>2768</v>
      </c>
      <c r="AR42" s="121">
        <v>2903</v>
      </c>
      <c r="AS42" s="121">
        <v>5671</v>
      </c>
      <c r="AT42" s="130">
        <v>161023</v>
      </c>
      <c r="AU42" s="120">
        <v>28</v>
      </c>
      <c r="AV42" s="121">
        <v>81</v>
      </c>
      <c r="AW42" s="121">
        <v>22</v>
      </c>
      <c r="AX42" s="121">
        <v>103</v>
      </c>
      <c r="AY42" s="122">
        <v>58049</v>
      </c>
      <c r="AZ42" s="120"/>
      <c r="BA42" s="121"/>
      <c r="BB42" s="121"/>
      <c r="BC42" s="121"/>
      <c r="BD42" s="122"/>
      <c r="BE42" s="120">
        <v>32</v>
      </c>
      <c r="BF42" s="121">
        <v>641</v>
      </c>
      <c r="BG42" s="121">
        <v>561</v>
      </c>
      <c r="BH42" s="121">
        <v>1202</v>
      </c>
      <c r="BI42" s="122">
        <v>124872</v>
      </c>
      <c r="BJ42" s="120">
        <v>35</v>
      </c>
      <c r="BK42" s="121">
        <v>1502</v>
      </c>
      <c r="BL42" s="121">
        <v>1118</v>
      </c>
      <c r="BM42" s="121">
        <v>2620</v>
      </c>
      <c r="BN42" s="122">
        <v>138502</v>
      </c>
      <c r="BO42" s="120">
        <v>32</v>
      </c>
      <c r="BP42" s="121">
        <v>13</v>
      </c>
      <c r="BQ42" s="121">
        <v>10</v>
      </c>
      <c r="BR42" s="121">
        <v>23</v>
      </c>
      <c r="BS42" s="122">
        <v>5148</v>
      </c>
      <c r="BT42" s="120">
        <v>35</v>
      </c>
      <c r="BU42" s="121">
        <v>37</v>
      </c>
      <c r="BV42" s="121">
        <v>16</v>
      </c>
      <c r="BW42" s="121">
        <v>53</v>
      </c>
      <c r="BX42" s="122">
        <v>5294</v>
      </c>
      <c r="BY42" s="120">
        <v>34</v>
      </c>
      <c r="BZ42" s="121">
        <v>56</v>
      </c>
      <c r="CA42" s="121">
        <v>41</v>
      </c>
      <c r="CB42" s="121">
        <v>97</v>
      </c>
      <c r="CC42" s="122">
        <v>6820</v>
      </c>
      <c r="CD42" s="120">
        <v>35</v>
      </c>
      <c r="CE42" s="121">
        <v>14</v>
      </c>
      <c r="CF42" s="121">
        <v>8</v>
      </c>
      <c r="CG42" s="121">
        <v>22</v>
      </c>
      <c r="CH42" s="122">
        <v>4465</v>
      </c>
      <c r="CI42" s="116">
        <v>34</v>
      </c>
      <c r="CJ42" s="117">
        <v>41</v>
      </c>
      <c r="CK42" s="117">
        <v>29</v>
      </c>
      <c r="CL42" s="117">
        <v>70</v>
      </c>
      <c r="CM42" s="119">
        <v>3459</v>
      </c>
      <c r="CN42" s="116">
        <v>22</v>
      </c>
      <c r="CO42" s="117">
        <v>0</v>
      </c>
      <c r="CP42" s="117">
        <v>1</v>
      </c>
      <c r="CQ42" s="117">
        <v>1</v>
      </c>
      <c r="CR42" s="119">
        <v>234</v>
      </c>
      <c r="CS42" s="116">
        <v>29</v>
      </c>
      <c r="CT42" s="117">
        <v>3</v>
      </c>
      <c r="CU42" s="117">
        <v>1</v>
      </c>
      <c r="CV42" s="117">
        <v>4</v>
      </c>
      <c r="CW42" s="119">
        <v>1294</v>
      </c>
      <c r="CX42" s="116">
        <v>35</v>
      </c>
      <c r="CY42" s="117">
        <v>7</v>
      </c>
      <c r="CZ42" s="117">
        <v>14</v>
      </c>
      <c r="DA42" s="117">
        <v>21</v>
      </c>
      <c r="DB42" s="119">
        <v>1024</v>
      </c>
      <c r="DC42" s="6"/>
      <c r="DD42" s="1"/>
      <c r="DE42" s="1"/>
      <c r="DF42" s="7"/>
      <c r="DH42" s="6"/>
      <c r="DI42" s="1"/>
      <c r="DJ42" s="1"/>
      <c r="DK42" s="7"/>
    </row>
    <row r="43" spans="2:116">
      <c r="B43" s="120">
        <v>37</v>
      </c>
      <c r="C43" s="121">
        <v>2865</v>
      </c>
      <c r="D43" s="121">
        <v>3043</v>
      </c>
      <c r="E43" s="121">
        <v>5908</v>
      </c>
      <c r="F43" s="122">
        <v>146763</v>
      </c>
      <c r="G43" s="120">
        <v>34</v>
      </c>
      <c r="H43" s="121">
        <v>208</v>
      </c>
      <c r="I43" s="121">
        <v>198</v>
      </c>
      <c r="J43" s="121">
        <v>406</v>
      </c>
      <c r="K43" s="122">
        <v>39022</v>
      </c>
      <c r="L43" s="120"/>
      <c r="M43" s="121"/>
      <c r="N43" s="121"/>
      <c r="O43" s="121"/>
      <c r="P43" s="122"/>
      <c r="Q43" s="120"/>
      <c r="R43" s="121"/>
      <c r="S43" s="121"/>
      <c r="T43" s="121"/>
      <c r="U43" s="122"/>
      <c r="V43" s="120"/>
      <c r="W43" s="121"/>
      <c r="X43" s="121"/>
      <c r="Y43" s="121"/>
      <c r="Z43" s="122"/>
      <c r="AA43" s="120"/>
      <c r="AB43" s="121"/>
      <c r="AC43" s="121"/>
      <c r="AD43" s="121"/>
      <c r="AE43" s="122"/>
      <c r="AF43" s="120">
        <v>33</v>
      </c>
      <c r="AG43" s="121">
        <v>25</v>
      </c>
      <c r="AH43" s="121">
        <v>5</v>
      </c>
      <c r="AI43" s="121">
        <v>30</v>
      </c>
      <c r="AJ43" s="122">
        <v>6019</v>
      </c>
      <c r="AK43" s="120"/>
      <c r="AL43" s="121"/>
      <c r="AM43" s="121"/>
      <c r="AN43" s="121"/>
      <c r="AO43" s="122"/>
      <c r="AP43" s="199">
        <v>31</v>
      </c>
      <c r="AQ43" s="121">
        <v>454</v>
      </c>
      <c r="AR43" s="121">
        <v>495</v>
      </c>
      <c r="AS43" s="121">
        <v>949</v>
      </c>
      <c r="AT43" s="130">
        <v>161972</v>
      </c>
      <c r="AU43" s="120"/>
      <c r="AV43" s="121"/>
      <c r="AW43" s="121"/>
      <c r="AX43" s="121"/>
      <c r="AY43" s="122"/>
      <c r="AZ43" s="120"/>
      <c r="BA43" s="121"/>
      <c r="BB43" s="121"/>
      <c r="BC43" s="121"/>
      <c r="BD43" s="122"/>
      <c r="BE43" s="120">
        <v>31</v>
      </c>
      <c r="BF43" s="121">
        <v>752</v>
      </c>
      <c r="BG43" s="121">
        <v>713</v>
      </c>
      <c r="BH43" s="121">
        <v>1465</v>
      </c>
      <c r="BI43" s="122">
        <v>126337</v>
      </c>
      <c r="BJ43" s="120">
        <v>34</v>
      </c>
      <c r="BK43" s="121">
        <v>630</v>
      </c>
      <c r="BL43" s="121">
        <v>407</v>
      </c>
      <c r="BM43" s="121">
        <v>1037</v>
      </c>
      <c r="BN43" s="122">
        <v>139539</v>
      </c>
      <c r="BO43" s="120"/>
      <c r="BP43" s="121"/>
      <c r="BQ43" s="121"/>
      <c r="BR43" s="121"/>
      <c r="BS43" s="122"/>
      <c r="BT43" s="120">
        <v>34</v>
      </c>
      <c r="BU43" s="121">
        <v>16</v>
      </c>
      <c r="BV43" s="121">
        <v>4</v>
      </c>
      <c r="BW43" s="121">
        <v>20</v>
      </c>
      <c r="BX43" s="122">
        <v>5314</v>
      </c>
      <c r="BY43" s="120">
        <v>33</v>
      </c>
      <c r="BZ43" s="121">
        <v>22</v>
      </c>
      <c r="CA43" s="121">
        <v>26</v>
      </c>
      <c r="CB43" s="121">
        <v>48</v>
      </c>
      <c r="CC43" s="122">
        <v>6868</v>
      </c>
      <c r="CD43" s="120">
        <v>34</v>
      </c>
      <c r="CE43" s="121">
        <v>18</v>
      </c>
      <c r="CF43" s="121">
        <v>9</v>
      </c>
      <c r="CG43" s="121">
        <v>27</v>
      </c>
      <c r="CH43" s="122">
        <v>4492</v>
      </c>
      <c r="CI43" s="116">
        <v>33</v>
      </c>
      <c r="CJ43" s="117">
        <v>11</v>
      </c>
      <c r="CK43" s="117">
        <v>7</v>
      </c>
      <c r="CL43" s="117">
        <v>18</v>
      </c>
      <c r="CM43" s="119">
        <v>3477</v>
      </c>
      <c r="CN43" s="116"/>
      <c r="CO43" s="117"/>
      <c r="CP43" s="117"/>
      <c r="CQ43" s="117"/>
      <c r="CR43" s="119"/>
      <c r="CS43" s="116"/>
      <c r="CT43" s="117"/>
      <c r="CU43" s="117"/>
      <c r="CV43" s="117"/>
      <c r="CW43" s="119"/>
      <c r="CX43" s="116">
        <v>34</v>
      </c>
      <c r="CY43" s="117">
        <v>3</v>
      </c>
      <c r="CZ43" s="117">
        <v>11</v>
      </c>
      <c r="DA43" s="117">
        <v>14</v>
      </c>
      <c r="DB43" s="119">
        <v>1038</v>
      </c>
      <c r="DC43" s="6"/>
      <c r="DD43" s="1"/>
      <c r="DE43" s="1"/>
      <c r="DF43" s="7"/>
      <c r="DH43" s="6"/>
      <c r="DI43" s="1"/>
      <c r="DJ43" s="1"/>
      <c r="DK43" s="7"/>
    </row>
    <row r="44" spans="2:116">
      <c r="B44" s="120">
        <v>36</v>
      </c>
      <c r="C44" s="121">
        <v>1176</v>
      </c>
      <c r="D44" s="121">
        <v>1502</v>
      </c>
      <c r="E44" s="121">
        <v>2678</v>
      </c>
      <c r="F44" s="122">
        <v>149441</v>
      </c>
      <c r="G44" s="120">
        <v>33</v>
      </c>
      <c r="H44" s="121">
        <v>175</v>
      </c>
      <c r="I44" s="121">
        <v>147</v>
      </c>
      <c r="J44" s="121">
        <v>322</v>
      </c>
      <c r="K44" s="122">
        <v>39344</v>
      </c>
      <c r="L44" s="120"/>
      <c r="M44" s="121"/>
      <c r="N44" s="121"/>
      <c r="O44" s="121"/>
      <c r="P44" s="122"/>
      <c r="Q44" s="120"/>
      <c r="R44" s="121"/>
      <c r="S44" s="121"/>
      <c r="T44" s="121"/>
      <c r="U44" s="122"/>
      <c r="V44" s="120"/>
      <c r="W44" s="121"/>
      <c r="X44" s="121"/>
      <c r="Y44" s="121"/>
      <c r="Z44" s="122"/>
      <c r="AA44" s="120"/>
      <c r="AB44" s="121"/>
      <c r="AC44" s="121"/>
      <c r="AD44" s="121"/>
      <c r="AE44" s="122"/>
      <c r="AF44" s="120">
        <v>31</v>
      </c>
      <c r="AG44" s="121">
        <v>7</v>
      </c>
      <c r="AH44" s="121">
        <v>4</v>
      </c>
      <c r="AI44" s="121">
        <v>11</v>
      </c>
      <c r="AJ44" s="122">
        <v>6030</v>
      </c>
      <c r="AK44" s="120"/>
      <c r="AL44" s="121"/>
      <c r="AM44" s="121"/>
      <c r="AN44" s="121"/>
      <c r="AO44" s="122"/>
      <c r="AP44" s="199">
        <v>30</v>
      </c>
      <c r="AQ44" s="121">
        <v>506</v>
      </c>
      <c r="AR44" s="121">
        <v>520</v>
      </c>
      <c r="AS44" s="121">
        <v>1026</v>
      </c>
      <c r="AT44" s="130">
        <v>162998</v>
      </c>
      <c r="AU44" s="120"/>
      <c r="AV44" s="121"/>
      <c r="AW44" s="121"/>
      <c r="AX44" s="121"/>
      <c r="AY44" s="122"/>
      <c r="AZ44" s="120"/>
      <c r="BA44" s="121"/>
      <c r="BB44" s="121"/>
      <c r="BC44" s="121"/>
      <c r="BD44" s="122"/>
      <c r="BE44" s="120">
        <v>30</v>
      </c>
      <c r="BF44" s="121">
        <v>506</v>
      </c>
      <c r="BG44" s="121">
        <v>422</v>
      </c>
      <c r="BH44" s="121">
        <v>928</v>
      </c>
      <c r="BI44" s="122">
        <v>127265</v>
      </c>
      <c r="BJ44" s="120">
        <v>33</v>
      </c>
      <c r="BK44" s="121">
        <v>908</v>
      </c>
      <c r="BL44" s="121">
        <v>571</v>
      </c>
      <c r="BM44" s="121">
        <v>1479</v>
      </c>
      <c r="BN44" s="122">
        <v>141018</v>
      </c>
      <c r="BO44" s="120"/>
      <c r="BP44" s="121"/>
      <c r="BQ44" s="121"/>
      <c r="BR44" s="121"/>
      <c r="BS44" s="122"/>
      <c r="BT44" s="120">
        <v>33</v>
      </c>
      <c r="BU44" s="121">
        <v>22</v>
      </c>
      <c r="BV44" s="121">
        <v>8</v>
      </c>
      <c r="BW44" s="121">
        <v>30</v>
      </c>
      <c r="BX44" s="122">
        <v>5344</v>
      </c>
      <c r="BY44" s="120">
        <v>32</v>
      </c>
      <c r="BZ44" s="121">
        <v>7</v>
      </c>
      <c r="CA44" s="121">
        <v>2</v>
      </c>
      <c r="CB44" s="121">
        <v>9</v>
      </c>
      <c r="CC44" s="122">
        <v>6877</v>
      </c>
      <c r="CD44" s="120">
        <v>33</v>
      </c>
      <c r="CE44" s="121">
        <v>11</v>
      </c>
      <c r="CF44" s="121">
        <v>5</v>
      </c>
      <c r="CG44" s="121">
        <v>16</v>
      </c>
      <c r="CH44" s="122">
        <v>4508</v>
      </c>
      <c r="CI44" s="116">
        <v>32</v>
      </c>
      <c r="CJ44" s="117">
        <v>8</v>
      </c>
      <c r="CK44" s="117">
        <v>4</v>
      </c>
      <c r="CL44" s="117">
        <v>12</v>
      </c>
      <c r="CM44" s="119">
        <v>3489</v>
      </c>
      <c r="CN44" s="116"/>
      <c r="CO44" s="117"/>
      <c r="CP44" s="117"/>
      <c r="CQ44" s="117"/>
      <c r="CR44" s="119"/>
      <c r="CS44" s="116"/>
      <c r="CT44" s="117"/>
      <c r="CU44" s="117"/>
      <c r="CV44" s="117"/>
      <c r="CW44" s="119"/>
      <c r="CX44" s="116">
        <v>33</v>
      </c>
      <c r="CY44" s="117">
        <v>4</v>
      </c>
      <c r="CZ44" s="117">
        <v>2</v>
      </c>
      <c r="DA44" s="117">
        <v>6</v>
      </c>
      <c r="DB44" s="119">
        <v>1044</v>
      </c>
      <c r="DC44" s="6"/>
      <c r="DD44" s="1"/>
      <c r="DE44" s="1"/>
      <c r="DF44" s="7"/>
      <c r="DH44" s="6"/>
      <c r="DI44" s="1"/>
      <c r="DJ44" s="1"/>
      <c r="DK44" s="7"/>
    </row>
    <row r="45" spans="2:116">
      <c r="B45" s="120">
        <v>35</v>
      </c>
      <c r="C45" s="121">
        <v>934</v>
      </c>
      <c r="D45" s="121">
        <v>1201</v>
      </c>
      <c r="E45" s="121">
        <v>2135</v>
      </c>
      <c r="F45" s="122">
        <v>151576</v>
      </c>
      <c r="G45" s="120">
        <v>32</v>
      </c>
      <c r="H45" s="121">
        <v>93</v>
      </c>
      <c r="I45" s="121">
        <v>98</v>
      </c>
      <c r="J45" s="121">
        <v>191</v>
      </c>
      <c r="K45" s="122">
        <v>39535</v>
      </c>
      <c r="L45" s="120"/>
      <c r="M45" s="121"/>
      <c r="N45" s="121"/>
      <c r="O45" s="121"/>
      <c r="P45" s="122"/>
      <c r="Q45" s="120"/>
      <c r="R45" s="121"/>
      <c r="S45" s="121"/>
      <c r="T45" s="121"/>
      <c r="U45" s="122"/>
      <c r="V45" s="6"/>
      <c r="W45" s="1"/>
      <c r="X45" s="1"/>
      <c r="Y45" s="7"/>
      <c r="AA45" s="6"/>
      <c r="AB45" s="1"/>
      <c r="AC45" s="1"/>
      <c r="AD45" s="7"/>
      <c r="AE45" s="19"/>
      <c r="AF45" s="6"/>
      <c r="AG45" s="1"/>
      <c r="AH45" s="1"/>
      <c r="AI45" s="7"/>
      <c r="AK45" s="6"/>
      <c r="AL45" s="1"/>
      <c r="AM45" s="1"/>
      <c r="AN45" s="7"/>
      <c r="AP45" s="199">
        <v>29</v>
      </c>
      <c r="AQ45" s="121">
        <v>233</v>
      </c>
      <c r="AR45" s="121">
        <v>282</v>
      </c>
      <c r="AS45" s="121">
        <v>515</v>
      </c>
      <c r="AT45" s="130">
        <v>163513</v>
      </c>
      <c r="AU45" s="120"/>
      <c r="AV45" s="121"/>
      <c r="AW45" s="121"/>
      <c r="AX45" s="121"/>
      <c r="AY45" s="122"/>
      <c r="AZ45" s="120"/>
      <c r="BA45" s="121"/>
      <c r="BB45" s="121"/>
      <c r="BC45" s="121"/>
      <c r="BD45" s="122"/>
      <c r="BE45" s="120">
        <v>29</v>
      </c>
      <c r="BF45" s="121">
        <v>382</v>
      </c>
      <c r="BG45" s="121">
        <v>341</v>
      </c>
      <c r="BH45" s="121">
        <v>723</v>
      </c>
      <c r="BI45" s="122">
        <v>127988</v>
      </c>
      <c r="BJ45" s="120">
        <v>32</v>
      </c>
      <c r="BK45" s="121">
        <v>414</v>
      </c>
      <c r="BL45" s="121">
        <v>301</v>
      </c>
      <c r="BM45" s="121">
        <v>715</v>
      </c>
      <c r="BN45" s="122">
        <v>141733</v>
      </c>
      <c r="BO45" s="120"/>
      <c r="BP45" s="121"/>
      <c r="BQ45" s="121"/>
      <c r="BR45" s="121"/>
      <c r="BS45" s="122"/>
      <c r="BT45" s="120">
        <v>31</v>
      </c>
      <c r="BU45" s="121">
        <v>10</v>
      </c>
      <c r="BV45" s="121">
        <v>6</v>
      </c>
      <c r="BW45" s="121">
        <v>16</v>
      </c>
      <c r="BX45" s="122">
        <v>5360</v>
      </c>
      <c r="BY45" s="120">
        <v>31</v>
      </c>
      <c r="BZ45" s="121">
        <v>13</v>
      </c>
      <c r="CA45" s="121">
        <v>9</v>
      </c>
      <c r="CB45" s="121">
        <v>22</v>
      </c>
      <c r="CC45" s="122">
        <v>6899</v>
      </c>
      <c r="CD45" s="120"/>
      <c r="CE45" s="121"/>
      <c r="CF45" s="121"/>
      <c r="CG45" s="121"/>
      <c r="CH45" s="122"/>
      <c r="CI45" s="116">
        <v>31</v>
      </c>
      <c r="CJ45" s="117">
        <v>4</v>
      </c>
      <c r="CK45" s="117">
        <v>7</v>
      </c>
      <c r="CL45" s="117">
        <v>11</v>
      </c>
      <c r="CM45" s="119">
        <v>3500</v>
      </c>
      <c r="CN45" s="116"/>
      <c r="CO45" s="117"/>
      <c r="CP45" s="117"/>
      <c r="CQ45" s="117"/>
      <c r="CR45" s="119"/>
      <c r="CS45" s="116"/>
      <c r="CT45" s="117"/>
      <c r="CU45" s="117"/>
      <c r="CV45" s="117"/>
      <c r="CW45" s="119"/>
      <c r="CX45" s="116">
        <v>32</v>
      </c>
      <c r="CY45" s="117">
        <v>1</v>
      </c>
      <c r="CZ45" s="117">
        <v>3</v>
      </c>
      <c r="DA45" s="117">
        <v>4</v>
      </c>
      <c r="DB45" s="119">
        <v>1048</v>
      </c>
      <c r="DC45" s="6"/>
      <c r="DD45" s="1"/>
      <c r="DE45" s="1"/>
      <c r="DF45" s="7"/>
      <c r="DH45" s="6"/>
      <c r="DI45" s="1"/>
      <c r="DJ45" s="1"/>
      <c r="DK45" s="7"/>
    </row>
    <row r="46" spans="2:116">
      <c r="B46" s="116">
        <v>34</v>
      </c>
      <c r="C46" s="117">
        <v>937</v>
      </c>
      <c r="D46" s="117">
        <v>1060</v>
      </c>
      <c r="E46" s="117">
        <v>1997</v>
      </c>
      <c r="F46" s="118">
        <v>153573</v>
      </c>
      <c r="G46" s="200">
        <v>31</v>
      </c>
      <c r="H46" s="112">
        <v>42</v>
      </c>
      <c r="I46" s="112">
        <v>48</v>
      </c>
      <c r="J46" s="112">
        <v>90</v>
      </c>
      <c r="K46" s="114">
        <v>39625</v>
      </c>
      <c r="L46" s="116"/>
      <c r="M46" s="117"/>
      <c r="N46" s="117"/>
      <c r="O46" s="117"/>
      <c r="P46" s="119"/>
      <c r="Q46" s="116"/>
      <c r="R46" s="117"/>
      <c r="S46" s="117"/>
      <c r="T46" s="117"/>
      <c r="U46" s="119"/>
      <c r="V46" s="6"/>
      <c r="W46" s="1"/>
      <c r="X46" s="1"/>
      <c r="Y46" s="7"/>
      <c r="AA46" s="6"/>
      <c r="AB46" s="1"/>
      <c r="AC46" s="1"/>
      <c r="AD46" s="7"/>
      <c r="AE46" s="20"/>
      <c r="AF46" s="6"/>
      <c r="AG46" s="1"/>
      <c r="AH46" s="1"/>
      <c r="AI46" s="7"/>
      <c r="AK46" s="6"/>
      <c r="AL46" s="1"/>
      <c r="AM46" s="1"/>
      <c r="AN46" s="7"/>
      <c r="AP46" s="199">
        <v>28</v>
      </c>
      <c r="AQ46" s="121">
        <v>157</v>
      </c>
      <c r="AR46" s="121">
        <v>183</v>
      </c>
      <c r="AS46" s="121">
        <v>340</v>
      </c>
      <c r="AT46" s="130">
        <v>163853</v>
      </c>
      <c r="AU46" s="120"/>
      <c r="AV46" s="121"/>
      <c r="AW46" s="121"/>
      <c r="AX46" s="121"/>
      <c r="AY46" s="122"/>
      <c r="AZ46" s="120"/>
      <c r="BA46" s="121"/>
      <c r="BB46" s="121"/>
      <c r="BC46" s="121"/>
      <c r="BD46" s="122"/>
      <c r="BE46" s="120">
        <v>28</v>
      </c>
      <c r="BF46" s="121">
        <v>613</v>
      </c>
      <c r="BG46" s="121">
        <v>408</v>
      </c>
      <c r="BH46" s="121">
        <v>1021</v>
      </c>
      <c r="BI46" s="122">
        <v>129009</v>
      </c>
      <c r="BJ46" s="120">
        <v>31</v>
      </c>
      <c r="BK46" s="121">
        <v>220</v>
      </c>
      <c r="BL46" s="121">
        <v>101</v>
      </c>
      <c r="BM46" s="121">
        <v>321</v>
      </c>
      <c r="BN46" s="122">
        <v>142054</v>
      </c>
      <c r="BO46" s="120"/>
      <c r="BP46" s="121"/>
      <c r="BQ46" s="121"/>
      <c r="BR46" s="121"/>
      <c r="BS46" s="122"/>
      <c r="BT46" s="120"/>
      <c r="BU46" s="121"/>
      <c r="BV46" s="121"/>
      <c r="BW46" s="121"/>
      <c r="BX46" s="122"/>
      <c r="BY46" s="120">
        <v>29</v>
      </c>
      <c r="BZ46" s="121">
        <v>6</v>
      </c>
      <c r="CA46" s="121">
        <v>4</v>
      </c>
      <c r="CB46" s="121">
        <v>10</v>
      </c>
      <c r="CC46" s="122">
        <v>6909</v>
      </c>
      <c r="CD46" s="120"/>
      <c r="CE46" s="121"/>
      <c r="CF46" s="121"/>
      <c r="CG46" s="121"/>
      <c r="CH46" s="122"/>
      <c r="CI46" s="116">
        <v>30</v>
      </c>
      <c r="CJ46" s="117">
        <v>4</v>
      </c>
      <c r="CK46" s="117">
        <v>1</v>
      </c>
      <c r="CL46" s="117">
        <v>5</v>
      </c>
      <c r="CM46" s="119">
        <v>3505</v>
      </c>
      <c r="CN46" s="116"/>
      <c r="CO46" s="117"/>
      <c r="CP46" s="117"/>
      <c r="CQ46" s="117"/>
      <c r="CR46" s="119"/>
      <c r="CS46" s="116"/>
      <c r="CT46" s="117"/>
      <c r="CU46" s="117"/>
      <c r="CV46" s="117"/>
      <c r="CW46" s="119"/>
      <c r="CX46" s="116">
        <v>31</v>
      </c>
      <c r="CY46" s="117">
        <v>1</v>
      </c>
      <c r="CZ46" s="117">
        <v>0</v>
      </c>
      <c r="DA46" s="117">
        <v>1</v>
      </c>
      <c r="DB46" s="119">
        <v>1049</v>
      </c>
      <c r="DC46" s="6"/>
      <c r="DD46" s="1"/>
      <c r="DE46" s="1"/>
      <c r="DF46" s="7"/>
      <c r="DH46" s="6"/>
      <c r="DI46" s="1"/>
      <c r="DJ46" s="1"/>
      <c r="DK46" s="7"/>
    </row>
    <row r="47" spans="2:116">
      <c r="B47" s="116">
        <v>33</v>
      </c>
      <c r="C47" s="117">
        <v>844</v>
      </c>
      <c r="D47" s="117">
        <v>1020</v>
      </c>
      <c r="E47" s="117">
        <v>1864</v>
      </c>
      <c r="F47" s="118">
        <v>155437</v>
      </c>
      <c r="G47" s="200">
        <v>30</v>
      </c>
      <c r="H47" s="112">
        <v>47</v>
      </c>
      <c r="I47" s="112">
        <v>55</v>
      </c>
      <c r="J47" s="112">
        <v>102</v>
      </c>
      <c r="K47" s="114">
        <v>39727</v>
      </c>
      <c r="L47" s="116"/>
      <c r="M47" s="117"/>
      <c r="N47" s="117"/>
      <c r="O47" s="117"/>
      <c r="P47" s="119"/>
      <c r="Q47" s="116"/>
      <c r="R47" s="117"/>
      <c r="S47" s="117"/>
      <c r="T47" s="117"/>
      <c r="U47" s="119"/>
      <c r="V47" s="6"/>
      <c r="W47" s="1"/>
      <c r="X47" s="1"/>
      <c r="Y47" s="7"/>
      <c r="AA47" s="6"/>
      <c r="AB47" s="1"/>
      <c r="AC47" s="1"/>
      <c r="AD47" s="7"/>
      <c r="AF47" s="6"/>
      <c r="AG47" s="1"/>
      <c r="AH47" s="1"/>
      <c r="AI47" s="7"/>
      <c r="AK47" s="6"/>
      <c r="AL47" s="1"/>
      <c r="AM47" s="1"/>
      <c r="AN47" s="7"/>
      <c r="AP47" s="199">
        <v>27</v>
      </c>
      <c r="AQ47" s="121">
        <v>178</v>
      </c>
      <c r="AR47" s="121">
        <v>210</v>
      </c>
      <c r="AS47" s="121">
        <v>388</v>
      </c>
      <c r="AT47" s="130">
        <v>164241</v>
      </c>
      <c r="AU47" s="120"/>
      <c r="AV47" s="121"/>
      <c r="AW47" s="121"/>
      <c r="AX47" s="121"/>
      <c r="AY47" s="122"/>
      <c r="AZ47" s="120"/>
      <c r="BA47" s="121"/>
      <c r="BB47" s="121"/>
      <c r="BC47" s="121"/>
      <c r="BD47" s="122"/>
      <c r="BE47" s="120">
        <v>27</v>
      </c>
      <c r="BF47" s="121">
        <v>147</v>
      </c>
      <c r="BG47" s="121">
        <v>139</v>
      </c>
      <c r="BH47" s="121">
        <v>286</v>
      </c>
      <c r="BI47" s="122">
        <v>129295</v>
      </c>
      <c r="BJ47" s="120">
        <v>30</v>
      </c>
      <c r="BK47" s="121">
        <v>237</v>
      </c>
      <c r="BL47" s="121">
        <v>177</v>
      </c>
      <c r="BM47" s="121">
        <v>414</v>
      </c>
      <c r="BN47" s="122">
        <v>142468</v>
      </c>
      <c r="BO47" s="120"/>
      <c r="BP47" s="121"/>
      <c r="BQ47" s="121"/>
      <c r="BR47" s="121"/>
      <c r="BS47" s="122"/>
      <c r="BT47" s="120"/>
      <c r="BU47" s="121"/>
      <c r="BV47" s="121"/>
      <c r="BW47" s="121"/>
      <c r="BX47" s="122"/>
      <c r="BY47" s="120"/>
      <c r="BZ47" s="121"/>
      <c r="CA47" s="121"/>
      <c r="CB47" s="121"/>
      <c r="CC47" s="122"/>
      <c r="CD47" s="120"/>
      <c r="CE47" s="121"/>
      <c r="CF47" s="121"/>
      <c r="CG47" s="121"/>
      <c r="CH47" s="122"/>
      <c r="CI47" s="116">
        <v>29</v>
      </c>
      <c r="CJ47" s="117">
        <v>4</v>
      </c>
      <c r="CK47" s="117">
        <v>3</v>
      </c>
      <c r="CL47" s="117">
        <v>7</v>
      </c>
      <c r="CM47" s="119">
        <v>3512</v>
      </c>
      <c r="CN47" s="116"/>
      <c r="CO47" s="117"/>
      <c r="CP47" s="117"/>
      <c r="CQ47" s="117"/>
      <c r="CR47" s="119"/>
      <c r="CS47" s="116"/>
      <c r="CT47" s="117"/>
      <c r="CU47" s="117"/>
      <c r="CV47" s="117"/>
      <c r="CW47" s="119"/>
      <c r="CX47" s="116"/>
      <c r="CY47" s="117"/>
      <c r="CZ47" s="117"/>
      <c r="DA47" s="117"/>
      <c r="DB47" s="119"/>
      <c r="DC47" s="6"/>
      <c r="DD47" s="1"/>
      <c r="DE47" s="1"/>
      <c r="DF47" s="7"/>
      <c r="DH47" s="6"/>
      <c r="DI47" s="1"/>
      <c r="DJ47" s="1"/>
      <c r="DK47" s="7"/>
    </row>
    <row r="48" spans="2:116">
      <c r="B48" s="116">
        <v>32</v>
      </c>
      <c r="C48" s="117">
        <v>368</v>
      </c>
      <c r="D48" s="117">
        <v>439</v>
      </c>
      <c r="E48" s="117">
        <v>807</v>
      </c>
      <c r="F48" s="118">
        <v>156244</v>
      </c>
      <c r="G48" s="200">
        <v>28</v>
      </c>
      <c r="H48" s="112">
        <v>38</v>
      </c>
      <c r="I48" s="112">
        <v>22</v>
      </c>
      <c r="J48" s="112">
        <v>60</v>
      </c>
      <c r="K48" s="114">
        <v>39787</v>
      </c>
      <c r="L48" s="113"/>
      <c r="M48" s="112"/>
      <c r="N48" s="112"/>
      <c r="O48" s="112"/>
      <c r="P48" s="114"/>
      <c r="Q48" s="116"/>
      <c r="R48" s="117"/>
      <c r="S48" s="117"/>
      <c r="T48" s="117"/>
      <c r="U48" s="119"/>
      <c r="V48" s="6"/>
      <c r="W48" s="1"/>
      <c r="X48" s="1"/>
      <c r="Y48" s="7"/>
      <c r="AA48" s="6"/>
      <c r="AB48" s="1"/>
      <c r="AC48" s="1"/>
      <c r="AD48" s="7"/>
      <c r="AF48" s="6"/>
      <c r="AG48" s="1"/>
      <c r="AH48" s="1"/>
      <c r="AI48" s="7"/>
      <c r="AK48" s="6"/>
      <c r="AL48" s="1"/>
      <c r="AM48" s="1"/>
      <c r="AN48" s="7"/>
      <c r="AP48" s="199">
        <v>25</v>
      </c>
      <c r="AQ48" s="121">
        <v>120</v>
      </c>
      <c r="AR48" s="121">
        <v>95</v>
      </c>
      <c r="AS48" s="121">
        <v>215</v>
      </c>
      <c r="AT48" s="130">
        <v>164456</v>
      </c>
      <c r="AU48" s="120"/>
      <c r="AV48" s="121"/>
      <c r="AW48" s="121"/>
      <c r="AX48" s="121"/>
      <c r="AY48" s="122"/>
      <c r="AZ48" s="120"/>
      <c r="BA48" s="121"/>
      <c r="BB48" s="121"/>
      <c r="BC48" s="121"/>
      <c r="BD48" s="122"/>
      <c r="BE48" s="120">
        <v>26</v>
      </c>
      <c r="BF48" s="121">
        <v>111</v>
      </c>
      <c r="BG48" s="121">
        <v>101</v>
      </c>
      <c r="BH48" s="121">
        <v>212</v>
      </c>
      <c r="BI48" s="122">
        <v>129507</v>
      </c>
      <c r="BJ48" s="120">
        <v>29</v>
      </c>
      <c r="BK48" s="121">
        <v>133</v>
      </c>
      <c r="BL48" s="121">
        <v>71</v>
      </c>
      <c r="BM48" s="121">
        <v>204</v>
      </c>
      <c r="BN48" s="122">
        <v>142672</v>
      </c>
      <c r="BO48" s="132"/>
      <c r="BP48" s="133"/>
      <c r="BQ48" s="133"/>
      <c r="BR48" s="133"/>
      <c r="BS48" s="134"/>
      <c r="BT48" s="132"/>
      <c r="BU48" s="133"/>
      <c r="BV48" s="133"/>
      <c r="BW48" s="133"/>
      <c r="BX48" s="134"/>
      <c r="BY48" s="132"/>
      <c r="BZ48" s="133"/>
      <c r="CA48" s="133"/>
      <c r="CB48" s="133"/>
      <c r="CC48" s="134"/>
      <c r="CD48" s="131"/>
      <c r="CE48" s="117"/>
      <c r="CF48" s="117"/>
      <c r="CG48" s="117"/>
      <c r="CH48" s="119"/>
      <c r="CI48" s="6"/>
      <c r="CJ48" s="1"/>
      <c r="CK48" s="1"/>
      <c r="CL48" s="7"/>
      <c r="CN48" s="6"/>
      <c r="CO48" s="1"/>
      <c r="CP48" s="1"/>
      <c r="CQ48" s="7"/>
      <c r="CS48" s="6"/>
      <c r="CT48" s="1"/>
      <c r="CU48" s="1"/>
      <c r="CV48" s="7"/>
      <c r="CX48" s="6"/>
      <c r="CY48" s="1"/>
      <c r="CZ48" s="1"/>
      <c r="DA48" s="7"/>
      <c r="DC48" s="6"/>
      <c r="DD48" s="1"/>
      <c r="DE48" s="1"/>
      <c r="DF48" s="7"/>
      <c r="DH48" s="6"/>
      <c r="DI48" s="1"/>
      <c r="DJ48" s="1"/>
      <c r="DK48" s="7"/>
    </row>
    <row r="49" spans="2:115">
      <c r="B49" s="116">
        <v>31</v>
      </c>
      <c r="C49" s="117">
        <v>382</v>
      </c>
      <c r="D49" s="117">
        <v>377</v>
      </c>
      <c r="E49" s="117">
        <v>759</v>
      </c>
      <c r="F49" s="118">
        <v>157003</v>
      </c>
      <c r="G49" s="113"/>
      <c r="H49" s="112"/>
      <c r="I49" s="112"/>
      <c r="J49" s="112"/>
      <c r="K49" s="114"/>
      <c r="L49" s="113"/>
      <c r="M49" s="112"/>
      <c r="N49" s="112"/>
      <c r="O49" s="112"/>
      <c r="P49" s="114"/>
      <c r="Q49" s="116"/>
      <c r="R49" s="117"/>
      <c r="S49" s="117"/>
      <c r="T49" s="117"/>
      <c r="U49" s="119"/>
      <c r="V49" s="6"/>
      <c r="W49" s="1"/>
      <c r="X49" s="1"/>
      <c r="Y49" s="7"/>
      <c r="AA49" s="6"/>
      <c r="AB49" s="1"/>
      <c r="AC49" s="1"/>
      <c r="AD49" s="7"/>
      <c r="AF49" s="6"/>
      <c r="AG49" s="1"/>
      <c r="AH49" s="1"/>
      <c r="AI49" s="7"/>
      <c r="AK49" s="6"/>
      <c r="AL49" s="1"/>
      <c r="AM49" s="1"/>
      <c r="AN49" s="7"/>
      <c r="AP49" s="6"/>
      <c r="AQ49" s="1"/>
      <c r="AR49" s="1"/>
      <c r="AS49" s="7"/>
      <c r="AU49" s="120"/>
      <c r="AV49" s="121"/>
      <c r="AW49" s="121"/>
      <c r="AX49" s="121"/>
      <c r="AY49" s="122"/>
      <c r="AZ49" s="120"/>
      <c r="BA49" s="121"/>
      <c r="BB49" s="121"/>
      <c r="BC49" s="121"/>
      <c r="BD49" s="122"/>
      <c r="BE49" s="120">
        <v>25</v>
      </c>
      <c r="BF49" s="121">
        <v>41</v>
      </c>
      <c r="BG49" s="121">
        <v>27</v>
      </c>
      <c r="BH49" s="121">
        <v>68</v>
      </c>
      <c r="BI49" s="122">
        <v>129575</v>
      </c>
      <c r="BJ49" s="120"/>
      <c r="BK49" s="121"/>
      <c r="BL49" s="121"/>
      <c r="BM49" s="121"/>
      <c r="BN49" s="122"/>
      <c r="BO49" s="6"/>
      <c r="BP49" s="1"/>
      <c r="BQ49" s="1"/>
      <c r="BR49" s="7"/>
      <c r="BT49" s="6"/>
      <c r="BU49" s="1"/>
      <c r="BV49" s="1"/>
      <c r="BW49" s="7"/>
      <c r="BY49" s="6"/>
      <c r="BZ49" s="1"/>
      <c r="CA49" s="1"/>
      <c r="CB49" s="7"/>
      <c r="CD49" s="6"/>
      <c r="CE49" s="1"/>
      <c r="CF49" s="1"/>
      <c r="CG49" s="7"/>
      <c r="CI49" s="6"/>
      <c r="CJ49" s="1"/>
      <c r="CK49" s="1"/>
      <c r="CL49" s="7"/>
      <c r="CN49" s="6"/>
      <c r="CO49" s="1"/>
      <c r="CP49" s="1"/>
      <c r="CQ49" s="7"/>
      <c r="CS49" s="6"/>
      <c r="CT49" s="1"/>
      <c r="CU49" s="1"/>
      <c r="CV49" s="7"/>
      <c r="CX49" s="6"/>
      <c r="CY49" s="1"/>
      <c r="CZ49" s="1"/>
      <c r="DA49" s="7"/>
      <c r="DC49" s="6"/>
      <c r="DD49" s="1"/>
      <c r="DE49" s="1"/>
      <c r="DF49" s="7"/>
      <c r="DH49" s="6"/>
      <c r="DI49" s="1"/>
      <c r="DJ49" s="1"/>
      <c r="DK49" s="7"/>
    </row>
    <row r="50" spans="2:115">
      <c r="B50" s="116">
        <v>30</v>
      </c>
      <c r="C50" s="117">
        <v>178</v>
      </c>
      <c r="D50" s="117">
        <v>198</v>
      </c>
      <c r="E50" s="117">
        <v>376</v>
      </c>
      <c r="F50" s="118">
        <v>157379</v>
      </c>
      <c r="G50" s="113"/>
      <c r="H50" s="112"/>
      <c r="I50" s="112"/>
      <c r="J50" s="112"/>
      <c r="K50" s="114"/>
      <c r="L50" s="113"/>
      <c r="M50" s="112"/>
      <c r="N50" s="112"/>
      <c r="O50" s="112"/>
      <c r="P50" s="114"/>
      <c r="Q50" s="116"/>
      <c r="R50" s="117"/>
      <c r="S50" s="117"/>
      <c r="T50" s="117"/>
      <c r="U50" s="119"/>
      <c r="V50" s="6"/>
      <c r="W50" s="1"/>
      <c r="X50" s="1"/>
      <c r="Y50" s="7"/>
      <c r="AA50" s="6"/>
      <c r="AB50" s="1"/>
      <c r="AC50" s="1"/>
      <c r="AD50" s="7"/>
      <c r="AF50" s="6"/>
      <c r="AG50" s="1"/>
      <c r="AH50" s="1"/>
      <c r="AI50" s="7"/>
      <c r="AK50" s="6"/>
      <c r="AL50" s="1"/>
      <c r="AM50" s="1"/>
      <c r="AN50" s="7"/>
      <c r="AP50" s="6"/>
      <c r="AQ50" s="1"/>
      <c r="AR50" s="1"/>
      <c r="AS50" s="7"/>
      <c r="AU50" s="120"/>
      <c r="AV50" s="121"/>
      <c r="AW50" s="121"/>
      <c r="AX50" s="121"/>
      <c r="AY50" s="122"/>
      <c r="AZ50" s="120"/>
      <c r="BA50" s="121"/>
      <c r="BB50" s="121"/>
      <c r="BC50" s="121"/>
      <c r="BD50" s="122"/>
      <c r="BE50" s="120">
        <v>24</v>
      </c>
      <c r="BF50" s="121">
        <v>83</v>
      </c>
      <c r="BG50" s="121">
        <v>58</v>
      </c>
      <c r="BH50" s="121">
        <v>141</v>
      </c>
      <c r="BI50" s="122">
        <v>129716</v>
      </c>
      <c r="BJ50" s="120"/>
      <c r="BK50" s="121"/>
      <c r="BL50" s="121"/>
      <c r="BM50" s="121"/>
      <c r="BN50" s="122"/>
      <c r="BO50" s="6"/>
      <c r="BP50" s="1"/>
      <c r="BQ50" s="1"/>
      <c r="BR50" s="7"/>
      <c r="BT50" s="6"/>
      <c r="BU50" s="1"/>
      <c r="BV50" s="1"/>
      <c r="BW50" s="7"/>
      <c r="BY50" s="6"/>
      <c r="BZ50" s="1"/>
      <c r="CA50" s="1"/>
      <c r="CB50" s="7"/>
      <c r="CD50" s="6"/>
      <c r="CE50" s="1"/>
      <c r="CF50" s="1"/>
      <c r="CG50" s="7"/>
      <c r="CI50" s="6"/>
      <c r="CJ50" s="1"/>
      <c r="CK50" s="1"/>
      <c r="CL50" s="7"/>
      <c r="CN50" s="6"/>
      <c r="CO50" s="1"/>
      <c r="CP50" s="1"/>
      <c r="CQ50" s="7"/>
      <c r="CS50" s="6"/>
      <c r="CT50" s="1"/>
      <c r="CU50" s="1"/>
      <c r="CV50" s="7"/>
      <c r="CX50" s="6"/>
      <c r="CY50" s="1"/>
      <c r="CZ50" s="1"/>
      <c r="DA50" s="7"/>
      <c r="DC50" s="6"/>
      <c r="DD50" s="1"/>
      <c r="DE50" s="1"/>
      <c r="DF50" s="7"/>
      <c r="DH50" s="6"/>
      <c r="DI50" s="1"/>
      <c r="DJ50" s="1"/>
      <c r="DK50" s="7"/>
    </row>
    <row r="51" spans="2:115">
      <c r="B51" s="116">
        <v>29</v>
      </c>
      <c r="C51" s="117">
        <v>105</v>
      </c>
      <c r="D51" s="117">
        <v>134</v>
      </c>
      <c r="E51" s="117">
        <v>239</v>
      </c>
      <c r="F51" s="118">
        <v>157618</v>
      </c>
      <c r="G51" s="113"/>
      <c r="H51" s="112"/>
      <c r="I51" s="112"/>
      <c r="J51" s="112"/>
      <c r="K51" s="114"/>
      <c r="L51" s="113"/>
      <c r="M51" s="112"/>
      <c r="N51" s="112"/>
      <c r="O51" s="112"/>
      <c r="P51" s="114"/>
      <c r="Q51" s="116"/>
      <c r="R51" s="117"/>
      <c r="S51" s="117"/>
      <c r="T51" s="117"/>
      <c r="U51" s="119"/>
      <c r="V51" s="6"/>
      <c r="W51" s="1"/>
      <c r="X51" s="1"/>
      <c r="Y51" s="7"/>
      <c r="AA51" s="6"/>
      <c r="AB51" s="1"/>
      <c r="AC51" s="1"/>
      <c r="AD51" s="7"/>
      <c r="AF51" s="6"/>
      <c r="AG51" s="1"/>
      <c r="AH51" s="1"/>
      <c r="AI51" s="7"/>
      <c r="AK51" s="6"/>
      <c r="AL51" s="1"/>
      <c r="AM51" s="1"/>
      <c r="AN51" s="7"/>
      <c r="AP51" s="6"/>
      <c r="AQ51" s="1"/>
      <c r="AR51" s="1"/>
      <c r="AS51" s="7"/>
      <c r="AU51" s="120"/>
      <c r="AV51" s="121"/>
      <c r="AW51" s="121"/>
      <c r="AX51" s="121"/>
      <c r="AY51" s="122"/>
      <c r="AZ51" s="120"/>
      <c r="BA51" s="121"/>
      <c r="BB51" s="121"/>
      <c r="BC51" s="121"/>
      <c r="BD51" s="122"/>
      <c r="BE51" s="120">
        <v>22</v>
      </c>
      <c r="BF51" s="121">
        <v>65</v>
      </c>
      <c r="BG51" s="121">
        <v>37</v>
      </c>
      <c r="BH51" s="121">
        <v>102</v>
      </c>
      <c r="BI51" s="122">
        <v>129818</v>
      </c>
      <c r="BJ51" s="120"/>
      <c r="BK51" s="121"/>
      <c r="BL51" s="121"/>
      <c r="BM51" s="121"/>
      <c r="BN51" s="122"/>
      <c r="BO51" s="6"/>
      <c r="BP51" s="1"/>
      <c r="BQ51" s="1"/>
      <c r="BR51" s="7"/>
      <c r="BT51" s="6"/>
      <c r="BU51" s="1"/>
      <c r="BV51" s="1"/>
      <c r="BW51" s="7"/>
      <c r="BY51" s="6"/>
      <c r="BZ51" s="1"/>
      <c r="CA51" s="1"/>
      <c r="CB51" s="7"/>
      <c r="CD51" s="6"/>
      <c r="CE51" s="1"/>
      <c r="CF51" s="1"/>
      <c r="CG51" s="7"/>
      <c r="CI51" s="6"/>
      <c r="CJ51" s="1"/>
      <c r="CK51" s="1"/>
      <c r="CL51" s="7"/>
      <c r="CN51" s="6"/>
      <c r="CO51" s="1"/>
      <c r="CP51" s="1"/>
      <c r="CQ51" s="7"/>
      <c r="CS51" s="6"/>
      <c r="CT51" s="1"/>
      <c r="CU51" s="1"/>
      <c r="CV51" s="7"/>
      <c r="CX51" s="6"/>
      <c r="CY51" s="1"/>
      <c r="CZ51" s="1"/>
      <c r="DA51" s="7"/>
      <c r="DC51" s="6"/>
      <c r="DD51" s="1"/>
      <c r="DE51" s="1"/>
      <c r="DF51" s="7"/>
      <c r="DH51" s="6"/>
      <c r="DI51" s="1"/>
      <c r="DJ51" s="1"/>
      <c r="DK51" s="7"/>
    </row>
    <row r="52" spans="2:115" ht="17.5" thickBot="1">
      <c r="B52" s="200">
        <v>27</v>
      </c>
      <c r="C52" s="112">
        <v>84</v>
      </c>
      <c r="D52" s="112">
        <v>107</v>
      </c>
      <c r="E52" s="112">
        <v>191</v>
      </c>
      <c r="F52" s="115">
        <v>157809</v>
      </c>
      <c r="G52" s="113"/>
      <c r="H52" s="112"/>
      <c r="I52" s="112"/>
      <c r="J52" s="112"/>
      <c r="K52" s="114"/>
      <c r="L52" s="113"/>
      <c r="M52" s="112"/>
      <c r="N52" s="112"/>
      <c r="O52" s="112"/>
      <c r="P52" s="114"/>
      <c r="Q52" s="116"/>
      <c r="R52" s="117"/>
      <c r="S52" s="117"/>
      <c r="T52" s="117"/>
      <c r="U52" s="119"/>
      <c r="V52" s="8"/>
      <c r="W52" s="9"/>
      <c r="X52" s="9"/>
      <c r="Y52" s="2"/>
      <c r="AA52" s="8"/>
      <c r="AB52" s="9"/>
      <c r="AC52" s="9"/>
      <c r="AD52" s="2"/>
      <c r="AF52" s="8"/>
      <c r="AG52" s="9"/>
      <c r="AH52" s="9"/>
      <c r="AI52" s="2"/>
      <c r="AK52" s="8"/>
      <c r="AL52" s="9"/>
      <c r="AM52" s="9"/>
      <c r="AN52" s="2"/>
      <c r="AP52" s="8"/>
      <c r="AQ52" s="9"/>
      <c r="AR52" s="9"/>
      <c r="AS52" s="2"/>
      <c r="AU52" s="8"/>
      <c r="AV52" s="9"/>
      <c r="AW52" s="9"/>
      <c r="AX52" s="2"/>
      <c r="AZ52" s="8"/>
      <c r="BA52" s="9"/>
      <c r="BB52" s="9"/>
      <c r="BC52" s="2"/>
      <c r="BE52" s="8"/>
      <c r="BF52" s="9"/>
      <c r="BG52" s="9"/>
      <c r="BH52" s="2"/>
      <c r="BJ52" s="8"/>
      <c r="BK52" s="9"/>
      <c r="BL52" s="9"/>
      <c r="BM52" s="2"/>
      <c r="BO52" s="8"/>
      <c r="BP52" s="9"/>
      <c r="BQ52" s="9"/>
      <c r="BR52" s="2"/>
      <c r="BT52" s="8"/>
      <c r="BU52" s="9"/>
      <c r="BV52" s="9"/>
      <c r="BW52" s="2"/>
      <c r="BY52" s="8"/>
      <c r="BZ52" s="9"/>
      <c r="CA52" s="9"/>
      <c r="CB52" s="2"/>
      <c r="CD52" s="8"/>
      <c r="CE52" s="9"/>
      <c r="CF52" s="9"/>
      <c r="CG52" s="2"/>
      <c r="CI52" s="8"/>
      <c r="CJ52" s="9"/>
      <c r="CK52" s="9"/>
      <c r="CL52" s="2"/>
      <c r="CN52" s="8"/>
      <c r="CO52" s="9"/>
      <c r="CP52" s="9"/>
      <c r="CQ52" s="2"/>
      <c r="CS52" s="8"/>
      <c r="CT52" s="9"/>
      <c r="CU52" s="9"/>
      <c r="CV52" s="2"/>
      <c r="CX52" s="8"/>
      <c r="CY52" s="9"/>
      <c r="CZ52" s="9"/>
      <c r="DA52" s="2"/>
      <c r="DC52" s="8"/>
      <c r="DD52" s="9"/>
      <c r="DE52" s="9"/>
      <c r="DF52" s="2"/>
      <c r="DH52" s="8"/>
      <c r="DI52" s="9"/>
      <c r="DJ52" s="9"/>
      <c r="DK52" s="2"/>
    </row>
    <row r="53" spans="2:115">
      <c r="B53" s="201">
        <v>25</v>
      </c>
      <c r="C53" s="125">
        <v>75</v>
      </c>
      <c r="D53" s="125">
        <v>54</v>
      </c>
      <c r="E53" s="125">
        <v>129</v>
      </c>
      <c r="F53" s="126">
        <v>157938</v>
      </c>
      <c r="G53" s="124"/>
      <c r="H53" s="125"/>
      <c r="I53" s="125"/>
      <c r="J53" s="125"/>
      <c r="K53" s="123"/>
      <c r="L53" s="124"/>
      <c r="M53" s="125"/>
      <c r="N53" s="125"/>
      <c r="O53" s="125"/>
      <c r="P53" s="123"/>
      <c r="Q53" s="127"/>
      <c r="R53" s="128"/>
      <c r="S53" s="128"/>
      <c r="T53" s="128"/>
      <c r="U53" s="12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4"/>
  <dimension ref="A3:M89"/>
  <sheetViews>
    <sheetView topLeftCell="A60" zoomScale="70" zoomScaleNormal="70" workbookViewId="0">
      <selection activeCell="B68" sqref="B68:M89"/>
    </sheetView>
  </sheetViews>
  <sheetFormatPr defaultRowHeight="17"/>
  <cols>
    <col min="2" max="29" width="12.58203125" customWidth="1"/>
    <col min="30" max="30" width="18.58203125" customWidth="1"/>
    <col min="31" max="31" width="12.58203125" customWidth="1"/>
    <col min="32" max="32" width="24.58203125" customWidth="1"/>
    <col min="33" max="41" width="12.58203125" customWidth="1"/>
  </cols>
  <sheetData>
    <row r="3" spans="1:13" ht="18" customHeight="1">
      <c r="B3" s="1" t="s">
        <v>7</v>
      </c>
      <c r="E3" s="1" t="s">
        <v>8</v>
      </c>
      <c r="H3" s="1" t="s">
        <v>9</v>
      </c>
      <c r="K3" s="1" t="s">
        <v>10</v>
      </c>
    </row>
    <row r="4" spans="1:13">
      <c r="A4" s="1" t="s">
        <v>22</v>
      </c>
      <c r="B4" s="138">
        <v>68</v>
      </c>
      <c r="C4" s="136">
        <v>6688</v>
      </c>
      <c r="D4" s="149">
        <v>4.2345730603148075</v>
      </c>
      <c r="E4" s="137">
        <v>66</v>
      </c>
      <c r="F4" s="136">
        <v>2173</v>
      </c>
      <c r="G4" s="149">
        <v>5.4615829290974443</v>
      </c>
      <c r="H4" s="138">
        <v>67</v>
      </c>
      <c r="I4" s="136">
        <v>1550</v>
      </c>
      <c r="J4" s="164">
        <v>4.4370652391721297</v>
      </c>
      <c r="K4" s="138">
        <v>66</v>
      </c>
      <c r="L4" s="136">
        <v>1247</v>
      </c>
      <c r="M4" s="158">
        <v>4.156389574028398</v>
      </c>
    </row>
    <row r="5" spans="1:13">
      <c r="A5" s="1" t="s">
        <v>23</v>
      </c>
      <c r="B5" s="141">
        <v>64</v>
      </c>
      <c r="C5" s="139">
        <v>11195</v>
      </c>
      <c r="D5" s="150">
        <v>7.0882244931555425</v>
      </c>
      <c r="E5" s="140">
        <v>63</v>
      </c>
      <c r="F5" s="139">
        <v>2441</v>
      </c>
      <c r="G5" s="150">
        <v>6.1351697790735669</v>
      </c>
      <c r="H5" s="141">
        <v>64</v>
      </c>
      <c r="I5" s="139">
        <v>3305</v>
      </c>
      <c r="J5" s="165">
        <v>9.4609681390089602</v>
      </c>
      <c r="K5" s="141">
        <v>63</v>
      </c>
      <c r="L5" s="139">
        <v>3161</v>
      </c>
      <c r="M5" s="159">
        <v>10.53596426904873</v>
      </c>
    </row>
    <row r="6" spans="1:13">
      <c r="A6" s="1" t="s">
        <v>24</v>
      </c>
      <c r="B6" s="141">
        <v>59</v>
      </c>
      <c r="C6" s="139">
        <v>19984</v>
      </c>
      <c r="D6" s="150">
        <v>12.653066393141613</v>
      </c>
      <c r="E6" s="140">
        <v>59</v>
      </c>
      <c r="F6" s="139">
        <v>5347</v>
      </c>
      <c r="G6" s="150">
        <v>13.439063010531077</v>
      </c>
      <c r="H6" s="141">
        <v>60</v>
      </c>
      <c r="I6" s="139">
        <v>3694</v>
      </c>
      <c r="J6" s="165">
        <v>10.574528382904417</v>
      </c>
      <c r="K6" s="141">
        <v>60</v>
      </c>
      <c r="L6" s="139">
        <v>2934</v>
      </c>
      <c r="M6" s="159">
        <v>9.7793480434637683</v>
      </c>
    </row>
    <row r="7" spans="1:13">
      <c r="A7" s="1" t="s">
        <v>25</v>
      </c>
      <c r="B7" s="141">
        <v>52</v>
      </c>
      <c r="C7" s="139">
        <v>28891</v>
      </c>
      <c r="D7" s="150">
        <v>18.292621155136825</v>
      </c>
      <c r="E7" s="140">
        <v>53</v>
      </c>
      <c r="F7" s="139">
        <v>7326</v>
      </c>
      <c r="G7" s="150">
        <v>18.413049488526404</v>
      </c>
      <c r="H7" s="141">
        <v>53</v>
      </c>
      <c r="I7" s="139">
        <v>5765</v>
      </c>
      <c r="J7" s="165">
        <v>16.503020066985371</v>
      </c>
      <c r="K7" s="141">
        <v>54</v>
      </c>
      <c r="L7" s="139">
        <v>4771</v>
      </c>
      <c r="M7" s="159">
        <v>15.90227318178788</v>
      </c>
    </row>
    <row r="8" spans="1:13">
      <c r="A8" s="1" t="s">
        <v>26</v>
      </c>
      <c r="B8" s="141">
        <v>46</v>
      </c>
      <c r="C8" s="139">
        <v>32103</v>
      </c>
      <c r="D8" s="150">
        <v>20.326330585419594</v>
      </c>
      <c r="E8" s="140">
        <v>46</v>
      </c>
      <c r="F8" s="139">
        <v>6714</v>
      </c>
      <c r="G8" s="150">
        <v>16.874858622163018</v>
      </c>
      <c r="H8" s="141">
        <v>44</v>
      </c>
      <c r="I8" s="139">
        <v>8499</v>
      </c>
      <c r="J8" s="165">
        <v>24.32943062433802</v>
      </c>
      <c r="K8" s="141">
        <v>46</v>
      </c>
      <c r="L8" s="139">
        <v>6301</v>
      </c>
      <c r="M8" s="159">
        <v>21.001933204453035</v>
      </c>
    </row>
    <row r="9" spans="1:13">
      <c r="A9" s="1" t="s">
        <v>27</v>
      </c>
      <c r="B9" s="141">
        <v>42</v>
      </c>
      <c r="C9" s="139">
        <v>22959</v>
      </c>
      <c r="D9" s="150">
        <v>14.536716939558561</v>
      </c>
      <c r="E9" s="140">
        <v>41</v>
      </c>
      <c r="F9" s="139">
        <v>6873</v>
      </c>
      <c r="G9" s="150">
        <v>17.274486641365272</v>
      </c>
      <c r="H9" s="141">
        <v>41</v>
      </c>
      <c r="I9" s="139">
        <v>4616</v>
      </c>
      <c r="J9" s="165">
        <v>13.213866544528097</v>
      </c>
      <c r="K9" s="141">
        <v>40</v>
      </c>
      <c r="L9" s="139">
        <v>5998</v>
      </c>
      <c r="M9" s="159">
        <v>19.99200053329778</v>
      </c>
    </row>
    <row r="10" spans="1:13">
      <c r="A10" s="1" t="s">
        <v>28</v>
      </c>
      <c r="B10" s="141">
        <v>38</v>
      </c>
      <c r="C10" s="139">
        <v>19035</v>
      </c>
      <c r="D10" s="150">
        <v>12.052197697830794</v>
      </c>
      <c r="E10" s="140">
        <v>37</v>
      </c>
      <c r="F10" s="139">
        <v>4846</v>
      </c>
      <c r="G10" s="150">
        <v>12.179857742478699</v>
      </c>
      <c r="H10" s="141">
        <v>38</v>
      </c>
      <c r="I10" s="139">
        <v>5352</v>
      </c>
      <c r="J10" s="165">
        <v>15.320756877451121</v>
      </c>
      <c r="K10" s="141">
        <v>37</v>
      </c>
      <c r="L10" s="139">
        <v>2986</v>
      </c>
      <c r="M10" s="159">
        <v>9.952669822011865</v>
      </c>
    </row>
    <row r="11" spans="1:13">
      <c r="A11" s="1" t="s">
        <v>29</v>
      </c>
      <c r="B11" s="141">
        <v>34</v>
      </c>
      <c r="C11" s="139">
        <v>12718</v>
      </c>
      <c r="D11" s="150">
        <v>8.0525269409515126</v>
      </c>
      <c r="E11" s="140">
        <v>35</v>
      </c>
      <c r="F11" s="139">
        <v>2896</v>
      </c>
      <c r="G11" s="150">
        <v>7.2787593937718347</v>
      </c>
      <c r="H11" s="141">
        <v>37</v>
      </c>
      <c r="I11" s="139">
        <v>835</v>
      </c>
      <c r="J11" s="165">
        <v>2.3902899836830502</v>
      </c>
      <c r="K11" s="141">
        <v>34</v>
      </c>
      <c r="L11" s="139">
        <v>2244</v>
      </c>
      <c r="M11" s="159">
        <v>7.4795013665755619</v>
      </c>
    </row>
    <row r="12" spans="1:13" ht="17.5" thickBot="1">
      <c r="A12" s="1" t="s">
        <v>34</v>
      </c>
      <c r="B12" s="144" t="s">
        <v>124</v>
      </c>
      <c r="C12" s="142">
        <v>4365</v>
      </c>
      <c r="D12" s="151">
        <v>2.7637427344907497</v>
      </c>
      <c r="E12" s="143" t="s">
        <v>125</v>
      </c>
      <c r="F12" s="142">
        <v>1171</v>
      </c>
      <c r="G12" s="151">
        <v>2.9431723929926861</v>
      </c>
      <c r="H12" s="144" t="s">
        <v>126</v>
      </c>
      <c r="I12" s="142">
        <v>1317</v>
      </c>
      <c r="J12" s="167">
        <v>3.7700741419288351</v>
      </c>
      <c r="K12" s="144" t="s">
        <v>124</v>
      </c>
      <c r="L12" s="142">
        <v>360</v>
      </c>
      <c r="M12" s="160">
        <v>1.1999200053329777</v>
      </c>
    </row>
    <row r="13" spans="1:13">
      <c r="B13" s="235" t="s">
        <v>128</v>
      </c>
      <c r="C13" s="233"/>
      <c r="D13" s="236"/>
      <c r="E13" s="232" t="s">
        <v>129</v>
      </c>
      <c r="F13" s="233"/>
      <c r="G13" s="236"/>
      <c r="H13" s="232" t="s">
        <v>130</v>
      </c>
      <c r="I13" s="233"/>
      <c r="J13" s="234"/>
      <c r="K13" s="237" t="s">
        <v>131</v>
      </c>
      <c r="L13" s="233"/>
      <c r="M13" s="238"/>
    </row>
    <row r="14" spans="1:13">
      <c r="B14" s="154" t="s">
        <v>127</v>
      </c>
      <c r="C14" s="221" t="s">
        <v>132</v>
      </c>
      <c r="D14" s="223" t="s">
        <v>133</v>
      </c>
      <c r="E14" s="145" t="s">
        <v>127</v>
      </c>
      <c r="F14" s="221" t="s">
        <v>132</v>
      </c>
      <c r="G14" s="223" t="s">
        <v>133</v>
      </c>
      <c r="H14" s="147" t="s">
        <v>127</v>
      </c>
      <c r="I14" s="221" t="s">
        <v>132</v>
      </c>
      <c r="J14" s="230" t="s">
        <v>133</v>
      </c>
      <c r="K14" s="154" t="s">
        <v>127</v>
      </c>
      <c r="L14" s="221" t="s">
        <v>132</v>
      </c>
      <c r="M14" s="225" t="s">
        <v>133</v>
      </c>
    </row>
    <row r="15" spans="1:13" ht="17.5" thickBot="1">
      <c r="B15" s="163" t="s">
        <v>134</v>
      </c>
      <c r="C15" s="222"/>
      <c r="D15" s="224"/>
      <c r="E15" s="146" t="s">
        <v>134</v>
      </c>
      <c r="F15" s="222"/>
      <c r="G15" s="224"/>
      <c r="H15" s="148" t="s">
        <v>134</v>
      </c>
      <c r="I15" s="222"/>
      <c r="J15" s="231"/>
      <c r="K15" s="163" t="s">
        <v>134</v>
      </c>
      <c r="L15" s="222"/>
      <c r="M15" s="226"/>
    </row>
    <row r="16" spans="1:13" ht="17.5" thickTop="1">
      <c r="A16" s="1" t="s">
        <v>22</v>
      </c>
      <c r="B16" s="138">
        <v>66</v>
      </c>
      <c r="C16" s="136">
        <v>935</v>
      </c>
      <c r="D16" s="170">
        <v>5.3364533987786089</v>
      </c>
      <c r="E16" s="138">
        <v>66</v>
      </c>
      <c r="F16" s="136">
        <v>1042</v>
      </c>
      <c r="G16" s="149">
        <v>6.7412822669340748</v>
      </c>
      <c r="H16" s="138">
        <v>69</v>
      </c>
      <c r="I16" s="136">
        <v>255</v>
      </c>
      <c r="J16" s="164">
        <v>4.2288557213930345</v>
      </c>
      <c r="K16" s="138">
        <v>65</v>
      </c>
      <c r="L16" s="136">
        <v>1215</v>
      </c>
      <c r="M16" s="158">
        <v>4.0615076048804948</v>
      </c>
    </row>
    <row r="17" spans="1:13">
      <c r="A17" s="1" t="s">
        <v>23</v>
      </c>
      <c r="B17" s="141">
        <v>64</v>
      </c>
      <c r="C17" s="139">
        <v>1283</v>
      </c>
      <c r="D17" s="152">
        <v>7.322641401746476</v>
      </c>
      <c r="E17" s="141">
        <v>64</v>
      </c>
      <c r="F17" s="139">
        <v>892</v>
      </c>
      <c r="G17" s="150">
        <v>5.7708481594099759</v>
      </c>
      <c r="H17" s="141">
        <v>65</v>
      </c>
      <c r="I17" s="139">
        <v>436</v>
      </c>
      <c r="J17" s="165">
        <v>7.2305140961857379</v>
      </c>
      <c r="K17" s="141">
        <v>62</v>
      </c>
      <c r="L17" s="139">
        <v>3619</v>
      </c>
      <c r="M17" s="159">
        <v>12.097609894701655</v>
      </c>
    </row>
    <row r="18" spans="1:13">
      <c r="A18" s="1" t="s">
        <v>24</v>
      </c>
      <c r="B18" s="141">
        <v>60</v>
      </c>
      <c r="C18" s="139">
        <v>2002</v>
      </c>
      <c r="D18" s="152">
        <v>11.426288453855374</v>
      </c>
      <c r="E18" s="141">
        <v>60</v>
      </c>
      <c r="F18" s="139">
        <v>1716</v>
      </c>
      <c r="G18" s="150">
        <v>11.101766190075693</v>
      </c>
      <c r="H18" s="141">
        <v>59</v>
      </c>
      <c r="I18" s="139">
        <v>775</v>
      </c>
      <c r="J18" s="165">
        <v>12.85240464344942</v>
      </c>
      <c r="K18" s="141">
        <v>59</v>
      </c>
      <c r="L18" s="139">
        <v>3346</v>
      </c>
      <c r="M18" s="159">
        <v>11.185024235333445</v>
      </c>
    </row>
    <row r="19" spans="1:13">
      <c r="A19" s="1" t="s">
        <v>25</v>
      </c>
      <c r="B19" s="141">
        <v>54</v>
      </c>
      <c r="C19" s="139">
        <v>2880</v>
      </c>
      <c r="D19" s="152">
        <v>16.437417955596143</v>
      </c>
      <c r="E19" s="141">
        <v>53</v>
      </c>
      <c r="F19" s="139">
        <v>2717</v>
      </c>
      <c r="G19" s="150">
        <v>17.577796467619848</v>
      </c>
      <c r="H19" s="141">
        <v>52</v>
      </c>
      <c r="I19" s="139">
        <v>986</v>
      </c>
      <c r="J19" s="165">
        <v>16.35157545605307</v>
      </c>
      <c r="K19" s="141">
        <v>55</v>
      </c>
      <c r="L19" s="139">
        <v>3953</v>
      </c>
      <c r="M19" s="159">
        <v>13.214106635467157</v>
      </c>
    </row>
    <row r="20" spans="1:13">
      <c r="A20" s="1" t="s">
        <v>26</v>
      </c>
      <c r="B20" s="141">
        <v>45</v>
      </c>
      <c r="C20" s="139">
        <v>3675</v>
      </c>
      <c r="D20" s="152">
        <v>20.974830203755495</v>
      </c>
      <c r="E20" s="141">
        <v>45</v>
      </c>
      <c r="F20" s="139">
        <v>3220</v>
      </c>
      <c r="G20" s="150">
        <v>20.831985508183994</v>
      </c>
      <c r="H20" s="141">
        <v>45</v>
      </c>
      <c r="I20" s="139">
        <v>1248</v>
      </c>
      <c r="J20" s="165">
        <v>20.696517412935325</v>
      </c>
      <c r="K20" s="141">
        <v>47</v>
      </c>
      <c r="L20" s="139">
        <v>6007</v>
      </c>
      <c r="M20" s="159">
        <v>20.080227310713688</v>
      </c>
    </row>
    <row r="21" spans="1:13">
      <c r="A21" s="1" t="s">
        <v>27</v>
      </c>
      <c r="B21" s="141">
        <v>40</v>
      </c>
      <c r="C21" s="139">
        <v>3717</v>
      </c>
      <c r="D21" s="152">
        <v>21.214542548941271</v>
      </c>
      <c r="E21" s="141">
        <v>41</v>
      </c>
      <c r="F21" s="139">
        <v>2352</v>
      </c>
      <c r="G21" s="150">
        <v>15.216406805977874</v>
      </c>
      <c r="H21" s="141">
        <v>41</v>
      </c>
      <c r="I21" s="139">
        <v>1032</v>
      </c>
      <c r="J21" s="165">
        <v>17.114427860696516</v>
      </c>
      <c r="K21" s="141">
        <v>40</v>
      </c>
      <c r="L21" s="139">
        <v>5615</v>
      </c>
      <c r="M21" s="159">
        <v>18.769847902390104</v>
      </c>
    </row>
    <row r="22" spans="1:13">
      <c r="A22" s="1" t="s">
        <v>28</v>
      </c>
      <c r="B22" s="141">
        <v>38</v>
      </c>
      <c r="C22" s="139">
        <v>1597</v>
      </c>
      <c r="D22" s="152">
        <v>9.1147765538496657</v>
      </c>
      <c r="E22" s="141">
        <v>38</v>
      </c>
      <c r="F22" s="139">
        <v>2081</v>
      </c>
      <c r="G22" s="150">
        <v>13.463155851717667</v>
      </c>
      <c r="H22" s="141">
        <v>39</v>
      </c>
      <c r="I22" s="139">
        <v>739</v>
      </c>
      <c r="J22" s="165">
        <v>12.255389718076286</v>
      </c>
      <c r="K22" s="141">
        <v>37</v>
      </c>
      <c r="L22" s="139">
        <v>3020</v>
      </c>
      <c r="M22" s="159">
        <v>10.095269931472506</v>
      </c>
    </row>
    <row r="23" spans="1:13">
      <c r="A23" s="1" t="s">
        <v>29</v>
      </c>
      <c r="B23" s="141">
        <v>35</v>
      </c>
      <c r="C23" s="139">
        <v>1127</v>
      </c>
      <c r="D23" s="152">
        <v>6.4322812624850183</v>
      </c>
      <c r="E23" s="141">
        <v>36</v>
      </c>
      <c r="F23" s="139">
        <v>1018</v>
      </c>
      <c r="G23" s="150">
        <v>6.5860128097302191</v>
      </c>
      <c r="H23" s="141">
        <v>36</v>
      </c>
      <c r="I23" s="139">
        <v>362</v>
      </c>
      <c r="J23" s="165">
        <v>6.0033167495854061</v>
      </c>
      <c r="K23" s="141">
        <v>34</v>
      </c>
      <c r="L23" s="139">
        <v>2391</v>
      </c>
      <c r="M23" s="159">
        <v>7.9926458298512451</v>
      </c>
    </row>
    <row r="24" spans="1:13" ht="17.5" thickBot="1">
      <c r="A24" s="1" t="s">
        <v>34</v>
      </c>
      <c r="B24" s="144" t="s">
        <v>125</v>
      </c>
      <c r="C24" s="142">
        <v>305</v>
      </c>
      <c r="D24" s="153">
        <v>1.7407682209919526</v>
      </c>
      <c r="E24" s="144" t="s">
        <v>135</v>
      </c>
      <c r="F24" s="156">
        <v>419</v>
      </c>
      <c r="G24" s="157">
        <v>2.71074594035065</v>
      </c>
      <c r="H24" s="155" t="s">
        <v>135</v>
      </c>
      <c r="I24" s="156">
        <v>197</v>
      </c>
      <c r="J24" s="166">
        <v>3.2669983416252073</v>
      </c>
      <c r="K24" s="155" t="s">
        <v>124</v>
      </c>
      <c r="L24" s="156">
        <v>749</v>
      </c>
      <c r="M24" s="161">
        <v>2.503760655189704</v>
      </c>
    </row>
    <row r="25" spans="1:13">
      <c r="B25" s="227" t="s">
        <v>136</v>
      </c>
      <c r="C25" s="228"/>
      <c r="D25" s="229"/>
      <c r="E25" s="206"/>
      <c r="F25" s="206"/>
      <c r="G25" s="206"/>
      <c r="H25" s="206"/>
      <c r="I25" s="206"/>
      <c r="J25" s="206"/>
      <c r="K25" s="206"/>
      <c r="L25" s="206"/>
      <c r="M25" s="207"/>
    </row>
    <row r="26" spans="1:13">
      <c r="B26" s="154" t="s">
        <v>127</v>
      </c>
      <c r="C26" s="221" t="s">
        <v>132</v>
      </c>
      <c r="D26" s="230" t="s">
        <v>133</v>
      </c>
      <c r="E26" s="208"/>
      <c r="F26" s="208"/>
      <c r="G26" s="208"/>
      <c r="H26" s="208"/>
      <c r="I26" s="208"/>
      <c r="J26" s="208"/>
      <c r="K26" s="208"/>
      <c r="L26" s="208"/>
      <c r="M26" s="209"/>
    </row>
    <row r="27" spans="1:13" ht="17.5" thickBot="1">
      <c r="B27" s="163" t="s">
        <v>134</v>
      </c>
      <c r="C27" s="222"/>
      <c r="D27" s="231"/>
      <c r="E27" s="208"/>
      <c r="F27" s="208"/>
      <c r="G27" s="208"/>
      <c r="H27" s="208"/>
      <c r="I27" s="208"/>
      <c r="J27" s="208"/>
      <c r="K27" s="208"/>
      <c r="L27" s="208"/>
      <c r="M27" s="209"/>
    </row>
    <row r="28" spans="1:13" ht="17.5" thickTop="1">
      <c r="A28" s="1" t="s">
        <v>22</v>
      </c>
      <c r="B28" s="138">
        <v>65</v>
      </c>
      <c r="C28" s="136">
        <v>9486</v>
      </c>
      <c r="D28" s="164">
        <v>5.768108186992265</v>
      </c>
      <c r="E28" s="208"/>
      <c r="F28" s="208"/>
      <c r="G28" s="208"/>
      <c r="H28" s="208"/>
      <c r="I28" s="208"/>
      <c r="J28" s="208"/>
      <c r="K28" s="208"/>
      <c r="L28" s="208"/>
      <c r="M28" s="209"/>
    </row>
    <row r="29" spans="1:13">
      <c r="A29" s="1" t="s">
        <v>23</v>
      </c>
      <c r="B29" s="141">
        <v>62</v>
      </c>
      <c r="C29" s="139">
        <v>10313</v>
      </c>
      <c r="D29" s="165">
        <v>6.2709782555820404</v>
      </c>
      <c r="E29" s="208"/>
      <c r="F29" s="208"/>
      <c r="G29" s="208"/>
      <c r="H29" s="208"/>
      <c r="I29" s="208"/>
      <c r="J29" s="208"/>
      <c r="K29" s="208"/>
      <c r="L29" s="208"/>
      <c r="M29" s="209"/>
    </row>
    <row r="30" spans="1:13">
      <c r="A30" s="1" t="s">
        <v>24</v>
      </c>
      <c r="B30" s="141">
        <v>59</v>
      </c>
      <c r="C30" s="139">
        <v>19019</v>
      </c>
      <c r="D30" s="165">
        <v>11.564795446806441</v>
      </c>
      <c r="E30" s="208"/>
      <c r="F30" s="208"/>
      <c r="G30" s="208"/>
      <c r="H30" s="208"/>
      <c r="I30" s="208"/>
      <c r="J30" s="208"/>
      <c r="K30" s="208"/>
      <c r="L30" s="208"/>
      <c r="M30" s="209"/>
    </row>
    <row r="31" spans="1:13">
      <c r="A31" s="1" t="s">
        <v>25</v>
      </c>
      <c r="B31" s="141">
        <v>54</v>
      </c>
      <c r="C31" s="139">
        <v>33719</v>
      </c>
      <c r="D31" s="165">
        <v>20.503356520893128</v>
      </c>
      <c r="E31" s="208"/>
      <c r="F31" s="208"/>
      <c r="G31" s="208"/>
      <c r="H31" s="208"/>
      <c r="I31" s="208"/>
      <c r="J31" s="208"/>
      <c r="K31" s="208"/>
      <c r="L31" s="208"/>
      <c r="M31" s="209"/>
    </row>
    <row r="32" spans="1:13">
      <c r="A32" s="1" t="s">
        <v>26</v>
      </c>
      <c r="B32" s="141">
        <v>48</v>
      </c>
      <c r="C32" s="139">
        <v>26554</v>
      </c>
      <c r="D32" s="165">
        <v>16.146568078999856</v>
      </c>
      <c r="E32" s="208"/>
      <c r="F32" s="208"/>
      <c r="G32" s="208"/>
      <c r="H32" s="208"/>
      <c r="I32" s="208"/>
      <c r="J32" s="208"/>
      <c r="K32" s="208"/>
      <c r="L32" s="208"/>
      <c r="M32" s="209"/>
    </row>
    <row r="33" spans="1:13">
      <c r="A33" s="1" t="s">
        <v>27</v>
      </c>
      <c r="B33" s="141">
        <v>41</v>
      </c>
      <c r="C33" s="139">
        <v>28714</v>
      </c>
      <c r="D33" s="165">
        <v>17.459989298049326</v>
      </c>
      <c r="E33" s="208"/>
      <c r="F33" s="208"/>
      <c r="G33" s="208"/>
      <c r="H33" s="208"/>
      <c r="I33" s="208"/>
      <c r="J33" s="208"/>
      <c r="K33" s="208"/>
      <c r="L33" s="208"/>
      <c r="M33" s="209"/>
    </row>
    <row r="34" spans="1:13">
      <c r="A34" s="1" t="s">
        <v>28</v>
      </c>
      <c r="B34" s="141">
        <v>36</v>
      </c>
      <c r="C34" s="139">
        <v>20578</v>
      </c>
      <c r="D34" s="165">
        <v>12.512769372962982</v>
      </c>
      <c r="E34" s="208"/>
      <c r="F34" s="208"/>
      <c r="G34" s="208"/>
      <c r="H34" s="208"/>
      <c r="I34" s="208"/>
      <c r="J34" s="208"/>
      <c r="K34" s="208"/>
      <c r="L34" s="208"/>
      <c r="M34" s="209"/>
    </row>
    <row r="35" spans="1:13">
      <c r="A35" s="1" t="s">
        <v>29</v>
      </c>
      <c r="B35" s="141">
        <v>32</v>
      </c>
      <c r="C35" s="139">
        <v>12640</v>
      </c>
      <c r="D35" s="165">
        <v>7.6859463929561702</v>
      </c>
      <c r="E35" s="208"/>
      <c r="F35" s="208"/>
      <c r="G35" s="208"/>
      <c r="H35" s="208"/>
      <c r="I35" s="208"/>
      <c r="J35" s="208"/>
      <c r="K35" s="208"/>
      <c r="L35" s="208"/>
      <c r="M35" s="209"/>
    </row>
    <row r="36" spans="1:13" ht="17.5" thickBot="1">
      <c r="A36" s="1" t="s">
        <v>34</v>
      </c>
      <c r="B36" s="169" t="s">
        <v>137</v>
      </c>
      <c r="C36" s="162">
        <v>3433</v>
      </c>
      <c r="D36" s="168">
        <v>2.0874884467577952</v>
      </c>
      <c r="E36" s="210"/>
      <c r="F36" s="210"/>
      <c r="G36" s="210"/>
      <c r="H36" s="210"/>
      <c r="I36" s="210"/>
      <c r="J36" s="210"/>
      <c r="K36" s="210"/>
      <c r="L36" s="210"/>
      <c r="M36" s="211"/>
    </row>
    <row r="41" spans="1:13">
      <c r="B41" s="1" t="s">
        <v>21</v>
      </c>
      <c r="E41" s="1" t="s">
        <v>15</v>
      </c>
      <c r="H41" s="1" t="s">
        <v>16</v>
      </c>
      <c r="K41" s="1" t="s">
        <v>17</v>
      </c>
    </row>
    <row r="42" spans="1:13">
      <c r="A42" s="1" t="s">
        <v>22</v>
      </c>
      <c r="B42" s="173">
        <v>65</v>
      </c>
      <c r="C42" s="136">
        <v>2511</v>
      </c>
      <c r="D42" s="149">
        <v>4.3256559113852093</v>
      </c>
      <c r="E42" s="137">
        <v>65</v>
      </c>
      <c r="F42" s="136">
        <v>2599</v>
      </c>
      <c r="G42" s="149">
        <v>5.8969006670599446</v>
      </c>
      <c r="H42" s="137">
        <v>65</v>
      </c>
      <c r="I42" s="136">
        <v>5926</v>
      </c>
      <c r="J42" s="149">
        <v>4.5648523317259544</v>
      </c>
      <c r="K42" s="138">
        <v>67</v>
      </c>
      <c r="L42" s="136">
        <v>6099</v>
      </c>
      <c r="M42" s="158">
        <v>4.2748401928899851</v>
      </c>
    </row>
    <row r="43" spans="1:13">
      <c r="A43" s="1" t="s">
        <v>23</v>
      </c>
      <c r="B43" s="174">
        <v>63</v>
      </c>
      <c r="C43" s="139">
        <v>3993</v>
      </c>
      <c r="D43" s="150">
        <v>6.8786714672087372</v>
      </c>
      <c r="E43" s="140">
        <v>63</v>
      </c>
      <c r="F43" s="139">
        <v>3021</v>
      </c>
      <c r="G43" s="150">
        <v>6.8543812678676774</v>
      </c>
      <c r="H43" s="140">
        <v>62</v>
      </c>
      <c r="I43" s="139">
        <v>9374</v>
      </c>
      <c r="J43" s="150">
        <v>7.2208784606140908</v>
      </c>
      <c r="K43" s="141">
        <v>63</v>
      </c>
      <c r="L43" s="139">
        <v>13626</v>
      </c>
      <c r="M43" s="159">
        <v>9.5505775485028597</v>
      </c>
    </row>
    <row r="44" spans="1:13">
      <c r="A44" s="1" t="s">
        <v>24</v>
      </c>
      <c r="B44" s="174">
        <v>59</v>
      </c>
      <c r="C44" s="139">
        <v>7992</v>
      </c>
      <c r="D44" s="150">
        <v>13.767679029785182</v>
      </c>
      <c r="E44" s="140">
        <v>59</v>
      </c>
      <c r="F44" s="139">
        <v>6553</v>
      </c>
      <c r="G44" s="150">
        <v>14.868176249035713</v>
      </c>
      <c r="H44" s="140">
        <v>58</v>
      </c>
      <c r="I44" s="139">
        <v>22062</v>
      </c>
      <c r="J44" s="150">
        <v>16.994561617033078</v>
      </c>
      <c r="K44" s="141">
        <v>59</v>
      </c>
      <c r="L44" s="139">
        <v>13927</v>
      </c>
      <c r="M44" s="159">
        <v>9.7615509700571934</v>
      </c>
    </row>
    <row r="45" spans="1:13">
      <c r="A45" s="1" t="s">
        <v>25</v>
      </c>
      <c r="B45" s="174">
        <v>54</v>
      </c>
      <c r="C45" s="139">
        <v>10875</v>
      </c>
      <c r="D45" s="150">
        <v>18.7341728539682</v>
      </c>
      <c r="E45" s="140">
        <v>54</v>
      </c>
      <c r="F45" s="139">
        <v>6674</v>
      </c>
      <c r="G45" s="150">
        <v>15.14271452557063</v>
      </c>
      <c r="H45" s="140">
        <v>55</v>
      </c>
      <c r="I45" s="139">
        <v>14938</v>
      </c>
      <c r="J45" s="150">
        <v>11.506878861174876</v>
      </c>
      <c r="K45" s="141">
        <v>53</v>
      </c>
      <c r="L45" s="139">
        <v>26787</v>
      </c>
      <c r="M45" s="159">
        <v>18.775232701581249</v>
      </c>
    </row>
    <row r="46" spans="1:13">
      <c r="A46" s="1" t="s">
        <v>26</v>
      </c>
      <c r="B46" s="174">
        <v>47</v>
      </c>
      <c r="C46" s="139">
        <v>9988</v>
      </c>
      <c r="D46" s="150">
        <v>17.206153422108908</v>
      </c>
      <c r="E46" s="140">
        <v>46</v>
      </c>
      <c r="F46" s="139">
        <v>8047</v>
      </c>
      <c r="G46" s="150">
        <v>18.257929845260243</v>
      </c>
      <c r="H46" s="140">
        <v>48</v>
      </c>
      <c r="I46" s="139">
        <v>26620</v>
      </c>
      <c r="J46" s="150">
        <v>20.50563096026745</v>
      </c>
      <c r="K46" s="141">
        <v>46</v>
      </c>
      <c r="L46" s="139">
        <v>27323</v>
      </c>
      <c r="M46" s="159">
        <v>19.150919591790959</v>
      </c>
    </row>
    <row r="47" spans="1:13">
      <c r="A47" s="1" t="s">
        <v>27</v>
      </c>
      <c r="B47" s="174">
        <v>40</v>
      </c>
      <c r="C47" s="139">
        <v>10811</v>
      </c>
      <c r="D47" s="150">
        <v>18.623921170045996</v>
      </c>
      <c r="E47" s="140">
        <v>40</v>
      </c>
      <c r="F47" s="139">
        <v>8512</v>
      </c>
      <c r="G47" s="150">
        <v>19.312973635249808</v>
      </c>
      <c r="H47" s="140">
        <v>41</v>
      </c>
      <c r="I47" s="139">
        <v>22931</v>
      </c>
      <c r="J47" s="150">
        <v>17.663960313669907</v>
      </c>
      <c r="K47" s="141">
        <v>41</v>
      </c>
      <c r="L47" s="139">
        <v>23534</v>
      </c>
      <c r="M47" s="159">
        <v>16.495177750364473</v>
      </c>
    </row>
    <row r="48" spans="1:13">
      <c r="A48" s="1" t="s">
        <v>28</v>
      </c>
      <c r="B48" s="174">
        <v>37</v>
      </c>
      <c r="C48" s="139">
        <v>5873</v>
      </c>
      <c r="D48" s="150">
        <v>10.117314682423469</v>
      </c>
      <c r="E48" s="140">
        <v>37</v>
      </c>
      <c r="F48" s="139">
        <v>4744</v>
      </c>
      <c r="G48" s="150">
        <v>10.763715569269865</v>
      </c>
      <c r="H48" s="140">
        <v>36</v>
      </c>
      <c r="I48" s="139">
        <v>15840</v>
      </c>
      <c r="J48" s="150">
        <v>12.201697761481459</v>
      </c>
      <c r="K48" s="141">
        <v>37</v>
      </c>
      <c r="L48" s="139">
        <v>16286</v>
      </c>
      <c r="M48" s="159">
        <v>11.41499383200628</v>
      </c>
    </row>
    <row r="49" spans="1:13">
      <c r="A49" s="1" t="s">
        <v>29</v>
      </c>
      <c r="B49" s="174">
        <v>34</v>
      </c>
      <c r="C49" s="139">
        <v>4396</v>
      </c>
      <c r="D49" s="150">
        <v>7.5729125394063637</v>
      </c>
      <c r="E49" s="140">
        <v>34</v>
      </c>
      <c r="F49" s="139">
        <v>3024</v>
      </c>
      <c r="G49" s="150">
        <v>6.8611880019966422</v>
      </c>
      <c r="H49" s="140">
        <v>32</v>
      </c>
      <c r="I49" s="139">
        <v>7181</v>
      </c>
      <c r="J49" s="150">
        <v>5.5315903803786837</v>
      </c>
      <c r="K49" s="141">
        <v>35</v>
      </c>
      <c r="L49" s="139">
        <v>10920</v>
      </c>
      <c r="M49" s="159">
        <v>7.6539194796456211</v>
      </c>
    </row>
    <row r="50" spans="1:13" ht="17.5" thickBot="1">
      <c r="A50" s="1" t="s">
        <v>34</v>
      </c>
      <c r="B50" s="175" t="s">
        <v>124</v>
      </c>
      <c r="C50" s="142">
        <v>1610</v>
      </c>
      <c r="D50" s="151">
        <v>2.7735189236679356</v>
      </c>
      <c r="E50" s="143" t="s">
        <v>124</v>
      </c>
      <c r="F50" s="142">
        <v>900</v>
      </c>
      <c r="G50" s="151">
        <v>2.0420202386894766</v>
      </c>
      <c r="H50" s="143" t="s">
        <v>137</v>
      </c>
      <c r="I50" s="142">
        <v>4946</v>
      </c>
      <c r="J50" s="151">
        <v>3.8099493136545011</v>
      </c>
      <c r="K50" s="144" t="s">
        <v>125</v>
      </c>
      <c r="L50" s="142">
        <v>4170</v>
      </c>
      <c r="M50" s="160">
        <v>2.9227879331613771</v>
      </c>
    </row>
    <row r="51" spans="1:13">
      <c r="B51" s="212" t="s">
        <v>138</v>
      </c>
      <c r="C51" s="213"/>
      <c r="D51" s="214"/>
      <c r="E51" s="215" t="s">
        <v>139</v>
      </c>
      <c r="F51" s="213"/>
      <c r="G51" s="214"/>
      <c r="H51" s="215" t="s">
        <v>140</v>
      </c>
      <c r="I51" s="213"/>
      <c r="J51" s="214"/>
      <c r="K51" s="215" t="s">
        <v>141</v>
      </c>
      <c r="L51" s="213"/>
      <c r="M51" s="216"/>
    </row>
    <row r="52" spans="1:13">
      <c r="B52" s="135" t="s">
        <v>127</v>
      </c>
      <c r="C52" s="221" t="s">
        <v>132</v>
      </c>
      <c r="D52" s="223" t="s">
        <v>133</v>
      </c>
      <c r="E52" s="171" t="s">
        <v>127</v>
      </c>
      <c r="F52" s="221" t="s">
        <v>132</v>
      </c>
      <c r="G52" s="223" t="s">
        <v>133</v>
      </c>
      <c r="H52" s="171" t="s">
        <v>127</v>
      </c>
      <c r="I52" s="221" t="s">
        <v>132</v>
      </c>
      <c r="J52" s="223" t="s">
        <v>133</v>
      </c>
      <c r="K52" s="171" t="s">
        <v>127</v>
      </c>
      <c r="L52" s="221" t="s">
        <v>132</v>
      </c>
      <c r="M52" s="225" t="s">
        <v>133</v>
      </c>
    </row>
    <row r="53" spans="1:13" ht="17.5" thickBot="1">
      <c r="B53" s="176" t="s">
        <v>134</v>
      </c>
      <c r="C53" s="222"/>
      <c r="D53" s="224"/>
      <c r="E53" s="172" t="s">
        <v>134</v>
      </c>
      <c r="F53" s="222"/>
      <c r="G53" s="224"/>
      <c r="H53" s="172" t="s">
        <v>134</v>
      </c>
      <c r="I53" s="222"/>
      <c r="J53" s="224"/>
      <c r="K53" s="172" t="s">
        <v>134</v>
      </c>
      <c r="L53" s="222"/>
      <c r="M53" s="226"/>
    </row>
    <row r="54" spans="1:13" ht="17.5" thickTop="1">
      <c r="A54" s="1" t="s">
        <v>22</v>
      </c>
      <c r="B54" s="173">
        <v>69</v>
      </c>
      <c r="C54" s="136">
        <v>251</v>
      </c>
      <c r="D54" s="170">
        <v>4.875679875679876</v>
      </c>
      <c r="E54" s="137">
        <v>69</v>
      </c>
      <c r="F54" s="136">
        <v>226</v>
      </c>
      <c r="G54" s="170">
        <v>4.2164179104477615</v>
      </c>
      <c r="H54" s="137">
        <v>67</v>
      </c>
      <c r="I54" s="136">
        <v>345</v>
      </c>
      <c r="J54" s="149">
        <v>4.9934867564046899</v>
      </c>
      <c r="K54" s="138">
        <v>70</v>
      </c>
      <c r="L54" s="136">
        <v>183</v>
      </c>
      <c r="M54" s="182">
        <v>4.0594498669032832</v>
      </c>
    </row>
    <row r="55" spans="1:13">
      <c r="A55" s="1" t="s">
        <v>23</v>
      </c>
      <c r="B55" s="174">
        <v>66</v>
      </c>
      <c r="C55" s="139">
        <v>321</v>
      </c>
      <c r="D55" s="152">
        <v>6.2354312354312356</v>
      </c>
      <c r="E55" s="140">
        <v>64</v>
      </c>
      <c r="F55" s="139">
        <v>443</v>
      </c>
      <c r="G55" s="152">
        <v>8.2649253731343286</v>
      </c>
      <c r="H55" s="140">
        <v>63</v>
      </c>
      <c r="I55" s="139">
        <v>647</v>
      </c>
      <c r="J55" s="150">
        <v>9.364596902590824</v>
      </c>
      <c r="K55" s="141">
        <v>65</v>
      </c>
      <c r="L55" s="139">
        <v>355</v>
      </c>
      <c r="M55" s="180">
        <v>7.87488908606921</v>
      </c>
    </row>
    <row r="56" spans="1:13">
      <c r="A56" s="1" t="s">
        <v>24</v>
      </c>
      <c r="B56" s="174">
        <v>59</v>
      </c>
      <c r="C56" s="139">
        <v>717</v>
      </c>
      <c r="D56" s="152">
        <v>13.927738927738927</v>
      </c>
      <c r="E56" s="140">
        <v>59</v>
      </c>
      <c r="F56" s="139">
        <v>576</v>
      </c>
      <c r="G56" s="152">
        <v>10.746268656716419</v>
      </c>
      <c r="H56" s="140">
        <v>59</v>
      </c>
      <c r="I56" s="139">
        <v>694</v>
      </c>
      <c r="J56" s="150">
        <v>10.044869011434361</v>
      </c>
      <c r="K56" s="141">
        <v>60</v>
      </c>
      <c r="L56" s="139">
        <v>517</v>
      </c>
      <c r="M56" s="180">
        <v>11.468500443655723</v>
      </c>
    </row>
    <row r="57" spans="1:13">
      <c r="A57" s="1" t="s">
        <v>25</v>
      </c>
      <c r="B57" s="174">
        <v>51</v>
      </c>
      <c r="C57" s="139">
        <v>780</v>
      </c>
      <c r="D57" s="152">
        <v>15.151515151515152</v>
      </c>
      <c r="E57" s="140">
        <v>52</v>
      </c>
      <c r="F57" s="139">
        <v>909</v>
      </c>
      <c r="G57" s="152">
        <v>16.958955223880597</v>
      </c>
      <c r="H57" s="140">
        <v>53</v>
      </c>
      <c r="I57" s="139">
        <v>1098</v>
      </c>
      <c r="J57" s="150">
        <v>15.892314372557534</v>
      </c>
      <c r="K57" s="141">
        <v>50</v>
      </c>
      <c r="L57" s="139">
        <v>826</v>
      </c>
      <c r="M57" s="180">
        <v>18.322981366459626</v>
      </c>
    </row>
    <row r="58" spans="1:13">
      <c r="A58" s="1" t="s">
        <v>26</v>
      </c>
      <c r="B58" s="174">
        <v>44</v>
      </c>
      <c r="C58" s="139">
        <v>1399</v>
      </c>
      <c r="D58" s="152">
        <v>27.175602175602176</v>
      </c>
      <c r="E58" s="140">
        <v>46</v>
      </c>
      <c r="F58" s="139">
        <v>1149</v>
      </c>
      <c r="G58" s="152">
        <v>21.436567164179106</v>
      </c>
      <c r="H58" s="140">
        <v>46</v>
      </c>
      <c r="I58" s="139">
        <v>1466</v>
      </c>
      <c r="J58" s="150">
        <v>21.218700246055871</v>
      </c>
      <c r="K58" s="141">
        <v>44</v>
      </c>
      <c r="L58" s="139">
        <v>1136</v>
      </c>
      <c r="M58" s="180">
        <v>25.199645075421472</v>
      </c>
    </row>
    <row r="59" spans="1:13">
      <c r="A59" s="1" t="s">
        <v>27</v>
      </c>
      <c r="B59" s="174">
        <v>41</v>
      </c>
      <c r="C59" s="139">
        <v>774</v>
      </c>
      <c r="D59" s="152">
        <v>15.034965034965035</v>
      </c>
      <c r="E59" s="140">
        <v>41</v>
      </c>
      <c r="F59" s="139">
        <v>1008</v>
      </c>
      <c r="G59" s="152">
        <v>18.805970149253731</v>
      </c>
      <c r="H59" s="140">
        <v>41</v>
      </c>
      <c r="I59" s="139">
        <v>1101</v>
      </c>
      <c r="J59" s="150">
        <v>15.935735996526271</v>
      </c>
      <c r="K59" s="141">
        <v>41</v>
      </c>
      <c r="L59" s="139">
        <v>903</v>
      </c>
      <c r="M59" s="180">
        <v>20.031055900621119</v>
      </c>
    </row>
    <row r="60" spans="1:13">
      <c r="A60" s="1" t="s">
        <v>28</v>
      </c>
      <c r="B60" s="174">
        <v>40</v>
      </c>
      <c r="C60" s="139">
        <v>367</v>
      </c>
      <c r="D60" s="152">
        <v>7.1289821289821287</v>
      </c>
      <c r="E60" s="140">
        <v>38</v>
      </c>
      <c r="F60" s="139">
        <v>518</v>
      </c>
      <c r="G60" s="152">
        <v>9.6641791044776113</v>
      </c>
      <c r="H60" s="140">
        <v>38</v>
      </c>
      <c r="I60" s="139">
        <v>875</v>
      </c>
      <c r="J60" s="150">
        <v>12.664640324214792</v>
      </c>
      <c r="K60" s="141">
        <v>40</v>
      </c>
      <c r="L60" s="139">
        <v>113</v>
      </c>
      <c r="M60" s="180">
        <v>2.5066548358473826</v>
      </c>
    </row>
    <row r="61" spans="1:13">
      <c r="A61" s="1" t="s">
        <v>29</v>
      </c>
      <c r="B61" s="174">
        <v>37</v>
      </c>
      <c r="C61" s="139">
        <v>387</v>
      </c>
      <c r="D61" s="152">
        <v>7.5174825174825175</v>
      </c>
      <c r="E61" s="140">
        <v>36</v>
      </c>
      <c r="F61" s="139">
        <v>412</v>
      </c>
      <c r="G61" s="152">
        <v>7.6865671641791042</v>
      </c>
      <c r="H61" s="140">
        <v>35</v>
      </c>
      <c r="I61" s="139">
        <v>497</v>
      </c>
      <c r="J61" s="150">
        <v>7.1935157041540023</v>
      </c>
      <c r="K61" s="141">
        <v>37</v>
      </c>
      <c r="L61" s="139">
        <v>378</v>
      </c>
      <c r="M61" s="180">
        <v>8.3850931677018625</v>
      </c>
    </row>
    <row r="62" spans="1:13" ht="17.5" thickBot="1">
      <c r="A62" s="1" t="s">
        <v>34</v>
      </c>
      <c r="B62" s="181" t="s">
        <v>126</v>
      </c>
      <c r="C62" s="162">
        <v>152</v>
      </c>
      <c r="D62" s="183">
        <v>2.9526029526029527</v>
      </c>
      <c r="E62" s="177" t="s">
        <v>135</v>
      </c>
      <c r="F62" s="162">
        <v>119</v>
      </c>
      <c r="G62" s="183">
        <v>2.2201492537313432</v>
      </c>
      <c r="H62" s="177" t="s">
        <v>125</v>
      </c>
      <c r="I62" s="162">
        <v>186</v>
      </c>
      <c r="J62" s="178">
        <v>2.6921406860616588</v>
      </c>
      <c r="K62" s="169" t="s">
        <v>126</v>
      </c>
      <c r="L62" s="162">
        <v>97</v>
      </c>
      <c r="M62" s="179">
        <v>2.1517302573203194</v>
      </c>
    </row>
    <row r="67" spans="1:13">
      <c r="B67" s="1" t="s">
        <v>42</v>
      </c>
      <c r="E67" s="1" t="s">
        <v>43</v>
      </c>
      <c r="H67" s="1" t="s">
        <v>44</v>
      </c>
      <c r="K67" s="1" t="s">
        <v>45</v>
      </c>
    </row>
    <row r="68" spans="1:13">
      <c r="A68" s="1" t="s">
        <v>22</v>
      </c>
      <c r="B68" s="187">
        <v>68</v>
      </c>
      <c r="C68" s="186">
        <v>172</v>
      </c>
      <c r="D68" s="191">
        <v>4.8974943052391797</v>
      </c>
      <c r="E68" s="185">
        <v>65</v>
      </c>
      <c r="F68" s="186">
        <v>10</v>
      </c>
      <c r="G68" s="191">
        <v>4.2735042735042734</v>
      </c>
      <c r="H68" s="185">
        <v>65</v>
      </c>
      <c r="I68" s="186">
        <v>73</v>
      </c>
      <c r="J68" s="191">
        <v>5.6414219474497678</v>
      </c>
      <c r="K68" s="185">
        <v>68</v>
      </c>
      <c r="L68" s="186">
        <v>59</v>
      </c>
      <c r="M68" s="193">
        <v>5.6244041944709249</v>
      </c>
    </row>
    <row r="69" spans="1:13">
      <c r="A69" s="1" t="s">
        <v>23</v>
      </c>
      <c r="B69" s="190">
        <v>64</v>
      </c>
      <c r="C69" s="189">
        <v>310</v>
      </c>
      <c r="D69" s="192">
        <v>8.8268792710706148</v>
      </c>
      <c r="E69" s="188">
        <v>63</v>
      </c>
      <c r="F69" s="189">
        <v>18</v>
      </c>
      <c r="G69" s="192">
        <v>7.6923076923076925</v>
      </c>
      <c r="H69" s="188">
        <v>63</v>
      </c>
      <c r="I69" s="189">
        <v>88</v>
      </c>
      <c r="J69" s="192">
        <v>6.800618238021638</v>
      </c>
      <c r="K69" s="188">
        <v>65</v>
      </c>
      <c r="L69" s="189">
        <v>63</v>
      </c>
      <c r="M69" s="194">
        <v>6.0057197330791228</v>
      </c>
    </row>
    <row r="70" spans="1:13">
      <c r="A70" s="1" t="s">
        <v>24</v>
      </c>
      <c r="B70" s="141">
        <v>59</v>
      </c>
      <c r="C70" s="139">
        <v>384</v>
      </c>
      <c r="D70" s="150">
        <v>10.933940774487471</v>
      </c>
      <c r="E70" s="140">
        <v>60</v>
      </c>
      <c r="F70" s="139">
        <v>26</v>
      </c>
      <c r="G70" s="150">
        <v>11.111111111111111</v>
      </c>
      <c r="H70" s="141">
        <v>60</v>
      </c>
      <c r="I70" s="139">
        <v>148</v>
      </c>
      <c r="J70" s="150">
        <v>11.437403400309119</v>
      </c>
      <c r="K70" s="141">
        <v>58</v>
      </c>
      <c r="L70" s="139">
        <v>155</v>
      </c>
      <c r="M70" s="159">
        <v>14.775977121067683</v>
      </c>
    </row>
    <row r="71" spans="1:13">
      <c r="A71" s="1" t="s">
        <v>25</v>
      </c>
      <c r="B71" s="141">
        <v>51</v>
      </c>
      <c r="C71" s="139">
        <v>666</v>
      </c>
      <c r="D71" s="150">
        <v>18.963553530751707</v>
      </c>
      <c r="E71" s="140">
        <v>53</v>
      </c>
      <c r="F71" s="139">
        <v>45</v>
      </c>
      <c r="G71" s="150">
        <v>19.23076923076923</v>
      </c>
      <c r="H71" s="141">
        <v>54</v>
      </c>
      <c r="I71" s="139">
        <v>235</v>
      </c>
      <c r="J71" s="150">
        <v>18.160741885625967</v>
      </c>
      <c r="K71" s="141">
        <v>52</v>
      </c>
      <c r="L71" s="139">
        <v>168</v>
      </c>
      <c r="M71" s="159">
        <v>16.015252621544327</v>
      </c>
    </row>
    <row r="72" spans="1:13">
      <c r="A72" s="1" t="s">
        <v>26</v>
      </c>
      <c r="B72" s="141">
        <v>46</v>
      </c>
      <c r="C72" s="139">
        <v>588</v>
      </c>
      <c r="D72" s="150">
        <v>16.742596810933939</v>
      </c>
      <c r="E72" s="140">
        <v>48</v>
      </c>
      <c r="F72" s="139">
        <v>43</v>
      </c>
      <c r="G72" s="150">
        <v>18.376068376068375</v>
      </c>
      <c r="H72" s="141">
        <v>46</v>
      </c>
      <c r="I72" s="139">
        <v>244</v>
      </c>
      <c r="J72" s="150">
        <v>18.856259659969087</v>
      </c>
      <c r="K72" s="141">
        <v>46</v>
      </c>
      <c r="L72" s="139">
        <v>187</v>
      </c>
      <c r="M72" s="159">
        <v>17.82650142993327</v>
      </c>
    </row>
    <row r="73" spans="1:13">
      <c r="A73" s="1" t="s">
        <v>27</v>
      </c>
      <c r="B73" s="141">
        <v>42</v>
      </c>
      <c r="C73" s="139">
        <v>644</v>
      </c>
      <c r="D73" s="150">
        <v>18.337129840546698</v>
      </c>
      <c r="E73" s="140">
        <v>42</v>
      </c>
      <c r="F73" s="139">
        <v>40</v>
      </c>
      <c r="G73" s="150">
        <v>17.094017094017094</v>
      </c>
      <c r="H73" s="141">
        <v>41</v>
      </c>
      <c r="I73" s="139">
        <v>222</v>
      </c>
      <c r="J73" s="150">
        <v>17.15610510046368</v>
      </c>
      <c r="K73" s="141">
        <v>41</v>
      </c>
      <c r="L73" s="139">
        <v>192</v>
      </c>
      <c r="M73" s="159">
        <v>18.303145853193517</v>
      </c>
    </row>
    <row r="74" spans="1:13">
      <c r="A74" s="1" t="s">
        <v>28</v>
      </c>
      <c r="B74" s="141">
        <v>38</v>
      </c>
      <c r="C74" s="139">
        <v>432</v>
      </c>
      <c r="D74" s="150">
        <v>12.300683371298405</v>
      </c>
      <c r="E74" s="140">
        <v>36</v>
      </c>
      <c r="F74" s="139">
        <v>27</v>
      </c>
      <c r="G74" s="150">
        <v>11.538461538461538</v>
      </c>
      <c r="H74" s="141">
        <v>37</v>
      </c>
      <c r="I74" s="139">
        <v>174</v>
      </c>
      <c r="J74" s="150">
        <v>13.446676970633694</v>
      </c>
      <c r="K74" s="141">
        <v>38</v>
      </c>
      <c r="L74" s="139">
        <v>137</v>
      </c>
      <c r="M74" s="159">
        <v>13.06005719733079</v>
      </c>
    </row>
    <row r="75" spans="1:13">
      <c r="A75" s="1" t="s">
        <v>29</v>
      </c>
      <c r="B75" s="141">
        <v>35</v>
      </c>
      <c r="C75" s="139">
        <v>193</v>
      </c>
      <c r="D75" s="150">
        <v>5.4954441913439638</v>
      </c>
      <c r="E75" s="140">
        <v>32</v>
      </c>
      <c r="F75" s="139">
        <v>21</v>
      </c>
      <c r="G75" s="150">
        <v>8.9743589743589745</v>
      </c>
      <c r="H75" s="141">
        <v>34</v>
      </c>
      <c r="I75" s="139">
        <v>89</v>
      </c>
      <c r="J75" s="150">
        <v>6.8778979907264297</v>
      </c>
      <c r="K75" s="141">
        <v>35</v>
      </c>
      <c r="L75" s="139">
        <v>63</v>
      </c>
      <c r="M75" s="159">
        <v>6.0057197330791228</v>
      </c>
    </row>
    <row r="76" spans="1:13" ht="17.5" thickBot="1">
      <c r="A76" s="1" t="s">
        <v>34</v>
      </c>
      <c r="B76" s="155" t="s">
        <v>125</v>
      </c>
      <c r="C76" s="156">
        <v>123</v>
      </c>
      <c r="D76" s="157">
        <v>3.5022779043280181</v>
      </c>
      <c r="E76" s="197" t="s">
        <v>137</v>
      </c>
      <c r="F76" s="156">
        <v>4</v>
      </c>
      <c r="G76" s="157">
        <v>1.7094017094017093</v>
      </c>
      <c r="H76" s="155" t="s">
        <v>124</v>
      </c>
      <c r="I76" s="156">
        <v>21</v>
      </c>
      <c r="J76" s="157">
        <v>1.6228748068006182</v>
      </c>
      <c r="K76" s="155" t="s">
        <v>125</v>
      </c>
      <c r="L76" s="156">
        <v>25</v>
      </c>
      <c r="M76" s="161">
        <v>2.3832221163012393</v>
      </c>
    </row>
    <row r="77" spans="1:13">
      <c r="B77" s="220" t="s">
        <v>142</v>
      </c>
      <c r="C77" s="218"/>
      <c r="D77" s="219"/>
      <c r="E77" s="217" t="s">
        <v>143</v>
      </c>
      <c r="F77" s="218"/>
      <c r="G77" s="219"/>
      <c r="H77" s="206"/>
      <c r="I77" s="206"/>
      <c r="J77" s="206"/>
      <c r="K77" s="206"/>
      <c r="L77" s="206"/>
      <c r="M77" s="207"/>
    </row>
    <row r="78" spans="1:13">
      <c r="B78" s="145" t="s">
        <v>127</v>
      </c>
      <c r="C78" s="202" t="s">
        <v>132</v>
      </c>
      <c r="D78" s="204" t="s">
        <v>133</v>
      </c>
      <c r="E78" s="145" t="s">
        <v>127</v>
      </c>
      <c r="F78" s="202" t="s">
        <v>132</v>
      </c>
      <c r="G78" s="204" t="s">
        <v>133</v>
      </c>
      <c r="H78" s="208"/>
      <c r="I78" s="208"/>
      <c r="J78" s="208"/>
      <c r="K78" s="208"/>
      <c r="L78" s="208"/>
      <c r="M78" s="209"/>
    </row>
    <row r="79" spans="1:13" ht="17.5" thickBot="1">
      <c r="B79" s="184" t="s">
        <v>134</v>
      </c>
      <c r="C79" s="203"/>
      <c r="D79" s="205"/>
      <c r="E79" s="184" t="s">
        <v>134</v>
      </c>
      <c r="F79" s="203"/>
      <c r="G79" s="205"/>
      <c r="H79" s="208"/>
      <c r="I79" s="208"/>
      <c r="J79" s="208"/>
      <c r="K79" s="208"/>
      <c r="L79" s="208"/>
      <c r="M79" s="209"/>
    </row>
    <row r="80" spans="1:13" ht="17.5" thickTop="1">
      <c r="A80" s="1" t="s">
        <v>22</v>
      </c>
      <c r="B80" s="187">
        <v>66</v>
      </c>
      <c r="C80" s="186">
        <v>1</v>
      </c>
      <c r="D80" s="191">
        <v>5.882352941176471</v>
      </c>
      <c r="E80" s="185">
        <v>66</v>
      </c>
      <c r="F80" s="186">
        <v>85</v>
      </c>
      <c r="G80" s="191">
        <v>8.2205029013539654</v>
      </c>
      <c r="H80" s="208"/>
      <c r="I80" s="208"/>
      <c r="J80" s="208"/>
      <c r="K80" s="208"/>
      <c r="L80" s="208"/>
      <c r="M80" s="209"/>
    </row>
    <row r="81" spans="1:13">
      <c r="A81" s="1" t="s">
        <v>23</v>
      </c>
      <c r="B81" s="190">
        <v>64</v>
      </c>
      <c r="C81" s="189">
        <v>1</v>
      </c>
      <c r="D81" s="192">
        <v>5.882352941176471</v>
      </c>
      <c r="E81" s="188">
        <v>63</v>
      </c>
      <c r="F81" s="189">
        <v>90</v>
      </c>
      <c r="G81" s="192">
        <v>8.7040618955512574</v>
      </c>
      <c r="H81" s="208"/>
      <c r="I81" s="208"/>
      <c r="J81" s="208"/>
      <c r="K81" s="208"/>
      <c r="L81" s="208"/>
      <c r="M81" s="209"/>
    </row>
    <row r="82" spans="1:13">
      <c r="A82" s="1" t="s">
        <v>24</v>
      </c>
      <c r="B82" s="141">
        <v>59</v>
      </c>
      <c r="C82" s="139">
        <v>2</v>
      </c>
      <c r="D82" s="195">
        <v>11.764705882352942</v>
      </c>
      <c r="E82" s="140">
        <v>61</v>
      </c>
      <c r="F82" s="139">
        <v>72</v>
      </c>
      <c r="G82" s="150">
        <v>6.9632495164410058</v>
      </c>
      <c r="H82" s="208"/>
      <c r="I82" s="208"/>
      <c r="J82" s="208"/>
      <c r="K82" s="208"/>
      <c r="L82" s="208"/>
      <c r="M82" s="209"/>
    </row>
    <row r="83" spans="1:13">
      <c r="A83" s="1" t="s">
        <v>25</v>
      </c>
      <c r="B83" s="141">
        <v>53</v>
      </c>
      <c r="C83" s="139">
        <v>3</v>
      </c>
      <c r="D83" s="195">
        <v>17.647058823529413</v>
      </c>
      <c r="E83" s="140">
        <v>53</v>
      </c>
      <c r="F83" s="139">
        <v>167</v>
      </c>
      <c r="G83" s="150">
        <v>16.150870406189554</v>
      </c>
      <c r="H83" s="208"/>
      <c r="I83" s="208"/>
      <c r="J83" s="208"/>
      <c r="K83" s="208"/>
      <c r="L83" s="208"/>
      <c r="M83" s="209"/>
    </row>
    <row r="84" spans="1:13">
      <c r="A84" s="1" t="s">
        <v>26</v>
      </c>
      <c r="B84" s="141">
        <v>50</v>
      </c>
      <c r="C84" s="139">
        <v>4</v>
      </c>
      <c r="D84" s="195">
        <v>23.529411764705884</v>
      </c>
      <c r="E84" s="140">
        <v>46</v>
      </c>
      <c r="F84" s="139">
        <v>225</v>
      </c>
      <c r="G84" s="150">
        <v>21.760154738878143</v>
      </c>
      <c r="H84" s="208"/>
      <c r="I84" s="208"/>
      <c r="J84" s="208"/>
      <c r="K84" s="208"/>
      <c r="L84" s="208"/>
      <c r="M84" s="209"/>
    </row>
    <row r="85" spans="1:13">
      <c r="A85" s="1" t="s">
        <v>27</v>
      </c>
      <c r="B85" s="141">
        <v>41</v>
      </c>
      <c r="C85" s="139">
        <v>3</v>
      </c>
      <c r="D85" s="195">
        <v>17.647058823529413</v>
      </c>
      <c r="E85" s="140">
        <v>41</v>
      </c>
      <c r="F85" s="139">
        <v>164</v>
      </c>
      <c r="G85" s="150">
        <v>15.860735009671179</v>
      </c>
      <c r="H85" s="208"/>
      <c r="I85" s="208"/>
      <c r="J85" s="208"/>
      <c r="K85" s="208"/>
      <c r="L85" s="208"/>
      <c r="M85" s="209"/>
    </row>
    <row r="86" spans="1:13">
      <c r="A86" s="1" t="s">
        <v>28</v>
      </c>
      <c r="B86" s="141">
        <v>34</v>
      </c>
      <c r="C86" s="139">
        <v>2</v>
      </c>
      <c r="D86" s="195">
        <v>11.764705882352942</v>
      </c>
      <c r="E86" s="140">
        <v>38</v>
      </c>
      <c r="F86" s="139">
        <v>129</v>
      </c>
      <c r="G86" s="150">
        <v>12.475822050290136</v>
      </c>
      <c r="H86" s="208"/>
      <c r="I86" s="208"/>
      <c r="J86" s="208"/>
      <c r="K86" s="208"/>
      <c r="L86" s="208"/>
      <c r="M86" s="209"/>
    </row>
    <row r="87" spans="1:13">
      <c r="A87" s="1" t="s">
        <v>29</v>
      </c>
      <c r="B87" s="141">
        <v>28</v>
      </c>
      <c r="C87" s="139">
        <v>1</v>
      </c>
      <c r="D87" s="195">
        <v>5.882352941176471</v>
      </c>
      <c r="E87" s="140">
        <v>35</v>
      </c>
      <c r="F87" s="139">
        <v>76</v>
      </c>
      <c r="G87" s="150">
        <v>7.3500967117988392</v>
      </c>
      <c r="H87" s="208"/>
      <c r="I87" s="208"/>
      <c r="J87" s="208"/>
      <c r="K87" s="208"/>
      <c r="L87" s="208"/>
      <c r="M87" s="209"/>
    </row>
    <row r="88" spans="1:13" ht="17.5" thickBot="1">
      <c r="A88" s="1" t="s">
        <v>34</v>
      </c>
      <c r="B88" s="169" t="s">
        <v>144</v>
      </c>
      <c r="C88" s="162" t="s">
        <v>145</v>
      </c>
      <c r="D88" s="196" t="s">
        <v>145</v>
      </c>
      <c r="E88" s="177" t="s">
        <v>125</v>
      </c>
      <c r="F88" s="162">
        <v>26</v>
      </c>
      <c r="G88" s="178">
        <v>2.5145067698259189</v>
      </c>
      <c r="H88" s="210"/>
      <c r="I88" s="210"/>
      <c r="J88" s="210"/>
      <c r="K88" s="210"/>
      <c r="L88" s="210"/>
      <c r="M88" s="211"/>
    </row>
    <row r="89" spans="1:13">
      <c r="B89" s="198"/>
      <c r="C89" s="198"/>
      <c r="D89" s="198"/>
      <c r="E89" s="198"/>
      <c r="F89" s="198"/>
      <c r="G89" s="198"/>
      <c r="H89" s="198"/>
      <c r="I89" s="198"/>
      <c r="J89" s="198"/>
      <c r="K89" s="198"/>
      <c r="L89" s="198"/>
      <c r="M89" s="198"/>
    </row>
  </sheetData>
  <mergeCells count="35">
    <mergeCell ref="E25:M36"/>
    <mergeCell ref="B25:D25"/>
    <mergeCell ref="C26:C27"/>
    <mergeCell ref="D26:D27"/>
    <mergeCell ref="H13:J13"/>
    <mergeCell ref="B13:D13"/>
    <mergeCell ref="E13:G13"/>
    <mergeCell ref="K13:M13"/>
    <mergeCell ref="F14:F15"/>
    <mergeCell ref="G14:G15"/>
    <mergeCell ref="M14:M15"/>
    <mergeCell ref="I14:I15"/>
    <mergeCell ref="J14:J15"/>
    <mergeCell ref="D14:D15"/>
    <mergeCell ref="L14:L15"/>
    <mergeCell ref="C14:C15"/>
    <mergeCell ref="B51:D51"/>
    <mergeCell ref="E51:G51"/>
    <mergeCell ref="H51:J51"/>
    <mergeCell ref="K51:M51"/>
    <mergeCell ref="E77:G77"/>
    <mergeCell ref="B77:D77"/>
    <mergeCell ref="C52:C53"/>
    <mergeCell ref="D52:D53"/>
    <mergeCell ref="M52:M53"/>
    <mergeCell ref="F52:F53"/>
    <mergeCell ref="G52:G53"/>
    <mergeCell ref="I52:I53"/>
    <mergeCell ref="J52:J53"/>
    <mergeCell ref="L52:L53"/>
    <mergeCell ref="C78:C79"/>
    <mergeCell ref="D78:D79"/>
    <mergeCell ref="G78:G79"/>
    <mergeCell ref="F78:F79"/>
    <mergeCell ref="H77:M8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8"/>
  <dimension ref="A1:P105"/>
  <sheetViews>
    <sheetView zoomScale="70" zoomScaleNormal="7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기능'!D4</f>
        <v>23.738739252111589</v>
      </c>
      <c r="I3" s="109" t="s">
        <v>54</v>
      </c>
      <c r="J3" s="110">
        <f>'통계 및 응시자 수 입력 기능'!C4</f>
        <v>157938</v>
      </c>
      <c r="K3" s="25"/>
    </row>
    <row r="4" spans="1:16" ht="25" customHeight="1" thickBot="1">
      <c r="A4" s="5"/>
      <c r="B4" s="24"/>
      <c r="C4" s="42" t="s">
        <v>55</v>
      </c>
      <c r="D4" s="242" t="s">
        <v>56</v>
      </c>
      <c r="E4" s="243"/>
      <c r="F4" s="244"/>
      <c r="G4" s="43" t="s">
        <v>57</v>
      </c>
      <c r="H4" s="108">
        <f>'통계 및 응시자 수 입력 기능'!E4</f>
        <v>9.659493775096859</v>
      </c>
      <c r="I4" s="106"/>
      <c r="J4" s="106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77</v>
      </c>
      <c r="E7" s="50">
        <f t="shared" ref="E7:E11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기능'!$B$5:$E$55,4,FALSE),0)</f>
        <v>85</v>
      </c>
      <c r="H7" s="53">
        <f>G7/J3</f>
        <v>5.3818587040484244E-4</v>
      </c>
      <c r="I7" s="54">
        <f>G7</f>
        <v>85</v>
      </c>
      <c r="J7" s="55">
        <f>I7/J3</f>
        <v>5.3818587040484244E-4</v>
      </c>
      <c r="K7" s="25"/>
      <c r="M7" s="1"/>
      <c r="O7" s="1">
        <v>1</v>
      </c>
      <c r="P7" s="1">
        <f>'표준점수 등급컷 입력기능'!B4</f>
        <v>68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입력기능'!B5</f>
        <v>64</v>
      </c>
    </row>
    <row r="9" spans="1:16" ht="25" customHeight="1">
      <c r="A9" s="5"/>
      <c r="B9" s="24"/>
      <c r="C9" s="49">
        <v>48</v>
      </c>
      <c r="D9" s="50">
        <f>ROUND(10*(C9-$H$3)/$H$4+50,0)</f>
        <v>75</v>
      </c>
      <c r="E9" s="50">
        <f t="shared" si="0"/>
        <v>1</v>
      </c>
      <c r="F9" s="51">
        <f>IF(I8=0,ROUND(100*(1-(I7+I9)/2/$J$3),0),ROUND(100*(1-(I8+I9)/2/$J$3),0))</f>
        <v>100</v>
      </c>
      <c r="G9" s="52">
        <f>_xlfn.IFNA(VLOOKUP(D9,'인원 입력 기능'!$B$5:$E$55,4,FALSE),0)</f>
        <v>179</v>
      </c>
      <c r="H9" s="53">
        <f>G9/$J$3</f>
        <v>1.1333561270878447E-3</v>
      </c>
      <c r="I9" s="57">
        <f>SUM($G$7:G9)</f>
        <v>264</v>
      </c>
      <c r="J9" s="55">
        <f>I9/$J$3</f>
        <v>1.6715419974926871E-3</v>
      </c>
      <c r="K9" s="25"/>
      <c r="M9" s="1"/>
      <c r="O9" s="1">
        <v>3</v>
      </c>
      <c r="P9" s="1">
        <f>'표준점수 등급컷 입력기능'!B6</f>
        <v>59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74</v>
      </c>
      <c r="E10" s="50">
        <f t="shared" si="0"/>
        <v>1</v>
      </c>
      <c r="F10" s="51">
        <f>IF(I9=0,ROUND(100*(1-(I8+I10)/2/$J$3),0),ROUND(100*(1-(I9+I10)/2/$J$3),0))</f>
        <v>100</v>
      </c>
      <c r="G10" s="52">
        <f>IF(D10=D9,"",_xlfn.IFNA(VLOOKUP(D10,'인원 입력 기능'!$B$5:$E$55,4,FALSE),0))</f>
        <v>400</v>
      </c>
      <c r="H10" s="53">
        <f t="shared" ref="H10:H55" si="2">G10/$J$3</f>
        <v>2.5326393901404349E-3</v>
      </c>
      <c r="I10" s="57">
        <f>SUM($G$7:G10)</f>
        <v>664</v>
      </c>
      <c r="J10" s="55">
        <f t="shared" ref="J10:J55" si="3">I10/$J$3</f>
        <v>4.2041813876331222E-3</v>
      </c>
      <c r="K10" s="25"/>
      <c r="M10" s="1"/>
      <c r="O10" s="1">
        <v>4</v>
      </c>
      <c r="P10" s="1">
        <f>'표준점수 등급컷 입력기능'!B7</f>
        <v>52</v>
      </c>
    </row>
    <row r="11" spans="1:16" ht="25" customHeight="1">
      <c r="A11" s="5"/>
      <c r="B11" s="24"/>
      <c r="C11" s="49">
        <v>46</v>
      </c>
      <c r="D11" s="50">
        <f t="shared" si="1"/>
        <v>73</v>
      </c>
      <c r="E11" s="50">
        <f t="shared" si="0"/>
        <v>1</v>
      </c>
      <c r="F11" s="51">
        <f t="shared" ref="F11:F55" si="4">IF(I10=0,ROUND(100*(1-(I9+I11)/2/$J$3),0),ROUND(100*(1-(I10+I11)/2/$J$3),0))</f>
        <v>100</v>
      </c>
      <c r="G11" s="52">
        <f>IF(D11=D10,"",_xlfn.IFNA(VLOOKUP(D11,'인원 입력 기능'!$B$5:$E$55,4,FALSE),0))</f>
        <v>111</v>
      </c>
      <c r="H11" s="53">
        <f t="shared" si="2"/>
        <v>7.0280743076397067E-4</v>
      </c>
      <c r="I11" s="57">
        <f>SUM($G$7:G11)</f>
        <v>775</v>
      </c>
      <c r="J11" s="55">
        <f t="shared" si="3"/>
        <v>4.9069888183970924E-3</v>
      </c>
      <c r="K11" s="25"/>
      <c r="M11" s="1"/>
      <c r="O11" s="1">
        <v>5</v>
      </c>
      <c r="P11" s="1">
        <f>'표준점수 등급컷 입력기능'!B8</f>
        <v>46</v>
      </c>
    </row>
    <row r="12" spans="1:16" ht="25" customHeight="1">
      <c r="A12" s="5"/>
      <c r="B12" s="24"/>
      <c r="C12" s="56">
        <v>45</v>
      </c>
      <c r="D12" s="50">
        <f t="shared" ref="D12:D51" si="5">ROUND(10*(C12-$H$3)/$H$4+50,0)</f>
        <v>72</v>
      </c>
      <c r="E12" s="50">
        <f t="shared" ref="E12:E51" si="6">IF(ROUND(D12,0)&gt;=$P$7,1,IF(ROUND(D12,0)&gt;=$P$8,2,IF(ROUND(D12,0)&gt;=$P$9,3,IF(ROUND(D12,0)&gt;=$P$10,4,IF(ROUND(D12,0)&gt;=$P$11,5,IF(ROUND(D12,0)&gt;=$P$12,6,IF(ROUND(D12,0)&gt;=$P$13,7,IF(ROUND(D12,0)&gt;=$P$14,8,9))))))))</f>
        <v>1</v>
      </c>
      <c r="F12" s="51">
        <f t="shared" ref="F12:F51" si="7">IF(I11=0,ROUND(100*(1-(I10+I12)/2/$J$3),0),ROUND(100*(1-(I11+I12)/2/$J$3),0))</f>
        <v>99</v>
      </c>
      <c r="G12" s="52">
        <f>IF(D12=D11,"",_xlfn.IFNA(VLOOKUP(D12,'인원 입력 기능'!$B$5:$E$55,4,FALSE),0))</f>
        <v>1006</v>
      </c>
      <c r="H12" s="53">
        <f t="shared" si="2"/>
        <v>6.3695880662031938E-3</v>
      </c>
      <c r="I12" s="57">
        <f>SUM($G$7:G12)</f>
        <v>1781</v>
      </c>
      <c r="J12" s="55">
        <f t="shared" si="3"/>
        <v>1.1276576884600285E-2</v>
      </c>
      <c r="K12" s="25"/>
      <c r="M12" s="1"/>
      <c r="O12" s="1">
        <v>6</v>
      </c>
      <c r="P12" s="1">
        <f>'표준점수 등급컷 입력기능'!B9</f>
        <v>42</v>
      </c>
    </row>
    <row r="13" spans="1:16" ht="25" customHeight="1">
      <c r="A13" s="5"/>
      <c r="B13" s="24"/>
      <c r="C13" s="49">
        <v>44</v>
      </c>
      <c r="D13" s="50">
        <f t="shared" si="5"/>
        <v>71</v>
      </c>
      <c r="E13" s="50">
        <f t="shared" si="6"/>
        <v>1</v>
      </c>
      <c r="F13" s="51">
        <f t="shared" si="7"/>
        <v>99</v>
      </c>
      <c r="G13" s="52">
        <f>IF(D13=D12,"",_xlfn.IFNA(VLOOKUP(D13,'인원 입력 기능'!$B$5:$E$55,4,FALSE),0))</f>
        <v>750</v>
      </c>
      <c r="H13" s="53">
        <f t="shared" si="2"/>
        <v>4.7486988565133151E-3</v>
      </c>
      <c r="I13" s="57">
        <f>SUM($G$7:G13)</f>
        <v>2531</v>
      </c>
      <c r="J13" s="55">
        <f t="shared" si="3"/>
        <v>1.6025275741113603E-2</v>
      </c>
      <c r="K13" s="25"/>
      <c r="M13" s="1"/>
      <c r="O13" s="1">
        <v>7</v>
      </c>
      <c r="P13" s="1">
        <f>'표준점수 등급컷 입력기능'!B10</f>
        <v>38</v>
      </c>
    </row>
    <row r="14" spans="1:16" ht="25" customHeight="1">
      <c r="A14" s="5"/>
      <c r="B14" s="24"/>
      <c r="C14" s="56">
        <v>43</v>
      </c>
      <c r="D14" s="50">
        <f t="shared" si="5"/>
        <v>70</v>
      </c>
      <c r="E14" s="50">
        <f t="shared" si="6"/>
        <v>1</v>
      </c>
      <c r="F14" s="51">
        <f t="shared" si="7"/>
        <v>98</v>
      </c>
      <c r="G14" s="52">
        <f>IF(D14=D13,"",_xlfn.IFNA(VLOOKUP(D14,'인원 입력 기능'!$B$5:$E$55,4,FALSE),0))</f>
        <v>582</v>
      </c>
      <c r="H14" s="53">
        <f t="shared" si="2"/>
        <v>3.6849903126543325E-3</v>
      </c>
      <c r="I14" s="57">
        <f>SUM($G$7:G14)</f>
        <v>3113</v>
      </c>
      <c r="J14" s="55">
        <f t="shared" si="3"/>
        <v>1.9710266053767935E-2</v>
      </c>
      <c r="K14" s="25"/>
      <c r="M14" s="1"/>
      <c r="O14" s="1">
        <v>8</v>
      </c>
      <c r="P14" s="1">
        <f>'표준점수 등급컷 입력기능'!B11</f>
        <v>34</v>
      </c>
    </row>
    <row r="15" spans="1:16" ht="25" customHeight="1">
      <c r="A15" s="5"/>
      <c r="B15" s="24"/>
      <c r="C15" s="49">
        <v>42</v>
      </c>
      <c r="D15" s="50">
        <f t="shared" si="5"/>
        <v>69</v>
      </c>
      <c r="E15" s="50">
        <f t="shared" si="6"/>
        <v>1</v>
      </c>
      <c r="F15" s="51">
        <f t="shared" si="7"/>
        <v>97</v>
      </c>
      <c r="G15" s="52">
        <f>IF(D15=D14,"",_xlfn.IFNA(VLOOKUP(D15,'인원 입력 기능'!$B$5:$E$55,4,FALSE),0))</f>
        <v>2417</v>
      </c>
      <c r="H15" s="53">
        <f t="shared" si="2"/>
        <v>1.5303473514923577E-2</v>
      </c>
      <c r="I15" s="57">
        <f>SUM($G$7:G15)</f>
        <v>5530</v>
      </c>
      <c r="J15" s="55">
        <f t="shared" si="3"/>
        <v>3.5013739568691513E-2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5"/>
        <v>68</v>
      </c>
      <c r="E16" s="50">
        <f t="shared" si="6"/>
        <v>1</v>
      </c>
      <c r="F16" s="51">
        <f t="shared" si="7"/>
        <v>96</v>
      </c>
      <c r="G16" s="52">
        <f>IF(D16=D15,"",_xlfn.IFNA(VLOOKUP(D16,'인원 입력 기능'!$B$5:$E$55,4,FALSE),0))</f>
        <v>1158</v>
      </c>
      <c r="H16" s="53">
        <f t="shared" si="2"/>
        <v>7.3319910344565586E-3</v>
      </c>
      <c r="I16" s="57">
        <f>SUM($G$7:G16)</f>
        <v>6688</v>
      </c>
      <c r="J16" s="55">
        <f t="shared" si="3"/>
        <v>4.2345730603148071E-2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5"/>
        <v>67</v>
      </c>
      <c r="E17" s="50">
        <f t="shared" si="6"/>
        <v>2</v>
      </c>
      <c r="F17" s="51">
        <f t="shared" si="7"/>
        <v>95</v>
      </c>
      <c r="G17" s="52">
        <f>IF(D17=D16,"",_xlfn.IFNA(VLOOKUP(D17,'인원 입력 기능'!$B$5:$E$55,4,FALSE),0))</f>
        <v>2056</v>
      </c>
      <c r="H17" s="53">
        <f t="shared" si="2"/>
        <v>1.3017766465321835E-2</v>
      </c>
      <c r="I17" s="57">
        <f>SUM($G$7:G17)</f>
        <v>8744</v>
      </c>
      <c r="J17" s="55">
        <f t="shared" si="3"/>
        <v>5.5363497068469908E-2</v>
      </c>
      <c r="K17" s="25"/>
      <c r="M17" s="1"/>
      <c r="P17" s="1">
        <f>H3*H4*J3*P7*IFERROR(IF(J57=1, 1, 0), 0)</f>
        <v>2462677621.6215925</v>
      </c>
    </row>
    <row r="18" spans="1:16" ht="25" customHeight="1">
      <c r="A18" s="5"/>
      <c r="B18" s="24"/>
      <c r="C18" s="56">
        <v>39</v>
      </c>
      <c r="D18" s="50">
        <f t="shared" si="5"/>
        <v>66</v>
      </c>
      <c r="E18" s="50">
        <f t="shared" si="6"/>
        <v>2</v>
      </c>
      <c r="F18" s="51">
        <f t="shared" si="7"/>
        <v>93</v>
      </c>
      <c r="G18" s="52">
        <f>IF(D18=D17,"",_xlfn.IFNA(VLOOKUP(D18,'인원 입력 기능'!$B$5:$E$55,4,FALSE),0))</f>
        <v>3585</v>
      </c>
      <c r="H18" s="53">
        <f t="shared" si="2"/>
        <v>2.2698780534133649E-2</v>
      </c>
      <c r="I18" s="57">
        <f>SUM($G$7:G18)</f>
        <v>12329</v>
      </c>
      <c r="J18" s="55">
        <f t="shared" si="3"/>
        <v>7.806227760260355E-2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5"/>
        <v>65</v>
      </c>
      <c r="E19" s="50">
        <f t="shared" si="6"/>
        <v>2</v>
      </c>
      <c r="F19" s="51">
        <f t="shared" si="7"/>
        <v>92</v>
      </c>
      <c r="G19" s="52">
        <f>IF(D19=D18,"",_xlfn.IFNA(VLOOKUP(D19,'인원 입력 기능'!$B$5:$E$55,4,FALSE),0))</f>
        <v>1771</v>
      </c>
      <c r="H19" s="53">
        <f t="shared" si="2"/>
        <v>1.1213260899846776E-2</v>
      </c>
      <c r="I19" s="57">
        <f>SUM($G$7:G19)</f>
        <v>14100</v>
      </c>
      <c r="J19" s="55">
        <f t="shared" si="3"/>
        <v>8.9275538502450333E-2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5"/>
        <v>64</v>
      </c>
      <c r="E20" s="50">
        <f t="shared" si="6"/>
        <v>2</v>
      </c>
      <c r="F20" s="51">
        <f t="shared" si="7"/>
        <v>90</v>
      </c>
      <c r="G20" s="52">
        <f>IF(D20=D19,"",_xlfn.IFNA(VLOOKUP(D20,'인원 입력 기능'!$B$5:$E$55,4,FALSE),0))</f>
        <v>3783</v>
      </c>
      <c r="H20" s="53">
        <f t="shared" si="2"/>
        <v>2.3952437032253162E-2</v>
      </c>
      <c r="I20" s="57">
        <f>SUM($G$7:G20)</f>
        <v>17883</v>
      </c>
      <c r="J20" s="55">
        <f t="shared" si="3"/>
        <v>0.11322797553470348</v>
      </c>
      <c r="K20" s="25"/>
      <c r="M20" s="1"/>
    </row>
    <row r="21" spans="1:16" ht="25" customHeight="1">
      <c r="A21" s="5"/>
      <c r="B21" s="24"/>
      <c r="C21" s="58">
        <v>36</v>
      </c>
      <c r="D21" s="50">
        <f t="shared" si="5"/>
        <v>63</v>
      </c>
      <c r="E21" s="50">
        <f t="shared" si="6"/>
        <v>3</v>
      </c>
      <c r="F21" s="51">
        <f t="shared" si="7"/>
        <v>87</v>
      </c>
      <c r="G21" s="52">
        <f>IF(D21=D20,"",_xlfn.IFNA(VLOOKUP(D21,'인원 입력 기능'!$B$5:$E$55,4,FALSE),0))</f>
        <v>4030</v>
      </c>
      <c r="H21" s="53">
        <f t="shared" si="2"/>
        <v>2.5516341855664881E-2</v>
      </c>
      <c r="I21" s="57">
        <f>SUM($G$7:G21)</f>
        <v>21913</v>
      </c>
      <c r="J21" s="55">
        <f t="shared" si="3"/>
        <v>0.13874431739036838</v>
      </c>
      <c r="K21" s="25"/>
      <c r="M21" s="1"/>
    </row>
    <row r="22" spans="1:16" ht="25" customHeight="1">
      <c r="A22" s="5"/>
      <c r="B22" s="24"/>
      <c r="C22" s="59">
        <v>35</v>
      </c>
      <c r="D22" s="50">
        <f t="shared" si="5"/>
        <v>62</v>
      </c>
      <c r="E22" s="50">
        <f t="shared" si="6"/>
        <v>3</v>
      </c>
      <c r="F22" s="51">
        <f t="shared" si="7"/>
        <v>85</v>
      </c>
      <c r="G22" s="52">
        <f>IF(D22=D21,"",_xlfn.IFNA(VLOOKUP(D22,'인원 입력 기능'!$B$5:$E$55,4,FALSE),0))</f>
        <v>2857</v>
      </c>
      <c r="H22" s="53">
        <f t="shared" si="2"/>
        <v>1.8089376844078055E-2</v>
      </c>
      <c r="I22" s="57">
        <f>SUM($G$7:G22)</f>
        <v>24770</v>
      </c>
      <c r="J22" s="55">
        <f t="shared" si="3"/>
        <v>0.15683369423444643</v>
      </c>
      <c r="K22" s="25"/>
      <c r="M22" s="1"/>
    </row>
    <row r="23" spans="1:16" ht="25" customHeight="1">
      <c r="A23" s="5"/>
      <c r="B23" s="24"/>
      <c r="C23" s="58">
        <v>34</v>
      </c>
      <c r="D23" s="50">
        <f t="shared" si="5"/>
        <v>61</v>
      </c>
      <c r="E23" s="50">
        <f t="shared" si="6"/>
        <v>3</v>
      </c>
      <c r="F23" s="51">
        <f t="shared" si="7"/>
        <v>83</v>
      </c>
      <c r="G23" s="52">
        <f>IF(D23=D22,"",_xlfn.IFNA(VLOOKUP(D23,'인원 입력 기능'!$B$5:$E$55,4,FALSE),0))</f>
        <v>5014</v>
      </c>
      <c r="H23" s="53">
        <f t="shared" si="2"/>
        <v>3.1746634755410348E-2</v>
      </c>
      <c r="I23" s="57">
        <f>SUM($G$7:G23)</f>
        <v>29784</v>
      </c>
      <c r="J23" s="55">
        <f t="shared" si="3"/>
        <v>0.18858032898985677</v>
      </c>
      <c r="K23" s="25"/>
      <c r="M23" s="1"/>
    </row>
    <row r="24" spans="1:16" ht="25" customHeight="1">
      <c r="A24" s="5"/>
      <c r="B24" s="24"/>
      <c r="C24" s="59">
        <v>33</v>
      </c>
      <c r="D24" s="50">
        <f t="shared" si="5"/>
        <v>60</v>
      </c>
      <c r="E24" s="50">
        <f t="shared" si="6"/>
        <v>3</v>
      </c>
      <c r="F24" s="51">
        <f t="shared" si="7"/>
        <v>80</v>
      </c>
      <c r="G24" s="52">
        <f>IF(D24=D23,"",_xlfn.IFNA(VLOOKUP(D24,'인원 입력 기능'!$B$5:$E$55,4,FALSE),0))</f>
        <v>3648</v>
      </c>
      <c r="H24" s="53">
        <f t="shared" si="2"/>
        <v>2.3097671238080767E-2</v>
      </c>
      <c r="I24" s="57">
        <f>SUM($G$7:G24)</f>
        <v>33432</v>
      </c>
      <c r="J24" s="55">
        <f t="shared" si="3"/>
        <v>0.21167800022793754</v>
      </c>
      <c r="K24" s="25"/>
      <c r="M24" s="1"/>
    </row>
    <row r="25" spans="1:16" ht="25" customHeight="1">
      <c r="A25" s="5"/>
      <c r="B25" s="24"/>
      <c r="C25" s="58">
        <v>32</v>
      </c>
      <c r="D25" s="50">
        <f t="shared" si="5"/>
        <v>59</v>
      </c>
      <c r="E25" s="50">
        <f t="shared" si="6"/>
        <v>3</v>
      </c>
      <c r="F25" s="51">
        <f t="shared" si="7"/>
        <v>77</v>
      </c>
      <c r="G25" s="52">
        <f>IF(D25=D24,"",_xlfn.IFNA(VLOOKUP(D25,'인원 입력 기능'!$B$5:$E$55,4,FALSE),0))</f>
        <v>4435</v>
      </c>
      <c r="H25" s="53">
        <f t="shared" si="2"/>
        <v>2.8080639238182072E-2</v>
      </c>
      <c r="I25" s="57">
        <f>SUM($G$7:G25)</f>
        <v>37867</v>
      </c>
      <c r="J25" s="55">
        <f t="shared" si="3"/>
        <v>0.23975863946611961</v>
      </c>
      <c r="K25" s="25"/>
      <c r="M25" s="1"/>
    </row>
    <row r="26" spans="1:16" ht="25" customHeight="1">
      <c r="A26" s="5"/>
      <c r="B26" s="24"/>
      <c r="C26" s="59">
        <v>31</v>
      </c>
      <c r="D26" s="50">
        <f t="shared" si="5"/>
        <v>58</v>
      </c>
      <c r="E26" s="50">
        <f t="shared" si="6"/>
        <v>4</v>
      </c>
      <c r="F26" s="51">
        <f t="shared" si="7"/>
        <v>74</v>
      </c>
      <c r="G26" s="52">
        <f>IF(D26=D25,"",_xlfn.IFNA(VLOOKUP(D26,'인원 입력 기능'!$B$5:$E$55,4,FALSE),0))</f>
        <v>5012</v>
      </c>
      <c r="H26" s="53">
        <f t="shared" si="2"/>
        <v>3.1733971558459646E-2</v>
      </c>
      <c r="I26" s="57">
        <f>SUM($G$7:G26)</f>
        <v>42879</v>
      </c>
      <c r="J26" s="55">
        <f t="shared" si="3"/>
        <v>0.27149261102457928</v>
      </c>
      <c r="K26" s="25"/>
      <c r="M26" s="1"/>
    </row>
    <row r="27" spans="1:16" ht="25" customHeight="1">
      <c r="A27" s="5"/>
      <c r="B27" s="24"/>
      <c r="C27" s="58">
        <v>30</v>
      </c>
      <c r="D27" s="50">
        <f t="shared" si="5"/>
        <v>56</v>
      </c>
      <c r="E27" s="50">
        <f t="shared" si="6"/>
        <v>4</v>
      </c>
      <c r="F27" s="51">
        <f t="shared" si="7"/>
        <v>72</v>
      </c>
      <c r="G27" s="52">
        <f>IF(D27=D26,"",_xlfn.IFNA(VLOOKUP(D27,'인원 입력 기능'!$B$5:$E$55,4,FALSE),0))</f>
        <v>3828</v>
      </c>
      <c r="H27" s="53">
        <f t="shared" si="2"/>
        <v>2.423735896364396E-2</v>
      </c>
      <c r="I27" s="57">
        <f>SUM($G$7:G27)</f>
        <v>46707</v>
      </c>
      <c r="J27" s="55">
        <f t="shared" si="3"/>
        <v>0.29572996998822321</v>
      </c>
      <c r="K27" s="25"/>
      <c r="M27" s="1"/>
    </row>
    <row r="28" spans="1:16" ht="25" customHeight="1">
      <c r="A28" s="5"/>
      <c r="B28" s="24"/>
      <c r="C28" s="59">
        <v>29</v>
      </c>
      <c r="D28" s="50">
        <f t="shared" si="5"/>
        <v>55</v>
      </c>
      <c r="E28" s="50">
        <f t="shared" si="6"/>
        <v>4</v>
      </c>
      <c r="F28" s="51">
        <f t="shared" si="7"/>
        <v>69</v>
      </c>
      <c r="G28" s="52">
        <f>IF(D28=D27,"",_xlfn.IFNA(VLOOKUP(D28,'인원 입력 기능'!$B$5:$E$55,4,FALSE),0))</f>
        <v>5335</v>
      </c>
      <c r="H28" s="53">
        <f t="shared" si="2"/>
        <v>3.3779077865998049E-2</v>
      </c>
      <c r="I28" s="57">
        <f>SUM($G$7:G28)</f>
        <v>52042</v>
      </c>
      <c r="J28" s="55">
        <f t="shared" si="3"/>
        <v>0.3295090478542213</v>
      </c>
      <c r="K28" s="25"/>
      <c r="M28" s="1"/>
    </row>
    <row r="29" spans="1:16" ht="25" customHeight="1">
      <c r="A29" s="5"/>
      <c r="B29" s="24"/>
      <c r="C29" s="58">
        <v>28</v>
      </c>
      <c r="D29" s="50">
        <f t="shared" si="5"/>
        <v>54</v>
      </c>
      <c r="E29" s="50">
        <f t="shared" si="6"/>
        <v>4</v>
      </c>
      <c r="F29" s="51">
        <f t="shared" si="7"/>
        <v>66</v>
      </c>
      <c r="G29" s="52">
        <f>IF(D29=D28,"",_xlfn.IFNA(VLOOKUP(D29,'인원 입력 기능'!$B$5:$E$55,4,FALSE),0))</f>
        <v>4610</v>
      </c>
      <c r="H29" s="53">
        <f t="shared" si="2"/>
        <v>2.9188668971368511E-2</v>
      </c>
      <c r="I29" s="57">
        <f>SUM($G$7:G29)</f>
        <v>56652</v>
      </c>
      <c r="J29" s="55">
        <f t="shared" si="3"/>
        <v>0.35869771682558976</v>
      </c>
      <c r="K29" s="25"/>
      <c r="M29" s="1"/>
    </row>
    <row r="30" spans="1:16" ht="25" customHeight="1">
      <c r="A30" s="5"/>
      <c r="B30" s="24"/>
      <c r="C30" s="59">
        <v>27</v>
      </c>
      <c r="D30" s="50">
        <f t="shared" si="5"/>
        <v>53</v>
      </c>
      <c r="E30" s="50">
        <f t="shared" si="6"/>
        <v>4</v>
      </c>
      <c r="F30" s="51">
        <f t="shared" si="7"/>
        <v>63</v>
      </c>
      <c r="G30" s="52">
        <f>IF(D30=D29,"",_xlfn.IFNA(VLOOKUP(D30,'인원 입력 기능'!$B$5:$E$55,4,FALSE),0))</f>
        <v>4677</v>
      </c>
      <c r="H30" s="53">
        <f t="shared" si="2"/>
        <v>2.9612886069217033E-2</v>
      </c>
      <c r="I30" s="57">
        <f>SUM($G$7:G30)</f>
        <v>61329</v>
      </c>
      <c r="J30" s="55">
        <f t="shared" si="3"/>
        <v>0.38831060289480684</v>
      </c>
      <c r="K30" s="25"/>
      <c r="M30" s="1"/>
    </row>
    <row r="31" spans="1:16" ht="25" customHeight="1">
      <c r="A31" s="5"/>
      <c r="B31" s="24"/>
      <c r="C31" s="58">
        <v>26</v>
      </c>
      <c r="D31" s="50">
        <f t="shared" si="5"/>
        <v>52</v>
      </c>
      <c r="E31" s="50">
        <f t="shared" si="6"/>
        <v>4</v>
      </c>
      <c r="F31" s="51">
        <f t="shared" si="7"/>
        <v>59</v>
      </c>
      <c r="G31" s="52">
        <f>IF(D31=D30,"",_xlfn.IFNA(VLOOKUP(D31,'인원 입력 기능'!$B$5:$E$55,4,FALSE),0))</f>
        <v>5429</v>
      </c>
      <c r="H31" s="53">
        <f t="shared" si="2"/>
        <v>3.4374248122681049E-2</v>
      </c>
      <c r="I31" s="57">
        <f>SUM($G$7:G31)</f>
        <v>66758</v>
      </c>
      <c r="J31" s="55">
        <f t="shared" si="3"/>
        <v>0.42268485101748787</v>
      </c>
      <c r="K31" s="25"/>
      <c r="M31" s="1"/>
    </row>
    <row r="32" spans="1:16" ht="25" customHeight="1">
      <c r="A32" s="5"/>
      <c r="B32" s="24"/>
      <c r="C32" s="59">
        <v>25</v>
      </c>
      <c r="D32" s="50">
        <f t="shared" si="5"/>
        <v>51</v>
      </c>
      <c r="E32" s="50">
        <f t="shared" si="6"/>
        <v>5</v>
      </c>
      <c r="F32" s="51">
        <f t="shared" si="7"/>
        <v>56</v>
      </c>
      <c r="G32" s="52">
        <f>IF(D32=D31,"",_xlfn.IFNA(VLOOKUP(D32,'인원 입력 기능'!$B$5:$E$55,4,FALSE),0))</f>
        <v>4553</v>
      </c>
      <c r="H32" s="53">
        <f t="shared" si="2"/>
        <v>2.8827767858273498E-2</v>
      </c>
      <c r="I32" s="57">
        <f>SUM($G$7:G32)</f>
        <v>71311</v>
      </c>
      <c r="J32" s="55">
        <f t="shared" si="3"/>
        <v>0.45151261887576138</v>
      </c>
      <c r="K32" s="25"/>
      <c r="M32" s="1"/>
    </row>
    <row r="33" spans="1:13" ht="25" customHeight="1">
      <c r="A33" s="5"/>
      <c r="B33" s="24"/>
      <c r="C33" s="58">
        <v>24</v>
      </c>
      <c r="D33" s="50">
        <f t="shared" si="5"/>
        <v>50</v>
      </c>
      <c r="E33" s="50">
        <f t="shared" si="6"/>
        <v>5</v>
      </c>
      <c r="F33" s="51">
        <f t="shared" si="7"/>
        <v>53</v>
      </c>
      <c r="G33" s="52">
        <f>IF(D33=D32,"",_xlfn.IFNA(VLOOKUP(D33,'인원 입력 기능'!$B$5:$E$55,4,FALSE),0))</f>
        <v>5618</v>
      </c>
      <c r="H33" s="53">
        <f t="shared" si="2"/>
        <v>3.5570920234522407E-2</v>
      </c>
      <c r="I33" s="57">
        <f>SUM($G$7:G33)</f>
        <v>76929</v>
      </c>
      <c r="J33" s="55">
        <f t="shared" si="3"/>
        <v>0.48708353911028379</v>
      </c>
      <c r="K33" s="25"/>
      <c r="M33" s="1"/>
    </row>
    <row r="34" spans="1:13" ht="25" customHeight="1">
      <c r="A34" s="5"/>
      <c r="B34" s="24"/>
      <c r="C34" s="59">
        <v>23</v>
      </c>
      <c r="D34" s="50">
        <f t="shared" si="5"/>
        <v>49</v>
      </c>
      <c r="E34" s="50">
        <f t="shared" si="6"/>
        <v>5</v>
      </c>
      <c r="F34" s="51">
        <f t="shared" si="7"/>
        <v>50</v>
      </c>
      <c r="G34" s="52">
        <f>IF(D34=D33,"",_xlfn.IFNA(VLOOKUP(D34,'인원 입력 기능'!$B$5:$E$55,4,FALSE),0))</f>
        <v>5187</v>
      </c>
      <c r="H34" s="53">
        <f t="shared" si="2"/>
        <v>3.2842001291646092E-2</v>
      </c>
      <c r="I34" s="57">
        <f>SUM($G$7:G34)</f>
        <v>82116</v>
      </c>
      <c r="J34" s="55">
        <f t="shared" si="3"/>
        <v>0.51992554040192984</v>
      </c>
      <c r="K34" s="25"/>
      <c r="M34" s="1"/>
    </row>
    <row r="35" spans="1:13" ht="25" customHeight="1">
      <c r="A35" s="5"/>
      <c r="B35" s="24"/>
      <c r="C35" s="58">
        <v>22</v>
      </c>
      <c r="D35" s="50">
        <f t="shared" si="5"/>
        <v>48</v>
      </c>
      <c r="E35" s="50">
        <f t="shared" si="6"/>
        <v>5</v>
      </c>
      <c r="F35" s="51">
        <f t="shared" si="7"/>
        <v>46</v>
      </c>
      <c r="G35" s="52">
        <f>IF(D35=D34,"",_xlfn.IFNA(VLOOKUP(D35,'인원 입력 기능'!$B$5:$E$55,4,FALSE),0))</f>
        <v>5545</v>
      </c>
      <c r="H35" s="53">
        <f t="shared" si="2"/>
        <v>3.5108713545821776E-2</v>
      </c>
      <c r="I35" s="57">
        <f>SUM($G$7:G35)</f>
        <v>87661</v>
      </c>
      <c r="J35" s="55">
        <f t="shared" si="3"/>
        <v>0.55503425394775163</v>
      </c>
      <c r="K35" s="25"/>
      <c r="M35" s="1"/>
    </row>
    <row r="36" spans="1:13" ht="25" customHeight="1">
      <c r="A36" s="5"/>
      <c r="B36" s="24"/>
      <c r="C36" s="59">
        <v>21</v>
      </c>
      <c r="D36" s="50">
        <f t="shared" si="5"/>
        <v>47</v>
      </c>
      <c r="E36" s="50">
        <f t="shared" si="6"/>
        <v>5</v>
      </c>
      <c r="F36" s="51">
        <f t="shared" si="7"/>
        <v>43</v>
      </c>
      <c r="G36" s="52">
        <f>IF(D36=D35,"",_xlfn.IFNA(VLOOKUP(D36,'인원 입력 기능'!$B$5:$E$55,4,FALSE),0))</f>
        <v>5807</v>
      </c>
      <c r="H36" s="53">
        <f t="shared" si="2"/>
        <v>3.6767592346363766E-2</v>
      </c>
      <c r="I36" s="57">
        <f>SUM($G$7:G36)</f>
        <v>93468</v>
      </c>
      <c r="J36" s="55">
        <f t="shared" si="3"/>
        <v>0.59180184629411536</v>
      </c>
      <c r="K36" s="25"/>
      <c r="M36" s="1"/>
    </row>
    <row r="37" spans="1:13" ht="25" customHeight="1">
      <c r="A37" s="5"/>
      <c r="B37" s="24"/>
      <c r="C37" s="58">
        <v>20</v>
      </c>
      <c r="D37" s="50">
        <f t="shared" si="5"/>
        <v>46</v>
      </c>
      <c r="E37" s="50">
        <f t="shared" si="6"/>
        <v>5</v>
      </c>
      <c r="F37" s="51">
        <f t="shared" si="7"/>
        <v>39</v>
      </c>
      <c r="G37" s="52">
        <f>IF(D37=D36,"",_xlfn.IFNA(VLOOKUP(D37,'인원 입력 기능'!$B$5:$E$55,4,FALSE),0))</f>
        <v>5393</v>
      </c>
      <c r="H37" s="53">
        <f t="shared" si="2"/>
        <v>3.4146310577568416E-2</v>
      </c>
      <c r="I37" s="57">
        <f>SUM($G$7:G37)</f>
        <v>98861</v>
      </c>
      <c r="J37" s="55">
        <f t="shared" si="3"/>
        <v>0.62594815687168381</v>
      </c>
      <c r="K37" s="25"/>
      <c r="M37" s="1"/>
    </row>
    <row r="38" spans="1:13" ht="25" customHeight="1">
      <c r="A38" s="5"/>
      <c r="B38" s="24"/>
      <c r="C38" s="59">
        <v>19</v>
      </c>
      <c r="D38" s="50">
        <f t="shared" si="5"/>
        <v>45</v>
      </c>
      <c r="E38" s="50">
        <f t="shared" si="6"/>
        <v>6</v>
      </c>
      <c r="F38" s="51">
        <f t="shared" si="7"/>
        <v>35</v>
      </c>
      <c r="G38" s="52">
        <f>IF(D38=D37,"",_xlfn.IFNA(VLOOKUP(D38,'인원 입력 기능'!$B$5:$E$55,4,FALSE),0))</f>
        <v>6190</v>
      </c>
      <c r="H38" s="53">
        <f t="shared" si="2"/>
        <v>3.919259456242323E-2</v>
      </c>
      <c r="I38" s="57">
        <f>SUM($G$7:G38)</f>
        <v>105051</v>
      </c>
      <c r="J38" s="55">
        <f t="shared" si="3"/>
        <v>0.665140751434107</v>
      </c>
      <c r="K38" s="25"/>
      <c r="M38" s="1"/>
    </row>
    <row r="39" spans="1:13" ht="25" customHeight="1">
      <c r="A39" s="5"/>
      <c r="B39" s="24"/>
      <c r="C39" s="58">
        <v>18</v>
      </c>
      <c r="D39" s="50">
        <f t="shared" si="5"/>
        <v>44</v>
      </c>
      <c r="E39" s="50">
        <f t="shared" si="6"/>
        <v>6</v>
      </c>
      <c r="F39" s="51">
        <f t="shared" si="7"/>
        <v>32</v>
      </c>
      <c r="G39" s="52">
        <f>IF(D39=D38,"",_xlfn.IFNA(VLOOKUP(D39,'인원 입력 기능'!$B$5:$E$55,4,FALSE),0))</f>
        <v>5566</v>
      </c>
      <c r="H39" s="53">
        <f t="shared" si="2"/>
        <v>3.5241677113804153E-2</v>
      </c>
      <c r="I39" s="57">
        <f>SUM($G$7:G39)</f>
        <v>110617</v>
      </c>
      <c r="J39" s="55">
        <f t="shared" si="3"/>
        <v>0.70038242854791122</v>
      </c>
      <c r="K39" s="25"/>
      <c r="M39" s="1"/>
    </row>
    <row r="40" spans="1:13" ht="25" customHeight="1">
      <c r="A40" s="5"/>
      <c r="B40" s="24"/>
      <c r="C40" s="59">
        <v>17</v>
      </c>
      <c r="D40" s="50">
        <f t="shared" si="5"/>
        <v>43</v>
      </c>
      <c r="E40" s="50">
        <f t="shared" si="6"/>
        <v>6</v>
      </c>
      <c r="F40" s="51">
        <f t="shared" si="7"/>
        <v>28</v>
      </c>
      <c r="G40" s="52">
        <f>IF(D40=D39,"",_xlfn.IFNA(VLOOKUP(D40,'인원 입력 기능'!$B$5:$E$55,4,FALSE),0))</f>
        <v>5566</v>
      </c>
      <c r="H40" s="53">
        <f t="shared" si="2"/>
        <v>3.5241677113804153E-2</v>
      </c>
      <c r="I40" s="57">
        <f>SUM($G$7:G40)</f>
        <v>116183</v>
      </c>
      <c r="J40" s="55">
        <f t="shared" si="3"/>
        <v>0.73562410566171532</v>
      </c>
      <c r="K40" s="25"/>
      <c r="M40" s="1"/>
    </row>
    <row r="41" spans="1:13" ht="25" customHeight="1">
      <c r="A41" s="5"/>
      <c r="B41" s="24"/>
      <c r="C41" s="58">
        <v>16</v>
      </c>
      <c r="D41" s="50">
        <f t="shared" si="5"/>
        <v>42</v>
      </c>
      <c r="E41" s="50">
        <f t="shared" si="6"/>
        <v>6</v>
      </c>
      <c r="F41" s="51">
        <f t="shared" si="7"/>
        <v>25</v>
      </c>
      <c r="G41" s="52">
        <f>IF(D41=D40,"",_xlfn.IFNA(VLOOKUP(D41,'인원 입력 기능'!$B$5:$E$55,4,FALSE),0))</f>
        <v>5637</v>
      </c>
      <c r="H41" s="53">
        <f t="shared" si="2"/>
        <v>3.5691220605554075E-2</v>
      </c>
      <c r="I41" s="57">
        <f>SUM($G$7:G41)</f>
        <v>121820</v>
      </c>
      <c r="J41" s="55">
        <f t="shared" si="3"/>
        <v>0.7713153262672694</v>
      </c>
      <c r="K41" s="25"/>
      <c r="M41" s="1"/>
    </row>
    <row r="42" spans="1:13" ht="25" customHeight="1">
      <c r="A42" s="5"/>
      <c r="B42" s="24"/>
      <c r="C42" s="59">
        <v>15</v>
      </c>
      <c r="D42" s="50">
        <f t="shared" si="5"/>
        <v>41</v>
      </c>
      <c r="E42" s="50">
        <f t="shared" si="6"/>
        <v>7</v>
      </c>
      <c r="F42" s="51">
        <f t="shared" si="7"/>
        <v>21</v>
      </c>
      <c r="G42" s="52">
        <f>IF(D42=D41,"",_xlfn.IFNA(VLOOKUP(D42,'인원 입력 기능'!$B$5:$E$55,4,FALSE),0))</f>
        <v>4620</v>
      </c>
      <c r="H42" s="53">
        <f t="shared" si="2"/>
        <v>2.9251984956122024E-2</v>
      </c>
      <c r="I42" s="57">
        <f>SUM($G$7:G42)</f>
        <v>126440</v>
      </c>
      <c r="J42" s="55">
        <f t="shared" si="3"/>
        <v>0.80056731122339142</v>
      </c>
      <c r="K42" s="25"/>
      <c r="M42" s="1"/>
    </row>
    <row r="43" spans="1:13" ht="25" customHeight="1">
      <c r="A43" s="5"/>
      <c r="B43" s="24"/>
      <c r="C43" s="58">
        <v>14</v>
      </c>
      <c r="D43" s="50">
        <f t="shared" si="5"/>
        <v>40</v>
      </c>
      <c r="E43" s="50">
        <f t="shared" si="6"/>
        <v>7</v>
      </c>
      <c r="F43" s="51">
        <f t="shared" si="7"/>
        <v>18</v>
      </c>
      <c r="G43" s="52">
        <f>IF(D43=D42,"",_xlfn.IFNA(VLOOKUP(D43,'인원 입력 기능'!$B$5:$E$55,4,FALSE),0))</f>
        <v>4892</v>
      </c>
      <c r="H43" s="53">
        <f t="shared" si="2"/>
        <v>3.0974179741417519E-2</v>
      </c>
      <c r="I43" s="57">
        <f>SUM($G$7:G43)</f>
        <v>131332</v>
      </c>
      <c r="J43" s="55">
        <f t="shared" si="3"/>
        <v>0.831541490964809</v>
      </c>
      <c r="K43" s="25"/>
      <c r="M43" s="1"/>
    </row>
    <row r="44" spans="1:13" ht="25" customHeight="1">
      <c r="A44" s="5"/>
      <c r="B44" s="24"/>
      <c r="C44" s="59">
        <v>13</v>
      </c>
      <c r="D44" s="50">
        <f t="shared" si="5"/>
        <v>39</v>
      </c>
      <c r="E44" s="50">
        <f t="shared" si="6"/>
        <v>7</v>
      </c>
      <c r="F44" s="51">
        <f t="shared" si="7"/>
        <v>15</v>
      </c>
      <c r="G44" s="52">
        <f>IF(D44=D43,"",_xlfn.IFNA(VLOOKUP(D44,'인원 입력 기능'!$B$5:$E$55,4,FALSE),0))</f>
        <v>5916</v>
      </c>
      <c r="H44" s="53">
        <f t="shared" si="2"/>
        <v>3.745773658017703E-2</v>
      </c>
      <c r="I44" s="57">
        <f>SUM($G$7:G44)</f>
        <v>137248</v>
      </c>
      <c r="J44" s="55">
        <f t="shared" si="3"/>
        <v>0.86899922754498604</v>
      </c>
      <c r="K44" s="25"/>
      <c r="M44" s="1"/>
    </row>
    <row r="45" spans="1:13" ht="25" customHeight="1">
      <c r="A45" s="5"/>
      <c r="B45" s="24"/>
      <c r="C45" s="58">
        <v>12</v>
      </c>
      <c r="D45" s="50">
        <f t="shared" si="5"/>
        <v>38</v>
      </c>
      <c r="E45" s="50">
        <f t="shared" si="6"/>
        <v>7</v>
      </c>
      <c r="F45" s="51">
        <f t="shared" si="7"/>
        <v>12</v>
      </c>
      <c r="G45" s="52">
        <f>IF(D45=D44,"",_xlfn.IFNA(VLOOKUP(D45,'인원 입력 기능'!$B$5:$E$55,4,FALSE),0))</f>
        <v>3607</v>
      </c>
      <c r="H45" s="53">
        <f t="shared" si="2"/>
        <v>2.2838075700591372E-2</v>
      </c>
      <c r="I45" s="57">
        <f>SUM($G$7:G45)</f>
        <v>140855</v>
      </c>
      <c r="J45" s="55">
        <f t="shared" si="3"/>
        <v>0.89183730324557742</v>
      </c>
      <c r="K45" s="25"/>
      <c r="M45" s="1"/>
    </row>
    <row r="46" spans="1:13" ht="25" customHeight="1">
      <c r="A46" s="5"/>
      <c r="B46" s="24"/>
      <c r="C46" s="59">
        <v>11</v>
      </c>
      <c r="D46" s="50">
        <f t="shared" si="5"/>
        <v>37</v>
      </c>
      <c r="E46" s="50">
        <f t="shared" si="6"/>
        <v>8</v>
      </c>
      <c r="F46" s="51">
        <f t="shared" si="7"/>
        <v>9</v>
      </c>
      <c r="G46" s="52">
        <f>IF(D46=D45,"",_xlfn.IFNA(VLOOKUP(D46,'인원 입력 기능'!$B$5:$E$55,4,FALSE),0))</f>
        <v>5908</v>
      </c>
      <c r="H46" s="53">
        <f t="shared" si="2"/>
        <v>3.7407083792374222E-2</v>
      </c>
      <c r="I46" s="57">
        <f>SUM($G$7:G46)</f>
        <v>146763</v>
      </c>
      <c r="J46" s="55">
        <f t="shared" si="3"/>
        <v>0.92924438703795165</v>
      </c>
      <c r="K46" s="25"/>
      <c r="M46" s="1"/>
    </row>
    <row r="47" spans="1:13" ht="25" customHeight="1">
      <c r="A47" s="5"/>
      <c r="B47" s="24"/>
      <c r="C47" s="58">
        <v>10</v>
      </c>
      <c r="D47" s="50">
        <f t="shared" si="5"/>
        <v>36</v>
      </c>
      <c r="E47" s="50">
        <f t="shared" si="6"/>
        <v>8</v>
      </c>
      <c r="F47" s="51">
        <f t="shared" si="7"/>
        <v>6</v>
      </c>
      <c r="G47" s="52">
        <f>IF(D47=D46,"",_xlfn.IFNA(VLOOKUP(D47,'인원 입력 기능'!$B$5:$E$55,4,FALSE),0))</f>
        <v>2678</v>
      </c>
      <c r="H47" s="53">
        <f t="shared" si="2"/>
        <v>1.6956020716990212E-2</v>
      </c>
      <c r="I47" s="57">
        <f>SUM($G$7:G47)</f>
        <v>149441</v>
      </c>
      <c r="J47" s="55">
        <f t="shared" si="3"/>
        <v>0.94620040775494185</v>
      </c>
      <c r="K47" s="25"/>
      <c r="M47" s="1"/>
    </row>
    <row r="48" spans="1:13" ht="25" customHeight="1">
      <c r="A48" s="5"/>
      <c r="B48" s="24"/>
      <c r="C48" s="59">
        <v>9</v>
      </c>
      <c r="D48" s="50">
        <f t="shared" si="5"/>
        <v>35</v>
      </c>
      <c r="E48" s="50">
        <f t="shared" si="6"/>
        <v>8</v>
      </c>
      <c r="F48" s="51">
        <f t="shared" si="7"/>
        <v>5</v>
      </c>
      <c r="G48" s="52">
        <f>IF(D48=D47,"",_xlfn.IFNA(VLOOKUP(D48,'인원 입력 기능'!$B$5:$E$55,4,FALSE),0))</f>
        <v>2135</v>
      </c>
      <c r="H48" s="53">
        <f t="shared" si="2"/>
        <v>1.3517962744874571E-2</v>
      </c>
      <c r="I48" s="57">
        <f>SUM($G$7:G48)</f>
        <v>151576</v>
      </c>
      <c r="J48" s="55">
        <f t="shared" si="3"/>
        <v>0.95971837049981634</v>
      </c>
      <c r="K48" s="25"/>
      <c r="M48" s="1"/>
    </row>
    <row r="49" spans="1:13" ht="25" customHeight="1">
      <c r="A49" s="5"/>
      <c r="B49" s="24"/>
      <c r="C49" s="58">
        <v>8</v>
      </c>
      <c r="D49" s="50">
        <f t="shared" si="5"/>
        <v>34</v>
      </c>
      <c r="E49" s="50">
        <f t="shared" si="6"/>
        <v>8</v>
      </c>
      <c r="F49" s="51">
        <f t="shared" si="7"/>
        <v>3</v>
      </c>
      <c r="G49" s="52">
        <f>IF(D49=D48,"",_xlfn.IFNA(VLOOKUP(D49,'인원 입력 기능'!$B$5:$E$55,4,FALSE),0))</f>
        <v>1997</v>
      </c>
      <c r="H49" s="53">
        <f t="shared" si="2"/>
        <v>1.264420215527612E-2</v>
      </c>
      <c r="I49" s="57">
        <f>SUM($G$7:G49)</f>
        <v>153573</v>
      </c>
      <c r="J49" s="55">
        <f t="shared" si="3"/>
        <v>0.97236257265509252</v>
      </c>
      <c r="K49" s="25"/>
      <c r="M49" s="1"/>
    </row>
    <row r="50" spans="1:13" ht="25" customHeight="1">
      <c r="A50" s="5"/>
      <c r="B50" s="24"/>
      <c r="C50" s="59">
        <v>7</v>
      </c>
      <c r="D50" s="50">
        <f t="shared" si="5"/>
        <v>33</v>
      </c>
      <c r="E50" s="50">
        <f t="shared" si="6"/>
        <v>9</v>
      </c>
      <c r="F50" s="51">
        <f t="shared" si="7"/>
        <v>2</v>
      </c>
      <c r="G50" s="52">
        <f>IF(D50=D49,"",_xlfn.IFNA(VLOOKUP(D50,'인원 입력 기능'!$B$5:$E$55,4,FALSE),0))</f>
        <v>1864</v>
      </c>
      <c r="H50" s="53">
        <f t="shared" si="2"/>
        <v>1.1802099558054427E-2</v>
      </c>
      <c r="I50" s="57">
        <f>SUM($G$7:G50)</f>
        <v>155437</v>
      </c>
      <c r="J50" s="55">
        <f t="shared" si="3"/>
        <v>0.98416467221314696</v>
      </c>
      <c r="K50" s="25"/>
      <c r="M50" s="1"/>
    </row>
    <row r="51" spans="1:13" ht="25" customHeight="1">
      <c r="A51" s="5"/>
      <c r="B51" s="24"/>
      <c r="C51" s="58">
        <v>6</v>
      </c>
      <c r="D51" s="50">
        <f t="shared" si="5"/>
        <v>32</v>
      </c>
      <c r="E51" s="50">
        <f t="shared" si="6"/>
        <v>9</v>
      </c>
      <c r="F51" s="51">
        <f t="shared" si="7"/>
        <v>1</v>
      </c>
      <c r="G51" s="52">
        <f>IF(D51=D50,"",_xlfn.IFNA(VLOOKUP(D51,'인원 입력 기능'!$B$5:$E$55,4,FALSE),0))</f>
        <v>807</v>
      </c>
      <c r="H51" s="53">
        <f t="shared" si="2"/>
        <v>5.109599969608327E-3</v>
      </c>
      <c r="I51" s="57">
        <f>SUM($G$7:G51)</f>
        <v>156244</v>
      </c>
      <c r="J51" s="55">
        <f t="shared" si="3"/>
        <v>0.98927427218275521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31</v>
      </c>
      <c r="E52" s="60">
        <f t="shared" ref="E52:E57" si="8">IF(ROUND(D52,0)&gt;=$P$7,1,IF(ROUND(D52,0)&gt;=$P$8,2,IF(ROUND(D52,0)&gt;=$P$9,3,IF(ROUND(D52,0)&gt;=$P$10,4,IF(ROUND(D52,0)&gt;=$P$11,5,IF(ROUND(D52,0)&gt;=$P$12,6,IF(ROUND(D52,0)&gt;=$P$13,7,IF(ROUND(D52,0)&gt;=$P$14,8,9))))))))</f>
        <v>9</v>
      </c>
      <c r="F52" s="51">
        <f t="shared" si="4"/>
        <v>1</v>
      </c>
      <c r="G52" s="52">
        <f>IF(D52=D51,"",_xlfn.IFNA(VLOOKUP(D52,'인원 입력 기능'!$B$5:$E$55,4,FALSE),0))</f>
        <v>759</v>
      </c>
      <c r="H52" s="53">
        <f t="shared" si="2"/>
        <v>4.8056832427914751E-3</v>
      </c>
      <c r="I52" s="57">
        <f>SUM($G$7:G52)</f>
        <v>157003</v>
      </c>
      <c r="J52" s="55">
        <f t="shared" si="3"/>
        <v>0.99407995542554672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30</v>
      </c>
      <c r="E53" s="50">
        <f t="shared" si="8"/>
        <v>9</v>
      </c>
      <c r="F53" s="51">
        <f t="shared" si="4"/>
        <v>0</v>
      </c>
      <c r="G53" s="52">
        <f>IF(D53=D52,"",_xlfn.IFNA(VLOOKUP(D53,'인원 입력 기능'!$B$5:$E$55,4,FALSE),0))</f>
        <v>376</v>
      </c>
      <c r="H53" s="53">
        <f t="shared" si="2"/>
        <v>2.3806810267320089E-3</v>
      </c>
      <c r="I53" s="57">
        <f>SUM($G$7:G53)</f>
        <v>157379</v>
      </c>
      <c r="J53" s="55">
        <f t="shared" si="3"/>
        <v>0.99646063645227878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29</v>
      </c>
      <c r="E54" s="50">
        <f t="shared" si="8"/>
        <v>9</v>
      </c>
      <c r="F54" s="51">
        <f t="shared" si="4"/>
        <v>0</v>
      </c>
      <c r="G54" s="52">
        <f>IF(D54=D53,"",_xlfn.IFNA(VLOOKUP(D54,'인원 입력 기능'!$B$5:$E$55,4,FALSE),0))</f>
        <v>239</v>
      </c>
      <c r="H54" s="53">
        <f t="shared" si="2"/>
        <v>1.5132520356089098E-3</v>
      </c>
      <c r="I54" s="57">
        <f>SUM($G$7:G54)</f>
        <v>157618</v>
      </c>
      <c r="J54" s="55">
        <f t="shared" si="3"/>
        <v>0.99797388848788771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27</v>
      </c>
      <c r="E55" s="50">
        <f t="shared" si="8"/>
        <v>9</v>
      </c>
      <c r="F55" s="51">
        <f t="shared" si="4"/>
        <v>0</v>
      </c>
      <c r="G55" s="52">
        <f>IF(D55=D54,"",_xlfn.IFNA(VLOOKUP(D55,'인원 입력 기능'!$B$5:$E$55,4,FALSE),0))</f>
        <v>191</v>
      </c>
      <c r="H55" s="53">
        <f t="shared" si="2"/>
        <v>1.2093353087920576E-3</v>
      </c>
      <c r="I55" s="57">
        <f>SUM($G$7:G55)</f>
        <v>157809</v>
      </c>
      <c r="J55" s="55">
        <f t="shared" si="3"/>
        <v>0.99918322379667968</v>
      </c>
      <c r="K55" s="25"/>
      <c r="M55" s="1"/>
    </row>
    <row r="56" spans="1:13" ht="25" customHeight="1">
      <c r="A56" s="5"/>
      <c r="B56" s="24"/>
      <c r="C56" s="56">
        <v>1</v>
      </c>
      <c r="D56" s="61" t="s">
        <v>35</v>
      </c>
      <c r="E56" s="62"/>
      <c r="F56" s="62"/>
      <c r="G56" s="62"/>
      <c r="H56" s="62"/>
      <c r="I56" s="62"/>
      <c r="J56" s="63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25</v>
      </c>
      <c r="E57" s="66">
        <f t="shared" si="8"/>
        <v>9</v>
      </c>
      <c r="F57" s="67">
        <f>IF(I55=0,ROUND(100*(1-(I54+I57)/2/$J$3),0),ROUND(100*(1-(I55+I57)/2/$J$3),0))</f>
        <v>0</v>
      </c>
      <c r="G57" s="68">
        <f>_xlfn.IFNA(VLOOKUP(D57,'인원 입력 기능'!$B$5:$E$55,4,FALSE),0)</f>
        <v>129</v>
      </c>
      <c r="H57" s="69">
        <f>G57/J3</f>
        <v>8.1677620332029025E-4</v>
      </c>
      <c r="I57" s="70">
        <f>SUM($G$7:G57)</f>
        <v>157938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">
    <mergeCell ref="D3:F3"/>
    <mergeCell ref="D4:F4"/>
    <mergeCell ref="D8:J8"/>
    <mergeCell ref="G5:J5"/>
  </mergeCells>
  <phoneticPr fontId="1" type="noConversion"/>
  <conditionalFormatting sqref="D7:J7 D57:J57 D9:J55">
    <cfRule type="expression" dxfId="160" priority="7">
      <formula>OR($D7=$P$7:$P$14)</formula>
    </cfRule>
  </conditionalFormatting>
  <conditionalFormatting sqref="C7:C57">
    <cfRule type="expression" dxfId="159" priority="6">
      <formula>OR(AND($D7=0,OR($D6=$P$7:$P$14)),AND($D8&gt;0,OR($D7=$P$7:$P$14)))</formula>
    </cfRule>
  </conditionalFormatting>
  <conditionalFormatting sqref="D7 D57 D9:D55">
    <cfRule type="expression" dxfId="158" priority="5">
      <formula>$D7=$D8</formula>
    </cfRule>
  </conditionalFormatting>
  <conditionalFormatting sqref="D56">
    <cfRule type="expression" dxfId="157" priority="4">
      <formula>OR($D56=$P$7:$P$14)</formula>
    </cfRule>
  </conditionalFormatting>
  <conditionalFormatting sqref="D56">
    <cfRule type="expression" dxfId="156" priority="3">
      <formula>$D56=$D57</formula>
    </cfRule>
  </conditionalFormatting>
  <conditionalFormatting sqref="D8">
    <cfRule type="expression" dxfId="155" priority="2">
      <formula>OR($D8=$P$7:$P$14)</formula>
    </cfRule>
  </conditionalFormatting>
  <conditionalFormatting sqref="D8">
    <cfRule type="expression" dxfId="15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9"/>
  <dimension ref="A1:P105"/>
  <sheetViews>
    <sheetView zoomScaleNormal="100" workbookViewId="0">
      <selection activeCell="J11" sqref="J11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기능'!D5</f>
        <v>24.11</v>
      </c>
      <c r="I3" s="109" t="s">
        <v>54</v>
      </c>
      <c r="J3" s="110">
        <f>'통계 및 응시자 수 입력 기능'!C5</f>
        <v>39787</v>
      </c>
      <c r="K3" s="25"/>
    </row>
    <row r="4" spans="1:16" ht="25" customHeight="1" thickBot="1">
      <c r="A4" s="5"/>
      <c r="B4" s="24"/>
      <c r="C4" s="42" t="s">
        <v>55</v>
      </c>
      <c r="D4" s="242" t="s">
        <v>77</v>
      </c>
      <c r="E4" s="243"/>
      <c r="F4" s="244"/>
      <c r="G4" s="43" t="s">
        <v>57</v>
      </c>
      <c r="H4" s="108">
        <f>'통계 및 응시자 수 입력 기능'!E5</f>
        <v>11.13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73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기능'!$G$5:$J$55,4,FALSE),0)</f>
        <v>87</v>
      </c>
      <c r="H7" s="53">
        <f>G7/J3</f>
        <v>2.1866438786538318E-3</v>
      </c>
      <c r="I7" s="54">
        <f>G7</f>
        <v>87</v>
      </c>
      <c r="J7" s="55">
        <f>I7/J3</f>
        <v>2.1866438786538318E-3</v>
      </c>
      <c r="K7" s="25"/>
      <c r="M7" s="1"/>
      <c r="O7" s="1">
        <v>1</v>
      </c>
      <c r="P7" s="1">
        <f>'표준점수 등급컷 입력기능'!E4</f>
        <v>66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입력기능'!E5</f>
        <v>63</v>
      </c>
    </row>
    <row r="9" spans="1:16" ht="25" customHeight="1">
      <c r="A9" s="5"/>
      <c r="B9" s="24"/>
      <c r="C9" s="49">
        <v>48</v>
      </c>
      <c r="D9" s="261">
        <f>ROUND(10*(C9-$H$3)/$H$4+50,0)</f>
        <v>71</v>
      </c>
      <c r="E9" s="261">
        <f t="shared" si="0"/>
        <v>1</v>
      </c>
      <c r="F9" s="263">
        <f>IF(I8=0,ROUND(100*(1-(I7+I9)/2/$J$3),0),ROUND(100*(1-(I8+I9)/2/$J$3),0))</f>
        <v>99</v>
      </c>
      <c r="G9" s="265">
        <f>_xlfn.IFNA(VLOOKUP(D9,'인원 입력 기능'!$G$5:$J$55,4,FALSE),0)</f>
        <v>394</v>
      </c>
      <c r="H9" s="266">
        <f>G9/$J$3</f>
        <v>9.9027320481564329E-3</v>
      </c>
      <c r="I9" s="268">
        <f>SUM($G$7:G9)</f>
        <v>481</v>
      </c>
      <c r="J9" s="270">
        <f>I9/$J$3</f>
        <v>1.2089375926810265E-2</v>
      </c>
      <c r="K9" s="25"/>
      <c r="M9" s="1"/>
      <c r="O9" s="1">
        <v>3</v>
      </c>
      <c r="P9" s="1">
        <f>'표준점수 등급컷 입력기능'!E6</f>
        <v>59</v>
      </c>
    </row>
    <row r="10" spans="1:16" ht="25" customHeight="1">
      <c r="A10" s="5"/>
      <c r="B10" s="24"/>
      <c r="C10" s="56">
        <v>47</v>
      </c>
      <c r="D10" s="260"/>
      <c r="E10" s="260"/>
      <c r="F10" s="262"/>
      <c r="G10" s="264"/>
      <c r="H10" s="267"/>
      <c r="I10" s="269"/>
      <c r="J10" s="271"/>
      <c r="K10" s="25"/>
      <c r="M10" s="1"/>
      <c r="O10" s="1">
        <v>4</v>
      </c>
      <c r="P10" s="1">
        <f>'표준점수 등급컷 입력기능'!E7</f>
        <v>53</v>
      </c>
    </row>
    <row r="11" spans="1:16" ht="25" customHeight="1">
      <c r="A11" s="5"/>
      <c r="B11" s="24"/>
      <c r="C11" s="49">
        <v>46</v>
      </c>
      <c r="D11" s="50">
        <f t="shared" ref="D10:D55" si="1">ROUND(10*(C11-$H$3)/$H$4+50,0)</f>
        <v>70</v>
      </c>
      <c r="E11" s="50">
        <f t="shared" si="0"/>
        <v>1</v>
      </c>
      <c r="F11" s="51">
        <f t="shared" ref="F11:F55" si="2">IF(I10=0,ROUND(100*(1-(I9+I11)/2/$J$3),0),ROUND(100*(1-(I10+I11)/2/$J$3),0))</f>
        <v>99</v>
      </c>
      <c r="G11" s="52">
        <f>IF(D11=D10,"",_xlfn.IFNA(VLOOKUP(D11,'인원 입력 기능'!$G$5:$J$55,4,FALSE),0))</f>
        <v>16</v>
      </c>
      <c r="H11" s="53">
        <f t="shared" ref="H10:H55" si="3">G11/$J$3</f>
        <v>4.0214140297081959E-4</v>
      </c>
      <c r="I11" s="57">
        <f>SUM($G$7:G11)</f>
        <v>497</v>
      </c>
      <c r="J11" s="55">
        <f t="shared" ref="J10:J55" si="4">I11/$J$3</f>
        <v>1.2491517329781085E-2</v>
      </c>
      <c r="K11" s="25"/>
      <c r="M11" s="1"/>
      <c r="O11" s="1">
        <v>5</v>
      </c>
      <c r="P11" s="1">
        <f>'표준점수 등급컷 입력기능'!E8</f>
        <v>46</v>
      </c>
    </row>
    <row r="12" spans="1:16" ht="25" customHeight="1">
      <c r="A12" s="5"/>
      <c r="B12" s="24"/>
      <c r="C12" s="56">
        <v>45</v>
      </c>
      <c r="D12" s="50">
        <f t="shared" si="1"/>
        <v>69</v>
      </c>
      <c r="E12" s="50">
        <f t="shared" si="0"/>
        <v>1</v>
      </c>
      <c r="F12" s="51">
        <f t="shared" si="2"/>
        <v>98</v>
      </c>
      <c r="G12" s="52">
        <f>IF(D12=D11,"",_xlfn.IFNA(VLOOKUP(D12,'인원 입력 기능'!$G$5:$J$55,4,FALSE),0))</f>
        <v>252</v>
      </c>
      <c r="H12" s="53">
        <f t="shared" si="3"/>
        <v>6.333727096790409E-3</v>
      </c>
      <c r="I12" s="57">
        <f>SUM($G$7:G12)</f>
        <v>749</v>
      </c>
      <c r="J12" s="55">
        <f t="shared" si="4"/>
        <v>1.8825244426571495E-2</v>
      </c>
      <c r="K12" s="25"/>
      <c r="M12" s="1"/>
      <c r="O12" s="1">
        <v>6</v>
      </c>
      <c r="P12" s="1">
        <f>'표준점수 등급컷 입력기능'!E9</f>
        <v>41</v>
      </c>
    </row>
    <row r="13" spans="1:16" ht="25" customHeight="1">
      <c r="A13" s="5"/>
      <c r="B13" s="24"/>
      <c r="C13" s="49">
        <v>44</v>
      </c>
      <c r="D13" s="50">
        <f t="shared" si="1"/>
        <v>68</v>
      </c>
      <c r="E13" s="50">
        <f t="shared" si="0"/>
        <v>1</v>
      </c>
      <c r="F13" s="51">
        <f t="shared" si="2"/>
        <v>97</v>
      </c>
      <c r="G13" s="52">
        <f>IF(D13=D12,"",_xlfn.IFNA(VLOOKUP(D13,'인원 입력 기능'!$G$5:$J$55,4,FALSE),0))</f>
        <v>706</v>
      </c>
      <c r="H13" s="53">
        <f t="shared" si="3"/>
        <v>1.7744489406087416E-2</v>
      </c>
      <c r="I13" s="57">
        <f>SUM($G$7:G13)</f>
        <v>1455</v>
      </c>
      <c r="J13" s="55">
        <f t="shared" si="4"/>
        <v>3.6569733832658907E-2</v>
      </c>
      <c r="K13" s="25"/>
      <c r="M13" s="1"/>
      <c r="O13" s="1">
        <v>7</v>
      </c>
      <c r="P13" s="1">
        <f>'표준점수 등급컷 입력기능'!E10</f>
        <v>37</v>
      </c>
    </row>
    <row r="14" spans="1:16" ht="25" customHeight="1">
      <c r="A14" s="5"/>
      <c r="B14" s="24"/>
      <c r="C14" s="56">
        <v>43</v>
      </c>
      <c r="D14" s="50">
        <f t="shared" si="1"/>
        <v>67</v>
      </c>
      <c r="E14" s="50">
        <f t="shared" si="0"/>
        <v>1</v>
      </c>
      <c r="F14" s="51">
        <f t="shared" si="2"/>
        <v>96</v>
      </c>
      <c r="G14" s="52">
        <f>IF(D14=D13,"",_xlfn.IFNA(VLOOKUP(D14,'인원 입력 기능'!$G$5:$J$55,4,FALSE),0))</f>
        <v>91</v>
      </c>
      <c r="H14" s="53">
        <f t="shared" si="3"/>
        <v>2.2871792293965364E-3</v>
      </c>
      <c r="I14" s="57">
        <f>SUM($G$7:G14)</f>
        <v>1546</v>
      </c>
      <c r="J14" s="55">
        <f t="shared" si="4"/>
        <v>3.8856913062055444E-2</v>
      </c>
      <c r="K14" s="25"/>
      <c r="M14" s="1"/>
      <c r="O14" s="1">
        <v>8</v>
      </c>
      <c r="P14" s="1">
        <f>'표준점수 등급컷 입력기능'!E11</f>
        <v>35</v>
      </c>
    </row>
    <row r="15" spans="1:16" ht="25" customHeight="1">
      <c r="A15" s="5"/>
      <c r="B15" s="24"/>
      <c r="C15" s="49">
        <v>42</v>
      </c>
      <c r="D15" s="50">
        <f t="shared" si="1"/>
        <v>66</v>
      </c>
      <c r="E15" s="50">
        <f t="shared" si="0"/>
        <v>1</v>
      </c>
      <c r="F15" s="51">
        <f t="shared" si="2"/>
        <v>95</v>
      </c>
      <c r="G15" s="52">
        <f>IF(D15=D14,"",_xlfn.IFNA(VLOOKUP(D15,'인원 입력 기능'!$G$5:$J$55,4,FALSE),0))</f>
        <v>627</v>
      </c>
      <c r="H15" s="53">
        <f t="shared" si="3"/>
        <v>1.5758916228918993E-2</v>
      </c>
      <c r="I15" s="57">
        <f>SUM($G$7:G15)</f>
        <v>2173</v>
      </c>
      <c r="J15" s="55">
        <f t="shared" si="4"/>
        <v>5.4615829290974437E-2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65</v>
      </c>
      <c r="E16" s="50">
        <f t="shared" si="0"/>
        <v>2</v>
      </c>
      <c r="F16" s="51">
        <f t="shared" si="2"/>
        <v>93</v>
      </c>
      <c r="G16" s="52">
        <f>IF(D16=D15,"",_xlfn.IFNA(VLOOKUP(D16,'인원 입력 기능'!$G$5:$J$55,4,FALSE),0))</f>
        <v>940</v>
      </c>
      <c r="H16" s="53">
        <f t="shared" si="3"/>
        <v>2.3625807424535652E-2</v>
      </c>
      <c r="I16" s="57">
        <f>SUM($G$7:G16)</f>
        <v>3113</v>
      </c>
      <c r="J16" s="55">
        <f t="shared" si="4"/>
        <v>7.8241636715510085E-2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64</v>
      </c>
      <c r="E17" s="50">
        <f t="shared" si="0"/>
        <v>2</v>
      </c>
      <c r="F17" s="51">
        <f t="shared" si="2"/>
        <v>92</v>
      </c>
      <c r="G17" s="52">
        <f>IF(D17=D16,"",_xlfn.IFNA(VLOOKUP(D17,'인원 입력 기능'!$G$5:$J$55,4,FALSE),0))</f>
        <v>331</v>
      </c>
      <c r="H17" s="53">
        <f t="shared" si="3"/>
        <v>8.3193002739588313E-3</v>
      </c>
      <c r="I17" s="57">
        <f>SUM($G$7:G17)</f>
        <v>3444</v>
      </c>
      <c r="J17" s="55">
        <f t="shared" si="4"/>
        <v>8.6560936989468928E-2</v>
      </c>
      <c r="K17" s="25"/>
      <c r="M17" s="1"/>
      <c r="P17" s="1">
        <f>H3*H4*J3*P7*IFERROR(IF(J57=1, 1, 0), 0)</f>
        <v>704656567.83060002</v>
      </c>
    </row>
    <row r="18" spans="1:16" ht="25" customHeight="1">
      <c r="A18" s="5"/>
      <c r="B18" s="24"/>
      <c r="C18" s="56">
        <v>39</v>
      </c>
      <c r="D18" s="50">
        <f t="shared" si="1"/>
        <v>63</v>
      </c>
      <c r="E18" s="50">
        <f t="shared" si="0"/>
        <v>2</v>
      </c>
      <c r="F18" s="51">
        <f t="shared" si="2"/>
        <v>90</v>
      </c>
      <c r="G18" s="52">
        <f>IF(D18=D17,"",_xlfn.IFNA(VLOOKUP(D18,'인원 입력 기능'!$G$5:$J$55,4,FALSE),0))</f>
        <v>1170</v>
      </c>
      <c r="H18" s="53">
        <f t="shared" si="3"/>
        <v>2.9406590092241183E-2</v>
      </c>
      <c r="I18" s="57">
        <f>SUM($G$7:G18)</f>
        <v>4614</v>
      </c>
      <c r="J18" s="55">
        <f t="shared" si="4"/>
        <v>0.11596752708171011</v>
      </c>
      <c r="K18" s="25"/>
      <c r="M18" s="1"/>
    </row>
    <row r="19" spans="1:16" ht="25" customHeight="1">
      <c r="A19" s="5"/>
      <c r="B19" s="24"/>
      <c r="C19" s="49">
        <v>38</v>
      </c>
      <c r="D19" s="261">
        <f t="shared" si="1"/>
        <v>62</v>
      </c>
      <c r="E19" s="261">
        <f t="shared" si="0"/>
        <v>3</v>
      </c>
      <c r="F19" s="263">
        <f t="shared" si="2"/>
        <v>86</v>
      </c>
      <c r="G19" s="265">
        <f>IF(D19=D18,"",_xlfn.IFNA(VLOOKUP(D19,'인원 입력 기능'!$G$5:$J$55,4,FALSE),0))</f>
        <v>1718</v>
      </c>
      <c r="H19" s="266">
        <f t="shared" si="3"/>
        <v>4.3179933143991753E-2</v>
      </c>
      <c r="I19" s="268">
        <f>SUM($G$7:G19)</f>
        <v>6332</v>
      </c>
      <c r="J19" s="270">
        <f t="shared" si="4"/>
        <v>0.15914746022570186</v>
      </c>
      <c r="K19" s="25"/>
      <c r="M19" s="1"/>
    </row>
    <row r="20" spans="1:16" ht="25" customHeight="1">
      <c r="A20" s="5"/>
      <c r="B20" s="24"/>
      <c r="C20" s="56">
        <v>37</v>
      </c>
      <c r="D20" s="260"/>
      <c r="E20" s="260"/>
      <c r="F20" s="262"/>
      <c r="G20" s="264"/>
      <c r="H20" s="267"/>
      <c r="I20" s="269"/>
      <c r="J20" s="271"/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61</v>
      </c>
      <c r="E21" s="60">
        <f t="shared" si="0"/>
        <v>3</v>
      </c>
      <c r="F21" s="51">
        <f t="shared" si="2"/>
        <v>82</v>
      </c>
      <c r="G21" s="52">
        <f>IF(D21=D20,"",_xlfn.IFNA(VLOOKUP(D21,'인원 입력 기능'!$G$5:$J$55,4,FALSE),0))</f>
        <v>1432</v>
      </c>
      <c r="H21" s="53">
        <f t="shared" si="3"/>
        <v>3.5991655565888354E-2</v>
      </c>
      <c r="I21" s="57">
        <f>SUM($G$7:G21)</f>
        <v>7764</v>
      </c>
      <c r="J21" s="55">
        <f t="shared" si="4"/>
        <v>0.19513911579159021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60</v>
      </c>
      <c r="E22" s="60">
        <f t="shared" si="0"/>
        <v>3</v>
      </c>
      <c r="F22" s="51">
        <f t="shared" si="2"/>
        <v>79</v>
      </c>
      <c r="G22" s="52">
        <f>IF(D22=D21,"",_xlfn.IFNA(VLOOKUP(D22,'인원 입력 기능'!$G$5:$J$55,4,FALSE),0))</f>
        <v>908</v>
      </c>
      <c r="H22" s="53">
        <f t="shared" si="3"/>
        <v>2.2821524618594012E-2</v>
      </c>
      <c r="I22" s="57">
        <f>SUM($G$7:G22)</f>
        <v>8672</v>
      </c>
      <c r="J22" s="55">
        <f t="shared" si="4"/>
        <v>0.21796064041018423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59</v>
      </c>
      <c r="E23" s="60">
        <f t="shared" si="0"/>
        <v>3</v>
      </c>
      <c r="F23" s="51">
        <f t="shared" si="2"/>
        <v>77</v>
      </c>
      <c r="G23" s="52">
        <f>IF(D23=D22,"",_xlfn.IFNA(VLOOKUP(D23,'인원 입력 기능'!$G$5:$J$55,4,FALSE),0))</f>
        <v>1289</v>
      </c>
      <c r="H23" s="53">
        <f t="shared" si="3"/>
        <v>3.2397516776836652E-2</v>
      </c>
      <c r="I23" s="57">
        <f>SUM($G$7:G23)</f>
        <v>9961</v>
      </c>
      <c r="J23" s="55">
        <f t="shared" si="4"/>
        <v>0.25035815718702087</v>
      </c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58</v>
      </c>
      <c r="E24" s="60">
        <f t="shared" si="0"/>
        <v>4</v>
      </c>
      <c r="F24" s="51">
        <f t="shared" si="2"/>
        <v>73</v>
      </c>
      <c r="G24" s="52">
        <f>IF(D24=D23,"",_xlfn.IFNA(VLOOKUP(D24,'인원 입력 기능'!$G$5:$J$55,4,FALSE),0))</f>
        <v>1278</v>
      </c>
      <c r="H24" s="53">
        <f t="shared" si="3"/>
        <v>3.212104456229422E-2</v>
      </c>
      <c r="I24" s="57">
        <f>SUM($G$7:G24)</f>
        <v>11239</v>
      </c>
      <c r="J24" s="55">
        <f t="shared" si="4"/>
        <v>0.28247920174931512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57</v>
      </c>
      <c r="E25" s="60">
        <f t="shared" si="0"/>
        <v>4</v>
      </c>
      <c r="F25" s="51">
        <f t="shared" si="2"/>
        <v>71</v>
      </c>
      <c r="G25" s="52">
        <f>IF(D25=D24,"",_xlfn.IFNA(VLOOKUP(D25,'인원 입력 기능'!$G$5:$J$55,4,FALSE),0))</f>
        <v>934</v>
      </c>
      <c r="H25" s="53">
        <f t="shared" si="3"/>
        <v>2.3475004398421595E-2</v>
      </c>
      <c r="I25" s="57">
        <f>SUM($G$7:G25)</f>
        <v>12173</v>
      </c>
      <c r="J25" s="55">
        <f t="shared" si="4"/>
        <v>0.30595420614773672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56</v>
      </c>
      <c r="E26" s="60">
        <f t="shared" si="0"/>
        <v>4</v>
      </c>
      <c r="F26" s="51">
        <f t="shared" si="2"/>
        <v>68</v>
      </c>
      <c r="G26" s="52">
        <f>IF(D26=D25,"",_xlfn.IFNA(VLOOKUP(D26,'인원 입력 기능'!$G$5:$J$55,4,FALSE),0))</f>
        <v>1275</v>
      </c>
      <c r="H26" s="53">
        <f t="shared" si="3"/>
        <v>3.2045643049237189E-2</v>
      </c>
      <c r="I26" s="57">
        <f>SUM($G$7:G26)</f>
        <v>13448</v>
      </c>
      <c r="J26" s="55">
        <f t="shared" si="4"/>
        <v>0.3379998491969739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55</v>
      </c>
      <c r="E27" s="60">
        <f t="shared" si="0"/>
        <v>4</v>
      </c>
      <c r="F27" s="51">
        <f t="shared" si="2"/>
        <v>65</v>
      </c>
      <c r="G27" s="52">
        <f>IF(D27=D26,"",_xlfn.IFNA(VLOOKUP(D27,'인원 입력 기능'!$G$5:$J$55,4,FALSE),0))</f>
        <v>870</v>
      </c>
      <c r="H27" s="53">
        <f t="shared" si="3"/>
        <v>2.1866438786538316E-2</v>
      </c>
      <c r="I27" s="57">
        <f>SUM($G$7:G27)</f>
        <v>14318</v>
      </c>
      <c r="J27" s="55">
        <f t="shared" si="4"/>
        <v>0.35986628798351222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54</v>
      </c>
      <c r="E28" s="60">
        <f t="shared" si="0"/>
        <v>4</v>
      </c>
      <c r="F28" s="51">
        <f t="shared" si="2"/>
        <v>63</v>
      </c>
      <c r="G28" s="52">
        <f>IF(D28=D27,"",_xlfn.IFNA(VLOOKUP(D28,'인원 입력 기능'!$G$5:$J$55,4,FALSE),0))</f>
        <v>1097</v>
      </c>
      <c r="H28" s="53">
        <f t="shared" si="3"/>
        <v>2.757181994118682E-2</v>
      </c>
      <c r="I28" s="57">
        <f>SUM($G$7:G28)</f>
        <v>15415</v>
      </c>
      <c r="J28" s="55">
        <f t="shared" si="4"/>
        <v>0.38743810792469902</v>
      </c>
      <c r="K28" s="25"/>
      <c r="M28" s="1"/>
    </row>
    <row r="29" spans="1:16" ht="25" customHeight="1">
      <c r="A29" s="5"/>
      <c r="B29" s="24"/>
      <c r="C29" s="58">
        <v>28</v>
      </c>
      <c r="D29" s="273">
        <f t="shared" si="1"/>
        <v>53</v>
      </c>
      <c r="E29" s="273">
        <f t="shared" si="0"/>
        <v>4</v>
      </c>
      <c r="F29" s="263">
        <f t="shared" si="2"/>
        <v>59</v>
      </c>
      <c r="G29" s="265">
        <f>IF(D29=D28,"",_xlfn.IFNA(VLOOKUP(D29,'인원 입력 기능'!$G$5:$J$55,4,FALSE),0))</f>
        <v>1872</v>
      </c>
      <c r="H29" s="266">
        <f t="shared" si="3"/>
        <v>4.7050544147585895E-2</v>
      </c>
      <c r="I29" s="268">
        <f>SUM($G$7:G29)</f>
        <v>17287</v>
      </c>
      <c r="J29" s="270">
        <f t="shared" si="4"/>
        <v>0.43448865207228493</v>
      </c>
      <c r="K29" s="25"/>
      <c r="M29" s="1"/>
    </row>
    <row r="30" spans="1:16" ht="25" customHeight="1">
      <c r="A30" s="5"/>
      <c r="B30" s="24"/>
      <c r="C30" s="59">
        <v>27</v>
      </c>
      <c r="D30" s="272"/>
      <c r="E30" s="272"/>
      <c r="F30" s="262"/>
      <c r="G30" s="264"/>
      <c r="H30" s="267"/>
      <c r="I30" s="269"/>
      <c r="J30" s="271"/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52</v>
      </c>
      <c r="E31" s="60">
        <f t="shared" si="0"/>
        <v>5</v>
      </c>
      <c r="F31" s="51">
        <f t="shared" si="2"/>
        <v>55</v>
      </c>
      <c r="G31" s="52">
        <f>IF(D31=D30,"",_xlfn.IFNA(VLOOKUP(D31,'인원 입력 기능'!$G$5:$J$55,4,FALSE),0))</f>
        <v>1009</v>
      </c>
      <c r="H31" s="53">
        <f t="shared" si="3"/>
        <v>2.536004222484731E-2</v>
      </c>
      <c r="I31" s="57">
        <f>SUM($G$7:G31)</f>
        <v>18296</v>
      </c>
      <c r="J31" s="55">
        <f t="shared" si="4"/>
        <v>0.45984869429713221</v>
      </c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51</v>
      </c>
      <c r="E32" s="60">
        <f t="shared" si="0"/>
        <v>5</v>
      </c>
      <c r="F32" s="51">
        <f t="shared" si="2"/>
        <v>53</v>
      </c>
      <c r="G32" s="52">
        <f>IF(D32=D31,"",_xlfn.IFNA(VLOOKUP(D32,'인원 입력 기능'!$G$5:$J$55,4,FALSE),0))</f>
        <v>879</v>
      </c>
      <c r="H32" s="53">
        <f t="shared" si="3"/>
        <v>2.2092643325709403E-2</v>
      </c>
      <c r="I32" s="57">
        <f>SUM($G$7:G32)</f>
        <v>19175</v>
      </c>
      <c r="J32" s="55">
        <f t="shared" si="4"/>
        <v>0.48194133762284164</v>
      </c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50</v>
      </c>
      <c r="E33" s="60">
        <f t="shared" si="0"/>
        <v>5</v>
      </c>
      <c r="F33" s="51">
        <f t="shared" si="2"/>
        <v>51</v>
      </c>
      <c r="G33" s="52">
        <f>IF(D33=D32,"",_xlfn.IFNA(VLOOKUP(D33,'인원 입력 기능'!$G$5:$J$55,4,FALSE),0))</f>
        <v>992</v>
      </c>
      <c r="H33" s="53">
        <f t="shared" si="3"/>
        <v>2.4932766984190818E-2</v>
      </c>
      <c r="I33" s="57">
        <f>SUM($G$7:G33)</f>
        <v>20167</v>
      </c>
      <c r="J33" s="55">
        <f t="shared" si="4"/>
        <v>0.50687410460703242</v>
      </c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49</v>
      </c>
      <c r="E34" s="60">
        <f t="shared" si="0"/>
        <v>5</v>
      </c>
      <c r="F34" s="51">
        <f t="shared" si="2"/>
        <v>48</v>
      </c>
      <c r="G34" s="52">
        <f>IF(D34=D33,"",_xlfn.IFNA(VLOOKUP(D34,'인원 입력 기능'!$G$5:$J$55,4,FALSE),0))</f>
        <v>889</v>
      </c>
      <c r="H34" s="53">
        <f t="shared" si="3"/>
        <v>2.2343981702566164E-2</v>
      </c>
      <c r="I34" s="57">
        <f>SUM($G$7:G34)</f>
        <v>21056</v>
      </c>
      <c r="J34" s="55">
        <f t="shared" si="4"/>
        <v>0.52921808630959866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48</v>
      </c>
      <c r="E35" s="60">
        <f t="shared" si="0"/>
        <v>5</v>
      </c>
      <c r="F35" s="51">
        <f t="shared" si="2"/>
        <v>46</v>
      </c>
      <c r="G35" s="52">
        <f>IF(D35=D34,"",_xlfn.IFNA(VLOOKUP(D35,'인원 입력 기능'!$G$5:$J$55,4,FALSE),0))</f>
        <v>970</v>
      </c>
      <c r="H35" s="53">
        <f t="shared" si="3"/>
        <v>2.4379822555105939E-2</v>
      </c>
      <c r="I35" s="57">
        <f>SUM($G$7:G35)</f>
        <v>22026</v>
      </c>
      <c r="J35" s="55">
        <f t="shared" si="4"/>
        <v>0.5535979088647045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47</v>
      </c>
      <c r="E36" s="60">
        <f t="shared" si="0"/>
        <v>5</v>
      </c>
      <c r="F36" s="51">
        <f t="shared" si="2"/>
        <v>43</v>
      </c>
      <c r="G36" s="52">
        <f>IF(D36=D35,"",_xlfn.IFNA(VLOOKUP(D36,'인원 입력 기능'!$G$5:$J$55,4,FALSE),0))</f>
        <v>972</v>
      </c>
      <c r="H36" s="53">
        <f t="shared" si="3"/>
        <v>2.4430090230477292E-2</v>
      </c>
      <c r="I36" s="57">
        <f>SUM($G$7:G36)</f>
        <v>22998</v>
      </c>
      <c r="J36" s="55">
        <f t="shared" si="4"/>
        <v>0.57802799909518188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46</v>
      </c>
      <c r="E37" s="60">
        <f t="shared" si="0"/>
        <v>5</v>
      </c>
      <c r="F37" s="51">
        <f t="shared" si="2"/>
        <v>41</v>
      </c>
      <c r="G37" s="52">
        <f>IF(D37=D36,"",_xlfn.IFNA(VLOOKUP(D37,'인원 입력 기능'!$G$5:$J$55,4,FALSE),0))</f>
        <v>1003</v>
      </c>
      <c r="H37" s="53">
        <f t="shared" si="3"/>
        <v>2.5209239198733253E-2</v>
      </c>
      <c r="I37" s="57">
        <f>SUM($G$7:G37)</f>
        <v>24001</v>
      </c>
      <c r="J37" s="55">
        <f t="shared" si="4"/>
        <v>0.60323723829391507</v>
      </c>
      <c r="K37" s="25"/>
      <c r="M37" s="1"/>
    </row>
    <row r="38" spans="1:13" ht="25" customHeight="1">
      <c r="A38" s="5"/>
      <c r="B38" s="24"/>
      <c r="C38" s="59">
        <v>19</v>
      </c>
      <c r="D38" s="273">
        <f t="shared" si="1"/>
        <v>45</v>
      </c>
      <c r="E38" s="273">
        <f t="shared" si="0"/>
        <v>6</v>
      </c>
      <c r="F38" s="263">
        <f t="shared" si="2"/>
        <v>37</v>
      </c>
      <c r="G38" s="265">
        <f>IF(D38=D37,"",_xlfn.IFNA(VLOOKUP(D38,'인원 입력 기능'!$G$5:$J$55,4,FALSE),0))</f>
        <v>2149</v>
      </c>
      <c r="H38" s="266">
        <f t="shared" si="3"/>
        <v>5.4012617186518209E-2</v>
      </c>
      <c r="I38" s="268">
        <f>SUM($G$7:G38)</f>
        <v>26150</v>
      </c>
      <c r="J38" s="270">
        <f t="shared" si="4"/>
        <v>0.65724985548043335</v>
      </c>
      <c r="K38" s="25"/>
      <c r="M38" s="1"/>
    </row>
    <row r="39" spans="1:13" ht="25" customHeight="1">
      <c r="A39" s="5"/>
      <c r="B39" s="24"/>
      <c r="C39" s="58">
        <v>18</v>
      </c>
      <c r="D39" s="272"/>
      <c r="E39" s="272"/>
      <c r="F39" s="262"/>
      <c r="G39" s="264"/>
      <c r="H39" s="267"/>
      <c r="I39" s="269"/>
      <c r="J39" s="271"/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44</v>
      </c>
      <c r="E40" s="60">
        <f t="shared" ref="E39:E57" si="5">IF(ROUND(D40,0)&gt;=$P$7,1,IF(ROUND(D40,0)&gt;=$P$8,2,IF(ROUND(D40,0)&gt;=$P$9,3,IF(ROUND(D40,0)&gt;=$P$10,4,IF(ROUND(D40,0)&gt;=$P$11,5,IF(ROUND(D40,0)&gt;=$P$12,6,IF(ROUND(D40,0)&gt;=$P$13,7,IF(ROUND(D40,0)&gt;=$P$14,8,9))))))))</f>
        <v>6</v>
      </c>
      <c r="F40" s="51">
        <f t="shared" si="2"/>
        <v>33</v>
      </c>
      <c r="G40" s="52">
        <f>IF(D40=D39,"",_xlfn.IFNA(VLOOKUP(D40,'인원 입력 기능'!$G$5:$J$55,4,FALSE),0))</f>
        <v>1201</v>
      </c>
      <c r="H40" s="53">
        <f t="shared" si="3"/>
        <v>3.0185739060497149E-2</v>
      </c>
      <c r="I40" s="57">
        <f>SUM($G$7:G40)</f>
        <v>27351</v>
      </c>
      <c r="J40" s="55">
        <f t="shared" si="4"/>
        <v>0.68743559454093051</v>
      </c>
      <c r="K40" s="25"/>
      <c r="M40" s="1"/>
    </row>
    <row r="41" spans="1:13" ht="25" customHeight="1">
      <c r="A41" s="5"/>
      <c r="B41" s="24"/>
      <c r="C41" s="58">
        <v>16</v>
      </c>
      <c r="D41" s="60">
        <f t="shared" si="1"/>
        <v>43</v>
      </c>
      <c r="E41" s="60">
        <f t="shared" si="5"/>
        <v>6</v>
      </c>
      <c r="F41" s="51">
        <f t="shared" si="2"/>
        <v>30</v>
      </c>
      <c r="G41" s="52">
        <f>IF(D41=D40,"",_xlfn.IFNA(VLOOKUP(D41,'인원 입력 기능'!$G$5:$J$55,4,FALSE),0))</f>
        <v>1027</v>
      </c>
      <c r="H41" s="53">
        <f t="shared" si="3"/>
        <v>2.5812451303189484E-2</v>
      </c>
      <c r="I41" s="57">
        <f>SUM($G$7:G41)</f>
        <v>28378</v>
      </c>
      <c r="J41" s="55">
        <f t="shared" si="4"/>
        <v>0.71324804584411994</v>
      </c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42</v>
      </c>
      <c r="E42" s="60">
        <f t="shared" si="5"/>
        <v>6</v>
      </c>
      <c r="F42" s="51">
        <f t="shared" si="2"/>
        <v>27</v>
      </c>
      <c r="G42" s="52">
        <f>IF(D42=D41,"",_xlfn.IFNA(VLOOKUP(D42,'인원 입력 기능'!$G$5:$J$55,4,FALSE),0))</f>
        <v>1475</v>
      </c>
      <c r="H42" s="53">
        <f t="shared" si="3"/>
        <v>3.707241058637243E-2</v>
      </c>
      <c r="I42" s="57">
        <f>SUM($G$7:G42)</f>
        <v>29853</v>
      </c>
      <c r="J42" s="55">
        <f t="shared" si="4"/>
        <v>0.75032045643049239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41</v>
      </c>
      <c r="E43" s="60">
        <f t="shared" si="5"/>
        <v>6</v>
      </c>
      <c r="F43" s="51">
        <f t="shared" si="2"/>
        <v>24</v>
      </c>
      <c r="G43" s="52">
        <f>IF(D43=D42,"",_xlfn.IFNA(VLOOKUP(D43,'인원 입력 기능'!$G$5:$J$55,4,FALSE),0))</f>
        <v>1021</v>
      </c>
      <c r="H43" s="53">
        <f t="shared" si="3"/>
        <v>2.5661648277075427E-2</v>
      </c>
      <c r="I43" s="57">
        <f>SUM($G$7:G43)</f>
        <v>30874</v>
      </c>
      <c r="J43" s="55">
        <f t="shared" si="4"/>
        <v>0.77598210470756779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40</v>
      </c>
      <c r="E44" s="60">
        <f t="shared" si="5"/>
        <v>7</v>
      </c>
      <c r="F44" s="51">
        <f t="shared" si="2"/>
        <v>20</v>
      </c>
      <c r="G44" s="52">
        <f>IF(D44=D43,"",_xlfn.IFNA(VLOOKUP(D44,'인원 입력 기능'!$G$5:$J$55,4,FALSE),0))</f>
        <v>1693</v>
      </c>
      <c r="H44" s="53">
        <f t="shared" si="3"/>
        <v>4.2551587201849851E-2</v>
      </c>
      <c r="I44" s="57">
        <f>SUM($G$7:G44)</f>
        <v>32567</v>
      </c>
      <c r="J44" s="55">
        <f t="shared" si="4"/>
        <v>0.8185336919094176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39</v>
      </c>
      <c r="E45" s="60">
        <f t="shared" si="5"/>
        <v>7</v>
      </c>
      <c r="F45" s="51">
        <f t="shared" si="2"/>
        <v>17</v>
      </c>
      <c r="G45" s="52">
        <f>IF(D45=D44,"",_xlfn.IFNA(VLOOKUP(D45,'인원 입력 기능'!$G$5:$J$55,4,FALSE),0))</f>
        <v>1076</v>
      </c>
      <c r="H45" s="53">
        <f t="shared" si="3"/>
        <v>2.704400934978762E-2</v>
      </c>
      <c r="I45" s="57">
        <f>SUM($G$7:G45)</f>
        <v>33643</v>
      </c>
      <c r="J45" s="55">
        <f t="shared" si="4"/>
        <v>0.84557770125920528</v>
      </c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38</v>
      </c>
      <c r="E46" s="60">
        <f t="shared" si="5"/>
        <v>7</v>
      </c>
      <c r="F46" s="51">
        <f t="shared" si="2"/>
        <v>14</v>
      </c>
      <c r="G46" s="52">
        <f>IF(D46=D45,"",_xlfn.IFNA(VLOOKUP(D46,'인원 입력 기능'!$G$5:$J$55,4,FALSE),0))</f>
        <v>1144</v>
      </c>
      <c r="H46" s="53">
        <f t="shared" si="3"/>
        <v>2.8753110312413604E-2</v>
      </c>
      <c r="I46" s="57">
        <f>SUM($G$7:G46)</f>
        <v>34787</v>
      </c>
      <c r="J46" s="55">
        <f t="shared" si="4"/>
        <v>0.87433081157161885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37</v>
      </c>
      <c r="E47" s="60">
        <f t="shared" si="5"/>
        <v>7</v>
      </c>
      <c r="F47" s="51">
        <f t="shared" si="2"/>
        <v>11</v>
      </c>
      <c r="G47" s="52">
        <f>IF(D47=D46,"",_xlfn.IFNA(VLOOKUP(D47,'인원 입력 기능'!$G$5:$J$55,4,FALSE),0))</f>
        <v>933</v>
      </c>
      <c r="H47" s="53">
        <f t="shared" si="3"/>
        <v>2.3449870560735917E-2</v>
      </c>
      <c r="I47" s="57">
        <f>SUM($G$7:G47)</f>
        <v>35720</v>
      </c>
      <c r="J47" s="55">
        <f t="shared" si="4"/>
        <v>0.89778068213235473</v>
      </c>
      <c r="K47" s="25"/>
      <c r="M47" s="1"/>
    </row>
    <row r="48" spans="1:13" ht="25" customHeight="1">
      <c r="A48" s="5"/>
      <c r="B48" s="24"/>
      <c r="C48" s="59">
        <v>9</v>
      </c>
      <c r="D48" s="273">
        <f t="shared" si="1"/>
        <v>36</v>
      </c>
      <c r="E48" s="273">
        <f t="shared" si="5"/>
        <v>8</v>
      </c>
      <c r="F48" s="263">
        <f t="shared" si="2"/>
        <v>7</v>
      </c>
      <c r="G48" s="265">
        <f>IF(D48=D47,"",_xlfn.IFNA(VLOOKUP(D48,'인원 입력 기능'!$G$5:$J$55,4,FALSE),0))</f>
        <v>2185</v>
      </c>
      <c r="H48" s="266">
        <f t="shared" si="3"/>
        <v>5.491743534320255E-2</v>
      </c>
      <c r="I48" s="268">
        <f>SUM($G$7:G48)</f>
        <v>37905</v>
      </c>
      <c r="J48" s="270">
        <f t="shared" si="4"/>
        <v>0.95269811747555733</v>
      </c>
      <c r="K48" s="25"/>
      <c r="M48" s="1"/>
    </row>
    <row r="49" spans="1:13" ht="25" customHeight="1">
      <c r="A49" s="5"/>
      <c r="B49" s="24"/>
      <c r="C49" s="58">
        <v>8</v>
      </c>
      <c r="D49" s="272"/>
      <c r="E49" s="272"/>
      <c r="F49" s="262"/>
      <c r="G49" s="264"/>
      <c r="H49" s="267"/>
      <c r="I49" s="269"/>
      <c r="J49" s="271"/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35</v>
      </c>
      <c r="E50" s="60">
        <f t="shared" si="5"/>
        <v>8</v>
      </c>
      <c r="F50" s="51">
        <f t="shared" si="2"/>
        <v>4</v>
      </c>
      <c r="G50" s="52">
        <f>IF(D50=D49,"",_xlfn.IFNA(VLOOKUP(D50,'인원 입력 기능'!$G$5:$J$55,4,FALSE),0))</f>
        <v>711</v>
      </c>
      <c r="H50" s="53">
        <f t="shared" si="3"/>
        <v>1.7870158594515798E-2</v>
      </c>
      <c r="I50" s="57">
        <f>SUM($G$7:G50)</f>
        <v>38616</v>
      </c>
      <c r="J50" s="55">
        <f t="shared" si="4"/>
        <v>0.97056827607007312</v>
      </c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34</v>
      </c>
      <c r="E51" s="60">
        <f t="shared" si="5"/>
        <v>9</v>
      </c>
      <c r="F51" s="51">
        <f t="shared" si="2"/>
        <v>2</v>
      </c>
      <c r="G51" s="52">
        <f>IF(D51=D50,"",_xlfn.IFNA(VLOOKUP(D51,'인원 입력 기능'!$G$5:$J$55,4,FALSE),0))</f>
        <v>406</v>
      </c>
      <c r="H51" s="53">
        <f t="shared" si="3"/>
        <v>1.0204338100384548E-2</v>
      </c>
      <c r="I51" s="57">
        <f>SUM($G$7:G51)</f>
        <v>39022</v>
      </c>
      <c r="J51" s="55">
        <f t="shared" si="4"/>
        <v>0.98077261417045769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33</v>
      </c>
      <c r="E52" s="60">
        <f t="shared" si="5"/>
        <v>9</v>
      </c>
      <c r="F52" s="51">
        <f t="shared" si="2"/>
        <v>2</v>
      </c>
      <c r="G52" s="52">
        <f>IF(D52=D51,"",_xlfn.IFNA(VLOOKUP(D52,'인원 입력 기능'!$G$5:$J$55,4,FALSE),0))</f>
        <v>322</v>
      </c>
      <c r="H52" s="53">
        <f t="shared" si="3"/>
        <v>8.0930957347877443E-3</v>
      </c>
      <c r="I52" s="57">
        <f>SUM($G$7:G52)</f>
        <v>39344</v>
      </c>
      <c r="J52" s="55">
        <f t="shared" si="4"/>
        <v>0.98886570990524547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32</v>
      </c>
      <c r="E53" s="50">
        <f t="shared" si="5"/>
        <v>9</v>
      </c>
      <c r="F53" s="51">
        <f t="shared" si="2"/>
        <v>1</v>
      </c>
      <c r="G53" s="52">
        <f>IF(D53=D52,"",_xlfn.IFNA(VLOOKUP(D53,'인원 입력 기능'!$G$5:$J$55,4,FALSE),0))</f>
        <v>191</v>
      </c>
      <c r="H53" s="53">
        <f t="shared" si="3"/>
        <v>4.8005629979641588E-3</v>
      </c>
      <c r="I53" s="57">
        <f>SUM($G$7:G53)</f>
        <v>39535</v>
      </c>
      <c r="J53" s="55">
        <f t="shared" si="4"/>
        <v>0.99366627290320964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31</v>
      </c>
      <c r="E54" s="50">
        <f t="shared" si="5"/>
        <v>9</v>
      </c>
      <c r="F54" s="51">
        <f t="shared" si="2"/>
        <v>1</v>
      </c>
      <c r="G54" s="52">
        <f>IF(D54=D53,"",_xlfn.IFNA(VLOOKUP(D54,'인원 입력 기능'!$G$5:$J$55,4,FALSE),0))</f>
        <v>90</v>
      </c>
      <c r="H54" s="53">
        <f t="shared" si="3"/>
        <v>2.2620453917108602E-3</v>
      </c>
      <c r="I54" s="57">
        <f>SUM($G$7:G54)</f>
        <v>39625</v>
      </c>
      <c r="J54" s="55">
        <f t="shared" si="4"/>
        <v>0.99592831829492046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30</v>
      </c>
      <c r="E55" s="50">
        <f t="shared" si="5"/>
        <v>9</v>
      </c>
      <c r="F55" s="51">
        <f t="shared" si="2"/>
        <v>0</v>
      </c>
      <c r="G55" s="52">
        <f>IF(D55=D54,"",_xlfn.IFNA(VLOOKUP(D55,'인원 입력 기능'!$G$5:$J$55,4,FALSE),0))</f>
        <v>102</v>
      </c>
      <c r="H55" s="53">
        <f t="shared" si="3"/>
        <v>2.5636514439389751E-3</v>
      </c>
      <c r="I55" s="57">
        <f>SUM($G$7:G55)</f>
        <v>39727</v>
      </c>
      <c r="J55" s="55">
        <f t="shared" si="4"/>
        <v>0.99849196973885945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28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기능'!$G$5:$J$55,4,FALSE),0)</f>
        <v>60</v>
      </c>
      <c r="H57" s="69">
        <f>G57/J3</f>
        <v>1.5080302611405736E-3</v>
      </c>
      <c r="I57" s="70">
        <f>SUM($G$7:G57)</f>
        <v>39787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0">
    <mergeCell ref="I38:I39"/>
    <mergeCell ref="J38:J39"/>
    <mergeCell ref="D48:D49"/>
    <mergeCell ref="E48:E49"/>
    <mergeCell ref="F48:F49"/>
    <mergeCell ref="G48:G49"/>
    <mergeCell ref="H48:H49"/>
    <mergeCell ref="I48:I49"/>
    <mergeCell ref="J48:J49"/>
    <mergeCell ref="D38:D39"/>
    <mergeCell ref="E38:E39"/>
    <mergeCell ref="F38:F39"/>
    <mergeCell ref="G38:G39"/>
    <mergeCell ref="H38:H39"/>
    <mergeCell ref="H19:H20"/>
    <mergeCell ref="I19:I20"/>
    <mergeCell ref="J19:J20"/>
    <mergeCell ref="D29:D30"/>
    <mergeCell ref="E29:E30"/>
    <mergeCell ref="F29:F30"/>
    <mergeCell ref="G29:G30"/>
    <mergeCell ref="H29:H30"/>
    <mergeCell ref="I29:I30"/>
    <mergeCell ref="J29:J30"/>
    <mergeCell ref="D3:F3"/>
    <mergeCell ref="D4:F4"/>
    <mergeCell ref="D56:J56"/>
    <mergeCell ref="D8:J8"/>
    <mergeCell ref="G5:J5"/>
    <mergeCell ref="D9:D10"/>
    <mergeCell ref="E9:E10"/>
    <mergeCell ref="F9:F10"/>
    <mergeCell ref="G9:G10"/>
    <mergeCell ref="H9:H10"/>
    <mergeCell ref="I9:I10"/>
    <mergeCell ref="J9:J10"/>
    <mergeCell ref="D19:D20"/>
    <mergeCell ref="E19:E20"/>
    <mergeCell ref="F19:F20"/>
    <mergeCell ref="G19:G20"/>
  </mergeCells>
  <phoneticPr fontId="1" type="noConversion"/>
  <conditionalFormatting sqref="D7:J7 D57:J57 D9:J9 D11:J19 D21:J29 D31:J38 D40:J48 D50:J55">
    <cfRule type="expression" dxfId="153" priority="7">
      <formula>OR($D7=$P$7:$P$14)</formula>
    </cfRule>
  </conditionalFormatting>
  <conditionalFormatting sqref="C7:C57">
    <cfRule type="expression" dxfId="152" priority="6">
      <formula>OR(AND($D7=0,OR($D6=$P$7:$P$14)),AND($D8&gt;0,OR($D7=$P$7:$P$14)))</formula>
    </cfRule>
  </conditionalFormatting>
  <conditionalFormatting sqref="D7 D57 D9 D11:D19 D21:D29 D31:D38 D40:D48 D50:D55">
    <cfRule type="expression" dxfId="151" priority="5">
      <formula>$D7=$D8</formula>
    </cfRule>
  </conditionalFormatting>
  <conditionalFormatting sqref="D56">
    <cfRule type="expression" dxfId="150" priority="4">
      <formula>OR($D56=$P$7:$P$14)</formula>
    </cfRule>
  </conditionalFormatting>
  <conditionalFormatting sqref="D56">
    <cfRule type="expression" dxfId="149" priority="3">
      <formula>$D56=$D57</formula>
    </cfRule>
  </conditionalFormatting>
  <conditionalFormatting sqref="D8">
    <cfRule type="expression" dxfId="148" priority="2">
      <formula>OR($D8=$P$7:$P$14)</formula>
    </cfRule>
  </conditionalFormatting>
  <conditionalFormatting sqref="D8">
    <cfRule type="expression" dxfId="14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0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기능'!D6</f>
        <v>24.62</v>
      </c>
      <c r="I3" s="109" t="s">
        <v>54</v>
      </c>
      <c r="J3" s="110">
        <f>'통계 및 응시자 수 입력 기능'!C6</f>
        <v>34933</v>
      </c>
      <c r="K3" s="25"/>
    </row>
    <row r="4" spans="1:16" ht="25" customHeight="1" thickBot="1">
      <c r="A4" s="5"/>
      <c r="B4" s="24"/>
      <c r="C4" s="42" t="s">
        <v>55</v>
      </c>
      <c r="D4" s="242" t="s">
        <v>76</v>
      </c>
      <c r="E4" s="243"/>
      <c r="F4" s="244"/>
      <c r="G4" s="43" t="s">
        <v>57</v>
      </c>
      <c r="H4" s="108">
        <f>'통계 및 응시자 수 입력 기능'!E6</f>
        <v>13.45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69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기능'!$L$5:$O$55,4,FALSE),0)</f>
        <v>343</v>
      </c>
      <c r="H7" s="53">
        <f>G7/J3</f>
        <v>9.8187959808776794E-3</v>
      </c>
      <c r="I7" s="54">
        <f>G7</f>
        <v>343</v>
      </c>
      <c r="J7" s="55">
        <f>I7/J3</f>
        <v>9.8187959808776794E-3</v>
      </c>
      <c r="K7" s="25"/>
      <c r="M7" s="1"/>
      <c r="O7" s="1">
        <v>1</v>
      </c>
      <c r="P7" s="1">
        <f>'표준점수 등급컷 입력기능'!H4</f>
        <v>67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입력기능'!H5</f>
        <v>64</v>
      </c>
    </row>
    <row r="9" spans="1:16" ht="25" customHeight="1">
      <c r="A9" s="5"/>
      <c r="B9" s="24"/>
      <c r="C9" s="49">
        <v>48</v>
      </c>
      <c r="D9" s="261">
        <f>ROUND(10*(C9-$H$3)/$H$4+50,0)</f>
        <v>67</v>
      </c>
      <c r="E9" s="261">
        <f t="shared" si="0"/>
        <v>1</v>
      </c>
      <c r="F9" s="263">
        <f>IF(I8=0,ROUND(100*(1-(I7+I9)/2/$J$3),0),ROUND(100*(1-(I8+I9)/2/$J$3),0))</f>
        <v>97</v>
      </c>
      <c r="G9" s="265">
        <f>_xlfn.IFNA(VLOOKUP(D9,'인원 입력 기능'!$L$5:$O$55,4,FALSE),0)</f>
        <v>1207</v>
      </c>
      <c r="H9" s="266">
        <f>G9/$J$3</f>
        <v>3.4551856410843615E-2</v>
      </c>
      <c r="I9" s="268">
        <f>SUM($G$7:G9)</f>
        <v>1550</v>
      </c>
      <c r="J9" s="270">
        <f>I9/$J$3</f>
        <v>4.4370652391721298E-2</v>
      </c>
      <c r="K9" s="25"/>
      <c r="M9" s="1"/>
      <c r="O9" s="1">
        <v>3</v>
      </c>
      <c r="P9" s="1">
        <f>'표준점수 등급컷 입력기능'!H6</f>
        <v>60</v>
      </c>
    </row>
    <row r="10" spans="1:16" ht="25" customHeight="1">
      <c r="A10" s="5"/>
      <c r="B10" s="24"/>
      <c r="C10" s="56">
        <v>47</v>
      </c>
      <c r="D10" s="260"/>
      <c r="E10" s="260"/>
      <c r="F10" s="262"/>
      <c r="G10" s="264"/>
      <c r="H10" s="267"/>
      <c r="I10" s="269"/>
      <c r="J10" s="271"/>
      <c r="K10" s="25"/>
      <c r="M10" s="1"/>
      <c r="O10" s="1">
        <v>4</v>
      </c>
      <c r="P10" s="1">
        <f>'표준점수 등급컷 입력기능'!H7</f>
        <v>53</v>
      </c>
    </row>
    <row r="11" spans="1:16" ht="25" customHeight="1">
      <c r="A11" s="5"/>
      <c r="B11" s="24"/>
      <c r="C11" s="49">
        <v>46</v>
      </c>
      <c r="D11" s="50">
        <f t="shared" ref="D10:D55" si="1">ROUND(10*(C11-$H$3)/$H$4+50,0)</f>
        <v>66</v>
      </c>
      <c r="E11" s="50">
        <f t="shared" si="0"/>
        <v>2</v>
      </c>
      <c r="F11" s="51">
        <f t="shared" ref="F11:F55" si="2">IF(I10=0,ROUND(100*(1-(I9+I11)/2/$J$3),0),ROUND(100*(1-(I10+I11)/2/$J$3),0))</f>
        <v>95</v>
      </c>
      <c r="G11" s="52">
        <f>IF(D11=D10,"",_xlfn.IFNA(VLOOKUP(D11,'인원 입력 기능'!$L$5:$O$55,4,FALSE),0))</f>
        <v>690</v>
      </c>
      <c r="H11" s="53">
        <f t="shared" ref="H10:H55" si="3">G11/$J$3</f>
        <v>1.9752096871153351E-2</v>
      </c>
      <c r="I11" s="57">
        <f>SUM($G$7:G11)</f>
        <v>2240</v>
      </c>
      <c r="J11" s="55">
        <f t="shared" ref="J10:J55" si="4">I11/$J$3</f>
        <v>6.4122749262874645E-2</v>
      </c>
      <c r="K11" s="25"/>
      <c r="M11" s="1"/>
      <c r="O11" s="1">
        <v>5</v>
      </c>
      <c r="P11" s="1">
        <f>'표준점수 등급컷 입력기능'!H8</f>
        <v>44</v>
      </c>
    </row>
    <row r="12" spans="1:16" ht="25" customHeight="1">
      <c r="A12" s="5"/>
      <c r="B12" s="24"/>
      <c r="C12" s="56">
        <v>45</v>
      </c>
      <c r="D12" s="50">
        <f t="shared" si="1"/>
        <v>65</v>
      </c>
      <c r="E12" s="50">
        <f t="shared" si="0"/>
        <v>2</v>
      </c>
      <c r="F12" s="51">
        <f t="shared" si="2"/>
        <v>92</v>
      </c>
      <c r="G12" s="52">
        <f>IF(D12=D11,"",_xlfn.IFNA(VLOOKUP(D12,'인원 입력 기능'!$L$5:$O$55,4,FALSE),0))</f>
        <v>1067</v>
      </c>
      <c r="H12" s="53">
        <f t="shared" si="3"/>
        <v>3.054418458191395E-2</v>
      </c>
      <c r="I12" s="57">
        <f>SUM($G$7:G12)</f>
        <v>3307</v>
      </c>
      <c r="J12" s="55">
        <f t="shared" si="4"/>
        <v>9.4666933844788595E-2</v>
      </c>
      <c r="K12" s="25"/>
      <c r="M12" s="1"/>
      <c r="O12" s="1">
        <v>6</v>
      </c>
      <c r="P12" s="1">
        <f>'표준점수 등급컷 입력기능'!H9</f>
        <v>41</v>
      </c>
    </row>
    <row r="13" spans="1:16" ht="25" customHeight="1">
      <c r="A13" s="5"/>
      <c r="B13" s="24"/>
      <c r="C13" s="49">
        <v>44</v>
      </c>
      <c r="D13" s="261">
        <f t="shared" si="1"/>
        <v>64</v>
      </c>
      <c r="E13" s="261">
        <f t="shared" si="0"/>
        <v>2</v>
      </c>
      <c r="F13" s="263">
        <f t="shared" si="2"/>
        <v>88</v>
      </c>
      <c r="G13" s="265">
        <f>IF(D13=D12,"",_xlfn.IFNA(VLOOKUP(D13,'인원 입력 기능'!$L$5:$O$55,4,FALSE),0))</f>
        <v>1548</v>
      </c>
      <c r="H13" s="266">
        <f t="shared" si="3"/>
        <v>4.4313399937022296E-2</v>
      </c>
      <c r="I13" s="268">
        <f>SUM($G$7:G13)</f>
        <v>4855</v>
      </c>
      <c r="J13" s="270">
        <f t="shared" si="4"/>
        <v>0.13898033378181091</v>
      </c>
      <c r="K13" s="25"/>
      <c r="M13" s="1"/>
      <c r="O13" s="1">
        <v>7</v>
      </c>
      <c r="P13" s="1">
        <f>'표준점수 등급컷 입력기능'!H10</f>
        <v>38</v>
      </c>
    </row>
    <row r="14" spans="1:16" ht="25" customHeight="1">
      <c r="A14" s="5"/>
      <c r="B14" s="24"/>
      <c r="C14" s="56">
        <v>43</v>
      </c>
      <c r="D14" s="260"/>
      <c r="E14" s="260"/>
      <c r="F14" s="262"/>
      <c r="G14" s="264"/>
      <c r="H14" s="267"/>
      <c r="I14" s="269"/>
      <c r="J14" s="271"/>
      <c r="K14" s="25"/>
      <c r="M14" s="1"/>
      <c r="O14" s="1">
        <v>8</v>
      </c>
      <c r="P14" s="1">
        <f>'표준점수 등급컷 입력기능'!H11</f>
        <v>37</v>
      </c>
    </row>
    <row r="15" spans="1:16" ht="25" customHeight="1">
      <c r="A15" s="5"/>
      <c r="B15" s="24"/>
      <c r="C15" s="49">
        <v>42</v>
      </c>
      <c r="D15" s="50">
        <f t="shared" si="1"/>
        <v>63</v>
      </c>
      <c r="E15" s="50">
        <f t="shared" si="0"/>
        <v>3</v>
      </c>
      <c r="F15" s="51">
        <f t="shared" si="2"/>
        <v>85</v>
      </c>
      <c r="G15" s="52">
        <f>IF(D15=D14,"",_xlfn.IFNA(VLOOKUP(D15,'인원 입력 기능'!$L$5:$O$55,4,FALSE),0))</f>
        <v>822</v>
      </c>
      <c r="H15" s="53">
        <f t="shared" si="3"/>
        <v>2.3530758881287035E-2</v>
      </c>
      <c r="I15" s="57">
        <f>SUM($G$7:G15)</f>
        <v>5677</v>
      </c>
      <c r="J15" s="55">
        <f t="shared" si="4"/>
        <v>0.16251109266309793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62</v>
      </c>
      <c r="E16" s="50">
        <f t="shared" si="0"/>
        <v>3</v>
      </c>
      <c r="F16" s="51">
        <f t="shared" si="2"/>
        <v>83</v>
      </c>
      <c r="G16" s="52">
        <f>IF(D16=D15,"",_xlfn.IFNA(VLOOKUP(D16,'인원 입력 기능'!$L$5:$O$55,4,FALSE),0))</f>
        <v>586</v>
      </c>
      <c r="H16" s="53">
        <f t="shared" si="3"/>
        <v>1.6774969226805599E-2</v>
      </c>
      <c r="I16" s="57">
        <f>SUM($G$7:G16)</f>
        <v>6263</v>
      </c>
      <c r="J16" s="55">
        <f t="shared" si="4"/>
        <v>0.17928606188990354</v>
      </c>
      <c r="K16" s="25"/>
      <c r="M16" s="1"/>
    </row>
    <row r="17" spans="1:16" ht="25" customHeight="1">
      <c r="A17" s="5"/>
      <c r="B17" s="24"/>
      <c r="C17" s="49">
        <v>40</v>
      </c>
      <c r="D17" s="261">
        <f t="shared" si="1"/>
        <v>61</v>
      </c>
      <c r="E17" s="261">
        <f t="shared" si="0"/>
        <v>3</v>
      </c>
      <c r="F17" s="263">
        <f t="shared" si="2"/>
        <v>80</v>
      </c>
      <c r="G17" s="265">
        <f>IF(D17=D16,"",_xlfn.IFNA(VLOOKUP(D17,'인원 입력 기능'!$L$5:$O$55,4,FALSE),0))</f>
        <v>1602</v>
      </c>
      <c r="H17" s="266">
        <f t="shared" si="3"/>
        <v>4.5859216213895174E-2</v>
      </c>
      <c r="I17" s="268">
        <f>SUM($G$7:G17)</f>
        <v>7865</v>
      </c>
      <c r="J17" s="270">
        <f t="shared" si="4"/>
        <v>0.2251452781037987</v>
      </c>
      <c r="K17" s="25"/>
      <c r="M17" s="1"/>
      <c r="P17" s="1">
        <f>H3*H4*J3*P7*IFERROR(IF(J57=1, 1, 0), 0)</f>
        <v>775034472.02900004</v>
      </c>
    </row>
    <row r="18" spans="1:16" ht="25" customHeight="1">
      <c r="A18" s="5"/>
      <c r="B18" s="24"/>
      <c r="C18" s="56">
        <v>39</v>
      </c>
      <c r="D18" s="260"/>
      <c r="E18" s="260"/>
      <c r="F18" s="262"/>
      <c r="G18" s="264"/>
      <c r="H18" s="267"/>
      <c r="I18" s="269"/>
      <c r="J18" s="271"/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60</v>
      </c>
      <c r="E19" s="50">
        <f t="shared" si="0"/>
        <v>3</v>
      </c>
      <c r="F19" s="51">
        <f t="shared" si="2"/>
        <v>77</v>
      </c>
      <c r="G19" s="52">
        <f>IF(D19=D18,"",_xlfn.IFNA(VLOOKUP(D19,'인원 입력 기능'!$L$5:$O$55,4,FALSE),0))</f>
        <v>684</v>
      </c>
      <c r="H19" s="53">
        <f t="shared" si="3"/>
        <v>1.9580339507056364E-2</v>
      </c>
      <c r="I19" s="57">
        <f>SUM($G$7:G19)</f>
        <v>8549</v>
      </c>
      <c r="J19" s="55">
        <f t="shared" si="4"/>
        <v>0.24472561761085507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59</v>
      </c>
      <c r="E20" s="50">
        <f t="shared" si="0"/>
        <v>4</v>
      </c>
      <c r="F20" s="51">
        <f t="shared" si="2"/>
        <v>74</v>
      </c>
      <c r="G20" s="52">
        <f>IF(D20=D19,"",_xlfn.IFNA(VLOOKUP(D20,'인원 입력 기능'!$L$5:$O$55,4,FALSE),0))</f>
        <v>806</v>
      </c>
      <c r="H20" s="53">
        <f t="shared" si="3"/>
        <v>2.3072739243695073E-2</v>
      </c>
      <c r="I20" s="57">
        <f>SUM($G$7:G20)</f>
        <v>9355</v>
      </c>
      <c r="J20" s="55">
        <f t="shared" si="4"/>
        <v>0.26779835685455011</v>
      </c>
      <c r="K20" s="25"/>
      <c r="M20" s="1"/>
    </row>
    <row r="21" spans="1:16" ht="25" customHeight="1">
      <c r="A21" s="5"/>
      <c r="B21" s="24"/>
      <c r="C21" s="58">
        <v>36</v>
      </c>
      <c r="D21" s="273">
        <f t="shared" si="1"/>
        <v>58</v>
      </c>
      <c r="E21" s="273">
        <f t="shared" si="0"/>
        <v>4</v>
      </c>
      <c r="F21" s="263">
        <f t="shared" si="2"/>
        <v>72</v>
      </c>
      <c r="G21" s="265">
        <f>IF(D21=D20,"",_xlfn.IFNA(VLOOKUP(D21,'인원 입력 기능'!$L$5:$O$55,4,FALSE),0))</f>
        <v>1174</v>
      </c>
      <c r="H21" s="266">
        <f t="shared" si="3"/>
        <v>3.3607190908310193E-2</v>
      </c>
      <c r="I21" s="268">
        <f>SUM($G$7:G21)</f>
        <v>10529</v>
      </c>
      <c r="J21" s="270">
        <f t="shared" si="4"/>
        <v>0.30140554776286033</v>
      </c>
      <c r="K21" s="25"/>
      <c r="M21" s="1"/>
    </row>
    <row r="22" spans="1:16" ht="25" customHeight="1">
      <c r="A22" s="5"/>
      <c r="B22" s="24"/>
      <c r="C22" s="59">
        <v>35</v>
      </c>
      <c r="D22" s="272"/>
      <c r="E22" s="272"/>
      <c r="F22" s="262"/>
      <c r="G22" s="264"/>
      <c r="H22" s="267"/>
      <c r="I22" s="269"/>
      <c r="J22" s="271"/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57</v>
      </c>
      <c r="E23" s="60">
        <f t="shared" si="0"/>
        <v>4</v>
      </c>
      <c r="F23" s="51">
        <f t="shared" si="2"/>
        <v>69</v>
      </c>
      <c r="G23" s="52">
        <f>IF(D23=D22,"",_xlfn.IFNA(VLOOKUP(D23,'인원 입력 기능'!$L$5:$O$55,4,FALSE),0))</f>
        <v>601</v>
      </c>
      <c r="H23" s="53">
        <f t="shared" si="3"/>
        <v>1.7204362637048064E-2</v>
      </c>
      <c r="I23" s="57">
        <f>SUM($G$7:G23)</f>
        <v>11130</v>
      </c>
      <c r="J23" s="55">
        <f t="shared" si="4"/>
        <v>0.31860991039990838</v>
      </c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56</v>
      </c>
      <c r="E24" s="60">
        <f t="shared" si="0"/>
        <v>4</v>
      </c>
      <c r="F24" s="51">
        <f t="shared" si="2"/>
        <v>67</v>
      </c>
      <c r="G24" s="52">
        <f>IF(D24=D23,"",_xlfn.IFNA(VLOOKUP(D24,'인원 입력 기능'!$L$5:$O$55,4,FALSE),0))</f>
        <v>538</v>
      </c>
      <c r="H24" s="53">
        <f t="shared" si="3"/>
        <v>1.5400910314029714E-2</v>
      </c>
      <c r="I24" s="57">
        <f>SUM($G$7:G24)</f>
        <v>11668</v>
      </c>
      <c r="J24" s="55">
        <f t="shared" si="4"/>
        <v>0.33401082071393812</v>
      </c>
      <c r="K24" s="25"/>
      <c r="M24" s="1"/>
    </row>
    <row r="25" spans="1:16" ht="25" customHeight="1">
      <c r="A25" s="5"/>
      <c r="B25" s="24"/>
      <c r="C25" s="58">
        <v>32</v>
      </c>
      <c r="D25" s="273">
        <f t="shared" si="1"/>
        <v>55</v>
      </c>
      <c r="E25" s="273">
        <f t="shared" si="0"/>
        <v>4</v>
      </c>
      <c r="F25" s="263">
        <f t="shared" si="2"/>
        <v>65</v>
      </c>
      <c r="G25" s="265">
        <f>IF(D25=D24,"",_xlfn.IFNA(VLOOKUP(D25,'인원 입력 기능'!$L$5:$O$55,4,FALSE),0))</f>
        <v>1067</v>
      </c>
      <c r="H25" s="266">
        <f t="shared" si="3"/>
        <v>3.054418458191395E-2</v>
      </c>
      <c r="I25" s="268">
        <f>SUM($G$7:G25)</f>
        <v>12735</v>
      </c>
      <c r="J25" s="270">
        <f t="shared" si="4"/>
        <v>0.36455500529585205</v>
      </c>
      <c r="K25" s="25"/>
      <c r="M25" s="1"/>
    </row>
    <row r="26" spans="1:16" ht="25" customHeight="1">
      <c r="A26" s="5"/>
      <c r="B26" s="24"/>
      <c r="C26" s="59">
        <v>31</v>
      </c>
      <c r="D26" s="272"/>
      <c r="E26" s="272"/>
      <c r="F26" s="262"/>
      <c r="G26" s="264"/>
      <c r="H26" s="267"/>
      <c r="I26" s="269"/>
      <c r="J26" s="271"/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54</v>
      </c>
      <c r="E27" s="60">
        <f t="shared" si="0"/>
        <v>4</v>
      </c>
      <c r="F27" s="51">
        <f t="shared" si="2"/>
        <v>63</v>
      </c>
      <c r="G27" s="52">
        <f>IF(D27=D26,"",_xlfn.IFNA(VLOOKUP(D27,'인원 입력 기능'!$L$5:$O$55,4,FALSE),0))</f>
        <v>526</v>
      </c>
      <c r="H27" s="53">
        <f t="shared" si="3"/>
        <v>1.5057395585835742E-2</v>
      </c>
      <c r="I27" s="57">
        <f>SUM($G$7:G27)</f>
        <v>13261</v>
      </c>
      <c r="J27" s="55">
        <f t="shared" si="4"/>
        <v>0.37961240088168779</v>
      </c>
      <c r="K27" s="25"/>
      <c r="M27" s="1"/>
    </row>
    <row r="28" spans="1:16" ht="25" customHeight="1">
      <c r="A28" s="5"/>
      <c r="B28" s="24"/>
      <c r="C28" s="59">
        <v>29</v>
      </c>
      <c r="D28" s="273">
        <f t="shared" si="1"/>
        <v>53</v>
      </c>
      <c r="E28" s="273">
        <f t="shared" si="0"/>
        <v>4</v>
      </c>
      <c r="F28" s="263">
        <f t="shared" si="2"/>
        <v>61</v>
      </c>
      <c r="G28" s="265">
        <f>IF(D28=D27,"",_xlfn.IFNA(VLOOKUP(D28,'인원 입력 기능'!$L$5:$O$55,4,FALSE),0))</f>
        <v>1053</v>
      </c>
      <c r="H28" s="266">
        <f t="shared" si="3"/>
        <v>3.0143417399020982E-2</v>
      </c>
      <c r="I28" s="268">
        <f>SUM($G$7:G28)</f>
        <v>14314</v>
      </c>
      <c r="J28" s="270">
        <f t="shared" si="4"/>
        <v>0.40975581828070878</v>
      </c>
      <c r="K28" s="25"/>
      <c r="M28" s="1"/>
    </row>
    <row r="29" spans="1:16" ht="25" customHeight="1">
      <c r="A29" s="5"/>
      <c r="B29" s="24"/>
      <c r="C29" s="58">
        <v>28</v>
      </c>
      <c r="D29" s="272"/>
      <c r="E29" s="272"/>
      <c r="F29" s="262"/>
      <c r="G29" s="264"/>
      <c r="H29" s="267"/>
      <c r="I29" s="269"/>
      <c r="J29" s="271"/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52</v>
      </c>
      <c r="E30" s="60">
        <f t="shared" si="0"/>
        <v>5</v>
      </c>
      <c r="F30" s="51">
        <f t="shared" si="2"/>
        <v>58</v>
      </c>
      <c r="G30" s="52">
        <f>IF(D30=D29,"",_xlfn.IFNA(VLOOKUP(D30,'인원 입력 기능'!$L$5:$O$55,4,FALSE),0))</f>
        <v>546</v>
      </c>
      <c r="H30" s="53">
        <f t="shared" si="3"/>
        <v>1.5629920132825693E-2</v>
      </c>
      <c r="I30" s="57">
        <f>SUM($G$7:G30)</f>
        <v>14860</v>
      </c>
      <c r="J30" s="55">
        <f t="shared" si="4"/>
        <v>0.4253857384135345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51</v>
      </c>
      <c r="E31" s="60">
        <f t="shared" si="0"/>
        <v>5</v>
      </c>
      <c r="F31" s="51">
        <f t="shared" si="2"/>
        <v>57</v>
      </c>
      <c r="G31" s="52">
        <f>IF(D31=D30,"",_xlfn.IFNA(VLOOKUP(D31,'인원 입력 기능'!$L$5:$O$55,4,FALSE),0))</f>
        <v>489</v>
      </c>
      <c r="H31" s="53">
        <f t="shared" si="3"/>
        <v>1.3998225173904331E-2</v>
      </c>
      <c r="I31" s="57">
        <f>SUM($G$7:G31)</f>
        <v>15349</v>
      </c>
      <c r="J31" s="55">
        <f t="shared" si="4"/>
        <v>0.43938396358743881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50</v>
      </c>
      <c r="E32" s="273">
        <f t="shared" si="0"/>
        <v>5</v>
      </c>
      <c r="F32" s="263">
        <f t="shared" si="2"/>
        <v>54</v>
      </c>
      <c r="G32" s="265">
        <f>IF(D32=D31,"",_xlfn.IFNA(VLOOKUP(D32,'인원 입력 기능'!$L$5:$O$55,4,FALSE),0))</f>
        <v>1145</v>
      </c>
      <c r="H32" s="266">
        <f t="shared" si="3"/>
        <v>3.277703031517476E-2</v>
      </c>
      <c r="I32" s="268">
        <f>SUM($G$7:G32)</f>
        <v>16494</v>
      </c>
      <c r="J32" s="270">
        <f t="shared" si="4"/>
        <v>0.47216099390261357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49</v>
      </c>
      <c r="E34" s="60">
        <f t="shared" si="0"/>
        <v>5</v>
      </c>
      <c r="F34" s="51">
        <f t="shared" si="2"/>
        <v>52</v>
      </c>
      <c r="G34" s="52">
        <f>IF(D34=D33,"",_xlfn.IFNA(VLOOKUP(D34,'인원 입력 기능'!$L$5:$O$55,4,FALSE),0))</f>
        <v>600</v>
      </c>
      <c r="H34" s="53">
        <f t="shared" si="3"/>
        <v>1.7175736409698567E-2</v>
      </c>
      <c r="I34" s="57">
        <f>SUM($G$7:G34)</f>
        <v>17094</v>
      </c>
      <c r="J34" s="55">
        <f t="shared" si="4"/>
        <v>0.48933673031231212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48</v>
      </c>
      <c r="E35" s="60">
        <f t="shared" si="0"/>
        <v>5</v>
      </c>
      <c r="F35" s="51">
        <f t="shared" si="2"/>
        <v>50</v>
      </c>
      <c r="G35" s="52">
        <f>IF(D35=D34,"",_xlfn.IFNA(VLOOKUP(D35,'인원 입력 기능'!$L$5:$O$55,4,FALSE),0))</f>
        <v>656</v>
      </c>
      <c r="H35" s="53">
        <f t="shared" si="3"/>
        <v>1.8778805141270432E-2</v>
      </c>
      <c r="I35" s="57">
        <f>SUM($G$7:G35)</f>
        <v>17750</v>
      </c>
      <c r="J35" s="55">
        <f t="shared" si="4"/>
        <v>0.50811553545358257</v>
      </c>
      <c r="K35" s="25"/>
      <c r="M35" s="1"/>
    </row>
    <row r="36" spans="1:13" ht="25" customHeight="1">
      <c r="A36" s="5"/>
      <c r="B36" s="24"/>
      <c r="C36" s="59">
        <v>21</v>
      </c>
      <c r="D36" s="273">
        <f t="shared" si="1"/>
        <v>47</v>
      </c>
      <c r="E36" s="273">
        <f t="shared" si="0"/>
        <v>5</v>
      </c>
      <c r="F36" s="263">
        <f t="shared" si="2"/>
        <v>47</v>
      </c>
      <c r="G36" s="265">
        <f>IF(D36=D35,"",_xlfn.IFNA(VLOOKUP(D36,'인원 입력 기능'!$L$5:$O$55,4,FALSE),0))</f>
        <v>1439</v>
      </c>
      <c r="H36" s="266">
        <f t="shared" si="3"/>
        <v>4.1193141155927059E-2</v>
      </c>
      <c r="I36" s="268">
        <f>SUM($G$7:G36)</f>
        <v>19189</v>
      </c>
      <c r="J36" s="270">
        <f t="shared" si="4"/>
        <v>0.54930867660950966</v>
      </c>
      <c r="K36" s="25"/>
      <c r="M36" s="1"/>
    </row>
    <row r="37" spans="1:13" ht="25" customHeight="1">
      <c r="A37" s="5"/>
      <c r="B37" s="24"/>
      <c r="C37" s="58">
        <v>20</v>
      </c>
      <c r="D37" s="272"/>
      <c r="E37" s="272"/>
      <c r="F37" s="262"/>
      <c r="G37" s="264"/>
      <c r="H37" s="267"/>
      <c r="I37" s="269"/>
      <c r="J37" s="271"/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46</v>
      </c>
      <c r="E38" s="60">
        <f t="shared" si="0"/>
        <v>5</v>
      </c>
      <c r="F38" s="51">
        <f t="shared" si="2"/>
        <v>44</v>
      </c>
      <c r="G38" s="52">
        <f>IF(D38=D37,"",_xlfn.IFNA(VLOOKUP(D38,'인원 입력 기능'!$L$5:$O$55,4,FALSE),0))</f>
        <v>789</v>
      </c>
      <c r="H38" s="53">
        <f t="shared" si="3"/>
        <v>2.2586093378753613E-2</v>
      </c>
      <c r="I38" s="57">
        <f>SUM($G$7:G38)</f>
        <v>19978</v>
      </c>
      <c r="J38" s="55">
        <f t="shared" si="4"/>
        <v>0.57189476998826327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45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51">
        <f t="shared" si="2"/>
        <v>42</v>
      </c>
      <c r="G39" s="52">
        <f>IF(D39=D38,"",_xlfn.IFNA(VLOOKUP(D39,'인원 입력 기능'!$L$5:$O$55,4,FALSE),0))</f>
        <v>858</v>
      </c>
      <c r="H39" s="53">
        <f t="shared" si="3"/>
        <v>2.4561303065868949E-2</v>
      </c>
      <c r="I39" s="57">
        <f>SUM($G$7:G39)</f>
        <v>20836</v>
      </c>
      <c r="J39" s="55">
        <f t="shared" si="4"/>
        <v>0.59645607305413217</v>
      </c>
      <c r="K39" s="25"/>
      <c r="M39" s="1"/>
    </row>
    <row r="40" spans="1:13" ht="25" customHeight="1">
      <c r="A40" s="5"/>
      <c r="B40" s="24"/>
      <c r="C40" s="59">
        <v>17</v>
      </c>
      <c r="D40" s="273">
        <f t="shared" si="1"/>
        <v>44</v>
      </c>
      <c r="E40" s="273">
        <f t="shared" si="5"/>
        <v>5</v>
      </c>
      <c r="F40" s="263">
        <f t="shared" si="2"/>
        <v>38</v>
      </c>
      <c r="G40" s="265">
        <f>IF(D40=D39,"",_xlfn.IFNA(VLOOKUP(D40,'인원 입력 기능'!$L$5:$O$55,4,FALSE),0))</f>
        <v>1977</v>
      </c>
      <c r="H40" s="266">
        <f t="shared" si="3"/>
        <v>5.6594051469956774E-2</v>
      </c>
      <c r="I40" s="268">
        <f>SUM($G$7:G40)</f>
        <v>22813</v>
      </c>
      <c r="J40" s="270">
        <f t="shared" si="4"/>
        <v>0.65305012452408895</v>
      </c>
      <c r="K40" s="25"/>
      <c r="M40" s="1"/>
    </row>
    <row r="41" spans="1:13" ht="25" customHeight="1">
      <c r="A41" s="5"/>
      <c r="B41" s="24"/>
      <c r="C41" s="58">
        <v>16</v>
      </c>
      <c r="D41" s="272"/>
      <c r="E41" s="272"/>
      <c r="F41" s="262"/>
      <c r="G41" s="264"/>
      <c r="H41" s="267"/>
      <c r="I41" s="269"/>
      <c r="J41" s="271"/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43</v>
      </c>
      <c r="E42" s="60">
        <f t="shared" si="5"/>
        <v>6</v>
      </c>
      <c r="F42" s="51">
        <f t="shared" si="2"/>
        <v>33</v>
      </c>
      <c r="G42" s="52">
        <f>IF(D42=D41,"",_xlfn.IFNA(VLOOKUP(D42,'인원 입력 기능'!$L$5:$O$55,4,FALSE),0))</f>
        <v>1130</v>
      </c>
      <c r="H42" s="53">
        <f t="shared" si="3"/>
        <v>3.2347636904932302E-2</v>
      </c>
      <c r="I42" s="57">
        <f>SUM($G$7:G42)</f>
        <v>23943</v>
      </c>
      <c r="J42" s="55">
        <f t="shared" si="4"/>
        <v>0.68539776142902131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42</v>
      </c>
      <c r="E43" s="60">
        <f t="shared" si="5"/>
        <v>6</v>
      </c>
      <c r="F43" s="51">
        <f t="shared" si="2"/>
        <v>30</v>
      </c>
      <c r="G43" s="52">
        <f>IF(D43=D42,"",_xlfn.IFNA(VLOOKUP(D43,'인원 입력 기능'!$L$5:$O$55,4,FALSE),0))</f>
        <v>1175</v>
      </c>
      <c r="H43" s="53">
        <f t="shared" si="3"/>
        <v>3.363581713565969E-2</v>
      </c>
      <c r="I43" s="57">
        <f>SUM($G$7:G43)</f>
        <v>25118</v>
      </c>
      <c r="J43" s="55">
        <f t="shared" si="4"/>
        <v>0.71903357856468098</v>
      </c>
      <c r="K43" s="25"/>
      <c r="M43" s="1"/>
    </row>
    <row r="44" spans="1:13" ht="25" customHeight="1">
      <c r="A44" s="5"/>
      <c r="B44" s="24"/>
      <c r="C44" s="59">
        <v>13</v>
      </c>
      <c r="D44" s="273">
        <f t="shared" si="1"/>
        <v>41</v>
      </c>
      <c r="E44" s="273">
        <f t="shared" si="5"/>
        <v>6</v>
      </c>
      <c r="F44" s="263">
        <f t="shared" si="2"/>
        <v>25</v>
      </c>
      <c r="G44" s="265">
        <f>IF(D44=D43,"",_xlfn.IFNA(VLOOKUP(D44,'인원 입력 기능'!$L$5:$O$55,4,FALSE),0))</f>
        <v>2311</v>
      </c>
      <c r="H44" s="266">
        <f t="shared" si="3"/>
        <v>6.6155211404688982E-2</v>
      </c>
      <c r="I44" s="268">
        <f>SUM($G$7:G44)</f>
        <v>27429</v>
      </c>
      <c r="J44" s="270">
        <f t="shared" si="4"/>
        <v>0.78518878996936992</v>
      </c>
      <c r="K44" s="25"/>
      <c r="M44" s="1"/>
    </row>
    <row r="45" spans="1:13" ht="25" customHeight="1">
      <c r="A45" s="5"/>
      <c r="B45" s="24"/>
      <c r="C45" s="58">
        <v>12</v>
      </c>
      <c r="D45" s="272"/>
      <c r="E45" s="272"/>
      <c r="F45" s="262"/>
      <c r="G45" s="264"/>
      <c r="H45" s="267"/>
      <c r="I45" s="269"/>
      <c r="J45" s="271"/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40</v>
      </c>
      <c r="E46" s="60">
        <f t="shared" si="5"/>
        <v>7</v>
      </c>
      <c r="F46" s="51">
        <f t="shared" si="2"/>
        <v>20</v>
      </c>
      <c r="G46" s="52">
        <f>IF(D46=D45,"",_xlfn.IFNA(VLOOKUP(D46,'인원 입력 기능'!$L$5:$O$55,4,FALSE),0))</f>
        <v>1206</v>
      </c>
      <c r="H46" s="53">
        <f t="shared" si="3"/>
        <v>3.4523230183494118E-2</v>
      </c>
      <c r="I46" s="57">
        <f>SUM($G$7:G46)</f>
        <v>28635</v>
      </c>
      <c r="J46" s="55">
        <f t="shared" si="4"/>
        <v>0.81971202015286404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39</v>
      </c>
      <c r="E47" s="60">
        <f t="shared" si="5"/>
        <v>7</v>
      </c>
      <c r="F47" s="51">
        <f t="shared" si="2"/>
        <v>15</v>
      </c>
      <c r="G47" s="52">
        <f>IF(D47=D46,"",_xlfn.IFNA(VLOOKUP(D47,'인원 입력 기능'!$L$5:$O$55,4,FALSE),0))</f>
        <v>1794</v>
      </c>
      <c r="H47" s="53">
        <f t="shared" si="3"/>
        <v>5.1355451864998715E-2</v>
      </c>
      <c r="I47" s="57">
        <f>SUM($G$7:G47)</f>
        <v>30429</v>
      </c>
      <c r="J47" s="55">
        <f t="shared" si="4"/>
        <v>0.87106747201786272</v>
      </c>
      <c r="K47" s="25"/>
      <c r="M47" s="1"/>
    </row>
    <row r="48" spans="1:13" ht="25" customHeight="1">
      <c r="A48" s="5"/>
      <c r="B48" s="24"/>
      <c r="C48" s="59">
        <v>9</v>
      </c>
      <c r="D48" s="273">
        <f t="shared" si="1"/>
        <v>38</v>
      </c>
      <c r="E48" s="273">
        <f t="shared" si="5"/>
        <v>7</v>
      </c>
      <c r="F48" s="263">
        <f t="shared" si="2"/>
        <v>10</v>
      </c>
      <c r="G48" s="265">
        <f>IF(D48=D47,"",_xlfn.IFNA(VLOOKUP(D48,'인원 입력 기능'!$L$5:$O$55,4,FALSE),0))</f>
        <v>2352</v>
      </c>
      <c r="H48" s="266">
        <f t="shared" si="3"/>
        <v>6.7328886726018375E-2</v>
      </c>
      <c r="I48" s="268">
        <f>SUM($G$7:G48)</f>
        <v>32781</v>
      </c>
      <c r="J48" s="270">
        <f t="shared" si="4"/>
        <v>0.93839635874388116</v>
      </c>
      <c r="K48" s="25"/>
      <c r="M48" s="1"/>
    </row>
    <row r="49" spans="1:13" ht="25" customHeight="1">
      <c r="A49" s="5"/>
      <c r="B49" s="24"/>
      <c r="C49" s="58">
        <v>8</v>
      </c>
      <c r="D49" s="272"/>
      <c r="E49" s="272"/>
      <c r="F49" s="262"/>
      <c r="G49" s="264"/>
      <c r="H49" s="267"/>
      <c r="I49" s="269"/>
      <c r="J49" s="271"/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37</v>
      </c>
      <c r="E50" s="60">
        <f t="shared" si="5"/>
        <v>8</v>
      </c>
      <c r="F50" s="51">
        <f t="shared" si="2"/>
        <v>5</v>
      </c>
      <c r="G50" s="52">
        <f>IF(D50=D49,"",_xlfn.IFNA(VLOOKUP(D50,'인원 입력 기능'!$L$5:$O$55,4,FALSE),0))</f>
        <v>835</v>
      </c>
      <c r="H50" s="53">
        <f t="shared" si="3"/>
        <v>2.3902899836830502E-2</v>
      </c>
      <c r="I50" s="57">
        <f>SUM($G$7:G50)</f>
        <v>33616</v>
      </c>
      <c r="J50" s="55">
        <f t="shared" si="4"/>
        <v>0.96229925858071164</v>
      </c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36</v>
      </c>
      <c r="E51" s="60">
        <f t="shared" si="5"/>
        <v>9</v>
      </c>
      <c r="F51" s="51">
        <f t="shared" si="2"/>
        <v>3</v>
      </c>
      <c r="G51" s="52">
        <f>IF(D51=D50,"",_xlfn.IFNA(VLOOKUP(D51,'인원 입력 기능'!$L$5:$O$55,4,FALSE),0))</f>
        <v>368</v>
      </c>
      <c r="H51" s="53">
        <f t="shared" si="3"/>
        <v>1.053445166461512E-2</v>
      </c>
      <c r="I51" s="57">
        <f>SUM($G$7:G51)</f>
        <v>33984</v>
      </c>
      <c r="J51" s="55">
        <f t="shared" si="4"/>
        <v>0.97283371024532672</v>
      </c>
      <c r="K51" s="25"/>
      <c r="M51" s="1"/>
    </row>
    <row r="52" spans="1:13" ht="25" customHeight="1">
      <c r="A52" s="5"/>
      <c r="B52" s="24"/>
      <c r="C52" s="59">
        <v>5</v>
      </c>
      <c r="D52" s="273">
        <f t="shared" si="1"/>
        <v>35</v>
      </c>
      <c r="E52" s="273">
        <f t="shared" si="5"/>
        <v>9</v>
      </c>
      <c r="F52" s="263">
        <f t="shared" si="2"/>
        <v>2</v>
      </c>
      <c r="G52" s="265">
        <f>IF(D52=D51,"",_xlfn.IFNA(VLOOKUP(D52,'인원 입력 기능'!$L$5:$O$55,4,FALSE),0))</f>
        <v>660</v>
      </c>
      <c r="H52" s="266">
        <f t="shared" si="3"/>
        <v>1.8893310050668421E-2</v>
      </c>
      <c r="I52" s="268">
        <f>SUM($G$7:G52)</f>
        <v>34644</v>
      </c>
      <c r="J52" s="270">
        <f t="shared" si="4"/>
        <v>0.99172702029599524</v>
      </c>
      <c r="K52" s="25"/>
      <c r="M52" s="1"/>
    </row>
    <row r="53" spans="1:13" ht="25" customHeight="1">
      <c r="A53" s="5"/>
      <c r="B53" s="24"/>
      <c r="C53" s="49">
        <v>4</v>
      </c>
      <c r="D53" s="272"/>
      <c r="E53" s="272"/>
      <c r="F53" s="262"/>
      <c r="G53" s="264"/>
      <c r="H53" s="267"/>
      <c r="I53" s="269"/>
      <c r="J53" s="271"/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34</v>
      </c>
      <c r="E54" s="50">
        <f t="shared" si="5"/>
        <v>9</v>
      </c>
      <c r="F54" s="51">
        <f t="shared" si="2"/>
        <v>1</v>
      </c>
      <c r="G54" s="52">
        <f>IF(D54=D53,"",_xlfn.IFNA(VLOOKUP(D54,'인원 입력 기능'!$L$5:$O$55,4,FALSE),0))</f>
        <v>93</v>
      </c>
      <c r="H54" s="53">
        <f t="shared" si="3"/>
        <v>2.6622391435032777E-3</v>
      </c>
      <c r="I54" s="57">
        <f>SUM($G$7:G54)</f>
        <v>34737</v>
      </c>
      <c r="J54" s="55">
        <f t="shared" si="4"/>
        <v>0.99438925943949852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33</v>
      </c>
      <c r="E55" s="50">
        <f t="shared" si="5"/>
        <v>9</v>
      </c>
      <c r="F55" s="51">
        <f t="shared" si="2"/>
        <v>0</v>
      </c>
      <c r="G55" s="52">
        <f>IF(D55=D54,"",_xlfn.IFNA(VLOOKUP(D55,'인원 입력 기능'!$L$5:$O$55,4,FALSE),0))</f>
        <v>148</v>
      </c>
      <c r="H55" s="53">
        <f t="shared" si="3"/>
        <v>4.2366816477256465E-3</v>
      </c>
      <c r="I55" s="57">
        <f>SUM($G$7:G55)</f>
        <v>34885</v>
      </c>
      <c r="J55" s="55">
        <f t="shared" si="4"/>
        <v>0.99862594108722413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32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기능'!$L$5:$O$55,4,FALSE),0)</f>
        <v>48</v>
      </c>
      <c r="H57" s="69">
        <f>G57/J3</f>
        <v>1.3740589127758853E-3</v>
      </c>
      <c r="I57" s="70">
        <f>SUM($G$7:G57)</f>
        <v>34933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9">
    <mergeCell ref="I52:I53"/>
    <mergeCell ref="J52:J53"/>
    <mergeCell ref="D52:D53"/>
    <mergeCell ref="E52:E53"/>
    <mergeCell ref="F52:F53"/>
    <mergeCell ref="G52:G53"/>
    <mergeCell ref="H52:H53"/>
    <mergeCell ref="I44:I45"/>
    <mergeCell ref="J44:J45"/>
    <mergeCell ref="D48:D49"/>
    <mergeCell ref="E48:E49"/>
    <mergeCell ref="F48:F49"/>
    <mergeCell ref="G48:G49"/>
    <mergeCell ref="H48:H49"/>
    <mergeCell ref="I48:I49"/>
    <mergeCell ref="J48:J49"/>
    <mergeCell ref="D44:D45"/>
    <mergeCell ref="E44:E45"/>
    <mergeCell ref="F44:F45"/>
    <mergeCell ref="G44:G45"/>
    <mergeCell ref="H44:H45"/>
    <mergeCell ref="I36:I37"/>
    <mergeCell ref="J36:J37"/>
    <mergeCell ref="D40:D41"/>
    <mergeCell ref="E40:E41"/>
    <mergeCell ref="F40:F41"/>
    <mergeCell ref="G40:G41"/>
    <mergeCell ref="H40:H41"/>
    <mergeCell ref="I40:I41"/>
    <mergeCell ref="J40:J41"/>
    <mergeCell ref="D36:D37"/>
    <mergeCell ref="E36:E37"/>
    <mergeCell ref="F36:F37"/>
    <mergeCell ref="G36:G37"/>
    <mergeCell ref="H36:H37"/>
    <mergeCell ref="I28:I29"/>
    <mergeCell ref="J28:J29"/>
    <mergeCell ref="D32:D33"/>
    <mergeCell ref="E32:E33"/>
    <mergeCell ref="F32:F33"/>
    <mergeCell ref="G32:G33"/>
    <mergeCell ref="H32:H33"/>
    <mergeCell ref="I32:I33"/>
    <mergeCell ref="J32:J33"/>
    <mergeCell ref="D28:D29"/>
    <mergeCell ref="E28:E29"/>
    <mergeCell ref="F28:F29"/>
    <mergeCell ref="G28:G29"/>
    <mergeCell ref="H28:H29"/>
    <mergeCell ref="I21:I22"/>
    <mergeCell ref="J21:J22"/>
    <mergeCell ref="D25:D26"/>
    <mergeCell ref="E25:E26"/>
    <mergeCell ref="F25:F26"/>
    <mergeCell ref="G25:G26"/>
    <mergeCell ref="H25:H26"/>
    <mergeCell ref="I25:I26"/>
    <mergeCell ref="J25:J26"/>
    <mergeCell ref="D21:D22"/>
    <mergeCell ref="E21:E22"/>
    <mergeCell ref="F21:F22"/>
    <mergeCell ref="G21:G22"/>
    <mergeCell ref="H21:H22"/>
    <mergeCell ref="H13:H14"/>
    <mergeCell ref="I13:I14"/>
    <mergeCell ref="J13:J14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56:J56"/>
    <mergeCell ref="D8:J8"/>
    <mergeCell ref="G5:J5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</mergeCells>
  <phoneticPr fontId="1" type="noConversion"/>
  <conditionalFormatting sqref="D7:J7 D57:J57 D9:J9 D11:J13 D15:J17 D19:J21 D23:J25 D27:J28 D30:J32 D34:J36 D38:J40 D42:J44 D46:J48 D50:J52 D54:J55">
    <cfRule type="expression" dxfId="146" priority="7">
      <formula>OR($D7=$P$7:$P$14)</formula>
    </cfRule>
  </conditionalFormatting>
  <conditionalFormatting sqref="C7:C57">
    <cfRule type="expression" dxfId="145" priority="6">
      <formula>OR(AND($D7=0,OR($D6=$P$7:$P$14)),AND($D8&gt;0,OR($D7=$P$7:$P$14)))</formula>
    </cfRule>
  </conditionalFormatting>
  <conditionalFormatting sqref="D7 D57 D9 D11:D13 D15:D17 D19:D21 D23:D25 D27:D28 D30:D32 D34:D36 D38:D40 D42:D44 D46:D48 D50:D52 D54:D55">
    <cfRule type="expression" dxfId="144" priority="5">
      <formula>$D7=$D8</formula>
    </cfRule>
  </conditionalFormatting>
  <conditionalFormatting sqref="D56">
    <cfRule type="expression" dxfId="143" priority="4">
      <formula>OR($D56=$P$7:$P$14)</formula>
    </cfRule>
  </conditionalFormatting>
  <conditionalFormatting sqref="D56">
    <cfRule type="expression" dxfId="142" priority="3">
      <formula>$D56=$D57</formula>
    </cfRule>
  </conditionalFormatting>
  <conditionalFormatting sqref="D8">
    <cfRule type="expression" dxfId="141" priority="2">
      <formula>OR($D8=$P$7:$P$14)</formula>
    </cfRule>
  </conditionalFormatting>
  <conditionalFormatting sqref="D8">
    <cfRule type="expression" dxfId="14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1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기능'!D7</f>
        <v>26.52</v>
      </c>
      <c r="I3" s="109" t="s">
        <v>54</v>
      </c>
      <c r="J3" s="110">
        <f>'통계 및 응시자 수 입력 기능'!C7</f>
        <v>30002</v>
      </c>
      <c r="K3" s="25"/>
    </row>
    <row r="4" spans="1:16" ht="25" customHeight="1" thickBot="1">
      <c r="A4" s="5"/>
      <c r="B4" s="24"/>
      <c r="C4" s="42" t="s">
        <v>55</v>
      </c>
      <c r="D4" s="242" t="s">
        <v>75</v>
      </c>
      <c r="E4" s="243"/>
      <c r="F4" s="244"/>
      <c r="G4" s="43" t="s">
        <v>57</v>
      </c>
      <c r="H4" s="108">
        <f>'통계 및 응시자 수 입력 기능'!E7</f>
        <v>13.09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68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기능'!$Q$5:$T$55,4,FALSE),0)</f>
        <v>215</v>
      </c>
      <c r="H7" s="53">
        <f>G7/J3</f>
        <v>7.1661889207386177E-3</v>
      </c>
      <c r="I7" s="54">
        <f>G7</f>
        <v>215</v>
      </c>
      <c r="J7" s="55">
        <f>I7/J3</f>
        <v>7.1661889207386177E-3</v>
      </c>
      <c r="K7" s="25"/>
      <c r="M7" s="1"/>
      <c r="O7" s="1">
        <v>1</v>
      </c>
      <c r="P7" s="1">
        <f>'표준점수 등급컷 입력기능'!K4</f>
        <v>66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입력기능'!K5</f>
        <v>63</v>
      </c>
    </row>
    <row r="9" spans="1:16" ht="25" customHeight="1">
      <c r="A9" s="5"/>
      <c r="B9" s="24"/>
      <c r="C9" s="49">
        <v>48</v>
      </c>
      <c r="D9" s="261">
        <f>ROUND(10*(C9-$H$3)/$H$4+50,0)</f>
        <v>66</v>
      </c>
      <c r="E9" s="261">
        <f t="shared" si="0"/>
        <v>1</v>
      </c>
      <c r="F9" s="263">
        <f>IF(I8=0,ROUND(100*(1-(I7+I9)/2/$J$3),0),ROUND(100*(1-(I8+I9)/2/$J$3),0))</f>
        <v>98</v>
      </c>
      <c r="G9" s="265">
        <f>_xlfn.IFNA(VLOOKUP(D9,'인원 입력 기능'!$Q$5:$T$55,4,FALSE),0)</f>
        <v>1032</v>
      </c>
      <c r="H9" s="266">
        <f>G9/$J$3</f>
        <v>3.4397706819545362E-2</v>
      </c>
      <c r="I9" s="268">
        <f>SUM($G$7:G9)</f>
        <v>1247</v>
      </c>
      <c r="J9" s="270">
        <f>I9/$J$3</f>
        <v>4.1563895740283983E-2</v>
      </c>
      <c r="K9" s="25"/>
      <c r="M9" s="1"/>
      <c r="O9" s="1">
        <v>3</v>
      </c>
      <c r="P9" s="1">
        <f>'표준점수 등급컷 입력기능'!K6</f>
        <v>60</v>
      </c>
    </row>
    <row r="10" spans="1:16" ht="25" customHeight="1">
      <c r="A10" s="5"/>
      <c r="B10" s="24"/>
      <c r="C10" s="56">
        <v>47</v>
      </c>
      <c r="D10" s="260"/>
      <c r="E10" s="260"/>
      <c r="F10" s="262"/>
      <c r="G10" s="264"/>
      <c r="H10" s="267"/>
      <c r="I10" s="269"/>
      <c r="J10" s="271"/>
      <c r="K10" s="25"/>
      <c r="M10" s="1"/>
      <c r="O10" s="1">
        <v>4</v>
      </c>
      <c r="P10" s="1">
        <f>'표준점수 등급컷 입력기능'!K7</f>
        <v>54</v>
      </c>
    </row>
    <row r="11" spans="1:16" ht="25" customHeight="1">
      <c r="A11" s="5"/>
      <c r="B11" s="24"/>
      <c r="C11" s="49">
        <v>46</v>
      </c>
      <c r="D11" s="50">
        <f t="shared" ref="D10:D55" si="1">ROUND(10*(C11-$H$3)/$H$4+50,0)</f>
        <v>65</v>
      </c>
      <c r="E11" s="50">
        <f t="shared" si="0"/>
        <v>2</v>
      </c>
      <c r="F11" s="51">
        <f t="shared" ref="F11:F55" si="2">IF(I10=0,ROUND(100*(1-(I9+I11)/2/$J$3),0),ROUND(100*(1-(I10+I11)/2/$J$3),0))</f>
        <v>95</v>
      </c>
      <c r="G11" s="52">
        <f>IF(D11=D10,"",_xlfn.IFNA(VLOOKUP(D11,'인원 입력 기능'!$Q$5:$T$55,4,FALSE),0))</f>
        <v>794</v>
      </c>
      <c r="H11" s="53">
        <f t="shared" ref="H10:H55" si="3">G11/$J$3</f>
        <v>2.6464902339844009E-2</v>
      </c>
      <c r="I11" s="57">
        <f>SUM($G$7:G11)</f>
        <v>2041</v>
      </c>
      <c r="J11" s="55">
        <f t="shared" ref="J10:J55" si="4">I11/$J$3</f>
        <v>6.8028798080127989E-2</v>
      </c>
      <c r="K11" s="25"/>
      <c r="M11" s="1"/>
      <c r="O11" s="1">
        <v>5</v>
      </c>
      <c r="P11" s="1">
        <f>'표준점수 등급컷 입력기능'!K8</f>
        <v>46</v>
      </c>
    </row>
    <row r="12" spans="1:16" ht="25" customHeight="1">
      <c r="A12" s="5"/>
      <c r="B12" s="24"/>
      <c r="C12" s="56">
        <v>45</v>
      </c>
      <c r="D12" s="50">
        <f t="shared" si="1"/>
        <v>64</v>
      </c>
      <c r="E12" s="50">
        <f t="shared" si="0"/>
        <v>2</v>
      </c>
      <c r="F12" s="51">
        <f t="shared" si="2"/>
        <v>92</v>
      </c>
      <c r="G12" s="52">
        <f>IF(D12=D11,"",_xlfn.IFNA(VLOOKUP(D12,'인원 입력 기능'!$Q$5:$T$55,4,FALSE),0))</f>
        <v>707</v>
      </c>
      <c r="H12" s="53">
        <f t="shared" si="3"/>
        <v>2.3565095660289314E-2</v>
      </c>
      <c r="I12" s="57">
        <f>SUM($G$7:G12)</f>
        <v>2748</v>
      </c>
      <c r="J12" s="55">
        <f t="shared" si="4"/>
        <v>9.1593893740417306E-2</v>
      </c>
      <c r="K12" s="25"/>
      <c r="M12" s="1"/>
      <c r="O12" s="1">
        <v>6</v>
      </c>
      <c r="P12" s="1">
        <f>'표준점수 등급컷 입력기능'!K9</f>
        <v>40</v>
      </c>
    </row>
    <row r="13" spans="1:16" ht="25" customHeight="1">
      <c r="A13" s="5"/>
      <c r="B13" s="24"/>
      <c r="C13" s="49">
        <v>44</v>
      </c>
      <c r="D13" s="261">
        <f t="shared" si="1"/>
        <v>63</v>
      </c>
      <c r="E13" s="261">
        <f t="shared" si="0"/>
        <v>2</v>
      </c>
      <c r="F13" s="263">
        <f t="shared" si="2"/>
        <v>88</v>
      </c>
      <c r="G13" s="265">
        <f>IF(D13=D12,"",_xlfn.IFNA(VLOOKUP(D13,'인원 입력 기능'!$Q$5:$T$55,4,FALSE),0))</f>
        <v>1660</v>
      </c>
      <c r="H13" s="266">
        <f t="shared" si="3"/>
        <v>5.532964469035398E-2</v>
      </c>
      <c r="I13" s="268">
        <f>SUM($G$7:G13)</f>
        <v>4408</v>
      </c>
      <c r="J13" s="270">
        <f t="shared" si="4"/>
        <v>0.14692353843077127</v>
      </c>
      <c r="K13" s="25"/>
      <c r="M13" s="1"/>
      <c r="O13" s="1">
        <v>7</v>
      </c>
      <c r="P13" s="1">
        <f>'표준점수 등급컷 입력기능'!K10</f>
        <v>37</v>
      </c>
    </row>
    <row r="14" spans="1:16" ht="25" customHeight="1">
      <c r="A14" s="5"/>
      <c r="B14" s="24"/>
      <c r="C14" s="56">
        <v>43</v>
      </c>
      <c r="D14" s="260"/>
      <c r="E14" s="260"/>
      <c r="F14" s="262"/>
      <c r="G14" s="264"/>
      <c r="H14" s="267"/>
      <c r="I14" s="269"/>
      <c r="J14" s="271"/>
      <c r="K14" s="25"/>
      <c r="M14" s="1"/>
      <c r="O14" s="1">
        <v>8</v>
      </c>
      <c r="P14" s="1">
        <f>'표준점수 등급컷 입력기능'!K11</f>
        <v>34</v>
      </c>
    </row>
    <row r="15" spans="1:16" ht="25" customHeight="1">
      <c r="A15" s="5"/>
      <c r="B15" s="24"/>
      <c r="C15" s="49">
        <v>42</v>
      </c>
      <c r="D15" s="50">
        <f t="shared" si="1"/>
        <v>62</v>
      </c>
      <c r="E15" s="50">
        <f t="shared" si="0"/>
        <v>3</v>
      </c>
      <c r="F15" s="51">
        <f t="shared" si="2"/>
        <v>84</v>
      </c>
      <c r="G15" s="52">
        <f>IF(D15=D14,"",_xlfn.IFNA(VLOOKUP(D15,'인원 입력 기능'!$Q$5:$T$55,4,FALSE),0))</f>
        <v>579</v>
      </c>
      <c r="H15" s="53">
        <f t="shared" si="3"/>
        <v>1.9298713419105391E-2</v>
      </c>
      <c r="I15" s="57">
        <f>SUM($G$7:G15)</f>
        <v>4987</v>
      </c>
      <c r="J15" s="55">
        <f t="shared" si="4"/>
        <v>0.16622225184987668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61</v>
      </c>
      <c r="E16" s="50">
        <f t="shared" si="0"/>
        <v>3</v>
      </c>
      <c r="F16" s="51">
        <f t="shared" si="2"/>
        <v>82</v>
      </c>
      <c r="G16" s="52">
        <f>IF(D16=D15,"",_xlfn.IFNA(VLOOKUP(D16,'인원 입력 기능'!$Q$5:$T$55,4,FALSE),0))</f>
        <v>872</v>
      </c>
      <c r="H16" s="53">
        <f t="shared" si="3"/>
        <v>2.9064729018065463E-2</v>
      </c>
      <c r="I16" s="57">
        <f>SUM($G$7:G16)</f>
        <v>5859</v>
      </c>
      <c r="J16" s="55">
        <f t="shared" si="4"/>
        <v>0.19528698086794213</v>
      </c>
      <c r="K16" s="25"/>
      <c r="M16" s="1"/>
    </row>
    <row r="17" spans="1:16" ht="25" customHeight="1">
      <c r="A17" s="5"/>
      <c r="B17" s="24"/>
      <c r="C17" s="49">
        <v>40</v>
      </c>
      <c r="D17" s="261">
        <f t="shared" si="1"/>
        <v>60</v>
      </c>
      <c r="E17" s="261">
        <f t="shared" si="0"/>
        <v>3</v>
      </c>
      <c r="F17" s="263">
        <f t="shared" si="2"/>
        <v>78</v>
      </c>
      <c r="G17" s="265">
        <f>IF(D17=D16,"",_xlfn.IFNA(VLOOKUP(D17,'인원 입력 기능'!$Q$5:$T$55,4,FALSE),0))</f>
        <v>1483</v>
      </c>
      <c r="H17" s="266">
        <f t="shared" si="3"/>
        <v>4.9430037997466834E-2</v>
      </c>
      <c r="I17" s="268">
        <f>SUM($G$7:G17)</f>
        <v>7342</v>
      </c>
      <c r="J17" s="270">
        <f t="shared" si="4"/>
        <v>0.24471701886540898</v>
      </c>
      <c r="K17" s="25"/>
      <c r="M17" s="1"/>
      <c r="P17" s="1">
        <f>H3*H4*J3*P7*IFERROR(IF(J57=1, 1, 0), 0)</f>
        <v>687396487.37760007</v>
      </c>
    </row>
    <row r="18" spans="1:16" ht="25" customHeight="1">
      <c r="A18" s="5"/>
      <c r="B18" s="24"/>
      <c r="C18" s="56">
        <v>39</v>
      </c>
      <c r="D18" s="260"/>
      <c r="E18" s="260"/>
      <c r="F18" s="262"/>
      <c r="G18" s="264"/>
      <c r="H18" s="267"/>
      <c r="I18" s="269"/>
      <c r="J18" s="271"/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59</v>
      </c>
      <c r="E19" s="50">
        <f t="shared" si="0"/>
        <v>4</v>
      </c>
      <c r="F19" s="51">
        <f t="shared" si="2"/>
        <v>74</v>
      </c>
      <c r="G19" s="52">
        <f>IF(D19=D18,"",_xlfn.IFNA(VLOOKUP(D19,'인원 입력 기능'!$Q$5:$T$55,4,FALSE),0))</f>
        <v>862</v>
      </c>
      <c r="H19" s="53">
        <f t="shared" si="3"/>
        <v>2.873141790547297E-2</v>
      </c>
      <c r="I19" s="57">
        <f>SUM($G$7:G19)</f>
        <v>8204</v>
      </c>
      <c r="J19" s="55">
        <f t="shared" si="4"/>
        <v>0.27344843677088193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58</v>
      </c>
      <c r="E20" s="50">
        <f t="shared" si="0"/>
        <v>4</v>
      </c>
      <c r="F20" s="51">
        <f t="shared" si="2"/>
        <v>72</v>
      </c>
      <c r="G20" s="52">
        <f>IF(D20=D19,"",_xlfn.IFNA(VLOOKUP(D20,'인원 입력 기능'!$Q$5:$T$55,4,FALSE),0))</f>
        <v>632</v>
      </c>
      <c r="H20" s="53">
        <f t="shared" si="3"/>
        <v>2.1065262315845611E-2</v>
      </c>
      <c r="I20" s="57">
        <f>SUM($G$7:G20)</f>
        <v>8836</v>
      </c>
      <c r="J20" s="55">
        <f t="shared" si="4"/>
        <v>0.29451369908672753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57</v>
      </c>
      <c r="E21" s="60">
        <f t="shared" si="0"/>
        <v>4</v>
      </c>
      <c r="F21" s="51">
        <f t="shared" si="2"/>
        <v>69</v>
      </c>
      <c r="G21" s="52">
        <f>IF(D21=D20,"",_xlfn.IFNA(VLOOKUP(D21,'인원 입력 기능'!$Q$5:$T$55,4,FALSE),0))</f>
        <v>719</v>
      </c>
      <c r="H21" s="53">
        <f t="shared" si="3"/>
        <v>2.3965068995400306E-2</v>
      </c>
      <c r="I21" s="57">
        <f>SUM($G$7:G21)</f>
        <v>9555</v>
      </c>
      <c r="J21" s="55">
        <f t="shared" si="4"/>
        <v>0.31847876808212788</v>
      </c>
      <c r="K21" s="25"/>
      <c r="M21" s="1"/>
    </row>
    <row r="22" spans="1:16" ht="25" customHeight="1">
      <c r="A22" s="5"/>
      <c r="B22" s="24"/>
      <c r="C22" s="59">
        <v>35</v>
      </c>
      <c r="D22" s="273">
        <f t="shared" si="1"/>
        <v>56</v>
      </c>
      <c r="E22" s="273">
        <f t="shared" si="0"/>
        <v>4</v>
      </c>
      <c r="F22" s="263">
        <f t="shared" si="2"/>
        <v>66</v>
      </c>
      <c r="G22" s="265">
        <f>IF(D22=D21,"",_xlfn.IFNA(VLOOKUP(D22,'인원 입력 기능'!$Q$5:$T$55,4,FALSE),0))</f>
        <v>1279</v>
      </c>
      <c r="H22" s="266">
        <f t="shared" si="3"/>
        <v>4.2630491300579963E-2</v>
      </c>
      <c r="I22" s="268">
        <f>SUM($G$7:G22)</f>
        <v>10834</v>
      </c>
      <c r="J22" s="270">
        <f t="shared" si="4"/>
        <v>0.36110925938270783</v>
      </c>
      <c r="K22" s="25"/>
      <c r="M22" s="1"/>
    </row>
    <row r="23" spans="1:16" ht="25" customHeight="1">
      <c r="A23" s="5"/>
      <c r="B23" s="24"/>
      <c r="C23" s="58">
        <v>34</v>
      </c>
      <c r="D23" s="272"/>
      <c r="E23" s="272"/>
      <c r="F23" s="262"/>
      <c r="G23" s="264"/>
      <c r="H23" s="267"/>
      <c r="I23" s="269"/>
      <c r="J23" s="271"/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55</v>
      </c>
      <c r="E24" s="60">
        <f t="shared" si="0"/>
        <v>4</v>
      </c>
      <c r="F24" s="51">
        <f t="shared" si="2"/>
        <v>63</v>
      </c>
      <c r="G24" s="52">
        <f>IF(D24=D23,"",_xlfn.IFNA(VLOOKUP(D24,'인원 입력 기능'!$Q$5:$T$55,4,FALSE),0))</f>
        <v>716</v>
      </c>
      <c r="H24" s="53">
        <f t="shared" si="3"/>
        <v>2.3865075661622558E-2</v>
      </c>
      <c r="I24" s="57">
        <f>SUM($G$7:G24)</f>
        <v>11550</v>
      </c>
      <c r="J24" s="55">
        <f t="shared" si="4"/>
        <v>0.38497433504433037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54</v>
      </c>
      <c r="E25" s="60">
        <f t="shared" si="0"/>
        <v>4</v>
      </c>
      <c r="F25" s="51">
        <f t="shared" si="2"/>
        <v>61</v>
      </c>
      <c r="G25" s="52">
        <f>IF(D25=D24,"",_xlfn.IFNA(VLOOKUP(D25,'인원 입력 기능'!$Q$5:$T$55,4,FALSE),0))</f>
        <v>563</v>
      </c>
      <c r="H25" s="53">
        <f t="shared" si="3"/>
        <v>1.8765415638957401E-2</v>
      </c>
      <c r="I25" s="57">
        <f>SUM($G$7:G25)</f>
        <v>12113</v>
      </c>
      <c r="J25" s="55">
        <f t="shared" si="4"/>
        <v>0.40373975068328777</v>
      </c>
      <c r="K25" s="25"/>
      <c r="M25" s="1"/>
    </row>
    <row r="26" spans="1:16" ht="25" customHeight="1">
      <c r="A26" s="5"/>
      <c r="B26" s="24"/>
      <c r="C26" s="59">
        <v>31</v>
      </c>
      <c r="D26" s="273">
        <f t="shared" si="1"/>
        <v>53</v>
      </c>
      <c r="E26" s="273">
        <f t="shared" si="0"/>
        <v>5</v>
      </c>
      <c r="F26" s="263">
        <f t="shared" si="2"/>
        <v>58</v>
      </c>
      <c r="G26" s="265">
        <f>IF(D26=D25,"",_xlfn.IFNA(VLOOKUP(D26,'인원 입력 기능'!$Q$5:$T$55,4,FALSE),0))</f>
        <v>1203</v>
      </c>
      <c r="H26" s="266">
        <f t="shared" si="3"/>
        <v>4.0097326844877011E-2</v>
      </c>
      <c r="I26" s="268">
        <f>SUM($G$7:G26)</f>
        <v>13316</v>
      </c>
      <c r="J26" s="270">
        <f t="shared" si="4"/>
        <v>0.44383707752816481</v>
      </c>
      <c r="K26" s="25"/>
      <c r="M26" s="1"/>
    </row>
    <row r="27" spans="1:16" ht="25" customHeight="1">
      <c r="A27" s="5"/>
      <c r="B27" s="24"/>
      <c r="C27" s="58">
        <v>30</v>
      </c>
      <c r="D27" s="272"/>
      <c r="E27" s="272"/>
      <c r="F27" s="262"/>
      <c r="G27" s="264"/>
      <c r="H27" s="267"/>
      <c r="I27" s="269"/>
      <c r="J27" s="271"/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52</v>
      </c>
      <c r="E28" s="60">
        <f t="shared" si="0"/>
        <v>5</v>
      </c>
      <c r="F28" s="51">
        <f t="shared" si="2"/>
        <v>55</v>
      </c>
      <c r="G28" s="52">
        <f>IF(D28=D27,"",_xlfn.IFNA(VLOOKUP(D28,'인원 입력 기능'!$Q$5:$T$55,4,FALSE),0))</f>
        <v>506</v>
      </c>
      <c r="H28" s="53">
        <f t="shared" si="3"/>
        <v>1.6865542297180187E-2</v>
      </c>
      <c r="I28" s="57">
        <f>SUM($G$7:G28)</f>
        <v>13822</v>
      </c>
      <c r="J28" s="55">
        <f t="shared" si="4"/>
        <v>0.46070261982534499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51</v>
      </c>
      <c r="E29" s="60">
        <f t="shared" si="0"/>
        <v>5</v>
      </c>
      <c r="F29" s="51">
        <f t="shared" si="2"/>
        <v>53</v>
      </c>
      <c r="G29" s="52">
        <f>IF(D29=D28,"",_xlfn.IFNA(VLOOKUP(D29,'인원 입력 기능'!$Q$5:$T$55,4,FALSE),0))</f>
        <v>593</v>
      </c>
      <c r="H29" s="53">
        <f t="shared" si="3"/>
        <v>1.9765348976734886E-2</v>
      </c>
      <c r="I29" s="57">
        <f>SUM($G$7:G29)</f>
        <v>14415</v>
      </c>
      <c r="J29" s="55">
        <f t="shared" si="4"/>
        <v>0.48046796880207987</v>
      </c>
      <c r="K29" s="25"/>
      <c r="M29" s="1"/>
    </row>
    <row r="30" spans="1:16" ht="25" customHeight="1">
      <c r="A30" s="5"/>
      <c r="B30" s="24"/>
      <c r="C30" s="59">
        <v>27</v>
      </c>
      <c r="D30" s="273">
        <f t="shared" si="1"/>
        <v>50</v>
      </c>
      <c r="E30" s="273">
        <f t="shared" si="0"/>
        <v>5</v>
      </c>
      <c r="F30" s="263">
        <f t="shared" si="2"/>
        <v>50</v>
      </c>
      <c r="G30" s="265">
        <f>IF(D30=D29,"",_xlfn.IFNA(VLOOKUP(D30,'인원 입력 기능'!$Q$5:$T$55,4,FALSE),0))</f>
        <v>1069</v>
      </c>
      <c r="H30" s="266">
        <f t="shared" si="3"/>
        <v>3.5630957936137589E-2</v>
      </c>
      <c r="I30" s="268">
        <f>SUM($G$7:G30)</f>
        <v>15484</v>
      </c>
      <c r="J30" s="270">
        <f t="shared" si="4"/>
        <v>0.51609892673821745</v>
      </c>
      <c r="K30" s="25"/>
      <c r="M30" s="1"/>
    </row>
    <row r="31" spans="1:16" ht="25" customHeight="1">
      <c r="A31" s="5"/>
      <c r="B31" s="24"/>
      <c r="C31" s="58">
        <v>26</v>
      </c>
      <c r="D31" s="272"/>
      <c r="E31" s="272"/>
      <c r="F31" s="262"/>
      <c r="G31" s="264"/>
      <c r="H31" s="267"/>
      <c r="I31" s="269"/>
      <c r="J31" s="271"/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49</v>
      </c>
      <c r="E32" s="60">
        <f t="shared" si="0"/>
        <v>5</v>
      </c>
      <c r="F32" s="51">
        <f t="shared" si="2"/>
        <v>47</v>
      </c>
      <c r="G32" s="52">
        <f>IF(D32=D31,"",_xlfn.IFNA(VLOOKUP(D32,'인원 입력 기능'!$Q$5:$T$55,4,FALSE),0))</f>
        <v>592</v>
      </c>
      <c r="H32" s="53">
        <f t="shared" si="3"/>
        <v>1.9732017865475637E-2</v>
      </c>
      <c r="I32" s="57">
        <f>SUM($G$7:G32)</f>
        <v>16076</v>
      </c>
      <c r="J32" s="55">
        <f t="shared" si="4"/>
        <v>0.53583094460369307</v>
      </c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48</v>
      </c>
      <c r="E33" s="60">
        <f t="shared" si="0"/>
        <v>5</v>
      </c>
      <c r="F33" s="51">
        <f t="shared" si="2"/>
        <v>46</v>
      </c>
      <c r="G33" s="52">
        <f>IF(D33=D32,"",_xlfn.IFNA(VLOOKUP(D33,'인원 입력 기능'!$Q$5:$T$55,4,FALSE),0))</f>
        <v>506</v>
      </c>
      <c r="H33" s="53">
        <f t="shared" si="3"/>
        <v>1.6865542297180187E-2</v>
      </c>
      <c r="I33" s="57">
        <f>SUM($G$7:G33)</f>
        <v>16582</v>
      </c>
      <c r="J33" s="55">
        <f t="shared" si="4"/>
        <v>0.55269648690087325</v>
      </c>
      <c r="K33" s="25"/>
      <c r="M33" s="1"/>
    </row>
    <row r="34" spans="1:13" ht="25" customHeight="1">
      <c r="A34" s="5"/>
      <c r="B34" s="24"/>
      <c r="C34" s="59">
        <v>23</v>
      </c>
      <c r="D34" s="273">
        <f t="shared" si="1"/>
        <v>47</v>
      </c>
      <c r="E34" s="273">
        <f t="shared" si="0"/>
        <v>5</v>
      </c>
      <c r="F34" s="263">
        <f t="shared" si="2"/>
        <v>43</v>
      </c>
      <c r="G34" s="265">
        <f>IF(D34=D33,"",_xlfn.IFNA(VLOOKUP(D34,'인원 입력 기능'!$Q$5:$T$55,4,FALSE),0))</f>
        <v>1204</v>
      </c>
      <c r="H34" s="266">
        <f t="shared" si="3"/>
        <v>4.0130657956136261E-2</v>
      </c>
      <c r="I34" s="268">
        <f>SUM($G$7:G34)</f>
        <v>17786</v>
      </c>
      <c r="J34" s="270">
        <f t="shared" si="4"/>
        <v>0.59282714485700949</v>
      </c>
      <c r="K34" s="25"/>
      <c r="M34" s="1"/>
    </row>
    <row r="35" spans="1:13" ht="25" customHeight="1">
      <c r="A35" s="5"/>
      <c r="B35" s="24"/>
      <c r="C35" s="58">
        <v>22</v>
      </c>
      <c r="D35" s="272"/>
      <c r="E35" s="272"/>
      <c r="F35" s="262"/>
      <c r="G35" s="264"/>
      <c r="H35" s="267"/>
      <c r="I35" s="269"/>
      <c r="J35" s="271"/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46</v>
      </c>
      <c r="E36" s="60">
        <f t="shared" si="0"/>
        <v>5</v>
      </c>
      <c r="F36" s="51">
        <f t="shared" si="2"/>
        <v>40</v>
      </c>
      <c r="G36" s="52">
        <f>IF(D36=D35,"",_xlfn.IFNA(VLOOKUP(D36,'인원 입력 기능'!$Q$5:$T$55,4,FALSE),0))</f>
        <v>628</v>
      </c>
      <c r="H36" s="53">
        <f t="shared" si="3"/>
        <v>2.0931937870808614E-2</v>
      </c>
      <c r="I36" s="57">
        <f>SUM($G$7:G36)</f>
        <v>18414</v>
      </c>
      <c r="J36" s="55">
        <f t="shared" si="4"/>
        <v>0.61375908272781809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45</v>
      </c>
      <c r="E37" s="60">
        <f t="shared" si="0"/>
        <v>6</v>
      </c>
      <c r="F37" s="51">
        <f t="shared" si="2"/>
        <v>37</v>
      </c>
      <c r="G37" s="52">
        <f>IF(D37=D36,"",_xlfn.IFNA(VLOOKUP(D37,'인원 입력 기능'!$Q$5:$T$55,4,FALSE),0))</f>
        <v>719</v>
      </c>
      <c r="H37" s="53">
        <f t="shared" si="3"/>
        <v>2.3965068995400306E-2</v>
      </c>
      <c r="I37" s="57">
        <f>SUM($G$7:G37)</f>
        <v>19133</v>
      </c>
      <c r="J37" s="55">
        <f t="shared" si="4"/>
        <v>0.6377241517232185</v>
      </c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44</v>
      </c>
      <c r="E38" s="60">
        <f t="shared" si="0"/>
        <v>6</v>
      </c>
      <c r="F38" s="51">
        <f t="shared" si="2"/>
        <v>35</v>
      </c>
      <c r="G38" s="52">
        <f>IF(D38=D37,"",_xlfn.IFNA(VLOOKUP(D38,'인원 입력 기능'!$Q$5:$T$55,4,FALSE),0))</f>
        <v>675</v>
      </c>
      <c r="H38" s="53">
        <f t="shared" si="3"/>
        <v>2.2498500099993334E-2</v>
      </c>
      <c r="I38" s="57">
        <f>SUM($G$7:G38)</f>
        <v>19808</v>
      </c>
      <c r="J38" s="55">
        <f t="shared" si="4"/>
        <v>0.66022265182321183</v>
      </c>
      <c r="K38" s="25"/>
      <c r="M38" s="1"/>
    </row>
    <row r="39" spans="1:13" ht="25" customHeight="1">
      <c r="A39" s="5"/>
      <c r="B39" s="24"/>
      <c r="C39" s="58">
        <v>18</v>
      </c>
      <c r="D39" s="273">
        <f t="shared" si="1"/>
        <v>43</v>
      </c>
      <c r="E39" s="27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263">
        <f t="shared" si="2"/>
        <v>32</v>
      </c>
      <c r="G39" s="265">
        <f>IF(D39=D38,"",_xlfn.IFNA(VLOOKUP(D39,'인원 입력 기능'!$Q$5:$T$55,4,FALSE),0))</f>
        <v>1398</v>
      </c>
      <c r="H39" s="266">
        <f t="shared" si="3"/>
        <v>4.6596893540430638E-2</v>
      </c>
      <c r="I39" s="268">
        <f>SUM($G$7:G39)</f>
        <v>21206</v>
      </c>
      <c r="J39" s="270">
        <f t="shared" si="4"/>
        <v>0.70681954536364244</v>
      </c>
      <c r="K39" s="25"/>
      <c r="M39" s="1"/>
    </row>
    <row r="40" spans="1:13" ht="25" customHeight="1">
      <c r="A40" s="5"/>
      <c r="B40" s="24"/>
      <c r="C40" s="59">
        <v>17</v>
      </c>
      <c r="D40" s="272"/>
      <c r="E40" s="272"/>
      <c r="F40" s="262"/>
      <c r="G40" s="264"/>
      <c r="H40" s="267"/>
      <c r="I40" s="269"/>
      <c r="J40" s="271"/>
      <c r="K40" s="25"/>
      <c r="M40" s="1"/>
    </row>
    <row r="41" spans="1:13" ht="25" customHeight="1">
      <c r="A41" s="5"/>
      <c r="B41" s="24"/>
      <c r="C41" s="58">
        <v>16</v>
      </c>
      <c r="D41" s="60">
        <f t="shared" si="1"/>
        <v>42</v>
      </c>
      <c r="E41" s="60">
        <f t="shared" si="5"/>
        <v>6</v>
      </c>
      <c r="F41" s="51">
        <f t="shared" si="2"/>
        <v>28</v>
      </c>
      <c r="G41" s="52">
        <f>IF(D41=D40,"",_xlfn.IFNA(VLOOKUP(D41,'인원 입력 기능'!$Q$5:$T$55,4,FALSE),0))</f>
        <v>818</v>
      </c>
      <c r="H41" s="53">
        <f t="shared" si="3"/>
        <v>2.7264849010065994E-2</v>
      </c>
      <c r="I41" s="57">
        <f>SUM($G$7:G41)</f>
        <v>22024</v>
      </c>
      <c r="J41" s="55">
        <f t="shared" si="4"/>
        <v>0.73408439437370843</v>
      </c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41</v>
      </c>
      <c r="E42" s="60">
        <f t="shared" si="5"/>
        <v>6</v>
      </c>
      <c r="F42" s="51">
        <f t="shared" si="2"/>
        <v>25</v>
      </c>
      <c r="G42" s="52">
        <f>IF(D42=D41,"",_xlfn.IFNA(VLOOKUP(D42,'인원 입력 기능'!$Q$5:$T$55,4,FALSE),0))</f>
        <v>814</v>
      </c>
      <c r="H42" s="53">
        <f t="shared" si="3"/>
        <v>2.7131524565028996E-2</v>
      </c>
      <c r="I42" s="57">
        <f>SUM($G$7:G42)</f>
        <v>22838</v>
      </c>
      <c r="J42" s="55">
        <f t="shared" si="4"/>
        <v>0.76121591893873741</v>
      </c>
      <c r="K42" s="25"/>
      <c r="M42" s="1"/>
    </row>
    <row r="43" spans="1:13" ht="25" customHeight="1">
      <c r="A43" s="5"/>
      <c r="B43" s="24"/>
      <c r="C43" s="58">
        <v>14</v>
      </c>
      <c r="D43" s="273">
        <f t="shared" si="1"/>
        <v>40</v>
      </c>
      <c r="E43" s="273">
        <f t="shared" si="5"/>
        <v>6</v>
      </c>
      <c r="F43" s="263">
        <f t="shared" si="2"/>
        <v>21</v>
      </c>
      <c r="G43" s="265">
        <f>IF(D43=D42,"",_xlfn.IFNA(VLOOKUP(D43,'인원 입력 기능'!$Q$5:$T$55,4,FALSE),0))</f>
        <v>1574</v>
      </c>
      <c r="H43" s="266">
        <f t="shared" si="3"/>
        <v>5.2463169122058527E-2</v>
      </c>
      <c r="I43" s="268">
        <f>SUM($G$7:G43)</f>
        <v>24412</v>
      </c>
      <c r="J43" s="270">
        <f t="shared" si="4"/>
        <v>0.81367908806079592</v>
      </c>
      <c r="K43" s="25"/>
      <c r="M43" s="1"/>
    </row>
    <row r="44" spans="1:13" ht="25" customHeight="1">
      <c r="A44" s="5"/>
      <c r="B44" s="24"/>
      <c r="C44" s="59">
        <v>13</v>
      </c>
      <c r="D44" s="272"/>
      <c r="E44" s="272"/>
      <c r="F44" s="262"/>
      <c r="G44" s="264"/>
      <c r="H44" s="267"/>
      <c r="I44" s="269"/>
      <c r="J44" s="271"/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39</v>
      </c>
      <c r="E45" s="60">
        <f t="shared" si="5"/>
        <v>7</v>
      </c>
      <c r="F45" s="51">
        <f t="shared" si="2"/>
        <v>17</v>
      </c>
      <c r="G45" s="52">
        <f>IF(D45=D44,"",_xlfn.IFNA(VLOOKUP(D45,'인원 입력 기능'!$Q$5:$T$55,4,FALSE),0))</f>
        <v>747</v>
      </c>
      <c r="H45" s="53">
        <f t="shared" si="3"/>
        <v>2.4898340110659289E-2</v>
      </c>
      <c r="I45" s="57">
        <f>SUM($G$7:G45)</f>
        <v>25159</v>
      </c>
      <c r="J45" s="55">
        <f t="shared" si="4"/>
        <v>0.8385774281714552</v>
      </c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38</v>
      </c>
      <c r="E46" s="60">
        <f t="shared" si="5"/>
        <v>7</v>
      </c>
      <c r="F46" s="51">
        <f t="shared" si="2"/>
        <v>15</v>
      </c>
      <c r="G46" s="52">
        <f>IF(D46=D45,"",_xlfn.IFNA(VLOOKUP(D46,'인원 입력 기능'!$Q$5:$T$55,4,FALSE),0))</f>
        <v>671</v>
      </c>
      <c r="H46" s="53">
        <f t="shared" si="3"/>
        <v>2.2365175654956337E-2</v>
      </c>
      <c r="I46" s="57">
        <f>SUM($G$7:G46)</f>
        <v>25830</v>
      </c>
      <c r="J46" s="55">
        <f t="shared" si="4"/>
        <v>0.86094260382641152</v>
      </c>
      <c r="K46" s="25"/>
      <c r="M46" s="1"/>
    </row>
    <row r="47" spans="1:13" ht="25" customHeight="1">
      <c r="A47" s="5"/>
      <c r="B47" s="24"/>
      <c r="C47" s="58">
        <v>10</v>
      </c>
      <c r="D47" s="273">
        <f t="shared" si="1"/>
        <v>37</v>
      </c>
      <c r="E47" s="273">
        <f t="shared" si="5"/>
        <v>7</v>
      </c>
      <c r="F47" s="263">
        <f t="shared" si="2"/>
        <v>11</v>
      </c>
      <c r="G47" s="265">
        <f>IF(D47=D46,"",_xlfn.IFNA(VLOOKUP(D47,'인원 입력 기능'!$Q$5:$T$55,4,FALSE),0))</f>
        <v>1568</v>
      </c>
      <c r="H47" s="266">
        <f t="shared" si="3"/>
        <v>5.2263182454503031E-2</v>
      </c>
      <c r="I47" s="268">
        <f>SUM($G$7:G47)</f>
        <v>27398</v>
      </c>
      <c r="J47" s="270">
        <f t="shared" si="4"/>
        <v>0.91320578628091464</v>
      </c>
      <c r="K47" s="25"/>
      <c r="M47" s="1"/>
    </row>
    <row r="48" spans="1:13" ht="25" customHeight="1">
      <c r="A48" s="5"/>
      <c r="B48" s="24"/>
      <c r="C48" s="59">
        <v>9</v>
      </c>
      <c r="D48" s="272"/>
      <c r="E48" s="272"/>
      <c r="F48" s="262"/>
      <c r="G48" s="264"/>
      <c r="H48" s="267"/>
      <c r="I48" s="269"/>
      <c r="J48" s="271"/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36</v>
      </c>
      <c r="E49" s="60">
        <f t="shared" si="5"/>
        <v>8</v>
      </c>
      <c r="F49" s="51">
        <f t="shared" si="2"/>
        <v>8</v>
      </c>
      <c r="G49" s="52">
        <f>IF(D49=D48,"",_xlfn.IFNA(VLOOKUP(D49,'인원 입력 기능'!$Q$5:$T$55,4,FALSE),0))</f>
        <v>675</v>
      </c>
      <c r="H49" s="53">
        <f t="shared" si="3"/>
        <v>2.2498500099993334E-2</v>
      </c>
      <c r="I49" s="57">
        <f>SUM($G$7:G49)</f>
        <v>28073</v>
      </c>
      <c r="J49" s="55">
        <f t="shared" si="4"/>
        <v>0.93570428638090797</v>
      </c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35</v>
      </c>
      <c r="E50" s="60">
        <f t="shared" si="5"/>
        <v>8</v>
      </c>
      <c r="F50" s="51">
        <f t="shared" si="2"/>
        <v>6</v>
      </c>
      <c r="G50" s="52">
        <f>IF(D50=D49,"",_xlfn.IFNA(VLOOKUP(D50,'인원 입력 기능'!$Q$5:$T$55,4,FALSE),0))</f>
        <v>515</v>
      </c>
      <c r="H50" s="53">
        <f t="shared" si="3"/>
        <v>1.7165522298513432E-2</v>
      </c>
      <c r="I50" s="57">
        <f>SUM($G$7:G50)</f>
        <v>28588</v>
      </c>
      <c r="J50" s="55">
        <f t="shared" si="4"/>
        <v>0.95286980867942139</v>
      </c>
      <c r="K50" s="25"/>
      <c r="M50" s="1"/>
    </row>
    <row r="51" spans="1:13" ht="25" customHeight="1">
      <c r="A51" s="5"/>
      <c r="B51" s="24"/>
      <c r="C51" s="58">
        <v>6</v>
      </c>
      <c r="D51" s="273">
        <f t="shared" si="1"/>
        <v>34</v>
      </c>
      <c r="E51" s="273">
        <f t="shared" si="5"/>
        <v>8</v>
      </c>
      <c r="F51" s="263">
        <f t="shared" si="2"/>
        <v>3</v>
      </c>
      <c r="G51" s="265">
        <f>IF(D51=D50,"",_xlfn.IFNA(VLOOKUP(D51,'인원 입력 기능'!$Q$5:$T$55,4,FALSE),0))</f>
        <v>1054</v>
      </c>
      <c r="H51" s="266">
        <f t="shared" si="3"/>
        <v>3.5130991267248848E-2</v>
      </c>
      <c r="I51" s="268">
        <f>SUM($G$7:G51)</f>
        <v>29642</v>
      </c>
      <c r="J51" s="270">
        <f t="shared" si="4"/>
        <v>0.98800079994667023</v>
      </c>
      <c r="K51" s="25"/>
      <c r="M51" s="1"/>
    </row>
    <row r="52" spans="1:13" ht="25" customHeight="1">
      <c r="A52" s="5"/>
      <c r="B52" s="24"/>
      <c r="C52" s="59">
        <v>5</v>
      </c>
      <c r="D52" s="272"/>
      <c r="E52" s="272"/>
      <c r="F52" s="262"/>
      <c r="G52" s="264"/>
      <c r="H52" s="267"/>
      <c r="I52" s="269"/>
      <c r="J52" s="271"/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33</v>
      </c>
      <c r="E53" s="50">
        <f t="shared" si="5"/>
        <v>9</v>
      </c>
      <c r="F53" s="51">
        <f t="shared" si="2"/>
        <v>1</v>
      </c>
      <c r="G53" s="52">
        <f>IF(D53=D52,"",_xlfn.IFNA(VLOOKUP(D53,'인원 입력 기능'!$Q$5:$T$55,4,FALSE),0))</f>
        <v>107</v>
      </c>
      <c r="H53" s="53">
        <f t="shared" si="3"/>
        <v>3.5664289047396842E-3</v>
      </c>
      <c r="I53" s="57">
        <f>SUM($G$7:G53)</f>
        <v>29749</v>
      </c>
      <c r="J53" s="55">
        <f t="shared" si="4"/>
        <v>0.99156722885140991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32</v>
      </c>
      <c r="E54" s="50">
        <f t="shared" si="5"/>
        <v>9</v>
      </c>
      <c r="F54" s="51">
        <f t="shared" si="2"/>
        <v>1</v>
      </c>
      <c r="G54" s="52">
        <f>IF(D54=D53,"",_xlfn.IFNA(VLOOKUP(D54,'인원 입력 기능'!$Q$5:$T$55,4,FALSE),0))</f>
        <v>126</v>
      </c>
      <c r="H54" s="53">
        <f t="shared" si="3"/>
        <v>4.1997200186654222E-3</v>
      </c>
      <c r="I54" s="57">
        <f>SUM($G$7:G54)</f>
        <v>29875</v>
      </c>
      <c r="J54" s="55">
        <f t="shared" si="4"/>
        <v>0.99576694887007533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31</v>
      </c>
      <c r="E55" s="50">
        <f t="shared" si="5"/>
        <v>9</v>
      </c>
      <c r="F55" s="51">
        <f t="shared" si="2"/>
        <v>0</v>
      </c>
      <c r="G55" s="52">
        <f>IF(D55=D54,"",_xlfn.IFNA(VLOOKUP(D55,'인원 입력 기능'!$Q$5:$T$55,4,FALSE),0))</f>
        <v>90</v>
      </c>
      <c r="H55" s="53">
        <f t="shared" si="3"/>
        <v>2.9998000133324445E-3</v>
      </c>
      <c r="I55" s="57">
        <f>SUM($G$7:G55)</f>
        <v>29965</v>
      </c>
      <c r="J55" s="55">
        <f t="shared" si="4"/>
        <v>0.99876674888340777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30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기능'!$Q$5:$T$55,4,FALSE),0)</f>
        <v>37</v>
      </c>
      <c r="H57" s="69">
        <f>G57/J3</f>
        <v>1.2332511165922273E-3</v>
      </c>
      <c r="I57" s="70">
        <f>SUM($G$7:G57)</f>
        <v>30002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2">
    <mergeCell ref="I47:I48"/>
    <mergeCell ref="J47:J48"/>
    <mergeCell ref="D51:D52"/>
    <mergeCell ref="E51:E52"/>
    <mergeCell ref="F51:F52"/>
    <mergeCell ref="G51:G52"/>
    <mergeCell ref="H51:H52"/>
    <mergeCell ref="I51:I52"/>
    <mergeCell ref="J51:J52"/>
    <mergeCell ref="D47:D48"/>
    <mergeCell ref="E47:E48"/>
    <mergeCell ref="F47:F48"/>
    <mergeCell ref="G47:G48"/>
    <mergeCell ref="H47:H48"/>
    <mergeCell ref="I39:I40"/>
    <mergeCell ref="J39:J40"/>
    <mergeCell ref="D43:D44"/>
    <mergeCell ref="E43:E44"/>
    <mergeCell ref="F43:F44"/>
    <mergeCell ref="G43:G44"/>
    <mergeCell ref="H43:H44"/>
    <mergeCell ref="I43:I44"/>
    <mergeCell ref="J43:J44"/>
    <mergeCell ref="D39:D40"/>
    <mergeCell ref="E39:E40"/>
    <mergeCell ref="F39:F40"/>
    <mergeCell ref="G39:G40"/>
    <mergeCell ref="H39:H40"/>
    <mergeCell ref="I30:I31"/>
    <mergeCell ref="J30:J31"/>
    <mergeCell ref="D34:D35"/>
    <mergeCell ref="E34:E35"/>
    <mergeCell ref="F34:F35"/>
    <mergeCell ref="G34:G35"/>
    <mergeCell ref="H34:H35"/>
    <mergeCell ref="I34:I35"/>
    <mergeCell ref="J34:J35"/>
    <mergeCell ref="D30:D31"/>
    <mergeCell ref="E30:E31"/>
    <mergeCell ref="F30:F31"/>
    <mergeCell ref="G30:G31"/>
    <mergeCell ref="H30:H31"/>
    <mergeCell ref="I22:I23"/>
    <mergeCell ref="J22:J23"/>
    <mergeCell ref="D26:D27"/>
    <mergeCell ref="E26:E27"/>
    <mergeCell ref="F26:F27"/>
    <mergeCell ref="G26:G27"/>
    <mergeCell ref="H26:H27"/>
    <mergeCell ref="I26:I27"/>
    <mergeCell ref="J26:J27"/>
    <mergeCell ref="D22:D23"/>
    <mergeCell ref="E22:E23"/>
    <mergeCell ref="F22:F23"/>
    <mergeCell ref="G22:G23"/>
    <mergeCell ref="H22:H23"/>
    <mergeCell ref="H13:H14"/>
    <mergeCell ref="I13:I14"/>
    <mergeCell ref="J13:J14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56:J56"/>
    <mergeCell ref="D8:J8"/>
    <mergeCell ref="G5:J5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</mergeCells>
  <phoneticPr fontId="1" type="noConversion"/>
  <conditionalFormatting sqref="D7:J7 D57:J57 D9:J9 D11:J13 D15:J17 D19:J22 D24:J26 D28:J30 D32:J34 D36:J39 D41:J43 D45:J47 D49:J51 D53:J55">
    <cfRule type="expression" dxfId="139" priority="7">
      <formula>OR($D7=$P$7:$P$14)</formula>
    </cfRule>
  </conditionalFormatting>
  <conditionalFormatting sqref="C7:C57">
    <cfRule type="expression" dxfId="138" priority="6">
      <formula>OR(AND($D7=0,OR($D6=$P$7:$P$14)),AND($D8&gt;0,OR($D7=$P$7:$P$14)))</formula>
    </cfRule>
  </conditionalFormatting>
  <conditionalFormatting sqref="D7 D57 D9 D11:D13 D15:D17 D19:D22 D24:D26 D28:D30 D32:D34 D36:D39 D41:D43 D45:D47 D49:D51 D53:D55">
    <cfRule type="expression" dxfId="137" priority="5">
      <formula>$D7=$D8</formula>
    </cfRule>
  </conditionalFormatting>
  <conditionalFormatting sqref="D56">
    <cfRule type="expression" dxfId="136" priority="4">
      <formula>OR($D56=$P$7:$P$14)</formula>
    </cfRule>
  </conditionalFormatting>
  <conditionalFormatting sqref="D56">
    <cfRule type="expression" dxfId="135" priority="3">
      <formula>$D56=$D57</formula>
    </cfRule>
  </conditionalFormatting>
  <conditionalFormatting sqref="D8">
    <cfRule type="expression" dxfId="134" priority="2">
      <formula>OR($D8=$P$7:$P$14)</formula>
    </cfRule>
  </conditionalFormatting>
  <conditionalFormatting sqref="D8">
    <cfRule type="expression" dxfId="133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2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기능'!D8</f>
        <v>26.12</v>
      </c>
      <c r="I3" s="109" t="s">
        <v>54</v>
      </c>
      <c r="J3" s="110">
        <f>'통계 및 응시자 수 입력 기능'!C8</f>
        <v>17521</v>
      </c>
      <c r="K3" s="25"/>
    </row>
    <row r="4" spans="1:16" ht="25" customHeight="1" thickBot="1">
      <c r="A4" s="5"/>
      <c r="B4" s="24"/>
      <c r="C4" s="42" t="s">
        <v>55</v>
      </c>
      <c r="D4" s="242" t="s">
        <v>74</v>
      </c>
      <c r="E4" s="243"/>
      <c r="F4" s="244"/>
      <c r="G4" s="43" t="s">
        <v>57</v>
      </c>
      <c r="H4" s="108">
        <f>'통계 및 응시자 수 입력 기능'!E8</f>
        <v>13.74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67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기능'!$V$5:$Y$55,4,FALSE),0)</f>
        <v>459</v>
      </c>
      <c r="H7" s="53">
        <f>G7/J3</f>
        <v>2.619713486673135E-2</v>
      </c>
      <c r="I7" s="54">
        <f>G7</f>
        <v>459</v>
      </c>
      <c r="J7" s="55">
        <f>I7/J3</f>
        <v>2.619713486673135E-2</v>
      </c>
      <c r="K7" s="25"/>
      <c r="M7" s="1"/>
      <c r="O7" s="1">
        <v>1</v>
      </c>
      <c r="P7" s="1">
        <f>'표준점수 등급컷 입력기능'!B16</f>
        <v>66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입력기능'!B17</f>
        <v>64</v>
      </c>
    </row>
    <row r="9" spans="1:16" ht="25" customHeight="1">
      <c r="A9" s="5"/>
      <c r="B9" s="24"/>
      <c r="C9" s="49">
        <v>48</v>
      </c>
      <c r="D9" s="50">
        <f>ROUND(10*(C9-$H$3)/$H$4+50,0)</f>
        <v>66</v>
      </c>
      <c r="E9" s="50">
        <f t="shared" si="0"/>
        <v>1</v>
      </c>
      <c r="F9" s="51">
        <f>IF(I8=0,ROUND(100*(1-(I7+I9)/2/$J$3),0),ROUND(100*(1-(I8+I9)/2/$J$3),0))</f>
        <v>96</v>
      </c>
      <c r="G9" s="52">
        <f>_xlfn.IFNA(VLOOKUP(D9,'인원 입력 기능'!$V$5:$Y$55,4,FALSE),0)</f>
        <v>476</v>
      </c>
      <c r="H9" s="53">
        <f>G9/$J$3</f>
        <v>2.7167399121054734E-2</v>
      </c>
      <c r="I9" s="57">
        <f>SUM($G$7:G9)</f>
        <v>935</v>
      </c>
      <c r="J9" s="55">
        <f>I9/$J$3</f>
        <v>5.3364533987786088E-2</v>
      </c>
      <c r="K9" s="25"/>
      <c r="M9" s="1"/>
      <c r="O9" s="1">
        <v>3</v>
      </c>
      <c r="P9" s="1">
        <f>'표준점수 등급컷 입력기능'!B18</f>
        <v>60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65</v>
      </c>
      <c r="E10" s="50">
        <f t="shared" si="0"/>
        <v>2</v>
      </c>
      <c r="F10" s="51">
        <f>IF(I9=0,ROUND(100*(1-(I8+I10)/2/$J$3),0),ROUND(100*(1-(I9+I10)/2/$J$3),0))</f>
        <v>94</v>
      </c>
      <c r="G10" s="52">
        <f>IF(D10=D9,"",_xlfn.IFNA(VLOOKUP(D10,'인원 입력 기능'!$V$5:$Y$55,4,FALSE),0))</f>
        <v>396</v>
      </c>
      <c r="H10" s="53">
        <f t="shared" ref="H10:H55" si="2">G10/$J$3</f>
        <v>2.2601449688944696E-2</v>
      </c>
      <c r="I10" s="57">
        <f>SUM($G$7:G10)</f>
        <v>1331</v>
      </c>
      <c r="J10" s="55">
        <f t="shared" ref="J10:J55" si="3">I10/$J$3</f>
        <v>7.5965983676730783E-2</v>
      </c>
      <c r="K10" s="25"/>
      <c r="M10" s="1"/>
      <c r="O10" s="1">
        <v>4</v>
      </c>
      <c r="P10" s="1">
        <f>'표준점수 등급컷 입력기능'!B19</f>
        <v>54</v>
      </c>
    </row>
    <row r="11" spans="1:16" ht="25" customHeight="1">
      <c r="A11" s="5"/>
      <c r="B11" s="24"/>
      <c r="C11" s="49">
        <v>46</v>
      </c>
      <c r="D11" s="261">
        <f t="shared" si="1"/>
        <v>64</v>
      </c>
      <c r="E11" s="261">
        <f t="shared" si="0"/>
        <v>2</v>
      </c>
      <c r="F11" s="263">
        <f t="shared" ref="F11:F55" si="4">IF(I10=0,ROUND(100*(1-(I9+I11)/2/$J$3),0),ROUND(100*(1-(I10+I11)/2/$J$3),0))</f>
        <v>90</v>
      </c>
      <c r="G11" s="265">
        <f>IF(D11=D10,"",_xlfn.IFNA(VLOOKUP(D11,'인원 입력 기능'!$V$5:$Y$55,4,FALSE),0))</f>
        <v>887</v>
      </c>
      <c r="H11" s="266">
        <f t="shared" si="2"/>
        <v>5.062496432852006E-2</v>
      </c>
      <c r="I11" s="268">
        <f>SUM($G$7:G11)</f>
        <v>2218</v>
      </c>
      <c r="J11" s="270">
        <f t="shared" si="3"/>
        <v>0.12659094800525084</v>
      </c>
      <c r="K11" s="25"/>
      <c r="M11" s="1"/>
      <c r="O11" s="1">
        <v>5</v>
      </c>
      <c r="P11" s="1">
        <f>'표준점수 등급컷 입력기능'!B20</f>
        <v>45</v>
      </c>
    </row>
    <row r="12" spans="1:16" ht="25" customHeight="1">
      <c r="A12" s="5"/>
      <c r="B12" s="24"/>
      <c r="C12" s="56">
        <v>45</v>
      </c>
      <c r="D12" s="260"/>
      <c r="E12" s="260"/>
      <c r="F12" s="262"/>
      <c r="G12" s="264"/>
      <c r="H12" s="267"/>
      <c r="I12" s="269"/>
      <c r="J12" s="271"/>
      <c r="K12" s="25"/>
      <c r="M12" s="1"/>
      <c r="O12" s="1">
        <v>6</v>
      </c>
      <c r="P12" s="1">
        <f>'표준점수 등급컷 입력기능'!B21</f>
        <v>40</v>
      </c>
    </row>
    <row r="13" spans="1:16" ht="25" customHeight="1">
      <c r="A13" s="5"/>
      <c r="B13" s="24"/>
      <c r="C13" s="49">
        <v>44</v>
      </c>
      <c r="D13" s="50">
        <f t="shared" si="1"/>
        <v>63</v>
      </c>
      <c r="E13" s="50">
        <f t="shared" si="0"/>
        <v>3</v>
      </c>
      <c r="F13" s="51">
        <f t="shared" si="4"/>
        <v>87</v>
      </c>
      <c r="G13" s="52">
        <f>IF(D13=D12,"",_xlfn.IFNA(VLOOKUP(D13,'인원 입력 기능'!$V$5:$Y$55,4,FALSE),0))</f>
        <v>282</v>
      </c>
      <c r="H13" s="53">
        <f t="shared" si="2"/>
        <v>1.609497174818789E-2</v>
      </c>
      <c r="I13" s="57">
        <f>SUM($G$7:G13)</f>
        <v>2500</v>
      </c>
      <c r="J13" s="55">
        <f t="shared" si="3"/>
        <v>0.14268591975343872</v>
      </c>
      <c r="K13" s="25"/>
      <c r="M13" s="1"/>
      <c r="O13" s="1">
        <v>7</v>
      </c>
      <c r="P13" s="1">
        <f>'표준점수 등급컷 입력기능'!B22</f>
        <v>38</v>
      </c>
    </row>
    <row r="14" spans="1:16" ht="25" customHeight="1">
      <c r="A14" s="5"/>
      <c r="B14" s="24"/>
      <c r="C14" s="56">
        <v>43</v>
      </c>
      <c r="D14" s="261">
        <f t="shared" si="1"/>
        <v>62</v>
      </c>
      <c r="E14" s="261">
        <f t="shared" si="0"/>
        <v>3</v>
      </c>
      <c r="F14" s="263">
        <f t="shared" si="4"/>
        <v>83</v>
      </c>
      <c r="G14" s="265">
        <f>IF(D14=D13,"",_xlfn.IFNA(VLOOKUP(D14,'인원 입력 기능'!$V$5:$Y$55,4,FALSE),0))</f>
        <v>954</v>
      </c>
      <c r="H14" s="266">
        <f t="shared" si="2"/>
        <v>5.4448946977912221E-2</v>
      </c>
      <c r="I14" s="268">
        <f>SUM($G$7:G14)</f>
        <v>3454</v>
      </c>
      <c r="J14" s="270">
        <f t="shared" si="3"/>
        <v>0.19713486673135094</v>
      </c>
      <c r="K14" s="25"/>
      <c r="M14" s="1"/>
      <c r="O14" s="1">
        <v>8</v>
      </c>
      <c r="P14" s="1">
        <f>'표준점수 등급컷 입력기능'!B23</f>
        <v>35</v>
      </c>
    </row>
    <row r="15" spans="1:16" ht="25" customHeight="1">
      <c r="A15" s="5"/>
      <c r="B15" s="24"/>
      <c r="C15" s="49">
        <v>42</v>
      </c>
      <c r="D15" s="260"/>
      <c r="E15" s="260"/>
      <c r="F15" s="262"/>
      <c r="G15" s="264"/>
      <c r="H15" s="267"/>
      <c r="I15" s="269"/>
      <c r="J15" s="271"/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61</v>
      </c>
      <c r="E16" s="50">
        <f t="shared" si="0"/>
        <v>3</v>
      </c>
      <c r="F16" s="51">
        <f t="shared" si="4"/>
        <v>80</v>
      </c>
      <c r="G16" s="52">
        <f>IF(D16=D15,"",_xlfn.IFNA(VLOOKUP(D16,'인원 입력 기능'!$V$5:$Y$55,4,FALSE),0))</f>
        <v>269</v>
      </c>
      <c r="H16" s="53">
        <f t="shared" si="2"/>
        <v>1.5353004965470008E-2</v>
      </c>
      <c r="I16" s="57">
        <f>SUM($G$7:G16)</f>
        <v>3723</v>
      </c>
      <c r="J16" s="55">
        <f t="shared" si="3"/>
        <v>0.21248787169682096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60</v>
      </c>
      <c r="E17" s="50">
        <f t="shared" si="0"/>
        <v>3</v>
      </c>
      <c r="F17" s="51">
        <f t="shared" si="4"/>
        <v>77</v>
      </c>
      <c r="G17" s="52">
        <f>IF(D17=D16,"",_xlfn.IFNA(VLOOKUP(D17,'인원 입력 기능'!$V$5:$Y$55,4,FALSE),0))</f>
        <v>497</v>
      </c>
      <c r="H17" s="53">
        <f t="shared" si="2"/>
        <v>2.8365960846983621E-2</v>
      </c>
      <c r="I17" s="57">
        <f>SUM($G$7:G17)</f>
        <v>4220</v>
      </c>
      <c r="J17" s="55">
        <f t="shared" si="3"/>
        <v>0.24085383254380457</v>
      </c>
      <c r="K17" s="25"/>
      <c r="M17" s="1"/>
      <c r="P17" s="1">
        <f>H3*H4*J3*P7*IFERROR(IF(J57=1, 1, 0), 0)</f>
        <v>415013983.8768</v>
      </c>
    </row>
    <row r="18" spans="1:16" ht="25" customHeight="1">
      <c r="A18" s="5"/>
      <c r="B18" s="24"/>
      <c r="C18" s="56">
        <v>39</v>
      </c>
      <c r="D18" s="261">
        <f t="shared" si="1"/>
        <v>59</v>
      </c>
      <c r="E18" s="261">
        <f t="shared" si="0"/>
        <v>4</v>
      </c>
      <c r="F18" s="263">
        <f t="shared" si="4"/>
        <v>74</v>
      </c>
      <c r="G18" s="265">
        <f>IF(D18=D17,"",_xlfn.IFNA(VLOOKUP(D18,'인원 입력 기능'!$V$5:$Y$55,4,FALSE),0))</f>
        <v>693</v>
      </c>
      <c r="H18" s="266">
        <f t="shared" si="2"/>
        <v>3.9552536955653216E-2</v>
      </c>
      <c r="I18" s="268">
        <f>SUM($G$7:G18)</f>
        <v>4913</v>
      </c>
      <c r="J18" s="270">
        <f t="shared" si="3"/>
        <v>0.2804063694994578</v>
      </c>
      <c r="K18" s="25"/>
      <c r="M18" s="1"/>
    </row>
    <row r="19" spans="1:16" ht="25" customHeight="1">
      <c r="A19" s="5"/>
      <c r="B19" s="24"/>
      <c r="C19" s="49">
        <v>38</v>
      </c>
      <c r="D19" s="260"/>
      <c r="E19" s="260"/>
      <c r="F19" s="262"/>
      <c r="G19" s="264"/>
      <c r="H19" s="267"/>
      <c r="I19" s="269"/>
      <c r="J19" s="271"/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58</v>
      </c>
      <c r="E20" s="50">
        <f t="shared" si="0"/>
        <v>4</v>
      </c>
      <c r="F20" s="51">
        <f t="shared" si="4"/>
        <v>71</v>
      </c>
      <c r="G20" s="52">
        <f>IF(D20=D19,"",_xlfn.IFNA(VLOOKUP(D20,'인원 입력 기능'!$V$5:$Y$55,4,FALSE),0))</f>
        <v>393</v>
      </c>
      <c r="H20" s="53">
        <f t="shared" si="2"/>
        <v>2.2430226585240569E-2</v>
      </c>
      <c r="I20" s="57">
        <f>SUM($G$7:G20)</f>
        <v>5306</v>
      </c>
      <c r="J20" s="55">
        <f t="shared" si="3"/>
        <v>0.30283659608469837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57</v>
      </c>
      <c r="E21" s="60">
        <f t="shared" si="0"/>
        <v>4</v>
      </c>
      <c r="F21" s="51">
        <f t="shared" si="4"/>
        <v>69</v>
      </c>
      <c r="G21" s="52">
        <f>IF(D21=D20,"",_xlfn.IFNA(VLOOKUP(D21,'인원 입력 기능'!$V$5:$Y$55,4,FALSE),0))</f>
        <v>296</v>
      </c>
      <c r="H21" s="53">
        <f t="shared" si="2"/>
        <v>1.6894012898807147E-2</v>
      </c>
      <c r="I21" s="57">
        <f>SUM($G$7:G21)</f>
        <v>5602</v>
      </c>
      <c r="J21" s="55">
        <f t="shared" si="3"/>
        <v>0.31973060898350553</v>
      </c>
      <c r="K21" s="25"/>
      <c r="M21" s="1"/>
    </row>
    <row r="22" spans="1:16" ht="25" customHeight="1">
      <c r="A22" s="5"/>
      <c r="B22" s="24"/>
      <c r="C22" s="59">
        <v>35</v>
      </c>
      <c r="D22" s="273">
        <f t="shared" si="1"/>
        <v>56</v>
      </c>
      <c r="E22" s="273">
        <f t="shared" si="0"/>
        <v>4</v>
      </c>
      <c r="F22" s="263">
        <f t="shared" si="4"/>
        <v>66</v>
      </c>
      <c r="G22" s="265">
        <f>IF(D22=D21,"",_xlfn.IFNA(VLOOKUP(D22,'인원 입력 기능'!$V$5:$Y$55,4,FALSE),0))</f>
        <v>663</v>
      </c>
      <c r="H22" s="266">
        <f t="shared" si="2"/>
        <v>3.7840305918611948E-2</v>
      </c>
      <c r="I22" s="268">
        <f>SUM($G$7:G22)</f>
        <v>6265</v>
      </c>
      <c r="J22" s="270">
        <f t="shared" si="3"/>
        <v>0.35757091490211745</v>
      </c>
      <c r="K22" s="25"/>
      <c r="M22" s="1"/>
    </row>
    <row r="23" spans="1:16" ht="25" customHeight="1">
      <c r="A23" s="5"/>
      <c r="B23" s="24"/>
      <c r="C23" s="58">
        <v>34</v>
      </c>
      <c r="D23" s="272"/>
      <c r="E23" s="272"/>
      <c r="F23" s="262"/>
      <c r="G23" s="264"/>
      <c r="H23" s="267"/>
      <c r="I23" s="269"/>
      <c r="J23" s="271"/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55</v>
      </c>
      <c r="E24" s="60">
        <f t="shared" si="0"/>
        <v>4</v>
      </c>
      <c r="F24" s="51">
        <f t="shared" si="4"/>
        <v>63</v>
      </c>
      <c r="G24" s="52">
        <f>IF(D24=D23,"",_xlfn.IFNA(VLOOKUP(D24,'인원 입력 기능'!$V$5:$Y$55,4,FALSE),0))</f>
        <v>262</v>
      </c>
      <c r="H24" s="53">
        <f t="shared" si="2"/>
        <v>1.4953484390160379E-2</v>
      </c>
      <c r="I24" s="57">
        <f>SUM($G$7:G24)</f>
        <v>6527</v>
      </c>
      <c r="J24" s="55">
        <f t="shared" si="3"/>
        <v>0.37252439929227782</v>
      </c>
      <c r="K24" s="25"/>
      <c r="M24" s="1"/>
    </row>
    <row r="25" spans="1:16" ht="25" customHeight="1">
      <c r="A25" s="5"/>
      <c r="B25" s="24"/>
      <c r="C25" s="58">
        <v>32</v>
      </c>
      <c r="D25" s="273">
        <f t="shared" si="1"/>
        <v>54</v>
      </c>
      <c r="E25" s="273">
        <f t="shared" si="0"/>
        <v>4</v>
      </c>
      <c r="F25" s="263">
        <f t="shared" si="4"/>
        <v>61</v>
      </c>
      <c r="G25" s="265">
        <f>IF(D25=D24,"",_xlfn.IFNA(VLOOKUP(D25,'인원 입력 기능'!$V$5:$Y$55,4,FALSE),0))</f>
        <v>573</v>
      </c>
      <c r="H25" s="266">
        <f t="shared" si="2"/>
        <v>3.270361280748816E-2</v>
      </c>
      <c r="I25" s="268">
        <f>SUM($G$7:G25)</f>
        <v>7100</v>
      </c>
      <c r="J25" s="270">
        <f t="shared" si="3"/>
        <v>0.405228012099766</v>
      </c>
      <c r="K25" s="25"/>
      <c r="M25" s="1"/>
    </row>
    <row r="26" spans="1:16" ht="25" customHeight="1">
      <c r="A26" s="5"/>
      <c r="B26" s="24"/>
      <c r="C26" s="59">
        <v>31</v>
      </c>
      <c r="D26" s="272"/>
      <c r="E26" s="272"/>
      <c r="F26" s="262"/>
      <c r="G26" s="264"/>
      <c r="H26" s="267"/>
      <c r="I26" s="269"/>
      <c r="J26" s="271"/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53</v>
      </c>
      <c r="E27" s="60">
        <f t="shared" si="0"/>
        <v>5</v>
      </c>
      <c r="F27" s="51">
        <f t="shared" si="4"/>
        <v>59</v>
      </c>
      <c r="G27" s="52">
        <f>IF(D27=D26,"",_xlfn.IFNA(VLOOKUP(D27,'인원 입력 기능'!$V$5:$Y$55,4,FALSE),0))</f>
        <v>292</v>
      </c>
      <c r="H27" s="53">
        <f t="shared" si="2"/>
        <v>1.6665715427201643E-2</v>
      </c>
      <c r="I27" s="57">
        <f>SUM($G$7:G27)</f>
        <v>7392</v>
      </c>
      <c r="J27" s="55">
        <f t="shared" si="3"/>
        <v>0.42189372752696763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52</v>
      </c>
      <c r="E28" s="60">
        <f t="shared" si="0"/>
        <v>5</v>
      </c>
      <c r="F28" s="51">
        <f t="shared" si="4"/>
        <v>57</v>
      </c>
      <c r="G28" s="52">
        <f>IF(D28=D27,"",_xlfn.IFNA(VLOOKUP(D28,'인원 입력 기능'!$V$5:$Y$55,4,FALSE),0))</f>
        <v>292</v>
      </c>
      <c r="H28" s="53">
        <f t="shared" si="2"/>
        <v>1.6665715427201643E-2</v>
      </c>
      <c r="I28" s="57">
        <f>SUM($G$7:G28)</f>
        <v>7684</v>
      </c>
      <c r="J28" s="55">
        <f t="shared" si="3"/>
        <v>0.43855944295416927</v>
      </c>
      <c r="K28" s="25"/>
      <c r="M28" s="1"/>
    </row>
    <row r="29" spans="1:16" ht="25" customHeight="1">
      <c r="A29" s="5"/>
      <c r="B29" s="24"/>
      <c r="C29" s="58">
        <v>28</v>
      </c>
      <c r="D29" s="273">
        <f t="shared" si="1"/>
        <v>51</v>
      </c>
      <c r="E29" s="273">
        <f t="shared" si="0"/>
        <v>5</v>
      </c>
      <c r="F29" s="263">
        <f t="shared" si="4"/>
        <v>55</v>
      </c>
      <c r="G29" s="265">
        <f>IF(D29=D28,"",_xlfn.IFNA(VLOOKUP(D29,'인원 입력 기능'!$V$5:$Y$55,4,FALSE),0))</f>
        <v>543</v>
      </c>
      <c r="H29" s="266">
        <f t="shared" si="2"/>
        <v>3.0991381770446892E-2</v>
      </c>
      <c r="I29" s="268">
        <f>SUM($G$7:G29)</f>
        <v>8227</v>
      </c>
      <c r="J29" s="270">
        <f t="shared" si="3"/>
        <v>0.46955082472461618</v>
      </c>
      <c r="K29" s="25"/>
      <c r="M29" s="1"/>
    </row>
    <row r="30" spans="1:16" ht="25" customHeight="1">
      <c r="A30" s="5"/>
      <c r="B30" s="24"/>
      <c r="C30" s="59">
        <v>27</v>
      </c>
      <c r="D30" s="272"/>
      <c r="E30" s="272"/>
      <c r="F30" s="262"/>
      <c r="G30" s="264"/>
      <c r="H30" s="267"/>
      <c r="I30" s="269"/>
      <c r="J30" s="271"/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50</v>
      </c>
      <c r="E31" s="60">
        <f t="shared" si="0"/>
        <v>5</v>
      </c>
      <c r="F31" s="51">
        <f t="shared" si="4"/>
        <v>52</v>
      </c>
      <c r="G31" s="52">
        <f>IF(D31=D30,"",_xlfn.IFNA(VLOOKUP(D31,'인원 입력 기능'!$V$5:$Y$55,4,FALSE),0))</f>
        <v>256</v>
      </c>
      <c r="H31" s="53">
        <f t="shared" si="2"/>
        <v>1.4611038182752126E-2</v>
      </c>
      <c r="I31" s="57">
        <f>SUM($G$7:G31)</f>
        <v>8483</v>
      </c>
      <c r="J31" s="55">
        <f t="shared" si="3"/>
        <v>0.48416186290736829</v>
      </c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49</v>
      </c>
      <c r="E32" s="60">
        <f t="shared" si="0"/>
        <v>5</v>
      </c>
      <c r="F32" s="51">
        <f t="shared" si="4"/>
        <v>51</v>
      </c>
      <c r="G32" s="52">
        <f>IF(D32=D31,"",_xlfn.IFNA(VLOOKUP(D32,'인원 입력 기능'!$V$5:$Y$55,4,FALSE),0))</f>
        <v>296</v>
      </c>
      <c r="H32" s="53">
        <f t="shared" si="2"/>
        <v>1.6894012898807147E-2</v>
      </c>
      <c r="I32" s="57">
        <f>SUM($G$7:G32)</f>
        <v>8779</v>
      </c>
      <c r="J32" s="55">
        <f t="shared" si="3"/>
        <v>0.5010558758061755</v>
      </c>
      <c r="K32" s="25"/>
      <c r="M32" s="1"/>
    </row>
    <row r="33" spans="1:13" ht="25" customHeight="1">
      <c r="A33" s="5"/>
      <c r="B33" s="24"/>
      <c r="C33" s="58">
        <v>24</v>
      </c>
      <c r="D33" s="273">
        <f t="shared" si="1"/>
        <v>48</v>
      </c>
      <c r="E33" s="273">
        <f t="shared" si="0"/>
        <v>5</v>
      </c>
      <c r="F33" s="263">
        <f t="shared" si="4"/>
        <v>48</v>
      </c>
      <c r="G33" s="265">
        <f>IF(D33=D32,"",_xlfn.IFNA(VLOOKUP(D33,'인원 입력 기능'!$V$5:$Y$55,4,FALSE),0))</f>
        <v>582</v>
      </c>
      <c r="H33" s="266">
        <f t="shared" si="2"/>
        <v>3.321728211860054E-2</v>
      </c>
      <c r="I33" s="268">
        <f>SUM($G$7:G33)</f>
        <v>9361</v>
      </c>
      <c r="J33" s="270">
        <f t="shared" si="3"/>
        <v>0.53427315792477603</v>
      </c>
      <c r="K33" s="25"/>
      <c r="M33" s="1"/>
    </row>
    <row r="34" spans="1:13" ht="25" customHeight="1">
      <c r="A34" s="5"/>
      <c r="B34" s="24"/>
      <c r="C34" s="59">
        <v>23</v>
      </c>
      <c r="D34" s="272"/>
      <c r="E34" s="272"/>
      <c r="F34" s="262"/>
      <c r="G34" s="264"/>
      <c r="H34" s="267"/>
      <c r="I34" s="269"/>
      <c r="J34" s="271"/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47</v>
      </c>
      <c r="E35" s="60">
        <f t="shared" si="0"/>
        <v>5</v>
      </c>
      <c r="F35" s="51">
        <f t="shared" si="4"/>
        <v>46</v>
      </c>
      <c r="G35" s="52">
        <f>IF(D35=D34,"",_xlfn.IFNA(VLOOKUP(D35,'인원 입력 기능'!$V$5:$Y$55,4,FALSE),0))</f>
        <v>303</v>
      </c>
      <c r="H35" s="53">
        <f t="shared" si="2"/>
        <v>1.7293533474116773E-2</v>
      </c>
      <c r="I35" s="57">
        <f>SUM($G$7:G35)</f>
        <v>9664</v>
      </c>
      <c r="J35" s="55">
        <f t="shared" si="3"/>
        <v>0.55156669139889281</v>
      </c>
      <c r="K35" s="25"/>
      <c r="M35" s="1"/>
    </row>
    <row r="36" spans="1:13" ht="25" customHeight="1">
      <c r="A36" s="5"/>
      <c r="B36" s="24"/>
      <c r="C36" s="59">
        <v>21</v>
      </c>
      <c r="D36" s="273">
        <f t="shared" si="1"/>
        <v>46</v>
      </c>
      <c r="E36" s="273">
        <f t="shared" si="0"/>
        <v>5</v>
      </c>
      <c r="F36" s="263">
        <f t="shared" si="4"/>
        <v>43</v>
      </c>
      <c r="G36" s="265">
        <f>IF(D36=D35,"",_xlfn.IFNA(VLOOKUP(D36,'인원 입력 기능'!$V$5:$Y$55,4,FALSE),0))</f>
        <v>718</v>
      </c>
      <c r="H36" s="266">
        <f t="shared" si="2"/>
        <v>4.0979396153187603E-2</v>
      </c>
      <c r="I36" s="268">
        <f>SUM($G$7:G36)</f>
        <v>10382</v>
      </c>
      <c r="J36" s="270">
        <f t="shared" si="3"/>
        <v>0.59254608755208038</v>
      </c>
      <c r="K36" s="25"/>
      <c r="M36" s="1"/>
    </row>
    <row r="37" spans="1:13" ht="25" customHeight="1">
      <c r="A37" s="5"/>
      <c r="B37" s="24"/>
      <c r="C37" s="58">
        <v>20</v>
      </c>
      <c r="D37" s="272"/>
      <c r="E37" s="272"/>
      <c r="F37" s="262"/>
      <c r="G37" s="264"/>
      <c r="H37" s="267"/>
      <c r="I37" s="269"/>
      <c r="J37" s="271"/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45</v>
      </c>
      <c r="E38" s="60">
        <f t="shared" si="0"/>
        <v>5</v>
      </c>
      <c r="F38" s="51">
        <f t="shared" si="4"/>
        <v>40</v>
      </c>
      <c r="G38" s="52">
        <f>IF(D38=D37,"",_xlfn.IFNA(VLOOKUP(D38,'인원 입력 기능'!$V$5:$Y$55,4,FALSE),0))</f>
        <v>393</v>
      </c>
      <c r="H38" s="53">
        <f t="shared" si="2"/>
        <v>2.2430226585240569E-2</v>
      </c>
      <c r="I38" s="57">
        <f>SUM($G$7:G38)</f>
        <v>10775</v>
      </c>
      <c r="J38" s="55">
        <f t="shared" si="3"/>
        <v>0.6149763141373209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44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37</v>
      </c>
      <c r="G39" s="52">
        <f>IF(D39=D38,"",_xlfn.IFNA(VLOOKUP(D39,'인원 입력 기능'!$V$5:$Y$55,4,FALSE),0))</f>
        <v>422</v>
      </c>
      <c r="H39" s="53">
        <f t="shared" si="2"/>
        <v>2.4085383254380456E-2</v>
      </c>
      <c r="I39" s="57">
        <f>SUM($G$7:G39)</f>
        <v>11197</v>
      </c>
      <c r="J39" s="55">
        <f t="shared" si="3"/>
        <v>0.63906169739170138</v>
      </c>
      <c r="K39" s="25"/>
      <c r="M39" s="1"/>
    </row>
    <row r="40" spans="1:13" ht="25" customHeight="1">
      <c r="A40" s="5"/>
      <c r="B40" s="24"/>
      <c r="C40" s="59">
        <v>17</v>
      </c>
      <c r="D40" s="273">
        <f t="shared" si="1"/>
        <v>43</v>
      </c>
      <c r="E40" s="273">
        <f t="shared" si="5"/>
        <v>6</v>
      </c>
      <c r="F40" s="263">
        <f t="shared" si="4"/>
        <v>33</v>
      </c>
      <c r="G40" s="265">
        <f>IF(D40=D39,"",_xlfn.IFNA(VLOOKUP(D40,'인원 입력 기능'!$V$5:$Y$55,4,FALSE),0))</f>
        <v>910</v>
      </c>
      <c r="H40" s="266">
        <f t="shared" si="2"/>
        <v>5.1937674790251701E-2</v>
      </c>
      <c r="I40" s="268">
        <f>SUM($G$7:G40)</f>
        <v>12107</v>
      </c>
      <c r="J40" s="270">
        <f t="shared" si="3"/>
        <v>0.69099937218195306</v>
      </c>
      <c r="K40" s="25"/>
      <c r="M40" s="1"/>
    </row>
    <row r="41" spans="1:13" ht="25" customHeight="1">
      <c r="A41" s="5"/>
      <c r="B41" s="24"/>
      <c r="C41" s="58">
        <v>16</v>
      </c>
      <c r="D41" s="272"/>
      <c r="E41" s="272"/>
      <c r="F41" s="262"/>
      <c r="G41" s="264"/>
      <c r="H41" s="267"/>
      <c r="I41" s="269"/>
      <c r="J41" s="271"/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42</v>
      </c>
      <c r="E42" s="60">
        <f t="shared" si="5"/>
        <v>6</v>
      </c>
      <c r="F42" s="51">
        <f t="shared" si="4"/>
        <v>29</v>
      </c>
      <c r="G42" s="52">
        <f>IF(D42=D41,"",_xlfn.IFNA(VLOOKUP(D42,'인원 입력 기능'!$V$5:$Y$55,4,FALSE),0))</f>
        <v>584</v>
      </c>
      <c r="H42" s="53">
        <f t="shared" si="2"/>
        <v>3.3331430854403286E-2</v>
      </c>
      <c r="I42" s="57">
        <f>SUM($G$7:G42)</f>
        <v>12691</v>
      </c>
      <c r="J42" s="55">
        <f t="shared" si="3"/>
        <v>0.72433080303635633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41</v>
      </c>
      <c r="E43" s="60">
        <f t="shared" si="5"/>
        <v>6</v>
      </c>
      <c r="F43" s="51">
        <f t="shared" si="4"/>
        <v>26</v>
      </c>
      <c r="G43" s="52">
        <f>IF(D43=D42,"",_xlfn.IFNA(VLOOKUP(D43,'인원 입력 기능'!$V$5:$Y$55,4,FALSE),0))</f>
        <v>454</v>
      </c>
      <c r="H43" s="53">
        <f t="shared" si="2"/>
        <v>2.5911763027224474E-2</v>
      </c>
      <c r="I43" s="57">
        <f>SUM($G$7:G43)</f>
        <v>13145</v>
      </c>
      <c r="J43" s="55">
        <f t="shared" si="3"/>
        <v>0.75024256606358086</v>
      </c>
      <c r="K43" s="25"/>
      <c r="M43" s="1"/>
    </row>
    <row r="44" spans="1:13" ht="25" customHeight="1">
      <c r="A44" s="5"/>
      <c r="B44" s="24"/>
      <c r="C44" s="59">
        <v>13</v>
      </c>
      <c r="D44" s="273">
        <f t="shared" si="1"/>
        <v>40</v>
      </c>
      <c r="E44" s="273">
        <f t="shared" si="5"/>
        <v>6</v>
      </c>
      <c r="F44" s="263">
        <f t="shared" si="4"/>
        <v>21</v>
      </c>
      <c r="G44" s="265">
        <f>IF(D44=D43,"",_xlfn.IFNA(VLOOKUP(D44,'인원 입력 기능'!$V$5:$Y$55,4,FALSE),0))</f>
        <v>1347</v>
      </c>
      <c r="H44" s="266">
        <f t="shared" si="2"/>
        <v>7.6879173563152783E-2</v>
      </c>
      <c r="I44" s="268">
        <f>SUM($G$7:G44)</f>
        <v>14492</v>
      </c>
      <c r="J44" s="270">
        <f t="shared" si="3"/>
        <v>0.82712173962673363</v>
      </c>
      <c r="K44" s="25"/>
      <c r="M44" s="1"/>
    </row>
    <row r="45" spans="1:13" ht="25" customHeight="1">
      <c r="A45" s="5"/>
      <c r="B45" s="24"/>
      <c r="C45" s="58">
        <v>12</v>
      </c>
      <c r="D45" s="272"/>
      <c r="E45" s="272"/>
      <c r="F45" s="262"/>
      <c r="G45" s="264"/>
      <c r="H45" s="267"/>
      <c r="I45" s="269"/>
      <c r="J45" s="271"/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39</v>
      </c>
      <c r="E46" s="60">
        <f t="shared" si="5"/>
        <v>7</v>
      </c>
      <c r="F46" s="51">
        <f t="shared" si="4"/>
        <v>16</v>
      </c>
      <c r="G46" s="52">
        <f>IF(D46=D45,"",_xlfn.IFNA(VLOOKUP(D46,'인원 입력 기능'!$V$5:$Y$55,4,FALSE),0))</f>
        <v>443</v>
      </c>
      <c r="H46" s="53">
        <f t="shared" si="2"/>
        <v>2.5283944980309343E-2</v>
      </c>
      <c r="I46" s="57">
        <f>SUM($G$7:G46)</f>
        <v>14935</v>
      </c>
      <c r="J46" s="55">
        <f t="shared" si="3"/>
        <v>0.85240568460704302</v>
      </c>
      <c r="K46" s="25"/>
      <c r="M46" s="1"/>
    </row>
    <row r="47" spans="1:13" ht="25" customHeight="1">
      <c r="A47" s="5"/>
      <c r="B47" s="24"/>
      <c r="C47" s="58">
        <v>10</v>
      </c>
      <c r="D47" s="273">
        <f t="shared" si="1"/>
        <v>38</v>
      </c>
      <c r="E47" s="273">
        <f t="shared" si="5"/>
        <v>7</v>
      </c>
      <c r="F47" s="263">
        <f t="shared" si="4"/>
        <v>11</v>
      </c>
      <c r="G47" s="265">
        <f>IF(D47=D46,"",_xlfn.IFNA(VLOOKUP(D47,'인원 입력 기능'!$V$5:$Y$55,4,FALSE),0))</f>
        <v>1154</v>
      </c>
      <c r="H47" s="266">
        <f t="shared" si="2"/>
        <v>6.5863820558187319E-2</v>
      </c>
      <c r="I47" s="268">
        <f>SUM($G$7:G47)</f>
        <v>16089</v>
      </c>
      <c r="J47" s="270">
        <f t="shared" si="3"/>
        <v>0.91826950516523032</v>
      </c>
      <c r="K47" s="25"/>
      <c r="M47" s="1"/>
    </row>
    <row r="48" spans="1:13" ht="25" customHeight="1">
      <c r="A48" s="5"/>
      <c r="B48" s="24"/>
      <c r="C48" s="59">
        <v>9</v>
      </c>
      <c r="D48" s="272"/>
      <c r="E48" s="272"/>
      <c r="F48" s="262"/>
      <c r="G48" s="264"/>
      <c r="H48" s="267"/>
      <c r="I48" s="269"/>
      <c r="J48" s="271"/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37</v>
      </c>
      <c r="E49" s="60">
        <f t="shared" si="5"/>
        <v>8</v>
      </c>
      <c r="F49" s="51">
        <f t="shared" si="4"/>
        <v>7</v>
      </c>
      <c r="G49" s="52">
        <f>IF(D49=D48,"",_xlfn.IFNA(VLOOKUP(D49,'인원 입력 기능'!$V$5:$Y$55,4,FALSE),0))</f>
        <v>389</v>
      </c>
      <c r="H49" s="53">
        <f t="shared" si="2"/>
        <v>2.2201929113635065E-2</v>
      </c>
      <c r="I49" s="57">
        <f>SUM($G$7:G49)</f>
        <v>16478</v>
      </c>
      <c r="J49" s="55">
        <f t="shared" si="3"/>
        <v>0.94047143427886537</v>
      </c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36</v>
      </c>
      <c r="E50" s="60">
        <f t="shared" si="5"/>
        <v>8</v>
      </c>
      <c r="F50" s="51">
        <f t="shared" si="4"/>
        <v>5</v>
      </c>
      <c r="G50" s="52">
        <f>IF(D50=D49,"",_xlfn.IFNA(VLOOKUP(D50,'인원 입력 기능'!$V$5:$Y$55,4,FALSE),0))</f>
        <v>321</v>
      </c>
      <c r="H50" s="53">
        <f t="shared" si="2"/>
        <v>1.8320872096341534E-2</v>
      </c>
      <c r="I50" s="57">
        <f>SUM($G$7:G50)</f>
        <v>16799</v>
      </c>
      <c r="J50" s="55">
        <f t="shared" si="3"/>
        <v>0.95879230637520685</v>
      </c>
      <c r="K50" s="25"/>
      <c r="M50" s="1"/>
    </row>
    <row r="51" spans="1:13" ht="25" customHeight="1">
      <c r="A51" s="5"/>
      <c r="B51" s="24"/>
      <c r="C51" s="58">
        <v>6</v>
      </c>
      <c r="D51" s="273">
        <f t="shared" si="1"/>
        <v>35</v>
      </c>
      <c r="E51" s="273">
        <f t="shared" si="5"/>
        <v>8</v>
      </c>
      <c r="F51" s="263">
        <f t="shared" si="4"/>
        <v>3</v>
      </c>
      <c r="G51" s="265">
        <f>IF(D51=D50,"",_xlfn.IFNA(VLOOKUP(D51,'인원 입력 기능'!$V$5:$Y$55,4,FALSE),0))</f>
        <v>417</v>
      </c>
      <c r="H51" s="266">
        <f t="shared" si="2"/>
        <v>2.3800011414873579E-2</v>
      </c>
      <c r="I51" s="268">
        <f>SUM($G$7:G51)</f>
        <v>17216</v>
      </c>
      <c r="J51" s="270">
        <f t="shared" si="3"/>
        <v>0.98259231779008049</v>
      </c>
      <c r="K51" s="25"/>
      <c r="M51" s="1"/>
    </row>
    <row r="52" spans="1:13" ht="25" customHeight="1">
      <c r="A52" s="5"/>
      <c r="B52" s="24"/>
      <c r="C52" s="59">
        <v>5</v>
      </c>
      <c r="D52" s="272"/>
      <c r="E52" s="272"/>
      <c r="F52" s="262"/>
      <c r="G52" s="264"/>
      <c r="H52" s="267"/>
      <c r="I52" s="269"/>
      <c r="J52" s="271"/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34</v>
      </c>
      <c r="E53" s="50">
        <f t="shared" si="5"/>
        <v>9</v>
      </c>
      <c r="F53" s="51">
        <f t="shared" si="4"/>
        <v>1</v>
      </c>
      <c r="G53" s="52">
        <f>IF(D53=D52,"",_xlfn.IFNA(VLOOKUP(D53,'인원 입력 기능'!$V$5:$Y$55,4,FALSE),0))</f>
        <v>106</v>
      </c>
      <c r="H53" s="53">
        <f t="shared" si="2"/>
        <v>6.0498829975458024E-3</v>
      </c>
      <c r="I53" s="57">
        <f>SUM($G$7:G53)</f>
        <v>17322</v>
      </c>
      <c r="J53" s="55">
        <f t="shared" si="3"/>
        <v>0.98864220078762632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33</v>
      </c>
      <c r="E54" s="50">
        <f t="shared" si="5"/>
        <v>9</v>
      </c>
      <c r="F54" s="51">
        <f t="shared" si="4"/>
        <v>1</v>
      </c>
      <c r="G54" s="52">
        <f>IF(D54=D53,"",_xlfn.IFNA(VLOOKUP(D54,'인원 입력 기능'!$V$5:$Y$55,4,FALSE),0))</f>
        <v>88</v>
      </c>
      <c r="H54" s="53">
        <f t="shared" si="2"/>
        <v>5.0225443753210437E-3</v>
      </c>
      <c r="I54" s="57">
        <f>SUM($G$7:G54)</f>
        <v>17410</v>
      </c>
      <c r="J54" s="55">
        <f t="shared" si="3"/>
        <v>0.99366474516294734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32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기능'!$V$5:$Y$55,4,FALSE),0))</f>
        <v>78</v>
      </c>
      <c r="H55" s="53">
        <f t="shared" si="2"/>
        <v>4.4518006963072884E-3</v>
      </c>
      <c r="I55" s="57">
        <f>SUM($G$7:G55)</f>
        <v>17488</v>
      </c>
      <c r="J55" s="55">
        <f t="shared" si="3"/>
        <v>0.99811654585925458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31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기능'!$V$5:$Y$55,4,FALSE),0)</f>
        <v>33</v>
      </c>
      <c r="H57" s="69">
        <f>G57/J3</f>
        <v>1.8834541407453912E-3</v>
      </c>
      <c r="I57" s="70">
        <f>SUM($G$7:G57)</f>
        <v>17521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9">
    <mergeCell ref="I51:I52"/>
    <mergeCell ref="J51:J52"/>
    <mergeCell ref="D51:D52"/>
    <mergeCell ref="E51:E52"/>
    <mergeCell ref="F51:F52"/>
    <mergeCell ref="G51:G52"/>
    <mergeCell ref="H51:H52"/>
    <mergeCell ref="I44:I45"/>
    <mergeCell ref="J44:J45"/>
    <mergeCell ref="D47:D48"/>
    <mergeCell ref="E47:E48"/>
    <mergeCell ref="F47:F48"/>
    <mergeCell ref="G47:G48"/>
    <mergeCell ref="H47:H48"/>
    <mergeCell ref="I47:I48"/>
    <mergeCell ref="J47:J48"/>
    <mergeCell ref="D44:D45"/>
    <mergeCell ref="E44:E45"/>
    <mergeCell ref="F44:F45"/>
    <mergeCell ref="G44:G45"/>
    <mergeCell ref="H44:H45"/>
    <mergeCell ref="I36:I37"/>
    <mergeCell ref="J36:J37"/>
    <mergeCell ref="D40:D41"/>
    <mergeCell ref="E40:E41"/>
    <mergeCell ref="F40:F41"/>
    <mergeCell ref="G40:G41"/>
    <mergeCell ref="H40:H41"/>
    <mergeCell ref="I40:I41"/>
    <mergeCell ref="J40:J41"/>
    <mergeCell ref="D36:D37"/>
    <mergeCell ref="E36:E37"/>
    <mergeCell ref="F36:F37"/>
    <mergeCell ref="G36:G37"/>
    <mergeCell ref="H36:H37"/>
    <mergeCell ref="I29:I30"/>
    <mergeCell ref="J29:J30"/>
    <mergeCell ref="D33:D34"/>
    <mergeCell ref="E33:E34"/>
    <mergeCell ref="F33:F34"/>
    <mergeCell ref="G33:G34"/>
    <mergeCell ref="H33:H34"/>
    <mergeCell ref="I33:I34"/>
    <mergeCell ref="J33:J34"/>
    <mergeCell ref="D29:D30"/>
    <mergeCell ref="E29:E30"/>
    <mergeCell ref="F29:F30"/>
    <mergeCell ref="G29:G30"/>
    <mergeCell ref="H29:H30"/>
    <mergeCell ref="I22:I23"/>
    <mergeCell ref="J22:J23"/>
    <mergeCell ref="D25:D26"/>
    <mergeCell ref="E25:E26"/>
    <mergeCell ref="F25:F26"/>
    <mergeCell ref="G25:G26"/>
    <mergeCell ref="H25:H26"/>
    <mergeCell ref="I25:I26"/>
    <mergeCell ref="J25:J26"/>
    <mergeCell ref="D22:D23"/>
    <mergeCell ref="E22:E23"/>
    <mergeCell ref="F22:F23"/>
    <mergeCell ref="G22:G23"/>
    <mergeCell ref="H22:H23"/>
    <mergeCell ref="H14:H15"/>
    <mergeCell ref="I14:I15"/>
    <mergeCell ref="J14:J15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56:J56"/>
    <mergeCell ref="D8:J8"/>
    <mergeCell ref="G5:J5"/>
    <mergeCell ref="D11:D12"/>
    <mergeCell ref="E11:E12"/>
    <mergeCell ref="F11:F12"/>
    <mergeCell ref="G11:G12"/>
    <mergeCell ref="H11:H12"/>
    <mergeCell ref="I11:I12"/>
    <mergeCell ref="J11:J12"/>
    <mergeCell ref="D14:D15"/>
    <mergeCell ref="E14:E15"/>
    <mergeCell ref="F14:F15"/>
    <mergeCell ref="G14:G15"/>
  </mergeCells>
  <phoneticPr fontId="1" type="noConversion"/>
  <conditionalFormatting sqref="D7:J7 D57:J57 D9:J11 D13:J14 D16:J18 D20:J22 D24:J25 D27:J29 D31:J33 D35:J36 D38:J40 D42:J44 D46:J47 D49:J51 D53:J55">
    <cfRule type="expression" dxfId="132" priority="7">
      <formula>OR($D7=$P$7:$P$14)</formula>
    </cfRule>
  </conditionalFormatting>
  <conditionalFormatting sqref="C7:C57">
    <cfRule type="expression" dxfId="131" priority="6">
      <formula>OR(AND($D7=0,OR($D6=$P$7:$P$14)),AND($D8&gt;0,OR($D7=$P$7:$P$14)))</formula>
    </cfRule>
  </conditionalFormatting>
  <conditionalFormatting sqref="D7 D57 D9:D11 D13:D14 D16:D18 D20:D22 D24:D25 D27:D29 D31:D33 D35:D36 D38:D40 D42:D44 D46:D47 D49:D51 D53:D55">
    <cfRule type="expression" dxfId="130" priority="5">
      <formula>$D7=$D8</formula>
    </cfRule>
  </conditionalFormatting>
  <conditionalFormatting sqref="D56">
    <cfRule type="expression" dxfId="129" priority="4">
      <formula>OR($D56=$P$7:$P$14)</formula>
    </cfRule>
  </conditionalFormatting>
  <conditionalFormatting sqref="D56">
    <cfRule type="expression" dxfId="128" priority="3">
      <formula>$D56=$D57</formula>
    </cfRule>
  </conditionalFormatting>
  <conditionalFormatting sqref="D8">
    <cfRule type="expression" dxfId="127" priority="2">
      <formula>OR($D8=$P$7:$P$14)</formula>
    </cfRule>
  </conditionalFormatting>
  <conditionalFormatting sqref="D8">
    <cfRule type="expression" dxfId="126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3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기능'!D9</f>
        <v>25.87</v>
      </c>
      <c r="I3" s="109" t="s">
        <v>54</v>
      </c>
      <c r="J3" s="110">
        <f>'통계 및 응시자 수 입력 기능'!C9</f>
        <v>15457</v>
      </c>
      <c r="K3" s="25"/>
    </row>
    <row r="4" spans="1:16" ht="25" customHeight="1" thickBot="1">
      <c r="A4" s="5"/>
      <c r="B4" s="24"/>
      <c r="C4" s="42" t="s">
        <v>55</v>
      </c>
      <c r="D4" s="242" t="s">
        <v>73</v>
      </c>
      <c r="E4" s="243"/>
      <c r="F4" s="244"/>
      <c r="G4" s="43" t="s">
        <v>57</v>
      </c>
      <c r="H4" s="108">
        <f>'통계 및 응시자 수 입력 기능'!E9</f>
        <v>13.13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68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기능'!$AA$5:$AD$55,4,FALSE),0)</f>
        <v>349</v>
      </c>
      <c r="H7" s="53">
        <f>G7/J3</f>
        <v>2.2578766901727373E-2</v>
      </c>
      <c r="I7" s="54">
        <f>G7</f>
        <v>349</v>
      </c>
      <c r="J7" s="55">
        <f>I7/J3</f>
        <v>2.2578766901727373E-2</v>
      </c>
      <c r="K7" s="25"/>
      <c r="M7" s="1"/>
      <c r="O7" s="1">
        <v>1</v>
      </c>
      <c r="P7" s="1">
        <f>'표준점수 등급컷 입력기능'!E16</f>
        <v>66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입력기능'!E17</f>
        <v>64</v>
      </c>
    </row>
    <row r="9" spans="1:16" ht="25" customHeight="1">
      <c r="A9" s="5"/>
      <c r="B9" s="24"/>
      <c r="C9" s="49">
        <v>48</v>
      </c>
      <c r="D9" s="50">
        <f>ROUND(10*(C9-$H$3)/$H$4+50,0)</f>
        <v>67</v>
      </c>
      <c r="E9" s="50">
        <f t="shared" si="0"/>
        <v>1</v>
      </c>
      <c r="F9" s="51">
        <f>IF(I8=0,ROUND(100*(1-(I7+I9)/2/$J$3),0),ROUND(100*(1-(I8+I9)/2/$J$3),0))</f>
        <v>97</v>
      </c>
      <c r="G9" s="52">
        <f>_xlfn.IFNA(VLOOKUP(D9,'인원 입력 기능'!$AA$5:$AD$55,4,FALSE),0)</f>
        <v>152</v>
      </c>
      <c r="H9" s="53">
        <f>G9/$J$3</f>
        <v>9.8337322895775368E-3</v>
      </c>
      <c r="I9" s="57">
        <f>SUM($G$7:G9)</f>
        <v>501</v>
      </c>
      <c r="J9" s="55">
        <f>I9/$J$3</f>
        <v>3.2412499191304914E-2</v>
      </c>
      <c r="K9" s="25"/>
      <c r="M9" s="1"/>
      <c r="O9" s="1">
        <v>3</v>
      </c>
      <c r="P9" s="1">
        <f>'표준점수 등급컷 입력기능'!E18</f>
        <v>60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66</v>
      </c>
      <c r="E10" s="50">
        <f t="shared" si="0"/>
        <v>1</v>
      </c>
      <c r="F10" s="51">
        <f>IF(I9=0,ROUND(100*(1-(I8+I10)/2/$J$3),0),ROUND(100*(1-(I9+I10)/2/$J$3),0))</f>
        <v>95</v>
      </c>
      <c r="G10" s="52">
        <f>IF(D10=D9,"",_xlfn.IFNA(VLOOKUP(D10,'인원 입력 기능'!$AA$5:$AD$55,4,FALSE),0))</f>
        <v>541</v>
      </c>
      <c r="H10" s="53">
        <f t="shared" ref="H10:H55" si="2">G10/$J$3</f>
        <v>3.500032347803584E-2</v>
      </c>
      <c r="I10" s="57">
        <f>SUM($G$7:G10)</f>
        <v>1042</v>
      </c>
      <c r="J10" s="55">
        <f t="shared" ref="J10:J55" si="3">I10/$J$3</f>
        <v>6.7412822669340747E-2</v>
      </c>
      <c r="K10" s="25"/>
      <c r="M10" s="1"/>
      <c r="O10" s="1">
        <v>4</v>
      </c>
      <c r="P10" s="1">
        <f>'표준점수 등급컷 입력기능'!E19</f>
        <v>53</v>
      </c>
    </row>
    <row r="11" spans="1:16" ht="25" customHeight="1">
      <c r="A11" s="5"/>
      <c r="B11" s="24"/>
      <c r="C11" s="49">
        <v>46</v>
      </c>
      <c r="D11" s="261">
        <f t="shared" si="1"/>
        <v>65</v>
      </c>
      <c r="E11" s="261">
        <f t="shared" si="0"/>
        <v>2</v>
      </c>
      <c r="F11" s="263">
        <f t="shared" ref="F11:F55" si="4">IF(I10=0,ROUND(100*(1-(I9+I11)/2/$J$3),0),ROUND(100*(1-(I10+I11)/2/$J$3),0))</f>
        <v>92</v>
      </c>
      <c r="G11" s="265">
        <f>IF(D11=D10,"",_xlfn.IFNA(VLOOKUP(D11,'인원 입력 기능'!$AA$5:$AD$55,4,FALSE),0))</f>
        <v>471</v>
      </c>
      <c r="H11" s="266">
        <f t="shared" si="2"/>
        <v>3.047163097625671E-2</v>
      </c>
      <c r="I11" s="268">
        <f>SUM($G$7:G11)</f>
        <v>1513</v>
      </c>
      <c r="J11" s="270">
        <f t="shared" si="3"/>
        <v>9.7884453645597461E-2</v>
      </c>
      <c r="K11" s="25"/>
      <c r="M11" s="1"/>
      <c r="O11" s="1">
        <v>5</v>
      </c>
      <c r="P11" s="1">
        <f>'표준점수 등급컷 입력기능'!E20</f>
        <v>45</v>
      </c>
    </row>
    <row r="12" spans="1:16" ht="25" customHeight="1">
      <c r="A12" s="5"/>
      <c r="B12" s="24"/>
      <c r="C12" s="56">
        <v>45</v>
      </c>
      <c r="D12" s="260"/>
      <c r="E12" s="260"/>
      <c r="F12" s="262"/>
      <c r="G12" s="264"/>
      <c r="H12" s="267"/>
      <c r="I12" s="269"/>
      <c r="J12" s="271"/>
      <c r="K12" s="25"/>
      <c r="M12" s="1"/>
      <c r="O12" s="1">
        <v>6</v>
      </c>
      <c r="P12" s="1">
        <f>'표준점수 등급컷 입력기능'!E21</f>
        <v>41</v>
      </c>
    </row>
    <row r="13" spans="1:16" ht="25" customHeight="1">
      <c r="A13" s="5"/>
      <c r="B13" s="24"/>
      <c r="C13" s="49">
        <v>44</v>
      </c>
      <c r="D13" s="50">
        <f t="shared" si="1"/>
        <v>64</v>
      </c>
      <c r="E13" s="50">
        <f t="shared" si="0"/>
        <v>2</v>
      </c>
      <c r="F13" s="51">
        <f t="shared" si="4"/>
        <v>89</v>
      </c>
      <c r="G13" s="52">
        <f>IF(D13=D12,"",_xlfn.IFNA(VLOOKUP(D13,'인원 입력 기능'!$AA$5:$AD$55,4,FALSE),0))</f>
        <v>421</v>
      </c>
      <c r="H13" s="53">
        <f t="shared" si="2"/>
        <v>2.7236850617843048E-2</v>
      </c>
      <c r="I13" s="57">
        <f>SUM($G$7:G13)</f>
        <v>1934</v>
      </c>
      <c r="J13" s="55">
        <f t="shared" si="3"/>
        <v>0.12512130426344051</v>
      </c>
      <c r="K13" s="25"/>
      <c r="M13" s="1"/>
      <c r="O13" s="1">
        <v>7</v>
      </c>
      <c r="P13" s="1">
        <f>'표준점수 등급컷 입력기능'!E22</f>
        <v>38</v>
      </c>
    </row>
    <row r="14" spans="1:16" ht="25" customHeight="1">
      <c r="A14" s="5"/>
      <c r="B14" s="24"/>
      <c r="C14" s="56">
        <v>43</v>
      </c>
      <c r="D14" s="50">
        <f t="shared" si="1"/>
        <v>63</v>
      </c>
      <c r="E14" s="50">
        <f t="shared" si="0"/>
        <v>3</v>
      </c>
      <c r="F14" s="51">
        <f t="shared" si="4"/>
        <v>87</v>
      </c>
      <c r="G14" s="52">
        <f>IF(D14=D13,"",_xlfn.IFNA(VLOOKUP(D14,'인원 입력 기능'!$AA$5:$AD$55,4,FALSE),0))</f>
        <v>170</v>
      </c>
      <c r="H14" s="53">
        <f t="shared" si="2"/>
        <v>1.0998253218606457E-2</v>
      </c>
      <c r="I14" s="57">
        <f>SUM($G$7:G14)</f>
        <v>2104</v>
      </c>
      <c r="J14" s="55">
        <f t="shared" si="3"/>
        <v>0.13611955748204696</v>
      </c>
      <c r="K14" s="25"/>
      <c r="M14" s="1"/>
      <c r="O14" s="1">
        <v>8</v>
      </c>
      <c r="P14" s="1">
        <f>'표준점수 등급컷 입력기능'!E23</f>
        <v>36</v>
      </c>
    </row>
    <row r="15" spans="1:16" ht="25" customHeight="1">
      <c r="A15" s="5"/>
      <c r="B15" s="24"/>
      <c r="C15" s="49">
        <v>42</v>
      </c>
      <c r="D15" s="261">
        <f t="shared" si="1"/>
        <v>62</v>
      </c>
      <c r="E15" s="261">
        <f t="shared" si="0"/>
        <v>3</v>
      </c>
      <c r="F15" s="263">
        <f t="shared" si="4"/>
        <v>84</v>
      </c>
      <c r="G15" s="265">
        <f>IF(D15=D14,"",_xlfn.IFNA(VLOOKUP(D15,'인원 입력 기능'!$AA$5:$AD$55,4,FALSE),0))</f>
        <v>798</v>
      </c>
      <c r="H15" s="266">
        <f t="shared" si="2"/>
        <v>5.1627094520282073E-2</v>
      </c>
      <c r="I15" s="268">
        <f>SUM($G$7:G15)</f>
        <v>2902</v>
      </c>
      <c r="J15" s="270">
        <f t="shared" si="3"/>
        <v>0.18774665200232904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0"/>
      <c r="E16" s="260"/>
      <c r="F16" s="262"/>
      <c r="G16" s="264"/>
      <c r="H16" s="267"/>
      <c r="I16" s="269"/>
      <c r="J16" s="271"/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61</v>
      </c>
      <c r="E17" s="50">
        <f t="shared" si="0"/>
        <v>3</v>
      </c>
      <c r="F17" s="51">
        <f t="shared" si="4"/>
        <v>80</v>
      </c>
      <c r="G17" s="52">
        <f>IF(D17=D16,"",_xlfn.IFNA(VLOOKUP(D17,'인원 입력 기능'!$AA$5:$AD$55,4,FALSE),0))</f>
        <v>326</v>
      </c>
      <c r="H17" s="53">
        <f t="shared" si="2"/>
        <v>2.1090767936857088E-2</v>
      </c>
      <c r="I17" s="57">
        <f>SUM($G$7:G17)</f>
        <v>3228</v>
      </c>
      <c r="J17" s="55">
        <f t="shared" si="3"/>
        <v>0.20883741993918614</v>
      </c>
      <c r="K17" s="25"/>
      <c r="M17" s="1"/>
      <c r="P17" s="1">
        <f>H3*H4*J3*P7*IFERROR(IF(J57=1, 1, 0), 0)</f>
        <v>346521589.04220003</v>
      </c>
    </row>
    <row r="18" spans="1:16" ht="25" customHeight="1">
      <c r="A18" s="5"/>
      <c r="B18" s="24"/>
      <c r="C18" s="56">
        <v>39</v>
      </c>
      <c r="D18" s="50">
        <f t="shared" si="1"/>
        <v>60</v>
      </c>
      <c r="E18" s="50">
        <f t="shared" si="0"/>
        <v>3</v>
      </c>
      <c r="F18" s="51">
        <f t="shared" si="4"/>
        <v>78</v>
      </c>
      <c r="G18" s="52">
        <f>IF(D18=D17,"",_xlfn.IFNA(VLOOKUP(D18,'인원 입력 기능'!$AA$5:$AD$55,4,FALSE),0))</f>
        <v>422</v>
      </c>
      <c r="H18" s="53">
        <f t="shared" si="2"/>
        <v>2.7301546225011322E-2</v>
      </c>
      <c r="I18" s="57">
        <f>SUM($G$7:G18)</f>
        <v>3650</v>
      </c>
      <c r="J18" s="55">
        <f t="shared" si="3"/>
        <v>0.23613896616419744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59</v>
      </c>
      <c r="E19" s="50">
        <f t="shared" si="0"/>
        <v>4</v>
      </c>
      <c r="F19" s="51">
        <f t="shared" si="4"/>
        <v>76</v>
      </c>
      <c r="G19" s="52">
        <f>IF(D19=D18,"",_xlfn.IFNA(VLOOKUP(D19,'인원 입력 기능'!$AA$5:$AD$55,4,FALSE),0))</f>
        <v>264</v>
      </c>
      <c r="H19" s="53">
        <f t="shared" si="2"/>
        <v>1.7079640292424144E-2</v>
      </c>
      <c r="I19" s="57">
        <f>SUM($G$7:G19)</f>
        <v>3914</v>
      </c>
      <c r="J19" s="55">
        <f t="shared" si="3"/>
        <v>0.25321860645662159</v>
      </c>
      <c r="K19" s="25"/>
      <c r="M19" s="1"/>
    </row>
    <row r="20" spans="1:16" ht="25" customHeight="1">
      <c r="A20" s="5"/>
      <c r="B20" s="24"/>
      <c r="C20" s="56">
        <v>37</v>
      </c>
      <c r="D20" s="261">
        <f t="shared" si="1"/>
        <v>58</v>
      </c>
      <c r="E20" s="261">
        <f t="shared" si="0"/>
        <v>4</v>
      </c>
      <c r="F20" s="263">
        <f t="shared" si="4"/>
        <v>73</v>
      </c>
      <c r="G20" s="265">
        <f>IF(D20=D19,"",_xlfn.IFNA(VLOOKUP(D20,'인원 입력 기능'!$AA$5:$AD$55,4,FALSE),0))</f>
        <v>666</v>
      </c>
      <c r="H20" s="266">
        <f t="shared" si="2"/>
        <v>4.3087274374069999E-2</v>
      </c>
      <c r="I20" s="268">
        <f>SUM($G$7:G20)</f>
        <v>4580</v>
      </c>
      <c r="J20" s="270">
        <f t="shared" si="3"/>
        <v>0.29630588083069159</v>
      </c>
      <c r="K20" s="25"/>
      <c r="M20" s="1"/>
    </row>
    <row r="21" spans="1:16" ht="25" customHeight="1">
      <c r="A21" s="5"/>
      <c r="B21" s="24"/>
      <c r="C21" s="58">
        <v>36</v>
      </c>
      <c r="D21" s="260"/>
      <c r="E21" s="260"/>
      <c r="F21" s="262"/>
      <c r="G21" s="264"/>
      <c r="H21" s="267"/>
      <c r="I21" s="269"/>
      <c r="J21" s="271"/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57</v>
      </c>
      <c r="E22" s="60">
        <f t="shared" si="0"/>
        <v>4</v>
      </c>
      <c r="F22" s="51">
        <f t="shared" si="4"/>
        <v>69</v>
      </c>
      <c r="G22" s="52">
        <f>IF(D22=D21,"",_xlfn.IFNA(VLOOKUP(D22,'인원 입력 기능'!$AA$5:$AD$55,4,FALSE),0))</f>
        <v>291</v>
      </c>
      <c r="H22" s="53">
        <f t="shared" si="2"/>
        <v>1.8826421685967522E-2</v>
      </c>
      <c r="I22" s="57">
        <f>SUM($G$7:G22)</f>
        <v>4871</v>
      </c>
      <c r="J22" s="55">
        <f t="shared" si="3"/>
        <v>0.31513230251665914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56</v>
      </c>
      <c r="E23" s="60">
        <f t="shared" si="0"/>
        <v>4</v>
      </c>
      <c r="F23" s="51">
        <f t="shared" si="4"/>
        <v>67</v>
      </c>
      <c r="G23" s="52">
        <f>IF(D23=D22,"",_xlfn.IFNA(VLOOKUP(D23,'인원 입력 기능'!$AA$5:$AD$55,4,FALSE),0))</f>
        <v>346</v>
      </c>
      <c r="H23" s="53">
        <f t="shared" si="2"/>
        <v>2.2384680080222551E-2</v>
      </c>
      <c r="I23" s="57">
        <f>SUM($G$7:G23)</f>
        <v>5217</v>
      </c>
      <c r="J23" s="55">
        <f t="shared" si="3"/>
        <v>0.33751698259688168</v>
      </c>
      <c r="K23" s="25"/>
      <c r="M23" s="1"/>
    </row>
    <row r="24" spans="1:16" ht="25" customHeight="1">
      <c r="A24" s="5"/>
      <c r="B24" s="24"/>
      <c r="C24" s="59">
        <v>33</v>
      </c>
      <c r="D24" s="273">
        <f t="shared" si="1"/>
        <v>55</v>
      </c>
      <c r="E24" s="273">
        <f t="shared" si="0"/>
        <v>4</v>
      </c>
      <c r="F24" s="263">
        <f t="shared" si="4"/>
        <v>64</v>
      </c>
      <c r="G24" s="265">
        <f>IF(D24=D23,"",_xlfn.IFNA(VLOOKUP(D24,'인원 입력 기능'!$AA$5:$AD$55,4,FALSE),0))</f>
        <v>615</v>
      </c>
      <c r="H24" s="266">
        <f t="shared" si="2"/>
        <v>3.9787798408488062E-2</v>
      </c>
      <c r="I24" s="268">
        <f>SUM($G$7:G24)</f>
        <v>5832</v>
      </c>
      <c r="J24" s="270">
        <f t="shared" si="3"/>
        <v>0.37730478100536974</v>
      </c>
      <c r="K24" s="25"/>
      <c r="M24" s="1"/>
    </row>
    <row r="25" spans="1:16" ht="25" customHeight="1">
      <c r="A25" s="5"/>
      <c r="B25" s="24"/>
      <c r="C25" s="58">
        <v>32</v>
      </c>
      <c r="D25" s="272"/>
      <c r="E25" s="272"/>
      <c r="F25" s="262"/>
      <c r="G25" s="264"/>
      <c r="H25" s="267"/>
      <c r="I25" s="269"/>
      <c r="J25" s="271"/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54</v>
      </c>
      <c r="E26" s="60">
        <f t="shared" si="0"/>
        <v>4</v>
      </c>
      <c r="F26" s="51">
        <f t="shared" si="4"/>
        <v>61</v>
      </c>
      <c r="G26" s="52">
        <f>IF(D26=D25,"",_xlfn.IFNA(VLOOKUP(D26,'인원 입력 기능'!$AA$5:$AD$55,4,FALSE),0))</f>
        <v>250</v>
      </c>
      <c r="H26" s="53">
        <f t="shared" si="2"/>
        <v>1.6173901792068318E-2</v>
      </c>
      <c r="I26" s="57">
        <f>SUM($G$7:G26)</f>
        <v>6082</v>
      </c>
      <c r="J26" s="55">
        <f t="shared" si="3"/>
        <v>0.39347868279743803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53</v>
      </c>
      <c r="E27" s="60">
        <f t="shared" si="0"/>
        <v>4</v>
      </c>
      <c r="F27" s="51">
        <f t="shared" si="4"/>
        <v>60</v>
      </c>
      <c r="G27" s="52">
        <f>IF(D27=D26,"",_xlfn.IFNA(VLOOKUP(D27,'인원 입력 기능'!$AA$5:$AD$55,4,FALSE),0))</f>
        <v>285</v>
      </c>
      <c r="H27" s="53">
        <f t="shared" si="2"/>
        <v>1.8438248042957885E-2</v>
      </c>
      <c r="I27" s="57">
        <f>SUM($G$7:G27)</f>
        <v>6367</v>
      </c>
      <c r="J27" s="55">
        <f t="shared" si="3"/>
        <v>0.41191693084039593</v>
      </c>
      <c r="K27" s="25"/>
      <c r="M27" s="1"/>
    </row>
    <row r="28" spans="1:16" ht="25" customHeight="1">
      <c r="A28" s="5"/>
      <c r="B28" s="24"/>
      <c r="C28" s="59">
        <v>29</v>
      </c>
      <c r="D28" s="273">
        <f t="shared" si="1"/>
        <v>52</v>
      </c>
      <c r="E28" s="273">
        <f t="shared" si="0"/>
        <v>5</v>
      </c>
      <c r="F28" s="263">
        <f t="shared" si="4"/>
        <v>57</v>
      </c>
      <c r="G28" s="265">
        <f>IF(D28=D27,"",_xlfn.IFNA(VLOOKUP(D28,'인원 입력 기능'!$AA$5:$AD$55,4,FALSE),0))</f>
        <v>505</v>
      </c>
      <c r="H28" s="266">
        <f t="shared" si="2"/>
        <v>3.2671281619978003E-2</v>
      </c>
      <c r="I28" s="268">
        <f>SUM($G$7:G28)</f>
        <v>6872</v>
      </c>
      <c r="J28" s="270">
        <f t="shared" si="3"/>
        <v>0.44458821246037394</v>
      </c>
      <c r="K28" s="25"/>
      <c r="M28" s="1"/>
    </row>
    <row r="29" spans="1:16" ht="25" customHeight="1">
      <c r="A29" s="5"/>
      <c r="B29" s="24"/>
      <c r="C29" s="58">
        <v>28</v>
      </c>
      <c r="D29" s="272"/>
      <c r="E29" s="272"/>
      <c r="F29" s="262"/>
      <c r="G29" s="264"/>
      <c r="H29" s="267"/>
      <c r="I29" s="269"/>
      <c r="J29" s="271"/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51</v>
      </c>
      <c r="E30" s="60">
        <f t="shared" si="0"/>
        <v>5</v>
      </c>
      <c r="F30" s="51">
        <f t="shared" si="4"/>
        <v>55</v>
      </c>
      <c r="G30" s="52">
        <f>IF(D30=D29,"",_xlfn.IFNA(VLOOKUP(D30,'인원 입력 기능'!$AA$5:$AD$55,4,FALSE),0))</f>
        <v>269</v>
      </c>
      <c r="H30" s="53">
        <f t="shared" si="2"/>
        <v>1.7403118328265511E-2</v>
      </c>
      <c r="I30" s="57">
        <f>SUM($G$7:G30)</f>
        <v>7141</v>
      </c>
      <c r="J30" s="55">
        <f t="shared" si="3"/>
        <v>0.46199133078863946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50</v>
      </c>
      <c r="E31" s="60">
        <f t="shared" si="0"/>
        <v>5</v>
      </c>
      <c r="F31" s="51">
        <f t="shared" si="4"/>
        <v>53</v>
      </c>
      <c r="G31" s="52">
        <f>IF(D31=D30,"",_xlfn.IFNA(VLOOKUP(D31,'인원 입력 기능'!$AA$5:$AD$55,4,FALSE),0))</f>
        <v>251</v>
      </c>
      <c r="H31" s="53">
        <f t="shared" si="2"/>
        <v>1.6238597399236592E-2</v>
      </c>
      <c r="I31" s="57">
        <f>SUM($G$7:G31)</f>
        <v>7392</v>
      </c>
      <c r="J31" s="55">
        <f t="shared" si="3"/>
        <v>0.47822992818787602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49</v>
      </c>
      <c r="E32" s="273">
        <f t="shared" si="0"/>
        <v>5</v>
      </c>
      <c r="F32" s="263">
        <f t="shared" si="4"/>
        <v>50</v>
      </c>
      <c r="G32" s="265">
        <f>IF(D32=D31,"",_xlfn.IFNA(VLOOKUP(D32,'인원 입력 기능'!$AA$5:$AD$55,4,FALSE),0))</f>
        <v>558</v>
      </c>
      <c r="H32" s="266">
        <f t="shared" si="2"/>
        <v>3.6100148799896488E-2</v>
      </c>
      <c r="I32" s="268">
        <f>SUM($G$7:G32)</f>
        <v>7950</v>
      </c>
      <c r="J32" s="270">
        <f t="shared" si="3"/>
        <v>0.51433007698777256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48</v>
      </c>
      <c r="E34" s="60">
        <f t="shared" si="0"/>
        <v>5</v>
      </c>
      <c r="F34" s="51">
        <f t="shared" si="4"/>
        <v>48</v>
      </c>
      <c r="G34" s="52">
        <f>IF(D34=D33,"",_xlfn.IFNA(VLOOKUP(D34,'인원 입력 기능'!$AA$5:$AD$55,4,FALSE),0))</f>
        <v>306</v>
      </c>
      <c r="H34" s="53">
        <f t="shared" si="2"/>
        <v>1.9796855793491622E-2</v>
      </c>
      <c r="I34" s="57">
        <f>SUM($G$7:G34)</f>
        <v>8256</v>
      </c>
      <c r="J34" s="55">
        <f t="shared" si="3"/>
        <v>0.53412693278126411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47</v>
      </c>
      <c r="E35" s="60">
        <f t="shared" si="0"/>
        <v>5</v>
      </c>
      <c r="F35" s="51">
        <f t="shared" si="4"/>
        <v>46</v>
      </c>
      <c r="G35" s="52">
        <f>IF(D35=D34,"",_xlfn.IFNA(VLOOKUP(D35,'인원 입력 기능'!$AA$5:$AD$55,4,FALSE),0))</f>
        <v>309</v>
      </c>
      <c r="H35" s="53">
        <f t="shared" si="2"/>
        <v>1.999094261499644E-2</v>
      </c>
      <c r="I35" s="57">
        <f>SUM($G$7:G35)</f>
        <v>8565</v>
      </c>
      <c r="J35" s="55">
        <f t="shared" si="3"/>
        <v>0.55411787539626056</v>
      </c>
      <c r="K35" s="25"/>
      <c r="M35" s="1"/>
    </row>
    <row r="36" spans="1:13" ht="25" customHeight="1">
      <c r="A36" s="5"/>
      <c r="B36" s="24"/>
      <c r="C36" s="59">
        <v>21</v>
      </c>
      <c r="D36" s="273">
        <f t="shared" si="1"/>
        <v>46</v>
      </c>
      <c r="E36" s="273">
        <f t="shared" si="0"/>
        <v>5</v>
      </c>
      <c r="F36" s="263">
        <f t="shared" si="4"/>
        <v>43</v>
      </c>
      <c r="G36" s="265">
        <f>IF(D36=D35,"",_xlfn.IFNA(VLOOKUP(D36,'인원 입력 기능'!$AA$5:$AD$55,4,FALSE),0))</f>
        <v>643</v>
      </c>
      <c r="H36" s="266">
        <f t="shared" si="2"/>
        <v>4.1599275409199714E-2</v>
      </c>
      <c r="I36" s="268">
        <f>SUM($G$7:G36)</f>
        <v>9208</v>
      </c>
      <c r="J36" s="270">
        <f t="shared" si="3"/>
        <v>0.59571715080546028</v>
      </c>
      <c r="K36" s="25"/>
      <c r="M36" s="1"/>
    </row>
    <row r="37" spans="1:13" ht="25" customHeight="1">
      <c r="A37" s="5"/>
      <c r="B37" s="24"/>
      <c r="C37" s="58">
        <v>20</v>
      </c>
      <c r="D37" s="272"/>
      <c r="E37" s="272"/>
      <c r="F37" s="262"/>
      <c r="G37" s="264"/>
      <c r="H37" s="267"/>
      <c r="I37" s="269"/>
      <c r="J37" s="271"/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45</v>
      </c>
      <c r="E38" s="60">
        <f t="shared" si="0"/>
        <v>5</v>
      </c>
      <c r="F38" s="51">
        <f t="shared" si="4"/>
        <v>39</v>
      </c>
      <c r="G38" s="52">
        <f>IF(D38=D37,"",_xlfn.IFNA(VLOOKUP(D38,'인원 입력 기능'!$AA$5:$AD$55,4,FALSE),0))</f>
        <v>379</v>
      </c>
      <c r="H38" s="53">
        <f t="shared" si="2"/>
        <v>2.451963511677557E-2</v>
      </c>
      <c r="I38" s="57">
        <f>SUM($G$7:G38)</f>
        <v>9587</v>
      </c>
      <c r="J38" s="55">
        <f t="shared" si="3"/>
        <v>0.62023678592223586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44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37</v>
      </c>
      <c r="G39" s="52">
        <f>IF(D39=D38,"",_xlfn.IFNA(VLOOKUP(D39,'인원 입력 기능'!$AA$5:$AD$55,4,FALSE),0))</f>
        <v>380</v>
      </c>
      <c r="H39" s="53">
        <f t="shared" si="2"/>
        <v>2.4584330723943844E-2</v>
      </c>
      <c r="I39" s="57">
        <f>SUM($G$7:G39)</f>
        <v>9967</v>
      </c>
      <c r="J39" s="55">
        <f t="shared" si="3"/>
        <v>0.64482111664617969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43</v>
      </c>
      <c r="E40" s="60">
        <f t="shared" si="5"/>
        <v>6</v>
      </c>
      <c r="F40" s="51">
        <f t="shared" si="4"/>
        <v>34</v>
      </c>
      <c r="G40" s="52">
        <f>IF(D40=D39,"",_xlfn.IFNA(VLOOKUP(D40,'인원 입력 기능'!$AA$5:$AD$55,4,FALSE),0))</f>
        <v>469</v>
      </c>
      <c r="H40" s="53">
        <f t="shared" si="2"/>
        <v>3.0342239761920166E-2</v>
      </c>
      <c r="I40" s="57">
        <f>SUM($G$7:G40)</f>
        <v>10436</v>
      </c>
      <c r="J40" s="55">
        <f t="shared" si="3"/>
        <v>0.67516335640809988</v>
      </c>
      <c r="K40" s="25"/>
      <c r="M40" s="1"/>
    </row>
    <row r="41" spans="1:13" ht="25" customHeight="1">
      <c r="A41" s="5"/>
      <c r="B41" s="24"/>
      <c r="C41" s="58">
        <v>16</v>
      </c>
      <c r="D41" s="273">
        <f t="shared" si="1"/>
        <v>42</v>
      </c>
      <c r="E41" s="273">
        <f t="shared" si="5"/>
        <v>6</v>
      </c>
      <c r="F41" s="263">
        <f t="shared" si="4"/>
        <v>29</v>
      </c>
      <c r="G41" s="265">
        <f>IF(D41=D40,"",_xlfn.IFNA(VLOOKUP(D41,'인원 입력 기능'!$AA$5:$AD$55,4,FALSE),0))</f>
        <v>1019</v>
      </c>
      <c r="H41" s="266">
        <f t="shared" si="2"/>
        <v>6.5924823704470462E-2</v>
      </c>
      <c r="I41" s="268">
        <f>SUM($G$7:G41)</f>
        <v>11455</v>
      </c>
      <c r="J41" s="270">
        <f t="shared" si="3"/>
        <v>0.74108818011257038</v>
      </c>
      <c r="K41" s="25"/>
      <c r="M41" s="1"/>
    </row>
    <row r="42" spans="1:13" ht="25" customHeight="1">
      <c r="A42" s="5"/>
      <c r="B42" s="24"/>
      <c r="C42" s="59">
        <v>15</v>
      </c>
      <c r="D42" s="272"/>
      <c r="E42" s="272"/>
      <c r="F42" s="262"/>
      <c r="G42" s="264"/>
      <c r="H42" s="267"/>
      <c r="I42" s="269"/>
      <c r="J42" s="271"/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41</v>
      </c>
      <c r="E43" s="60">
        <f t="shared" si="5"/>
        <v>6</v>
      </c>
      <c r="F43" s="51">
        <f t="shared" si="4"/>
        <v>24</v>
      </c>
      <c r="G43" s="52">
        <f>IF(D43=D42,"",_xlfn.IFNA(VLOOKUP(D43,'인원 입력 기능'!$AA$5:$AD$55,4,FALSE),0))</f>
        <v>484</v>
      </c>
      <c r="H43" s="53">
        <f t="shared" si="2"/>
        <v>3.1312673869444266E-2</v>
      </c>
      <c r="I43" s="57">
        <f>SUM($G$7:G43)</f>
        <v>11939</v>
      </c>
      <c r="J43" s="55">
        <f t="shared" si="3"/>
        <v>0.77240085398201463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40</v>
      </c>
      <c r="E44" s="60">
        <f t="shared" si="5"/>
        <v>7</v>
      </c>
      <c r="F44" s="51">
        <f t="shared" si="4"/>
        <v>21</v>
      </c>
      <c r="G44" s="52">
        <f>IF(D44=D43,"",_xlfn.IFNA(VLOOKUP(D44,'인원 입력 기능'!$AA$5:$AD$55,4,FALSE),0))</f>
        <v>449</v>
      </c>
      <c r="H44" s="53">
        <f t="shared" si="2"/>
        <v>2.9048327618554699E-2</v>
      </c>
      <c r="I44" s="57">
        <f>SUM($G$7:G44)</f>
        <v>12388</v>
      </c>
      <c r="J44" s="55">
        <f t="shared" si="3"/>
        <v>0.80144918160056933</v>
      </c>
      <c r="K44" s="25"/>
      <c r="M44" s="1"/>
    </row>
    <row r="45" spans="1:13" ht="25" customHeight="1">
      <c r="A45" s="5"/>
      <c r="B45" s="24"/>
      <c r="C45" s="58">
        <v>12</v>
      </c>
      <c r="D45" s="273">
        <f t="shared" si="1"/>
        <v>39</v>
      </c>
      <c r="E45" s="273">
        <f t="shared" si="5"/>
        <v>7</v>
      </c>
      <c r="F45" s="263">
        <f t="shared" si="4"/>
        <v>16</v>
      </c>
      <c r="G45" s="265">
        <f>IF(D45=D44,"",_xlfn.IFNA(VLOOKUP(D45,'인원 입력 기능'!$AA$5:$AD$55,4,FALSE),0))</f>
        <v>1067</v>
      </c>
      <c r="H45" s="266">
        <f t="shared" si="2"/>
        <v>6.9030212848547587E-2</v>
      </c>
      <c r="I45" s="268">
        <f>SUM($G$7:G45)</f>
        <v>13455</v>
      </c>
      <c r="J45" s="270">
        <f t="shared" si="3"/>
        <v>0.87047939444911693</v>
      </c>
      <c r="K45" s="25"/>
      <c r="M45" s="1"/>
    </row>
    <row r="46" spans="1:13" ht="25" customHeight="1">
      <c r="A46" s="5"/>
      <c r="B46" s="24"/>
      <c r="C46" s="59">
        <v>11</v>
      </c>
      <c r="D46" s="272"/>
      <c r="E46" s="272"/>
      <c r="F46" s="262"/>
      <c r="G46" s="264"/>
      <c r="H46" s="267"/>
      <c r="I46" s="269"/>
      <c r="J46" s="271"/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38</v>
      </c>
      <c r="E47" s="60">
        <f t="shared" si="5"/>
        <v>7</v>
      </c>
      <c r="F47" s="51">
        <f t="shared" si="4"/>
        <v>11</v>
      </c>
      <c r="G47" s="52">
        <f>IF(D47=D46,"",_xlfn.IFNA(VLOOKUP(D47,'인원 입력 기능'!$AA$5:$AD$55,4,FALSE),0))</f>
        <v>565</v>
      </c>
      <c r="H47" s="53">
        <f t="shared" si="2"/>
        <v>3.6553018050074403E-2</v>
      </c>
      <c r="I47" s="57">
        <f>SUM($G$7:G47)</f>
        <v>14020</v>
      </c>
      <c r="J47" s="55">
        <f t="shared" si="3"/>
        <v>0.90703241249919131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37</v>
      </c>
      <c r="E48" s="60">
        <f t="shared" si="5"/>
        <v>8</v>
      </c>
      <c r="F48" s="51">
        <f t="shared" si="4"/>
        <v>8</v>
      </c>
      <c r="G48" s="52">
        <f>IF(D48=D47,"",_xlfn.IFNA(VLOOKUP(D48,'인원 입력 기능'!$AA$5:$AD$55,4,FALSE),0))</f>
        <v>288</v>
      </c>
      <c r="H48" s="53">
        <f t="shared" si="2"/>
        <v>1.8632334864462703E-2</v>
      </c>
      <c r="I48" s="57">
        <f>SUM($G$7:G48)</f>
        <v>14308</v>
      </c>
      <c r="J48" s="55">
        <f t="shared" si="3"/>
        <v>0.92566474736365401</v>
      </c>
      <c r="K48" s="25"/>
      <c r="M48" s="1"/>
    </row>
    <row r="49" spans="1:13" ht="25" customHeight="1">
      <c r="A49" s="5"/>
      <c r="B49" s="24"/>
      <c r="C49" s="58">
        <v>8</v>
      </c>
      <c r="D49" s="273">
        <f t="shared" si="1"/>
        <v>36</v>
      </c>
      <c r="E49" s="273">
        <f t="shared" si="5"/>
        <v>8</v>
      </c>
      <c r="F49" s="263">
        <f t="shared" si="4"/>
        <v>5</v>
      </c>
      <c r="G49" s="265">
        <f>IF(D49=D48,"",_xlfn.IFNA(VLOOKUP(D49,'인원 입력 기능'!$AA$5:$AD$55,4,FALSE),0))</f>
        <v>730</v>
      </c>
      <c r="H49" s="266">
        <f t="shared" si="2"/>
        <v>4.7227793232839488E-2</v>
      </c>
      <c r="I49" s="268">
        <f>SUM($G$7:G49)</f>
        <v>15038</v>
      </c>
      <c r="J49" s="270">
        <f t="shared" si="3"/>
        <v>0.97289254059649355</v>
      </c>
      <c r="K49" s="25"/>
      <c r="M49" s="1"/>
    </row>
    <row r="50" spans="1:13" ht="25" customHeight="1">
      <c r="A50" s="5"/>
      <c r="B50" s="24"/>
      <c r="C50" s="59">
        <v>7</v>
      </c>
      <c r="D50" s="272"/>
      <c r="E50" s="272"/>
      <c r="F50" s="262"/>
      <c r="G50" s="264"/>
      <c r="H50" s="267"/>
      <c r="I50" s="269"/>
      <c r="J50" s="271"/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35</v>
      </c>
      <c r="E51" s="60">
        <f t="shared" si="5"/>
        <v>9</v>
      </c>
      <c r="F51" s="51">
        <f t="shared" si="4"/>
        <v>2</v>
      </c>
      <c r="G51" s="52">
        <f>IF(D51=D50,"",_xlfn.IFNA(VLOOKUP(D51,'인원 입력 기능'!$AA$5:$AD$55,4,FALSE),0))</f>
        <v>119</v>
      </c>
      <c r="H51" s="53">
        <f t="shared" si="2"/>
        <v>7.6987772530245193E-3</v>
      </c>
      <c r="I51" s="57">
        <f>SUM($G$7:G51)</f>
        <v>15157</v>
      </c>
      <c r="J51" s="55">
        <f t="shared" si="3"/>
        <v>0.98059131784951803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34</v>
      </c>
      <c r="E52" s="60">
        <f t="shared" si="5"/>
        <v>9</v>
      </c>
      <c r="F52" s="51">
        <f t="shared" si="4"/>
        <v>1</v>
      </c>
      <c r="G52" s="52">
        <f>IF(D52=D51,"",_xlfn.IFNA(VLOOKUP(D52,'인원 입력 기능'!$AA$5:$AD$55,4,FALSE),0))</f>
        <v>138</v>
      </c>
      <c r="H52" s="53">
        <f t="shared" si="2"/>
        <v>8.9279937892217127E-3</v>
      </c>
      <c r="I52" s="57">
        <f>SUM($G$7:G52)</f>
        <v>15295</v>
      </c>
      <c r="J52" s="55">
        <f t="shared" si="3"/>
        <v>0.98951931163873974</v>
      </c>
      <c r="K52" s="25"/>
      <c r="M52" s="1"/>
    </row>
    <row r="53" spans="1:13" ht="25" customHeight="1">
      <c r="A53" s="5"/>
      <c r="B53" s="24"/>
      <c r="C53" s="49">
        <v>4</v>
      </c>
      <c r="D53" s="261">
        <f t="shared" si="1"/>
        <v>33</v>
      </c>
      <c r="E53" s="261">
        <f t="shared" si="5"/>
        <v>9</v>
      </c>
      <c r="F53" s="263">
        <f t="shared" si="4"/>
        <v>1</v>
      </c>
      <c r="G53" s="265">
        <f>IF(D53=D52,"",_xlfn.IFNA(VLOOKUP(D53,'인원 입력 기능'!$AA$5:$AD$55,4,FALSE),0))</f>
        <v>109</v>
      </c>
      <c r="H53" s="266">
        <f t="shared" si="2"/>
        <v>7.0518211813417869E-3</v>
      </c>
      <c r="I53" s="268">
        <f>SUM($G$7:G53)</f>
        <v>15404</v>
      </c>
      <c r="J53" s="270">
        <f t="shared" si="3"/>
        <v>0.99657113282008147</v>
      </c>
      <c r="K53" s="25"/>
      <c r="M53" s="1"/>
    </row>
    <row r="54" spans="1:13" ht="25" customHeight="1">
      <c r="A54" s="5"/>
      <c r="B54" s="24"/>
      <c r="C54" s="56">
        <v>3</v>
      </c>
      <c r="D54" s="260"/>
      <c r="E54" s="260"/>
      <c r="F54" s="262"/>
      <c r="G54" s="264"/>
      <c r="H54" s="267"/>
      <c r="I54" s="269"/>
      <c r="J54" s="271"/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32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기능'!$AA$5:$AD$55,4,FALSE),0))</f>
        <v>33</v>
      </c>
      <c r="H55" s="53">
        <f t="shared" si="2"/>
        <v>2.134955036553018E-3</v>
      </c>
      <c r="I55" s="57">
        <f>SUM($G$7:G55)</f>
        <v>15437</v>
      </c>
      <c r="J55" s="55">
        <f t="shared" si="3"/>
        <v>0.99870608785663451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30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기능'!$AA$5:$AD$55,4,FALSE),0)</f>
        <v>20</v>
      </c>
      <c r="H57" s="69">
        <f>G57/J3</f>
        <v>1.2939121433654655E-3</v>
      </c>
      <c r="I57" s="70">
        <f>SUM($G$7:G57)</f>
        <v>15457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2">
    <mergeCell ref="I49:I50"/>
    <mergeCell ref="J49:J50"/>
    <mergeCell ref="D53:D54"/>
    <mergeCell ref="E53:E54"/>
    <mergeCell ref="F53:F54"/>
    <mergeCell ref="G53:G54"/>
    <mergeCell ref="H53:H54"/>
    <mergeCell ref="I53:I54"/>
    <mergeCell ref="J53:J54"/>
    <mergeCell ref="D49:D50"/>
    <mergeCell ref="E49:E50"/>
    <mergeCell ref="F49:F50"/>
    <mergeCell ref="G49:G50"/>
    <mergeCell ref="H49:H50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4:I25"/>
    <mergeCell ref="J24:J25"/>
    <mergeCell ref="D28:D29"/>
    <mergeCell ref="E28:E29"/>
    <mergeCell ref="F28:F29"/>
    <mergeCell ref="G28:G29"/>
    <mergeCell ref="H28:H29"/>
    <mergeCell ref="I28:I29"/>
    <mergeCell ref="J28:J29"/>
    <mergeCell ref="D24:D25"/>
    <mergeCell ref="E24:E25"/>
    <mergeCell ref="F24:F25"/>
    <mergeCell ref="G24:G25"/>
    <mergeCell ref="H24:H25"/>
    <mergeCell ref="H15:H16"/>
    <mergeCell ref="I15:I16"/>
    <mergeCell ref="J15:J16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56:J56"/>
    <mergeCell ref="D8:J8"/>
    <mergeCell ref="G5:J5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</mergeCells>
  <phoneticPr fontId="1" type="noConversion"/>
  <conditionalFormatting sqref="D7:J7 D57:J57 D9:J11 D13:J15 D17:J20 D22:J24 D26:J28 D30:J32 D34:J36 D38:J41 D43:J45 D47:J49 D51:J53 D55:J55">
    <cfRule type="expression" dxfId="125" priority="7">
      <formula>OR($D7=$P$7:$P$14)</formula>
    </cfRule>
  </conditionalFormatting>
  <conditionalFormatting sqref="C7:C57">
    <cfRule type="expression" dxfId="124" priority="6">
      <formula>OR(AND($D7=0,OR($D6=$P$7:$P$14)),AND($D8&gt;0,OR($D7=$P$7:$P$14)))</formula>
    </cfRule>
  </conditionalFormatting>
  <conditionalFormatting sqref="D7 D57 D9:D11 D13:D15 D17:D20 D22:D24 D26:D28 D30:D32 D34:D36 D38:D41 D43:D45 D47:D49 D51:D53 D55">
    <cfRule type="expression" dxfId="123" priority="5">
      <formula>$D7=$D8</formula>
    </cfRule>
  </conditionalFormatting>
  <conditionalFormatting sqref="D56">
    <cfRule type="expression" dxfId="122" priority="4">
      <formula>OR($D56=$P$7:$P$14)</formula>
    </cfRule>
  </conditionalFormatting>
  <conditionalFormatting sqref="D56">
    <cfRule type="expression" dxfId="121" priority="3">
      <formula>$D56=$D57</formula>
    </cfRule>
  </conditionalFormatting>
  <conditionalFormatting sqref="D8">
    <cfRule type="expression" dxfId="120" priority="2">
      <formula>OR($D8=$P$7:$P$14)</formula>
    </cfRule>
  </conditionalFormatting>
  <conditionalFormatting sqref="D8">
    <cfRule type="expression" dxfId="119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4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기능'!D10</f>
        <v>23.02</v>
      </c>
      <c r="I3" s="109" t="s">
        <v>54</v>
      </c>
      <c r="J3" s="110">
        <f>'통계 및 응시자 수 입력 기능'!C10</f>
        <v>6030</v>
      </c>
      <c r="K3" s="25"/>
    </row>
    <row r="4" spans="1:16" ht="25" customHeight="1" thickBot="1">
      <c r="A4" s="5"/>
      <c r="B4" s="24"/>
      <c r="C4" s="42" t="s">
        <v>55</v>
      </c>
      <c r="D4" s="242" t="s">
        <v>72</v>
      </c>
      <c r="E4" s="243"/>
      <c r="F4" s="244"/>
      <c r="G4" s="43" t="s">
        <v>57</v>
      </c>
      <c r="H4" s="108">
        <f>'통계 및 응시자 수 입력 기능'!E10</f>
        <v>12.41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72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기능'!$AF$5:$AI$55,4,FALSE),0)</f>
        <v>82</v>
      </c>
      <c r="H7" s="53">
        <f>G7/J3</f>
        <v>1.3598673300165837E-2</v>
      </c>
      <c r="I7" s="54">
        <f>G7</f>
        <v>82</v>
      </c>
      <c r="J7" s="55">
        <f>I7/J3</f>
        <v>1.3598673300165837E-2</v>
      </c>
      <c r="K7" s="25"/>
      <c r="M7" s="1"/>
      <c r="O7" s="1">
        <v>1</v>
      </c>
      <c r="P7" s="1">
        <f>'표준점수 등급컷 입력기능'!H16</f>
        <v>69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입력기능'!H17</f>
        <v>65</v>
      </c>
    </row>
    <row r="9" spans="1:16" ht="25" customHeight="1">
      <c r="A9" s="5"/>
      <c r="B9" s="24"/>
      <c r="C9" s="49">
        <v>48</v>
      </c>
      <c r="D9" s="50">
        <f>ROUND(10*(C9-$H$3)/$H$4+50,0)</f>
        <v>70</v>
      </c>
      <c r="E9" s="50">
        <f t="shared" si="0"/>
        <v>1</v>
      </c>
      <c r="F9" s="51">
        <f>IF(I8=0,ROUND(100*(1-(I7+I9)/2/$J$3),0),ROUND(100*(1-(I8+I9)/2/$J$3),0))</f>
        <v>98</v>
      </c>
      <c r="G9" s="52">
        <f>_xlfn.IFNA(VLOOKUP(D9,'인원 입력 기능'!$AF$5:$AI$55,4,FALSE),0)</f>
        <v>49</v>
      </c>
      <c r="H9" s="53">
        <f>G9/$J$3</f>
        <v>8.1260364842454403E-3</v>
      </c>
      <c r="I9" s="57">
        <f>SUM($G$7:G9)</f>
        <v>131</v>
      </c>
      <c r="J9" s="55">
        <f>I9/$J$3</f>
        <v>2.1724709784411277E-2</v>
      </c>
      <c r="K9" s="25"/>
      <c r="M9" s="1"/>
      <c r="O9" s="1">
        <v>3</v>
      </c>
      <c r="P9" s="1">
        <f>'표준점수 등급컷 입력기능'!H18</f>
        <v>59</v>
      </c>
    </row>
    <row r="10" spans="1:16" ht="25" customHeight="1">
      <c r="A10" s="5"/>
      <c r="B10" s="24"/>
      <c r="C10" s="56">
        <v>47</v>
      </c>
      <c r="D10" s="261">
        <f t="shared" ref="D10:D55" si="1">ROUND(10*(C10-$H$3)/$H$4+50,0)</f>
        <v>69</v>
      </c>
      <c r="E10" s="261">
        <f t="shared" si="0"/>
        <v>1</v>
      </c>
      <c r="F10" s="263">
        <f>IF(I9=0,ROUND(100*(1-(I8+I10)/2/$J$3),0),ROUND(100*(1-(I9+I10)/2/$J$3),0))</f>
        <v>97</v>
      </c>
      <c r="G10" s="265">
        <f>IF(D10=D9,"",_xlfn.IFNA(VLOOKUP(D10,'인원 입력 기능'!$AF$5:$AI$55,4,FALSE),0))</f>
        <v>124</v>
      </c>
      <c r="H10" s="266">
        <f t="shared" ref="H10:H55" si="2">G10/$J$3</f>
        <v>2.0563847429519073E-2</v>
      </c>
      <c r="I10" s="268">
        <f>SUM($G$7:G10)</f>
        <v>255</v>
      </c>
      <c r="J10" s="270">
        <f t="shared" ref="J10:J55" si="3">I10/$J$3</f>
        <v>4.228855721393035E-2</v>
      </c>
      <c r="K10" s="25"/>
      <c r="M10" s="1"/>
      <c r="O10" s="1">
        <v>4</v>
      </c>
      <c r="P10" s="1">
        <f>'표준점수 등급컷 입력기능'!H19</f>
        <v>52</v>
      </c>
    </row>
    <row r="11" spans="1:16" ht="25" customHeight="1">
      <c r="A11" s="5"/>
      <c r="B11" s="24"/>
      <c r="C11" s="49">
        <v>46</v>
      </c>
      <c r="D11" s="260"/>
      <c r="E11" s="260"/>
      <c r="F11" s="262"/>
      <c r="G11" s="264"/>
      <c r="H11" s="267"/>
      <c r="I11" s="269"/>
      <c r="J11" s="271"/>
      <c r="K11" s="25"/>
      <c r="M11" s="1"/>
      <c r="O11" s="1">
        <v>5</v>
      </c>
      <c r="P11" s="1">
        <f>'표준점수 등급컷 입력기능'!H20</f>
        <v>45</v>
      </c>
    </row>
    <row r="12" spans="1:16" ht="25" customHeight="1">
      <c r="A12" s="5"/>
      <c r="B12" s="24"/>
      <c r="C12" s="56">
        <v>45</v>
      </c>
      <c r="D12" s="50">
        <f t="shared" si="1"/>
        <v>68</v>
      </c>
      <c r="E12" s="50">
        <f t="shared" si="0"/>
        <v>2</v>
      </c>
      <c r="F12" s="51">
        <f t="shared" ref="F11:F55" si="4">IF(I11=0,ROUND(100*(1-(I10+I12)/2/$J$3),0),ROUND(100*(1-(I11+I12)/2/$J$3),0))</f>
        <v>95</v>
      </c>
      <c r="G12" s="52">
        <f>IF(D12=D11,"",_xlfn.IFNA(VLOOKUP(D12,'인원 입력 기능'!$AF$5:$AI$55,4,FALSE),0))</f>
        <v>120</v>
      </c>
      <c r="H12" s="53">
        <f t="shared" si="2"/>
        <v>1.9900497512437811E-2</v>
      </c>
      <c r="I12" s="57">
        <f>SUM($G$7:G12)</f>
        <v>375</v>
      </c>
      <c r="J12" s="55">
        <f t="shared" si="3"/>
        <v>6.2189054726368161E-2</v>
      </c>
      <c r="K12" s="25"/>
      <c r="M12" s="1"/>
      <c r="O12" s="1">
        <v>6</v>
      </c>
      <c r="P12" s="1">
        <f>'표준점수 등급컷 입력기능'!H21</f>
        <v>41</v>
      </c>
    </row>
    <row r="13" spans="1:16" ht="25" customHeight="1">
      <c r="A13" s="5"/>
      <c r="B13" s="24"/>
      <c r="C13" s="49">
        <v>44</v>
      </c>
      <c r="D13" s="50">
        <f t="shared" si="1"/>
        <v>67</v>
      </c>
      <c r="E13" s="50">
        <f t="shared" si="0"/>
        <v>2</v>
      </c>
      <c r="F13" s="51">
        <f t="shared" si="4"/>
        <v>93</v>
      </c>
      <c r="G13" s="52">
        <f>IF(D13=D12,"",_xlfn.IFNA(VLOOKUP(D13,'인원 입력 기능'!$AF$5:$AI$55,4,FALSE),0))</f>
        <v>96</v>
      </c>
      <c r="H13" s="53">
        <f t="shared" si="2"/>
        <v>1.5920398009950248E-2</v>
      </c>
      <c r="I13" s="57">
        <f>SUM($G$7:G13)</f>
        <v>471</v>
      </c>
      <c r="J13" s="55">
        <f t="shared" si="3"/>
        <v>7.8109452736318405E-2</v>
      </c>
      <c r="K13" s="25"/>
      <c r="M13" s="1"/>
      <c r="O13" s="1">
        <v>7</v>
      </c>
      <c r="P13" s="1">
        <f>'표준점수 등급컷 입력기능'!H22</f>
        <v>39</v>
      </c>
    </row>
    <row r="14" spans="1:16" ht="25" customHeight="1">
      <c r="A14" s="5"/>
      <c r="B14" s="24"/>
      <c r="C14" s="56">
        <v>43</v>
      </c>
      <c r="D14" s="50">
        <f t="shared" si="1"/>
        <v>66</v>
      </c>
      <c r="E14" s="50">
        <f t="shared" si="0"/>
        <v>2</v>
      </c>
      <c r="F14" s="51">
        <f t="shared" si="4"/>
        <v>92</v>
      </c>
      <c r="G14" s="52">
        <f>IF(D14=D13,"",_xlfn.IFNA(VLOOKUP(D14,'인원 입력 기능'!$AF$5:$AI$55,4,FALSE),0))</f>
        <v>49</v>
      </c>
      <c r="H14" s="53">
        <f t="shared" si="2"/>
        <v>8.1260364842454403E-3</v>
      </c>
      <c r="I14" s="57">
        <f>SUM($G$7:G14)</f>
        <v>520</v>
      </c>
      <c r="J14" s="55">
        <f t="shared" si="3"/>
        <v>8.6235489220563843E-2</v>
      </c>
      <c r="K14" s="25"/>
      <c r="M14" s="1"/>
      <c r="O14" s="1">
        <v>8</v>
      </c>
      <c r="P14" s="1">
        <f>'표준점수 등급컷 입력기능'!H23</f>
        <v>36</v>
      </c>
    </row>
    <row r="15" spans="1:16" ht="25" customHeight="1">
      <c r="A15" s="5"/>
      <c r="B15" s="24"/>
      <c r="C15" s="49">
        <v>42</v>
      </c>
      <c r="D15" s="50">
        <f t="shared" si="1"/>
        <v>65</v>
      </c>
      <c r="E15" s="50">
        <f t="shared" si="0"/>
        <v>2</v>
      </c>
      <c r="F15" s="51">
        <f t="shared" si="4"/>
        <v>90</v>
      </c>
      <c r="G15" s="52">
        <f>IF(D15=D14,"",_xlfn.IFNA(VLOOKUP(D15,'인원 입력 기능'!$AF$5:$AI$55,4,FALSE),0))</f>
        <v>171</v>
      </c>
      <c r="H15" s="53">
        <f t="shared" si="2"/>
        <v>2.8358208955223882E-2</v>
      </c>
      <c r="I15" s="57">
        <f>SUM($G$7:G15)</f>
        <v>691</v>
      </c>
      <c r="J15" s="55">
        <f t="shared" si="3"/>
        <v>0.11459369817578773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1">
        <f t="shared" si="1"/>
        <v>64</v>
      </c>
      <c r="E16" s="261">
        <f t="shared" si="0"/>
        <v>3</v>
      </c>
      <c r="F16" s="263">
        <f t="shared" si="4"/>
        <v>87</v>
      </c>
      <c r="G16" s="265">
        <f>IF(D16=D15,"",_xlfn.IFNA(VLOOKUP(D16,'인원 입력 기능'!$AF$5:$AI$55,4,FALSE),0))</f>
        <v>163</v>
      </c>
      <c r="H16" s="266">
        <f t="shared" si="2"/>
        <v>2.7031509121061361E-2</v>
      </c>
      <c r="I16" s="268">
        <f>SUM($G$7:G16)</f>
        <v>854</v>
      </c>
      <c r="J16" s="270">
        <f t="shared" si="3"/>
        <v>0.14162520729684908</v>
      </c>
      <c r="K16" s="25"/>
      <c r="M16" s="1"/>
    </row>
    <row r="17" spans="1:16" ht="25" customHeight="1">
      <c r="A17" s="5"/>
      <c r="B17" s="24"/>
      <c r="C17" s="49">
        <v>40</v>
      </c>
      <c r="D17" s="260"/>
      <c r="E17" s="260"/>
      <c r="F17" s="262"/>
      <c r="G17" s="264"/>
      <c r="H17" s="267"/>
      <c r="I17" s="269"/>
      <c r="J17" s="271"/>
      <c r="K17" s="25"/>
      <c r="M17" s="1"/>
      <c r="P17" s="1">
        <f>H3*H4*J3*P7*IFERROR(IF(J57=1, 1, 0), 0)</f>
        <v>118862128.67400001</v>
      </c>
    </row>
    <row r="18" spans="1:16" ht="25" customHeight="1">
      <c r="A18" s="5"/>
      <c r="B18" s="24"/>
      <c r="C18" s="56">
        <v>39</v>
      </c>
      <c r="D18" s="50">
        <f t="shared" si="1"/>
        <v>63</v>
      </c>
      <c r="E18" s="50">
        <f t="shared" si="0"/>
        <v>3</v>
      </c>
      <c r="F18" s="51">
        <f t="shared" si="4"/>
        <v>85</v>
      </c>
      <c r="G18" s="52">
        <f>IF(D18=D17,"",_xlfn.IFNA(VLOOKUP(D18,'인원 입력 기능'!$AF$5:$AI$55,4,FALSE),0))</f>
        <v>152</v>
      </c>
      <c r="H18" s="53">
        <f t="shared" si="2"/>
        <v>2.5207296849087894E-2</v>
      </c>
      <c r="I18" s="57">
        <f>SUM($G$7:G18)</f>
        <v>1006</v>
      </c>
      <c r="J18" s="55">
        <f t="shared" si="3"/>
        <v>0.16683250414593698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62</v>
      </c>
      <c r="E19" s="50">
        <f t="shared" si="0"/>
        <v>3</v>
      </c>
      <c r="F19" s="51">
        <f t="shared" si="4"/>
        <v>83</v>
      </c>
      <c r="G19" s="52">
        <f>IF(D19=D18,"",_xlfn.IFNA(VLOOKUP(D19,'인원 입력 기능'!$AF$5:$AI$55,4,FALSE),0))</f>
        <v>66</v>
      </c>
      <c r="H19" s="53">
        <f t="shared" si="2"/>
        <v>1.0945273631840797E-2</v>
      </c>
      <c r="I19" s="57">
        <f>SUM($G$7:G19)</f>
        <v>1072</v>
      </c>
      <c r="J19" s="55">
        <f t="shared" si="3"/>
        <v>0.17777777777777778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61</v>
      </c>
      <c r="E20" s="50">
        <f t="shared" si="0"/>
        <v>3</v>
      </c>
      <c r="F20" s="51">
        <f t="shared" si="4"/>
        <v>81</v>
      </c>
      <c r="G20" s="52">
        <f>IF(D20=D19,"",_xlfn.IFNA(VLOOKUP(D20,'인원 입력 기능'!$AF$5:$AI$55,4,FALSE),0))</f>
        <v>122</v>
      </c>
      <c r="H20" s="53">
        <f t="shared" si="2"/>
        <v>2.023217247097844E-2</v>
      </c>
      <c r="I20" s="57">
        <f>SUM($G$7:G20)</f>
        <v>1194</v>
      </c>
      <c r="J20" s="55">
        <f t="shared" si="3"/>
        <v>0.19800995024875623</v>
      </c>
      <c r="K20" s="25"/>
      <c r="M20" s="1"/>
    </row>
    <row r="21" spans="1:16" ht="25" customHeight="1">
      <c r="A21" s="5"/>
      <c r="B21" s="24"/>
      <c r="C21" s="58">
        <v>36</v>
      </c>
      <c r="D21" s="273">
        <f t="shared" si="1"/>
        <v>60</v>
      </c>
      <c r="E21" s="273">
        <f t="shared" si="0"/>
        <v>3</v>
      </c>
      <c r="F21" s="263">
        <f t="shared" si="4"/>
        <v>79</v>
      </c>
      <c r="G21" s="265">
        <f>IF(D21=D20,"",_xlfn.IFNA(VLOOKUP(D21,'인원 입력 기능'!$AF$5:$AI$55,4,FALSE),0))</f>
        <v>167</v>
      </c>
      <c r="H21" s="266">
        <f t="shared" si="2"/>
        <v>2.769485903814262E-2</v>
      </c>
      <c r="I21" s="268">
        <f>SUM($G$7:G21)</f>
        <v>1361</v>
      </c>
      <c r="J21" s="270">
        <f t="shared" si="3"/>
        <v>0.22570480928689884</v>
      </c>
      <c r="K21" s="25"/>
      <c r="M21" s="1"/>
    </row>
    <row r="22" spans="1:16" ht="25" customHeight="1">
      <c r="A22" s="5"/>
      <c r="B22" s="24"/>
      <c r="C22" s="59">
        <v>35</v>
      </c>
      <c r="D22" s="272"/>
      <c r="E22" s="272"/>
      <c r="F22" s="262"/>
      <c r="G22" s="264"/>
      <c r="H22" s="267"/>
      <c r="I22" s="269"/>
      <c r="J22" s="271"/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59</v>
      </c>
      <c r="E23" s="60">
        <f t="shared" si="0"/>
        <v>3</v>
      </c>
      <c r="F23" s="51">
        <f t="shared" si="4"/>
        <v>77</v>
      </c>
      <c r="G23" s="52">
        <f>IF(D23=D22,"",_xlfn.IFNA(VLOOKUP(D23,'인원 입력 기능'!$AF$5:$AI$55,4,FALSE),0))</f>
        <v>105</v>
      </c>
      <c r="H23" s="53">
        <f t="shared" si="2"/>
        <v>1.7412935323383085E-2</v>
      </c>
      <c r="I23" s="57">
        <f>SUM($G$7:G23)</f>
        <v>1466</v>
      </c>
      <c r="J23" s="55">
        <f t="shared" si="3"/>
        <v>0.24311774461028193</v>
      </c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58</v>
      </c>
      <c r="E24" s="60">
        <f t="shared" si="0"/>
        <v>4</v>
      </c>
      <c r="F24" s="51">
        <f t="shared" si="4"/>
        <v>75</v>
      </c>
      <c r="G24" s="52">
        <f>IF(D24=D23,"",_xlfn.IFNA(VLOOKUP(D24,'인원 입력 기능'!$AF$5:$AI$55,4,FALSE),0))</f>
        <v>92</v>
      </c>
      <c r="H24" s="53">
        <f t="shared" si="2"/>
        <v>1.5257048092868989E-2</v>
      </c>
      <c r="I24" s="57">
        <f>SUM($G$7:G24)</f>
        <v>1558</v>
      </c>
      <c r="J24" s="55">
        <f t="shared" si="3"/>
        <v>0.25837479270315089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57</v>
      </c>
      <c r="E25" s="60">
        <f t="shared" si="0"/>
        <v>4</v>
      </c>
      <c r="F25" s="51">
        <f t="shared" si="4"/>
        <v>73</v>
      </c>
      <c r="G25" s="52">
        <f>IF(D25=D24,"",_xlfn.IFNA(VLOOKUP(D25,'인원 입력 기능'!$AF$5:$AI$55,4,FALSE),0))</f>
        <v>81</v>
      </c>
      <c r="H25" s="53">
        <f t="shared" si="2"/>
        <v>1.3432835820895522E-2</v>
      </c>
      <c r="I25" s="57">
        <f>SUM($G$7:G25)</f>
        <v>1639</v>
      </c>
      <c r="J25" s="55">
        <f t="shared" si="3"/>
        <v>0.27180762852404644</v>
      </c>
      <c r="K25" s="25"/>
      <c r="M25" s="1"/>
    </row>
    <row r="26" spans="1:16" ht="25" customHeight="1">
      <c r="A26" s="5"/>
      <c r="B26" s="24"/>
      <c r="C26" s="59">
        <v>31</v>
      </c>
      <c r="D26" s="273">
        <f t="shared" si="1"/>
        <v>56</v>
      </c>
      <c r="E26" s="273">
        <f t="shared" si="0"/>
        <v>4</v>
      </c>
      <c r="F26" s="263">
        <f t="shared" si="4"/>
        <v>71</v>
      </c>
      <c r="G26" s="265">
        <f>IF(D26=D25,"",_xlfn.IFNA(VLOOKUP(D26,'인원 입력 기능'!$AF$5:$AI$55,4,FALSE),0))</f>
        <v>211</v>
      </c>
      <c r="H26" s="266">
        <f t="shared" si="2"/>
        <v>3.4991708126036483E-2</v>
      </c>
      <c r="I26" s="268">
        <f>SUM($G$7:G26)</f>
        <v>1850</v>
      </c>
      <c r="J26" s="270">
        <f t="shared" si="3"/>
        <v>0.30679933665008291</v>
      </c>
      <c r="K26" s="25"/>
      <c r="M26" s="1"/>
    </row>
    <row r="27" spans="1:16" ht="25" customHeight="1">
      <c r="A27" s="5"/>
      <c r="B27" s="24"/>
      <c r="C27" s="58">
        <v>30</v>
      </c>
      <c r="D27" s="272"/>
      <c r="E27" s="272"/>
      <c r="F27" s="262"/>
      <c r="G27" s="264"/>
      <c r="H27" s="267"/>
      <c r="I27" s="269"/>
      <c r="J27" s="271"/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55</v>
      </c>
      <c r="E28" s="60">
        <f t="shared" si="0"/>
        <v>4</v>
      </c>
      <c r="F28" s="51">
        <f t="shared" si="4"/>
        <v>68</v>
      </c>
      <c r="G28" s="52">
        <f>IF(D28=D27,"",_xlfn.IFNA(VLOOKUP(D28,'인원 입력 기능'!$AF$5:$AI$55,4,FALSE),0))</f>
        <v>133</v>
      </c>
      <c r="H28" s="53">
        <f t="shared" si="2"/>
        <v>2.2056384742951907E-2</v>
      </c>
      <c r="I28" s="57">
        <f>SUM($G$7:G28)</f>
        <v>1983</v>
      </c>
      <c r="J28" s="55">
        <f t="shared" si="3"/>
        <v>0.32885572139303482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54</v>
      </c>
      <c r="E29" s="60">
        <f t="shared" si="0"/>
        <v>4</v>
      </c>
      <c r="F29" s="51">
        <f t="shared" si="4"/>
        <v>66</v>
      </c>
      <c r="G29" s="52">
        <f>IF(D29=D28,"",_xlfn.IFNA(VLOOKUP(D29,'인원 입력 기능'!$AF$5:$AI$55,4,FALSE),0))</f>
        <v>113</v>
      </c>
      <c r="H29" s="53">
        <f t="shared" si="2"/>
        <v>1.8739635157545606E-2</v>
      </c>
      <c r="I29" s="57">
        <f>SUM($G$7:G29)</f>
        <v>2096</v>
      </c>
      <c r="J29" s="55">
        <f t="shared" si="3"/>
        <v>0.34759535655058044</v>
      </c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53</v>
      </c>
      <c r="E30" s="60">
        <f t="shared" si="0"/>
        <v>4</v>
      </c>
      <c r="F30" s="51">
        <f t="shared" si="4"/>
        <v>64</v>
      </c>
      <c r="G30" s="52">
        <f>IF(D30=D29,"",_xlfn.IFNA(VLOOKUP(D30,'인원 입력 기능'!$AF$5:$AI$55,4,FALSE),0))</f>
        <v>124</v>
      </c>
      <c r="H30" s="53">
        <f t="shared" si="2"/>
        <v>2.0563847429519073E-2</v>
      </c>
      <c r="I30" s="57">
        <f>SUM($G$7:G30)</f>
        <v>2220</v>
      </c>
      <c r="J30" s="55">
        <f t="shared" si="3"/>
        <v>0.36815920398009949</v>
      </c>
      <c r="K30" s="25"/>
      <c r="M30" s="1"/>
    </row>
    <row r="31" spans="1:16" ht="25" customHeight="1">
      <c r="A31" s="5"/>
      <c r="B31" s="24"/>
      <c r="C31" s="58">
        <v>26</v>
      </c>
      <c r="D31" s="273">
        <f t="shared" si="1"/>
        <v>52</v>
      </c>
      <c r="E31" s="273">
        <f t="shared" si="0"/>
        <v>4</v>
      </c>
      <c r="F31" s="263">
        <f t="shared" si="4"/>
        <v>61</v>
      </c>
      <c r="G31" s="265">
        <f>IF(D31=D30,"",_xlfn.IFNA(VLOOKUP(D31,'인원 입력 기능'!$AF$5:$AI$55,4,FALSE),0))</f>
        <v>232</v>
      </c>
      <c r="H31" s="266">
        <f t="shared" si="2"/>
        <v>3.8474295190713104E-2</v>
      </c>
      <c r="I31" s="268">
        <f>SUM($G$7:G31)</f>
        <v>2452</v>
      </c>
      <c r="J31" s="270">
        <f t="shared" si="3"/>
        <v>0.4066334991708126</v>
      </c>
      <c r="K31" s="25"/>
      <c r="M31" s="1"/>
    </row>
    <row r="32" spans="1:16" ht="25" customHeight="1">
      <c r="A32" s="5"/>
      <c r="B32" s="24"/>
      <c r="C32" s="59">
        <v>25</v>
      </c>
      <c r="D32" s="272"/>
      <c r="E32" s="272"/>
      <c r="F32" s="262"/>
      <c r="G32" s="264"/>
      <c r="H32" s="267"/>
      <c r="I32" s="269"/>
      <c r="J32" s="271"/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51</v>
      </c>
      <c r="E33" s="60">
        <f t="shared" si="0"/>
        <v>5</v>
      </c>
      <c r="F33" s="51">
        <f t="shared" si="4"/>
        <v>58</v>
      </c>
      <c r="G33" s="52">
        <f>IF(D33=D32,"",_xlfn.IFNA(VLOOKUP(D33,'인원 입력 기능'!$AF$5:$AI$55,4,FALSE),0))</f>
        <v>112</v>
      </c>
      <c r="H33" s="53">
        <f t="shared" si="2"/>
        <v>1.857379767827529E-2</v>
      </c>
      <c r="I33" s="57">
        <f>SUM($G$7:G33)</f>
        <v>2564</v>
      </c>
      <c r="J33" s="55">
        <f t="shared" si="3"/>
        <v>0.42520729684908787</v>
      </c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50</v>
      </c>
      <c r="E34" s="60">
        <f t="shared" si="0"/>
        <v>5</v>
      </c>
      <c r="F34" s="51">
        <f t="shared" si="4"/>
        <v>56</v>
      </c>
      <c r="G34" s="52">
        <f>IF(D34=D33,"",_xlfn.IFNA(VLOOKUP(D34,'인원 입력 기능'!$AF$5:$AI$55,4,FALSE),0))</f>
        <v>120</v>
      </c>
      <c r="H34" s="53">
        <f t="shared" si="2"/>
        <v>1.9900497512437811E-2</v>
      </c>
      <c r="I34" s="57">
        <f>SUM($G$7:G34)</f>
        <v>2684</v>
      </c>
      <c r="J34" s="55">
        <f t="shared" si="3"/>
        <v>0.4451077943615257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49</v>
      </c>
      <c r="E35" s="60">
        <f t="shared" si="0"/>
        <v>5</v>
      </c>
      <c r="F35" s="51">
        <f t="shared" si="4"/>
        <v>54</v>
      </c>
      <c r="G35" s="52">
        <f>IF(D35=D34,"",_xlfn.IFNA(VLOOKUP(D35,'인원 입력 기능'!$AF$5:$AI$55,4,FALSE),0))</f>
        <v>168</v>
      </c>
      <c r="H35" s="53">
        <f t="shared" si="2"/>
        <v>2.7860696517412936E-2</v>
      </c>
      <c r="I35" s="57">
        <f>SUM($G$7:G35)</f>
        <v>2852</v>
      </c>
      <c r="J35" s="55">
        <f t="shared" si="3"/>
        <v>0.47296849087893866</v>
      </c>
      <c r="K35" s="25"/>
      <c r="M35" s="1"/>
    </row>
    <row r="36" spans="1:13" ht="25" customHeight="1">
      <c r="A36" s="5"/>
      <c r="B36" s="24"/>
      <c r="C36" s="59">
        <v>21</v>
      </c>
      <c r="D36" s="273">
        <f t="shared" si="1"/>
        <v>48</v>
      </c>
      <c r="E36" s="273">
        <f t="shared" si="0"/>
        <v>5</v>
      </c>
      <c r="F36" s="263">
        <f t="shared" si="4"/>
        <v>50</v>
      </c>
      <c r="G36" s="265">
        <f>IF(D36=D35,"",_xlfn.IFNA(VLOOKUP(D36,'인원 입력 기능'!$AF$5:$AI$55,4,FALSE),0))</f>
        <v>310</v>
      </c>
      <c r="H36" s="266">
        <f t="shared" si="2"/>
        <v>5.140961857379768E-2</v>
      </c>
      <c r="I36" s="268">
        <f>SUM($G$7:G36)</f>
        <v>3162</v>
      </c>
      <c r="J36" s="270">
        <f t="shared" si="3"/>
        <v>0.52437810945273633</v>
      </c>
      <c r="K36" s="25"/>
      <c r="M36" s="1"/>
    </row>
    <row r="37" spans="1:13" ht="25" customHeight="1">
      <c r="A37" s="5"/>
      <c r="B37" s="24"/>
      <c r="C37" s="58">
        <v>20</v>
      </c>
      <c r="D37" s="272"/>
      <c r="E37" s="272"/>
      <c r="F37" s="262"/>
      <c r="G37" s="264"/>
      <c r="H37" s="267"/>
      <c r="I37" s="269"/>
      <c r="J37" s="271"/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47</v>
      </c>
      <c r="E38" s="60">
        <f t="shared" si="0"/>
        <v>5</v>
      </c>
      <c r="F38" s="51">
        <f t="shared" si="4"/>
        <v>46</v>
      </c>
      <c r="G38" s="52">
        <f>IF(D38=D37,"",_xlfn.IFNA(VLOOKUP(D38,'인원 입력 기능'!$AF$5:$AI$55,4,FALSE),0))</f>
        <v>173</v>
      </c>
      <c r="H38" s="53">
        <f t="shared" si="2"/>
        <v>2.8689883913764511E-2</v>
      </c>
      <c r="I38" s="57">
        <f>SUM($G$7:G38)</f>
        <v>3335</v>
      </c>
      <c r="J38" s="55">
        <f t="shared" si="3"/>
        <v>0.55306799336650081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46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51">
        <f t="shared" si="4"/>
        <v>43</v>
      </c>
      <c r="G39" s="52">
        <f>IF(D39=D38,"",_xlfn.IFNA(VLOOKUP(D39,'인원 입력 기능'!$AF$5:$AI$55,4,FALSE),0))</f>
        <v>186</v>
      </c>
      <c r="H39" s="53">
        <f t="shared" si="2"/>
        <v>3.0845771144278607E-2</v>
      </c>
      <c r="I39" s="57">
        <f>SUM($G$7:G39)</f>
        <v>3521</v>
      </c>
      <c r="J39" s="55">
        <f t="shared" si="3"/>
        <v>0.58391376451077948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45</v>
      </c>
      <c r="E40" s="60">
        <f t="shared" si="5"/>
        <v>5</v>
      </c>
      <c r="F40" s="51">
        <f t="shared" si="4"/>
        <v>40</v>
      </c>
      <c r="G40" s="52">
        <f>IF(D40=D39,"",_xlfn.IFNA(VLOOKUP(D40,'인원 입력 기능'!$AF$5:$AI$55,4,FALSE),0))</f>
        <v>179</v>
      </c>
      <c r="H40" s="53">
        <f t="shared" si="2"/>
        <v>2.9684908789386403E-2</v>
      </c>
      <c r="I40" s="57">
        <f>SUM($G$7:G40)</f>
        <v>3700</v>
      </c>
      <c r="J40" s="55">
        <f t="shared" si="3"/>
        <v>0.61359867330016582</v>
      </c>
      <c r="K40" s="25"/>
      <c r="M40" s="1"/>
    </row>
    <row r="41" spans="1:13" ht="25" customHeight="1">
      <c r="A41" s="5"/>
      <c r="B41" s="24"/>
      <c r="C41" s="58">
        <v>16</v>
      </c>
      <c r="D41" s="273">
        <f t="shared" si="1"/>
        <v>44</v>
      </c>
      <c r="E41" s="273">
        <f t="shared" si="5"/>
        <v>6</v>
      </c>
      <c r="F41" s="263">
        <f t="shared" si="4"/>
        <v>35</v>
      </c>
      <c r="G41" s="265">
        <f>IF(D41=D40,"",_xlfn.IFNA(VLOOKUP(D41,'인원 입력 기능'!$AF$5:$AI$55,4,FALSE),0))</f>
        <v>416</v>
      </c>
      <c r="H41" s="266">
        <f t="shared" si="2"/>
        <v>6.8988391376451075E-2</v>
      </c>
      <c r="I41" s="268">
        <f>SUM($G$7:G41)</f>
        <v>4116</v>
      </c>
      <c r="J41" s="270">
        <f t="shared" si="3"/>
        <v>0.68258706467661689</v>
      </c>
      <c r="K41" s="25"/>
      <c r="M41" s="1"/>
    </row>
    <row r="42" spans="1:13" ht="25" customHeight="1">
      <c r="A42" s="5"/>
      <c r="B42" s="24"/>
      <c r="C42" s="59">
        <v>15</v>
      </c>
      <c r="D42" s="272"/>
      <c r="E42" s="272"/>
      <c r="F42" s="262"/>
      <c r="G42" s="264"/>
      <c r="H42" s="267"/>
      <c r="I42" s="269"/>
      <c r="J42" s="271"/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43</v>
      </c>
      <c r="E43" s="60">
        <f t="shared" si="5"/>
        <v>6</v>
      </c>
      <c r="F43" s="51">
        <f t="shared" si="4"/>
        <v>30</v>
      </c>
      <c r="G43" s="52">
        <f>IF(D43=D42,"",_xlfn.IFNA(VLOOKUP(D43,'인원 입력 기능'!$AF$5:$AI$55,4,FALSE),0))</f>
        <v>206</v>
      </c>
      <c r="H43" s="53">
        <f t="shared" si="2"/>
        <v>3.4162520729684911E-2</v>
      </c>
      <c r="I43" s="57">
        <f>SUM($G$7:G43)</f>
        <v>4322</v>
      </c>
      <c r="J43" s="55">
        <f t="shared" si="3"/>
        <v>0.71674958540630185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42</v>
      </c>
      <c r="E44" s="60">
        <f t="shared" si="5"/>
        <v>6</v>
      </c>
      <c r="F44" s="51">
        <f t="shared" si="4"/>
        <v>26</v>
      </c>
      <c r="G44" s="52">
        <f>IF(D44=D43,"",_xlfn.IFNA(VLOOKUP(D44,'인원 입력 기능'!$AF$5:$AI$55,4,FALSE),0))</f>
        <v>241</v>
      </c>
      <c r="H44" s="53">
        <f t="shared" si="2"/>
        <v>3.9966832504145934E-2</v>
      </c>
      <c r="I44" s="57">
        <f>SUM($G$7:G44)</f>
        <v>4563</v>
      </c>
      <c r="J44" s="55">
        <f t="shared" si="3"/>
        <v>0.75671641791044775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41</v>
      </c>
      <c r="E45" s="60">
        <f t="shared" si="5"/>
        <v>6</v>
      </c>
      <c r="F45" s="51">
        <f t="shared" si="4"/>
        <v>23</v>
      </c>
      <c r="G45" s="52">
        <f>IF(D45=D44,"",_xlfn.IFNA(VLOOKUP(D45,'인원 입력 기능'!$AF$5:$AI$55,4,FALSE),0))</f>
        <v>169</v>
      </c>
      <c r="H45" s="53">
        <f t="shared" si="2"/>
        <v>2.8026533996683249E-2</v>
      </c>
      <c r="I45" s="57">
        <f>SUM($G$7:G45)</f>
        <v>4732</v>
      </c>
      <c r="J45" s="55">
        <f t="shared" si="3"/>
        <v>0.78474295190713106</v>
      </c>
      <c r="K45" s="25"/>
      <c r="M45" s="1"/>
    </row>
    <row r="46" spans="1:13" ht="25" customHeight="1">
      <c r="A46" s="5"/>
      <c r="B46" s="24"/>
      <c r="C46" s="59">
        <v>11</v>
      </c>
      <c r="D46" s="273">
        <f t="shared" si="1"/>
        <v>40</v>
      </c>
      <c r="E46" s="273">
        <f t="shared" si="5"/>
        <v>7</v>
      </c>
      <c r="F46" s="263">
        <f t="shared" si="4"/>
        <v>18</v>
      </c>
      <c r="G46" s="265">
        <f>IF(D46=D45,"",_xlfn.IFNA(VLOOKUP(D46,'인원 입력 기능'!$AF$5:$AI$55,4,FALSE),0))</f>
        <v>399</v>
      </c>
      <c r="H46" s="266">
        <f t="shared" si="2"/>
        <v>6.616915422885572E-2</v>
      </c>
      <c r="I46" s="268">
        <f>SUM($G$7:G46)</f>
        <v>5131</v>
      </c>
      <c r="J46" s="270">
        <f t="shared" si="3"/>
        <v>0.85091210613598678</v>
      </c>
      <c r="K46" s="25"/>
      <c r="M46" s="1"/>
    </row>
    <row r="47" spans="1:13" ht="25" customHeight="1">
      <c r="A47" s="5"/>
      <c r="B47" s="24"/>
      <c r="C47" s="58">
        <v>10</v>
      </c>
      <c r="D47" s="272"/>
      <c r="E47" s="272"/>
      <c r="F47" s="262"/>
      <c r="G47" s="264"/>
      <c r="H47" s="267"/>
      <c r="I47" s="269"/>
      <c r="J47" s="271"/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39</v>
      </c>
      <c r="E48" s="60">
        <f t="shared" si="5"/>
        <v>7</v>
      </c>
      <c r="F48" s="51">
        <f t="shared" si="4"/>
        <v>12</v>
      </c>
      <c r="G48" s="52">
        <f>IF(D48=D47,"",_xlfn.IFNA(VLOOKUP(D48,'인원 입력 기능'!$AF$5:$AI$55,4,FALSE),0))</f>
        <v>340</v>
      </c>
      <c r="H48" s="53">
        <f t="shared" si="2"/>
        <v>5.6384742951907131E-2</v>
      </c>
      <c r="I48" s="57">
        <f>SUM($G$7:G48)</f>
        <v>5471</v>
      </c>
      <c r="J48" s="55">
        <f t="shared" si="3"/>
        <v>0.90729684908789388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38</v>
      </c>
      <c r="E49" s="60">
        <f t="shared" si="5"/>
        <v>8</v>
      </c>
      <c r="F49" s="51">
        <f t="shared" si="4"/>
        <v>8</v>
      </c>
      <c r="G49" s="52">
        <f>IF(D49=D48,"",_xlfn.IFNA(VLOOKUP(D49,'인원 입력 기능'!$AF$5:$AI$55,4,FALSE),0))</f>
        <v>133</v>
      </c>
      <c r="H49" s="53">
        <f t="shared" si="2"/>
        <v>2.2056384742951907E-2</v>
      </c>
      <c r="I49" s="57">
        <f>SUM($G$7:G49)</f>
        <v>5604</v>
      </c>
      <c r="J49" s="55">
        <f t="shared" si="3"/>
        <v>0.92935323383084578</v>
      </c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37</v>
      </c>
      <c r="E50" s="60">
        <f t="shared" si="5"/>
        <v>8</v>
      </c>
      <c r="F50" s="51">
        <f t="shared" si="4"/>
        <v>6</v>
      </c>
      <c r="G50" s="52">
        <f>IF(D50=D49,"",_xlfn.IFNA(VLOOKUP(D50,'인원 입력 기능'!$AF$5:$AI$55,4,FALSE),0))</f>
        <v>152</v>
      </c>
      <c r="H50" s="53">
        <f t="shared" si="2"/>
        <v>2.5207296849087894E-2</v>
      </c>
      <c r="I50" s="57">
        <f>SUM($G$7:G50)</f>
        <v>5756</v>
      </c>
      <c r="J50" s="55">
        <f t="shared" si="3"/>
        <v>0.95456053067993363</v>
      </c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36</v>
      </c>
      <c r="E51" s="60">
        <f t="shared" si="5"/>
        <v>8</v>
      </c>
      <c r="F51" s="51">
        <f t="shared" si="4"/>
        <v>4</v>
      </c>
      <c r="G51" s="52">
        <f>IF(D51=D50,"",_xlfn.IFNA(VLOOKUP(D51,'인원 입력 기능'!$AF$5:$AI$55,4,FALSE),0))</f>
        <v>77</v>
      </c>
      <c r="H51" s="53">
        <f t="shared" si="2"/>
        <v>1.2769485903814262E-2</v>
      </c>
      <c r="I51" s="57">
        <f>SUM($G$7:G51)</f>
        <v>5833</v>
      </c>
      <c r="J51" s="55">
        <f t="shared" si="3"/>
        <v>0.96733001658374795</v>
      </c>
      <c r="K51" s="25"/>
      <c r="M51" s="1"/>
    </row>
    <row r="52" spans="1:13" ht="25" customHeight="1">
      <c r="A52" s="5"/>
      <c r="B52" s="24"/>
      <c r="C52" s="59">
        <v>5</v>
      </c>
      <c r="D52" s="273">
        <f t="shared" si="1"/>
        <v>35</v>
      </c>
      <c r="E52" s="273">
        <f t="shared" si="5"/>
        <v>9</v>
      </c>
      <c r="F52" s="263">
        <f t="shared" si="4"/>
        <v>2</v>
      </c>
      <c r="G52" s="265">
        <f>IF(D52=D51,"",_xlfn.IFNA(VLOOKUP(D52,'인원 입력 기능'!$AF$5:$AI$55,4,FALSE),0))</f>
        <v>125</v>
      </c>
      <c r="H52" s="266">
        <f t="shared" si="2"/>
        <v>2.0729684908789386E-2</v>
      </c>
      <c r="I52" s="268">
        <f>SUM($G$7:G52)</f>
        <v>5958</v>
      </c>
      <c r="J52" s="270">
        <f t="shared" si="3"/>
        <v>0.9880597014925373</v>
      </c>
      <c r="K52" s="25"/>
      <c r="M52" s="1"/>
    </row>
    <row r="53" spans="1:13" ht="25" customHeight="1">
      <c r="A53" s="5"/>
      <c r="B53" s="24"/>
      <c r="C53" s="49">
        <v>4</v>
      </c>
      <c r="D53" s="272"/>
      <c r="E53" s="272"/>
      <c r="F53" s="262"/>
      <c r="G53" s="264"/>
      <c r="H53" s="267"/>
      <c r="I53" s="269"/>
      <c r="J53" s="271"/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34</v>
      </c>
      <c r="E54" s="50">
        <f t="shared" si="5"/>
        <v>9</v>
      </c>
      <c r="F54" s="51">
        <f t="shared" si="4"/>
        <v>1</v>
      </c>
      <c r="G54" s="52">
        <f>IF(D54=D53,"",_xlfn.IFNA(VLOOKUP(D54,'인원 입력 기능'!$AF$5:$AI$55,4,FALSE),0))</f>
        <v>31</v>
      </c>
      <c r="H54" s="53">
        <f t="shared" si="2"/>
        <v>5.1409618573797682E-3</v>
      </c>
      <c r="I54" s="57">
        <f>SUM($G$7:G54)</f>
        <v>5989</v>
      </c>
      <c r="J54" s="55">
        <f t="shared" si="3"/>
        <v>0.99320066334991708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33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기능'!$AF$5:$AI$55,4,FALSE),0))</f>
        <v>30</v>
      </c>
      <c r="H55" s="53">
        <f t="shared" si="2"/>
        <v>4.9751243781094526E-3</v>
      </c>
      <c r="I55" s="57">
        <f>SUM($G$7:G55)</f>
        <v>6019</v>
      </c>
      <c r="J55" s="55">
        <f t="shared" si="3"/>
        <v>0.99817578772802651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31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기능'!$AF$5:$AI$55,4,FALSE),0)</f>
        <v>11</v>
      </c>
      <c r="H57" s="69">
        <f>G57/J3</f>
        <v>1.8242122719734661E-3</v>
      </c>
      <c r="I57" s="70">
        <f>SUM($G$7:G57)</f>
        <v>6030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8">
    <mergeCell ref="I46:I47"/>
    <mergeCell ref="J46:J47"/>
    <mergeCell ref="D52:D53"/>
    <mergeCell ref="E52:E53"/>
    <mergeCell ref="F52:F53"/>
    <mergeCell ref="G52:G53"/>
    <mergeCell ref="H52:H53"/>
    <mergeCell ref="I52:I53"/>
    <mergeCell ref="J52:J53"/>
    <mergeCell ref="D46:D47"/>
    <mergeCell ref="E46:E47"/>
    <mergeCell ref="F46:F47"/>
    <mergeCell ref="G46:G47"/>
    <mergeCell ref="H46:H47"/>
    <mergeCell ref="I36:I37"/>
    <mergeCell ref="J36:J37"/>
    <mergeCell ref="D41:D42"/>
    <mergeCell ref="E41:E42"/>
    <mergeCell ref="F41:F42"/>
    <mergeCell ref="G41:G42"/>
    <mergeCell ref="H41:H42"/>
    <mergeCell ref="I41:I42"/>
    <mergeCell ref="J41:J42"/>
    <mergeCell ref="D36:D37"/>
    <mergeCell ref="E36:E37"/>
    <mergeCell ref="F36:F37"/>
    <mergeCell ref="G36:G37"/>
    <mergeCell ref="H36:H37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H16:H17"/>
    <mergeCell ref="I16:I17"/>
    <mergeCell ref="J16:J17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G5:J5"/>
    <mergeCell ref="D10:D11"/>
    <mergeCell ref="E10:E11"/>
    <mergeCell ref="F10:F11"/>
    <mergeCell ref="G10:G11"/>
    <mergeCell ref="H10:H11"/>
    <mergeCell ref="I10:I11"/>
    <mergeCell ref="J10:J11"/>
    <mergeCell ref="D16:D17"/>
    <mergeCell ref="E16:E17"/>
    <mergeCell ref="F16:F17"/>
    <mergeCell ref="G16:G17"/>
  </mergeCells>
  <phoneticPr fontId="1" type="noConversion"/>
  <conditionalFormatting sqref="D7:J7 D57:J57 D9:J10 D12:J16 D18:J21 D23:J26 D28:J31 D33:J36 D38:J41 D43:J46 D48:J52 D54:J55">
    <cfRule type="expression" dxfId="118" priority="7">
      <formula>OR($D7=$P$7:$P$14)</formula>
    </cfRule>
  </conditionalFormatting>
  <conditionalFormatting sqref="C7:C57">
    <cfRule type="expression" dxfId="117" priority="6">
      <formula>OR(AND($D7=0,OR($D6=$P$7:$P$14)),AND($D8&gt;0,OR($D7=$P$7:$P$14)))</formula>
    </cfRule>
  </conditionalFormatting>
  <conditionalFormatting sqref="D7 D57 D9:D10 D12:D16 D18:D21 D23:D26 D28:D31 D33:D36 D38:D41 D43:D46 D48:D52 D54:D55">
    <cfRule type="expression" dxfId="116" priority="5">
      <formula>$D7=$D8</formula>
    </cfRule>
  </conditionalFormatting>
  <conditionalFormatting sqref="D56">
    <cfRule type="expression" dxfId="115" priority="4">
      <formula>OR($D56=$P$7:$P$14)</formula>
    </cfRule>
  </conditionalFormatting>
  <conditionalFormatting sqref="D56">
    <cfRule type="expression" dxfId="114" priority="3">
      <formula>$D56=$D57</formula>
    </cfRule>
  </conditionalFormatting>
  <conditionalFormatting sqref="D8">
    <cfRule type="expression" dxfId="113" priority="2">
      <formula>OR($D8=$P$7:$P$14)</formula>
    </cfRule>
  </conditionalFormatting>
  <conditionalFormatting sqref="D8">
    <cfRule type="expression" dxfId="112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5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기능'!D11</f>
        <v>28.45</v>
      </c>
      <c r="I3" s="109" t="s">
        <v>54</v>
      </c>
      <c r="J3" s="110">
        <f>'통계 및 응시자 수 입력 기능'!C11</f>
        <v>29915</v>
      </c>
      <c r="K3" s="25"/>
    </row>
    <row r="4" spans="1:16" ht="25" customHeight="1" thickBot="1">
      <c r="A4" s="5"/>
      <c r="B4" s="24"/>
      <c r="C4" s="42" t="s">
        <v>55</v>
      </c>
      <c r="D4" s="242" t="s">
        <v>71</v>
      </c>
      <c r="E4" s="243"/>
      <c r="F4" s="244"/>
      <c r="G4" s="43" t="s">
        <v>57</v>
      </c>
      <c r="H4" s="108">
        <f>'통계 및 응시자 수 입력 기능'!E11</f>
        <v>13.31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66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기능'!$AK$5:$AN$55,4,FALSE),0)</f>
        <v>798</v>
      </c>
      <c r="H7" s="53">
        <f>G7/J3</f>
        <v>2.6675580812301522E-2</v>
      </c>
      <c r="I7" s="54">
        <f>G7</f>
        <v>798</v>
      </c>
      <c r="J7" s="55">
        <f>I7/J3</f>
        <v>2.6675580812301522E-2</v>
      </c>
      <c r="K7" s="25"/>
      <c r="M7" s="1"/>
      <c r="O7" s="1">
        <v>1</v>
      </c>
      <c r="P7" s="1">
        <f>'표준점수 등급컷 입력기능'!K16</f>
        <v>65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입력기능'!K17</f>
        <v>62</v>
      </c>
    </row>
    <row r="9" spans="1:16" ht="25" customHeight="1">
      <c r="A9" s="5"/>
      <c r="B9" s="24"/>
      <c r="C9" s="49">
        <v>48</v>
      </c>
      <c r="D9" s="50">
        <f>ROUND(10*(C9-$H$3)/$H$4+50,0)</f>
        <v>65</v>
      </c>
      <c r="E9" s="50">
        <f t="shared" si="0"/>
        <v>1</v>
      </c>
      <c r="F9" s="51">
        <f>IF(I8=0,ROUND(100*(1-(I7+I9)/2/$J$3),0),ROUND(100*(1-(I8+I9)/2/$J$3),0))</f>
        <v>97</v>
      </c>
      <c r="G9" s="52">
        <f>_xlfn.IFNA(VLOOKUP(D9,'인원 입력 기능'!$AK$5:$AN$55,4,FALSE),0)</f>
        <v>417</v>
      </c>
      <c r="H9" s="53">
        <f>G9/$J$3</f>
        <v>1.3939495236503426E-2</v>
      </c>
      <c r="I9" s="57">
        <f>SUM($G$7:G9)</f>
        <v>1215</v>
      </c>
      <c r="J9" s="55">
        <f>I9/$J$3</f>
        <v>4.0615076048804946E-2</v>
      </c>
      <c r="K9" s="25"/>
      <c r="M9" s="1"/>
      <c r="O9" s="1">
        <v>3</v>
      </c>
      <c r="P9" s="1">
        <f>'표준점수 등급컷 입력기능'!K18</f>
        <v>59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64</v>
      </c>
      <c r="E10" s="50">
        <f t="shared" si="0"/>
        <v>2</v>
      </c>
      <c r="F10" s="51">
        <f>IF(I9=0,ROUND(100*(1-(I8+I10)/2/$J$3),0),ROUND(100*(1-(I9+I10)/2/$J$3),0))</f>
        <v>94</v>
      </c>
      <c r="G10" s="52">
        <f>IF(D10=D9,"",_xlfn.IFNA(VLOOKUP(D10,'인원 입력 기능'!$AK$5:$AN$55,4,FALSE),0))</f>
        <v>1241</v>
      </c>
      <c r="H10" s="53">
        <f t="shared" ref="H10:H55" si="2">G10/$J$3</f>
        <v>4.1484205248203246E-2</v>
      </c>
      <c r="I10" s="57">
        <f>SUM($G$7:G10)</f>
        <v>2456</v>
      </c>
      <c r="J10" s="55">
        <f t="shared" ref="J10:J55" si="3">I10/$J$3</f>
        <v>8.2099281297008192E-2</v>
      </c>
      <c r="K10" s="25"/>
      <c r="M10" s="1"/>
      <c r="O10" s="1">
        <v>4</v>
      </c>
      <c r="P10" s="1">
        <f>'표준점수 등급컷 입력기능'!K19</f>
        <v>55</v>
      </c>
    </row>
    <row r="11" spans="1:16" ht="25" customHeight="1">
      <c r="A11" s="5"/>
      <c r="B11" s="24"/>
      <c r="C11" s="49">
        <v>46</v>
      </c>
      <c r="D11" s="50">
        <f t="shared" si="1"/>
        <v>63</v>
      </c>
      <c r="E11" s="50">
        <f t="shared" si="0"/>
        <v>2</v>
      </c>
      <c r="F11" s="51">
        <f t="shared" ref="F11:F55" si="4">IF(I10=0,ROUND(100*(1-(I9+I11)/2/$J$3),0),ROUND(100*(1-(I10+I11)/2/$J$3),0))</f>
        <v>92</v>
      </c>
      <c r="G11" s="52">
        <f>IF(D11=D10,"",_xlfn.IFNA(VLOOKUP(D11,'인원 입력 기능'!$AK$5:$AN$55,4,FALSE),0))</f>
        <v>100</v>
      </c>
      <c r="H11" s="53">
        <f t="shared" si="2"/>
        <v>3.3428046130703662E-3</v>
      </c>
      <c r="I11" s="57">
        <f>SUM($G$7:G11)</f>
        <v>2556</v>
      </c>
      <c r="J11" s="55">
        <f t="shared" si="3"/>
        <v>8.5442085910078555E-2</v>
      </c>
      <c r="K11" s="25"/>
      <c r="M11" s="1"/>
      <c r="O11" s="1">
        <v>5</v>
      </c>
      <c r="P11" s="1">
        <f>'표준점수 등급컷 입력기능'!K20</f>
        <v>47</v>
      </c>
    </row>
    <row r="12" spans="1:16" ht="25" customHeight="1">
      <c r="A12" s="5"/>
      <c r="B12" s="24"/>
      <c r="C12" s="56">
        <v>45</v>
      </c>
      <c r="D12" s="261">
        <f t="shared" si="1"/>
        <v>62</v>
      </c>
      <c r="E12" s="261">
        <f t="shared" si="0"/>
        <v>2</v>
      </c>
      <c r="F12" s="263">
        <f t="shared" si="4"/>
        <v>88</v>
      </c>
      <c r="G12" s="265">
        <f>IF(D12=D11,"",_xlfn.IFNA(VLOOKUP(D12,'인원 입력 기능'!$AK$5:$AN$55,4,FALSE),0))</f>
        <v>2278</v>
      </c>
      <c r="H12" s="266">
        <f t="shared" si="2"/>
        <v>7.6149089085742944E-2</v>
      </c>
      <c r="I12" s="268">
        <f>SUM($G$7:G12)</f>
        <v>4834</v>
      </c>
      <c r="J12" s="270">
        <f t="shared" si="3"/>
        <v>0.16159117499582148</v>
      </c>
      <c r="K12" s="25"/>
      <c r="M12" s="1"/>
      <c r="O12" s="1">
        <v>6</v>
      </c>
      <c r="P12" s="1">
        <f>'표준점수 등급컷 입력기능'!K21</f>
        <v>40</v>
      </c>
    </row>
    <row r="13" spans="1:16" ht="25" customHeight="1">
      <c r="A13" s="5"/>
      <c r="B13" s="24"/>
      <c r="C13" s="49">
        <v>44</v>
      </c>
      <c r="D13" s="260"/>
      <c r="E13" s="260"/>
      <c r="F13" s="262"/>
      <c r="G13" s="264"/>
      <c r="H13" s="267"/>
      <c r="I13" s="269"/>
      <c r="J13" s="271"/>
      <c r="K13" s="25"/>
      <c r="M13" s="1"/>
      <c r="O13" s="1">
        <v>7</v>
      </c>
      <c r="P13" s="1">
        <f>'표준점수 등급컷 입력기능'!K22</f>
        <v>37</v>
      </c>
    </row>
    <row r="14" spans="1:16" ht="25" customHeight="1">
      <c r="A14" s="5"/>
      <c r="B14" s="24"/>
      <c r="C14" s="56">
        <v>43</v>
      </c>
      <c r="D14" s="50">
        <f t="shared" si="1"/>
        <v>61</v>
      </c>
      <c r="E14" s="50">
        <f t="shared" si="0"/>
        <v>3</v>
      </c>
      <c r="F14" s="51">
        <f t="shared" si="4"/>
        <v>83</v>
      </c>
      <c r="G14" s="52">
        <f>IF(D14=D13,"",_xlfn.IFNA(VLOOKUP(D14,'인원 입력 기능'!$AK$5:$AN$55,4,FALSE),0))</f>
        <v>387</v>
      </c>
      <c r="H14" s="53">
        <f t="shared" si="2"/>
        <v>1.2936653852582317E-2</v>
      </c>
      <c r="I14" s="57">
        <f>SUM($G$7:G14)</f>
        <v>5221</v>
      </c>
      <c r="J14" s="55">
        <f t="shared" si="3"/>
        <v>0.17452782884840382</v>
      </c>
      <c r="K14" s="25"/>
      <c r="M14" s="1"/>
      <c r="O14" s="1">
        <v>8</v>
      </c>
      <c r="P14" s="1">
        <f>'표준점수 등급컷 입력기능'!K23</f>
        <v>34</v>
      </c>
    </row>
    <row r="15" spans="1:16" ht="25" customHeight="1">
      <c r="A15" s="5"/>
      <c r="B15" s="24"/>
      <c r="C15" s="49">
        <v>42</v>
      </c>
      <c r="D15" s="50">
        <f t="shared" si="1"/>
        <v>60</v>
      </c>
      <c r="E15" s="50">
        <f t="shared" si="0"/>
        <v>3</v>
      </c>
      <c r="F15" s="51">
        <f t="shared" si="4"/>
        <v>80</v>
      </c>
      <c r="G15" s="52">
        <f>IF(D15=D14,"",_xlfn.IFNA(VLOOKUP(D15,'인원 입력 기능'!$AK$5:$AN$55,4,FALSE),0))</f>
        <v>1450</v>
      </c>
      <c r="H15" s="53">
        <f t="shared" si="2"/>
        <v>4.8470666889520307E-2</v>
      </c>
      <c r="I15" s="57">
        <f>SUM($G$7:G15)</f>
        <v>6671</v>
      </c>
      <c r="J15" s="55">
        <f t="shared" si="3"/>
        <v>0.22299849573792413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1">
        <f t="shared" si="1"/>
        <v>59</v>
      </c>
      <c r="E16" s="261">
        <f t="shared" si="0"/>
        <v>3</v>
      </c>
      <c r="F16" s="263">
        <f t="shared" si="4"/>
        <v>75</v>
      </c>
      <c r="G16" s="265">
        <f>IF(D16=D15,"",_xlfn.IFNA(VLOOKUP(D16,'인원 입력 기능'!$AK$5:$AN$55,4,FALSE),0))</f>
        <v>1509</v>
      </c>
      <c r="H16" s="266">
        <f t="shared" si="2"/>
        <v>5.0442921611231824E-2</v>
      </c>
      <c r="I16" s="268">
        <f>SUM($G$7:G16)</f>
        <v>8180</v>
      </c>
      <c r="J16" s="270">
        <f t="shared" si="3"/>
        <v>0.27344141734915595</v>
      </c>
      <c r="K16" s="25"/>
      <c r="M16" s="1"/>
    </row>
    <row r="17" spans="1:16" ht="25" customHeight="1">
      <c r="A17" s="5"/>
      <c r="B17" s="24"/>
      <c r="C17" s="49">
        <v>40</v>
      </c>
      <c r="D17" s="260"/>
      <c r="E17" s="260"/>
      <c r="F17" s="262"/>
      <c r="G17" s="264"/>
      <c r="H17" s="267"/>
      <c r="I17" s="269"/>
      <c r="J17" s="271"/>
      <c r="K17" s="25"/>
      <c r="M17" s="1"/>
      <c r="P17" s="1">
        <f>H3*H4*J3*P7*IFERROR(IF(J57=1, 1, 0), 0)</f>
        <v>736313376.01250005</v>
      </c>
    </row>
    <row r="18" spans="1:16" ht="25" customHeight="1">
      <c r="A18" s="5"/>
      <c r="B18" s="24"/>
      <c r="C18" s="56">
        <v>39</v>
      </c>
      <c r="D18" s="50">
        <f t="shared" si="1"/>
        <v>58</v>
      </c>
      <c r="E18" s="50">
        <f t="shared" si="0"/>
        <v>4</v>
      </c>
      <c r="F18" s="51">
        <f t="shared" si="4"/>
        <v>71</v>
      </c>
      <c r="G18" s="52">
        <f>IF(D18=D17,"",_xlfn.IFNA(VLOOKUP(D18,'인원 입력 기능'!$AK$5:$AN$55,4,FALSE),0))</f>
        <v>1172</v>
      </c>
      <c r="H18" s="53">
        <f t="shared" si="2"/>
        <v>3.9177670065184689E-2</v>
      </c>
      <c r="I18" s="57">
        <f>SUM($G$7:G18)</f>
        <v>9352</v>
      </c>
      <c r="J18" s="55">
        <f t="shared" si="3"/>
        <v>0.31261908741434064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57</v>
      </c>
      <c r="E19" s="50">
        <f t="shared" si="0"/>
        <v>4</v>
      </c>
      <c r="F19" s="51">
        <f t="shared" si="4"/>
        <v>68</v>
      </c>
      <c r="G19" s="52">
        <f>IF(D19=D18,"",_xlfn.IFNA(VLOOKUP(D19,'인원 입력 기능'!$AK$5:$AN$55,4,FALSE),0))</f>
        <v>554</v>
      </c>
      <c r="H19" s="53">
        <f t="shared" si="2"/>
        <v>1.8519137556409829E-2</v>
      </c>
      <c r="I19" s="57">
        <f>SUM($G$7:G19)</f>
        <v>9906</v>
      </c>
      <c r="J19" s="55">
        <f t="shared" si="3"/>
        <v>0.33113822497075046</v>
      </c>
      <c r="K19" s="25"/>
      <c r="M19" s="1"/>
    </row>
    <row r="20" spans="1:16" ht="25" customHeight="1">
      <c r="A20" s="5"/>
      <c r="B20" s="24"/>
      <c r="C20" s="56">
        <v>37</v>
      </c>
      <c r="D20" s="261">
        <f t="shared" si="1"/>
        <v>56</v>
      </c>
      <c r="E20" s="261">
        <f t="shared" si="0"/>
        <v>4</v>
      </c>
      <c r="F20" s="263">
        <f t="shared" si="4"/>
        <v>64</v>
      </c>
      <c r="G20" s="265">
        <f>IF(D20=D19,"",_xlfn.IFNA(VLOOKUP(D20,'인원 입력 기능'!$AK$5:$AN$55,4,FALSE),0))</f>
        <v>1635</v>
      </c>
      <c r="H20" s="266">
        <f t="shared" si="2"/>
        <v>5.4654855423700487E-2</v>
      </c>
      <c r="I20" s="268">
        <f>SUM($G$7:G20)</f>
        <v>11541</v>
      </c>
      <c r="J20" s="270">
        <f t="shared" si="3"/>
        <v>0.38579308039445093</v>
      </c>
      <c r="K20" s="25"/>
      <c r="M20" s="1"/>
    </row>
    <row r="21" spans="1:16" ht="25" customHeight="1">
      <c r="A21" s="5"/>
      <c r="B21" s="24"/>
      <c r="C21" s="58">
        <v>36</v>
      </c>
      <c r="D21" s="260"/>
      <c r="E21" s="260"/>
      <c r="F21" s="262"/>
      <c r="G21" s="264"/>
      <c r="H21" s="267"/>
      <c r="I21" s="269"/>
      <c r="J21" s="271"/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55</v>
      </c>
      <c r="E22" s="60">
        <f t="shared" si="0"/>
        <v>4</v>
      </c>
      <c r="F22" s="51">
        <f t="shared" si="4"/>
        <v>60</v>
      </c>
      <c r="G22" s="52">
        <f>IF(D22=D21,"",_xlfn.IFNA(VLOOKUP(D22,'인원 입력 기능'!$AK$5:$AN$55,4,FALSE),0))</f>
        <v>592</v>
      </c>
      <c r="H22" s="53">
        <f t="shared" si="2"/>
        <v>1.9789403309376567E-2</v>
      </c>
      <c r="I22" s="57">
        <f>SUM($G$7:G22)</f>
        <v>12133</v>
      </c>
      <c r="J22" s="55">
        <f t="shared" si="3"/>
        <v>0.40558248370382749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54</v>
      </c>
      <c r="E23" s="60">
        <f t="shared" si="0"/>
        <v>5</v>
      </c>
      <c r="F23" s="51">
        <f t="shared" si="4"/>
        <v>58</v>
      </c>
      <c r="G23" s="52">
        <f>IF(D23=D22,"",_xlfn.IFNA(VLOOKUP(D23,'인원 입력 기능'!$AK$5:$AN$55,4,FALSE),0))</f>
        <v>771</v>
      </c>
      <c r="H23" s="53">
        <f t="shared" si="2"/>
        <v>2.5773023566772524E-2</v>
      </c>
      <c r="I23" s="57">
        <f>SUM($G$7:G23)</f>
        <v>12904</v>
      </c>
      <c r="J23" s="55">
        <f t="shared" si="3"/>
        <v>0.43135550727060001</v>
      </c>
      <c r="K23" s="25"/>
      <c r="M23" s="1"/>
    </row>
    <row r="24" spans="1:16" ht="25" customHeight="1">
      <c r="A24" s="5"/>
      <c r="B24" s="24"/>
      <c r="C24" s="59">
        <v>33</v>
      </c>
      <c r="D24" s="273">
        <f t="shared" si="1"/>
        <v>53</v>
      </c>
      <c r="E24" s="273">
        <f t="shared" si="0"/>
        <v>5</v>
      </c>
      <c r="F24" s="263">
        <f t="shared" si="4"/>
        <v>55</v>
      </c>
      <c r="G24" s="265">
        <f>IF(D24=D23,"",_xlfn.IFNA(VLOOKUP(D24,'인원 입력 기능'!$AK$5:$AN$55,4,FALSE),0))</f>
        <v>1119</v>
      </c>
      <c r="H24" s="266">
        <f t="shared" si="2"/>
        <v>3.7405983620257398E-2</v>
      </c>
      <c r="I24" s="268">
        <f>SUM($G$7:G24)</f>
        <v>14023</v>
      </c>
      <c r="J24" s="270">
        <f t="shared" si="3"/>
        <v>0.46876149089085745</v>
      </c>
      <c r="K24" s="25"/>
      <c r="M24" s="1"/>
    </row>
    <row r="25" spans="1:16" ht="25" customHeight="1">
      <c r="A25" s="5"/>
      <c r="B25" s="24"/>
      <c r="C25" s="58">
        <v>32</v>
      </c>
      <c r="D25" s="272"/>
      <c r="E25" s="272"/>
      <c r="F25" s="262"/>
      <c r="G25" s="264"/>
      <c r="H25" s="267"/>
      <c r="I25" s="269"/>
      <c r="J25" s="271"/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52</v>
      </c>
      <c r="E26" s="60">
        <f t="shared" si="0"/>
        <v>5</v>
      </c>
      <c r="F26" s="51">
        <f t="shared" si="4"/>
        <v>52</v>
      </c>
      <c r="G26" s="52">
        <f>IF(D26=D25,"",_xlfn.IFNA(VLOOKUP(D26,'인원 입력 기능'!$AK$5:$AN$55,4,FALSE),0))</f>
        <v>559</v>
      </c>
      <c r="H26" s="53">
        <f t="shared" si="2"/>
        <v>1.8686277787063346E-2</v>
      </c>
      <c r="I26" s="57">
        <f>SUM($G$7:G26)</f>
        <v>14582</v>
      </c>
      <c r="J26" s="55">
        <f t="shared" si="3"/>
        <v>0.48744776867792078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51</v>
      </c>
      <c r="E27" s="60">
        <f t="shared" si="0"/>
        <v>5</v>
      </c>
      <c r="F27" s="51">
        <f t="shared" si="4"/>
        <v>50</v>
      </c>
      <c r="G27" s="52">
        <f>IF(D27=D26,"",_xlfn.IFNA(VLOOKUP(D27,'인원 입력 기능'!$AK$5:$AN$55,4,FALSE),0))</f>
        <v>478</v>
      </c>
      <c r="H27" s="53">
        <f t="shared" si="2"/>
        <v>1.5978606050476348E-2</v>
      </c>
      <c r="I27" s="57">
        <f>SUM($G$7:G27)</f>
        <v>15060</v>
      </c>
      <c r="J27" s="55">
        <f t="shared" si="3"/>
        <v>0.50342637472839713</v>
      </c>
      <c r="K27" s="25"/>
      <c r="M27" s="1"/>
    </row>
    <row r="28" spans="1:16" ht="25" customHeight="1">
      <c r="A28" s="5"/>
      <c r="B28" s="24"/>
      <c r="C28" s="59">
        <v>29</v>
      </c>
      <c r="D28" s="273">
        <f t="shared" si="1"/>
        <v>50</v>
      </c>
      <c r="E28" s="273">
        <f t="shared" si="0"/>
        <v>5</v>
      </c>
      <c r="F28" s="263">
        <f t="shared" si="4"/>
        <v>48</v>
      </c>
      <c r="G28" s="265">
        <f>IF(D28=D27,"",_xlfn.IFNA(VLOOKUP(D28,'인원 입력 기능'!$AK$5:$AN$55,4,FALSE),0))</f>
        <v>967</v>
      </c>
      <c r="H28" s="266">
        <f t="shared" si="2"/>
        <v>3.2324920608390442E-2</v>
      </c>
      <c r="I28" s="268">
        <f>SUM($G$7:G28)</f>
        <v>16027</v>
      </c>
      <c r="J28" s="270">
        <f t="shared" si="3"/>
        <v>0.53575129533678756</v>
      </c>
      <c r="K28" s="25"/>
      <c r="M28" s="1"/>
    </row>
    <row r="29" spans="1:16" ht="25" customHeight="1">
      <c r="A29" s="5"/>
      <c r="B29" s="24"/>
      <c r="C29" s="58">
        <v>28</v>
      </c>
      <c r="D29" s="272"/>
      <c r="E29" s="272"/>
      <c r="F29" s="262"/>
      <c r="G29" s="264"/>
      <c r="H29" s="267"/>
      <c r="I29" s="269"/>
      <c r="J29" s="271"/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49</v>
      </c>
      <c r="E30" s="60">
        <f t="shared" si="0"/>
        <v>5</v>
      </c>
      <c r="F30" s="51">
        <f t="shared" si="4"/>
        <v>46</v>
      </c>
      <c r="G30" s="52">
        <f>IF(D30=D29,"",_xlfn.IFNA(VLOOKUP(D30,'인원 입력 기능'!$AK$5:$AN$55,4,FALSE),0))</f>
        <v>496</v>
      </c>
      <c r="H30" s="53">
        <f t="shared" si="2"/>
        <v>1.6580310880829015E-2</v>
      </c>
      <c r="I30" s="57">
        <f>SUM($G$7:G30)</f>
        <v>16523</v>
      </c>
      <c r="J30" s="55">
        <f t="shared" si="3"/>
        <v>0.55233160621761657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48</v>
      </c>
      <c r="E31" s="60">
        <f t="shared" si="0"/>
        <v>5</v>
      </c>
      <c r="F31" s="51">
        <f t="shared" si="4"/>
        <v>44</v>
      </c>
      <c r="G31" s="52">
        <f>IF(D31=D30,"",_xlfn.IFNA(VLOOKUP(D31,'인원 입력 기능'!$AK$5:$AN$55,4,FALSE),0))</f>
        <v>539</v>
      </c>
      <c r="H31" s="53">
        <f t="shared" si="2"/>
        <v>1.8017716864449272E-2</v>
      </c>
      <c r="I31" s="57">
        <f>SUM($G$7:G31)</f>
        <v>17062</v>
      </c>
      <c r="J31" s="55">
        <f t="shared" si="3"/>
        <v>0.57034932308206587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47</v>
      </c>
      <c r="E32" s="273">
        <f t="shared" si="0"/>
        <v>5</v>
      </c>
      <c r="F32" s="263">
        <f t="shared" si="4"/>
        <v>41</v>
      </c>
      <c r="G32" s="265">
        <f>IF(D32=D31,"",_xlfn.IFNA(VLOOKUP(D32,'인원 입력 기능'!$AK$5:$AN$55,4,FALSE),0))</f>
        <v>1078</v>
      </c>
      <c r="H32" s="266">
        <f t="shared" si="2"/>
        <v>3.6035433728898544E-2</v>
      </c>
      <c r="I32" s="268">
        <f>SUM($G$7:G32)</f>
        <v>18140</v>
      </c>
      <c r="J32" s="270">
        <f t="shared" si="3"/>
        <v>0.60638475681096438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46</v>
      </c>
      <c r="E34" s="60">
        <f t="shared" si="0"/>
        <v>6</v>
      </c>
      <c r="F34" s="51">
        <f t="shared" si="4"/>
        <v>39</v>
      </c>
      <c r="G34" s="52">
        <f>IF(D34=D33,"",_xlfn.IFNA(VLOOKUP(D34,'인원 입력 기능'!$AK$5:$AN$55,4,FALSE),0))</f>
        <v>496</v>
      </c>
      <c r="H34" s="53">
        <f t="shared" si="2"/>
        <v>1.6580310880829015E-2</v>
      </c>
      <c r="I34" s="57">
        <f>SUM($G$7:G34)</f>
        <v>18636</v>
      </c>
      <c r="J34" s="55">
        <f t="shared" si="3"/>
        <v>0.62296506769179338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45</v>
      </c>
      <c r="E35" s="60">
        <f t="shared" si="0"/>
        <v>6</v>
      </c>
      <c r="F35" s="51">
        <f t="shared" si="4"/>
        <v>37</v>
      </c>
      <c r="G35" s="52">
        <f>IF(D35=D34,"",_xlfn.IFNA(VLOOKUP(D35,'인원 입력 기능'!$AK$5:$AN$55,4,FALSE),0))</f>
        <v>593</v>
      </c>
      <c r="H35" s="53">
        <f t="shared" si="2"/>
        <v>1.9822831355507272E-2</v>
      </c>
      <c r="I35" s="57">
        <f>SUM($G$7:G35)</f>
        <v>19229</v>
      </c>
      <c r="J35" s="55">
        <f t="shared" si="3"/>
        <v>0.64278789904730071</v>
      </c>
      <c r="K35" s="25"/>
      <c r="M35" s="1"/>
    </row>
    <row r="36" spans="1:13" ht="25" customHeight="1">
      <c r="A36" s="5"/>
      <c r="B36" s="24"/>
      <c r="C36" s="59">
        <v>21</v>
      </c>
      <c r="D36" s="273">
        <f t="shared" si="1"/>
        <v>44</v>
      </c>
      <c r="E36" s="273">
        <f t="shared" si="0"/>
        <v>6</v>
      </c>
      <c r="F36" s="263">
        <f t="shared" si="4"/>
        <v>34</v>
      </c>
      <c r="G36" s="265">
        <f>IF(D36=D35,"",_xlfn.IFNA(VLOOKUP(D36,'인원 입력 기능'!$AK$5:$AN$55,4,FALSE),0))</f>
        <v>1160</v>
      </c>
      <c r="H36" s="266">
        <f t="shared" si="2"/>
        <v>3.8776533511616244E-2</v>
      </c>
      <c r="I36" s="268">
        <f>SUM($G$7:G36)</f>
        <v>20389</v>
      </c>
      <c r="J36" s="270">
        <f t="shared" si="3"/>
        <v>0.68156443255891697</v>
      </c>
      <c r="K36" s="25"/>
      <c r="M36" s="1"/>
    </row>
    <row r="37" spans="1:13" ht="25" customHeight="1">
      <c r="A37" s="5"/>
      <c r="B37" s="24"/>
      <c r="C37" s="58">
        <v>20</v>
      </c>
      <c r="D37" s="272"/>
      <c r="E37" s="272"/>
      <c r="F37" s="262"/>
      <c r="G37" s="264"/>
      <c r="H37" s="267"/>
      <c r="I37" s="269"/>
      <c r="J37" s="271"/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43</v>
      </c>
      <c r="E38" s="60">
        <f t="shared" si="0"/>
        <v>6</v>
      </c>
      <c r="F38" s="51">
        <f t="shared" si="4"/>
        <v>31</v>
      </c>
      <c r="G38" s="52">
        <f>IF(D38=D37,"",_xlfn.IFNA(VLOOKUP(D38,'인원 입력 기능'!$AK$5:$AN$55,4,FALSE),0))</f>
        <v>677</v>
      </c>
      <c r="H38" s="53">
        <f t="shared" si="2"/>
        <v>2.2630787230486379E-2</v>
      </c>
      <c r="I38" s="57">
        <f>SUM($G$7:G38)</f>
        <v>21066</v>
      </c>
      <c r="J38" s="55">
        <f t="shared" si="3"/>
        <v>0.70419521978940336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42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29</v>
      </c>
      <c r="G39" s="52">
        <f>IF(D39=D38,"",_xlfn.IFNA(VLOOKUP(D39,'인원 입력 기능'!$AK$5:$AN$55,4,FALSE),0))</f>
        <v>600</v>
      </c>
      <c r="H39" s="53">
        <f t="shared" si="2"/>
        <v>2.0056827678422196E-2</v>
      </c>
      <c r="I39" s="57">
        <f>SUM($G$7:G39)</f>
        <v>21666</v>
      </c>
      <c r="J39" s="55">
        <f t="shared" si="3"/>
        <v>0.72425204746782545</v>
      </c>
      <c r="K39" s="25"/>
      <c r="M39" s="1"/>
    </row>
    <row r="40" spans="1:13" ht="25" customHeight="1">
      <c r="A40" s="5"/>
      <c r="B40" s="24"/>
      <c r="C40" s="59">
        <v>17</v>
      </c>
      <c r="D40" s="273">
        <f t="shared" si="1"/>
        <v>41</v>
      </c>
      <c r="E40" s="273">
        <f t="shared" si="5"/>
        <v>6</v>
      </c>
      <c r="F40" s="263">
        <f t="shared" si="4"/>
        <v>25</v>
      </c>
      <c r="G40" s="265">
        <f>IF(D40=D39,"",_xlfn.IFNA(VLOOKUP(D40,'인원 입력 기능'!$AK$5:$AN$55,4,FALSE),0))</f>
        <v>1352</v>
      </c>
      <c r="H40" s="266">
        <f t="shared" si="2"/>
        <v>4.5194718368711348E-2</v>
      </c>
      <c r="I40" s="268">
        <f>SUM($G$7:G40)</f>
        <v>23018</v>
      </c>
      <c r="J40" s="270">
        <f t="shared" si="3"/>
        <v>0.76944676583653682</v>
      </c>
      <c r="K40" s="25"/>
      <c r="M40" s="1"/>
    </row>
    <row r="41" spans="1:13" ht="25" customHeight="1">
      <c r="A41" s="5"/>
      <c r="B41" s="24"/>
      <c r="C41" s="58">
        <v>16</v>
      </c>
      <c r="D41" s="272"/>
      <c r="E41" s="272"/>
      <c r="F41" s="262"/>
      <c r="G41" s="264"/>
      <c r="H41" s="267"/>
      <c r="I41" s="269"/>
      <c r="J41" s="271"/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40</v>
      </c>
      <c r="E42" s="60">
        <f t="shared" si="5"/>
        <v>6</v>
      </c>
      <c r="F42" s="51">
        <f t="shared" si="4"/>
        <v>22</v>
      </c>
      <c r="G42" s="52">
        <f>IF(D42=D41,"",_xlfn.IFNA(VLOOKUP(D42,'인원 입력 기능'!$AK$5:$AN$55,4,FALSE),0))</f>
        <v>737</v>
      </c>
      <c r="H42" s="53">
        <f t="shared" si="2"/>
        <v>2.4636469998328598E-2</v>
      </c>
      <c r="I42" s="57">
        <f>SUM($G$7:G42)</f>
        <v>23755</v>
      </c>
      <c r="J42" s="55">
        <f t="shared" si="3"/>
        <v>0.7940832358348654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39</v>
      </c>
      <c r="E43" s="60">
        <f t="shared" si="5"/>
        <v>7</v>
      </c>
      <c r="F43" s="51">
        <f t="shared" si="4"/>
        <v>20</v>
      </c>
      <c r="G43" s="52">
        <f>IF(D43=D42,"",_xlfn.IFNA(VLOOKUP(D43,'인원 입력 기능'!$AK$5:$AN$55,4,FALSE),0))</f>
        <v>646</v>
      </c>
      <c r="H43" s="53">
        <f t="shared" si="2"/>
        <v>2.1594517800434563E-2</v>
      </c>
      <c r="I43" s="57">
        <f>SUM($G$7:G43)</f>
        <v>24401</v>
      </c>
      <c r="J43" s="55">
        <f t="shared" si="3"/>
        <v>0.81567775363530004</v>
      </c>
      <c r="K43" s="25"/>
      <c r="M43" s="1"/>
    </row>
    <row r="44" spans="1:13" ht="25" customHeight="1">
      <c r="A44" s="5"/>
      <c r="B44" s="24"/>
      <c r="C44" s="59">
        <v>13</v>
      </c>
      <c r="D44" s="273">
        <f t="shared" si="1"/>
        <v>38</v>
      </c>
      <c r="E44" s="273">
        <f t="shared" si="5"/>
        <v>7</v>
      </c>
      <c r="F44" s="263">
        <f t="shared" si="4"/>
        <v>15</v>
      </c>
      <c r="G44" s="265">
        <f>IF(D44=D43,"",_xlfn.IFNA(VLOOKUP(D44,'인원 입력 기능'!$AK$5:$AN$55,4,FALSE),0))</f>
        <v>1791</v>
      </c>
      <c r="H44" s="266">
        <f t="shared" si="2"/>
        <v>5.9869630620090257E-2</v>
      </c>
      <c r="I44" s="268">
        <f>SUM($G$7:G44)</f>
        <v>26192</v>
      </c>
      <c r="J44" s="270">
        <f t="shared" si="3"/>
        <v>0.87554738425539025</v>
      </c>
      <c r="K44" s="25"/>
      <c r="M44" s="1"/>
    </row>
    <row r="45" spans="1:13" ht="25" customHeight="1">
      <c r="A45" s="5"/>
      <c r="B45" s="24"/>
      <c r="C45" s="58">
        <v>12</v>
      </c>
      <c r="D45" s="272"/>
      <c r="E45" s="272"/>
      <c r="F45" s="262"/>
      <c r="G45" s="264"/>
      <c r="H45" s="267"/>
      <c r="I45" s="269"/>
      <c r="J45" s="271"/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37</v>
      </c>
      <c r="E46" s="60">
        <f t="shared" si="5"/>
        <v>7</v>
      </c>
      <c r="F46" s="51">
        <f t="shared" si="4"/>
        <v>11</v>
      </c>
      <c r="G46" s="52">
        <f>IF(D46=D45,"",_xlfn.IFNA(VLOOKUP(D46,'인원 입력 기능'!$AK$5:$AN$55,4,FALSE),0))</f>
        <v>583</v>
      </c>
      <c r="H46" s="53">
        <f t="shared" si="2"/>
        <v>1.9488550894200235E-2</v>
      </c>
      <c r="I46" s="57">
        <f>SUM($G$7:G46)</f>
        <v>26775</v>
      </c>
      <c r="J46" s="55">
        <f t="shared" si="3"/>
        <v>0.89503593514959046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36</v>
      </c>
      <c r="E47" s="60">
        <f t="shared" si="5"/>
        <v>8</v>
      </c>
      <c r="F47" s="51">
        <f t="shared" si="4"/>
        <v>10</v>
      </c>
      <c r="G47" s="52">
        <f>IF(D47=D46,"",_xlfn.IFNA(VLOOKUP(D47,'인원 입력 기능'!$AK$5:$AN$55,4,FALSE),0))</f>
        <v>579</v>
      </c>
      <c r="H47" s="53">
        <f t="shared" si="2"/>
        <v>1.935483870967742E-2</v>
      </c>
      <c r="I47" s="57">
        <f>SUM($G$7:G47)</f>
        <v>27354</v>
      </c>
      <c r="J47" s="55">
        <f t="shared" si="3"/>
        <v>0.91439077385926792</v>
      </c>
      <c r="K47" s="25"/>
      <c r="M47" s="1"/>
    </row>
    <row r="48" spans="1:13" ht="25" customHeight="1">
      <c r="A48" s="5"/>
      <c r="B48" s="24"/>
      <c r="C48" s="59">
        <v>9</v>
      </c>
      <c r="D48" s="273">
        <f t="shared" si="1"/>
        <v>35</v>
      </c>
      <c r="E48" s="273">
        <f t="shared" si="5"/>
        <v>8</v>
      </c>
      <c r="F48" s="263">
        <f t="shared" si="4"/>
        <v>7</v>
      </c>
      <c r="G48" s="265">
        <f>IF(D48=D47,"",_xlfn.IFNA(VLOOKUP(D48,'인원 입력 기능'!$AK$5:$AN$55,4,FALSE),0))</f>
        <v>948</v>
      </c>
      <c r="H48" s="266">
        <f t="shared" si="2"/>
        <v>3.1689787731907067E-2</v>
      </c>
      <c r="I48" s="268">
        <f>SUM($G$7:G48)</f>
        <v>28302</v>
      </c>
      <c r="J48" s="270">
        <f t="shared" si="3"/>
        <v>0.94608056159117504</v>
      </c>
      <c r="K48" s="25"/>
      <c r="M48" s="1"/>
    </row>
    <row r="49" spans="1:13" ht="25" customHeight="1">
      <c r="A49" s="5"/>
      <c r="B49" s="24"/>
      <c r="C49" s="58">
        <v>8</v>
      </c>
      <c r="D49" s="272"/>
      <c r="E49" s="272"/>
      <c r="F49" s="262"/>
      <c r="G49" s="264"/>
      <c r="H49" s="267"/>
      <c r="I49" s="269"/>
      <c r="J49" s="271"/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34</v>
      </c>
      <c r="E50" s="60">
        <f t="shared" si="5"/>
        <v>8</v>
      </c>
      <c r="F50" s="51">
        <f t="shared" si="4"/>
        <v>4</v>
      </c>
      <c r="G50" s="52">
        <f>IF(D50=D49,"",_xlfn.IFNA(VLOOKUP(D50,'인원 입력 기능'!$AK$5:$AN$55,4,FALSE),0))</f>
        <v>864</v>
      </c>
      <c r="H50" s="53">
        <f t="shared" si="2"/>
        <v>2.8881831856927963E-2</v>
      </c>
      <c r="I50" s="57">
        <f>SUM($G$7:G50)</f>
        <v>29166</v>
      </c>
      <c r="J50" s="55">
        <f t="shared" si="3"/>
        <v>0.97496239344810298</v>
      </c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33</v>
      </c>
      <c r="E51" s="60">
        <f t="shared" si="5"/>
        <v>9</v>
      </c>
      <c r="F51" s="51">
        <f t="shared" si="4"/>
        <v>2</v>
      </c>
      <c r="G51" s="52">
        <f>IF(D51=D50,"",_xlfn.IFNA(VLOOKUP(D51,'인원 입력 기능'!$AK$5:$AN$55,4,FALSE),0))</f>
        <v>181</v>
      </c>
      <c r="H51" s="53">
        <f t="shared" si="2"/>
        <v>6.0504763496573629E-3</v>
      </c>
      <c r="I51" s="57">
        <f>SUM($G$7:G51)</f>
        <v>29347</v>
      </c>
      <c r="J51" s="55">
        <f t="shared" si="3"/>
        <v>0.98101286979776037</v>
      </c>
      <c r="K51" s="25"/>
      <c r="M51" s="1"/>
    </row>
    <row r="52" spans="1:13" ht="25" customHeight="1">
      <c r="A52" s="5"/>
      <c r="B52" s="24"/>
      <c r="C52" s="59">
        <v>5</v>
      </c>
      <c r="D52" s="273">
        <f t="shared" si="1"/>
        <v>32</v>
      </c>
      <c r="E52" s="273">
        <f t="shared" si="5"/>
        <v>9</v>
      </c>
      <c r="F52" s="263">
        <f t="shared" si="4"/>
        <v>1</v>
      </c>
      <c r="G52" s="265">
        <f>IF(D52=D51,"",_xlfn.IFNA(VLOOKUP(D52,'인원 입력 기능'!$AK$5:$AN$55,4,FALSE),0))</f>
        <v>374</v>
      </c>
      <c r="H52" s="266">
        <f t="shared" si="2"/>
        <v>1.2502089252883168E-2</v>
      </c>
      <c r="I52" s="268">
        <f>SUM($G$7:G52)</f>
        <v>29721</v>
      </c>
      <c r="J52" s="270">
        <f t="shared" si="3"/>
        <v>0.99351495905064346</v>
      </c>
      <c r="K52" s="25"/>
      <c r="M52" s="1"/>
    </row>
    <row r="53" spans="1:13" ht="25" customHeight="1">
      <c r="A53" s="5"/>
      <c r="B53" s="24"/>
      <c r="C53" s="49">
        <v>4</v>
      </c>
      <c r="D53" s="272"/>
      <c r="E53" s="272"/>
      <c r="F53" s="262"/>
      <c r="G53" s="264"/>
      <c r="H53" s="267"/>
      <c r="I53" s="269"/>
      <c r="J53" s="271"/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31</v>
      </c>
      <c r="E54" s="50">
        <f t="shared" si="5"/>
        <v>9</v>
      </c>
      <c r="F54" s="51">
        <f t="shared" si="4"/>
        <v>1</v>
      </c>
      <c r="G54" s="52">
        <f>IF(D54=D53,"",_xlfn.IFNA(VLOOKUP(D54,'인원 입력 기능'!$AK$5:$AN$55,4,FALSE),0))</f>
        <v>75</v>
      </c>
      <c r="H54" s="53">
        <f t="shared" si="2"/>
        <v>2.5071034598027745E-3</v>
      </c>
      <c r="I54" s="57">
        <f>SUM($G$7:G54)</f>
        <v>29796</v>
      </c>
      <c r="J54" s="55">
        <f t="shared" si="3"/>
        <v>0.99602206251044623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30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기능'!$AK$5:$AN$55,4,FALSE),0))</f>
        <v>80</v>
      </c>
      <c r="H55" s="53">
        <f t="shared" si="2"/>
        <v>2.674243690456293E-3</v>
      </c>
      <c r="I55" s="57">
        <f>SUM($G$7:G55)</f>
        <v>29876</v>
      </c>
      <c r="J55" s="55">
        <f t="shared" si="3"/>
        <v>0.99869630620090255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29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기능'!$AK$5:$AN$55,4,FALSE),0)</f>
        <v>39</v>
      </c>
      <c r="H57" s="69">
        <f>G57/J3</f>
        <v>1.3036937990974428E-3</v>
      </c>
      <c r="I57" s="70">
        <f>SUM($G$7:G57)</f>
        <v>29915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2">
    <mergeCell ref="I48:I49"/>
    <mergeCell ref="J48:J49"/>
    <mergeCell ref="D52:D53"/>
    <mergeCell ref="E52:E53"/>
    <mergeCell ref="F52:F53"/>
    <mergeCell ref="G52:G53"/>
    <mergeCell ref="H52:H53"/>
    <mergeCell ref="I52:I53"/>
    <mergeCell ref="J52:J53"/>
    <mergeCell ref="D48:D49"/>
    <mergeCell ref="E48:E49"/>
    <mergeCell ref="F48:F49"/>
    <mergeCell ref="G48:G49"/>
    <mergeCell ref="H48:H49"/>
    <mergeCell ref="I40:I41"/>
    <mergeCell ref="J40:J41"/>
    <mergeCell ref="D44:D45"/>
    <mergeCell ref="E44:E45"/>
    <mergeCell ref="F44:F45"/>
    <mergeCell ref="G44:G45"/>
    <mergeCell ref="H44:H45"/>
    <mergeCell ref="I44:I45"/>
    <mergeCell ref="J44:J45"/>
    <mergeCell ref="D40:D41"/>
    <mergeCell ref="E40:E41"/>
    <mergeCell ref="F40:F41"/>
    <mergeCell ref="G40:G41"/>
    <mergeCell ref="H40:H41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4:I25"/>
    <mergeCell ref="J24:J25"/>
    <mergeCell ref="D28:D29"/>
    <mergeCell ref="E28:E29"/>
    <mergeCell ref="F28:F29"/>
    <mergeCell ref="G28:G29"/>
    <mergeCell ref="H28:H29"/>
    <mergeCell ref="I28:I29"/>
    <mergeCell ref="J28:J29"/>
    <mergeCell ref="D24:D25"/>
    <mergeCell ref="E24:E25"/>
    <mergeCell ref="F24:F25"/>
    <mergeCell ref="G24:G25"/>
    <mergeCell ref="H24:H25"/>
    <mergeCell ref="H16:H17"/>
    <mergeCell ref="I16:I17"/>
    <mergeCell ref="J16:J17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56:J56"/>
    <mergeCell ref="D8:J8"/>
    <mergeCell ref="G5:J5"/>
    <mergeCell ref="D12:D13"/>
    <mergeCell ref="E12:E13"/>
    <mergeCell ref="F12:F13"/>
    <mergeCell ref="G12:G13"/>
    <mergeCell ref="H12:H13"/>
    <mergeCell ref="I12:I13"/>
    <mergeCell ref="J12:J13"/>
    <mergeCell ref="D16:D17"/>
    <mergeCell ref="E16:E17"/>
    <mergeCell ref="F16:F17"/>
    <mergeCell ref="G16:G17"/>
  </mergeCells>
  <phoneticPr fontId="1" type="noConversion"/>
  <conditionalFormatting sqref="D7:J7 D57:J57 D9:J12 D14:J16 D18:J20 D22:J24 D26:J28 D30:J32 D34:J36 D38:J40 D42:J44 D46:J48 D50:J52 D54:J55">
    <cfRule type="expression" dxfId="111" priority="7">
      <formula>OR($D7=$P$7:$P$14)</formula>
    </cfRule>
  </conditionalFormatting>
  <conditionalFormatting sqref="C7:C57">
    <cfRule type="expression" dxfId="110" priority="6">
      <formula>OR(AND($D7=0,OR($D6=$P$7:$P$14)),AND($D8&gt;0,OR($D7=$P$7:$P$14)))</formula>
    </cfRule>
  </conditionalFormatting>
  <conditionalFormatting sqref="D7 D57 D9:D12 D14:D16 D18:D20 D22:D24 D26:D28 D30:D32 D34:D36 D38:D40 D42:D44 D46:D48 D50:D52 D54:D55">
    <cfRule type="expression" dxfId="109" priority="5">
      <formula>$D7=$D8</formula>
    </cfRule>
  </conditionalFormatting>
  <conditionalFormatting sqref="D56">
    <cfRule type="expression" dxfId="108" priority="4">
      <formula>OR($D56=$P$7:$P$14)</formula>
    </cfRule>
  </conditionalFormatting>
  <conditionalFormatting sqref="D56">
    <cfRule type="expression" dxfId="107" priority="3">
      <formula>$D56=$D57</formula>
    </cfRule>
  </conditionalFormatting>
  <conditionalFormatting sqref="D8">
    <cfRule type="expression" dxfId="106" priority="2">
      <formula>OR($D8=$P$7:$P$14)</formula>
    </cfRule>
  </conditionalFormatting>
  <conditionalFormatting sqref="D8">
    <cfRule type="expression" dxfId="105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6"/>
  <dimension ref="A1:P105"/>
  <sheetViews>
    <sheetView tabSelected="1" topLeftCell="A8"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기능'!D12</f>
        <v>27.96</v>
      </c>
      <c r="I3" s="109" t="s">
        <v>54</v>
      </c>
      <c r="J3" s="110">
        <f>'통계 및 응시자 수 입력 기능'!C12</f>
        <v>164456</v>
      </c>
      <c r="K3" s="25"/>
    </row>
    <row r="4" spans="1:16" ht="25" customHeight="1" thickBot="1">
      <c r="A4" s="5"/>
      <c r="B4" s="24"/>
      <c r="C4" s="42" t="s">
        <v>55</v>
      </c>
      <c r="D4" s="242" t="s">
        <v>70</v>
      </c>
      <c r="E4" s="243"/>
      <c r="F4" s="244"/>
      <c r="G4" s="43" t="s">
        <v>57</v>
      </c>
      <c r="H4" s="108">
        <f>'통계 및 응시자 수 입력 기능'!E12</f>
        <v>11.38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69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기능'!$AP$5:$AS$55,4,FALSE),0)</f>
        <v>1033</v>
      </c>
      <c r="H7" s="53">
        <f>G7/J3</f>
        <v>6.2813153670282628E-3</v>
      </c>
      <c r="I7" s="54">
        <f>G7</f>
        <v>1033</v>
      </c>
      <c r="J7" s="55">
        <f>I7/J3</f>
        <v>6.2813153670282628E-3</v>
      </c>
      <c r="K7" s="25"/>
      <c r="M7" s="1"/>
      <c r="O7" s="1">
        <v>1</v>
      </c>
      <c r="P7" s="1">
        <f>'표준점수 등급컷 입력기능'!B28</f>
        <v>65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입력기능'!B29</f>
        <v>62</v>
      </c>
    </row>
    <row r="9" spans="1:16" ht="25" customHeight="1">
      <c r="A9" s="5"/>
      <c r="B9" s="24"/>
      <c r="C9" s="49">
        <v>48</v>
      </c>
      <c r="D9" s="50">
        <f>ROUND(10*(C9-$H$3)/$H$4+50,0)</f>
        <v>68</v>
      </c>
      <c r="E9" s="50">
        <f t="shared" si="0"/>
        <v>1</v>
      </c>
      <c r="F9" s="51">
        <f>IF(I8=0,ROUND(100*(1-(I7+I9)/2/$J$3),0),ROUND(100*(1-(I8+I9)/2/$J$3),0))</f>
        <v>99</v>
      </c>
      <c r="G9" s="52">
        <f>_xlfn.IFNA(VLOOKUP(D9,'인원 입력 기능'!$AP$5:$AS$55,4,FALSE),0)</f>
        <v>1767</v>
      </c>
      <c r="H9" s="53">
        <f>G9/$J$3</f>
        <v>1.074451525027971E-2</v>
      </c>
      <c r="I9" s="57">
        <f>SUM($G$7:G9)</f>
        <v>2800</v>
      </c>
      <c r="J9" s="55">
        <f>I9/$J$3</f>
        <v>1.7025830617307974E-2</v>
      </c>
      <c r="K9" s="25"/>
      <c r="M9" s="1"/>
      <c r="O9" s="1">
        <v>3</v>
      </c>
      <c r="P9" s="1">
        <f>'표준점수 등급컷 입력기능'!B30</f>
        <v>59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67</v>
      </c>
      <c r="E10" s="50">
        <f t="shared" si="0"/>
        <v>1</v>
      </c>
      <c r="F10" s="51">
        <f>IF(I9=0,ROUND(100*(1-(I8+I10)/2/$J$3),0),ROUND(100*(1-(I9+I10)/2/$J$3),0))</f>
        <v>98</v>
      </c>
      <c r="G10" s="52">
        <f>IF(D10=D9,"",_xlfn.IFNA(VLOOKUP(D10,'인원 입력 기능'!$AP$5:$AS$55,4,FALSE),0))</f>
        <v>1454</v>
      </c>
      <c r="H10" s="53">
        <f t="shared" ref="H10:H55" si="2">G10/$J$3</f>
        <v>8.8412706134163542E-3</v>
      </c>
      <c r="I10" s="57">
        <f>SUM($G$7:G10)</f>
        <v>4254</v>
      </c>
      <c r="J10" s="55">
        <f t="shared" ref="J10:J55" si="3">I10/$J$3</f>
        <v>2.5867101230724329E-2</v>
      </c>
      <c r="K10" s="25"/>
      <c r="M10" s="1"/>
      <c r="O10" s="1">
        <v>4</v>
      </c>
      <c r="P10" s="1">
        <f>'표준점수 등급컷 입력기능'!B31</f>
        <v>54</v>
      </c>
    </row>
    <row r="11" spans="1:16" ht="25" customHeight="1">
      <c r="A11" s="5"/>
      <c r="B11" s="24"/>
      <c r="C11" s="49">
        <v>46</v>
      </c>
      <c r="D11" s="50">
        <f t="shared" si="1"/>
        <v>66</v>
      </c>
      <c r="E11" s="50">
        <f t="shared" si="0"/>
        <v>1</v>
      </c>
      <c r="F11" s="51">
        <f t="shared" ref="F11:F55" si="4">IF(I10=0,ROUND(100*(1-(I9+I11)/2/$J$3),0),ROUND(100*(1-(I10+I11)/2/$J$3),0))</f>
        <v>97</v>
      </c>
      <c r="G11" s="52">
        <f>IF(D11=D10,"",_xlfn.IFNA(VLOOKUP(D11,'인원 입력 기능'!$AP$5:$AS$55,4,FALSE),0))</f>
        <v>1535</v>
      </c>
      <c r="H11" s="53">
        <f t="shared" si="2"/>
        <v>9.3338035705599065E-3</v>
      </c>
      <c r="I11" s="57">
        <f>SUM($G$7:G11)</f>
        <v>5789</v>
      </c>
      <c r="J11" s="55">
        <f t="shared" si="3"/>
        <v>3.5200904801284232E-2</v>
      </c>
      <c r="K11" s="25"/>
      <c r="M11" s="1"/>
      <c r="O11" s="1">
        <v>5</v>
      </c>
      <c r="P11" s="1">
        <f>'표준점수 등급컷 입력기능'!B32</f>
        <v>48</v>
      </c>
    </row>
    <row r="12" spans="1:16" ht="25" customHeight="1">
      <c r="A12" s="5"/>
      <c r="B12" s="24"/>
      <c r="C12" s="56">
        <v>45</v>
      </c>
      <c r="D12" s="50">
        <f t="shared" si="1"/>
        <v>65</v>
      </c>
      <c r="E12" s="50">
        <f t="shared" si="0"/>
        <v>1</v>
      </c>
      <c r="F12" s="51">
        <f t="shared" si="4"/>
        <v>95</v>
      </c>
      <c r="G12" s="52">
        <f>IF(D12=D11,"",_xlfn.IFNA(VLOOKUP(D12,'인원 입력 기능'!$AP$5:$AS$55,4,FALSE),0))</f>
        <v>3697</v>
      </c>
      <c r="H12" s="53">
        <f t="shared" si="2"/>
        <v>2.2480177068638418E-2</v>
      </c>
      <c r="I12" s="57">
        <f>SUM($G$7:G12)</f>
        <v>9486</v>
      </c>
      <c r="J12" s="55">
        <f t="shared" si="3"/>
        <v>5.7681081869922657E-2</v>
      </c>
      <c r="K12" s="25"/>
      <c r="M12" s="1"/>
      <c r="O12" s="1">
        <v>6</v>
      </c>
      <c r="P12" s="1">
        <f>'표준점수 등급컷 입력기능'!B33</f>
        <v>41</v>
      </c>
    </row>
    <row r="13" spans="1:16" ht="25" customHeight="1">
      <c r="A13" s="5"/>
      <c r="B13" s="24"/>
      <c r="C13" s="49">
        <v>44</v>
      </c>
      <c r="D13" s="50">
        <f t="shared" si="1"/>
        <v>64</v>
      </c>
      <c r="E13" s="50">
        <f t="shared" si="0"/>
        <v>2</v>
      </c>
      <c r="F13" s="51">
        <f t="shared" si="4"/>
        <v>94</v>
      </c>
      <c r="G13" s="52">
        <f>IF(D13=D12,"",_xlfn.IFNA(VLOOKUP(D13,'인원 입력 기능'!$AP$5:$AS$55,4,FALSE),0))</f>
        <v>1739</v>
      </c>
      <c r="H13" s="53">
        <f t="shared" si="2"/>
        <v>1.057425694410663E-2</v>
      </c>
      <c r="I13" s="57">
        <f>SUM($G$7:G13)</f>
        <v>11225</v>
      </c>
      <c r="J13" s="55">
        <f t="shared" si="3"/>
        <v>6.8255338814029287E-2</v>
      </c>
      <c r="K13" s="25"/>
      <c r="M13" s="1"/>
      <c r="O13" s="1">
        <v>7</v>
      </c>
      <c r="P13" s="1">
        <f>'표준점수 등급컷 입력기능'!B34</f>
        <v>36</v>
      </c>
    </row>
    <row r="14" spans="1:16" ht="25" customHeight="1">
      <c r="A14" s="5"/>
      <c r="B14" s="24"/>
      <c r="C14" s="56">
        <v>43</v>
      </c>
      <c r="D14" s="50">
        <f t="shared" si="1"/>
        <v>63</v>
      </c>
      <c r="E14" s="50">
        <f t="shared" si="0"/>
        <v>2</v>
      </c>
      <c r="F14" s="51">
        <f t="shared" si="4"/>
        <v>92</v>
      </c>
      <c r="G14" s="52">
        <f>IF(D14=D13,"",_xlfn.IFNA(VLOOKUP(D14,'인원 입력 기능'!$AP$5:$AS$55,4,FALSE),0))</f>
        <v>4470</v>
      </c>
      <c r="H14" s="53">
        <f t="shared" si="2"/>
        <v>2.71805224497738E-2</v>
      </c>
      <c r="I14" s="57">
        <f>SUM($G$7:G14)</f>
        <v>15695</v>
      </c>
      <c r="J14" s="55">
        <f t="shared" si="3"/>
        <v>9.5435861263803087E-2</v>
      </c>
      <c r="K14" s="25"/>
      <c r="M14" s="1"/>
      <c r="O14" s="1">
        <v>8</v>
      </c>
      <c r="P14" s="1">
        <f>'표준점수 등급컷 입력기능'!B35</f>
        <v>32</v>
      </c>
    </row>
    <row r="15" spans="1:16" ht="25" customHeight="1">
      <c r="A15" s="5"/>
      <c r="B15" s="24"/>
      <c r="C15" s="49">
        <v>42</v>
      </c>
      <c r="D15" s="50">
        <f t="shared" si="1"/>
        <v>62</v>
      </c>
      <c r="E15" s="50">
        <f t="shared" si="0"/>
        <v>2</v>
      </c>
      <c r="F15" s="51">
        <f t="shared" si="4"/>
        <v>89</v>
      </c>
      <c r="G15" s="52">
        <f>IF(D15=D14,"",_xlfn.IFNA(VLOOKUP(D15,'인원 입력 기능'!$AP$5:$AS$55,4,FALSE),0))</f>
        <v>4104</v>
      </c>
      <c r="H15" s="53">
        <f t="shared" si="2"/>
        <v>2.4955003161939972E-2</v>
      </c>
      <c r="I15" s="57">
        <f>SUM($G$7:G15)</f>
        <v>19799</v>
      </c>
      <c r="J15" s="55">
        <f t="shared" si="3"/>
        <v>0.12039086442574305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1">
        <f t="shared" si="1"/>
        <v>61</v>
      </c>
      <c r="E16" s="261">
        <f t="shared" si="0"/>
        <v>3</v>
      </c>
      <c r="F16" s="263">
        <f t="shared" si="4"/>
        <v>85</v>
      </c>
      <c r="G16" s="265">
        <f>IF(D16=D15,"",_xlfn.IFNA(VLOOKUP(D16,'인원 입력 기능'!$AP$5:$AS$55,4,FALSE),0))</f>
        <v>9519</v>
      </c>
      <c r="H16" s="266">
        <f t="shared" si="2"/>
        <v>5.7881743445055214E-2</v>
      </c>
      <c r="I16" s="268">
        <f>SUM($G$7:G16)</f>
        <v>29318</v>
      </c>
      <c r="J16" s="270">
        <f t="shared" si="3"/>
        <v>0.17827260787079827</v>
      </c>
      <c r="K16" s="25"/>
      <c r="M16" s="1"/>
    </row>
    <row r="17" spans="1:16" ht="25" customHeight="1">
      <c r="A17" s="5"/>
      <c r="B17" s="24"/>
      <c r="C17" s="49">
        <v>40</v>
      </c>
      <c r="D17" s="260"/>
      <c r="E17" s="260"/>
      <c r="F17" s="262"/>
      <c r="G17" s="264"/>
      <c r="H17" s="267"/>
      <c r="I17" s="269"/>
      <c r="J17" s="271"/>
      <c r="K17" s="25"/>
      <c r="M17" s="1"/>
      <c r="P17" s="1">
        <f>H3*H4*J3*P7*IFERROR(IF(J57=1, 1, 0), 0)</f>
        <v>3401280965.4720006</v>
      </c>
    </row>
    <row r="18" spans="1:16" ht="25" customHeight="1">
      <c r="A18" s="5"/>
      <c r="B18" s="24"/>
      <c r="C18" s="56">
        <v>39</v>
      </c>
      <c r="D18" s="50">
        <f t="shared" si="1"/>
        <v>60</v>
      </c>
      <c r="E18" s="50">
        <f t="shared" si="0"/>
        <v>3</v>
      </c>
      <c r="F18" s="51">
        <f t="shared" si="4"/>
        <v>81</v>
      </c>
      <c r="G18" s="52">
        <f>IF(D18=D17,"",_xlfn.IFNA(VLOOKUP(D18,'인원 입력 기능'!$AP$5:$AS$55,4,FALSE),0))</f>
        <v>4012</v>
      </c>
      <c r="H18" s="53">
        <f t="shared" si="2"/>
        <v>2.4395583013085566E-2</v>
      </c>
      <c r="I18" s="57">
        <f>SUM($G$7:G18)</f>
        <v>33330</v>
      </c>
      <c r="J18" s="55">
        <f t="shared" si="3"/>
        <v>0.20266819088388383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59</v>
      </c>
      <c r="E19" s="50">
        <f t="shared" si="0"/>
        <v>3</v>
      </c>
      <c r="F19" s="51">
        <f t="shared" si="4"/>
        <v>78</v>
      </c>
      <c r="G19" s="52">
        <f>IF(D19=D18,"",_xlfn.IFNA(VLOOKUP(D19,'인원 입력 기능'!$AP$5:$AS$55,4,FALSE),0))</f>
        <v>5488</v>
      </c>
      <c r="H19" s="53">
        <f t="shared" si="2"/>
        <v>3.3370628009923624E-2</v>
      </c>
      <c r="I19" s="57">
        <f>SUM($G$7:G19)</f>
        <v>38818</v>
      </c>
      <c r="J19" s="55">
        <f t="shared" si="3"/>
        <v>0.23603881889380746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58</v>
      </c>
      <c r="E20" s="50">
        <f t="shared" si="0"/>
        <v>4</v>
      </c>
      <c r="F20" s="51">
        <f t="shared" si="4"/>
        <v>74</v>
      </c>
      <c r="G20" s="52">
        <f>IF(D20=D19,"",_xlfn.IFNA(VLOOKUP(D20,'인원 입력 기능'!$AP$5:$AS$55,4,FALSE),0))</f>
        <v>6443</v>
      </c>
      <c r="H20" s="53">
        <f t="shared" si="2"/>
        <v>3.9177652381184022E-2</v>
      </c>
      <c r="I20" s="57">
        <f>SUM($G$7:G20)</f>
        <v>45261</v>
      </c>
      <c r="J20" s="55">
        <f t="shared" si="3"/>
        <v>0.27521647127499149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57</v>
      </c>
      <c r="E21" s="60">
        <f t="shared" si="0"/>
        <v>4</v>
      </c>
      <c r="F21" s="51">
        <f t="shared" si="4"/>
        <v>71</v>
      </c>
      <c r="G21" s="52">
        <f>IF(D21=D20,"",_xlfn.IFNA(VLOOKUP(D21,'인원 입력 기능'!$AP$5:$AS$55,4,FALSE),0))</f>
        <v>4402</v>
      </c>
      <c r="H21" s="53">
        <f t="shared" si="2"/>
        <v>2.6767037991924893E-2</v>
      </c>
      <c r="I21" s="57">
        <f>SUM($G$7:G21)</f>
        <v>49663</v>
      </c>
      <c r="J21" s="55">
        <f t="shared" si="3"/>
        <v>0.30198350926691636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56</v>
      </c>
      <c r="E22" s="60">
        <f t="shared" si="0"/>
        <v>4</v>
      </c>
      <c r="F22" s="51">
        <f t="shared" si="4"/>
        <v>68</v>
      </c>
      <c r="G22" s="52">
        <f>IF(D22=D21,"",_xlfn.IFNA(VLOOKUP(D22,'인원 입력 기능'!$AP$5:$AS$55,4,FALSE),0))</f>
        <v>6612</v>
      </c>
      <c r="H22" s="53">
        <f t="shared" si="2"/>
        <v>4.02052828720144E-2</v>
      </c>
      <c r="I22" s="57">
        <f>SUM($G$7:G22)</f>
        <v>56275</v>
      </c>
      <c r="J22" s="55">
        <f t="shared" si="3"/>
        <v>0.34218879213893078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55</v>
      </c>
      <c r="E23" s="60">
        <f t="shared" si="0"/>
        <v>4</v>
      </c>
      <c r="F23" s="51">
        <f t="shared" si="4"/>
        <v>64</v>
      </c>
      <c r="G23" s="52">
        <f>IF(D23=D22,"",_xlfn.IFNA(VLOOKUP(D23,'인원 입력 기능'!$AP$5:$AS$55,4,FALSE),0))</f>
        <v>5111</v>
      </c>
      <c r="H23" s="53">
        <f t="shared" si="2"/>
        <v>3.1078221530378945E-2</v>
      </c>
      <c r="I23" s="57">
        <f>SUM($G$7:G23)</f>
        <v>61386</v>
      </c>
      <c r="J23" s="55">
        <f t="shared" si="3"/>
        <v>0.3732670136693097</v>
      </c>
      <c r="K23" s="25"/>
      <c r="M23" s="1"/>
    </row>
    <row r="24" spans="1:16" ht="25" customHeight="1">
      <c r="A24" s="5"/>
      <c r="B24" s="24"/>
      <c r="C24" s="59">
        <v>33</v>
      </c>
      <c r="D24" s="273">
        <f t="shared" si="1"/>
        <v>54</v>
      </c>
      <c r="E24" s="273">
        <f t="shared" si="0"/>
        <v>4</v>
      </c>
      <c r="F24" s="263">
        <f t="shared" si="4"/>
        <v>59</v>
      </c>
      <c r="G24" s="265">
        <f>IF(D24=D23,"",_xlfn.IFNA(VLOOKUP(D24,'인원 입력 기능'!$AP$5:$AS$55,4,FALSE),0))</f>
        <v>11151</v>
      </c>
      <c r="H24" s="266">
        <f t="shared" si="2"/>
        <v>6.7805370433429005E-2</v>
      </c>
      <c r="I24" s="268">
        <f>SUM($G$7:G24)</f>
        <v>72537</v>
      </c>
      <c r="J24" s="270">
        <f t="shared" si="3"/>
        <v>0.44107238410273875</v>
      </c>
      <c r="K24" s="25"/>
      <c r="M24" s="1"/>
    </row>
    <row r="25" spans="1:16" ht="25" customHeight="1">
      <c r="A25" s="5"/>
      <c r="B25" s="24"/>
      <c r="C25" s="58">
        <v>32</v>
      </c>
      <c r="D25" s="272"/>
      <c r="E25" s="272"/>
      <c r="F25" s="262"/>
      <c r="G25" s="264"/>
      <c r="H25" s="267"/>
      <c r="I25" s="269"/>
      <c r="J25" s="271"/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53</v>
      </c>
      <c r="E26" s="60">
        <f t="shared" si="0"/>
        <v>5</v>
      </c>
      <c r="F26" s="51">
        <f t="shared" si="4"/>
        <v>55</v>
      </c>
      <c r="G26" s="52">
        <f>IF(D26=D25,"",_xlfn.IFNA(VLOOKUP(D26,'인원 입력 기능'!$AP$5:$AS$55,4,FALSE),0))</f>
        <v>4295</v>
      </c>
      <c r="H26" s="53">
        <f t="shared" si="2"/>
        <v>2.611640803619205E-2</v>
      </c>
      <c r="I26" s="57">
        <f>SUM($G$7:G26)</f>
        <v>76832</v>
      </c>
      <c r="J26" s="55">
        <f t="shared" si="3"/>
        <v>0.46718879213893078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52</v>
      </c>
      <c r="E27" s="60">
        <f t="shared" si="0"/>
        <v>5</v>
      </c>
      <c r="F27" s="51">
        <f t="shared" si="4"/>
        <v>52</v>
      </c>
      <c r="G27" s="52">
        <f>IF(D27=D26,"",_xlfn.IFNA(VLOOKUP(D27,'인원 입력 기능'!$AP$5:$AS$55,4,FALSE),0))</f>
        <v>5440</v>
      </c>
      <c r="H27" s="53">
        <f t="shared" si="2"/>
        <v>3.3078756627912632E-2</v>
      </c>
      <c r="I27" s="57">
        <f>SUM($G$7:G27)</f>
        <v>82272</v>
      </c>
      <c r="J27" s="55">
        <f t="shared" si="3"/>
        <v>0.50026754876684343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51</v>
      </c>
      <c r="E28" s="60">
        <f t="shared" si="0"/>
        <v>5</v>
      </c>
      <c r="F28" s="51">
        <f t="shared" si="4"/>
        <v>49</v>
      </c>
      <c r="G28" s="52">
        <f>IF(D28=D27,"",_xlfn.IFNA(VLOOKUP(D28,'인원 입력 기능'!$AP$5:$AS$55,4,FALSE),0))</f>
        <v>4543</v>
      </c>
      <c r="H28" s="53">
        <f t="shared" si="2"/>
        <v>2.7624410176582185E-2</v>
      </c>
      <c r="I28" s="57">
        <f>SUM($G$7:G28)</f>
        <v>86815</v>
      </c>
      <c r="J28" s="55">
        <f t="shared" si="3"/>
        <v>0.52789195894342555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50</v>
      </c>
      <c r="E29" s="60">
        <f t="shared" si="0"/>
        <v>5</v>
      </c>
      <c r="F29" s="51">
        <f t="shared" si="4"/>
        <v>46</v>
      </c>
      <c r="G29" s="52">
        <f>IF(D29=D28,"",_xlfn.IFNA(VLOOKUP(D29,'인원 입력 기능'!$AP$5:$AS$55,4,FALSE),0))</f>
        <v>4232</v>
      </c>
      <c r="H29" s="53">
        <f t="shared" si="2"/>
        <v>2.5733326847302621E-2</v>
      </c>
      <c r="I29" s="57">
        <f>SUM($G$7:G29)</f>
        <v>91047</v>
      </c>
      <c r="J29" s="55">
        <f t="shared" si="3"/>
        <v>0.55362528579072823</v>
      </c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49</v>
      </c>
      <c r="E30" s="60">
        <f t="shared" si="0"/>
        <v>5</v>
      </c>
      <c r="F30" s="51">
        <f t="shared" si="4"/>
        <v>43</v>
      </c>
      <c r="G30" s="52">
        <f>IF(D30=D29,"",_xlfn.IFNA(VLOOKUP(D30,'인원 입력 기능'!$AP$5:$AS$55,4,FALSE),0))</f>
        <v>4600</v>
      </c>
      <c r="H30" s="53">
        <f t="shared" si="2"/>
        <v>2.7971007442720242E-2</v>
      </c>
      <c r="I30" s="57">
        <f>SUM($G$7:G30)</f>
        <v>95647</v>
      </c>
      <c r="J30" s="55">
        <f t="shared" si="3"/>
        <v>0.58159629323344841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48</v>
      </c>
      <c r="E31" s="60">
        <f t="shared" si="0"/>
        <v>5</v>
      </c>
      <c r="F31" s="51">
        <f t="shared" si="4"/>
        <v>41</v>
      </c>
      <c r="G31" s="52">
        <f>IF(D31=D30,"",_xlfn.IFNA(VLOOKUP(D31,'인원 입력 기능'!$AP$5:$AS$55,4,FALSE),0))</f>
        <v>3444</v>
      </c>
      <c r="H31" s="53">
        <f t="shared" si="2"/>
        <v>2.0941771659288805E-2</v>
      </c>
      <c r="I31" s="57">
        <f>SUM($G$7:G31)</f>
        <v>99091</v>
      </c>
      <c r="J31" s="55">
        <f t="shared" si="3"/>
        <v>0.60253806489273731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47</v>
      </c>
      <c r="E32" s="273">
        <f t="shared" si="0"/>
        <v>6</v>
      </c>
      <c r="F32" s="263">
        <f t="shared" si="4"/>
        <v>37</v>
      </c>
      <c r="G32" s="265">
        <f>IF(D32=D31,"",_xlfn.IFNA(VLOOKUP(D32,'인원 입력 기능'!$AP$5:$AS$55,4,FALSE),0))</f>
        <v>7668</v>
      </c>
      <c r="H32" s="266">
        <f t="shared" si="2"/>
        <v>4.6626453276256266E-2</v>
      </c>
      <c r="I32" s="268">
        <f>SUM($G$7:G32)</f>
        <v>106759</v>
      </c>
      <c r="J32" s="270">
        <f t="shared" si="3"/>
        <v>0.64916451816899357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46</v>
      </c>
      <c r="E34" s="60">
        <f t="shared" si="0"/>
        <v>6</v>
      </c>
      <c r="F34" s="51">
        <f t="shared" si="4"/>
        <v>34</v>
      </c>
      <c r="G34" s="52">
        <f>IF(D34=D33,"",_xlfn.IFNA(VLOOKUP(D34,'인원 입력 기능'!$AP$5:$AS$55,4,FALSE),0))</f>
        <v>3773</v>
      </c>
      <c r="H34" s="53">
        <f t="shared" si="2"/>
        <v>2.2942306756822493E-2</v>
      </c>
      <c r="I34" s="57">
        <f>SUM($G$7:G34)</f>
        <v>110532</v>
      </c>
      <c r="J34" s="55">
        <f t="shared" si="3"/>
        <v>0.67210682492581597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45</v>
      </c>
      <c r="E35" s="60">
        <f t="shared" si="0"/>
        <v>6</v>
      </c>
      <c r="F35" s="51">
        <f t="shared" si="4"/>
        <v>32</v>
      </c>
      <c r="G35" s="52">
        <f>IF(D35=D34,"",_xlfn.IFNA(VLOOKUP(D35,'인원 입력 기능'!$AP$5:$AS$55,4,FALSE),0))</f>
        <v>3621</v>
      </c>
      <c r="H35" s="53">
        <f t="shared" si="2"/>
        <v>2.2018047380454348E-2</v>
      </c>
      <c r="I35" s="57">
        <f>SUM($G$7:G35)</f>
        <v>114153</v>
      </c>
      <c r="J35" s="55">
        <f t="shared" si="3"/>
        <v>0.6941248723062704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44</v>
      </c>
      <c r="E36" s="60">
        <f t="shared" si="0"/>
        <v>6</v>
      </c>
      <c r="F36" s="51">
        <f t="shared" si="4"/>
        <v>30</v>
      </c>
      <c r="G36" s="52">
        <f>IF(D36=D35,"",_xlfn.IFNA(VLOOKUP(D36,'인원 입력 기능'!$AP$5:$AS$55,4,FALSE),0))</f>
        <v>3333</v>
      </c>
      <c r="H36" s="53">
        <f t="shared" si="2"/>
        <v>2.0266819088388382E-2</v>
      </c>
      <c r="I36" s="57">
        <f>SUM($G$7:G36)</f>
        <v>117486</v>
      </c>
      <c r="J36" s="55">
        <f t="shared" si="3"/>
        <v>0.71439169139465875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43</v>
      </c>
      <c r="E37" s="60">
        <f t="shared" si="0"/>
        <v>6</v>
      </c>
      <c r="F37" s="51">
        <f t="shared" si="4"/>
        <v>27</v>
      </c>
      <c r="G37" s="52">
        <f>IF(D37=D36,"",_xlfn.IFNA(VLOOKUP(D37,'인원 입력 기능'!$AP$5:$AS$55,4,FALSE),0))</f>
        <v>3660</v>
      </c>
      <c r="H37" s="53">
        <f t="shared" si="2"/>
        <v>2.2255192878338281E-2</v>
      </c>
      <c r="I37" s="57">
        <f>SUM($G$7:G37)</f>
        <v>121146</v>
      </c>
      <c r="J37" s="55">
        <f t="shared" si="3"/>
        <v>0.73664688427299707</v>
      </c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42</v>
      </c>
      <c r="E38" s="60">
        <f t="shared" si="0"/>
        <v>6</v>
      </c>
      <c r="F38" s="51">
        <f t="shared" si="4"/>
        <v>25</v>
      </c>
      <c r="G38" s="52">
        <f>IF(D38=D37,"",_xlfn.IFNA(VLOOKUP(D38,'인원 입력 기능'!$AP$5:$AS$55,4,FALSE),0))</f>
        <v>3260</v>
      </c>
      <c r="H38" s="53">
        <f t="shared" si="2"/>
        <v>1.9822931361579997E-2</v>
      </c>
      <c r="I38" s="57">
        <f>SUM($G$7:G38)</f>
        <v>124406</v>
      </c>
      <c r="J38" s="55">
        <f t="shared" si="3"/>
        <v>0.75646981563457705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41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23</v>
      </c>
      <c r="G39" s="52">
        <f>IF(D39=D38,"",_xlfn.IFNA(VLOOKUP(D39,'인원 입력 기능'!$AP$5:$AS$55,4,FALSE),0))</f>
        <v>3399</v>
      </c>
      <c r="H39" s="53">
        <f t="shared" si="2"/>
        <v>2.06681422386535E-2</v>
      </c>
      <c r="I39" s="57">
        <f>SUM($G$7:G39)</f>
        <v>127805</v>
      </c>
      <c r="J39" s="55">
        <f t="shared" si="3"/>
        <v>0.77713795787323048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40</v>
      </c>
      <c r="E40" s="60">
        <f t="shared" si="5"/>
        <v>7</v>
      </c>
      <c r="F40" s="51">
        <f t="shared" si="4"/>
        <v>21</v>
      </c>
      <c r="G40" s="52">
        <f>IF(D40=D39,"",_xlfn.IFNA(VLOOKUP(D40,'인원 입력 기능'!$AP$5:$AS$55,4,FALSE),0))</f>
        <v>3283</v>
      </c>
      <c r="H40" s="53">
        <f t="shared" si="2"/>
        <v>1.9962786398793599E-2</v>
      </c>
      <c r="I40" s="57">
        <f>SUM($G$7:G40)</f>
        <v>131088</v>
      </c>
      <c r="J40" s="55">
        <f t="shared" si="3"/>
        <v>0.79710074427202415</v>
      </c>
      <c r="K40" s="25"/>
      <c r="M40" s="1"/>
    </row>
    <row r="41" spans="1:13" ht="25" customHeight="1">
      <c r="A41" s="5"/>
      <c r="B41" s="24"/>
      <c r="C41" s="58">
        <v>16</v>
      </c>
      <c r="D41" s="273">
        <f t="shared" si="1"/>
        <v>39</v>
      </c>
      <c r="E41" s="273">
        <f t="shared" si="5"/>
        <v>7</v>
      </c>
      <c r="F41" s="263">
        <f t="shared" si="4"/>
        <v>18</v>
      </c>
      <c r="G41" s="265">
        <f>IF(D41=D40,"",_xlfn.IFNA(VLOOKUP(D41,'인원 입력 기능'!$AP$5:$AS$55,4,FALSE),0))</f>
        <v>6231</v>
      </c>
      <c r="H41" s="266">
        <f t="shared" si="2"/>
        <v>3.7888553777302138E-2</v>
      </c>
      <c r="I41" s="268">
        <f>SUM($G$7:G41)</f>
        <v>137319</v>
      </c>
      <c r="J41" s="270">
        <f t="shared" si="3"/>
        <v>0.83498929804932631</v>
      </c>
      <c r="K41" s="25"/>
      <c r="M41" s="1"/>
    </row>
    <row r="42" spans="1:13" ht="25" customHeight="1">
      <c r="A42" s="5"/>
      <c r="B42" s="24"/>
      <c r="C42" s="59">
        <v>15</v>
      </c>
      <c r="D42" s="272"/>
      <c r="E42" s="272"/>
      <c r="F42" s="262"/>
      <c r="G42" s="264"/>
      <c r="H42" s="267"/>
      <c r="I42" s="269"/>
      <c r="J42" s="271"/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38</v>
      </c>
      <c r="E43" s="60">
        <f t="shared" si="5"/>
        <v>7</v>
      </c>
      <c r="F43" s="51">
        <f t="shared" si="4"/>
        <v>16</v>
      </c>
      <c r="G43" s="52">
        <f>IF(D43=D42,"",_xlfn.IFNA(VLOOKUP(D43,'인원 입력 기능'!$AP$5:$AS$55,4,FALSE),0))</f>
        <v>2680</v>
      </c>
      <c r="H43" s="53">
        <f t="shared" si="2"/>
        <v>1.6296152162280489E-2</v>
      </c>
      <c r="I43" s="57">
        <f>SUM($G$7:G43)</f>
        <v>139999</v>
      </c>
      <c r="J43" s="55">
        <f t="shared" si="3"/>
        <v>0.85128545021160673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37</v>
      </c>
      <c r="E44" s="60">
        <f t="shared" si="5"/>
        <v>7</v>
      </c>
      <c r="F44" s="51">
        <f t="shared" si="4"/>
        <v>13</v>
      </c>
      <c r="G44" s="52">
        <f>IF(D44=D43,"",_xlfn.IFNA(VLOOKUP(D44,'인원 입력 기능'!$AP$5:$AS$55,4,FALSE),0))</f>
        <v>5829</v>
      </c>
      <c r="H44" s="53">
        <f t="shared" si="2"/>
        <v>3.5444130952960062E-2</v>
      </c>
      <c r="I44" s="57">
        <f>SUM($G$7:G44)</f>
        <v>145828</v>
      </c>
      <c r="J44" s="55">
        <f t="shared" si="3"/>
        <v>0.88672958116456679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36</v>
      </c>
      <c r="E45" s="60">
        <f t="shared" si="5"/>
        <v>7</v>
      </c>
      <c r="F45" s="51">
        <f t="shared" si="4"/>
        <v>11</v>
      </c>
      <c r="G45" s="52">
        <f>IF(D45=D44,"",_xlfn.IFNA(VLOOKUP(D45,'인원 입력 기능'!$AP$5:$AS$55,4,FALSE),0))</f>
        <v>2555</v>
      </c>
      <c r="H45" s="53">
        <f t="shared" si="2"/>
        <v>1.5536070438293526E-2</v>
      </c>
      <c r="I45" s="57">
        <f>SUM($G$7:G45)</f>
        <v>148383</v>
      </c>
      <c r="J45" s="55">
        <f t="shared" si="3"/>
        <v>0.90226565160286032</v>
      </c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35</v>
      </c>
      <c r="E46" s="60">
        <f t="shared" si="5"/>
        <v>8</v>
      </c>
      <c r="F46" s="51">
        <f t="shared" si="4"/>
        <v>9</v>
      </c>
      <c r="G46" s="52">
        <f>IF(D46=D45,"",_xlfn.IFNA(VLOOKUP(D46,'인원 입력 기능'!$AP$5:$AS$55,4,FALSE),0))</f>
        <v>2328</v>
      </c>
      <c r="H46" s="53">
        <f t="shared" si="2"/>
        <v>1.41557620275332E-2</v>
      </c>
      <c r="I46" s="57">
        <f>SUM($G$7:G46)</f>
        <v>150711</v>
      </c>
      <c r="J46" s="55">
        <f t="shared" si="3"/>
        <v>0.91642141363039353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34</v>
      </c>
      <c r="E47" s="60">
        <f t="shared" si="5"/>
        <v>8</v>
      </c>
      <c r="F47" s="51">
        <f t="shared" si="4"/>
        <v>8</v>
      </c>
      <c r="G47" s="52">
        <f>IF(D47=D46,"",_xlfn.IFNA(VLOOKUP(D47,'인원 입력 기능'!$AP$5:$AS$55,4,FALSE),0))</f>
        <v>2439</v>
      </c>
      <c r="H47" s="53">
        <f t="shared" si="2"/>
        <v>1.4830714598433624E-2</v>
      </c>
      <c r="I47" s="57">
        <f>SUM($G$7:G47)</f>
        <v>153150</v>
      </c>
      <c r="J47" s="55">
        <f t="shared" si="3"/>
        <v>0.93125212822882719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33</v>
      </c>
      <c r="E48" s="60">
        <f t="shared" si="5"/>
        <v>8</v>
      </c>
      <c r="F48" s="51">
        <f t="shared" si="4"/>
        <v>6</v>
      </c>
      <c r="G48" s="52">
        <f>IF(D48=D47,"",_xlfn.IFNA(VLOOKUP(D48,'인원 입력 기능'!$AP$5:$AS$55,4,FALSE),0))</f>
        <v>2202</v>
      </c>
      <c r="H48" s="53">
        <f t="shared" si="2"/>
        <v>1.3389599649754341E-2</v>
      </c>
      <c r="I48" s="57">
        <f>SUM($G$7:G48)</f>
        <v>155352</v>
      </c>
      <c r="J48" s="55">
        <f t="shared" si="3"/>
        <v>0.94464172787858147</v>
      </c>
      <c r="K48" s="25"/>
      <c r="M48" s="1"/>
    </row>
    <row r="49" spans="1:13" ht="25" customHeight="1">
      <c r="A49" s="5"/>
      <c r="B49" s="24"/>
      <c r="C49" s="58">
        <v>8</v>
      </c>
      <c r="D49" s="273">
        <f t="shared" si="1"/>
        <v>32</v>
      </c>
      <c r="E49" s="273">
        <f t="shared" si="5"/>
        <v>8</v>
      </c>
      <c r="F49" s="263">
        <f t="shared" si="4"/>
        <v>4</v>
      </c>
      <c r="G49" s="265">
        <f>IF(D49=D48,"",_xlfn.IFNA(VLOOKUP(D49,'인원 입력 기능'!$AP$5:$AS$55,4,FALSE),0))</f>
        <v>5671</v>
      </c>
      <c r="H49" s="266">
        <f t="shared" si="2"/>
        <v>3.4483387653840541E-2</v>
      </c>
      <c r="I49" s="268">
        <f>SUM($G$7:G49)</f>
        <v>161023</v>
      </c>
      <c r="J49" s="270">
        <f t="shared" si="3"/>
        <v>0.9791251155324221</v>
      </c>
      <c r="K49" s="25"/>
      <c r="M49" s="1"/>
    </row>
    <row r="50" spans="1:13" ht="25" customHeight="1">
      <c r="A50" s="5"/>
      <c r="B50" s="24"/>
      <c r="C50" s="59">
        <v>7</v>
      </c>
      <c r="D50" s="272"/>
      <c r="E50" s="272"/>
      <c r="F50" s="262"/>
      <c r="G50" s="264"/>
      <c r="H50" s="267"/>
      <c r="I50" s="269"/>
      <c r="J50" s="271"/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31</v>
      </c>
      <c r="E51" s="60">
        <f t="shared" si="5"/>
        <v>9</v>
      </c>
      <c r="F51" s="51">
        <f t="shared" si="4"/>
        <v>2</v>
      </c>
      <c r="G51" s="52">
        <f>IF(D51=D50,"",_xlfn.IFNA(VLOOKUP(D51,'인원 입력 기능'!$AP$5:$AS$55,4,FALSE),0))</f>
        <v>949</v>
      </c>
      <c r="H51" s="53">
        <f t="shared" si="2"/>
        <v>5.7705404485090235E-3</v>
      </c>
      <c r="I51" s="57">
        <f>SUM($G$7:G51)</f>
        <v>161972</v>
      </c>
      <c r="J51" s="55">
        <f t="shared" si="3"/>
        <v>0.9848956559809311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30</v>
      </c>
      <c r="E52" s="60">
        <f t="shared" si="5"/>
        <v>9</v>
      </c>
      <c r="F52" s="51">
        <f t="shared" si="4"/>
        <v>1</v>
      </c>
      <c r="G52" s="52">
        <f>IF(D52=D51,"",_xlfn.IFNA(VLOOKUP(D52,'인원 입력 기능'!$AP$5:$AS$55,4,FALSE),0))</f>
        <v>1026</v>
      </c>
      <c r="H52" s="53">
        <f t="shared" si="2"/>
        <v>6.2387507904849929E-3</v>
      </c>
      <c r="I52" s="57">
        <f>SUM($G$7:G52)</f>
        <v>162998</v>
      </c>
      <c r="J52" s="55">
        <f t="shared" si="3"/>
        <v>0.99113440677141607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29</v>
      </c>
      <c r="E53" s="50">
        <f t="shared" si="5"/>
        <v>9</v>
      </c>
      <c r="F53" s="51">
        <f t="shared" si="4"/>
        <v>1</v>
      </c>
      <c r="G53" s="52">
        <f>IF(D53=D52,"",_xlfn.IFNA(VLOOKUP(D53,'인원 입력 기능'!$AP$5:$AS$55,4,FALSE),0))</f>
        <v>515</v>
      </c>
      <c r="H53" s="53">
        <f t="shared" si="2"/>
        <v>3.1315367028262879E-3</v>
      </c>
      <c r="I53" s="57">
        <f>SUM($G$7:G53)</f>
        <v>163513</v>
      </c>
      <c r="J53" s="55">
        <f t="shared" si="3"/>
        <v>0.99426594347424235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28</v>
      </c>
      <c r="E54" s="50">
        <f t="shared" si="5"/>
        <v>9</v>
      </c>
      <c r="F54" s="51">
        <f t="shared" si="4"/>
        <v>0</v>
      </c>
      <c r="G54" s="52">
        <f>IF(D54=D53,"",_xlfn.IFNA(VLOOKUP(D54,'인원 입력 기능'!$AP$5:$AS$55,4,FALSE),0))</f>
        <v>340</v>
      </c>
      <c r="H54" s="53">
        <f t="shared" si="2"/>
        <v>2.0674222892445395E-3</v>
      </c>
      <c r="I54" s="57">
        <f>SUM($G$7:G54)</f>
        <v>163853</v>
      </c>
      <c r="J54" s="55">
        <f t="shared" si="3"/>
        <v>0.99633336576348686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27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기능'!$AP$5:$AS$55,4,FALSE),0))</f>
        <v>388</v>
      </c>
      <c r="H55" s="53">
        <f t="shared" si="2"/>
        <v>2.3592936712555335E-3</v>
      </c>
      <c r="I55" s="57">
        <f>SUM($G$7:G55)</f>
        <v>164241</v>
      </c>
      <c r="J55" s="55">
        <f t="shared" si="3"/>
        <v>0.99869265943474239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25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기능'!$AP$5:$AS$55,4,FALSE),0)</f>
        <v>215</v>
      </c>
      <c r="H57" s="69">
        <f>G57/J3</f>
        <v>1.3073405652575766E-3</v>
      </c>
      <c r="I57" s="70">
        <f>SUM($G$7:G57)</f>
        <v>164456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0">
    <mergeCell ref="I41:I42"/>
    <mergeCell ref="J41:J42"/>
    <mergeCell ref="D49:D50"/>
    <mergeCell ref="E49:E50"/>
    <mergeCell ref="F49:F50"/>
    <mergeCell ref="G49:G50"/>
    <mergeCell ref="H49:H50"/>
    <mergeCell ref="I49:I50"/>
    <mergeCell ref="J49:J50"/>
    <mergeCell ref="D41:D42"/>
    <mergeCell ref="E41:E42"/>
    <mergeCell ref="F41:F42"/>
    <mergeCell ref="G41:G42"/>
    <mergeCell ref="H41:H42"/>
    <mergeCell ref="H24:H25"/>
    <mergeCell ref="I24:I25"/>
    <mergeCell ref="J24:J25"/>
    <mergeCell ref="D32:D33"/>
    <mergeCell ref="E32:E33"/>
    <mergeCell ref="F32:F33"/>
    <mergeCell ref="G32:G33"/>
    <mergeCell ref="H32:H33"/>
    <mergeCell ref="I32:I33"/>
    <mergeCell ref="J32:J33"/>
    <mergeCell ref="D3:F3"/>
    <mergeCell ref="D4:F4"/>
    <mergeCell ref="D56:J56"/>
    <mergeCell ref="D8:J8"/>
    <mergeCell ref="G5:J5"/>
    <mergeCell ref="D16:D17"/>
    <mergeCell ref="E16:E17"/>
    <mergeCell ref="F16:F17"/>
    <mergeCell ref="G16:G17"/>
    <mergeCell ref="H16:H17"/>
    <mergeCell ref="I16:I17"/>
    <mergeCell ref="J16:J17"/>
    <mergeCell ref="D24:D25"/>
    <mergeCell ref="E24:E25"/>
    <mergeCell ref="F24:F25"/>
    <mergeCell ref="G24:G25"/>
  </mergeCells>
  <phoneticPr fontId="1" type="noConversion"/>
  <conditionalFormatting sqref="D7:J7 D57:J57 D9:J16 D18:J24 D26:J32 D34:J41 D43:J49 D51:J55">
    <cfRule type="expression" dxfId="104" priority="7">
      <formula>OR($D7=$P$7:$P$14)</formula>
    </cfRule>
  </conditionalFormatting>
  <conditionalFormatting sqref="C7:C57">
    <cfRule type="expression" dxfId="103" priority="6">
      <formula>OR(AND($D7=0,OR($D6=$P$7:$P$14)),AND($D8&gt;0,OR($D7=$P$7:$P$14)))</formula>
    </cfRule>
  </conditionalFormatting>
  <conditionalFormatting sqref="D7 D57 D9:D16 D18:D24 D26:D32 D34:D41 D43:D49 D51:D55">
    <cfRule type="expression" dxfId="102" priority="5">
      <formula>$D7=$D8</formula>
    </cfRule>
  </conditionalFormatting>
  <conditionalFormatting sqref="D56">
    <cfRule type="expression" dxfId="101" priority="4">
      <formula>OR($D56=$P$7:$P$14)</formula>
    </cfRule>
  </conditionalFormatting>
  <conditionalFormatting sqref="D56">
    <cfRule type="expression" dxfId="100" priority="3">
      <formula>$D56=$D57</formula>
    </cfRule>
  </conditionalFormatting>
  <conditionalFormatting sqref="D8">
    <cfRule type="expression" dxfId="99" priority="2">
      <formula>OR($D8=$P$7:$P$14)</formula>
    </cfRule>
  </conditionalFormatting>
  <conditionalFormatting sqref="D8">
    <cfRule type="expression" dxfId="98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7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기능'!D13</f>
        <v>28.25</v>
      </c>
      <c r="I3" s="109" t="s">
        <v>54</v>
      </c>
      <c r="J3" s="110">
        <f>'통계 및 응시자 수 입력 기능'!C13</f>
        <v>58049</v>
      </c>
      <c r="K3" s="25"/>
    </row>
    <row r="4" spans="1:16" ht="25" customHeight="1" thickBot="1">
      <c r="A4" s="5"/>
      <c r="B4" s="24"/>
      <c r="C4" s="42" t="s">
        <v>55</v>
      </c>
      <c r="D4" s="242" t="s">
        <v>69</v>
      </c>
      <c r="E4" s="243"/>
      <c r="F4" s="244"/>
      <c r="G4" s="43" t="s">
        <v>57</v>
      </c>
      <c r="H4" s="108">
        <f>'통계 및 응시자 수 입력 기능'!E13</f>
        <v>12.97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67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기능'!$AU$5:$AX$55,4,FALSE),0)</f>
        <v>1701</v>
      </c>
      <c r="H7" s="53">
        <f>G7/J3</f>
        <v>2.9302830367448192E-2</v>
      </c>
      <c r="I7" s="54">
        <f>G7</f>
        <v>1701</v>
      </c>
      <c r="J7" s="55">
        <f>I7/J3</f>
        <v>2.9302830367448192E-2</v>
      </c>
      <c r="K7" s="25"/>
      <c r="M7" s="1"/>
      <c r="O7" s="1">
        <v>1</v>
      </c>
      <c r="P7" s="1">
        <f>'표준점수 등급컷 입력기능'!B42</f>
        <v>65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입력기능'!B43</f>
        <v>63</v>
      </c>
    </row>
    <row r="9" spans="1:16" ht="25" customHeight="1">
      <c r="A9" s="5"/>
      <c r="B9" s="24"/>
      <c r="C9" s="49">
        <v>48</v>
      </c>
      <c r="D9" s="50">
        <f>ROUND(10*(C9-$H$3)/$H$4+50,0)</f>
        <v>65</v>
      </c>
      <c r="E9" s="50">
        <f t="shared" si="0"/>
        <v>1</v>
      </c>
      <c r="F9" s="51">
        <f>IF(I8=0,ROUND(100*(1-(I7+I9)/2/$J$3),0),ROUND(100*(1-(I8+I9)/2/$J$3),0))</f>
        <v>96</v>
      </c>
      <c r="G9" s="52">
        <f>_xlfn.IFNA(VLOOKUP(D9,'인원 입력 기능'!$AU$5:$AX$55,4,FALSE),0)</f>
        <v>810</v>
      </c>
      <c r="H9" s="53">
        <f>G9/$J$3</f>
        <v>1.3953728746403901E-2</v>
      </c>
      <c r="I9" s="57">
        <f>SUM($G$7:G9)</f>
        <v>2511</v>
      </c>
      <c r="J9" s="55">
        <f>I9/$J$3</f>
        <v>4.3256559113852087E-2</v>
      </c>
      <c r="K9" s="25"/>
      <c r="M9" s="1"/>
      <c r="O9" s="1">
        <v>3</v>
      </c>
      <c r="P9" s="1">
        <f>'표준점수 등급컷 입력기능'!B44</f>
        <v>59</v>
      </c>
    </row>
    <row r="10" spans="1:16" ht="25" customHeight="1">
      <c r="A10" s="5"/>
      <c r="B10" s="24"/>
      <c r="C10" s="56">
        <v>47</v>
      </c>
      <c r="D10" s="261">
        <f t="shared" ref="D10:D55" si="1">ROUND(10*(C10-$H$3)/$H$4+50,0)</f>
        <v>64</v>
      </c>
      <c r="E10" s="261">
        <f t="shared" si="0"/>
        <v>2</v>
      </c>
      <c r="F10" s="263">
        <f>IF(I9=0,ROUND(100*(1-(I8+I10)/2/$J$3),0),ROUND(100*(1-(I9+I10)/2/$J$3),0))</f>
        <v>94</v>
      </c>
      <c r="G10" s="265">
        <f>IF(D10=D9,"",_xlfn.IFNA(VLOOKUP(D10,'인원 입력 기능'!$AU$5:$AX$55,4,FALSE),0))</f>
        <v>2019</v>
      </c>
      <c r="H10" s="266">
        <f t="shared" ref="H10:H55" si="2">G10/$J$3</f>
        <v>3.4780960912332681E-2</v>
      </c>
      <c r="I10" s="268">
        <f>SUM($G$7:G10)</f>
        <v>4530</v>
      </c>
      <c r="J10" s="270">
        <f t="shared" ref="J10:J55" si="3">I10/$J$3</f>
        <v>7.8037520026184776E-2</v>
      </c>
      <c r="K10" s="25"/>
      <c r="M10" s="1"/>
      <c r="O10" s="1">
        <v>4</v>
      </c>
      <c r="P10" s="1">
        <f>'표준점수 등급컷 입력기능'!B45</f>
        <v>54</v>
      </c>
    </row>
    <row r="11" spans="1:16" ht="25" customHeight="1">
      <c r="A11" s="5"/>
      <c r="B11" s="24"/>
      <c r="C11" s="49">
        <v>46</v>
      </c>
      <c r="D11" s="260"/>
      <c r="E11" s="260"/>
      <c r="F11" s="262"/>
      <c r="G11" s="264"/>
      <c r="H11" s="267"/>
      <c r="I11" s="269"/>
      <c r="J11" s="271"/>
      <c r="K11" s="25"/>
      <c r="M11" s="1"/>
      <c r="O11" s="1">
        <v>5</v>
      </c>
      <c r="P11" s="1">
        <f>'표준점수 등급컷 입력기능'!B46</f>
        <v>47</v>
      </c>
    </row>
    <row r="12" spans="1:16" ht="25" customHeight="1">
      <c r="A12" s="5"/>
      <c r="B12" s="24"/>
      <c r="C12" s="56">
        <v>45</v>
      </c>
      <c r="D12" s="50">
        <f t="shared" si="1"/>
        <v>63</v>
      </c>
      <c r="E12" s="50">
        <f t="shared" si="0"/>
        <v>2</v>
      </c>
      <c r="F12" s="51">
        <f t="shared" ref="F11:F55" si="4">IF(I11=0,ROUND(100*(1-(I10+I12)/2/$J$3),0),ROUND(100*(1-(I11+I12)/2/$J$3),0))</f>
        <v>90</v>
      </c>
      <c r="G12" s="52">
        <f>IF(D12=D11,"",_xlfn.IFNA(VLOOKUP(D12,'인원 입력 기능'!$AU$5:$AX$55,4,FALSE),0))</f>
        <v>1974</v>
      </c>
      <c r="H12" s="53">
        <f t="shared" si="2"/>
        <v>3.4005753759754689E-2</v>
      </c>
      <c r="I12" s="57">
        <f>SUM($G$7:G12)</f>
        <v>6504</v>
      </c>
      <c r="J12" s="55">
        <f t="shared" si="3"/>
        <v>0.11204327378593947</v>
      </c>
      <c r="K12" s="25"/>
      <c r="M12" s="1"/>
      <c r="O12" s="1">
        <v>6</v>
      </c>
      <c r="P12" s="1">
        <f>'표준점수 등급컷 입력기능'!B47</f>
        <v>40</v>
      </c>
    </row>
    <row r="13" spans="1:16" ht="25" customHeight="1">
      <c r="A13" s="5"/>
      <c r="B13" s="24"/>
      <c r="C13" s="49">
        <v>44</v>
      </c>
      <c r="D13" s="50">
        <f t="shared" si="1"/>
        <v>62</v>
      </c>
      <c r="E13" s="50">
        <f t="shared" si="0"/>
        <v>3</v>
      </c>
      <c r="F13" s="51">
        <f t="shared" si="4"/>
        <v>88</v>
      </c>
      <c r="G13" s="52">
        <f>IF(D13=D12,"",_xlfn.IFNA(VLOOKUP(D13,'인원 입력 기능'!$AU$5:$AX$55,4,FALSE),0))</f>
        <v>1448</v>
      </c>
      <c r="H13" s="53">
        <f t="shared" si="2"/>
        <v>2.4944443487398577E-2</v>
      </c>
      <c r="I13" s="57">
        <f>SUM($G$7:G13)</f>
        <v>7952</v>
      </c>
      <c r="J13" s="55">
        <f t="shared" si="3"/>
        <v>0.13698771727333806</v>
      </c>
      <c r="K13" s="25"/>
      <c r="M13" s="1"/>
      <c r="O13" s="1">
        <v>7</v>
      </c>
      <c r="P13" s="1">
        <f>'표준점수 등급컷 입력기능'!B48</f>
        <v>37</v>
      </c>
    </row>
    <row r="14" spans="1:16" ht="25" customHeight="1">
      <c r="A14" s="5"/>
      <c r="B14" s="24"/>
      <c r="C14" s="59">
        <v>43</v>
      </c>
      <c r="D14" s="261">
        <f t="shared" si="1"/>
        <v>61</v>
      </c>
      <c r="E14" s="261">
        <f t="shared" si="0"/>
        <v>3</v>
      </c>
      <c r="F14" s="263">
        <f t="shared" si="4"/>
        <v>83</v>
      </c>
      <c r="G14" s="265">
        <f>IF(D14=D13,"",_xlfn.IFNA(VLOOKUP(D14,'인원 입력 기능'!$AU$5:$AX$55,4,FALSE),0))</f>
        <v>3489</v>
      </c>
      <c r="H14" s="266">
        <f t="shared" si="2"/>
        <v>6.0104394563213835E-2</v>
      </c>
      <c r="I14" s="268">
        <f>SUM($G$7:G14)</f>
        <v>11441</v>
      </c>
      <c r="J14" s="270">
        <f t="shared" si="3"/>
        <v>0.19709211183655187</v>
      </c>
      <c r="K14" s="25"/>
      <c r="M14" s="1"/>
      <c r="O14" s="1">
        <v>8</v>
      </c>
      <c r="P14" s="1">
        <f>'표준점수 등급컷 입력기능'!B49</f>
        <v>34</v>
      </c>
    </row>
    <row r="15" spans="1:16" ht="25" customHeight="1">
      <c r="A15" s="5"/>
      <c r="B15" s="24"/>
      <c r="C15" s="49">
        <v>42</v>
      </c>
      <c r="D15" s="260"/>
      <c r="E15" s="260"/>
      <c r="F15" s="262"/>
      <c r="G15" s="264"/>
      <c r="H15" s="267"/>
      <c r="I15" s="269"/>
      <c r="J15" s="271"/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60</v>
      </c>
      <c r="E16" s="50">
        <f t="shared" si="0"/>
        <v>3</v>
      </c>
      <c r="F16" s="51">
        <f t="shared" si="4"/>
        <v>79</v>
      </c>
      <c r="G16" s="52">
        <f>IF(D16=D15,"",_xlfn.IFNA(VLOOKUP(D16,'인원 입력 기능'!$AU$5:$AX$55,4,FALSE),0))</f>
        <v>1167</v>
      </c>
      <c r="H16" s="53">
        <f t="shared" si="2"/>
        <v>2.0103705490189323E-2</v>
      </c>
      <c r="I16" s="57">
        <f>SUM($G$7:G16)</f>
        <v>12608</v>
      </c>
      <c r="J16" s="55">
        <f t="shared" si="3"/>
        <v>0.2171958173267412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59</v>
      </c>
      <c r="E17" s="50">
        <f t="shared" si="0"/>
        <v>3</v>
      </c>
      <c r="F17" s="51">
        <f t="shared" si="4"/>
        <v>77</v>
      </c>
      <c r="G17" s="52">
        <f>IF(D17=D16,"",_xlfn.IFNA(VLOOKUP(D17,'인원 입력 기능'!$AU$5:$AX$55,4,FALSE),0))</f>
        <v>1888</v>
      </c>
      <c r="H17" s="53">
        <f t="shared" si="2"/>
        <v>3.2524246757050075E-2</v>
      </c>
      <c r="I17" s="57">
        <f>SUM($G$7:G17)</f>
        <v>14496</v>
      </c>
      <c r="J17" s="55">
        <f t="shared" si="3"/>
        <v>0.24972006408379127</v>
      </c>
      <c r="K17" s="25"/>
      <c r="M17" s="1"/>
      <c r="P17" s="1">
        <f>H3*H4*J3*P7*IFERROR(IF(J57=1, 1, 0), 0)</f>
        <v>1382504416.9625001</v>
      </c>
    </row>
    <row r="18" spans="1:16" ht="25" customHeight="1">
      <c r="A18" s="5"/>
      <c r="B18" s="24"/>
      <c r="C18" s="56">
        <v>39</v>
      </c>
      <c r="D18" s="261">
        <f t="shared" si="1"/>
        <v>58</v>
      </c>
      <c r="E18" s="261">
        <f t="shared" si="0"/>
        <v>4</v>
      </c>
      <c r="F18" s="263">
        <f t="shared" si="4"/>
        <v>72</v>
      </c>
      <c r="G18" s="265">
        <f>IF(D18=D17,"",_xlfn.IFNA(VLOOKUP(D18,'인원 입력 기능'!$AU$5:$AX$55,4,FALSE),0))</f>
        <v>3274</v>
      </c>
      <c r="H18" s="266">
        <f t="shared" si="2"/>
        <v>5.640062705645231E-2</v>
      </c>
      <c r="I18" s="268">
        <f>SUM($G$7:G18)</f>
        <v>17770</v>
      </c>
      <c r="J18" s="270">
        <f t="shared" si="3"/>
        <v>0.30612069114024359</v>
      </c>
      <c r="K18" s="25"/>
      <c r="M18" s="1"/>
    </row>
    <row r="19" spans="1:16" ht="25" customHeight="1">
      <c r="A19" s="5"/>
      <c r="B19" s="24"/>
      <c r="C19" s="49">
        <v>38</v>
      </c>
      <c r="D19" s="260"/>
      <c r="E19" s="260"/>
      <c r="F19" s="262"/>
      <c r="G19" s="264"/>
      <c r="H19" s="267"/>
      <c r="I19" s="269"/>
      <c r="J19" s="271"/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57</v>
      </c>
      <c r="E20" s="50">
        <f t="shared" si="0"/>
        <v>4</v>
      </c>
      <c r="F20" s="51">
        <f t="shared" si="4"/>
        <v>68</v>
      </c>
      <c r="G20" s="52">
        <f>IF(D20=D19,"",_xlfn.IFNA(VLOOKUP(D20,'인원 입력 기능'!$AU$5:$AX$55,4,FALSE),0))</f>
        <v>2099</v>
      </c>
      <c r="H20" s="53">
        <f t="shared" si="2"/>
        <v>3.6159106961360231E-2</v>
      </c>
      <c r="I20" s="57">
        <f>SUM($G$7:G20)</f>
        <v>19869</v>
      </c>
      <c r="J20" s="55">
        <f t="shared" si="3"/>
        <v>0.3422797981016038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56</v>
      </c>
      <c r="E21" s="60">
        <f t="shared" si="0"/>
        <v>4</v>
      </c>
      <c r="F21" s="51">
        <f t="shared" si="4"/>
        <v>65</v>
      </c>
      <c r="G21" s="52">
        <f>IF(D21=D20,"",_xlfn.IFNA(VLOOKUP(D21,'인원 입력 기능'!$AU$5:$AX$55,4,FALSE),0))</f>
        <v>1374</v>
      </c>
      <c r="H21" s="53">
        <f t="shared" si="2"/>
        <v>2.3669658392048099E-2</v>
      </c>
      <c r="I21" s="57">
        <f>SUM($G$7:G21)</f>
        <v>21243</v>
      </c>
      <c r="J21" s="55">
        <f t="shared" si="3"/>
        <v>0.3659494564936519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55</v>
      </c>
      <c r="E22" s="60">
        <f t="shared" si="0"/>
        <v>4</v>
      </c>
      <c r="F22" s="51">
        <f t="shared" si="4"/>
        <v>62</v>
      </c>
      <c r="G22" s="52">
        <f>IF(D22=D21,"",_xlfn.IFNA(VLOOKUP(D22,'인원 입력 기능'!$AU$5:$AX$55,4,FALSE),0))</f>
        <v>1393</v>
      </c>
      <c r="H22" s="53">
        <f t="shared" si="2"/>
        <v>2.399696807869214E-2</v>
      </c>
      <c r="I22" s="57">
        <f>SUM($G$7:G22)</f>
        <v>22636</v>
      </c>
      <c r="J22" s="55">
        <f t="shared" si="3"/>
        <v>0.38994642457234407</v>
      </c>
      <c r="K22" s="25"/>
      <c r="M22" s="1"/>
    </row>
    <row r="23" spans="1:16" ht="25" customHeight="1">
      <c r="A23" s="5"/>
      <c r="B23" s="24"/>
      <c r="C23" s="58">
        <v>34</v>
      </c>
      <c r="D23" s="273">
        <f t="shared" si="1"/>
        <v>54</v>
      </c>
      <c r="E23" s="273">
        <f t="shared" si="0"/>
        <v>4</v>
      </c>
      <c r="F23" s="263">
        <f t="shared" si="4"/>
        <v>59</v>
      </c>
      <c r="G23" s="265">
        <f>IF(D23=D22,"",_xlfn.IFNA(VLOOKUP(D23,'인원 입력 기능'!$AU$5:$AX$55,4,FALSE),0))</f>
        <v>2735</v>
      </c>
      <c r="H23" s="266">
        <f t="shared" si="2"/>
        <v>4.7115368051129217E-2</v>
      </c>
      <c r="I23" s="268">
        <f>SUM($G$7:G23)</f>
        <v>25371</v>
      </c>
      <c r="J23" s="270">
        <f t="shared" si="3"/>
        <v>0.43706179262347328</v>
      </c>
      <c r="K23" s="25"/>
      <c r="M23" s="1"/>
    </row>
    <row r="24" spans="1:16" ht="25" customHeight="1">
      <c r="A24" s="5"/>
      <c r="B24" s="24"/>
      <c r="C24" s="59">
        <v>33</v>
      </c>
      <c r="D24" s="272"/>
      <c r="E24" s="272"/>
      <c r="F24" s="262"/>
      <c r="G24" s="264"/>
      <c r="H24" s="267"/>
      <c r="I24" s="269"/>
      <c r="J24" s="271"/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53</v>
      </c>
      <c r="E25" s="60">
        <f t="shared" si="0"/>
        <v>5</v>
      </c>
      <c r="F25" s="51">
        <f t="shared" si="4"/>
        <v>55</v>
      </c>
      <c r="G25" s="52">
        <f>IF(D25=D24,"",_xlfn.IFNA(VLOOKUP(D25,'인원 입력 기능'!$AU$5:$AX$55,4,FALSE),0))</f>
        <v>1363</v>
      </c>
      <c r="H25" s="53">
        <f t="shared" si="2"/>
        <v>2.348016331030681E-2</v>
      </c>
      <c r="I25" s="57">
        <f>SUM($G$7:G25)</f>
        <v>26734</v>
      </c>
      <c r="J25" s="55">
        <f t="shared" si="3"/>
        <v>0.46054195593378006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52</v>
      </c>
      <c r="E26" s="60">
        <f t="shared" si="0"/>
        <v>5</v>
      </c>
      <c r="F26" s="51">
        <f t="shared" si="4"/>
        <v>53</v>
      </c>
      <c r="G26" s="52">
        <f>IF(D26=D25,"",_xlfn.IFNA(VLOOKUP(D26,'인원 입력 기능'!$AU$5:$AX$55,4,FALSE),0))</f>
        <v>1207</v>
      </c>
      <c r="H26" s="53">
        <f t="shared" si="2"/>
        <v>2.0792778514703094E-2</v>
      </c>
      <c r="I26" s="57">
        <f>SUM($G$7:G26)</f>
        <v>27941</v>
      </c>
      <c r="J26" s="55">
        <f t="shared" si="3"/>
        <v>0.48133473444848318</v>
      </c>
      <c r="K26" s="25"/>
      <c r="M26" s="1"/>
    </row>
    <row r="27" spans="1:16" ht="25" customHeight="1">
      <c r="A27" s="5"/>
      <c r="B27" s="24"/>
      <c r="C27" s="58">
        <v>30</v>
      </c>
      <c r="D27" s="273">
        <f t="shared" si="1"/>
        <v>51</v>
      </c>
      <c r="E27" s="273">
        <f t="shared" si="0"/>
        <v>5</v>
      </c>
      <c r="F27" s="263">
        <f t="shared" si="4"/>
        <v>50</v>
      </c>
      <c r="G27" s="265">
        <f>IF(D27=D26,"",_xlfn.IFNA(VLOOKUP(D27,'인원 입력 기능'!$AU$5:$AX$55,4,FALSE),0))</f>
        <v>2260</v>
      </c>
      <c r="H27" s="266">
        <f t="shared" si="2"/>
        <v>3.8932625885028167E-2</v>
      </c>
      <c r="I27" s="268">
        <f>SUM($G$7:G27)</f>
        <v>30201</v>
      </c>
      <c r="J27" s="270">
        <f t="shared" si="3"/>
        <v>0.5202673603335114</v>
      </c>
      <c r="K27" s="25"/>
      <c r="M27" s="1"/>
    </row>
    <row r="28" spans="1:16" ht="25" customHeight="1">
      <c r="A28" s="5"/>
      <c r="B28" s="24"/>
      <c r="C28" s="59">
        <v>29</v>
      </c>
      <c r="D28" s="272"/>
      <c r="E28" s="272"/>
      <c r="F28" s="262"/>
      <c r="G28" s="264"/>
      <c r="H28" s="267"/>
      <c r="I28" s="269"/>
      <c r="J28" s="271"/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50</v>
      </c>
      <c r="E29" s="60">
        <f t="shared" si="0"/>
        <v>5</v>
      </c>
      <c r="F29" s="51">
        <f t="shared" si="4"/>
        <v>47</v>
      </c>
      <c r="G29" s="52">
        <f>IF(D29=D28,"",_xlfn.IFNA(VLOOKUP(D29,'인원 입력 기능'!$AU$5:$AX$55,4,FALSE),0))</f>
        <v>1011</v>
      </c>
      <c r="H29" s="53">
        <f t="shared" si="2"/>
        <v>1.741632069458561E-2</v>
      </c>
      <c r="I29" s="57">
        <f>SUM($G$7:G29)</f>
        <v>31212</v>
      </c>
      <c r="J29" s="55">
        <f t="shared" si="3"/>
        <v>0.53768368102809694</v>
      </c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49</v>
      </c>
      <c r="E30" s="60">
        <f t="shared" si="0"/>
        <v>5</v>
      </c>
      <c r="F30" s="51">
        <f t="shared" si="4"/>
        <v>45</v>
      </c>
      <c r="G30" s="52">
        <f>IF(D30=D29,"",_xlfn.IFNA(VLOOKUP(D30,'인원 입력 기능'!$AU$5:$AX$55,4,FALSE),0))</f>
        <v>1075</v>
      </c>
      <c r="H30" s="53">
        <f t="shared" si="2"/>
        <v>1.8518837533807644E-2</v>
      </c>
      <c r="I30" s="57">
        <f>SUM($G$7:G30)</f>
        <v>32287</v>
      </c>
      <c r="J30" s="55">
        <f t="shared" si="3"/>
        <v>0.55620251856190461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48</v>
      </c>
      <c r="E31" s="60">
        <f t="shared" si="0"/>
        <v>5</v>
      </c>
      <c r="F31" s="51">
        <f t="shared" si="4"/>
        <v>44</v>
      </c>
      <c r="G31" s="52">
        <f>IF(D31=D30,"",_xlfn.IFNA(VLOOKUP(D31,'인원 입력 기능'!$AU$5:$AX$55,4,FALSE),0))</f>
        <v>1004</v>
      </c>
      <c r="H31" s="53">
        <f t="shared" si="2"/>
        <v>1.7295732915295698E-2</v>
      </c>
      <c r="I31" s="57">
        <f>SUM($G$7:G31)</f>
        <v>33291</v>
      </c>
      <c r="J31" s="55">
        <f t="shared" si="3"/>
        <v>0.57349825147720035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47</v>
      </c>
      <c r="E32" s="273">
        <f t="shared" si="0"/>
        <v>5</v>
      </c>
      <c r="F32" s="263">
        <f t="shared" si="4"/>
        <v>41</v>
      </c>
      <c r="G32" s="265">
        <f>IF(D32=D31,"",_xlfn.IFNA(VLOOKUP(D32,'인원 입력 기능'!$AU$5:$AX$55,4,FALSE),0))</f>
        <v>2068</v>
      </c>
      <c r="H32" s="266">
        <f t="shared" si="2"/>
        <v>3.5625075367362057E-2</v>
      </c>
      <c r="I32" s="268">
        <f>SUM($G$7:G32)</f>
        <v>35359</v>
      </c>
      <c r="J32" s="270">
        <f t="shared" si="3"/>
        <v>0.60912332684456238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46</v>
      </c>
      <c r="E34" s="60">
        <f t="shared" si="0"/>
        <v>6</v>
      </c>
      <c r="F34" s="51">
        <f t="shared" si="4"/>
        <v>38</v>
      </c>
      <c r="G34" s="52">
        <f>IF(D34=D33,"",_xlfn.IFNA(VLOOKUP(D34,'인원 입력 기능'!$AU$5:$AX$55,4,FALSE),0))</f>
        <v>1017</v>
      </c>
      <c r="H34" s="53">
        <f t="shared" si="2"/>
        <v>1.7519681648262675E-2</v>
      </c>
      <c r="I34" s="57">
        <f>SUM($G$7:G34)</f>
        <v>36376</v>
      </c>
      <c r="J34" s="55">
        <f t="shared" si="3"/>
        <v>0.62664300849282506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45</v>
      </c>
      <c r="E35" s="60">
        <f t="shared" si="0"/>
        <v>6</v>
      </c>
      <c r="F35" s="51">
        <f t="shared" si="4"/>
        <v>36</v>
      </c>
      <c r="G35" s="52">
        <f>IF(D35=D34,"",_xlfn.IFNA(VLOOKUP(D35,'인원 입력 기능'!$AU$5:$AX$55,4,FALSE),0))</f>
        <v>1126</v>
      </c>
      <c r="H35" s="53">
        <f t="shared" si="2"/>
        <v>1.9397405640062707E-2</v>
      </c>
      <c r="I35" s="57">
        <f>SUM($G$7:G35)</f>
        <v>37502</v>
      </c>
      <c r="J35" s="55">
        <f t="shared" si="3"/>
        <v>0.64604041413288771</v>
      </c>
      <c r="K35" s="25"/>
      <c r="M35" s="1"/>
    </row>
    <row r="36" spans="1:13" ht="25" customHeight="1">
      <c r="A36" s="5"/>
      <c r="B36" s="24"/>
      <c r="C36" s="59">
        <v>21</v>
      </c>
      <c r="D36" s="273">
        <f t="shared" si="1"/>
        <v>44</v>
      </c>
      <c r="E36" s="273">
        <f t="shared" si="0"/>
        <v>6</v>
      </c>
      <c r="F36" s="263">
        <f t="shared" si="4"/>
        <v>33</v>
      </c>
      <c r="G36" s="265">
        <f>IF(D36=D35,"",_xlfn.IFNA(VLOOKUP(D36,'인원 입력 기능'!$AU$5:$AX$55,4,FALSE),0))</f>
        <v>2251</v>
      </c>
      <c r="H36" s="266">
        <f t="shared" si="2"/>
        <v>3.877758445451257E-2</v>
      </c>
      <c r="I36" s="268">
        <f>SUM($G$7:G36)</f>
        <v>39753</v>
      </c>
      <c r="J36" s="270">
        <f t="shared" si="3"/>
        <v>0.68481799858740033</v>
      </c>
      <c r="K36" s="25"/>
      <c r="M36" s="1"/>
    </row>
    <row r="37" spans="1:13" ht="25" customHeight="1">
      <c r="A37" s="5"/>
      <c r="B37" s="24"/>
      <c r="C37" s="58">
        <v>20</v>
      </c>
      <c r="D37" s="272"/>
      <c r="E37" s="272"/>
      <c r="F37" s="262"/>
      <c r="G37" s="264"/>
      <c r="H37" s="267"/>
      <c r="I37" s="269"/>
      <c r="J37" s="271"/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43</v>
      </c>
      <c r="E38" s="60">
        <f t="shared" si="0"/>
        <v>6</v>
      </c>
      <c r="F38" s="51">
        <f t="shared" si="4"/>
        <v>30</v>
      </c>
      <c r="G38" s="52">
        <f>IF(D38=D37,"",_xlfn.IFNA(VLOOKUP(D38,'인원 입력 기능'!$AU$5:$AX$55,4,FALSE),0))</f>
        <v>1216</v>
      </c>
      <c r="H38" s="53">
        <f t="shared" si="2"/>
        <v>2.0947819945218694E-2</v>
      </c>
      <c r="I38" s="57">
        <f>SUM($G$7:G38)</f>
        <v>40969</v>
      </c>
      <c r="J38" s="55">
        <f t="shared" si="3"/>
        <v>0.70576581853261899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42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28</v>
      </c>
      <c r="G39" s="52">
        <f>IF(D39=D38,"",_xlfn.IFNA(VLOOKUP(D39,'인원 입력 기능'!$AU$5:$AX$55,4,FALSE),0))</f>
        <v>1187</v>
      </c>
      <c r="H39" s="53">
        <f t="shared" si="2"/>
        <v>2.0448242002446208E-2</v>
      </c>
      <c r="I39" s="57">
        <f>SUM($G$7:G39)</f>
        <v>42156</v>
      </c>
      <c r="J39" s="55">
        <f t="shared" si="3"/>
        <v>0.72621406053506521</v>
      </c>
      <c r="K39" s="25"/>
      <c r="M39" s="1"/>
    </row>
    <row r="40" spans="1:13" ht="25" customHeight="1">
      <c r="A40" s="5"/>
      <c r="B40" s="24"/>
      <c r="C40" s="59">
        <v>17</v>
      </c>
      <c r="D40" s="273">
        <f t="shared" si="1"/>
        <v>41</v>
      </c>
      <c r="E40" s="273">
        <f t="shared" si="5"/>
        <v>6</v>
      </c>
      <c r="F40" s="263">
        <f t="shared" si="4"/>
        <v>25</v>
      </c>
      <c r="G40" s="265">
        <f>IF(D40=D39,"",_xlfn.IFNA(VLOOKUP(D40,'인원 입력 기능'!$AU$5:$AX$55,4,FALSE),0))</f>
        <v>2520</v>
      </c>
      <c r="H40" s="266">
        <f t="shared" si="2"/>
        <v>4.3411600544367691E-2</v>
      </c>
      <c r="I40" s="268">
        <f>SUM($G$7:G40)</f>
        <v>44676</v>
      </c>
      <c r="J40" s="270">
        <f t="shared" si="3"/>
        <v>0.76962566107943287</v>
      </c>
      <c r="K40" s="25"/>
      <c r="M40" s="1"/>
    </row>
    <row r="41" spans="1:13" ht="25" customHeight="1">
      <c r="A41" s="5"/>
      <c r="B41" s="24"/>
      <c r="C41" s="58">
        <v>16</v>
      </c>
      <c r="D41" s="272"/>
      <c r="E41" s="272"/>
      <c r="F41" s="262"/>
      <c r="G41" s="264"/>
      <c r="H41" s="267"/>
      <c r="I41" s="269"/>
      <c r="J41" s="271"/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40</v>
      </c>
      <c r="E42" s="60">
        <f t="shared" si="5"/>
        <v>6</v>
      </c>
      <c r="F42" s="51">
        <f t="shared" si="4"/>
        <v>22</v>
      </c>
      <c r="G42" s="52">
        <f>IF(D42=D41,"",_xlfn.IFNA(VLOOKUP(D42,'인원 입력 기능'!$AU$5:$AX$55,4,FALSE),0))</f>
        <v>1494</v>
      </c>
      <c r="H42" s="53">
        <f t="shared" si="2"/>
        <v>2.5736877465589416E-2</v>
      </c>
      <c r="I42" s="57">
        <f>SUM($G$7:G42)</f>
        <v>46170</v>
      </c>
      <c r="J42" s="55">
        <f t="shared" si="3"/>
        <v>0.79536253854502226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39</v>
      </c>
      <c r="E43" s="60">
        <f t="shared" si="5"/>
        <v>7</v>
      </c>
      <c r="F43" s="51">
        <f t="shared" si="4"/>
        <v>19</v>
      </c>
      <c r="G43" s="52">
        <f>IF(D43=D42,"",_xlfn.IFNA(VLOOKUP(D43,'인원 입력 기능'!$AU$5:$AX$55,4,FALSE),0))</f>
        <v>1257</v>
      </c>
      <c r="H43" s="53">
        <f t="shared" si="2"/>
        <v>2.1654119795345313E-2</v>
      </c>
      <c r="I43" s="57">
        <f>SUM($G$7:G43)</f>
        <v>47427</v>
      </c>
      <c r="J43" s="55">
        <f t="shared" si="3"/>
        <v>0.81701665834036763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38</v>
      </c>
      <c r="E44" s="60">
        <f t="shared" si="5"/>
        <v>7</v>
      </c>
      <c r="F44" s="51">
        <f t="shared" si="4"/>
        <v>17</v>
      </c>
      <c r="G44" s="52">
        <f>IF(D44=D43,"",_xlfn.IFNA(VLOOKUP(D44,'인원 입력 기능'!$AU$5:$AX$55,4,FALSE),0))</f>
        <v>2006</v>
      </c>
      <c r="H44" s="53">
        <f t="shared" si="2"/>
        <v>3.4557012179365708E-2</v>
      </c>
      <c r="I44" s="57">
        <f>SUM($G$7:G44)</f>
        <v>49433</v>
      </c>
      <c r="J44" s="55">
        <f t="shared" si="3"/>
        <v>0.85157367051973332</v>
      </c>
      <c r="K44" s="25"/>
      <c r="M44" s="1"/>
    </row>
    <row r="45" spans="1:13" ht="25" customHeight="1">
      <c r="A45" s="5"/>
      <c r="B45" s="24"/>
      <c r="C45" s="58">
        <v>12</v>
      </c>
      <c r="D45" s="273">
        <f t="shared" si="1"/>
        <v>37</v>
      </c>
      <c r="E45" s="273">
        <f t="shared" si="5"/>
        <v>7</v>
      </c>
      <c r="F45" s="263">
        <f t="shared" si="4"/>
        <v>13</v>
      </c>
      <c r="G45" s="265">
        <f>IF(D45=D44,"",_xlfn.IFNA(VLOOKUP(D45,'인원 입력 기능'!$AU$5:$AX$55,4,FALSE),0))</f>
        <v>2610</v>
      </c>
      <c r="H45" s="266">
        <f t="shared" si="2"/>
        <v>4.4962014849523675E-2</v>
      </c>
      <c r="I45" s="268">
        <f>SUM($G$7:G45)</f>
        <v>52043</v>
      </c>
      <c r="J45" s="270">
        <f t="shared" si="3"/>
        <v>0.89653568536925698</v>
      </c>
      <c r="K45" s="25"/>
      <c r="M45" s="1"/>
    </row>
    <row r="46" spans="1:13" ht="25" customHeight="1">
      <c r="A46" s="5"/>
      <c r="B46" s="24"/>
      <c r="C46" s="59">
        <v>11</v>
      </c>
      <c r="D46" s="272"/>
      <c r="E46" s="272"/>
      <c r="F46" s="262"/>
      <c r="G46" s="264"/>
      <c r="H46" s="267"/>
      <c r="I46" s="269"/>
      <c r="J46" s="271"/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36</v>
      </c>
      <c r="E47" s="60">
        <f t="shared" si="5"/>
        <v>8</v>
      </c>
      <c r="F47" s="51">
        <f t="shared" si="4"/>
        <v>9</v>
      </c>
      <c r="G47" s="52">
        <f>IF(D47=D46,"",_xlfn.IFNA(VLOOKUP(D47,'인원 입력 기능'!$AU$5:$AX$55,4,FALSE),0))</f>
        <v>1321</v>
      </c>
      <c r="H47" s="53">
        <f t="shared" si="2"/>
        <v>2.2756636634567347E-2</v>
      </c>
      <c r="I47" s="57">
        <f>SUM($G$7:G47)</f>
        <v>53364</v>
      </c>
      <c r="J47" s="55">
        <f t="shared" si="3"/>
        <v>0.91929232200382438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35</v>
      </c>
      <c r="E48" s="60">
        <f t="shared" si="5"/>
        <v>8</v>
      </c>
      <c r="F48" s="51">
        <f t="shared" si="4"/>
        <v>7</v>
      </c>
      <c r="G48" s="52">
        <f>IF(D48=D47,"",_xlfn.IFNA(VLOOKUP(D48,'인원 입력 기능'!$AU$5:$AX$55,4,FALSE),0))</f>
        <v>1372</v>
      </c>
      <c r="H48" s="53">
        <f t="shared" si="2"/>
        <v>2.363520474082241E-2</v>
      </c>
      <c r="I48" s="57">
        <f>SUM($G$7:G48)</f>
        <v>54736</v>
      </c>
      <c r="J48" s="55">
        <f t="shared" si="3"/>
        <v>0.94292752674464675</v>
      </c>
      <c r="K48" s="25"/>
      <c r="M48" s="1"/>
    </row>
    <row r="49" spans="1:13" ht="25" customHeight="1">
      <c r="A49" s="5"/>
      <c r="B49" s="24"/>
      <c r="C49" s="58">
        <v>8</v>
      </c>
      <c r="D49" s="273">
        <f t="shared" si="1"/>
        <v>34</v>
      </c>
      <c r="E49" s="273">
        <f t="shared" si="5"/>
        <v>8</v>
      </c>
      <c r="F49" s="263">
        <f t="shared" si="4"/>
        <v>4</v>
      </c>
      <c r="G49" s="265">
        <f>IF(D49=D48,"",_xlfn.IFNA(VLOOKUP(D49,'인원 입력 기능'!$AU$5:$AX$55,4,FALSE),0))</f>
        <v>1703</v>
      </c>
      <c r="H49" s="266">
        <f t="shared" si="2"/>
        <v>2.933728401867388E-2</v>
      </c>
      <c r="I49" s="268">
        <f>SUM($G$7:G49)</f>
        <v>56439</v>
      </c>
      <c r="J49" s="270">
        <f t="shared" si="3"/>
        <v>0.97226481076332061</v>
      </c>
      <c r="K49" s="25"/>
      <c r="M49" s="1"/>
    </row>
    <row r="50" spans="1:13" ht="25" customHeight="1">
      <c r="A50" s="5"/>
      <c r="B50" s="24"/>
      <c r="C50" s="59">
        <v>7</v>
      </c>
      <c r="D50" s="272"/>
      <c r="E50" s="272"/>
      <c r="F50" s="262"/>
      <c r="G50" s="264"/>
      <c r="H50" s="267"/>
      <c r="I50" s="269"/>
      <c r="J50" s="271"/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33</v>
      </c>
      <c r="E51" s="60">
        <f t="shared" si="5"/>
        <v>9</v>
      </c>
      <c r="F51" s="51">
        <f t="shared" si="4"/>
        <v>2</v>
      </c>
      <c r="G51" s="52">
        <f>IF(D51=D50,"",_xlfn.IFNA(VLOOKUP(D51,'인원 입력 기능'!$AU$5:$AX$55,4,FALSE),0))</f>
        <v>407</v>
      </c>
      <c r="H51" s="53">
        <f t="shared" si="2"/>
        <v>7.0113180244276386E-3</v>
      </c>
      <c r="I51" s="57">
        <f>SUM($G$7:G51)</f>
        <v>56846</v>
      </c>
      <c r="J51" s="55">
        <f t="shared" si="3"/>
        <v>0.97927612878774828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32</v>
      </c>
      <c r="E52" s="60">
        <f t="shared" si="5"/>
        <v>9</v>
      </c>
      <c r="F52" s="51">
        <f t="shared" si="4"/>
        <v>2</v>
      </c>
      <c r="G52" s="52">
        <f>IF(D52=D51,"",_xlfn.IFNA(VLOOKUP(D52,'인원 입력 기능'!$AU$5:$AX$55,4,FALSE),0))</f>
        <v>569</v>
      </c>
      <c r="H52" s="53">
        <f t="shared" si="2"/>
        <v>9.8020637737084183E-3</v>
      </c>
      <c r="I52" s="57">
        <f>SUM($G$7:G52)</f>
        <v>57415</v>
      </c>
      <c r="J52" s="55">
        <f t="shared" si="3"/>
        <v>0.98907819256145668</v>
      </c>
      <c r="K52" s="25"/>
      <c r="M52" s="1"/>
    </row>
    <row r="53" spans="1:13" ht="25" customHeight="1">
      <c r="A53" s="5"/>
      <c r="B53" s="24"/>
      <c r="C53" s="58">
        <v>4</v>
      </c>
      <c r="D53" s="261">
        <f t="shared" si="1"/>
        <v>31</v>
      </c>
      <c r="E53" s="261">
        <f t="shared" si="5"/>
        <v>9</v>
      </c>
      <c r="F53" s="263">
        <f t="shared" si="4"/>
        <v>1</v>
      </c>
      <c r="G53" s="265">
        <f>IF(D53=D52,"",_xlfn.IFNA(VLOOKUP(D53,'인원 입력 기능'!$AU$5:$AX$55,4,FALSE),0))</f>
        <v>358</v>
      </c>
      <c r="H53" s="266">
        <f t="shared" si="2"/>
        <v>6.1672035693982668E-3</v>
      </c>
      <c r="I53" s="268">
        <f>SUM($G$7:G53)</f>
        <v>57773</v>
      </c>
      <c r="J53" s="270">
        <f t="shared" si="3"/>
        <v>0.99524539613085494</v>
      </c>
      <c r="K53" s="25"/>
      <c r="M53" s="1"/>
    </row>
    <row r="54" spans="1:13" ht="25" customHeight="1">
      <c r="A54" s="5"/>
      <c r="B54" s="24"/>
      <c r="C54" s="56">
        <v>3</v>
      </c>
      <c r="D54" s="260"/>
      <c r="E54" s="260"/>
      <c r="F54" s="262"/>
      <c r="G54" s="264"/>
      <c r="H54" s="267"/>
      <c r="I54" s="269"/>
      <c r="J54" s="271"/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30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기능'!$AU$5:$AX$55,4,FALSE),0))</f>
        <v>173</v>
      </c>
      <c r="H55" s="53">
        <f t="shared" si="2"/>
        <v>2.9802408310220675E-3</v>
      </c>
      <c r="I55" s="57">
        <f>SUM($G$7:G55)</f>
        <v>57946</v>
      </c>
      <c r="J55" s="55">
        <f t="shared" si="3"/>
        <v>0.99822563696187705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28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기능'!$AU$5:$AX$55,4,FALSE),0)</f>
        <v>103</v>
      </c>
      <c r="H57" s="69">
        <f>G57/J3</f>
        <v>1.774363038122965E-3</v>
      </c>
      <c r="I57" s="70">
        <f>SUM($G$7:G57)</f>
        <v>58049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2">
    <mergeCell ref="I49:I50"/>
    <mergeCell ref="J49:J50"/>
    <mergeCell ref="D53:D54"/>
    <mergeCell ref="E53:E54"/>
    <mergeCell ref="F53:F54"/>
    <mergeCell ref="G53:G54"/>
    <mergeCell ref="H53:H54"/>
    <mergeCell ref="I53:I54"/>
    <mergeCell ref="J53:J54"/>
    <mergeCell ref="D49:D50"/>
    <mergeCell ref="E49:E50"/>
    <mergeCell ref="F49:F50"/>
    <mergeCell ref="G49:G50"/>
    <mergeCell ref="H49:H50"/>
    <mergeCell ref="I40:I41"/>
    <mergeCell ref="J40:J41"/>
    <mergeCell ref="D45:D46"/>
    <mergeCell ref="E45:E46"/>
    <mergeCell ref="F45:F46"/>
    <mergeCell ref="G45:G46"/>
    <mergeCell ref="H45:H46"/>
    <mergeCell ref="I45:I46"/>
    <mergeCell ref="J45:J46"/>
    <mergeCell ref="D40:D41"/>
    <mergeCell ref="E40:E41"/>
    <mergeCell ref="F40:F41"/>
    <mergeCell ref="G40:G41"/>
    <mergeCell ref="H40:H41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3:I24"/>
    <mergeCell ref="J23:J24"/>
    <mergeCell ref="D27:D28"/>
    <mergeCell ref="E27:E28"/>
    <mergeCell ref="F27:F28"/>
    <mergeCell ref="G27:G28"/>
    <mergeCell ref="H27:H28"/>
    <mergeCell ref="I27:I28"/>
    <mergeCell ref="J27:J28"/>
    <mergeCell ref="D23:D24"/>
    <mergeCell ref="E23:E24"/>
    <mergeCell ref="F23:F24"/>
    <mergeCell ref="G23:G24"/>
    <mergeCell ref="H23:H24"/>
    <mergeCell ref="H14:H15"/>
    <mergeCell ref="I14:I15"/>
    <mergeCell ref="J14:J15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56:J56"/>
    <mergeCell ref="D8:J8"/>
    <mergeCell ref="G5:J5"/>
    <mergeCell ref="D10:D11"/>
    <mergeCell ref="E10:E11"/>
    <mergeCell ref="F10:F11"/>
    <mergeCell ref="G10:G11"/>
    <mergeCell ref="H10:H11"/>
    <mergeCell ref="I10:I11"/>
    <mergeCell ref="J10:J11"/>
    <mergeCell ref="D14:D15"/>
    <mergeCell ref="E14:E15"/>
    <mergeCell ref="F14:F15"/>
    <mergeCell ref="G14:G15"/>
  </mergeCells>
  <phoneticPr fontId="1" type="noConversion"/>
  <conditionalFormatting sqref="D7:J7 D57:J57 D9:J10 D12:J14 D16:J18 D20:J23 D25:J27 D29:J32 D34:J36 D38:J40 D42:J45 D47:J49 D51:J53 D55:J55">
    <cfRule type="expression" dxfId="97" priority="7">
      <formula>OR($D7=$P$7:$P$14)</formula>
    </cfRule>
  </conditionalFormatting>
  <conditionalFormatting sqref="C7:C57">
    <cfRule type="expression" dxfId="96" priority="6">
      <formula>OR(AND($D7=0,OR($D6=$P$7:$P$14)),AND($D8&gt;0,OR($D7=$P$7:$P$14)))</formula>
    </cfRule>
  </conditionalFormatting>
  <conditionalFormatting sqref="D7 D57 D9:D10 D12:D14 D16:D18 D20:D23 D25:D27 D29:D32 D34:D36 D38:D40 D42:D45 D47:D49 D51:D53 D55">
    <cfRule type="expression" dxfId="95" priority="5">
      <formula>$D7=$D8</formula>
    </cfRule>
  </conditionalFormatting>
  <conditionalFormatting sqref="D56">
    <cfRule type="expression" dxfId="94" priority="4">
      <formula>OR($D56=$P$7:$P$14)</formula>
    </cfRule>
  </conditionalFormatting>
  <conditionalFormatting sqref="D56">
    <cfRule type="expression" dxfId="93" priority="3">
      <formula>$D56=$D57</formula>
    </cfRule>
  </conditionalFormatting>
  <conditionalFormatting sqref="D8">
    <cfRule type="expression" dxfId="92" priority="2">
      <formula>OR($D8=$P$7:$P$14)</formula>
    </cfRule>
  </conditionalFormatting>
  <conditionalFormatting sqref="D8">
    <cfRule type="expression" dxfId="91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18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기능'!D14</f>
        <v>29.13</v>
      </c>
      <c r="I3" s="109" t="s">
        <v>54</v>
      </c>
      <c r="J3" s="110">
        <f>'통계 및 응시자 수 입력 기능'!C14</f>
        <v>44074</v>
      </c>
      <c r="K3" s="25"/>
    </row>
    <row r="4" spans="1:16" ht="25" customHeight="1" thickBot="1">
      <c r="A4" s="5"/>
      <c r="B4" s="24"/>
      <c r="C4" s="42" t="s">
        <v>55</v>
      </c>
      <c r="D4" s="242" t="s">
        <v>68</v>
      </c>
      <c r="E4" s="243"/>
      <c r="F4" s="244"/>
      <c r="G4" s="43" t="s">
        <v>57</v>
      </c>
      <c r="H4" s="108">
        <f>'통계 및 응시자 수 입력 기능'!E14</f>
        <v>13.6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65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97</v>
      </c>
      <c r="G7" s="52">
        <f>_xlfn.IFNA(VLOOKUP(D7,'인원 입력 기능'!$AZ$5:$BC$55,4,FALSE),0)</f>
        <v>2599</v>
      </c>
      <c r="H7" s="53">
        <f>G7/J3</f>
        <v>5.8969006670599448E-2</v>
      </c>
      <c r="I7" s="54">
        <f>G7</f>
        <v>2599</v>
      </c>
      <c r="J7" s="55">
        <f>I7/J3</f>
        <v>5.8969006670599448E-2</v>
      </c>
      <c r="K7" s="25"/>
      <c r="M7" s="1"/>
      <c r="O7" s="1">
        <v>1</v>
      </c>
      <c r="P7" s="1">
        <f>'표준점수 등급컷 입력기능'!E42</f>
        <v>65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입력기능'!E43</f>
        <v>63</v>
      </c>
    </row>
    <row r="9" spans="1:16" ht="25" customHeight="1">
      <c r="A9" s="5"/>
      <c r="B9" s="24"/>
      <c r="C9" s="49">
        <v>48</v>
      </c>
      <c r="D9" s="50">
        <f>ROUND(10*(C9-$H$3)/$H$4+50,0)</f>
        <v>64</v>
      </c>
      <c r="E9" s="50">
        <f t="shared" si="0"/>
        <v>2</v>
      </c>
      <c r="F9" s="51">
        <f>IF(I8=0,ROUND(100*(1-(I7+I9)/2/$J$3),0),ROUND(100*(1-(I8+I9)/2/$J$3),0))</f>
        <v>93</v>
      </c>
      <c r="G9" s="52">
        <f>_xlfn.IFNA(VLOOKUP(D9,'인원 입력 기능'!$AZ$5:$BC$55,4,FALSE),0)</f>
        <v>873</v>
      </c>
      <c r="H9" s="53">
        <f>G9/$J$3</f>
        <v>1.9807596315287924E-2</v>
      </c>
      <c r="I9" s="57">
        <f>SUM($G$7:G9)</f>
        <v>3472</v>
      </c>
      <c r="J9" s="55">
        <f>I9/$J$3</f>
        <v>7.8776602985887373E-2</v>
      </c>
      <c r="K9" s="25"/>
      <c r="M9" s="1"/>
      <c r="O9" s="1">
        <v>3</v>
      </c>
      <c r="P9" s="1">
        <f>'표준점수 등급컷 입력기능'!E44</f>
        <v>59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63</v>
      </c>
      <c r="E10" s="50">
        <f t="shared" si="0"/>
        <v>2</v>
      </c>
      <c r="F10" s="51">
        <f>IF(I9=0,ROUND(100*(1-(I8+I10)/2/$J$3),0),ROUND(100*(1-(I9+I10)/2/$J$3),0))</f>
        <v>90</v>
      </c>
      <c r="G10" s="52">
        <f>IF(D10=D9,"",_xlfn.IFNA(VLOOKUP(D10,'인원 입력 기능'!$AZ$5:$BC$55,4,FALSE),0))</f>
        <v>2148</v>
      </c>
      <c r="H10" s="53">
        <f t="shared" ref="H10:H55" si="2">G10/$J$3</f>
        <v>4.8736216363388846E-2</v>
      </c>
      <c r="I10" s="57">
        <f>SUM($G$7:G10)</f>
        <v>5620</v>
      </c>
      <c r="J10" s="55">
        <f t="shared" ref="J10:J55" si="3">I10/$J$3</f>
        <v>0.12751281934927622</v>
      </c>
      <c r="K10" s="25"/>
      <c r="M10" s="1"/>
      <c r="O10" s="1">
        <v>4</v>
      </c>
      <c r="P10" s="1">
        <f>'표준점수 등급컷 입력기능'!E45</f>
        <v>54</v>
      </c>
    </row>
    <row r="11" spans="1:16" ht="25" customHeight="1">
      <c r="A11" s="5"/>
      <c r="B11" s="24"/>
      <c r="C11" s="49">
        <v>46</v>
      </c>
      <c r="D11" s="261">
        <f t="shared" si="1"/>
        <v>62</v>
      </c>
      <c r="E11" s="261">
        <f t="shared" si="0"/>
        <v>3</v>
      </c>
      <c r="F11" s="263">
        <f t="shared" ref="F11:F55" si="4">IF(I10=0,ROUND(100*(1-(I9+I11)/2/$J$3),0),ROUND(100*(1-(I10+I11)/2/$J$3),0))</f>
        <v>85</v>
      </c>
      <c r="G11" s="265">
        <f>IF(D11=D10,"",_xlfn.IFNA(VLOOKUP(D11,'인원 입력 기능'!$AZ$5:$BC$55,4,FALSE),0))</f>
        <v>2261</v>
      </c>
      <c r="H11" s="266">
        <f t="shared" si="2"/>
        <v>5.1300086218632301E-2</v>
      </c>
      <c r="I11" s="268">
        <f>SUM($G$7:G11)</f>
        <v>7881</v>
      </c>
      <c r="J11" s="270">
        <f t="shared" si="3"/>
        <v>0.17881290556790852</v>
      </c>
      <c r="K11" s="25"/>
      <c r="M11" s="1"/>
      <c r="O11" s="1">
        <v>5</v>
      </c>
      <c r="P11" s="1">
        <f>'표준점수 등급컷 입력기능'!E46</f>
        <v>46</v>
      </c>
    </row>
    <row r="12" spans="1:16" ht="25" customHeight="1">
      <c r="A12" s="5"/>
      <c r="B12" s="24"/>
      <c r="C12" s="56">
        <v>45</v>
      </c>
      <c r="D12" s="260"/>
      <c r="E12" s="260"/>
      <c r="F12" s="262"/>
      <c r="G12" s="264"/>
      <c r="H12" s="267"/>
      <c r="I12" s="269"/>
      <c r="J12" s="271"/>
      <c r="K12" s="25"/>
      <c r="M12" s="1"/>
      <c r="O12" s="1">
        <v>6</v>
      </c>
      <c r="P12" s="1">
        <f>'표준점수 등급컷 입력기능'!E47</f>
        <v>40</v>
      </c>
    </row>
    <row r="13" spans="1:16" ht="25" customHeight="1">
      <c r="A13" s="5"/>
      <c r="B13" s="24"/>
      <c r="C13" s="49">
        <v>44</v>
      </c>
      <c r="D13" s="50">
        <f t="shared" si="1"/>
        <v>61</v>
      </c>
      <c r="E13" s="50">
        <f t="shared" si="0"/>
        <v>3</v>
      </c>
      <c r="F13" s="51">
        <f t="shared" si="4"/>
        <v>81</v>
      </c>
      <c r="G13" s="52">
        <f>IF(D13=D12,"",_xlfn.IFNA(VLOOKUP(D13,'인원 입력 기능'!$AZ$5:$BC$55,4,FALSE),0))</f>
        <v>1042</v>
      </c>
      <c r="H13" s="53">
        <f t="shared" si="2"/>
        <v>2.3642056541271498E-2</v>
      </c>
      <c r="I13" s="57">
        <f>SUM($G$7:G13)</f>
        <v>8923</v>
      </c>
      <c r="J13" s="55">
        <f t="shared" si="3"/>
        <v>0.20245496210918001</v>
      </c>
      <c r="K13" s="25"/>
      <c r="M13" s="1"/>
      <c r="O13" s="1">
        <v>7</v>
      </c>
      <c r="P13" s="1">
        <f>'표준점수 등급컷 입력기능'!E48</f>
        <v>37</v>
      </c>
    </row>
    <row r="14" spans="1:16" ht="25" customHeight="1">
      <c r="A14" s="5"/>
      <c r="B14" s="24"/>
      <c r="C14" s="56">
        <v>43</v>
      </c>
      <c r="D14" s="50">
        <f t="shared" si="1"/>
        <v>60</v>
      </c>
      <c r="E14" s="50">
        <f t="shared" si="0"/>
        <v>3</v>
      </c>
      <c r="F14" s="51">
        <f t="shared" si="4"/>
        <v>79</v>
      </c>
      <c r="G14" s="52">
        <f>IF(D14=D13,"",_xlfn.IFNA(VLOOKUP(D14,'인원 입력 기능'!$AZ$5:$BC$55,4,FALSE),0))</f>
        <v>896</v>
      </c>
      <c r="H14" s="53">
        <f t="shared" si="2"/>
        <v>2.0329445931841904E-2</v>
      </c>
      <c r="I14" s="57">
        <f>SUM($G$7:G14)</f>
        <v>9819</v>
      </c>
      <c r="J14" s="55">
        <f t="shared" si="3"/>
        <v>0.22278440804102193</v>
      </c>
      <c r="K14" s="25"/>
      <c r="M14" s="1"/>
      <c r="O14" s="1">
        <v>8</v>
      </c>
      <c r="P14" s="1">
        <f>'표준점수 등급컷 입력기능'!E49</f>
        <v>34</v>
      </c>
    </row>
    <row r="15" spans="1:16" ht="25" customHeight="1">
      <c r="A15" s="5"/>
      <c r="B15" s="24"/>
      <c r="C15" s="49">
        <v>42</v>
      </c>
      <c r="D15" s="261">
        <f t="shared" si="1"/>
        <v>59</v>
      </c>
      <c r="E15" s="261">
        <f t="shared" si="0"/>
        <v>3</v>
      </c>
      <c r="F15" s="263">
        <f t="shared" si="4"/>
        <v>75</v>
      </c>
      <c r="G15" s="265">
        <f>IF(D15=D14,"",_xlfn.IFNA(VLOOKUP(D15,'인원 입력 기능'!$AZ$5:$BC$55,4,FALSE),0))</f>
        <v>2354</v>
      </c>
      <c r="H15" s="266">
        <f t="shared" si="2"/>
        <v>5.3410173798611425E-2</v>
      </c>
      <c r="I15" s="268">
        <f>SUM($G$7:G15)</f>
        <v>12173</v>
      </c>
      <c r="J15" s="270">
        <f t="shared" si="3"/>
        <v>0.27619458183963336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0"/>
      <c r="E16" s="260"/>
      <c r="F16" s="262"/>
      <c r="G16" s="264"/>
      <c r="H16" s="267"/>
      <c r="I16" s="269"/>
      <c r="J16" s="271"/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58</v>
      </c>
      <c r="E17" s="50">
        <f t="shared" si="0"/>
        <v>4</v>
      </c>
      <c r="F17" s="51">
        <f t="shared" si="4"/>
        <v>71</v>
      </c>
      <c r="G17" s="52">
        <f>IF(D17=D16,"",_xlfn.IFNA(VLOOKUP(D17,'인원 입력 기능'!$AZ$5:$BC$55,4,FALSE),0))</f>
        <v>1152</v>
      </c>
      <c r="H17" s="53">
        <f t="shared" si="2"/>
        <v>2.6137859055225303E-2</v>
      </c>
      <c r="I17" s="57">
        <f>SUM($G$7:G17)</f>
        <v>13325</v>
      </c>
      <c r="J17" s="55">
        <f t="shared" si="3"/>
        <v>0.30233244089485867</v>
      </c>
      <c r="K17" s="25"/>
      <c r="M17" s="1"/>
      <c r="P17" s="1">
        <f>H3*H4*J3*P7*IFERROR(IF(J57=1, 1, 0), 0)</f>
        <v>1134946048.0799997</v>
      </c>
    </row>
    <row r="18" spans="1:16" ht="25" customHeight="1">
      <c r="A18" s="5"/>
      <c r="B18" s="24"/>
      <c r="C18" s="56">
        <v>39</v>
      </c>
      <c r="D18" s="261">
        <f t="shared" si="1"/>
        <v>57</v>
      </c>
      <c r="E18" s="261">
        <f t="shared" si="0"/>
        <v>4</v>
      </c>
      <c r="F18" s="263">
        <f t="shared" si="4"/>
        <v>68</v>
      </c>
      <c r="G18" s="265">
        <f>IF(D18=D17,"",_xlfn.IFNA(VLOOKUP(D18,'인원 입력 기능'!$AZ$5:$BC$55,4,FALSE),0))</f>
        <v>1896</v>
      </c>
      <c r="H18" s="266">
        <f t="shared" si="2"/>
        <v>4.3018559695058314E-2</v>
      </c>
      <c r="I18" s="268">
        <f>SUM($G$7:G18)</f>
        <v>15221</v>
      </c>
      <c r="J18" s="270">
        <f t="shared" si="3"/>
        <v>0.34535100058991697</v>
      </c>
      <c r="K18" s="25"/>
      <c r="M18" s="1"/>
    </row>
    <row r="19" spans="1:16" ht="25" customHeight="1">
      <c r="A19" s="5"/>
      <c r="B19" s="24"/>
      <c r="C19" s="49">
        <v>38</v>
      </c>
      <c r="D19" s="260"/>
      <c r="E19" s="260"/>
      <c r="F19" s="262"/>
      <c r="G19" s="264"/>
      <c r="H19" s="267"/>
      <c r="I19" s="269"/>
      <c r="J19" s="271"/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56</v>
      </c>
      <c r="E20" s="50">
        <f t="shared" si="0"/>
        <v>4</v>
      </c>
      <c r="F20" s="51">
        <f t="shared" si="4"/>
        <v>64</v>
      </c>
      <c r="G20" s="52">
        <f>IF(D20=D19,"",_xlfn.IFNA(VLOOKUP(D20,'인원 입력 기능'!$AZ$5:$BC$55,4,FALSE),0))</f>
        <v>1074</v>
      </c>
      <c r="H20" s="53">
        <f t="shared" si="2"/>
        <v>2.4368108181694423E-2</v>
      </c>
      <c r="I20" s="57">
        <f>SUM($G$7:G20)</f>
        <v>16295</v>
      </c>
      <c r="J20" s="55">
        <f t="shared" si="3"/>
        <v>0.3697191087716114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55</v>
      </c>
      <c r="E21" s="60">
        <f t="shared" si="0"/>
        <v>4</v>
      </c>
      <c r="F21" s="51">
        <f t="shared" si="4"/>
        <v>62</v>
      </c>
      <c r="G21" s="52">
        <f>IF(D21=D20,"",_xlfn.IFNA(VLOOKUP(D21,'인원 입력 기능'!$AZ$5:$BC$55,4,FALSE),0))</f>
        <v>810</v>
      </c>
      <c r="H21" s="53">
        <f t="shared" si="2"/>
        <v>1.8378182148205292E-2</v>
      </c>
      <c r="I21" s="57">
        <f>SUM($G$7:G21)</f>
        <v>17105</v>
      </c>
      <c r="J21" s="55">
        <f t="shared" si="3"/>
        <v>0.38809729091981665</v>
      </c>
      <c r="K21" s="25"/>
      <c r="M21" s="1"/>
    </row>
    <row r="22" spans="1:16" ht="25" customHeight="1">
      <c r="A22" s="5"/>
      <c r="B22" s="24"/>
      <c r="C22" s="59">
        <v>35</v>
      </c>
      <c r="D22" s="273">
        <f t="shared" si="1"/>
        <v>54</v>
      </c>
      <c r="E22" s="273">
        <f t="shared" si="0"/>
        <v>4</v>
      </c>
      <c r="F22" s="263">
        <f t="shared" si="4"/>
        <v>59</v>
      </c>
      <c r="G22" s="265">
        <f>IF(D22=D21,"",_xlfn.IFNA(VLOOKUP(D22,'인원 입력 기능'!$AZ$5:$BC$55,4,FALSE),0))</f>
        <v>1742</v>
      </c>
      <c r="H22" s="266">
        <f t="shared" si="2"/>
        <v>3.9524436175522981E-2</v>
      </c>
      <c r="I22" s="268">
        <f>SUM($G$7:G22)</f>
        <v>18847</v>
      </c>
      <c r="J22" s="270">
        <f t="shared" si="3"/>
        <v>0.42762172709533963</v>
      </c>
      <c r="K22" s="25"/>
      <c r="M22" s="1"/>
    </row>
    <row r="23" spans="1:16" ht="25" customHeight="1">
      <c r="A23" s="5"/>
      <c r="B23" s="24"/>
      <c r="C23" s="58">
        <v>34</v>
      </c>
      <c r="D23" s="272"/>
      <c r="E23" s="272"/>
      <c r="F23" s="262"/>
      <c r="G23" s="264"/>
      <c r="H23" s="267"/>
      <c r="I23" s="269"/>
      <c r="J23" s="271"/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53</v>
      </c>
      <c r="E24" s="60">
        <f t="shared" si="0"/>
        <v>5</v>
      </c>
      <c r="F24" s="51">
        <f t="shared" si="4"/>
        <v>56</v>
      </c>
      <c r="G24" s="52">
        <f>IF(D24=D23,"",_xlfn.IFNA(VLOOKUP(D24,'인원 입력 기능'!$AZ$5:$BC$55,4,FALSE),0))</f>
        <v>717</v>
      </c>
      <c r="H24" s="53">
        <f t="shared" si="2"/>
        <v>1.6268094568226164E-2</v>
      </c>
      <c r="I24" s="57">
        <f>SUM($G$7:G24)</f>
        <v>19564</v>
      </c>
      <c r="J24" s="55">
        <f t="shared" si="3"/>
        <v>0.44388982166356583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52</v>
      </c>
      <c r="E25" s="60">
        <f t="shared" si="0"/>
        <v>5</v>
      </c>
      <c r="F25" s="51">
        <f t="shared" si="4"/>
        <v>55</v>
      </c>
      <c r="G25" s="52">
        <f>IF(D25=D24,"",_xlfn.IFNA(VLOOKUP(D25,'인원 입력 기능'!$AZ$5:$BC$55,4,FALSE),0))</f>
        <v>769</v>
      </c>
      <c r="H25" s="53">
        <f t="shared" si="2"/>
        <v>1.7447928483913418E-2</v>
      </c>
      <c r="I25" s="57">
        <f>SUM($G$7:G25)</f>
        <v>20333</v>
      </c>
      <c r="J25" s="55">
        <f t="shared" si="3"/>
        <v>0.46133775014747924</v>
      </c>
      <c r="K25" s="25"/>
      <c r="M25" s="1"/>
    </row>
    <row r="26" spans="1:16" ht="25" customHeight="1">
      <c r="A26" s="5"/>
      <c r="B26" s="24"/>
      <c r="C26" s="59">
        <v>31</v>
      </c>
      <c r="D26" s="273">
        <f t="shared" si="1"/>
        <v>51</v>
      </c>
      <c r="E26" s="273">
        <f t="shared" si="0"/>
        <v>5</v>
      </c>
      <c r="F26" s="263">
        <f t="shared" si="4"/>
        <v>52</v>
      </c>
      <c r="G26" s="265">
        <f>IF(D26=D25,"",_xlfn.IFNA(VLOOKUP(D26,'인원 입력 기능'!$AZ$5:$BC$55,4,FALSE),0))</f>
        <v>1610</v>
      </c>
      <c r="H26" s="266">
        <f t="shared" si="2"/>
        <v>3.6529473158778421E-2</v>
      </c>
      <c r="I26" s="268">
        <f>SUM($G$7:G26)</f>
        <v>21943</v>
      </c>
      <c r="J26" s="270">
        <f t="shared" si="3"/>
        <v>0.49786722330625766</v>
      </c>
      <c r="K26" s="25"/>
      <c r="M26" s="1"/>
    </row>
    <row r="27" spans="1:16" ht="25" customHeight="1">
      <c r="A27" s="5"/>
      <c r="B27" s="24"/>
      <c r="C27" s="58">
        <v>30</v>
      </c>
      <c r="D27" s="272"/>
      <c r="E27" s="272"/>
      <c r="F27" s="262"/>
      <c r="G27" s="264"/>
      <c r="H27" s="267"/>
      <c r="I27" s="269"/>
      <c r="J27" s="271"/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50</v>
      </c>
      <c r="E28" s="60">
        <f t="shared" si="0"/>
        <v>5</v>
      </c>
      <c r="F28" s="51">
        <f t="shared" si="4"/>
        <v>49</v>
      </c>
      <c r="G28" s="52">
        <f>IF(D28=D27,"",_xlfn.IFNA(VLOOKUP(D28,'인원 입력 기능'!$AZ$5:$BC$55,4,FALSE),0))</f>
        <v>825</v>
      </c>
      <c r="H28" s="53">
        <f t="shared" si="2"/>
        <v>1.8718518854653539E-2</v>
      </c>
      <c r="I28" s="57">
        <f>SUM($G$7:G28)</f>
        <v>22768</v>
      </c>
      <c r="J28" s="55">
        <f t="shared" si="3"/>
        <v>0.51658574216091124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49</v>
      </c>
      <c r="E29" s="60">
        <f t="shared" si="0"/>
        <v>5</v>
      </c>
      <c r="F29" s="51">
        <f t="shared" si="4"/>
        <v>47</v>
      </c>
      <c r="G29" s="52">
        <f>IF(D29=D28,"",_xlfn.IFNA(VLOOKUP(D29,'인원 입력 기능'!$AZ$5:$BC$55,4,FALSE),0))</f>
        <v>780</v>
      </c>
      <c r="H29" s="53">
        <f t="shared" si="2"/>
        <v>1.7697508735308797E-2</v>
      </c>
      <c r="I29" s="57">
        <f>SUM($G$7:G29)</f>
        <v>23548</v>
      </c>
      <c r="J29" s="55">
        <f t="shared" si="3"/>
        <v>0.53428325089621997</v>
      </c>
      <c r="K29" s="25"/>
      <c r="M29" s="1"/>
    </row>
    <row r="30" spans="1:16" ht="25" customHeight="1">
      <c r="A30" s="5"/>
      <c r="B30" s="24"/>
      <c r="C30" s="59">
        <v>27</v>
      </c>
      <c r="D30" s="273">
        <f t="shared" si="1"/>
        <v>48</v>
      </c>
      <c r="E30" s="273">
        <f t="shared" si="0"/>
        <v>5</v>
      </c>
      <c r="F30" s="263">
        <f t="shared" si="4"/>
        <v>45</v>
      </c>
      <c r="G30" s="265">
        <f>IF(D30=D29,"",_xlfn.IFNA(VLOOKUP(D30,'인원 입력 기능'!$AZ$5:$BC$55,4,FALSE),0))</f>
        <v>1606</v>
      </c>
      <c r="H30" s="266">
        <f t="shared" si="2"/>
        <v>3.6438716703725553E-2</v>
      </c>
      <c r="I30" s="268">
        <f>SUM($G$7:G30)</f>
        <v>25154</v>
      </c>
      <c r="J30" s="270">
        <f t="shared" si="3"/>
        <v>0.57072196759994553</v>
      </c>
      <c r="K30" s="25"/>
      <c r="M30" s="1"/>
    </row>
    <row r="31" spans="1:16" ht="25" customHeight="1">
      <c r="A31" s="5"/>
      <c r="B31" s="24"/>
      <c r="C31" s="58">
        <v>26</v>
      </c>
      <c r="D31" s="272"/>
      <c r="E31" s="272"/>
      <c r="F31" s="262"/>
      <c r="G31" s="264"/>
      <c r="H31" s="267"/>
      <c r="I31" s="269"/>
      <c r="J31" s="271"/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47</v>
      </c>
      <c r="E32" s="60">
        <f t="shared" si="0"/>
        <v>5</v>
      </c>
      <c r="F32" s="51">
        <f t="shared" si="4"/>
        <v>42</v>
      </c>
      <c r="G32" s="52">
        <f>IF(D32=D31,"",_xlfn.IFNA(VLOOKUP(D32,'인원 입력 기능'!$AZ$5:$BC$55,4,FALSE),0))</f>
        <v>874</v>
      </c>
      <c r="H32" s="53">
        <f t="shared" si="2"/>
        <v>1.9830285429051141E-2</v>
      </c>
      <c r="I32" s="57">
        <f>SUM($G$7:G32)</f>
        <v>26028</v>
      </c>
      <c r="J32" s="55">
        <f t="shared" si="3"/>
        <v>0.59055225302899672</v>
      </c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46</v>
      </c>
      <c r="E33" s="60">
        <f t="shared" si="0"/>
        <v>5</v>
      </c>
      <c r="F33" s="51">
        <f t="shared" si="4"/>
        <v>40</v>
      </c>
      <c r="G33" s="52">
        <f>IF(D33=D32,"",_xlfn.IFNA(VLOOKUP(D33,'인원 입력 기능'!$AZ$5:$BC$55,4,FALSE),0))</f>
        <v>866</v>
      </c>
      <c r="H33" s="53">
        <f t="shared" si="2"/>
        <v>1.9648772518945409E-2</v>
      </c>
      <c r="I33" s="57">
        <f>SUM($G$7:G33)</f>
        <v>26894</v>
      </c>
      <c r="J33" s="55">
        <f t="shared" si="3"/>
        <v>0.61020102554794209</v>
      </c>
      <c r="K33" s="25"/>
      <c r="M33" s="1"/>
    </row>
    <row r="34" spans="1:13" ht="25" customHeight="1">
      <c r="A34" s="5"/>
      <c r="B34" s="24"/>
      <c r="C34" s="59">
        <v>23</v>
      </c>
      <c r="D34" s="273">
        <f t="shared" si="1"/>
        <v>45</v>
      </c>
      <c r="E34" s="273">
        <f t="shared" si="0"/>
        <v>6</v>
      </c>
      <c r="F34" s="263">
        <f t="shared" si="4"/>
        <v>37</v>
      </c>
      <c r="G34" s="265">
        <f>IF(D34=D33,"",_xlfn.IFNA(VLOOKUP(D34,'인원 입력 기능'!$AZ$5:$BC$55,4,FALSE),0))</f>
        <v>1777</v>
      </c>
      <c r="H34" s="266">
        <f t="shared" si="2"/>
        <v>4.0318555157235557E-2</v>
      </c>
      <c r="I34" s="268">
        <f>SUM($G$7:G34)</f>
        <v>28671</v>
      </c>
      <c r="J34" s="270">
        <f t="shared" si="3"/>
        <v>0.65051958070517768</v>
      </c>
      <c r="K34" s="25"/>
      <c r="M34" s="1"/>
    </row>
    <row r="35" spans="1:13" ht="25" customHeight="1">
      <c r="A35" s="5"/>
      <c r="B35" s="24"/>
      <c r="C35" s="58">
        <v>22</v>
      </c>
      <c r="D35" s="272"/>
      <c r="E35" s="272"/>
      <c r="F35" s="262"/>
      <c r="G35" s="264"/>
      <c r="H35" s="267"/>
      <c r="I35" s="269"/>
      <c r="J35" s="271"/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44</v>
      </c>
      <c r="E36" s="60">
        <f t="shared" si="0"/>
        <v>6</v>
      </c>
      <c r="F36" s="51">
        <f t="shared" si="4"/>
        <v>34</v>
      </c>
      <c r="G36" s="52">
        <f>IF(D36=D35,"",_xlfn.IFNA(VLOOKUP(D36,'인원 입력 기능'!$AZ$5:$BC$55,4,FALSE),0))</f>
        <v>847</v>
      </c>
      <c r="H36" s="53">
        <f t="shared" si="2"/>
        <v>1.9217679357444298E-2</v>
      </c>
      <c r="I36" s="57">
        <f>SUM($G$7:G36)</f>
        <v>29518</v>
      </c>
      <c r="J36" s="55">
        <f t="shared" si="3"/>
        <v>0.66973726006262191</v>
      </c>
      <c r="K36" s="25"/>
      <c r="M36" s="1"/>
    </row>
    <row r="37" spans="1:13" ht="25" customHeight="1">
      <c r="A37" s="5"/>
      <c r="B37" s="24"/>
      <c r="C37" s="58">
        <v>20</v>
      </c>
      <c r="D37" s="273">
        <f t="shared" si="1"/>
        <v>43</v>
      </c>
      <c r="E37" s="273">
        <f t="shared" si="0"/>
        <v>6</v>
      </c>
      <c r="F37" s="263">
        <f t="shared" si="4"/>
        <v>31</v>
      </c>
      <c r="G37" s="265">
        <f>IF(D37=D36,"",_xlfn.IFNA(VLOOKUP(D37,'인원 입력 기능'!$AZ$5:$BC$55,4,FALSE),0))</f>
        <v>1924</v>
      </c>
      <c r="H37" s="266">
        <f t="shared" si="2"/>
        <v>4.3653854880428368E-2</v>
      </c>
      <c r="I37" s="268">
        <f>SUM($G$7:G37)</f>
        <v>31442</v>
      </c>
      <c r="J37" s="270">
        <f t="shared" si="3"/>
        <v>0.7133911149430503</v>
      </c>
      <c r="K37" s="25"/>
      <c r="M37" s="1"/>
    </row>
    <row r="38" spans="1:13" ht="25" customHeight="1">
      <c r="A38" s="5"/>
      <c r="B38" s="24"/>
      <c r="C38" s="59">
        <v>19</v>
      </c>
      <c r="D38" s="272"/>
      <c r="E38" s="272"/>
      <c r="F38" s="262"/>
      <c r="G38" s="264"/>
      <c r="H38" s="267"/>
      <c r="I38" s="269"/>
      <c r="J38" s="271"/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42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28</v>
      </c>
      <c r="G39" s="52">
        <f>IF(D39=D38,"",_xlfn.IFNA(VLOOKUP(D39,'인원 입력 기능'!$AZ$5:$BC$55,4,FALSE),0))</f>
        <v>909</v>
      </c>
      <c r="H39" s="53">
        <f t="shared" si="2"/>
        <v>2.0624404410763717E-2</v>
      </c>
      <c r="I39" s="57">
        <f>SUM($G$7:G39)</f>
        <v>32351</v>
      </c>
      <c r="J39" s="55">
        <f t="shared" si="3"/>
        <v>0.73401551935381404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41</v>
      </c>
      <c r="E40" s="60">
        <f t="shared" si="5"/>
        <v>6</v>
      </c>
      <c r="F40" s="51">
        <f t="shared" si="4"/>
        <v>25</v>
      </c>
      <c r="G40" s="52">
        <f>IF(D40=D39,"",_xlfn.IFNA(VLOOKUP(D40,'인원 입력 기능'!$AZ$5:$BC$55,4,FALSE),0))</f>
        <v>1012</v>
      </c>
      <c r="H40" s="53">
        <f t="shared" si="2"/>
        <v>2.2961383128375007E-2</v>
      </c>
      <c r="I40" s="57">
        <f>SUM($G$7:G40)</f>
        <v>33363</v>
      </c>
      <c r="J40" s="55">
        <f t="shared" si="3"/>
        <v>0.75697690248218907</v>
      </c>
      <c r="K40" s="25"/>
      <c r="M40" s="1"/>
    </row>
    <row r="41" spans="1:13" ht="25" customHeight="1">
      <c r="A41" s="5"/>
      <c r="B41" s="24"/>
      <c r="C41" s="58">
        <v>16</v>
      </c>
      <c r="D41" s="273">
        <f t="shared" si="1"/>
        <v>40</v>
      </c>
      <c r="E41" s="273">
        <f t="shared" si="5"/>
        <v>6</v>
      </c>
      <c r="F41" s="263">
        <f t="shared" si="4"/>
        <v>22</v>
      </c>
      <c r="G41" s="265">
        <f>IF(D41=D40,"",_xlfn.IFNA(VLOOKUP(D41,'인원 입력 기능'!$AZ$5:$BC$55,4,FALSE),0))</f>
        <v>2043</v>
      </c>
      <c r="H41" s="266">
        <f t="shared" si="2"/>
        <v>4.6353859418251125E-2</v>
      </c>
      <c r="I41" s="268">
        <f>SUM($G$7:G41)</f>
        <v>35406</v>
      </c>
      <c r="J41" s="270">
        <f t="shared" si="3"/>
        <v>0.80333076190044017</v>
      </c>
      <c r="K41" s="25"/>
      <c r="M41" s="1"/>
    </row>
    <row r="42" spans="1:13" ht="25" customHeight="1">
      <c r="A42" s="5"/>
      <c r="B42" s="24"/>
      <c r="C42" s="59">
        <v>15</v>
      </c>
      <c r="D42" s="272"/>
      <c r="E42" s="272"/>
      <c r="F42" s="262"/>
      <c r="G42" s="264"/>
      <c r="H42" s="267"/>
      <c r="I42" s="269"/>
      <c r="J42" s="271"/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39</v>
      </c>
      <c r="E43" s="60">
        <f t="shared" si="5"/>
        <v>7</v>
      </c>
      <c r="F43" s="51">
        <f t="shared" si="4"/>
        <v>19</v>
      </c>
      <c r="G43" s="52">
        <f>IF(D43=D42,"",_xlfn.IFNA(VLOOKUP(D43,'인원 입력 기능'!$AZ$5:$BC$55,4,FALSE),0))</f>
        <v>972</v>
      </c>
      <c r="H43" s="53">
        <f t="shared" si="2"/>
        <v>2.205381857784635E-2</v>
      </c>
      <c r="I43" s="57">
        <f>SUM($G$7:G43)</f>
        <v>36378</v>
      </c>
      <c r="J43" s="55">
        <f t="shared" si="3"/>
        <v>0.82538458047828656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38</v>
      </c>
      <c r="E44" s="60">
        <f t="shared" si="5"/>
        <v>7</v>
      </c>
      <c r="F44" s="51">
        <f t="shared" si="4"/>
        <v>16</v>
      </c>
      <c r="G44" s="52">
        <f>IF(D44=D43,"",_xlfn.IFNA(VLOOKUP(D44,'인원 입력 기능'!$AZ$5:$BC$55,4,FALSE),0))</f>
        <v>1425</v>
      </c>
      <c r="H44" s="53">
        <f t="shared" si="2"/>
        <v>3.233198711258338E-2</v>
      </c>
      <c r="I44" s="57">
        <f>SUM($G$7:G44)</f>
        <v>37803</v>
      </c>
      <c r="J44" s="55">
        <f t="shared" si="3"/>
        <v>0.85771656759086989</v>
      </c>
      <c r="K44" s="25"/>
      <c r="M44" s="1"/>
    </row>
    <row r="45" spans="1:13" ht="25" customHeight="1">
      <c r="A45" s="5"/>
      <c r="B45" s="24"/>
      <c r="C45" s="58">
        <v>12</v>
      </c>
      <c r="D45" s="273">
        <f t="shared" si="1"/>
        <v>37</v>
      </c>
      <c r="E45" s="273">
        <f t="shared" si="5"/>
        <v>7</v>
      </c>
      <c r="F45" s="263">
        <f t="shared" si="4"/>
        <v>12</v>
      </c>
      <c r="G45" s="265">
        <f>IF(D45=D44,"",_xlfn.IFNA(VLOOKUP(D45,'인원 입력 기능'!$AZ$5:$BC$55,4,FALSE),0))</f>
        <v>2347</v>
      </c>
      <c r="H45" s="266">
        <f t="shared" si="2"/>
        <v>5.325135000226891E-2</v>
      </c>
      <c r="I45" s="268">
        <f>SUM($G$7:G45)</f>
        <v>40150</v>
      </c>
      <c r="J45" s="270">
        <f t="shared" si="3"/>
        <v>0.91096791759313878</v>
      </c>
      <c r="K45" s="25"/>
      <c r="M45" s="1"/>
    </row>
    <row r="46" spans="1:13" ht="25" customHeight="1">
      <c r="A46" s="5"/>
      <c r="B46" s="24"/>
      <c r="C46" s="59">
        <v>11</v>
      </c>
      <c r="D46" s="272"/>
      <c r="E46" s="272"/>
      <c r="F46" s="262"/>
      <c r="G46" s="264"/>
      <c r="H46" s="267"/>
      <c r="I46" s="269"/>
      <c r="J46" s="271"/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36</v>
      </c>
      <c r="E47" s="60">
        <f t="shared" si="5"/>
        <v>8</v>
      </c>
      <c r="F47" s="51">
        <f t="shared" si="4"/>
        <v>8</v>
      </c>
      <c r="G47" s="52">
        <f>IF(D47=D46,"",_xlfn.IFNA(VLOOKUP(D47,'인원 입력 기능'!$AZ$5:$BC$55,4,FALSE),0))</f>
        <v>959</v>
      </c>
      <c r="H47" s="53">
        <f t="shared" si="2"/>
        <v>2.1758860098924537E-2</v>
      </c>
      <c r="I47" s="57">
        <f>SUM($G$7:G47)</f>
        <v>41109</v>
      </c>
      <c r="J47" s="55">
        <f t="shared" si="3"/>
        <v>0.93272677769206336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35</v>
      </c>
      <c r="E48" s="60">
        <f t="shared" si="5"/>
        <v>8</v>
      </c>
      <c r="F48" s="51">
        <f t="shared" si="4"/>
        <v>6</v>
      </c>
      <c r="G48" s="52">
        <f>IF(D48=D47,"",_xlfn.IFNA(VLOOKUP(D48,'인원 입력 기능'!$AZ$5:$BC$55,4,FALSE),0))</f>
        <v>959</v>
      </c>
      <c r="H48" s="53">
        <f t="shared" si="2"/>
        <v>2.1758860098924537E-2</v>
      </c>
      <c r="I48" s="57">
        <f>SUM($G$7:G48)</f>
        <v>42068</v>
      </c>
      <c r="J48" s="55">
        <f t="shared" si="3"/>
        <v>0.95448563779098783</v>
      </c>
      <c r="K48" s="25"/>
      <c r="M48" s="1"/>
    </row>
    <row r="49" spans="1:13" ht="25" customHeight="1">
      <c r="A49" s="5"/>
      <c r="B49" s="24"/>
      <c r="C49" s="58">
        <v>8</v>
      </c>
      <c r="D49" s="273">
        <f t="shared" si="1"/>
        <v>34</v>
      </c>
      <c r="E49" s="273">
        <f t="shared" si="5"/>
        <v>8</v>
      </c>
      <c r="F49" s="263">
        <f t="shared" si="4"/>
        <v>3</v>
      </c>
      <c r="G49" s="265">
        <f>IF(D49=D48,"",_xlfn.IFNA(VLOOKUP(D49,'인원 입력 기능'!$AZ$5:$BC$55,4,FALSE),0))</f>
        <v>1106</v>
      </c>
      <c r="H49" s="266">
        <f t="shared" si="2"/>
        <v>2.5094159822117348E-2</v>
      </c>
      <c r="I49" s="268">
        <f>SUM($G$7:G49)</f>
        <v>43174</v>
      </c>
      <c r="J49" s="270">
        <f t="shared" si="3"/>
        <v>0.97957979761310521</v>
      </c>
      <c r="K49" s="25"/>
      <c r="M49" s="1"/>
    </row>
    <row r="50" spans="1:13" ht="25" customHeight="1">
      <c r="A50" s="5"/>
      <c r="B50" s="24"/>
      <c r="C50" s="59">
        <v>7</v>
      </c>
      <c r="D50" s="272"/>
      <c r="E50" s="272"/>
      <c r="F50" s="262"/>
      <c r="G50" s="264"/>
      <c r="H50" s="267"/>
      <c r="I50" s="269"/>
      <c r="J50" s="271"/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33</v>
      </c>
      <c r="E51" s="60">
        <f t="shared" si="5"/>
        <v>9</v>
      </c>
      <c r="F51" s="51">
        <f t="shared" si="4"/>
        <v>2</v>
      </c>
      <c r="G51" s="52">
        <f>IF(D51=D50,"",_xlfn.IFNA(VLOOKUP(D51,'인원 입력 기능'!$AZ$5:$BC$55,4,FALSE),0))</f>
        <v>264</v>
      </c>
      <c r="H51" s="53">
        <f t="shared" si="2"/>
        <v>5.9899260334891321E-3</v>
      </c>
      <c r="I51" s="57">
        <f>SUM($G$7:G51)</f>
        <v>43438</v>
      </c>
      <c r="J51" s="55">
        <f t="shared" si="3"/>
        <v>0.98556972364659434</v>
      </c>
      <c r="K51" s="25"/>
      <c r="M51" s="1"/>
    </row>
    <row r="52" spans="1:13" ht="25" customHeight="1">
      <c r="A52" s="5"/>
      <c r="B52" s="24"/>
      <c r="C52" s="59">
        <v>5</v>
      </c>
      <c r="D52" s="273">
        <f t="shared" si="1"/>
        <v>32</v>
      </c>
      <c r="E52" s="273">
        <f t="shared" si="5"/>
        <v>9</v>
      </c>
      <c r="F52" s="263">
        <f t="shared" si="4"/>
        <v>1</v>
      </c>
      <c r="G52" s="265">
        <f>IF(D52=D51,"",_xlfn.IFNA(VLOOKUP(D52,'인원 입력 기능'!$AZ$5:$BC$55,4,FALSE),0))</f>
        <v>233</v>
      </c>
      <c r="H52" s="266">
        <f t="shared" si="2"/>
        <v>5.2865635068294232E-3</v>
      </c>
      <c r="I52" s="268">
        <f>SUM($G$7:G52)</f>
        <v>43671</v>
      </c>
      <c r="J52" s="270">
        <f t="shared" si="3"/>
        <v>0.99085628715342378</v>
      </c>
      <c r="K52" s="25"/>
      <c r="M52" s="1"/>
    </row>
    <row r="53" spans="1:13" ht="25" customHeight="1">
      <c r="A53" s="5"/>
      <c r="B53" s="24"/>
      <c r="C53" s="49">
        <v>4</v>
      </c>
      <c r="D53" s="272"/>
      <c r="E53" s="272"/>
      <c r="F53" s="262"/>
      <c r="G53" s="264"/>
      <c r="H53" s="267"/>
      <c r="I53" s="269"/>
      <c r="J53" s="271"/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31</v>
      </c>
      <c r="E54" s="50">
        <f t="shared" si="5"/>
        <v>9</v>
      </c>
      <c r="F54" s="51">
        <f t="shared" si="4"/>
        <v>1</v>
      </c>
      <c r="G54" s="52">
        <f>IF(D54=D53,"",_xlfn.IFNA(VLOOKUP(D54,'인원 입력 기능'!$AZ$5:$BC$55,4,FALSE),0))</f>
        <v>235</v>
      </c>
      <c r="H54" s="53">
        <f t="shared" si="2"/>
        <v>5.3319417343558563E-3</v>
      </c>
      <c r="I54" s="57">
        <f>SUM($G$7:G54)</f>
        <v>43906</v>
      </c>
      <c r="J54" s="55">
        <f t="shared" si="3"/>
        <v>0.99618822888777969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30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기능'!$AZ$5:$BC$55,4,FALSE),0))</f>
        <v>107</v>
      </c>
      <c r="H55" s="53">
        <f t="shared" si="2"/>
        <v>2.4277351726641559E-3</v>
      </c>
      <c r="I55" s="57">
        <f>SUM($G$7:G55)</f>
        <v>44013</v>
      </c>
      <c r="J55" s="55">
        <f t="shared" si="3"/>
        <v>0.99861596406044384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29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기능'!$AZ$5:$BC$55,4,FALSE),0)</f>
        <v>61</v>
      </c>
      <c r="H57" s="69">
        <f>G57/J3</f>
        <v>1.3840359395562009E-3</v>
      </c>
      <c r="I57" s="70">
        <f>SUM($G$7:G57)</f>
        <v>44074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9">
    <mergeCell ref="I52:I53"/>
    <mergeCell ref="J52:J53"/>
    <mergeCell ref="D52:D53"/>
    <mergeCell ref="E52:E53"/>
    <mergeCell ref="F52:F53"/>
    <mergeCell ref="G52:G53"/>
    <mergeCell ref="H52:H53"/>
    <mergeCell ref="I45:I46"/>
    <mergeCell ref="J45:J46"/>
    <mergeCell ref="D49:D50"/>
    <mergeCell ref="E49:E50"/>
    <mergeCell ref="F49:F50"/>
    <mergeCell ref="G49:G50"/>
    <mergeCell ref="H49:H50"/>
    <mergeCell ref="I49:I50"/>
    <mergeCell ref="J49:J50"/>
    <mergeCell ref="D45:D46"/>
    <mergeCell ref="E45:E46"/>
    <mergeCell ref="F45:F46"/>
    <mergeCell ref="G45:G46"/>
    <mergeCell ref="H45:H46"/>
    <mergeCell ref="I37:I38"/>
    <mergeCell ref="J37:J38"/>
    <mergeCell ref="D41:D42"/>
    <mergeCell ref="E41:E42"/>
    <mergeCell ref="F41:F42"/>
    <mergeCell ref="G41:G42"/>
    <mergeCell ref="H41:H42"/>
    <mergeCell ref="I41:I42"/>
    <mergeCell ref="J41:J42"/>
    <mergeCell ref="D37:D38"/>
    <mergeCell ref="E37:E38"/>
    <mergeCell ref="F37:F38"/>
    <mergeCell ref="G37:G38"/>
    <mergeCell ref="H37:H38"/>
    <mergeCell ref="I30:I31"/>
    <mergeCell ref="J30:J31"/>
    <mergeCell ref="D34:D35"/>
    <mergeCell ref="E34:E35"/>
    <mergeCell ref="F34:F35"/>
    <mergeCell ref="G34:G35"/>
    <mergeCell ref="H34:H35"/>
    <mergeCell ref="I34:I35"/>
    <mergeCell ref="J34:J35"/>
    <mergeCell ref="D30:D31"/>
    <mergeCell ref="E30:E31"/>
    <mergeCell ref="F30:F31"/>
    <mergeCell ref="G30:G31"/>
    <mergeCell ref="H30:H31"/>
    <mergeCell ref="I22:I23"/>
    <mergeCell ref="J22:J23"/>
    <mergeCell ref="D26:D27"/>
    <mergeCell ref="E26:E27"/>
    <mergeCell ref="F26:F27"/>
    <mergeCell ref="G26:G27"/>
    <mergeCell ref="H26:H27"/>
    <mergeCell ref="I26:I27"/>
    <mergeCell ref="J26:J27"/>
    <mergeCell ref="D22:D23"/>
    <mergeCell ref="E22:E23"/>
    <mergeCell ref="F22:F23"/>
    <mergeCell ref="G22:G23"/>
    <mergeCell ref="H22:H23"/>
    <mergeCell ref="H15:H16"/>
    <mergeCell ref="I15:I16"/>
    <mergeCell ref="J15:J16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56:J56"/>
    <mergeCell ref="D8:J8"/>
    <mergeCell ref="G5:J5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</mergeCells>
  <phoneticPr fontId="1" type="noConversion"/>
  <conditionalFormatting sqref="D7:J7 D57:J57 D9:J11 D13:J15 D17:J18 D20:J22 D24:J26 D28:J30 D32:J34 D36:J37 D39:J41 D43:J45 D47:J49 D51:J52 D54:J55">
    <cfRule type="expression" dxfId="90" priority="7">
      <formula>OR($D7=$P$7:$P$14)</formula>
    </cfRule>
  </conditionalFormatting>
  <conditionalFormatting sqref="C7:C57">
    <cfRule type="expression" dxfId="89" priority="6">
      <formula>OR(AND($D7=0,OR($D6=$P$7:$P$14)),AND($D8&gt;0,OR($D7=$P$7:$P$14)))</formula>
    </cfRule>
  </conditionalFormatting>
  <conditionalFormatting sqref="D7 D57 D9:D11 D13:D15 D17:D18 D20:D22 D24:D26 D28:D30 D32:D34 D36:D37 D39:D41 D43:D45 D47:D49 D51:D52 D54:D55">
    <cfRule type="expression" dxfId="88" priority="5">
      <formula>$D7=$D8</formula>
    </cfRule>
  </conditionalFormatting>
  <conditionalFormatting sqref="D56">
    <cfRule type="expression" dxfId="87" priority="4">
      <formula>OR($D56=$P$7:$P$14)</formula>
    </cfRule>
  </conditionalFormatting>
  <conditionalFormatting sqref="D56">
    <cfRule type="expression" dxfId="86" priority="3">
      <formula>$D56=$D57</formula>
    </cfRule>
  </conditionalFormatting>
  <conditionalFormatting sqref="D8">
    <cfRule type="expression" dxfId="85" priority="2">
      <formula>OR($D8=$P$7:$P$14)</formula>
    </cfRule>
  </conditionalFormatting>
  <conditionalFormatting sqref="D8">
    <cfRule type="expression" dxfId="8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19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기능'!D15</f>
        <v>29.06</v>
      </c>
      <c r="I3" s="109" t="s">
        <v>54</v>
      </c>
      <c r="J3" s="110">
        <f>'통계 및 응시자 수 입력 기능'!C15</f>
        <v>129818</v>
      </c>
      <c r="K3" s="25"/>
    </row>
    <row r="4" spans="1:16" ht="25" customHeight="1" thickBot="1">
      <c r="A4" s="5"/>
      <c r="B4" s="24"/>
      <c r="C4" s="42" t="s">
        <v>55</v>
      </c>
      <c r="D4" s="242" t="s">
        <v>67</v>
      </c>
      <c r="E4" s="243"/>
      <c r="F4" s="244"/>
      <c r="G4" s="43" t="s">
        <v>57</v>
      </c>
      <c r="H4" s="108">
        <f>'통계 및 응시자 수 입력 기능'!E15</f>
        <v>10.55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70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기능'!$BE$5:$BH$55,4,FALSE),0)</f>
        <v>689</v>
      </c>
      <c r="H7" s="53">
        <f>G7/J3</f>
        <v>5.3074304025635894E-3</v>
      </c>
      <c r="I7" s="54">
        <f>G7</f>
        <v>689</v>
      </c>
      <c r="J7" s="55">
        <f>I7/J3</f>
        <v>5.3074304025635894E-3</v>
      </c>
      <c r="K7" s="25"/>
      <c r="M7" s="1"/>
      <c r="O7" s="1">
        <v>1</v>
      </c>
      <c r="P7" s="1">
        <f>'표준점수 등급컷 입력기능'!H42</f>
        <v>65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입력기능'!H43</f>
        <v>62</v>
      </c>
    </row>
    <row r="9" spans="1:16" ht="25" customHeight="1">
      <c r="A9" s="5"/>
      <c r="B9" s="24"/>
      <c r="C9" s="49">
        <v>48</v>
      </c>
      <c r="D9" s="50">
        <f>ROUND(10*(C9-$H$3)/$H$4+50,0)</f>
        <v>68</v>
      </c>
      <c r="E9" s="50">
        <f t="shared" si="0"/>
        <v>1</v>
      </c>
      <c r="F9" s="51">
        <f>IF(I8=0,ROUND(100*(1-(I7+I9)/2/$J$3),0),ROUND(100*(1-(I8+I9)/2/$J$3),0))</f>
        <v>99</v>
      </c>
      <c r="G9" s="52">
        <f>_xlfn.IFNA(VLOOKUP(D9,'인원 입력 기능'!$BE$5:$BH$55,4,FALSE),0)</f>
        <v>364</v>
      </c>
      <c r="H9" s="53">
        <f>G9/$J$3</f>
        <v>2.8039254956939716E-3</v>
      </c>
      <c r="I9" s="57">
        <f>SUM($G$7:G9)</f>
        <v>1053</v>
      </c>
      <c r="J9" s="55">
        <f>I9/$J$3</f>
        <v>8.111355898257561E-3</v>
      </c>
      <c r="K9" s="25"/>
      <c r="M9" s="1"/>
      <c r="O9" s="1">
        <v>3</v>
      </c>
      <c r="P9" s="1">
        <f>'표준점수 등급컷 입력기능'!H44</f>
        <v>58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67</v>
      </c>
      <c r="E10" s="50">
        <f t="shared" si="0"/>
        <v>1</v>
      </c>
      <c r="F10" s="51">
        <f>IF(I9=0,ROUND(100*(1-(I8+I10)/2/$J$3),0),ROUND(100*(1-(I9+I10)/2/$J$3),0))</f>
        <v>98</v>
      </c>
      <c r="G10" s="52">
        <f>IF(D10=D9,"",_xlfn.IFNA(VLOOKUP(D10,'인원 입력 기능'!$BE$5:$BH$55,4,FALSE),0))</f>
        <v>2822</v>
      </c>
      <c r="H10" s="53">
        <f t="shared" ref="H10:H55" si="2">G10/$J$3</f>
        <v>2.1738125683649415E-2</v>
      </c>
      <c r="I10" s="57">
        <f>SUM($G$7:G10)</f>
        <v>3875</v>
      </c>
      <c r="J10" s="55">
        <f t="shared" ref="J10:J55" si="3">I10/$J$3</f>
        <v>2.9849481581906978E-2</v>
      </c>
      <c r="K10" s="25"/>
      <c r="M10" s="1"/>
      <c r="O10" s="1">
        <v>4</v>
      </c>
      <c r="P10" s="1">
        <f>'표준점수 등급컷 입력기능'!H45</f>
        <v>55</v>
      </c>
    </row>
    <row r="11" spans="1:16" ht="25" customHeight="1">
      <c r="A11" s="5"/>
      <c r="B11" s="24"/>
      <c r="C11" s="49">
        <v>46</v>
      </c>
      <c r="D11" s="50">
        <f t="shared" si="1"/>
        <v>66</v>
      </c>
      <c r="E11" s="50">
        <f t="shared" si="0"/>
        <v>1</v>
      </c>
      <c r="F11" s="51">
        <f t="shared" ref="F11:F55" si="4">IF(I10=0,ROUND(100*(1-(I9+I11)/2/$J$3),0),ROUND(100*(1-(I10+I11)/2/$J$3),0))</f>
        <v>97</v>
      </c>
      <c r="G11" s="52">
        <f>IF(D11=D10,"",_xlfn.IFNA(VLOOKUP(D11,'인원 입력 기능'!$BE$5:$BH$55,4,FALSE),0))</f>
        <v>161</v>
      </c>
      <c r="H11" s="53">
        <f t="shared" si="2"/>
        <v>1.2401978154031029E-3</v>
      </c>
      <c r="I11" s="57">
        <f>SUM($G$7:G11)</f>
        <v>4036</v>
      </c>
      <c r="J11" s="55">
        <f t="shared" si="3"/>
        <v>3.1089679397310079E-2</v>
      </c>
      <c r="K11" s="25"/>
      <c r="M11" s="1"/>
      <c r="O11" s="1">
        <v>5</v>
      </c>
      <c r="P11" s="1">
        <f>'표준점수 등급컷 입력기능'!H46</f>
        <v>48</v>
      </c>
    </row>
    <row r="12" spans="1:16" ht="25" customHeight="1">
      <c r="A12" s="5"/>
      <c r="B12" s="24"/>
      <c r="C12" s="56">
        <v>45</v>
      </c>
      <c r="D12" s="50">
        <f t="shared" si="1"/>
        <v>65</v>
      </c>
      <c r="E12" s="50">
        <f t="shared" si="0"/>
        <v>1</v>
      </c>
      <c r="F12" s="51">
        <f t="shared" si="4"/>
        <v>96</v>
      </c>
      <c r="G12" s="52">
        <f>IF(D12=D11,"",_xlfn.IFNA(VLOOKUP(D12,'인원 입력 기능'!$BE$5:$BH$55,4,FALSE),0))</f>
        <v>1890</v>
      </c>
      <c r="H12" s="53">
        <f t="shared" si="2"/>
        <v>1.4558843919949467E-2</v>
      </c>
      <c r="I12" s="57">
        <f>SUM($G$7:G12)</f>
        <v>5926</v>
      </c>
      <c r="J12" s="55">
        <f t="shared" si="3"/>
        <v>4.5648523317259548E-2</v>
      </c>
      <c r="K12" s="25"/>
      <c r="M12" s="1"/>
      <c r="O12" s="1">
        <v>6</v>
      </c>
      <c r="P12" s="1">
        <f>'표준점수 등급컷 입력기능'!H47</f>
        <v>41</v>
      </c>
    </row>
    <row r="13" spans="1:16" ht="25" customHeight="1">
      <c r="A13" s="5"/>
      <c r="B13" s="24"/>
      <c r="C13" s="49">
        <v>44</v>
      </c>
      <c r="D13" s="50">
        <f t="shared" si="1"/>
        <v>64</v>
      </c>
      <c r="E13" s="50">
        <f t="shared" si="0"/>
        <v>2</v>
      </c>
      <c r="F13" s="51">
        <f t="shared" si="4"/>
        <v>94</v>
      </c>
      <c r="G13" s="52">
        <f>IF(D13=D12,"",_xlfn.IFNA(VLOOKUP(D13,'인원 입력 기능'!$BE$5:$BH$55,4,FALSE),0))</f>
        <v>3886</v>
      </c>
      <c r="H13" s="53">
        <f t="shared" si="2"/>
        <v>2.9934215594139488E-2</v>
      </c>
      <c r="I13" s="57">
        <f>SUM($G$7:G13)</f>
        <v>9812</v>
      </c>
      <c r="J13" s="55">
        <f t="shared" si="3"/>
        <v>7.5582738911399036E-2</v>
      </c>
      <c r="K13" s="25"/>
      <c r="M13" s="1"/>
      <c r="O13" s="1">
        <v>7</v>
      </c>
      <c r="P13" s="1">
        <f>'표준점수 등급컷 입력기능'!H48</f>
        <v>36</v>
      </c>
    </row>
    <row r="14" spans="1:16" ht="25" customHeight="1">
      <c r="A14" s="5"/>
      <c r="B14" s="24"/>
      <c r="C14" s="56">
        <v>43</v>
      </c>
      <c r="D14" s="50">
        <f t="shared" si="1"/>
        <v>63</v>
      </c>
      <c r="E14" s="50">
        <f t="shared" si="0"/>
        <v>2</v>
      </c>
      <c r="F14" s="51">
        <f t="shared" si="4"/>
        <v>92</v>
      </c>
      <c r="G14" s="52">
        <f>IF(D14=D13,"",_xlfn.IFNA(VLOOKUP(D14,'인원 입력 기능'!$BE$5:$BH$55,4,FALSE),0))</f>
        <v>1039</v>
      </c>
      <c r="H14" s="53">
        <f t="shared" si="2"/>
        <v>8.0035126099616393E-3</v>
      </c>
      <c r="I14" s="57">
        <f>SUM($G$7:G14)</f>
        <v>10851</v>
      </c>
      <c r="J14" s="55">
        <f t="shared" si="3"/>
        <v>8.3586251521360677E-2</v>
      </c>
      <c r="K14" s="25"/>
      <c r="M14" s="1"/>
      <c r="O14" s="1">
        <v>8</v>
      </c>
      <c r="P14" s="1">
        <f>'표준점수 등급컷 입력기능'!H49</f>
        <v>32</v>
      </c>
    </row>
    <row r="15" spans="1:16" ht="25" customHeight="1">
      <c r="A15" s="5"/>
      <c r="B15" s="24"/>
      <c r="C15" s="49">
        <v>42</v>
      </c>
      <c r="D15" s="50">
        <f t="shared" si="1"/>
        <v>62</v>
      </c>
      <c r="E15" s="50">
        <f t="shared" si="0"/>
        <v>2</v>
      </c>
      <c r="F15" s="51">
        <f t="shared" si="4"/>
        <v>90</v>
      </c>
      <c r="G15" s="52">
        <f>IF(D15=D14,"",_xlfn.IFNA(VLOOKUP(D15,'인원 입력 기능'!$BE$5:$BH$55,4,FALSE),0))</f>
        <v>4449</v>
      </c>
      <c r="H15" s="53">
        <f t="shared" si="2"/>
        <v>3.4271056402039778E-2</v>
      </c>
      <c r="I15" s="57">
        <f>SUM($G$7:G15)</f>
        <v>15300</v>
      </c>
      <c r="J15" s="55">
        <f t="shared" si="3"/>
        <v>0.11785730792340045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61</v>
      </c>
      <c r="E16" s="50">
        <f t="shared" si="0"/>
        <v>3</v>
      </c>
      <c r="F16" s="51">
        <f t="shared" si="4"/>
        <v>87</v>
      </c>
      <c r="G16" s="52">
        <f>IF(D16=D15,"",_xlfn.IFNA(VLOOKUP(D16,'인원 입력 기능'!$BE$5:$BH$55,4,FALSE),0))</f>
        <v>3534</v>
      </c>
      <c r="H16" s="53">
        <f t="shared" si="2"/>
        <v>2.7222727202699165E-2</v>
      </c>
      <c r="I16" s="57">
        <f>SUM($G$7:G16)</f>
        <v>18834</v>
      </c>
      <c r="J16" s="55">
        <f t="shared" si="3"/>
        <v>0.14508003512609963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60</v>
      </c>
      <c r="E17" s="50">
        <f t="shared" si="0"/>
        <v>3</v>
      </c>
      <c r="F17" s="51">
        <f t="shared" si="4"/>
        <v>84</v>
      </c>
      <c r="G17" s="52">
        <f>IF(D17=D16,"",_xlfn.IFNA(VLOOKUP(D17,'인원 입력 기능'!$BE$5:$BH$55,4,FALSE),0))</f>
        <v>3268</v>
      </c>
      <c r="H17" s="53">
        <f t="shared" si="2"/>
        <v>2.5173704725076646E-2</v>
      </c>
      <c r="I17" s="57">
        <f>SUM($G$7:G17)</f>
        <v>22102</v>
      </c>
      <c r="J17" s="55">
        <f t="shared" si="3"/>
        <v>0.17025373985117626</v>
      </c>
      <c r="K17" s="25"/>
      <c r="M17" s="1"/>
      <c r="P17" s="1">
        <f>H3*H4*J3*P7*IFERROR(IF(J57=1, 1, 0), 0)</f>
        <v>2586999473.1100001</v>
      </c>
    </row>
    <row r="18" spans="1:16" ht="25" customHeight="1">
      <c r="A18" s="5"/>
      <c r="B18" s="24"/>
      <c r="C18" s="56">
        <v>39</v>
      </c>
      <c r="D18" s="50">
        <f t="shared" si="1"/>
        <v>59</v>
      </c>
      <c r="E18" s="50">
        <f t="shared" si="0"/>
        <v>3</v>
      </c>
      <c r="F18" s="51">
        <f t="shared" si="4"/>
        <v>81</v>
      </c>
      <c r="G18" s="52">
        <f>IF(D18=D17,"",_xlfn.IFNA(VLOOKUP(D18,'인원 입력 기능'!$BE$5:$BH$55,4,FALSE),0))</f>
        <v>6074</v>
      </c>
      <c r="H18" s="53">
        <f t="shared" si="2"/>
        <v>4.6788580936387866E-2</v>
      </c>
      <c r="I18" s="57">
        <f>SUM($G$7:G18)</f>
        <v>28176</v>
      </c>
      <c r="J18" s="55">
        <f t="shared" si="3"/>
        <v>0.21704232078756414</v>
      </c>
      <c r="K18" s="25"/>
      <c r="M18" s="1"/>
    </row>
    <row r="19" spans="1:16" ht="25" customHeight="1">
      <c r="A19" s="5"/>
      <c r="B19" s="24"/>
      <c r="C19" s="49">
        <v>38</v>
      </c>
      <c r="D19" s="261">
        <f t="shared" si="1"/>
        <v>58</v>
      </c>
      <c r="E19" s="261">
        <f t="shared" si="0"/>
        <v>3</v>
      </c>
      <c r="F19" s="263">
        <f t="shared" si="4"/>
        <v>75</v>
      </c>
      <c r="G19" s="265">
        <f>IF(D19=D18,"",_xlfn.IFNA(VLOOKUP(D19,'인원 입력 기능'!$BE$5:$BH$55,4,FALSE),0))</f>
        <v>9186</v>
      </c>
      <c r="H19" s="266">
        <f t="shared" si="2"/>
        <v>7.0760603306167097E-2</v>
      </c>
      <c r="I19" s="268">
        <f>SUM($G$7:G19)</f>
        <v>37362</v>
      </c>
      <c r="J19" s="270">
        <f t="shared" si="3"/>
        <v>0.2878029240937312</v>
      </c>
      <c r="K19" s="25"/>
      <c r="M19" s="1"/>
    </row>
    <row r="20" spans="1:16" ht="25" customHeight="1">
      <c r="A20" s="5"/>
      <c r="B20" s="24"/>
      <c r="C20" s="56">
        <v>37</v>
      </c>
      <c r="D20" s="260"/>
      <c r="E20" s="260"/>
      <c r="F20" s="262"/>
      <c r="G20" s="264"/>
      <c r="H20" s="267"/>
      <c r="I20" s="269"/>
      <c r="J20" s="271"/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57</v>
      </c>
      <c r="E21" s="60">
        <f t="shared" si="0"/>
        <v>4</v>
      </c>
      <c r="F21" s="51">
        <f t="shared" si="4"/>
        <v>69</v>
      </c>
      <c r="G21" s="52">
        <f>IF(D21=D20,"",_xlfn.IFNA(VLOOKUP(D21,'인원 입력 기능'!$BE$5:$BH$55,4,FALSE),0))</f>
        <v>4748</v>
      </c>
      <c r="H21" s="53">
        <f t="shared" si="2"/>
        <v>3.6574280916359829E-2</v>
      </c>
      <c r="I21" s="57">
        <f>SUM($G$7:G21)</f>
        <v>42110</v>
      </c>
      <c r="J21" s="55">
        <f t="shared" si="3"/>
        <v>0.32437720501009104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56</v>
      </c>
      <c r="E22" s="60">
        <f t="shared" si="0"/>
        <v>4</v>
      </c>
      <c r="F22" s="51">
        <f t="shared" si="4"/>
        <v>66</v>
      </c>
      <c r="G22" s="52">
        <f>IF(D22=D21,"",_xlfn.IFNA(VLOOKUP(D22,'인원 입력 기능'!$BE$5:$BH$55,4,FALSE),0))</f>
        <v>3949</v>
      </c>
      <c r="H22" s="53">
        <f t="shared" si="2"/>
        <v>3.0419510391471137E-2</v>
      </c>
      <c r="I22" s="57">
        <f>SUM($G$7:G22)</f>
        <v>46059</v>
      </c>
      <c r="J22" s="55">
        <f t="shared" si="3"/>
        <v>0.35479671540156221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55</v>
      </c>
      <c r="E23" s="60">
        <f t="shared" si="0"/>
        <v>4</v>
      </c>
      <c r="F23" s="51">
        <f t="shared" si="4"/>
        <v>62</v>
      </c>
      <c r="G23" s="52">
        <f>IF(D23=D22,"",_xlfn.IFNA(VLOOKUP(D23,'인원 입력 기능'!$BE$5:$BH$55,4,FALSE),0))</f>
        <v>6241</v>
      </c>
      <c r="H23" s="53">
        <f t="shared" si="2"/>
        <v>4.8074997303917795E-2</v>
      </c>
      <c r="I23" s="57">
        <f>SUM($G$7:G23)</f>
        <v>52300</v>
      </c>
      <c r="J23" s="55">
        <f t="shared" si="3"/>
        <v>0.40287171270548</v>
      </c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54</v>
      </c>
      <c r="E24" s="60">
        <f t="shared" si="0"/>
        <v>5</v>
      </c>
      <c r="F24" s="51">
        <f t="shared" si="4"/>
        <v>58</v>
      </c>
      <c r="G24" s="52">
        <f>IF(D24=D23,"",_xlfn.IFNA(VLOOKUP(D24,'인원 입력 기능'!$BE$5:$BH$55,4,FALSE),0))</f>
        <v>3334</v>
      </c>
      <c r="H24" s="53">
        <f t="shared" si="2"/>
        <v>2.5682108798471708E-2</v>
      </c>
      <c r="I24" s="57">
        <f>SUM($G$7:G24)</f>
        <v>55634</v>
      </c>
      <c r="J24" s="55">
        <f t="shared" si="3"/>
        <v>0.42855382150395166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53</v>
      </c>
      <c r="E25" s="60">
        <f t="shared" si="0"/>
        <v>5</v>
      </c>
      <c r="F25" s="51">
        <f t="shared" si="4"/>
        <v>55</v>
      </c>
      <c r="G25" s="52">
        <f>IF(D25=D24,"",_xlfn.IFNA(VLOOKUP(D25,'인원 입력 기능'!$BE$5:$BH$55,4,FALSE),0))</f>
        <v>4704</v>
      </c>
      <c r="H25" s="53">
        <f t="shared" si="2"/>
        <v>3.6235344867429783E-2</v>
      </c>
      <c r="I25" s="57">
        <f>SUM($G$7:G25)</f>
        <v>60338</v>
      </c>
      <c r="J25" s="55">
        <f t="shared" si="3"/>
        <v>0.46478916637138146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52</v>
      </c>
      <c r="E26" s="60">
        <f t="shared" si="0"/>
        <v>5</v>
      </c>
      <c r="F26" s="51">
        <f t="shared" si="4"/>
        <v>52</v>
      </c>
      <c r="G26" s="52">
        <f>IF(D26=D25,"",_xlfn.IFNA(VLOOKUP(D26,'인원 입력 기능'!$BE$5:$BH$55,4,FALSE),0))</f>
        <v>4420</v>
      </c>
      <c r="H26" s="53">
        <f t="shared" si="2"/>
        <v>3.4047666733426796E-2</v>
      </c>
      <c r="I26" s="57">
        <f>SUM($G$7:G26)</f>
        <v>64758</v>
      </c>
      <c r="J26" s="55">
        <f t="shared" si="3"/>
        <v>0.49883683310480825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51</v>
      </c>
      <c r="E27" s="60">
        <f t="shared" si="0"/>
        <v>5</v>
      </c>
      <c r="F27" s="51">
        <f t="shared" si="4"/>
        <v>49</v>
      </c>
      <c r="G27" s="52">
        <f>IF(D27=D26,"",_xlfn.IFNA(VLOOKUP(D27,'인원 입력 기능'!$BE$5:$BH$55,4,FALSE),0))</f>
        <v>3107</v>
      </c>
      <c r="H27" s="53">
        <f t="shared" si="2"/>
        <v>2.3933506909673542E-2</v>
      </c>
      <c r="I27" s="57">
        <f>SUM($G$7:G27)</f>
        <v>67865</v>
      </c>
      <c r="J27" s="55">
        <f t="shared" si="3"/>
        <v>0.52277034001448186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50</v>
      </c>
      <c r="E28" s="60">
        <f t="shared" si="0"/>
        <v>5</v>
      </c>
      <c r="F28" s="51">
        <f t="shared" si="4"/>
        <v>46</v>
      </c>
      <c r="G28" s="52">
        <f>IF(D28=D27,"",_xlfn.IFNA(VLOOKUP(D28,'인원 입력 기능'!$BE$5:$BH$55,4,FALSE),0))</f>
        <v>4431</v>
      </c>
      <c r="H28" s="53">
        <f t="shared" si="2"/>
        <v>3.4132400745659305E-2</v>
      </c>
      <c r="I28" s="57">
        <f>SUM($G$7:G28)</f>
        <v>72296</v>
      </c>
      <c r="J28" s="55">
        <f t="shared" si="3"/>
        <v>0.55690274076014112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49</v>
      </c>
      <c r="E29" s="60">
        <f t="shared" si="0"/>
        <v>5</v>
      </c>
      <c r="F29" s="51">
        <f t="shared" si="4"/>
        <v>43</v>
      </c>
      <c r="G29" s="52">
        <f>IF(D29=D28,"",_xlfn.IFNA(VLOOKUP(D29,'인원 입력 기능'!$BE$5:$BH$55,4,FALSE),0))</f>
        <v>3173</v>
      </c>
      <c r="H29" s="53">
        <f t="shared" si="2"/>
        <v>2.4441910983068603E-2</v>
      </c>
      <c r="I29" s="57">
        <f>SUM($G$7:G29)</f>
        <v>75469</v>
      </c>
      <c r="J29" s="55">
        <f t="shared" si="3"/>
        <v>0.58134465174320971</v>
      </c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48</v>
      </c>
      <c r="E30" s="60">
        <f t="shared" si="0"/>
        <v>5</v>
      </c>
      <c r="F30" s="51">
        <f t="shared" si="4"/>
        <v>41</v>
      </c>
      <c r="G30" s="52">
        <f>IF(D30=D29,"",_xlfn.IFNA(VLOOKUP(D30,'인원 입력 기능'!$BE$5:$BH$55,4,FALSE),0))</f>
        <v>3451</v>
      </c>
      <c r="H30" s="53">
        <f t="shared" si="2"/>
        <v>2.658337056494477E-2</v>
      </c>
      <c r="I30" s="57">
        <f>SUM($G$7:G30)</f>
        <v>78920</v>
      </c>
      <c r="J30" s="55">
        <f t="shared" si="3"/>
        <v>0.60792802230815446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47</v>
      </c>
      <c r="E31" s="60">
        <f t="shared" si="0"/>
        <v>6</v>
      </c>
      <c r="F31" s="51">
        <f t="shared" si="4"/>
        <v>38</v>
      </c>
      <c r="G31" s="52">
        <f>IF(D31=D30,"",_xlfn.IFNA(VLOOKUP(D31,'인원 입력 기능'!$BE$5:$BH$55,4,FALSE),0))</f>
        <v>3584</v>
      </c>
      <c r="H31" s="53">
        <f t="shared" si="2"/>
        <v>2.7607881803756028E-2</v>
      </c>
      <c r="I31" s="57">
        <f>SUM($G$7:G31)</f>
        <v>82504</v>
      </c>
      <c r="J31" s="55">
        <f t="shared" si="3"/>
        <v>0.63553590411191052</v>
      </c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46</v>
      </c>
      <c r="E32" s="60">
        <f t="shared" si="0"/>
        <v>6</v>
      </c>
      <c r="F32" s="51">
        <f t="shared" si="4"/>
        <v>35</v>
      </c>
      <c r="G32" s="52">
        <f>IF(D32=D31,"",_xlfn.IFNA(VLOOKUP(D32,'인원 입력 기능'!$BE$5:$BH$55,4,FALSE),0))</f>
        <v>3016</v>
      </c>
      <c r="H32" s="53">
        <f t="shared" si="2"/>
        <v>2.3232525535750049E-2</v>
      </c>
      <c r="I32" s="57">
        <f>SUM($G$7:G32)</f>
        <v>85520</v>
      </c>
      <c r="J32" s="55">
        <f t="shared" si="3"/>
        <v>0.65876842964766058</v>
      </c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45</v>
      </c>
      <c r="E33" s="60">
        <f t="shared" si="0"/>
        <v>6</v>
      </c>
      <c r="F33" s="51">
        <f t="shared" si="4"/>
        <v>33</v>
      </c>
      <c r="G33" s="52">
        <f>IF(D33=D32,"",_xlfn.IFNA(VLOOKUP(D33,'인원 입력 기능'!$BE$5:$BH$55,4,FALSE),0))</f>
        <v>3635</v>
      </c>
      <c r="H33" s="53">
        <f t="shared" si="2"/>
        <v>2.8000739496834029E-2</v>
      </c>
      <c r="I33" s="57">
        <f>SUM($G$7:G33)</f>
        <v>89155</v>
      </c>
      <c r="J33" s="55">
        <f t="shared" si="3"/>
        <v>0.6867691691444946</v>
      </c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44</v>
      </c>
      <c r="E34" s="60">
        <f t="shared" si="0"/>
        <v>6</v>
      </c>
      <c r="F34" s="51">
        <f t="shared" si="4"/>
        <v>30</v>
      </c>
      <c r="G34" s="52">
        <f>IF(D34=D33,"",_xlfn.IFNA(VLOOKUP(D34,'인원 입력 기능'!$BE$5:$BH$55,4,FALSE),0))</f>
        <v>3126</v>
      </c>
      <c r="H34" s="53">
        <f t="shared" si="2"/>
        <v>2.4079865658075152E-2</v>
      </c>
      <c r="I34" s="57">
        <f>SUM($G$7:G34)</f>
        <v>92281</v>
      </c>
      <c r="J34" s="55">
        <f t="shared" si="3"/>
        <v>0.71084903480256978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43</v>
      </c>
      <c r="E35" s="60">
        <f t="shared" si="0"/>
        <v>6</v>
      </c>
      <c r="F35" s="51">
        <f t="shared" si="4"/>
        <v>28</v>
      </c>
      <c r="G35" s="52">
        <f>IF(D35=D34,"",_xlfn.IFNA(VLOOKUP(D35,'인원 입력 기능'!$BE$5:$BH$55,4,FALSE),0))</f>
        <v>3334</v>
      </c>
      <c r="H35" s="53">
        <f t="shared" si="2"/>
        <v>2.5682108798471708E-2</v>
      </c>
      <c r="I35" s="57">
        <f>SUM($G$7:G35)</f>
        <v>95615</v>
      </c>
      <c r="J35" s="55">
        <f t="shared" si="3"/>
        <v>0.73653114360104144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42</v>
      </c>
      <c r="E36" s="60">
        <f t="shared" si="0"/>
        <v>6</v>
      </c>
      <c r="F36" s="51">
        <f t="shared" si="4"/>
        <v>25</v>
      </c>
      <c r="G36" s="52">
        <f>IF(D36=D35,"",_xlfn.IFNA(VLOOKUP(D36,'인원 입력 기능'!$BE$5:$BH$55,4,FALSE),0))</f>
        <v>3225</v>
      </c>
      <c r="H36" s="53">
        <f t="shared" si="2"/>
        <v>2.4842471768167743E-2</v>
      </c>
      <c r="I36" s="57">
        <f>SUM($G$7:G36)</f>
        <v>98840</v>
      </c>
      <c r="J36" s="55">
        <f t="shared" si="3"/>
        <v>0.76137361536920922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41</v>
      </c>
      <c r="E37" s="60">
        <f t="shared" si="0"/>
        <v>6</v>
      </c>
      <c r="F37" s="51">
        <f t="shared" si="4"/>
        <v>23</v>
      </c>
      <c r="G37" s="52">
        <f>IF(D37=D36,"",_xlfn.IFNA(VLOOKUP(D37,'인원 입력 기능'!$BE$5:$BH$55,4,FALSE),0))</f>
        <v>3011</v>
      </c>
      <c r="H37" s="53">
        <f t="shared" si="2"/>
        <v>2.3194010075644363E-2</v>
      </c>
      <c r="I37" s="57">
        <f>SUM($G$7:G37)</f>
        <v>101851</v>
      </c>
      <c r="J37" s="55">
        <f t="shared" si="3"/>
        <v>0.78456762544485359</v>
      </c>
      <c r="K37" s="25"/>
      <c r="M37" s="1"/>
    </row>
    <row r="38" spans="1:13" ht="25" customHeight="1">
      <c r="A38" s="5"/>
      <c r="B38" s="24"/>
      <c r="C38" s="59">
        <v>19</v>
      </c>
      <c r="D38" s="273">
        <f t="shared" si="1"/>
        <v>40</v>
      </c>
      <c r="E38" s="273">
        <f t="shared" si="0"/>
        <v>7</v>
      </c>
      <c r="F38" s="263">
        <f t="shared" si="4"/>
        <v>19</v>
      </c>
      <c r="G38" s="265">
        <f>IF(D38=D37,"",_xlfn.IFNA(VLOOKUP(D38,'인원 입력 기능'!$BE$5:$BH$55,4,FALSE),0))</f>
        <v>5902</v>
      </c>
      <c r="H38" s="266">
        <f t="shared" si="2"/>
        <v>4.5463649108752252E-2</v>
      </c>
      <c r="I38" s="268">
        <f>SUM($G$7:G38)</f>
        <v>107753</v>
      </c>
      <c r="J38" s="270">
        <f t="shared" si="3"/>
        <v>0.83003127455360581</v>
      </c>
      <c r="K38" s="25"/>
      <c r="M38" s="1"/>
    </row>
    <row r="39" spans="1:13" ht="25" customHeight="1">
      <c r="A39" s="5"/>
      <c r="B39" s="24"/>
      <c r="C39" s="58">
        <v>18</v>
      </c>
      <c r="D39" s="272"/>
      <c r="E39" s="272"/>
      <c r="F39" s="262"/>
      <c r="G39" s="264"/>
      <c r="H39" s="267"/>
      <c r="I39" s="269"/>
      <c r="J39" s="271"/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39</v>
      </c>
      <c r="E40" s="60">
        <f t="shared" ref="E39:E57" si="5">IF(ROUND(D40,0)&gt;=$P$7,1,IF(ROUND(D40,0)&gt;=$P$8,2,IF(ROUND(D40,0)&gt;=$P$9,3,IF(ROUND(D40,0)&gt;=$P$10,4,IF(ROUND(D40,0)&gt;=$P$11,5,IF(ROUND(D40,0)&gt;=$P$12,6,IF(ROUND(D40,0)&gt;=$P$13,7,IF(ROUND(D40,0)&gt;=$P$14,8,9))))))))</f>
        <v>7</v>
      </c>
      <c r="F40" s="51">
        <f t="shared" si="4"/>
        <v>16</v>
      </c>
      <c r="G40" s="52">
        <f>IF(D40=D39,"",_xlfn.IFNA(VLOOKUP(D40,'인원 입력 기능'!$BE$5:$BH$55,4,FALSE),0))</f>
        <v>2753</v>
      </c>
      <c r="H40" s="53">
        <f t="shared" si="2"/>
        <v>2.1206612334190945E-2</v>
      </c>
      <c r="I40" s="57">
        <f>SUM($G$7:G40)</f>
        <v>110506</v>
      </c>
      <c r="J40" s="55">
        <f t="shared" si="3"/>
        <v>0.85123788688779678</v>
      </c>
      <c r="K40" s="25"/>
      <c r="M40" s="1"/>
    </row>
    <row r="41" spans="1:13" ht="25" customHeight="1">
      <c r="A41" s="5"/>
      <c r="B41" s="24"/>
      <c r="C41" s="58">
        <v>16</v>
      </c>
      <c r="D41" s="60">
        <f t="shared" si="1"/>
        <v>38</v>
      </c>
      <c r="E41" s="60">
        <f t="shared" si="5"/>
        <v>7</v>
      </c>
      <c r="F41" s="51">
        <f t="shared" si="4"/>
        <v>14</v>
      </c>
      <c r="G41" s="52">
        <f>IF(D41=D40,"",_xlfn.IFNA(VLOOKUP(D41,'인원 입력 기능'!$BE$5:$BH$55,4,FALSE),0))</f>
        <v>2491</v>
      </c>
      <c r="H41" s="53">
        <f t="shared" si="2"/>
        <v>1.9188402224652977E-2</v>
      </c>
      <c r="I41" s="57">
        <f>SUM($G$7:G41)</f>
        <v>112997</v>
      </c>
      <c r="J41" s="55">
        <f t="shared" si="3"/>
        <v>0.87042628911244979</v>
      </c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37</v>
      </c>
      <c r="E42" s="60">
        <f t="shared" si="5"/>
        <v>7</v>
      </c>
      <c r="F42" s="51">
        <f t="shared" si="4"/>
        <v>12</v>
      </c>
      <c r="G42" s="52">
        <f>IF(D42=D41,"",_xlfn.IFNA(VLOOKUP(D42,'인원 입력 기능'!$BE$5:$BH$55,4,FALSE),0))</f>
        <v>2351</v>
      </c>
      <c r="H42" s="53">
        <f t="shared" si="2"/>
        <v>1.8109969341693757E-2</v>
      </c>
      <c r="I42" s="57">
        <f>SUM($G$7:G42)</f>
        <v>115348</v>
      </c>
      <c r="J42" s="55">
        <f t="shared" si="3"/>
        <v>0.88853625845414352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36</v>
      </c>
      <c r="E43" s="60">
        <f t="shared" si="5"/>
        <v>7</v>
      </c>
      <c r="F43" s="51">
        <f t="shared" si="4"/>
        <v>10</v>
      </c>
      <c r="G43" s="52">
        <f>IF(D43=D42,"",_xlfn.IFNA(VLOOKUP(D43,'인원 입력 기능'!$BE$5:$BH$55,4,FALSE),0))</f>
        <v>2343</v>
      </c>
      <c r="H43" s="53">
        <f t="shared" si="2"/>
        <v>1.8048344605524659E-2</v>
      </c>
      <c r="I43" s="57">
        <f>SUM($G$7:G43)</f>
        <v>117691</v>
      </c>
      <c r="J43" s="55">
        <f t="shared" si="3"/>
        <v>0.90658460305966815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35</v>
      </c>
      <c r="E44" s="60">
        <f t="shared" si="5"/>
        <v>8</v>
      </c>
      <c r="F44" s="51">
        <f t="shared" si="4"/>
        <v>9</v>
      </c>
      <c r="G44" s="52">
        <f>IF(D44=D43,"",_xlfn.IFNA(VLOOKUP(D44,'인원 입력 기능'!$BE$5:$BH$55,4,FALSE),0))</f>
        <v>2141</v>
      </c>
      <c r="H44" s="53">
        <f t="shared" si="2"/>
        <v>1.6492320017254924E-2</v>
      </c>
      <c r="I44" s="57">
        <f>SUM($G$7:G44)</f>
        <v>119832</v>
      </c>
      <c r="J44" s="55">
        <f t="shared" si="3"/>
        <v>0.92307692307692313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34</v>
      </c>
      <c r="E45" s="60">
        <f t="shared" si="5"/>
        <v>8</v>
      </c>
      <c r="F45" s="51">
        <f t="shared" si="4"/>
        <v>7</v>
      </c>
      <c r="G45" s="52">
        <f>IF(D45=D44,"",_xlfn.IFNA(VLOOKUP(D45,'인원 입력 기능'!$BE$5:$BH$55,4,FALSE),0))</f>
        <v>1731</v>
      </c>
      <c r="H45" s="53">
        <f t="shared" si="2"/>
        <v>1.333405228858864E-2</v>
      </c>
      <c r="I45" s="57">
        <f>SUM($G$7:G45)</f>
        <v>121563</v>
      </c>
      <c r="J45" s="55">
        <f t="shared" si="3"/>
        <v>0.93641097536551177</v>
      </c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33</v>
      </c>
      <c r="E46" s="60">
        <f t="shared" si="5"/>
        <v>8</v>
      </c>
      <c r="F46" s="51">
        <f t="shared" si="4"/>
        <v>6</v>
      </c>
      <c r="G46" s="52">
        <f>IF(D46=D45,"",_xlfn.IFNA(VLOOKUP(D46,'인원 입력 기능'!$BE$5:$BH$55,4,FALSE),0))</f>
        <v>2107</v>
      </c>
      <c r="H46" s="53">
        <f t="shared" si="2"/>
        <v>1.6230414888536257E-2</v>
      </c>
      <c r="I46" s="57">
        <f>SUM($G$7:G46)</f>
        <v>123670</v>
      </c>
      <c r="J46" s="55">
        <f t="shared" si="3"/>
        <v>0.95264139025404793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32</v>
      </c>
      <c r="E47" s="60">
        <f t="shared" si="5"/>
        <v>8</v>
      </c>
      <c r="F47" s="51">
        <f t="shared" si="4"/>
        <v>4</v>
      </c>
      <c r="G47" s="52">
        <f>IF(D47=D46,"",_xlfn.IFNA(VLOOKUP(D47,'인원 입력 기능'!$BE$5:$BH$55,4,FALSE),0))</f>
        <v>1202</v>
      </c>
      <c r="H47" s="53">
        <f t="shared" si="2"/>
        <v>9.2591166094070157E-3</v>
      </c>
      <c r="I47" s="57">
        <f>SUM($G$7:G47)</f>
        <v>124872</v>
      </c>
      <c r="J47" s="55">
        <f t="shared" si="3"/>
        <v>0.96190050686345496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31</v>
      </c>
      <c r="E48" s="60">
        <f t="shared" si="5"/>
        <v>9</v>
      </c>
      <c r="F48" s="51">
        <f t="shared" si="4"/>
        <v>3</v>
      </c>
      <c r="G48" s="52">
        <f>IF(D48=D47,"",_xlfn.IFNA(VLOOKUP(D48,'인원 입력 기능'!$BE$5:$BH$55,4,FALSE),0))</f>
        <v>1465</v>
      </c>
      <c r="H48" s="53">
        <f t="shared" si="2"/>
        <v>1.1285029810966123E-2</v>
      </c>
      <c r="I48" s="57">
        <f>SUM($G$7:G48)</f>
        <v>126337</v>
      </c>
      <c r="J48" s="55">
        <f t="shared" si="3"/>
        <v>0.97318553667442109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30</v>
      </c>
      <c r="E49" s="60">
        <f t="shared" si="5"/>
        <v>9</v>
      </c>
      <c r="F49" s="51">
        <f t="shared" si="4"/>
        <v>2</v>
      </c>
      <c r="G49" s="52">
        <f>IF(D49=D48,"",_xlfn.IFNA(VLOOKUP(D49,'인원 입력 기능'!$BE$5:$BH$55,4,FALSE),0))</f>
        <v>928</v>
      </c>
      <c r="H49" s="53">
        <f t="shared" si="2"/>
        <v>7.1484693956154E-3</v>
      </c>
      <c r="I49" s="57">
        <f>SUM($G$7:G49)</f>
        <v>127265</v>
      </c>
      <c r="J49" s="55">
        <f t="shared" si="3"/>
        <v>0.98033400607003651</v>
      </c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29</v>
      </c>
      <c r="E50" s="60">
        <f t="shared" si="5"/>
        <v>9</v>
      </c>
      <c r="F50" s="51">
        <f t="shared" si="4"/>
        <v>2</v>
      </c>
      <c r="G50" s="52">
        <f>IF(D50=D49,"",_xlfn.IFNA(VLOOKUP(D50,'인원 입력 기능'!$BE$5:$BH$55,4,FALSE),0))</f>
        <v>723</v>
      </c>
      <c r="H50" s="53">
        <f t="shared" si="2"/>
        <v>5.5693355312822568E-3</v>
      </c>
      <c r="I50" s="57">
        <f>SUM($G$7:G50)</f>
        <v>127988</v>
      </c>
      <c r="J50" s="55">
        <f t="shared" si="3"/>
        <v>0.98590334160131876</v>
      </c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28</v>
      </c>
      <c r="E51" s="60">
        <f t="shared" si="5"/>
        <v>9</v>
      </c>
      <c r="F51" s="51">
        <f t="shared" si="4"/>
        <v>1</v>
      </c>
      <c r="G51" s="52">
        <f>IF(D51=D50,"",_xlfn.IFNA(VLOOKUP(D51,'인원 입력 기능'!$BE$5:$BH$55,4,FALSE),0))</f>
        <v>1021</v>
      </c>
      <c r="H51" s="53">
        <f t="shared" si="2"/>
        <v>7.8648569535811671E-3</v>
      </c>
      <c r="I51" s="57">
        <f>SUM($G$7:G51)</f>
        <v>129009</v>
      </c>
      <c r="J51" s="55">
        <f t="shared" si="3"/>
        <v>0.99376819855489995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27</v>
      </c>
      <c r="E52" s="60">
        <f t="shared" si="5"/>
        <v>9</v>
      </c>
      <c r="F52" s="51">
        <f t="shared" si="4"/>
        <v>1</v>
      </c>
      <c r="G52" s="52">
        <f>IF(D52=D51,"",_xlfn.IFNA(VLOOKUP(D52,'인원 입력 기능'!$BE$5:$BH$55,4,FALSE),0))</f>
        <v>286</v>
      </c>
      <c r="H52" s="53">
        <f t="shared" si="2"/>
        <v>2.2030843180452634E-3</v>
      </c>
      <c r="I52" s="57">
        <f>SUM($G$7:G52)</f>
        <v>129295</v>
      </c>
      <c r="J52" s="55">
        <f t="shared" si="3"/>
        <v>0.99597128287294523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26</v>
      </c>
      <c r="E53" s="50">
        <f t="shared" si="5"/>
        <v>9</v>
      </c>
      <c r="F53" s="51">
        <f t="shared" si="4"/>
        <v>0</v>
      </c>
      <c r="G53" s="52">
        <f>IF(D53=D52,"",_xlfn.IFNA(VLOOKUP(D53,'인원 입력 기능'!$BE$5:$BH$55,4,FALSE),0))</f>
        <v>212</v>
      </c>
      <c r="H53" s="53">
        <f t="shared" si="2"/>
        <v>1.6330555084811042E-3</v>
      </c>
      <c r="I53" s="57">
        <f>SUM($G$7:G53)</f>
        <v>129507</v>
      </c>
      <c r="J53" s="55">
        <f t="shared" si="3"/>
        <v>0.99760433838142626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25</v>
      </c>
      <c r="E54" s="50">
        <f t="shared" si="5"/>
        <v>9</v>
      </c>
      <c r="F54" s="51">
        <f t="shared" si="4"/>
        <v>0</v>
      </c>
      <c r="G54" s="52">
        <f>IF(D54=D53,"",_xlfn.IFNA(VLOOKUP(D54,'인원 입력 기능'!$BE$5:$BH$55,4,FALSE),0))</f>
        <v>68</v>
      </c>
      <c r="H54" s="53">
        <f t="shared" si="2"/>
        <v>5.2381025743733533E-4</v>
      </c>
      <c r="I54" s="57">
        <f>SUM($G$7:G54)</f>
        <v>129575</v>
      </c>
      <c r="J54" s="55">
        <f t="shared" si="3"/>
        <v>0.99812814863886368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24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기능'!$BE$5:$BH$55,4,FALSE),0))</f>
        <v>141</v>
      </c>
      <c r="H55" s="53">
        <f t="shared" si="2"/>
        <v>1.0861359749803571E-3</v>
      </c>
      <c r="I55" s="57">
        <f>SUM($G$7:G55)</f>
        <v>129716</v>
      </c>
      <c r="J55" s="55">
        <f t="shared" si="3"/>
        <v>0.99921428461384398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22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기능'!$BE$5:$BH$55,4,FALSE),0)</f>
        <v>102</v>
      </c>
      <c r="H57" s="69">
        <f>G57/J3</f>
        <v>7.8571538615600299E-4</v>
      </c>
      <c r="I57" s="70">
        <f>SUM($G$7:G57)</f>
        <v>129818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19">
    <mergeCell ref="H38:H39"/>
    <mergeCell ref="I38:I39"/>
    <mergeCell ref="J38:J39"/>
    <mergeCell ref="D3:F3"/>
    <mergeCell ref="D4:F4"/>
    <mergeCell ref="D56:J56"/>
    <mergeCell ref="D8:J8"/>
    <mergeCell ref="G5:J5"/>
    <mergeCell ref="D19:D20"/>
    <mergeCell ref="E19:E20"/>
    <mergeCell ref="F19:F20"/>
    <mergeCell ref="G19:G20"/>
    <mergeCell ref="H19:H20"/>
    <mergeCell ref="I19:I20"/>
    <mergeCell ref="J19:J20"/>
    <mergeCell ref="D38:D39"/>
    <mergeCell ref="E38:E39"/>
    <mergeCell ref="F38:F39"/>
    <mergeCell ref="G38:G39"/>
  </mergeCells>
  <phoneticPr fontId="1" type="noConversion"/>
  <conditionalFormatting sqref="D7:J7 D57:J57 D9:J19 D21:J38 D40:J55">
    <cfRule type="expression" dxfId="83" priority="7">
      <formula>OR($D7=$P$7:$P$14)</formula>
    </cfRule>
  </conditionalFormatting>
  <conditionalFormatting sqref="C7:C57">
    <cfRule type="expression" dxfId="82" priority="6">
      <formula>OR(AND($D7=0,OR($D6=$P$7:$P$14)),AND($D8&gt;0,OR($D7=$P$7:$P$14)))</formula>
    </cfRule>
  </conditionalFormatting>
  <conditionalFormatting sqref="D7 D57 D9:D19 D21:D38 D40:D55">
    <cfRule type="expression" dxfId="81" priority="5">
      <formula>$D7=$D8</formula>
    </cfRule>
  </conditionalFormatting>
  <conditionalFormatting sqref="D56">
    <cfRule type="expression" dxfId="80" priority="4">
      <formula>OR($D56=$P$7:$P$14)</formula>
    </cfRule>
  </conditionalFormatting>
  <conditionalFormatting sqref="D56">
    <cfRule type="expression" dxfId="79" priority="3">
      <formula>$D56=$D57</formula>
    </cfRule>
  </conditionalFormatting>
  <conditionalFormatting sqref="D8">
    <cfRule type="expression" dxfId="78" priority="2">
      <formula>OR($D8=$P$7:$P$14)</formula>
    </cfRule>
  </conditionalFormatting>
  <conditionalFormatting sqref="D8">
    <cfRule type="expression" dxfId="7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0"/>
  <dimension ref="A1:P105"/>
  <sheetViews>
    <sheetView topLeftCell="A6"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기능'!D16</f>
        <v>24.5</v>
      </c>
      <c r="I3" s="109" t="s">
        <v>54</v>
      </c>
      <c r="J3" s="110">
        <f>'통계 및 응시자 수 입력 기능'!C16</f>
        <v>142672</v>
      </c>
      <c r="K3" s="25"/>
    </row>
    <row r="4" spans="1:16" ht="25" customHeight="1" thickBot="1">
      <c r="A4" s="5"/>
      <c r="B4" s="24"/>
      <c r="C4" s="42" t="s">
        <v>55</v>
      </c>
      <c r="D4" s="242" t="s">
        <v>66</v>
      </c>
      <c r="E4" s="243"/>
      <c r="F4" s="244"/>
      <c r="G4" s="43" t="s">
        <v>57</v>
      </c>
      <c r="H4" s="108">
        <f>'통계 및 응시자 수 입력 기능'!E16</f>
        <v>11.42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72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기능'!$BJ$5:$BM$55,4,FALSE),0)</f>
        <v>483</v>
      </c>
      <c r="H7" s="53">
        <f>G7/J3</f>
        <v>3.3853874621509478E-3</v>
      </c>
      <c r="I7" s="54">
        <f>G7</f>
        <v>483</v>
      </c>
      <c r="J7" s="55">
        <f>I7/J3</f>
        <v>3.3853874621509478E-3</v>
      </c>
      <c r="K7" s="25"/>
      <c r="M7" s="1"/>
      <c r="O7" s="1">
        <v>1</v>
      </c>
      <c r="P7" s="1">
        <f>'표준점수 등급컷 입력기능'!K42</f>
        <v>67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입력기능'!K43</f>
        <v>63</v>
      </c>
    </row>
    <row r="9" spans="1:16" ht="25" customHeight="1">
      <c r="A9" s="5"/>
      <c r="B9" s="24"/>
      <c r="C9" s="49">
        <v>48</v>
      </c>
      <c r="D9" s="50">
        <f>ROUND(10*(C9-$H$3)/$H$4+50,0)</f>
        <v>71</v>
      </c>
      <c r="E9" s="50">
        <f t="shared" si="0"/>
        <v>1</v>
      </c>
      <c r="F9" s="51">
        <f>IF(I8=0,ROUND(100*(1-(I7+I9)/2/$J$3),0),ROUND(100*(1-(I8+I9)/2/$J$3),0))</f>
        <v>100</v>
      </c>
      <c r="G9" s="52">
        <f>_xlfn.IFNA(VLOOKUP(D9,'인원 입력 기능'!$BJ$5:$BM$55,4,FALSE),0)</f>
        <v>436</v>
      </c>
      <c r="H9" s="53">
        <f>G9/$J$3</f>
        <v>3.0559605248401929E-3</v>
      </c>
      <c r="I9" s="57">
        <f>SUM($G$7:G9)</f>
        <v>919</v>
      </c>
      <c r="J9" s="55">
        <f>I9/$J$3</f>
        <v>6.4413479869911408E-3</v>
      </c>
      <c r="K9" s="25"/>
      <c r="M9" s="1"/>
      <c r="O9" s="1">
        <v>3</v>
      </c>
      <c r="P9" s="1">
        <f>'표준점수 등급컷 입력기능'!K44</f>
        <v>59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70</v>
      </c>
      <c r="E10" s="50">
        <f t="shared" si="0"/>
        <v>1</v>
      </c>
      <c r="F10" s="51">
        <f>IF(I9=0,ROUND(100*(1-(I8+I10)/2/$J$3),0),ROUND(100*(1-(I9+I10)/2/$J$3),0))</f>
        <v>99</v>
      </c>
      <c r="G10" s="52">
        <f>IF(D10=D9,"",_xlfn.IFNA(VLOOKUP(D10,'인원 입력 기능'!$BJ$5:$BM$55,4,FALSE),0))</f>
        <v>1253</v>
      </c>
      <c r="H10" s="53">
        <f t="shared" ref="H10:H55" si="2">G10/$J$3</f>
        <v>8.7823819670292697E-3</v>
      </c>
      <c r="I10" s="57">
        <f>SUM($G$7:G10)</f>
        <v>2172</v>
      </c>
      <c r="J10" s="55">
        <f t="shared" ref="J10:J55" si="3">I10/$J$3</f>
        <v>1.522372995402041E-2</v>
      </c>
      <c r="K10" s="25"/>
      <c r="M10" s="1"/>
      <c r="O10" s="1">
        <v>4</v>
      </c>
      <c r="P10" s="1">
        <f>'표준점수 등급컷 입력기능'!K45</f>
        <v>53</v>
      </c>
    </row>
    <row r="11" spans="1:16" ht="25" customHeight="1">
      <c r="A11" s="5"/>
      <c r="B11" s="24"/>
      <c r="C11" s="49">
        <v>46</v>
      </c>
      <c r="D11" s="50">
        <f t="shared" si="1"/>
        <v>69</v>
      </c>
      <c r="E11" s="50">
        <f t="shared" si="0"/>
        <v>1</v>
      </c>
      <c r="F11" s="51">
        <f t="shared" ref="F11:F55" si="4">IF(I10=0,ROUND(100*(1-(I9+I11)/2/$J$3),0),ROUND(100*(1-(I10+I11)/2/$J$3),0))</f>
        <v>98</v>
      </c>
      <c r="G11" s="52">
        <f>IF(D11=D10,"",_xlfn.IFNA(VLOOKUP(D11,'인원 입력 기능'!$BJ$5:$BM$55,4,FALSE),0))</f>
        <v>130</v>
      </c>
      <c r="H11" s="53">
        <f t="shared" si="2"/>
        <v>9.1118089043400251E-4</v>
      </c>
      <c r="I11" s="57">
        <f>SUM($G$7:G11)</f>
        <v>2302</v>
      </c>
      <c r="J11" s="55">
        <f t="shared" si="3"/>
        <v>1.6134910844454411E-2</v>
      </c>
      <c r="K11" s="25"/>
      <c r="M11" s="1"/>
      <c r="O11" s="1">
        <v>5</v>
      </c>
      <c r="P11" s="1">
        <f>'표준점수 등급컷 입력기능'!K46</f>
        <v>46</v>
      </c>
    </row>
    <row r="12" spans="1:16" ht="25" customHeight="1">
      <c r="A12" s="5"/>
      <c r="B12" s="24"/>
      <c r="C12" s="56">
        <v>45</v>
      </c>
      <c r="D12" s="50">
        <f t="shared" si="1"/>
        <v>68</v>
      </c>
      <c r="E12" s="50">
        <f t="shared" si="0"/>
        <v>1</v>
      </c>
      <c r="F12" s="51">
        <f t="shared" si="4"/>
        <v>98</v>
      </c>
      <c r="G12" s="52">
        <f>IF(D12=D11,"",_xlfn.IFNA(VLOOKUP(D12,'인원 입력 기능'!$BJ$5:$BM$55,4,FALSE),0))</f>
        <v>1681</v>
      </c>
      <c r="H12" s="53">
        <f t="shared" si="2"/>
        <v>1.1782269821688909E-2</v>
      </c>
      <c r="I12" s="57">
        <f>SUM($G$7:G12)</f>
        <v>3983</v>
      </c>
      <c r="J12" s="55">
        <f t="shared" si="3"/>
        <v>2.7917180666143321E-2</v>
      </c>
      <c r="K12" s="25"/>
      <c r="M12" s="1"/>
      <c r="O12" s="1">
        <v>6</v>
      </c>
      <c r="P12" s="1">
        <f>'표준점수 등급컷 입력기능'!K47</f>
        <v>41</v>
      </c>
    </row>
    <row r="13" spans="1:16" ht="25" customHeight="1">
      <c r="A13" s="5"/>
      <c r="B13" s="24"/>
      <c r="C13" s="49">
        <v>44</v>
      </c>
      <c r="D13" s="50">
        <f t="shared" si="1"/>
        <v>67</v>
      </c>
      <c r="E13" s="50">
        <f t="shared" si="0"/>
        <v>1</v>
      </c>
      <c r="F13" s="51">
        <f t="shared" si="4"/>
        <v>96</v>
      </c>
      <c r="G13" s="52">
        <f>IF(D13=D12,"",_xlfn.IFNA(VLOOKUP(D13,'인원 입력 기능'!$BJ$5:$BM$55,4,FALSE),0))</f>
        <v>2116</v>
      </c>
      <c r="H13" s="53">
        <f t="shared" si="2"/>
        <v>1.4831221262756532E-2</v>
      </c>
      <c r="I13" s="57">
        <f>SUM($G$7:G13)</f>
        <v>6099</v>
      </c>
      <c r="J13" s="55">
        <f t="shared" si="3"/>
        <v>4.2748401928899851E-2</v>
      </c>
      <c r="K13" s="25"/>
      <c r="M13" s="1"/>
      <c r="O13" s="1">
        <v>7</v>
      </c>
      <c r="P13" s="1">
        <f>'표준점수 등급컷 입력기능'!K48</f>
        <v>37</v>
      </c>
    </row>
    <row r="14" spans="1:16" ht="25" customHeight="1">
      <c r="A14" s="5"/>
      <c r="B14" s="24"/>
      <c r="C14" s="56">
        <v>43</v>
      </c>
      <c r="D14" s="50">
        <f t="shared" si="1"/>
        <v>66</v>
      </c>
      <c r="E14" s="50">
        <f t="shared" si="0"/>
        <v>2</v>
      </c>
      <c r="F14" s="51">
        <f t="shared" si="4"/>
        <v>96</v>
      </c>
      <c r="G14" s="52">
        <f>IF(D14=D13,"",_xlfn.IFNA(VLOOKUP(D14,'인원 입력 기능'!$BJ$5:$BM$55,4,FALSE),0))</f>
        <v>621</v>
      </c>
      <c r="H14" s="53">
        <f t="shared" si="2"/>
        <v>4.3526410227655039E-3</v>
      </c>
      <c r="I14" s="57">
        <f>SUM($G$7:G14)</f>
        <v>6720</v>
      </c>
      <c r="J14" s="55">
        <f t="shared" si="3"/>
        <v>4.710104295166536E-2</v>
      </c>
      <c r="K14" s="25"/>
      <c r="M14" s="1"/>
      <c r="O14" s="1">
        <v>8</v>
      </c>
      <c r="P14" s="1">
        <f>'표준점수 등급컷 입력기능'!K49</f>
        <v>35</v>
      </c>
    </row>
    <row r="15" spans="1:16" ht="25" customHeight="1">
      <c r="A15" s="5"/>
      <c r="B15" s="24"/>
      <c r="C15" s="49">
        <v>42</v>
      </c>
      <c r="D15" s="50">
        <f t="shared" si="1"/>
        <v>65</v>
      </c>
      <c r="E15" s="50">
        <f t="shared" si="0"/>
        <v>2</v>
      </c>
      <c r="F15" s="51">
        <f t="shared" si="4"/>
        <v>94</v>
      </c>
      <c r="G15" s="52">
        <f>IF(D15=D14,"",_xlfn.IFNA(VLOOKUP(D15,'인원 입력 기능'!$BJ$5:$BM$55,4,FALSE),0))</f>
        <v>3568</v>
      </c>
      <c r="H15" s="53">
        <f t="shared" si="2"/>
        <v>2.5008410900527082E-2</v>
      </c>
      <c r="I15" s="57">
        <f>SUM($G$7:G15)</f>
        <v>10288</v>
      </c>
      <c r="J15" s="55">
        <f t="shared" si="3"/>
        <v>7.2109453852192446E-2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1">
        <f t="shared" si="1"/>
        <v>64</v>
      </c>
      <c r="E16" s="261">
        <f t="shared" si="0"/>
        <v>2</v>
      </c>
      <c r="F16" s="263">
        <f t="shared" si="4"/>
        <v>91</v>
      </c>
      <c r="G16" s="265">
        <f>IF(D16=D15,"",_xlfn.IFNA(VLOOKUP(D16,'인원 입력 기능'!$BJ$5:$BM$55,4,FALSE),0))</f>
        <v>4377</v>
      </c>
      <c r="H16" s="266">
        <f t="shared" si="2"/>
        <v>3.0678759672535607E-2</v>
      </c>
      <c r="I16" s="268">
        <f>SUM($G$7:G16)</f>
        <v>14665</v>
      </c>
      <c r="J16" s="270">
        <f t="shared" si="3"/>
        <v>0.10278821352472804</v>
      </c>
      <c r="K16" s="25"/>
      <c r="M16" s="1"/>
    </row>
    <row r="17" spans="1:16" ht="25" customHeight="1">
      <c r="A17" s="5"/>
      <c r="B17" s="24"/>
      <c r="C17" s="49">
        <v>40</v>
      </c>
      <c r="D17" s="260"/>
      <c r="E17" s="260"/>
      <c r="F17" s="262"/>
      <c r="G17" s="264"/>
      <c r="H17" s="267"/>
      <c r="I17" s="269"/>
      <c r="J17" s="271"/>
      <c r="K17" s="25"/>
      <c r="M17" s="1"/>
      <c r="P17" s="1">
        <f>H3*H4*J3*P7*IFERROR(IF(J57=1, 1, 0), 0)</f>
        <v>2674519324.96</v>
      </c>
    </row>
    <row r="18" spans="1:16" ht="25" customHeight="1">
      <c r="A18" s="5"/>
      <c r="B18" s="24"/>
      <c r="C18" s="56">
        <v>39</v>
      </c>
      <c r="D18" s="50">
        <f t="shared" si="1"/>
        <v>63</v>
      </c>
      <c r="E18" s="50">
        <f t="shared" si="0"/>
        <v>2</v>
      </c>
      <c r="F18" s="51">
        <f t="shared" si="4"/>
        <v>88</v>
      </c>
      <c r="G18" s="52">
        <f>IF(D18=D17,"",_xlfn.IFNA(VLOOKUP(D18,'인원 입력 기능'!$BJ$5:$BM$55,4,FALSE),0))</f>
        <v>5060</v>
      </c>
      <c r="H18" s="53">
        <f t="shared" si="2"/>
        <v>3.5465963889200404E-2</v>
      </c>
      <c r="I18" s="57">
        <f>SUM($G$7:G18)</f>
        <v>19725</v>
      </c>
      <c r="J18" s="55">
        <f t="shared" si="3"/>
        <v>0.13825417741392845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62</v>
      </c>
      <c r="E19" s="50">
        <f t="shared" si="0"/>
        <v>3</v>
      </c>
      <c r="F19" s="51">
        <f t="shared" si="4"/>
        <v>85</v>
      </c>
      <c r="G19" s="52">
        <f>IF(D19=D18,"",_xlfn.IFNA(VLOOKUP(D19,'인원 입력 기능'!$BJ$5:$BM$55,4,FALSE),0))</f>
        <v>2557</v>
      </c>
      <c r="H19" s="53">
        <f t="shared" si="2"/>
        <v>1.7922227206459571E-2</v>
      </c>
      <c r="I19" s="57">
        <f>SUM($G$7:G19)</f>
        <v>22282</v>
      </c>
      <c r="J19" s="55">
        <f t="shared" si="3"/>
        <v>0.15617640462038801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61</v>
      </c>
      <c r="E20" s="50">
        <f t="shared" si="0"/>
        <v>3</v>
      </c>
      <c r="F20" s="51">
        <f t="shared" si="4"/>
        <v>83</v>
      </c>
      <c r="G20" s="52">
        <f>IF(D20=D19,"",_xlfn.IFNA(VLOOKUP(D20,'인원 입력 기능'!$BJ$5:$BM$55,4,FALSE),0))</f>
        <v>3409</v>
      </c>
      <c r="H20" s="53">
        <f t="shared" si="2"/>
        <v>2.3893966580688573E-2</v>
      </c>
      <c r="I20" s="57">
        <f>SUM($G$7:G20)</f>
        <v>25691</v>
      </c>
      <c r="J20" s="55">
        <f t="shared" si="3"/>
        <v>0.18007037120107661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60</v>
      </c>
      <c r="E21" s="60">
        <f t="shared" si="0"/>
        <v>3</v>
      </c>
      <c r="F21" s="51">
        <f t="shared" si="4"/>
        <v>80</v>
      </c>
      <c r="G21" s="52">
        <f>IF(D21=D20,"",_xlfn.IFNA(VLOOKUP(D21,'인원 입력 기능'!$BJ$5:$BM$55,4,FALSE),0))</f>
        <v>5134</v>
      </c>
      <c r="H21" s="53">
        <f t="shared" si="2"/>
        <v>3.5984636088370527E-2</v>
      </c>
      <c r="I21" s="57">
        <f>SUM($G$7:G21)</f>
        <v>30825</v>
      </c>
      <c r="J21" s="55">
        <f t="shared" si="3"/>
        <v>0.21605500728944713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59</v>
      </c>
      <c r="E22" s="60">
        <f t="shared" si="0"/>
        <v>3</v>
      </c>
      <c r="F22" s="51">
        <f t="shared" si="4"/>
        <v>77</v>
      </c>
      <c r="G22" s="52">
        <f>IF(D22=D21,"",_xlfn.IFNA(VLOOKUP(D22,'인원 입력 기능'!$BJ$5:$BM$55,4,FALSE),0))</f>
        <v>2827</v>
      </c>
      <c r="H22" s="53">
        <f t="shared" si="2"/>
        <v>1.981467982505327E-2</v>
      </c>
      <c r="I22" s="57">
        <f>SUM($G$7:G22)</f>
        <v>33652</v>
      </c>
      <c r="J22" s="55">
        <f t="shared" si="3"/>
        <v>0.2358696871145004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58</v>
      </c>
      <c r="E23" s="60">
        <f t="shared" si="0"/>
        <v>4</v>
      </c>
      <c r="F23" s="51">
        <f t="shared" si="4"/>
        <v>75</v>
      </c>
      <c r="G23" s="52">
        <f>IF(D23=D22,"",_xlfn.IFNA(VLOOKUP(D23,'인원 입력 기능'!$BJ$5:$BM$55,4,FALSE),0))</f>
        <v>4301</v>
      </c>
      <c r="H23" s="53">
        <f t="shared" si="2"/>
        <v>3.0146069305820342E-2</v>
      </c>
      <c r="I23" s="57">
        <f>SUM($G$7:G23)</f>
        <v>37953</v>
      </c>
      <c r="J23" s="55">
        <f t="shared" si="3"/>
        <v>0.26601575642032071</v>
      </c>
      <c r="K23" s="25"/>
      <c r="M23" s="1"/>
    </row>
    <row r="24" spans="1:16" ht="25" customHeight="1">
      <c r="A24" s="5"/>
      <c r="B24" s="24"/>
      <c r="C24" s="59">
        <v>33</v>
      </c>
      <c r="D24" s="273">
        <f t="shared" si="1"/>
        <v>57</v>
      </c>
      <c r="E24" s="273">
        <f t="shared" si="0"/>
        <v>4</v>
      </c>
      <c r="F24" s="263">
        <f t="shared" si="4"/>
        <v>71</v>
      </c>
      <c r="G24" s="265">
        <f>IF(D24=D23,"",_xlfn.IFNA(VLOOKUP(D24,'인원 입력 기능'!$BJ$5:$BM$55,4,FALSE),0))</f>
        <v>7404</v>
      </c>
      <c r="H24" s="266">
        <f t="shared" si="2"/>
        <v>5.1895256252102728E-2</v>
      </c>
      <c r="I24" s="268">
        <f>SUM($G$7:G24)</f>
        <v>45357</v>
      </c>
      <c r="J24" s="270">
        <f t="shared" si="3"/>
        <v>0.31791101267242344</v>
      </c>
      <c r="K24" s="25"/>
      <c r="M24" s="1"/>
    </row>
    <row r="25" spans="1:16" ht="25" customHeight="1">
      <c r="A25" s="5"/>
      <c r="B25" s="24"/>
      <c r="C25" s="58">
        <v>32</v>
      </c>
      <c r="D25" s="272"/>
      <c r="E25" s="272"/>
      <c r="F25" s="262"/>
      <c r="G25" s="264"/>
      <c r="H25" s="267"/>
      <c r="I25" s="269"/>
      <c r="J25" s="271"/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56</v>
      </c>
      <c r="E26" s="60">
        <f t="shared" si="0"/>
        <v>4</v>
      </c>
      <c r="F26" s="51">
        <f t="shared" si="4"/>
        <v>67</v>
      </c>
      <c r="G26" s="52">
        <f>IF(D26=D25,"",_xlfn.IFNA(VLOOKUP(D26,'인원 입력 기능'!$BJ$5:$BM$55,4,FALSE),0))</f>
        <v>4270</v>
      </c>
      <c r="H26" s="53">
        <f t="shared" si="2"/>
        <v>2.9928787708870697E-2</v>
      </c>
      <c r="I26" s="57">
        <f>SUM($G$7:G26)</f>
        <v>49627</v>
      </c>
      <c r="J26" s="55">
        <f t="shared" si="3"/>
        <v>0.34783980038129414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55</v>
      </c>
      <c r="E27" s="60">
        <f t="shared" si="0"/>
        <v>4</v>
      </c>
      <c r="F27" s="51">
        <f t="shared" si="4"/>
        <v>64</v>
      </c>
      <c r="G27" s="52">
        <f>IF(D27=D26,"",_xlfn.IFNA(VLOOKUP(D27,'인원 입력 기능'!$BJ$5:$BM$55,4,FALSE),0))</f>
        <v>3513</v>
      </c>
      <c r="H27" s="53">
        <f t="shared" si="2"/>
        <v>2.4622911293035774E-2</v>
      </c>
      <c r="I27" s="57">
        <f>SUM($G$7:G27)</f>
        <v>53140</v>
      </c>
      <c r="J27" s="55">
        <f t="shared" si="3"/>
        <v>0.37246271167432993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54</v>
      </c>
      <c r="E28" s="60">
        <f t="shared" si="0"/>
        <v>4</v>
      </c>
      <c r="F28" s="51">
        <f t="shared" si="4"/>
        <v>61</v>
      </c>
      <c r="G28" s="52">
        <f>IF(D28=D27,"",_xlfn.IFNA(VLOOKUP(D28,'인원 입력 기능'!$BJ$5:$BM$55,4,FALSE),0))</f>
        <v>3723</v>
      </c>
      <c r="H28" s="53">
        <f t="shared" si="2"/>
        <v>2.6094818885275317E-2</v>
      </c>
      <c r="I28" s="57">
        <f>SUM($G$7:G28)</f>
        <v>56863</v>
      </c>
      <c r="J28" s="55">
        <f t="shared" si="3"/>
        <v>0.39855753055960524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53</v>
      </c>
      <c r="E29" s="60">
        <f t="shared" si="0"/>
        <v>4</v>
      </c>
      <c r="F29" s="51">
        <f t="shared" si="4"/>
        <v>59</v>
      </c>
      <c r="G29" s="52">
        <f>IF(D29=D28,"",_xlfn.IFNA(VLOOKUP(D29,'인원 입력 기능'!$BJ$5:$BM$55,4,FALSE),0))</f>
        <v>3576</v>
      </c>
      <c r="H29" s="53">
        <f t="shared" si="2"/>
        <v>2.5064483570707636E-2</v>
      </c>
      <c r="I29" s="57">
        <f>SUM($G$7:G29)</f>
        <v>60439</v>
      </c>
      <c r="J29" s="55">
        <f t="shared" si="3"/>
        <v>0.42362201413031286</v>
      </c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52</v>
      </c>
      <c r="E30" s="60">
        <f t="shared" si="0"/>
        <v>5</v>
      </c>
      <c r="F30" s="51">
        <f t="shared" si="4"/>
        <v>56</v>
      </c>
      <c r="G30" s="52">
        <f>IF(D30=D29,"",_xlfn.IFNA(VLOOKUP(D30,'인원 입력 기능'!$BJ$5:$BM$55,4,FALSE),0))</f>
        <v>3354</v>
      </c>
      <c r="H30" s="53">
        <f t="shared" si="2"/>
        <v>2.3508466973197265E-2</v>
      </c>
      <c r="I30" s="57">
        <f>SUM($G$7:G30)</f>
        <v>63793</v>
      </c>
      <c r="J30" s="55">
        <f t="shared" si="3"/>
        <v>0.44713048110351017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51</v>
      </c>
      <c r="E31" s="60">
        <f t="shared" si="0"/>
        <v>5</v>
      </c>
      <c r="F31" s="51">
        <f t="shared" si="4"/>
        <v>54</v>
      </c>
      <c r="G31" s="52">
        <f>IF(D31=D30,"",_xlfn.IFNA(VLOOKUP(D31,'인원 입력 기능'!$BJ$5:$BM$55,4,FALSE),0))</f>
        <v>3475</v>
      </c>
      <c r="H31" s="53">
        <f t="shared" si="2"/>
        <v>2.4356566109678141E-2</v>
      </c>
      <c r="I31" s="57">
        <f>SUM($G$7:G31)</f>
        <v>67268</v>
      </c>
      <c r="J31" s="55">
        <f t="shared" si="3"/>
        <v>0.47148704721318829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50</v>
      </c>
      <c r="E32" s="273">
        <f t="shared" si="0"/>
        <v>5</v>
      </c>
      <c r="F32" s="263">
        <f t="shared" si="4"/>
        <v>51</v>
      </c>
      <c r="G32" s="265">
        <f>IF(D32=D31,"",_xlfn.IFNA(VLOOKUP(D32,'인원 입력 기능'!$BJ$5:$BM$55,4,FALSE),0))</f>
        <v>6697</v>
      </c>
      <c r="H32" s="266">
        <f t="shared" si="2"/>
        <v>4.6939834024896265E-2</v>
      </c>
      <c r="I32" s="268">
        <f>SUM($G$7:G32)</f>
        <v>73965</v>
      </c>
      <c r="J32" s="270">
        <f t="shared" si="3"/>
        <v>0.51842688123808456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49</v>
      </c>
      <c r="E34" s="60">
        <f t="shared" si="0"/>
        <v>5</v>
      </c>
      <c r="F34" s="51">
        <f t="shared" si="4"/>
        <v>47</v>
      </c>
      <c r="G34" s="52">
        <f>IF(D34=D33,"",_xlfn.IFNA(VLOOKUP(D34,'인원 입력 기능'!$BJ$5:$BM$55,4,FALSE),0))</f>
        <v>3399</v>
      </c>
      <c r="H34" s="53">
        <f t="shared" si="2"/>
        <v>2.382387574296288E-2</v>
      </c>
      <c r="I34" s="57">
        <f>SUM($G$7:G34)</f>
        <v>77364</v>
      </c>
      <c r="J34" s="55">
        <f t="shared" si="3"/>
        <v>0.54225075698104741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48</v>
      </c>
      <c r="E35" s="60">
        <f t="shared" si="0"/>
        <v>5</v>
      </c>
      <c r="F35" s="51">
        <f t="shared" si="4"/>
        <v>45</v>
      </c>
      <c r="G35" s="52">
        <f>IF(D35=D34,"",_xlfn.IFNA(VLOOKUP(D35,'인원 입력 기능'!$BJ$5:$BM$55,4,FALSE),0))</f>
        <v>3312</v>
      </c>
      <c r="H35" s="53">
        <f t="shared" si="2"/>
        <v>2.3214085454749355E-2</v>
      </c>
      <c r="I35" s="57">
        <f>SUM($G$7:G35)</f>
        <v>80676</v>
      </c>
      <c r="J35" s="55">
        <f t="shared" si="3"/>
        <v>0.56546484243579676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47</v>
      </c>
      <c r="E36" s="60">
        <f t="shared" si="0"/>
        <v>5</v>
      </c>
      <c r="F36" s="51">
        <f t="shared" si="4"/>
        <v>42</v>
      </c>
      <c r="G36" s="52">
        <f>IF(D36=D35,"",_xlfn.IFNA(VLOOKUP(D36,'인원 입력 기능'!$BJ$5:$BM$55,4,FALSE),0))</f>
        <v>3417</v>
      </c>
      <c r="H36" s="53">
        <f t="shared" si="2"/>
        <v>2.3950039250869127E-2</v>
      </c>
      <c r="I36" s="57">
        <f>SUM($G$7:G36)</f>
        <v>84093</v>
      </c>
      <c r="J36" s="55">
        <f t="shared" si="3"/>
        <v>0.58941488168666589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46</v>
      </c>
      <c r="E37" s="60">
        <f t="shared" si="0"/>
        <v>5</v>
      </c>
      <c r="F37" s="51">
        <f t="shared" si="4"/>
        <v>40</v>
      </c>
      <c r="G37" s="52">
        <f>IF(D37=D36,"",_xlfn.IFNA(VLOOKUP(D37,'인원 입력 기능'!$BJ$5:$BM$55,4,FALSE),0))</f>
        <v>3669</v>
      </c>
      <c r="H37" s="53">
        <f t="shared" si="2"/>
        <v>2.5716328361556576E-2</v>
      </c>
      <c r="I37" s="57">
        <f>SUM($G$7:G37)</f>
        <v>87762</v>
      </c>
      <c r="J37" s="55">
        <f t="shared" si="3"/>
        <v>0.61513121004822247</v>
      </c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45</v>
      </c>
      <c r="E38" s="60">
        <f t="shared" si="0"/>
        <v>6</v>
      </c>
      <c r="F38" s="51">
        <f t="shared" si="4"/>
        <v>37</v>
      </c>
      <c r="G38" s="52">
        <f>IF(D38=D37,"",_xlfn.IFNA(VLOOKUP(D38,'인원 입력 기능'!$BJ$5:$BM$55,4,FALSE),0))</f>
        <v>3718</v>
      </c>
      <c r="H38" s="53">
        <f t="shared" si="2"/>
        <v>2.6059773466412469E-2</v>
      </c>
      <c r="I38" s="57">
        <f>SUM($G$7:G38)</f>
        <v>91480</v>
      </c>
      <c r="J38" s="55">
        <f t="shared" si="3"/>
        <v>0.64119098351463499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44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35</v>
      </c>
      <c r="G39" s="52">
        <f>IF(D39=D38,"",_xlfn.IFNA(VLOOKUP(D39,'인원 입력 기능'!$BJ$5:$BM$55,4,FALSE),0))</f>
        <v>3787</v>
      </c>
      <c r="H39" s="53">
        <f t="shared" si="2"/>
        <v>2.6543400246719751E-2</v>
      </c>
      <c r="I39" s="57">
        <f>SUM($G$7:G39)</f>
        <v>95267</v>
      </c>
      <c r="J39" s="55">
        <f t="shared" si="3"/>
        <v>0.66773438376135474</v>
      </c>
      <c r="K39" s="25"/>
      <c r="M39" s="1"/>
    </row>
    <row r="40" spans="1:13" ht="25" customHeight="1">
      <c r="A40" s="5"/>
      <c r="B40" s="24"/>
      <c r="C40" s="59">
        <v>17</v>
      </c>
      <c r="D40" s="273">
        <f t="shared" si="1"/>
        <v>43</v>
      </c>
      <c r="E40" s="273">
        <f t="shared" si="5"/>
        <v>6</v>
      </c>
      <c r="F40" s="263">
        <f t="shared" si="4"/>
        <v>31</v>
      </c>
      <c r="G40" s="265">
        <f>IF(D40=D39,"",_xlfn.IFNA(VLOOKUP(D40,'인원 입력 기능'!$BJ$5:$BM$55,4,FALSE),0))</f>
        <v>7684</v>
      </c>
      <c r="H40" s="266">
        <f t="shared" si="2"/>
        <v>5.3857799708422117E-2</v>
      </c>
      <c r="I40" s="268">
        <f>SUM($G$7:G40)</f>
        <v>102951</v>
      </c>
      <c r="J40" s="270">
        <f t="shared" si="3"/>
        <v>0.72159218346977683</v>
      </c>
      <c r="K40" s="25"/>
      <c r="M40" s="1"/>
    </row>
    <row r="41" spans="1:13" ht="25" customHeight="1">
      <c r="A41" s="5"/>
      <c r="B41" s="24"/>
      <c r="C41" s="58">
        <v>16</v>
      </c>
      <c r="D41" s="272"/>
      <c r="E41" s="272"/>
      <c r="F41" s="262"/>
      <c r="G41" s="264"/>
      <c r="H41" s="267"/>
      <c r="I41" s="269"/>
      <c r="J41" s="271"/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42</v>
      </c>
      <c r="E42" s="60">
        <f t="shared" si="5"/>
        <v>6</v>
      </c>
      <c r="F42" s="51">
        <f t="shared" si="4"/>
        <v>26</v>
      </c>
      <c r="G42" s="52">
        <f>IF(D42=D41,"",_xlfn.IFNA(VLOOKUP(D42,'인원 입력 기능'!$BJ$5:$BM$55,4,FALSE),0))</f>
        <v>4414</v>
      </c>
      <c r="H42" s="53">
        <f t="shared" si="2"/>
        <v>3.0938095772120668E-2</v>
      </c>
      <c r="I42" s="57">
        <f>SUM($G$7:G42)</f>
        <v>107365</v>
      </c>
      <c r="J42" s="55">
        <f t="shared" si="3"/>
        <v>0.75253027924189753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41</v>
      </c>
      <c r="E43" s="60">
        <f t="shared" si="5"/>
        <v>6</v>
      </c>
      <c r="F43" s="51">
        <f t="shared" si="4"/>
        <v>23</v>
      </c>
      <c r="G43" s="52">
        <f>IF(D43=D42,"",_xlfn.IFNA(VLOOKUP(D43,'인원 입력 기능'!$BJ$5:$BM$55,4,FALSE),0))</f>
        <v>3931</v>
      </c>
      <c r="H43" s="53">
        <f t="shared" si="2"/>
        <v>2.7552708309969722E-2</v>
      </c>
      <c r="I43" s="57">
        <f>SUM($G$7:G43)</f>
        <v>111296</v>
      </c>
      <c r="J43" s="55">
        <f t="shared" si="3"/>
        <v>0.78008298755186722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40</v>
      </c>
      <c r="E44" s="60">
        <f t="shared" si="5"/>
        <v>7</v>
      </c>
      <c r="F44" s="51">
        <f t="shared" si="4"/>
        <v>20</v>
      </c>
      <c r="G44" s="52">
        <f>IF(D44=D43,"",_xlfn.IFNA(VLOOKUP(D44,'인원 입력 기능'!$BJ$5:$BM$55,4,FALSE),0))</f>
        <v>4429</v>
      </c>
      <c r="H44" s="53">
        <f t="shared" si="2"/>
        <v>3.1043232028709206E-2</v>
      </c>
      <c r="I44" s="57">
        <f>SUM($G$7:G44)</f>
        <v>115725</v>
      </c>
      <c r="J44" s="55">
        <f t="shared" si="3"/>
        <v>0.8111262195805764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39</v>
      </c>
      <c r="E45" s="60">
        <f t="shared" si="5"/>
        <v>7</v>
      </c>
      <c r="F45" s="51">
        <f t="shared" si="4"/>
        <v>17</v>
      </c>
      <c r="G45" s="52">
        <f>IF(D45=D44,"",_xlfn.IFNA(VLOOKUP(D45,'인원 입력 기능'!$BJ$5:$BM$55,4,FALSE),0))</f>
        <v>4525</v>
      </c>
      <c r="H45" s="53">
        <f t="shared" si="2"/>
        <v>3.1716104070875856E-2</v>
      </c>
      <c r="I45" s="57">
        <f>SUM($G$7:G45)</f>
        <v>120250</v>
      </c>
      <c r="J45" s="55">
        <f t="shared" si="3"/>
        <v>0.84284232365145229</v>
      </c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38</v>
      </c>
      <c r="E46" s="60">
        <f t="shared" si="5"/>
        <v>7</v>
      </c>
      <c r="F46" s="51">
        <f t="shared" si="4"/>
        <v>15</v>
      </c>
      <c r="G46" s="52">
        <f>IF(D46=D45,"",_xlfn.IFNA(VLOOKUP(D46,'인원 입력 기능'!$BJ$5:$BM$55,4,FALSE),0))</f>
        <v>3175</v>
      </c>
      <c r="H46" s="53">
        <f t="shared" si="2"/>
        <v>2.2253840977907367E-2</v>
      </c>
      <c r="I46" s="57">
        <f>SUM($G$7:G46)</f>
        <v>123425</v>
      </c>
      <c r="J46" s="55">
        <f t="shared" si="3"/>
        <v>0.86509616462935968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37</v>
      </c>
      <c r="E47" s="60">
        <f t="shared" si="5"/>
        <v>7</v>
      </c>
      <c r="F47" s="51">
        <f t="shared" si="4"/>
        <v>12</v>
      </c>
      <c r="G47" s="52">
        <f>IF(D47=D46,"",_xlfn.IFNA(VLOOKUP(D47,'인원 입력 기능'!$BJ$5:$BM$55,4,FALSE),0))</f>
        <v>4157</v>
      </c>
      <c r="H47" s="53">
        <f t="shared" si="2"/>
        <v>2.9136761242570371E-2</v>
      </c>
      <c r="I47" s="57">
        <f>SUM($G$7:G47)</f>
        <v>127582</v>
      </c>
      <c r="J47" s="55">
        <f t="shared" si="3"/>
        <v>0.89423292587193004</v>
      </c>
      <c r="K47" s="25"/>
      <c r="M47" s="1"/>
    </row>
    <row r="48" spans="1:13" ht="25" customHeight="1">
      <c r="A48" s="5"/>
      <c r="B48" s="24"/>
      <c r="C48" s="59">
        <v>9</v>
      </c>
      <c r="D48" s="273">
        <f t="shared" si="1"/>
        <v>36</v>
      </c>
      <c r="E48" s="273">
        <f t="shared" si="5"/>
        <v>8</v>
      </c>
      <c r="F48" s="263">
        <f t="shared" si="4"/>
        <v>8</v>
      </c>
      <c r="G48" s="265">
        <f>IF(D48=D47,"",_xlfn.IFNA(VLOOKUP(D48,'인원 입력 기능'!$BJ$5:$BM$55,4,FALSE),0))</f>
        <v>8300</v>
      </c>
      <c r="H48" s="266">
        <f t="shared" si="2"/>
        <v>5.8175395312324775E-2</v>
      </c>
      <c r="I48" s="268">
        <f>SUM($G$7:G48)</f>
        <v>135882</v>
      </c>
      <c r="J48" s="270">
        <f t="shared" si="3"/>
        <v>0.95240832118425478</v>
      </c>
      <c r="K48" s="25"/>
      <c r="M48" s="1"/>
    </row>
    <row r="49" spans="1:13" ht="25" customHeight="1">
      <c r="A49" s="5"/>
      <c r="B49" s="24"/>
      <c r="C49" s="58">
        <v>8</v>
      </c>
      <c r="D49" s="272"/>
      <c r="E49" s="272"/>
      <c r="F49" s="262"/>
      <c r="G49" s="264"/>
      <c r="H49" s="267"/>
      <c r="I49" s="269"/>
      <c r="J49" s="271"/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35</v>
      </c>
      <c r="E50" s="60">
        <f t="shared" si="5"/>
        <v>8</v>
      </c>
      <c r="F50" s="51">
        <f t="shared" si="4"/>
        <v>4</v>
      </c>
      <c r="G50" s="52">
        <f>IF(D50=D49,"",_xlfn.IFNA(VLOOKUP(D50,'인원 입력 기능'!$BJ$5:$BM$55,4,FALSE),0))</f>
        <v>2620</v>
      </c>
      <c r="H50" s="53">
        <f t="shared" si="2"/>
        <v>1.8363799484131433E-2</v>
      </c>
      <c r="I50" s="57">
        <f>SUM($G$7:G50)</f>
        <v>138502</v>
      </c>
      <c r="J50" s="55">
        <f t="shared" si="3"/>
        <v>0.97077212066838625</v>
      </c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34</v>
      </c>
      <c r="E51" s="60">
        <f t="shared" si="5"/>
        <v>9</v>
      </c>
      <c r="F51" s="51">
        <f t="shared" si="4"/>
        <v>3</v>
      </c>
      <c r="G51" s="52">
        <f>IF(D51=D50,"",_xlfn.IFNA(VLOOKUP(D51,'인원 입력 기능'!$BJ$5:$BM$55,4,FALSE),0))</f>
        <v>1037</v>
      </c>
      <c r="H51" s="53">
        <f t="shared" si="2"/>
        <v>7.2684198721543122E-3</v>
      </c>
      <c r="I51" s="57">
        <f>SUM($G$7:G51)</f>
        <v>139539</v>
      </c>
      <c r="J51" s="55">
        <f t="shared" si="3"/>
        <v>0.97804054054054057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33</v>
      </c>
      <c r="E52" s="60">
        <f t="shared" si="5"/>
        <v>9</v>
      </c>
      <c r="F52" s="51">
        <f t="shared" si="4"/>
        <v>2</v>
      </c>
      <c r="G52" s="52">
        <f>IF(D52=D51,"",_xlfn.IFNA(VLOOKUP(D52,'인원 입력 기능'!$BJ$5:$BM$55,4,FALSE),0))</f>
        <v>1479</v>
      </c>
      <c r="H52" s="53">
        <f t="shared" si="2"/>
        <v>1.036643489962992E-2</v>
      </c>
      <c r="I52" s="57">
        <f>SUM($G$7:G52)</f>
        <v>141018</v>
      </c>
      <c r="J52" s="55">
        <f t="shared" si="3"/>
        <v>0.98840697544017042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32</v>
      </c>
      <c r="E53" s="50">
        <f t="shared" si="5"/>
        <v>9</v>
      </c>
      <c r="F53" s="51">
        <f t="shared" si="4"/>
        <v>1</v>
      </c>
      <c r="G53" s="52">
        <f>IF(D53=D52,"",_xlfn.IFNA(VLOOKUP(D53,'인원 입력 기능'!$BJ$5:$BM$55,4,FALSE),0))</f>
        <v>715</v>
      </c>
      <c r="H53" s="53">
        <f t="shared" si="2"/>
        <v>5.0114948973870137E-3</v>
      </c>
      <c r="I53" s="57">
        <f>SUM($G$7:G53)</f>
        <v>141733</v>
      </c>
      <c r="J53" s="55">
        <f t="shared" si="3"/>
        <v>0.99341847033755748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31</v>
      </c>
      <c r="E54" s="50">
        <f t="shared" si="5"/>
        <v>9</v>
      </c>
      <c r="F54" s="51">
        <f t="shared" si="4"/>
        <v>1</v>
      </c>
      <c r="G54" s="52">
        <f>IF(D54=D53,"",_xlfn.IFNA(VLOOKUP(D54,'인원 입력 기능'!$BJ$5:$BM$55,4,FALSE),0))</f>
        <v>321</v>
      </c>
      <c r="H54" s="53">
        <f t="shared" si="2"/>
        <v>2.2499158909947293E-3</v>
      </c>
      <c r="I54" s="57">
        <f>SUM($G$7:G54)</f>
        <v>142054</v>
      </c>
      <c r="J54" s="55">
        <f t="shared" si="3"/>
        <v>0.99566838622855225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30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기능'!$BJ$5:$BM$55,4,FALSE),0))</f>
        <v>414</v>
      </c>
      <c r="H55" s="53">
        <f t="shared" si="2"/>
        <v>2.9017606818436694E-3</v>
      </c>
      <c r="I55" s="57">
        <f>SUM($G$7:G55)</f>
        <v>142468</v>
      </c>
      <c r="J55" s="55">
        <f t="shared" si="3"/>
        <v>0.99857014691039592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29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기능'!$BJ$5:$BM$55,4,FALSE),0)</f>
        <v>204</v>
      </c>
      <c r="H57" s="69">
        <f>G57/J3</f>
        <v>1.4298530896041269E-3</v>
      </c>
      <c r="I57" s="70">
        <f>SUM($G$7:G57)</f>
        <v>142672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0">
    <mergeCell ref="I40:I41"/>
    <mergeCell ref="J40:J41"/>
    <mergeCell ref="D48:D49"/>
    <mergeCell ref="E48:E49"/>
    <mergeCell ref="F48:F49"/>
    <mergeCell ref="G48:G49"/>
    <mergeCell ref="H48:H49"/>
    <mergeCell ref="I48:I49"/>
    <mergeCell ref="J48:J49"/>
    <mergeCell ref="D40:D41"/>
    <mergeCell ref="E40:E41"/>
    <mergeCell ref="F40:F41"/>
    <mergeCell ref="G40:G41"/>
    <mergeCell ref="H40:H41"/>
    <mergeCell ref="H24:H25"/>
    <mergeCell ref="I24:I25"/>
    <mergeCell ref="J24:J25"/>
    <mergeCell ref="D32:D33"/>
    <mergeCell ref="E32:E33"/>
    <mergeCell ref="F32:F33"/>
    <mergeCell ref="G32:G33"/>
    <mergeCell ref="H32:H33"/>
    <mergeCell ref="I32:I33"/>
    <mergeCell ref="J32:J33"/>
    <mergeCell ref="D3:F3"/>
    <mergeCell ref="D4:F4"/>
    <mergeCell ref="D56:J56"/>
    <mergeCell ref="D8:J8"/>
    <mergeCell ref="G5:J5"/>
    <mergeCell ref="D16:D17"/>
    <mergeCell ref="E16:E17"/>
    <mergeCell ref="F16:F17"/>
    <mergeCell ref="G16:G17"/>
    <mergeCell ref="H16:H17"/>
    <mergeCell ref="I16:I17"/>
    <mergeCell ref="J16:J17"/>
    <mergeCell ref="D24:D25"/>
    <mergeCell ref="E24:E25"/>
    <mergeCell ref="F24:F25"/>
    <mergeCell ref="G24:G25"/>
  </mergeCells>
  <phoneticPr fontId="1" type="noConversion"/>
  <conditionalFormatting sqref="D7:J7 D57:J57 D9:J16 D18:J24 D26:J32 D34:J40 D42:J48 D50:J55">
    <cfRule type="expression" dxfId="76" priority="7">
      <formula>OR($D7=$P$7:$P$14)</formula>
    </cfRule>
  </conditionalFormatting>
  <conditionalFormatting sqref="C7:C57">
    <cfRule type="expression" dxfId="75" priority="6">
      <formula>OR(AND($D7=0,OR($D6=$P$7:$P$14)),AND($D8&gt;0,OR($D7=$P$7:$P$14)))</formula>
    </cfRule>
  </conditionalFormatting>
  <conditionalFormatting sqref="D7 D57 D9:D16 D18:D24 D26:D32 D34:D40 D42:D48 D50:D55">
    <cfRule type="expression" dxfId="74" priority="5">
      <formula>$D7=$D8</formula>
    </cfRule>
  </conditionalFormatting>
  <conditionalFormatting sqref="D56">
    <cfRule type="expression" dxfId="73" priority="4">
      <formula>OR($D56=$P$7:$P$14)</formula>
    </cfRule>
  </conditionalFormatting>
  <conditionalFormatting sqref="D56">
    <cfRule type="expression" dxfId="72" priority="3">
      <formula>$D56=$D57</formula>
    </cfRule>
  </conditionalFormatting>
  <conditionalFormatting sqref="D8">
    <cfRule type="expression" dxfId="71" priority="2">
      <formula>OR($D8=$P$7:$P$14)</formula>
    </cfRule>
  </conditionalFormatting>
  <conditionalFormatting sqref="D8">
    <cfRule type="expression" dxfId="7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23B-7A19-4B91-AD84-8A6CA73CC59F}">
  <sheetPr codeName="Sheet3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기능'!D17</f>
        <v>23.52</v>
      </c>
      <c r="I3" s="109" t="s">
        <v>54</v>
      </c>
      <c r="J3" s="110">
        <f>'통계 및 응시자 수 입력 기능'!C17</f>
        <v>5148</v>
      </c>
      <c r="K3" s="25"/>
    </row>
    <row r="4" spans="1:16" ht="25" customHeight="1" thickBot="1">
      <c r="A4" s="5"/>
      <c r="B4" s="24"/>
      <c r="C4" s="42" t="s">
        <v>55</v>
      </c>
      <c r="D4" s="242" t="s">
        <v>65</v>
      </c>
      <c r="E4" s="243"/>
      <c r="F4" s="244"/>
      <c r="G4" s="43" t="s">
        <v>57</v>
      </c>
      <c r="H4" s="108">
        <f>'통계 및 응시자 수 입력 기능'!E17</f>
        <v>13.19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70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98</v>
      </c>
      <c r="G7" s="52">
        <f>_xlfn.IFNA(VLOOKUP(D7,'인원 입력 기능'!$BO$5:$BR$55,4,FALSE),0)</f>
        <v>196</v>
      </c>
      <c r="H7" s="53">
        <f>G7/J3</f>
        <v>3.8073038073038072E-2</v>
      </c>
      <c r="I7" s="54">
        <f>G7</f>
        <v>196</v>
      </c>
      <c r="J7" s="55">
        <f>I7/J3</f>
        <v>3.8073038073038072E-2</v>
      </c>
      <c r="K7" s="25"/>
      <c r="M7" s="1"/>
      <c r="O7" s="1">
        <v>1</v>
      </c>
      <c r="P7" s="1">
        <f>'표준점수 등급컷 입력기능'!B54</f>
        <v>69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입력기능'!B55</f>
        <v>66</v>
      </c>
    </row>
    <row r="9" spans="1:16" ht="25" customHeight="1">
      <c r="A9" s="5"/>
      <c r="B9" s="24"/>
      <c r="C9" s="49">
        <v>48</v>
      </c>
      <c r="D9" s="50">
        <f t="shared" ref="D9:D55" si="1">ROUND(10*(C9-$H$3)/$H$4+50,0)</f>
        <v>69</v>
      </c>
      <c r="E9" s="50">
        <f t="shared" si="0"/>
        <v>1</v>
      </c>
      <c r="F9" s="51">
        <f>IF(I8=0,ROUND(100*(1-(I7+I9)/2/$J$3),0),ROUND(100*(1-(I8+I9)/2/$J$3),0))</f>
        <v>96</v>
      </c>
      <c r="G9" s="52">
        <f>_xlfn.IFNA(VLOOKUP(D9,'인원 입력 기능'!$BO$5:$BR$55,4,FALSE),0)</f>
        <v>55</v>
      </c>
      <c r="H9" s="53">
        <f>G9/$J$3</f>
        <v>1.0683760683760684E-2</v>
      </c>
      <c r="I9" s="57">
        <f>SUM($G$7:G9)</f>
        <v>251</v>
      </c>
      <c r="J9" s="55">
        <f>I9/$J$3</f>
        <v>4.875679875679876E-2</v>
      </c>
      <c r="K9" s="25"/>
      <c r="M9" s="1"/>
      <c r="O9" s="1">
        <v>3</v>
      </c>
      <c r="P9" s="1">
        <f>'표준점수 등급컷 입력기능'!B56</f>
        <v>59</v>
      </c>
    </row>
    <row r="10" spans="1:16" ht="25" customHeight="1">
      <c r="A10" s="5"/>
      <c r="B10" s="24"/>
      <c r="C10" s="56">
        <v>47</v>
      </c>
      <c r="D10" s="50">
        <f t="shared" si="1"/>
        <v>68</v>
      </c>
      <c r="E10" s="50">
        <f t="shared" si="0"/>
        <v>2</v>
      </c>
      <c r="F10" s="51">
        <f>IF(I9=0,ROUND(100*(1-(I8+I10)/2/$J$3),0),ROUND(100*(1-(I9+I10)/2/$J$3),0))</f>
        <v>94</v>
      </c>
      <c r="G10" s="52">
        <f>IF(D10=D9,"",_xlfn.IFNA(VLOOKUP(D10,'인원 입력 기능'!$BO$5:$BR$55,4,FALSE),0))</f>
        <v>112</v>
      </c>
      <c r="H10" s="53">
        <f t="shared" ref="H10:H55" si="2">G10/$J$3</f>
        <v>2.1756021756021756E-2</v>
      </c>
      <c r="I10" s="57">
        <f>SUM($G$7:G10)</f>
        <v>363</v>
      </c>
      <c r="J10" s="55">
        <f t="shared" ref="J10:J55" si="3">I10/$J$3</f>
        <v>7.0512820512820512E-2</v>
      </c>
      <c r="K10" s="25"/>
      <c r="M10" s="1"/>
      <c r="O10" s="1">
        <v>4</v>
      </c>
      <c r="P10" s="1">
        <f>'표준점수 등급컷 입력기능'!B57</f>
        <v>51</v>
      </c>
    </row>
    <row r="11" spans="1:16" ht="25" customHeight="1">
      <c r="A11" s="5"/>
      <c r="B11" s="24"/>
      <c r="C11" s="49">
        <v>46</v>
      </c>
      <c r="D11" s="50">
        <f t="shared" si="1"/>
        <v>67</v>
      </c>
      <c r="E11" s="50">
        <f t="shared" si="0"/>
        <v>2</v>
      </c>
      <c r="F11" s="51">
        <f t="shared" ref="F11:F55" si="4">IF(I10=0,ROUND(100*(1-(I9+I11)/2/$J$3),0),ROUND(100*(1-(I10+I11)/2/$J$3),0))</f>
        <v>93</v>
      </c>
      <c r="G11" s="52">
        <f>IF(D11=D10,"",_xlfn.IFNA(VLOOKUP(D11,'인원 입력 기능'!$BO$5:$BR$55,4,FALSE),0))</f>
        <v>26</v>
      </c>
      <c r="H11" s="53">
        <f t="shared" si="2"/>
        <v>5.0505050505050509E-3</v>
      </c>
      <c r="I11" s="57">
        <f>SUM($G$7:G11)</f>
        <v>389</v>
      </c>
      <c r="J11" s="55">
        <f t="shared" si="3"/>
        <v>7.5563325563325567E-2</v>
      </c>
      <c r="K11" s="25"/>
      <c r="M11" s="1"/>
      <c r="O11" s="1">
        <v>5</v>
      </c>
      <c r="P11" s="1">
        <f>'표준점수 등급컷 입력기능'!B58</f>
        <v>44</v>
      </c>
    </row>
    <row r="12" spans="1:16" ht="25" customHeight="1">
      <c r="A12" s="5"/>
      <c r="B12" s="24"/>
      <c r="C12" s="56">
        <v>45</v>
      </c>
      <c r="D12" s="261">
        <f t="shared" si="1"/>
        <v>66</v>
      </c>
      <c r="E12" s="261">
        <f t="shared" si="0"/>
        <v>2</v>
      </c>
      <c r="F12" s="263">
        <f t="shared" si="4"/>
        <v>91</v>
      </c>
      <c r="G12" s="265">
        <f>IF(D12=D11,"",_xlfn.IFNA(VLOOKUP(D12,'인원 입력 기능'!$BO$5:$BR$55,4,FALSE),0))</f>
        <v>183</v>
      </c>
      <c r="H12" s="266">
        <f t="shared" si="2"/>
        <v>3.5547785547785545E-2</v>
      </c>
      <c r="I12" s="268">
        <f>SUM($G$7:G12)</f>
        <v>572</v>
      </c>
      <c r="J12" s="270">
        <f t="shared" si="3"/>
        <v>0.1111111111111111</v>
      </c>
      <c r="K12" s="25"/>
      <c r="M12" s="1"/>
      <c r="O12" s="1">
        <v>6</v>
      </c>
      <c r="P12" s="1">
        <f>'표준점수 등급컷 입력기능'!B59</f>
        <v>41</v>
      </c>
    </row>
    <row r="13" spans="1:16" ht="25" customHeight="1">
      <c r="A13" s="5"/>
      <c r="B13" s="24"/>
      <c r="C13" s="49">
        <v>44</v>
      </c>
      <c r="D13" s="260"/>
      <c r="E13" s="260"/>
      <c r="F13" s="262"/>
      <c r="G13" s="264"/>
      <c r="H13" s="267"/>
      <c r="I13" s="269"/>
      <c r="J13" s="271"/>
      <c r="K13" s="25"/>
      <c r="M13" s="1"/>
      <c r="O13" s="1">
        <v>7</v>
      </c>
      <c r="P13" s="1">
        <f>'표준점수 등급컷 입력기능'!B60</f>
        <v>40</v>
      </c>
    </row>
    <row r="14" spans="1:16" ht="25" customHeight="1">
      <c r="A14" s="5"/>
      <c r="B14" s="24"/>
      <c r="C14" s="56">
        <v>43</v>
      </c>
      <c r="D14" s="50">
        <f t="shared" si="1"/>
        <v>65</v>
      </c>
      <c r="E14" s="50">
        <f t="shared" si="0"/>
        <v>3</v>
      </c>
      <c r="F14" s="51">
        <f t="shared" si="4"/>
        <v>88</v>
      </c>
      <c r="G14" s="52">
        <f>IF(D14=D13,"",_xlfn.IFNA(VLOOKUP(D14,'인원 입력 기능'!$BO$5:$BR$55,4,FALSE),0))</f>
        <v>60</v>
      </c>
      <c r="H14" s="53">
        <f t="shared" si="2"/>
        <v>1.1655011655011656E-2</v>
      </c>
      <c r="I14" s="57">
        <f>SUM($G$7:G14)</f>
        <v>632</v>
      </c>
      <c r="J14" s="55">
        <f t="shared" si="3"/>
        <v>0.12276612276612277</v>
      </c>
      <c r="K14" s="25"/>
      <c r="M14" s="1"/>
      <c r="O14" s="1">
        <v>8</v>
      </c>
      <c r="P14" s="1">
        <f>'표준점수 등급컷 입력기능'!B61</f>
        <v>37</v>
      </c>
    </row>
    <row r="15" spans="1:16" ht="25" customHeight="1">
      <c r="A15" s="5"/>
      <c r="B15" s="24"/>
      <c r="C15" s="49">
        <v>42</v>
      </c>
      <c r="D15" s="50">
        <f t="shared" si="1"/>
        <v>64</v>
      </c>
      <c r="E15" s="50">
        <f t="shared" si="0"/>
        <v>3</v>
      </c>
      <c r="F15" s="51">
        <f t="shared" si="4"/>
        <v>87</v>
      </c>
      <c r="G15" s="52">
        <f>IF(D15=D14,"",_xlfn.IFNA(VLOOKUP(D15,'인원 입력 기능'!$BO$5:$BR$55,4,FALSE),0))</f>
        <v>96</v>
      </c>
      <c r="H15" s="53">
        <f t="shared" si="2"/>
        <v>1.8648018648018648E-2</v>
      </c>
      <c r="I15" s="57">
        <f>SUM($G$7:G15)</f>
        <v>728</v>
      </c>
      <c r="J15" s="55">
        <f t="shared" si="3"/>
        <v>0.14141414141414141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63</v>
      </c>
      <c r="E16" s="50">
        <f t="shared" si="0"/>
        <v>3</v>
      </c>
      <c r="F16" s="51">
        <f t="shared" si="4"/>
        <v>85</v>
      </c>
      <c r="G16" s="52">
        <f>IF(D16=D15,"",_xlfn.IFNA(VLOOKUP(D16,'인원 입력 기능'!$BO$5:$BR$55,4,FALSE),0))</f>
        <v>61</v>
      </c>
      <c r="H16" s="53">
        <f t="shared" si="2"/>
        <v>1.184926184926185E-2</v>
      </c>
      <c r="I16" s="57">
        <f>SUM($G$7:G16)</f>
        <v>789</v>
      </c>
      <c r="J16" s="55">
        <f t="shared" si="3"/>
        <v>0.15326340326340326</v>
      </c>
      <c r="K16" s="25"/>
      <c r="M16" s="1"/>
    </row>
    <row r="17" spans="1:16" ht="25" customHeight="1">
      <c r="A17" s="5"/>
      <c r="B17" s="24"/>
      <c r="C17" s="49">
        <v>40</v>
      </c>
      <c r="D17" s="261">
        <f t="shared" si="1"/>
        <v>62</v>
      </c>
      <c r="E17" s="261">
        <f t="shared" si="0"/>
        <v>3</v>
      </c>
      <c r="F17" s="263">
        <f t="shared" si="4"/>
        <v>83</v>
      </c>
      <c r="G17" s="265">
        <f>IF(D17=D16,"",_xlfn.IFNA(VLOOKUP(D17,'인원 입력 기능'!$BO$5:$BR$55,4,FALSE),0))</f>
        <v>160</v>
      </c>
      <c r="H17" s="266">
        <f t="shared" si="2"/>
        <v>3.108003108003108E-2</v>
      </c>
      <c r="I17" s="268">
        <f>SUM($G$7:G17)</f>
        <v>949</v>
      </c>
      <c r="J17" s="270">
        <f t="shared" si="3"/>
        <v>0.18434343434343434</v>
      </c>
      <c r="K17" s="25"/>
      <c r="M17" s="1"/>
      <c r="P17" s="1">
        <f>H3*H4*J3*P7*IFERROR(IF(J57=1, 1, 0), 0)</f>
        <v>110196992.50560001</v>
      </c>
    </row>
    <row r="18" spans="1:16" ht="25" customHeight="1">
      <c r="A18" s="5"/>
      <c r="B18" s="24"/>
      <c r="C18" s="56">
        <v>39</v>
      </c>
      <c r="D18" s="260"/>
      <c r="E18" s="260"/>
      <c r="F18" s="262"/>
      <c r="G18" s="264"/>
      <c r="H18" s="267"/>
      <c r="I18" s="269"/>
      <c r="J18" s="271"/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61</v>
      </c>
      <c r="E19" s="50">
        <f t="shared" si="0"/>
        <v>3</v>
      </c>
      <c r="F19" s="51">
        <f t="shared" si="4"/>
        <v>81</v>
      </c>
      <c r="G19" s="52">
        <f>IF(D19=D18,"",_xlfn.IFNA(VLOOKUP(D19,'인원 입력 기능'!$BO$5:$BR$55,4,FALSE),0))</f>
        <v>88</v>
      </c>
      <c r="H19" s="53">
        <f t="shared" si="2"/>
        <v>1.7094017094017096E-2</v>
      </c>
      <c r="I19" s="57">
        <f>SUM($G$7:G19)</f>
        <v>1037</v>
      </c>
      <c r="J19" s="55">
        <f t="shared" si="3"/>
        <v>0.20143745143745143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60</v>
      </c>
      <c r="E20" s="50">
        <f t="shared" si="0"/>
        <v>3</v>
      </c>
      <c r="F20" s="51">
        <f t="shared" si="4"/>
        <v>79</v>
      </c>
      <c r="G20" s="52">
        <f>IF(D20=D19,"",_xlfn.IFNA(VLOOKUP(D20,'인원 입력 기능'!$BO$5:$BR$55,4,FALSE),0))</f>
        <v>88</v>
      </c>
      <c r="H20" s="53">
        <f t="shared" si="2"/>
        <v>1.7094017094017096E-2</v>
      </c>
      <c r="I20" s="57">
        <f>SUM($G$7:G20)</f>
        <v>1125</v>
      </c>
      <c r="J20" s="55">
        <f t="shared" si="3"/>
        <v>0.21853146853146854</v>
      </c>
      <c r="K20" s="25"/>
      <c r="M20" s="1"/>
    </row>
    <row r="21" spans="1:16" ht="25" customHeight="1">
      <c r="A21" s="5"/>
      <c r="B21" s="24"/>
      <c r="C21" s="58">
        <v>36</v>
      </c>
      <c r="D21" s="273">
        <f t="shared" si="1"/>
        <v>59</v>
      </c>
      <c r="E21" s="273">
        <f t="shared" si="0"/>
        <v>3</v>
      </c>
      <c r="F21" s="263">
        <f t="shared" si="4"/>
        <v>77</v>
      </c>
      <c r="G21" s="265">
        <f>IF(D21=D20,"",_xlfn.IFNA(VLOOKUP(D21,'인원 입력 기능'!$BO$5:$BR$55,4,FALSE),0))</f>
        <v>164</v>
      </c>
      <c r="H21" s="266">
        <f t="shared" si="2"/>
        <v>3.1857031857031856E-2</v>
      </c>
      <c r="I21" s="268">
        <f>SUM($G$7:G21)</f>
        <v>1289</v>
      </c>
      <c r="J21" s="270">
        <f t="shared" si="3"/>
        <v>0.25038850038850041</v>
      </c>
      <c r="K21" s="25"/>
      <c r="M21" s="1"/>
    </row>
    <row r="22" spans="1:16" ht="25" customHeight="1">
      <c r="A22" s="5"/>
      <c r="B22" s="24"/>
      <c r="C22" s="59">
        <v>35</v>
      </c>
      <c r="D22" s="272"/>
      <c r="E22" s="272"/>
      <c r="F22" s="262"/>
      <c r="G22" s="264"/>
      <c r="H22" s="267"/>
      <c r="I22" s="269"/>
      <c r="J22" s="271"/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58</v>
      </c>
      <c r="E23" s="60">
        <f t="shared" si="0"/>
        <v>4</v>
      </c>
      <c r="F23" s="51">
        <f t="shared" si="4"/>
        <v>74</v>
      </c>
      <c r="G23" s="52">
        <f>IF(D23=D22,"",_xlfn.IFNA(VLOOKUP(D23,'인원 입력 기능'!$BO$5:$BR$55,4,FALSE),0))</f>
        <v>66</v>
      </c>
      <c r="H23" s="53">
        <f t="shared" si="2"/>
        <v>1.282051282051282E-2</v>
      </c>
      <c r="I23" s="57">
        <f>SUM($G$7:G23)</f>
        <v>1355</v>
      </c>
      <c r="J23" s="55">
        <f t="shared" si="3"/>
        <v>0.26320901320901319</v>
      </c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57</v>
      </c>
      <c r="E24" s="60">
        <f t="shared" si="0"/>
        <v>4</v>
      </c>
      <c r="F24" s="51">
        <f t="shared" si="4"/>
        <v>73</v>
      </c>
      <c r="G24" s="52">
        <f>IF(D24=D23,"",_xlfn.IFNA(VLOOKUP(D24,'인원 입력 기능'!$BO$5:$BR$55,4,FALSE),0))</f>
        <v>86</v>
      </c>
      <c r="H24" s="53">
        <f t="shared" si="2"/>
        <v>1.6705516705516704E-2</v>
      </c>
      <c r="I24" s="57">
        <f>SUM($G$7:G24)</f>
        <v>1441</v>
      </c>
      <c r="J24" s="55">
        <f t="shared" si="3"/>
        <v>0.27991452991452992</v>
      </c>
      <c r="K24" s="25"/>
      <c r="M24" s="1"/>
    </row>
    <row r="25" spans="1:16" ht="25" customHeight="1">
      <c r="A25" s="5"/>
      <c r="B25" s="24"/>
      <c r="C25" s="58">
        <v>32</v>
      </c>
      <c r="D25" s="273">
        <f t="shared" si="1"/>
        <v>56</v>
      </c>
      <c r="E25" s="273">
        <f t="shared" si="0"/>
        <v>4</v>
      </c>
      <c r="F25" s="263">
        <f t="shared" si="4"/>
        <v>70</v>
      </c>
      <c r="G25" s="265">
        <f>IF(D25=D24,"",_xlfn.IFNA(VLOOKUP(D25,'인원 입력 기능'!$BO$5:$BR$55,4,FALSE),0))</f>
        <v>172</v>
      </c>
      <c r="H25" s="266">
        <f t="shared" si="2"/>
        <v>3.3411033411033408E-2</v>
      </c>
      <c r="I25" s="268">
        <f>SUM($G$7:G25)</f>
        <v>1613</v>
      </c>
      <c r="J25" s="270">
        <f t="shared" si="3"/>
        <v>0.31332556332556333</v>
      </c>
      <c r="K25" s="25"/>
      <c r="M25" s="1"/>
    </row>
    <row r="26" spans="1:16" ht="25" customHeight="1">
      <c r="A26" s="5"/>
      <c r="B26" s="24"/>
      <c r="C26" s="59">
        <v>31</v>
      </c>
      <c r="D26" s="272"/>
      <c r="E26" s="272"/>
      <c r="F26" s="262"/>
      <c r="G26" s="264"/>
      <c r="H26" s="267"/>
      <c r="I26" s="269"/>
      <c r="J26" s="271"/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55</v>
      </c>
      <c r="E27" s="60">
        <f t="shared" si="0"/>
        <v>4</v>
      </c>
      <c r="F27" s="51">
        <f t="shared" si="4"/>
        <v>68</v>
      </c>
      <c r="G27" s="52">
        <f>IF(D27=D26,"",_xlfn.IFNA(VLOOKUP(D27,'인원 입력 기능'!$BO$5:$BR$55,4,FALSE),0))</f>
        <v>88</v>
      </c>
      <c r="H27" s="53">
        <f t="shared" si="2"/>
        <v>1.7094017094017096E-2</v>
      </c>
      <c r="I27" s="57">
        <f>SUM($G$7:G27)</f>
        <v>1701</v>
      </c>
      <c r="J27" s="55">
        <f t="shared" si="3"/>
        <v>0.33041958041958042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54</v>
      </c>
      <c r="E28" s="60">
        <f t="shared" si="0"/>
        <v>4</v>
      </c>
      <c r="F28" s="51">
        <f t="shared" si="4"/>
        <v>66</v>
      </c>
      <c r="G28" s="52">
        <f>IF(D28=D27,"",_xlfn.IFNA(VLOOKUP(D28,'인원 입력 기능'!$BO$5:$BR$55,4,FALSE),0))</f>
        <v>79</v>
      </c>
      <c r="H28" s="53">
        <f t="shared" si="2"/>
        <v>1.5345765345765346E-2</v>
      </c>
      <c r="I28" s="57">
        <f>SUM($G$7:G28)</f>
        <v>1780</v>
      </c>
      <c r="J28" s="55">
        <f t="shared" si="3"/>
        <v>0.34576534576534579</v>
      </c>
      <c r="K28" s="25"/>
      <c r="M28" s="1"/>
    </row>
    <row r="29" spans="1:16" ht="25" customHeight="1">
      <c r="A29" s="5"/>
      <c r="B29" s="24"/>
      <c r="C29" s="58">
        <v>28</v>
      </c>
      <c r="D29" s="273">
        <f t="shared" si="1"/>
        <v>53</v>
      </c>
      <c r="E29" s="273">
        <f t="shared" si="0"/>
        <v>4</v>
      </c>
      <c r="F29" s="263">
        <f t="shared" si="4"/>
        <v>64</v>
      </c>
      <c r="G29" s="265">
        <f>IF(D29=D28,"",_xlfn.IFNA(VLOOKUP(D29,'인원 입력 기능'!$BO$5:$BR$55,4,FALSE),0))</f>
        <v>150</v>
      </c>
      <c r="H29" s="266">
        <f t="shared" si="2"/>
        <v>2.9137529137529136E-2</v>
      </c>
      <c r="I29" s="268">
        <f>SUM($G$7:G29)</f>
        <v>1930</v>
      </c>
      <c r="J29" s="270">
        <f t="shared" si="3"/>
        <v>0.37490287490287488</v>
      </c>
      <c r="K29" s="25"/>
      <c r="M29" s="1"/>
    </row>
    <row r="30" spans="1:16" ht="25" customHeight="1">
      <c r="A30" s="5"/>
      <c r="B30" s="24"/>
      <c r="C30" s="59">
        <v>27</v>
      </c>
      <c r="D30" s="272"/>
      <c r="E30" s="272"/>
      <c r="F30" s="262"/>
      <c r="G30" s="264"/>
      <c r="H30" s="267"/>
      <c r="I30" s="269"/>
      <c r="J30" s="271"/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52</v>
      </c>
      <c r="E31" s="60">
        <f t="shared" si="0"/>
        <v>4</v>
      </c>
      <c r="F31" s="51">
        <f t="shared" si="4"/>
        <v>62</v>
      </c>
      <c r="G31" s="52">
        <f>IF(D31=D30,"",_xlfn.IFNA(VLOOKUP(D31,'인원 입력 기능'!$BO$5:$BR$55,4,FALSE),0))</f>
        <v>59</v>
      </c>
      <c r="H31" s="53">
        <f t="shared" si="2"/>
        <v>1.146076146076146E-2</v>
      </c>
      <c r="I31" s="57">
        <f>SUM($G$7:G31)</f>
        <v>1989</v>
      </c>
      <c r="J31" s="55">
        <f t="shared" si="3"/>
        <v>0.38636363636363635</v>
      </c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51</v>
      </c>
      <c r="E32" s="60">
        <f t="shared" si="0"/>
        <v>4</v>
      </c>
      <c r="F32" s="51">
        <f t="shared" si="4"/>
        <v>61</v>
      </c>
      <c r="G32" s="52">
        <f>IF(D32=D31,"",_xlfn.IFNA(VLOOKUP(D32,'인원 입력 기능'!$BO$5:$BR$55,4,FALSE),0))</f>
        <v>80</v>
      </c>
      <c r="H32" s="53">
        <f t="shared" si="2"/>
        <v>1.554001554001554E-2</v>
      </c>
      <c r="I32" s="57">
        <f>SUM($G$7:G32)</f>
        <v>2069</v>
      </c>
      <c r="J32" s="55">
        <f t="shared" si="3"/>
        <v>0.4019036519036519</v>
      </c>
      <c r="K32" s="25"/>
      <c r="M32" s="1"/>
    </row>
    <row r="33" spans="1:13" ht="25" customHeight="1">
      <c r="A33" s="5"/>
      <c r="B33" s="24"/>
      <c r="C33" s="58">
        <v>24</v>
      </c>
      <c r="D33" s="273">
        <f t="shared" si="1"/>
        <v>50</v>
      </c>
      <c r="E33" s="273">
        <f t="shared" si="0"/>
        <v>5</v>
      </c>
      <c r="F33" s="263">
        <f t="shared" si="4"/>
        <v>58</v>
      </c>
      <c r="G33" s="265">
        <f>IF(D33=D32,"",_xlfn.IFNA(VLOOKUP(D33,'인원 입력 기능'!$BO$5:$BR$55,4,FALSE),0))</f>
        <v>196</v>
      </c>
      <c r="H33" s="266">
        <f t="shared" si="2"/>
        <v>3.8073038073038072E-2</v>
      </c>
      <c r="I33" s="268">
        <f>SUM($G$7:G33)</f>
        <v>2265</v>
      </c>
      <c r="J33" s="270">
        <f t="shared" si="3"/>
        <v>0.43997668997668998</v>
      </c>
      <c r="K33" s="25"/>
      <c r="M33" s="1"/>
    </row>
    <row r="34" spans="1:13" ht="25" customHeight="1">
      <c r="A34" s="5"/>
      <c r="B34" s="24"/>
      <c r="C34" s="59">
        <v>23</v>
      </c>
      <c r="D34" s="272"/>
      <c r="E34" s="272"/>
      <c r="F34" s="262"/>
      <c r="G34" s="264"/>
      <c r="H34" s="267"/>
      <c r="I34" s="269"/>
      <c r="J34" s="271"/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49</v>
      </c>
      <c r="E35" s="60">
        <f t="shared" si="0"/>
        <v>5</v>
      </c>
      <c r="F35" s="51">
        <f t="shared" si="4"/>
        <v>55</v>
      </c>
      <c r="G35" s="52">
        <f>IF(D35=D34,"",_xlfn.IFNA(VLOOKUP(D35,'인원 입력 기능'!$BO$5:$BR$55,4,FALSE),0))</f>
        <v>114</v>
      </c>
      <c r="H35" s="53">
        <f t="shared" si="2"/>
        <v>2.2144522144522144E-2</v>
      </c>
      <c r="I35" s="57">
        <f>SUM($G$7:G35)</f>
        <v>2379</v>
      </c>
      <c r="J35" s="55">
        <f t="shared" si="3"/>
        <v>0.4621212121212121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48</v>
      </c>
      <c r="E36" s="60">
        <f t="shared" si="0"/>
        <v>5</v>
      </c>
      <c r="F36" s="51">
        <f t="shared" si="4"/>
        <v>53</v>
      </c>
      <c r="G36" s="52">
        <f>IF(D36=D35,"",_xlfn.IFNA(VLOOKUP(D36,'인원 입력 기능'!$BO$5:$BR$55,4,FALSE),0))</f>
        <v>104</v>
      </c>
      <c r="H36" s="53">
        <f t="shared" si="2"/>
        <v>2.0202020202020204E-2</v>
      </c>
      <c r="I36" s="57">
        <f>SUM($G$7:G36)</f>
        <v>2483</v>
      </c>
      <c r="J36" s="55">
        <f t="shared" si="3"/>
        <v>0.48232323232323232</v>
      </c>
      <c r="K36" s="25"/>
      <c r="M36" s="1"/>
    </row>
    <row r="37" spans="1:13" ht="25" customHeight="1">
      <c r="A37" s="5"/>
      <c r="B37" s="24"/>
      <c r="C37" s="58">
        <v>20</v>
      </c>
      <c r="D37" s="273">
        <f t="shared" si="1"/>
        <v>47</v>
      </c>
      <c r="E37" s="273">
        <f t="shared" si="0"/>
        <v>5</v>
      </c>
      <c r="F37" s="263">
        <f t="shared" si="4"/>
        <v>49</v>
      </c>
      <c r="G37" s="265">
        <f>IF(D37=D36,"",_xlfn.IFNA(VLOOKUP(D37,'인원 입력 기능'!$BO$5:$BR$55,4,FALSE),0))</f>
        <v>272</v>
      </c>
      <c r="H37" s="266">
        <f t="shared" si="2"/>
        <v>5.2836052836052839E-2</v>
      </c>
      <c r="I37" s="268">
        <f>SUM($G$7:G37)</f>
        <v>2755</v>
      </c>
      <c r="J37" s="270">
        <f t="shared" si="3"/>
        <v>0.53515928515928513</v>
      </c>
      <c r="K37" s="25"/>
      <c r="M37" s="1"/>
    </row>
    <row r="38" spans="1:13" ht="25" customHeight="1">
      <c r="A38" s="5"/>
      <c r="B38" s="24"/>
      <c r="C38" s="59">
        <v>19</v>
      </c>
      <c r="D38" s="272"/>
      <c r="E38" s="272"/>
      <c r="F38" s="262"/>
      <c r="G38" s="264"/>
      <c r="H38" s="267"/>
      <c r="I38" s="269"/>
      <c r="J38" s="271"/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46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51">
        <f t="shared" si="4"/>
        <v>45</v>
      </c>
      <c r="G39" s="52">
        <f>IF(D39=D38,"",_xlfn.IFNA(VLOOKUP(D39,'인원 입력 기능'!$BO$5:$BR$55,4,FALSE),0))</f>
        <v>122</v>
      </c>
      <c r="H39" s="53">
        <f t="shared" si="2"/>
        <v>2.36985236985237E-2</v>
      </c>
      <c r="I39" s="57">
        <f>SUM($G$7:G39)</f>
        <v>2877</v>
      </c>
      <c r="J39" s="55">
        <f t="shared" si="3"/>
        <v>0.55885780885780889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45</v>
      </c>
      <c r="E40" s="60">
        <f t="shared" si="5"/>
        <v>5</v>
      </c>
      <c r="F40" s="51">
        <f t="shared" si="4"/>
        <v>42</v>
      </c>
      <c r="G40" s="52">
        <f>IF(D40=D39,"",_xlfn.IFNA(VLOOKUP(D40,'인원 입력 기능'!$BO$5:$BR$55,4,FALSE),0))</f>
        <v>192</v>
      </c>
      <c r="H40" s="53">
        <f t="shared" si="2"/>
        <v>3.7296037296037296E-2</v>
      </c>
      <c r="I40" s="57">
        <f>SUM($G$7:G40)</f>
        <v>3069</v>
      </c>
      <c r="J40" s="55">
        <f t="shared" si="3"/>
        <v>0.59615384615384615</v>
      </c>
      <c r="K40" s="25"/>
      <c r="M40" s="1"/>
    </row>
    <row r="41" spans="1:13" ht="25" customHeight="1">
      <c r="A41" s="5"/>
      <c r="B41" s="24"/>
      <c r="C41" s="58">
        <v>16</v>
      </c>
      <c r="D41" s="273">
        <f t="shared" si="1"/>
        <v>44</v>
      </c>
      <c r="E41" s="273">
        <f t="shared" si="5"/>
        <v>5</v>
      </c>
      <c r="F41" s="263">
        <f t="shared" si="4"/>
        <v>37</v>
      </c>
      <c r="G41" s="265">
        <f>IF(D41=D40,"",_xlfn.IFNA(VLOOKUP(D41,'인원 입력 기능'!$BO$5:$BR$55,4,FALSE),0))</f>
        <v>399</v>
      </c>
      <c r="H41" s="266">
        <f t="shared" si="2"/>
        <v>7.7505827505827504E-2</v>
      </c>
      <c r="I41" s="268">
        <f>SUM($G$7:G41)</f>
        <v>3468</v>
      </c>
      <c r="J41" s="270">
        <f t="shared" si="3"/>
        <v>0.67365967365967361</v>
      </c>
      <c r="K41" s="25"/>
      <c r="M41" s="1"/>
    </row>
    <row r="42" spans="1:13" ht="25" customHeight="1">
      <c r="A42" s="5"/>
      <c r="B42" s="24"/>
      <c r="C42" s="59">
        <v>15</v>
      </c>
      <c r="D42" s="272"/>
      <c r="E42" s="272"/>
      <c r="F42" s="262"/>
      <c r="G42" s="264"/>
      <c r="H42" s="267"/>
      <c r="I42" s="269"/>
      <c r="J42" s="271"/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43</v>
      </c>
      <c r="E43" s="60">
        <f t="shared" si="5"/>
        <v>6</v>
      </c>
      <c r="F43" s="51">
        <f t="shared" si="4"/>
        <v>31</v>
      </c>
      <c r="G43" s="52">
        <f>IF(D43=D42,"",_xlfn.IFNA(VLOOKUP(D43,'인원 입력 기능'!$BO$5:$BR$55,4,FALSE),0))</f>
        <v>192</v>
      </c>
      <c r="H43" s="53">
        <f t="shared" si="2"/>
        <v>3.7296037296037296E-2</v>
      </c>
      <c r="I43" s="57">
        <f>SUM($G$7:G43)</f>
        <v>3660</v>
      </c>
      <c r="J43" s="55">
        <f t="shared" si="3"/>
        <v>0.71095571095571097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42</v>
      </c>
      <c r="E44" s="60">
        <f t="shared" si="5"/>
        <v>6</v>
      </c>
      <c r="F44" s="51">
        <f t="shared" si="4"/>
        <v>27</v>
      </c>
      <c r="G44" s="52">
        <f>IF(D44=D43,"",_xlfn.IFNA(VLOOKUP(D44,'인원 입력 기능'!$BO$5:$BR$55,4,FALSE),0))</f>
        <v>211</v>
      </c>
      <c r="H44" s="53">
        <f t="shared" si="2"/>
        <v>4.0986790986790984E-2</v>
      </c>
      <c r="I44" s="57">
        <f>SUM($G$7:G44)</f>
        <v>3871</v>
      </c>
      <c r="J44" s="55">
        <f t="shared" si="3"/>
        <v>0.7519425019425019</v>
      </c>
      <c r="K44" s="25"/>
      <c r="M44" s="1"/>
    </row>
    <row r="45" spans="1:13" ht="25" customHeight="1">
      <c r="A45" s="5"/>
      <c r="B45" s="24"/>
      <c r="C45" s="58">
        <v>12</v>
      </c>
      <c r="D45" s="273">
        <f t="shared" si="1"/>
        <v>41</v>
      </c>
      <c r="E45" s="273">
        <f t="shared" si="5"/>
        <v>6</v>
      </c>
      <c r="F45" s="263">
        <f t="shared" si="4"/>
        <v>21</v>
      </c>
      <c r="G45" s="265">
        <f>IF(D45=D44,"",_xlfn.IFNA(VLOOKUP(D45,'인원 입력 기능'!$BO$5:$BR$55,4,FALSE),0))</f>
        <v>371</v>
      </c>
      <c r="H45" s="266">
        <f t="shared" si="2"/>
        <v>7.2066822066822064E-2</v>
      </c>
      <c r="I45" s="268">
        <f>SUM($G$7:G45)</f>
        <v>4242</v>
      </c>
      <c r="J45" s="270">
        <f t="shared" si="3"/>
        <v>0.82400932400932403</v>
      </c>
      <c r="K45" s="25"/>
      <c r="M45" s="1"/>
    </row>
    <row r="46" spans="1:13" ht="25" customHeight="1">
      <c r="A46" s="5"/>
      <c r="B46" s="24"/>
      <c r="C46" s="59">
        <v>11</v>
      </c>
      <c r="D46" s="272"/>
      <c r="E46" s="272"/>
      <c r="F46" s="262"/>
      <c r="G46" s="264"/>
      <c r="H46" s="267"/>
      <c r="I46" s="269"/>
      <c r="J46" s="271"/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40</v>
      </c>
      <c r="E47" s="60">
        <f t="shared" si="5"/>
        <v>7</v>
      </c>
      <c r="F47" s="51">
        <f t="shared" si="4"/>
        <v>14</v>
      </c>
      <c r="G47" s="52">
        <f>IF(D47=D46,"",_xlfn.IFNA(VLOOKUP(D47,'인원 입력 기능'!$BO$5:$BR$55,4,FALSE),0))</f>
        <v>367</v>
      </c>
      <c r="H47" s="53">
        <f t="shared" si="2"/>
        <v>7.1289821289821295E-2</v>
      </c>
      <c r="I47" s="57">
        <f>SUM($G$7:G47)</f>
        <v>4609</v>
      </c>
      <c r="J47" s="55">
        <f t="shared" si="3"/>
        <v>0.89529914529914534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39</v>
      </c>
      <c r="E48" s="60">
        <f t="shared" si="5"/>
        <v>8</v>
      </c>
      <c r="F48" s="51">
        <f t="shared" si="4"/>
        <v>9</v>
      </c>
      <c r="G48" s="52">
        <f>IF(D48=D47,"",_xlfn.IFNA(VLOOKUP(D48,'인원 입력 기능'!$BO$5:$BR$55,4,FALSE),0))</f>
        <v>142</v>
      </c>
      <c r="H48" s="53">
        <f t="shared" si="2"/>
        <v>2.7583527583527584E-2</v>
      </c>
      <c r="I48" s="57">
        <f>SUM($G$7:G48)</f>
        <v>4751</v>
      </c>
      <c r="J48" s="55">
        <f t="shared" si="3"/>
        <v>0.92288267288267289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38</v>
      </c>
      <c r="E49" s="60">
        <f t="shared" si="5"/>
        <v>8</v>
      </c>
      <c r="F49" s="51">
        <f t="shared" si="4"/>
        <v>7</v>
      </c>
      <c r="G49" s="52">
        <f>IF(D49=D48,"",_xlfn.IFNA(VLOOKUP(D49,'인원 입력 기능'!$BO$5:$BR$55,4,FALSE),0))</f>
        <v>80</v>
      </c>
      <c r="H49" s="53">
        <f t="shared" si="2"/>
        <v>1.554001554001554E-2</v>
      </c>
      <c r="I49" s="57">
        <f>SUM($G$7:G49)</f>
        <v>4831</v>
      </c>
      <c r="J49" s="55">
        <f t="shared" si="3"/>
        <v>0.93842268842268839</v>
      </c>
      <c r="K49" s="25"/>
      <c r="M49" s="1"/>
    </row>
    <row r="50" spans="1:13" ht="25" customHeight="1">
      <c r="A50" s="5"/>
      <c r="B50" s="24"/>
      <c r="C50" s="59">
        <v>7</v>
      </c>
      <c r="D50" s="273">
        <f t="shared" si="1"/>
        <v>37</v>
      </c>
      <c r="E50" s="273">
        <f t="shared" si="5"/>
        <v>8</v>
      </c>
      <c r="F50" s="263">
        <f t="shared" si="4"/>
        <v>5</v>
      </c>
      <c r="G50" s="265">
        <f>IF(D50=D49,"",_xlfn.IFNA(VLOOKUP(D50,'인원 입력 기능'!$BO$5:$BR$55,4,FALSE),0))</f>
        <v>165</v>
      </c>
      <c r="H50" s="266">
        <f t="shared" si="2"/>
        <v>3.2051282051282048E-2</v>
      </c>
      <c r="I50" s="268">
        <f>SUM($G$7:G50)</f>
        <v>4996</v>
      </c>
      <c r="J50" s="270">
        <f t="shared" si="3"/>
        <v>0.97047397047397044</v>
      </c>
      <c r="K50" s="25"/>
      <c r="M50" s="1"/>
    </row>
    <row r="51" spans="1:13" ht="25" customHeight="1">
      <c r="A51" s="5"/>
      <c r="B51" s="24"/>
      <c r="C51" s="58">
        <v>6</v>
      </c>
      <c r="D51" s="272"/>
      <c r="E51" s="272"/>
      <c r="F51" s="262"/>
      <c r="G51" s="264"/>
      <c r="H51" s="267"/>
      <c r="I51" s="269"/>
      <c r="J51" s="271"/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36</v>
      </c>
      <c r="E52" s="60">
        <f t="shared" si="5"/>
        <v>9</v>
      </c>
      <c r="F52" s="51">
        <f t="shared" si="4"/>
        <v>2</v>
      </c>
      <c r="G52" s="52">
        <f>IF(D52=D51,"",_xlfn.IFNA(VLOOKUP(D52,'인원 입력 기능'!$BO$5:$BR$55,4,FALSE),0))</f>
        <v>51</v>
      </c>
      <c r="H52" s="53">
        <f t="shared" si="2"/>
        <v>9.9067599067599061E-3</v>
      </c>
      <c r="I52" s="57">
        <f>SUM($G$7:G52)</f>
        <v>5047</v>
      </c>
      <c r="J52" s="55">
        <f t="shared" si="3"/>
        <v>0.98038073038073037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35</v>
      </c>
      <c r="E53" s="50">
        <f t="shared" si="5"/>
        <v>9</v>
      </c>
      <c r="F53" s="51">
        <f t="shared" si="4"/>
        <v>2</v>
      </c>
      <c r="G53" s="52">
        <f>IF(D53=D52,"",_xlfn.IFNA(VLOOKUP(D53,'인원 입력 기능'!$BO$5:$BR$55,4,FALSE),0))</f>
        <v>38</v>
      </c>
      <c r="H53" s="53">
        <f t="shared" si="2"/>
        <v>7.3815073815073819E-3</v>
      </c>
      <c r="I53" s="57">
        <f>SUM($G$7:G53)</f>
        <v>5085</v>
      </c>
      <c r="J53" s="55">
        <f t="shared" si="3"/>
        <v>0.98776223776223782</v>
      </c>
      <c r="K53" s="25"/>
      <c r="M53" s="1"/>
    </row>
    <row r="54" spans="1:13" ht="25" customHeight="1">
      <c r="A54" s="5"/>
      <c r="B54" s="24"/>
      <c r="C54" s="56">
        <v>3</v>
      </c>
      <c r="D54" s="261">
        <f t="shared" si="1"/>
        <v>34</v>
      </c>
      <c r="E54" s="261">
        <f t="shared" si="5"/>
        <v>9</v>
      </c>
      <c r="F54" s="263">
        <f t="shared" si="4"/>
        <v>1</v>
      </c>
      <c r="G54" s="265">
        <f>IF(D54=D53,"",_xlfn.IFNA(VLOOKUP(D54,'인원 입력 기능'!$BO$5:$BR$55,4,FALSE),0))</f>
        <v>40</v>
      </c>
      <c r="H54" s="266">
        <f t="shared" si="2"/>
        <v>7.77000777000777E-3</v>
      </c>
      <c r="I54" s="268">
        <f>SUM($G$7:G54)</f>
        <v>5125</v>
      </c>
      <c r="J54" s="270">
        <f t="shared" si="3"/>
        <v>0.99553224553224551</v>
      </c>
      <c r="K54" s="25"/>
      <c r="M54" s="1"/>
    </row>
    <row r="55" spans="1:13" ht="25" customHeight="1">
      <c r="A55" s="5"/>
      <c r="B55" s="24"/>
      <c r="C55" s="49">
        <v>2</v>
      </c>
      <c r="D55" s="260"/>
      <c r="E55" s="260"/>
      <c r="F55" s="262"/>
      <c r="G55" s="264"/>
      <c r="H55" s="267"/>
      <c r="I55" s="269"/>
      <c r="J55" s="271"/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32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기능'!$BO$5:$BR$55,4,FALSE),0)</f>
        <v>23</v>
      </c>
      <c r="H57" s="69">
        <f>G57/J3</f>
        <v>4.467754467754468E-3</v>
      </c>
      <c r="I57" s="70">
        <f>SUM($G$7:G57)</f>
        <v>5148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2"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33:I34"/>
    <mergeCell ref="J33:J34"/>
    <mergeCell ref="D37:D38"/>
    <mergeCell ref="E37:E38"/>
    <mergeCell ref="F37:F38"/>
    <mergeCell ref="G37:G38"/>
    <mergeCell ref="H37:H38"/>
    <mergeCell ref="I37:I38"/>
    <mergeCell ref="J37:J38"/>
    <mergeCell ref="D33:D34"/>
    <mergeCell ref="E33:E34"/>
    <mergeCell ref="F33:F34"/>
    <mergeCell ref="G33:G34"/>
    <mergeCell ref="H33:H34"/>
    <mergeCell ref="I25:I26"/>
    <mergeCell ref="J25:J26"/>
    <mergeCell ref="D29:D30"/>
    <mergeCell ref="E29:E30"/>
    <mergeCell ref="F29:F30"/>
    <mergeCell ref="G29:G30"/>
    <mergeCell ref="H29:H30"/>
    <mergeCell ref="I29:I30"/>
    <mergeCell ref="J29:J30"/>
    <mergeCell ref="D25:D26"/>
    <mergeCell ref="E25:E26"/>
    <mergeCell ref="F25:F26"/>
    <mergeCell ref="G25:G26"/>
    <mergeCell ref="H25:H26"/>
    <mergeCell ref="H17:H18"/>
    <mergeCell ref="I17:I18"/>
    <mergeCell ref="J17:J18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G5:J5"/>
    <mergeCell ref="D12:D13"/>
    <mergeCell ref="E12:E13"/>
    <mergeCell ref="F12:F13"/>
    <mergeCell ref="G12:G13"/>
    <mergeCell ref="H12:H13"/>
    <mergeCell ref="I12:I13"/>
    <mergeCell ref="J12:J13"/>
    <mergeCell ref="D17:D18"/>
    <mergeCell ref="E17:E18"/>
    <mergeCell ref="F17:F18"/>
    <mergeCell ref="G17:G18"/>
  </mergeCells>
  <phoneticPr fontId="1" type="noConversion"/>
  <conditionalFormatting sqref="D7:J7 D57:J57 D9:J12 D14:J17 D19:J21 D23:J25 D27:J29 D31:J33 D35:J37 D39:J41 D43:J45 D47:J50 D52:J54">
    <cfRule type="expression" dxfId="69" priority="7">
      <formula>OR($D7=$P$7:$P$14)</formula>
    </cfRule>
  </conditionalFormatting>
  <conditionalFormatting sqref="C7:C57">
    <cfRule type="expression" dxfId="68" priority="6">
      <formula>OR(AND($D7=0,OR($D6=$P$7:$P$14)),AND($D8&gt;0,OR($D7=$P$7:$P$14)))</formula>
    </cfRule>
  </conditionalFormatting>
  <conditionalFormatting sqref="D7 D57 D9:D12 D14:D17 D19:D21 D23:D25 D27:D29 D31:D33 D35:D37 D39:D41 D43:D45 D47:D50 D52:D54">
    <cfRule type="expression" dxfId="67" priority="5">
      <formula>$D7=$D8</formula>
    </cfRule>
  </conditionalFormatting>
  <conditionalFormatting sqref="D56">
    <cfRule type="expression" dxfId="66" priority="4">
      <formula>OR($D56=$P$7:$P$14)</formula>
    </cfRule>
  </conditionalFormatting>
  <conditionalFormatting sqref="D56">
    <cfRule type="expression" dxfId="65" priority="3">
      <formula>$D56=$D57</formula>
    </cfRule>
  </conditionalFormatting>
  <conditionalFormatting sqref="D8">
    <cfRule type="expression" dxfId="64" priority="2">
      <formula>OR($D8=$P$7:$P$14)</formula>
    </cfRule>
  </conditionalFormatting>
  <conditionalFormatting sqref="D8">
    <cfRule type="expression" dxfId="63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FA2-CA5F-4B74-A3E2-5593BA66EC8C}">
  <sheetPr codeName="Sheet21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기능'!D18</f>
        <v>22.3</v>
      </c>
      <c r="I3" s="109" t="s">
        <v>54</v>
      </c>
      <c r="J3" s="110">
        <f>'통계 및 응시자 수 입력 기능'!C18</f>
        <v>5360</v>
      </c>
      <c r="K3" s="25"/>
    </row>
    <row r="4" spans="1:16" ht="25" customHeight="1" thickBot="1">
      <c r="A4" s="5"/>
      <c r="B4" s="24"/>
      <c r="C4" s="42" t="s">
        <v>55</v>
      </c>
      <c r="D4" s="242" t="s">
        <v>64</v>
      </c>
      <c r="E4" s="243"/>
      <c r="F4" s="244"/>
      <c r="G4" s="43" t="s">
        <v>57</v>
      </c>
      <c r="H4" s="108">
        <f>'통계 및 응시자 수 입력 기능'!E18</f>
        <v>12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73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기능'!$BT$5:$BW$55,4,FALSE),0)</f>
        <v>69</v>
      </c>
      <c r="H7" s="53">
        <f>G7/J3</f>
        <v>1.2873134328358208E-2</v>
      </c>
      <c r="I7" s="54">
        <f>G7</f>
        <v>69</v>
      </c>
      <c r="J7" s="55">
        <f>I7/J3</f>
        <v>1.2873134328358208E-2</v>
      </c>
      <c r="K7" s="25"/>
      <c r="M7" s="1"/>
      <c r="O7" s="1">
        <v>1</v>
      </c>
      <c r="P7" s="1">
        <f>'표준점수 등급컷 입력기능'!E54</f>
        <v>69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입력기능'!E55</f>
        <v>64</v>
      </c>
    </row>
    <row r="9" spans="1:16" ht="25" customHeight="1">
      <c r="A9" s="5"/>
      <c r="B9" s="24"/>
      <c r="C9" s="49">
        <v>48</v>
      </c>
      <c r="D9" s="261">
        <f>ROUND(10*(C9-$H$3)/$H$4+50,0)</f>
        <v>71</v>
      </c>
      <c r="E9" s="261">
        <f t="shared" si="0"/>
        <v>1</v>
      </c>
      <c r="F9" s="263">
        <f>IF(I8=0,ROUND(100*(1-(I7+I9)/2/$J$3),0),ROUND(100*(1-(I8+I9)/2/$J$3),0))</f>
        <v>98</v>
      </c>
      <c r="G9" s="265">
        <f>_xlfn.IFNA(VLOOKUP(D9,'인원 입력 기능'!$BT$5:$BW$55,4,FALSE),0)</f>
        <v>112</v>
      </c>
      <c r="H9" s="266">
        <f>G9/$J$3</f>
        <v>2.0895522388059702E-2</v>
      </c>
      <c r="I9" s="268">
        <f>SUM($G$7:G9)</f>
        <v>181</v>
      </c>
      <c r="J9" s="270">
        <f>I9/$J$3</f>
        <v>3.3768656716417912E-2</v>
      </c>
      <c r="K9" s="25"/>
      <c r="M9" s="1"/>
      <c r="O9" s="1">
        <v>3</v>
      </c>
      <c r="P9" s="1">
        <f>'표준점수 등급컷 입력기능'!E56</f>
        <v>59</v>
      </c>
    </row>
    <row r="10" spans="1:16" ht="25" customHeight="1">
      <c r="A10" s="5"/>
      <c r="B10" s="24"/>
      <c r="C10" s="56">
        <v>47</v>
      </c>
      <c r="D10" s="260"/>
      <c r="E10" s="260"/>
      <c r="F10" s="262"/>
      <c r="G10" s="264"/>
      <c r="H10" s="267"/>
      <c r="I10" s="269"/>
      <c r="J10" s="271"/>
      <c r="K10" s="25"/>
      <c r="M10" s="1"/>
      <c r="O10" s="1">
        <v>4</v>
      </c>
      <c r="P10" s="1">
        <f>'표준점수 등급컷 입력기능'!E57</f>
        <v>52</v>
      </c>
    </row>
    <row r="11" spans="1:16" ht="25" customHeight="1">
      <c r="A11" s="5"/>
      <c r="B11" s="24"/>
      <c r="C11" s="49">
        <v>46</v>
      </c>
      <c r="D11" s="50">
        <f t="shared" ref="D10:D55" si="1">ROUND(10*(C11-$H$3)/$H$4+50,0)</f>
        <v>70</v>
      </c>
      <c r="E11" s="50">
        <f t="shared" si="0"/>
        <v>1</v>
      </c>
      <c r="F11" s="51">
        <f t="shared" ref="F11:F55" si="2">IF(I10=0,ROUND(100*(1-(I9+I11)/2/$J$3),0),ROUND(100*(1-(I10+I11)/2/$J$3),0))</f>
        <v>97</v>
      </c>
      <c r="G11" s="52">
        <f>IF(D11=D10,"",_xlfn.IFNA(VLOOKUP(D11,'인원 입력 기능'!$BT$5:$BW$55,4,FALSE),0))</f>
        <v>3</v>
      </c>
      <c r="H11" s="53">
        <f t="shared" ref="H10:H55" si="3">G11/$J$3</f>
        <v>5.5970149253731347E-4</v>
      </c>
      <c r="I11" s="57">
        <f>SUM($G$7:G11)</f>
        <v>184</v>
      </c>
      <c r="J11" s="55">
        <f t="shared" ref="J10:J55" si="4">I11/$J$3</f>
        <v>3.4328358208955224E-2</v>
      </c>
      <c r="K11" s="25"/>
      <c r="M11" s="1"/>
      <c r="O11" s="1">
        <v>5</v>
      </c>
      <c r="P11" s="1">
        <f>'표준점수 등급컷 입력기능'!E58</f>
        <v>46</v>
      </c>
    </row>
    <row r="12" spans="1:16" ht="25" customHeight="1">
      <c r="A12" s="5"/>
      <c r="B12" s="24"/>
      <c r="C12" s="56">
        <v>45</v>
      </c>
      <c r="D12" s="50">
        <f t="shared" si="1"/>
        <v>69</v>
      </c>
      <c r="E12" s="50">
        <f t="shared" si="0"/>
        <v>1</v>
      </c>
      <c r="F12" s="51">
        <f t="shared" si="2"/>
        <v>96</v>
      </c>
      <c r="G12" s="52">
        <f>IF(D12=D11,"",_xlfn.IFNA(VLOOKUP(D12,'인원 입력 기능'!$BT$5:$BW$55,4,FALSE),0))</f>
        <v>42</v>
      </c>
      <c r="H12" s="53">
        <f t="shared" si="3"/>
        <v>7.8358208955223874E-3</v>
      </c>
      <c r="I12" s="57">
        <f>SUM($G$7:G12)</f>
        <v>226</v>
      </c>
      <c r="J12" s="55">
        <f t="shared" si="4"/>
        <v>4.216417910447761E-2</v>
      </c>
      <c r="K12" s="25"/>
      <c r="M12" s="1"/>
      <c r="O12" s="1">
        <v>6</v>
      </c>
      <c r="P12" s="1">
        <f>'표준점수 등급컷 입력기능'!E59</f>
        <v>41</v>
      </c>
    </row>
    <row r="13" spans="1:16" ht="25" customHeight="1">
      <c r="A13" s="5"/>
      <c r="B13" s="24"/>
      <c r="C13" s="49">
        <v>44</v>
      </c>
      <c r="D13" s="50">
        <f t="shared" si="1"/>
        <v>68</v>
      </c>
      <c r="E13" s="50">
        <f t="shared" si="0"/>
        <v>2</v>
      </c>
      <c r="F13" s="51">
        <f t="shared" si="2"/>
        <v>95</v>
      </c>
      <c r="G13" s="52">
        <f>IF(D13=D12,"",_xlfn.IFNA(VLOOKUP(D13,'인원 입력 기능'!$BT$5:$BW$55,4,FALSE),0))</f>
        <v>99</v>
      </c>
      <c r="H13" s="53">
        <f t="shared" si="3"/>
        <v>1.8470149253731343E-2</v>
      </c>
      <c r="I13" s="57">
        <f>SUM($G$7:G13)</f>
        <v>325</v>
      </c>
      <c r="J13" s="55">
        <f t="shared" si="4"/>
        <v>6.0634328358208957E-2</v>
      </c>
      <c r="K13" s="25"/>
      <c r="M13" s="1"/>
      <c r="O13" s="1">
        <v>7</v>
      </c>
      <c r="P13" s="1">
        <f>'표준점수 등급컷 입력기능'!E60</f>
        <v>38</v>
      </c>
    </row>
    <row r="14" spans="1:16" ht="25" customHeight="1">
      <c r="A14" s="5"/>
      <c r="B14" s="24"/>
      <c r="C14" s="56">
        <v>43</v>
      </c>
      <c r="D14" s="50">
        <f t="shared" si="1"/>
        <v>67</v>
      </c>
      <c r="E14" s="50">
        <f t="shared" si="0"/>
        <v>2</v>
      </c>
      <c r="F14" s="51">
        <f t="shared" si="2"/>
        <v>94</v>
      </c>
      <c r="G14" s="52">
        <f>IF(D14=D13,"",_xlfn.IFNA(VLOOKUP(D14,'인원 입력 기능'!$BT$5:$BW$55,4,FALSE),0))</f>
        <v>10</v>
      </c>
      <c r="H14" s="53">
        <f t="shared" si="3"/>
        <v>1.8656716417910447E-3</v>
      </c>
      <c r="I14" s="57">
        <f>SUM($G$7:G14)</f>
        <v>335</v>
      </c>
      <c r="J14" s="55">
        <f t="shared" si="4"/>
        <v>6.25E-2</v>
      </c>
      <c r="K14" s="25"/>
      <c r="M14" s="1"/>
      <c r="O14" s="1">
        <v>8</v>
      </c>
      <c r="P14" s="1">
        <f>'표준점수 등급컷 입력기능'!E61</f>
        <v>36</v>
      </c>
    </row>
    <row r="15" spans="1:16" ht="25" customHeight="1">
      <c r="A15" s="5"/>
      <c r="B15" s="24"/>
      <c r="C15" s="49">
        <v>42</v>
      </c>
      <c r="D15" s="261">
        <f t="shared" si="1"/>
        <v>66</v>
      </c>
      <c r="E15" s="261">
        <f t="shared" si="0"/>
        <v>2</v>
      </c>
      <c r="F15" s="263">
        <f t="shared" si="2"/>
        <v>92</v>
      </c>
      <c r="G15" s="265">
        <f>IF(D15=D14,"",_xlfn.IFNA(VLOOKUP(D15,'인원 입력 기능'!$BT$5:$BW$55,4,FALSE),0))</f>
        <v>185</v>
      </c>
      <c r="H15" s="266">
        <f t="shared" si="3"/>
        <v>3.4514925373134331E-2</v>
      </c>
      <c r="I15" s="268">
        <f>SUM($G$7:G15)</f>
        <v>520</v>
      </c>
      <c r="J15" s="270">
        <f t="shared" si="4"/>
        <v>9.7014925373134331E-2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0"/>
      <c r="E16" s="260"/>
      <c r="F16" s="262"/>
      <c r="G16" s="264"/>
      <c r="H16" s="267"/>
      <c r="I16" s="269"/>
      <c r="J16" s="271"/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65</v>
      </c>
      <c r="E17" s="50">
        <f t="shared" si="0"/>
        <v>2</v>
      </c>
      <c r="F17" s="51">
        <f t="shared" si="2"/>
        <v>90</v>
      </c>
      <c r="G17" s="52">
        <f>IF(D17=D16,"",_xlfn.IFNA(VLOOKUP(D17,'인원 입력 기능'!$BT$5:$BW$55,4,FALSE),0))</f>
        <v>30</v>
      </c>
      <c r="H17" s="53">
        <f t="shared" si="3"/>
        <v>5.597014925373134E-3</v>
      </c>
      <c r="I17" s="57">
        <f>SUM($G$7:G17)</f>
        <v>550</v>
      </c>
      <c r="J17" s="55">
        <f t="shared" si="4"/>
        <v>0.10261194029850747</v>
      </c>
      <c r="K17" s="25"/>
      <c r="M17" s="1"/>
      <c r="P17" s="1">
        <f>H3*H4*J3*P7*IFERROR(IF(J57=1, 1, 0), 0)</f>
        <v>98969184.000000015</v>
      </c>
    </row>
    <row r="18" spans="1:16" ht="25" customHeight="1">
      <c r="A18" s="5"/>
      <c r="B18" s="24"/>
      <c r="C18" s="56">
        <v>39</v>
      </c>
      <c r="D18" s="50">
        <f t="shared" si="1"/>
        <v>64</v>
      </c>
      <c r="E18" s="50">
        <f t="shared" si="0"/>
        <v>2</v>
      </c>
      <c r="F18" s="51">
        <f t="shared" si="2"/>
        <v>89</v>
      </c>
      <c r="G18" s="52">
        <f>IF(D18=D17,"",_xlfn.IFNA(VLOOKUP(D18,'인원 입력 기능'!$BT$5:$BW$55,4,FALSE),0))</f>
        <v>119</v>
      </c>
      <c r="H18" s="53">
        <f t="shared" si="3"/>
        <v>2.2201492537313433E-2</v>
      </c>
      <c r="I18" s="57">
        <f>SUM($G$7:G18)</f>
        <v>669</v>
      </c>
      <c r="J18" s="55">
        <f t="shared" si="4"/>
        <v>0.1248134328358209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63</v>
      </c>
      <c r="E19" s="50">
        <f t="shared" si="0"/>
        <v>3</v>
      </c>
      <c r="F19" s="51">
        <f t="shared" si="2"/>
        <v>87</v>
      </c>
      <c r="G19" s="52">
        <f>IF(D19=D18,"",_xlfn.IFNA(VLOOKUP(D19,'인원 입력 기능'!$BT$5:$BW$55,4,FALSE),0))</f>
        <v>79</v>
      </c>
      <c r="H19" s="53">
        <f t="shared" si="3"/>
        <v>1.4738805970149253E-2</v>
      </c>
      <c r="I19" s="57">
        <f>SUM($G$7:G19)</f>
        <v>748</v>
      </c>
      <c r="J19" s="55">
        <f t="shared" si="4"/>
        <v>0.13955223880597015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62</v>
      </c>
      <c r="E20" s="50">
        <f t="shared" si="0"/>
        <v>3</v>
      </c>
      <c r="F20" s="51">
        <f t="shared" si="2"/>
        <v>85</v>
      </c>
      <c r="G20" s="52">
        <f>IF(D20=D19,"",_xlfn.IFNA(VLOOKUP(D20,'인원 입력 기능'!$BT$5:$BW$55,4,FALSE),0))</f>
        <v>71</v>
      </c>
      <c r="H20" s="53">
        <f t="shared" si="3"/>
        <v>1.3246268656716418E-2</v>
      </c>
      <c r="I20" s="57">
        <f>SUM($G$7:G20)</f>
        <v>819</v>
      </c>
      <c r="J20" s="55">
        <f t="shared" si="4"/>
        <v>0.15279850746268656</v>
      </c>
      <c r="K20" s="25"/>
      <c r="M20" s="1"/>
    </row>
    <row r="21" spans="1:16" ht="25" customHeight="1">
      <c r="A21" s="5"/>
      <c r="B21" s="24"/>
      <c r="C21" s="58">
        <v>36</v>
      </c>
      <c r="D21" s="273">
        <f t="shared" si="1"/>
        <v>61</v>
      </c>
      <c r="E21" s="273">
        <f t="shared" si="0"/>
        <v>3</v>
      </c>
      <c r="F21" s="263">
        <f t="shared" si="2"/>
        <v>83</v>
      </c>
      <c r="G21" s="265">
        <f>IF(D21=D20,"",_xlfn.IFNA(VLOOKUP(D21,'인원 입력 기능'!$BT$5:$BW$55,4,FALSE),0))</f>
        <v>206</v>
      </c>
      <c r="H21" s="266">
        <f t="shared" si="3"/>
        <v>3.8432835820895524E-2</v>
      </c>
      <c r="I21" s="268">
        <f>SUM($G$7:G21)</f>
        <v>1025</v>
      </c>
      <c r="J21" s="270">
        <f t="shared" si="4"/>
        <v>0.1912313432835821</v>
      </c>
      <c r="K21" s="25"/>
      <c r="M21" s="1"/>
    </row>
    <row r="22" spans="1:16" ht="25" customHeight="1">
      <c r="A22" s="5"/>
      <c r="B22" s="24"/>
      <c r="C22" s="59">
        <v>35</v>
      </c>
      <c r="D22" s="272"/>
      <c r="E22" s="272"/>
      <c r="F22" s="262"/>
      <c r="G22" s="264"/>
      <c r="H22" s="267"/>
      <c r="I22" s="269"/>
      <c r="J22" s="271"/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60</v>
      </c>
      <c r="E23" s="60">
        <f t="shared" si="0"/>
        <v>3</v>
      </c>
      <c r="F23" s="51">
        <f t="shared" si="2"/>
        <v>80</v>
      </c>
      <c r="G23" s="52">
        <f>IF(D23=D22,"",_xlfn.IFNA(VLOOKUP(D23,'인원 입력 기능'!$BT$5:$BW$55,4,FALSE),0))</f>
        <v>131</v>
      </c>
      <c r="H23" s="53">
        <f t="shared" si="3"/>
        <v>2.4440298507462686E-2</v>
      </c>
      <c r="I23" s="57">
        <f>SUM($G$7:G23)</f>
        <v>1156</v>
      </c>
      <c r="J23" s="55">
        <f t="shared" si="4"/>
        <v>0.21567164179104478</v>
      </c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59</v>
      </c>
      <c r="E24" s="60">
        <f t="shared" si="0"/>
        <v>3</v>
      </c>
      <c r="F24" s="51">
        <f t="shared" si="2"/>
        <v>78</v>
      </c>
      <c r="G24" s="52">
        <f>IF(D24=D23,"",_xlfn.IFNA(VLOOKUP(D24,'인원 입력 기능'!$BT$5:$BW$55,4,FALSE),0))</f>
        <v>89</v>
      </c>
      <c r="H24" s="53">
        <f t="shared" si="3"/>
        <v>1.66044776119403E-2</v>
      </c>
      <c r="I24" s="57">
        <f>SUM($G$7:G24)</f>
        <v>1245</v>
      </c>
      <c r="J24" s="55">
        <f t="shared" si="4"/>
        <v>0.23227611940298507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58</v>
      </c>
      <c r="E25" s="60">
        <f t="shared" si="0"/>
        <v>4</v>
      </c>
      <c r="F25" s="51">
        <f t="shared" si="2"/>
        <v>76</v>
      </c>
      <c r="G25" s="52">
        <f>IF(D25=D24,"",_xlfn.IFNA(VLOOKUP(D25,'인원 입력 기능'!$BT$5:$BW$55,4,FALSE),0))</f>
        <v>103</v>
      </c>
      <c r="H25" s="53">
        <f t="shared" si="3"/>
        <v>1.9216417910447762E-2</v>
      </c>
      <c r="I25" s="57">
        <f>SUM($G$7:G25)</f>
        <v>1348</v>
      </c>
      <c r="J25" s="55">
        <f t="shared" si="4"/>
        <v>0.25149253731343285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57</v>
      </c>
      <c r="E26" s="60">
        <f t="shared" si="0"/>
        <v>4</v>
      </c>
      <c r="F26" s="51">
        <f t="shared" si="2"/>
        <v>74</v>
      </c>
      <c r="G26" s="52">
        <f>IF(D26=D25,"",_xlfn.IFNA(VLOOKUP(D26,'인원 입력 기능'!$BT$5:$BW$55,4,FALSE),0))</f>
        <v>112</v>
      </c>
      <c r="H26" s="53">
        <f t="shared" si="3"/>
        <v>2.0895522388059702E-2</v>
      </c>
      <c r="I26" s="57">
        <f>SUM($G$7:G26)</f>
        <v>1460</v>
      </c>
      <c r="J26" s="55">
        <f t="shared" si="4"/>
        <v>0.27238805970149255</v>
      </c>
      <c r="K26" s="25"/>
      <c r="M26" s="1"/>
    </row>
    <row r="27" spans="1:16" ht="25" customHeight="1">
      <c r="A27" s="5"/>
      <c r="B27" s="24"/>
      <c r="C27" s="58">
        <v>30</v>
      </c>
      <c r="D27" s="273">
        <f t="shared" si="1"/>
        <v>56</v>
      </c>
      <c r="E27" s="273">
        <f t="shared" si="0"/>
        <v>4</v>
      </c>
      <c r="F27" s="263">
        <f t="shared" si="2"/>
        <v>71</v>
      </c>
      <c r="G27" s="265">
        <f>IF(D27=D26,"",_xlfn.IFNA(VLOOKUP(D27,'인원 입력 기능'!$BT$5:$BW$55,4,FALSE),0))</f>
        <v>208</v>
      </c>
      <c r="H27" s="266">
        <f t="shared" si="3"/>
        <v>3.880597014925373E-2</v>
      </c>
      <c r="I27" s="268">
        <f>SUM($G$7:G27)</f>
        <v>1668</v>
      </c>
      <c r="J27" s="270">
        <f t="shared" si="4"/>
        <v>0.31119402985074629</v>
      </c>
      <c r="K27" s="25"/>
      <c r="M27" s="1"/>
    </row>
    <row r="28" spans="1:16" ht="25" customHeight="1">
      <c r="A28" s="5"/>
      <c r="B28" s="24"/>
      <c r="C28" s="59">
        <v>29</v>
      </c>
      <c r="D28" s="272"/>
      <c r="E28" s="272"/>
      <c r="F28" s="262"/>
      <c r="G28" s="264"/>
      <c r="H28" s="267"/>
      <c r="I28" s="269"/>
      <c r="J28" s="271"/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55</v>
      </c>
      <c r="E29" s="60">
        <f t="shared" si="0"/>
        <v>4</v>
      </c>
      <c r="F29" s="51">
        <f t="shared" si="2"/>
        <v>68</v>
      </c>
      <c r="G29" s="52">
        <f>IF(D29=D28,"",_xlfn.IFNA(VLOOKUP(D29,'인원 입력 기능'!$BT$5:$BW$55,4,FALSE),0))</f>
        <v>118</v>
      </c>
      <c r="H29" s="53">
        <f t="shared" si="3"/>
        <v>2.2014925373134327E-2</v>
      </c>
      <c r="I29" s="57">
        <f>SUM($G$7:G29)</f>
        <v>1786</v>
      </c>
      <c r="J29" s="55">
        <f t="shared" si="4"/>
        <v>0.33320895522388061</v>
      </c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54</v>
      </c>
      <c r="E30" s="60">
        <f t="shared" si="0"/>
        <v>4</v>
      </c>
      <c r="F30" s="51">
        <f t="shared" si="2"/>
        <v>66</v>
      </c>
      <c r="G30" s="52">
        <f>IF(D30=D29,"",_xlfn.IFNA(VLOOKUP(D30,'인원 입력 기능'!$BT$5:$BW$55,4,FALSE),0))</f>
        <v>113</v>
      </c>
      <c r="H30" s="53">
        <f t="shared" si="3"/>
        <v>2.1082089552238805E-2</v>
      </c>
      <c r="I30" s="57">
        <f>SUM($G$7:G30)</f>
        <v>1899</v>
      </c>
      <c r="J30" s="55">
        <f t="shared" si="4"/>
        <v>0.35429104477611939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53</v>
      </c>
      <c r="E31" s="60">
        <f t="shared" si="0"/>
        <v>4</v>
      </c>
      <c r="F31" s="51">
        <f t="shared" si="2"/>
        <v>63</v>
      </c>
      <c r="G31" s="52">
        <f>IF(D31=D30,"",_xlfn.IFNA(VLOOKUP(D31,'인원 입력 기능'!$BT$5:$BW$55,4,FALSE),0))</f>
        <v>126</v>
      </c>
      <c r="H31" s="53">
        <f t="shared" si="3"/>
        <v>2.3507462686567164E-2</v>
      </c>
      <c r="I31" s="57">
        <f>SUM($G$7:G31)</f>
        <v>2025</v>
      </c>
      <c r="J31" s="55">
        <f t="shared" si="4"/>
        <v>0.37779850746268656</v>
      </c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52</v>
      </c>
      <c r="E32" s="60">
        <f t="shared" si="0"/>
        <v>4</v>
      </c>
      <c r="F32" s="51">
        <f t="shared" si="2"/>
        <v>61</v>
      </c>
      <c r="G32" s="52">
        <f>IF(D32=D31,"",_xlfn.IFNA(VLOOKUP(D32,'인원 입력 기능'!$BT$5:$BW$55,4,FALSE),0))</f>
        <v>129</v>
      </c>
      <c r="H32" s="53">
        <f t="shared" si="3"/>
        <v>2.4067164179104476E-2</v>
      </c>
      <c r="I32" s="57">
        <f>SUM($G$7:G32)</f>
        <v>2154</v>
      </c>
      <c r="J32" s="55">
        <f t="shared" si="4"/>
        <v>0.40186567164179104</v>
      </c>
      <c r="K32" s="25"/>
      <c r="M32" s="1"/>
    </row>
    <row r="33" spans="1:13" ht="25" customHeight="1">
      <c r="A33" s="5"/>
      <c r="B33" s="24"/>
      <c r="C33" s="58">
        <v>24</v>
      </c>
      <c r="D33" s="273">
        <f t="shared" si="1"/>
        <v>51</v>
      </c>
      <c r="E33" s="273">
        <f t="shared" si="0"/>
        <v>5</v>
      </c>
      <c r="F33" s="263">
        <f t="shared" si="2"/>
        <v>57</v>
      </c>
      <c r="G33" s="265">
        <f>IF(D33=D32,"",_xlfn.IFNA(VLOOKUP(D33,'인원 입력 기능'!$BT$5:$BW$55,4,FALSE),0))</f>
        <v>253</v>
      </c>
      <c r="H33" s="266">
        <f t="shared" si="3"/>
        <v>4.7201492537313434E-2</v>
      </c>
      <c r="I33" s="268">
        <f>SUM($G$7:G33)</f>
        <v>2407</v>
      </c>
      <c r="J33" s="270">
        <f t="shared" si="4"/>
        <v>0.44906716417910447</v>
      </c>
      <c r="K33" s="25"/>
      <c r="M33" s="1"/>
    </row>
    <row r="34" spans="1:13" ht="25" customHeight="1">
      <c r="A34" s="5"/>
      <c r="B34" s="24"/>
      <c r="C34" s="59">
        <v>23</v>
      </c>
      <c r="D34" s="272"/>
      <c r="E34" s="272"/>
      <c r="F34" s="262"/>
      <c r="G34" s="264"/>
      <c r="H34" s="267"/>
      <c r="I34" s="269"/>
      <c r="J34" s="271"/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50</v>
      </c>
      <c r="E35" s="60">
        <f t="shared" si="0"/>
        <v>5</v>
      </c>
      <c r="F35" s="51">
        <f t="shared" si="2"/>
        <v>54</v>
      </c>
      <c r="G35" s="52">
        <f>IF(D35=D34,"",_xlfn.IFNA(VLOOKUP(D35,'인원 입력 기능'!$BT$5:$BW$55,4,FALSE),0))</f>
        <v>138</v>
      </c>
      <c r="H35" s="53">
        <f t="shared" si="3"/>
        <v>2.5746268656716417E-2</v>
      </c>
      <c r="I35" s="57">
        <f>SUM($G$7:G35)</f>
        <v>2545</v>
      </c>
      <c r="J35" s="55">
        <f t="shared" si="4"/>
        <v>0.47481343283582089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49</v>
      </c>
      <c r="E36" s="60">
        <f t="shared" si="0"/>
        <v>5</v>
      </c>
      <c r="F36" s="51">
        <f t="shared" si="2"/>
        <v>51</v>
      </c>
      <c r="G36" s="52">
        <f>IF(D36=D35,"",_xlfn.IFNA(VLOOKUP(D36,'인원 입력 기능'!$BT$5:$BW$55,4,FALSE),0))</f>
        <v>119</v>
      </c>
      <c r="H36" s="53">
        <f t="shared" si="3"/>
        <v>2.2201492537313433E-2</v>
      </c>
      <c r="I36" s="57">
        <f>SUM($G$7:G36)</f>
        <v>2664</v>
      </c>
      <c r="J36" s="55">
        <f t="shared" si="4"/>
        <v>0.49701492537313435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48</v>
      </c>
      <c r="E37" s="60">
        <f t="shared" si="0"/>
        <v>5</v>
      </c>
      <c r="F37" s="51">
        <f t="shared" si="2"/>
        <v>49</v>
      </c>
      <c r="G37" s="52">
        <f>IF(D37=D36,"",_xlfn.IFNA(VLOOKUP(D37,'인원 입력 기능'!$BT$5:$BW$55,4,FALSE),0))</f>
        <v>142</v>
      </c>
      <c r="H37" s="53">
        <f t="shared" si="3"/>
        <v>2.6492537313432835E-2</v>
      </c>
      <c r="I37" s="57">
        <f>SUM($G$7:G37)</f>
        <v>2806</v>
      </c>
      <c r="J37" s="55">
        <f t="shared" si="4"/>
        <v>0.52350746268656712</v>
      </c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47</v>
      </c>
      <c r="E38" s="60">
        <f t="shared" si="0"/>
        <v>5</v>
      </c>
      <c r="F38" s="51">
        <f t="shared" si="2"/>
        <v>46</v>
      </c>
      <c r="G38" s="52">
        <f>IF(D38=D37,"",_xlfn.IFNA(VLOOKUP(D38,'인원 입력 기능'!$BT$5:$BW$55,4,FALSE),0))</f>
        <v>166</v>
      </c>
      <c r="H38" s="53">
        <f t="shared" si="3"/>
        <v>3.0970149253731344E-2</v>
      </c>
      <c r="I38" s="57">
        <f>SUM($G$7:G38)</f>
        <v>2972</v>
      </c>
      <c r="J38" s="55">
        <f t="shared" si="4"/>
        <v>0.55447761194029854</v>
      </c>
      <c r="K38" s="25"/>
      <c r="M38" s="1"/>
    </row>
    <row r="39" spans="1:13" ht="25" customHeight="1">
      <c r="A39" s="5"/>
      <c r="B39" s="24"/>
      <c r="C39" s="58">
        <v>18</v>
      </c>
      <c r="D39" s="273">
        <f t="shared" si="1"/>
        <v>46</v>
      </c>
      <c r="E39" s="27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263">
        <f t="shared" si="2"/>
        <v>41</v>
      </c>
      <c r="G39" s="265">
        <f>IF(D39=D38,"",_xlfn.IFNA(VLOOKUP(D39,'인원 입력 기능'!$BT$5:$BW$55,4,FALSE),0))</f>
        <v>331</v>
      </c>
      <c r="H39" s="266">
        <f t="shared" si="3"/>
        <v>6.1753731343283581E-2</v>
      </c>
      <c r="I39" s="268">
        <f>SUM($G$7:G39)</f>
        <v>3303</v>
      </c>
      <c r="J39" s="270">
        <f t="shared" si="4"/>
        <v>0.61623134328358209</v>
      </c>
      <c r="K39" s="25"/>
      <c r="M39" s="1"/>
    </row>
    <row r="40" spans="1:13" ht="25" customHeight="1">
      <c r="A40" s="5"/>
      <c r="B40" s="24"/>
      <c r="C40" s="59">
        <v>17</v>
      </c>
      <c r="D40" s="272"/>
      <c r="E40" s="272"/>
      <c r="F40" s="262"/>
      <c r="G40" s="264"/>
      <c r="H40" s="267"/>
      <c r="I40" s="269"/>
      <c r="J40" s="271"/>
      <c r="K40" s="25"/>
      <c r="M40" s="1"/>
    </row>
    <row r="41" spans="1:13" ht="25" customHeight="1">
      <c r="A41" s="5"/>
      <c r="B41" s="24"/>
      <c r="C41" s="58">
        <v>16</v>
      </c>
      <c r="D41" s="60">
        <f t="shared" si="1"/>
        <v>45</v>
      </c>
      <c r="E41" s="60">
        <f t="shared" si="5"/>
        <v>6</v>
      </c>
      <c r="F41" s="51">
        <f t="shared" si="2"/>
        <v>37</v>
      </c>
      <c r="G41" s="52">
        <f>IF(D41=D40,"",_xlfn.IFNA(VLOOKUP(D41,'인원 입력 기능'!$BT$5:$BW$55,4,FALSE),0))</f>
        <v>150</v>
      </c>
      <c r="H41" s="53">
        <f t="shared" si="3"/>
        <v>2.7985074626865673E-2</v>
      </c>
      <c r="I41" s="57">
        <f>SUM($G$7:G41)</f>
        <v>3453</v>
      </c>
      <c r="J41" s="55">
        <f t="shared" si="4"/>
        <v>0.64421641791044781</v>
      </c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44</v>
      </c>
      <c r="E42" s="60">
        <f t="shared" si="5"/>
        <v>6</v>
      </c>
      <c r="F42" s="51">
        <f t="shared" si="2"/>
        <v>34</v>
      </c>
      <c r="G42" s="52">
        <f>IF(D42=D41,"",_xlfn.IFNA(VLOOKUP(D42,'인원 입력 기능'!$BT$5:$BW$55,4,FALSE),0))</f>
        <v>157</v>
      </c>
      <c r="H42" s="53">
        <f t="shared" si="3"/>
        <v>2.9291044776119404E-2</v>
      </c>
      <c r="I42" s="57">
        <f>SUM($G$7:G42)</f>
        <v>3610</v>
      </c>
      <c r="J42" s="55">
        <f t="shared" si="4"/>
        <v>0.67350746268656714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43</v>
      </c>
      <c r="E43" s="60">
        <f t="shared" si="5"/>
        <v>6</v>
      </c>
      <c r="F43" s="51">
        <f t="shared" si="2"/>
        <v>31</v>
      </c>
      <c r="G43" s="52">
        <f>IF(D43=D42,"",_xlfn.IFNA(VLOOKUP(D43,'인원 입력 기능'!$BT$5:$BW$55,4,FALSE),0))</f>
        <v>204</v>
      </c>
      <c r="H43" s="53">
        <f t="shared" si="3"/>
        <v>3.8059701492537311E-2</v>
      </c>
      <c r="I43" s="57">
        <f>SUM($G$7:G43)</f>
        <v>3814</v>
      </c>
      <c r="J43" s="55">
        <f t="shared" si="4"/>
        <v>0.71156716417910448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42</v>
      </c>
      <c r="E44" s="60">
        <f t="shared" si="5"/>
        <v>6</v>
      </c>
      <c r="F44" s="51">
        <f t="shared" si="2"/>
        <v>27</v>
      </c>
      <c r="G44" s="52">
        <f>IF(D44=D43,"",_xlfn.IFNA(VLOOKUP(D44,'인원 입력 기능'!$BT$5:$BW$55,4,FALSE),0))</f>
        <v>176</v>
      </c>
      <c r="H44" s="53">
        <f t="shared" si="3"/>
        <v>3.2835820895522387E-2</v>
      </c>
      <c r="I44" s="57">
        <f>SUM($G$7:G44)</f>
        <v>3990</v>
      </c>
      <c r="J44" s="55">
        <f t="shared" si="4"/>
        <v>0.74440298507462688</v>
      </c>
      <c r="K44" s="25"/>
      <c r="M44" s="1"/>
    </row>
    <row r="45" spans="1:13" ht="25" customHeight="1">
      <c r="A45" s="5"/>
      <c r="B45" s="24"/>
      <c r="C45" s="58">
        <v>12</v>
      </c>
      <c r="D45" s="273">
        <f t="shared" si="1"/>
        <v>41</v>
      </c>
      <c r="E45" s="273">
        <f t="shared" si="5"/>
        <v>6</v>
      </c>
      <c r="F45" s="263">
        <f t="shared" si="2"/>
        <v>23</v>
      </c>
      <c r="G45" s="265">
        <f>IF(D45=D44,"",_xlfn.IFNA(VLOOKUP(D45,'인원 입력 기능'!$BT$5:$BW$55,4,FALSE),0))</f>
        <v>321</v>
      </c>
      <c r="H45" s="266">
        <f t="shared" si="3"/>
        <v>5.9888059701492538E-2</v>
      </c>
      <c r="I45" s="268">
        <f>SUM($G$7:G45)</f>
        <v>4311</v>
      </c>
      <c r="J45" s="270">
        <f t="shared" si="4"/>
        <v>0.80429104477611946</v>
      </c>
      <c r="K45" s="25"/>
      <c r="M45" s="1"/>
    </row>
    <row r="46" spans="1:13" ht="25" customHeight="1">
      <c r="A46" s="5"/>
      <c r="B46" s="24"/>
      <c r="C46" s="59">
        <v>11</v>
      </c>
      <c r="D46" s="272"/>
      <c r="E46" s="272"/>
      <c r="F46" s="262"/>
      <c r="G46" s="264"/>
      <c r="H46" s="267"/>
      <c r="I46" s="269"/>
      <c r="J46" s="271"/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40</v>
      </c>
      <c r="E47" s="60">
        <f t="shared" si="5"/>
        <v>7</v>
      </c>
      <c r="F47" s="51">
        <f t="shared" si="2"/>
        <v>17</v>
      </c>
      <c r="G47" s="52">
        <f>IF(D47=D46,"",_xlfn.IFNA(VLOOKUP(D47,'인원 입력 기능'!$BT$5:$BW$55,4,FALSE),0))</f>
        <v>246</v>
      </c>
      <c r="H47" s="53">
        <f t="shared" si="3"/>
        <v>4.5895522388059704E-2</v>
      </c>
      <c r="I47" s="57">
        <f>SUM($G$7:G47)</f>
        <v>4557</v>
      </c>
      <c r="J47" s="55">
        <f t="shared" si="4"/>
        <v>0.85018656716417906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39</v>
      </c>
      <c r="E48" s="60">
        <f t="shared" si="5"/>
        <v>7</v>
      </c>
      <c r="F48" s="51">
        <f t="shared" si="2"/>
        <v>14</v>
      </c>
      <c r="G48" s="52">
        <f>IF(D48=D47,"",_xlfn.IFNA(VLOOKUP(D48,'인원 입력 기능'!$BT$5:$BW$55,4,FALSE),0))</f>
        <v>147</v>
      </c>
      <c r="H48" s="53">
        <f t="shared" si="3"/>
        <v>2.7425373134328357E-2</v>
      </c>
      <c r="I48" s="57">
        <f>SUM($G$7:G48)</f>
        <v>4704</v>
      </c>
      <c r="J48" s="55">
        <f t="shared" si="4"/>
        <v>0.87761194029850742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38</v>
      </c>
      <c r="E49" s="60">
        <f t="shared" si="5"/>
        <v>7</v>
      </c>
      <c r="F49" s="51">
        <f t="shared" si="2"/>
        <v>11</v>
      </c>
      <c r="G49" s="52">
        <f>IF(D49=D48,"",_xlfn.IFNA(VLOOKUP(D49,'인원 입력 기능'!$BT$5:$BW$55,4,FALSE),0))</f>
        <v>125</v>
      </c>
      <c r="H49" s="53">
        <f t="shared" si="3"/>
        <v>2.3320895522388061E-2</v>
      </c>
      <c r="I49" s="57">
        <f>SUM($G$7:G49)</f>
        <v>4829</v>
      </c>
      <c r="J49" s="55">
        <f t="shared" si="4"/>
        <v>0.90093283582089556</v>
      </c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37</v>
      </c>
      <c r="E50" s="60">
        <f t="shared" si="5"/>
        <v>8</v>
      </c>
      <c r="F50" s="51">
        <f t="shared" si="2"/>
        <v>8</v>
      </c>
      <c r="G50" s="52">
        <f>IF(D50=D49,"",_xlfn.IFNA(VLOOKUP(D50,'인원 입력 기능'!$BT$5:$BW$55,4,FALSE),0))</f>
        <v>232</v>
      </c>
      <c r="H50" s="53">
        <f t="shared" si="3"/>
        <v>4.3283582089552242E-2</v>
      </c>
      <c r="I50" s="57">
        <f>SUM($G$7:G50)</f>
        <v>5061</v>
      </c>
      <c r="J50" s="55">
        <f t="shared" si="4"/>
        <v>0.94421641791044775</v>
      </c>
      <c r="K50" s="25"/>
      <c r="M50" s="1"/>
    </row>
    <row r="51" spans="1:13" ht="25" customHeight="1">
      <c r="A51" s="5"/>
      <c r="B51" s="24"/>
      <c r="C51" s="58">
        <v>6</v>
      </c>
      <c r="D51" s="273">
        <f t="shared" si="1"/>
        <v>36</v>
      </c>
      <c r="E51" s="273">
        <f t="shared" si="5"/>
        <v>8</v>
      </c>
      <c r="F51" s="263">
        <f t="shared" si="2"/>
        <v>4</v>
      </c>
      <c r="G51" s="265">
        <f>IF(D51=D50,"",_xlfn.IFNA(VLOOKUP(D51,'인원 입력 기능'!$BT$5:$BW$55,4,FALSE),0))</f>
        <v>180</v>
      </c>
      <c r="H51" s="266">
        <f t="shared" si="3"/>
        <v>3.3582089552238806E-2</v>
      </c>
      <c r="I51" s="268">
        <f>SUM($G$7:G51)</f>
        <v>5241</v>
      </c>
      <c r="J51" s="270">
        <f t="shared" si="4"/>
        <v>0.97779850746268659</v>
      </c>
      <c r="K51" s="25"/>
      <c r="M51" s="1"/>
    </row>
    <row r="52" spans="1:13" ht="25" customHeight="1">
      <c r="A52" s="5"/>
      <c r="B52" s="24"/>
      <c r="C52" s="59">
        <v>5</v>
      </c>
      <c r="D52" s="272"/>
      <c r="E52" s="272"/>
      <c r="F52" s="262"/>
      <c r="G52" s="264"/>
      <c r="H52" s="267"/>
      <c r="I52" s="269"/>
      <c r="J52" s="271"/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35</v>
      </c>
      <c r="E53" s="50">
        <f t="shared" si="5"/>
        <v>9</v>
      </c>
      <c r="F53" s="51">
        <f t="shared" si="2"/>
        <v>2</v>
      </c>
      <c r="G53" s="52">
        <f>IF(D53=D52,"",_xlfn.IFNA(VLOOKUP(D53,'인원 입력 기능'!$BT$5:$BW$55,4,FALSE),0))</f>
        <v>53</v>
      </c>
      <c r="H53" s="53">
        <f t="shared" si="3"/>
        <v>9.8880597014925371E-3</v>
      </c>
      <c r="I53" s="57">
        <f>SUM($G$7:G53)</f>
        <v>5294</v>
      </c>
      <c r="J53" s="55">
        <f t="shared" si="4"/>
        <v>0.98768656716417913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34</v>
      </c>
      <c r="E54" s="50">
        <f t="shared" si="5"/>
        <v>9</v>
      </c>
      <c r="F54" s="51">
        <f t="shared" si="2"/>
        <v>1</v>
      </c>
      <c r="G54" s="52">
        <f>IF(D54=D53,"",_xlfn.IFNA(VLOOKUP(D54,'인원 입력 기능'!$BT$5:$BW$55,4,FALSE),0))</f>
        <v>20</v>
      </c>
      <c r="H54" s="53">
        <f t="shared" si="3"/>
        <v>3.7313432835820895E-3</v>
      </c>
      <c r="I54" s="57">
        <f>SUM($G$7:G54)</f>
        <v>5314</v>
      </c>
      <c r="J54" s="55">
        <f t="shared" si="4"/>
        <v>0.99141791044776117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33</v>
      </c>
      <c r="E55" s="50">
        <f t="shared" si="5"/>
        <v>9</v>
      </c>
      <c r="F55" s="51">
        <f t="shared" si="2"/>
        <v>1</v>
      </c>
      <c r="G55" s="52">
        <f>IF(D55=D54,"",_xlfn.IFNA(VLOOKUP(D55,'인원 입력 기능'!$BT$5:$BW$55,4,FALSE),0))</f>
        <v>30</v>
      </c>
      <c r="H55" s="53">
        <f t="shared" si="3"/>
        <v>5.597014925373134E-3</v>
      </c>
      <c r="I55" s="57">
        <f>SUM($G$7:G55)</f>
        <v>5344</v>
      </c>
      <c r="J55" s="55">
        <f t="shared" si="4"/>
        <v>0.9970149253731343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31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기능'!$BT$5:$BW$55,4,FALSE),0)</f>
        <v>16</v>
      </c>
      <c r="H57" s="69">
        <f>G57/J3</f>
        <v>2.9850746268656717E-3</v>
      </c>
      <c r="I57" s="70">
        <f>SUM($G$7:G57)</f>
        <v>5360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1">
    <mergeCell ref="I51:I52"/>
    <mergeCell ref="J51:J52"/>
    <mergeCell ref="D51:D52"/>
    <mergeCell ref="E51:E52"/>
    <mergeCell ref="F51:F52"/>
    <mergeCell ref="G51:G52"/>
    <mergeCell ref="H51:H52"/>
    <mergeCell ref="I39:I40"/>
    <mergeCell ref="J39:J40"/>
    <mergeCell ref="D45:D46"/>
    <mergeCell ref="E45:E46"/>
    <mergeCell ref="F45:F46"/>
    <mergeCell ref="G45:G46"/>
    <mergeCell ref="H45:H46"/>
    <mergeCell ref="I45:I46"/>
    <mergeCell ref="J45:J46"/>
    <mergeCell ref="D39:D40"/>
    <mergeCell ref="E39:E40"/>
    <mergeCell ref="F39:F40"/>
    <mergeCell ref="G39:G40"/>
    <mergeCell ref="H39:H40"/>
    <mergeCell ref="I27:I28"/>
    <mergeCell ref="J27:J28"/>
    <mergeCell ref="D33:D34"/>
    <mergeCell ref="E33:E34"/>
    <mergeCell ref="F33:F34"/>
    <mergeCell ref="G33:G34"/>
    <mergeCell ref="H33:H34"/>
    <mergeCell ref="I33:I34"/>
    <mergeCell ref="J33:J34"/>
    <mergeCell ref="D27:D28"/>
    <mergeCell ref="E27:E28"/>
    <mergeCell ref="F27:F28"/>
    <mergeCell ref="G27:G28"/>
    <mergeCell ref="H27:H28"/>
    <mergeCell ref="H15:H16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G5:J5"/>
    <mergeCell ref="D9:D10"/>
    <mergeCell ref="E9:E10"/>
    <mergeCell ref="F9:F10"/>
    <mergeCell ref="G9:G10"/>
    <mergeCell ref="H9:H10"/>
    <mergeCell ref="I9:I10"/>
    <mergeCell ref="J9:J10"/>
    <mergeCell ref="D15:D16"/>
    <mergeCell ref="E15:E16"/>
    <mergeCell ref="F15:F16"/>
    <mergeCell ref="G15:G16"/>
  </mergeCells>
  <phoneticPr fontId="1" type="noConversion"/>
  <conditionalFormatting sqref="D7:J7 D57:J57 D9:J9 D11:J15 D17:J21 D23:J27 D29:J33 D35:J39 D41:J45 D47:J51 D53:J55">
    <cfRule type="expression" dxfId="62" priority="7">
      <formula>OR($D7=$P$7:$P$14)</formula>
    </cfRule>
  </conditionalFormatting>
  <conditionalFormatting sqref="C7:C57">
    <cfRule type="expression" dxfId="61" priority="6">
      <formula>OR(AND($D7=0,OR($D6=$P$7:$P$14)),AND($D8&gt;0,OR($D7=$P$7:$P$14)))</formula>
    </cfRule>
  </conditionalFormatting>
  <conditionalFormatting sqref="D7 D57 D9 D11:D15 D17:D21 D23:D27 D29:D33 D35:D39 D41:D45 D47:D51 D53:D55">
    <cfRule type="expression" dxfId="60" priority="5">
      <formula>$D7=$D8</formula>
    </cfRule>
  </conditionalFormatting>
  <conditionalFormatting sqref="D56">
    <cfRule type="expression" dxfId="59" priority="4">
      <formula>OR($D56=$P$7:$P$14)</formula>
    </cfRule>
  </conditionalFormatting>
  <conditionalFormatting sqref="D56">
    <cfRule type="expression" dxfId="58" priority="3">
      <formula>$D56=$D57</formula>
    </cfRule>
  </conditionalFormatting>
  <conditionalFormatting sqref="D8">
    <cfRule type="expression" dxfId="57" priority="2">
      <formula>OR($D8=$P$7:$P$14)</formula>
    </cfRule>
  </conditionalFormatting>
  <conditionalFormatting sqref="D8">
    <cfRule type="expression" dxfId="56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0495-449F-4BC5-BA70-35C2DCD72EF8}">
  <sheetPr codeName="Sheet22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기능'!D19</f>
        <v>24.2</v>
      </c>
      <c r="I3" s="109" t="s">
        <v>54</v>
      </c>
      <c r="J3" s="110">
        <f>'통계 및 응시자 수 입력 기능'!C19</f>
        <v>6909</v>
      </c>
      <c r="K3" s="25"/>
    </row>
    <row r="4" spans="1:16" ht="25" customHeight="1" thickBot="1">
      <c r="A4" s="5"/>
      <c r="B4" s="24"/>
      <c r="C4" s="42" t="s">
        <v>55</v>
      </c>
      <c r="D4" s="242" t="s">
        <v>63</v>
      </c>
      <c r="E4" s="243"/>
      <c r="F4" s="244"/>
      <c r="G4" s="43" t="s">
        <v>57</v>
      </c>
      <c r="H4" s="108">
        <f>'통계 및 응시자 수 입력 기능'!E19</f>
        <v>11.76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72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기능'!$BY$5:$CB$55,4,FALSE),0)</f>
        <v>52</v>
      </c>
      <c r="H7" s="53">
        <f>G7/J3</f>
        <v>7.5264148212476484E-3</v>
      </c>
      <c r="I7" s="54">
        <f>G7</f>
        <v>52</v>
      </c>
      <c r="J7" s="55">
        <f>I7/J3</f>
        <v>7.5264148212476484E-3</v>
      </c>
      <c r="K7" s="25"/>
      <c r="M7" s="1"/>
      <c r="O7" s="1">
        <v>1</v>
      </c>
      <c r="P7" s="1">
        <f>'표준점수 등급컷 입력기능'!H54</f>
        <v>67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입력기능'!H55</f>
        <v>63</v>
      </c>
    </row>
    <row r="9" spans="1:16" ht="25" customHeight="1">
      <c r="A9" s="5"/>
      <c r="B9" s="24"/>
      <c r="C9" s="49">
        <v>48</v>
      </c>
      <c r="D9" s="50">
        <f>ROUND(10*(C9-$H$3)/$H$4+50,0)</f>
        <v>70</v>
      </c>
      <c r="E9" s="50">
        <f t="shared" si="0"/>
        <v>1</v>
      </c>
      <c r="F9" s="51">
        <f>IF(I8=0,ROUND(100*(1-(I7+I9)/2/$J$3),0),ROUND(100*(1-(I8+I9)/2/$J$3),0))</f>
        <v>99</v>
      </c>
      <c r="G9" s="52">
        <f>_xlfn.IFNA(VLOOKUP(D9,'인원 입력 기능'!$BY$5:$CB$55,4,FALSE),0)</f>
        <v>36</v>
      </c>
      <c r="H9" s="53">
        <f>G9/$J$3</f>
        <v>5.2105948762483714E-3</v>
      </c>
      <c r="I9" s="57">
        <f>SUM($G$7:G9)</f>
        <v>88</v>
      </c>
      <c r="J9" s="55">
        <f>I9/$J$3</f>
        <v>1.273700969749602E-2</v>
      </c>
      <c r="K9" s="25"/>
      <c r="M9" s="1"/>
      <c r="O9" s="1">
        <v>3</v>
      </c>
      <c r="P9" s="1">
        <f>'표준점수 등급컷 입력기능'!H56</f>
        <v>59</v>
      </c>
    </row>
    <row r="10" spans="1:16" ht="25" customHeight="1">
      <c r="A10" s="5"/>
      <c r="B10" s="24"/>
      <c r="C10" s="56">
        <v>47</v>
      </c>
      <c r="D10" s="261">
        <f t="shared" ref="D10:D55" si="1">ROUND(10*(C10-$H$3)/$H$4+50,0)</f>
        <v>69</v>
      </c>
      <c r="E10" s="261">
        <f t="shared" si="0"/>
        <v>1</v>
      </c>
      <c r="F10" s="263">
        <f>IF(I9=0,ROUND(100*(1-(I8+I10)/2/$J$3),0),ROUND(100*(1-(I9+I10)/2/$J$3),0))</f>
        <v>98</v>
      </c>
      <c r="G10" s="265">
        <f>IF(D10=D9,"",_xlfn.IFNA(VLOOKUP(D10,'인원 입력 기능'!$BY$5:$CB$55,4,FALSE),0))</f>
        <v>95</v>
      </c>
      <c r="H10" s="266">
        <f t="shared" ref="H10:H55" si="2">G10/$J$3</f>
        <v>1.3750180923433204E-2</v>
      </c>
      <c r="I10" s="268">
        <f>SUM($G$7:G10)</f>
        <v>183</v>
      </c>
      <c r="J10" s="270">
        <f t="shared" ref="J10:J55" si="3">I10/$J$3</f>
        <v>2.6487190620929222E-2</v>
      </c>
      <c r="K10" s="25"/>
      <c r="M10" s="1"/>
      <c r="O10" s="1">
        <v>4</v>
      </c>
      <c r="P10" s="1">
        <f>'표준점수 등급컷 입력기능'!H57</f>
        <v>53</v>
      </c>
    </row>
    <row r="11" spans="1:16" ht="25" customHeight="1">
      <c r="A11" s="5"/>
      <c r="B11" s="24"/>
      <c r="C11" s="49">
        <v>46</v>
      </c>
      <c r="D11" s="260"/>
      <c r="E11" s="260"/>
      <c r="F11" s="262"/>
      <c r="G11" s="264"/>
      <c r="H11" s="267"/>
      <c r="I11" s="269"/>
      <c r="J11" s="271"/>
      <c r="K11" s="25"/>
      <c r="M11" s="1"/>
      <c r="O11" s="1">
        <v>5</v>
      </c>
      <c r="P11" s="1">
        <f>'표준점수 등급컷 입력기능'!H58</f>
        <v>46</v>
      </c>
    </row>
    <row r="12" spans="1:16" ht="25" customHeight="1">
      <c r="A12" s="5"/>
      <c r="B12" s="24"/>
      <c r="C12" s="56">
        <v>45</v>
      </c>
      <c r="D12" s="50">
        <f t="shared" si="1"/>
        <v>68</v>
      </c>
      <c r="E12" s="50">
        <f t="shared" si="0"/>
        <v>1</v>
      </c>
      <c r="F12" s="51">
        <f t="shared" ref="F11:F55" si="4">IF(I11=0,ROUND(100*(1-(I10+I12)/2/$J$3),0),ROUND(100*(1-(I11+I12)/2/$J$3),0))</f>
        <v>97</v>
      </c>
      <c r="G12" s="52">
        <f>IF(D12=D11,"",_xlfn.IFNA(VLOOKUP(D12,'인원 입력 기능'!$BY$5:$CB$55,4,FALSE),0))</f>
        <v>86</v>
      </c>
      <c r="H12" s="53">
        <f t="shared" si="2"/>
        <v>1.2447532204371109E-2</v>
      </c>
      <c r="I12" s="57">
        <f>SUM($G$7:G12)</f>
        <v>269</v>
      </c>
      <c r="J12" s="55">
        <f t="shared" si="3"/>
        <v>3.8934722825300333E-2</v>
      </c>
      <c r="K12" s="25"/>
      <c r="M12" s="1"/>
      <c r="O12" s="1">
        <v>6</v>
      </c>
      <c r="P12" s="1">
        <f>'표준점수 등급컷 입력기능'!H59</f>
        <v>41</v>
      </c>
    </row>
    <row r="13" spans="1:16" ht="25" customHeight="1">
      <c r="A13" s="5"/>
      <c r="B13" s="24"/>
      <c r="C13" s="49">
        <v>44</v>
      </c>
      <c r="D13" s="50">
        <f t="shared" si="1"/>
        <v>67</v>
      </c>
      <c r="E13" s="50">
        <f t="shared" si="0"/>
        <v>1</v>
      </c>
      <c r="F13" s="51">
        <f t="shared" si="4"/>
        <v>96</v>
      </c>
      <c r="G13" s="52">
        <f>IF(D13=D12,"",_xlfn.IFNA(VLOOKUP(D13,'인원 입력 기능'!$BY$5:$CB$55,4,FALSE),0))</f>
        <v>76</v>
      </c>
      <c r="H13" s="53">
        <f t="shared" si="2"/>
        <v>1.1000144738746562E-2</v>
      </c>
      <c r="I13" s="57">
        <f>SUM($G$7:G13)</f>
        <v>345</v>
      </c>
      <c r="J13" s="55">
        <f t="shared" si="3"/>
        <v>4.9934867564046893E-2</v>
      </c>
      <c r="K13" s="25"/>
      <c r="M13" s="1"/>
      <c r="O13" s="1">
        <v>7</v>
      </c>
      <c r="P13" s="1">
        <f>'표준점수 등급컷 입력기능'!H60</f>
        <v>38</v>
      </c>
    </row>
    <row r="14" spans="1:16" ht="25" customHeight="1">
      <c r="A14" s="5"/>
      <c r="B14" s="24"/>
      <c r="C14" s="56">
        <v>43</v>
      </c>
      <c r="D14" s="50">
        <f t="shared" si="1"/>
        <v>66</v>
      </c>
      <c r="E14" s="50">
        <f t="shared" si="0"/>
        <v>2</v>
      </c>
      <c r="F14" s="51">
        <f t="shared" si="4"/>
        <v>95</v>
      </c>
      <c r="G14" s="52">
        <f>IF(D14=D13,"",_xlfn.IFNA(VLOOKUP(D14,'인원 입력 기능'!$BY$5:$CB$55,4,FALSE),0))</f>
        <v>60</v>
      </c>
      <c r="H14" s="53">
        <f t="shared" si="2"/>
        <v>8.6843247937472869E-3</v>
      </c>
      <c r="I14" s="57">
        <f>SUM($G$7:G14)</f>
        <v>405</v>
      </c>
      <c r="J14" s="55">
        <f t="shared" si="3"/>
        <v>5.8619192357794184E-2</v>
      </c>
      <c r="K14" s="25"/>
      <c r="M14" s="1"/>
      <c r="O14" s="1">
        <v>8</v>
      </c>
      <c r="P14" s="1">
        <f>'표준점수 등급컷 입력기능'!H61</f>
        <v>35</v>
      </c>
    </row>
    <row r="15" spans="1:16" ht="25" customHeight="1">
      <c r="A15" s="5"/>
      <c r="B15" s="24"/>
      <c r="C15" s="49">
        <v>42</v>
      </c>
      <c r="D15" s="50">
        <f t="shared" si="1"/>
        <v>65</v>
      </c>
      <c r="E15" s="50">
        <f t="shared" si="0"/>
        <v>2</v>
      </c>
      <c r="F15" s="51">
        <f t="shared" si="4"/>
        <v>93</v>
      </c>
      <c r="G15" s="52">
        <f>IF(D15=D14,"",_xlfn.IFNA(VLOOKUP(D15,'인원 입력 기능'!$BY$5:$CB$55,4,FALSE),0))</f>
        <v>139</v>
      </c>
      <c r="H15" s="53">
        <f t="shared" si="2"/>
        <v>2.0118685772181212E-2</v>
      </c>
      <c r="I15" s="57">
        <f>SUM($G$7:G15)</f>
        <v>544</v>
      </c>
      <c r="J15" s="55">
        <f t="shared" si="3"/>
        <v>7.8737878129975389E-2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64</v>
      </c>
      <c r="E16" s="50">
        <f t="shared" si="0"/>
        <v>2</v>
      </c>
      <c r="F16" s="51">
        <f t="shared" si="4"/>
        <v>92</v>
      </c>
      <c r="G16" s="52">
        <f>IF(D16=D15,"",_xlfn.IFNA(VLOOKUP(D16,'인원 입력 기능'!$BY$5:$CB$55,4,FALSE),0))</f>
        <v>82</v>
      </c>
      <c r="H16" s="53">
        <f t="shared" si="2"/>
        <v>1.1868577218121292E-2</v>
      </c>
      <c r="I16" s="57">
        <f>SUM($G$7:G16)</f>
        <v>626</v>
      </c>
      <c r="J16" s="55">
        <f t="shared" si="3"/>
        <v>9.0606455348096679E-2</v>
      </c>
      <c r="K16" s="25"/>
      <c r="M16" s="1"/>
    </row>
    <row r="17" spans="1:16" ht="25" customHeight="1">
      <c r="A17" s="5"/>
      <c r="B17" s="24"/>
      <c r="C17" s="49">
        <v>40</v>
      </c>
      <c r="D17" s="261">
        <f t="shared" si="1"/>
        <v>63</v>
      </c>
      <c r="E17" s="261">
        <f t="shared" si="0"/>
        <v>2</v>
      </c>
      <c r="F17" s="263">
        <f t="shared" si="4"/>
        <v>88</v>
      </c>
      <c r="G17" s="265">
        <f>IF(D17=D16,"",_xlfn.IFNA(VLOOKUP(D17,'인원 입력 기능'!$BY$5:$CB$55,4,FALSE),0))</f>
        <v>366</v>
      </c>
      <c r="H17" s="266">
        <f t="shared" si="2"/>
        <v>5.2974381241858444E-2</v>
      </c>
      <c r="I17" s="268">
        <f>SUM($G$7:G17)</f>
        <v>992</v>
      </c>
      <c r="J17" s="270">
        <f t="shared" si="3"/>
        <v>0.14358083658995513</v>
      </c>
      <c r="K17" s="25"/>
      <c r="M17" s="1"/>
      <c r="P17" s="1">
        <f>H3*H4*J3*P7*IFERROR(IF(J57=1, 1, 0), 0)</f>
        <v>131738490.57599999</v>
      </c>
    </row>
    <row r="18" spans="1:16" ht="25" customHeight="1">
      <c r="A18" s="5"/>
      <c r="B18" s="24"/>
      <c r="C18" s="56">
        <v>39</v>
      </c>
      <c r="D18" s="260"/>
      <c r="E18" s="260"/>
      <c r="F18" s="262"/>
      <c r="G18" s="264"/>
      <c r="H18" s="267"/>
      <c r="I18" s="269"/>
      <c r="J18" s="271"/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62</v>
      </c>
      <c r="E19" s="50">
        <f t="shared" si="0"/>
        <v>3</v>
      </c>
      <c r="F19" s="51">
        <f t="shared" si="4"/>
        <v>85</v>
      </c>
      <c r="G19" s="52">
        <f>IF(D19=D18,"",_xlfn.IFNA(VLOOKUP(D19,'인원 입력 기능'!$BY$5:$CB$55,4,FALSE),0))</f>
        <v>126</v>
      </c>
      <c r="H19" s="53">
        <f t="shared" si="2"/>
        <v>1.82370820668693E-2</v>
      </c>
      <c r="I19" s="57">
        <f>SUM($G$7:G19)</f>
        <v>1118</v>
      </c>
      <c r="J19" s="55">
        <f t="shared" si="3"/>
        <v>0.16181791865682443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61</v>
      </c>
      <c r="E20" s="50">
        <f t="shared" si="0"/>
        <v>3</v>
      </c>
      <c r="F20" s="51">
        <f t="shared" si="4"/>
        <v>82</v>
      </c>
      <c r="G20" s="52">
        <f>IF(D20=D19,"",_xlfn.IFNA(VLOOKUP(D20,'인원 입력 기능'!$BY$5:$CB$55,4,FALSE),0))</f>
        <v>233</v>
      </c>
      <c r="H20" s="53">
        <f t="shared" si="2"/>
        <v>3.3724127949051962E-2</v>
      </c>
      <c r="I20" s="57">
        <f>SUM($G$7:G20)</f>
        <v>1351</v>
      </c>
      <c r="J20" s="55">
        <f t="shared" si="3"/>
        <v>0.1955420466058764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60</v>
      </c>
      <c r="E21" s="60">
        <f t="shared" si="0"/>
        <v>3</v>
      </c>
      <c r="F21" s="51">
        <f t="shared" si="4"/>
        <v>79</v>
      </c>
      <c r="G21" s="52">
        <f>IF(D21=D20,"",_xlfn.IFNA(VLOOKUP(D21,'인원 입력 기능'!$BY$5:$CB$55,4,FALSE),0))</f>
        <v>161</v>
      </c>
      <c r="H21" s="53">
        <f t="shared" si="2"/>
        <v>2.3302938196555219E-2</v>
      </c>
      <c r="I21" s="57">
        <f>SUM($G$7:G21)</f>
        <v>1512</v>
      </c>
      <c r="J21" s="55">
        <f t="shared" si="3"/>
        <v>0.21884498480243161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59</v>
      </c>
      <c r="E22" s="60">
        <f t="shared" si="0"/>
        <v>3</v>
      </c>
      <c r="F22" s="51">
        <f t="shared" si="4"/>
        <v>77</v>
      </c>
      <c r="G22" s="52">
        <f>IF(D22=D21,"",_xlfn.IFNA(VLOOKUP(D22,'인원 입력 기능'!$BY$5:$CB$55,4,FALSE),0))</f>
        <v>174</v>
      </c>
      <c r="H22" s="53">
        <f t="shared" si="2"/>
        <v>2.5184541901867131E-2</v>
      </c>
      <c r="I22" s="57">
        <f>SUM($G$7:G22)</f>
        <v>1686</v>
      </c>
      <c r="J22" s="55">
        <f t="shared" si="3"/>
        <v>0.24402952670429873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58</v>
      </c>
      <c r="E23" s="60">
        <f t="shared" si="0"/>
        <v>4</v>
      </c>
      <c r="F23" s="51">
        <f t="shared" si="4"/>
        <v>74</v>
      </c>
      <c r="G23" s="52">
        <f>IF(D23=D22,"",_xlfn.IFNA(VLOOKUP(D23,'인원 입력 기능'!$BY$5:$CB$55,4,FALSE),0))</f>
        <v>201</v>
      </c>
      <c r="H23" s="53">
        <f t="shared" si="2"/>
        <v>2.9092488059053408E-2</v>
      </c>
      <c r="I23" s="57">
        <f>SUM($G$7:G23)</f>
        <v>1887</v>
      </c>
      <c r="J23" s="55">
        <f t="shared" si="3"/>
        <v>0.27312201476335213</v>
      </c>
      <c r="K23" s="25"/>
      <c r="M23" s="1"/>
    </row>
    <row r="24" spans="1:16" ht="25" customHeight="1">
      <c r="A24" s="5"/>
      <c r="B24" s="24"/>
      <c r="C24" s="59">
        <v>33</v>
      </c>
      <c r="D24" s="273">
        <f t="shared" si="1"/>
        <v>57</v>
      </c>
      <c r="E24" s="273">
        <f t="shared" si="0"/>
        <v>4</v>
      </c>
      <c r="F24" s="263">
        <f t="shared" si="4"/>
        <v>70</v>
      </c>
      <c r="G24" s="265">
        <f>IF(D24=D23,"",_xlfn.IFNA(VLOOKUP(D24,'인원 입력 기능'!$BY$5:$CB$55,4,FALSE),0))</f>
        <v>322</v>
      </c>
      <c r="H24" s="266">
        <f t="shared" si="2"/>
        <v>4.6605876393110438E-2</v>
      </c>
      <c r="I24" s="268">
        <f>SUM($G$7:G24)</f>
        <v>2209</v>
      </c>
      <c r="J24" s="270">
        <f t="shared" si="3"/>
        <v>0.31972789115646261</v>
      </c>
      <c r="K24" s="25"/>
      <c r="M24" s="1"/>
    </row>
    <row r="25" spans="1:16" ht="25" customHeight="1">
      <c r="A25" s="5"/>
      <c r="B25" s="24"/>
      <c r="C25" s="58">
        <v>32</v>
      </c>
      <c r="D25" s="272"/>
      <c r="E25" s="272"/>
      <c r="F25" s="262"/>
      <c r="G25" s="264"/>
      <c r="H25" s="267"/>
      <c r="I25" s="269"/>
      <c r="J25" s="271"/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56</v>
      </c>
      <c r="E26" s="60">
        <f t="shared" si="0"/>
        <v>4</v>
      </c>
      <c r="F26" s="51">
        <f t="shared" si="4"/>
        <v>67</v>
      </c>
      <c r="G26" s="52">
        <f>IF(D26=D25,"",_xlfn.IFNA(VLOOKUP(D26,'인원 입력 기능'!$BY$5:$CB$55,4,FALSE),0))</f>
        <v>150</v>
      </c>
      <c r="H26" s="53">
        <f t="shared" si="2"/>
        <v>2.1710811984368215E-2</v>
      </c>
      <c r="I26" s="57">
        <f>SUM($G$7:G26)</f>
        <v>2359</v>
      </c>
      <c r="J26" s="55">
        <f t="shared" si="3"/>
        <v>0.3414387031408308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55</v>
      </c>
      <c r="E27" s="60">
        <f t="shared" si="0"/>
        <v>4</v>
      </c>
      <c r="F27" s="51">
        <f t="shared" si="4"/>
        <v>65</v>
      </c>
      <c r="G27" s="52">
        <f>IF(D27=D26,"",_xlfn.IFNA(VLOOKUP(D27,'인원 입력 기능'!$BY$5:$CB$55,4,FALSE),0))</f>
        <v>148</v>
      </c>
      <c r="H27" s="53">
        <f t="shared" si="2"/>
        <v>2.1421334491243307E-2</v>
      </c>
      <c r="I27" s="57">
        <f>SUM($G$7:G27)</f>
        <v>2507</v>
      </c>
      <c r="J27" s="55">
        <f t="shared" si="3"/>
        <v>0.36286003763207408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54</v>
      </c>
      <c r="E28" s="60">
        <f t="shared" si="0"/>
        <v>4</v>
      </c>
      <c r="F28" s="51">
        <f t="shared" si="4"/>
        <v>63</v>
      </c>
      <c r="G28" s="52">
        <f>IF(D28=D27,"",_xlfn.IFNA(VLOOKUP(D28,'인원 입력 기능'!$BY$5:$CB$55,4,FALSE),0))</f>
        <v>137</v>
      </c>
      <c r="H28" s="53">
        <f t="shared" si="2"/>
        <v>1.9829208279056303E-2</v>
      </c>
      <c r="I28" s="57">
        <f>SUM($G$7:G28)</f>
        <v>2644</v>
      </c>
      <c r="J28" s="55">
        <f t="shared" si="3"/>
        <v>0.3826892459111304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53</v>
      </c>
      <c r="E29" s="60">
        <f t="shared" si="0"/>
        <v>4</v>
      </c>
      <c r="F29" s="51">
        <f t="shared" si="4"/>
        <v>61</v>
      </c>
      <c r="G29" s="52">
        <f>IF(D29=D28,"",_xlfn.IFNA(VLOOKUP(D29,'인원 입력 기능'!$BY$5:$CB$55,4,FALSE),0))</f>
        <v>140</v>
      </c>
      <c r="H29" s="53">
        <f t="shared" si="2"/>
        <v>2.0263424518743668E-2</v>
      </c>
      <c r="I29" s="57">
        <f>SUM($G$7:G29)</f>
        <v>2784</v>
      </c>
      <c r="J29" s="55">
        <f t="shared" si="3"/>
        <v>0.40295267042987409</v>
      </c>
      <c r="K29" s="25"/>
      <c r="M29" s="1"/>
    </row>
    <row r="30" spans="1:16" ht="25" customHeight="1">
      <c r="A30" s="5"/>
      <c r="B30" s="24"/>
      <c r="C30" s="59">
        <v>27</v>
      </c>
      <c r="D30" s="273">
        <f t="shared" si="1"/>
        <v>52</v>
      </c>
      <c r="E30" s="273">
        <f t="shared" si="0"/>
        <v>5</v>
      </c>
      <c r="F30" s="263">
        <f t="shared" si="4"/>
        <v>58</v>
      </c>
      <c r="G30" s="265">
        <f>IF(D30=D29,"",_xlfn.IFNA(VLOOKUP(D30,'인원 입력 기능'!$BY$5:$CB$55,4,FALSE),0))</f>
        <v>281</v>
      </c>
      <c r="H30" s="266">
        <f t="shared" si="2"/>
        <v>4.0671587784049792E-2</v>
      </c>
      <c r="I30" s="268">
        <f>SUM($G$7:G30)</f>
        <v>3065</v>
      </c>
      <c r="J30" s="270">
        <f t="shared" si="3"/>
        <v>0.44362425821392387</v>
      </c>
      <c r="K30" s="25"/>
      <c r="M30" s="1"/>
    </row>
    <row r="31" spans="1:16" ht="25" customHeight="1">
      <c r="A31" s="5"/>
      <c r="B31" s="24"/>
      <c r="C31" s="58">
        <v>26</v>
      </c>
      <c r="D31" s="272"/>
      <c r="E31" s="272"/>
      <c r="F31" s="262"/>
      <c r="G31" s="264"/>
      <c r="H31" s="267"/>
      <c r="I31" s="269"/>
      <c r="J31" s="271"/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51</v>
      </c>
      <c r="E32" s="60">
        <f t="shared" si="0"/>
        <v>5</v>
      </c>
      <c r="F32" s="51">
        <f t="shared" si="4"/>
        <v>55</v>
      </c>
      <c r="G32" s="52">
        <f>IF(D32=D31,"",_xlfn.IFNA(VLOOKUP(D32,'인원 입력 기능'!$BY$5:$CB$55,4,FALSE),0))</f>
        <v>145</v>
      </c>
      <c r="H32" s="53">
        <f t="shared" si="2"/>
        <v>2.0987118251555942E-2</v>
      </c>
      <c r="I32" s="57">
        <f>SUM($G$7:G32)</f>
        <v>3210</v>
      </c>
      <c r="J32" s="55">
        <f t="shared" si="3"/>
        <v>0.46461137646547979</v>
      </c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50</v>
      </c>
      <c r="E33" s="60">
        <f t="shared" si="0"/>
        <v>5</v>
      </c>
      <c r="F33" s="51">
        <f t="shared" si="4"/>
        <v>53</v>
      </c>
      <c r="G33" s="52">
        <f>IF(D33=D32,"",_xlfn.IFNA(VLOOKUP(D33,'인원 입력 기능'!$BY$5:$CB$55,4,FALSE),0))</f>
        <v>139</v>
      </c>
      <c r="H33" s="53">
        <f t="shared" si="2"/>
        <v>2.0118685772181212E-2</v>
      </c>
      <c r="I33" s="57">
        <f>SUM($G$7:G33)</f>
        <v>3349</v>
      </c>
      <c r="J33" s="55">
        <f t="shared" si="3"/>
        <v>0.48473006223766102</v>
      </c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49</v>
      </c>
      <c r="E34" s="60">
        <f t="shared" si="0"/>
        <v>5</v>
      </c>
      <c r="F34" s="51">
        <f t="shared" si="4"/>
        <v>50</v>
      </c>
      <c r="G34" s="52">
        <f>IF(D34=D33,"",_xlfn.IFNA(VLOOKUP(D34,'인원 입력 기능'!$BY$5:$CB$55,4,FALSE),0))</f>
        <v>162</v>
      </c>
      <c r="H34" s="53">
        <f t="shared" si="2"/>
        <v>2.3447676943117671E-2</v>
      </c>
      <c r="I34" s="57">
        <f>SUM($G$7:G34)</f>
        <v>3511</v>
      </c>
      <c r="J34" s="55">
        <f t="shared" si="3"/>
        <v>0.50817773918077869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48</v>
      </c>
      <c r="E35" s="60">
        <f t="shared" si="0"/>
        <v>5</v>
      </c>
      <c r="F35" s="51">
        <f t="shared" si="4"/>
        <v>48</v>
      </c>
      <c r="G35" s="52">
        <f>IF(D35=D34,"",_xlfn.IFNA(VLOOKUP(D35,'인원 입력 기능'!$BY$5:$CB$55,4,FALSE),0))</f>
        <v>185</v>
      </c>
      <c r="H35" s="53">
        <f t="shared" si="2"/>
        <v>2.6776668114054131E-2</v>
      </c>
      <c r="I35" s="57">
        <f>SUM($G$7:G35)</f>
        <v>3696</v>
      </c>
      <c r="J35" s="55">
        <f t="shared" si="3"/>
        <v>0.53495440729483279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47</v>
      </c>
      <c r="E36" s="60">
        <f t="shared" si="0"/>
        <v>5</v>
      </c>
      <c r="F36" s="51">
        <f t="shared" si="4"/>
        <v>45</v>
      </c>
      <c r="G36" s="52">
        <f>IF(D36=D35,"",_xlfn.IFNA(VLOOKUP(D36,'인원 입력 기능'!$BY$5:$CB$55,4,FALSE),0))</f>
        <v>175</v>
      </c>
      <c r="H36" s="53">
        <f t="shared" si="2"/>
        <v>2.5329280648429583E-2</v>
      </c>
      <c r="I36" s="57">
        <f>SUM($G$7:G36)</f>
        <v>3871</v>
      </c>
      <c r="J36" s="55">
        <f t="shared" si="3"/>
        <v>0.56028368794326244</v>
      </c>
      <c r="K36" s="25"/>
      <c r="M36" s="1"/>
    </row>
    <row r="37" spans="1:13" ht="25" customHeight="1">
      <c r="A37" s="5"/>
      <c r="B37" s="24"/>
      <c r="C37" s="58">
        <v>20</v>
      </c>
      <c r="D37" s="273">
        <f t="shared" si="1"/>
        <v>46</v>
      </c>
      <c r="E37" s="273">
        <f t="shared" si="0"/>
        <v>5</v>
      </c>
      <c r="F37" s="263">
        <f t="shared" si="4"/>
        <v>41</v>
      </c>
      <c r="G37" s="265">
        <f>IF(D37=D36,"",_xlfn.IFNA(VLOOKUP(D37,'인원 입력 기능'!$BY$5:$CB$55,4,FALSE),0))</f>
        <v>379</v>
      </c>
      <c r="H37" s="266">
        <f t="shared" si="2"/>
        <v>5.485598494717036E-2</v>
      </c>
      <c r="I37" s="268">
        <f>SUM($G$7:G37)</f>
        <v>4250</v>
      </c>
      <c r="J37" s="270">
        <f t="shared" si="3"/>
        <v>0.61513967289043281</v>
      </c>
      <c r="K37" s="25"/>
      <c r="M37" s="1"/>
    </row>
    <row r="38" spans="1:13" ht="25" customHeight="1">
      <c r="A38" s="5"/>
      <c r="B38" s="24"/>
      <c r="C38" s="59">
        <v>19</v>
      </c>
      <c r="D38" s="272"/>
      <c r="E38" s="272"/>
      <c r="F38" s="262"/>
      <c r="G38" s="264"/>
      <c r="H38" s="267"/>
      <c r="I38" s="269"/>
      <c r="J38" s="271"/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45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51">
        <f t="shared" si="4"/>
        <v>37</v>
      </c>
      <c r="G39" s="52">
        <f>IF(D39=D38,"",_xlfn.IFNA(VLOOKUP(D39,'인원 입력 기능'!$BY$5:$CB$55,4,FALSE),0))</f>
        <v>229</v>
      </c>
      <c r="H39" s="53">
        <f t="shared" si="2"/>
        <v>3.3145172962802144E-2</v>
      </c>
      <c r="I39" s="57">
        <f>SUM($G$7:G39)</f>
        <v>4479</v>
      </c>
      <c r="J39" s="55">
        <f t="shared" si="3"/>
        <v>0.64828484585323487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44</v>
      </c>
      <c r="E40" s="60">
        <f t="shared" si="5"/>
        <v>6</v>
      </c>
      <c r="F40" s="51">
        <f t="shared" si="4"/>
        <v>34</v>
      </c>
      <c r="G40" s="52">
        <f>IF(D40=D39,"",_xlfn.IFNA(VLOOKUP(D40,'인원 입력 기능'!$BY$5:$CB$55,4,FALSE),0))</f>
        <v>220</v>
      </c>
      <c r="H40" s="53">
        <f t="shared" si="2"/>
        <v>3.1842524243740046E-2</v>
      </c>
      <c r="I40" s="57">
        <f>SUM($G$7:G40)</f>
        <v>4699</v>
      </c>
      <c r="J40" s="55">
        <f t="shared" si="3"/>
        <v>0.68012737009697499</v>
      </c>
      <c r="K40" s="25"/>
      <c r="M40" s="1"/>
    </row>
    <row r="41" spans="1:13" ht="25" customHeight="1">
      <c r="A41" s="5"/>
      <c r="B41" s="24"/>
      <c r="C41" s="58">
        <v>16</v>
      </c>
      <c r="D41" s="60">
        <f t="shared" si="1"/>
        <v>43</v>
      </c>
      <c r="E41" s="60">
        <f t="shared" si="5"/>
        <v>6</v>
      </c>
      <c r="F41" s="51">
        <f t="shared" si="4"/>
        <v>30</v>
      </c>
      <c r="G41" s="52">
        <f>IF(D41=D40,"",_xlfn.IFNA(VLOOKUP(D41,'인원 입력 기능'!$BY$5:$CB$55,4,FALSE),0))</f>
        <v>213</v>
      </c>
      <c r="H41" s="53">
        <f t="shared" si="2"/>
        <v>3.0829353017802867E-2</v>
      </c>
      <c r="I41" s="57">
        <f>SUM($G$7:G41)</f>
        <v>4912</v>
      </c>
      <c r="J41" s="55">
        <f t="shared" si="3"/>
        <v>0.71095672311477787</v>
      </c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42</v>
      </c>
      <c r="E42" s="60">
        <f t="shared" si="5"/>
        <v>6</v>
      </c>
      <c r="F42" s="51">
        <f t="shared" si="4"/>
        <v>27</v>
      </c>
      <c r="G42" s="52">
        <f>IF(D42=D41,"",_xlfn.IFNA(VLOOKUP(D42,'인원 입력 기능'!$BY$5:$CB$55,4,FALSE),0))</f>
        <v>199</v>
      </c>
      <c r="H42" s="53">
        <f t="shared" si="2"/>
        <v>2.8803010565928499E-2</v>
      </c>
      <c r="I42" s="57">
        <f>SUM($G$7:G42)</f>
        <v>5111</v>
      </c>
      <c r="J42" s="55">
        <f t="shared" si="3"/>
        <v>0.73975973368070636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41</v>
      </c>
      <c r="E43" s="60">
        <f t="shared" si="5"/>
        <v>6</v>
      </c>
      <c r="F43" s="51">
        <f t="shared" si="4"/>
        <v>24</v>
      </c>
      <c r="G43" s="52">
        <f>IF(D43=D42,"",_xlfn.IFNA(VLOOKUP(D43,'인원 입력 기능'!$BY$5:$CB$55,4,FALSE),0))</f>
        <v>240</v>
      </c>
      <c r="H43" s="53">
        <f t="shared" si="2"/>
        <v>3.4737299174989147E-2</v>
      </c>
      <c r="I43" s="57">
        <f>SUM($G$7:G43)</f>
        <v>5351</v>
      </c>
      <c r="J43" s="55">
        <f t="shared" si="3"/>
        <v>0.77449703285569549</v>
      </c>
      <c r="K43" s="25"/>
      <c r="M43" s="1"/>
    </row>
    <row r="44" spans="1:13" ht="25" customHeight="1">
      <c r="A44" s="5"/>
      <c r="B44" s="24"/>
      <c r="C44" s="59">
        <v>13</v>
      </c>
      <c r="D44" s="273">
        <f t="shared" si="1"/>
        <v>40</v>
      </c>
      <c r="E44" s="273">
        <f t="shared" si="5"/>
        <v>7</v>
      </c>
      <c r="F44" s="263">
        <f t="shared" si="4"/>
        <v>19</v>
      </c>
      <c r="G44" s="265">
        <f>IF(D44=D43,"",_xlfn.IFNA(VLOOKUP(D44,'인원 입력 기능'!$BY$5:$CB$55,4,FALSE),0))</f>
        <v>450</v>
      </c>
      <c r="H44" s="266">
        <f t="shared" si="2"/>
        <v>6.5132435953104639E-2</v>
      </c>
      <c r="I44" s="268">
        <f>SUM($G$7:G44)</f>
        <v>5801</v>
      </c>
      <c r="J44" s="270">
        <f t="shared" si="3"/>
        <v>0.83962946880880007</v>
      </c>
      <c r="K44" s="25"/>
      <c r="M44" s="1"/>
    </row>
    <row r="45" spans="1:13" ht="25" customHeight="1">
      <c r="A45" s="5"/>
      <c r="B45" s="24"/>
      <c r="C45" s="58">
        <v>12</v>
      </c>
      <c r="D45" s="272"/>
      <c r="E45" s="272"/>
      <c r="F45" s="262"/>
      <c r="G45" s="264"/>
      <c r="H45" s="267"/>
      <c r="I45" s="269"/>
      <c r="J45" s="271"/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39</v>
      </c>
      <c r="E46" s="60">
        <f t="shared" si="5"/>
        <v>7</v>
      </c>
      <c r="F46" s="51">
        <f t="shared" si="4"/>
        <v>15</v>
      </c>
      <c r="G46" s="52">
        <f>IF(D46=D45,"",_xlfn.IFNA(VLOOKUP(D46,'인원 입력 기능'!$BY$5:$CB$55,4,FALSE),0))</f>
        <v>161</v>
      </c>
      <c r="H46" s="53">
        <f t="shared" si="2"/>
        <v>2.3302938196555219E-2</v>
      </c>
      <c r="I46" s="57">
        <f>SUM($G$7:G46)</f>
        <v>5962</v>
      </c>
      <c r="J46" s="55">
        <f t="shared" si="3"/>
        <v>0.86293240700535534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38</v>
      </c>
      <c r="E47" s="60">
        <f t="shared" si="5"/>
        <v>7</v>
      </c>
      <c r="F47" s="51">
        <f t="shared" si="4"/>
        <v>12</v>
      </c>
      <c r="G47" s="52">
        <f>IF(D47=D46,"",_xlfn.IFNA(VLOOKUP(D47,'인원 입력 기능'!$BY$5:$CB$55,4,FALSE),0))</f>
        <v>264</v>
      </c>
      <c r="H47" s="53">
        <f t="shared" si="2"/>
        <v>3.8211029092488059E-2</v>
      </c>
      <c r="I47" s="57">
        <f>SUM($G$7:G47)</f>
        <v>6226</v>
      </c>
      <c r="J47" s="55">
        <f t="shared" si="3"/>
        <v>0.90114343609784342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37</v>
      </c>
      <c r="E48" s="60">
        <f t="shared" si="5"/>
        <v>8</v>
      </c>
      <c r="F48" s="51">
        <f t="shared" si="4"/>
        <v>9</v>
      </c>
      <c r="G48" s="52">
        <f>IF(D48=D47,"",_xlfn.IFNA(VLOOKUP(D48,'인원 입력 기능'!$BY$5:$CB$55,4,FALSE),0))</f>
        <v>190</v>
      </c>
      <c r="H48" s="53">
        <f t="shared" si="2"/>
        <v>2.7500361846866408E-2</v>
      </c>
      <c r="I48" s="57">
        <f>SUM($G$7:G48)</f>
        <v>6416</v>
      </c>
      <c r="J48" s="55">
        <f t="shared" si="3"/>
        <v>0.92864379794470975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36</v>
      </c>
      <c r="E49" s="60">
        <f t="shared" si="5"/>
        <v>8</v>
      </c>
      <c r="F49" s="51">
        <f t="shared" si="4"/>
        <v>6</v>
      </c>
      <c r="G49" s="52">
        <f>IF(D49=D48,"",_xlfn.IFNA(VLOOKUP(D49,'인원 입력 기능'!$BY$5:$CB$55,4,FALSE),0))</f>
        <v>97</v>
      </c>
      <c r="H49" s="53">
        <f t="shared" si="2"/>
        <v>1.4039658416558113E-2</v>
      </c>
      <c r="I49" s="57">
        <f>SUM($G$7:G49)</f>
        <v>6513</v>
      </c>
      <c r="J49" s="55">
        <f t="shared" si="3"/>
        <v>0.94268345636126794</v>
      </c>
      <c r="K49" s="25"/>
      <c r="M49" s="1"/>
    </row>
    <row r="50" spans="1:13" ht="25" customHeight="1">
      <c r="A50" s="5"/>
      <c r="B50" s="24"/>
      <c r="C50" s="59">
        <v>7</v>
      </c>
      <c r="D50" s="273">
        <f t="shared" si="1"/>
        <v>35</v>
      </c>
      <c r="E50" s="273">
        <f t="shared" si="5"/>
        <v>8</v>
      </c>
      <c r="F50" s="263">
        <f t="shared" si="4"/>
        <v>4</v>
      </c>
      <c r="G50" s="265">
        <f>IF(D50=D49,"",_xlfn.IFNA(VLOOKUP(D50,'인원 입력 기능'!$BY$5:$CB$55,4,FALSE),0))</f>
        <v>210</v>
      </c>
      <c r="H50" s="266">
        <f t="shared" si="2"/>
        <v>3.0395136778115502E-2</v>
      </c>
      <c r="I50" s="268">
        <f>SUM($G$7:G50)</f>
        <v>6723</v>
      </c>
      <c r="J50" s="270">
        <f t="shared" si="3"/>
        <v>0.97307859313938339</v>
      </c>
      <c r="K50" s="25"/>
      <c r="M50" s="1"/>
    </row>
    <row r="51" spans="1:13" ht="25" customHeight="1">
      <c r="A51" s="5"/>
      <c r="B51" s="24"/>
      <c r="C51" s="58">
        <v>6</v>
      </c>
      <c r="D51" s="272"/>
      <c r="E51" s="272"/>
      <c r="F51" s="262"/>
      <c r="G51" s="264"/>
      <c r="H51" s="267"/>
      <c r="I51" s="269"/>
      <c r="J51" s="271"/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34</v>
      </c>
      <c r="E52" s="60">
        <f t="shared" si="5"/>
        <v>9</v>
      </c>
      <c r="F52" s="51">
        <f t="shared" si="4"/>
        <v>2</v>
      </c>
      <c r="G52" s="52">
        <f>IF(D52=D51,"",_xlfn.IFNA(VLOOKUP(D52,'인원 입력 기능'!$BY$5:$CB$55,4,FALSE),0))</f>
        <v>97</v>
      </c>
      <c r="H52" s="53">
        <f t="shared" si="2"/>
        <v>1.4039658416558113E-2</v>
      </c>
      <c r="I52" s="57">
        <f>SUM($G$7:G52)</f>
        <v>6820</v>
      </c>
      <c r="J52" s="55">
        <f t="shared" si="3"/>
        <v>0.98711825155594157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33</v>
      </c>
      <c r="E53" s="50">
        <f t="shared" si="5"/>
        <v>9</v>
      </c>
      <c r="F53" s="51">
        <f t="shared" si="4"/>
        <v>1</v>
      </c>
      <c r="G53" s="52">
        <f>IF(D53=D52,"",_xlfn.IFNA(VLOOKUP(D53,'인원 입력 기능'!$BY$5:$CB$55,4,FALSE),0))</f>
        <v>48</v>
      </c>
      <c r="H53" s="53">
        <f t="shared" si="2"/>
        <v>6.9474598349978291E-3</v>
      </c>
      <c r="I53" s="57">
        <f>SUM($G$7:G53)</f>
        <v>6868</v>
      </c>
      <c r="J53" s="55">
        <f t="shared" si="3"/>
        <v>0.99406571139093935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32</v>
      </c>
      <c r="E54" s="50">
        <f t="shared" si="5"/>
        <v>9</v>
      </c>
      <c r="F54" s="51">
        <f t="shared" si="4"/>
        <v>1</v>
      </c>
      <c r="G54" s="52">
        <f>IF(D54=D53,"",_xlfn.IFNA(VLOOKUP(D54,'인원 입력 기능'!$BY$5:$CB$55,4,FALSE),0))</f>
        <v>9</v>
      </c>
      <c r="H54" s="53">
        <f t="shared" si="2"/>
        <v>1.3026487190620929E-3</v>
      </c>
      <c r="I54" s="57">
        <f>SUM($G$7:G54)</f>
        <v>6877</v>
      </c>
      <c r="J54" s="55">
        <f t="shared" si="3"/>
        <v>0.9953683601100014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31</v>
      </c>
      <c r="E55" s="50">
        <f t="shared" si="5"/>
        <v>9</v>
      </c>
      <c r="F55" s="51">
        <f t="shared" si="4"/>
        <v>0</v>
      </c>
      <c r="G55" s="52">
        <f>IF(D55=D54,"",_xlfn.IFNA(VLOOKUP(D55,'인원 입력 기능'!$BY$5:$CB$55,4,FALSE),0))</f>
        <v>22</v>
      </c>
      <c r="H55" s="53">
        <f t="shared" si="2"/>
        <v>3.1842524243740049E-3</v>
      </c>
      <c r="I55" s="57">
        <f>SUM($G$7:G55)</f>
        <v>6899</v>
      </c>
      <c r="J55" s="55">
        <f t="shared" si="3"/>
        <v>0.99855261253437544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29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기능'!$BY$5:$CB$55,4,FALSE),0)</f>
        <v>10</v>
      </c>
      <c r="H57" s="69">
        <f>G57/J3</f>
        <v>1.4473874656245477E-3</v>
      </c>
      <c r="I57" s="70">
        <f>SUM($G$7:G57)</f>
        <v>6909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54">
    <mergeCell ref="I44:I45"/>
    <mergeCell ref="J44:J45"/>
    <mergeCell ref="D50:D51"/>
    <mergeCell ref="E50:E51"/>
    <mergeCell ref="F50:F51"/>
    <mergeCell ref="G50:G51"/>
    <mergeCell ref="H50:H51"/>
    <mergeCell ref="I50:I51"/>
    <mergeCell ref="J50:J51"/>
    <mergeCell ref="D44:D45"/>
    <mergeCell ref="E44:E45"/>
    <mergeCell ref="F44:F45"/>
    <mergeCell ref="G44:G45"/>
    <mergeCell ref="H44:H45"/>
    <mergeCell ref="I30:I31"/>
    <mergeCell ref="J30:J31"/>
    <mergeCell ref="D37:D38"/>
    <mergeCell ref="E37:E38"/>
    <mergeCell ref="F37:F38"/>
    <mergeCell ref="G37:G38"/>
    <mergeCell ref="H37:H38"/>
    <mergeCell ref="I37:I38"/>
    <mergeCell ref="J37:J38"/>
    <mergeCell ref="D30:D31"/>
    <mergeCell ref="E30:E31"/>
    <mergeCell ref="F30:F31"/>
    <mergeCell ref="G30:G31"/>
    <mergeCell ref="H30:H31"/>
    <mergeCell ref="H17:H18"/>
    <mergeCell ref="I17:I18"/>
    <mergeCell ref="J17:J18"/>
    <mergeCell ref="D24:D25"/>
    <mergeCell ref="E24:E25"/>
    <mergeCell ref="F24:F25"/>
    <mergeCell ref="G24:G25"/>
    <mergeCell ref="H24:H25"/>
    <mergeCell ref="I24:I25"/>
    <mergeCell ref="J24:J25"/>
    <mergeCell ref="D3:F3"/>
    <mergeCell ref="D4:F4"/>
    <mergeCell ref="D56:J56"/>
    <mergeCell ref="D8:J8"/>
    <mergeCell ref="G5:J5"/>
    <mergeCell ref="D10:D11"/>
    <mergeCell ref="E10:E11"/>
    <mergeCell ref="F10:F11"/>
    <mergeCell ref="G10:G11"/>
    <mergeCell ref="H10:H11"/>
    <mergeCell ref="I10:I11"/>
    <mergeCell ref="J10:J11"/>
    <mergeCell ref="D17:D18"/>
    <mergeCell ref="E17:E18"/>
    <mergeCell ref="F17:F18"/>
    <mergeCell ref="G17:G18"/>
  </mergeCells>
  <phoneticPr fontId="1" type="noConversion"/>
  <conditionalFormatting sqref="D7:J7 D57:J57 D9:J10 D12:J17 D19:J24 D26:J30 D32:J37 D39:J44 D46:J50 D52:J55">
    <cfRule type="expression" dxfId="55" priority="7">
      <formula>OR($D7=$P$7:$P$14)</formula>
    </cfRule>
  </conditionalFormatting>
  <conditionalFormatting sqref="C7:C57">
    <cfRule type="expression" dxfId="54" priority="6">
      <formula>OR(AND($D7=0,OR($D6=$P$7:$P$14)),AND($D8&gt;0,OR($D7=$P$7:$P$14)))</formula>
    </cfRule>
  </conditionalFormatting>
  <conditionalFormatting sqref="D7 D57 D9:D10 D12:D17 D19:D24 D26:D30 D32:D37 D39:D44 D46:D50 D52:D55">
    <cfRule type="expression" dxfId="53" priority="5">
      <formula>$D7=$D8</formula>
    </cfRule>
  </conditionalFormatting>
  <conditionalFormatting sqref="D56">
    <cfRule type="expression" dxfId="52" priority="4">
      <formula>OR($D56=$P$7:$P$14)</formula>
    </cfRule>
  </conditionalFormatting>
  <conditionalFormatting sqref="D56">
    <cfRule type="expression" dxfId="51" priority="3">
      <formula>$D56=$D57</formula>
    </cfRule>
  </conditionalFormatting>
  <conditionalFormatting sqref="D8">
    <cfRule type="expression" dxfId="50" priority="2">
      <formula>OR($D8=$P$7:$P$14)</formula>
    </cfRule>
  </conditionalFormatting>
  <conditionalFormatting sqref="D8">
    <cfRule type="expression" dxfId="49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5791-467D-444A-9581-5BC8EAF50717}">
  <sheetPr codeName="Sheet23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기능'!D20</f>
        <v>21.96</v>
      </c>
      <c r="I3" s="109" t="s">
        <v>54</v>
      </c>
      <c r="J3" s="110">
        <f>'통계 및 응시자 수 입력 기능'!C20</f>
        <v>4508</v>
      </c>
      <c r="K3" s="25"/>
    </row>
    <row r="4" spans="1:16" ht="25" customHeight="1" thickBot="1">
      <c r="A4" s="5"/>
      <c r="B4" s="24"/>
      <c r="C4" s="42" t="s">
        <v>55</v>
      </c>
      <c r="D4" s="242" t="s">
        <v>62</v>
      </c>
      <c r="E4" s="243"/>
      <c r="F4" s="244"/>
      <c r="G4" s="43" t="s">
        <v>57</v>
      </c>
      <c r="H4" s="108">
        <f>'통계 및 응시자 수 입력 기능'!E20</f>
        <v>12.64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72</v>
      </c>
      <c r="E7" s="50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기능'!$CD$5:$CG$55,4,FALSE),0)</f>
        <v>63</v>
      </c>
      <c r="H7" s="53">
        <f>G7/J3</f>
        <v>1.3975155279503106E-2</v>
      </c>
      <c r="I7" s="54">
        <f>G7</f>
        <v>63</v>
      </c>
      <c r="J7" s="55">
        <f>I7/J3</f>
        <v>1.3975155279503106E-2</v>
      </c>
      <c r="K7" s="25"/>
      <c r="M7" s="1"/>
      <c r="O7" s="1">
        <v>1</v>
      </c>
      <c r="P7" s="1">
        <f>'표준점수 등급컷 입력기능'!K54</f>
        <v>70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입력기능'!K55</f>
        <v>65</v>
      </c>
    </row>
    <row r="9" spans="1:16" ht="25" customHeight="1">
      <c r="A9" s="5"/>
      <c r="B9" s="24"/>
      <c r="C9" s="49">
        <v>48</v>
      </c>
      <c r="D9" s="50">
        <f>ROUND(10*(C9-$H$3)/$H$4+50,0)</f>
        <v>71</v>
      </c>
      <c r="E9" s="50">
        <f t="shared" si="0"/>
        <v>1</v>
      </c>
      <c r="F9" s="51">
        <f>IF(I8=0,ROUND(100*(1-(I7+I9)/2/$J$3),0),ROUND(100*(1-(I8+I9)/2/$J$3),0))</f>
        <v>98</v>
      </c>
      <c r="G9" s="52">
        <f>_xlfn.IFNA(VLOOKUP(D9,'인원 입력 기능'!$CD$5:$CG$55,4,FALSE),0)</f>
        <v>48</v>
      </c>
      <c r="H9" s="53">
        <f>G9/$J$3</f>
        <v>1.064773735581189E-2</v>
      </c>
      <c r="I9" s="57">
        <f>SUM($G$7:G9)</f>
        <v>111</v>
      </c>
      <c r="J9" s="55">
        <f>I9/$J$3</f>
        <v>2.4622892635314995E-2</v>
      </c>
      <c r="K9" s="25"/>
      <c r="M9" s="1"/>
      <c r="O9" s="1">
        <v>3</v>
      </c>
      <c r="P9" s="1">
        <f>'표준점수 등급컷 입력기능'!K56</f>
        <v>60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70</v>
      </c>
      <c r="E10" s="50">
        <f t="shared" si="0"/>
        <v>1</v>
      </c>
      <c r="F10" s="51">
        <f>IF(I9=0,ROUND(100*(1-(I8+I10)/2/$J$3),0),ROUND(100*(1-(I9+I10)/2/$J$3),0))</f>
        <v>97</v>
      </c>
      <c r="G10" s="52">
        <f>IF(D10=D9,"",_xlfn.IFNA(VLOOKUP(D10,'인원 입력 기능'!$CD$5:$CG$55,4,FALSE),0))</f>
        <v>72</v>
      </c>
      <c r="H10" s="53">
        <f t="shared" ref="H10:H55" si="2">G10/$J$3</f>
        <v>1.5971606033717833E-2</v>
      </c>
      <c r="I10" s="57">
        <f>SUM($G$7:G10)</f>
        <v>183</v>
      </c>
      <c r="J10" s="55">
        <f t="shared" ref="J10:J55" si="3">I10/$J$3</f>
        <v>4.0594498669032829E-2</v>
      </c>
      <c r="K10" s="25"/>
      <c r="M10" s="1"/>
      <c r="O10" s="1">
        <v>4</v>
      </c>
      <c r="P10" s="1">
        <f>'표준점수 등급컷 입력기능'!K57</f>
        <v>50</v>
      </c>
    </row>
    <row r="11" spans="1:16" ht="25" customHeight="1">
      <c r="A11" s="5"/>
      <c r="B11" s="24"/>
      <c r="C11" s="49">
        <v>46</v>
      </c>
      <c r="D11" s="50">
        <f t="shared" si="1"/>
        <v>69</v>
      </c>
      <c r="E11" s="50">
        <f t="shared" si="0"/>
        <v>2</v>
      </c>
      <c r="F11" s="51">
        <f t="shared" ref="F11:F55" si="4">IF(I10=0,ROUND(100*(1-(I9+I11)/2/$J$3),0),ROUND(100*(1-(I10+I11)/2/$J$3),0))</f>
        <v>96</v>
      </c>
      <c r="G11" s="52">
        <f>IF(D11=D10,"",_xlfn.IFNA(VLOOKUP(D11,'인원 입력 기능'!$CD$5:$CG$55,4,FALSE),0))</f>
        <v>16</v>
      </c>
      <c r="H11" s="53">
        <f t="shared" si="2"/>
        <v>3.5492457852706301E-3</v>
      </c>
      <c r="I11" s="57">
        <f>SUM($G$7:G11)</f>
        <v>199</v>
      </c>
      <c r="J11" s="55">
        <f t="shared" si="3"/>
        <v>4.4143744454303462E-2</v>
      </c>
      <c r="K11" s="25"/>
      <c r="M11" s="1"/>
      <c r="O11" s="1">
        <v>5</v>
      </c>
      <c r="P11" s="1">
        <f>'표준점수 등급컷 입력기능'!K58</f>
        <v>44</v>
      </c>
    </row>
    <row r="12" spans="1:16" ht="25" customHeight="1">
      <c r="A12" s="5"/>
      <c r="B12" s="24"/>
      <c r="C12" s="56">
        <v>45</v>
      </c>
      <c r="D12" s="50">
        <f t="shared" si="1"/>
        <v>68</v>
      </c>
      <c r="E12" s="50">
        <f t="shared" si="0"/>
        <v>2</v>
      </c>
      <c r="F12" s="51">
        <f t="shared" si="4"/>
        <v>95</v>
      </c>
      <c r="G12" s="52">
        <f>IF(D12=D11,"",_xlfn.IFNA(VLOOKUP(D12,'인원 입력 기능'!$CD$5:$CG$55,4,FALSE),0))</f>
        <v>93</v>
      </c>
      <c r="H12" s="53">
        <f t="shared" si="2"/>
        <v>2.0629991126885537E-2</v>
      </c>
      <c r="I12" s="57">
        <f>SUM($G$7:G12)</f>
        <v>292</v>
      </c>
      <c r="J12" s="55">
        <f t="shared" si="3"/>
        <v>6.4773735581188999E-2</v>
      </c>
      <c r="K12" s="25"/>
      <c r="M12" s="1"/>
      <c r="O12" s="1">
        <v>6</v>
      </c>
      <c r="P12" s="1">
        <f>'표준점수 등급컷 입력기능'!K59</f>
        <v>41</v>
      </c>
    </row>
    <row r="13" spans="1:16" ht="25" customHeight="1">
      <c r="A13" s="5"/>
      <c r="B13" s="24"/>
      <c r="C13" s="49">
        <v>44</v>
      </c>
      <c r="D13" s="261">
        <f t="shared" si="1"/>
        <v>67</v>
      </c>
      <c r="E13" s="261">
        <f t="shared" si="0"/>
        <v>2</v>
      </c>
      <c r="F13" s="263">
        <f t="shared" si="4"/>
        <v>93</v>
      </c>
      <c r="G13" s="265">
        <f>IF(D13=D12,"",_xlfn.IFNA(VLOOKUP(D13,'인원 입력 기능'!$CD$5:$CG$55,4,FALSE),0))</f>
        <v>84</v>
      </c>
      <c r="H13" s="266">
        <f t="shared" si="2"/>
        <v>1.8633540372670808E-2</v>
      </c>
      <c r="I13" s="268">
        <f>SUM($G$7:G13)</f>
        <v>376</v>
      </c>
      <c r="J13" s="270">
        <f t="shared" si="3"/>
        <v>8.34072759538598E-2</v>
      </c>
      <c r="K13" s="25"/>
      <c r="M13" s="1"/>
      <c r="O13" s="1">
        <v>7</v>
      </c>
      <c r="P13" s="1">
        <f>'표준점수 등급컷 입력기능'!K60</f>
        <v>40</v>
      </c>
    </row>
    <row r="14" spans="1:16" ht="25" customHeight="1">
      <c r="A14" s="5"/>
      <c r="B14" s="24"/>
      <c r="C14" s="56">
        <v>43</v>
      </c>
      <c r="D14" s="260"/>
      <c r="E14" s="260"/>
      <c r="F14" s="262"/>
      <c r="G14" s="264"/>
      <c r="H14" s="267"/>
      <c r="I14" s="269"/>
      <c r="J14" s="271"/>
      <c r="K14" s="25"/>
      <c r="M14" s="1"/>
      <c r="O14" s="1">
        <v>8</v>
      </c>
      <c r="P14" s="1">
        <f>'표준점수 등급컷 입력기능'!K61</f>
        <v>37</v>
      </c>
    </row>
    <row r="15" spans="1:16" ht="25" customHeight="1">
      <c r="A15" s="5"/>
      <c r="B15" s="24"/>
      <c r="C15" s="49">
        <v>42</v>
      </c>
      <c r="D15" s="50">
        <f t="shared" si="1"/>
        <v>66</v>
      </c>
      <c r="E15" s="50">
        <f t="shared" si="0"/>
        <v>2</v>
      </c>
      <c r="F15" s="51">
        <f t="shared" si="4"/>
        <v>90</v>
      </c>
      <c r="G15" s="52">
        <f>IF(D15=D14,"",_xlfn.IFNA(VLOOKUP(D15,'인원 입력 기능'!$CD$5:$CG$55,4,FALSE),0))</f>
        <v>112</v>
      </c>
      <c r="H15" s="53">
        <f t="shared" si="2"/>
        <v>2.4844720496894408E-2</v>
      </c>
      <c r="I15" s="57">
        <f>SUM($G$7:G15)</f>
        <v>488</v>
      </c>
      <c r="J15" s="55">
        <f t="shared" si="3"/>
        <v>0.10825199645075421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65</v>
      </c>
      <c r="E16" s="50">
        <f t="shared" si="0"/>
        <v>2</v>
      </c>
      <c r="F16" s="51">
        <f t="shared" si="4"/>
        <v>89</v>
      </c>
      <c r="G16" s="52">
        <f>IF(D16=D15,"",_xlfn.IFNA(VLOOKUP(D16,'인원 입력 기능'!$CD$5:$CG$55,4,FALSE),0))</f>
        <v>50</v>
      </c>
      <c r="H16" s="53">
        <f t="shared" si="2"/>
        <v>1.1091393078970719E-2</v>
      </c>
      <c r="I16" s="57">
        <f>SUM($G$7:G16)</f>
        <v>538</v>
      </c>
      <c r="J16" s="55">
        <f t="shared" si="3"/>
        <v>0.11934338952972494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64</v>
      </c>
      <c r="E17" s="50">
        <f t="shared" si="0"/>
        <v>3</v>
      </c>
      <c r="F17" s="51">
        <f t="shared" si="4"/>
        <v>87</v>
      </c>
      <c r="G17" s="52">
        <f>IF(D17=D16,"",_xlfn.IFNA(VLOOKUP(D17,'인원 입력 기능'!$CD$5:$CG$55,4,FALSE),0))</f>
        <v>66</v>
      </c>
      <c r="H17" s="53">
        <f t="shared" si="2"/>
        <v>1.4640638864241348E-2</v>
      </c>
      <c r="I17" s="57">
        <f>SUM($G$7:G17)</f>
        <v>604</v>
      </c>
      <c r="J17" s="55">
        <f t="shared" si="3"/>
        <v>0.13398402839396628</v>
      </c>
      <c r="K17" s="25"/>
      <c r="M17" s="1"/>
      <c r="P17" s="1">
        <f>H3*H4*J3*P7*IFERROR(IF(J57=1, 1, 0), 0)</f>
        <v>87591377.664000005</v>
      </c>
    </row>
    <row r="18" spans="1:16" ht="25" customHeight="1">
      <c r="A18" s="5"/>
      <c r="B18" s="24"/>
      <c r="C18" s="56">
        <v>39</v>
      </c>
      <c r="D18" s="261">
        <f t="shared" si="1"/>
        <v>63</v>
      </c>
      <c r="E18" s="261">
        <f t="shared" si="0"/>
        <v>3</v>
      </c>
      <c r="F18" s="263">
        <f t="shared" si="4"/>
        <v>85</v>
      </c>
      <c r="G18" s="265">
        <f>IF(D18=D17,"",_xlfn.IFNA(VLOOKUP(D18,'인원 입력 기능'!$CD$5:$CG$55,4,FALSE),0))</f>
        <v>150</v>
      </c>
      <c r="H18" s="266">
        <f t="shared" si="2"/>
        <v>3.3274179236912158E-2</v>
      </c>
      <c r="I18" s="268">
        <f>SUM($G$7:G18)</f>
        <v>754</v>
      </c>
      <c r="J18" s="270">
        <f t="shared" si="3"/>
        <v>0.16725820763087842</v>
      </c>
      <c r="K18" s="25"/>
      <c r="M18" s="1"/>
    </row>
    <row r="19" spans="1:16" ht="25" customHeight="1">
      <c r="A19" s="5"/>
      <c r="B19" s="24"/>
      <c r="C19" s="49">
        <v>38</v>
      </c>
      <c r="D19" s="260"/>
      <c r="E19" s="260"/>
      <c r="F19" s="262"/>
      <c r="G19" s="264"/>
      <c r="H19" s="267"/>
      <c r="I19" s="269"/>
      <c r="J19" s="271"/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62</v>
      </c>
      <c r="E20" s="50">
        <f t="shared" si="0"/>
        <v>3</v>
      </c>
      <c r="F20" s="51">
        <f t="shared" si="4"/>
        <v>82</v>
      </c>
      <c r="G20" s="52">
        <f>IF(D20=D19,"",_xlfn.IFNA(VLOOKUP(D20,'인원 입력 기능'!$CD$5:$CG$55,4,FALSE),0))</f>
        <v>81</v>
      </c>
      <c r="H20" s="53">
        <f t="shared" si="2"/>
        <v>1.7968056787932566E-2</v>
      </c>
      <c r="I20" s="57">
        <f>SUM($G$7:G20)</f>
        <v>835</v>
      </c>
      <c r="J20" s="55">
        <f t="shared" si="3"/>
        <v>0.18522626441881102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61</v>
      </c>
      <c r="E21" s="60">
        <f t="shared" si="0"/>
        <v>3</v>
      </c>
      <c r="F21" s="51">
        <f t="shared" si="4"/>
        <v>81</v>
      </c>
      <c r="G21" s="52">
        <f>IF(D21=D20,"",_xlfn.IFNA(VLOOKUP(D21,'인원 입력 기능'!$CD$5:$CG$55,4,FALSE),0))</f>
        <v>83</v>
      </c>
      <c r="H21" s="53">
        <f t="shared" si="2"/>
        <v>1.8411712511091392E-2</v>
      </c>
      <c r="I21" s="57">
        <f>SUM($G$7:G21)</f>
        <v>918</v>
      </c>
      <c r="J21" s="55">
        <f t="shared" si="3"/>
        <v>0.2036379769299024</v>
      </c>
      <c r="K21" s="25"/>
      <c r="M21" s="1"/>
    </row>
    <row r="22" spans="1:16" ht="25" customHeight="1">
      <c r="A22" s="5"/>
      <c r="B22" s="24"/>
      <c r="C22" s="59">
        <v>35</v>
      </c>
      <c r="D22" s="273">
        <f t="shared" si="1"/>
        <v>60</v>
      </c>
      <c r="E22" s="273">
        <f t="shared" si="0"/>
        <v>3</v>
      </c>
      <c r="F22" s="263">
        <f t="shared" si="4"/>
        <v>78</v>
      </c>
      <c r="G22" s="265">
        <f>IF(D22=D21,"",_xlfn.IFNA(VLOOKUP(D22,'인원 입력 기능'!$CD$5:$CG$55,4,FALSE),0))</f>
        <v>137</v>
      </c>
      <c r="H22" s="266">
        <f t="shared" si="2"/>
        <v>3.039041703637977E-2</v>
      </c>
      <c r="I22" s="268">
        <f>SUM($G$7:G22)</f>
        <v>1055</v>
      </c>
      <c r="J22" s="270">
        <f t="shared" si="3"/>
        <v>0.23402839396628217</v>
      </c>
      <c r="K22" s="25"/>
      <c r="M22" s="1"/>
    </row>
    <row r="23" spans="1:16" ht="25" customHeight="1">
      <c r="A23" s="5"/>
      <c r="B23" s="24"/>
      <c r="C23" s="58">
        <v>34</v>
      </c>
      <c r="D23" s="272"/>
      <c r="E23" s="272"/>
      <c r="F23" s="262"/>
      <c r="G23" s="264"/>
      <c r="H23" s="267"/>
      <c r="I23" s="269"/>
      <c r="J23" s="271"/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59</v>
      </c>
      <c r="E24" s="60">
        <f t="shared" si="0"/>
        <v>4</v>
      </c>
      <c r="F24" s="51">
        <f t="shared" si="4"/>
        <v>76</v>
      </c>
      <c r="G24" s="52">
        <f>IF(D24=D23,"",_xlfn.IFNA(VLOOKUP(D24,'인원 입력 기능'!$CD$5:$CG$55,4,FALSE),0))</f>
        <v>57</v>
      </c>
      <c r="H24" s="53">
        <f t="shared" si="2"/>
        <v>1.2644188110026619E-2</v>
      </c>
      <c r="I24" s="57">
        <f>SUM($G$7:G24)</f>
        <v>1112</v>
      </c>
      <c r="J24" s="55">
        <f t="shared" si="3"/>
        <v>0.24667258207630879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58</v>
      </c>
      <c r="E25" s="60">
        <f t="shared" si="0"/>
        <v>4</v>
      </c>
      <c r="F25" s="51">
        <f t="shared" si="4"/>
        <v>75</v>
      </c>
      <c r="G25" s="52">
        <f>IF(D25=D24,"",_xlfn.IFNA(VLOOKUP(D25,'인원 입력 기능'!$CD$5:$CG$55,4,FALSE),0))</f>
        <v>73</v>
      </c>
      <c r="H25" s="53">
        <f t="shared" si="2"/>
        <v>1.619343389529725E-2</v>
      </c>
      <c r="I25" s="57">
        <f>SUM($G$7:G25)</f>
        <v>1185</v>
      </c>
      <c r="J25" s="55">
        <f t="shared" si="3"/>
        <v>0.26286601597160603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57</v>
      </c>
      <c r="E26" s="60">
        <f t="shared" si="0"/>
        <v>4</v>
      </c>
      <c r="F26" s="51">
        <f t="shared" si="4"/>
        <v>73</v>
      </c>
      <c r="G26" s="52">
        <f>IF(D26=D25,"",_xlfn.IFNA(VLOOKUP(D26,'인원 입력 기능'!$CD$5:$CG$55,4,FALSE),0))</f>
        <v>57</v>
      </c>
      <c r="H26" s="53">
        <f t="shared" si="2"/>
        <v>1.2644188110026619E-2</v>
      </c>
      <c r="I26" s="57">
        <f>SUM($G$7:G26)</f>
        <v>1242</v>
      </c>
      <c r="J26" s="55">
        <f t="shared" si="3"/>
        <v>0.27551020408163263</v>
      </c>
      <c r="K26" s="25"/>
      <c r="M26" s="1"/>
    </row>
    <row r="27" spans="1:16" ht="25" customHeight="1">
      <c r="A27" s="5"/>
      <c r="B27" s="24"/>
      <c r="C27" s="58">
        <v>30</v>
      </c>
      <c r="D27" s="273">
        <f t="shared" si="1"/>
        <v>56</v>
      </c>
      <c r="E27" s="273">
        <f t="shared" si="0"/>
        <v>4</v>
      </c>
      <c r="F27" s="263">
        <f t="shared" si="4"/>
        <v>71</v>
      </c>
      <c r="G27" s="265">
        <f>IF(D27=D26,"",_xlfn.IFNA(VLOOKUP(D27,'인원 입력 기능'!$CD$5:$CG$55,4,FALSE),0))</f>
        <v>129</v>
      </c>
      <c r="H27" s="266">
        <f t="shared" si="2"/>
        <v>2.8615794143744454E-2</v>
      </c>
      <c r="I27" s="268">
        <f>SUM($G$7:G27)</f>
        <v>1371</v>
      </c>
      <c r="J27" s="270">
        <f t="shared" si="3"/>
        <v>0.30412599822537711</v>
      </c>
      <c r="K27" s="25"/>
      <c r="M27" s="1"/>
    </row>
    <row r="28" spans="1:16" ht="25" customHeight="1">
      <c r="A28" s="5"/>
      <c r="B28" s="24"/>
      <c r="C28" s="59">
        <v>29</v>
      </c>
      <c r="D28" s="272"/>
      <c r="E28" s="272"/>
      <c r="F28" s="262"/>
      <c r="G28" s="264"/>
      <c r="H28" s="267"/>
      <c r="I28" s="269"/>
      <c r="J28" s="271"/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55</v>
      </c>
      <c r="E29" s="60">
        <f t="shared" si="0"/>
        <v>4</v>
      </c>
      <c r="F29" s="51">
        <f t="shared" si="4"/>
        <v>69</v>
      </c>
      <c r="G29" s="52">
        <f>IF(D29=D28,"",_xlfn.IFNA(VLOOKUP(D29,'인원 입력 기능'!$CD$5:$CG$55,4,FALSE),0))</f>
        <v>58</v>
      </c>
      <c r="H29" s="53">
        <f t="shared" si="2"/>
        <v>1.2866015971606033E-2</v>
      </c>
      <c r="I29" s="57">
        <f>SUM($G$7:G29)</f>
        <v>1429</v>
      </c>
      <c r="J29" s="55">
        <f t="shared" si="3"/>
        <v>0.31699201419698314</v>
      </c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54</v>
      </c>
      <c r="E30" s="60">
        <f t="shared" si="0"/>
        <v>4</v>
      </c>
      <c r="F30" s="51">
        <f t="shared" si="4"/>
        <v>68</v>
      </c>
      <c r="G30" s="52">
        <f>IF(D30=D29,"",_xlfn.IFNA(VLOOKUP(D30,'인원 입력 기능'!$CD$5:$CG$55,4,FALSE),0))</f>
        <v>52</v>
      </c>
      <c r="H30" s="53">
        <f t="shared" si="2"/>
        <v>1.1535048802129548E-2</v>
      </c>
      <c r="I30" s="57">
        <f>SUM($G$7:G30)</f>
        <v>1481</v>
      </c>
      <c r="J30" s="55">
        <f t="shared" si="3"/>
        <v>0.32852706299911266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53</v>
      </c>
      <c r="E31" s="60">
        <f t="shared" si="0"/>
        <v>4</v>
      </c>
      <c r="F31" s="51">
        <f t="shared" si="4"/>
        <v>67</v>
      </c>
      <c r="G31" s="52">
        <f>IF(D31=D30,"",_xlfn.IFNA(VLOOKUP(D31,'인원 입력 기능'!$CD$5:$CG$55,4,FALSE),0))</f>
        <v>58</v>
      </c>
      <c r="H31" s="53">
        <f t="shared" si="2"/>
        <v>1.2866015971606033E-2</v>
      </c>
      <c r="I31" s="57">
        <f>SUM($G$7:G31)</f>
        <v>1539</v>
      </c>
      <c r="J31" s="55">
        <f t="shared" si="3"/>
        <v>0.34139307897071874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52</v>
      </c>
      <c r="E32" s="273">
        <f t="shared" si="0"/>
        <v>4</v>
      </c>
      <c r="F32" s="263">
        <f t="shared" si="4"/>
        <v>64</v>
      </c>
      <c r="G32" s="265">
        <f>IF(D32=D31,"",_xlfn.IFNA(VLOOKUP(D32,'인원 입력 기능'!$CD$5:$CG$55,4,FALSE),0))</f>
        <v>150</v>
      </c>
      <c r="H32" s="266">
        <f t="shared" si="2"/>
        <v>3.3274179236912158E-2</v>
      </c>
      <c r="I32" s="268">
        <f>SUM($G$7:G32)</f>
        <v>1689</v>
      </c>
      <c r="J32" s="270">
        <f t="shared" si="3"/>
        <v>0.37466725820763086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51</v>
      </c>
      <c r="E34" s="60">
        <f t="shared" si="0"/>
        <v>4</v>
      </c>
      <c r="F34" s="51">
        <f t="shared" si="4"/>
        <v>62</v>
      </c>
      <c r="G34" s="52">
        <f>IF(D34=D33,"",_xlfn.IFNA(VLOOKUP(D34,'인원 입력 기능'!$CD$5:$CG$55,4,FALSE),0))</f>
        <v>81</v>
      </c>
      <c r="H34" s="53">
        <f t="shared" si="2"/>
        <v>1.7968056787932566E-2</v>
      </c>
      <c r="I34" s="57">
        <f>SUM($G$7:G34)</f>
        <v>1770</v>
      </c>
      <c r="J34" s="55">
        <f t="shared" si="3"/>
        <v>0.39263531499556342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50</v>
      </c>
      <c r="E35" s="60">
        <f t="shared" si="0"/>
        <v>4</v>
      </c>
      <c r="F35" s="51">
        <f t="shared" si="4"/>
        <v>60</v>
      </c>
      <c r="G35" s="52">
        <f>IF(D35=D34,"",_xlfn.IFNA(VLOOKUP(D35,'인원 입력 기능'!$CD$5:$CG$55,4,FALSE),0))</f>
        <v>111</v>
      </c>
      <c r="H35" s="53">
        <f t="shared" si="2"/>
        <v>2.4622892635314995E-2</v>
      </c>
      <c r="I35" s="57">
        <f>SUM($G$7:G35)</f>
        <v>1881</v>
      </c>
      <c r="J35" s="55">
        <f t="shared" si="3"/>
        <v>0.41725820763087845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49</v>
      </c>
      <c r="E36" s="60">
        <f t="shared" si="0"/>
        <v>5</v>
      </c>
      <c r="F36" s="51">
        <f t="shared" si="4"/>
        <v>57</v>
      </c>
      <c r="G36" s="52">
        <f>IF(D36=D35,"",_xlfn.IFNA(VLOOKUP(D36,'인원 입력 기능'!$CD$5:$CG$55,4,FALSE),0))</f>
        <v>96</v>
      </c>
      <c r="H36" s="53">
        <f t="shared" si="2"/>
        <v>2.1295474711623779E-2</v>
      </c>
      <c r="I36" s="57">
        <f>SUM($G$7:G36)</f>
        <v>1977</v>
      </c>
      <c r="J36" s="55">
        <f t="shared" si="3"/>
        <v>0.43855368234250219</v>
      </c>
      <c r="K36" s="25"/>
      <c r="M36" s="1"/>
    </row>
    <row r="37" spans="1:13" ht="25" customHeight="1">
      <c r="A37" s="5"/>
      <c r="B37" s="24"/>
      <c r="C37" s="58">
        <v>20</v>
      </c>
      <c r="D37" s="273">
        <f t="shared" si="1"/>
        <v>48</v>
      </c>
      <c r="E37" s="273">
        <f t="shared" si="0"/>
        <v>5</v>
      </c>
      <c r="F37" s="263">
        <f t="shared" si="4"/>
        <v>54</v>
      </c>
      <c r="G37" s="265">
        <f>IF(D37=D36,"",_xlfn.IFNA(VLOOKUP(D37,'인원 입력 기능'!$CD$5:$CG$55,4,FALSE),0))</f>
        <v>236</v>
      </c>
      <c r="H37" s="266">
        <f t="shared" si="2"/>
        <v>5.2351375332741791E-2</v>
      </c>
      <c r="I37" s="268">
        <f>SUM($G$7:G37)</f>
        <v>2213</v>
      </c>
      <c r="J37" s="270">
        <f t="shared" si="3"/>
        <v>0.49090505767524401</v>
      </c>
      <c r="K37" s="25"/>
      <c r="M37" s="1"/>
    </row>
    <row r="38" spans="1:13" ht="25" customHeight="1">
      <c r="A38" s="5"/>
      <c r="B38" s="24"/>
      <c r="C38" s="59">
        <v>19</v>
      </c>
      <c r="D38" s="272"/>
      <c r="E38" s="272"/>
      <c r="F38" s="262"/>
      <c r="G38" s="264"/>
      <c r="H38" s="267"/>
      <c r="I38" s="269"/>
      <c r="J38" s="271"/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47</v>
      </c>
      <c r="E39" s="60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51">
        <f t="shared" si="4"/>
        <v>49</v>
      </c>
      <c r="G39" s="52">
        <f>IF(D39=D38,"",_xlfn.IFNA(VLOOKUP(D39,'인원 입력 기능'!$CD$5:$CG$55,4,FALSE),0))</f>
        <v>134</v>
      </c>
      <c r="H39" s="53">
        <f t="shared" si="2"/>
        <v>2.9724933451641525E-2</v>
      </c>
      <c r="I39" s="57">
        <f>SUM($G$7:G39)</f>
        <v>2347</v>
      </c>
      <c r="J39" s="55">
        <f t="shared" si="3"/>
        <v>0.52062999112688557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46</v>
      </c>
      <c r="E40" s="60">
        <f t="shared" si="5"/>
        <v>5</v>
      </c>
      <c r="F40" s="51">
        <f t="shared" si="4"/>
        <v>46</v>
      </c>
      <c r="G40" s="52">
        <f>IF(D40=D39,"",_xlfn.IFNA(VLOOKUP(D40,'인원 입력 기능'!$CD$5:$CG$55,4,FALSE),0))</f>
        <v>159</v>
      </c>
      <c r="H40" s="53">
        <f t="shared" si="2"/>
        <v>3.5270629991126887E-2</v>
      </c>
      <c r="I40" s="57">
        <f>SUM($G$7:G40)</f>
        <v>2506</v>
      </c>
      <c r="J40" s="55">
        <f t="shared" si="3"/>
        <v>0.55590062111801242</v>
      </c>
      <c r="K40" s="25"/>
      <c r="M40" s="1"/>
    </row>
    <row r="41" spans="1:13" ht="25" customHeight="1">
      <c r="A41" s="5"/>
      <c r="B41" s="24"/>
      <c r="C41" s="58">
        <v>16</v>
      </c>
      <c r="D41" s="60">
        <f t="shared" si="1"/>
        <v>45</v>
      </c>
      <c r="E41" s="60">
        <f t="shared" si="5"/>
        <v>5</v>
      </c>
      <c r="F41" s="51">
        <f t="shared" si="4"/>
        <v>43</v>
      </c>
      <c r="G41" s="52">
        <f>IF(D41=D40,"",_xlfn.IFNA(VLOOKUP(D41,'인원 입력 기능'!$CD$5:$CG$55,4,FALSE),0))</f>
        <v>161</v>
      </c>
      <c r="H41" s="53">
        <f t="shared" si="2"/>
        <v>3.5714285714285712E-2</v>
      </c>
      <c r="I41" s="57">
        <f>SUM($G$7:G41)</f>
        <v>2667</v>
      </c>
      <c r="J41" s="55">
        <f t="shared" si="3"/>
        <v>0.59161490683229812</v>
      </c>
      <c r="K41" s="25"/>
      <c r="M41" s="1"/>
    </row>
    <row r="42" spans="1:13" ht="25" customHeight="1">
      <c r="A42" s="5"/>
      <c r="B42" s="24"/>
      <c r="C42" s="59">
        <v>15</v>
      </c>
      <c r="D42" s="273">
        <f t="shared" si="1"/>
        <v>44</v>
      </c>
      <c r="E42" s="273">
        <f t="shared" si="5"/>
        <v>5</v>
      </c>
      <c r="F42" s="263">
        <f t="shared" si="4"/>
        <v>37</v>
      </c>
      <c r="G42" s="265">
        <f>IF(D42=D41,"",_xlfn.IFNA(VLOOKUP(D42,'인원 입력 기능'!$CD$5:$CG$55,4,FALSE),0))</f>
        <v>350</v>
      </c>
      <c r="H42" s="266">
        <f t="shared" si="2"/>
        <v>7.7639751552795025E-2</v>
      </c>
      <c r="I42" s="268">
        <f>SUM($G$7:G42)</f>
        <v>3017</v>
      </c>
      <c r="J42" s="270">
        <f t="shared" si="3"/>
        <v>0.66925465838509313</v>
      </c>
      <c r="K42" s="25"/>
      <c r="M42" s="1"/>
    </row>
    <row r="43" spans="1:13" ht="25" customHeight="1">
      <c r="A43" s="5"/>
      <c r="B43" s="24"/>
      <c r="C43" s="58">
        <v>14</v>
      </c>
      <c r="D43" s="272"/>
      <c r="E43" s="272"/>
      <c r="F43" s="262"/>
      <c r="G43" s="264"/>
      <c r="H43" s="267"/>
      <c r="I43" s="269"/>
      <c r="J43" s="271"/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43</v>
      </c>
      <c r="E44" s="60">
        <f t="shared" si="5"/>
        <v>6</v>
      </c>
      <c r="F44" s="51">
        <f t="shared" si="4"/>
        <v>31</v>
      </c>
      <c r="G44" s="52">
        <f>IF(D44=D43,"",_xlfn.IFNA(VLOOKUP(D44,'인원 입력 기능'!$CD$5:$CG$55,4,FALSE),0))</f>
        <v>195</v>
      </c>
      <c r="H44" s="53">
        <f t="shared" si="2"/>
        <v>4.3256433007985803E-2</v>
      </c>
      <c r="I44" s="57">
        <f>SUM($G$7:G44)</f>
        <v>3212</v>
      </c>
      <c r="J44" s="55">
        <f t="shared" si="3"/>
        <v>0.712511091393079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42</v>
      </c>
      <c r="E45" s="60">
        <f t="shared" si="5"/>
        <v>6</v>
      </c>
      <c r="F45" s="51">
        <f t="shared" si="4"/>
        <v>26</v>
      </c>
      <c r="G45" s="52">
        <f>IF(D45=D44,"",_xlfn.IFNA(VLOOKUP(D45,'인원 입력 기능'!$CD$5:$CG$55,4,FALSE),0))</f>
        <v>208</v>
      </c>
      <c r="H45" s="53">
        <f t="shared" si="2"/>
        <v>4.6140195208518191E-2</v>
      </c>
      <c r="I45" s="57">
        <f>SUM($G$7:G45)</f>
        <v>3420</v>
      </c>
      <c r="J45" s="55">
        <f t="shared" si="3"/>
        <v>0.7586512866015972</v>
      </c>
      <c r="K45" s="25"/>
      <c r="M45" s="1"/>
    </row>
    <row r="46" spans="1:13" ht="25" customHeight="1">
      <c r="A46" s="5"/>
      <c r="B46" s="24"/>
      <c r="C46" s="59">
        <v>11</v>
      </c>
      <c r="D46" s="273">
        <f t="shared" si="1"/>
        <v>41</v>
      </c>
      <c r="E46" s="273">
        <f t="shared" si="5"/>
        <v>6</v>
      </c>
      <c r="F46" s="263">
        <f t="shared" si="4"/>
        <v>19</v>
      </c>
      <c r="G46" s="265">
        <f>IF(D46=D45,"",_xlfn.IFNA(VLOOKUP(D46,'인원 입력 기능'!$CD$5:$CG$55,4,FALSE),0))</f>
        <v>500</v>
      </c>
      <c r="H46" s="266">
        <f t="shared" si="2"/>
        <v>0.11091393078970718</v>
      </c>
      <c r="I46" s="268">
        <f>SUM($G$7:G46)</f>
        <v>3920</v>
      </c>
      <c r="J46" s="270">
        <f t="shared" si="3"/>
        <v>0.86956521739130432</v>
      </c>
      <c r="K46" s="25"/>
      <c r="M46" s="1"/>
    </row>
    <row r="47" spans="1:13" ht="25" customHeight="1">
      <c r="A47" s="5"/>
      <c r="B47" s="24"/>
      <c r="C47" s="58">
        <v>10</v>
      </c>
      <c r="D47" s="272"/>
      <c r="E47" s="272"/>
      <c r="F47" s="262"/>
      <c r="G47" s="264"/>
      <c r="H47" s="267"/>
      <c r="I47" s="269"/>
      <c r="J47" s="271"/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40</v>
      </c>
      <c r="E48" s="60">
        <f t="shared" si="5"/>
        <v>7</v>
      </c>
      <c r="F48" s="51">
        <f t="shared" si="4"/>
        <v>12</v>
      </c>
      <c r="G48" s="52">
        <f>IF(D48=D47,"",_xlfn.IFNA(VLOOKUP(D48,'인원 입력 기능'!$CD$5:$CG$55,4,FALSE),0))</f>
        <v>113</v>
      </c>
      <c r="H48" s="53">
        <f t="shared" si="2"/>
        <v>2.5066548358473825E-2</v>
      </c>
      <c r="I48" s="57">
        <f>SUM($G$7:G48)</f>
        <v>4033</v>
      </c>
      <c r="J48" s="55">
        <f t="shared" si="3"/>
        <v>0.89463176574977821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39</v>
      </c>
      <c r="E49" s="60">
        <f t="shared" si="5"/>
        <v>8</v>
      </c>
      <c r="F49" s="51">
        <f t="shared" si="4"/>
        <v>9</v>
      </c>
      <c r="G49" s="52">
        <f>IF(D49=D48,"",_xlfn.IFNA(VLOOKUP(D49,'인원 입력 기능'!$CD$5:$CG$55,4,FALSE),0))</f>
        <v>125</v>
      </c>
      <c r="H49" s="53">
        <f t="shared" si="2"/>
        <v>2.7728482697426796E-2</v>
      </c>
      <c r="I49" s="57">
        <f>SUM($G$7:G49)</f>
        <v>4158</v>
      </c>
      <c r="J49" s="55">
        <f t="shared" si="3"/>
        <v>0.92236024844720499</v>
      </c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38</v>
      </c>
      <c r="E50" s="60">
        <f t="shared" si="5"/>
        <v>8</v>
      </c>
      <c r="F50" s="51">
        <f t="shared" si="4"/>
        <v>6</v>
      </c>
      <c r="G50" s="52">
        <f>IF(D50=D49,"",_xlfn.IFNA(VLOOKUP(D50,'인원 입력 기능'!$CD$5:$CG$55,4,FALSE),0))</f>
        <v>145</v>
      </c>
      <c r="H50" s="53">
        <f t="shared" si="2"/>
        <v>3.2165039929015087E-2</v>
      </c>
      <c r="I50" s="57">
        <f>SUM($G$7:G50)</f>
        <v>4303</v>
      </c>
      <c r="J50" s="55">
        <f t="shared" si="3"/>
        <v>0.95452528837622008</v>
      </c>
      <c r="K50" s="25"/>
      <c r="M50" s="1"/>
    </row>
    <row r="51" spans="1:13" ht="25" customHeight="1">
      <c r="A51" s="5"/>
      <c r="B51" s="24"/>
      <c r="C51" s="58">
        <v>6</v>
      </c>
      <c r="D51" s="273">
        <f t="shared" si="1"/>
        <v>37</v>
      </c>
      <c r="E51" s="273">
        <f t="shared" si="5"/>
        <v>8</v>
      </c>
      <c r="F51" s="263">
        <f t="shared" si="4"/>
        <v>3</v>
      </c>
      <c r="G51" s="265">
        <f>IF(D51=D50,"",_xlfn.IFNA(VLOOKUP(D51,'인원 입력 기능'!$CD$5:$CG$55,4,FALSE),0))</f>
        <v>108</v>
      </c>
      <c r="H51" s="266">
        <f t="shared" si="2"/>
        <v>2.3957409050576754E-2</v>
      </c>
      <c r="I51" s="268">
        <f>SUM($G$7:G51)</f>
        <v>4411</v>
      </c>
      <c r="J51" s="270">
        <f t="shared" si="3"/>
        <v>0.97848269742679683</v>
      </c>
      <c r="K51" s="25"/>
      <c r="M51" s="1"/>
    </row>
    <row r="52" spans="1:13" ht="25" customHeight="1">
      <c r="A52" s="5"/>
      <c r="B52" s="24"/>
      <c r="C52" s="59">
        <v>5</v>
      </c>
      <c r="D52" s="272"/>
      <c r="E52" s="272"/>
      <c r="F52" s="262"/>
      <c r="G52" s="264"/>
      <c r="H52" s="267"/>
      <c r="I52" s="269"/>
      <c r="J52" s="271"/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36</v>
      </c>
      <c r="E53" s="50">
        <f t="shared" si="5"/>
        <v>9</v>
      </c>
      <c r="F53" s="51">
        <f t="shared" si="4"/>
        <v>2</v>
      </c>
      <c r="G53" s="52">
        <f>IF(D53=D52,"",_xlfn.IFNA(VLOOKUP(D53,'인원 입력 기능'!$CD$5:$CG$55,4,FALSE),0))</f>
        <v>32</v>
      </c>
      <c r="H53" s="53">
        <f t="shared" si="2"/>
        <v>7.0984915705412602E-3</v>
      </c>
      <c r="I53" s="57">
        <f>SUM($G$7:G53)</f>
        <v>4443</v>
      </c>
      <c r="J53" s="55">
        <f t="shared" si="3"/>
        <v>0.98558118899733804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35</v>
      </c>
      <c r="E54" s="50">
        <f t="shared" si="5"/>
        <v>9</v>
      </c>
      <c r="F54" s="51">
        <f t="shared" si="4"/>
        <v>1</v>
      </c>
      <c r="G54" s="52">
        <f>IF(D54=D53,"",_xlfn.IFNA(VLOOKUP(D54,'인원 입력 기능'!$CD$5:$CG$55,4,FALSE),0))</f>
        <v>22</v>
      </c>
      <c r="H54" s="53">
        <f t="shared" si="2"/>
        <v>4.8802129547471165E-3</v>
      </c>
      <c r="I54" s="57">
        <f>SUM($G$7:G54)</f>
        <v>4465</v>
      </c>
      <c r="J54" s="55">
        <f t="shared" si="3"/>
        <v>0.99046140195208521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34</v>
      </c>
      <c r="E55" s="50">
        <f t="shared" si="5"/>
        <v>9</v>
      </c>
      <c r="F55" s="51">
        <f t="shared" si="4"/>
        <v>1</v>
      </c>
      <c r="G55" s="52">
        <f>IF(D55=D54,"",_xlfn.IFNA(VLOOKUP(D55,'인원 입력 기능'!$CD$5:$CG$55,4,FALSE),0))</f>
        <v>27</v>
      </c>
      <c r="H55" s="53">
        <f t="shared" si="2"/>
        <v>5.9893522626441884E-3</v>
      </c>
      <c r="I55" s="57">
        <f>SUM($G$7:G55)</f>
        <v>4492</v>
      </c>
      <c r="J55" s="55">
        <f t="shared" si="3"/>
        <v>0.9964507542147294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33</v>
      </c>
      <c r="E57" s="66">
        <f t="shared" si="5"/>
        <v>9</v>
      </c>
      <c r="F57" s="67">
        <f>IF(I55=0,ROUND(100*(1-(I54+I57)/2/$J$3),0),ROUND(100*(1-(I55+I57)/2/$J$3),0))</f>
        <v>0</v>
      </c>
      <c r="G57" s="68">
        <f>_xlfn.IFNA(VLOOKUP(D57,'인원 입력 기능'!$CD$5:$CG$55,4,FALSE),0)</f>
        <v>16</v>
      </c>
      <c r="H57" s="69">
        <f>G57/J3</f>
        <v>3.5492457852706301E-3</v>
      </c>
      <c r="I57" s="70">
        <f>SUM($G$7:G57)</f>
        <v>4508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8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7:I38"/>
    <mergeCell ref="J37:J38"/>
    <mergeCell ref="D42:D43"/>
    <mergeCell ref="E42:E43"/>
    <mergeCell ref="F42:F43"/>
    <mergeCell ref="G42:G43"/>
    <mergeCell ref="H42:H43"/>
    <mergeCell ref="I42:I43"/>
    <mergeCell ref="J42:J43"/>
    <mergeCell ref="D37:D38"/>
    <mergeCell ref="E37:E38"/>
    <mergeCell ref="F37:F38"/>
    <mergeCell ref="G37:G38"/>
    <mergeCell ref="H37:H38"/>
    <mergeCell ref="I27:I28"/>
    <mergeCell ref="J27:J28"/>
    <mergeCell ref="D32:D33"/>
    <mergeCell ref="E32:E33"/>
    <mergeCell ref="F32:F33"/>
    <mergeCell ref="G32:G33"/>
    <mergeCell ref="H32:H33"/>
    <mergeCell ref="I32:I33"/>
    <mergeCell ref="J32:J33"/>
    <mergeCell ref="D27:D28"/>
    <mergeCell ref="E27:E28"/>
    <mergeCell ref="F27:F28"/>
    <mergeCell ref="G27:G28"/>
    <mergeCell ref="H27:H28"/>
    <mergeCell ref="H18:H19"/>
    <mergeCell ref="I18:I19"/>
    <mergeCell ref="J18:J19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56:J56"/>
    <mergeCell ref="D8:J8"/>
    <mergeCell ref="G5:J5"/>
    <mergeCell ref="D13:D14"/>
    <mergeCell ref="E13:E14"/>
    <mergeCell ref="F13:F14"/>
    <mergeCell ref="G13:G14"/>
    <mergeCell ref="H13:H14"/>
    <mergeCell ref="I13:I14"/>
    <mergeCell ref="J13:J14"/>
    <mergeCell ref="D18:D19"/>
    <mergeCell ref="E18:E19"/>
    <mergeCell ref="F18:F19"/>
    <mergeCell ref="G18:G19"/>
  </mergeCells>
  <phoneticPr fontId="1" type="noConversion"/>
  <conditionalFormatting sqref="D7:J7 D57:J57 D9:J13 D15:J18 D20:J22 D24:J27 D29:J32 D34:J37 D39:J42 D44:J46 D48:J51 D53:J55">
    <cfRule type="expression" dxfId="48" priority="7">
      <formula>OR($D7=$P$7:$P$14)</formula>
    </cfRule>
  </conditionalFormatting>
  <conditionalFormatting sqref="C7:C57">
    <cfRule type="expression" dxfId="47" priority="6">
      <formula>OR(AND($D7=0,OR($D6=$P$7:$P$14)),AND($D8&gt;0,OR($D7=$P$7:$P$14)))</formula>
    </cfRule>
  </conditionalFormatting>
  <conditionalFormatting sqref="D7 D57 D9:D13 D15:D18 D20:D22 D24:D27 D29:D32 D34:D37 D39:D42 D44:D46 D48:D51 D53:D55">
    <cfRule type="expression" dxfId="46" priority="5">
      <formula>$D7=$D8</formula>
    </cfRule>
  </conditionalFormatting>
  <conditionalFormatting sqref="D56">
    <cfRule type="expression" dxfId="45" priority="4">
      <formula>OR($D56=$P$7:$P$14)</formula>
    </cfRule>
  </conditionalFormatting>
  <conditionalFormatting sqref="D56">
    <cfRule type="expression" dxfId="44" priority="3">
      <formula>$D56=$D57</formula>
    </cfRule>
  </conditionalFormatting>
  <conditionalFormatting sqref="D8">
    <cfRule type="expression" dxfId="43" priority="2">
      <formula>OR($D8=$P$7:$P$14)</formula>
    </cfRule>
  </conditionalFormatting>
  <conditionalFormatting sqref="D8">
    <cfRule type="expression" dxfId="42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0E730-3DDC-4B1F-9703-C216C7179D26}">
  <sheetPr codeName="Sheet4"/>
  <dimension ref="A1:P105"/>
  <sheetViews>
    <sheetView topLeftCell="A53"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기능'!D21</f>
        <v>25.36</v>
      </c>
      <c r="I3" s="109" t="s">
        <v>54</v>
      </c>
      <c r="J3" s="110">
        <f>'통계 및 응시자 수 입력 기능'!C21</f>
        <v>3512</v>
      </c>
      <c r="K3" s="25"/>
    </row>
    <row r="4" spans="1:16" ht="25" customHeight="1" thickBot="1">
      <c r="A4" s="5"/>
      <c r="B4" s="24"/>
      <c r="C4" s="42" t="s">
        <v>55</v>
      </c>
      <c r="D4" s="249" t="s">
        <v>61</v>
      </c>
      <c r="E4" s="243"/>
      <c r="F4" s="244"/>
      <c r="G4" s="43" t="s">
        <v>57</v>
      </c>
      <c r="H4" s="108">
        <f>'통계 및 응시자 수 입력 기능'!E21</f>
        <v>11.13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72</v>
      </c>
      <c r="E7" s="50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기능'!$CI$5:$CL$55,4,FALSE),0)</f>
        <v>32</v>
      </c>
      <c r="H7" s="53">
        <f>G7/J3</f>
        <v>9.1116173120728925E-3</v>
      </c>
      <c r="I7" s="54">
        <f>G7</f>
        <v>32</v>
      </c>
      <c r="J7" s="55">
        <f>I7/J3</f>
        <v>9.1116173120728925E-3</v>
      </c>
      <c r="K7" s="25"/>
      <c r="M7" s="1"/>
      <c r="O7" s="1">
        <v>1</v>
      </c>
      <c r="P7" s="1">
        <f>'표준점수 등급컷 입력기능'!B68</f>
        <v>68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입력기능'!B69</f>
        <v>64</v>
      </c>
    </row>
    <row r="9" spans="1:16" ht="25" customHeight="1">
      <c r="A9" s="5"/>
      <c r="B9" s="24"/>
      <c r="C9" s="49">
        <v>48</v>
      </c>
      <c r="D9" s="50">
        <f>ROUND(10*(C9-$H$3)/$H$4+50,0)</f>
        <v>70</v>
      </c>
      <c r="E9" s="50">
        <f t="shared" si="0"/>
        <v>1</v>
      </c>
      <c r="F9" s="51">
        <f>IF(I8=0,ROUND(100*(1-(I7+I9)/2/$J$3),0),ROUND(100*(1-(I8+I9)/2/$J$3),0))</f>
        <v>99</v>
      </c>
      <c r="G9" s="52">
        <f>_xlfn.IFNA(VLOOKUP(D9,'인원 입력 기능'!$CI$5:$CL$55,4,FALSE),0)</f>
        <v>8</v>
      </c>
      <c r="H9" s="53">
        <f>G9/$J$3</f>
        <v>2.2779043280182231E-3</v>
      </c>
      <c r="I9" s="57">
        <f>SUM($G$7:G9)</f>
        <v>40</v>
      </c>
      <c r="J9" s="55">
        <f>I9/$J$3</f>
        <v>1.1389521640091117E-2</v>
      </c>
      <c r="K9" s="25"/>
      <c r="M9" s="1"/>
      <c r="O9" s="1">
        <v>3</v>
      </c>
      <c r="P9" s="1">
        <f>'표준점수 등급컷 입력기능'!B70</f>
        <v>59</v>
      </c>
    </row>
    <row r="10" spans="1:16" ht="25" customHeight="1">
      <c r="A10" s="5"/>
      <c r="B10" s="24"/>
      <c r="C10" s="56">
        <v>47</v>
      </c>
      <c r="D10" s="261">
        <f t="shared" ref="D10:D55" si="1">ROUND(10*(C10-$H$3)/$H$4+50,0)</f>
        <v>69</v>
      </c>
      <c r="E10" s="261">
        <f t="shared" si="0"/>
        <v>1</v>
      </c>
      <c r="F10" s="263">
        <f>IF(I9=0,ROUND(100*(1-(I8+I10)/2/$J$3),0),ROUND(100*(1-(I9+I10)/2/$J$3),0))</f>
        <v>98</v>
      </c>
      <c r="G10" s="265">
        <f>IF(D10=D9,"",_xlfn.IFNA(VLOOKUP(D10,'인원 입력 기능'!$CI$5:$CL$55,4,FALSE),0))</f>
        <v>92</v>
      </c>
      <c r="H10" s="266">
        <f t="shared" ref="H10:H55" si="2">G10/$J$3</f>
        <v>2.6195899772209569E-2</v>
      </c>
      <c r="I10" s="268">
        <f>SUM($G$7:G10)</f>
        <v>132</v>
      </c>
      <c r="J10" s="270">
        <f t="shared" ref="J10:J55" si="3">I10/$J$3</f>
        <v>3.7585421412300681E-2</v>
      </c>
      <c r="K10" s="25"/>
      <c r="M10" s="1"/>
      <c r="O10" s="1">
        <v>4</v>
      </c>
      <c r="P10" s="1">
        <f>'표준점수 등급컷 입력기능'!B71</f>
        <v>51</v>
      </c>
    </row>
    <row r="11" spans="1:16" ht="25" customHeight="1">
      <c r="A11" s="5"/>
      <c r="B11" s="24"/>
      <c r="C11" s="49">
        <v>46</v>
      </c>
      <c r="D11" s="260"/>
      <c r="E11" s="260"/>
      <c r="F11" s="262"/>
      <c r="G11" s="264"/>
      <c r="H11" s="267"/>
      <c r="I11" s="269"/>
      <c r="J11" s="271"/>
      <c r="K11" s="25"/>
      <c r="M11" s="1"/>
      <c r="O11" s="1">
        <v>5</v>
      </c>
      <c r="P11" s="1">
        <f>'표준점수 등급컷 입력기능'!B72</f>
        <v>46</v>
      </c>
    </row>
    <row r="12" spans="1:16" ht="25" customHeight="1">
      <c r="A12" s="5"/>
      <c r="B12" s="24"/>
      <c r="C12" s="56">
        <v>45</v>
      </c>
      <c r="D12" s="50">
        <f t="shared" si="1"/>
        <v>68</v>
      </c>
      <c r="E12" s="50">
        <f t="shared" si="0"/>
        <v>1</v>
      </c>
      <c r="F12" s="51">
        <f t="shared" ref="F11:F55" si="4">IF(I11=0,ROUND(100*(1-(I10+I12)/2/$J$3),0),ROUND(100*(1-(I11+I12)/2/$J$3),0))</f>
        <v>96</v>
      </c>
      <c r="G12" s="52">
        <f>IF(D12=D11,"",_xlfn.IFNA(VLOOKUP(D12,'인원 입력 기능'!$CI$5:$CL$55,4,FALSE),0))</f>
        <v>40</v>
      </c>
      <c r="H12" s="53">
        <f t="shared" si="2"/>
        <v>1.1389521640091117E-2</v>
      </c>
      <c r="I12" s="57">
        <f>SUM($G$7:G12)</f>
        <v>172</v>
      </c>
      <c r="J12" s="55">
        <f t="shared" si="3"/>
        <v>4.8974943052391799E-2</v>
      </c>
      <c r="K12" s="25"/>
      <c r="M12" s="1"/>
      <c r="O12" s="1">
        <v>6</v>
      </c>
      <c r="P12" s="1">
        <f>'표준점수 등급컷 입력기능'!B73</f>
        <v>42</v>
      </c>
    </row>
    <row r="13" spans="1:16" ht="25" customHeight="1">
      <c r="A13" s="5"/>
      <c r="B13" s="24"/>
      <c r="C13" s="49">
        <v>44</v>
      </c>
      <c r="D13" s="50">
        <f t="shared" si="1"/>
        <v>67</v>
      </c>
      <c r="E13" s="50">
        <f t="shared" si="0"/>
        <v>2</v>
      </c>
      <c r="F13" s="51">
        <f t="shared" si="4"/>
        <v>93</v>
      </c>
      <c r="G13" s="52">
        <f>IF(D13=D12,"",_xlfn.IFNA(VLOOKUP(D13,'인원 입력 기능'!$CI$5:$CL$55,4,FALSE),0))</f>
        <v>117</v>
      </c>
      <c r="H13" s="53">
        <f t="shared" si="2"/>
        <v>3.3314350797266516E-2</v>
      </c>
      <c r="I13" s="57">
        <f>SUM($G$7:G13)</f>
        <v>289</v>
      </c>
      <c r="J13" s="55">
        <f t="shared" si="3"/>
        <v>8.2289293849658315E-2</v>
      </c>
      <c r="K13" s="25"/>
      <c r="M13" s="1"/>
      <c r="O13" s="1">
        <v>7</v>
      </c>
      <c r="P13" s="1">
        <f>'표준점수 등급컷 입력기능'!B74</f>
        <v>38</v>
      </c>
    </row>
    <row r="14" spans="1:16" ht="25" customHeight="1">
      <c r="A14" s="5"/>
      <c r="B14" s="24"/>
      <c r="C14" s="56">
        <v>43</v>
      </c>
      <c r="D14" s="50">
        <f t="shared" si="1"/>
        <v>66</v>
      </c>
      <c r="E14" s="50">
        <f t="shared" si="0"/>
        <v>2</v>
      </c>
      <c r="F14" s="51">
        <f t="shared" si="4"/>
        <v>92</v>
      </c>
      <c r="G14" s="52">
        <f>IF(D14=D13,"",_xlfn.IFNA(VLOOKUP(D14,'인원 입력 기능'!$CI$5:$CL$55,4,FALSE),0))</f>
        <v>9</v>
      </c>
      <c r="H14" s="53">
        <f t="shared" si="2"/>
        <v>2.5626423690205012E-3</v>
      </c>
      <c r="I14" s="57">
        <f>SUM($G$7:G14)</f>
        <v>298</v>
      </c>
      <c r="J14" s="55">
        <f t="shared" si="3"/>
        <v>8.4851936218678814E-2</v>
      </c>
      <c r="K14" s="25"/>
      <c r="M14" s="1"/>
      <c r="O14" s="1">
        <v>8</v>
      </c>
      <c r="P14" s="1">
        <f>'표준점수 등급컷 입력기능'!B75</f>
        <v>35</v>
      </c>
    </row>
    <row r="15" spans="1:16" ht="25" customHeight="1">
      <c r="A15" s="5"/>
      <c r="B15" s="24"/>
      <c r="C15" s="49">
        <v>42</v>
      </c>
      <c r="D15" s="50">
        <f t="shared" si="1"/>
        <v>65</v>
      </c>
      <c r="E15" s="50">
        <f t="shared" si="0"/>
        <v>2</v>
      </c>
      <c r="F15" s="51">
        <f t="shared" si="4"/>
        <v>91</v>
      </c>
      <c r="G15" s="52">
        <f>IF(D15=D14,"",_xlfn.IFNA(VLOOKUP(D15,'인원 입력 기능'!$CI$5:$CL$55,4,FALSE),0))</f>
        <v>66</v>
      </c>
      <c r="H15" s="53">
        <f t="shared" si="2"/>
        <v>1.879271070615034E-2</v>
      </c>
      <c r="I15" s="57">
        <f>SUM($G$7:G15)</f>
        <v>364</v>
      </c>
      <c r="J15" s="55">
        <f t="shared" si="3"/>
        <v>0.10364464692482915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64</v>
      </c>
      <c r="E16" s="50">
        <f t="shared" si="0"/>
        <v>2</v>
      </c>
      <c r="F16" s="51">
        <f t="shared" si="4"/>
        <v>88</v>
      </c>
      <c r="G16" s="52">
        <f>IF(D16=D15,"",_xlfn.IFNA(VLOOKUP(D16,'인원 입력 기능'!$CI$5:$CL$55,4,FALSE),0))</f>
        <v>118</v>
      </c>
      <c r="H16" s="53">
        <f t="shared" si="2"/>
        <v>3.3599088838268794E-2</v>
      </c>
      <c r="I16" s="57">
        <f>SUM($G$7:G16)</f>
        <v>482</v>
      </c>
      <c r="J16" s="55">
        <f t="shared" si="3"/>
        <v>0.13724373576309795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63</v>
      </c>
      <c r="E17" s="50">
        <f t="shared" si="0"/>
        <v>3</v>
      </c>
      <c r="F17" s="51">
        <f t="shared" si="4"/>
        <v>86</v>
      </c>
      <c r="G17" s="52">
        <f>IF(D17=D16,"",_xlfn.IFNA(VLOOKUP(D17,'인원 입력 기능'!$CI$5:$CL$55,4,FALSE),0))</f>
        <v>16</v>
      </c>
      <c r="H17" s="53">
        <f t="shared" si="2"/>
        <v>4.5558086560364463E-3</v>
      </c>
      <c r="I17" s="57">
        <f>SUM($G$7:G17)</f>
        <v>498</v>
      </c>
      <c r="J17" s="55">
        <f t="shared" si="3"/>
        <v>0.14179954441913439</v>
      </c>
      <c r="K17" s="25"/>
      <c r="M17" s="1"/>
      <c r="P17" s="1">
        <f>H3*H4*J3*P7*IFERROR(IF(J57=1, 1, 0), 0)</f>
        <v>67407439.948799998</v>
      </c>
    </row>
    <row r="18" spans="1:16" ht="25" customHeight="1">
      <c r="A18" s="5"/>
      <c r="B18" s="24"/>
      <c r="C18" s="56">
        <v>39</v>
      </c>
      <c r="D18" s="50">
        <f t="shared" si="1"/>
        <v>62</v>
      </c>
      <c r="E18" s="50">
        <f t="shared" si="0"/>
        <v>3</v>
      </c>
      <c r="F18" s="51">
        <f t="shared" si="4"/>
        <v>85</v>
      </c>
      <c r="G18" s="52">
        <f>IF(D18=D17,"",_xlfn.IFNA(VLOOKUP(D18,'인원 입력 기능'!$CI$5:$CL$55,4,FALSE),0))</f>
        <v>82</v>
      </c>
      <c r="H18" s="53">
        <f t="shared" si="2"/>
        <v>2.3348519362186789E-2</v>
      </c>
      <c r="I18" s="57">
        <f>SUM($G$7:G18)</f>
        <v>580</v>
      </c>
      <c r="J18" s="55">
        <f t="shared" si="3"/>
        <v>0.16514806378132119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61</v>
      </c>
      <c r="E19" s="50">
        <f t="shared" si="0"/>
        <v>3</v>
      </c>
      <c r="F19" s="51">
        <f t="shared" si="4"/>
        <v>82</v>
      </c>
      <c r="G19" s="52">
        <f>IF(D19=D18,"",_xlfn.IFNA(VLOOKUP(D19,'인원 입력 기능'!$CI$5:$CL$55,4,FALSE),0))</f>
        <v>97</v>
      </c>
      <c r="H19" s="53">
        <f t="shared" si="2"/>
        <v>2.7619589977220957E-2</v>
      </c>
      <c r="I19" s="57">
        <f>SUM($G$7:G19)</f>
        <v>677</v>
      </c>
      <c r="J19" s="55">
        <f t="shared" si="3"/>
        <v>0.19276765375854213</v>
      </c>
      <c r="K19" s="25"/>
      <c r="M19" s="1"/>
    </row>
    <row r="20" spans="1:16" ht="25" customHeight="1">
      <c r="A20" s="5"/>
      <c r="B20" s="24"/>
      <c r="C20" s="56">
        <v>37</v>
      </c>
      <c r="D20" s="261">
        <f t="shared" si="1"/>
        <v>60</v>
      </c>
      <c r="E20" s="261">
        <f t="shared" si="0"/>
        <v>3</v>
      </c>
      <c r="F20" s="263">
        <f t="shared" si="4"/>
        <v>79</v>
      </c>
      <c r="G20" s="265">
        <f>IF(D20=D19,"",_xlfn.IFNA(VLOOKUP(D20,'인원 입력 기능'!$CI$5:$CL$55,4,FALSE),0))</f>
        <v>114</v>
      </c>
      <c r="H20" s="266">
        <f t="shared" si="2"/>
        <v>3.2460136674259683E-2</v>
      </c>
      <c r="I20" s="268">
        <f>SUM($G$7:G20)</f>
        <v>791</v>
      </c>
      <c r="J20" s="270">
        <f t="shared" si="3"/>
        <v>0.22522779043280183</v>
      </c>
      <c r="K20" s="25"/>
      <c r="M20" s="1"/>
    </row>
    <row r="21" spans="1:16" ht="25" customHeight="1">
      <c r="A21" s="5"/>
      <c r="B21" s="24"/>
      <c r="C21" s="58">
        <v>36</v>
      </c>
      <c r="D21" s="260"/>
      <c r="E21" s="260"/>
      <c r="F21" s="262"/>
      <c r="G21" s="264"/>
      <c r="H21" s="267"/>
      <c r="I21" s="269"/>
      <c r="J21" s="271"/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59</v>
      </c>
      <c r="E22" s="60">
        <f t="shared" si="0"/>
        <v>3</v>
      </c>
      <c r="F22" s="51">
        <f t="shared" si="4"/>
        <v>76</v>
      </c>
      <c r="G22" s="52">
        <f>IF(D22=D21,"",_xlfn.IFNA(VLOOKUP(D22,'인원 입력 기능'!$CI$5:$CL$55,4,FALSE),0))</f>
        <v>75</v>
      </c>
      <c r="H22" s="53">
        <f t="shared" si="2"/>
        <v>2.1355353075170842E-2</v>
      </c>
      <c r="I22" s="57">
        <f>SUM($G$7:G22)</f>
        <v>866</v>
      </c>
      <c r="J22" s="55">
        <f t="shared" si="3"/>
        <v>0.24658314350797267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58</v>
      </c>
      <c r="E23" s="60">
        <f t="shared" si="0"/>
        <v>4</v>
      </c>
      <c r="F23" s="51">
        <f t="shared" si="4"/>
        <v>75</v>
      </c>
      <c r="G23" s="52">
        <f>IF(D23=D22,"",_xlfn.IFNA(VLOOKUP(D23,'인원 입력 기능'!$CI$5:$CL$55,4,FALSE),0))</f>
        <v>51</v>
      </c>
      <c r="H23" s="53">
        <f t="shared" si="2"/>
        <v>1.4521640091116172E-2</v>
      </c>
      <c r="I23" s="57">
        <f>SUM($G$7:G23)</f>
        <v>917</v>
      </c>
      <c r="J23" s="55">
        <f t="shared" si="3"/>
        <v>0.26110478359908884</v>
      </c>
      <c r="K23" s="25"/>
      <c r="M23" s="1"/>
    </row>
    <row r="24" spans="1:16" ht="25" customHeight="1">
      <c r="A24" s="5"/>
      <c r="B24" s="24"/>
      <c r="C24" s="59">
        <v>33</v>
      </c>
      <c r="D24" s="60">
        <f t="shared" si="1"/>
        <v>57</v>
      </c>
      <c r="E24" s="60">
        <f t="shared" si="0"/>
        <v>4</v>
      </c>
      <c r="F24" s="51">
        <f t="shared" si="4"/>
        <v>73</v>
      </c>
      <c r="G24" s="52">
        <f>IF(D24=D23,"",_xlfn.IFNA(VLOOKUP(D24,'인원 입력 기능'!$CI$5:$CL$55,4,FALSE),0))</f>
        <v>88</v>
      </c>
      <c r="H24" s="53">
        <f t="shared" si="2"/>
        <v>2.5056947608200455E-2</v>
      </c>
      <c r="I24" s="57">
        <f>SUM($G$7:G24)</f>
        <v>1005</v>
      </c>
      <c r="J24" s="55">
        <f t="shared" si="3"/>
        <v>0.28616173120728927</v>
      </c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56</v>
      </c>
      <c r="E25" s="60">
        <f t="shared" si="0"/>
        <v>4</v>
      </c>
      <c r="F25" s="51">
        <f t="shared" si="4"/>
        <v>70</v>
      </c>
      <c r="G25" s="52">
        <f>IF(D25=D24,"",_xlfn.IFNA(VLOOKUP(D25,'인원 입력 기능'!$CI$5:$CL$55,4,FALSE),0))</f>
        <v>73</v>
      </c>
      <c r="H25" s="53">
        <f t="shared" si="2"/>
        <v>2.0785876993166287E-2</v>
      </c>
      <c r="I25" s="57">
        <f>SUM($G$7:G25)</f>
        <v>1078</v>
      </c>
      <c r="J25" s="55">
        <f t="shared" si="3"/>
        <v>0.30694760820045558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55</v>
      </c>
      <c r="E26" s="60">
        <f t="shared" si="0"/>
        <v>4</v>
      </c>
      <c r="F26" s="51">
        <f t="shared" si="4"/>
        <v>68</v>
      </c>
      <c r="G26" s="52">
        <f>IF(D26=D25,"",_xlfn.IFNA(VLOOKUP(D26,'인원 입력 기능'!$CI$5:$CL$55,4,FALSE),0))</f>
        <v>64</v>
      </c>
      <c r="H26" s="53">
        <f t="shared" si="2"/>
        <v>1.8223234624145785E-2</v>
      </c>
      <c r="I26" s="57">
        <f>SUM($G$7:G26)</f>
        <v>1142</v>
      </c>
      <c r="J26" s="55">
        <f t="shared" si="3"/>
        <v>0.32517084282460135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54</v>
      </c>
      <c r="E27" s="60">
        <f t="shared" si="0"/>
        <v>4</v>
      </c>
      <c r="F27" s="51">
        <f t="shared" si="4"/>
        <v>66</v>
      </c>
      <c r="G27" s="52">
        <f>IF(D27=D26,"",_xlfn.IFNA(VLOOKUP(D27,'인원 입력 기능'!$CI$5:$CL$55,4,FALSE),0))</f>
        <v>90</v>
      </c>
      <c r="H27" s="53">
        <f t="shared" si="2"/>
        <v>2.562642369020501E-2</v>
      </c>
      <c r="I27" s="57">
        <f>SUM($G$7:G27)</f>
        <v>1232</v>
      </c>
      <c r="J27" s="55">
        <f t="shared" si="3"/>
        <v>0.35079726651480636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53</v>
      </c>
      <c r="E28" s="60">
        <f t="shared" si="0"/>
        <v>4</v>
      </c>
      <c r="F28" s="51">
        <f t="shared" si="4"/>
        <v>64</v>
      </c>
      <c r="G28" s="52">
        <f>IF(D28=D27,"",_xlfn.IFNA(VLOOKUP(D28,'인원 입력 기능'!$CI$5:$CL$55,4,FALSE),0))</f>
        <v>52</v>
      </c>
      <c r="H28" s="53">
        <f t="shared" si="2"/>
        <v>1.4806378132118452E-2</v>
      </c>
      <c r="I28" s="57">
        <f>SUM($G$7:G28)</f>
        <v>1284</v>
      </c>
      <c r="J28" s="55">
        <f t="shared" si="3"/>
        <v>0.36560364464692485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52</v>
      </c>
      <c r="E29" s="60">
        <f t="shared" si="0"/>
        <v>4</v>
      </c>
      <c r="F29" s="51">
        <f t="shared" si="4"/>
        <v>62</v>
      </c>
      <c r="G29" s="52">
        <f>IF(D29=D28,"",_xlfn.IFNA(VLOOKUP(D29,'인원 입력 기능'!$CI$5:$CL$55,4,FALSE),0))</f>
        <v>94</v>
      </c>
      <c r="H29" s="53">
        <f t="shared" si="2"/>
        <v>2.6765375854214124E-2</v>
      </c>
      <c r="I29" s="57">
        <f>SUM($G$7:G29)</f>
        <v>1378</v>
      </c>
      <c r="J29" s="55">
        <f t="shared" si="3"/>
        <v>0.39236902050113898</v>
      </c>
      <c r="K29" s="25"/>
      <c r="M29" s="1"/>
    </row>
    <row r="30" spans="1:16" ht="25" customHeight="1">
      <c r="A30" s="5"/>
      <c r="B30" s="24"/>
      <c r="C30" s="59">
        <v>27</v>
      </c>
      <c r="D30" s="273">
        <f t="shared" si="1"/>
        <v>51</v>
      </c>
      <c r="E30" s="273">
        <f t="shared" si="0"/>
        <v>4</v>
      </c>
      <c r="F30" s="263">
        <f t="shared" si="4"/>
        <v>59</v>
      </c>
      <c r="G30" s="265">
        <f>IF(D30=D29,"",_xlfn.IFNA(VLOOKUP(D30,'인원 입력 기능'!$CI$5:$CL$55,4,FALSE),0))</f>
        <v>154</v>
      </c>
      <c r="H30" s="266">
        <f t="shared" si="2"/>
        <v>4.3849658314350795E-2</v>
      </c>
      <c r="I30" s="268">
        <f>SUM($G$7:G30)</f>
        <v>1532</v>
      </c>
      <c r="J30" s="270">
        <f t="shared" si="3"/>
        <v>0.43621867881548976</v>
      </c>
      <c r="K30" s="25"/>
      <c r="M30" s="1"/>
    </row>
    <row r="31" spans="1:16" ht="25" customHeight="1">
      <c r="A31" s="5"/>
      <c r="B31" s="24"/>
      <c r="C31" s="58">
        <v>26</v>
      </c>
      <c r="D31" s="272"/>
      <c r="E31" s="272"/>
      <c r="F31" s="262"/>
      <c r="G31" s="264"/>
      <c r="H31" s="267"/>
      <c r="I31" s="269"/>
      <c r="J31" s="271"/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50</v>
      </c>
      <c r="E32" s="60">
        <f t="shared" si="0"/>
        <v>5</v>
      </c>
      <c r="F32" s="51">
        <f t="shared" si="4"/>
        <v>55</v>
      </c>
      <c r="G32" s="52">
        <f>IF(D32=D31,"",_xlfn.IFNA(VLOOKUP(D32,'인원 입력 기능'!$CI$5:$CL$55,4,FALSE),0))</f>
        <v>104</v>
      </c>
      <c r="H32" s="53">
        <f t="shared" si="2"/>
        <v>2.9612756264236904E-2</v>
      </c>
      <c r="I32" s="57">
        <f>SUM($G$7:G32)</f>
        <v>1636</v>
      </c>
      <c r="J32" s="55">
        <f t="shared" si="3"/>
        <v>0.46583143507972663</v>
      </c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49</v>
      </c>
      <c r="E33" s="60">
        <f t="shared" si="0"/>
        <v>5</v>
      </c>
      <c r="F33" s="51">
        <f t="shared" si="4"/>
        <v>52</v>
      </c>
      <c r="G33" s="52">
        <f>IF(D33=D32,"",_xlfn.IFNA(VLOOKUP(D33,'인원 입력 기능'!$CI$5:$CL$55,4,FALSE),0))</f>
        <v>112</v>
      </c>
      <c r="H33" s="53">
        <f t="shared" si="2"/>
        <v>3.1890660592255128E-2</v>
      </c>
      <c r="I33" s="57">
        <f>SUM($G$7:G33)</f>
        <v>1748</v>
      </c>
      <c r="J33" s="55">
        <f t="shared" si="3"/>
        <v>0.49772209567198178</v>
      </c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48</v>
      </c>
      <c r="E34" s="60">
        <f t="shared" si="0"/>
        <v>5</v>
      </c>
      <c r="F34" s="51">
        <f t="shared" si="4"/>
        <v>48</v>
      </c>
      <c r="G34" s="52">
        <f>IF(D34=D33,"",_xlfn.IFNA(VLOOKUP(D34,'인원 입력 기능'!$CI$5:$CL$55,4,FALSE),0))</f>
        <v>127</v>
      </c>
      <c r="H34" s="53">
        <f t="shared" si="2"/>
        <v>3.6161731207289292E-2</v>
      </c>
      <c r="I34" s="57">
        <f>SUM($G$7:G34)</f>
        <v>1875</v>
      </c>
      <c r="J34" s="55">
        <f t="shared" si="3"/>
        <v>0.53388382687927105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47</v>
      </c>
      <c r="E35" s="60">
        <f t="shared" si="0"/>
        <v>5</v>
      </c>
      <c r="F35" s="51">
        <f t="shared" si="4"/>
        <v>45</v>
      </c>
      <c r="G35" s="52">
        <f>IF(D35=D34,"",_xlfn.IFNA(VLOOKUP(D35,'인원 입력 기능'!$CI$5:$CL$55,4,FALSE),0))</f>
        <v>112</v>
      </c>
      <c r="H35" s="53">
        <f t="shared" si="2"/>
        <v>3.1890660592255128E-2</v>
      </c>
      <c r="I35" s="57">
        <f>SUM($G$7:G35)</f>
        <v>1987</v>
      </c>
      <c r="J35" s="55">
        <f t="shared" si="3"/>
        <v>0.56577448747152614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46</v>
      </c>
      <c r="E36" s="60">
        <f t="shared" si="0"/>
        <v>5</v>
      </c>
      <c r="F36" s="51">
        <f t="shared" si="4"/>
        <v>42</v>
      </c>
      <c r="G36" s="52">
        <f>IF(D36=D35,"",_xlfn.IFNA(VLOOKUP(D36,'인원 입력 기능'!$CI$5:$CL$55,4,FALSE),0))</f>
        <v>133</v>
      </c>
      <c r="H36" s="53">
        <f t="shared" si="2"/>
        <v>3.7870159453302958E-2</v>
      </c>
      <c r="I36" s="57">
        <f>SUM($G$7:G36)</f>
        <v>2120</v>
      </c>
      <c r="J36" s="55">
        <f t="shared" si="3"/>
        <v>0.60364464692482911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45</v>
      </c>
      <c r="E37" s="60">
        <f t="shared" si="0"/>
        <v>6</v>
      </c>
      <c r="F37" s="51">
        <f t="shared" si="4"/>
        <v>38</v>
      </c>
      <c r="G37" s="52">
        <f>IF(D37=D36,"",_xlfn.IFNA(VLOOKUP(D37,'인원 입력 기능'!$CI$5:$CL$55,4,FALSE),0))</f>
        <v>130</v>
      </c>
      <c r="H37" s="53">
        <f t="shared" si="2"/>
        <v>3.7015945330296125E-2</v>
      </c>
      <c r="I37" s="57">
        <f>SUM($G$7:G37)</f>
        <v>2250</v>
      </c>
      <c r="J37" s="55">
        <f t="shared" si="3"/>
        <v>0.64066059225512528</v>
      </c>
      <c r="K37" s="25"/>
      <c r="M37" s="1"/>
    </row>
    <row r="38" spans="1:13" ht="25" customHeight="1">
      <c r="A38" s="5"/>
      <c r="B38" s="24"/>
      <c r="C38" s="59">
        <v>19</v>
      </c>
      <c r="D38" s="60">
        <f t="shared" si="1"/>
        <v>44</v>
      </c>
      <c r="E38" s="60">
        <f t="shared" si="0"/>
        <v>6</v>
      </c>
      <c r="F38" s="51">
        <f t="shared" si="4"/>
        <v>34</v>
      </c>
      <c r="G38" s="52">
        <f>IF(D38=D37,"",_xlfn.IFNA(VLOOKUP(D38,'인원 입력 기능'!$CI$5:$CL$55,4,FALSE),0))</f>
        <v>137</v>
      </c>
      <c r="H38" s="53">
        <f t="shared" si="2"/>
        <v>3.9009111617312076E-2</v>
      </c>
      <c r="I38" s="57">
        <f>SUM($G$7:G38)</f>
        <v>2387</v>
      </c>
      <c r="J38" s="55">
        <f t="shared" si="3"/>
        <v>0.6796697038724373</v>
      </c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43</v>
      </c>
      <c r="E39" s="60">
        <f t="shared" si="0"/>
        <v>6</v>
      </c>
      <c r="F39" s="51">
        <f t="shared" si="4"/>
        <v>30</v>
      </c>
      <c r="G39" s="52">
        <f>IF(D39=D38,"",_xlfn.IFNA(VLOOKUP(D39,'인원 입력 기능'!$CI$5:$CL$55,4,FALSE),0))</f>
        <v>142</v>
      </c>
      <c r="H39" s="53">
        <f t="shared" si="2"/>
        <v>4.0432801822323464E-2</v>
      </c>
      <c r="I39" s="57">
        <f>SUM($G$7:G39)</f>
        <v>2529</v>
      </c>
      <c r="J39" s="55">
        <f t="shared" si="3"/>
        <v>0.72010250569476086</v>
      </c>
      <c r="K39" s="25"/>
      <c r="M39" s="1"/>
    </row>
    <row r="40" spans="1:13" ht="25" customHeight="1">
      <c r="A40" s="5"/>
      <c r="B40" s="24"/>
      <c r="C40" s="59">
        <v>17</v>
      </c>
      <c r="D40" s="273">
        <f t="shared" si="1"/>
        <v>42</v>
      </c>
      <c r="E40" s="273">
        <f t="shared" si="0"/>
        <v>6</v>
      </c>
      <c r="F40" s="263">
        <f t="shared" si="4"/>
        <v>25</v>
      </c>
      <c r="G40" s="265">
        <f>IF(D40=D39,"",_xlfn.IFNA(VLOOKUP(D40,'인원 입력 기능'!$CI$5:$CL$55,4,FALSE),0))</f>
        <v>235</v>
      </c>
      <c r="H40" s="266">
        <f t="shared" si="2"/>
        <v>6.691343963553531E-2</v>
      </c>
      <c r="I40" s="268">
        <f>SUM($G$7:G40)</f>
        <v>2764</v>
      </c>
      <c r="J40" s="270">
        <f t="shared" si="3"/>
        <v>0.78701594533029617</v>
      </c>
      <c r="K40" s="25"/>
      <c r="M40" s="1"/>
    </row>
    <row r="41" spans="1:13" ht="25" customHeight="1">
      <c r="A41" s="5"/>
      <c r="B41" s="24"/>
      <c r="C41" s="58">
        <v>16</v>
      </c>
      <c r="D41" s="272"/>
      <c r="E41" s="272"/>
      <c r="F41" s="262"/>
      <c r="G41" s="264"/>
      <c r="H41" s="267"/>
      <c r="I41" s="269"/>
      <c r="J41" s="271"/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41</v>
      </c>
      <c r="E42" s="60">
        <f t="shared" si="0"/>
        <v>7</v>
      </c>
      <c r="F42" s="51">
        <f t="shared" si="4"/>
        <v>20</v>
      </c>
      <c r="G42" s="52">
        <f>IF(D42=D41,"",_xlfn.IFNA(VLOOKUP(D42,'인원 입력 기능'!$CI$5:$CL$55,4,FALSE),0))</f>
        <v>120</v>
      </c>
      <c r="H42" s="53">
        <f t="shared" si="2"/>
        <v>3.4168564920273349E-2</v>
      </c>
      <c r="I42" s="57">
        <f>SUM($G$7:G42)</f>
        <v>2884</v>
      </c>
      <c r="J42" s="55">
        <f t="shared" si="3"/>
        <v>0.82118451025056949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40</v>
      </c>
      <c r="E43" s="60">
        <f t="shared" si="0"/>
        <v>7</v>
      </c>
      <c r="F43" s="51">
        <f t="shared" si="4"/>
        <v>17</v>
      </c>
      <c r="G43" s="52">
        <f>IF(D43=D42,"",_xlfn.IFNA(VLOOKUP(D43,'인원 입력 기능'!$CI$5:$CL$55,4,FALSE),0))</f>
        <v>87</v>
      </c>
      <c r="H43" s="53">
        <f t="shared" si="2"/>
        <v>2.4772209567198177E-2</v>
      </c>
      <c r="I43" s="57">
        <f>SUM($G$7:G43)</f>
        <v>2971</v>
      </c>
      <c r="J43" s="55">
        <f t="shared" si="3"/>
        <v>0.84595671981776766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39</v>
      </c>
      <c r="E44" s="60">
        <f t="shared" si="0"/>
        <v>7</v>
      </c>
      <c r="F44" s="51">
        <f t="shared" si="4"/>
        <v>13</v>
      </c>
      <c r="G44" s="52">
        <f>IF(D44=D43,"",_xlfn.IFNA(VLOOKUP(D44,'인원 입력 기능'!$CI$5:$CL$55,4,FALSE),0))</f>
        <v>140</v>
      </c>
      <c r="H44" s="53">
        <f t="shared" si="2"/>
        <v>3.9863325740318908E-2</v>
      </c>
      <c r="I44" s="57">
        <f>SUM($G$7:G44)</f>
        <v>3111</v>
      </c>
      <c r="J44" s="55">
        <f t="shared" si="3"/>
        <v>0.88582004555808658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38</v>
      </c>
      <c r="E45" s="60">
        <f t="shared" si="0"/>
        <v>7</v>
      </c>
      <c r="F45" s="51">
        <f t="shared" si="4"/>
        <v>10</v>
      </c>
      <c r="G45" s="52">
        <f>IF(D45=D44,"",_xlfn.IFNA(VLOOKUP(D45,'인원 입력 기능'!$CI$5:$CL$55,4,FALSE),0))</f>
        <v>85</v>
      </c>
      <c r="H45" s="53">
        <f t="shared" si="2"/>
        <v>2.4202733485193622E-2</v>
      </c>
      <c r="I45" s="57">
        <f>SUM($G$7:G45)</f>
        <v>3196</v>
      </c>
      <c r="J45" s="55">
        <f t="shared" si="3"/>
        <v>0.91002277904328022</v>
      </c>
      <c r="K45" s="25"/>
      <c r="M45" s="1"/>
    </row>
    <row r="46" spans="1:13" ht="25" customHeight="1">
      <c r="A46" s="5"/>
      <c r="B46" s="24"/>
      <c r="C46" s="59">
        <v>11</v>
      </c>
      <c r="D46" s="60">
        <f t="shared" si="1"/>
        <v>37</v>
      </c>
      <c r="E46" s="60">
        <f t="shared" si="0"/>
        <v>8</v>
      </c>
      <c r="F46" s="51">
        <f t="shared" si="4"/>
        <v>8</v>
      </c>
      <c r="G46" s="52">
        <f>IF(D46=D45,"",_xlfn.IFNA(VLOOKUP(D46,'인원 입력 기능'!$CI$5:$CL$55,4,FALSE),0))</f>
        <v>68</v>
      </c>
      <c r="H46" s="53">
        <f t="shared" si="2"/>
        <v>1.9362186788154899E-2</v>
      </c>
      <c r="I46" s="57">
        <f>SUM($G$7:G46)</f>
        <v>3264</v>
      </c>
      <c r="J46" s="55">
        <f t="shared" si="3"/>
        <v>0.92938496583143504</v>
      </c>
      <c r="K46" s="25"/>
      <c r="M46" s="1"/>
    </row>
    <row r="47" spans="1:13" ht="25" customHeight="1">
      <c r="A47" s="5"/>
      <c r="B47" s="24"/>
      <c r="C47" s="58">
        <v>10</v>
      </c>
      <c r="D47" s="60">
        <f t="shared" si="1"/>
        <v>36</v>
      </c>
      <c r="E47" s="60">
        <f t="shared" si="0"/>
        <v>8</v>
      </c>
      <c r="F47" s="51">
        <f t="shared" si="4"/>
        <v>6</v>
      </c>
      <c r="G47" s="52">
        <f>IF(D47=D46,"",_xlfn.IFNA(VLOOKUP(D47,'인원 입력 기능'!$CI$5:$CL$55,4,FALSE),0))</f>
        <v>88</v>
      </c>
      <c r="H47" s="53">
        <f t="shared" si="2"/>
        <v>2.5056947608200455E-2</v>
      </c>
      <c r="I47" s="57">
        <f>SUM($G$7:G47)</f>
        <v>3352</v>
      </c>
      <c r="J47" s="55">
        <f t="shared" si="3"/>
        <v>0.95444191343963558</v>
      </c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35</v>
      </c>
      <c r="E48" s="60">
        <f t="shared" si="0"/>
        <v>8</v>
      </c>
      <c r="F48" s="51">
        <f t="shared" si="4"/>
        <v>4</v>
      </c>
      <c r="G48" s="52">
        <f>IF(D48=D47,"",_xlfn.IFNA(VLOOKUP(D48,'인원 입력 기능'!$CI$5:$CL$55,4,FALSE),0))</f>
        <v>37</v>
      </c>
      <c r="H48" s="53">
        <f t="shared" si="2"/>
        <v>1.0535307517084282E-2</v>
      </c>
      <c r="I48" s="57">
        <f>SUM($G$7:G48)</f>
        <v>3389</v>
      </c>
      <c r="J48" s="55">
        <f t="shared" si="3"/>
        <v>0.96497722095671978</v>
      </c>
      <c r="K48" s="25"/>
      <c r="M48" s="1"/>
    </row>
    <row r="49" spans="1:13" ht="25" customHeight="1">
      <c r="A49" s="5"/>
      <c r="B49" s="24"/>
      <c r="C49" s="58">
        <v>8</v>
      </c>
      <c r="D49" s="273">
        <f t="shared" si="1"/>
        <v>34</v>
      </c>
      <c r="E49" s="273">
        <f t="shared" si="0"/>
        <v>9</v>
      </c>
      <c r="F49" s="263">
        <f t="shared" si="4"/>
        <v>3</v>
      </c>
      <c r="G49" s="265">
        <f>IF(D49=D48,"",_xlfn.IFNA(VLOOKUP(D49,'인원 입력 기능'!$CI$5:$CL$55,4,FALSE),0))</f>
        <v>70</v>
      </c>
      <c r="H49" s="266">
        <f t="shared" si="2"/>
        <v>1.9931662870159454E-2</v>
      </c>
      <c r="I49" s="268">
        <f>SUM($G$7:G49)</f>
        <v>3459</v>
      </c>
      <c r="J49" s="270">
        <f t="shared" si="3"/>
        <v>0.98490888382687924</v>
      </c>
      <c r="K49" s="25"/>
      <c r="M49" s="1"/>
    </row>
    <row r="50" spans="1:13" ht="25" customHeight="1">
      <c r="A50" s="5"/>
      <c r="B50" s="24"/>
      <c r="C50" s="59">
        <v>7</v>
      </c>
      <c r="D50" s="272"/>
      <c r="E50" s="272"/>
      <c r="F50" s="262"/>
      <c r="G50" s="264"/>
      <c r="H50" s="267"/>
      <c r="I50" s="269"/>
      <c r="J50" s="271"/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33</v>
      </c>
      <c r="E51" s="60">
        <f t="shared" si="0"/>
        <v>9</v>
      </c>
      <c r="F51" s="51">
        <f t="shared" si="4"/>
        <v>1</v>
      </c>
      <c r="G51" s="52">
        <f>IF(D51=D50,"",_xlfn.IFNA(VLOOKUP(D51,'인원 입력 기능'!$CI$5:$CL$55,4,FALSE),0))</f>
        <v>18</v>
      </c>
      <c r="H51" s="53">
        <f t="shared" si="2"/>
        <v>5.1252847380410024E-3</v>
      </c>
      <c r="I51" s="57">
        <f>SUM($G$7:G51)</f>
        <v>3477</v>
      </c>
      <c r="J51" s="55">
        <f t="shared" si="3"/>
        <v>0.99003416856492032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32</v>
      </c>
      <c r="E52" s="60">
        <f t="shared" si="0"/>
        <v>9</v>
      </c>
      <c r="F52" s="51">
        <f t="shared" si="4"/>
        <v>1</v>
      </c>
      <c r="G52" s="52">
        <f>IF(D52=D51,"",_xlfn.IFNA(VLOOKUP(D52,'인원 입력 기능'!$CI$5:$CL$55,4,FALSE),0))</f>
        <v>12</v>
      </c>
      <c r="H52" s="53">
        <f t="shared" si="2"/>
        <v>3.4168564920273349E-3</v>
      </c>
      <c r="I52" s="57">
        <f>SUM($G$7:G52)</f>
        <v>3489</v>
      </c>
      <c r="J52" s="55">
        <f t="shared" si="3"/>
        <v>0.9934510250569476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31</v>
      </c>
      <c r="E53" s="50">
        <f t="shared" si="0"/>
        <v>9</v>
      </c>
      <c r="F53" s="51">
        <f t="shared" si="4"/>
        <v>0</v>
      </c>
      <c r="G53" s="52">
        <f>IF(D53=D52,"",_xlfn.IFNA(VLOOKUP(D53,'인원 입력 기능'!$CI$5:$CL$55,4,FALSE),0))</f>
        <v>11</v>
      </c>
      <c r="H53" s="53">
        <f t="shared" si="2"/>
        <v>3.1321184510250569E-3</v>
      </c>
      <c r="I53" s="57">
        <f>SUM($G$7:G53)</f>
        <v>3500</v>
      </c>
      <c r="J53" s="55">
        <f t="shared" si="3"/>
        <v>0.99658314350797261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30</v>
      </c>
      <c r="E54" s="50">
        <f t="shared" si="0"/>
        <v>9</v>
      </c>
      <c r="F54" s="51">
        <f t="shared" si="4"/>
        <v>0</v>
      </c>
      <c r="G54" s="52">
        <f>IF(D54=D53,"",_xlfn.IFNA(VLOOKUP(D54,'인원 입력 기능'!$CI$5:$CL$55,4,FALSE),0))</f>
        <v>5</v>
      </c>
      <c r="H54" s="53">
        <f t="shared" si="2"/>
        <v>1.4236902050113896E-3</v>
      </c>
      <c r="I54" s="57">
        <f>SUM($G$7:G54)</f>
        <v>3505</v>
      </c>
      <c r="J54" s="55">
        <f t="shared" si="3"/>
        <v>0.99800683371298404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29</v>
      </c>
      <c r="E55" s="50">
        <f t="shared" si="0"/>
        <v>9</v>
      </c>
      <c r="F55" s="51">
        <f t="shared" si="4"/>
        <v>0</v>
      </c>
      <c r="G55" s="52">
        <f>IF(D55=D54,"",_xlfn.IFNA(VLOOKUP(D55,'인원 입력 기능'!$CI$5:$CL$55,4,FALSE),0))</f>
        <v>7</v>
      </c>
      <c r="H55" s="53">
        <f t="shared" si="2"/>
        <v>1.9931662870159455E-3</v>
      </c>
      <c r="I55" s="57">
        <f>SUM($G$7:G55)</f>
        <v>3512</v>
      </c>
      <c r="J55" s="55">
        <f t="shared" si="3"/>
        <v>1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27</v>
      </c>
      <c r="E57" s="66">
        <f t="shared" si="0"/>
        <v>9</v>
      </c>
      <c r="F57" s="67">
        <f>IF(I55=0,ROUND(100*(1-(I54+I57)/2/$J$3),0),ROUND(100*(1-(I55+I57)/2/$J$3),0))</f>
        <v>0</v>
      </c>
      <c r="G57" s="68">
        <f>_xlfn.IFNA(VLOOKUP(D57,'인원 입력 기능'!$CI$5:$CL$55,4,FALSE),0)</f>
        <v>0</v>
      </c>
      <c r="H57" s="69">
        <f>G57/J3</f>
        <v>0</v>
      </c>
      <c r="I57" s="70">
        <f>SUM($G$7:G57)</f>
        <v>3512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0">
    <mergeCell ref="I40:I41"/>
    <mergeCell ref="J40:J41"/>
    <mergeCell ref="D49:D50"/>
    <mergeCell ref="E49:E50"/>
    <mergeCell ref="F49:F50"/>
    <mergeCell ref="G49:G50"/>
    <mergeCell ref="H49:H50"/>
    <mergeCell ref="I49:I50"/>
    <mergeCell ref="J49:J50"/>
    <mergeCell ref="D40:D41"/>
    <mergeCell ref="E40:E41"/>
    <mergeCell ref="F40:F41"/>
    <mergeCell ref="G40:G41"/>
    <mergeCell ref="H40:H41"/>
    <mergeCell ref="H20:H21"/>
    <mergeCell ref="I20:I21"/>
    <mergeCell ref="J20:J21"/>
    <mergeCell ref="D30:D31"/>
    <mergeCell ref="E30:E31"/>
    <mergeCell ref="F30:F31"/>
    <mergeCell ref="G30:G31"/>
    <mergeCell ref="H30:H31"/>
    <mergeCell ref="I30:I31"/>
    <mergeCell ref="J30:J31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20:D21"/>
    <mergeCell ref="E20:E21"/>
    <mergeCell ref="F20:F21"/>
    <mergeCell ref="G20:G21"/>
  </mergeCells>
  <phoneticPr fontId="1" type="noConversion"/>
  <conditionalFormatting sqref="D7:J7 D57:J57 D9:J10 D12:J20 D22:J30 D32:J40 D42:J49 D51:J55">
    <cfRule type="expression" dxfId="41" priority="7">
      <formula>OR($D7=$P$7:$P$14)</formula>
    </cfRule>
  </conditionalFormatting>
  <conditionalFormatting sqref="C7:C57">
    <cfRule type="expression" dxfId="40" priority="6">
      <formula>OR(AND($D7=0,OR($D6=$P$7:$P$14)),AND($D8&gt;0,OR($D7=$P$7:$P$14)))</formula>
    </cfRule>
  </conditionalFormatting>
  <conditionalFormatting sqref="D7 D57 D9:D10 D12:D20 D22:D30 D32:D40 D42:D49 D51:D55">
    <cfRule type="expression" dxfId="39" priority="5">
      <formula>$D7=$D8</formula>
    </cfRule>
  </conditionalFormatting>
  <conditionalFormatting sqref="D56">
    <cfRule type="expression" dxfId="38" priority="4">
      <formula>OR($D56=$P$7:$P$14)</formula>
    </cfRule>
  </conditionalFormatting>
  <conditionalFormatting sqref="D56">
    <cfRule type="expression" dxfId="37" priority="3">
      <formula>$D56=$D57</formula>
    </cfRule>
  </conditionalFormatting>
  <conditionalFormatting sqref="D8">
    <cfRule type="expression" dxfId="36" priority="2">
      <formula>OR($D8=$P$7:$P$14)</formula>
    </cfRule>
  </conditionalFormatting>
  <conditionalFormatting sqref="D8">
    <cfRule type="expression" dxfId="35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9E68-2E5B-43D8-8ACE-9A5C7E18EA00}">
  <sheetPr codeName="Sheet5"/>
  <dimension ref="A1:P105"/>
  <sheetViews>
    <sheetView zoomScaleNormal="100" workbookViewId="0">
      <selection activeCell="E6" sqref="E6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기능'!D22</f>
        <v>0</v>
      </c>
      <c r="I3" s="109" t="s">
        <v>54</v>
      </c>
      <c r="J3" s="110">
        <f>'통계 및 응시자 수 입력 기능'!C22</f>
        <v>234</v>
      </c>
      <c r="K3" s="25"/>
    </row>
    <row r="4" spans="1:16" ht="25" customHeight="1" thickBot="1">
      <c r="A4" s="5"/>
      <c r="B4" s="24"/>
      <c r="C4" s="42" t="s">
        <v>55</v>
      </c>
      <c r="D4" s="250" t="s">
        <v>119</v>
      </c>
      <c r="E4" s="251"/>
      <c r="F4" s="252"/>
      <c r="G4" s="43" t="s">
        <v>57</v>
      </c>
      <c r="H4" s="108">
        <f>'통계 및 응시자 수 입력 기능'!E22</f>
        <v>0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 t="e">
        <f>ROUND(10*(C7-$H$3)/$H$4+50,0)</f>
        <v>#DIV/0!</v>
      </c>
      <c r="E7" s="50" t="e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#DIV/0!</v>
      </c>
      <c r="F7" s="51" t="e">
        <f>ROUND(100*(1-(0+I7)/2/$J$3),0)</f>
        <v>#DIV/0!</v>
      </c>
      <c r="G7" s="52" t="e">
        <f>_xlfn.IFNA(VLOOKUP(D7,'인원 입력 기능'!$CN$5:$CQ$55,4,FALSE),0)</f>
        <v>#DIV/0!</v>
      </c>
      <c r="H7" s="53" t="e">
        <f>G7/J3</f>
        <v>#DIV/0!</v>
      </c>
      <c r="I7" s="54" t="e">
        <f>G7</f>
        <v>#DIV/0!</v>
      </c>
      <c r="J7" s="55" t="e">
        <f>I7/J3</f>
        <v>#DIV/0!</v>
      </c>
      <c r="K7" s="25"/>
      <c r="M7" s="1"/>
      <c r="O7" s="1">
        <v>1</v>
      </c>
      <c r="P7" s="1">
        <f>'표준점수 등급컷 입력기능'!E68</f>
        <v>65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입력기능'!E69</f>
        <v>63</v>
      </c>
    </row>
    <row r="9" spans="1:16" ht="25" customHeight="1">
      <c r="A9" s="5"/>
      <c r="B9" s="24"/>
      <c r="C9" s="49">
        <v>48</v>
      </c>
      <c r="D9" s="50" t="e">
        <f>ROUND(10*(C9-$H$3)/$H$4+50,0)</f>
        <v>#DIV/0!</v>
      </c>
      <c r="E9" s="50" t="e">
        <f t="shared" si="0"/>
        <v>#DIV/0!</v>
      </c>
      <c r="F9" s="51" t="e">
        <f>IF(I8=0,ROUND(100*(1-(I7+I9)/2/$J$3),0),ROUND(100*(1-(I8+I9)/2/$J$3),0))</f>
        <v>#DIV/0!</v>
      </c>
      <c r="G9" s="52" t="e">
        <f>_xlfn.IFNA(VLOOKUP(D9,'인원 입력 기능'!$CN$5:$CQ$55,4,FALSE),0)</f>
        <v>#DIV/0!</v>
      </c>
      <c r="H9" s="53" t="e">
        <f>G9/$J$3</f>
        <v>#DIV/0!</v>
      </c>
      <c r="I9" s="57" t="e">
        <f>SUM($G$7:G9)</f>
        <v>#DIV/0!</v>
      </c>
      <c r="J9" s="55" t="e">
        <f>I9/$J$3</f>
        <v>#DIV/0!</v>
      </c>
      <c r="K9" s="25"/>
      <c r="M9" s="1"/>
      <c r="O9" s="1">
        <v>3</v>
      </c>
      <c r="P9" s="1">
        <f>'표준점수 등급컷 입력기능'!E70</f>
        <v>60</v>
      </c>
    </row>
    <row r="10" spans="1:16" ht="25" customHeight="1">
      <c r="A10" s="5"/>
      <c r="B10" s="24"/>
      <c r="C10" s="56">
        <v>47</v>
      </c>
      <c r="D10" s="50" t="e">
        <f t="shared" ref="D10:D55" si="1">ROUND(10*(C10-$H$3)/$H$4+50,0)</f>
        <v>#DIV/0!</v>
      </c>
      <c r="E10" s="50" t="e">
        <f t="shared" si="0"/>
        <v>#DIV/0!</v>
      </c>
      <c r="F10" s="51" t="e">
        <f>IF(I9=0,ROUND(100*(1-(I8+I10)/2/$J$3),0),ROUND(100*(1-(I9+I10)/2/$J$3),0))</f>
        <v>#DIV/0!</v>
      </c>
      <c r="G10" s="52" t="e">
        <f>IF(D10=D9,"",_xlfn.IFNA(VLOOKUP(D10,'인원 입력 기능'!$CN$5:$CQ$55,4,FALSE),0))</f>
        <v>#DIV/0!</v>
      </c>
      <c r="H10" s="53" t="e">
        <f t="shared" ref="H10:H55" si="2">G10/$J$3</f>
        <v>#DIV/0!</v>
      </c>
      <c r="I10" s="57" t="e">
        <f>SUM($G$7:G10)</f>
        <v>#DIV/0!</v>
      </c>
      <c r="J10" s="55" t="e">
        <f t="shared" ref="J10:J55" si="3">I10/$J$3</f>
        <v>#DIV/0!</v>
      </c>
      <c r="K10" s="25"/>
      <c r="M10" s="1"/>
      <c r="O10" s="1">
        <v>4</v>
      </c>
      <c r="P10" s="1">
        <f>'표준점수 등급컷 입력기능'!E71</f>
        <v>53</v>
      </c>
    </row>
    <row r="11" spans="1:16" ht="25" customHeight="1">
      <c r="A11" s="5"/>
      <c r="B11" s="24"/>
      <c r="C11" s="49">
        <v>46</v>
      </c>
      <c r="D11" s="50" t="e">
        <f t="shared" si="1"/>
        <v>#DIV/0!</v>
      </c>
      <c r="E11" s="50" t="e">
        <f t="shared" si="0"/>
        <v>#DIV/0!</v>
      </c>
      <c r="F11" s="51" t="e">
        <f t="shared" ref="F11:F55" si="4">IF(I10=0,ROUND(100*(1-(I9+I11)/2/$J$3),0),ROUND(100*(1-(I10+I11)/2/$J$3),0))</f>
        <v>#DIV/0!</v>
      </c>
      <c r="G11" s="52" t="e">
        <f>IF(D11=D10,"",_xlfn.IFNA(VLOOKUP(D11,'인원 입력 기능'!$CN$5:$CQ$55,4,FALSE),0))</f>
        <v>#DIV/0!</v>
      </c>
      <c r="H11" s="53" t="e">
        <f t="shared" si="2"/>
        <v>#DIV/0!</v>
      </c>
      <c r="I11" s="57" t="e">
        <f>SUM($G$7:G11)</f>
        <v>#DIV/0!</v>
      </c>
      <c r="J11" s="55" t="e">
        <f t="shared" si="3"/>
        <v>#DIV/0!</v>
      </c>
      <c r="K11" s="25"/>
      <c r="M11" s="1"/>
      <c r="O11" s="1">
        <v>5</v>
      </c>
      <c r="P11" s="1">
        <f>'표준점수 등급컷 입력기능'!E72</f>
        <v>48</v>
      </c>
    </row>
    <row r="12" spans="1:16" ht="25" customHeight="1">
      <c r="A12" s="5"/>
      <c r="B12" s="24"/>
      <c r="C12" s="56">
        <v>45</v>
      </c>
      <c r="D12" s="50" t="e">
        <f t="shared" si="1"/>
        <v>#DIV/0!</v>
      </c>
      <c r="E12" s="50" t="e">
        <f t="shared" si="0"/>
        <v>#DIV/0!</v>
      </c>
      <c r="F12" s="51" t="e">
        <f t="shared" si="4"/>
        <v>#DIV/0!</v>
      </c>
      <c r="G12" s="52" t="e">
        <f>IF(D12=D11,"",_xlfn.IFNA(VLOOKUP(D12,'인원 입력 기능'!$CN$5:$CQ$55,4,FALSE),0))</f>
        <v>#DIV/0!</v>
      </c>
      <c r="H12" s="53" t="e">
        <f t="shared" si="2"/>
        <v>#DIV/0!</v>
      </c>
      <c r="I12" s="57" t="e">
        <f>SUM($G$7:G12)</f>
        <v>#DIV/0!</v>
      </c>
      <c r="J12" s="55" t="e">
        <f t="shared" si="3"/>
        <v>#DIV/0!</v>
      </c>
      <c r="K12" s="25"/>
      <c r="M12" s="1"/>
      <c r="O12" s="1">
        <v>6</v>
      </c>
      <c r="P12" s="1">
        <f>'표준점수 등급컷 입력기능'!E73</f>
        <v>42</v>
      </c>
    </row>
    <row r="13" spans="1:16" ht="25" customHeight="1">
      <c r="A13" s="5"/>
      <c r="B13" s="24"/>
      <c r="C13" s="49">
        <v>44</v>
      </c>
      <c r="D13" s="50" t="e">
        <f t="shared" si="1"/>
        <v>#DIV/0!</v>
      </c>
      <c r="E13" s="50" t="e">
        <f t="shared" si="0"/>
        <v>#DIV/0!</v>
      </c>
      <c r="F13" s="51" t="e">
        <f t="shared" si="4"/>
        <v>#DIV/0!</v>
      </c>
      <c r="G13" s="52" t="e">
        <f>IF(D13=D12,"",_xlfn.IFNA(VLOOKUP(D13,'인원 입력 기능'!$CN$5:$CQ$55,4,FALSE),0))</f>
        <v>#DIV/0!</v>
      </c>
      <c r="H13" s="53" t="e">
        <f t="shared" si="2"/>
        <v>#DIV/0!</v>
      </c>
      <c r="I13" s="57" t="e">
        <f>SUM($G$7:G13)</f>
        <v>#DIV/0!</v>
      </c>
      <c r="J13" s="55" t="e">
        <f t="shared" si="3"/>
        <v>#DIV/0!</v>
      </c>
      <c r="K13" s="25"/>
      <c r="M13" s="1"/>
      <c r="O13" s="1">
        <v>7</v>
      </c>
      <c r="P13" s="1">
        <f>'표준점수 등급컷 입력기능'!E74</f>
        <v>36</v>
      </c>
    </row>
    <row r="14" spans="1:16" ht="25" customHeight="1">
      <c r="A14" s="5"/>
      <c r="B14" s="24"/>
      <c r="C14" s="56">
        <v>43</v>
      </c>
      <c r="D14" s="50" t="e">
        <f t="shared" si="1"/>
        <v>#DIV/0!</v>
      </c>
      <c r="E14" s="50" t="e">
        <f t="shared" si="0"/>
        <v>#DIV/0!</v>
      </c>
      <c r="F14" s="51" t="e">
        <f t="shared" si="4"/>
        <v>#DIV/0!</v>
      </c>
      <c r="G14" s="52" t="e">
        <f>IF(D14=D13,"",_xlfn.IFNA(VLOOKUP(D14,'인원 입력 기능'!$CN$5:$CQ$55,4,FALSE),0))</f>
        <v>#DIV/0!</v>
      </c>
      <c r="H14" s="53" t="e">
        <f t="shared" si="2"/>
        <v>#DIV/0!</v>
      </c>
      <c r="I14" s="57" t="e">
        <f>SUM($G$7:G14)</f>
        <v>#DIV/0!</v>
      </c>
      <c r="J14" s="55" t="e">
        <f t="shared" si="3"/>
        <v>#DIV/0!</v>
      </c>
      <c r="K14" s="25"/>
      <c r="M14" s="1"/>
      <c r="O14" s="1">
        <v>8</v>
      </c>
      <c r="P14" s="1">
        <f>'표준점수 등급컷 입력기능'!E75</f>
        <v>32</v>
      </c>
    </row>
    <row r="15" spans="1:16" ht="25" customHeight="1">
      <c r="A15" s="5"/>
      <c r="B15" s="24"/>
      <c r="C15" s="49">
        <v>42</v>
      </c>
      <c r="D15" s="50" t="e">
        <f t="shared" si="1"/>
        <v>#DIV/0!</v>
      </c>
      <c r="E15" s="50" t="e">
        <f t="shared" si="0"/>
        <v>#DIV/0!</v>
      </c>
      <c r="F15" s="51" t="e">
        <f t="shared" si="4"/>
        <v>#DIV/0!</v>
      </c>
      <c r="G15" s="52" t="e">
        <f>IF(D15=D14,"",_xlfn.IFNA(VLOOKUP(D15,'인원 입력 기능'!$CN$5:$CQ$55,4,FALSE),0))</f>
        <v>#DIV/0!</v>
      </c>
      <c r="H15" s="53" t="e">
        <f t="shared" si="2"/>
        <v>#DIV/0!</v>
      </c>
      <c r="I15" s="57" t="e">
        <f>SUM($G$7:G15)</f>
        <v>#DIV/0!</v>
      </c>
      <c r="J15" s="55" t="e">
        <f t="shared" si="3"/>
        <v>#DIV/0!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 t="e">
        <f t="shared" si="1"/>
        <v>#DIV/0!</v>
      </c>
      <c r="E16" s="50" t="e">
        <f t="shared" si="0"/>
        <v>#DIV/0!</v>
      </c>
      <c r="F16" s="51" t="e">
        <f t="shared" si="4"/>
        <v>#DIV/0!</v>
      </c>
      <c r="G16" s="52" t="e">
        <f>IF(D16=D15,"",_xlfn.IFNA(VLOOKUP(D16,'인원 입력 기능'!$CN$5:$CQ$55,4,FALSE),0))</f>
        <v>#DIV/0!</v>
      </c>
      <c r="H16" s="53" t="e">
        <f t="shared" si="2"/>
        <v>#DIV/0!</v>
      </c>
      <c r="I16" s="57" t="e">
        <f>SUM($G$7:G16)</f>
        <v>#DIV/0!</v>
      </c>
      <c r="J16" s="55" t="e">
        <f t="shared" si="3"/>
        <v>#DIV/0!</v>
      </c>
      <c r="K16" s="25"/>
      <c r="M16" s="1"/>
    </row>
    <row r="17" spans="1:16" ht="25" customHeight="1">
      <c r="A17" s="5"/>
      <c r="B17" s="24"/>
      <c r="C17" s="49">
        <v>40</v>
      </c>
      <c r="D17" s="50" t="e">
        <f t="shared" si="1"/>
        <v>#DIV/0!</v>
      </c>
      <c r="E17" s="50" t="e">
        <f t="shared" si="0"/>
        <v>#DIV/0!</v>
      </c>
      <c r="F17" s="51" t="e">
        <f t="shared" si="4"/>
        <v>#DIV/0!</v>
      </c>
      <c r="G17" s="52" t="e">
        <f>IF(D17=D16,"",_xlfn.IFNA(VLOOKUP(D17,'인원 입력 기능'!$CN$5:$CQ$55,4,FALSE),0))</f>
        <v>#DIV/0!</v>
      </c>
      <c r="H17" s="53" t="e">
        <f t="shared" si="2"/>
        <v>#DIV/0!</v>
      </c>
      <c r="I17" s="57" t="e">
        <f>SUM($G$7:G17)</f>
        <v>#DIV/0!</v>
      </c>
      <c r="J17" s="55" t="e">
        <f t="shared" si="3"/>
        <v>#DIV/0!</v>
      </c>
      <c r="K17" s="25"/>
      <c r="M17" s="1"/>
      <c r="P17" s="1">
        <f>H3*H4*J3*P7*IFERROR(IF(J57=1, 1, 0), 0)</f>
        <v>0</v>
      </c>
    </row>
    <row r="18" spans="1:16" ht="25" customHeight="1">
      <c r="A18" s="5"/>
      <c r="B18" s="24"/>
      <c r="C18" s="56">
        <v>39</v>
      </c>
      <c r="D18" s="50" t="e">
        <f t="shared" si="1"/>
        <v>#DIV/0!</v>
      </c>
      <c r="E18" s="50" t="e">
        <f t="shared" si="0"/>
        <v>#DIV/0!</v>
      </c>
      <c r="F18" s="51" t="e">
        <f t="shared" si="4"/>
        <v>#DIV/0!</v>
      </c>
      <c r="G18" s="52" t="e">
        <f>IF(D18=D17,"",_xlfn.IFNA(VLOOKUP(D18,'인원 입력 기능'!$CN$5:$CQ$55,4,FALSE),0))</f>
        <v>#DIV/0!</v>
      </c>
      <c r="H18" s="53" t="e">
        <f t="shared" si="2"/>
        <v>#DIV/0!</v>
      </c>
      <c r="I18" s="57" t="e">
        <f>SUM($G$7:G18)</f>
        <v>#DIV/0!</v>
      </c>
      <c r="J18" s="55" t="e">
        <f t="shared" si="3"/>
        <v>#DIV/0!</v>
      </c>
      <c r="K18" s="25"/>
      <c r="M18" s="1"/>
    </row>
    <row r="19" spans="1:16" ht="25" customHeight="1">
      <c r="A19" s="5"/>
      <c r="B19" s="24"/>
      <c r="C19" s="49">
        <v>38</v>
      </c>
      <c r="D19" s="50" t="e">
        <f t="shared" si="1"/>
        <v>#DIV/0!</v>
      </c>
      <c r="E19" s="50" t="e">
        <f t="shared" si="0"/>
        <v>#DIV/0!</v>
      </c>
      <c r="F19" s="51" t="e">
        <f t="shared" si="4"/>
        <v>#DIV/0!</v>
      </c>
      <c r="G19" s="52" t="e">
        <f>IF(D19=D18,"",_xlfn.IFNA(VLOOKUP(D19,'인원 입력 기능'!$CN$5:$CQ$55,4,FALSE),0))</f>
        <v>#DIV/0!</v>
      </c>
      <c r="H19" s="53" t="e">
        <f t="shared" si="2"/>
        <v>#DIV/0!</v>
      </c>
      <c r="I19" s="57" t="e">
        <f>SUM($G$7:G19)</f>
        <v>#DIV/0!</v>
      </c>
      <c r="J19" s="55" t="e">
        <f t="shared" si="3"/>
        <v>#DIV/0!</v>
      </c>
      <c r="K19" s="25"/>
      <c r="M19" s="1"/>
    </row>
    <row r="20" spans="1:16" ht="25" customHeight="1">
      <c r="A20" s="5"/>
      <c r="B20" s="24"/>
      <c r="C20" s="56">
        <v>37</v>
      </c>
      <c r="D20" s="50" t="e">
        <f t="shared" si="1"/>
        <v>#DIV/0!</v>
      </c>
      <c r="E20" s="50" t="e">
        <f t="shared" si="0"/>
        <v>#DIV/0!</v>
      </c>
      <c r="F20" s="51" t="e">
        <f t="shared" si="4"/>
        <v>#DIV/0!</v>
      </c>
      <c r="G20" s="52" t="e">
        <f>IF(D20=D19,"",_xlfn.IFNA(VLOOKUP(D20,'인원 입력 기능'!$CN$5:$CQ$55,4,FALSE),0))</f>
        <v>#DIV/0!</v>
      </c>
      <c r="H20" s="53" t="e">
        <f t="shared" si="2"/>
        <v>#DIV/0!</v>
      </c>
      <c r="I20" s="57" t="e">
        <f>SUM($G$7:G20)</f>
        <v>#DIV/0!</v>
      </c>
      <c r="J20" s="55" t="e">
        <f t="shared" si="3"/>
        <v>#DIV/0!</v>
      </c>
      <c r="K20" s="25"/>
      <c r="M20" s="1"/>
    </row>
    <row r="21" spans="1:16" ht="25" customHeight="1">
      <c r="A21" s="5"/>
      <c r="B21" s="24"/>
      <c r="C21" s="58">
        <v>36</v>
      </c>
      <c r="D21" s="60" t="e">
        <f t="shared" si="1"/>
        <v>#DIV/0!</v>
      </c>
      <c r="E21" s="60" t="e">
        <f t="shared" si="0"/>
        <v>#DIV/0!</v>
      </c>
      <c r="F21" s="51" t="e">
        <f t="shared" si="4"/>
        <v>#DIV/0!</v>
      </c>
      <c r="G21" s="52" t="e">
        <f>IF(D21=D20,"",_xlfn.IFNA(VLOOKUP(D21,'인원 입력 기능'!$CN$5:$CQ$55,4,FALSE),0))</f>
        <v>#DIV/0!</v>
      </c>
      <c r="H21" s="53" t="e">
        <f t="shared" si="2"/>
        <v>#DIV/0!</v>
      </c>
      <c r="I21" s="57" t="e">
        <f>SUM($G$7:G21)</f>
        <v>#DIV/0!</v>
      </c>
      <c r="J21" s="55" t="e">
        <f t="shared" si="3"/>
        <v>#DIV/0!</v>
      </c>
      <c r="K21" s="25"/>
      <c r="M21" s="1"/>
    </row>
    <row r="22" spans="1:16" ht="25" customHeight="1">
      <c r="A22" s="5"/>
      <c r="B22" s="24"/>
      <c r="C22" s="59">
        <v>35</v>
      </c>
      <c r="D22" s="60" t="e">
        <f t="shared" si="1"/>
        <v>#DIV/0!</v>
      </c>
      <c r="E22" s="60" t="e">
        <f t="shared" si="0"/>
        <v>#DIV/0!</v>
      </c>
      <c r="F22" s="51" t="e">
        <f t="shared" si="4"/>
        <v>#DIV/0!</v>
      </c>
      <c r="G22" s="52" t="e">
        <f>IF(D22=D21,"",_xlfn.IFNA(VLOOKUP(D22,'인원 입력 기능'!$CN$5:$CQ$55,4,FALSE),0))</f>
        <v>#DIV/0!</v>
      </c>
      <c r="H22" s="53" t="e">
        <f t="shared" si="2"/>
        <v>#DIV/0!</v>
      </c>
      <c r="I22" s="57" t="e">
        <f>SUM($G$7:G22)</f>
        <v>#DIV/0!</v>
      </c>
      <c r="J22" s="55" t="e">
        <f t="shared" si="3"/>
        <v>#DIV/0!</v>
      </c>
      <c r="K22" s="25"/>
      <c r="M22" s="1"/>
    </row>
    <row r="23" spans="1:16" ht="25" customHeight="1">
      <c r="A23" s="5"/>
      <c r="B23" s="24"/>
      <c r="C23" s="58">
        <v>34</v>
      </c>
      <c r="D23" s="60" t="e">
        <f t="shared" si="1"/>
        <v>#DIV/0!</v>
      </c>
      <c r="E23" s="60" t="e">
        <f t="shared" si="0"/>
        <v>#DIV/0!</v>
      </c>
      <c r="F23" s="51" t="e">
        <f t="shared" si="4"/>
        <v>#DIV/0!</v>
      </c>
      <c r="G23" s="52" t="e">
        <f>IF(D23=D22,"",_xlfn.IFNA(VLOOKUP(D23,'인원 입력 기능'!$CN$5:$CQ$55,4,FALSE),0))</f>
        <v>#DIV/0!</v>
      </c>
      <c r="H23" s="53" t="e">
        <f t="shared" si="2"/>
        <v>#DIV/0!</v>
      </c>
      <c r="I23" s="57" t="e">
        <f>SUM($G$7:G23)</f>
        <v>#DIV/0!</v>
      </c>
      <c r="J23" s="55" t="e">
        <f t="shared" si="3"/>
        <v>#DIV/0!</v>
      </c>
      <c r="K23" s="25"/>
      <c r="M23" s="1"/>
    </row>
    <row r="24" spans="1:16" ht="25" customHeight="1">
      <c r="A24" s="5"/>
      <c r="B24" s="24"/>
      <c r="C24" s="59">
        <v>33</v>
      </c>
      <c r="D24" s="60" t="e">
        <f t="shared" si="1"/>
        <v>#DIV/0!</v>
      </c>
      <c r="E24" s="60" t="e">
        <f t="shared" si="0"/>
        <v>#DIV/0!</v>
      </c>
      <c r="F24" s="51" t="e">
        <f t="shared" si="4"/>
        <v>#DIV/0!</v>
      </c>
      <c r="G24" s="52" t="e">
        <f>IF(D24=D23,"",_xlfn.IFNA(VLOOKUP(D24,'인원 입력 기능'!$CN$5:$CQ$55,4,FALSE),0))</f>
        <v>#DIV/0!</v>
      </c>
      <c r="H24" s="53" t="e">
        <f t="shared" si="2"/>
        <v>#DIV/0!</v>
      </c>
      <c r="I24" s="57" t="e">
        <f>SUM($G$7:G24)</f>
        <v>#DIV/0!</v>
      </c>
      <c r="J24" s="55" t="e">
        <f t="shared" si="3"/>
        <v>#DIV/0!</v>
      </c>
      <c r="K24" s="25"/>
      <c r="M24" s="1"/>
    </row>
    <row r="25" spans="1:16" ht="25" customHeight="1">
      <c r="A25" s="5"/>
      <c r="B25" s="24"/>
      <c r="C25" s="58">
        <v>32</v>
      </c>
      <c r="D25" s="60" t="e">
        <f t="shared" si="1"/>
        <v>#DIV/0!</v>
      </c>
      <c r="E25" s="60" t="e">
        <f t="shared" si="0"/>
        <v>#DIV/0!</v>
      </c>
      <c r="F25" s="51" t="e">
        <f t="shared" si="4"/>
        <v>#DIV/0!</v>
      </c>
      <c r="G25" s="52" t="e">
        <f>IF(D25=D24,"",_xlfn.IFNA(VLOOKUP(D25,'인원 입력 기능'!$CN$5:$CQ$55,4,FALSE),0))</f>
        <v>#DIV/0!</v>
      </c>
      <c r="H25" s="53" t="e">
        <f t="shared" si="2"/>
        <v>#DIV/0!</v>
      </c>
      <c r="I25" s="57" t="e">
        <f>SUM($G$7:G25)</f>
        <v>#DIV/0!</v>
      </c>
      <c r="J25" s="55" t="e">
        <f t="shared" si="3"/>
        <v>#DIV/0!</v>
      </c>
      <c r="K25" s="25"/>
      <c r="M25" s="1"/>
    </row>
    <row r="26" spans="1:16" ht="25" customHeight="1">
      <c r="A26" s="5"/>
      <c r="B26" s="24"/>
      <c r="C26" s="59">
        <v>31</v>
      </c>
      <c r="D26" s="60" t="e">
        <f t="shared" si="1"/>
        <v>#DIV/0!</v>
      </c>
      <c r="E26" s="60" t="e">
        <f t="shared" si="0"/>
        <v>#DIV/0!</v>
      </c>
      <c r="F26" s="51" t="e">
        <f t="shared" si="4"/>
        <v>#DIV/0!</v>
      </c>
      <c r="G26" s="52" t="e">
        <f>IF(D26=D25,"",_xlfn.IFNA(VLOOKUP(D26,'인원 입력 기능'!$CN$5:$CQ$55,4,FALSE),0))</f>
        <v>#DIV/0!</v>
      </c>
      <c r="H26" s="53" t="e">
        <f t="shared" si="2"/>
        <v>#DIV/0!</v>
      </c>
      <c r="I26" s="57" t="e">
        <f>SUM($G$7:G26)</f>
        <v>#DIV/0!</v>
      </c>
      <c r="J26" s="55" t="e">
        <f t="shared" si="3"/>
        <v>#DIV/0!</v>
      </c>
      <c r="K26" s="25"/>
      <c r="M26" s="1"/>
    </row>
    <row r="27" spans="1:16" ht="25" customHeight="1">
      <c r="A27" s="5"/>
      <c r="B27" s="24"/>
      <c r="C27" s="58">
        <v>30</v>
      </c>
      <c r="D27" s="60" t="e">
        <f t="shared" si="1"/>
        <v>#DIV/0!</v>
      </c>
      <c r="E27" s="60" t="e">
        <f t="shared" si="0"/>
        <v>#DIV/0!</v>
      </c>
      <c r="F27" s="51" t="e">
        <f t="shared" si="4"/>
        <v>#DIV/0!</v>
      </c>
      <c r="G27" s="52" t="e">
        <f>IF(D27=D26,"",_xlfn.IFNA(VLOOKUP(D27,'인원 입력 기능'!$CN$5:$CQ$55,4,FALSE),0))</f>
        <v>#DIV/0!</v>
      </c>
      <c r="H27" s="53" t="e">
        <f t="shared" si="2"/>
        <v>#DIV/0!</v>
      </c>
      <c r="I27" s="57" t="e">
        <f>SUM($G$7:G27)</f>
        <v>#DIV/0!</v>
      </c>
      <c r="J27" s="55" t="e">
        <f t="shared" si="3"/>
        <v>#DIV/0!</v>
      </c>
      <c r="K27" s="25"/>
      <c r="M27" s="1"/>
    </row>
    <row r="28" spans="1:16" ht="25" customHeight="1">
      <c r="A28" s="5"/>
      <c r="B28" s="24"/>
      <c r="C28" s="59">
        <v>29</v>
      </c>
      <c r="D28" s="60" t="e">
        <f t="shared" si="1"/>
        <v>#DIV/0!</v>
      </c>
      <c r="E28" s="60" t="e">
        <f t="shared" si="0"/>
        <v>#DIV/0!</v>
      </c>
      <c r="F28" s="51" t="e">
        <f t="shared" si="4"/>
        <v>#DIV/0!</v>
      </c>
      <c r="G28" s="52" t="e">
        <f>IF(D28=D27,"",_xlfn.IFNA(VLOOKUP(D28,'인원 입력 기능'!$CN$5:$CQ$55,4,FALSE),0))</f>
        <v>#DIV/0!</v>
      </c>
      <c r="H28" s="53" t="e">
        <f t="shared" si="2"/>
        <v>#DIV/0!</v>
      </c>
      <c r="I28" s="57" t="e">
        <f>SUM($G$7:G28)</f>
        <v>#DIV/0!</v>
      </c>
      <c r="J28" s="55" t="e">
        <f t="shared" si="3"/>
        <v>#DIV/0!</v>
      </c>
      <c r="K28" s="25"/>
      <c r="M28" s="1"/>
    </row>
    <row r="29" spans="1:16" ht="25" customHeight="1">
      <c r="A29" s="5"/>
      <c r="B29" s="24"/>
      <c r="C29" s="58">
        <v>28</v>
      </c>
      <c r="D29" s="60" t="e">
        <f t="shared" si="1"/>
        <v>#DIV/0!</v>
      </c>
      <c r="E29" s="60" t="e">
        <f t="shared" si="0"/>
        <v>#DIV/0!</v>
      </c>
      <c r="F29" s="51" t="e">
        <f t="shared" si="4"/>
        <v>#DIV/0!</v>
      </c>
      <c r="G29" s="52" t="e">
        <f>IF(D29=D28,"",_xlfn.IFNA(VLOOKUP(D29,'인원 입력 기능'!$CN$5:$CQ$55,4,FALSE),0))</f>
        <v>#DIV/0!</v>
      </c>
      <c r="H29" s="53" t="e">
        <f t="shared" si="2"/>
        <v>#DIV/0!</v>
      </c>
      <c r="I29" s="57" t="e">
        <f>SUM($G$7:G29)</f>
        <v>#DIV/0!</v>
      </c>
      <c r="J29" s="55" t="e">
        <f t="shared" si="3"/>
        <v>#DIV/0!</v>
      </c>
      <c r="K29" s="25"/>
      <c r="M29" s="1"/>
    </row>
    <row r="30" spans="1:16" ht="25" customHeight="1">
      <c r="A30" s="5"/>
      <c r="B30" s="24"/>
      <c r="C30" s="59">
        <v>27</v>
      </c>
      <c r="D30" s="60" t="e">
        <f t="shared" si="1"/>
        <v>#DIV/0!</v>
      </c>
      <c r="E30" s="60" t="e">
        <f t="shared" si="0"/>
        <v>#DIV/0!</v>
      </c>
      <c r="F30" s="51" t="e">
        <f t="shared" si="4"/>
        <v>#DIV/0!</v>
      </c>
      <c r="G30" s="52" t="e">
        <f>IF(D30=D29,"",_xlfn.IFNA(VLOOKUP(D30,'인원 입력 기능'!$CN$5:$CQ$55,4,FALSE),0))</f>
        <v>#DIV/0!</v>
      </c>
      <c r="H30" s="53" t="e">
        <f t="shared" si="2"/>
        <v>#DIV/0!</v>
      </c>
      <c r="I30" s="57" t="e">
        <f>SUM($G$7:G30)</f>
        <v>#DIV/0!</v>
      </c>
      <c r="J30" s="55" t="e">
        <f t="shared" si="3"/>
        <v>#DIV/0!</v>
      </c>
      <c r="K30" s="25"/>
      <c r="M30" s="1"/>
    </row>
    <row r="31" spans="1:16" ht="25" customHeight="1">
      <c r="A31" s="5"/>
      <c r="B31" s="24"/>
      <c r="C31" s="58">
        <v>26</v>
      </c>
      <c r="D31" s="60" t="e">
        <f t="shared" si="1"/>
        <v>#DIV/0!</v>
      </c>
      <c r="E31" s="60" t="e">
        <f t="shared" si="0"/>
        <v>#DIV/0!</v>
      </c>
      <c r="F31" s="51" t="e">
        <f t="shared" si="4"/>
        <v>#DIV/0!</v>
      </c>
      <c r="G31" s="52" t="e">
        <f>IF(D31=D30,"",_xlfn.IFNA(VLOOKUP(D31,'인원 입력 기능'!$CN$5:$CQ$55,4,FALSE),0))</f>
        <v>#DIV/0!</v>
      </c>
      <c r="H31" s="53" t="e">
        <f t="shared" si="2"/>
        <v>#DIV/0!</v>
      </c>
      <c r="I31" s="57" t="e">
        <f>SUM($G$7:G31)</f>
        <v>#DIV/0!</v>
      </c>
      <c r="J31" s="55" t="e">
        <f t="shared" si="3"/>
        <v>#DIV/0!</v>
      </c>
      <c r="K31" s="25"/>
      <c r="M31" s="1"/>
    </row>
    <row r="32" spans="1:16" ht="25" customHeight="1">
      <c r="A32" s="5"/>
      <c r="B32" s="24"/>
      <c r="C32" s="59">
        <v>25</v>
      </c>
      <c r="D32" s="60" t="e">
        <f t="shared" si="1"/>
        <v>#DIV/0!</v>
      </c>
      <c r="E32" s="60" t="e">
        <f t="shared" si="0"/>
        <v>#DIV/0!</v>
      </c>
      <c r="F32" s="51" t="e">
        <f t="shared" si="4"/>
        <v>#DIV/0!</v>
      </c>
      <c r="G32" s="52" t="e">
        <f>IF(D32=D31,"",_xlfn.IFNA(VLOOKUP(D32,'인원 입력 기능'!$CN$5:$CQ$55,4,FALSE),0))</f>
        <v>#DIV/0!</v>
      </c>
      <c r="H32" s="53" t="e">
        <f t="shared" si="2"/>
        <v>#DIV/0!</v>
      </c>
      <c r="I32" s="57" t="e">
        <f>SUM($G$7:G32)</f>
        <v>#DIV/0!</v>
      </c>
      <c r="J32" s="55" t="e">
        <f t="shared" si="3"/>
        <v>#DIV/0!</v>
      </c>
      <c r="K32" s="25"/>
      <c r="M32" s="1"/>
    </row>
    <row r="33" spans="1:13" ht="25" customHeight="1">
      <c r="A33" s="5"/>
      <c r="B33" s="24"/>
      <c r="C33" s="58">
        <v>24</v>
      </c>
      <c r="D33" s="60" t="e">
        <f t="shared" si="1"/>
        <v>#DIV/0!</v>
      </c>
      <c r="E33" s="60" t="e">
        <f t="shared" si="0"/>
        <v>#DIV/0!</v>
      </c>
      <c r="F33" s="51" t="e">
        <f t="shared" si="4"/>
        <v>#DIV/0!</v>
      </c>
      <c r="G33" s="52" t="e">
        <f>IF(D33=D32,"",_xlfn.IFNA(VLOOKUP(D33,'인원 입력 기능'!$CN$5:$CQ$55,4,FALSE),0))</f>
        <v>#DIV/0!</v>
      </c>
      <c r="H33" s="53" t="e">
        <f t="shared" si="2"/>
        <v>#DIV/0!</v>
      </c>
      <c r="I33" s="57" t="e">
        <f>SUM($G$7:G33)</f>
        <v>#DIV/0!</v>
      </c>
      <c r="J33" s="55" t="e">
        <f t="shared" si="3"/>
        <v>#DIV/0!</v>
      </c>
      <c r="K33" s="25"/>
      <c r="M33" s="1"/>
    </row>
    <row r="34" spans="1:13" ht="25" customHeight="1">
      <c r="A34" s="5"/>
      <c r="B34" s="24"/>
      <c r="C34" s="59">
        <v>23</v>
      </c>
      <c r="D34" s="60" t="e">
        <f t="shared" si="1"/>
        <v>#DIV/0!</v>
      </c>
      <c r="E34" s="60" t="e">
        <f t="shared" si="0"/>
        <v>#DIV/0!</v>
      </c>
      <c r="F34" s="51" t="e">
        <f t="shared" si="4"/>
        <v>#DIV/0!</v>
      </c>
      <c r="G34" s="52" t="e">
        <f>IF(D34=D33,"",_xlfn.IFNA(VLOOKUP(D34,'인원 입력 기능'!$CN$5:$CQ$55,4,FALSE),0))</f>
        <v>#DIV/0!</v>
      </c>
      <c r="H34" s="53" t="e">
        <f t="shared" si="2"/>
        <v>#DIV/0!</v>
      </c>
      <c r="I34" s="57" t="e">
        <f>SUM($G$7:G34)</f>
        <v>#DIV/0!</v>
      </c>
      <c r="J34" s="55" t="e">
        <f t="shared" si="3"/>
        <v>#DIV/0!</v>
      </c>
      <c r="K34" s="25"/>
      <c r="M34" s="1"/>
    </row>
    <row r="35" spans="1:13" ht="25" customHeight="1">
      <c r="A35" s="5"/>
      <c r="B35" s="24"/>
      <c r="C35" s="58">
        <v>22</v>
      </c>
      <c r="D35" s="60" t="e">
        <f t="shared" si="1"/>
        <v>#DIV/0!</v>
      </c>
      <c r="E35" s="60" t="e">
        <f t="shared" si="0"/>
        <v>#DIV/0!</v>
      </c>
      <c r="F35" s="51" t="e">
        <f t="shared" si="4"/>
        <v>#DIV/0!</v>
      </c>
      <c r="G35" s="52" t="e">
        <f>IF(D35=D34,"",_xlfn.IFNA(VLOOKUP(D35,'인원 입력 기능'!$CN$5:$CQ$55,4,FALSE),0))</f>
        <v>#DIV/0!</v>
      </c>
      <c r="H35" s="53" t="e">
        <f t="shared" si="2"/>
        <v>#DIV/0!</v>
      </c>
      <c r="I35" s="57" t="e">
        <f>SUM($G$7:G35)</f>
        <v>#DIV/0!</v>
      </c>
      <c r="J35" s="55" t="e">
        <f t="shared" si="3"/>
        <v>#DIV/0!</v>
      </c>
      <c r="K35" s="25"/>
      <c r="M35" s="1"/>
    </row>
    <row r="36" spans="1:13" ht="25" customHeight="1">
      <c r="A36" s="5"/>
      <c r="B36" s="24"/>
      <c r="C36" s="59">
        <v>21</v>
      </c>
      <c r="D36" s="60" t="e">
        <f t="shared" si="1"/>
        <v>#DIV/0!</v>
      </c>
      <c r="E36" s="60" t="e">
        <f t="shared" si="0"/>
        <v>#DIV/0!</v>
      </c>
      <c r="F36" s="51" t="e">
        <f t="shared" si="4"/>
        <v>#DIV/0!</v>
      </c>
      <c r="G36" s="52" t="e">
        <f>IF(D36=D35,"",_xlfn.IFNA(VLOOKUP(D36,'인원 입력 기능'!$CN$5:$CQ$55,4,FALSE),0))</f>
        <v>#DIV/0!</v>
      </c>
      <c r="H36" s="53" t="e">
        <f t="shared" si="2"/>
        <v>#DIV/0!</v>
      </c>
      <c r="I36" s="57" t="e">
        <f>SUM($G$7:G36)</f>
        <v>#DIV/0!</v>
      </c>
      <c r="J36" s="55" t="e">
        <f t="shared" si="3"/>
        <v>#DIV/0!</v>
      </c>
      <c r="K36" s="25"/>
      <c r="M36" s="1"/>
    </row>
    <row r="37" spans="1:13" ht="25" customHeight="1">
      <c r="A37" s="5"/>
      <c r="B37" s="24"/>
      <c r="C37" s="58">
        <v>20</v>
      </c>
      <c r="D37" s="60" t="e">
        <f t="shared" si="1"/>
        <v>#DIV/0!</v>
      </c>
      <c r="E37" s="60" t="e">
        <f t="shared" si="0"/>
        <v>#DIV/0!</v>
      </c>
      <c r="F37" s="51" t="e">
        <f t="shared" si="4"/>
        <v>#DIV/0!</v>
      </c>
      <c r="G37" s="52" t="e">
        <f>IF(D37=D36,"",_xlfn.IFNA(VLOOKUP(D37,'인원 입력 기능'!$CN$5:$CQ$55,4,FALSE),0))</f>
        <v>#DIV/0!</v>
      </c>
      <c r="H37" s="53" t="e">
        <f t="shared" si="2"/>
        <v>#DIV/0!</v>
      </c>
      <c r="I37" s="57" t="e">
        <f>SUM($G$7:G37)</f>
        <v>#DIV/0!</v>
      </c>
      <c r="J37" s="55" t="e">
        <f t="shared" si="3"/>
        <v>#DIV/0!</v>
      </c>
      <c r="K37" s="25"/>
      <c r="M37" s="1"/>
    </row>
    <row r="38" spans="1:13" ht="25" customHeight="1">
      <c r="A38" s="5"/>
      <c r="B38" s="24"/>
      <c r="C38" s="59">
        <v>19</v>
      </c>
      <c r="D38" s="60" t="e">
        <f t="shared" si="1"/>
        <v>#DIV/0!</v>
      </c>
      <c r="E38" s="60" t="e">
        <f t="shared" si="0"/>
        <v>#DIV/0!</v>
      </c>
      <c r="F38" s="51" t="e">
        <f t="shared" si="4"/>
        <v>#DIV/0!</v>
      </c>
      <c r="G38" s="52" t="e">
        <f>IF(D38=D37,"",_xlfn.IFNA(VLOOKUP(D38,'인원 입력 기능'!$CN$5:$CQ$55,4,FALSE),0))</f>
        <v>#DIV/0!</v>
      </c>
      <c r="H38" s="53" t="e">
        <f t="shared" si="2"/>
        <v>#DIV/0!</v>
      </c>
      <c r="I38" s="57" t="e">
        <f>SUM($G$7:G38)</f>
        <v>#DIV/0!</v>
      </c>
      <c r="J38" s="55" t="e">
        <f t="shared" si="3"/>
        <v>#DIV/0!</v>
      </c>
      <c r="K38" s="25"/>
      <c r="M38" s="1"/>
    </row>
    <row r="39" spans="1:13" ht="25" customHeight="1">
      <c r="A39" s="5"/>
      <c r="B39" s="24"/>
      <c r="C39" s="58">
        <v>18</v>
      </c>
      <c r="D39" s="60" t="e">
        <f t="shared" si="1"/>
        <v>#DIV/0!</v>
      </c>
      <c r="E39" s="60" t="e">
        <f t="shared" si="0"/>
        <v>#DIV/0!</v>
      </c>
      <c r="F39" s="51" t="e">
        <f t="shared" si="4"/>
        <v>#DIV/0!</v>
      </c>
      <c r="G39" s="52" t="e">
        <f>IF(D39=D38,"",_xlfn.IFNA(VLOOKUP(D39,'인원 입력 기능'!$CN$5:$CQ$55,4,FALSE),0))</f>
        <v>#DIV/0!</v>
      </c>
      <c r="H39" s="53" t="e">
        <f t="shared" si="2"/>
        <v>#DIV/0!</v>
      </c>
      <c r="I39" s="57" t="e">
        <f>SUM($G$7:G39)</f>
        <v>#DIV/0!</v>
      </c>
      <c r="J39" s="55" t="e">
        <f t="shared" si="3"/>
        <v>#DIV/0!</v>
      </c>
      <c r="K39" s="25"/>
      <c r="M39" s="1"/>
    </row>
    <row r="40" spans="1:13" ht="25" customHeight="1">
      <c r="A40" s="5"/>
      <c r="B40" s="24"/>
      <c r="C40" s="59">
        <v>17</v>
      </c>
      <c r="D40" s="60" t="e">
        <f t="shared" si="1"/>
        <v>#DIV/0!</v>
      </c>
      <c r="E40" s="60" t="e">
        <f t="shared" si="0"/>
        <v>#DIV/0!</v>
      </c>
      <c r="F40" s="51" t="e">
        <f t="shared" si="4"/>
        <v>#DIV/0!</v>
      </c>
      <c r="G40" s="52" t="e">
        <f>IF(D40=D39,"",_xlfn.IFNA(VLOOKUP(D40,'인원 입력 기능'!$CN$5:$CQ$55,4,FALSE),0))</f>
        <v>#DIV/0!</v>
      </c>
      <c r="H40" s="53" t="e">
        <f t="shared" si="2"/>
        <v>#DIV/0!</v>
      </c>
      <c r="I40" s="57" t="e">
        <f>SUM($G$7:G40)</f>
        <v>#DIV/0!</v>
      </c>
      <c r="J40" s="55" t="e">
        <f t="shared" si="3"/>
        <v>#DIV/0!</v>
      </c>
      <c r="K40" s="25"/>
      <c r="M40" s="1"/>
    </row>
    <row r="41" spans="1:13" ht="25" customHeight="1">
      <c r="A41" s="5"/>
      <c r="B41" s="24"/>
      <c r="C41" s="58">
        <v>16</v>
      </c>
      <c r="D41" s="60" t="e">
        <f t="shared" si="1"/>
        <v>#DIV/0!</v>
      </c>
      <c r="E41" s="60" t="e">
        <f t="shared" si="0"/>
        <v>#DIV/0!</v>
      </c>
      <c r="F41" s="51" t="e">
        <f t="shared" si="4"/>
        <v>#DIV/0!</v>
      </c>
      <c r="G41" s="52" t="e">
        <f>IF(D41=D40,"",_xlfn.IFNA(VLOOKUP(D41,'인원 입력 기능'!$CN$5:$CQ$55,4,FALSE),0))</f>
        <v>#DIV/0!</v>
      </c>
      <c r="H41" s="53" t="e">
        <f t="shared" si="2"/>
        <v>#DIV/0!</v>
      </c>
      <c r="I41" s="57" t="e">
        <f>SUM($G$7:G41)</f>
        <v>#DIV/0!</v>
      </c>
      <c r="J41" s="55" t="e">
        <f t="shared" si="3"/>
        <v>#DIV/0!</v>
      </c>
      <c r="K41" s="25"/>
      <c r="M41" s="1"/>
    </row>
    <row r="42" spans="1:13" ht="25" customHeight="1">
      <c r="A42" s="5"/>
      <c r="B42" s="24"/>
      <c r="C42" s="59">
        <v>15</v>
      </c>
      <c r="D42" s="60" t="e">
        <f t="shared" si="1"/>
        <v>#DIV/0!</v>
      </c>
      <c r="E42" s="60" t="e">
        <f t="shared" si="0"/>
        <v>#DIV/0!</v>
      </c>
      <c r="F42" s="51" t="e">
        <f t="shared" si="4"/>
        <v>#DIV/0!</v>
      </c>
      <c r="G42" s="52" t="e">
        <f>IF(D42=D41,"",_xlfn.IFNA(VLOOKUP(D42,'인원 입력 기능'!$CN$5:$CQ$55,4,FALSE),0))</f>
        <v>#DIV/0!</v>
      </c>
      <c r="H42" s="53" t="e">
        <f t="shared" si="2"/>
        <v>#DIV/0!</v>
      </c>
      <c r="I42" s="57" t="e">
        <f>SUM($G$7:G42)</f>
        <v>#DIV/0!</v>
      </c>
      <c r="J42" s="55" t="e">
        <f t="shared" si="3"/>
        <v>#DIV/0!</v>
      </c>
      <c r="K42" s="25"/>
      <c r="M42" s="1"/>
    </row>
    <row r="43" spans="1:13" ht="25" customHeight="1">
      <c r="A43" s="5"/>
      <c r="B43" s="24"/>
      <c r="C43" s="58">
        <v>14</v>
      </c>
      <c r="D43" s="60" t="e">
        <f t="shared" si="1"/>
        <v>#DIV/0!</v>
      </c>
      <c r="E43" s="60" t="e">
        <f t="shared" si="0"/>
        <v>#DIV/0!</v>
      </c>
      <c r="F43" s="51" t="e">
        <f t="shared" si="4"/>
        <v>#DIV/0!</v>
      </c>
      <c r="G43" s="52" t="e">
        <f>IF(D43=D42,"",_xlfn.IFNA(VLOOKUP(D43,'인원 입력 기능'!$CN$5:$CQ$55,4,FALSE),0))</f>
        <v>#DIV/0!</v>
      </c>
      <c r="H43" s="53" t="e">
        <f t="shared" si="2"/>
        <v>#DIV/0!</v>
      </c>
      <c r="I43" s="57" t="e">
        <f>SUM($G$7:G43)</f>
        <v>#DIV/0!</v>
      </c>
      <c r="J43" s="55" t="e">
        <f t="shared" si="3"/>
        <v>#DIV/0!</v>
      </c>
      <c r="K43" s="25"/>
      <c r="M43" s="1"/>
    </row>
    <row r="44" spans="1:13" ht="25" customHeight="1">
      <c r="A44" s="5"/>
      <c r="B44" s="24"/>
      <c r="C44" s="59">
        <v>13</v>
      </c>
      <c r="D44" s="60" t="e">
        <f t="shared" si="1"/>
        <v>#DIV/0!</v>
      </c>
      <c r="E44" s="60" t="e">
        <f t="shared" si="0"/>
        <v>#DIV/0!</v>
      </c>
      <c r="F44" s="51" t="e">
        <f t="shared" si="4"/>
        <v>#DIV/0!</v>
      </c>
      <c r="G44" s="52" t="e">
        <f>IF(D44=D43,"",_xlfn.IFNA(VLOOKUP(D44,'인원 입력 기능'!$CN$5:$CQ$55,4,FALSE),0))</f>
        <v>#DIV/0!</v>
      </c>
      <c r="H44" s="53" t="e">
        <f t="shared" si="2"/>
        <v>#DIV/0!</v>
      </c>
      <c r="I44" s="57" t="e">
        <f>SUM($G$7:G44)</f>
        <v>#DIV/0!</v>
      </c>
      <c r="J44" s="55" t="e">
        <f t="shared" si="3"/>
        <v>#DIV/0!</v>
      </c>
      <c r="K44" s="25"/>
      <c r="M44" s="1"/>
    </row>
    <row r="45" spans="1:13" ht="25" customHeight="1">
      <c r="A45" s="5"/>
      <c r="B45" s="24"/>
      <c r="C45" s="58">
        <v>12</v>
      </c>
      <c r="D45" s="60" t="e">
        <f t="shared" si="1"/>
        <v>#DIV/0!</v>
      </c>
      <c r="E45" s="60" t="e">
        <f t="shared" si="0"/>
        <v>#DIV/0!</v>
      </c>
      <c r="F45" s="51" t="e">
        <f t="shared" si="4"/>
        <v>#DIV/0!</v>
      </c>
      <c r="G45" s="52" t="e">
        <f>IF(D45=D44,"",_xlfn.IFNA(VLOOKUP(D45,'인원 입력 기능'!$CN$5:$CQ$55,4,FALSE),0))</f>
        <v>#DIV/0!</v>
      </c>
      <c r="H45" s="53" t="e">
        <f t="shared" si="2"/>
        <v>#DIV/0!</v>
      </c>
      <c r="I45" s="57" t="e">
        <f>SUM($G$7:G45)</f>
        <v>#DIV/0!</v>
      </c>
      <c r="J45" s="55" t="e">
        <f t="shared" si="3"/>
        <v>#DIV/0!</v>
      </c>
      <c r="K45" s="25"/>
      <c r="M45" s="1"/>
    </row>
    <row r="46" spans="1:13" ht="25" customHeight="1">
      <c r="A46" s="5"/>
      <c r="B46" s="24"/>
      <c r="C46" s="59">
        <v>11</v>
      </c>
      <c r="D46" s="60" t="e">
        <f t="shared" si="1"/>
        <v>#DIV/0!</v>
      </c>
      <c r="E46" s="60" t="e">
        <f t="shared" si="0"/>
        <v>#DIV/0!</v>
      </c>
      <c r="F46" s="51" t="e">
        <f t="shared" si="4"/>
        <v>#DIV/0!</v>
      </c>
      <c r="G46" s="52" t="e">
        <f>IF(D46=D45,"",_xlfn.IFNA(VLOOKUP(D46,'인원 입력 기능'!$CN$5:$CQ$55,4,FALSE),0))</f>
        <v>#DIV/0!</v>
      </c>
      <c r="H46" s="53" t="e">
        <f t="shared" si="2"/>
        <v>#DIV/0!</v>
      </c>
      <c r="I46" s="57" t="e">
        <f>SUM($G$7:G46)</f>
        <v>#DIV/0!</v>
      </c>
      <c r="J46" s="55" t="e">
        <f t="shared" si="3"/>
        <v>#DIV/0!</v>
      </c>
      <c r="K46" s="25"/>
      <c r="M46" s="1"/>
    </row>
    <row r="47" spans="1:13" ht="25" customHeight="1">
      <c r="A47" s="5"/>
      <c r="B47" s="24"/>
      <c r="C47" s="58">
        <v>10</v>
      </c>
      <c r="D47" s="60" t="e">
        <f t="shared" si="1"/>
        <v>#DIV/0!</v>
      </c>
      <c r="E47" s="60" t="e">
        <f t="shared" si="0"/>
        <v>#DIV/0!</v>
      </c>
      <c r="F47" s="51" t="e">
        <f t="shared" si="4"/>
        <v>#DIV/0!</v>
      </c>
      <c r="G47" s="52" t="e">
        <f>IF(D47=D46,"",_xlfn.IFNA(VLOOKUP(D47,'인원 입력 기능'!$CN$5:$CQ$55,4,FALSE),0))</f>
        <v>#DIV/0!</v>
      </c>
      <c r="H47" s="53" t="e">
        <f t="shared" si="2"/>
        <v>#DIV/0!</v>
      </c>
      <c r="I47" s="57" t="e">
        <f>SUM($G$7:G47)</f>
        <v>#DIV/0!</v>
      </c>
      <c r="J47" s="55" t="e">
        <f t="shared" si="3"/>
        <v>#DIV/0!</v>
      </c>
      <c r="K47" s="25"/>
      <c r="M47" s="1"/>
    </row>
    <row r="48" spans="1:13" ht="25" customHeight="1">
      <c r="A48" s="5"/>
      <c r="B48" s="24"/>
      <c r="C48" s="59">
        <v>9</v>
      </c>
      <c r="D48" s="60" t="e">
        <f t="shared" si="1"/>
        <v>#DIV/0!</v>
      </c>
      <c r="E48" s="60" t="e">
        <f t="shared" si="0"/>
        <v>#DIV/0!</v>
      </c>
      <c r="F48" s="51" t="e">
        <f t="shared" si="4"/>
        <v>#DIV/0!</v>
      </c>
      <c r="G48" s="52" t="e">
        <f>IF(D48=D47,"",_xlfn.IFNA(VLOOKUP(D48,'인원 입력 기능'!$CN$5:$CQ$55,4,FALSE),0))</f>
        <v>#DIV/0!</v>
      </c>
      <c r="H48" s="53" t="e">
        <f t="shared" si="2"/>
        <v>#DIV/0!</v>
      </c>
      <c r="I48" s="57" t="e">
        <f>SUM($G$7:G48)</f>
        <v>#DIV/0!</v>
      </c>
      <c r="J48" s="55" t="e">
        <f t="shared" si="3"/>
        <v>#DIV/0!</v>
      </c>
      <c r="K48" s="25"/>
      <c r="M48" s="1"/>
    </row>
    <row r="49" spans="1:13" ht="25" customHeight="1">
      <c r="A49" s="5"/>
      <c r="B49" s="24"/>
      <c r="C49" s="58">
        <v>8</v>
      </c>
      <c r="D49" s="60" t="e">
        <f t="shared" si="1"/>
        <v>#DIV/0!</v>
      </c>
      <c r="E49" s="60" t="e">
        <f t="shared" si="0"/>
        <v>#DIV/0!</v>
      </c>
      <c r="F49" s="51" t="e">
        <f t="shared" si="4"/>
        <v>#DIV/0!</v>
      </c>
      <c r="G49" s="52" t="e">
        <f>IF(D49=D48,"",_xlfn.IFNA(VLOOKUP(D49,'인원 입력 기능'!$CN$5:$CQ$55,4,FALSE),0))</f>
        <v>#DIV/0!</v>
      </c>
      <c r="H49" s="53" t="e">
        <f t="shared" si="2"/>
        <v>#DIV/0!</v>
      </c>
      <c r="I49" s="57" t="e">
        <f>SUM($G$7:G49)</f>
        <v>#DIV/0!</v>
      </c>
      <c r="J49" s="55" t="e">
        <f t="shared" si="3"/>
        <v>#DIV/0!</v>
      </c>
      <c r="K49" s="25"/>
      <c r="M49" s="1"/>
    </row>
    <row r="50" spans="1:13" ht="25" customHeight="1">
      <c r="A50" s="5"/>
      <c r="B50" s="24"/>
      <c r="C50" s="59">
        <v>7</v>
      </c>
      <c r="D50" s="60" t="e">
        <f t="shared" si="1"/>
        <v>#DIV/0!</v>
      </c>
      <c r="E50" s="60" t="e">
        <f t="shared" si="0"/>
        <v>#DIV/0!</v>
      </c>
      <c r="F50" s="51" t="e">
        <f t="shared" si="4"/>
        <v>#DIV/0!</v>
      </c>
      <c r="G50" s="52" t="e">
        <f>IF(D50=D49,"",_xlfn.IFNA(VLOOKUP(D50,'인원 입력 기능'!$CN$5:$CQ$55,4,FALSE),0))</f>
        <v>#DIV/0!</v>
      </c>
      <c r="H50" s="53" t="e">
        <f t="shared" si="2"/>
        <v>#DIV/0!</v>
      </c>
      <c r="I50" s="57" t="e">
        <f>SUM($G$7:G50)</f>
        <v>#DIV/0!</v>
      </c>
      <c r="J50" s="55" t="e">
        <f t="shared" si="3"/>
        <v>#DIV/0!</v>
      </c>
      <c r="K50" s="25"/>
      <c r="M50" s="1"/>
    </row>
    <row r="51" spans="1:13" ht="25" customHeight="1">
      <c r="A51" s="5"/>
      <c r="B51" s="24"/>
      <c r="C51" s="58">
        <v>6</v>
      </c>
      <c r="D51" s="60" t="e">
        <f t="shared" si="1"/>
        <v>#DIV/0!</v>
      </c>
      <c r="E51" s="60" t="e">
        <f t="shared" si="0"/>
        <v>#DIV/0!</v>
      </c>
      <c r="F51" s="51" t="e">
        <f t="shared" si="4"/>
        <v>#DIV/0!</v>
      </c>
      <c r="G51" s="52" t="e">
        <f>IF(D51=D50,"",_xlfn.IFNA(VLOOKUP(D51,'인원 입력 기능'!$CN$5:$CQ$55,4,FALSE),0))</f>
        <v>#DIV/0!</v>
      </c>
      <c r="H51" s="53" t="e">
        <f t="shared" si="2"/>
        <v>#DIV/0!</v>
      </c>
      <c r="I51" s="57" t="e">
        <f>SUM($G$7:G51)</f>
        <v>#DIV/0!</v>
      </c>
      <c r="J51" s="55" t="e">
        <f t="shared" si="3"/>
        <v>#DIV/0!</v>
      </c>
      <c r="K51" s="25"/>
      <c r="M51" s="1"/>
    </row>
    <row r="52" spans="1:13" ht="25" customHeight="1">
      <c r="A52" s="5"/>
      <c r="B52" s="24"/>
      <c r="C52" s="59">
        <v>5</v>
      </c>
      <c r="D52" s="60" t="e">
        <f t="shared" si="1"/>
        <v>#DIV/0!</v>
      </c>
      <c r="E52" s="60" t="e">
        <f t="shared" si="0"/>
        <v>#DIV/0!</v>
      </c>
      <c r="F52" s="51" t="e">
        <f t="shared" si="4"/>
        <v>#DIV/0!</v>
      </c>
      <c r="G52" s="52" t="e">
        <f>IF(D52=D51,"",_xlfn.IFNA(VLOOKUP(D52,'인원 입력 기능'!$CN$5:$CQ$55,4,FALSE),0))</f>
        <v>#DIV/0!</v>
      </c>
      <c r="H52" s="53" t="e">
        <f t="shared" si="2"/>
        <v>#DIV/0!</v>
      </c>
      <c r="I52" s="57" t="e">
        <f>SUM($G$7:G52)</f>
        <v>#DIV/0!</v>
      </c>
      <c r="J52" s="55" t="e">
        <f t="shared" si="3"/>
        <v>#DIV/0!</v>
      </c>
      <c r="K52" s="25"/>
      <c r="M52" s="1"/>
    </row>
    <row r="53" spans="1:13" ht="25" customHeight="1">
      <c r="A53" s="5"/>
      <c r="B53" s="24"/>
      <c r="C53" s="49">
        <v>4</v>
      </c>
      <c r="D53" s="50" t="e">
        <f t="shared" si="1"/>
        <v>#DIV/0!</v>
      </c>
      <c r="E53" s="50" t="e">
        <f t="shared" si="0"/>
        <v>#DIV/0!</v>
      </c>
      <c r="F53" s="51" t="e">
        <f t="shared" si="4"/>
        <v>#DIV/0!</v>
      </c>
      <c r="G53" s="52" t="e">
        <f>IF(D53=D52,"",_xlfn.IFNA(VLOOKUP(D53,'인원 입력 기능'!$CN$5:$CQ$55,4,FALSE),0))</f>
        <v>#DIV/0!</v>
      </c>
      <c r="H53" s="53" t="e">
        <f t="shared" si="2"/>
        <v>#DIV/0!</v>
      </c>
      <c r="I53" s="57" t="e">
        <f>SUM($G$7:G53)</f>
        <v>#DIV/0!</v>
      </c>
      <c r="J53" s="55" t="e">
        <f t="shared" si="3"/>
        <v>#DIV/0!</v>
      </c>
      <c r="K53" s="25"/>
      <c r="M53" s="1"/>
    </row>
    <row r="54" spans="1:13" ht="25" customHeight="1">
      <c r="A54" s="5"/>
      <c r="B54" s="24"/>
      <c r="C54" s="56">
        <v>3</v>
      </c>
      <c r="D54" s="50" t="e">
        <f t="shared" si="1"/>
        <v>#DIV/0!</v>
      </c>
      <c r="E54" s="50" t="e">
        <f t="shared" si="0"/>
        <v>#DIV/0!</v>
      </c>
      <c r="F54" s="51" t="e">
        <f t="shared" si="4"/>
        <v>#DIV/0!</v>
      </c>
      <c r="G54" s="52" t="e">
        <f>IF(D54=D53,"",_xlfn.IFNA(VLOOKUP(D54,'인원 입력 기능'!$CN$5:$CQ$55,4,FALSE),0))</f>
        <v>#DIV/0!</v>
      </c>
      <c r="H54" s="53" t="e">
        <f t="shared" si="2"/>
        <v>#DIV/0!</v>
      </c>
      <c r="I54" s="57" t="e">
        <f>SUM($G$7:G54)</f>
        <v>#DIV/0!</v>
      </c>
      <c r="J54" s="55" t="e">
        <f t="shared" si="3"/>
        <v>#DIV/0!</v>
      </c>
      <c r="K54" s="25"/>
      <c r="M54" s="1"/>
    </row>
    <row r="55" spans="1:13" ht="25" customHeight="1">
      <c r="A55" s="5"/>
      <c r="B55" s="24"/>
      <c r="C55" s="49">
        <v>2</v>
      </c>
      <c r="D55" s="50" t="e">
        <f t="shared" si="1"/>
        <v>#DIV/0!</v>
      </c>
      <c r="E55" s="50" t="e">
        <f t="shared" si="0"/>
        <v>#DIV/0!</v>
      </c>
      <c r="F55" s="51" t="e">
        <f t="shared" si="4"/>
        <v>#DIV/0!</v>
      </c>
      <c r="G55" s="52" t="e">
        <f>IF(D55=D54,"",_xlfn.IFNA(VLOOKUP(D55,'인원 입력 기능'!$CN$5:$CQ$55,4,FALSE),0))</f>
        <v>#DIV/0!</v>
      </c>
      <c r="H55" s="53" t="e">
        <f t="shared" si="2"/>
        <v>#DIV/0!</v>
      </c>
      <c r="I55" s="57" t="e">
        <f>SUM($G$7:G55)</f>
        <v>#DIV/0!</v>
      </c>
      <c r="J55" s="55" t="e">
        <f t="shared" si="3"/>
        <v>#DIV/0!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 t="e">
        <f>ROUND(10*(C57-$H$3)/$H$4+50,0)</f>
        <v>#DIV/0!</v>
      </c>
      <c r="E57" s="66" t="e">
        <f t="shared" si="0"/>
        <v>#DIV/0!</v>
      </c>
      <c r="F57" s="67" t="e">
        <f>IF(I55=0,ROUND(100*(1-(I54+I57)/2/$J$3),0),ROUND(100*(1-(I55+I57)/2/$J$3),0))</f>
        <v>#DIV/0!</v>
      </c>
      <c r="G57" s="68" t="e">
        <f>_xlfn.IFNA(VLOOKUP(D57,'인원 입력 기능'!$CN$5:$CQ$55,4,FALSE),0)</f>
        <v>#DIV/0!</v>
      </c>
      <c r="H57" s="69" t="e">
        <f>G57/J3</f>
        <v>#DIV/0!</v>
      </c>
      <c r="I57" s="70" t="e">
        <f>SUM($G$7:G57)</f>
        <v>#DIV/0!</v>
      </c>
      <c r="J57" s="71" t="e">
        <f>I57/J3</f>
        <v>#DIV/0!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7 D57:J57 D9:J55">
    <cfRule type="expression" dxfId="34" priority="7">
      <formula>OR($D7=$P$7:$P$14)</formula>
    </cfRule>
  </conditionalFormatting>
  <conditionalFormatting sqref="C7:C57">
    <cfRule type="expression" dxfId="33" priority="6">
      <formula>OR(AND($D7=0,OR($D6=$P$7:$P$14)),AND($D8&gt;0,OR($D7=$P$7:$P$14)))</formula>
    </cfRule>
  </conditionalFormatting>
  <conditionalFormatting sqref="D7 D57 D9:D55">
    <cfRule type="expression" dxfId="32" priority="5">
      <formula>$D7=$D8</formula>
    </cfRule>
  </conditionalFormatting>
  <conditionalFormatting sqref="D56">
    <cfRule type="expression" dxfId="31" priority="4">
      <formula>OR($D56=$P$7:$P$14)</formula>
    </cfRule>
  </conditionalFormatting>
  <conditionalFormatting sqref="D56">
    <cfRule type="expression" dxfId="30" priority="3">
      <formula>$D56=$D57</formula>
    </cfRule>
  </conditionalFormatting>
  <conditionalFormatting sqref="D8">
    <cfRule type="expression" dxfId="29" priority="2">
      <formula>OR($D8=$P$7:$P$14)</formula>
    </cfRule>
  </conditionalFormatting>
  <conditionalFormatting sqref="D8">
    <cfRule type="expression" dxfId="28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4E3C1-F94F-4141-A300-81A31FEFB9D2}">
  <sheetPr codeName="Sheet6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기능'!D23</f>
        <v>27.14</v>
      </c>
      <c r="I3" s="109" t="s">
        <v>54</v>
      </c>
      <c r="J3" s="110">
        <f>'통계 및 응시자 수 입력 기능'!C23</f>
        <v>1294</v>
      </c>
      <c r="K3" s="25"/>
    </row>
    <row r="4" spans="1:16" ht="25" customHeight="1" thickBot="1">
      <c r="A4" s="5"/>
      <c r="B4" s="24"/>
      <c r="C4" s="42" t="s">
        <v>55</v>
      </c>
      <c r="D4" s="249" t="s">
        <v>60</v>
      </c>
      <c r="E4" s="243"/>
      <c r="F4" s="244"/>
      <c r="G4" s="43" t="s">
        <v>57</v>
      </c>
      <c r="H4" s="108">
        <f>'통계 및 응시자 수 입력 기능'!E23</f>
        <v>12.85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68</v>
      </c>
      <c r="E7" s="50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99</v>
      </c>
      <c r="G7" s="52">
        <f>_xlfn.IFNA(VLOOKUP(D7,'인원 입력 기능'!$CS$5:$CV$55,4,FALSE),0)</f>
        <v>20</v>
      </c>
      <c r="H7" s="53">
        <f>G7/J3</f>
        <v>1.5455950540958269E-2</v>
      </c>
      <c r="I7" s="54">
        <f>G7</f>
        <v>20</v>
      </c>
      <c r="J7" s="55">
        <f>I7/J3</f>
        <v>1.5455950540958269E-2</v>
      </c>
      <c r="K7" s="25"/>
      <c r="M7" s="1"/>
      <c r="O7" s="1">
        <v>1</v>
      </c>
      <c r="P7" s="1">
        <f>'표준점수 등급컷 입력기능'!H68</f>
        <v>65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입력기능'!H69</f>
        <v>63</v>
      </c>
    </row>
    <row r="9" spans="1:16" ht="25" customHeight="1">
      <c r="A9" s="5"/>
      <c r="B9" s="24"/>
      <c r="C9" s="49">
        <v>48</v>
      </c>
      <c r="D9" s="50">
        <f t="shared" ref="D9:D55" si="1">ROUND(10*(C9-$H$3)/$H$4+50,0)</f>
        <v>66</v>
      </c>
      <c r="E9" s="50">
        <f t="shared" si="0"/>
        <v>1</v>
      </c>
      <c r="F9" s="51">
        <f>IF(I8=0,ROUND(100*(1-(I7+I9)/2/$J$3),0),ROUND(100*(1-(I8+I9)/2/$J$3),0))</f>
        <v>98</v>
      </c>
      <c r="G9" s="52">
        <f>_xlfn.IFNA(VLOOKUP(D9,'인원 입력 기능'!$CS$5:$CV$55,4,FALSE),0)</f>
        <v>14</v>
      </c>
      <c r="H9" s="53">
        <f>G9/$J$3</f>
        <v>1.0819165378670788E-2</v>
      </c>
      <c r="I9" s="57">
        <f>SUM($G$7:G9)</f>
        <v>34</v>
      </c>
      <c r="J9" s="55">
        <f>I9/$J$3</f>
        <v>2.6275115919629059E-2</v>
      </c>
      <c r="K9" s="25"/>
      <c r="M9" s="1"/>
      <c r="O9" s="1">
        <v>3</v>
      </c>
      <c r="P9" s="1">
        <f>'표준점수 등급컷 입력기능'!H70</f>
        <v>60</v>
      </c>
    </row>
    <row r="10" spans="1:16" ht="25" customHeight="1">
      <c r="A10" s="5"/>
      <c r="B10" s="24"/>
      <c r="C10" s="56">
        <v>47</v>
      </c>
      <c r="D10" s="261">
        <f t="shared" si="1"/>
        <v>65</v>
      </c>
      <c r="E10" s="261">
        <f t="shared" si="0"/>
        <v>1</v>
      </c>
      <c r="F10" s="263">
        <f>IF(I9=0,ROUND(100*(1-(I8+I10)/2/$J$3),0),ROUND(100*(1-(I9+I10)/2/$J$3),0))</f>
        <v>96</v>
      </c>
      <c r="G10" s="265">
        <f>IF(D10=D9,"",_xlfn.IFNA(VLOOKUP(D10,'인원 입력 기능'!$CS$5:$CV$55,4,FALSE),0))</f>
        <v>39</v>
      </c>
      <c r="H10" s="266">
        <f t="shared" ref="H10:H55" si="2">G10/$J$3</f>
        <v>3.0139103554868624E-2</v>
      </c>
      <c r="I10" s="268">
        <f>SUM($G$7:G10)</f>
        <v>73</v>
      </c>
      <c r="J10" s="270">
        <f t="shared" ref="J10:J55" si="3">I10/$J$3</f>
        <v>5.6414219474497679E-2</v>
      </c>
      <c r="K10" s="25"/>
      <c r="M10" s="1"/>
      <c r="O10" s="1">
        <v>4</v>
      </c>
      <c r="P10" s="1">
        <f>'표준점수 등급컷 입력기능'!H71</f>
        <v>54</v>
      </c>
    </row>
    <row r="11" spans="1:16" ht="25" customHeight="1">
      <c r="A11" s="5"/>
      <c r="B11" s="24"/>
      <c r="C11" s="49">
        <v>46</v>
      </c>
      <c r="D11" s="260"/>
      <c r="E11" s="260"/>
      <c r="F11" s="262"/>
      <c r="G11" s="264"/>
      <c r="H11" s="267"/>
      <c r="I11" s="269"/>
      <c r="J11" s="271"/>
      <c r="K11" s="25"/>
      <c r="M11" s="1"/>
      <c r="O11" s="1">
        <v>5</v>
      </c>
      <c r="P11" s="1">
        <f>'표준점수 등급컷 입력기능'!H72</f>
        <v>46</v>
      </c>
    </row>
    <row r="12" spans="1:16" ht="25" customHeight="1">
      <c r="A12" s="5"/>
      <c r="B12" s="24"/>
      <c r="C12" s="56">
        <v>45</v>
      </c>
      <c r="D12" s="50">
        <f t="shared" si="1"/>
        <v>64</v>
      </c>
      <c r="E12" s="50">
        <f t="shared" si="0"/>
        <v>2</v>
      </c>
      <c r="F12" s="51">
        <f t="shared" ref="F11:F55" si="4">IF(I11=0,ROUND(100*(1-(I10+I12)/2/$J$3),0),ROUND(100*(1-(I11+I12)/2/$J$3),0))</f>
        <v>93</v>
      </c>
      <c r="G12" s="52">
        <f>IF(D12=D11,"",_xlfn.IFNA(VLOOKUP(D12,'인원 입력 기능'!$CS$5:$CV$55,4,FALSE),0))</f>
        <v>41</v>
      </c>
      <c r="H12" s="53">
        <f t="shared" si="2"/>
        <v>3.1684698608964453E-2</v>
      </c>
      <c r="I12" s="57">
        <f>SUM($G$7:G12)</f>
        <v>114</v>
      </c>
      <c r="J12" s="55">
        <f t="shared" si="3"/>
        <v>8.8098918083462138E-2</v>
      </c>
      <c r="K12" s="25"/>
      <c r="M12" s="1"/>
      <c r="O12" s="1">
        <v>6</v>
      </c>
      <c r="P12" s="1">
        <f>'표준점수 등급컷 입력기능'!H73</f>
        <v>41</v>
      </c>
    </row>
    <row r="13" spans="1:16" ht="25" customHeight="1">
      <c r="A13" s="5"/>
      <c r="B13" s="24"/>
      <c r="C13" s="49">
        <v>44</v>
      </c>
      <c r="D13" s="50">
        <f t="shared" si="1"/>
        <v>63</v>
      </c>
      <c r="E13" s="50">
        <f t="shared" si="0"/>
        <v>2</v>
      </c>
      <c r="F13" s="51">
        <f t="shared" si="4"/>
        <v>89</v>
      </c>
      <c r="G13" s="52">
        <f>IF(D13=D12,"",_xlfn.IFNA(VLOOKUP(D13,'인원 입력 기능'!$CS$5:$CV$55,4,FALSE),0))</f>
        <v>47</v>
      </c>
      <c r="H13" s="53">
        <f t="shared" si="2"/>
        <v>3.6321483771251932E-2</v>
      </c>
      <c r="I13" s="57">
        <f>SUM($G$7:G13)</f>
        <v>161</v>
      </c>
      <c r="J13" s="55">
        <f t="shared" si="3"/>
        <v>0.12442040185471406</v>
      </c>
      <c r="K13" s="25"/>
      <c r="M13" s="1"/>
      <c r="O13" s="1">
        <v>7</v>
      </c>
      <c r="P13" s="1">
        <f>'표준점수 등급컷 입력기능'!H74</f>
        <v>37</v>
      </c>
    </row>
    <row r="14" spans="1:16" ht="25" customHeight="1">
      <c r="A14" s="5"/>
      <c r="B14" s="24"/>
      <c r="C14" s="56">
        <v>43</v>
      </c>
      <c r="D14" s="261">
        <f t="shared" si="1"/>
        <v>62</v>
      </c>
      <c r="E14" s="261">
        <f t="shared" si="0"/>
        <v>3</v>
      </c>
      <c r="F14" s="263">
        <f t="shared" si="4"/>
        <v>85</v>
      </c>
      <c r="G14" s="265">
        <f>IF(D14=D13,"",_xlfn.IFNA(VLOOKUP(D14,'인원 입력 기능'!$CS$5:$CV$55,4,FALSE),0))</f>
        <v>79</v>
      </c>
      <c r="H14" s="266">
        <f t="shared" si="2"/>
        <v>6.1051004636785165E-2</v>
      </c>
      <c r="I14" s="268">
        <f>SUM($G$7:G14)</f>
        <v>240</v>
      </c>
      <c r="J14" s="270">
        <f t="shared" si="3"/>
        <v>0.18547140649149924</v>
      </c>
      <c r="K14" s="25"/>
      <c r="M14" s="1"/>
      <c r="O14" s="1">
        <v>8</v>
      </c>
      <c r="P14" s="1">
        <f>'표준점수 등급컷 입력기능'!H75</f>
        <v>34</v>
      </c>
    </row>
    <row r="15" spans="1:16" ht="25" customHeight="1">
      <c r="A15" s="5"/>
      <c r="B15" s="24"/>
      <c r="C15" s="49">
        <v>42</v>
      </c>
      <c r="D15" s="260"/>
      <c r="E15" s="260"/>
      <c r="F15" s="262"/>
      <c r="G15" s="264"/>
      <c r="H15" s="267"/>
      <c r="I15" s="269"/>
      <c r="J15" s="271"/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>
        <f t="shared" si="1"/>
        <v>61</v>
      </c>
      <c r="E16" s="50">
        <f t="shared" si="0"/>
        <v>3</v>
      </c>
      <c r="F16" s="51">
        <f t="shared" si="4"/>
        <v>80</v>
      </c>
      <c r="G16" s="52">
        <f>IF(D16=D15,"",_xlfn.IFNA(VLOOKUP(D16,'인원 입력 기능'!$CS$5:$CV$55,4,FALSE),0))</f>
        <v>29</v>
      </c>
      <c r="H16" s="53">
        <f t="shared" si="2"/>
        <v>2.241112828438949E-2</v>
      </c>
      <c r="I16" s="57">
        <f>SUM($G$7:G16)</f>
        <v>269</v>
      </c>
      <c r="J16" s="55">
        <f t="shared" si="3"/>
        <v>0.20788253477588872</v>
      </c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60</v>
      </c>
      <c r="E17" s="50">
        <f t="shared" si="0"/>
        <v>3</v>
      </c>
      <c r="F17" s="51">
        <f t="shared" si="4"/>
        <v>78</v>
      </c>
      <c r="G17" s="52">
        <f>IF(D17=D16,"",_xlfn.IFNA(VLOOKUP(D17,'인원 입력 기능'!$CS$5:$CV$55,4,FALSE),0))</f>
        <v>40</v>
      </c>
      <c r="H17" s="53">
        <f t="shared" si="2"/>
        <v>3.0911901081916538E-2</v>
      </c>
      <c r="I17" s="57">
        <f>SUM($G$7:G17)</f>
        <v>309</v>
      </c>
      <c r="J17" s="55">
        <f t="shared" si="3"/>
        <v>0.23879443585780524</v>
      </c>
      <c r="K17" s="25"/>
      <c r="M17" s="1"/>
      <c r="P17" s="1">
        <f>H3*H4*J3*P7*IFERROR(IF(J57=1, 1, 0), 0)</f>
        <v>29333278.390000001</v>
      </c>
    </row>
    <row r="18" spans="1:16" ht="25" customHeight="1">
      <c r="A18" s="5"/>
      <c r="B18" s="24"/>
      <c r="C18" s="56">
        <v>39</v>
      </c>
      <c r="D18" s="50">
        <f t="shared" si="1"/>
        <v>59</v>
      </c>
      <c r="E18" s="50">
        <f t="shared" si="0"/>
        <v>4</v>
      </c>
      <c r="F18" s="51">
        <f t="shared" si="4"/>
        <v>74</v>
      </c>
      <c r="G18" s="52">
        <f>IF(D18=D17,"",_xlfn.IFNA(VLOOKUP(D18,'인원 입력 기능'!$CS$5:$CV$55,4,FALSE),0))</f>
        <v>42</v>
      </c>
      <c r="H18" s="53">
        <f t="shared" si="2"/>
        <v>3.2457496136012363E-2</v>
      </c>
      <c r="I18" s="57">
        <f>SUM($G$7:G18)</f>
        <v>351</v>
      </c>
      <c r="J18" s="55">
        <f t="shared" si="3"/>
        <v>0.27125193199381764</v>
      </c>
      <c r="K18" s="25"/>
      <c r="M18" s="1"/>
    </row>
    <row r="19" spans="1:16" ht="25" customHeight="1">
      <c r="A19" s="5"/>
      <c r="B19" s="24"/>
      <c r="C19" s="49">
        <v>38</v>
      </c>
      <c r="D19" s="261">
        <f t="shared" si="1"/>
        <v>58</v>
      </c>
      <c r="E19" s="261">
        <f t="shared" si="0"/>
        <v>4</v>
      </c>
      <c r="F19" s="263">
        <f t="shared" si="4"/>
        <v>71</v>
      </c>
      <c r="G19" s="265">
        <f>IF(D19=D18,"",_xlfn.IFNA(VLOOKUP(D19,'인원 입력 기능'!$CS$5:$CV$55,4,FALSE),0))</f>
        <v>55</v>
      </c>
      <c r="H19" s="266">
        <f t="shared" si="2"/>
        <v>4.250386398763524E-2</v>
      </c>
      <c r="I19" s="268">
        <f>SUM($G$7:G19)</f>
        <v>406</v>
      </c>
      <c r="J19" s="270">
        <f t="shared" si="3"/>
        <v>0.31375579598145287</v>
      </c>
      <c r="K19" s="25"/>
      <c r="M19" s="1"/>
    </row>
    <row r="20" spans="1:16" ht="25" customHeight="1">
      <c r="A20" s="5"/>
      <c r="B20" s="24"/>
      <c r="C20" s="56">
        <v>37</v>
      </c>
      <c r="D20" s="260"/>
      <c r="E20" s="260"/>
      <c r="F20" s="262"/>
      <c r="G20" s="264"/>
      <c r="H20" s="267"/>
      <c r="I20" s="269"/>
      <c r="J20" s="271"/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57</v>
      </c>
      <c r="E21" s="60">
        <f t="shared" si="0"/>
        <v>4</v>
      </c>
      <c r="F21" s="51">
        <f t="shared" si="4"/>
        <v>67</v>
      </c>
      <c r="G21" s="52">
        <f>IF(D21=D20,"",_xlfn.IFNA(VLOOKUP(D21,'인원 입력 기능'!$CS$5:$CV$55,4,FALSE),0))</f>
        <v>35</v>
      </c>
      <c r="H21" s="53">
        <f t="shared" si="2"/>
        <v>2.704791344667697E-2</v>
      </c>
      <c r="I21" s="57">
        <f>SUM($G$7:G21)</f>
        <v>441</v>
      </c>
      <c r="J21" s="55">
        <f t="shared" si="3"/>
        <v>0.34080370942812982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56</v>
      </c>
      <c r="E22" s="60">
        <f t="shared" si="0"/>
        <v>4</v>
      </c>
      <c r="F22" s="51">
        <f t="shared" si="4"/>
        <v>65</v>
      </c>
      <c r="G22" s="52">
        <f>IF(D22=D21,"",_xlfn.IFNA(VLOOKUP(D22,'인원 입력 기능'!$CS$5:$CV$55,4,FALSE),0))</f>
        <v>23</v>
      </c>
      <c r="H22" s="53">
        <f t="shared" si="2"/>
        <v>1.7774343122102011E-2</v>
      </c>
      <c r="I22" s="57">
        <f>SUM($G$7:G22)</f>
        <v>464</v>
      </c>
      <c r="J22" s="55">
        <f t="shared" si="3"/>
        <v>0.35857805255023184</v>
      </c>
      <c r="K22" s="25"/>
      <c r="M22" s="1"/>
    </row>
    <row r="23" spans="1:16" ht="25" customHeight="1">
      <c r="A23" s="5"/>
      <c r="B23" s="24"/>
      <c r="C23" s="58">
        <v>34</v>
      </c>
      <c r="D23" s="273">
        <f t="shared" si="1"/>
        <v>55</v>
      </c>
      <c r="E23" s="273">
        <f t="shared" si="0"/>
        <v>4</v>
      </c>
      <c r="F23" s="263">
        <f t="shared" si="4"/>
        <v>62</v>
      </c>
      <c r="G23" s="265">
        <f>IF(D23=D22,"",_xlfn.IFNA(VLOOKUP(D23,'인원 입력 기능'!$CS$5:$CV$55,4,FALSE),0))</f>
        <v>48</v>
      </c>
      <c r="H23" s="266">
        <f t="shared" si="2"/>
        <v>3.7094281298299843E-2</v>
      </c>
      <c r="I23" s="268">
        <f>SUM($G$7:G23)</f>
        <v>512</v>
      </c>
      <c r="J23" s="270">
        <f t="shared" si="3"/>
        <v>0.39567233384853168</v>
      </c>
      <c r="K23" s="25"/>
      <c r="M23" s="1"/>
    </row>
    <row r="24" spans="1:16" ht="25" customHeight="1">
      <c r="A24" s="5"/>
      <c r="B24" s="24"/>
      <c r="C24" s="59">
        <v>33</v>
      </c>
      <c r="D24" s="272"/>
      <c r="E24" s="272"/>
      <c r="F24" s="262"/>
      <c r="G24" s="264"/>
      <c r="H24" s="267"/>
      <c r="I24" s="269"/>
      <c r="J24" s="271"/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54</v>
      </c>
      <c r="E25" s="60">
        <f t="shared" si="0"/>
        <v>4</v>
      </c>
      <c r="F25" s="51">
        <f t="shared" si="4"/>
        <v>59</v>
      </c>
      <c r="G25" s="52">
        <f>IF(D25=D24,"",_xlfn.IFNA(VLOOKUP(D25,'인원 입력 기능'!$CS$5:$CV$55,4,FALSE),0))</f>
        <v>32</v>
      </c>
      <c r="H25" s="53">
        <f t="shared" si="2"/>
        <v>2.472952086553323E-2</v>
      </c>
      <c r="I25" s="57">
        <f>SUM($G$7:G25)</f>
        <v>544</v>
      </c>
      <c r="J25" s="55">
        <f t="shared" si="3"/>
        <v>0.42040185471406494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53</v>
      </c>
      <c r="E26" s="60">
        <f t="shared" si="0"/>
        <v>5</v>
      </c>
      <c r="F26" s="51">
        <f t="shared" si="4"/>
        <v>57</v>
      </c>
      <c r="G26" s="52">
        <f>IF(D26=D25,"",_xlfn.IFNA(VLOOKUP(D26,'인원 입력 기능'!$CS$5:$CV$55,4,FALSE),0))</f>
        <v>25</v>
      </c>
      <c r="H26" s="53">
        <f t="shared" si="2"/>
        <v>1.9319938176197836E-2</v>
      </c>
      <c r="I26" s="57">
        <f>SUM($G$7:G26)</f>
        <v>569</v>
      </c>
      <c r="J26" s="55">
        <f t="shared" si="3"/>
        <v>0.43972179289026275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52</v>
      </c>
      <c r="E27" s="60">
        <f t="shared" si="0"/>
        <v>5</v>
      </c>
      <c r="F27" s="51">
        <f t="shared" si="4"/>
        <v>56</v>
      </c>
      <c r="G27" s="52">
        <f>IF(D27=D26,"",_xlfn.IFNA(VLOOKUP(D27,'인원 입력 기능'!$CS$5:$CV$55,4,FALSE),0))</f>
        <v>13</v>
      </c>
      <c r="H27" s="53">
        <f t="shared" si="2"/>
        <v>1.0046367851622875E-2</v>
      </c>
      <c r="I27" s="57">
        <f>SUM($G$7:G27)</f>
        <v>582</v>
      </c>
      <c r="J27" s="55">
        <f t="shared" si="3"/>
        <v>0.44976816074188564</v>
      </c>
      <c r="K27" s="25"/>
      <c r="M27" s="1"/>
    </row>
    <row r="28" spans="1:16" ht="25" customHeight="1">
      <c r="A28" s="5"/>
      <c r="B28" s="24"/>
      <c r="C28" s="59">
        <v>29</v>
      </c>
      <c r="D28" s="273">
        <f t="shared" si="1"/>
        <v>51</v>
      </c>
      <c r="E28" s="273">
        <f t="shared" si="0"/>
        <v>5</v>
      </c>
      <c r="F28" s="263">
        <f t="shared" si="4"/>
        <v>53</v>
      </c>
      <c r="G28" s="265">
        <f>IF(D28=D27,"",_xlfn.IFNA(VLOOKUP(D28,'인원 입력 기능'!$CS$5:$CV$55,4,FALSE),0))</f>
        <v>49</v>
      </c>
      <c r="H28" s="266">
        <f t="shared" si="2"/>
        <v>3.7867078825347761E-2</v>
      </c>
      <c r="I28" s="268">
        <f>SUM($G$7:G28)</f>
        <v>631</v>
      </c>
      <c r="J28" s="270">
        <f t="shared" si="3"/>
        <v>0.48763523956723337</v>
      </c>
      <c r="K28" s="25"/>
      <c r="M28" s="1"/>
    </row>
    <row r="29" spans="1:16" ht="25" customHeight="1">
      <c r="A29" s="5"/>
      <c r="B29" s="24"/>
      <c r="C29" s="58">
        <v>28</v>
      </c>
      <c r="D29" s="272"/>
      <c r="E29" s="272"/>
      <c r="F29" s="262"/>
      <c r="G29" s="264"/>
      <c r="H29" s="267"/>
      <c r="I29" s="269"/>
      <c r="J29" s="271"/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50</v>
      </c>
      <c r="E30" s="60">
        <f t="shared" si="0"/>
        <v>5</v>
      </c>
      <c r="F30" s="51">
        <f t="shared" si="4"/>
        <v>50</v>
      </c>
      <c r="G30" s="52">
        <f>IF(D30=D29,"",_xlfn.IFNA(VLOOKUP(D30,'인원 입력 기능'!$CS$5:$CV$55,4,FALSE),0))</f>
        <v>23</v>
      </c>
      <c r="H30" s="53">
        <f t="shared" si="2"/>
        <v>1.7774343122102011E-2</v>
      </c>
      <c r="I30" s="57">
        <f>SUM($G$7:G30)</f>
        <v>654</v>
      </c>
      <c r="J30" s="55">
        <f t="shared" si="3"/>
        <v>0.50540958268933545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49</v>
      </c>
      <c r="E31" s="60">
        <f t="shared" si="0"/>
        <v>5</v>
      </c>
      <c r="F31" s="51">
        <f t="shared" si="4"/>
        <v>49</v>
      </c>
      <c r="G31" s="52">
        <f>IF(D31=D30,"",_xlfn.IFNA(VLOOKUP(D31,'인원 입력 기능'!$CS$5:$CV$55,4,FALSE),0))</f>
        <v>23</v>
      </c>
      <c r="H31" s="53">
        <f t="shared" si="2"/>
        <v>1.7774343122102011E-2</v>
      </c>
      <c r="I31" s="57">
        <f>SUM($G$7:G31)</f>
        <v>677</v>
      </c>
      <c r="J31" s="55">
        <f t="shared" si="3"/>
        <v>0.52318392581143736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48</v>
      </c>
      <c r="E32" s="273">
        <f t="shared" si="0"/>
        <v>5</v>
      </c>
      <c r="F32" s="263">
        <f t="shared" si="4"/>
        <v>46</v>
      </c>
      <c r="G32" s="265">
        <f>IF(D32=D31,"",_xlfn.IFNA(VLOOKUP(D32,'인원 입력 기능'!$CS$5:$CV$55,4,FALSE),0))</f>
        <v>51</v>
      </c>
      <c r="H32" s="266">
        <f t="shared" si="2"/>
        <v>3.9412673879443583E-2</v>
      </c>
      <c r="I32" s="268">
        <f>SUM($G$7:G32)</f>
        <v>728</v>
      </c>
      <c r="J32" s="270">
        <f t="shared" si="3"/>
        <v>0.56259659969088094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47</v>
      </c>
      <c r="E34" s="60">
        <f t="shared" si="0"/>
        <v>5</v>
      </c>
      <c r="F34" s="51">
        <f t="shared" si="4"/>
        <v>42</v>
      </c>
      <c r="G34" s="52">
        <f>IF(D34=D33,"",_xlfn.IFNA(VLOOKUP(D34,'인원 입력 기능'!$CS$5:$CV$55,4,FALSE),0))</f>
        <v>34</v>
      </c>
      <c r="H34" s="53">
        <f t="shared" si="2"/>
        <v>2.6275115919629059E-2</v>
      </c>
      <c r="I34" s="57">
        <f>SUM($G$7:G34)</f>
        <v>762</v>
      </c>
      <c r="J34" s="55">
        <f t="shared" si="3"/>
        <v>0.58887171561050999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46</v>
      </c>
      <c r="E35" s="60">
        <f t="shared" si="0"/>
        <v>5</v>
      </c>
      <c r="F35" s="51">
        <f t="shared" si="4"/>
        <v>40</v>
      </c>
      <c r="G35" s="52">
        <f>IF(D35=D34,"",_xlfn.IFNA(VLOOKUP(D35,'인원 입력 기능'!$CS$5:$CV$55,4,FALSE),0))</f>
        <v>26</v>
      </c>
      <c r="H35" s="53">
        <f t="shared" si="2"/>
        <v>2.009273570324575E-2</v>
      </c>
      <c r="I35" s="57">
        <f>SUM($G$7:G35)</f>
        <v>788</v>
      </c>
      <c r="J35" s="55">
        <f t="shared" si="3"/>
        <v>0.60896445131375576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45</v>
      </c>
      <c r="E36" s="60">
        <f t="shared" si="0"/>
        <v>6</v>
      </c>
      <c r="F36" s="51">
        <f t="shared" si="4"/>
        <v>38</v>
      </c>
      <c r="G36" s="52">
        <f>IF(D36=D35,"",_xlfn.IFNA(VLOOKUP(D36,'인원 입력 기능'!$CS$5:$CV$55,4,FALSE),0))</f>
        <v>24</v>
      </c>
      <c r="H36" s="53">
        <f t="shared" si="2"/>
        <v>1.8547140649149921E-2</v>
      </c>
      <c r="I36" s="57">
        <f>SUM($G$7:G36)</f>
        <v>812</v>
      </c>
      <c r="J36" s="55">
        <f t="shared" si="3"/>
        <v>0.62751159196290573</v>
      </c>
      <c r="K36" s="25"/>
      <c r="M36" s="1"/>
    </row>
    <row r="37" spans="1:13" ht="25" customHeight="1">
      <c r="A37" s="5"/>
      <c r="B37" s="24"/>
      <c r="C37" s="58">
        <v>20</v>
      </c>
      <c r="D37" s="273">
        <f t="shared" si="1"/>
        <v>44</v>
      </c>
      <c r="E37" s="273">
        <f t="shared" si="0"/>
        <v>6</v>
      </c>
      <c r="F37" s="263">
        <f t="shared" si="4"/>
        <v>35</v>
      </c>
      <c r="G37" s="265">
        <f>IF(D37=D36,"",_xlfn.IFNA(VLOOKUP(D37,'인원 입력 기능'!$CS$5:$CV$55,4,FALSE),0))</f>
        <v>57</v>
      </c>
      <c r="H37" s="266">
        <f t="shared" si="2"/>
        <v>4.4049459041731069E-2</v>
      </c>
      <c r="I37" s="268">
        <f>SUM($G$7:G37)</f>
        <v>869</v>
      </c>
      <c r="J37" s="270">
        <f t="shared" si="3"/>
        <v>0.67156105100463681</v>
      </c>
      <c r="K37" s="25"/>
      <c r="M37" s="1"/>
    </row>
    <row r="38" spans="1:13" ht="25" customHeight="1">
      <c r="A38" s="5"/>
      <c r="B38" s="24"/>
      <c r="C38" s="59">
        <v>19</v>
      </c>
      <c r="D38" s="272"/>
      <c r="E38" s="272"/>
      <c r="F38" s="262"/>
      <c r="G38" s="264"/>
      <c r="H38" s="267"/>
      <c r="I38" s="269"/>
      <c r="J38" s="271"/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43</v>
      </c>
      <c r="E39" s="60">
        <f t="shared" si="0"/>
        <v>6</v>
      </c>
      <c r="F39" s="51">
        <f t="shared" si="4"/>
        <v>32</v>
      </c>
      <c r="G39" s="52">
        <f>IF(D39=D38,"",_xlfn.IFNA(VLOOKUP(D39,'인원 입력 기능'!$CS$5:$CV$55,4,FALSE),0))</f>
        <v>28</v>
      </c>
      <c r="H39" s="53">
        <f t="shared" si="2"/>
        <v>2.1638330757341576E-2</v>
      </c>
      <c r="I39" s="57">
        <f>SUM($G$7:G39)</f>
        <v>897</v>
      </c>
      <c r="J39" s="55">
        <f t="shared" si="3"/>
        <v>0.69319938176197837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42</v>
      </c>
      <c r="E40" s="60">
        <f t="shared" si="0"/>
        <v>6</v>
      </c>
      <c r="F40" s="51">
        <f t="shared" si="4"/>
        <v>29</v>
      </c>
      <c r="G40" s="52">
        <f>IF(D40=D39,"",_xlfn.IFNA(VLOOKUP(D40,'인원 입력 기능'!$CS$5:$CV$55,4,FALSE),0))</f>
        <v>47</v>
      </c>
      <c r="H40" s="53">
        <f t="shared" si="2"/>
        <v>3.6321483771251932E-2</v>
      </c>
      <c r="I40" s="57">
        <f>SUM($G$7:G40)</f>
        <v>944</v>
      </c>
      <c r="J40" s="55">
        <f t="shared" si="3"/>
        <v>0.72952086553323026</v>
      </c>
      <c r="K40" s="25"/>
      <c r="M40" s="1"/>
    </row>
    <row r="41" spans="1:13" ht="25" customHeight="1">
      <c r="A41" s="5"/>
      <c r="B41" s="24"/>
      <c r="C41" s="58">
        <v>16</v>
      </c>
      <c r="D41" s="273">
        <f t="shared" si="1"/>
        <v>41</v>
      </c>
      <c r="E41" s="273">
        <f t="shared" si="0"/>
        <v>6</v>
      </c>
      <c r="F41" s="263">
        <f t="shared" si="4"/>
        <v>24</v>
      </c>
      <c r="G41" s="265">
        <f>IF(D41=D40,"",_xlfn.IFNA(VLOOKUP(D41,'인원 입력 기능'!$CS$5:$CV$55,4,FALSE),0))</f>
        <v>66</v>
      </c>
      <c r="H41" s="266">
        <f t="shared" si="2"/>
        <v>5.1004636785162288E-2</v>
      </c>
      <c r="I41" s="268">
        <f>SUM($G$7:G41)</f>
        <v>1010</v>
      </c>
      <c r="J41" s="270">
        <f t="shared" si="3"/>
        <v>0.78052550231839257</v>
      </c>
      <c r="K41" s="25"/>
      <c r="M41" s="1"/>
    </row>
    <row r="42" spans="1:13" ht="25" customHeight="1">
      <c r="A42" s="5"/>
      <c r="B42" s="24"/>
      <c r="C42" s="59">
        <v>15</v>
      </c>
      <c r="D42" s="272"/>
      <c r="E42" s="272"/>
      <c r="F42" s="262"/>
      <c r="G42" s="264"/>
      <c r="H42" s="267"/>
      <c r="I42" s="269"/>
      <c r="J42" s="271"/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40</v>
      </c>
      <c r="E43" s="60">
        <f t="shared" si="0"/>
        <v>7</v>
      </c>
      <c r="F43" s="51">
        <f t="shared" si="4"/>
        <v>21</v>
      </c>
      <c r="G43" s="52">
        <f>IF(D43=D42,"",_xlfn.IFNA(VLOOKUP(D43,'인원 입력 기능'!$CS$5:$CV$55,4,FALSE),0))</f>
        <v>35</v>
      </c>
      <c r="H43" s="53">
        <f t="shared" si="2"/>
        <v>2.704791344667697E-2</v>
      </c>
      <c r="I43" s="57">
        <f>SUM($G$7:G43)</f>
        <v>1045</v>
      </c>
      <c r="J43" s="55">
        <f t="shared" si="3"/>
        <v>0.80757341576506958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39</v>
      </c>
      <c r="E44" s="60">
        <f t="shared" si="0"/>
        <v>7</v>
      </c>
      <c r="F44" s="51">
        <f t="shared" si="4"/>
        <v>18</v>
      </c>
      <c r="G44" s="52">
        <f>IF(D44=D43,"",_xlfn.IFNA(VLOOKUP(D44,'인원 입력 기능'!$CS$5:$CV$55,4,FALSE),0))</f>
        <v>34</v>
      </c>
      <c r="H44" s="53">
        <f t="shared" si="2"/>
        <v>2.6275115919629059E-2</v>
      </c>
      <c r="I44" s="57">
        <f>SUM($G$7:G44)</f>
        <v>1079</v>
      </c>
      <c r="J44" s="55">
        <f t="shared" si="3"/>
        <v>0.83384853168469864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38</v>
      </c>
      <c r="E45" s="60">
        <f t="shared" si="0"/>
        <v>7</v>
      </c>
      <c r="F45" s="51">
        <f t="shared" si="4"/>
        <v>15</v>
      </c>
      <c r="G45" s="52">
        <f>IF(D45=D44,"",_xlfn.IFNA(VLOOKUP(D45,'인원 입력 기능'!$CS$5:$CV$55,4,FALSE),0))</f>
        <v>44</v>
      </c>
      <c r="H45" s="53">
        <f t="shared" si="2"/>
        <v>3.4003091190108192E-2</v>
      </c>
      <c r="I45" s="57">
        <f>SUM($G$7:G45)</f>
        <v>1123</v>
      </c>
      <c r="J45" s="55">
        <f t="shared" si="3"/>
        <v>0.86785162287480677</v>
      </c>
      <c r="K45" s="25"/>
      <c r="M45" s="1"/>
    </row>
    <row r="46" spans="1:13" ht="25" customHeight="1">
      <c r="A46" s="5"/>
      <c r="B46" s="24"/>
      <c r="C46" s="59">
        <v>11</v>
      </c>
      <c r="D46" s="273">
        <f t="shared" si="1"/>
        <v>37</v>
      </c>
      <c r="E46" s="273">
        <f t="shared" si="0"/>
        <v>7</v>
      </c>
      <c r="F46" s="263">
        <f t="shared" si="4"/>
        <v>11</v>
      </c>
      <c r="G46" s="265">
        <f>IF(D46=D45,"",_xlfn.IFNA(VLOOKUP(D46,'인원 입력 기능'!$CS$5:$CV$55,4,FALSE),0))</f>
        <v>61</v>
      </c>
      <c r="H46" s="266">
        <f t="shared" si="2"/>
        <v>4.714064914992272E-2</v>
      </c>
      <c r="I46" s="268">
        <f>SUM($G$7:G46)</f>
        <v>1184</v>
      </c>
      <c r="J46" s="270">
        <f t="shared" si="3"/>
        <v>0.91499227202472955</v>
      </c>
      <c r="K46" s="25"/>
      <c r="M46" s="1"/>
    </row>
    <row r="47" spans="1:13" ht="25" customHeight="1">
      <c r="A47" s="5"/>
      <c r="B47" s="24"/>
      <c r="C47" s="58">
        <v>10</v>
      </c>
      <c r="D47" s="272"/>
      <c r="E47" s="272"/>
      <c r="F47" s="262"/>
      <c r="G47" s="264"/>
      <c r="H47" s="267"/>
      <c r="I47" s="269"/>
      <c r="J47" s="271"/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36</v>
      </c>
      <c r="E48" s="60">
        <f t="shared" si="0"/>
        <v>8</v>
      </c>
      <c r="F48" s="51">
        <f t="shared" si="4"/>
        <v>7</v>
      </c>
      <c r="G48" s="52">
        <f>IF(D48=D47,"",_xlfn.IFNA(VLOOKUP(D48,'인원 입력 기능'!$CS$5:$CV$55,4,FALSE),0))</f>
        <v>26</v>
      </c>
      <c r="H48" s="53">
        <f t="shared" si="2"/>
        <v>2.009273570324575E-2</v>
      </c>
      <c r="I48" s="57">
        <f>SUM($G$7:G48)</f>
        <v>1210</v>
      </c>
      <c r="J48" s="55">
        <f t="shared" si="3"/>
        <v>0.93508500772797531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35</v>
      </c>
      <c r="E49" s="60">
        <f t="shared" si="0"/>
        <v>8</v>
      </c>
      <c r="F49" s="51">
        <f t="shared" si="4"/>
        <v>6</v>
      </c>
      <c r="G49" s="52">
        <f>IF(D49=D48,"",_xlfn.IFNA(VLOOKUP(D49,'인원 입력 기능'!$CS$5:$CV$55,4,FALSE),0))</f>
        <v>20</v>
      </c>
      <c r="H49" s="53">
        <f t="shared" si="2"/>
        <v>1.5455950540958269E-2</v>
      </c>
      <c r="I49" s="57">
        <f>SUM($G$7:G49)</f>
        <v>1230</v>
      </c>
      <c r="J49" s="55">
        <f t="shared" si="3"/>
        <v>0.95054095826893359</v>
      </c>
      <c r="K49" s="25"/>
      <c r="M49" s="1"/>
    </row>
    <row r="50" spans="1:13" ht="25" customHeight="1">
      <c r="A50" s="5"/>
      <c r="B50" s="24"/>
      <c r="C50" s="59">
        <v>7</v>
      </c>
      <c r="D50" s="273">
        <f t="shared" si="1"/>
        <v>34</v>
      </c>
      <c r="E50" s="273">
        <f t="shared" si="0"/>
        <v>8</v>
      </c>
      <c r="F50" s="263">
        <f t="shared" si="4"/>
        <v>3</v>
      </c>
      <c r="G50" s="265">
        <f>IF(D50=D49,"",_xlfn.IFNA(VLOOKUP(D50,'인원 입력 기능'!$CS$5:$CV$55,4,FALSE),0))</f>
        <v>43</v>
      </c>
      <c r="H50" s="266">
        <f t="shared" si="2"/>
        <v>3.3230293663060281E-2</v>
      </c>
      <c r="I50" s="268">
        <f>SUM($G$7:G50)</f>
        <v>1273</v>
      </c>
      <c r="J50" s="270">
        <f t="shared" si="3"/>
        <v>0.98377125193199377</v>
      </c>
      <c r="K50" s="25"/>
      <c r="M50" s="1"/>
    </row>
    <row r="51" spans="1:13" ht="25" customHeight="1">
      <c r="A51" s="5"/>
      <c r="B51" s="24"/>
      <c r="C51" s="58">
        <v>6</v>
      </c>
      <c r="D51" s="272"/>
      <c r="E51" s="272"/>
      <c r="F51" s="262"/>
      <c r="G51" s="264"/>
      <c r="H51" s="267"/>
      <c r="I51" s="269"/>
      <c r="J51" s="271"/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33</v>
      </c>
      <c r="E52" s="60">
        <f t="shared" si="0"/>
        <v>9</v>
      </c>
      <c r="F52" s="51">
        <f t="shared" si="4"/>
        <v>1</v>
      </c>
      <c r="G52" s="52">
        <f>IF(D52=D51,"",_xlfn.IFNA(VLOOKUP(D52,'인원 입력 기능'!$CS$5:$CV$55,4,FALSE),0))</f>
        <v>10</v>
      </c>
      <c r="H52" s="53">
        <f t="shared" si="2"/>
        <v>7.7279752704791345E-3</v>
      </c>
      <c r="I52" s="57">
        <f>SUM($G$7:G52)</f>
        <v>1283</v>
      </c>
      <c r="J52" s="55">
        <f t="shared" si="3"/>
        <v>0.99149922720247297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32</v>
      </c>
      <c r="E53" s="50">
        <f t="shared" si="0"/>
        <v>9</v>
      </c>
      <c r="F53" s="51">
        <f t="shared" si="4"/>
        <v>1</v>
      </c>
      <c r="G53" s="52">
        <f>IF(D53=D52,"",_xlfn.IFNA(VLOOKUP(D53,'인원 입력 기능'!$CS$5:$CV$55,4,FALSE),0))</f>
        <v>4</v>
      </c>
      <c r="H53" s="53">
        <f t="shared" si="2"/>
        <v>3.0911901081916537E-3</v>
      </c>
      <c r="I53" s="57">
        <f>SUM($G$7:G53)</f>
        <v>1287</v>
      </c>
      <c r="J53" s="55">
        <f t="shared" si="3"/>
        <v>0.99459041731066455</v>
      </c>
      <c r="K53" s="25"/>
      <c r="M53" s="1"/>
    </row>
    <row r="54" spans="1:13" ht="25" customHeight="1">
      <c r="A54" s="5"/>
      <c r="B54" s="24"/>
      <c r="C54" s="56">
        <v>3</v>
      </c>
      <c r="D54" s="50">
        <f t="shared" si="1"/>
        <v>31</v>
      </c>
      <c r="E54" s="50">
        <f t="shared" si="0"/>
        <v>9</v>
      </c>
      <c r="F54" s="51">
        <f t="shared" si="4"/>
        <v>1</v>
      </c>
      <c r="G54" s="52">
        <f>IF(D54=D53,"",_xlfn.IFNA(VLOOKUP(D54,'인원 입력 기능'!$CS$5:$CV$55,4,FALSE),0))</f>
        <v>0</v>
      </c>
      <c r="H54" s="53">
        <f t="shared" si="2"/>
        <v>0</v>
      </c>
      <c r="I54" s="57">
        <f>SUM($G$7:G54)</f>
        <v>1287</v>
      </c>
      <c r="J54" s="55">
        <f t="shared" si="3"/>
        <v>0.99459041731066455</v>
      </c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30</v>
      </c>
      <c r="E55" s="50">
        <f t="shared" si="0"/>
        <v>9</v>
      </c>
      <c r="F55" s="51">
        <f t="shared" si="4"/>
        <v>0</v>
      </c>
      <c r="G55" s="52">
        <f>IF(D55=D54,"",_xlfn.IFNA(VLOOKUP(D55,'인원 입력 기능'!$CS$5:$CV$55,4,FALSE),0))</f>
        <v>3</v>
      </c>
      <c r="H55" s="53">
        <f t="shared" si="2"/>
        <v>2.3183925811437402E-3</v>
      </c>
      <c r="I55" s="57">
        <f>SUM($G$7:G55)</f>
        <v>1290</v>
      </c>
      <c r="J55" s="55">
        <f t="shared" si="3"/>
        <v>0.9969088098918083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29</v>
      </c>
      <c r="E57" s="66">
        <f t="shared" si="0"/>
        <v>9</v>
      </c>
      <c r="F57" s="67">
        <f>IF(I55=0,ROUND(100*(1-(I54+I57)/2/$J$3),0),ROUND(100*(1-(I55+I57)/2/$J$3),0))</f>
        <v>0</v>
      </c>
      <c r="G57" s="68">
        <f>_xlfn.IFNA(VLOOKUP(D57,'인원 입력 기능'!$CS$5:$CV$55,4,FALSE),0)</f>
        <v>4</v>
      </c>
      <c r="H57" s="69">
        <f>G57/J3</f>
        <v>3.0911901081916537E-3</v>
      </c>
      <c r="I57" s="70">
        <f>SUM($G$7:G57)</f>
        <v>1294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75">
    <mergeCell ref="I50:I51"/>
    <mergeCell ref="J50:J51"/>
    <mergeCell ref="D50:D51"/>
    <mergeCell ref="E50:E51"/>
    <mergeCell ref="F50:F51"/>
    <mergeCell ref="G50:G51"/>
    <mergeCell ref="H50:H51"/>
    <mergeCell ref="I41:I42"/>
    <mergeCell ref="J41:J42"/>
    <mergeCell ref="D46:D47"/>
    <mergeCell ref="E46:E47"/>
    <mergeCell ref="F46:F47"/>
    <mergeCell ref="G46:G47"/>
    <mergeCell ref="H46:H47"/>
    <mergeCell ref="I46:I47"/>
    <mergeCell ref="J46:J47"/>
    <mergeCell ref="D41:D42"/>
    <mergeCell ref="E41:E42"/>
    <mergeCell ref="F41:F42"/>
    <mergeCell ref="G41:G42"/>
    <mergeCell ref="H41:H42"/>
    <mergeCell ref="I32:I33"/>
    <mergeCell ref="J32:J33"/>
    <mergeCell ref="D37:D38"/>
    <mergeCell ref="E37:E38"/>
    <mergeCell ref="F37:F38"/>
    <mergeCell ref="G37:G38"/>
    <mergeCell ref="H37:H38"/>
    <mergeCell ref="I37:I38"/>
    <mergeCell ref="J37:J38"/>
    <mergeCell ref="D32:D33"/>
    <mergeCell ref="E32:E33"/>
    <mergeCell ref="F32:F33"/>
    <mergeCell ref="G32:G33"/>
    <mergeCell ref="H32:H33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H14:H15"/>
    <mergeCell ref="I14:I15"/>
    <mergeCell ref="J14:J15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4:D15"/>
    <mergeCell ref="E14:E15"/>
    <mergeCell ref="F14:F15"/>
    <mergeCell ref="G14:G15"/>
  </mergeCells>
  <phoneticPr fontId="1" type="noConversion"/>
  <conditionalFormatting sqref="D7:J7 D57:J57 D9:J10 D12:J14 D16:J19 D21:J23 D25:J28 D30:J32 D34:J37 D39:J41 D43:J46 D48:J50 D52:J55">
    <cfRule type="expression" dxfId="27" priority="7">
      <formula>OR($D7=$P$7:$P$14)</formula>
    </cfRule>
  </conditionalFormatting>
  <conditionalFormatting sqref="C7:C57">
    <cfRule type="expression" dxfId="26" priority="6">
      <formula>OR(AND($D7=0,OR($D6=$P$7:$P$14)),AND($D8&gt;0,OR($D7=$P$7:$P$14)))</formula>
    </cfRule>
  </conditionalFormatting>
  <conditionalFormatting sqref="D7 D57 D9:D10 D12:D14 D16:D19 D21:D23 D25:D28 D30:D32 D34:D37 D39:D41 D43:D46 D48:D50 D52:D55">
    <cfRule type="expression" dxfId="25" priority="5">
      <formula>$D7=$D8</formula>
    </cfRule>
  </conditionalFormatting>
  <conditionalFormatting sqref="D56">
    <cfRule type="expression" dxfId="24" priority="4">
      <formula>OR($D56=$P$7:$P$14)</formula>
    </cfRule>
  </conditionalFormatting>
  <conditionalFormatting sqref="D56">
    <cfRule type="expression" dxfId="23" priority="3">
      <formula>$D56=$D57</formula>
    </cfRule>
  </conditionalFormatting>
  <conditionalFormatting sqref="D8">
    <cfRule type="expression" dxfId="22" priority="2">
      <formula>OR($D8=$P$7:$P$14)</formula>
    </cfRule>
  </conditionalFormatting>
  <conditionalFormatting sqref="D8">
    <cfRule type="expression" dxfId="21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714C5-BFF2-41C5-8461-5D09FA7C7BC5}">
  <sheetPr codeName="Sheet7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기능'!D24</f>
        <v>24.25</v>
      </c>
      <c r="I3" s="109" t="s">
        <v>54</v>
      </c>
      <c r="J3" s="110">
        <f>'통계 및 응시자 수 입력 기능'!C24</f>
        <v>1049</v>
      </c>
      <c r="K3" s="25"/>
    </row>
    <row r="4" spans="1:16" ht="25" customHeight="1" thickBot="1">
      <c r="A4" s="5"/>
      <c r="B4" s="24"/>
      <c r="C4" s="42" t="s">
        <v>55</v>
      </c>
      <c r="D4" s="249" t="s">
        <v>59</v>
      </c>
      <c r="E4" s="243"/>
      <c r="F4" s="244"/>
      <c r="G4" s="43" t="s">
        <v>57</v>
      </c>
      <c r="H4" s="108">
        <f>'통계 및 응시자 수 입력 기능'!E24</f>
        <v>11.52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72</v>
      </c>
      <c r="E7" s="50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100</v>
      </c>
      <c r="G7" s="52">
        <f>_xlfn.IFNA(VLOOKUP(D7,'인원 입력 기능'!$CX$5:$DA$55,4,FALSE),0)</f>
        <v>8</v>
      </c>
      <c r="H7" s="53">
        <f>G7/J3</f>
        <v>7.6263107721639654E-3</v>
      </c>
      <c r="I7" s="54">
        <f>G7</f>
        <v>8</v>
      </c>
      <c r="J7" s="55">
        <f>I7/J3</f>
        <v>7.6263107721639654E-3</v>
      </c>
      <c r="K7" s="25"/>
      <c r="M7" s="1"/>
      <c r="O7" s="1">
        <v>1</v>
      </c>
      <c r="P7" s="1">
        <f>'표준점수 등급컷 입력기능'!K68</f>
        <v>68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입력기능'!K69</f>
        <v>65</v>
      </c>
    </row>
    <row r="9" spans="1:16" ht="25" customHeight="1">
      <c r="A9" s="5"/>
      <c r="B9" s="24"/>
      <c r="C9" s="49">
        <v>48</v>
      </c>
      <c r="D9" s="50">
        <f>ROUND(10*(C9-$H$3)/$H$4+50,0)</f>
        <v>71</v>
      </c>
      <c r="E9" s="50">
        <f t="shared" si="0"/>
        <v>1</v>
      </c>
      <c r="F9" s="51">
        <f>IF(I8=0,ROUND(100*(1-(I7+I9)/2/$J$3),0),ROUND(100*(1-(I8+I9)/2/$J$3),0))</f>
        <v>99</v>
      </c>
      <c r="G9" s="52">
        <f>_xlfn.IFNA(VLOOKUP(D9,'인원 입력 기능'!$CX$5:$DA$55,4,FALSE),0)</f>
        <v>10</v>
      </c>
      <c r="H9" s="53">
        <f>G9/$J$3</f>
        <v>9.5328884652049577E-3</v>
      </c>
      <c r="I9" s="57">
        <f>SUM($G$7:G9)</f>
        <v>18</v>
      </c>
      <c r="J9" s="55">
        <f>I9/$J$3</f>
        <v>1.7159199237368923E-2</v>
      </c>
      <c r="K9" s="25"/>
      <c r="M9" s="1"/>
      <c r="O9" s="1">
        <v>3</v>
      </c>
      <c r="P9" s="1">
        <f>'표준점수 등급컷 입력기능'!K70</f>
        <v>58</v>
      </c>
    </row>
    <row r="10" spans="1:16" ht="25" customHeight="1">
      <c r="A10" s="5"/>
      <c r="B10" s="24"/>
      <c r="C10" s="56">
        <v>47</v>
      </c>
      <c r="D10" s="50">
        <f t="shared" ref="D10:D55" si="1">ROUND(10*(C10-$H$3)/$H$4+50,0)</f>
        <v>70</v>
      </c>
      <c r="E10" s="50">
        <f t="shared" si="0"/>
        <v>1</v>
      </c>
      <c r="F10" s="51">
        <f>IF(I9=0,ROUND(100*(1-(I8+I10)/2/$J$3),0),ROUND(100*(1-(I9+I10)/2/$J$3),0))</f>
        <v>98</v>
      </c>
      <c r="G10" s="52">
        <f>IF(D10=D9,"",_xlfn.IFNA(VLOOKUP(D10,'인원 입력 기능'!$CX$5:$DA$55,4,FALSE),0))</f>
        <v>16</v>
      </c>
      <c r="H10" s="53">
        <f t="shared" ref="H10:H55" si="2">G10/$J$3</f>
        <v>1.5252621544327931E-2</v>
      </c>
      <c r="I10" s="57">
        <f>SUM($G$7:G10)</f>
        <v>34</v>
      </c>
      <c r="J10" s="55">
        <f t="shared" ref="J10:J55" si="3">I10/$J$3</f>
        <v>3.2411820781696854E-2</v>
      </c>
      <c r="K10" s="25"/>
      <c r="M10" s="1"/>
      <c r="O10" s="1">
        <v>4</v>
      </c>
      <c r="P10" s="1">
        <f>'표준점수 등급컷 입력기능'!K71</f>
        <v>52</v>
      </c>
    </row>
    <row r="11" spans="1:16" ht="25" customHeight="1">
      <c r="A11" s="5"/>
      <c r="B11" s="24"/>
      <c r="C11" s="49">
        <v>46</v>
      </c>
      <c r="D11" s="50">
        <f t="shared" si="1"/>
        <v>69</v>
      </c>
      <c r="E11" s="50">
        <f t="shared" si="0"/>
        <v>1</v>
      </c>
      <c r="F11" s="51">
        <f t="shared" ref="F11:F55" si="4">IF(I10=0,ROUND(100*(1-(I9+I11)/2/$J$3),0),ROUND(100*(1-(I10+I11)/2/$J$3),0))</f>
        <v>97</v>
      </c>
      <c r="G11" s="52">
        <f>IF(D11=D10,"",_xlfn.IFNA(VLOOKUP(D11,'인원 입력 기능'!$CX$5:$DA$55,4,FALSE),0))</f>
        <v>1</v>
      </c>
      <c r="H11" s="53">
        <f t="shared" si="2"/>
        <v>9.5328884652049568E-4</v>
      </c>
      <c r="I11" s="57">
        <f>SUM($G$7:G11)</f>
        <v>35</v>
      </c>
      <c r="J11" s="55">
        <f t="shared" si="3"/>
        <v>3.336510962821735E-2</v>
      </c>
      <c r="K11" s="25"/>
      <c r="M11" s="1"/>
      <c r="O11" s="1">
        <v>5</v>
      </c>
      <c r="P11" s="1">
        <f>'표준점수 등급컷 입력기능'!K72</f>
        <v>46</v>
      </c>
    </row>
    <row r="12" spans="1:16" ht="25" customHeight="1">
      <c r="A12" s="5"/>
      <c r="B12" s="24"/>
      <c r="C12" s="56">
        <v>45</v>
      </c>
      <c r="D12" s="50">
        <f t="shared" si="1"/>
        <v>68</v>
      </c>
      <c r="E12" s="50">
        <f t="shared" si="0"/>
        <v>1</v>
      </c>
      <c r="F12" s="51">
        <f t="shared" si="4"/>
        <v>96</v>
      </c>
      <c r="G12" s="52">
        <f>IF(D12=D11,"",_xlfn.IFNA(VLOOKUP(D12,'인원 입력 기능'!$CX$5:$DA$55,4,FALSE),0))</f>
        <v>24</v>
      </c>
      <c r="H12" s="53">
        <f t="shared" si="2"/>
        <v>2.2878932316491896E-2</v>
      </c>
      <c r="I12" s="57">
        <f>SUM($G$7:G12)</f>
        <v>59</v>
      </c>
      <c r="J12" s="55">
        <f t="shared" si="3"/>
        <v>5.624404194470925E-2</v>
      </c>
      <c r="K12" s="25"/>
      <c r="M12" s="1"/>
      <c r="O12" s="1">
        <v>6</v>
      </c>
      <c r="P12" s="1">
        <f>'표준점수 등급컷 입력기능'!K73</f>
        <v>41</v>
      </c>
    </row>
    <row r="13" spans="1:16" ht="25" customHeight="1">
      <c r="A13" s="5"/>
      <c r="B13" s="24"/>
      <c r="C13" s="49">
        <v>44</v>
      </c>
      <c r="D13" s="50">
        <f t="shared" si="1"/>
        <v>67</v>
      </c>
      <c r="E13" s="50">
        <f t="shared" si="0"/>
        <v>2</v>
      </c>
      <c r="F13" s="51">
        <f t="shared" si="4"/>
        <v>94</v>
      </c>
      <c r="G13" s="52">
        <f>IF(D13=D12,"",_xlfn.IFNA(VLOOKUP(D13,'인원 입력 기능'!$CX$5:$DA$55,4,FALSE),0))</f>
        <v>11</v>
      </c>
      <c r="H13" s="53">
        <f t="shared" si="2"/>
        <v>1.0486177311725452E-2</v>
      </c>
      <c r="I13" s="57">
        <f>SUM($G$7:G13)</f>
        <v>70</v>
      </c>
      <c r="J13" s="55">
        <f t="shared" si="3"/>
        <v>6.67302192564347E-2</v>
      </c>
      <c r="K13" s="25"/>
      <c r="M13" s="1"/>
      <c r="O13" s="1">
        <v>7</v>
      </c>
      <c r="P13" s="1">
        <f>'표준점수 등급컷 입력기능'!K74</f>
        <v>38</v>
      </c>
    </row>
    <row r="14" spans="1:16" ht="25" customHeight="1">
      <c r="A14" s="5"/>
      <c r="B14" s="24"/>
      <c r="C14" s="56">
        <v>43</v>
      </c>
      <c r="D14" s="50">
        <f t="shared" si="1"/>
        <v>66</v>
      </c>
      <c r="E14" s="50">
        <f t="shared" si="0"/>
        <v>2</v>
      </c>
      <c r="F14" s="51">
        <f t="shared" si="4"/>
        <v>93</v>
      </c>
      <c r="G14" s="52">
        <f>IF(D14=D13,"",_xlfn.IFNA(VLOOKUP(D14,'인원 입력 기능'!$CX$5:$DA$55,4,FALSE),0))</f>
        <v>5</v>
      </c>
      <c r="H14" s="53">
        <f t="shared" si="2"/>
        <v>4.7664442326024788E-3</v>
      </c>
      <c r="I14" s="57">
        <f>SUM($G$7:G14)</f>
        <v>75</v>
      </c>
      <c r="J14" s="55">
        <f t="shared" si="3"/>
        <v>7.1496663489037174E-2</v>
      </c>
      <c r="K14" s="25"/>
      <c r="M14" s="1"/>
      <c r="O14" s="1">
        <v>8</v>
      </c>
      <c r="P14" s="1">
        <f>'표준점수 등급컷 입력기능'!K75</f>
        <v>35</v>
      </c>
    </row>
    <row r="15" spans="1:16" ht="25" customHeight="1">
      <c r="A15" s="5"/>
      <c r="B15" s="24"/>
      <c r="C15" s="49">
        <v>42</v>
      </c>
      <c r="D15" s="261">
        <f t="shared" si="1"/>
        <v>65</v>
      </c>
      <c r="E15" s="261">
        <f t="shared" si="0"/>
        <v>2</v>
      </c>
      <c r="F15" s="263">
        <f t="shared" si="4"/>
        <v>91</v>
      </c>
      <c r="G15" s="265">
        <f>IF(D15=D14,"",_xlfn.IFNA(VLOOKUP(D15,'인원 입력 기능'!$CX$5:$DA$55,4,FALSE),0))</f>
        <v>47</v>
      </c>
      <c r="H15" s="266">
        <f t="shared" si="2"/>
        <v>4.4804575786463297E-2</v>
      </c>
      <c r="I15" s="268">
        <f>SUM($G$7:G15)</f>
        <v>122</v>
      </c>
      <c r="J15" s="270">
        <f t="shared" si="3"/>
        <v>0.11630123927550047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0"/>
      <c r="E16" s="260"/>
      <c r="F16" s="262"/>
      <c r="G16" s="264"/>
      <c r="H16" s="267"/>
      <c r="I16" s="269"/>
      <c r="J16" s="271"/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64</v>
      </c>
      <c r="E17" s="50">
        <f t="shared" si="0"/>
        <v>3</v>
      </c>
      <c r="F17" s="51">
        <f t="shared" si="4"/>
        <v>88</v>
      </c>
      <c r="G17" s="52">
        <f>IF(D17=D16,"",_xlfn.IFNA(VLOOKUP(D17,'인원 입력 기능'!$CX$5:$DA$55,4,FALSE),0))</f>
        <v>11</v>
      </c>
      <c r="H17" s="53">
        <f t="shared" si="2"/>
        <v>1.0486177311725452E-2</v>
      </c>
      <c r="I17" s="57">
        <f>SUM($G$7:G17)</f>
        <v>133</v>
      </c>
      <c r="J17" s="55">
        <f t="shared" si="3"/>
        <v>0.12678741658722592</v>
      </c>
      <c r="K17" s="25"/>
      <c r="M17" s="1"/>
      <c r="P17" s="1">
        <f>H3*H4*J3*P7*IFERROR(IF(J57=1, 1, 0), 0)</f>
        <v>19927307.52</v>
      </c>
    </row>
    <row r="18" spans="1:16" ht="25" customHeight="1">
      <c r="A18" s="5"/>
      <c r="B18" s="24"/>
      <c r="C18" s="56">
        <v>39</v>
      </c>
      <c r="D18" s="50">
        <f t="shared" si="1"/>
        <v>63</v>
      </c>
      <c r="E18" s="50">
        <f t="shared" si="0"/>
        <v>3</v>
      </c>
      <c r="F18" s="51">
        <f t="shared" si="4"/>
        <v>86</v>
      </c>
      <c r="G18" s="52">
        <f>IF(D18=D17,"",_xlfn.IFNA(VLOOKUP(D18,'인원 입력 기능'!$CX$5:$DA$55,4,FALSE),0))</f>
        <v>28</v>
      </c>
      <c r="H18" s="53">
        <f t="shared" si="2"/>
        <v>2.6692087702573881E-2</v>
      </c>
      <c r="I18" s="57">
        <f>SUM($G$7:G18)</f>
        <v>161</v>
      </c>
      <c r="J18" s="55">
        <f t="shared" si="3"/>
        <v>0.15347950428979981</v>
      </c>
      <c r="K18" s="25"/>
      <c r="M18" s="1"/>
    </row>
    <row r="19" spans="1:16" ht="25" customHeight="1">
      <c r="A19" s="5"/>
      <c r="B19" s="24"/>
      <c r="C19" s="49">
        <v>38</v>
      </c>
      <c r="D19" s="50">
        <f t="shared" si="1"/>
        <v>62</v>
      </c>
      <c r="E19" s="50">
        <f t="shared" si="0"/>
        <v>3</v>
      </c>
      <c r="F19" s="51">
        <f t="shared" si="4"/>
        <v>84</v>
      </c>
      <c r="G19" s="52">
        <f>IF(D19=D18,"",_xlfn.IFNA(VLOOKUP(D19,'인원 입력 기능'!$CX$5:$DA$55,4,FALSE),0))</f>
        <v>20</v>
      </c>
      <c r="H19" s="53">
        <f t="shared" si="2"/>
        <v>1.9065776930409915E-2</v>
      </c>
      <c r="I19" s="57">
        <f>SUM($G$7:G19)</f>
        <v>181</v>
      </c>
      <c r="J19" s="55">
        <f t="shared" si="3"/>
        <v>0.17254528122020973</v>
      </c>
      <c r="K19" s="25"/>
      <c r="M19" s="1"/>
    </row>
    <row r="20" spans="1:16" ht="25" customHeight="1">
      <c r="A20" s="5"/>
      <c r="B20" s="24"/>
      <c r="C20" s="56">
        <v>37</v>
      </c>
      <c r="D20" s="50">
        <f t="shared" si="1"/>
        <v>61</v>
      </c>
      <c r="E20" s="50">
        <f t="shared" si="0"/>
        <v>3</v>
      </c>
      <c r="F20" s="51">
        <f t="shared" si="4"/>
        <v>82</v>
      </c>
      <c r="G20" s="52">
        <f>IF(D20=D19,"",_xlfn.IFNA(VLOOKUP(D20,'인원 입력 기능'!$CX$5:$DA$55,4,FALSE),0))</f>
        <v>14</v>
      </c>
      <c r="H20" s="53">
        <f t="shared" si="2"/>
        <v>1.334604385128694E-2</v>
      </c>
      <c r="I20" s="57">
        <f>SUM($G$7:G20)</f>
        <v>195</v>
      </c>
      <c r="J20" s="55">
        <f t="shared" si="3"/>
        <v>0.18589132507149667</v>
      </c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60</v>
      </c>
      <c r="E21" s="60">
        <f t="shared" si="0"/>
        <v>3</v>
      </c>
      <c r="F21" s="51">
        <f t="shared" si="4"/>
        <v>80</v>
      </c>
      <c r="G21" s="52">
        <f>IF(D21=D20,"",_xlfn.IFNA(VLOOKUP(D21,'인원 입력 기능'!$CX$5:$DA$55,4,FALSE),0))</f>
        <v>30</v>
      </c>
      <c r="H21" s="53">
        <f t="shared" si="2"/>
        <v>2.8598665395614873E-2</v>
      </c>
      <c r="I21" s="57">
        <f>SUM($G$7:G21)</f>
        <v>225</v>
      </c>
      <c r="J21" s="55">
        <f t="shared" si="3"/>
        <v>0.21448999046711154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59</v>
      </c>
      <c r="E22" s="60">
        <f t="shared" si="0"/>
        <v>3</v>
      </c>
      <c r="F22" s="51">
        <f t="shared" si="4"/>
        <v>78</v>
      </c>
      <c r="G22" s="52">
        <f>IF(D22=D21,"",_xlfn.IFNA(VLOOKUP(D22,'인원 입력 기능'!$CX$5:$DA$55,4,FALSE),0))</f>
        <v>6</v>
      </c>
      <c r="H22" s="53">
        <f t="shared" si="2"/>
        <v>5.7197330791229741E-3</v>
      </c>
      <c r="I22" s="57">
        <f>SUM($G$7:G22)</f>
        <v>231</v>
      </c>
      <c r="J22" s="55">
        <f t="shared" si="3"/>
        <v>0.2202097235462345</v>
      </c>
      <c r="K22" s="25"/>
      <c r="M22" s="1"/>
    </row>
    <row r="23" spans="1:16" ht="25" customHeight="1">
      <c r="A23" s="5"/>
      <c r="B23" s="24"/>
      <c r="C23" s="58">
        <v>34</v>
      </c>
      <c r="D23" s="273">
        <f t="shared" si="1"/>
        <v>58</v>
      </c>
      <c r="E23" s="273">
        <f t="shared" si="0"/>
        <v>3</v>
      </c>
      <c r="F23" s="263">
        <f t="shared" si="4"/>
        <v>76</v>
      </c>
      <c r="G23" s="265">
        <f>IF(D23=D22,"",_xlfn.IFNA(VLOOKUP(D23,'인원 입력 기능'!$CX$5:$DA$55,4,FALSE),0))</f>
        <v>46</v>
      </c>
      <c r="H23" s="266">
        <f t="shared" si="2"/>
        <v>4.38512869399428E-2</v>
      </c>
      <c r="I23" s="268">
        <f>SUM($G$7:G23)</f>
        <v>277</v>
      </c>
      <c r="J23" s="270">
        <f t="shared" si="3"/>
        <v>0.26406101048617731</v>
      </c>
      <c r="K23" s="25"/>
      <c r="M23" s="1"/>
    </row>
    <row r="24" spans="1:16" ht="25" customHeight="1">
      <c r="A24" s="5"/>
      <c r="B24" s="24"/>
      <c r="C24" s="59">
        <v>33</v>
      </c>
      <c r="D24" s="272"/>
      <c r="E24" s="272"/>
      <c r="F24" s="262"/>
      <c r="G24" s="264"/>
      <c r="H24" s="267"/>
      <c r="I24" s="269"/>
      <c r="J24" s="271"/>
      <c r="K24" s="25"/>
      <c r="M24" s="1"/>
    </row>
    <row r="25" spans="1:16" ht="25" customHeight="1">
      <c r="A25" s="5"/>
      <c r="B25" s="24"/>
      <c r="C25" s="58">
        <v>32</v>
      </c>
      <c r="D25" s="60">
        <f t="shared" si="1"/>
        <v>57</v>
      </c>
      <c r="E25" s="60">
        <f t="shared" si="0"/>
        <v>4</v>
      </c>
      <c r="F25" s="51">
        <f t="shared" si="4"/>
        <v>73</v>
      </c>
      <c r="G25" s="52">
        <f>IF(D25=D24,"",_xlfn.IFNA(VLOOKUP(D25,'인원 입력 기능'!$CX$5:$DA$55,4,FALSE),0))</f>
        <v>16</v>
      </c>
      <c r="H25" s="53">
        <f t="shared" si="2"/>
        <v>1.5252621544327931E-2</v>
      </c>
      <c r="I25" s="57">
        <f>SUM($G$7:G25)</f>
        <v>293</v>
      </c>
      <c r="J25" s="55">
        <f t="shared" si="3"/>
        <v>0.27931363203050524</v>
      </c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56</v>
      </c>
      <c r="E26" s="60">
        <f t="shared" si="0"/>
        <v>4</v>
      </c>
      <c r="F26" s="51">
        <f t="shared" si="4"/>
        <v>71</v>
      </c>
      <c r="G26" s="52">
        <f>IF(D26=D25,"",_xlfn.IFNA(VLOOKUP(D26,'인원 입력 기능'!$CX$5:$DA$55,4,FALSE),0))</f>
        <v>20</v>
      </c>
      <c r="H26" s="53">
        <f t="shared" si="2"/>
        <v>1.9065776930409915E-2</v>
      </c>
      <c r="I26" s="57">
        <f>SUM($G$7:G26)</f>
        <v>313</v>
      </c>
      <c r="J26" s="55">
        <f t="shared" si="3"/>
        <v>0.29837940896091514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55</v>
      </c>
      <c r="E27" s="60">
        <f t="shared" si="0"/>
        <v>4</v>
      </c>
      <c r="F27" s="51">
        <f t="shared" si="4"/>
        <v>69</v>
      </c>
      <c r="G27" s="52">
        <f>IF(D27=D26,"",_xlfn.IFNA(VLOOKUP(D27,'인원 입력 기능'!$CX$5:$DA$55,4,FALSE),0))</f>
        <v>29</v>
      </c>
      <c r="H27" s="53">
        <f t="shared" si="2"/>
        <v>2.7645376549094377E-2</v>
      </c>
      <c r="I27" s="57">
        <f>SUM($G$7:G27)</f>
        <v>342</v>
      </c>
      <c r="J27" s="55">
        <f t="shared" si="3"/>
        <v>0.32602478551000952</v>
      </c>
      <c r="K27" s="25"/>
      <c r="M27" s="1"/>
    </row>
    <row r="28" spans="1:16" ht="25" customHeight="1">
      <c r="A28" s="5"/>
      <c r="B28" s="24"/>
      <c r="C28" s="59">
        <v>29</v>
      </c>
      <c r="D28" s="60">
        <f t="shared" si="1"/>
        <v>54</v>
      </c>
      <c r="E28" s="60">
        <f t="shared" si="0"/>
        <v>4</v>
      </c>
      <c r="F28" s="51">
        <f t="shared" si="4"/>
        <v>66</v>
      </c>
      <c r="G28" s="52">
        <f>IF(D28=D27,"",_xlfn.IFNA(VLOOKUP(D28,'인원 입력 기능'!$CX$5:$DA$55,4,FALSE),0))</f>
        <v>21</v>
      </c>
      <c r="H28" s="53">
        <f t="shared" si="2"/>
        <v>2.0019065776930411E-2</v>
      </c>
      <c r="I28" s="57">
        <f>SUM($G$7:G28)</f>
        <v>363</v>
      </c>
      <c r="J28" s="55">
        <f t="shared" si="3"/>
        <v>0.34604385128693993</v>
      </c>
      <c r="K28" s="25"/>
      <c r="M28" s="1"/>
    </row>
    <row r="29" spans="1:16" ht="25" customHeight="1">
      <c r="A29" s="5"/>
      <c r="B29" s="24"/>
      <c r="C29" s="58">
        <v>28</v>
      </c>
      <c r="D29" s="60">
        <f t="shared" si="1"/>
        <v>53</v>
      </c>
      <c r="E29" s="60">
        <f t="shared" si="0"/>
        <v>4</v>
      </c>
      <c r="F29" s="51">
        <f t="shared" si="4"/>
        <v>64</v>
      </c>
      <c r="G29" s="52">
        <f>IF(D29=D28,"",_xlfn.IFNA(VLOOKUP(D29,'인원 입력 기능'!$CX$5:$DA$55,4,FALSE),0))</f>
        <v>35</v>
      </c>
      <c r="H29" s="53">
        <f t="shared" si="2"/>
        <v>3.336510962821735E-2</v>
      </c>
      <c r="I29" s="57">
        <f>SUM($G$7:G29)</f>
        <v>398</v>
      </c>
      <c r="J29" s="55">
        <f t="shared" si="3"/>
        <v>0.3794089609151573</v>
      </c>
      <c r="K29" s="25"/>
      <c r="M29" s="1"/>
    </row>
    <row r="30" spans="1:16" ht="25" customHeight="1">
      <c r="A30" s="5"/>
      <c r="B30" s="24"/>
      <c r="C30" s="59">
        <v>27</v>
      </c>
      <c r="D30" s="273">
        <f t="shared" si="1"/>
        <v>52</v>
      </c>
      <c r="E30" s="273">
        <f t="shared" si="0"/>
        <v>4</v>
      </c>
      <c r="F30" s="263">
        <f t="shared" si="4"/>
        <v>60</v>
      </c>
      <c r="G30" s="265">
        <f>IF(D30=D29,"",_xlfn.IFNA(VLOOKUP(D30,'인원 입력 기능'!$CX$5:$DA$55,4,FALSE),0))</f>
        <v>47</v>
      </c>
      <c r="H30" s="266">
        <f t="shared" si="2"/>
        <v>4.4804575786463297E-2</v>
      </c>
      <c r="I30" s="268">
        <f>SUM($G$7:G30)</f>
        <v>445</v>
      </c>
      <c r="J30" s="270">
        <f t="shared" si="3"/>
        <v>0.4242135367016206</v>
      </c>
      <c r="K30" s="25"/>
      <c r="M30" s="1"/>
    </row>
    <row r="31" spans="1:16" ht="25" customHeight="1">
      <c r="A31" s="5"/>
      <c r="B31" s="24"/>
      <c r="C31" s="58">
        <v>26</v>
      </c>
      <c r="D31" s="272"/>
      <c r="E31" s="272"/>
      <c r="F31" s="262"/>
      <c r="G31" s="264"/>
      <c r="H31" s="267"/>
      <c r="I31" s="269"/>
      <c r="J31" s="271"/>
      <c r="K31" s="25"/>
      <c r="M31" s="1"/>
    </row>
    <row r="32" spans="1:16" ht="25" customHeight="1">
      <c r="A32" s="5"/>
      <c r="B32" s="24"/>
      <c r="C32" s="59">
        <v>25</v>
      </c>
      <c r="D32" s="60">
        <f t="shared" si="1"/>
        <v>51</v>
      </c>
      <c r="E32" s="60">
        <f t="shared" si="0"/>
        <v>5</v>
      </c>
      <c r="F32" s="51">
        <f t="shared" si="4"/>
        <v>56</v>
      </c>
      <c r="G32" s="52">
        <f>IF(D32=D31,"",_xlfn.IFNA(VLOOKUP(D32,'인원 입력 기능'!$CX$5:$DA$55,4,FALSE),0))</f>
        <v>29</v>
      </c>
      <c r="H32" s="53">
        <f t="shared" si="2"/>
        <v>2.7645376549094377E-2</v>
      </c>
      <c r="I32" s="57">
        <f>SUM($G$7:G32)</f>
        <v>474</v>
      </c>
      <c r="J32" s="55">
        <f t="shared" si="3"/>
        <v>0.45185891325071498</v>
      </c>
      <c r="K32" s="25"/>
      <c r="M32" s="1"/>
    </row>
    <row r="33" spans="1:13" ht="25" customHeight="1">
      <c r="A33" s="5"/>
      <c r="B33" s="24"/>
      <c r="C33" s="58">
        <v>24</v>
      </c>
      <c r="D33" s="60">
        <f t="shared" si="1"/>
        <v>50</v>
      </c>
      <c r="E33" s="60">
        <f t="shared" si="0"/>
        <v>5</v>
      </c>
      <c r="F33" s="51">
        <f t="shared" si="4"/>
        <v>54</v>
      </c>
      <c r="G33" s="52">
        <f>IF(D33=D32,"",_xlfn.IFNA(VLOOKUP(D33,'인원 입력 기능'!$CX$5:$DA$55,4,FALSE),0))</f>
        <v>21</v>
      </c>
      <c r="H33" s="53">
        <f t="shared" si="2"/>
        <v>2.0019065776930411E-2</v>
      </c>
      <c r="I33" s="57">
        <f>SUM($G$7:G33)</f>
        <v>495</v>
      </c>
      <c r="J33" s="55">
        <f t="shared" si="3"/>
        <v>0.47187797902764539</v>
      </c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49</v>
      </c>
      <c r="E34" s="60">
        <f t="shared" si="0"/>
        <v>5</v>
      </c>
      <c r="F34" s="51">
        <f t="shared" si="4"/>
        <v>51</v>
      </c>
      <c r="G34" s="52">
        <f>IF(D34=D33,"",_xlfn.IFNA(VLOOKUP(D34,'인원 입력 기능'!$CX$5:$DA$55,4,FALSE),0))</f>
        <v>39</v>
      </c>
      <c r="H34" s="53">
        <f t="shared" si="2"/>
        <v>3.7178265014299335E-2</v>
      </c>
      <c r="I34" s="57">
        <f>SUM($G$7:G34)</f>
        <v>534</v>
      </c>
      <c r="J34" s="55">
        <f t="shared" si="3"/>
        <v>0.50905624404194472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48</v>
      </c>
      <c r="E35" s="60">
        <f t="shared" si="0"/>
        <v>5</v>
      </c>
      <c r="F35" s="51">
        <f t="shared" si="4"/>
        <v>48</v>
      </c>
      <c r="G35" s="52">
        <f>IF(D35=D34,"",_xlfn.IFNA(VLOOKUP(D35,'인원 입력 기능'!$CX$5:$DA$55,4,FALSE),0))</f>
        <v>33</v>
      </c>
      <c r="H35" s="53">
        <f t="shared" si="2"/>
        <v>3.1458531935176358E-2</v>
      </c>
      <c r="I35" s="57">
        <f>SUM($G$7:G35)</f>
        <v>567</v>
      </c>
      <c r="J35" s="55">
        <f t="shared" si="3"/>
        <v>0.54051477597712105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47</v>
      </c>
      <c r="E36" s="60">
        <f t="shared" si="0"/>
        <v>5</v>
      </c>
      <c r="F36" s="51">
        <f t="shared" si="4"/>
        <v>45</v>
      </c>
      <c r="G36" s="52">
        <f>IF(D36=D35,"",_xlfn.IFNA(VLOOKUP(D36,'인원 입력 기능'!$CX$5:$DA$55,4,FALSE),0))</f>
        <v>30</v>
      </c>
      <c r="H36" s="53">
        <f t="shared" si="2"/>
        <v>2.8598665395614873E-2</v>
      </c>
      <c r="I36" s="57">
        <f>SUM($G$7:G36)</f>
        <v>597</v>
      </c>
      <c r="J36" s="55">
        <f t="shared" si="3"/>
        <v>0.5691134413727359</v>
      </c>
      <c r="K36" s="25"/>
      <c r="M36" s="1"/>
    </row>
    <row r="37" spans="1:13" ht="25" customHeight="1">
      <c r="A37" s="5"/>
      <c r="B37" s="24"/>
      <c r="C37" s="58">
        <v>20</v>
      </c>
      <c r="D37" s="60">
        <f t="shared" si="1"/>
        <v>46</v>
      </c>
      <c r="E37" s="60">
        <f t="shared" si="0"/>
        <v>5</v>
      </c>
      <c r="F37" s="51">
        <f t="shared" si="4"/>
        <v>41</v>
      </c>
      <c r="G37" s="52">
        <f>IF(D37=D36,"",_xlfn.IFNA(VLOOKUP(D37,'인원 입력 기능'!$CX$5:$DA$55,4,FALSE),0))</f>
        <v>35</v>
      </c>
      <c r="H37" s="53">
        <f t="shared" si="2"/>
        <v>3.336510962821735E-2</v>
      </c>
      <c r="I37" s="57">
        <f>SUM($G$7:G37)</f>
        <v>632</v>
      </c>
      <c r="J37" s="55">
        <f t="shared" si="3"/>
        <v>0.60247855100095327</v>
      </c>
      <c r="K37" s="25"/>
      <c r="M37" s="1"/>
    </row>
    <row r="38" spans="1:13" ht="25" customHeight="1">
      <c r="A38" s="5"/>
      <c r="B38" s="24"/>
      <c r="C38" s="59">
        <v>19</v>
      </c>
      <c r="D38" s="273">
        <f t="shared" si="1"/>
        <v>45</v>
      </c>
      <c r="E38" s="273">
        <f t="shared" si="0"/>
        <v>6</v>
      </c>
      <c r="F38" s="263">
        <f t="shared" si="4"/>
        <v>37</v>
      </c>
      <c r="G38" s="265">
        <f>IF(D38=D37,"",_xlfn.IFNA(VLOOKUP(D38,'인원 입력 기능'!$CX$5:$DA$55,4,FALSE),0))</f>
        <v>56</v>
      </c>
      <c r="H38" s="266">
        <f t="shared" si="2"/>
        <v>5.3384175405147762E-2</v>
      </c>
      <c r="I38" s="268">
        <f>SUM($G$7:G38)</f>
        <v>688</v>
      </c>
      <c r="J38" s="270">
        <f t="shared" si="3"/>
        <v>0.65586272640610099</v>
      </c>
      <c r="K38" s="25"/>
      <c r="M38" s="1"/>
    </row>
    <row r="39" spans="1:13" ht="25" customHeight="1">
      <c r="A39" s="5"/>
      <c r="B39" s="24"/>
      <c r="C39" s="58">
        <v>18</v>
      </c>
      <c r="D39" s="272"/>
      <c r="E39" s="272"/>
      <c r="F39" s="262"/>
      <c r="G39" s="264"/>
      <c r="H39" s="267"/>
      <c r="I39" s="269"/>
      <c r="J39" s="271"/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44</v>
      </c>
      <c r="E40" s="60">
        <f t="shared" si="0"/>
        <v>6</v>
      </c>
      <c r="F40" s="51">
        <f t="shared" si="4"/>
        <v>32</v>
      </c>
      <c r="G40" s="52">
        <f>IF(D40=D39,"",_xlfn.IFNA(VLOOKUP(D40,'인원 입력 기능'!$CX$5:$DA$55,4,FALSE),0))</f>
        <v>43</v>
      </c>
      <c r="H40" s="53">
        <f t="shared" si="2"/>
        <v>4.0991420400381312E-2</v>
      </c>
      <c r="I40" s="57">
        <f>SUM($G$7:G40)</f>
        <v>731</v>
      </c>
      <c r="J40" s="55">
        <f t="shared" si="3"/>
        <v>0.69685414680648239</v>
      </c>
      <c r="K40" s="25"/>
      <c r="M40" s="1"/>
    </row>
    <row r="41" spans="1:13" ht="25" customHeight="1">
      <c r="A41" s="5"/>
      <c r="B41" s="24"/>
      <c r="C41" s="58">
        <v>16</v>
      </c>
      <c r="D41" s="60">
        <f t="shared" si="1"/>
        <v>43</v>
      </c>
      <c r="E41" s="60">
        <f t="shared" si="0"/>
        <v>6</v>
      </c>
      <c r="F41" s="51">
        <f t="shared" si="4"/>
        <v>29</v>
      </c>
      <c r="G41" s="52">
        <f>IF(D41=D40,"",_xlfn.IFNA(VLOOKUP(D41,'인원 입력 기능'!$CX$5:$DA$55,4,FALSE),0))</f>
        <v>31</v>
      </c>
      <c r="H41" s="53">
        <f t="shared" si="2"/>
        <v>2.9551954242135366E-2</v>
      </c>
      <c r="I41" s="57">
        <f>SUM($G$7:G41)</f>
        <v>762</v>
      </c>
      <c r="J41" s="55">
        <f t="shared" si="3"/>
        <v>0.72640610104861769</v>
      </c>
      <c r="K41" s="25"/>
      <c r="M41" s="1"/>
    </row>
    <row r="42" spans="1:13" ht="25" customHeight="1">
      <c r="A42" s="5"/>
      <c r="B42" s="24"/>
      <c r="C42" s="59">
        <v>15</v>
      </c>
      <c r="D42" s="60">
        <f t="shared" si="1"/>
        <v>42</v>
      </c>
      <c r="E42" s="60">
        <f t="shared" si="0"/>
        <v>6</v>
      </c>
      <c r="F42" s="51">
        <f t="shared" si="4"/>
        <v>26</v>
      </c>
      <c r="G42" s="52">
        <f>IF(D42=D41,"",_xlfn.IFNA(VLOOKUP(D42,'인원 입력 기능'!$CX$5:$DA$55,4,FALSE),0))</f>
        <v>34</v>
      </c>
      <c r="H42" s="53">
        <f t="shared" si="2"/>
        <v>3.2411820781696854E-2</v>
      </c>
      <c r="I42" s="57">
        <f>SUM($G$7:G42)</f>
        <v>796</v>
      </c>
      <c r="J42" s="55">
        <f t="shared" si="3"/>
        <v>0.7588179218303146</v>
      </c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41</v>
      </c>
      <c r="E43" s="60">
        <f t="shared" si="0"/>
        <v>6</v>
      </c>
      <c r="F43" s="51">
        <f t="shared" si="4"/>
        <v>23</v>
      </c>
      <c r="G43" s="52">
        <f>IF(D43=D42,"",_xlfn.IFNA(VLOOKUP(D43,'인원 입력 기능'!$CX$5:$DA$55,4,FALSE),0))</f>
        <v>28</v>
      </c>
      <c r="H43" s="53">
        <f t="shared" si="2"/>
        <v>2.6692087702573881E-2</v>
      </c>
      <c r="I43" s="57">
        <f>SUM($G$7:G43)</f>
        <v>824</v>
      </c>
      <c r="J43" s="55">
        <f t="shared" si="3"/>
        <v>0.78551000953288852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40</v>
      </c>
      <c r="E44" s="60">
        <f t="shared" si="0"/>
        <v>7</v>
      </c>
      <c r="F44" s="51">
        <f t="shared" si="4"/>
        <v>19</v>
      </c>
      <c r="G44" s="52">
        <f>IF(D44=D43,"",_xlfn.IFNA(VLOOKUP(D44,'인원 입력 기능'!$CX$5:$DA$55,4,FALSE),0))</f>
        <v>44</v>
      </c>
      <c r="H44" s="53">
        <f t="shared" si="2"/>
        <v>4.1944709246901808E-2</v>
      </c>
      <c r="I44" s="57">
        <f>SUM($G$7:G44)</f>
        <v>868</v>
      </c>
      <c r="J44" s="55">
        <f t="shared" si="3"/>
        <v>0.82745471877979027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39</v>
      </c>
      <c r="E45" s="60">
        <f t="shared" si="0"/>
        <v>7</v>
      </c>
      <c r="F45" s="51">
        <f t="shared" si="4"/>
        <v>16</v>
      </c>
      <c r="G45" s="52">
        <f>IF(D45=D44,"",_xlfn.IFNA(VLOOKUP(D45,'인원 입력 기능'!$CX$5:$DA$55,4,FALSE),0))</f>
        <v>27</v>
      </c>
      <c r="H45" s="53">
        <f t="shared" si="2"/>
        <v>2.5738798856053385E-2</v>
      </c>
      <c r="I45" s="57">
        <f>SUM($G$7:G45)</f>
        <v>895</v>
      </c>
      <c r="J45" s="55">
        <f t="shared" si="3"/>
        <v>0.85319351763584361</v>
      </c>
      <c r="K45" s="25"/>
      <c r="M45" s="1"/>
    </row>
    <row r="46" spans="1:13" ht="25" customHeight="1">
      <c r="A46" s="5"/>
      <c r="B46" s="24"/>
      <c r="C46" s="59">
        <v>11</v>
      </c>
      <c r="D46" s="273">
        <f t="shared" si="1"/>
        <v>38</v>
      </c>
      <c r="E46" s="273">
        <f t="shared" si="0"/>
        <v>7</v>
      </c>
      <c r="F46" s="263">
        <f t="shared" si="4"/>
        <v>12</v>
      </c>
      <c r="G46" s="265">
        <f>IF(D46=D45,"",_xlfn.IFNA(VLOOKUP(D46,'인원 입력 기능'!$CX$5:$DA$55,4,FALSE),0))</f>
        <v>66</v>
      </c>
      <c r="H46" s="266">
        <f t="shared" si="2"/>
        <v>6.2917063870352716E-2</v>
      </c>
      <c r="I46" s="268">
        <f>SUM($G$7:G46)</f>
        <v>961</v>
      </c>
      <c r="J46" s="270">
        <f t="shared" si="3"/>
        <v>0.9161105815061964</v>
      </c>
      <c r="K46" s="25"/>
      <c r="M46" s="1"/>
    </row>
    <row r="47" spans="1:13" ht="25" customHeight="1">
      <c r="A47" s="5"/>
      <c r="B47" s="24"/>
      <c r="C47" s="58">
        <v>10</v>
      </c>
      <c r="D47" s="272"/>
      <c r="E47" s="272"/>
      <c r="F47" s="262"/>
      <c r="G47" s="264"/>
      <c r="H47" s="267"/>
      <c r="I47" s="269"/>
      <c r="J47" s="271"/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37</v>
      </c>
      <c r="E48" s="60">
        <f t="shared" si="0"/>
        <v>8</v>
      </c>
      <c r="F48" s="51">
        <f t="shared" si="4"/>
        <v>7</v>
      </c>
      <c r="G48" s="52">
        <f>IF(D48=D47,"",_xlfn.IFNA(VLOOKUP(D48,'인원 입력 기능'!$CX$5:$DA$55,4,FALSE),0))</f>
        <v>24</v>
      </c>
      <c r="H48" s="53">
        <f t="shared" si="2"/>
        <v>2.2878932316491896E-2</v>
      </c>
      <c r="I48" s="57">
        <f>SUM($G$7:G48)</f>
        <v>985</v>
      </c>
      <c r="J48" s="55">
        <f t="shared" si="3"/>
        <v>0.93898951382268825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36</v>
      </c>
      <c r="E49" s="60">
        <f t="shared" si="0"/>
        <v>8</v>
      </c>
      <c r="F49" s="51">
        <f t="shared" si="4"/>
        <v>5</v>
      </c>
      <c r="G49" s="52">
        <f>IF(D49=D48,"",_xlfn.IFNA(VLOOKUP(D49,'인원 입력 기능'!$CX$5:$DA$55,4,FALSE),0))</f>
        <v>18</v>
      </c>
      <c r="H49" s="53">
        <f t="shared" si="2"/>
        <v>1.7159199237368923E-2</v>
      </c>
      <c r="I49" s="57">
        <f>SUM($G$7:G49)</f>
        <v>1003</v>
      </c>
      <c r="J49" s="55">
        <f t="shared" si="3"/>
        <v>0.95614871306005722</v>
      </c>
      <c r="K49" s="25"/>
      <c r="M49" s="1"/>
    </row>
    <row r="50" spans="1:13" ht="25" customHeight="1">
      <c r="A50" s="5"/>
      <c r="B50" s="24"/>
      <c r="C50" s="59">
        <v>7</v>
      </c>
      <c r="D50" s="60">
        <f t="shared" si="1"/>
        <v>35</v>
      </c>
      <c r="E50" s="60">
        <f t="shared" si="0"/>
        <v>8</v>
      </c>
      <c r="F50" s="51">
        <f t="shared" si="4"/>
        <v>3</v>
      </c>
      <c r="G50" s="52">
        <f>IF(D50=D49,"",_xlfn.IFNA(VLOOKUP(D50,'인원 입력 기능'!$CX$5:$DA$55,4,FALSE),0))</f>
        <v>21</v>
      </c>
      <c r="H50" s="53">
        <f t="shared" si="2"/>
        <v>2.0019065776930411E-2</v>
      </c>
      <c r="I50" s="57">
        <f>SUM($G$7:G50)</f>
        <v>1024</v>
      </c>
      <c r="J50" s="55">
        <f t="shared" si="3"/>
        <v>0.97616777883698758</v>
      </c>
      <c r="K50" s="25"/>
      <c r="M50" s="1"/>
    </row>
    <row r="51" spans="1:13" ht="25" customHeight="1">
      <c r="A51" s="5"/>
      <c r="B51" s="24"/>
      <c r="C51" s="58">
        <v>6</v>
      </c>
      <c r="D51" s="60">
        <f t="shared" si="1"/>
        <v>34</v>
      </c>
      <c r="E51" s="60">
        <f t="shared" si="0"/>
        <v>9</v>
      </c>
      <c r="F51" s="51">
        <f t="shared" si="4"/>
        <v>2</v>
      </c>
      <c r="G51" s="52">
        <f>IF(D51=D50,"",_xlfn.IFNA(VLOOKUP(D51,'인원 입력 기능'!$CX$5:$DA$55,4,FALSE),0))</f>
        <v>14</v>
      </c>
      <c r="H51" s="53">
        <f t="shared" si="2"/>
        <v>1.334604385128694E-2</v>
      </c>
      <c r="I51" s="57">
        <f>SUM($G$7:G51)</f>
        <v>1038</v>
      </c>
      <c r="J51" s="55">
        <f t="shared" si="3"/>
        <v>0.98951382268827459</v>
      </c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33</v>
      </c>
      <c r="E52" s="60">
        <f t="shared" si="0"/>
        <v>9</v>
      </c>
      <c r="F52" s="51">
        <f t="shared" si="4"/>
        <v>1</v>
      </c>
      <c r="G52" s="52">
        <f>IF(D52=D51,"",_xlfn.IFNA(VLOOKUP(D52,'인원 입력 기능'!$CX$5:$DA$55,4,FALSE),0))</f>
        <v>6</v>
      </c>
      <c r="H52" s="53">
        <f t="shared" si="2"/>
        <v>5.7197330791229741E-3</v>
      </c>
      <c r="I52" s="57">
        <f>SUM($G$7:G52)</f>
        <v>1044</v>
      </c>
      <c r="J52" s="55">
        <f t="shared" si="3"/>
        <v>0.99523355576739747</v>
      </c>
      <c r="K52" s="25"/>
      <c r="M52" s="1"/>
    </row>
    <row r="53" spans="1:13" ht="25" customHeight="1">
      <c r="A53" s="5"/>
      <c r="B53" s="24"/>
      <c r="C53" s="49">
        <v>4</v>
      </c>
      <c r="D53" s="261">
        <f t="shared" si="1"/>
        <v>32</v>
      </c>
      <c r="E53" s="261">
        <f t="shared" si="0"/>
        <v>9</v>
      </c>
      <c r="F53" s="263">
        <f t="shared" si="4"/>
        <v>0</v>
      </c>
      <c r="G53" s="265">
        <f>IF(D53=D52,"",_xlfn.IFNA(VLOOKUP(D53,'인원 입력 기능'!$CX$5:$DA$55,4,FALSE),0))</f>
        <v>4</v>
      </c>
      <c r="H53" s="266">
        <f t="shared" si="2"/>
        <v>3.8131553860819827E-3</v>
      </c>
      <c r="I53" s="268">
        <f>SUM($G$7:G53)</f>
        <v>1048</v>
      </c>
      <c r="J53" s="270">
        <f t="shared" si="3"/>
        <v>0.99904671115347954</v>
      </c>
      <c r="K53" s="25"/>
      <c r="M53" s="1"/>
    </row>
    <row r="54" spans="1:13" ht="25" customHeight="1">
      <c r="A54" s="5"/>
      <c r="B54" s="24"/>
      <c r="C54" s="56">
        <v>3</v>
      </c>
      <c r="D54" s="260"/>
      <c r="E54" s="260"/>
      <c r="F54" s="262"/>
      <c r="G54" s="264"/>
      <c r="H54" s="267"/>
      <c r="I54" s="269"/>
      <c r="J54" s="271"/>
      <c r="K54" s="25"/>
      <c r="M54" s="1"/>
    </row>
    <row r="55" spans="1:13" ht="25" customHeight="1">
      <c r="A55" s="5"/>
      <c r="B55" s="24"/>
      <c r="C55" s="49">
        <v>2</v>
      </c>
      <c r="D55" s="50">
        <f t="shared" si="1"/>
        <v>31</v>
      </c>
      <c r="E55" s="50">
        <f t="shared" si="0"/>
        <v>9</v>
      </c>
      <c r="F55" s="51">
        <f t="shared" si="4"/>
        <v>0</v>
      </c>
      <c r="G55" s="52">
        <f>IF(D55=D54,"",_xlfn.IFNA(VLOOKUP(D55,'인원 입력 기능'!$CX$5:$DA$55,4,FALSE),0))</f>
        <v>1</v>
      </c>
      <c r="H55" s="53">
        <f t="shared" si="2"/>
        <v>9.5328884652049568E-4</v>
      </c>
      <c r="I55" s="57">
        <f>SUM($G$7:G55)</f>
        <v>1049</v>
      </c>
      <c r="J55" s="55">
        <f t="shared" si="3"/>
        <v>1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29</v>
      </c>
      <c r="E57" s="66">
        <f t="shared" si="0"/>
        <v>9</v>
      </c>
      <c r="F57" s="67">
        <f>IF(I55=0,ROUND(100*(1-(I54+I57)/2/$J$3),0),ROUND(100*(1-(I55+I57)/2/$J$3),0))</f>
        <v>0</v>
      </c>
      <c r="G57" s="68">
        <f>_xlfn.IFNA(VLOOKUP(D57,'인원 입력 기능'!$CX$5:$DA$55,4,FALSE),0)</f>
        <v>0</v>
      </c>
      <c r="H57" s="69">
        <f>G57/J3</f>
        <v>0</v>
      </c>
      <c r="I57" s="70">
        <f>SUM($G$7:G57)</f>
        <v>1049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7">
    <mergeCell ref="I53:I54"/>
    <mergeCell ref="J53:J54"/>
    <mergeCell ref="D53:D54"/>
    <mergeCell ref="E53:E54"/>
    <mergeCell ref="F53:F54"/>
    <mergeCell ref="G53:G54"/>
    <mergeCell ref="H53:H54"/>
    <mergeCell ref="I38:I39"/>
    <mergeCell ref="J38:J39"/>
    <mergeCell ref="D46:D47"/>
    <mergeCell ref="E46:E47"/>
    <mergeCell ref="F46:F47"/>
    <mergeCell ref="G46:G47"/>
    <mergeCell ref="H46:H47"/>
    <mergeCell ref="I46:I47"/>
    <mergeCell ref="J46:J47"/>
    <mergeCell ref="D38:D39"/>
    <mergeCell ref="E38:E39"/>
    <mergeCell ref="F38:F39"/>
    <mergeCell ref="G38:G39"/>
    <mergeCell ref="H38:H39"/>
    <mergeCell ref="H23:H24"/>
    <mergeCell ref="I23:I24"/>
    <mergeCell ref="J23:J24"/>
    <mergeCell ref="D30:D31"/>
    <mergeCell ref="E30:E31"/>
    <mergeCell ref="F30:F31"/>
    <mergeCell ref="G30:G31"/>
    <mergeCell ref="H30:H31"/>
    <mergeCell ref="I30:I31"/>
    <mergeCell ref="J30:J31"/>
    <mergeCell ref="D3:F3"/>
    <mergeCell ref="D4:F4"/>
    <mergeCell ref="D8:J8"/>
    <mergeCell ref="D56:J56"/>
    <mergeCell ref="G5:J5"/>
    <mergeCell ref="D15:D16"/>
    <mergeCell ref="E15:E16"/>
    <mergeCell ref="F15:F16"/>
    <mergeCell ref="G15:G16"/>
    <mergeCell ref="H15:H16"/>
    <mergeCell ref="I15:I16"/>
    <mergeCell ref="J15:J16"/>
    <mergeCell ref="D23:D24"/>
    <mergeCell ref="E23:E24"/>
    <mergeCell ref="F23:F24"/>
    <mergeCell ref="G23:G24"/>
  </mergeCells>
  <phoneticPr fontId="1" type="noConversion"/>
  <conditionalFormatting sqref="D7:J7 D57:J57 D9:J15 D17:J23 D25:J30 D32:J38 D40:J46 D48:J53 D55:J55">
    <cfRule type="expression" dxfId="20" priority="7">
      <formula>OR($D7=$P$7:$P$14)</formula>
    </cfRule>
  </conditionalFormatting>
  <conditionalFormatting sqref="C7:C57">
    <cfRule type="expression" dxfId="19" priority="6">
      <formula>OR(AND($D7=0,OR($D6=$P$7:$P$14)),AND($D8&gt;0,OR($D7=$P$7:$P$14)))</formula>
    </cfRule>
  </conditionalFormatting>
  <conditionalFormatting sqref="D7 D57 D9:D15 D17:D23 D25:D30 D32:D38 D40:D46 D48:D53 D55">
    <cfRule type="expression" dxfId="18" priority="5">
      <formula>$D7=$D8</formula>
    </cfRule>
  </conditionalFormatting>
  <conditionalFormatting sqref="D56">
    <cfRule type="expression" dxfId="17" priority="4">
      <formula>OR($D56=$P$7:$P$14)</formula>
    </cfRule>
  </conditionalFormatting>
  <conditionalFormatting sqref="D56">
    <cfRule type="expression" dxfId="16" priority="3">
      <formula>$D56=$D57</formula>
    </cfRule>
  </conditionalFormatting>
  <conditionalFormatting sqref="D8">
    <cfRule type="expression" dxfId="15" priority="2">
      <formula>OR($D8=$P$7:$P$14)</formula>
    </cfRule>
  </conditionalFormatting>
  <conditionalFormatting sqref="D8">
    <cfRule type="expression" dxfId="1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6E4B-89B4-44BC-A079-77F89F579B6D}">
  <sheetPr codeName="Sheet25"/>
  <dimension ref="A1:P105"/>
  <sheetViews>
    <sheetView zoomScaleNormal="100" workbookViewId="0">
      <selection activeCell="E6" sqref="E6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4" t="s">
        <v>46</v>
      </c>
      <c r="D3" s="239" t="s">
        <v>122</v>
      </c>
      <c r="E3" s="240"/>
      <c r="F3" s="241"/>
      <c r="G3" s="41" t="s">
        <v>53</v>
      </c>
      <c r="H3" s="107">
        <f>'통계 및 응시자 수 입력 기능'!D25</f>
        <v>0</v>
      </c>
      <c r="I3" s="109" t="s">
        <v>54</v>
      </c>
      <c r="J3" s="110">
        <f>'통계 및 응시자 수 입력 기능'!C25</f>
        <v>17</v>
      </c>
      <c r="K3" s="25"/>
    </row>
    <row r="4" spans="1:16" ht="25" customHeight="1" thickBot="1">
      <c r="A4" s="5"/>
      <c r="B4" s="24"/>
      <c r="C4" s="42" t="s">
        <v>55</v>
      </c>
      <c r="D4" s="253" t="s">
        <v>47</v>
      </c>
      <c r="E4" s="243"/>
      <c r="F4" s="244"/>
      <c r="G4" s="43" t="s">
        <v>57</v>
      </c>
      <c r="H4" s="108">
        <f>'통계 및 응시자 수 입력 기능'!E25</f>
        <v>0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 t="e">
        <f>ROUND(10*(C7-$H$3)/$H$4+50,0)</f>
        <v>#DIV/0!</v>
      </c>
      <c r="E7" s="50" t="e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#DIV/0!</v>
      </c>
      <c r="F7" s="51" t="e">
        <f>ROUND(100*(1-(0+I7)/2/$J$3),0)</f>
        <v>#DIV/0!</v>
      </c>
      <c r="G7" s="52" t="e">
        <f>_xlfn.IFNA(VLOOKUP(D7,'인원 입력 기능'!$DC$5:$DF$55,4,FALSE),0)</f>
        <v>#DIV/0!</v>
      </c>
      <c r="H7" s="53" t="e">
        <f>G7/J3</f>
        <v>#DIV/0!</v>
      </c>
      <c r="I7" s="54" t="e">
        <f>G7</f>
        <v>#DIV/0!</v>
      </c>
      <c r="J7" s="55" t="e">
        <f>I7/J3</f>
        <v>#DIV/0!</v>
      </c>
      <c r="K7" s="25"/>
      <c r="M7" s="1"/>
      <c r="O7" s="1">
        <v>1</v>
      </c>
      <c r="P7" s="1">
        <f>'표준점수 등급컷 입력기능'!B80</f>
        <v>66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입력기능'!B81</f>
        <v>64</v>
      </c>
    </row>
    <row r="9" spans="1:16" ht="25" customHeight="1">
      <c r="A9" s="5"/>
      <c r="B9" s="24"/>
      <c r="C9" s="49">
        <v>48</v>
      </c>
      <c r="D9" s="50" t="e">
        <f>ROUND(10*(C9-$H$3)/$H$4+50,0)</f>
        <v>#DIV/0!</v>
      </c>
      <c r="E9" s="50" t="e">
        <f t="shared" si="0"/>
        <v>#DIV/0!</v>
      </c>
      <c r="F9" s="51" t="e">
        <f>IF(I8=0,ROUND(100*(1-(I7+I9)/2/$J$3),0),ROUND(100*(1-(I8+I9)/2/$J$3),0))</f>
        <v>#DIV/0!</v>
      </c>
      <c r="G9" s="52" t="e">
        <f>_xlfn.IFNA(VLOOKUP(D9,'인원 입력 기능'!$DC$5:$DF$55,4,FALSE),0)</f>
        <v>#DIV/0!</v>
      </c>
      <c r="H9" s="53" t="e">
        <f>G9/$J$3</f>
        <v>#DIV/0!</v>
      </c>
      <c r="I9" s="57" t="e">
        <f>SUM($G$7:G9)</f>
        <v>#DIV/0!</v>
      </c>
      <c r="J9" s="55" t="e">
        <f>I9/$J$3</f>
        <v>#DIV/0!</v>
      </c>
      <c r="K9" s="25"/>
      <c r="M9" s="1"/>
      <c r="O9" s="1">
        <v>3</v>
      </c>
      <c r="P9" s="1">
        <f>'표준점수 등급컷 입력기능'!B82</f>
        <v>59</v>
      </c>
    </row>
    <row r="10" spans="1:16" ht="25" customHeight="1">
      <c r="A10" s="5"/>
      <c r="B10" s="24"/>
      <c r="C10" s="56">
        <v>47</v>
      </c>
      <c r="D10" s="50" t="e">
        <f t="shared" ref="D10:D55" si="1">ROUND(10*(C10-$H$3)/$H$4+50,0)</f>
        <v>#DIV/0!</v>
      </c>
      <c r="E10" s="50" t="e">
        <f t="shared" si="0"/>
        <v>#DIV/0!</v>
      </c>
      <c r="F10" s="51" t="e">
        <f>IF(I9=0,ROUND(100*(1-(I8+I10)/2/$J$3),0),ROUND(100*(1-(I9+I10)/2/$J$3),0))</f>
        <v>#DIV/0!</v>
      </c>
      <c r="G10" s="52" t="e">
        <f>IF(D10=D9,"",_xlfn.IFNA(VLOOKUP(D10,'인원 입력 기능'!$DC$5:$DF$55,4,FALSE),0))</f>
        <v>#DIV/0!</v>
      </c>
      <c r="H10" s="53" t="e">
        <f t="shared" ref="H10:H55" si="2">G10/$J$3</f>
        <v>#DIV/0!</v>
      </c>
      <c r="I10" s="57" t="e">
        <f>SUM($G$7:G10)</f>
        <v>#DIV/0!</v>
      </c>
      <c r="J10" s="55" t="e">
        <f t="shared" ref="J10:J55" si="3">I10/$J$3</f>
        <v>#DIV/0!</v>
      </c>
      <c r="K10" s="25"/>
      <c r="M10" s="1"/>
      <c r="O10" s="1">
        <v>4</v>
      </c>
      <c r="P10" s="1">
        <f>'표준점수 등급컷 입력기능'!B83</f>
        <v>53</v>
      </c>
    </row>
    <row r="11" spans="1:16" ht="25" customHeight="1">
      <c r="A11" s="5"/>
      <c r="B11" s="24"/>
      <c r="C11" s="49">
        <v>46</v>
      </c>
      <c r="D11" s="50" t="e">
        <f t="shared" si="1"/>
        <v>#DIV/0!</v>
      </c>
      <c r="E11" s="50" t="e">
        <f t="shared" si="0"/>
        <v>#DIV/0!</v>
      </c>
      <c r="F11" s="51" t="e">
        <f t="shared" ref="F11:F55" si="4">IF(I10=0,ROUND(100*(1-(I9+I11)/2/$J$3),0),ROUND(100*(1-(I10+I11)/2/$J$3),0))</f>
        <v>#DIV/0!</v>
      </c>
      <c r="G11" s="52" t="e">
        <f>IF(D11=D10,"",_xlfn.IFNA(VLOOKUP(D11,'인원 입력 기능'!$DC$5:$DF$55,4,FALSE),0))</f>
        <v>#DIV/0!</v>
      </c>
      <c r="H11" s="53" t="e">
        <f t="shared" si="2"/>
        <v>#DIV/0!</v>
      </c>
      <c r="I11" s="57" t="e">
        <f>SUM($G$7:G11)</f>
        <v>#DIV/0!</v>
      </c>
      <c r="J11" s="55" t="e">
        <f t="shared" si="3"/>
        <v>#DIV/0!</v>
      </c>
      <c r="K11" s="25"/>
      <c r="M11" s="1"/>
      <c r="O11" s="1">
        <v>5</v>
      </c>
      <c r="P11" s="1">
        <f>'표준점수 등급컷 입력기능'!B84</f>
        <v>50</v>
      </c>
    </row>
    <row r="12" spans="1:16" ht="25" customHeight="1">
      <c r="A12" s="5"/>
      <c r="B12" s="24"/>
      <c r="C12" s="56">
        <v>45</v>
      </c>
      <c r="D12" s="50" t="e">
        <f t="shared" si="1"/>
        <v>#DIV/0!</v>
      </c>
      <c r="E12" s="50" t="e">
        <f t="shared" si="0"/>
        <v>#DIV/0!</v>
      </c>
      <c r="F12" s="51" t="e">
        <f t="shared" si="4"/>
        <v>#DIV/0!</v>
      </c>
      <c r="G12" s="52" t="e">
        <f>IF(D12=D11,"",_xlfn.IFNA(VLOOKUP(D12,'인원 입력 기능'!$DC$5:$DF$55,4,FALSE),0))</f>
        <v>#DIV/0!</v>
      </c>
      <c r="H12" s="53" t="e">
        <f t="shared" si="2"/>
        <v>#DIV/0!</v>
      </c>
      <c r="I12" s="57" t="e">
        <f>SUM($G$7:G12)</f>
        <v>#DIV/0!</v>
      </c>
      <c r="J12" s="55" t="e">
        <f t="shared" si="3"/>
        <v>#DIV/0!</v>
      </c>
      <c r="K12" s="25"/>
      <c r="M12" s="1"/>
      <c r="O12" s="1">
        <v>6</v>
      </c>
      <c r="P12" s="1">
        <f>'표준점수 등급컷 입력기능'!B85</f>
        <v>41</v>
      </c>
    </row>
    <row r="13" spans="1:16" ht="25" customHeight="1">
      <c r="A13" s="5"/>
      <c r="B13" s="24"/>
      <c r="C13" s="49">
        <v>44</v>
      </c>
      <c r="D13" s="50" t="e">
        <f t="shared" si="1"/>
        <v>#DIV/0!</v>
      </c>
      <c r="E13" s="50" t="e">
        <f t="shared" si="0"/>
        <v>#DIV/0!</v>
      </c>
      <c r="F13" s="51" t="e">
        <f t="shared" si="4"/>
        <v>#DIV/0!</v>
      </c>
      <c r="G13" s="52" t="e">
        <f>IF(D13=D12,"",_xlfn.IFNA(VLOOKUP(D13,'인원 입력 기능'!$DC$5:$DF$55,4,FALSE),0))</f>
        <v>#DIV/0!</v>
      </c>
      <c r="H13" s="53" t="e">
        <f t="shared" si="2"/>
        <v>#DIV/0!</v>
      </c>
      <c r="I13" s="57" t="e">
        <f>SUM($G$7:G13)</f>
        <v>#DIV/0!</v>
      </c>
      <c r="J13" s="55" t="e">
        <f t="shared" si="3"/>
        <v>#DIV/0!</v>
      </c>
      <c r="K13" s="25"/>
      <c r="M13" s="1"/>
      <c r="O13" s="1">
        <v>7</v>
      </c>
      <c r="P13" s="1">
        <f>'표준점수 등급컷 입력기능'!B86</f>
        <v>34</v>
      </c>
    </row>
    <row r="14" spans="1:16" ht="25" customHeight="1">
      <c r="A14" s="5"/>
      <c r="B14" s="24"/>
      <c r="C14" s="56">
        <v>43</v>
      </c>
      <c r="D14" s="50" t="e">
        <f t="shared" si="1"/>
        <v>#DIV/0!</v>
      </c>
      <c r="E14" s="50" t="e">
        <f t="shared" si="0"/>
        <v>#DIV/0!</v>
      </c>
      <c r="F14" s="51" t="e">
        <f t="shared" si="4"/>
        <v>#DIV/0!</v>
      </c>
      <c r="G14" s="52" t="e">
        <f>IF(D14=D13,"",_xlfn.IFNA(VLOOKUP(D14,'인원 입력 기능'!$DC$5:$DF$55,4,FALSE),0))</f>
        <v>#DIV/0!</v>
      </c>
      <c r="H14" s="53" t="e">
        <f t="shared" si="2"/>
        <v>#DIV/0!</v>
      </c>
      <c r="I14" s="57" t="e">
        <f>SUM($G$7:G14)</f>
        <v>#DIV/0!</v>
      </c>
      <c r="J14" s="55" t="e">
        <f t="shared" si="3"/>
        <v>#DIV/0!</v>
      </c>
      <c r="K14" s="25"/>
      <c r="M14" s="1"/>
      <c r="O14" s="1">
        <v>8</v>
      </c>
      <c r="P14" s="1">
        <f>'표준점수 등급컷 입력기능'!B87</f>
        <v>28</v>
      </c>
    </row>
    <row r="15" spans="1:16" ht="25" customHeight="1">
      <c r="A15" s="5"/>
      <c r="B15" s="24"/>
      <c r="C15" s="49">
        <v>42</v>
      </c>
      <c r="D15" s="50" t="e">
        <f t="shared" si="1"/>
        <v>#DIV/0!</v>
      </c>
      <c r="E15" s="50" t="e">
        <f t="shared" si="0"/>
        <v>#DIV/0!</v>
      </c>
      <c r="F15" s="51" t="e">
        <f t="shared" si="4"/>
        <v>#DIV/0!</v>
      </c>
      <c r="G15" s="52" t="e">
        <f>IF(D15=D14,"",_xlfn.IFNA(VLOOKUP(D15,'인원 입력 기능'!$DC$5:$DF$55,4,FALSE),0))</f>
        <v>#DIV/0!</v>
      </c>
      <c r="H15" s="53" t="e">
        <f t="shared" si="2"/>
        <v>#DIV/0!</v>
      </c>
      <c r="I15" s="57" t="e">
        <f>SUM($G$7:G15)</f>
        <v>#DIV/0!</v>
      </c>
      <c r="J15" s="55" t="e">
        <f t="shared" si="3"/>
        <v>#DIV/0!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50" t="e">
        <f t="shared" si="1"/>
        <v>#DIV/0!</v>
      </c>
      <c r="E16" s="50" t="e">
        <f t="shared" si="0"/>
        <v>#DIV/0!</v>
      </c>
      <c r="F16" s="51" t="e">
        <f t="shared" si="4"/>
        <v>#DIV/0!</v>
      </c>
      <c r="G16" s="52" t="e">
        <f>IF(D16=D15,"",_xlfn.IFNA(VLOOKUP(D16,'인원 입력 기능'!$DC$5:$DF$55,4,FALSE),0))</f>
        <v>#DIV/0!</v>
      </c>
      <c r="H16" s="53" t="e">
        <f t="shared" si="2"/>
        <v>#DIV/0!</v>
      </c>
      <c r="I16" s="57" t="e">
        <f>SUM($G$7:G16)</f>
        <v>#DIV/0!</v>
      </c>
      <c r="J16" s="55" t="e">
        <f t="shared" si="3"/>
        <v>#DIV/0!</v>
      </c>
      <c r="K16" s="25"/>
      <c r="M16" s="1"/>
    </row>
    <row r="17" spans="1:16" ht="25" customHeight="1">
      <c r="A17" s="5"/>
      <c r="B17" s="24"/>
      <c r="C17" s="49">
        <v>40</v>
      </c>
      <c r="D17" s="50" t="e">
        <f t="shared" si="1"/>
        <v>#DIV/0!</v>
      </c>
      <c r="E17" s="50" t="e">
        <f t="shared" si="0"/>
        <v>#DIV/0!</v>
      </c>
      <c r="F17" s="51" t="e">
        <f t="shared" si="4"/>
        <v>#DIV/0!</v>
      </c>
      <c r="G17" s="52" t="e">
        <f>IF(D17=D16,"",_xlfn.IFNA(VLOOKUP(D17,'인원 입력 기능'!$DC$5:$DF$55,4,FALSE),0))</f>
        <v>#DIV/0!</v>
      </c>
      <c r="H17" s="53" t="e">
        <f t="shared" si="2"/>
        <v>#DIV/0!</v>
      </c>
      <c r="I17" s="57" t="e">
        <f>SUM($G$7:G17)</f>
        <v>#DIV/0!</v>
      </c>
      <c r="J17" s="55" t="e">
        <f t="shared" si="3"/>
        <v>#DIV/0!</v>
      </c>
      <c r="K17" s="25"/>
      <c r="M17" s="1"/>
      <c r="P17" s="1">
        <f>H3*H4*J3*P7*IFERROR(IF(J57=1, 1, 0), 0)</f>
        <v>0</v>
      </c>
    </row>
    <row r="18" spans="1:16" ht="25" customHeight="1">
      <c r="A18" s="5"/>
      <c r="B18" s="24"/>
      <c r="C18" s="56">
        <v>39</v>
      </c>
      <c r="D18" s="50" t="e">
        <f t="shared" si="1"/>
        <v>#DIV/0!</v>
      </c>
      <c r="E18" s="50" t="e">
        <f t="shared" si="0"/>
        <v>#DIV/0!</v>
      </c>
      <c r="F18" s="51" t="e">
        <f t="shared" si="4"/>
        <v>#DIV/0!</v>
      </c>
      <c r="G18" s="52" t="e">
        <f>IF(D18=D17,"",_xlfn.IFNA(VLOOKUP(D18,'인원 입력 기능'!$DC$5:$DF$55,4,FALSE),0))</f>
        <v>#DIV/0!</v>
      </c>
      <c r="H18" s="53" t="e">
        <f t="shared" si="2"/>
        <v>#DIV/0!</v>
      </c>
      <c r="I18" s="57" t="e">
        <f>SUM($G$7:G18)</f>
        <v>#DIV/0!</v>
      </c>
      <c r="J18" s="55" t="e">
        <f t="shared" si="3"/>
        <v>#DIV/0!</v>
      </c>
      <c r="K18" s="25"/>
      <c r="M18" s="1"/>
    </row>
    <row r="19" spans="1:16" ht="25" customHeight="1">
      <c r="A19" s="5"/>
      <c r="B19" s="24"/>
      <c r="C19" s="49">
        <v>38</v>
      </c>
      <c r="D19" s="50" t="e">
        <f t="shared" si="1"/>
        <v>#DIV/0!</v>
      </c>
      <c r="E19" s="50" t="e">
        <f t="shared" si="0"/>
        <v>#DIV/0!</v>
      </c>
      <c r="F19" s="51" t="e">
        <f t="shared" si="4"/>
        <v>#DIV/0!</v>
      </c>
      <c r="G19" s="52" t="e">
        <f>IF(D19=D18,"",_xlfn.IFNA(VLOOKUP(D19,'인원 입력 기능'!$DC$5:$DF$55,4,FALSE),0))</f>
        <v>#DIV/0!</v>
      </c>
      <c r="H19" s="53" t="e">
        <f t="shared" si="2"/>
        <v>#DIV/0!</v>
      </c>
      <c r="I19" s="57" t="e">
        <f>SUM($G$7:G19)</f>
        <v>#DIV/0!</v>
      </c>
      <c r="J19" s="55" t="e">
        <f t="shared" si="3"/>
        <v>#DIV/0!</v>
      </c>
      <c r="K19" s="25"/>
      <c r="M19" s="1"/>
    </row>
    <row r="20" spans="1:16" ht="25" customHeight="1">
      <c r="A20" s="5"/>
      <c r="B20" s="24"/>
      <c r="C20" s="56">
        <v>37</v>
      </c>
      <c r="D20" s="50" t="e">
        <f t="shared" si="1"/>
        <v>#DIV/0!</v>
      </c>
      <c r="E20" s="50" t="e">
        <f t="shared" si="0"/>
        <v>#DIV/0!</v>
      </c>
      <c r="F20" s="51" t="e">
        <f t="shared" si="4"/>
        <v>#DIV/0!</v>
      </c>
      <c r="G20" s="52" t="e">
        <f>IF(D20=D19,"",_xlfn.IFNA(VLOOKUP(D20,'인원 입력 기능'!$DC$5:$DF$55,4,FALSE),0))</f>
        <v>#DIV/0!</v>
      </c>
      <c r="H20" s="53" t="e">
        <f t="shared" si="2"/>
        <v>#DIV/0!</v>
      </c>
      <c r="I20" s="57" t="e">
        <f>SUM($G$7:G20)</f>
        <v>#DIV/0!</v>
      </c>
      <c r="J20" s="55" t="e">
        <f t="shared" si="3"/>
        <v>#DIV/0!</v>
      </c>
      <c r="K20" s="25"/>
      <c r="M20" s="1"/>
    </row>
    <row r="21" spans="1:16" ht="25" customHeight="1">
      <c r="A21" s="5"/>
      <c r="B21" s="24"/>
      <c r="C21" s="58">
        <v>36</v>
      </c>
      <c r="D21" s="60" t="e">
        <f t="shared" si="1"/>
        <v>#DIV/0!</v>
      </c>
      <c r="E21" s="60" t="e">
        <f t="shared" si="0"/>
        <v>#DIV/0!</v>
      </c>
      <c r="F21" s="51" t="e">
        <f t="shared" si="4"/>
        <v>#DIV/0!</v>
      </c>
      <c r="G21" s="52" t="e">
        <f>IF(D21=D20,"",_xlfn.IFNA(VLOOKUP(D21,'인원 입력 기능'!$DC$5:$DF$55,4,FALSE),0))</f>
        <v>#DIV/0!</v>
      </c>
      <c r="H21" s="53" t="e">
        <f t="shared" si="2"/>
        <v>#DIV/0!</v>
      </c>
      <c r="I21" s="57" t="e">
        <f>SUM($G$7:G21)</f>
        <v>#DIV/0!</v>
      </c>
      <c r="J21" s="55" t="e">
        <f t="shared" si="3"/>
        <v>#DIV/0!</v>
      </c>
      <c r="K21" s="25"/>
      <c r="M21" s="1"/>
    </row>
    <row r="22" spans="1:16" ht="25" customHeight="1">
      <c r="A22" s="5"/>
      <c r="B22" s="24"/>
      <c r="C22" s="59">
        <v>35</v>
      </c>
      <c r="D22" s="60" t="e">
        <f t="shared" si="1"/>
        <v>#DIV/0!</v>
      </c>
      <c r="E22" s="60" t="e">
        <f t="shared" si="0"/>
        <v>#DIV/0!</v>
      </c>
      <c r="F22" s="51" t="e">
        <f t="shared" si="4"/>
        <v>#DIV/0!</v>
      </c>
      <c r="G22" s="52" t="e">
        <f>IF(D22=D21,"",_xlfn.IFNA(VLOOKUP(D22,'인원 입력 기능'!$DC$5:$DF$55,4,FALSE),0))</f>
        <v>#DIV/0!</v>
      </c>
      <c r="H22" s="53" t="e">
        <f t="shared" si="2"/>
        <v>#DIV/0!</v>
      </c>
      <c r="I22" s="57" t="e">
        <f>SUM($G$7:G22)</f>
        <v>#DIV/0!</v>
      </c>
      <c r="J22" s="55" t="e">
        <f t="shared" si="3"/>
        <v>#DIV/0!</v>
      </c>
      <c r="K22" s="25"/>
      <c r="M22" s="1"/>
    </row>
    <row r="23" spans="1:16" ht="25" customHeight="1">
      <c r="A23" s="5"/>
      <c r="B23" s="24"/>
      <c r="C23" s="58">
        <v>34</v>
      </c>
      <c r="D23" s="60" t="e">
        <f t="shared" si="1"/>
        <v>#DIV/0!</v>
      </c>
      <c r="E23" s="60" t="e">
        <f t="shared" si="0"/>
        <v>#DIV/0!</v>
      </c>
      <c r="F23" s="51" t="e">
        <f t="shared" si="4"/>
        <v>#DIV/0!</v>
      </c>
      <c r="G23" s="52" t="e">
        <f>IF(D23=D22,"",_xlfn.IFNA(VLOOKUP(D23,'인원 입력 기능'!$DC$5:$DF$55,4,FALSE),0))</f>
        <v>#DIV/0!</v>
      </c>
      <c r="H23" s="53" t="e">
        <f t="shared" si="2"/>
        <v>#DIV/0!</v>
      </c>
      <c r="I23" s="57" t="e">
        <f>SUM($G$7:G23)</f>
        <v>#DIV/0!</v>
      </c>
      <c r="J23" s="55" t="e">
        <f t="shared" si="3"/>
        <v>#DIV/0!</v>
      </c>
      <c r="K23" s="25"/>
      <c r="M23" s="1"/>
    </row>
    <row r="24" spans="1:16" ht="25" customHeight="1">
      <c r="A24" s="5"/>
      <c r="B24" s="24"/>
      <c r="C24" s="59">
        <v>33</v>
      </c>
      <c r="D24" s="60" t="e">
        <f t="shared" si="1"/>
        <v>#DIV/0!</v>
      </c>
      <c r="E24" s="60" t="e">
        <f t="shared" si="0"/>
        <v>#DIV/0!</v>
      </c>
      <c r="F24" s="51" t="e">
        <f t="shared" si="4"/>
        <v>#DIV/0!</v>
      </c>
      <c r="G24" s="52" t="e">
        <f>IF(D24=D23,"",_xlfn.IFNA(VLOOKUP(D24,'인원 입력 기능'!$DC$5:$DF$55,4,FALSE),0))</f>
        <v>#DIV/0!</v>
      </c>
      <c r="H24" s="53" t="e">
        <f t="shared" si="2"/>
        <v>#DIV/0!</v>
      </c>
      <c r="I24" s="57" t="e">
        <f>SUM($G$7:G24)</f>
        <v>#DIV/0!</v>
      </c>
      <c r="J24" s="55" t="e">
        <f t="shared" si="3"/>
        <v>#DIV/0!</v>
      </c>
      <c r="K24" s="25"/>
      <c r="M24" s="1"/>
    </row>
    <row r="25" spans="1:16" ht="25" customHeight="1">
      <c r="A25" s="5"/>
      <c r="B25" s="24"/>
      <c r="C25" s="58">
        <v>32</v>
      </c>
      <c r="D25" s="60" t="e">
        <f t="shared" si="1"/>
        <v>#DIV/0!</v>
      </c>
      <c r="E25" s="60" t="e">
        <f t="shared" si="0"/>
        <v>#DIV/0!</v>
      </c>
      <c r="F25" s="51" t="e">
        <f t="shared" si="4"/>
        <v>#DIV/0!</v>
      </c>
      <c r="G25" s="52" t="e">
        <f>IF(D25=D24,"",_xlfn.IFNA(VLOOKUP(D25,'인원 입력 기능'!$DC$5:$DF$55,4,FALSE),0))</f>
        <v>#DIV/0!</v>
      </c>
      <c r="H25" s="53" t="e">
        <f t="shared" si="2"/>
        <v>#DIV/0!</v>
      </c>
      <c r="I25" s="57" t="e">
        <f>SUM($G$7:G25)</f>
        <v>#DIV/0!</v>
      </c>
      <c r="J25" s="55" t="e">
        <f t="shared" si="3"/>
        <v>#DIV/0!</v>
      </c>
      <c r="K25" s="25"/>
      <c r="M25" s="1"/>
    </row>
    <row r="26" spans="1:16" ht="25" customHeight="1">
      <c r="A26" s="5"/>
      <c r="B26" s="24"/>
      <c r="C26" s="59">
        <v>31</v>
      </c>
      <c r="D26" s="60" t="e">
        <f t="shared" si="1"/>
        <v>#DIV/0!</v>
      </c>
      <c r="E26" s="60" t="e">
        <f t="shared" si="0"/>
        <v>#DIV/0!</v>
      </c>
      <c r="F26" s="51" t="e">
        <f t="shared" si="4"/>
        <v>#DIV/0!</v>
      </c>
      <c r="G26" s="52" t="e">
        <f>IF(D26=D25,"",_xlfn.IFNA(VLOOKUP(D26,'인원 입력 기능'!$DC$5:$DF$55,4,FALSE),0))</f>
        <v>#DIV/0!</v>
      </c>
      <c r="H26" s="53" t="e">
        <f t="shared" si="2"/>
        <v>#DIV/0!</v>
      </c>
      <c r="I26" s="57" t="e">
        <f>SUM($G$7:G26)</f>
        <v>#DIV/0!</v>
      </c>
      <c r="J26" s="55" t="e">
        <f t="shared" si="3"/>
        <v>#DIV/0!</v>
      </c>
      <c r="K26" s="25"/>
      <c r="M26" s="1"/>
    </row>
    <row r="27" spans="1:16" ht="25" customHeight="1">
      <c r="A27" s="5"/>
      <c r="B27" s="24"/>
      <c r="C27" s="58">
        <v>30</v>
      </c>
      <c r="D27" s="60" t="e">
        <f t="shared" si="1"/>
        <v>#DIV/0!</v>
      </c>
      <c r="E27" s="60" t="e">
        <f t="shared" si="0"/>
        <v>#DIV/0!</v>
      </c>
      <c r="F27" s="51" t="e">
        <f t="shared" si="4"/>
        <v>#DIV/0!</v>
      </c>
      <c r="G27" s="52" t="e">
        <f>IF(D27=D26,"",_xlfn.IFNA(VLOOKUP(D27,'인원 입력 기능'!$DC$5:$DF$55,4,FALSE),0))</f>
        <v>#DIV/0!</v>
      </c>
      <c r="H27" s="53" t="e">
        <f t="shared" si="2"/>
        <v>#DIV/0!</v>
      </c>
      <c r="I27" s="57" t="e">
        <f>SUM($G$7:G27)</f>
        <v>#DIV/0!</v>
      </c>
      <c r="J27" s="55" t="e">
        <f t="shared" si="3"/>
        <v>#DIV/0!</v>
      </c>
      <c r="K27" s="25"/>
      <c r="M27" s="1"/>
    </row>
    <row r="28" spans="1:16" ht="25" customHeight="1">
      <c r="A28" s="5"/>
      <c r="B28" s="24"/>
      <c r="C28" s="59">
        <v>29</v>
      </c>
      <c r="D28" s="60" t="e">
        <f t="shared" si="1"/>
        <v>#DIV/0!</v>
      </c>
      <c r="E28" s="60" t="e">
        <f t="shared" si="0"/>
        <v>#DIV/0!</v>
      </c>
      <c r="F28" s="51" t="e">
        <f t="shared" si="4"/>
        <v>#DIV/0!</v>
      </c>
      <c r="G28" s="52" t="e">
        <f>IF(D28=D27,"",_xlfn.IFNA(VLOOKUP(D28,'인원 입력 기능'!$DC$5:$DF$55,4,FALSE),0))</f>
        <v>#DIV/0!</v>
      </c>
      <c r="H28" s="53" t="e">
        <f t="shared" si="2"/>
        <v>#DIV/0!</v>
      </c>
      <c r="I28" s="57" t="e">
        <f>SUM($G$7:G28)</f>
        <v>#DIV/0!</v>
      </c>
      <c r="J28" s="55" t="e">
        <f t="shared" si="3"/>
        <v>#DIV/0!</v>
      </c>
      <c r="K28" s="25"/>
      <c r="M28" s="1"/>
    </row>
    <row r="29" spans="1:16" ht="25" customHeight="1">
      <c r="A29" s="5"/>
      <c r="B29" s="24"/>
      <c r="C29" s="58">
        <v>28</v>
      </c>
      <c r="D29" s="60" t="e">
        <f t="shared" si="1"/>
        <v>#DIV/0!</v>
      </c>
      <c r="E29" s="60" t="e">
        <f t="shared" si="0"/>
        <v>#DIV/0!</v>
      </c>
      <c r="F29" s="51" t="e">
        <f t="shared" si="4"/>
        <v>#DIV/0!</v>
      </c>
      <c r="G29" s="52" t="e">
        <f>IF(D29=D28,"",_xlfn.IFNA(VLOOKUP(D29,'인원 입력 기능'!$DC$5:$DF$55,4,FALSE),0))</f>
        <v>#DIV/0!</v>
      </c>
      <c r="H29" s="53" t="e">
        <f t="shared" si="2"/>
        <v>#DIV/0!</v>
      </c>
      <c r="I29" s="57" t="e">
        <f>SUM($G$7:G29)</f>
        <v>#DIV/0!</v>
      </c>
      <c r="J29" s="55" t="e">
        <f t="shared" si="3"/>
        <v>#DIV/0!</v>
      </c>
      <c r="K29" s="25"/>
      <c r="M29" s="1"/>
    </row>
    <row r="30" spans="1:16" ht="25" customHeight="1">
      <c r="A30" s="5"/>
      <c r="B30" s="24"/>
      <c r="C30" s="59">
        <v>27</v>
      </c>
      <c r="D30" s="60" t="e">
        <f t="shared" si="1"/>
        <v>#DIV/0!</v>
      </c>
      <c r="E30" s="60" t="e">
        <f t="shared" si="0"/>
        <v>#DIV/0!</v>
      </c>
      <c r="F30" s="51" t="e">
        <f t="shared" si="4"/>
        <v>#DIV/0!</v>
      </c>
      <c r="G30" s="52" t="e">
        <f>IF(D30=D29,"",_xlfn.IFNA(VLOOKUP(D30,'인원 입력 기능'!$DC$5:$DF$55,4,FALSE),0))</f>
        <v>#DIV/0!</v>
      </c>
      <c r="H30" s="53" t="e">
        <f t="shared" si="2"/>
        <v>#DIV/0!</v>
      </c>
      <c r="I30" s="57" t="e">
        <f>SUM($G$7:G30)</f>
        <v>#DIV/0!</v>
      </c>
      <c r="J30" s="55" t="e">
        <f t="shared" si="3"/>
        <v>#DIV/0!</v>
      </c>
      <c r="K30" s="25"/>
      <c r="M30" s="1"/>
    </row>
    <row r="31" spans="1:16" ht="25" customHeight="1">
      <c r="A31" s="5"/>
      <c r="B31" s="24"/>
      <c r="C31" s="58">
        <v>26</v>
      </c>
      <c r="D31" s="60" t="e">
        <f t="shared" si="1"/>
        <v>#DIV/0!</v>
      </c>
      <c r="E31" s="60" t="e">
        <f t="shared" si="0"/>
        <v>#DIV/0!</v>
      </c>
      <c r="F31" s="51" t="e">
        <f t="shared" si="4"/>
        <v>#DIV/0!</v>
      </c>
      <c r="G31" s="52" t="e">
        <f>IF(D31=D30,"",_xlfn.IFNA(VLOOKUP(D31,'인원 입력 기능'!$DC$5:$DF$55,4,FALSE),0))</f>
        <v>#DIV/0!</v>
      </c>
      <c r="H31" s="53" t="e">
        <f t="shared" si="2"/>
        <v>#DIV/0!</v>
      </c>
      <c r="I31" s="57" t="e">
        <f>SUM($G$7:G31)</f>
        <v>#DIV/0!</v>
      </c>
      <c r="J31" s="55" t="e">
        <f t="shared" si="3"/>
        <v>#DIV/0!</v>
      </c>
      <c r="K31" s="25"/>
      <c r="M31" s="1"/>
    </row>
    <row r="32" spans="1:16" ht="25" customHeight="1">
      <c r="A32" s="5"/>
      <c r="B32" s="24"/>
      <c r="C32" s="59">
        <v>25</v>
      </c>
      <c r="D32" s="60" t="e">
        <f t="shared" si="1"/>
        <v>#DIV/0!</v>
      </c>
      <c r="E32" s="60" t="e">
        <f t="shared" si="0"/>
        <v>#DIV/0!</v>
      </c>
      <c r="F32" s="51" t="e">
        <f t="shared" si="4"/>
        <v>#DIV/0!</v>
      </c>
      <c r="G32" s="52" t="e">
        <f>IF(D32=D31,"",_xlfn.IFNA(VLOOKUP(D32,'인원 입력 기능'!$DC$5:$DF$55,4,FALSE),0))</f>
        <v>#DIV/0!</v>
      </c>
      <c r="H32" s="53" t="e">
        <f t="shared" si="2"/>
        <v>#DIV/0!</v>
      </c>
      <c r="I32" s="57" t="e">
        <f>SUM($G$7:G32)</f>
        <v>#DIV/0!</v>
      </c>
      <c r="J32" s="55" t="e">
        <f t="shared" si="3"/>
        <v>#DIV/0!</v>
      </c>
      <c r="K32" s="25"/>
      <c r="M32" s="1"/>
    </row>
    <row r="33" spans="1:13" ht="25" customHeight="1">
      <c r="A33" s="5"/>
      <c r="B33" s="24"/>
      <c r="C33" s="58">
        <v>24</v>
      </c>
      <c r="D33" s="60" t="e">
        <f t="shared" si="1"/>
        <v>#DIV/0!</v>
      </c>
      <c r="E33" s="60" t="e">
        <f t="shared" si="0"/>
        <v>#DIV/0!</v>
      </c>
      <c r="F33" s="51" t="e">
        <f t="shared" si="4"/>
        <v>#DIV/0!</v>
      </c>
      <c r="G33" s="52" t="e">
        <f>IF(D33=D32,"",_xlfn.IFNA(VLOOKUP(D33,'인원 입력 기능'!$DC$5:$DF$55,4,FALSE),0))</f>
        <v>#DIV/0!</v>
      </c>
      <c r="H33" s="53" t="e">
        <f t="shared" si="2"/>
        <v>#DIV/0!</v>
      </c>
      <c r="I33" s="57" t="e">
        <f>SUM($G$7:G33)</f>
        <v>#DIV/0!</v>
      </c>
      <c r="J33" s="55" t="e">
        <f t="shared" si="3"/>
        <v>#DIV/0!</v>
      </c>
      <c r="K33" s="25"/>
      <c r="M33" s="1"/>
    </row>
    <row r="34" spans="1:13" ht="25" customHeight="1">
      <c r="A34" s="5"/>
      <c r="B34" s="24"/>
      <c r="C34" s="59">
        <v>23</v>
      </c>
      <c r="D34" s="60" t="e">
        <f t="shared" si="1"/>
        <v>#DIV/0!</v>
      </c>
      <c r="E34" s="60" t="e">
        <f t="shared" si="0"/>
        <v>#DIV/0!</v>
      </c>
      <c r="F34" s="51" t="e">
        <f t="shared" si="4"/>
        <v>#DIV/0!</v>
      </c>
      <c r="G34" s="52" t="e">
        <f>IF(D34=D33,"",_xlfn.IFNA(VLOOKUP(D34,'인원 입력 기능'!$DC$5:$DF$55,4,FALSE),0))</f>
        <v>#DIV/0!</v>
      </c>
      <c r="H34" s="53" t="e">
        <f t="shared" si="2"/>
        <v>#DIV/0!</v>
      </c>
      <c r="I34" s="57" t="e">
        <f>SUM($G$7:G34)</f>
        <v>#DIV/0!</v>
      </c>
      <c r="J34" s="55" t="e">
        <f t="shared" si="3"/>
        <v>#DIV/0!</v>
      </c>
      <c r="K34" s="25"/>
      <c r="M34" s="1"/>
    </row>
    <row r="35" spans="1:13" ht="25" customHeight="1">
      <c r="A35" s="5"/>
      <c r="B35" s="24"/>
      <c r="C35" s="58">
        <v>22</v>
      </c>
      <c r="D35" s="60" t="e">
        <f t="shared" si="1"/>
        <v>#DIV/0!</v>
      </c>
      <c r="E35" s="60" t="e">
        <f t="shared" si="0"/>
        <v>#DIV/0!</v>
      </c>
      <c r="F35" s="51" t="e">
        <f t="shared" si="4"/>
        <v>#DIV/0!</v>
      </c>
      <c r="G35" s="52" t="e">
        <f>IF(D35=D34,"",_xlfn.IFNA(VLOOKUP(D35,'인원 입력 기능'!$DC$5:$DF$55,4,FALSE),0))</f>
        <v>#DIV/0!</v>
      </c>
      <c r="H35" s="53" t="e">
        <f t="shared" si="2"/>
        <v>#DIV/0!</v>
      </c>
      <c r="I35" s="57" t="e">
        <f>SUM($G$7:G35)</f>
        <v>#DIV/0!</v>
      </c>
      <c r="J35" s="55" t="e">
        <f t="shared" si="3"/>
        <v>#DIV/0!</v>
      </c>
      <c r="K35" s="25"/>
      <c r="M35" s="1"/>
    </row>
    <row r="36" spans="1:13" ht="25" customHeight="1">
      <c r="A36" s="5"/>
      <c r="B36" s="24"/>
      <c r="C36" s="59">
        <v>21</v>
      </c>
      <c r="D36" s="60" t="e">
        <f t="shared" si="1"/>
        <v>#DIV/0!</v>
      </c>
      <c r="E36" s="60" t="e">
        <f t="shared" si="0"/>
        <v>#DIV/0!</v>
      </c>
      <c r="F36" s="51" t="e">
        <f t="shared" si="4"/>
        <v>#DIV/0!</v>
      </c>
      <c r="G36" s="52" t="e">
        <f>IF(D36=D35,"",_xlfn.IFNA(VLOOKUP(D36,'인원 입력 기능'!$DC$5:$DF$55,4,FALSE),0))</f>
        <v>#DIV/0!</v>
      </c>
      <c r="H36" s="53" t="e">
        <f t="shared" si="2"/>
        <v>#DIV/0!</v>
      </c>
      <c r="I36" s="57" t="e">
        <f>SUM($G$7:G36)</f>
        <v>#DIV/0!</v>
      </c>
      <c r="J36" s="55" t="e">
        <f t="shared" si="3"/>
        <v>#DIV/0!</v>
      </c>
      <c r="K36" s="25"/>
      <c r="M36" s="1"/>
    </row>
    <row r="37" spans="1:13" ht="25" customHeight="1">
      <c r="A37" s="5"/>
      <c r="B37" s="24"/>
      <c r="C37" s="58">
        <v>20</v>
      </c>
      <c r="D37" s="60" t="e">
        <f t="shared" si="1"/>
        <v>#DIV/0!</v>
      </c>
      <c r="E37" s="60" t="e">
        <f t="shared" si="0"/>
        <v>#DIV/0!</v>
      </c>
      <c r="F37" s="51" t="e">
        <f t="shared" si="4"/>
        <v>#DIV/0!</v>
      </c>
      <c r="G37" s="52" t="e">
        <f>IF(D37=D36,"",_xlfn.IFNA(VLOOKUP(D37,'인원 입력 기능'!$DC$5:$DF$55,4,FALSE),0))</f>
        <v>#DIV/0!</v>
      </c>
      <c r="H37" s="53" t="e">
        <f t="shared" si="2"/>
        <v>#DIV/0!</v>
      </c>
      <c r="I37" s="57" t="e">
        <f>SUM($G$7:G37)</f>
        <v>#DIV/0!</v>
      </c>
      <c r="J37" s="55" t="e">
        <f t="shared" si="3"/>
        <v>#DIV/0!</v>
      </c>
      <c r="K37" s="25"/>
      <c r="M37" s="1"/>
    </row>
    <row r="38" spans="1:13" ht="25" customHeight="1">
      <c r="A38" s="5"/>
      <c r="B38" s="24"/>
      <c r="C38" s="59">
        <v>19</v>
      </c>
      <c r="D38" s="60" t="e">
        <f t="shared" si="1"/>
        <v>#DIV/0!</v>
      </c>
      <c r="E38" s="60" t="e">
        <f t="shared" si="0"/>
        <v>#DIV/0!</v>
      </c>
      <c r="F38" s="51" t="e">
        <f t="shared" si="4"/>
        <v>#DIV/0!</v>
      </c>
      <c r="G38" s="52" t="e">
        <f>IF(D38=D37,"",_xlfn.IFNA(VLOOKUP(D38,'인원 입력 기능'!$DC$5:$DF$55,4,FALSE),0))</f>
        <v>#DIV/0!</v>
      </c>
      <c r="H38" s="53" t="e">
        <f t="shared" si="2"/>
        <v>#DIV/0!</v>
      </c>
      <c r="I38" s="57" t="e">
        <f>SUM($G$7:G38)</f>
        <v>#DIV/0!</v>
      </c>
      <c r="J38" s="55" t="e">
        <f t="shared" si="3"/>
        <v>#DIV/0!</v>
      </c>
      <c r="K38" s="25"/>
      <c r="M38" s="1"/>
    </row>
    <row r="39" spans="1:13" ht="25" customHeight="1">
      <c r="A39" s="5"/>
      <c r="B39" s="24"/>
      <c r="C39" s="58">
        <v>18</v>
      </c>
      <c r="D39" s="60" t="e">
        <f t="shared" si="1"/>
        <v>#DIV/0!</v>
      </c>
      <c r="E39" s="60" t="e">
        <f t="shared" si="0"/>
        <v>#DIV/0!</v>
      </c>
      <c r="F39" s="51" t="e">
        <f t="shared" si="4"/>
        <v>#DIV/0!</v>
      </c>
      <c r="G39" s="52" t="e">
        <f>IF(D39=D38,"",_xlfn.IFNA(VLOOKUP(D39,'인원 입력 기능'!$DC$5:$DF$55,4,FALSE),0))</f>
        <v>#DIV/0!</v>
      </c>
      <c r="H39" s="53" t="e">
        <f t="shared" si="2"/>
        <v>#DIV/0!</v>
      </c>
      <c r="I39" s="57" t="e">
        <f>SUM($G$7:G39)</f>
        <v>#DIV/0!</v>
      </c>
      <c r="J39" s="55" t="e">
        <f t="shared" si="3"/>
        <v>#DIV/0!</v>
      </c>
      <c r="K39" s="25"/>
      <c r="M39" s="1"/>
    </row>
    <row r="40" spans="1:13" ht="25" customHeight="1">
      <c r="A40" s="5"/>
      <c r="B40" s="24"/>
      <c r="C40" s="59">
        <v>17</v>
      </c>
      <c r="D40" s="60" t="e">
        <f t="shared" si="1"/>
        <v>#DIV/0!</v>
      </c>
      <c r="E40" s="60" t="e">
        <f t="shared" si="0"/>
        <v>#DIV/0!</v>
      </c>
      <c r="F40" s="51" t="e">
        <f t="shared" si="4"/>
        <v>#DIV/0!</v>
      </c>
      <c r="G40" s="52" t="e">
        <f>IF(D40=D39,"",_xlfn.IFNA(VLOOKUP(D40,'인원 입력 기능'!$DC$5:$DF$55,4,FALSE),0))</f>
        <v>#DIV/0!</v>
      </c>
      <c r="H40" s="53" t="e">
        <f t="shared" si="2"/>
        <v>#DIV/0!</v>
      </c>
      <c r="I40" s="57" t="e">
        <f>SUM($G$7:G40)</f>
        <v>#DIV/0!</v>
      </c>
      <c r="J40" s="55" t="e">
        <f t="shared" si="3"/>
        <v>#DIV/0!</v>
      </c>
      <c r="K40" s="25"/>
      <c r="M40" s="1"/>
    </row>
    <row r="41" spans="1:13" ht="25" customHeight="1">
      <c r="A41" s="5"/>
      <c r="B41" s="24"/>
      <c r="C41" s="58">
        <v>16</v>
      </c>
      <c r="D41" s="60" t="e">
        <f t="shared" si="1"/>
        <v>#DIV/0!</v>
      </c>
      <c r="E41" s="60" t="e">
        <f t="shared" si="0"/>
        <v>#DIV/0!</v>
      </c>
      <c r="F41" s="51" t="e">
        <f t="shared" si="4"/>
        <v>#DIV/0!</v>
      </c>
      <c r="G41" s="52" t="e">
        <f>IF(D41=D40,"",_xlfn.IFNA(VLOOKUP(D41,'인원 입력 기능'!$DC$5:$DF$55,4,FALSE),0))</f>
        <v>#DIV/0!</v>
      </c>
      <c r="H41" s="53" t="e">
        <f t="shared" si="2"/>
        <v>#DIV/0!</v>
      </c>
      <c r="I41" s="57" t="e">
        <f>SUM($G$7:G41)</f>
        <v>#DIV/0!</v>
      </c>
      <c r="J41" s="55" t="e">
        <f t="shared" si="3"/>
        <v>#DIV/0!</v>
      </c>
      <c r="K41" s="25"/>
      <c r="M41" s="1"/>
    </row>
    <row r="42" spans="1:13" ht="25" customHeight="1">
      <c r="A42" s="5"/>
      <c r="B42" s="24"/>
      <c r="C42" s="59">
        <v>15</v>
      </c>
      <c r="D42" s="60" t="e">
        <f t="shared" si="1"/>
        <v>#DIV/0!</v>
      </c>
      <c r="E42" s="60" t="e">
        <f t="shared" si="0"/>
        <v>#DIV/0!</v>
      </c>
      <c r="F42" s="51" t="e">
        <f t="shared" si="4"/>
        <v>#DIV/0!</v>
      </c>
      <c r="G42" s="52" t="e">
        <f>IF(D42=D41,"",_xlfn.IFNA(VLOOKUP(D42,'인원 입력 기능'!$DC$5:$DF$55,4,FALSE),0))</f>
        <v>#DIV/0!</v>
      </c>
      <c r="H42" s="53" t="e">
        <f t="shared" si="2"/>
        <v>#DIV/0!</v>
      </c>
      <c r="I42" s="57" t="e">
        <f>SUM($G$7:G42)</f>
        <v>#DIV/0!</v>
      </c>
      <c r="J42" s="55" t="e">
        <f t="shared" si="3"/>
        <v>#DIV/0!</v>
      </c>
      <c r="K42" s="25"/>
      <c r="M42" s="1"/>
    </row>
    <row r="43" spans="1:13" ht="25" customHeight="1">
      <c r="A43" s="5"/>
      <c r="B43" s="24"/>
      <c r="C43" s="58">
        <v>14</v>
      </c>
      <c r="D43" s="60" t="e">
        <f t="shared" si="1"/>
        <v>#DIV/0!</v>
      </c>
      <c r="E43" s="60" t="e">
        <f t="shared" si="0"/>
        <v>#DIV/0!</v>
      </c>
      <c r="F43" s="51" t="e">
        <f t="shared" si="4"/>
        <v>#DIV/0!</v>
      </c>
      <c r="G43" s="52" t="e">
        <f>IF(D43=D42,"",_xlfn.IFNA(VLOOKUP(D43,'인원 입력 기능'!$DC$5:$DF$55,4,FALSE),0))</f>
        <v>#DIV/0!</v>
      </c>
      <c r="H43" s="53" t="e">
        <f t="shared" si="2"/>
        <v>#DIV/0!</v>
      </c>
      <c r="I43" s="57" t="e">
        <f>SUM($G$7:G43)</f>
        <v>#DIV/0!</v>
      </c>
      <c r="J43" s="55" t="e">
        <f t="shared" si="3"/>
        <v>#DIV/0!</v>
      </c>
      <c r="K43" s="25"/>
      <c r="M43" s="1"/>
    </row>
    <row r="44" spans="1:13" ht="25" customHeight="1">
      <c r="A44" s="5"/>
      <c r="B44" s="24"/>
      <c r="C44" s="59">
        <v>13</v>
      </c>
      <c r="D44" s="60" t="e">
        <f t="shared" si="1"/>
        <v>#DIV/0!</v>
      </c>
      <c r="E44" s="60" t="e">
        <f t="shared" si="0"/>
        <v>#DIV/0!</v>
      </c>
      <c r="F44" s="51" t="e">
        <f t="shared" si="4"/>
        <v>#DIV/0!</v>
      </c>
      <c r="G44" s="52" t="e">
        <f>IF(D44=D43,"",_xlfn.IFNA(VLOOKUP(D44,'인원 입력 기능'!$DC$5:$DF$55,4,FALSE),0))</f>
        <v>#DIV/0!</v>
      </c>
      <c r="H44" s="53" t="e">
        <f t="shared" si="2"/>
        <v>#DIV/0!</v>
      </c>
      <c r="I44" s="57" t="e">
        <f>SUM($G$7:G44)</f>
        <v>#DIV/0!</v>
      </c>
      <c r="J44" s="55" t="e">
        <f t="shared" si="3"/>
        <v>#DIV/0!</v>
      </c>
      <c r="K44" s="25"/>
      <c r="M44" s="1"/>
    </row>
    <row r="45" spans="1:13" ht="25" customHeight="1">
      <c r="A45" s="5"/>
      <c r="B45" s="24"/>
      <c r="C45" s="58">
        <v>12</v>
      </c>
      <c r="D45" s="60" t="e">
        <f t="shared" si="1"/>
        <v>#DIV/0!</v>
      </c>
      <c r="E45" s="60" t="e">
        <f t="shared" si="0"/>
        <v>#DIV/0!</v>
      </c>
      <c r="F45" s="51" t="e">
        <f t="shared" si="4"/>
        <v>#DIV/0!</v>
      </c>
      <c r="G45" s="52" t="e">
        <f>IF(D45=D44,"",_xlfn.IFNA(VLOOKUP(D45,'인원 입력 기능'!$DC$5:$DF$55,4,FALSE),0))</f>
        <v>#DIV/0!</v>
      </c>
      <c r="H45" s="53" t="e">
        <f t="shared" si="2"/>
        <v>#DIV/0!</v>
      </c>
      <c r="I45" s="57" t="e">
        <f>SUM($G$7:G45)</f>
        <v>#DIV/0!</v>
      </c>
      <c r="J45" s="55" t="e">
        <f t="shared" si="3"/>
        <v>#DIV/0!</v>
      </c>
      <c r="K45" s="25"/>
      <c r="M45" s="1"/>
    </row>
    <row r="46" spans="1:13" ht="25" customHeight="1">
      <c r="A46" s="5"/>
      <c r="B46" s="24"/>
      <c r="C46" s="59">
        <v>11</v>
      </c>
      <c r="D46" s="60" t="e">
        <f t="shared" si="1"/>
        <v>#DIV/0!</v>
      </c>
      <c r="E46" s="60" t="e">
        <f t="shared" si="0"/>
        <v>#DIV/0!</v>
      </c>
      <c r="F46" s="51" t="e">
        <f t="shared" si="4"/>
        <v>#DIV/0!</v>
      </c>
      <c r="G46" s="52" t="e">
        <f>IF(D46=D45,"",_xlfn.IFNA(VLOOKUP(D46,'인원 입력 기능'!$DC$5:$DF$55,4,FALSE),0))</f>
        <v>#DIV/0!</v>
      </c>
      <c r="H46" s="53" t="e">
        <f t="shared" si="2"/>
        <v>#DIV/0!</v>
      </c>
      <c r="I46" s="57" t="e">
        <f>SUM($G$7:G46)</f>
        <v>#DIV/0!</v>
      </c>
      <c r="J46" s="55" t="e">
        <f t="shared" si="3"/>
        <v>#DIV/0!</v>
      </c>
      <c r="K46" s="25"/>
      <c r="M46" s="1"/>
    </row>
    <row r="47" spans="1:13" ht="25" customHeight="1">
      <c r="A47" s="5"/>
      <c r="B47" s="24"/>
      <c r="C47" s="58">
        <v>10</v>
      </c>
      <c r="D47" s="60" t="e">
        <f t="shared" si="1"/>
        <v>#DIV/0!</v>
      </c>
      <c r="E47" s="60" t="e">
        <f t="shared" si="0"/>
        <v>#DIV/0!</v>
      </c>
      <c r="F47" s="51" t="e">
        <f t="shared" si="4"/>
        <v>#DIV/0!</v>
      </c>
      <c r="G47" s="52" t="e">
        <f>IF(D47=D46,"",_xlfn.IFNA(VLOOKUP(D47,'인원 입력 기능'!$DC$5:$DF$55,4,FALSE),0))</f>
        <v>#DIV/0!</v>
      </c>
      <c r="H47" s="53" t="e">
        <f t="shared" si="2"/>
        <v>#DIV/0!</v>
      </c>
      <c r="I47" s="57" t="e">
        <f>SUM($G$7:G47)</f>
        <v>#DIV/0!</v>
      </c>
      <c r="J47" s="55" t="e">
        <f t="shared" si="3"/>
        <v>#DIV/0!</v>
      </c>
      <c r="K47" s="25"/>
      <c r="M47" s="1"/>
    </row>
    <row r="48" spans="1:13" ht="25" customHeight="1">
      <c r="A48" s="5"/>
      <c r="B48" s="24"/>
      <c r="C48" s="59">
        <v>9</v>
      </c>
      <c r="D48" s="60" t="e">
        <f t="shared" si="1"/>
        <v>#DIV/0!</v>
      </c>
      <c r="E48" s="60" t="e">
        <f t="shared" si="0"/>
        <v>#DIV/0!</v>
      </c>
      <c r="F48" s="51" t="e">
        <f t="shared" si="4"/>
        <v>#DIV/0!</v>
      </c>
      <c r="G48" s="52" t="e">
        <f>IF(D48=D47,"",_xlfn.IFNA(VLOOKUP(D48,'인원 입력 기능'!$DC$5:$DF$55,4,FALSE),0))</f>
        <v>#DIV/0!</v>
      </c>
      <c r="H48" s="53" t="e">
        <f t="shared" si="2"/>
        <v>#DIV/0!</v>
      </c>
      <c r="I48" s="57" t="e">
        <f>SUM($G$7:G48)</f>
        <v>#DIV/0!</v>
      </c>
      <c r="J48" s="55" t="e">
        <f t="shared" si="3"/>
        <v>#DIV/0!</v>
      </c>
      <c r="K48" s="25"/>
      <c r="M48" s="1"/>
    </row>
    <row r="49" spans="1:13" ht="25" customHeight="1">
      <c r="A49" s="5"/>
      <c r="B49" s="24"/>
      <c r="C49" s="58">
        <v>8</v>
      </c>
      <c r="D49" s="60" t="e">
        <f t="shared" si="1"/>
        <v>#DIV/0!</v>
      </c>
      <c r="E49" s="60" t="e">
        <f t="shared" si="0"/>
        <v>#DIV/0!</v>
      </c>
      <c r="F49" s="51" t="e">
        <f t="shared" si="4"/>
        <v>#DIV/0!</v>
      </c>
      <c r="G49" s="52" t="e">
        <f>IF(D49=D48,"",_xlfn.IFNA(VLOOKUP(D49,'인원 입력 기능'!$DC$5:$DF$55,4,FALSE),0))</f>
        <v>#DIV/0!</v>
      </c>
      <c r="H49" s="53" t="e">
        <f t="shared" si="2"/>
        <v>#DIV/0!</v>
      </c>
      <c r="I49" s="57" t="e">
        <f>SUM($G$7:G49)</f>
        <v>#DIV/0!</v>
      </c>
      <c r="J49" s="55" t="e">
        <f t="shared" si="3"/>
        <v>#DIV/0!</v>
      </c>
      <c r="K49" s="25"/>
      <c r="M49" s="1"/>
    </row>
    <row r="50" spans="1:13" ht="25" customHeight="1">
      <c r="A50" s="5"/>
      <c r="B50" s="24"/>
      <c r="C50" s="59">
        <v>7</v>
      </c>
      <c r="D50" s="60" t="e">
        <f t="shared" si="1"/>
        <v>#DIV/0!</v>
      </c>
      <c r="E50" s="60" t="e">
        <f t="shared" si="0"/>
        <v>#DIV/0!</v>
      </c>
      <c r="F50" s="51" t="e">
        <f t="shared" si="4"/>
        <v>#DIV/0!</v>
      </c>
      <c r="G50" s="52" t="e">
        <f>IF(D50=D49,"",_xlfn.IFNA(VLOOKUP(D50,'인원 입력 기능'!$DC$5:$DF$55,4,FALSE),0))</f>
        <v>#DIV/0!</v>
      </c>
      <c r="H50" s="53" t="e">
        <f t="shared" si="2"/>
        <v>#DIV/0!</v>
      </c>
      <c r="I50" s="57" t="e">
        <f>SUM($G$7:G50)</f>
        <v>#DIV/0!</v>
      </c>
      <c r="J50" s="55" t="e">
        <f t="shared" si="3"/>
        <v>#DIV/0!</v>
      </c>
      <c r="K50" s="25"/>
      <c r="M50" s="1"/>
    </row>
    <row r="51" spans="1:13" ht="25" customHeight="1">
      <c r="A51" s="5"/>
      <c r="B51" s="24"/>
      <c r="C51" s="58">
        <v>6</v>
      </c>
      <c r="D51" s="60" t="e">
        <f t="shared" si="1"/>
        <v>#DIV/0!</v>
      </c>
      <c r="E51" s="60" t="e">
        <f t="shared" si="0"/>
        <v>#DIV/0!</v>
      </c>
      <c r="F51" s="51" t="e">
        <f t="shared" si="4"/>
        <v>#DIV/0!</v>
      </c>
      <c r="G51" s="52" t="e">
        <f>IF(D51=D50,"",_xlfn.IFNA(VLOOKUP(D51,'인원 입력 기능'!$DC$5:$DF$55,4,FALSE),0))</f>
        <v>#DIV/0!</v>
      </c>
      <c r="H51" s="53" t="e">
        <f t="shared" si="2"/>
        <v>#DIV/0!</v>
      </c>
      <c r="I51" s="57" t="e">
        <f>SUM($G$7:G51)</f>
        <v>#DIV/0!</v>
      </c>
      <c r="J51" s="55" t="e">
        <f t="shared" si="3"/>
        <v>#DIV/0!</v>
      </c>
      <c r="K51" s="25"/>
      <c r="M51" s="1"/>
    </row>
    <row r="52" spans="1:13" ht="25" customHeight="1">
      <c r="A52" s="5"/>
      <c r="B52" s="24"/>
      <c r="C52" s="59">
        <v>5</v>
      </c>
      <c r="D52" s="60" t="e">
        <f t="shared" si="1"/>
        <v>#DIV/0!</v>
      </c>
      <c r="E52" s="60" t="e">
        <f t="shared" si="0"/>
        <v>#DIV/0!</v>
      </c>
      <c r="F52" s="51" t="e">
        <f t="shared" si="4"/>
        <v>#DIV/0!</v>
      </c>
      <c r="G52" s="52" t="e">
        <f>IF(D52=D51,"",_xlfn.IFNA(VLOOKUP(D52,'인원 입력 기능'!$DC$5:$DF$55,4,FALSE),0))</f>
        <v>#DIV/0!</v>
      </c>
      <c r="H52" s="53" t="e">
        <f t="shared" si="2"/>
        <v>#DIV/0!</v>
      </c>
      <c r="I52" s="57" t="e">
        <f>SUM($G$7:G52)</f>
        <v>#DIV/0!</v>
      </c>
      <c r="J52" s="55" t="e">
        <f t="shared" si="3"/>
        <v>#DIV/0!</v>
      </c>
      <c r="K52" s="25"/>
      <c r="M52" s="1"/>
    </row>
    <row r="53" spans="1:13" ht="25" customHeight="1">
      <c r="A53" s="5"/>
      <c r="B53" s="24"/>
      <c r="C53" s="49">
        <v>4</v>
      </c>
      <c r="D53" s="50" t="e">
        <f t="shared" si="1"/>
        <v>#DIV/0!</v>
      </c>
      <c r="E53" s="50" t="e">
        <f t="shared" si="0"/>
        <v>#DIV/0!</v>
      </c>
      <c r="F53" s="51" t="e">
        <f t="shared" si="4"/>
        <v>#DIV/0!</v>
      </c>
      <c r="G53" s="52" t="e">
        <f>IF(D53=D52,"",_xlfn.IFNA(VLOOKUP(D53,'인원 입력 기능'!$DC$5:$DF$55,4,FALSE),0))</f>
        <v>#DIV/0!</v>
      </c>
      <c r="H53" s="53" t="e">
        <f t="shared" si="2"/>
        <v>#DIV/0!</v>
      </c>
      <c r="I53" s="57" t="e">
        <f>SUM($G$7:G53)</f>
        <v>#DIV/0!</v>
      </c>
      <c r="J53" s="55" t="e">
        <f t="shared" si="3"/>
        <v>#DIV/0!</v>
      </c>
      <c r="K53" s="25"/>
      <c r="M53" s="1"/>
    </row>
    <row r="54" spans="1:13" ht="25" customHeight="1">
      <c r="A54" s="5"/>
      <c r="B54" s="24"/>
      <c r="C54" s="56">
        <v>3</v>
      </c>
      <c r="D54" s="50" t="e">
        <f t="shared" si="1"/>
        <v>#DIV/0!</v>
      </c>
      <c r="E54" s="50" t="e">
        <f t="shared" si="0"/>
        <v>#DIV/0!</v>
      </c>
      <c r="F54" s="51" t="e">
        <f t="shared" si="4"/>
        <v>#DIV/0!</v>
      </c>
      <c r="G54" s="52" t="e">
        <f>IF(D54=D53,"",_xlfn.IFNA(VLOOKUP(D54,'인원 입력 기능'!$DC$5:$DF$55,4,FALSE),0))</f>
        <v>#DIV/0!</v>
      </c>
      <c r="H54" s="53" t="e">
        <f t="shared" si="2"/>
        <v>#DIV/0!</v>
      </c>
      <c r="I54" s="57" t="e">
        <f>SUM($G$7:G54)</f>
        <v>#DIV/0!</v>
      </c>
      <c r="J54" s="55" t="e">
        <f t="shared" si="3"/>
        <v>#DIV/0!</v>
      </c>
      <c r="K54" s="25"/>
      <c r="M54" s="1"/>
    </row>
    <row r="55" spans="1:13" ht="25" customHeight="1">
      <c r="A55" s="5"/>
      <c r="B55" s="24"/>
      <c r="C55" s="49">
        <v>2</v>
      </c>
      <c r="D55" s="50" t="e">
        <f t="shared" si="1"/>
        <v>#DIV/0!</v>
      </c>
      <c r="E55" s="50" t="e">
        <f t="shared" si="0"/>
        <v>#DIV/0!</v>
      </c>
      <c r="F55" s="51" t="e">
        <f t="shared" si="4"/>
        <v>#DIV/0!</v>
      </c>
      <c r="G55" s="52" t="e">
        <f>IF(D55=D54,"",_xlfn.IFNA(VLOOKUP(D55,'인원 입력 기능'!$DC$5:$DF$55,4,FALSE),0))</f>
        <v>#DIV/0!</v>
      </c>
      <c r="H55" s="53" t="e">
        <f t="shared" si="2"/>
        <v>#DIV/0!</v>
      </c>
      <c r="I55" s="57" t="e">
        <f>SUM($G$7:G55)</f>
        <v>#DIV/0!</v>
      </c>
      <c r="J55" s="55" t="e">
        <f t="shared" si="3"/>
        <v>#DIV/0!</v>
      </c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 t="e">
        <f>ROUND(10*(C57-$H$3)/$H$4+50,0)</f>
        <v>#DIV/0!</v>
      </c>
      <c r="E57" s="66" t="e">
        <f t="shared" si="0"/>
        <v>#DIV/0!</v>
      </c>
      <c r="F57" s="67" t="e">
        <f>IF(I55=0,ROUND(100*(1-(I54+I57)/2/$J$3),0),ROUND(100*(1-(I55+I57)/2/$J$3),0))</f>
        <v>#DIV/0!</v>
      </c>
      <c r="G57" s="68" t="e">
        <f>_xlfn.IFNA(VLOOKUP(D57,'인원 입력 기능'!$DC$5:$DF$55,4,FALSE),0)</f>
        <v>#DIV/0!</v>
      </c>
      <c r="H57" s="69" t="e">
        <f>G57/J3</f>
        <v>#DIV/0!</v>
      </c>
      <c r="I57" s="70" t="e">
        <f>SUM($G$7:G57)</f>
        <v>#DIV/0!</v>
      </c>
      <c r="J57" s="71" t="e">
        <f>I57/J3</f>
        <v>#DIV/0!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7 D57:J57 D9:J55">
    <cfRule type="expression" dxfId="13" priority="7">
      <formula>OR($D7=$P$7:$P$14)</formula>
    </cfRule>
  </conditionalFormatting>
  <conditionalFormatting sqref="C7:C57">
    <cfRule type="expression" dxfId="12" priority="6">
      <formula>OR(AND($D7=0,OR($D6=$P$7:$P$14)),AND($D8&gt;0,OR($D7=$P$7:$P$14)))</formula>
    </cfRule>
  </conditionalFormatting>
  <conditionalFormatting sqref="D7 D57 D9:D55">
    <cfRule type="expression" dxfId="11" priority="5">
      <formula>$D7=$D8</formula>
    </cfRule>
  </conditionalFormatting>
  <conditionalFormatting sqref="D56">
    <cfRule type="expression" dxfId="10" priority="4">
      <formula>OR($D56=$P$7:$P$14)</formula>
    </cfRule>
  </conditionalFormatting>
  <conditionalFormatting sqref="D56">
    <cfRule type="expression" dxfId="9" priority="3">
      <formula>$D56=$D57</formula>
    </cfRule>
  </conditionalFormatting>
  <conditionalFormatting sqref="D8">
    <cfRule type="expression" dxfId="8" priority="2">
      <formula>OR($D8=$P$7:$P$14)</formula>
    </cfRule>
  </conditionalFormatting>
  <conditionalFormatting sqref="D8">
    <cfRule type="expression" dxfId="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87B5-175F-43AD-9228-5AE37A0C27DF}">
  <sheetPr codeName="Sheet26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49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22"/>
      <c r="C2" s="30"/>
      <c r="D2" s="30"/>
      <c r="E2" s="30"/>
      <c r="F2" s="30"/>
      <c r="G2" s="30"/>
      <c r="H2" s="30"/>
      <c r="I2" s="30"/>
      <c r="J2" s="30"/>
      <c r="K2" s="23"/>
    </row>
    <row r="3" spans="1:16" ht="25" customHeight="1" thickBot="1">
      <c r="A3" s="5"/>
      <c r="B3" s="24"/>
      <c r="C3" s="41" t="s">
        <v>52</v>
      </c>
      <c r="D3" s="239" t="s">
        <v>122</v>
      </c>
      <c r="E3" s="240"/>
      <c r="F3" s="241"/>
      <c r="G3" s="41" t="s">
        <v>53</v>
      </c>
      <c r="H3" s="107">
        <f>'통계 및 응시자 수 입력 기능'!D26</f>
        <v>29.79</v>
      </c>
      <c r="I3" s="109" t="s">
        <v>54</v>
      </c>
      <c r="J3" s="110">
        <f>'통계 및 응시자 수 입력 기능'!C26</f>
        <v>1034</v>
      </c>
      <c r="K3" s="25"/>
    </row>
    <row r="4" spans="1:16" ht="25" customHeight="1" thickBot="1">
      <c r="A4" s="5"/>
      <c r="B4" s="24"/>
      <c r="C4" s="42" t="s">
        <v>55</v>
      </c>
      <c r="D4" s="249" t="s">
        <v>58</v>
      </c>
      <c r="E4" s="243"/>
      <c r="F4" s="244"/>
      <c r="G4" s="43" t="s">
        <v>57</v>
      </c>
      <c r="H4" s="108">
        <f>'통계 및 응시자 수 입력 기능'!E26</f>
        <v>12.93</v>
      </c>
      <c r="I4" s="15"/>
      <c r="J4" s="15"/>
      <c r="K4" s="25"/>
    </row>
    <row r="5" spans="1:16" ht="25" customHeight="1" thickBot="1">
      <c r="A5" s="5"/>
      <c r="B5" s="24"/>
      <c r="C5" s="15"/>
      <c r="D5" s="15"/>
      <c r="E5" s="15"/>
      <c r="F5" s="15"/>
      <c r="G5" s="248" t="s">
        <v>120</v>
      </c>
      <c r="H5" s="248"/>
      <c r="I5" s="248"/>
      <c r="J5" s="248"/>
      <c r="K5" s="25"/>
    </row>
    <row r="6" spans="1:16" ht="25" customHeight="1" thickBot="1">
      <c r="A6" s="5"/>
      <c r="B6" s="24"/>
      <c r="C6" s="45" t="s">
        <v>78</v>
      </c>
      <c r="D6" s="46" t="s">
        <v>79</v>
      </c>
      <c r="E6" s="46" t="s">
        <v>80</v>
      </c>
      <c r="F6" s="46" t="s">
        <v>81</v>
      </c>
      <c r="G6" s="46" t="s">
        <v>82</v>
      </c>
      <c r="H6" s="47" t="s">
        <v>83</v>
      </c>
      <c r="I6" s="47" t="s">
        <v>84</v>
      </c>
      <c r="J6" s="48" t="s">
        <v>85</v>
      </c>
      <c r="K6" s="25"/>
      <c r="L6" s="3"/>
      <c r="M6" s="4"/>
    </row>
    <row r="7" spans="1:16" ht="25" customHeight="1">
      <c r="A7" s="5"/>
      <c r="B7" s="24"/>
      <c r="C7" s="49">
        <v>50</v>
      </c>
      <c r="D7" s="50">
        <f>ROUND(10*(C7-$H$3)/$H$4+50,0)</f>
        <v>66</v>
      </c>
      <c r="E7" s="50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51">
        <f>ROUND(100*(1-(0+I7)/2/$J$3),0)</f>
        <v>96</v>
      </c>
      <c r="G7" s="52">
        <f>_xlfn.IFNA(VLOOKUP(D7,'인원 입력 기능'!$DH$5:$DK$55,4,FALSE),0)</f>
        <v>85</v>
      </c>
      <c r="H7" s="53">
        <f>G7/J3</f>
        <v>8.2205029013539654E-2</v>
      </c>
      <c r="I7" s="54">
        <f>G7</f>
        <v>85</v>
      </c>
      <c r="J7" s="55">
        <f>I7/J3</f>
        <v>8.2205029013539654E-2</v>
      </c>
      <c r="K7" s="25"/>
      <c r="M7" s="1"/>
      <c r="O7" s="1">
        <v>1</v>
      </c>
      <c r="P7" s="1">
        <f>'표준점수 등급컷 입력기능'!E80</f>
        <v>66</v>
      </c>
    </row>
    <row r="8" spans="1:16" ht="25" customHeight="1">
      <c r="A8" s="5"/>
      <c r="B8" s="24"/>
      <c r="C8" s="56">
        <v>49</v>
      </c>
      <c r="D8" s="245" t="s">
        <v>35</v>
      </c>
      <c r="E8" s="246"/>
      <c r="F8" s="246"/>
      <c r="G8" s="246"/>
      <c r="H8" s="246"/>
      <c r="I8" s="246"/>
      <c r="J8" s="247"/>
      <c r="K8" s="25"/>
      <c r="M8" s="1"/>
      <c r="O8" s="1">
        <v>2</v>
      </c>
      <c r="P8" s="1">
        <f>'표준점수 등급컷 입력기능'!E81</f>
        <v>63</v>
      </c>
    </row>
    <row r="9" spans="1:16" ht="25" customHeight="1">
      <c r="A9" s="5"/>
      <c r="B9" s="24"/>
      <c r="C9" s="49">
        <v>48</v>
      </c>
      <c r="D9" s="50">
        <f>ROUND(10*(C9-$H$3)/$H$4+50,0)</f>
        <v>64</v>
      </c>
      <c r="E9" s="50">
        <f t="shared" si="0"/>
        <v>2</v>
      </c>
      <c r="F9" s="51">
        <f>IF(I8=0,ROUND(100*(1-(I7+I9)/2/$J$3),0),ROUND(100*(1-(I8+I9)/2/$J$3),0))</f>
        <v>91</v>
      </c>
      <c r="G9" s="52">
        <f>_xlfn.IFNA(VLOOKUP(D9,'인원 입력 기능'!$DH$5:$DK$55,4,FALSE),0)</f>
        <v>11</v>
      </c>
      <c r="H9" s="53">
        <f>G9/$J$3</f>
        <v>1.0638297872340425E-2</v>
      </c>
      <c r="I9" s="57">
        <f>SUM($G$7:G9)</f>
        <v>96</v>
      </c>
      <c r="J9" s="55">
        <f>I9/$J$3</f>
        <v>9.2843326885880081E-2</v>
      </c>
      <c r="K9" s="25"/>
      <c r="M9" s="1"/>
      <c r="O9" s="1">
        <v>3</v>
      </c>
      <c r="P9" s="1">
        <f>'표준점수 등급컷 입력기능'!E82</f>
        <v>61</v>
      </c>
    </row>
    <row r="10" spans="1:16" ht="25" customHeight="1">
      <c r="A10" s="5"/>
      <c r="B10" s="24"/>
      <c r="C10" s="56">
        <v>47</v>
      </c>
      <c r="D10" s="261">
        <f t="shared" ref="D10:D55" si="1">ROUND(10*(C10-$H$3)/$H$4+50,0)</f>
        <v>63</v>
      </c>
      <c r="E10" s="261">
        <f t="shared" si="0"/>
        <v>2</v>
      </c>
      <c r="F10" s="263">
        <f>IF(I9=0,ROUND(100*(1-(I8+I10)/2/$J$3),0),ROUND(100*(1-(I9+I10)/2/$J$3),0))</f>
        <v>87</v>
      </c>
      <c r="G10" s="265">
        <f>IF(D10=D9,"",_xlfn.IFNA(VLOOKUP(D10,'인원 입력 기능'!$DH$5:$DK$55,4,FALSE),0))</f>
        <v>79</v>
      </c>
      <c r="H10" s="266">
        <f t="shared" ref="H10:H55" si="2">G10/$J$3</f>
        <v>7.6402321083172145E-2</v>
      </c>
      <c r="I10" s="268">
        <f>SUM($G$7:G10)</f>
        <v>175</v>
      </c>
      <c r="J10" s="270">
        <f t="shared" ref="J10:J55" si="3">I10/$J$3</f>
        <v>0.16924564796905223</v>
      </c>
      <c r="K10" s="25"/>
      <c r="M10" s="1"/>
      <c r="O10" s="1">
        <v>4</v>
      </c>
      <c r="P10" s="1">
        <f>'표준점수 등급컷 입력기능'!E83</f>
        <v>53</v>
      </c>
    </row>
    <row r="11" spans="1:16" ht="25" customHeight="1">
      <c r="A11" s="5"/>
      <c r="B11" s="24"/>
      <c r="C11" s="49">
        <v>46</v>
      </c>
      <c r="D11" s="260"/>
      <c r="E11" s="260"/>
      <c r="F11" s="262"/>
      <c r="G11" s="264"/>
      <c r="H11" s="267"/>
      <c r="I11" s="269"/>
      <c r="J11" s="271"/>
      <c r="K11" s="25"/>
      <c r="M11" s="1"/>
      <c r="O11" s="1">
        <v>5</v>
      </c>
      <c r="P11" s="1">
        <f>'표준점수 등급컷 입력기능'!E84</f>
        <v>46</v>
      </c>
    </row>
    <row r="12" spans="1:16" ht="25" customHeight="1">
      <c r="A12" s="5"/>
      <c r="B12" s="24"/>
      <c r="C12" s="56">
        <v>45</v>
      </c>
      <c r="D12" s="50">
        <f t="shared" si="1"/>
        <v>62</v>
      </c>
      <c r="E12" s="50">
        <f t="shared" si="0"/>
        <v>3</v>
      </c>
      <c r="F12" s="51">
        <f t="shared" ref="F11:F55" si="4">IF(I11=0,ROUND(100*(1-(I10+I12)/2/$J$3),0),ROUND(100*(1-(I11+I12)/2/$J$3),0))</f>
        <v>82</v>
      </c>
      <c r="G12" s="52">
        <f>IF(D12=D11,"",_xlfn.IFNA(VLOOKUP(D12,'인원 입력 기능'!$DH$5:$DK$55,4,FALSE),0))</f>
        <v>21</v>
      </c>
      <c r="H12" s="53">
        <f t="shared" si="2"/>
        <v>2.0309477756286266E-2</v>
      </c>
      <c r="I12" s="57">
        <f>SUM($G$7:G12)</f>
        <v>196</v>
      </c>
      <c r="J12" s="55">
        <f t="shared" si="3"/>
        <v>0.1895551257253385</v>
      </c>
      <c r="K12" s="25"/>
      <c r="M12" s="1"/>
      <c r="O12" s="1">
        <v>6</v>
      </c>
      <c r="P12" s="1">
        <f>'표준점수 등급컷 입력기능'!E85</f>
        <v>41</v>
      </c>
    </row>
    <row r="13" spans="1:16" ht="25" customHeight="1">
      <c r="A13" s="5"/>
      <c r="B13" s="24"/>
      <c r="C13" s="49">
        <v>44</v>
      </c>
      <c r="D13" s="50">
        <f t="shared" si="1"/>
        <v>61</v>
      </c>
      <c r="E13" s="50">
        <f t="shared" si="0"/>
        <v>3</v>
      </c>
      <c r="F13" s="51">
        <f t="shared" si="4"/>
        <v>79</v>
      </c>
      <c r="G13" s="52">
        <f>IF(D13=D12,"",_xlfn.IFNA(VLOOKUP(D13,'인원 입력 기능'!$DH$5:$DK$55,4,FALSE),0))</f>
        <v>51</v>
      </c>
      <c r="H13" s="53">
        <f t="shared" si="2"/>
        <v>4.9323017408123788E-2</v>
      </c>
      <c r="I13" s="57">
        <f>SUM($G$7:G13)</f>
        <v>247</v>
      </c>
      <c r="J13" s="55">
        <f t="shared" si="3"/>
        <v>0.23887814313346228</v>
      </c>
      <c r="K13" s="25"/>
      <c r="M13" s="1"/>
      <c r="O13" s="1">
        <v>7</v>
      </c>
      <c r="P13" s="1">
        <f>'표준점수 등급컷 입력기능'!E86</f>
        <v>38</v>
      </c>
    </row>
    <row r="14" spans="1:16" ht="25" customHeight="1">
      <c r="A14" s="5"/>
      <c r="B14" s="24"/>
      <c r="C14" s="56">
        <v>43</v>
      </c>
      <c r="D14" s="50">
        <f t="shared" si="1"/>
        <v>60</v>
      </c>
      <c r="E14" s="50">
        <f t="shared" si="0"/>
        <v>4</v>
      </c>
      <c r="F14" s="51">
        <f t="shared" si="4"/>
        <v>76</v>
      </c>
      <c r="G14" s="52">
        <f>IF(D14=D13,"",_xlfn.IFNA(VLOOKUP(D14,'인원 입력 기능'!$DH$5:$DK$55,4,FALSE),0))</f>
        <v>8</v>
      </c>
      <c r="H14" s="53">
        <f t="shared" si="2"/>
        <v>7.7369439071566732E-3</v>
      </c>
      <c r="I14" s="57">
        <f>SUM($G$7:G14)</f>
        <v>255</v>
      </c>
      <c r="J14" s="55">
        <f t="shared" si="3"/>
        <v>0.24661508704061896</v>
      </c>
      <c r="K14" s="25"/>
      <c r="M14" s="1"/>
      <c r="O14" s="1">
        <v>8</v>
      </c>
      <c r="P14" s="1">
        <f>'표준점수 등급컷 입력기능'!E87</f>
        <v>35</v>
      </c>
    </row>
    <row r="15" spans="1:16" ht="25" customHeight="1">
      <c r="A15" s="5"/>
      <c r="B15" s="24"/>
      <c r="C15" s="49">
        <v>42</v>
      </c>
      <c r="D15" s="261">
        <f t="shared" si="1"/>
        <v>59</v>
      </c>
      <c r="E15" s="261">
        <f t="shared" si="0"/>
        <v>4</v>
      </c>
      <c r="F15" s="263">
        <f t="shared" si="4"/>
        <v>72</v>
      </c>
      <c r="G15" s="265">
        <f>IF(D15=D14,"",_xlfn.IFNA(VLOOKUP(D15,'인원 입력 기능'!$DH$5:$DK$55,4,FALSE),0))</f>
        <v>60</v>
      </c>
      <c r="H15" s="266">
        <f t="shared" si="2"/>
        <v>5.8027079303675046E-2</v>
      </c>
      <c r="I15" s="268">
        <f>SUM($G$7:G15)</f>
        <v>315</v>
      </c>
      <c r="J15" s="270">
        <f t="shared" si="3"/>
        <v>0.30464216634429403</v>
      </c>
      <c r="K15" s="25"/>
      <c r="M15" s="1"/>
      <c r="O15" s="1">
        <v>9</v>
      </c>
      <c r="P15" s="1"/>
    </row>
    <row r="16" spans="1:16" ht="25" customHeight="1">
      <c r="A16" s="5"/>
      <c r="B16" s="24"/>
      <c r="C16" s="56">
        <v>41</v>
      </c>
      <c r="D16" s="260"/>
      <c r="E16" s="260"/>
      <c r="F16" s="262"/>
      <c r="G16" s="264"/>
      <c r="H16" s="267"/>
      <c r="I16" s="269"/>
      <c r="J16" s="271"/>
      <c r="K16" s="25"/>
      <c r="M16" s="1"/>
    </row>
    <row r="17" spans="1:16" ht="25" customHeight="1">
      <c r="A17" s="5"/>
      <c r="B17" s="24"/>
      <c r="C17" s="49">
        <v>40</v>
      </c>
      <c r="D17" s="50">
        <f t="shared" si="1"/>
        <v>58</v>
      </c>
      <c r="E17" s="50">
        <f t="shared" si="0"/>
        <v>4</v>
      </c>
      <c r="F17" s="51">
        <f t="shared" si="4"/>
        <v>69</v>
      </c>
      <c r="G17" s="52">
        <f>IF(D17=D16,"",_xlfn.IFNA(VLOOKUP(D17,'인원 입력 기능'!$DH$5:$DK$55,4,FALSE),0))</f>
        <v>6</v>
      </c>
      <c r="H17" s="53">
        <f t="shared" si="2"/>
        <v>5.8027079303675051E-3</v>
      </c>
      <c r="I17" s="57">
        <f>SUM($G$7:G17)</f>
        <v>321</v>
      </c>
      <c r="J17" s="55">
        <f t="shared" si="3"/>
        <v>0.3104448742746615</v>
      </c>
      <c r="K17" s="25"/>
      <c r="M17" s="1"/>
      <c r="P17" s="1">
        <f>H3*H4*J3*P7*IFERROR(IF(J57=1, 1, 0), 0)</f>
        <v>26286544.6668</v>
      </c>
    </row>
    <row r="18" spans="1:16" ht="25" customHeight="1">
      <c r="A18" s="5"/>
      <c r="B18" s="24"/>
      <c r="C18" s="56">
        <v>39</v>
      </c>
      <c r="D18" s="50">
        <f t="shared" si="1"/>
        <v>57</v>
      </c>
      <c r="E18" s="50">
        <f t="shared" si="0"/>
        <v>4</v>
      </c>
      <c r="F18" s="51">
        <f t="shared" si="4"/>
        <v>68</v>
      </c>
      <c r="G18" s="52">
        <f>IF(D18=D17,"",_xlfn.IFNA(VLOOKUP(D18,'인원 입력 기능'!$DH$5:$DK$55,4,FALSE),0))</f>
        <v>23</v>
      </c>
      <c r="H18" s="53">
        <f t="shared" si="2"/>
        <v>2.2243713733075435E-2</v>
      </c>
      <c r="I18" s="57">
        <f>SUM($G$7:G18)</f>
        <v>344</v>
      </c>
      <c r="J18" s="55">
        <f t="shared" si="3"/>
        <v>0.33268858800773693</v>
      </c>
      <c r="K18" s="25"/>
      <c r="M18" s="1"/>
    </row>
    <row r="19" spans="1:16" ht="25" customHeight="1">
      <c r="A19" s="5"/>
      <c r="B19" s="24"/>
      <c r="C19" s="49">
        <v>38</v>
      </c>
      <c r="D19" s="261">
        <f t="shared" si="1"/>
        <v>56</v>
      </c>
      <c r="E19" s="261">
        <f t="shared" si="0"/>
        <v>4</v>
      </c>
      <c r="F19" s="263">
        <f t="shared" si="4"/>
        <v>65</v>
      </c>
      <c r="G19" s="265">
        <f>IF(D19=D18,"",_xlfn.IFNA(VLOOKUP(D19,'인원 입력 기능'!$DH$5:$DK$55,4,FALSE),0))</f>
        <v>28</v>
      </c>
      <c r="H19" s="266">
        <f t="shared" si="2"/>
        <v>2.7079303675048357E-2</v>
      </c>
      <c r="I19" s="268">
        <f>SUM($G$7:G19)</f>
        <v>372</v>
      </c>
      <c r="J19" s="270">
        <f t="shared" si="3"/>
        <v>0.35976789168278528</v>
      </c>
      <c r="K19" s="25"/>
      <c r="M19" s="1"/>
    </row>
    <row r="20" spans="1:16" ht="25" customHeight="1">
      <c r="A20" s="5"/>
      <c r="B20" s="24"/>
      <c r="C20" s="56">
        <v>37</v>
      </c>
      <c r="D20" s="260"/>
      <c r="E20" s="260"/>
      <c r="F20" s="262"/>
      <c r="G20" s="264"/>
      <c r="H20" s="267"/>
      <c r="I20" s="269"/>
      <c r="J20" s="271"/>
      <c r="K20" s="25"/>
      <c r="M20" s="1"/>
    </row>
    <row r="21" spans="1:16" ht="25" customHeight="1">
      <c r="A21" s="5"/>
      <c r="B21" s="24"/>
      <c r="C21" s="58">
        <v>36</v>
      </c>
      <c r="D21" s="60">
        <f t="shared" si="1"/>
        <v>55</v>
      </c>
      <c r="E21" s="60">
        <f t="shared" si="0"/>
        <v>4</v>
      </c>
      <c r="F21" s="51">
        <f t="shared" si="4"/>
        <v>63</v>
      </c>
      <c r="G21" s="52">
        <f>IF(D21=D20,"",_xlfn.IFNA(VLOOKUP(D21,'인원 입력 기능'!$DH$5:$DK$55,4,FALSE),0))</f>
        <v>15</v>
      </c>
      <c r="H21" s="53">
        <f t="shared" si="2"/>
        <v>1.4506769825918761E-2</v>
      </c>
      <c r="I21" s="57">
        <f>SUM($G$7:G21)</f>
        <v>387</v>
      </c>
      <c r="J21" s="55">
        <f t="shared" si="3"/>
        <v>0.37427466150870409</v>
      </c>
      <c r="K21" s="25"/>
      <c r="M21" s="1"/>
    </row>
    <row r="22" spans="1:16" ht="25" customHeight="1">
      <c r="A22" s="5"/>
      <c r="B22" s="24"/>
      <c r="C22" s="59">
        <v>35</v>
      </c>
      <c r="D22" s="60">
        <f t="shared" si="1"/>
        <v>54</v>
      </c>
      <c r="E22" s="60">
        <f t="shared" si="0"/>
        <v>4</v>
      </c>
      <c r="F22" s="51">
        <f t="shared" si="4"/>
        <v>62</v>
      </c>
      <c r="G22" s="52">
        <f>IF(D22=D21,"",_xlfn.IFNA(VLOOKUP(D22,'인원 입력 기능'!$DH$5:$DK$55,4,FALSE),0))</f>
        <v>15</v>
      </c>
      <c r="H22" s="53">
        <f t="shared" si="2"/>
        <v>1.4506769825918761E-2</v>
      </c>
      <c r="I22" s="57">
        <f>SUM($G$7:G22)</f>
        <v>402</v>
      </c>
      <c r="J22" s="55">
        <f t="shared" si="3"/>
        <v>0.38878143133462284</v>
      </c>
      <c r="K22" s="25"/>
      <c r="M22" s="1"/>
    </row>
    <row r="23" spans="1:16" ht="25" customHeight="1">
      <c r="A23" s="5"/>
      <c r="B23" s="24"/>
      <c r="C23" s="58">
        <v>34</v>
      </c>
      <c r="D23" s="60">
        <f t="shared" si="1"/>
        <v>53</v>
      </c>
      <c r="E23" s="60">
        <f t="shared" si="0"/>
        <v>4</v>
      </c>
      <c r="F23" s="51">
        <f t="shared" si="4"/>
        <v>61</v>
      </c>
      <c r="G23" s="52">
        <f>IF(D23=D22,"",_xlfn.IFNA(VLOOKUP(D23,'인원 입력 기능'!$DH$5:$DK$55,4,FALSE),0))</f>
        <v>12</v>
      </c>
      <c r="H23" s="53">
        <f t="shared" si="2"/>
        <v>1.160541586073501E-2</v>
      </c>
      <c r="I23" s="57">
        <f>SUM($G$7:G23)</f>
        <v>414</v>
      </c>
      <c r="J23" s="55">
        <f t="shared" si="3"/>
        <v>0.40038684719535783</v>
      </c>
      <c r="K23" s="25"/>
      <c r="M23" s="1"/>
    </row>
    <row r="24" spans="1:16" ht="25" customHeight="1">
      <c r="A24" s="5"/>
      <c r="B24" s="24"/>
      <c r="C24" s="59">
        <v>33</v>
      </c>
      <c r="D24" s="273">
        <f t="shared" si="1"/>
        <v>52</v>
      </c>
      <c r="E24" s="273">
        <f t="shared" si="0"/>
        <v>5</v>
      </c>
      <c r="F24" s="263">
        <f t="shared" si="4"/>
        <v>59</v>
      </c>
      <c r="G24" s="265">
        <f>IF(D24=D23,"",_xlfn.IFNA(VLOOKUP(D24,'인원 입력 기능'!$DH$5:$DK$55,4,FALSE),0))</f>
        <v>29</v>
      </c>
      <c r="H24" s="266">
        <f t="shared" si="2"/>
        <v>2.8046421663442941E-2</v>
      </c>
      <c r="I24" s="268">
        <f>SUM($G$7:G24)</f>
        <v>443</v>
      </c>
      <c r="J24" s="270">
        <f t="shared" si="3"/>
        <v>0.42843326885880079</v>
      </c>
      <c r="K24" s="25"/>
      <c r="M24" s="1"/>
    </row>
    <row r="25" spans="1:16" ht="25" customHeight="1">
      <c r="A25" s="5"/>
      <c r="B25" s="24"/>
      <c r="C25" s="58">
        <v>32</v>
      </c>
      <c r="D25" s="272"/>
      <c r="E25" s="272"/>
      <c r="F25" s="262"/>
      <c r="G25" s="264"/>
      <c r="H25" s="267"/>
      <c r="I25" s="269"/>
      <c r="J25" s="271"/>
      <c r="K25" s="25"/>
      <c r="M25" s="1"/>
    </row>
    <row r="26" spans="1:16" ht="25" customHeight="1">
      <c r="A26" s="5"/>
      <c r="B26" s="24"/>
      <c r="C26" s="59">
        <v>31</v>
      </c>
      <c r="D26" s="60">
        <f t="shared" si="1"/>
        <v>51</v>
      </c>
      <c r="E26" s="60">
        <f t="shared" si="0"/>
        <v>5</v>
      </c>
      <c r="F26" s="51">
        <f t="shared" si="4"/>
        <v>56</v>
      </c>
      <c r="G26" s="52">
        <f>IF(D26=D25,"",_xlfn.IFNA(VLOOKUP(D26,'인원 입력 기능'!$DH$5:$DK$55,4,FALSE),0))</f>
        <v>15</v>
      </c>
      <c r="H26" s="53">
        <f t="shared" si="2"/>
        <v>1.4506769825918761E-2</v>
      </c>
      <c r="I26" s="57">
        <f>SUM($G$7:G26)</f>
        <v>458</v>
      </c>
      <c r="J26" s="55">
        <f t="shared" si="3"/>
        <v>0.44294003868471954</v>
      </c>
      <c r="K26" s="25"/>
      <c r="M26" s="1"/>
    </row>
    <row r="27" spans="1:16" ht="25" customHeight="1">
      <c r="A27" s="5"/>
      <c r="B27" s="24"/>
      <c r="C27" s="58">
        <v>30</v>
      </c>
      <c r="D27" s="60">
        <f t="shared" si="1"/>
        <v>50</v>
      </c>
      <c r="E27" s="60">
        <f t="shared" si="0"/>
        <v>5</v>
      </c>
      <c r="F27" s="51">
        <f t="shared" si="4"/>
        <v>54</v>
      </c>
      <c r="G27" s="52">
        <f>IF(D27=D26,"",_xlfn.IFNA(VLOOKUP(D27,'인원 입력 기능'!$DH$5:$DK$55,4,FALSE),0))</f>
        <v>25</v>
      </c>
      <c r="H27" s="53">
        <f t="shared" si="2"/>
        <v>2.4177949709864602E-2</v>
      </c>
      <c r="I27" s="57">
        <f>SUM($G$7:G27)</f>
        <v>483</v>
      </c>
      <c r="J27" s="55">
        <f t="shared" si="3"/>
        <v>0.46711798839458413</v>
      </c>
      <c r="K27" s="25"/>
      <c r="M27" s="1"/>
    </row>
    <row r="28" spans="1:16" ht="25" customHeight="1">
      <c r="A28" s="5"/>
      <c r="B28" s="24"/>
      <c r="C28" s="59">
        <v>29</v>
      </c>
      <c r="D28" s="273">
        <f t="shared" si="1"/>
        <v>49</v>
      </c>
      <c r="E28" s="273">
        <f t="shared" si="0"/>
        <v>5</v>
      </c>
      <c r="F28" s="263">
        <f t="shared" si="4"/>
        <v>51</v>
      </c>
      <c r="G28" s="265">
        <f>IF(D28=D27,"",_xlfn.IFNA(VLOOKUP(D28,'인원 입력 기능'!$DH$5:$DK$55,4,FALSE),0))</f>
        <v>49</v>
      </c>
      <c r="H28" s="266">
        <f t="shared" si="2"/>
        <v>4.7388781431334626E-2</v>
      </c>
      <c r="I28" s="268">
        <f>SUM($G$7:G28)</f>
        <v>532</v>
      </c>
      <c r="J28" s="270">
        <f t="shared" si="3"/>
        <v>0.51450676982591881</v>
      </c>
      <c r="K28" s="25"/>
      <c r="M28" s="1"/>
    </row>
    <row r="29" spans="1:16" ht="25" customHeight="1">
      <c r="A29" s="5"/>
      <c r="B29" s="24"/>
      <c r="C29" s="58">
        <v>28</v>
      </c>
      <c r="D29" s="272"/>
      <c r="E29" s="272"/>
      <c r="F29" s="262"/>
      <c r="G29" s="264"/>
      <c r="H29" s="267"/>
      <c r="I29" s="269"/>
      <c r="J29" s="271"/>
      <c r="K29" s="25"/>
      <c r="M29" s="1"/>
    </row>
    <row r="30" spans="1:16" ht="25" customHeight="1">
      <c r="A30" s="5"/>
      <c r="B30" s="24"/>
      <c r="C30" s="59">
        <v>27</v>
      </c>
      <c r="D30" s="60">
        <f t="shared" si="1"/>
        <v>48</v>
      </c>
      <c r="E30" s="60">
        <f t="shared" si="0"/>
        <v>5</v>
      </c>
      <c r="F30" s="51">
        <f t="shared" si="4"/>
        <v>47</v>
      </c>
      <c r="G30" s="52">
        <f>IF(D30=D29,"",_xlfn.IFNA(VLOOKUP(D30,'인원 입력 기능'!$DH$5:$DK$55,4,FALSE),0))</f>
        <v>30</v>
      </c>
      <c r="H30" s="53">
        <f t="shared" si="2"/>
        <v>2.9013539651837523E-2</v>
      </c>
      <c r="I30" s="57">
        <f>SUM($G$7:G30)</f>
        <v>562</v>
      </c>
      <c r="J30" s="55">
        <f t="shared" si="3"/>
        <v>0.54352030947775631</v>
      </c>
      <c r="K30" s="25"/>
      <c r="M30" s="1"/>
    </row>
    <row r="31" spans="1:16" ht="25" customHeight="1">
      <c r="A31" s="5"/>
      <c r="B31" s="24"/>
      <c r="C31" s="58">
        <v>26</v>
      </c>
      <c r="D31" s="60">
        <f t="shared" si="1"/>
        <v>47</v>
      </c>
      <c r="E31" s="60">
        <f t="shared" si="0"/>
        <v>5</v>
      </c>
      <c r="F31" s="51">
        <f t="shared" si="4"/>
        <v>45</v>
      </c>
      <c r="G31" s="52">
        <f>IF(D31=D30,"",_xlfn.IFNA(VLOOKUP(D31,'인원 입력 기능'!$DH$5:$DK$55,4,FALSE),0))</f>
        <v>21</v>
      </c>
      <c r="H31" s="53">
        <f t="shared" si="2"/>
        <v>2.0309477756286266E-2</v>
      </c>
      <c r="I31" s="57">
        <f>SUM($G$7:G31)</f>
        <v>583</v>
      </c>
      <c r="J31" s="55">
        <f t="shared" si="3"/>
        <v>0.56382978723404253</v>
      </c>
      <c r="K31" s="25"/>
      <c r="M31" s="1"/>
    </row>
    <row r="32" spans="1:16" ht="25" customHeight="1">
      <c r="A32" s="5"/>
      <c r="B32" s="24"/>
      <c r="C32" s="59">
        <v>25</v>
      </c>
      <c r="D32" s="273">
        <f t="shared" si="1"/>
        <v>46</v>
      </c>
      <c r="E32" s="273">
        <f t="shared" si="0"/>
        <v>5</v>
      </c>
      <c r="F32" s="263">
        <f t="shared" si="4"/>
        <v>41</v>
      </c>
      <c r="G32" s="265">
        <f>IF(D32=D31,"",_xlfn.IFNA(VLOOKUP(D32,'인원 입력 기능'!$DH$5:$DK$55,4,FALSE),0))</f>
        <v>56</v>
      </c>
      <c r="H32" s="266">
        <f t="shared" si="2"/>
        <v>5.4158607350096713E-2</v>
      </c>
      <c r="I32" s="268">
        <f>SUM($G$7:G32)</f>
        <v>639</v>
      </c>
      <c r="J32" s="270">
        <f t="shared" si="3"/>
        <v>0.61798839458413923</v>
      </c>
      <c r="K32" s="25"/>
      <c r="M32" s="1"/>
    </row>
    <row r="33" spans="1:13" ht="25" customHeight="1">
      <c r="A33" s="5"/>
      <c r="B33" s="24"/>
      <c r="C33" s="58">
        <v>24</v>
      </c>
      <c r="D33" s="272"/>
      <c r="E33" s="272"/>
      <c r="F33" s="262"/>
      <c r="G33" s="264"/>
      <c r="H33" s="267"/>
      <c r="I33" s="269"/>
      <c r="J33" s="271"/>
      <c r="K33" s="25"/>
      <c r="M33" s="1"/>
    </row>
    <row r="34" spans="1:13" ht="25" customHeight="1">
      <c r="A34" s="5"/>
      <c r="B34" s="24"/>
      <c r="C34" s="59">
        <v>23</v>
      </c>
      <c r="D34" s="60">
        <f t="shared" si="1"/>
        <v>45</v>
      </c>
      <c r="E34" s="60">
        <f t="shared" si="0"/>
        <v>6</v>
      </c>
      <c r="F34" s="51">
        <f t="shared" si="4"/>
        <v>37</v>
      </c>
      <c r="G34" s="52">
        <f>IF(D34=D33,"",_xlfn.IFNA(VLOOKUP(D34,'인원 입력 기능'!$DH$5:$DK$55,4,FALSE),0))</f>
        <v>21</v>
      </c>
      <c r="H34" s="53">
        <f t="shared" si="2"/>
        <v>2.0309477756286266E-2</v>
      </c>
      <c r="I34" s="57">
        <f>SUM($G$7:G34)</f>
        <v>660</v>
      </c>
      <c r="J34" s="55">
        <f t="shared" si="3"/>
        <v>0.63829787234042556</v>
      </c>
      <c r="K34" s="25"/>
      <c r="M34" s="1"/>
    </row>
    <row r="35" spans="1:13" ht="25" customHeight="1">
      <c r="A35" s="5"/>
      <c r="B35" s="24"/>
      <c r="C35" s="58">
        <v>22</v>
      </c>
      <c r="D35" s="60">
        <f t="shared" si="1"/>
        <v>44</v>
      </c>
      <c r="E35" s="60">
        <f t="shared" si="0"/>
        <v>6</v>
      </c>
      <c r="F35" s="51">
        <f t="shared" si="4"/>
        <v>35</v>
      </c>
      <c r="G35" s="52">
        <f>IF(D35=D34,"",_xlfn.IFNA(VLOOKUP(D35,'인원 입력 기능'!$DH$5:$DK$55,4,FALSE),0))</f>
        <v>28</v>
      </c>
      <c r="H35" s="53">
        <f t="shared" si="2"/>
        <v>2.7079303675048357E-2</v>
      </c>
      <c r="I35" s="57">
        <f>SUM($G$7:G35)</f>
        <v>688</v>
      </c>
      <c r="J35" s="55">
        <f t="shared" si="3"/>
        <v>0.66537717601547386</v>
      </c>
      <c r="K35" s="25"/>
      <c r="M35" s="1"/>
    </row>
    <row r="36" spans="1:13" ht="25" customHeight="1">
      <c r="A36" s="5"/>
      <c r="B36" s="24"/>
      <c r="C36" s="59">
        <v>21</v>
      </c>
      <c r="D36" s="60">
        <f t="shared" si="1"/>
        <v>43</v>
      </c>
      <c r="E36" s="60">
        <f t="shared" si="0"/>
        <v>6</v>
      </c>
      <c r="F36" s="51">
        <f t="shared" si="4"/>
        <v>32</v>
      </c>
      <c r="G36" s="52">
        <f>IF(D36=D35,"",_xlfn.IFNA(VLOOKUP(D36,'인원 입력 기능'!$DH$5:$DK$55,4,FALSE),0))</f>
        <v>23</v>
      </c>
      <c r="H36" s="53">
        <f t="shared" si="2"/>
        <v>2.2243713733075435E-2</v>
      </c>
      <c r="I36" s="57">
        <f>SUM($G$7:G36)</f>
        <v>711</v>
      </c>
      <c r="J36" s="55">
        <f t="shared" si="3"/>
        <v>0.68762088974854929</v>
      </c>
      <c r="K36" s="25"/>
      <c r="M36" s="1"/>
    </row>
    <row r="37" spans="1:13" ht="25" customHeight="1">
      <c r="A37" s="5"/>
      <c r="B37" s="24"/>
      <c r="C37" s="58">
        <v>20</v>
      </c>
      <c r="D37" s="273">
        <f t="shared" si="1"/>
        <v>42</v>
      </c>
      <c r="E37" s="273">
        <f t="shared" si="0"/>
        <v>6</v>
      </c>
      <c r="F37" s="263">
        <f t="shared" si="4"/>
        <v>28</v>
      </c>
      <c r="G37" s="265">
        <f>IF(D37=D36,"",_xlfn.IFNA(VLOOKUP(D37,'인원 입력 기능'!$DH$5:$DK$55,4,FALSE),0))</f>
        <v>61</v>
      </c>
      <c r="H37" s="266">
        <f t="shared" si="2"/>
        <v>5.8994197292069631E-2</v>
      </c>
      <c r="I37" s="268">
        <f>SUM($G$7:G37)</f>
        <v>772</v>
      </c>
      <c r="J37" s="270">
        <f t="shared" si="3"/>
        <v>0.74661508704061896</v>
      </c>
      <c r="K37" s="25"/>
      <c r="M37" s="1"/>
    </row>
    <row r="38" spans="1:13" ht="25" customHeight="1">
      <c r="A38" s="5"/>
      <c r="B38" s="24"/>
      <c r="C38" s="59">
        <v>19</v>
      </c>
      <c r="D38" s="272"/>
      <c r="E38" s="272"/>
      <c r="F38" s="262"/>
      <c r="G38" s="264"/>
      <c r="H38" s="267"/>
      <c r="I38" s="269"/>
      <c r="J38" s="271"/>
      <c r="K38" s="25"/>
      <c r="M38" s="1"/>
    </row>
    <row r="39" spans="1:13" ht="25" customHeight="1">
      <c r="A39" s="5"/>
      <c r="B39" s="24"/>
      <c r="C39" s="58">
        <v>18</v>
      </c>
      <c r="D39" s="60">
        <f t="shared" si="1"/>
        <v>41</v>
      </c>
      <c r="E39" s="60">
        <f t="shared" si="0"/>
        <v>6</v>
      </c>
      <c r="F39" s="51">
        <f t="shared" si="4"/>
        <v>24</v>
      </c>
      <c r="G39" s="52">
        <f>IF(D39=D38,"",_xlfn.IFNA(VLOOKUP(D39,'인원 입력 기능'!$DH$5:$DK$55,4,FALSE),0))</f>
        <v>31</v>
      </c>
      <c r="H39" s="53">
        <f t="shared" si="2"/>
        <v>2.9980657640232108E-2</v>
      </c>
      <c r="I39" s="57">
        <f>SUM($G$7:G39)</f>
        <v>803</v>
      </c>
      <c r="J39" s="55">
        <f t="shared" si="3"/>
        <v>0.77659574468085102</v>
      </c>
      <c r="K39" s="25"/>
      <c r="M39" s="1"/>
    </row>
    <row r="40" spans="1:13" ht="25" customHeight="1">
      <c r="A40" s="5"/>
      <c r="B40" s="24"/>
      <c r="C40" s="59">
        <v>17</v>
      </c>
      <c r="D40" s="60">
        <f t="shared" si="1"/>
        <v>40</v>
      </c>
      <c r="E40" s="60">
        <f t="shared" si="0"/>
        <v>7</v>
      </c>
      <c r="F40" s="51">
        <f t="shared" si="4"/>
        <v>21</v>
      </c>
      <c r="G40" s="52">
        <f>IF(D40=D39,"",_xlfn.IFNA(VLOOKUP(D40,'인원 입력 기능'!$DH$5:$DK$55,4,FALSE),0))</f>
        <v>29</v>
      </c>
      <c r="H40" s="53">
        <f t="shared" si="2"/>
        <v>2.8046421663442941E-2</v>
      </c>
      <c r="I40" s="57">
        <f>SUM($G$7:G40)</f>
        <v>832</v>
      </c>
      <c r="J40" s="55">
        <f t="shared" si="3"/>
        <v>0.80464216634429397</v>
      </c>
      <c r="K40" s="25"/>
      <c r="M40" s="1"/>
    </row>
    <row r="41" spans="1:13" ht="25" customHeight="1">
      <c r="A41" s="5"/>
      <c r="B41" s="24"/>
      <c r="C41" s="58">
        <v>16</v>
      </c>
      <c r="D41" s="273">
        <f t="shared" si="1"/>
        <v>39</v>
      </c>
      <c r="E41" s="273">
        <f t="shared" si="0"/>
        <v>7</v>
      </c>
      <c r="F41" s="263">
        <f t="shared" si="4"/>
        <v>16</v>
      </c>
      <c r="G41" s="265">
        <f>IF(D41=D40,"",_xlfn.IFNA(VLOOKUP(D41,'인원 입력 기능'!$DH$5:$DK$55,4,FALSE),0))</f>
        <v>79</v>
      </c>
      <c r="H41" s="266">
        <f t="shared" si="2"/>
        <v>7.6402321083172145E-2</v>
      </c>
      <c r="I41" s="268">
        <f>SUM($G$7:G41)</f>
        <v>911</v>
      </c>
      <c r="J41" s="270">
        <f t="shared" si="3"/>
        <v>0.88104448742746611</v>
      </c>
      <c r="K41" s="25"/>
      <c r="M41" s="1"/>
    </row>
    <row r="42" spans="1:13" ht="25" customHeight="1">
      <c r="A42" s="5"/>
      <c r="B42" s="24"/>
      <c r="C42" s="59">
        <v>15</v>
      </c>
      <c r="D42" s="272"/>
      <c r="E42" s="272"/>
      <c r="F42" s="262"/>
      <c r="G42" s="264"/>
      <c r="H42" s="267"/>
      <c r="I42" s="269"/>
      <c r="J42" s="271"/>
      <c r="K42" s="25"/>
      <c r="M42" s="1"/>
    </row>
    <row r="43" spans="1:13" ht="25" customHeight="1">
      <c r="A43" s="5"/>
      <c r="B43" s="24"/>
      <c r="C43" s="58">
        <v>14</v>
      </c>
      <c r="D43" s="60">
        <f t="shared" si="1"/>
        <v>38</v>
      </c>
      <c r="E43" s="60">
        <f t="shared" si="0"/>
        <v>7</v>
      </c>
      <c r="F43" s="51">
        <f t="shared" si="4"/>
        <v>11</v>
      </c>
      <c r="G43" s="52">
        <f>IF(D43=D42,"",_xlfn.IFNA(VLOOKUP(D43,'인원 입력 기능'!$DH$5:$DK$55,4,FALSE),0))</f>
        <v>21</v>
      </c>
      <c r="H43" s="53">
        <f t="shared" si="2"/>
        <v>2.0309477756286266E-2</v>
      </c>
      <c r="I43" s="57">
        <f>SUM($G$7:G43)</f>
        <v>932</v>
      </c>
      <c r="J43" s="55">
        <f t="shared" si="3"/>
        <v>0.90135396518375244</v>
      </c>
      <c r="K43" s="25"/>
      <c r="M43" s="1"/>
    </row>
    <row r="44" spans="1:13" ht="25" customHeight="1">
      <c r="A44" s="5"/>
      <c r="B44" s="24"/>
      <c r="C44" s="59">
        <v>13</v>
      </c>
      <c r="D44" s="60">
        <f t="shared" si="1"/>
        <v>37</v>
      </c>
      <c r="E44" s="60">
        <f t="shared" si="0"/>
        <v>8</v>
      </c>
      <c r="F44" s="51">
        <f t="shared" si="4"/>
        <v>9</v>
      </c>
      <c r="G44" s="52">
        <f>IF(D44=D43,"",_xlfn.IFNA(VLOOKUP(D44,'인원 입력 기능'!$DH$5:$DK$55,4,FALSE),0))</f>
        <v>23</v>
      </c>
      <c r="H44" s="53">
        <f t="shared" si="2"/>
        <v>2.2243713733075435E-2</v>
      </c>
      <c r="I44" s="57">
        <f>SUM($G$7:G44)</f>
        <v>955</v>
      </c>
      <c r="J44" s="55">
        <f t="shared" si="3"/>
        <v>0.92359767891682787</v>
      </c>
      <c r="K44" s="25"/>
      <c r="M44" s="1"/>
    </row>
    <row r="45" spans="1:13" ht="25" customHeight="1">
      <c r="A45" s="5"/>
      <c r="B45" s="24"/>
      <c r="C45" s="58">
        <v>12</v>
      </c>
      <c r="D45" s="60">
        <f t="shared" si="1"/>
        <v>36</v>
      </c>
      <c r="E45" s="60">
        <f t="shared" si="0"/>
        <v>8</v>
      </c>
      <c r="F45" s="51">
        <f t="shared" si="4"/>
        <v>6</v>
      </c>
      <c r="G45" s="52">
        <f>IF(D45=D44,"",_xlfn.IFNA(VLOOKUP(D45,'인원 입력 기능'!$DH$5:$DK$55,4,FALSE),0))</f>
        <v>25</v>
      </c>
      <c r="H45" s="53">
        <f t="shared" si="2"/>
        <v>2.4177949709864602E-2</v>
      </c>
      <c r="I45" s="57">
        <f>SUM($G$7:G45)</f>
        <v>980</v>
      </c>
      <c r="J45" s="55">
        <f t="shared" si="3"/>
        <v>0.9477756286266924</v>
      </c>
      <c r="K45" s="25"/>
      <c r="M45" s="1"/>
    </row>
    <row r="46" spans="1:13" ht="25" customHeight="1">
      <c r="A46" s="5"/>
      <c r="B46" s="24"/>
      <c r="C46" s="59">
        <v>11</v>
      </c>
      <c r="D46" s="273">
        <f t="shared" si="1"/>
        <v>35</v>
      </c>
      <c r="E46" s="273">
        <f t="shared" si="0"/>
        <v>8</v>
      </c>
      <c r="F46" s="263">
        <f t="shared" si="4"/>
        <v>4</v>
      </c>
      <c r="G46" s="265">
        <f>IF(D46=D45,"",_xlfn.IFNA(VLOOKUP(D46,'인원 입력 기능'!$DH$5:$DK$55,4,FALSE),0))</f>
        <v>28</v>
      </c>
      <c r="H46" s="266">
        <f t="shared" si="2"/>
        <v>2.7079303675048357E-2</v>
      </c>
      <c r="I46" s="268">
        <f>SUM($G$7:G46)</f>
        <v>1008</v>
      </c>
      <c r="J46" s="270">
        <f t="shared" si="3"/>
        <v>0.97485493230174081</v>
      </c>
      <c r="K46" s="25"/>
      <c r="M46" s="1"/>
    </row>
    <row r="47" spans="1:13" ht="25" customHeight="1">
      <c r="A47" s="5"/>
      <c r="B47" s="24"/>
      <c r="C47" s="58">
        <v>10</v>
      </c>
      <c r="D47" s="272"/>
      <c r="E47" s="272"/>
      <c r="F47" s="262"/>
      <c r="G47" s="264"/>
      <c r="H47" s="267"/>
      <c r="I47" s="269"/>
      <c r="J47" s="271"/>
      <c r="K47" s="25"/>
      <c r="M47" s="1"/>
    </row>
    <row r="48" spans="1:13" ht="25" customHeight="1">
      <c r="A48" s="5"/>
      <c r="B48" s="24"/>
      <c r="C48" s="59">
        <v>9</v>
      </c>
      <c r="D48" s="60">
        <f t="shared" si="1"/>
        <v>34</v>
      </c>
      <c r="E48" s="60">
        <f t="shared" si="0"/>
        <v>9</v>
      </c>
      <c r="F48" s="51">
        <f t="shared" si="4"/>
        <v>2</v>
      </c>
      <c r="G48" s="52">
        <f>IF(D48=D47,"",_xlfn.IFNA(VLOOKUP(D48,'인원 입력 기능'!$DH$5:$DK$55,4,FALSE),0))</f>
        <v>4</v>
      </c>
      <c r="H48" s="53">
        <f t="shared" si="2"/>
        <v>3.8684719535783366E-3</v>
      </c>
      <c r="I48" s="57">
        <f>SUM($G$7:G48)</f>
        <v>1012</v>
      </c>
      <c r="J48" s="55">
        <f t="shared" si="3"/>
        <v>0.97872340425531912</v>
      </c>
      <c r="K48" s="25"/>
      <c r="M48" s="1"/>
    </row>
    <row r="49" spans="1:13" ht="25" customHeight="1">
      <c r="A49" s="5"/>
      <c r="B49" s="24"/>
      <c r="C49" s="58">
        <v>8</v>
      </c>
      <c r="D49" s="60">
        <f t="shared" si="1"/>
        <v>33</v>
      </c>
      <c r="E49" s="60">
        <f t="shared" si="0"/>
        <v>9</v>
      </c>
      <c r="F49" s="51">
        <f t="shared" si="4"/>
        <v>2</v>
      </c>
      <c r="G49" s="52">
        <f>IF(D49=D48,"",_xlfn.IFNA(VLOOKUP(D49,'인원 입력 기능'!$DH$5:$DK$55,4,FALSE),0))</f>
        <v>6</v>
      </c>
      <c r="H49" s="53">
        <f t="shared" si="2"/>
        <v>5.8027079303675051E-3</v>
      </c>
      <c r="I49" s="57">
        <f>SUM($G$7:G49)</f>
        <v>1018</v>
      </c>
      <c r="J49" s="55">
        <f t="shared" si="3"/>
        <v>0.98452611218568664</v>
      </c>
      <c r="K49" s="25"/>
      <c r="M49" s="1"/>
    </row>
    <row r="50" spans="1:13" ht="25" customHeight="1">
      <c r="A50" s="5"/>
      <c r="B50" s="24"/>
      <c r="C50" s="59">
        <v>7</v>
      </c>
      <c r="D50" s="273">
        <f t="shared" si="1"/>
        <v>32</v>
      </c>
      <c r="E50" s="273">
        <f t="shared" si="0"/>
        <v>9</v>
      </c>
      <c r="F50" s="263">
        <f t="shared" si="4"/>
        <v>1</v>
      </c>
      <c r="G50" s="265">
        <f>IF(D50=D49,"",_xlfn.IFNA(VLOOKUP(D50,'인원 입력 기능'!$DH$5:$DK$55,4,FALSE),0))</f>
        <v>10</v>
      </c>
      <c r="H50" s="266">
        <f t="shared" si="2"/>
        <v>9.6711798839458421E-3</v>
      </c>
      <c r="I50" s="268">
        <f>SUM($G$7:G50)</f>
        <v>1028</v>
      </c>
      <c r="J50" s="270">
        <f t="shared" si="3"/>
        <v>0.99419729206963248</v>
      </c>
      <c r="K50" s="25"/>
      <c r="M50" s="1"/>
    </row>
    <row r="51" spans="1:13" ht="25" customHeight="1">
      <c r="A51" s="5"/>
      <c r="B51" s="24"/>
      <c r="C51" s="58">
        <v>6</v>
      </c>
      <c r="D51" s="272"/>
      <c r="E51" s="272"/>
      <c r="F51" s="262"/>
      <c r="G51" s="264"/>
      <c r="H51" s="267"/>
      <c r="I51" s="269"/>
      <c r="J51" s="271"/>
      <c r="K51" s="25"/>
      <c r="M51" s="1"/>
    </row>
    <row r="52" spans="1:13" ht="25" customHeight="1">
      <c r="A52" s="5"/>
      <c r="B52" s="24"/>
      <c r="C52" s="59">
        <v>5</v>
      </c>
      <c r="D52" s="60">
        <f t="shared" si="1"/>
        <v>31</v>
      </c>
      <c r="E52" s="60">
        <f t="shared" si="0"/>
        <v>9</v>
      </c>
      <c r="F52" s="51">
        <f t="shared" si="4"/>
        <v>0</v>
      </c>
      <c r="G52" s="52">
        <f>IF(D52=D51,"",_xlfn.IFNA(VLOOKUP(D52,'인원 입력 기능'!$DH$5:$DK$55,4,FALSE),0))</f>
        <v>3</v>
      </c>
      <c r="H52" s="53">
        <f t="shared" si="2"/>
        <v>2.9013539651837525E-3</v>
      </c>
      <c r="I52" s="57">
        <f>SUM($G$7:G52)</f>
        <v>1031</v>
      </c>
      <c r="J52" s="55">
        <f t="shared" si="3"/>
        <v>0.99709864603481624</v>
      </c>
      <c r="K52" s="25"/>
      <c r="M52" s="1"/>
    </row>
    <row r="53" spans="1:13" ht="25" customHeight="1">
      <c r="A53" s="5"/>
      <c r="B53" s="24"/>
      <c r="C53" s="49">
        <v>4</v>
      </c>
      <c r="D53" s="50">
        <f t="shared" si="1"/>
        <v>30</v>
      </c>
      <c r="E53" s="50">
        <f t="shared" si="0"/>
        <v>9</v>
      </c>
      <c r="F53" s="51">
        <f t="shared" si="4"/>
        <v>0</v>
      </c>
      <c r="G53" s="52">
        <f>IF(D53=D52,"",_xlfn.IFNA(VLOOKUP(D53,'인원 입력 기능'!$DH$5:$DK$55,4,FALSE),0))</f>
        <v>1</v>
      </c>
      <c r="H53" s="53">
        <f t="shared" si="2"/>
        <v>9.6711798839458415E-4</v>
      </c>
      <c r="I53" s="57">
        <f>SUM($G$7:G53)</f>
        <v>1032</v>
      </c>
      <c r="J53" s="55">
        <f t="shared" si="3"/>
        <v>0.99806576402321079</v>
      </c>
      <c r="K53" s="25"/>
      <c r="M53" s="1"/>
    </row>
    <row r="54" spans="1:13" ht="25" customHeight="1">
      <c r="A54" s="5"/>
      <c r="B54" s="24"/>
      <c r="C54" s="56">
        <v>3</v>
      </c>
      <c r="D54" s="261">
        <f t="shared" si="1"/>
        <v>29</v>
      </c>
      <c r="E54" s="261">
        <f t="shared" si="0"/>
        <v>9</v>
      </c>
      <c r="F54" s="263">
        <f t="shared" si="4"/>
        <v>0</v>
      </c>
      <c r="G54" s="265">
        <f>IF(D54=D53,"",_xlfn.IFNA(VLOOKUP(D54,'인원 입력 기능'!$DH$5:$DK$55,4,FALSE),0))</f>
        <v>2</v>
      </c>
      <c r="H54" s="266">
        <f t="shared" si="2"/>
        <v>1.9342359767891683E-3</v>
      </c>
      <c r="I54" s="268">
        <f>SUM($G$7:G54)</f>
        <v>1034</v>
      </c>
      <c r="J54" s="270">
        <f t="shared" si="3"/>
        <v>1</v>
      </c>
      <c r="K54" s="25"/>
      <c r="M54" s="1"/>
    </row>
    <row r="55" spans="1:13" ht="25" customHeight="1">
      <c r="A55" s="5"/>
      <c r="B55" s="24"/>
      <c r="C55" s="49">
        <v>2</v>
      </c>
      <c r="D55" s="260"/>
      <c r="E55" s="260"/>
      <c r="F55" s="262"/>
      <c r="G55" s="264"/>
      <c r="H55" s="267"/>
      <c r="I55" s="269"/>
      <c r="J55" s="271"/>
      <c r="K55" s="25"/>
      <c r="M55" s="1"/>
    </row>
    <row r="56" spans="1:13" ht="25" customHeight="1">
      <c r="A56" s="5"/>
      <c r="B56" s="24"/>
      <c r="C56" s="56">
        <v>1</v>
      </c>
      <c r="D56" s="245" t="s">
        <v>35</v>
      </c>
      <c r="E56" s="246"/>
      <c r="F56" s="246"/>
      <c r="G56" s="246"/>
      <c r="H56" s="246"/>
      <c r="I56" s="246"/>
      <c r="J56" s="247"/>
      <c r="K56" s="25"/>
      <c r="M56" s="1"/>
    </row>
    <row r="57" spans="1:13" ht="25" customHeight="1" thickBot="1">
      <c r="A57" s="5"/>
      <c r="B57" s="24"/>
      <c r="C57" s="64">
        <v>0</v>
      </c>
      <c r="D57" s="65">
        <f>ROUND(10*(C57-$H$3)/$H$4+50,0)</f>
        <v>27</v>
      </c>
      <c r="E57" s="66">
        <f t="shared" si="0"/>
        <v>9</v>
      </c>
      <c r="F57" s="67">
        <f>IF(I55=0,ROUND(100*(1-(I54+I57)/2/$J$3),0),ROUND(100*(1-(I55+I57)/2/$J$3),0))</f>
        <v>0</v>
      </c>
      <c r="G57" s="68">
        <f>_xlfn.IFNA(VLOOKUP(D57,'인원 입력 기능'!$DH$5:$DK$55,4,FALSE),0)</f>
        <v>0</v>
      </c>
      <c r="H57" s="69">
        <f>G57/J3</f>
        <v>0</v>
      </c>
      <c r="I57" s="70">
        <f>SUM($G$7:G57)</f>
        <v>1034</v>
      </c>
      <c r="J57" s="71">
        <f>I57/J3</f>
        <v>1</v>
      </c>
      <c r="K57" s="25"/>
      <c r="M57" s="1"/>
    </row>
    <row r="58" spans="1:13" ht="6" customHeight="1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2"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  <mergeCell ref="I41:I42"/>
    <mergeCell ref="J41:J42"/>
    <mergeCell ref="D46:D47"/>
    <mergeCell ref="E46:E47"/>
    <mergeCell ref="F46:F47"/>
    <mergeCell ref="G46:G47"/>
    <mergeCell ref="H46:H47"/>
    <mergeCell ref="I46:I47"/>
    <mergeCell ref="J46:J47"/>
    <mergeCell ref="D41:D42"/>
    <mergeCell ref="E41:E42"/>
    <mergeCell ref="F41:F42"/>
    <mergeCell ref="G41:G42"/>
    <mergeCell ref="H41:H42"/>
    <mergeCell ref="I32:I33"/>
    <mergeCell ref="J32:J33"/>
    <mergeCell ref="D37:D38"/>
    <mergeCell ref="E37:E38"/>
    <mergeCell ref="F37:F38"/>
    <mergeCell ref="G37:G38"/>
    <mergeCell ref="H37:H38"/>
    <mergeCell ref="I37:I38"/>
    <mergeCell ref="J37:J38"/>
    <mergeCell ref="D32:D33"/>
    <mergeCell ref="E32:E33"/>
    <mergeCell ref="F32:F33"/>
    <mergeCell ref="G32:G33"/>
    <mergeCell ref="H32:H33"/>
    <mergeCell ref="I24:I25"/>
    <mergeCell ref="J24:J25"/>
    <mergeCell ref="D28:D29"/>
    <mergeCell ref="E28:E29"/>
    <mergeCell ref="F28:F29"/>
    <mergeCell ref="G28:G29"/>
    <mergeCell ref="H28:H29"/>
    <mergeCell ref="I28:I29"/>
    <mergeCell ref="J28:J29"/>
    <mergeCell ref="D24:D25"/>
    <mergeCell ref="E24:E25"/>
    <mergeCell ref="F24:F25"/>
    <mergeCell ref="G24:G25"/>
    <mergeCell ref="H24:H25"/>
    <mergeCell ref="H15:H16"/>
    <mergeCell ref="I15:I16"/>
    <mergeCell ref="J15:J16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5:D16"/>
    <mergeCell ref="E15:E16"/>
    <mergeCell ref="F15:F16"/>
    <mergeCell ref="G15:G16"/>
  </mergeCells>
  <phoneticPr fontId="1" type="noConversion"/>
  <conditionalFormatting sqref="D7:J7 D57:J57 D9:J10 D12:J15 D17:J19 D21:J24 D26:J28 D30:J32 D34:J37 D39:J41 D43:J46 D48:J50 D52:J54">
    <cfRule type="expression" dxfId="6" priority="7">
      <formula>OR($D7=$P$7:$P$14)</formula>
    </cfRule>
  </conditionalFormatting>
  <conditionalFormatting sqref="C7:C57">
    <cfRule type="expression" dxfId="5" priority="6">
      <formula>OR(AND($D7=0,OR($D6=$P$7:$P$14)),AND($D8&gt;0,OR($D7=$P$7:$P$14)))</formula>
    </cfRule>
  </conditionalFormatting>
  <conditionalFormatting sqref="D7 D57 D9:D10 D12:D15 D17:D19 D21:D24 D26:D28 D30:D32 D34:D37 D39:D41 D43:D46 D48:D50 D52:D54">
    <cfRule type="expression" dxfId="4" priority="5">
      <formula>$D7=$D8</formula>
    </cfRule>
  </conditionalFormatting>
  <conditionalFormatting sqref="D56">
    <cfRule type="expression" dxfId="3" priority="4">
      <formula>OR($D56=$P$7:$P$14)</formula>
    </cfRule>
  </conditionalFormatting>
  <conditionalFormatting sqref="D56">
    <cfRule type="expression" dxfId="2" priority="3">
      <formula>$D56=$D57</formula>
    </cfRule>
  </conditionalFormatting>
  <conditionalFormatting sqref="D8">
    <cfRule type="expression" dxfId="1" priority="2">
      <formula>OR($D8=$P$7:$P$14)</formula>
    </cfRule>
  </conditionalFormatting>
  <conditionalFormatting sqref="D8">
    <cfRule type="expression" dxfId="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713EC-390C-4645-8A75-262ECDACF18A}">
  <sheetPr codeName="Sheet27">
    <tabColor rgb="FF00B050"/>
    <pageSetUpPr fitToPage="1"/>
  </sheetPr>
  <dimension ref="A1:N62"/>
  <sheetViews>
    <sheetView zoomScale="70" zoomScaleNormal="70" workbookViewId="0">
      <selection activeCell="M39" sqref="B3:M39"/>
    </sheetView>
  </sheetViews>
  <sheetFormatPr defaultRowHeight="14"/>
  <cols>
    <col min="1" max="1" width="8.6640625" style="16"/>
    <col min="2" max="2" width="1" style="16" customWidth="1"/>
    <col min="3" max="3" width="11.4140625" style="17" customWidth="1"/>
    <col min="4" max="11" width="12.4140625" style="17" customWidth="1"/>
    <col min="12" max="12" width="12.4140625" style="16" customWidth="1"/>
    <col min="13" max="13" width="1" style="16" customWidth="1"/>
    <col min="14" max="16384" width="8.6640625" style="16"/>
  </cols>
  <sheetData>
    <row r="1" spans="1:13">
      <c r="A1" s="16" t="s">
        <v>50</v>
      </c>
    </row>
    <row r="2" spans="1:13">
      <c r="B2" s="14"/>
      <c r="C2" s="13"/>
      <c r="D2" s="13"/>
      <c r="E2" s="13"/>
      <c r="F2" s="13"/>
      <c r="G2" s="13"/>
      <c r="H2" s="13"/>
      <c r="I2" s="13"/>
      <c r="J2" s="13"/>
      <c r="K2" s="13"/>
    </row>
    <row r="3" spans="1:13" ht="6" customHeight="1" thickBot="1">
      <c r="B3" s="31"/>
      <c r="C3" s="32"/>
      <c r="D3" s="111"/>
      <c r="E3" s="32"/>
      <c r="F3" s="32"/>
      <c r="G3" s="32"/>
      <c r="H3" s="32"/>
      <c r="I3" s="32"/>
      <c r="J3" s="32"/>
      <c r="K3" s="32"/>
      <c r="L3" s="37"/>
      <c r="M3" s="40"/>
    </row>
    <row r="4" spans="1:13" ht="25" customHeight="1">
      <c r="B4" s="33"/>
      <c r="C4" s="41" t="s">
        <v>51</v>
      </c>
      <c r="D4" s="254" t="s">
        <v>123</v>
      </c>
      <c r="E4" s="254"/>
      <c r="F4" s="254"/>
      <c r="G4" s="255"/>
      <c r="H4" s="15"/>
      <c r="I4" s="15"/>
      <c r="J4" s="15"/>
      <c r="K4" s="15"/>
      <c r="L4" s="26"/>
      <c r="M4" s="38"/>
    </row>
    <row r="5" spans="1:13" ht="25" customHeight="1" thickBot="1">
      <c r="B5" s="33"/>
      <c r="C5" s="42" t="s">
        <v>86</v>
      </c>
      <c r="D5" s="256" t="s">
        <v>87</v>
      </c>
      <c r="E5" s="256"/>
      <c r="F5" s="256"/>
      <c r="G5" s="257"/>
      <c r="H5" s="15"/>
      <c r="I5" s="15"/>
      <c r="J5" s="15"/>
      <c r="K5" s="15"/>
      <c r="L5" s="26"/>
      <c r="M5" s="38"/>
    </row>
    <row r="6" spans="1:13" ht="25" customHeight="1">
      <c r="B6" s="33"/>
      <c r="C6" s="258" t="s">
        <v>121</v>
      </c>
      <c r="D6" s="258"/>
      <c r="E6" s="258"/>
      <c r="F6" s="258"/>
      <c r="G6" s="258"/>
      <c r="H6" s="258"/>
      <c r="I6" s="258"/>
      <c r="J6" s="258"/>
      <c r="K6" s="258"/>
      <c r="L6" s="258"/>
      <c r="M6" s="38"/>
    </row>
    <row r="7" spans="1:13" ht="25" customHeight="1" thickBot="1">
      <c r="B7" s="33"/>
      <c r="C7" s="259"/>
      <c r="D7" s="259"/>
      <c r="E7" s="259"/>
      <c r="F7" s="259"/>
      <c r="G7" s="259"/>
      <c r="H7" s="259"/>
      <c r="I7" s="259"/>
      <c r="J7" s="259"/>
      <c r="K7" s="259"/>
      <c r="L7" s="259"/>
      <c r="M7" s="38"/>
    </row>
    <row r="8" spans="1:13" ht="25" customHeight="1" thickBot="1">
      <c r="B8" s="33"/>
      <c r="C8" s="72" t="s">
        <v>88</v>
      </c>
      <c r="D8" s="73" t="s">
        <v>89</v>
      </c>
      <c r="E8" s="74" t="s">
        <v>90</v>
      </c>
      <c r="F8" s="74" t="s">
        <v>91</v>
      </c>
      <c r="G8" s="74" t="s">
        <v>92</v>
      </c>
      <c r="H8" s="74" t="s">
        <v>93</v>
      </c>
      <c r="I8" s="74" t="s">
        <v>94</v>
      </c>
      <c r="J8" s="74" t="s">
        <v>95</v>
      </c>
      <c r="K8" s="74" t="s">
        <v>96</v>
      </c>
      <c r="L8" s="75" t="s">
        <v>14</v>
      </c>
      <c r="M8" s="38"/>
    </row>
    <row r="9" spans="1:13" ht="25" customHeight="1">
      <c r="B9" s="33"/>
      <c r="C9" s="76" t="s">
        <v>97</v>
      </c>
      <c r="D9" s="77">
        <f>ROUNDUP(('생활과 윤리'!$P7-0.5-50)/10*'생활과 윤리'!$H$4+'생활과 윤리'!$H$3, 0)</f>
        <v>41</v>
      </c>
      <c r="E9" s="78">
        <f>ROUNDUP(('윤리와 사상'!$P7-0.5-50)/10*'윤리와 사상'!$H$4+'윤리와 사상'!$H$3, 0)</f>
        <v>42</v>
      </c>
      <c r="F9" s="78">
        <f>ROUNDUP((한국지리!$P7-0.5-50)/10*한국지리!$H$4+한국지리!$H$3, 0)</f>
        <v>47</v>
      </c>
      <c r="G9" s="78">
        <f>ROUNDUP((세계지리!$P7-0.5-50)/10*세계지리!$H$4+세계지리!$H$3, 0)</f>
        <v>47</v>
      </c>
      <c r="H9" s="78">
        <f>ROUNDUP((동아시아사!$P7-0.5-50)/10*동아시아사!$H$4+동아시아사!$H$3, 0)</f>
        <v>48</v>
      </c>
      <c r="I9" s="78">
        <f>ROUNDUP((세계사!$P7-0.5-50)/10*세계사!$H$4+세계사!$H$3, 0)</f>
        <v>47</v>
      </c>
      <c r="J9" s="78">
        <f>ROUNDUP((경제!$P7-0.5-50)/10*경제!$H$4+경제!$H$3, 0)</f>
        <v>46</v>
      </c>
      <c r="K9" s="78">
        <f>ROUNDUP(('정치와 법'!$P7-0.5-50)/10*'정치와 법'!$H$4+'정치와 법'!$H$3, 0)</f>
        <v>48</v>
      </c>
      <c r="L9" s="79">
        <f>ROUNDUP((사회∙문화!$P7-0.5-50)/10*사회∙문화!$H$4+사회∙문화!$H$3, 0)</f>
        <v>45</v>
      </c>
      <c r="M9" s="38"/>
    </row>
    <row r="10" spans="1:13" ht="25" customHeight="1">
      <c r="B10" s="33"/>
      <c r="C10" s="80" t="s">
        <v>98</v>
      </c>
      <c r="D10" s="58">
        <f>ROUNDUP(('생활과 윤리'!$P8-0.5-50)/10*'생활과 윤리'!$H$4+'생활과 윤리'!$H$3, 0)</f>
        <v>37</v>
      </c>
      <c r="E10" s="81">
        <f>ROUNDUP(('윤리와 사상'!$P8-0.5-50)/10*'윤리와 사상'!$H$4+'윤리와 사상'!$H$3, 0)</f>
        <v>39</v>
      </c>
      <c r="F10" s="81">
        <f>ROUNDUP((한국지리!$P8-0.5-50)/10*한국지리!$H$4+한국지리!$H$3, 0)</f>
        <v>43</v>
      </c>
      <c r="G10" s="81">
        <f>ROUNDUP((세계지리!$P8-0.5-50)/10*세계지리!$H$4+세계지리!$H$3, 0)</f>
        <v>43</v>
      </c>
      <c r="H10" s="81">
        <f>ROUNDUP((동아시아사!$P8-0.5-50)/10*동아시아사!$H$4+동아시아사!$H$3, 0)</f>
        <v>45</v>
      </c>
      <c r="I10" s="81">
        <f>ROUNDUP((세계사!$P8-0.5-50)/10*세계사!$H$4+세계사!$H$3, 0)</f>
        <v>44</v>
      </c>
      <c r="J10" s="81">
        <f>ROUNDUP((경제!$P8-0.5-50)/10*경제!$H$4+경제!$H$3, 0)</f>
        <v>42</v>
      </c>
      <c r="K10" s="81">
        <f>ROUNDUP(('정치와 법'!$P8-0.5-50)/10*'정치와 법'!$H$4+'정치와 법'!$H$3, 0)</f>
        <v>44</v>
      </c>
      <c r="L10" s="82">
        <f>ROUNDUP((사회∙문화!$P8-0.5-50)/10*사회∙문화!$H$4+사회∙문화!$H$3, 0)</f>
        <v>42</v>
      </c>
      <c r="M10" s="38"/>
    </row>
    <row r="11" spans="1:13" ht="25" customHeight="1">
      <c r="B11" s="33"/>
      <c r="C11" s="80" t="s">
        <v>99</v>
      </c>
      <c r="D11" s="58">
        <f>ROUNDUP(('생활과 윤리'!$P9-0.5-50)/10*'생활과 윤리'!$H$4+'생활과 윤리'!$H$3, 0)</f>
        <v>32</v>
      </c>
      <c r="E11" s="81">
        <f>ROUNDUP(('윤리와 사상'!$P9-0.5-50)/10*'윤리와 사상'!$H$4+'윤리와 사상'!$H$3, 0)</f>
        <v>34</v>
      </c>
      <c r="F11" s="81">
        <f>ROUNDUP((한국지리!$P9-0.5-50)/10*한국지리!$H$4+한국지리!$H$3, 0)</f>
        <v>38</v>
      </c>
      <c r="G11" s="81">
        <f>ROUNDUP((세계지리!$P9-0.5-50)/10*세계지리!$H$4+세계지리!$H$3, 0)</f>
        <v>39</v>
      </c>
      <c r="H11" s="81">
        <f>ROUNDUP((동아시아사!$P9-0.5-50)/10*동아시아사!$H$4+동아시아사!$H$3, 0)</f>
        <v>40</v>
      </c>
      <c r="I11" s="81">
        <f>ROUNDUP((세계사!$P9-0.5-50)/10*세계사!$H$4+세계사!$H$3, 0)</f>
        <v>39</v>
      </c>
      <c r="J11" s="81">
        <f>ROUNDUP((경제!$P9-0.5-50)/10*경제!$H$4+경제!$H$3, 0)</f>
        <v>34</v>
      </c>
      <c r="K11" s="81">
        <f>ROUNDUP(('정치와 법'!$P9-0.5-50)/10*'정치와 법'!$H$4+'정치와 법'!$H$3, 0)</f>
        <v>40</v>
      </c>
      <c r="L11" s="82">
        <f>ROUNDUP((사회∙문화!$P9-0.5-50)/10*사회∙문화!$H$4+사회∙문화!$H$3, 0)</f>
        <v>38</v>
      </c>
      <c r="M11" s="38"/>
    </row>
    <row r="12" spans="1:13" ht="25" customHeight="1">
      <c r="B12" s="33"/>
      <c r="C12" s="80" t="s">
        <v>100</v>
      </c>
      <c r="D12" s="58">
        <f>ROUNDUP(('생활과 윤리'!$P10-0.5-50)/10*'생활과 윤리'!$H$4+'생활과 윤리'!$H$3, 0)</f>
        <v>26</v>
      </c>
      <c r="E12" s="81">
        <f>ROUNDUP(('윤리와 사상'!$P10-0.5-50)/10*'윤리와 사상'!$H$4+'윤리와 사상'!$H$3, 0)</f>
        <v>27</v>
      </c>
      <c r="F12" s="81">
        <f>ROUNDUP((한국지리!$P10-0.5-50)/10*한국지리!$H$4+한국지리!$H$3, 0)</f>
        <v>28</v>
      </c>
      <c r="G12" s="81">
        <f>ROUNDUP((세계지리!$P10-0.5-50)/10*세계지리!$H$4+세계지리!$H$3, 0)</f>
        <v>32</v>
      </c>
      <c r="H12" s="81">
        <f>ROUNDUP((동아시아사!$P10-0.5-50)/10*동아시아사!$H$4+동아시아사!$H$3, 0)</f>
        <v>31</v>
      </c>
      <c r="I12" s="81">
        <f>ROUNDUP((세계사!$P10-0.5-50)/10*세계사!$H$4+세계사!$H$3, 0)</f>
        <v>30</v>
      </c>
      <c r="J12" s="81">
        <f>ROUNDUP((경제!$P10-0.5-50)/10*경제!$H$4+경제!$H$3, 0)</f>
        <v>25</v>
      </c>
      <c r="K12" s="81">
        <f>ROUNDUP(('정치와 법'!$P10-0.5-50)/10*'정치와 법'!$H$4+'정치와 법'!$H$3, 0)</f>
        <v>35</v>
      </c>
      <c r="L12" s="82">
        <f>ROUNDUP((사회∙문화!$P10-0.5-50)/10*사회∙문화!$H$4+사회∙문화!$H$3, 0)</f>
        <v>32</v>
      </c>
      <c r="M12" s="38"/>
    </row>
    <row r="13" spans="1:13" ht="25" customHeight="1">
      <c r="B13" s="33"/>
      <c r="C13" s="80" t="s">
        <v>101</v>
      </c>
      <c r="D13" s="58">
        <f>ROUNDUP(('생활과 윤리'!$P11-0.5-50)/10*'생활과 윤리'!$H$4+'생활과 윤리'!$H$3, 0)</f>
        <v>20</v>
      </c>
      <c r="E13" s="81">
        <f>ROUNDUP(('윤리와 사상'!$P11-0.5-50)/10*'윤리와 사상'!$H$4+'윤리와 사상'!$H$3, 0)</f>
        <v>20</v>
      </c>
      <c r="F13" s="81">
        <f>ROUNDUP((한국지리!$P11-0.5-50)/10*한국지리!$H$4+한국지리!$H$3, 0)</f>
        <v>16</v>
      </c>
      <c r="G13" s="81">
        <f>ROUNDUP((세계지리!$P11-0.5-50)/10*세계지리!$H$4+세계지리!$H$3, 0)</f>
        <v>21</v>
      </c>
      <c r="H13" s="81">
        <f>ROUNDUP((동아시아사!$P11-0.5-50)/10*동아시아사!$H$4+동아시아사!$H$3, 0)</f>
        <v>19</v>
      </c>
      <c r="I13" s="81">
        <f>ROUNDUP((세계사!$P11-0.5-50)/10*세계사!$H$4+세계사!$H$3, 0)</f>
        <v>19</v>
      </c>
      <c r="J13" s="81">
        <f>ROUNDUP((경제!$P11-0.5-50)/10*경제!$H$4+경제!$H$3, 0)</f>
        <v>17</v>
      </c>
      <c r="K13" s="81">
        <f>ROUNDUP(('정치와 법'!$P11-0.5-50)/10*'정치와 법'!$H$4+'정치와 법'!$H$3, 0)</f>
        <v>24</v>
      </c>
      <c r="L13" s="82">
        <f>ROUNDUP((사회∙문화!$P11-0.5-50)/10*사회∙문화!$H$4+사회∙문화!$H$3, 0)</f>
        <v>26</v>
      </c>
      <c r="M13" s="38"/>
    </row>
    <row r="14" spans="1:13" ht="25" customHeight="1">
      <c r="B14" s="33"/>
      <c r="C14" s="80" t="s">
        <v>102</v>
      </c>
      <c r="D14" s="58">
        <f>ROUNDUP(('생활과 윤리'!$P12-0.5-50)/10*'생활과 윤리'!$H$4+'생활과 윤리'!$H$3, 0)</f>
        <v>16</v>
      </c>
      <c r="E14" s="81">
        <f>ROUNDUP(('윤리와 사상'!$P12-0.5-50)/10*'윤리와 사상'!$H$4+'윤리와 사상'!$H$3, 0)</f>
        <v>14</v>
      </c>
      <c r="F14" s="81">
        <f>ROUNDUP((한국지리!$P12-0.5-50)/10*한국지리!$H$4+한국지리!$H$3, 0)</f>
        <v>12</v>
      </c>
      <c r="G14" s="81">
        <f>ROUNDUP((세계지리!$P12-0.5-50)/10*세계지리!$H$4+세계지리!$H$3, 0)</f>
        <v>13</v>
      </c>
      <c r="H14" s="81">
        <f>ROUNDUP((동아시아사!$P12-0.5-50)/10*동아시아사!$H$4+동아시아사!$H$3, 0)</f>
        <v>12</v>
      </c>
      <c r="I14" s="81">
        <f>ROUNDUP((세계사!$P12-0.5-50)/10*세계사!$H$4+세계사!$H$3, 0)</f>
        <v>14</v>
      </c>
      <c r="J14" s="81">
        <f>ROUNDUP((경제!$P12-0.5-50)/10*경제!$H$4+경제!$H$3, 0)</f>
        <v>12</v>
      </c>
      <c r="K14" s="81">
        <f>ROUNDUP(('정치와 법'!$P12-0.5-50)/10*'정치와 법'!$H$4+'정치와 법'!$H$3, 0)</f>
        <v>15</v>
      </c>
      <c r="L14" s="82">
        <f>ROUNDUP((사회∙문화!$P12-0.5-50)/10*사회∙문화!$H$4+사회∙문화!$H$3, 0)</f>
        <v>18</v>
      </c>
      <c r="M14" s="38"/>
    </row>
    <row r="15" spans="1:13" ht="25" customHeight="1">
      <c r="B15" s="33"/>
      <c r="C15" s="80" t="s">
        <v>103</v>
      </c>
      <c r="D15" s="58">
        <f>ROUNDUP(('생활과 윤리'!$P13-0.5-50)/10*'생활과 윤리'!$H$4+'생활과 윤리'!$H$3, 0)</f>
        <v>12</v>
      </c>
      <c r="E15" s="81">
        <f>ROUNDUP(('윤리와 사상'!$P13-0.5-50)/10*'윤리와 사상'!$H$4+'윤리와 사상'!$H$3, 0)</f>
        <v>10</v>
      </c>
      <c r="F15" s="81">
        <f>ROUNDUP((한국지리!$P13-0.5-50)/10*한국지리!$H$4+한국지리!$H$3, 0)</f>
        <v>8</v>
      </c>
      <c r="G15" s="81">
        <f>ROUNDUP((세계지리!$P13-0.5-50)/10*세계지리!$H$4+세계지리!$H$3, 0)</f>
        <v>9</v>
      </c>
      <c r="H15" s="81">
        <f>ROUNDUP((동아시아사!$P13-0.5-50)/10*동아시아사!$H$4+동아시아사!$H$3, 0)</f>
        <v>9</v>
      </c>
      <c r="I15" s="81">
        <f>ROUNDUP((세계사!$P13-0.5-50)/10*세계사!$H$4+세계사!$H$3, 0)</f>
        <v>10</v>
      </c>
      <c r="J15" s="81">
        <f>ROUNDUP((경제!$P13-0.5-50)/10*경제!$H$4+경제!$H$3, 0)</f>
        <v>9</v>
      </c>
      <c r="K15" s="81">
        <f>ROUNDUP(('정치와 법'!$P13-0.5-50)/10*'정치와 법'!$H$4+'정치와 법'!$H$3, 0)</f>
        <v>11</v>
      </c>
      <c r="L15" s="82">
        <f>ROUNDUP((사회∙문화!$P13-0.5-50)/10*사회∙문화!$H$4+사회∙문화!$H$3, 0)</f>
        <v>12</v>
      </c>
      <c r="M15" s="38"/>
    </row>
    <row r="16" spans="1:13" ht="25" customHeight="1" thickBot="1">
      <c r="B16" s="33"/>
      <c r="C16" s="83" t="s">
        <v>104</v>
      </c>
      <c r="D16" s="84">
        <f>ROUNDUP(('생활과 윤리'!$P14-0.5-50)/10*'생활과 윤리'!$H$4+'생활과 윤리'!$H$3, 0)</f>
        <v>8</v>
      </c>
      <c r="E16" s="85">
        <f>ROUNDUP(('윤리와 사상'!$P14-0.5-50)/10*'윤리와 사상'!$H$4+'윤리와 사상'!$H$3, 0)</f>
        <v>7</v>
      </c>
      <c r="F16" s="85">
        <f>ROUNDUP((한국지리!$P14-0.5-50)/10*한국지리!$H$4+한국지리!$H$3, 0)</f>
        <v>7</v>
      </c>
      <c r="G16" s="85">
        <f>ROUNDUP((세계지리!$P14-0.5-50)/10*세계지리!$H$4+세계지리!$H$3, 0)</f>
        <v>5</v>
      </c>
      <c r="H16" s="85">
        <f>ROUNDUP((동아시아사!$P14-0.5-50)/10*동아시아사!$H$4+동아시아사!$H$3, 0)</f>
        <v>5</v>
      </c>
      <c r="I16" s="85">
        <f>ROUNDUP((세계사!$P14-0.5-50)/10*세계사!$H$4+세계사!$H$3, 0)</f>
        <v>7</v>
      </c>
      <c r="J16" s="85">
        <f>ROUNDUP((경제!$P14-0.5-50)/10*경제!$H$4+경제!$H$3, 0)</f>
        <v>6</v>
      </c>
      <c r="K16" s="85">
        <f>ROUNDUP(('정치와 법'!$P14-0.5-50)/10*'정치와 법'!$H$4+'정치와 법'!$H$3, 0)</f>
        <v>7</v>
      </c>
      <c r="L16" s="86">
        <f>ROUNDUP((사회∙문화!$P14-0.5-50)/10*사회∙문화!$H$4+사회∙문화!$H$3, 0)</f>
        <v>7</v>
      </c>
      <c r="M16" s="38"/>
    </row>
    <row r="17" spans="2:13" ht="25" customHeight="1">
      <c r="B17" s="33"/>
      <c r="C17" s="87"/>
      <c r="D17" s="87"/>
      <c r="E17" s="87"/>
      <c r="F17" s="87"/>
      <c r="G17" s="87"/>
      <c r="H17" s="87"/>
      <c r="I17" s="87"/>
      <c r="J17" s="87"/>
      <c r="K17" s="87"/>
      <c r="L17" s="88"/>
      <c r="M17" s="38"/>
    </row>
    <row r="18" spans="2:13" ht="25" customHeight="1" thickBot="1">
      <c r="B18" s="33"/>
      <c r="C18" s="87"/>
      <c r="D18" s="87"/>
      <c r="E18" s="87"/>
      <c r="F18" s="87"/>
      <c r="G18" s="87"/>
      <c r="H18" s="87"/>
      <c r="I18" s="87"/>
      <c r="J18" s="87"/>
      <c r="K18" s="87"/>
      <c r="L18" s="88"/>
      <c r="M18" s="38"/>
    </row>
    <row r="19" spans="2:13" ht="25" customHeight="1" thickBot="1">
      <c r="B19" s="33"/>
      <c r="C19" s="72" t="s">
        <v>105</v>
      </c>
      <c r="D19" s="89" t="s">
        <v>106</v>
      </c>
      <c r="E19" s="74" t="s">
        <v>107</v>
      </c>
      <c r="F19" s="73" t="s">
        <v>108</v>
      </c>
      <c r="G19" s="90" t="s">
        <v>17</v>
      </c>
      <c r="H19" s="90" t="s">
        <v>41</v>
      </c>
      <c r="I19" s="74" t="s">
        <v>109</v>
      </c>
      <c r="J19" s="73" t="s">
        <v>110</v>
      </c>
      <c r="K19" s="91" t="s">
        <v>111</v>
      </c>
      <c r="L19" s="92"/>
      <c r="M19" s="38"/>
    </row>
    <row r="20" spans="2:13" ht="25" customHeight="1">
      <c r="B20" s="33"/>
      <c r="C20" s="76" t="s">
        <v>97</v>
      </c>
      <c r="D20" s="77">
        <f>ROUNDUP((물리학Ⅰ!$P7-0.5-50)/10*물리학Ⅰ!$H$4+물리학Ⅰ!$H$3, 0)</f>
        <v>48</v>
      </c>
      <c r="E20" s="78">
        <v>50</v>
      </c>
      <c r="F20" s="78">
        <f>ROUNDUP((생명과학Ⅰ!$P7-0.5-50)/10*생명과학Ⅰ!$H$4+생명과학Ⅰ!$H$3, 0)</f>
        <v>45</v>
      </c>
      <c r="G20" s="78">
        <f>ROUNDUP((지구과학Ⅰ!$P7-0.5-50)/10*지구과학Ⅰ!$H$4+지구과학Ⅰ!$H$3, 0)</f>
        <v>44</v>
      </c>
      <c r="H20" s="78">
        <f>ROUNDUP((물리학Ⅱ!$P7-0.5-50)/10*물리학Ⅱ!$H$4+물리학Ⅱ!$H$3, 0)</f>
        <v>48</v>
      </c>
      <c r="I20" s="78">
        <f>ROUNDUP((화학Ⅱ!$P7-0.5-50)/10*화학Ⅱ!$H$4+화학Ⅱ!$H$3, 0)</f>
        <v>45</v>
      </c>
      <c r="J20" s="78">
        <f>ROUNDUP((생명과학Ⅱ!$P7-0.5-50)/10*생명과학Ⅱ!$H$4+생명과학Ⅱ!$H$3, 0)</f>
        <v>44</v>
      </c>
      <c r="K20" s="79">
        <f>ROUNDUP((지구과학Ⅱ!$P7-0.5-50)/10*지구과학Ⅱ!$H$4+지구과학Ⅱ!$H$3, 0)</f>
        <v>47</v>
      </c>
      <c r="L20" s="87"/>
      <c r="M20" s="38"/>
    </row>
    <row r="21" spans="2:13" ht="25" customHeight="1">
      <c r="B21" s="33"/>
      <c r="C21" s="80" t="s">
        <v>98</v>
      </c>
      <c r="D21" s="58">
        <f>ROUNDUP((물리학Ⅰ!$P8-0.5-50)/10*물리학Ⅰ!$H$4+물리학Ⅰ!$H$3, 0)</f>
        <v>45</v>
      </c>
      <c r="E21" s="81">
        <f>ROUNDUP((화학Ⅰ!$P8-0.5-50)/10*화학Ⅰ!$H$4+화학Ⅰ!$H$3, 0)</f>
        <v>47</v>
      </c>
      <c r="F21" s="81">
        <f>ROUNDUP((생명과학Ⅰ!$P8-0.5-50)/10*생명과학Ⅰ!$H$4+생명과학Ⅰ!$H$3, 0)</f>
        <v>42</v>
      </c>
      <c r="G21" s="81">
        <f>ROUNDUP((지구과학Ⅰ!$P8-0.5-50)/10*지구과학Ⅰ!$H$4+지구과학Ⅰ!$H$3, 0)</f>
        <v>39</v>
      </c>
      <c r="H21" s="81">
        <f>ROUNDUP((물리학Ⅱ!$P8-0.5-50)/10*물리학Ⅱ!$H$4+물리학Ⅱ!$H$3, 0)</f>
        <v>44</v>
      </c>
      <c r="I21" s="81">
        <f>ROUNDUP((화학Ⅱ!$P8-0.5-50)/10*화학Ⅱ!$H$4+화학Ⅱ!$H$3, 0)</f>
        <v>39</v>
      </c>
      <c r="J21" s="81">
        <f>ROUNDUP((생명과학Ⅱ!$P8-0.5-50)/10*생명과학Ⅱ!$H$4+생명과학Ⅱ!$H$3, 0)</f>
        <v>39</v>
      </c>
      <c r="K21" s="82">
        <f>ROUNDUP((지구과학Ⅱ!$P8-0.5-50)/10*지구과학Ⅱ!$H$4+지구과학Ⅱ!$H$3, 0)</f>
        <v>41</v>
      </c>
      <c r="L21" s="87"/>
      <c r="M21" s="38"/>
    </row>
    <row r="22" spans="2:13" ht="25" customHeight="1">
      <c r="B22" s="33"/>
      <c r="C22" s="80" t="s">
        <v>99</v>
      </c>
      <c r="D22" s="58">
        <f>ROUNDUP((물리학Ⅰ!$P9-0.5-50)/10*물리학Ⅰ!$H$4+물리학Ⅰ!$H$3, 0)</f>
        <v>40</v>
      </c>
      <c r="E22" s="81">
        <f>ROUNDUP((화학Ⅰ!$P9-0.5-50)/10*화학Ⅰ!$H$4+화학Ⅰ!$H$3, 0)</f>
        <v>41</v>
      </c>
      <c r="F22" s="81">
        <f>ROUNDUP((생명과학Ⅰ!$P9-0.5-50)/10*생명과학Ⅰ!$H$4+생명과학Ⅰ!$H$3, 0)</f>
        <v>37</v>
      </c>
      <c r="G22" s="81">
        <f>ROUNDUP((지구과학Ⅰ!$P9-0.5-50)/10*지구과학Ⅰ!$H$4+지구과학Ⅰ!$H$3, 0)</f>
        <v>35</v>
      </c>
      <c r="H22" s="81">
        <f>ROUNDUP((물리학Ⅱ!$P9-0.5-50)/10*물리학Ⅱ!$H$4+물리학Ⅱ!$H$3, 0)</f>
        <v>35</v>
      </c>
      <c r="I22" s="81">
        <f>ROUNDUP((화학Ⅱ!$P9-0.5-50)/10*화학Ⅱ!$H$4+화학Ⅱ!$H$3, 0)</f>
        <v>33</v>
      </c>
      <c r="J22" s="81">
        <f>ROUNDUP((생명과학Ⅱ!$P9-0.5-50)/10*생명과학Ⅱ!$H$4+생명과학Ⅱ!$H$3, 0)</f>
        <v>35</v>
      </c>
      <c r="K22" s="82">
        <f>ROUNDUP((지구과학Ⅱ!$P9-0.5-50)/10*지구과학Ⅱ!$H$4+지구과학Ⅱ!$H$3, 0)</f>
        <v>34</v>
      </c>
      <c r="L22" s="87"/>
      <c r="M22" s="38"/>
    </row>
    <row r="23" spans="2:13" ht="25" customHeight="1">
      <c r="B23" s="33"/>
      <c r="C23" s="80" t="s">
        <v>100</v>
      </c>
      <c r="D23" s="58">
        <f>ROUNDUP((물리학Ⅰ!$P10-0.5-50)/10*물리학Ⅰ!$H$4+물리학Ⅰ!$H$3, 0)</f>
        <v>33</v>
      </c>
      <c r="E23" s="81">
        <f>ROUNDUP((화학Ⅰ!$P10-0.5-50)/10*화학Ⅰ!$H$4+화학Ⅰ!$H$3, 0)</f>
        <v>34</v>
      </c>
      <c r="F23" s="81">
        <f>ROUNDUP((생명과학Ⅰ!$P10-0.5-50)/10*생명과학Ⅰ!$H$4+생명과학Ⅰ!$H$3, 0)</f>
        <v>34</v>
      </c>
      <c r="G23" s="81">
        <f>ROUNDUP((지구과학Ⅰ!$P10-0.5-50)/10*지구과학Ⅰ!$H$4+지구과학Ⅰ!$H$3, 0)</f>
        <v>28</v>
      </c>
      <c r="H23" s="81">
        <f>ROUNDUP((물리학Ⅱ!$P10-0.5-50)/10*물리학Ⅱ!$H$4+물리학Ⅱ!$H$3, 0)</f>
        <v>25</v>
      </c>
      <c r="I23" s="81">
        <f>ROUNDUP((화학Ⅱ!$P10-0.5-50)/10*화학Ⅱ!$H$4+화학Ⅱ!$H$3, 0)</f>
        <v>25</v>
      </c>
      <c r="J23" s="81">
        <f>ROUNDUP((생명과학Ⅱ!$P10-0.5-50)/10*생명과학Ⅱ!$H$4+생명과학Ⅱ!$H$3, 0)</f>
        <v>28</v>
      </c>
      <c r="K23" s="82">
        <f>ROUNDUP((지구과학Ⅱ!$P10-0.5-50)/10*지구과학Ⅱ!$H$4+지구과학Ⅱ!$H$3, 0)</f>
        <v>22</v>
      </c>
      <c r="L23" s="87"/>
      <c r="M23" s="38"/>
    </row>
    <row r="24" spans="2:13" ht="25" customHeight="1">
      <c r="B24" s="33"/>
      <c r="C24" s="80" t="s">
        <v>101</v>
      </c>
      <c r="D24" s="58">
        <f>ROUNDUP((물리학Ⅰ!$P11-0.5-50)/10*물리학Ⅰ!$H$4+물리학Ⅰ!$H$3, 0)</f>
        <v>24</v>
      </c>
      <c r="E24" s="81">
        <f>ROUNDUP((화학Ⅰ!$P11-0.5-50)/10*화학Ⅰ!$H$4+화학Ⅰ!$H$3, 0)</f>
        <v>24</v>
      </c>
      <c r="F24" s="81">
        <f>ROUNDUP((생명과학Ⅰ!$P11-0.5-50)/10*생명과학Ⅰ!$H$4+생명과학Ⅰ!$H$3, 0)</f>
        <v>27</v>
      </c>
      <c r="G24" s="81">
        <f>ROUNDUP((지구과학Ⅰ!$P11-0.5-50)/10*지구과학Ⅰ!$H$4+지구과학Ⅰ!$H$3, 0)</f>
        <v>20</v>
      </c>
      <c r="H24" s="81">
        <f>ROUNDUP((물리학Ⅱ!$P11-0.5-50)/10*물리학Ⅱ!$H$4+물리학Ⅱ!$H$3, 0)</f>
        <v>15</v>
      </c>
      <c r="I24" s="81">
        <f>ROUNDUP((화학Ⅱ!$P11-0.5-50)/10*화학Ⅱ!$H$4+화학Ⅱ!$H$3, 0)</f>
        <v>17</v>
      </c>
      <c r="J24" s="81">
        <f>ROUNDUP((생명과학Ⅱ!$P11-0.5-50)/10*생명과학Ⅱ!$H$4+생명과학Ⅱ!$H$3, 0)</f>
        <v>19</v>
      </c>
      <c r="K24" s="82">
        <f>ROUNDUP((지구과학Ⅱ!$P11-0.5-50)/10*지구과학Ⅱ!$H$4+지구과학Ⅱ!$H$3, 0)</f>
        <v>14</v>
      </c>
      <c r="L24" s="87"/>
      <c r="M24" s="38"/>
    </row>
    <row r="25" spans="2:13" ht="25" customHeight="1">
      <c r="B25" s="33"/>
      <c r="C25" s="80" t="s">
        <v>102</v>
      </c>
      <c r="D25" s="58">
        <f>ROUNDUP((물리학Ⅰ!$P12-0.5-50)/10*물리학Ⅰ!$H$4+물리학Ⅰ!$H$3, 0)</f>
        <v>15</v>
      </c>
      <c r="E25" s="81">
        <f>ROUNDUP((화학Ⅰ!$P12-0.5-50)/10*화학Ⅰ!$H$4+화학Ⅰ!$H$3, 0)</f>
        <v>15</v>
      </c>
      <c r="F25" s="81">
        <f>ROUNDUP((생명과학Ⅰ!$P12-0.5-50)/10*생명과학Ⅰ!$H$4+생명과학Ⅰ!$H$3, 0)</f>
        <v>20</v>
      </c>
      <c r="G25" s="81">
        <f>ROUNDUP((지구과학Ⅰ!$P12-0.5-50)/10*지구과학Ⅰ!$H$4+지구과학Ⅰ!$H$3, 0)</f>
        <v>14</v>
      </c>
      <c r="H25" s="81">
        <f>ROUNDUP((물리학Ⅱ!$P12-0.5-50)/10*물리학Ⅱ!$H$4+물리학Ⅱ!$H$3, 0)</f>
        <v>11</v>
      </c>
      <c r="I25" s="81">
        <f>ROUNDUP((화학Ⅱ!$P12-0.5-50)/10*화학Ⅱ!$H$4+화학Ⅱ!$H$3, 0)</f>
        <v>11</v>
      </c>
      <c r="J25" s="81">
        <f>ROUNDUP((생명과학Ⅱ!$P12-0.5-50)/10*생명과학Ⅱ!$H$4+생명과학Ⅱ!$H$3, 0)</f>
        <v>14</v>
      </c>
      <c r="K25" s="82">
        <f>ROUNDUP((지구과학Ⅱ!$P12-0.5-50)/10*지구과학Ⅱ!$H$4+지구과학Ⅱ!$H$3, 0)</f>
        <v>10</v>
      </c>
      <c r="L25" s="87"/>
      <c r="M25" s="38"/>
    </row>
    <row r="26" spans="2:13" ht="25" customHeight="1">
      <c r="B26" s="33"/>
      <c r="C26" s="80" t="s">
        <v>103</v>
      </c>
      <c r="D26" s="58">
        <f>ROUNDUP((물리학Ⅰ!$P13-0.5-50)/10*물리학Ⅰ!$H$4+물리학Ⅰ!$H$3, 0)</f>
        <v>11</v>
      </c>
      <c r="E26" s="81">
        <f>ROUNDUP((화학Ⅰ!$P13-0.5-50)/10*화학Ⅰ!$H$4+화학Ⅰ!$H$3, 0)</f>
        <v>11</v>
      </c>
      <c r="F26" s="81">
        <f>ROUNDUP((생명과학Ⅰ!$P13-0.5-50)/10*생명과학Ⅰ!$H$4+생명과학Ⅰ!$H$3, 0)</f>
        <v>14</v>
      </c>
      <c r="G26" s="81">
        <f>ROUNDUP((지구과학Ⅰ!$P13-0.5-50)/10*지구과학Ⅰ!$H$4+지구과학Ⅰ!$H$3, 0)</f>
        <v>10</v>
      </c>
      <c r="H26" s="81">
        <f>ROUNDUP((물리학Ⅱ!$P13-0.5-50)/10*물리학Ⅱ!$H$4+물리학Ⅱ!$H$3, 0)</f>
        <v>10</v>
      </c>
      <c r="I26" s="81">
        <f>ROUNDUP((화학Ⅱ!$P13-0.5-50)/10*화학Ⅱ!$H$4+화학Ⅱ!$H$3, 0)</f>
        <v>8</v>
      </c>
      <c r="J26" s="81">
        <f>ROUNDUP((생명과학Ⅱ!$P13-0.5-50)/10*생명과학Ⅱ!$H$4+생명과학Ⅱ!$H$3, 0)</f>
        <v>10</v>
      </c>
      <c r="K26" s="82">
        <f>ROUNDUP((지구과학Ⅱ!$P13-0.5-50)/10*지구과학Ⅱ!$H$4+지구과학Ⅱ!$H$3, 0)</f>
        <v>9</v>
      </c>
      <c r="L26" s="87"/>
      <c r="M26" s="38"/>
    </row>
    <row r="27" spans="2:13" ht="25" customHeight="1" thickBot="1">
      <c r="B27" s="33"/>
      <c r="C27" s="83" t="s">
        <v>104</v>
      </c>
      <c r="D27" s="84">
        <f>ROUNDUP((물리학Ⅰ!$P14-0.5-50)/10*물리학Ⅰ!$H$4+물리학Ⅰ!$H$3, 0)</f>
        <v>7</v>
      </c>
      <c r="E27" s="85">
        <f>ROUNDUP((화학Ⅰ!$P14-0.5-50)/10*화학Ⅰ!$H$4+화학Ⅰ!$H$3, 0)</f>
        <v>7</v>
      </c>
      <c r="F27" s="85">
        <f>ROUNDUP((생명과학Ⅰ!$P14-0.5-50)/10*생명과학Ⅰ!$H$4+생명과학Ⅰ!$H$3, 0)</f>
        <v>10</v>
      </c>
      <c r="G27" s="85">
        <f>ROUNDUP((지구과학Ⅰ!$P14-0.5-50)/10*지구과학Ⅰ!$H$4+지구과학Ⅰ!$H$3, 0)</f>
        <v>7</v>
      </c>
      <c r="H27" s="85">
        <f>ROUNDUP((물리학Ⅱ!$P14-0.5-50)/10*물리학Ⅱ!$H$4+물리학Ⅱ!$H$3, 0)</f>
        <v>6</v>
      </c>
      <c r="I27" s="85">
        <f>ROUNDUP((화학Ⅱ!$P14-0.5-50)/10*화학Ⅱ!$H$4+화학Ⅱ!$H$3, 0)</f>
        <v>5</v>
      </c>
      <c r="J27" s="85">
        <f>ROUNDUP((생명과학Ⅱ!$P14-0.5-50)/10*생명과학Ⅱ!$H$4+생명과학Ⅱ!$H$3, 0)</f>
        <v>6</v>
      </c>
      <c r="K27" s="86">
        <f>ROUNDUP((지구과학Ⅱ!$P14-0.5-50)/10*지구과학Ⅱ!$H$4+지구과학Ⅱ!$H$3, 0)</f>
        <v>5</v>
      </c>
      <c r="L27" s="87"/>
      <c r="M27" s="38"/>
    </row>
    <row r="28" spans="2:13" ht="25" customHeight="1">
      <c r="B28" s="33"/>
      <c r="C28" s="87"/>
      <c r="D28" s="87"/>
      <c r="E28" s="87"/>
      <c r="F28" s="87"/>
      <c r="G28" s="87"/>
      <c r="H28" s="87"/>
      <c r="I28" s="87"/>
      <c r="J28" s="87"/>
      <c r="K28" s="87"/>
      <c r="L28" s="88"/>
      <c r="M28" s="38"/>
    </row>
    <row r="29" spans="2:13" ht="25" customHeight="1" thickBot="1">
      <c r="B29" s="33"/>
      <c r="C29" s="87"/>
      <c r="D29" s="87"/>
      <c r="E29" s="87"/>
      <c r="F29" s="87"/>
      <c r="G29" s="87"/>
      <c r="H29" s="87"/>
      <c r="I29" s="87"/>
      <c r="J29" s="87"/>
      <c r="K29" s="87"/>
      <c r="L29" s="88"/>
      <c r="M29" s="38"/>
    </row>
    <row r="30" spans="2:13" ht="40" customHeight="1" thickBot="1">
      <c r="B30" s="33"/>
      <c r="C30" s="72" t="s">
        <v>112</v>
      </c>
      <c r="D30" s="93" t="s">
        <v>113</v>
      </c>
      <c r="E30" s="94" t="s">
        <v>114</v>
      </c>
      <c r="F30" s="94" t="s">
        <v>115</v>
      </c>
      <c r="G30" s="94" t="s">
        <v>116</v>
      </c>
      <c r="H30" s="95" t="s">
        <v>117</v>
      </c>
      <c r="I30" s="96" t="s">
        <v>118</v>
      </c>
      <c r="J30" s="88"/>
      <c r="K30" s="88"/>
      <c r="L30" s="88"/>
      <c r="M30" s="38"/>
    </row>
    <row r="31" spans="2:13" ht="25" customHeight="1">
      <c r="B31" s="33"/>
      <c r="C31" s="97" t="s">
        <v>97</v>
      </c>
      <c r="D31" s="77">
        <f>ROUNDUP(('성공적인 직업생활'!$P7-0.5-50)/10*'성공적인 직업생활'!$H$4+'성공적인 직업생활'!$H$3, 0)</f>
        <v>45</v>
      </c>
      <c r="E31" s="60"/>
      <c r="F31" s="60">
        <f>ROUNDUP(('공업 일반'!$P7-0.5-50)/10*'공업 일반'!$H$4+'공업 일반'!$H$3, 0)</f>
        <v>46</v>
      </c>
      <c r="G31" s="60">
        <f>ROUNDUP(('상업 경제'!$P7-0.5-50)/10*'상업 경제'!$H$4+'상업 경제'!$H$3, 0)</f>
        <v>45</v>
      </c>
      <c r="H31" s="60"/>
      <c r="I31" s="98">
        <f>ROUNDUP(('인간 발달'!$P7-0.5-50)/10*'인간 발달'!$H$4+'인간 발달'!$H$3, 0)</f>
        <v>50</v>
      </c>
      <c r="J31" s="88"/>
      <c r="K31" s="88"/>
      <c r="L31" s="88"/>
      <c r="M31" s="38"/>
    </row>
    <row r="32" spans="2:13" ht="25" customHeight="1">
      <c r="B32" s="33"/>
      <c r="C32" s="99" t="s">
        <v>98</v>
      </c>
      <c r="D32" s="59">
        <f>ROUNDUP(('성공적인 직업생활'!$P8-0.5-50)/10*'성공적인 직업생활'!$H$4+'성공적인 직업생활'!$H$3, 0)</f>
        <v>41</v>
      </c>
      <c r="E32" s="100"/>
      <c r="F32" s="100">
        <f>ROUNDUP(('공업 일반'!$P8-0.5-50)/10*'공업 일반'!$H$4+'공업 일반'!$H$3, 0)</f>
        <v>44</v>
      </c>
      <c r="G32" s="100">
        <f>ROUNDUP(('상업 경제'!$P8-0.5-50)/10*'상업 경제'!$H$4+'상업 경제'!$H$3, 0)</f>
        <v>41</v>
      </c>
      <c r="H32" s="100"/>
      <c r="I32" s="101">
        <f>ROUNDUP(('인간 발달'!$P8-0.5-50)/10*'인간 발달'!$H$4+'인간 발달'!$H$3, 0)</f>
        <v>46</v>
      </c>
      <c r="J32" s="88"/>
      <c r="K32" s="88"/>
      <c r="L32" s="88"/>
      <c r="M32" s="38"/>
    </row>
    <row r="33" spans="2:14" ht="25" customHeight="1">
      <c r="B33" s="33"/>
      <c r="C33" s="99" t="s">
        <v>99</v>
      </c>
      <c r="D33" s="59">
        <f>ROUNDUP(('성공적인 직업생활'!$P9-0.5-50)/10*'성공적인 직업생활'!$H$4+'성공적인 직업생활'!$H$3, 0)</f>
        <v>35</v>
      </c>
      <c r="E33" s="100"/>
      <c r="F33" s="100">
        <f>ROUNDUP(('공업 일반'!$P9-0.5-50)/10*'공업 일반'!$H$4+'공업 일반'!$H$3, 0)</f>
        <v>40</v>
      </c>
      <c r="G33" s="100">
        <f>ROUNDUP(('상업 경제'!$P9-0.5-50)/10*'상업 경제'!$H$4+'상업 경제'!$H$3, 0)</f>
        <v>33</v>
      </c>
      <c r="H33" s="100"/>
      <c r="I33" s="101">
        <f>ROUNDUP(('인간 발달'!$P9-0.5-50)/10*'인간 발달'!$H$4+'인간 발달'!$H$3, 0)</f>
        <v>44</v>
      </c>
      <c r="J33" s="88"/>
      <c r="K33" s="88"/>
      <c r="L33" s="88"/>
      <c r="M33" s="38"/>
    </row>
    <row r="34" spans="2:14" ht="25" customHeight="1">
      <c r="B34" s="33"/>
      <c r="C34" s="99" t="s">
        <v>100</v>
      </c>
      <c r="D34" s="59">
        <f>ROUNDUP(('성공적인 직업생활'!$P10-0.5-50)/10*'성공적인 직업생활'!$H$4+'성공적인 직업생활'!$H$3, 0)</f>
        <v>26</v>
      </c>
      <c r="E34" s="100"/>
      <c r="F34" s="100">
        <f>ROUNDUP(('공업 일반'!$P10-0.5-50)/10*'공업 일반'!$H$4+'공업 일반'!$H$3, 0)</f>
        <v>32</v>
      </c>
      <c r="G34" s="100">
        <f>ROUNDUP(('상업 경제'!$P10-0.5-50)/10*'상업 경제'!$H$4+'상업 경제'!$H$3, 0)</f>
        <v>26</v>
      </c>
      <c r="H34" s="100"/>
      <c r="I34" s="101">
        <f>ROUNDUP(('인간 발달'!$P10-0.5-50)/10*'인간 발달'!$H$4+'인간 발달'!$H$3, 0)</f>
        <v>34</v>
      </c>
      <c r="J34" s="88"/>
      <c r="K34" s="88"/>
      <c r="L34" s="88"/>
      <c r="M34" s="38"/>
    </row>
    <row r="35" spans="2:14" ht="25" customHeight="1">
      <c r="B35" s="33"/>
      <c r="C35" s="99" t="s">
        <v>101</v>
      </c>
      <c r="D35" s="59">
        <f>ROUNDUP(('성공적인 직업생활'!$P11-0.5-50)/10*'성공적인 직업생활'!$H$4+'성공적인 직업생활'!$H$3, 0)</f>
        <v>21</v>
      </c>
      <c r="E35" s="100"/>
      <c r="F35" s="100">
        <f>ROUNDUP(('공업 일반'!$P11-0.5-50)/10*'공업 일반'!$H$4+'공업 일반'!$H$3, 0)</f>
        <v>22</v>
      </c>
      <c r="G35" s="100">
        <f>ROUNDUP(('상업 경제'!$P11-0.5-50)/10*'상업 경제'!$H$4+'상업 경제'!$H$3, 0)</f>
        <v>20</v>
      </c>
      <c r="H35" s="100"/>
      <c r="I35" s="101">
        <f>ROUNDUP(('인간 발달'!$P11-0.5-50)/10*'인간 발달'!$H$4+'인간 발달'!$H$3, 0)</f>
        <v>24</v>
      </c>
      <c r="J35" s="88"/>
      <c r="K35" s="88"/>
      <c r="L35" s="88"/>
      <c r="M35" s="38"/>
    </row>
    <row r="36" spans="2:14" ht="25" customHeight="1">
      <c r="B36" s="33"/>
      <c r="C36" s="99" t="s">
        <v>102</v>
      </c>
      <c r="D36" s="59">
        <f>ROUNDUP(('성공적인 직업생활'!$P12-0.5-50)/10*'성공적인 직업생활'!$H$4+'성공적인 직업생활'!$H$3, 0)</f>
        <v>16</v>
      </c>
      <c r="E36" s="100"/>
      <c r="F36" s="100">
        <f>ROUNDUP(('공업 일반'!$P12-0.5-50)/10*'공업 일반'!$H$4+'공업 일반'!$H$3, 0)</f>
        <v>15</v>
      </c>
      <c r="G36" s="100">
        <f>ROUNDUP(('상업 경제'!$P12-0.5-50)/10*'상업 경제'!$H$4+'상업 경제'!$H$3, 0)</f>
        <v>14</v>
      </c>
      <c r="H36" s="100"/>
      <c r="I36" s="101">
        <f>ROUNDUP(('인간 발달'!$P12-0.5-50)/10*'인간 발달'!$H$4+'인간 발달'!$H$3, 0)</f>
        <v>18</v>
      </c>
      <c r="J36" s="88"/>
      <c r="K36" s="88"/>
      <c r="L36" s="88"/>
      <c r="M36" s="38"/>
    </row>
    <row r="37" spans="2:14" ht="25" customHeight="1">
      <c r="B37" s="33"/>
      <c r="C37" s="99" t="s">
        <v>103</v>
      </c>
      <c r="D37" s="59">
        <f>ROUNDUP(('성공적인 직업생활'!$P13-0.5-50)/10*'성공적인 직업생활'!$H$4+'성공적인 직업생활'!$H$3, 0)</f>
        <v>12</v>
      </c>
      <c r="E37" s="100"/>
      <c r="F37" s="100">
        <f>ROUNDUP(('공업 일반'!$P13-0.5-50)/10*'공업 일반'!$H$4+'공업 일반'!$H$3, 0)</f>
        <v>10</v>
      </c>
      <c r="G37" s="100">
        <f>ROUNDUP(('상업 경제'!$P13-0.5-50)/10*'상업 경제'!$H$4+'상업 경제'!$H$3, 0)</f>
        <v>10</v>
      </c>
      <c r="H37" s="100"/>
      <c r="I37" s="101">
        <f>ROUNDUP(('인간 발달'!$P13-0.5-50)/10*'인간 발달'!$H$4+'인간 발달'!$H$3, 0)</f>
        <v>14</v>
      </c>
      <c r="J37" s="88"/>
      <c r="K37" s="88"/>
      <c r="L37" s="88"/>
      <c r="M37" s="38"/>
    </row>
    <row r="38" spans="2:14" ht="25" customHeight="1" thickBot="1">
      <c r="B38" s="33"/>
      <c r="C38" s="102" t="s">
        <v>104</v>
      </c>
      <c r="D38" s="103">
        <f>ROUNDUP(('성공적인 직업생활'!$P14-0.5-50)/10*'성공적인 직업생활'!$H$4+'성공적인 직업생활'!$H$3, 0)</f>
        <v>9</v>
      </c>
      <c r="E38" s="104"/>
      <c r="F38" s="104">
        <f>ROUNDUP(('공업 일반'!$P14-0.5-50)/10*'공업 일반'!$H$4+'공업 일반'!$H$3, 0)</f>
        <v>6</v>
      </c>
      <c r="G38" s="104">
        <f>ROUNDUP(('상업 경제'!$P14-0.5-50)/10*'상업 경제'!$H$4+'상업 경제'!$H$3, 0)</f>
        <v>7</v>
      </c>
      <c r="H38" s="104"/>
      <c r="I38" s="105">
        <f>ROUNDUP(('인간 발달'!$P14-0.5-50)/10*'인간 발달'!$H$4+'인간 발달'!$H$3, 0)</f>
        <v>10</v>
      </c>
      <c r="J38" s="88"/>
      <c r="K38" s="88"/>
      <c r="L38" s="88"/>
      <c r="M38" s="38"/>
    </row>
    <row r="39" spans="2:14" ht="6" customHeight="1">
      <c r="B39" s="34"/>
      <c r="C39" s="35"/>
      <c r="D39" s="35"/>
      <c r="E39" s="35"/>
      <c r="F39" s="35"/>
      <c r="G39" s="35"/>
      <c r="H39" s="35"/>
      <c r="I39" s="35"/>
      <c r="J39" s="35"/>
      <c r="K39" s="35"/>
      <c r="L39" s="39"/>
      <c r="M39" s="36"/>
    </row>
    <row r="40" spans="2:14">
      <c r="B40" s="14"/>
      <c r="C40" s="13"/>
      <c r="D40" s="13"/>
      <c r="E40" s="13"/>
      <c r="F40" s="13"/>
      <c r="G40" s="13"/>
      <c r="H40" s="13"/>
      <c r="I40" s="13"/>
      <c r="J40" s="13"/>
      <c r="K40" s="13"/>
      <c r="L40" s="14"/>
      <c r="M40" s="14"/>
    </row>
    <row r="41" spans="2:14">
      <c r="B41" s="14"/>
      <c r="C41" s="13"/>
      <c r="D41" s="13"/>
      <c r="E41" s="13"/>
      <c r="F41" s="13"/>
      <c r="G41" s="13"/>
      <c r="H41" s="13"/>
      <c r="I41" s="13"/>
      <c r="J41" s="13"/>
      <c r="K41" s="13"/>
      <c r="L41" s="14"/>
      <c r="M41" s="14"/>
      <c r="N41" s="14"/>
    </row>
    <row r="42" spans="2:14">
      <c r="B42" s="14"/>
      <c r="C42" s="13"/>
      <c r="D42" s="13"/>
      <c r="E42" s="13"/>
      <c r="F42" s="13"/>
      <c r="G42" s="13"/>
      <c r="H42" s="13"/>
      <c r="I42" s="13"/>
      <c r="J42" s="13"/>
      <c r="K42" s="13"/>
      <c r="L42" s="14"/>
      <c r="M42" s="14"/>
      <c r="N42" s="14"/>
    </row>
    <row r="43" spans="2:14">
      <c r="B43" s="14"/>
      <c r="C43" s="13"/>
      <c r="D43" s="13"/>
      <c r="E43" s="13"/>
      <c r="F43" s="13"/>
      <c r="G43" s="13"/>
      <c r="H43" s="13"/>
      <c r="I43" s="13"/>
      <c r="J43" s="13"/>
      <c r="K43" s="13"/>
      <c r="L43" s="14"/>
      <c r="M43" s="14"/>
      <c r="N43" s="14"/>
    </row>
    <row r="44" spans="2:14">
      <c r="B44" s="14"/>
      <c r="C44" s="13"/>
      <c r="D44" s="13"/>
      <c r="E44" s="13"/>
      <c r="F44" s="13"/>
      <c r="G44" s="13"/>
      <c r="H44" s="13"/>
      <c r="I44" s="13"/>
      <c r="J44" s="13"/>
      <c r="K44" s="13"/>
      <c r="L44" s="14"/>
      <c r="M44" s="14"/>
      <c r="N44" s="14"/>
    </row>
    <row r="45" spans="2:14">
      <c r="B45" s="14"/>
      <c r="C45" s="13"/>
      <c r="D45" s="13"/>
      <c r="E45" s="13"/>
      <c r="F45" s="13"/>
      <c r="G45" s="13"/>
      <c r="H45" s="13"/>
      <c r="I45" s="13"/>
      <c r="J45" s="13"/>
      <c r="K45" s="13"/>
      <c r="L45" s="14"/>
      <c r="M45" s="14"/>
      <c r="N45" s="14"/>
    </row>
    <row r="46" spans="2:14">
      <c r="B46" s="14"/>
      <c r="C46" s="13"/>
      <c r="D46" s="13"/>
      <c r="E46" s="13"/>
      <c r="F46" s="13"/>
      <c r="G46" s="13"/>
      <c r="H46" s="13"/>
      <c r="I46" s="13"/>
      <c r="J46" s="13"/>
      <c r="K46" s="13"/>
      <c r="L46" s="14"/>
      <c r="M46" s="14"/>
      <c r="N46" s="14"/>
    </row>
    <row r="47" spans="2:14">
      <c r="B47" s="14"/>
      <c r="C47" s="13"/>
      <c r="D47" s="13"/>
      <c r="E47" s="13"/>
      <c r="F47" s="13"/>
      <c r="G47" s="13"/>
      <c r="H47" s="13"/>
      <c r="I47" s="13"/>
      <c r="J47" s="13"/>
      <c r="K47" s="13"/>
      <c r="L47" s="14"/>
      <c r="M47" s="14"/>
      <c r="N47" s="14"/>
    </row>
    <row r="48" spans="2:14">
      <c r="B48" s="14"/>
      <c r="C48" s="13"/>
      <c r="D48" s="13"/>
      <c r="E48" s="13"/>
      <c r="F48" s="13"/>
      <c r="G48" s="13"/>
      <c r="H48" s="13"/>
      <c r="I48" s="13"/>
      <c r="J48" s="13"/>
      <c r="K48" s="13"/>
      <c r="L48" s="14"/>
      <c r="M48" s="14"/>
      <c r="N48" s="14"/>
    </row>
    <row r="49" spans="2:14">
      <c r="B49" s="14"/>
      <c r="C49" s="13"/>
      <c r="D49" s="13"/>
      <c r="E49" s="13"/>
      <c r="F49" s="13"/>
      <c r="G49" s="13"/>
      <c r="H49" s="13"/>
      <c r="I49" s="13"/>
      <c r="J49" s="13"/>
      <c r="K49" s="13"/>
      <c r="L49" s="14"/>
      <c r="M49" s="14"/>
      <c r="N49" s="14"/>
    </row>
    <row r="50" spans="2:14">
      <c r="B50" s="14"/>
      <c r="C50" s="13"/>
      <c r="D50" s="13"/>
      <c r="E50" s="13"/>
      <c r="F50" s="13"/>
      <c r="G50" s="13"/>
      <c r="H50" s="13"/>
      <c r="I50" s="13"/>
      <c r="J50" s="13"/>
      <c r="K50" s="13"/>
      <c r="L50" s="14"/>
      <c r="M50" s="14"/>
      <c r="N50" s="14"/>
    </row>
    <row r="51" spans="2:14">
      <c r="B51" s="14"/>
      <c r="C51" s="13"/>
      <c r="D51" s="13"/>
      <c r="E51" s="13"/>
      <c r="F51" s="13"/>
      <c r="G51" s="13"/>
      <c r="H51" s="13"/>
      <c r="I51" s="13"/>
      <c r="J51" s="13"/>
      <c r="K51" s="13"/>
      <c r="L51" s="14"/>
      <c r="M51" s="14"/>
      <c r="N51" s="14"/>
    </row>
    <row r="52" spans="2:14">
      <c r="B52" s="14"/>
      <c r="C52" s="13"/>
      <c r="D52" s="13"/>
      <c r="E52" s="13"/>
      <c r="F52" s="13"/>
      <c r="G52" s="13"/>
      <c r="H52" s="13"/>
      <c r="I52" s="13"/>
      <c r="J52" s="13"/>
      <c r="K52" s="13"/>
      <c r="L52" s="14"/>
      <c r="M52" s="14"/>
      <c r="N52" s="14"/>
    </row>
    <row r="53" spans="2:14">
      <c r="B53" s="14"/>
      <c r="C53" s="13"/>
      <c r="D53" s="13"/>
      <c r="E53" s="13"/>
      <c r="F53" s="13"/>
      <c r="G53" s="13"/>
      <c r="H53" s="13"/>
      <c r="I53" s="13"/>
      <c r="J53" s="13"/>
      <c r="K53" s="13"/>
      <c r="L53" s="14"/>
      <c r="M53" s="14"/>
      <c r="N53" s="14"/>
    </row>
    <row r="54" spans="2:14">
      <c r="B54" s="14"/>
      <c r="C54" s="13"/>
      <c r="D54" s="13"/>
      <c r="E54" s="13"/>
      <c r="F54" s="13"/>
      <c r="G54" s="13"/>
      <c r="H54" s="13"/>
      <c r="I54" s="13"/>
      <c r="J54" s="13"/>
      <c r="K54" s="13"/>
      <c r="L54" s="14"/>
      <c r="M54" s="14"/>
      <c r="N54" s="14"/>
    </row>
    <row r="55" spans="2:14">
      <c r="B55" s="14"/>
      <c r="C55" s="13"/>
      <c r="D55" s="13"/>
      <c r="E55" s="13"/>
      <c r="F55" s="13"/>
      <c r="G55" s="13"/>
      <c r="H55" s="13"/>
      <c r="I55" s="13"/>
      <c r="J55" s="13"/>
      <c r="K55" s="13"/>
      <c r="L55" s="14"/>
      <c r="M55" s="14"/>
      <c r="N55" s="14"/>
    </row>
    <row r="56" spans="2:14">
      <c r="B56" s="14"/>
      <c r="C56" s="13"/>
      <c r="D56" s="13"/>
      <c r="E56" s="13"/>
      <c r="F56" s="13"/>
      <c r="G56" s="13"/>
      <c r="H56" s="13"/>
      <c r="I56" s="13"/>
      <c r="J56" s="13"/>
      <c r="K56" s="13"/>
      <c r="L56" s="14"/>
      <c r="M56" s="14"/>
      <c r="N56" s="14"/>
    </row>
    <row r="57" spans="2:14">
      <c r="B57" s="14"/>
      <c r="C57" s="13"/>
      <c r="D57" s="13"/>
      <c r="E57" s="13"/>
      <c r="F57" s="13"/>
      <c r="G57" s="13"/>
      <c r="H57" s="13"/>
      <c r="I57" s="13"/>
      <c r="J57" s="13"/>
      <c r="K57" s="13"/>
      <c r="L57" s="14"/>
      <c r="M57" s="14"/>
      <c r="N57" s="14"/>
    </row>
    <row r="58" spans="2:14">
      <c r="B58" s="14"/>
      <c r="C58" s="13"/>
      <c r="D58" s="13"/>
      <c r="E58" s="13"/>
      <c r="F58" s="13"/>
      <c r="G58" s="13"/>
      <c r="H58" s="13"/>
      <c r="I58" s="13"/>
      <c r="J58" s="13"/>
      <c r="K58" s="13"/>
      <c r="L58" s="14"/>
      <c r="M58" s="14"/>
      <c r="N58" s="14"/>
    </row>
    <row r="59" spans="2:14">
      <c r="B59" s="14"/>
      <c r="C59" s="13"/>
      <c r="D59" s="13"/>
      <c r="E59" s="13"/>
      <c r="F59" s="13"/>
      <c r="G59" s="13"/>
      <c r="H59" s="13"/>
      <c r="I59" s="13"/>
      <c r="J59" s="13"/>
      <c r="K59" s="13"/>
      <c r="L59" s="14"/>
      <c r="M59" s="14"/>
      <c r="N59" s="14"/>
    </row>
    <row r="60" spans="2:14">
      <c r="B60" s="14"/>
      <c r="C60" s="13"/>
      <c r="D60" s="13"/>
      <c r="E60" s="13"/>
      <c r="F60" s="13"/>
      <c r="G60" s="13"/>
      <c r="H60" s="13"/>
      <c r="I60" s="13"/>
      <c r="J60" s="13"/>
      <c r="K60" s="13"/>
      <c r="L60" s="14"/>
      <c r="M60" s="14"/>
      <c r="N60" s="14"/>
    </row>
    <row r="61" spans="2:14">
      <c r="B61" s="14"/>
      <c r="C61" s="13"/>
      <c r="D61" s="13"/>
      <c r="E61" s="13"/>
      <c r="F61" s="13"/>
      <c r="G61" s="13"/>
      <c r="H61" s="13"/>
      <c r="I61" s="13"/>
      <c r="J61" s="13"/>
      <c r="K61" s="13"/>
      <c r="L61" s="14"/>
      <c r="M61" s="14"/>
      <c r="N61" s="14"/>
    </row>
    <row r="62" spans="2:14">
      <c r="B62" s="14"/>
      <c r="C62" s="13"/>
      <c r="D62" s="13"/>
      <c r="E62" s="13"/>
      <c r="F62" s="13"/>
      <c r="G62" s="13"/>
      <c r="H62" s="13"/>
      <c r="I62" s="13"/>
      <c r="J62" s="13"/>
      <c r="K62" s="13"/>
      <c r="L62" s="14"/>
      <c r="M62" s="14"/>
      <c r="N62" s="14"/>
    </row>
  </sheetData>
  <mergeCells count="3">
    <mergeCell ref="D4:G4"/>
    <mergeCell ref="D5:G5"/>
    <mergeCell ref="C6:L7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통계 및 응시자 수 입력 기능</vt:lpstr>
      <vt:lpstr>인원 입력 기능</vt:lpstr>
      <vt:lpstr>표준점수 등급컷 입력기능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물리학Ⅱ</vt:lpstr>
      <vt:lpstr>화학Ⅱ</vt:lpstr>
      <vt:lpstr>생명과학Ⅱ</vt:lpstr>
      <vt:lpstr>지구과학Ⅱ</vt:lpstr>
      <vt:lpstr>성공적인 직업생활</vt:lpstr>
      <vt:lpstr>농업 기초 기술</vt:lpstr>
      <vt:lpstr>공업 일반</vt:lpstr>
      <vt:lpstr>상업 경제</vt:lpstr>
      <vt:lpstr>수산·해운 산업 기초</vt:lpstr>
      <vt:lpstr>인간 발달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-</cp:lastModifiedBy>
  <dcterms:created xsi:type="dcterms:W3CDTF">2018-04-21T04:34:05Z</dcterms:created>
  <dcterms:modified xsi:type="dcterms:W3CDTF">2024-12-05T09:25:06Z</dcterms:modified>
</cp:coreProperties>
</file>