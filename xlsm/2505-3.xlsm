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5\고3\영한탐(외)\"/>
    </mc:Choice>
  </mc:AlternateContent>
  <xr:revisionPtr revIDLastSave="0" documentId="13_ncr:1_{9A88B5E1-E688-4F6C-B14F-9C852E9085A9}" xr6:coauthVersionLast="47" xr6:coauthVersionMax="47" xr10:uidLastSave="{00000000-0000-0000-0000-000000000000}"/>
  <bookViews>
    <workbookView xWindow="-110" yWindow="-110" windowWidth="19420" windowHeight="11500" firstSheet="17" activeTab="22" xr2:uid="{AB9EE284-95EA-49B1-8133-EE4E7651E7F1}"/>
  </bookViews>
  <sheets>
    <sheet name="통계 및 응시자 수 입력 기능" sheetId="67" r:id="rId1"/>
    <sheet name="인원 입력 기능 (사과탐)" sheetId="64" r:id="rId2"/>
    <sheet name="표준점수 등급컷 입력기능" sheetId="66" r:id="rId3"/>
    <sheet name="영어" sheetId="6" r:id="rId4"/>
    <sheet name="한국사" sheetId="25" r:id="rId5"/>
    <sheet name="생활과 윤리" sheetId="3" r:id="rId6"/>
    <sheet name="윤리와 사상" sheetId="26" r:id="rId7"/>
    <sheet name="한국지리" sheetId="27" r:id="rId8"/>
    <sheet name="세계지리" sheetId="28" r:id="rId9"/>
    <sheet name="동아시아사" sheetId="29" r:id="rId10"/>
    <sheet name="세계사" sheetId="30" r:id="rId11"/>
    <sheet name="경제" sheetId="31" r:id="rId12"/>
    <sheet name="정치와 법" sheetId="32" r:id="rId13"/>
    <sheet name="사회∙문화" sheetId="33" r:id="rId14"/>
    <sheet name="물리학Ⅰ" sheetId="34" r:id="rId15"/>
    <sheet name="화학Ⅰ" sheetId="35" r:id="rId16"/>
    <sheet name="생명과학Ⅰ" sheetId="36" r:id="rId17"/>
    <sheet name="지구과학Ⅰ" sheetId="37" r:id="rId18"/>
    <sheet name="물리학Ⅱ" sheetId="38" r:id="rId19"/>
    <sheet name="화학Ⅱ" sheetId="39" r:id="rId20"/>
    <sheet name="생명과학Ⅱ" sheetId="40" r:id="rId21"/>
    <sheet name="지구과학Ⅱ" sheetId="41" r:id="rId22"/>
    <sheet name="등급컷 모아보기" sheetId="69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7" i="3" l="1"/>
  <c r="Q7" i="41"/>
  <c r="Q7" i="40"/>
  <c r="Q7" i="39"/>
  <c r="Q7" i="38"/>
  <c r="Q7" i="37"/>
  <c r="Q7" i="36"/>
  <c r="Q7" i="35"/>
  <c r="Q7" i="34"/>
  <c r="Q7" i="33"/>
  <c r="Q7" i="32"/>
  <c r="Q7" i="31"/>
  <c r="Q7" i="30"/>
  <c r="Q7" i="29"/>
  <c r="Q7" i="28"/>
  <c r="Q7" i="27"/>
  <c r="Q7" i="26"/>
  <c r="H4" i="3"/>
  <c r="H3" i="3"/>
  <c r="D9" i="3" s="1"/>
  <c r="H3" i="26"/>
  <c r="J3" i="3" l="1"/>
  <c r="J3" i="41"/>
  <c r="J3" i="40"/>
  <c r="J3" i="39"/>
  <c r="J3" i="38"/>
  <c r="J3" i="37"/>
  <c r="J3" i="36"/>
  <c r="J3" i="35"/>
  <c r="J3" i="34"/>
  <c r="J3" i="33"/>
  <c r="J3" i="32"/>
  <c r="J3" i="31"/>
  <c r="J3" i="30"/>
  <c r="J3" i="29"/>
  <c r="J3" i="28"/>
  <c r="J3" i="27"/>
  <c r="J3" i="26"/>
  <c r="J3" i="6"/>
  <c r="J3" i="25"/>
  <c r="E7" i="6"/>
  <c r="E7" i="25"/>
  <c r="E15" i="25"/>
  <c r="E14" i="25"/>
  <c r="E9" i="25"/>
  <c r="F9" i="25" s="1"/>
  <c r="E10" i="25"/>
  <c r="E11" i="25"/>
  <c r="E12" i="25"/>
  <c r="E13" i="25"/>
  <c r="F13" i="25" s="1"/>
  <c r="E8" i="25"/>
  <c r="E15" i="6"/>
  <c r="E9" i="6"/>
  <c r="E10" i="6"/>
  <c r="E11" i="6"/>
  <c r="E12" i="6"/>
  <c r="E13" i="6"/>
  <c r="E14" i="6"/>
  <c r="E8" i="6"/>
  <c r="F8" i="6" s="1"/>
  <c r="F7" i="6" l="1"/>
  <c r="F9" i="6"/>
  <c r="F13" i="6"/>
  <c r="F12" i="6"/>
  <c r="F8" i="25"/>
  <c r="F10" i="6"/>
  <c r="F12" i="25"/>
  <c r="F15" i="6"/>
  <c r="F11" i="6"/>
  <c r="F15" i="25"/>
  <c r="F11" i="25"/>
  <c r="F14" i="6"/>
  <c r="F14" i="25"/>
  <c r="F10" i="25"/>
  <c r="F7" i="25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8"/>
  <c r="Q9" i="38"/>
  <c r="Q10" i="38"/>
  <c r="Q11" i="38"/>
  <c r="Q12" i="38"/>
  <c r="Q13" i="38"/>
  <c r="Q14" i="38"/>
  <c r="Q8" i="39"/>
  <c r="Q9" i="39"/>
  <c r="Q10" i="39"/>
  <c r="Q11" i="39"/>
  <c r="Q12" i="39"/>
  <c r="Q13" i="39"/>
  <c r="Q14" i="39"/>
  <c r="Q8" i="40"/>
  <c r="Q9" i="40"/>
  <c r="Q10" i="40"/>
  <c r="Q11" i="40"/>
  <c r="Q12" i="40"/>
  <c r="Q13" i="40"/>
  <c r="Q14" i="40"/>
  <c r="Q8" i="41"/>
  <c r="Q9" i="41"/>
  <c r="Q10" i="41"/>
  <c r="Q11" i="41"/>
  <c r="Q12" i="41"/>
  <c r="Q13" i="41"/>
  <c r="Q14" i="41"/>
  <c r="Q8" i="3"/>
  <c r="D10" i="69" s="1"/>
  <c r="Q9" i="3"/>
  <c r="D11" i="69" s="1"/>
  <c r="Q10" i="3"/>
  <c r="D12" i="69" s="1"/>
  <c r="Q11" i="3"/>
  <c r="D13" i="69" s="1"/>
  <c r="Q12" i="3"/>
  <c r="D14" i="69" s="1"/>
  <c r="Q13" i="3"/>
  <c r="D15" i="69" s="1"/>
  <c r="Q14" i="3"/>
  <c r="D16" i="69" s="1"/>
  <c r="H4" i="41"/>
  <c r="H4" i="40"/>
  <c r="H4" i="39"/>
  <c r="H4" i="38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3" i="41"/>
  <c r="H3" i="40"/>
  <c r="H3" i="39"/>
  <c r="H3" i="38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D9" i="34" l="1"/>
  <c r="D9" i="27"/>
  <c r="D9" i="35"/>
  <c r="D9" i="28"/>
  <c r="D9" i="32"/>
  <c r="D9" i="36"/>
  <c r="D9" i="40"/>
  <c r="D9" i="26"/>
  <c r="D9" i="30"/>
  <c r="D9" i="38"/>
  <c r="D9" i="31"/>
  <c r="D9" i="39"/>
  <c r="D9" i="29"/>
  <c r="D9" i="33"/>
  <c r="D9" i="37"/>
  <c r="D9" i="41"/>
  <c r="H9" i="69"/>
  <c r="L9" i="69"/>
  <c r="G20" i="69"/>
  <c r="K20" i="69"/>
  <c r="K27" i="69"/>
  <c r="K23" i="69"/>
  <c r="I25" i="69"/>
  <c r="I21" i="69"/>
  <c r="G27" i="69"/>
  <c r="G23" i="69"/>
  <c r="E25" i="69"/>
  <c r="E21" i="69"/>
  <c r="L16" i="69"/>
  <c r="L12" i="69"/>
  <c r="J14" i="69"/>
  <c r="J10" i="69"/>
  <c r="H16" i="69"/>
  <c r="H12" i="69"/>
  <c r="F14" i="69"/>
  <c r="F10" i="69"/>
  <c r="F9" i="69"/>
  <c r="J9" i="69"/>
  <c r="E20" i="69"/>
  <c r="I20" i="69"/>
  <c r="K25" i="69"/>
  <c r="K21" i="69"/>
  <c r="I27" i="69"/>
  <c r="I23" i="69"/>
  <c r="G25" i="69"/>
  <c r="G21" i="69"/>
  <c r="E27" i="69"/>
  <c r="E23" i="69"/>
  <c r="L14" i="69"/>
  <c r="L10" i="69"/>
  <c r="J16" i="69"/>
  <c r="J12" i="69"/>
  <c r="H14" i="69"/>
  <c r="H10" i="69"/>
  <c r="F16" i="69"/>
  <c r="F12" i="69"/>
  <c r="D22" i="69"/>
  <c r="I11" i="69"/>
  <c r="J26" i="69"/>
  <c r="J22" i="69"/>
  <c r="H24" i="69"/>
  <c r="F22" i="69"/>
  <c r="K15" i="69"/>
  <c r="K11" i="69"/>
  <c r="G15" i="69"/>
  <c r="G11" i="69"/>
  <c r="I9" i="69"/>
  <c r="D20" i="69"/>
  <c r="H20" i="69"/>
  <c r="K26" i="69"/>
  <c r="K22" i="69"/>
  <c r="J25" i="69"/>
  <c r="J21" i="69"/>
  <c r="I24" i="69"/>
  <c r="H27" i="69"/>
  <c r="H23" i="69"/>
  <c r="G26" i="69"/>
  <c r="G22" i="69"/>
  <c r="F25" i="69"/>
  <c r="F21" i="69"/>
  <c r="E24" i="69"/>
  <c r="D27" i="69"/>
  <c r="D23" i="69"/>
  <c r="L15" i="69"/>
  <c r="L11" i="69"/>
  <c r="K14" i="69"/>
  <c r="K10" i="69"/>
  <c r="J13" i="69"/>
  <c r="I16" i="69"/>
  <c r="I12" i="69"/>
  <c r="H15" i="69"/>
  <c r="H11" i="69"/>
  <c r="G14" i="69"/>
  <c r="G10" i="69"/>
  <c r="F13" i="69"/>
  <c r="D26" i="69"/>
  <c r="J24" i="69"/>
  <c r="H22" i="69"/>
  <c r="F24" i="69"/>
  <c r="K13" i="69"/>
  <c r="G13" i="69"/>
  <c r="G9" i="69"/>
  <c r="K9" i="69"/>
  <c r="F20" i="69"/>
  <c r="J20" i="69"/>
  <c r="K24" i="69"/>
  <c r="J27" i="69"/>
  <c r="J23" i="69"/>
  <c r="I26" i="69"/>
  <c r="I22" i="69"/>
  <c r="H25" i="69"/>
  <c r="H21" i="69"/>
  <c r="G24" i="69"/>
  <c r="F27" i="69"/>
  <c r="F23" i="69"/>
  <c r="E26" i="69"/>
  <c r="E22" i="69"/>
  <c r="D25" i="69"/>
  <c r="D21" i="69"/>
  <c r="L13" i="69"/>
  <c r="K16" i="69"/>
  <c r="K12" i="69"/>
  <c r="J15" i="69"/>
  <c r="J11" i="69"/>
  <c r="I14" i="69"/>
  <c r="I10" i="69"/>
  <c r="H13" i="69"/>
  <c r="G16" i="69"/>
  <c r="G12" i="69"/>
  <c r="F15" i="69"/>
  <c r="F11" i="69"/>
  <c r="H26" i="69"/>
  <c r="I15" i="69"/>
  <c r="F26" i="69"/>
  <c r="I13" i="69"/>
  <c r="L15" i="34"/>
  <c r="D13" i="28" l="1"/>
  <c r="L13" i="28" s="1"/>
  <c r="D14" i="28"/>
  <c r="D15" i="28"/>
  <c r="D16" i="28"/>
  <c r="D17" i="28"/>
  <c r="L17" i="28" s="1"/>
  <c r="D18" i="28"/>
  <c r="D20" i="28"/>
  <c r="D21" i="28"/>
  <c r="L21" i="28" s="1"/>
  <c r="D22" i="28"/>
  <c r="D23" i="28"/>
  <c r="D24" i="28"/>
  <c r="L25" i="28"/>
  <c r="D26" i="28"/>
  <c r="D27" i="28"/>
  <c r="D28" i="28"/>
  <c r="D29" i="28"/>
  <c r="L29" i="28" s="1"/>
  <c r="D30" i="28"/>
  <c r="D32" i="28"/>
  <c r="D33" i="28"/>
  <c r="L33" i="28" s="1"/>
  <c r="D34" i="28"/>
  <c r="D35" i="28"/>
  <c r="D36" i="28"/>
  <c r="D37" i="28"/>
  <c r="L37" i="28" s="1"/>
  <c r="D39" i="28"/>
  <c r="D40" i="28"/>
  <c r="D41" i="28"/>
  <c r="L41" i="28" s="1"/>
  <c r="D42" i="28"/>
  <c r="D43" i="28"/>
  <c r="D45" i="28"/>
  <c r="L45" i="28" s="1"/>
  <c r="D46" i="28"/>
  <c r="D47" i="28"/>
  <c r="D48" i="28"/>
  <c r="D49" i="28"/>
  <c r="L49" i="28" s="1"/>
  <c r="D50" i="28"/>
  <c r="D52" i="28"/>
  <c r="D53" i="28"/>
  <c r="L53" i="28" s="1"/>
  <c r="D54" i="28"/>
  <c r="D55" i="28"/>
  <c r="D57" i="28"/>
  <c r="G57" i="28" l="1"/>
  <c r="H57" i="28" s="1"/>
  <c r="L57" i="28"/>
  <c r="G52" i="28"/>
  <c r="H52" i="28" s="1"/>
  <c r="L52" i="28"/>
  <c r="G48" i="28"/>
  <c r="H48" i="28" s="1"/>
  <c r="L48" i="28"/>
  <c r="L44" i="28"/>
  <c r="G40" i="28"/>
  <c r="H40" i="28" s="1"/>
  <c r="L40" i="28"/>
  <c r="G36" i="28"/>
  <c r="H36" i="28" s="1"/>
  <c r="L36" i="28"/>
  <c r="G32" i="28"/>
  <c r="H32" i="28" s="1"/>
  <c r="L32" i="28"/>
  <c r="G28" i="28"/>
  <c r="H28" i="28" s="1"/>
  <c r="L28" i="28"/>
  <c r="G24" i="28"/>
  <c r="H24" i="28" s="1"/>
  <c r="L24" i="28"/>
  <c r="G20" i="28"/>
  <c r="H20" i="28" s="1"/>
  <c r="L20" i="28"/>
  <c r="G16" i="28"/>
  <c r="H16" i="28" s="1"/>
  <c r="L16" i="28"/>
  <c r="G55" i="28"/>
  <c r="H55" i="28" s="1"/>
  <c r="L55" i="28"/>
  <c r="G47" i="28"/>
  <c r="H47" i="28" s="1"/>
  <c r="L47" i="28"/>
  <c r="G39" i="28"/>
  <c r="H39" i="28" s="1"/>
  <c r="L39" i="28"/>
  <c r="G35" i="28"/>
  <c r="H35" i="28" s="1"/>
  <c r="L35" i="28"/>
  <c r="L31" i="28"/>
  <c r="G27" i="28"/>
  <c r="H27" i="28" s="1"/>
  <c r="L27" i="28"/>
  <c r="G23" i="28"/>
  <c r="H23" i="28" s="1"/>
  <c r="L23" i="28"/>
  <c r="L19" i="28"/>
  <c r="G15" i="28"/>
  <c r="H15" i="28" s="1"/>
  <c r="L15" i="28"/>
  <c r="L51" i="28"/>
  <c r="G43" i="28"/>
  <c r="H43" i="28" s="1"/>
  <c r="L43" i="28"/>
  <c r="G54" i="28"/>
  <c r="H54" i="28" s="1"/>
  <c r="L54" i="28"/>
  <c r="G50" i="28"/>
  <c r="H50" i="28" s="1"/>
  <c r="L50" i="28"/>
  <c r="G46" i="28"/>
  <c r="H46" i="28" s="1"/>
  <c r="L46" i="28"/>
  <c r="G42" i="28"/>
  <c r="H42" i="28" s="1"/>
  <c r="L42" i="28"/>
  <c r="L38" i="28"/>
  <c r="G34" i="28"/>
  <c r="H34" i="28" s="1"/>
  <c r="L34" i="28"/>
  <c r="G30" i="28"/>
  <c r="H30" i="28" s="1"/>
  <c r="L30" i="28"/>
  <c r="G26" i="28"/>
  <c r="H26" i="28" s="1"/>
  <c r="L26" i="28"/>
  <c r="G22" i="28"/>
  <c r="H22" i="28" s="1"/>
  <c r="L22" i="28"/>
  <c r="G18" i="28"/>
  <c r="H18" i="28" s="1"/>
  <c r="L18" i="28"/>
  <c r="G14" i="28"/>
  <c r="H14" i="28" s="1"/>
  <c r="L14" i="28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1" i="28"/>
  <c r="H21" i="28" s="1"/>
  <c r="G17" i="28"/>
  <c r="H17" i="28" s="1"/>
  <c r="D57" i="41"/>
  <c r="D55" i="41"/>
  <c r="L55" i="41" s="1"/>
  <c r="D54" i="41"/>
  <c r="L54" i="41" s="1"/>
  <c r="D53" i="41"/>
  <c r="L53" i="41" s="1"/>
  <c r="D52" i="41"/>
  <c r="L52" i="41" s="1"/>
  <c r="D51" i="41"/>
  <c r="L51" i="41" s="1"/>
  <c r="D50" i="41"/>
  <c r="L50" i="41" s="1"/>
  <c r="D49" i="41"/>
  <c r="L49" i="41" s="1"/>
  <c r="D48" i="41"/>
  <c r="L48" i="41" s="1"/>
  <c r="D47" i="41"/>
  <c r="L47" i="41" s="1"/>
  <c r="D46" i="41"/>
  <c r="L46" i="41" s="1"/>
  <c r="D45" i="41"/>
  <c r="L45" i="41" s="1"/>
  <c r="D44" i="41"/>
  <c r="L44" i="41" s="1"/>
  <c r="D43" i="41"/>
  <c r="L43" i="41" s="1"/>
  <c r="D42" i="41"/>
  <c r="L42" i="41" s="1"/>
  <c r="D41" i="41"/>
  <c r="L41" i="41" s="1"/>
  <c r="D40" i="41"/>
  <c r="L40" i="41" s="1"/>
  <c r="D39" i="41"/>
  <c r="L39" i="41" s="1"/>
  <c r="D38" i="41"/>
  <c r="L38" i="41" s="1"/>
  <c r="D37" i="41"/>
  <c r="L37" i="41" s="1"/>
  <c r="D36" i="41"/>
  <c r="L36" i="41" s="1"/>
  <c r="D35" i="41"/>
  <c r="L35" i="41" s="1"/>
  <c r="D34" i="41"/>
  <c r="L34" i="41" s="1"/>
  <c r="D33" i="41"/>
  <c r="L33" i="41" s="1"/>
  <c r="D32" i="41"/>
  <c r="L32" i="41" s="1"/>
  <c r="D31" i="41"/>
  <c r="L31" i="41" s="1"/>
  <c r="D30" i="41"/>
  <c r="L30" i="41" s="1"/>
  <c r="D29" i="41"/>
  <c r="L29" i="41" s="1"/>
  <c r="D28" i="41"/>
  <c r="L28" i="41" s="1"/>
  <c r="D27" i="41"/>
  <c r="L27" i="41" s="1"/>
  <c r="D26" i="41"/>
  <c r="L26" i="41" s="1"/>
  <c r="D25" i="41"/>
  <c r="L25" i="41" s="1"/>
  <c r="D24" i="41"/>
  <c r="L24" i="41" s="1"/>
  <c r="D23" i="41"/>
  <c r="L23" i="41" s="1"/>
  <c r="D22" i="41"/>
  <c r="L22" i="41" s="1"/>
  <c r="D21" i="41"/>
  <c r="L21" i="41" s="1"/>
  <c r="L20" i="41"/>
  <c r="D19" i="41"/>
  <c r="L19" i="41" s="1"/>
  <c r="D18" i="41"/>
  <c r="L18" i="41" s="1"/>
  <c r="D17" i="41"/>
  <c r="L17" i="41" s="1"/>
  <c r="D16" i="41"/>
  <c r="L16" i="41" s="1"/>
  <c r="D15" i="41"/>
  <c r="L15" i="41" s="1"/>
  <c r="D14" i="41"/>
  <c r="L14" i="41" s="1"/>
  <c r="D13" i="41"/>
  <c r="L13" i="41" s="1"/>
  <c r="D12" i="41"/>
  <c r="L12" i="41" s="1"/>
  <c r="D11" i="41"/>
  <c r="L11" i="41" s="1"/>
  <c r="D10" i="41"/>
  <c r="L10" i="41" s="1"/>
  <c r="D7" i="41"/>
  <c r="D57" i="40"/>
  <c r="D55" i="40"/>
  <c r="L55" i="40" s="1"/>
  <c r="D54" i="40"/>
  <c r="L54" i="40" s="1"/>
  <c r="D53" i="40"/>
  <c r="L53" i="40" s="1"/>
  <c r="D52" i="40"/>
  <c r="L52" i="40" s="1"/>
  <c r="D51" i="40"/>
  <c r="L51" i="40" s="1"/>
  <c r="D50" i="40"/>
  <c r="L50" i="40" s="1"/>
  <c r="D49" i="40"/>
  <c r="L49" i="40" s="1"/>
  <c r="D48" i="40"/>
  <c r="L48" i="40" s="1"/>
  <c r="D47" i="40"/>
  <c r="L47" i="40" s="1"/>
  <c r="D46" i="40"/>
  <c r="L46" i="40" s="1"/>
  <c r="D45" i="40"/>
  <c r="L45" i="40" s="1"/>
  <c r="D44" i="40"/>
  <c r="L44" i="40" s="1"/>
  <c r="D43" i="40"/>
  <c r="L43" i="40" s="1"/>
  <c r="D42" i="40"/>
  <c r="L42" i="40" s="1"/>
  <c r="D41" i="40"/>
  <c r="L41" i="40" s="1"/>
  <c r="D40" i="40"/>
  <c r="L40" i="40" s="1"/>
  <c r="D39" i="40"/>
  <c r="L39" i="40" s="1"/>
  <c r="D38" i="40"/>
  <c r="L38" i="40" s="1"/>
  <c r="D37" i="40"/>
  <c r="L37" i="40" s="1"/>
  <c r="D36" i="40"/>
  <c r="L36" i="40" s="1"/>
  <c r="D35" i="40"/>
  <c r="L35" i="40" s="1"/>
  <c r="D34" i="40"/>
  <c r="L34" i="40" s="1"/>
  <c r="D33" i="40"/>
  <c r="L33" i="40" s="1"/>
  <c r="D32" i="40"/>
  <c r="L32" i="40" s="1"/>
  <c r="D31" i="40"/>
  <c r="L31" i="40" s="1"/>
  <c r="D30" i="40"/>
  <c r="L30" i="40" s="1"/>
  <c r="D29" i="40"/>
  <c r="L29" i="40" s="1"/>
  <c r="D28" i="40"/>
  <c r="L28" i="40" s="1"/>
  <c r="D27" i="40"/>
  <c r="L27" i="40" s="1"/>
  <c r="D26" i="40"/>
  <c r="L26" i="40" s="1"/>
  <c r="D25" i="40"/>
  <c r="L25" i="40" s="1"/>
  <c r="D24" i="40"/>
  <c r="L24" i="40" s="1"/>
  <c r="D23" i="40"/>
  <c r="L23" i="40" s="1"/>
  <c r="D22" i="40"/>
  <c r="L22" i="40" s="1"/>
  <c r="D21" i="40"/>
  <c r="L21" i="40" s="1"/>
  <c r="D20" i="40"/>
  <c r="L20" i="40" s="1"/>
  <c r="D19" i="40"/>
  <c r="L19" i="40" s="1"/>
  <c r="D18" i="40"/>
  <c r="L18" i="40" s="1"/>
  <c r="D17" i="40"/>
  <c r="L17" i="40" s="1"/>
  <c r="D16" i="40"/>
  <c r="L16" i="40" s="1"/>
  <c r="D15" i="40"/>
  <c r="L15" i="40" s="1"/>
  <c r="D14" i="40"/>
  <c r="L14" i="40" s="1"/>
  <c r="D13" i="40"/>
  <c r="L13" i="40" s="1"/>
  <c r="D12" i="40"/>
  <c r="L12" i="40" s="1"/>
  <c r="D11" i="40"/>
  <c r="L11" i="40" s="1"/>
  <c r="D10" i="40"/>
  <c r="L10" i="40" s="1"/>
  <c r="D7" i="40"/>
  <c r="D57" i="39"/>
  <c r="D55" i="39"/>
  <c r="L55" i="39" s="1"/>
  <c r="D54" i="39"/>
  <c r="L54" i="39" s="1"/>
  <c r="L53" i="39"/>
  <c r="D52" i="39"/>
  <c r="L52" i="39" s="1"/>
  <c r="D51" i="39"/>
  <c r="L51" i="39" s="1"/>
  <c r="D50" i="39"/>
  <c r="L50" i="39" s="1"/>
  <c r="D49" i="39"/>
  <c r="L49" i="39" s="1"/>
  <c r="D48" i="39"/>
  <c r="L48" i="39" s="1"/>
  <c r="D47" i="39"/>
  <c r="L47" i="39" s="1"/>
  <c r="D46" i="39"/>
  <c r="L46" i="39" s="1"/>
  <c r="L45" i="39"/>
  <c r="D44" i="39"/>
  <c r="L44" i="39" s="1"/>
  <c r="D43" i="39"/>
  <c r="L43" i="39" s="1"/>
  <c r="D42" i="39"/>
  <c r="L42" i="39" s="1"/>
  <c r="D41" i="39"/>
  <c r="L41" i="39" s="1"/>
  <c r="D40" i="39"/>
  <c r="L40" i="39" s="1"/>
  <c r="D39" i="39"/>
  <c r="L39" i="39" s="1"/>
  <c r="D38" i="39"/>
  <c r="L38" i="39" s="1"/>
  <c r="L37" i="39"/>
  <c r="D36" i="39"/>
  <c r="L36" i="39" s="1"/>
  <c r="D35" i="39"/>
  <c r="L35" i="39" s="1"/>
  <c r="D34" i="39"/>
  <c r="L34" i="39" s="1"/>
  <c r="D33" i="39"/>
  <c r="L33" i="39" s="1"/>
  <c r="D32" i="39"/>
  <c r="L32" i="39" s="1"/>
  <c r="D31" i="39"/>
  <c r="L31" i="39" s="1"/>
  <c r="D30" i="39"/>
  <c r="L30" i="39" s="1"/>
  <c r="L29" i="39"/>
  <c r="D28" i="39"/>
  <c r="L28" i="39" s="1"/>
  <c r="D27" i="39"/>
  <c r="L27" i="39" s="1"/>
  <c r="D26" i="39"/>
  <c r="L26" i="39" s="1"/>
  <c r="D25" i="39"/>
  <c r="L25" i="39" s="1"/>
  <c r="D24" i="39"/>
  <c r="L24" i="39" s="1"/>
  <c r="D23" i="39"/>
  <c r="L23" i="39" s="1"/>
  <c r="D22" i="39"/>
  <c r="L22" i="39" s="1"/>
  <c r="L21" i="39"/>
  <c r="D20" i="39"/>
  <c r="L20" i="39" s="1"/>
  <c r="D19" i="39"/>
  <c r="L19" i="39" s="1"/>
  <c r="D18" i="39"/>
  <c r="L18" i="39" s="1"/>
  <c r="D17" i="39"/>
  <c r="L17" i="39" s="1"/>
  <c r="D16" i="39"/>
  <c r="L16" i="39" s="1"/>
  <c r="D15" i="39"/>
  <c r="L15" i="39" s="1"/>
  <c r="D14" i="39"/>
  <c r="L14" i="39" s="1"/>
  <c r="L13" i="39"/>
  <c r="D12" i="39"/>
  <c r="L12" i="39" s="1"/>
  <c r="D11" i="39"/>
  <c r="L11" i="39" s="1"/>
  <c r="D10" i="39"/>
  <c r="L10" i="39" s="1"/>
  <c r="D7" i="39"/>
  <c r="D57" i="38"/>
  <c r="D55" i="38"/>
  <c r="L55" i="38" s="1"/>
  <c r="D54" i="38"/>
  <c r="L54" i="38" s="1"/>
  <c r="D53" i="38"/>
  <c r="L53" i="38" s="1"/>
  <c r="D52" i="38"/>
  <c r="L52" i="38" s="1"/>
  <c r="D51" i="38"/>
  <c r="L51" i="38" s="1"/>
  <c r="L50" i="38"/>
  <c r="D49" i="38"/>
  <c r="L49" i="38" s="1"/>
  <c r="D48" i="38"/>
  <c r="L48" i="38" s="1"/>
  <c r="D47" i="38"/>
  <c r="L47" i="38" s="1"/>
  <c r="D46" i="38"/>
  <c r="L46" i="38" s="1"/>
  <c r="D45" i="38"/>
  <c r="L45" i="38" s="1"/>
  <c r="D44" i="38"/>
  <c r="L44" i="38" s="1"/>
  <c r="D43" i="38"/>
  <c r="L43" i="38" s="1"/>
  <c r="D42" i="38"/>
  <c r="L42" i="38" s="1"/>
  <c r="D41" i="38"/>
  <c r="L41" i="38" s="1"/>
  <c r="D40" i="38"/>
  <c r="L40" i="38" s="1"/>
  <c r="D39" i="38"/>
  <c r="L39" i="38" s="1"/>
  <c r="D38" i="38"/>
  <c r="L38" i="38" s="1"/>
  <c r="D37" i="38"/>
  <c r="L37" i="38" s="1"/>
  <c r="L36" i="38"/>
  <c r="D35" i="38"/>
  <c r="L35" i="38" s="1"/>
  <c r="D34" i="38"/>
  <c r="L34" i="38" s="1"/>
  <c r="D33" i="38"/>
  <c r="L33" i="38" s="1"/>
  <c r="D32" i="38"/>
  <c r="L32" i="38" s="1"/>
  <c r="D31" i="38"/>
  <c r="L31" i="38" s="1"/>
  <c r="D30" i="38"/>
  <c r="L30" i="38" s="1"/>
  <c r="D29" i="38"/>
  <c r="L29" i="38" s="1"/>
  <c r="D28" i="38"/>
  <c r="L28" i="38" s="1"/>
  <c r="D27" i="38"/>
  <c r="L27" i="38" s="1"/>
  <c r="D26" i="38"/>
  <c r="L26" i="38" s="1"/>
  <c r="D25" i="38"/>
  <c r="L25" i="38" s="1"/>
  <c r="D24" i="38"/>
  <c r="L24" i="38" s="1"/>
  <c r="L23" i="38"/>
  <c r="D22" i="38"/>
  <c r="L22" i="38" s="1"/>
  <c r="D21" i="38"/>
  <c r="L21" i="38" s="1"/>
  <c r="D20" i="38"/>
  <c r="L20" i="38" s="1"/>
  <c r="D19" i="38"/>
  <c r="L19" i="38" s="1"/>
  <c r="D18" i="38"/>
  <c r="L18" i="38" s="1"/>
  <c r="D17" i="38"/>
  <c r="L17" i="38" s="1"/>
  <c r="D16" i="38"/>
  <c r="L16" i="38" s="1"/>
  <c r="D15" i="38"/>
  <c r="L15" i="38" s="1"/>
  <c r="D14" i="38"/>
  <c r="L14" i="38" s="1"/>
  <c r="D13" i="38"/>
  <c r="L13" i="38" s="1"/>
  <c r="D12" i="38"/>
  <c r="L12" i="38" s="1"/>
  <c r="D11" i="38"/>
  <c r="L11" i="38" s="1"/>
  <c r="D10" i="38"/>
  <c r="L10" i="38" s="1"/>
  <c r="D7" i="38"/>
  <c r="D57" i="37"/>
  <c r="D55" i="37"/>
  <c r="L55" i="37" s="1"/>
  <c r="L54" i="37"/>
  <c r="D53" i="37"/>
  <c r="L53" i="37" s="1"/>
  <c r="D52" i="37"/>
  <c r="L52" i="37" s="1"/>
  <c r="D51" i="37"/>
  <c r="L51" i="37" s="1"/>
  <c r="L50" i="37"/>
  <c r="D49" i="37"/>
  <c r="L49" i="37" s="1"/>
  <c r="D48" i="37"/>
  <c r="L48" i="37" s="1"/>
  <c r="D47" i="37"/>
  <c r="L47" i="37" s="1"/>
  <c r="L46" i="37"/>
  <c r="D45" i="37"/>
  <c r="L45" i="37" s="1"/>
  <c r="D44" i="37"/>
  <c r="L44" i="37" s="1"/>
  <c r="D43" i="37"/>
  <c r="L43" i="37" s="1"/>
  <c r="L42" i="37"/>
  <c r="D41" i="37"/>
  <c r="L41" i="37" s="1"/>
  <c r="D40" i="37"/>
  <c r="L40" i="37" s="1"/>
  <c r="D39" i="37"/>
  <c r="L39" i="37" s="1"/>
  <c r="L38" i="37"/>
  <c r="D37" i="37"/>
  <c r="L37" i="37" s="1"/>
  <c r="D36" i="37"/>
  <c r="L36" i="37" s="1"/>
  <c r="D35" i="37"/>
  <c r="L35" i="37" s="1"/>
  <c r="L34" i="37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L26" i="37"/>
  <c r="D25" i="37"/>
  <c r="L25" i="37" s="1"/>
  <c r="D24" i="37"/>
  <c r="L24" i="37" s="1"/>
  <c r="L23" i="37"/>
  <c r="D22" i="37"/>
  <c r="L22" i="37" s="1"/>
  <c r="D21" i="37"/>
  <c r="L21" i="37" s="1"/>
  <c r="D20" i="37"/>
  <c r="L20" i="37" s="1"/>
  <c r="L19" i="37"/>
  <c r="D18" i="37"/>
  <c r="L18" i="37" s="1"/>
  <c r="D17" i="37"/>
  <c r="L17" i="37" s="1"/>
  <c r="D16" i="37"/>
  <c r="L16" i="37" s="1"/>
  <c r="L15" i="37"/>
  <c r="D14" i="37"/>
  <c r="L14" i="37" s="1"/>
  <c r="D13" i="37"/>
  <c r="L13" i="37" s="1"/>
  <c r="D12" i="37"/>
  <c r="L12" i="37" s="1"/>
  <c r="L11" i="37"/>
  <c r="D10" i="37"/>
  <c r="L10" i="37" s="1"/>
  <c r="D7" i="37"/>
  <c r="D57" i="36"/>
  <c r="D55" i="36"/>
  <c r="L55" i="36" s="1"/>
  <c r="D54" i="36"/>
  <c r="L54" i="36" s="1"/>
  <c r="D53" i="36"/>
  <c r="L53" i="36" s="1"/>
  <c r="D52" i="36"/>
  <c r="L52" i="36" s="1"/>
  <c r="L51" i="36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L43" i="36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L34" i="36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L25" i="36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L16" i="36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L42" i="35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L27" i="35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L12" i="35"/>
  <c r="D11" i="35"/>
  <c r="L11" i="35" s="1"/>
  <c r="D10" i="35"/>
  <c r="L10" i="35" s="1"/>
  <c r="D7" i="35"/>
  <c r="D57" i="34"/>
  <c r="D55" i="34"/>
  <c r="L55" i="34" s="1"/>
  <c r="D54" i="34"/>
  <c r="L54" i="34" s="1"/>
  <c r="D53" i="34"/>
  <c r="L53" i="34" s="1"/>
  <c r="L52" i="34"/>
  <c r="D51" i="34"/>
  <c r="L51" i="34" s="1"/>
  <c r="D50" i="34"/>
  <c r="L50" i="34" s="1"/>
  <c r="D49" i="34"/>
  <c r="L49" i="34" s="1"/>
  <c r="D48" i="34"/>
  <c r="L48" i="34" s="1"/>
  <c r="D47" i="34"/>
  <c r="L47" i="34" s="1"/>
  <c r="L46" i="34"/>
  <c r="D45" i="34"/>
  <c r="L45" i="34" s="1"/>
  <c r="D44" i="34"/>
  <c r="L44" i="34" s="1"/>
  <c r="D43" i="34"/>
  <c r="L43" i="34" s="1"/>
  <c r="D42" i="34"/>
  <c r="L42" i="34" s="1"/>
  <c r="D41" i="34"/>
  <c r="L41" i="34" s="1"/>
  <c r="D40" i="34"/>
  <c r="L40" i="34" s="1"/>
  <c r="L39" i="34"/>
  <c r="D38" i="34"/>
  <c r="L38" i="34" s="1"/>
  <c r="D37" i="34"/>
  <c r="L37" i="34" s="1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D29" i="34"/>
  <c r="L29" i="34" s="1"/>
  <c r="D28" i="34"/>
  <c r="L28" i="34" s="1"/>
  <c r="L27" i="34"/>
  <c r="D26" i="34"/>
  <c r="L26" i="34" s="1"/>
  <c r="D25" i="34"/>
  <c r="L25" i="34" s="1"/>
  <c r="D24" i="34"/>
  <c r="L24" i="34" s="1"/>
  <c r="D23" i="34"/>
  <c r="L23" i="34" s="1"/>
  <c r="D22" i="34"/>
  <c r="L22" i="34" s="1"/>
  <c r="L21" i="34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D50" i="33"/>
  <c r="L50" i="33" s="1"/>
  <c r="D49" i="33"/>
  <c r="L49" i="33" s="1"/>
  <c r="L48" i="33"/>
  <c r="D47" i="33"/>
  <c r="L47" i="33" s="1"/>
  <c r="D46" i="33"/>
  <c r="L46" i="33" s="1"/>
  <c r="D45" i="33"/>
  <c r="L45" i="33" s="1"/>
  <c r="D44" i="33"/>
  <c r="L44" i="33" s="1"/>
  <c r="D43" i="33"/>
  <c r="L43" i="33" s="1"/>
  <c r="D42" i="33"/>
  <c r="L42" i="33" s="1"/>
  <c r="L41" i="33"/>
  <c r="D40" i="33"/>
  <c r="L40" i="33" s="1"/>
  <c r="D39" i="33"/>
  <c r="L39" i="33" s="1"/>
  <c r="D38" i="33"/>
  <c r="L38" i="33" s="1"/>
  <c r="D37" i="33"/>
  <c r="L37" i="33" s="1"/>
  <c r="D36" i="33"/>
  <c r="L36" i="33" s="1"/>
  <c r="D35" i="33"/>
  <c r="L35" i="33" s="1"/>
  <c r="D34" i="33"/>
  <c r="L34" i="33" s="1"/>
  <c r="L33" i="33"/>
  <c r="D32" i="33"/>
  <c r="L32" i="33" s="1"/>
  <c r="D31" i="33"/>
  <c r="L31" i="33" s="1"/>
  <c r="D30" i="33"/>
  <c r="L30" i="33" s="1"/>
  <c r="D29" i="33"/>
  <c r="L29" i="33" s="1"/>
  <c r="D28" i="33"/>
  <c r="L28" i="33" s="1"/>
  <c r="D27" i="33"/>
  <c r="L27" i="33" s="1"/>
  <c r="L26" i="33"/>
  <c r="D25" i="33"/>
  <c r="L25" i="33" s="1"/>
  <c r="D24" i="33"/>
  <c r="L24" i="33" s="1"/>
  <c r="D23" i="33"/>
  <c r="L23" i="33" s="1"/>
  <c r="D22" i="33"/>
  <c r="L22" i="33" s="1"/>
  <c r="D21" i="33"/>
  <c r="L21" i="33" s="1"/>
  <c r="D20" i="33"/>
  <c r="L20" i="33" s="1"/>
  <c r="D19" i="33"/>
  <c r="L19" i="33" s="1"/>
  <c r="L18" i="33"/>
  <c r="D17" i="33"/>
  <c r="L17" i="33" s="1"/>
  <c r="D16" i="33"/>
  <c r="L16" i="33" s="1"/>
  <c r="D15" i="33"/>
  <c r="L15" i="33" s="1"/>
  <c r="D14" i="33"/>
  <c r="L14" i="33" s="1"/>
  <c r="D13" i="33"/>
  <c r="L13" i="33" s="1"/>
  <c r="D12" i="33"/>
  <c r="L12" i="33" s="1"/>
  <c r="D11" i="33"/>
  <c r="L11" i="33" s="1"/>
  <c r="L10" i="33"/>
  <c r="D7" i="33"/>
  <c r="D57" i="32"/>
  <c r="D55" i="32"/>
  <c r="L55" i="32" s="1"/>
  <c r="L54" i="32"/>
  <c r="D53" i="32"/>
  <c r="L53" i="32" s="1"/>
  <c r="D52" i="32"/>
  <c r="L52" i="32" s="1"/>
  <c r="D51" i="32"/>
  <c r="L51" i="32" s="1"/>
  <c r="D50" i="32"/>
  <c r="L50" i="32" s="1"/>
  <c r="D49" i="32"/>
  <c r="L49" i="32" s="1"/>
  <c r="L48" i="32"/>
  <c r="D47" i="32"/>
  <c r="L47" i="32" s="1"/>
  <c r="D46" i="32"/>
  <c r="L46" i="32" s="1"/>
  <c r="D45" i="32"/>
  <c r="L45" i="32" s="1"/>
  <c r="D44" i="32"/>
  <c r="L44" i="32" s="1"/>
  <c r="L43" i="32"/>
  <c r="D42" i="32"/>
  <c r="L42" i="32" s="1"/>
  <c r="D41" i="32"/>
  <c r="L41" i="32" s="1"/>
  <c r="D40" i="32"/>
  <c r="L40" i="32" s="1"/>
  <c r="D39" i="32"/>
  <c r="L39" i="32" s="1"/>
  <c r="D38" i="32"/>
  <c r="L38" i="32" s="1"/>
  <c r="L37" i="32"/>
  <c r="D36" i="32"/>
  <c r="L36" i="32" s="1"/>
  <c r="D35" i="32"/>
  <c r="L35" i="32" s="1"/>
  <c r="D34" i="32"/>
  <c r="L34" i="32" s="1"/>
  <c r="D33" i="32"/>
  <c r="L33" i="32" s="1"/>
  <c r="D32" i="32"/>
  <c r="L32" i="32" s="1"/>
  <c r="L31" i="32"/>
  <c r="D30" i="32"/>
  <c r="L30" i="32" s="1"/>
  <c r="D29" i="32"/>
  <c r="L29" i="32" s="1"/>
  <c r="D28" i="32"/>
  <c r="L28" i="32" s="1"/>
  <c r="D27" i="32"/>
  <c r="L27" i="32" s="1"/>
  <c r="L26" i="32"/>
  <c r="D25" i="32"/>
  <c r="L25" i="32" s="1"/>
  <c r="D24" i="32"/>
  <c r="L24" i="32" s="1"/>
  <c r="D23" i="32"/>
  <c r="L23" i="32" s="1"/>
  <c r="D22" i="32"/>
  <c r="L22" i="32" s="1"/>
  <c r="D21" i="32"/>
  <c r="L21" i="32" s="1"/>
  <c r="L20" i="32"/>
  <c r="D19" i="32"/>
  <c r="L19" i="32" s="1"/>
  <c r="D18" i="32"/>
  <c r="L18" i="32" s="1"/>
  <c r="D17" i="32"/>
  <c r="L17" i="32" s="1"/>
  <c r="D16" i="32"/>
  <c r="L16" i="32" s="1"/>
  <c r="L15" i="32"/>
  <c r="D14" i="32"/>
  <c r="L14" i="32" s="1"/>
  <c r="D13" i="32"/>
  <c r="L13" i="32" s="1"/>
  <c r="D12" i="32"/>
  <c r="L12" i="32" s="1"/>
  <c r="D11" i="32"/>
  <c r="L11" i="32" s="1"/>
  <c r="D10" i="32"/>
  <c r="L10" i="32" s="1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L50" i="31"/>
  <c r="L49" i="31"/>
  <c r="D48" i="31"/>
  <c r="L48" i="31" s="1"/>
  <c r="D47" i="31"/>
  <c r="L47" i="31" s="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D33" i="31"/>
  <c r="L33" i="31" s="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L20" i="3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7" i="31"/>
  <c r="D57" i="30"/>
  <c r="L55" i="30"/>
  <c r="D54" i="30"/>
  <c r="L54" i="30" s="1"/>
  <c r="D53" i="30"/>
  <c r="L53" i="30" s="1"/>
  <c r="D52" i="30"/>
  <c r="L52" i="30" s="1"/>
  <c r="D51" i="30"/>
  <c r="L51" i="30" s="1"/>
  <c r="L50" i="30"/>
  <c r="D49" i="30"/>
  <c r="L49" i="30" s="1"/>
  <c r="D48" i="30"/>
  <c r="L48" i="30" s="1"/>
  <c r="D47" i="30"/>
  <c r="L47" i="30" s="1"/>
  <c r="D46" i="30"/>
  <c r="L46" i="30" s="1"/>
  <c r="L45" i="30"/>
  <c r="D44" i="30"/>
  <c r="L44" i="30" s="1"/>
  <c r="D43" i="30"/>
  <c r="L43" i="30" s="1"/>
  <c r="D42" i="30"/>
  <c r="L42" i="30" s="1"/>
  <c r="L41" i="30"/>
  <c r="D40" i="30"/>
  <c r="L40" i="30" s="1"/>
  <c r="D39" i="30"/>
  <c r="L39" i="30" s="1"/>
  <c r="D38" i="30"/>
  <c r="L38" i="30" s="1"/>
  <c r="D37" i="30"/>
  <c r="L37" i="30" s="1"/>
  <c r="L36" i="30"/>
  <c r="D35" i="30"/>
  <c r="L35" i="30" s="1"/>
  <c r="D34" i="30"/>
  <c r="L34" i="30" s="1"/>
  <c r="D33" i="30"/>
  <c r="L33" i="30" s="1"/>
  <c r="L32" i="30"/>
  <c r="D31" i="30"/>
  <c r="L31" i="30" s="1"/>
  <c r="D30" i="30"/>
  <c r="L30" i="30" s="1"/>
  <c r="D29" i="30"/>
  <c r="L29" i="30" s="1"/>
  <c r="D28" i="30"/>
  <c r="L28" i="30" s="1"/>
  <c r="L27" i="30"/>
  <c r="D26" i="30"/>
  <c r="L26" i="30" s="1"/>
  <c r="D25" i="30"/>
  <c r="L25" i="30" s="1"/>
  <c r="D24" i="30"/>
  <c r="L24" i="30" s="1"/>
  <c r="L23" i="30"/>
  <c r="D22" i="30"/>
  <c r="L22" i="30" s="1"/>
  <c r="D21" i="30"/>
  <c r="L21" i="30" s="1"/>
  <c r="D20" i="30"/>
  <c r="L20" i="30" s="1"/>
  <c r="D19" i="30"/>
  <c r="L19" i="30" s="1"/>
  <c r="L18" i="30"/>
  <c r="D17" i="30"/>
  <c r="L17" i="30" s="1"/>
  <c r="D16" i="30"/>
  <c r="L16" i="30" s="1"/>
  <c r="D15" i="30"/>
  <c r="L15" i="30" s="1"/>
  <c r="L14" i="30"/>
  <c r="D13" i="30"/>
  <c r="L13" i="30" s="1"/>
  <c r="D12" i="30"/>
  <c r="L12" i="30" s="1"/>
  <c r="D11" i="30"/>
  <c r="L11" i="30" s="1"/>
  <c r="D10" i="30"/>
  <c r="L10" i="30" s="1"/>
  <c r="D7" i="30"/>
  <c r="D57" i="29"/>
  <c r="L55" i="29"/>
  <c r="D54" i="29"/>
  <c r="L54" i="29" s="1"/>
  <c r="D53" i="29"/>
  <c r="L53" i="29" s="1"/>
  <c r="D52" i="29"/>
  <c r="L52" i="29" s="1"/>
  <c r="D51" i="29"/>
  <c r="L51" i="29" s="1"/>
  <c r="L50" i="29"/>
  <c r="D49" i="29"/>
  <c r="L49" i="29" s="1"/>
  <c r="D48" i="29"/>
  <c r="L48" i="29" s="1"/>
  <c r="D47" i="29"/>
  <c r="L47" i="29" s="1"/>
  <c r="D46" i="29"/>
  <c r="L46" i="29" s="1"/>
  <c r="L45" i="29"/>
  <c r="D44" i="29"/>
  <c r="L44" i="29" s="1"/>
  <c r="D43" i="29"/>
  <c r="L43" i="29" s="1"/>
  <c r="D42" i="29"/>
  <c r="L42" i="29" s="1"/>
  <c r="L41" i="29"/>
  <c r="D40" i="29"/>
  <c r="L40" i="29" s="1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L32" i="29"/>
  <c r="D31" i="29"/>
  <c r="L31" i="29" s="1"/>
  <c r="D30" i="29"/>
  <c r="L30" i="29" s="1"/>
  <c r="D29" i="29"/>
  <c r="L29" i="29" s="1"/>
  <c r="D28" i="29"/>
  <c r="L28" i="29" s="1"/>
  <c r="L27" i="29"/>
  <c r="D26" i="29"/>
  <c r="L26" i="29" s="1"/>
  <c r="D25" i="29"/>
  <c r="L25" i="29" s="1"/>
  <c r="D24" i="29"/>
  <c r="L24" i="29" s="1"/>
  <c r="L23" i="29"/>
  <c r="D22" i="29"/>
  <c r="L22" i="29" s="1"/>
  <c r="D21" i="29"/>
  <c r="L21" i="29" s="1"/>
  <c r="D20" i="29"/>
  <c r="L20" i="29" s="1"/>
  <c r="D19" i="29"/>
  <c r="L19" i="29" s="1"/>
  <c r="L18" i="29"/>
  <c r="D17" i="29"/>
  <c r="L17" i="29" s="1"/>
  <c r="D16" i="29"/>
  <c r="L16" i="29" s="1"/>
  <c r="D15" i="29"/>
  <c r="L15" i="29" s="1"/>
  <c r="L14" i="29"/>
  <c r="L13" i="29"/>
  <c r="D12" i="29"/>
  <c r="L12" i="29" s="1"/>
  <c r="D11" i="29"/>
  <c r="L11" i="29" s="1"/>
  <c r="D10" i="29"/>
  <c r="L10" i="29" s="1"/>
  <c r="D7" i="29"/>
  <c r="E57" i="28"/>
  <c r="E55" i="28"/>
  <c r="E54" i="28"/>
  <c r="E53" i="28"/>
  <c r="E52" i="28"/>
  <c r="E50" i="28"/>
  <c r="E49" i="28"/>
  <c r="E48" i="28"/>
  <c r="E47" i="28"/>
  <c r="E46" i="28"/>
  <c r="E45" i="28"/>
  <c r="E43" i="28"/>
  <c r="E42" i="28"/>
  <c r="E41" i="28"/>
  <c r="E40" i="28"/>
  <c r="E39" i="28"/>
  <c r="E37" i="28"/>
  <c r="E36" i="28"/>
  <c r="E35" i="28"/>
  <c r="E34" i="28"/>
  <c r="E33" i="28"/>
  <c r="E32" i="28"/>
  <c r="E30" i="28"/>
  <c r="E29" i="28"/>
  <c r="E28" i="28"/>
  <c r="E27" i="28"/>
  <c r="E26" i="28"/>
  <c r="E24" i="28"/>
  <c r="E23" i="28"/>
  <c r="E22" i="28"/>
  <c r="E21" i="28"/>
  <c r="E20" i="28"/>
  <c r="E18" i="28"/>
  <c r="E17" i="28"/>
  <c r="E16" i="28"/>
  <c r="E15" i="28"/>
  <c r="E14" i="28"/>
  <c r="E13" i="28"/>
  <c r="L12" i="28"/>
  <c r="D11" i="28"/>
  <c r="L11" i="28" s="1"/>
  <c r="D10" i="28"/>
  <c r="L10" i="28" s="1"/>
  <c r="D7" i="28"/>
  <c r="D57" i="27"/>
  <c r="L55" i="27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D48" i="27"/>
  <c r="L48" i="27" s="1"/>
  <c r="L47" i="27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D40" i="27"/>
  <c r="L40" i="27" s="1"/>
  <c r="L39" i="27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L31" i="27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L23" i="27"/>
  <c r="D22" i="27"/>
  <c r="L22" i="27" s="1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L15" i="27"/>
  <c r="D14" i="27"/>
  <c r="L14" i="27" s="1"/>
  <c r="D13" i="27"/>
  <c r="L13" i="27" s="1"/>
  <c r="D12" i="27"/>
  <c r="L12" i="27" s="1"/>
  <c r="D11" i="27"/>
  <c r="L11" i="27" s="1"/>
  <c r="D10" i="27"/>
  <c r="L10" i="27" s="1"/>
  <c r="D7" i="27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27" l="1"/>
  <c r="H7" i="27" s="1"/>
  <c r="L7" i="27"/>
  <c r="G9" i="34"/>
  <c r="H9" i="34" s="1"/>
  <c r="L9" i="34"/>
  <c r="G9" i="27"/>
  <c r="H9" i="27" s="1"/>
  <c r="L9" i="27"/>
  <c r="G7" i="28"/>
  <c r="H7" i="28" s="1"/>
  <c r="L7" i="28"/>
  <c r="G9" i="28"/>
  <c r="H9" i="28" s="1"/>
  <c r="L9" i="28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7" i="38"/>
  <c r="H7" i="38" s="1"/>
  <c r="L7" i="38"/>
  <c r="G57" i="38"/>
  <c r="H57" i="38" s="1"/>
  <c r="L57" i="38"/>
  <c r="G9" i="41"/>
  <c r="H9" i="41" s="1"/>
  <c r="L9" i="41"/>
  <c r="G57" i="31"/>
  <c r="H57" i="31" s="1"/>
  <c r="L57" i="31"/>
  <c r="G7" i="29"/>
  <c r="H7" i="29" s="1"/>
  <c r="L7" i="29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9" i="38"/>
  <c r="H9" i="38" s="1"/>
  <c r="L9" i="38"/>
  <c r="G7" i="39"/>
  <c r="H7" i="39" s="1"/>
  <c r="L7" i="39"/>
  <c r="G57" i="39"/>
  <c r="H57" i="39" s="1"/>
  <c r="L57" i="39"/>
  <c r="G7" i="31"/>
  <c r="H7" i="31" s="1"/>
  <c r="L7" i="31"/>
  <c r="G9" i="35"/>
  <c r="H9" i="35" s="1"/>
  <c r="L9" i="35"/>
  <c r="G7" i="36"/>
  <c r="H7" i="36" s="1"/>
  <c r="L7" i="36"/>
  <c r="G57" i="36"/>
  <c r="H57" i="36" s="1"/>
  <c r="L57" i="36"/>
  <c r="G9" i="39"/>
  <c r="H9" i="39" s="1"/>
  <c r="L9" i="39"/>
  <c r="G7" i="40"/>
  <c r="H7" i="40" s="1"/>
  <c r="L7" i="40"/>
  <c r="G57" i="40"/>
  <c r="H57" i="40" s="1"/>
  <c r="L57" i="40"/>
  <c r="G57" i="27"/>
  <c r="H57" i="27" s="1"/>
  <c r="L57" i="27"/>
  <c r="G9" i="30"/>
  <c r="H9" i="30" s="1"/>
  <c r="L9" i="30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57" i="37"/>
  <c r="H57" i="37" s="1"/>
  <c r="L57" i="37"/>
  <c r="G9" i="40"/>
  <c r="H9" i="40" s="1"/>
  <c r="L9" i="40"/>
  <c r="G7" i="41"/>
  <c r="H7" i="41" s="1"/>
  <c r="L7" i="41"/>
  <c r="G57" i="41"/>
  <c r="H57" i="41" s="1"/>
  <c r="L57" i="41"/>
  <c r="G14" i="36"/>
  <c r="H14" i="3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4" i="27"/>
  <c r="H54" i="27" s="1"/>
  <c r="G12" i="29"/>
  <c r="H12" i="29" s="1"/>
  <c r="G20" i="29"/>
  <c r="H20" i="29" s="1"/>
  <c r="G28" i="29"/>
  <c r="H28" i="29" s="1"/>
  <c r="G44" i="29"/>
  <c r="H44" i="29" s="1"/>
  <c r="G52" i="29"/>
  <c r="H52" i="29" s="1"/>
  <c r="G11" i="30"/>
  <c r="H11" i="30" s="1"/>
  <c r="G19" i="30"/>
  <c r="H19" i="30" s="1"/>
  <c r="G35" i="30"/>
  <c r="H35" i="30" s="1"/>
  <c r="G43" i="30"/>
  <c r="H43" i="30" s="1"/>
  <c r="G51" i="30"/>
  <c r="H51" i="30" s="1"/>
  <c r="G14" i="31"/>
  <c r="H14" i="31" s="1"/>
  <c r="G22" i="31"/>
  <c r="H22" i="31" s="1"/>
  <c r="G30" i="31"/>
  <c r="H30" i="31" s="1"/>
  <c r="G38" i="31"/>
  <c r="H38" i="31" s="1"/>
  <c r="G46" i="31"/>
  <c r="H46" i="31" s="1"/>
  <c r="G54" i="31"/>
  <c r="H54" i="31" s="1"/>
  <c r="G13" i="32"/>
  <c r="H13" i="32" s="1"/>
  <c r="G21" i="32"/>
  <c r="H21" i="32" s="1"/>
  <c r="G29" i="32"/>
  <c r="H29" i="32" s="1"/>
  <c r="G45" i="32"/>
  <c r="H45" i="32" s="1"/>
  <c r="G53" i="32"/>
  <c r="H53" i="32" s="1"/>
  <c r="G12" i="33"/>
  <c r="H12" i="33" s="1"/>
  <c r="G20" i="33"/>
  <c r="H20" i="33" s="1"/>
  <c r="G28" i="33"/>
  <c r="H28" i="33" s="1"/>
  <c r="G36" i="33"/>
  <c r="H36" i="33" s="1"/>
  <c r="G44" i="33"/>
  <c r="H44" i="33" s="1"/>
  <c r="G24" i="34"/>
  <c r="H24" i="34" s="1"/>
  <c r="G32" i="34"/>
  <c r="H32" i="34" s="1"/>
  <c r="G40" i="34"/>
  <c r="H40" i="34" s="1"/>
  <c r="G15" i="35"/>
  <c r="H15" i="35" s="1"/>
  <c r="G23" i="35"/>
  <c r="H23" i="35" s="1"/>
  <c r="G35" i="35"/>
  <c r="H35" i="35" s="1"/>
  <c r="G18" i="36"/>
  <c r="H18" i="36" s="1"/>
  <c r="G50" i="27"/>
  <c r="H50" i="27" s="1"/>
  <c r="G16" i="29"/>
  <c r="H16" i="29" s="1"/>
  <c r="G24" i="29"/>
  <c r="H24" i="29" s="1"/>
  <c r="G40" i="29"/>
  <c r="H40" i="29" s="1"/>
  <c r="G48" i="29"/>
  <c r="H48" i="29" s="1"/>
  <c r="G15" i="30"/>
  <c r="H15" i="30" s="1"/>
  <c r="G31" i="30"/>
  <c r="H31" i="30" s="1"/>
  <c r="G39" i="30"/>
  <c r="H39" i="30" s="1"/>
  <c r="G47" i="30"/>
  <c r="H47" i="30" s="1"/>
  <c r="G10" i="31"/>
  <c r="H10" i="31" s="1"/>
  <c r="G18" i="31"/>
  <c r="H18" i="31" s="1"/>
  <c r="G26" i="31"/>
  <c r="H26" i="31" s="1"/>
  <c r="G34" i="31"/>
  <c r="H34" i="31" s="1"/>
  <c r="G42" i="31"/>
  <c r="H42" i="31" s="1"/>
  <c r="G17" i="32"/>
  <c r="H17" i="32" s="1"/>
  <c r="G25" i="32"/>
  <c r="H25" i="32" s="1"/>
  <c r="G33" i="32"/>
  <c r="H33" i="32" s="1"/>
  <c r="G41" i="32"/>
  <c r="H41" i="32" s="1"/>
  <c r="G49" i="32"/>
  <c r="H49" i="32" s="1"/>
  <c r="G16" i="33"/>
  <c r="H16" i="33" s="1"/>
  <c r="G24" i="33"/>
  <c r="H24" i="33" s="1"/>
  <c r="G32" i="33"/>
  <c r="H32" i="33" s="1"/>
  <c r="G40" i="33"/>
  <c r="H40" i="33" s="1"/>
  <c r="G52" i="33"/>
  <c r="H52" i="33" s="1"/>
  <c r="G11" i="34"/>
  <c r="H11" i="34" s="1"/>
  <c r="G20" i="34"/>
  <c r="H20" i="34" s="1"/>
  <c r="G28" i="34"/>
  <c r="H28" i="34" s="1"/>
  <c r="G36" i="34"/>
  <c r="H36" i="34" s="1"/>
  <c r="G44" i="34"/>
  <c r="H44" i="34" s="1"/>
  <c r="G48" i="34"/>
  <c r="H48" i="34" s="1"/>
  <c r="G11" i="35"/>
  <c r="H11" i="35" s="1"/>
  <c r="G19" i="35"/>
  <c r="H19" i="35" s="1"/>
  <c r="G31" i="35"/>
  <c r="H31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22" i="36"/>
  <c r="H22" i="36" s="1"/>
  <c r="G30" i="36"/>
  <c r="H30" i="36" s="1"/>
  <c r="G38" i="36"/>
  <c r="H38" i="36" s="1"/>
  <c r="G46" i="36"/>
  <c r="H46" i="36" s="1"/>
  <c r="G54" i="36"/>
  <c r="H54" i="36" s="1"/>
  <c r="G13" i="37"/>
  <c r="H13" i="37" s="1"/>
  <c r="G21" i="37"/>
  <c r="H21" i="37" s="1"/>
  <c r="G29" i="37"/>
  <c r="H29" i="37" s="1"/>
  <c r="G37" i="37"/>
  <c r="H37" i="37" s="1"/>
  <c r="G45" i="37"/>
  <c r="H45" i="37" s="1"/>
  <c r="G53" i="37"/>
  <c r="H53" i="37" s="1"/>
  <c r="G12" i="38"/>
  <c r="H12" i="38" s="1"/>
  <c r="G20" i="38"/>
  <c r="H20" i="38" s="1"/>
  <c r="G28" i="38"/>
  <c r="H28" i="38" s="1"/>
  <c r="G44" i="38"/>
  <c r="H44" i="38" s="1"/>
  <c r="G15" i="39"/>
  <c r="H15" i="39" s="1"/>
  <c r="G19" i="39"/>
  <c r="H19" i="39" s="1"/>
  <c r="G27" i="39"/>
  <c r="H27" i="39" s="1"/>
  <c r="G35" i="39"/>
  <c r="H35" i="39" s="1"/>
  <c r="G43" i="39"/>
  <c r="H43" i="39" s="1"/>
  <c r="G51" i="39"/>
  <c r="H51" i="39" s="1"/>
  <c r="G10" i="40"/>
  <c r="H10" i="40" s="1"/>
  <c r="G18" i="40"/>
  <c r="H18" i="40" s="1"/>
  <c r="G26" i="40"/>
  <c r="H26" i="40" s="1"/>
  <c r="G34" i="40"/>
  <c r="H34" i="40" s="1"/>
  <c r="G42" i="40"/>
  <c r="H42" i="40" s="1"/>
  <c r="G50" i="40"/>
  <c r="H50" i="40" s="1"/>
  <c r="G26" i="36"/>
  <c r="H26" i="36" s="1"/>
  <c r="G42" i="36"/>
  <c r="H42" i="36" s="1"/>
  <c r="G50" i="36"/>
  <c r="H50" i="36" s="1"/>
  <c r="G17" i="37"/>
  <c r="H17" i="37" s="1"/>
  <c r="G25" i="37"/>
  <c r="H25" i="37" s="1"/>
  <c r="G33" i="37"/>
  <c r="H33" i="37" s="1"/>
  <c r="G41" i="37"/>
  <c r="H41" i="37" s="1"/>
  <c r="G49" i="37"/>
  <c r="H49" i="37" s="1"/>
  <c r="G16" i="38"/>
  <c r="H16" i="38" s="1"/>
  <c r="G24" i="38"/>
  <c r="H24" i="38" s="1"/>
  <c r="G32" i="38"/>
  <c r="H32" i="38" s="1"/>
  <c r="G40" i="38"/>
  <c r="H40" i="38" s="1"/>
  <c r="G48" i="38"/>
  <c r="H48" i="38" s="1"/>
  <c r="G52" i="38"/>
  <c r="H52" i="38" s="1"/>
  <c r="G11" i="39"/>
  <c r="H11" i="39" s="1"/>
  <c r="G23" i="39"/>
  <c r="H23" i="39" s="1"/>
  <c r="G31" i="39"/>
  <c r="H31" i="39" s="1"/>
  <c r="G39" i="39"/>
  <c r="H39" i="39" s="1"/>
  <c r="G47" i="39"/>
  <c r="H47" i="39" s="1"/>
  <c r="G55" i="39"/>
  <c r="H55" i="39" s="1"/>
  <c r="G14" i="40"/>
  <c r="H14" i="40" s="1"/>
  <c r="G22" i="40"/>
  <c r="H22" i="40" s="1"/>
  <c r="G30" i="40"/>
  <c r="H30" i="40" s="1"/>
  <c r="G38" i="40"/>
  <c r="H38" i="40" s="1"/>
  <c r="G46" i="40"/>
  <c r="H46" i="40" s="1"/>
  <c r="G54" i="40"/>
  <c r="H54" i="40" s="1"/>
  <c r="G16" i="27"/>
  <c r="H16" i="27" s="1"/>
  <c r="G40" i="27"/>
  <c r="H40" i="27" s="1"/>
  <c r="G22" i="29"/>
  <c r="H22" i="29" s="1"/>
  <c r="G54" i="29"/>
  <c r="H54" i="29" s="1"/>
  <c r="G21" i="30"/>
  <c r="H21" i="30" s="1"/>
  <c r="G28" i="31"/>
  <c r="H28" i="31" s="1"/>
  <c r="G52" i="31"/>
  <c r="H52" i="31" s="1"/>
  <c r="G19" i="32"/>
  <c r="H19" i="32" s="1"/>
  <c r="G47" i="32"/>
  <c r="H47" i="32" s="1"/>
  <c r="G34" i="33"/>
  <c r="H34" i="33" s="1"/>
  <c r="G26" i="34"/>
  <c r="H26" i="34" s="1"/>
  <c r="G50" i="34"/>
  <c r="H50" i="34" s="1"/>
  <c r="G29" i="35"/>
  <c r="H29" i="35" s="1"/>
  <c r="G48" i="36"/>
  <c r="H48" i="36" s="1"/>
  <c r="G39" i="37"/>
  <c r="H39" i="37" s="1"/>
  <c r="G18" i="38"/>
  <c r="H18" i="38" s="1"/>
  <c r="G26" i="38"/>
  <c r="H26" i="38" s="1"/>
  <c r="G46" i="38"/>
  <c r="H46" i="38" s="1"/>
  <c r="G12" i="27"/>
  <c r="H12" i="27" s="1"/>
  <c r="G24" i="27"/>
  <c r="H24" i="27" s="1"/>
  <c r="G28" i="27"/>
  <c r="H28" i="27" s="1"/>
  <c r="G36" i="27"/>
  <c r="H36" i="27" s="1"/>
  <c r="G48" i="27"/>
  <c r="H48" i="27" s="1"/>
  <c r="G10" i="29"/>
  <c r="H10" i="29" s="1"/>
  <c r="G34" i="29"/>
  <c r="H34" i="29" s="1"/>
  <c r="G38" i="29"/>
  <c r="H38" i="29" s="1"/>
  <c r="G46" i="29"/>
  <c r="H46" i="29" s="1"/>
  <c r="G17" i="30"/>
  <c r="H17" i="30" s="1"/>
  <c r="G29" i="30"/>
  <c r="H29" i="30" s="1"/>
  <c r="G37" i="30"/>
  <c r="H37" i="30" s="1"/>
  <c r="G49" i="30"/>
  <c r="H49" i="30" s="1"/>
  <c r="G16" i="31"/>
  <c r="H16" i="31" s="1"/>
  <c r="G24" i="31"/>
  <c r="H24" i="31" s="1"/>
  <c r="G32" i="31"/>
  <c r="H32" i="31" s="1"/>
  <c r="G40" i="31"/>
  <c r="H40" i="31" s="1"/>
  <c r="G48" i="31"/>
  <c r="H48" i="31" s="1"/>
  <c r="G27" i="32"/>
  <c r="H27" i="32" s="1"/>
  <c r="G35" i="32"/>
  <c r="H35" i="32" s="1"/>
  <c r="G39" i="32"/>
  <c r="H39" i="32" s="1"/>
  <c r="G51" i="32"/>
  <c r="H51" i="32" s="1"/>
  <c r="G38" i="33"/>
  <c r="H38" i="33" s="1"/>
  <c r="G46" i="33"/>
  <c r="H46" i="33" s="1"/>
  <c r="G50" i="33"/>
  <c r="H50" i="33" s="1"/>
  <c r="G18" i="34"/>
  <c r="H18" i="34" s="1"/>
  <c r="G34" i="34"/>
  <c r="H34" i="34" s="1"/>
  <c r="G42" i="34"/>
  <c r="H42" i="34" s="1"/>
  <c r="G13" i="35"/>
  <c r="H13" i="35" s="1"/>
  <c r="G25" i="35"/>
  <c r="H25" i="35" s="1"/>
  <c r="G37" i="35"/>
  <c r="H37" i="35" s="1"/>
  <c r="G41" i="35"/>
  <c r="H41" i="35" s="1"/>
  <c r="G53" i="35"/>
  <c r="H53" i="35" s="1"/>
  <c r="G12" i="36"/>
  <c r="H12" i="36" s="1"/>
  <c r="G24" i="36"/>
  <c r="H24" i="36" s="1"/>
  <c r="G32" i="36"/>
  <c r="H32" i="36" s="1"/>
  <c r="G40" i="36"/>
  <c r="H40" i="36" s="1"/>
  <c r="G27" i="37"/>
  <c r="H27" i="37" s="1"/>
  <c r="G35" i="37"/>
  <c r="H35" i="37" s="1"/>
  <c r="G47" i="37"/>
  <c r="H47" i="37" s="1"/>
  <c r="G55" i="37"/>
  <c r="H55" i="37" s="1"/>
  <c r="G10" i="38"/>
  <c r="H10" i="38" s="1"/>
  <c r="G14" i="38"/>
  <c r="H14" i="38" s="1"/>
  <c r="G22" i="38"/>
  <c r="H22" i="38" s="1"/>
  <c r="G30" i="38"/>
  <c r="H30" i="38" s="1"/>
  <c r="G34" i="38"/>
  <c r="H34" i="38" s="1"/>
  <c r="G42" i="38"/>
  <c r="H42" i="38" s="1"/>
  <c r="G54" i="38"/>
  <c r="H54" i="38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1" i="29"/>
  <c r="H11" i="29" s="1"/>
  <c r="G15" i="29"/>
  <c r="H15" i="29" s="1"/>
  <c r="G19" i="29"/>
  <c r="H19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10" i="30"/>
  <c r="H10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4" i="30"/>
  <c r="H54" i="30" s="1"/>
  <c r="G13" i="31"/>
  <c r="H13" i="31" s="1"/>
  <c r="G17" i="31"/>
  <c r="H17" i="31" s="1"/>
  <c r="G21" i="31"/>
  <c r="H21" i="31" s="1"/>
  <c r="G25" i="31"/>
  <c r="H25" i="31" s="1"/>
  <c r="G29" i="31"/>
  <c r="H29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52" i="32"/>
  <c r="H52" i="32" s="1"/>
  <c r="G11" i="33"/>
  <c r="H11" i="33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9" i="34"/>
  <c r="H19" i="34" s="1"/>
  <c r="G23" i="34"/>
  <c r="H23" i="34" s="1"/>
  <c r="G31" i="34"/>
  <c r="H31" i="34" s="1"/>
  <c r="G35" i="34"/>
  <c r="H35" i="34" s="1"/>
  <c r="G20" i="27"/>
  <c r="H20" i="27" s="1"/>
  <c r="G32" i="27"/>
  <c r="H32" i="27" s="1"/>
  <c r="G44" i="27"/>
  <c r="H44" i="27" s="1"/>
  <c r="G52" i="27"/>
  <c r="H52" i="27" s="1"/>
  <c r="G11" i="28"/>
  <c r="H11" i="28" s="1"/>
  <c r="G26" i="29"/>
  <c r="H26" i="29" s="1"/>
  <c r="G30" i="29"/>
  <c r="H30" i="29" s="1"/>
  <c r="G42" i="29"/>
  <c r="H42" i="29" s="1"/>
  <c r="G13" i="30"/>
  <c r="H13" i="30" s="1"/>
  <c r="G25" i="30"/>
  <c r="H25" i="30" s="1"/>
  <c r="G33" i="30"/>
  <c r="H33" i="30" s="1"/>
  <c r="G53" i="30"/>
  <c r="H53" i="30" s="1"/>
  <c r="G12" i="31"/>
  <c r="H12" i="31" s="1"/>
  <c r="G36" i="31"/>
  <c r="H36" i="31" s="1"/>
  <c r="G44" i="31"/>
  <c r="H44" i="31" s="1"/>
  <c r="G11" i="32"/>
  <c r="H11" i="32" s="1"/>
  <c r="G23" i="32"/>
  <c r="H23" i="32" s="1"/>
  <c r="G55" i="32"/>
  <c r="H55" i="32" s="1"/>
  <c r="G14" i="33"/>
  <c r="H14" i="33" s="1"/>
  <c r="G22" i="33"/>
  <c r="H22" i="33" s="1"/>
  <c r="G30" i="33"/>
  <c r="H30" i="33" s="1"/>
  <c r="G42" i="33"/>
  <c r="H42" i="33" s="1"/>
  <c r="G54" i="33"/>
  <c r="H54" i="33" s="1"/>
  <c r="G13" i="34"/>
  <c r="H13" i="34" s="1"/>
  <c r="G22" i="34"/>
  <c r="H22" i="34" s="1"/>
  <c r="G30" i="34"/>
  <c r="H30" i="34" s="1"/>
  <c r="G38" i="34"/>
  <c r="H38" i="34" s="1"/>
  <c r="G54" i="34"/>
  <c r="H54" i="34" s="1"/>
  <c r="G17" i="35"/>
  <c r="H17" i="35" s="1"/>
  <c r="G21" i="35"/>
  <c r="H21" i="35" s="1"/>
  <c r="G33" i="35"/>
  <c r="H33" i="35" s="1"/>
  <c r="G45" i="35"/>
  <c r="H45" i="35" s="1"/>
  <c r="G49" i="35"/>
  <c r="H49" i="35" s="1"/>
  <c r="G20" i="36"/>
  <c r="H20" i="36" s="1"/>
  <c r="G28" i="36"/>
  <c r="H28" i="36" s="1"/>
  <c r="G36" i="36"/>
  <c r="H36" i="36" s="1"/>
  <c r="G44" i="36"/>
  <c r="H44" i="36" s="1"/>
  <c r="G52" i="36"/>
  <c r="H52" i="36" s="1"/>
  <c r="G31" i="37"/>
  <c r="H31" i="37" s="1"/>
  <c r="G43" i="37"/>
  <c r="H43" i="37" s="1"/>
  <c r="G51" i="37"/>
  <c r="H51" i="37" s="1"/>
  <c r="G38" i="38"/>
  <c r="H38" i="38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6" i="35"/>
  <c r="H46" i="35" s="1"/>
  <c r="G50" i="35"/>
  <c r="H50" i="35" s="1"/>
  <c r="G54" i="35"/>
  <c r="H54" i="35" s="1"/>
  <c r="G13" i="36"/>
  <c r="H13" i="36" s="1"/>
  <c r="G17" i="36"/>
  <c r="H17" i="36" s="1"/>
  <c r="G21" i="36"/>
  <c r="H21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40" i="37"/>
  <c r="H40" i="37" s="1"/>
  <c r="G44" i="37"/>
  <c r="H44" i="37" s="1"/>
  <c r="G48" i="37"/>
  <c r="H48" i="37" s="1"/>
  <c r="G52" i="37"/>
  <c r="H52" i="37" s="1"/>
  <c r="G11" i="38"/>
  <c r="H11" i="38" s="1"/>
  <c r="G15" i="38"/>
  <c r="H15" i="38" s="1"/>
  <c r="G19" i="38"/>
  <c r="H19" i="38" s="1"/>
  <c r="G27" i="38"/>
  <c r="H27" i="38" s="1"/>
  <c r="G31" i="38"/>
  <c r="H31" i="38" s="1"/>
  <c r="G35" i="38"/>
  <c r="H35" i="38" s="1"/>
  <c r="G39" i="38"/>
  <c r="H39" i="38" s="1"/>
  <c r="G43" i="38"/>
  <c r="H43" i="38" s="1"/>
  <c r="G47" i="38"/>
  <c r="H47" i="38" s="1"/>
  <c r="G51" i="38"/>
  <c r="H51" i="38" s="1"/>
  <c r="G55" i="38"/>
  <c r="H55" i="38" s="1"/>
  <c r="G10" i="39"/>
  <c r="H10" i="39" s="1"/>
  <c r="G14" i="39"/>
  <c r="H14" i="39" s="1"/>
  <c r="G18" i="39"/>
  <c r="H18" i="39" s="1"/>
  <c r="G22" i="39"/>
  <c r="H22" i="39" s="1"/>
  <c r="G26" i="39"/>
  <c r="H26" i="39" s="1"/>
  <c r="G30" i="39"/>
  <c r="H30" i="39" s="1"/>
  <c r="G34" i="39"/>
  <c r="H34" i="39" s="1"/>
  <c r="G38" i="39"/>
  <c r="H38" i="39" s="1"/>
  <c r="G42" i="39"/>
  <c r="H42" i="39" s="1"/>
  <c r="G46" i="39"/>
  <c r="H46" i="39" s="1"/>
  <c r="G50" i="39"/>
  <c r="H50" i="39" s="1"/>
  <c r="G54" i="39"/>
  <c r="H54" i="39" s="1"/>
  <c r="G13" i="40"/>
  <c r="H13" i="40" s="1"/>
  <c r="G17" i="40"/>
  <c r="H17" i="40" s="1"/>
  <c r="G21" i="40"/>
  <c r="H21" i="40" s="1"/>
  <c r="G25" i="40"/>
  <c r="H25" i="40" s="1"/>
  <c r="G29" i="40"/>
  <c r="H29" i="40" s="1"/>
  <c r="G33" i="40"/>
  <c r="H33" i="40" s="1"/>
  <c r="G37" i="40"/>
  <c r="H37" i="40" s="1"/>
  <c r="G41" i="40"/>
  <c r="H41" i="40" s="1"/>
  <c r="G45" i="40"/>
  <c r="H45" i="40" s="1"/>
  <c r="G49" i="40"/>
  <c r="H49" i="40" s="1"/>
  <c r="G53" i="40"/>
  <c r="H53" i="40" s="1"/>
  <c r="G12" i="41"/>
  <c r="H12" i="41" s="1"/>
  <c r="G16" i="41"/>
  <c r="H16" i="41" s="1"/>
  <c r="G20" i="41"/>
  <c r="H20" i="41" s="1"/>
  <c r="G24" i="41"/>
  <c r="H24" i="41" s="1"/>
  <c r="G28" i="41"/>
  <c r="H28" i="41" s="1"/>
  <c r="G32" i="41"/>
  <c r="H32" i="41" s="1"/>
  <c r="G36" i="41"/>
  <c r="H36" i="41" s="1"/>
  <c r="G40" i="41"/>
  <c r="H40" i="41" s="1"/>
  <c r="G44" i="41"/>
  <c r="H44" i="41" s="1"/>
  <c r="G48" i="41"/>
  <c r="H48" i="41" s="1"/>
  <c r="G52" i="41"/>
  <c r="H52" i="41" s="1"/>
  <c r="G13" i="41"/>
  <c r="H13" i="41" s="1"/>
  <c r="G17" i="41"/>
  <c r="H17" i="41" s="1"/>
  <c r="G21" i="41"/>
  <c r="H21" i="41" s="1"/>
  <c r="G25" i="41"/>
  <c r="H25" i="41" s="1"/>
  <c r="G29" i="41"/>
  <c r="H29" i="41" s="1"/>
  <c r="G33" i="41"/>
  <c r="H33" i="41" s="1"/>
  <c r="G37" i="41"/>
  <c r="H37" i="41" s="1"/>
  <c r="G41" i="41"/>
  <c r="H41" i="41" s="1"/>
  <c r="G45" i="41"/>
  <c r="H45" i="41" s="1"/>
  <c r="G49" i="41"/>
  <c r="H49" i="41" s="1"/>
  <c r="G53" i="41"/>
  <c r="H53" i="41" s="1"/>
  <c r="G13" i="28"/>
  <c r="H13" i="28" s="1"/>
  <c r="G11" i="27"/>
  <c r="H11" i="27" s="1"/>
  <c r="G19" i="27"/>
  <c r="H19" i="27" s="1"/>
  <c r="G27" i="27"/>
  <c r="H27" i="27" s="1"/>
  <c r="G35" i="27"/>
  <c r="H35" i="27" s="1"/>
  <c r="G43" i="27"/>
  <c r="H43" i="27" s="1"/>
  <c r="G51" i="27"/>
  <c r="H51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40" i="30"/>
  <c r="H40" i="30" s="1"/>
  <c r="G44" i="30"/>
  <c r="H44" i="30" s="1"/>
  <c r="G48" i="30"/>
  <c r="H48" i="30" s="1"/>
  <c r="G52" i="30"/>
  <c r="H52" i="30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13" i="33"/>
  <c r="H13" i="33" s="1"/>
  <c r="G17" i="33"/>
  <c r="H17" i="33" s="1"/>
  <c r="G21" i="33"/>
  <c r="H21" i="33" s="1"/>
  <c r="G25" i="33"/>
  <c r="H25" i="33" s="1"/>
  <c r="G29" i="33"/>
  <c r="H29" i="33" s="1"/>
  <c r="G37" i="33"/>
  <c r="H37" i="33" s="1"/>
  <c r="G45" i="33"/>
  <c r="H45" i="33" s="1"/>
  <c r="G49" i="33"/>
  <c r="H49" i="33" s="1"/>
  <c r="G53" i="33"/>
  <c r="H53" i="33" s="1"/>
  <c r="G12" i="34"/>
  <c r="H12" i="34" s="1"/>
  <c r="G17" i="34"/>
  <c r="H17" i="34" s="1"/>
  <c r="G25" i="34"/>
  <c r="H25" i="34" s="1"/>
  <c r="G29" i="34"/>
  <c r="H29" i="34" s="1"/>
  <c r="G37" i="34"/>
  <c r="H37" i="34" s="1"/>
  <c r="G41" i="34"/>
  <c r="H41" i="34" s="1"/>
  <c r="G45" i="34"/>
  <c r="H45" i="34" s="1"/>
  <c r="G49" i="34"/>
  <c r="H49" i="34" s="1"/>
  <c r="G53" i="34"/>
  <c r="H53" i="34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7" i="36"/>
  <c r="H47" i="36" s="1"/>
  <c r="G55" i="36"/>
  <c r="H55" i="36" s="1"/>
  <c r="G10" i="37"/>
  <c r="H10" i="37" s="1"/>
  <c r="G14" i="37"/>
  <c r="H14" i="37" s="1"/>
  <c r="G18" i="37"/>
  <c r="H18" i="37" s="1"/>
  <c r="G22" i="37"/>
  <c r="H22" i="37" s="1"/>
  <c r="G13" i="38"/>
  <c r="H13" i="38" s="1"/>
  <c r="G17" i="38"/>
  <c r="H17" i="38" s="1"/>
  <c r="G21" i="38"/>
  <c r="H21" i="38" s="1"/>
  <c r="G25" i="38"/>
  <c r="H25" i="38" s="1"/>
  <c r="G29" i="38"/>
  <c r="H29" i="38" s="1"/>
  <c r="G33" i="38"/>
  <c r="H33" i="38" s="1"/>
  <c r="G37" i="38"/>
  <c r="H37" i="38" s="1"/>
  <c r="G41" i="38"/>
  <c r="H41" i="38" s="1"/>
  <c r="G45" i="38"/>
  <c r="H45" i="38" s="1"/>
  <c r="G49" i="38"/>
  <c r="H49" i="38" s="1"/>
  <c r="G53" i="38"/>
  <c r="H53" i="38" s="1"/>
  <c r="G12" i="39"/>
  <c r="H12" i="39" s="1"/>
  <c r="G16" i="39"/>
  <c r="H16" i="39" s="1"/>
  <c r="G20" i="39"/>
  <c r="H20" i="39" s="1"/>
  <c r="G24" i="39"/>
  <c r="H24" i="39" s="1"/>
  <c r="G28" i="39"/>
  <c r="H28" i="39" s="1"/>
  <c r="G32" i="39"/>
  <c r="H32" i="39" s="1"/>
  <c r="G36" i="39"/>
  <c r="H36" i="39" s="1"/>
  <c r="G40" i="39"/>
  <c r="H40" i="39" s="1"/>
  <c r="G44" i="39"/>
  <c r="H44" i="39" s="1"/>
  <c r="G48" i="39"/>
  <c r="H48" i="39" s="1"/>
  <c r="G52" i="39"/>
  <c r="H52" i="39" s="1"/>
  <c r="G11" i="40"/>
  <c r="H11" i="40" s="1"/>
  <c r="G15" i="40"/>
  <c r="H15" i="40" s="1"/>
  <c r="G19" i="40"/>
  <c r="H19" i="40" s="1"/>
  <c r="G23" i="40"/>
  <c r="H23" i="40" s="1"/>
  <c r="G27" i="40"/>
  <c r="H27" i="40" s="1"/>
  <c r="G31" i="40"/>
  <c r="H31" i="40" s="1"/>
  <c r="G35" i="40"/>
  <c r="H35" i="40" s="1"/>
  <c r="G39" i="40"/>
  <c r="H39" i="40" s="1"/>
  <c r="G43" i="40"/>
  <c r="H43" i="40" s="1"/>
  <c r="G47" i="40"/>
  <c r="H47" i="40" s="1"/>
  <c r="G51" i="40"/>
  <c r="H51" i="40" s="1"/>
  <c r="G55" i="40"/>
  <c r="H55" i="40" s="1"/>
  <c r="G10" i="41"/>
  <c r="H10" i="41" s="1"/>
  <c r="G14" i="41"/>
  <c r="H14" i="41" s="1"/>
  <c r="G18" i="41"/>
  <c r="H18" i="41" s="1"/>
  <c r="G22" i="41"/>
  <c r="H22" i="41" s="1"/>
  <c r="G26" i="41"/>
  <c r="H26" i="41" s="1"/>
  <c r="G30" i="41"/>
  <c r="H30" i="41" s="1"/>
  <c r="G34" i="41"/>
  <c r="H34" i="41" s="1"/>
  <c r="G38" i="41"/>
  <c r="H38" i="41" s="1"/>
  <c r="G42" i="41"/>
  <c r="H42" i="41" s="1"/>
  <c r="G46" i="41"/>
  <c r="H46" i="41" s="1"/>
  <c r="G50" i="41"/>
  <c r="H50" i="41" s="1"/>
  <c r="G54" i="41"/>
  <c r="H54" i="41" s="1"/>
  <c r="G17" i="39"/>
  <c r="H17" i="39" s="1"/>
  <c r="G25" i="39"/>
  <c r="H25" i="39" s="1"/>
  <c r="G33" i="39"/>
  <c r="H33" i="39" s="1"/>
  <c r="G41" i="39"/>
  <c r="H41" i="39" s="1"/>
  <c r="G49" i="39"/>
  <c r="H49" i="39" s="1"/>
  <c r="G12" i="40"/>
  <c r="H12" i="40" s="1"/>
  <c r="G16" i="40"/>
  <c r="H16" i="40" s="1"/>
  <c r="G20" i="40"/>
  <c r="H20" i="40" s="1"/>
  <c r="G24" i="40"/>
  <c r="H24" i="40" s="1"/>
  <c r="G28" i="40"/>
  <c r="H28" i="40" s="1"/>
  <c r="G32" i="40"/>
  <c r="H32" i="40" s="1"/>
  <c r="G36" i="40"/>
  <c r="H36" i="40" s="1"/>
  <c r="G40" i="40"/>
  <c r="H40" i="40" s="1"/>
  <c r="G44" i="40"/>
  <c r="H44" i="40" s="1"/>
  <c r="G48" i="40"/>
  <c r="H48" i="40" s="1"/>
  <c r="G52" i="40"/>
  <c r="H52" i="40" s="1"/>
  <c r="G11" i="41"/>
  <c r="H11" i="41" s="1"/>
  <c r="G15" i="41"/>
  <c r="H15" i="41" s="1"/>
  <c r="G19" i="41"/>
  <c r="H19" i="41" s="1"/>
  <c r="G23" i="41"/>
  <c r="H23" i="41" s="1"/>
  <c r="G27" i="41"/>
  <c r="H27" i="41" s="1"/>
  <c r="G31" i="41"/>
  <c r="H31" i="41" s="1"/>
  <c r="G35" i="41"/>
  <c r="H35" i="41" s="1"/>
  <c r="G39" i="41"/>
  <c r="H39" i="41" s="1"/>
  <c r="G43" i="41"/>
  <c r="H43" i="41" s="1"/>
  <c r="G47" i="41"/>
  <c r="H47" i="41" s="1"/>
  <c r="G51" i="41"/>
  <c r="H51" i="41" s="1"/>
  <c r="G55" i="41"/>
  <c r="H55" i="41" s="1"/>
  <c r="G14" i="34"/>
  <c r="H14" i="34" s="1"/>
  <c r="E10" i="38"/>
  <c r="E42" i="38"/>
  <c r="E55" i="32"/>
  <c r="E26" i="38"/>
  <c r="E17" i="27"/>
  <c r="E21" i="27"/>
  <c r="E33" i="27"/>
  <c r="E37" i="27"/>
  <c r="E49" i="27"/>
  <c r="E43" i="29"/>
  <c r="E16" i="32"/>
  <c r="E23" i="32"/>
  <c r="E39" i="32"/>
  <c r="E34" i="38"/>
  <c r="E13" i="32"/>
  <c r="E16" i="33"/>
  <c r="E32" i="33"/>
  <c r="E19" i="35"/>
  <c r="E51" i="35"/>
  <c r="E21" i="37"/>
  <c r="E37" i="37"/>
  <c r="E53" i="37"/>
  <c r="E11" i="39"/>
  <c r="E18" i="38"/>
  <c r="E35" i="36"/>
  <c r="E19" i="40"/>
  <c r="E35" i="40"/>
  <c r="E51" i="40"/>
  <c r="E14" i="41"/>
  <c r="E22" i="41"/>
  <c r="E30" i="41"/>
  <c r="E38" i="41"/>
  <c r="E42" i="41"/>
  <c r="E46" i="41"/>
  <c r="E57" i="39"/>
  <c r="E31" i="31"/>
  <c r="E35" i="31"/>
  <c r="E39" i="31"/>
  <c r="E43" i="31"/>
  <c r="E47" i="31"/>
  <c r="E51" i="31"/>
  <c r="E7" i="32"/>
  <c r="E10" i="32"/>
  <c r="E41" i="32"/>
  <c r="E45" i="32"/>
  <c r="E34" i="33"/>
  <c r="E50" i="33"/>
  <c r="E53" i="36"/>
  <c r="E16" i="38"/>
  <c r="E33" i="38"/>
  <c r="E30" i="40"/>
  <c r="E44" i="40"/>
  <c r="E50" i="41"/>
  <c r="E7" i="31"/>
  <c r="E10" i="31"/>
  <c r="E14" i="31"/>
  <c r="E18" i="31"/>
  <c r="E22" i="31"/>
  <c r="E26" i="31"/>
  <c r="E30" i="31"/>
  <c r="E34" i="31"/>
  <c r="E38" i="31"/>
  <c r="E42" i="31"/>
  <c r="E46" i="31"/>
  <c r="E54" i="31"/>
  <c r="E57" i="31"/>
  <c r="E9" i="32"/>
  <c r="E14" i="32"/>
  <c r="E32" i="32"/>
  <c r="E34" i="32"/>
  <c r="E36" i="32"/>
  <c r="E38" i="32"/>
  <c r="E47" i="32"/>
  <c r="E49" i="32"/>
  <c r="E51" i="32"/>
  <c r="E53" i="32"/>
  <c r="E9" i="33"/>
  <c r="E14" i="33"/>
  <c r="E19" i="33"/>
  <c r="E23" i="33"/>
  <c r="E24" i="33"/>
  <c r="E28" i="33"/>
  <c r="E36" i="33"/>
  <c r="E40" i="33"/>
  <c r="E46" i="33"/>
  <c r="E53" i="33"/>
  <c r="E16" i="34"/>
  <c r="E37" i="34"/>
  <c r="E9" i="35"/>
  <c r="E14" i="35"/>
  <c r="E28" i="35"/>
  <c r="E37" i="35"/>
  <c r="E11" i="36"/>
  <c r="E39" i="36"/>
  <c r="E48" i="36"/>
  <c r="E20" i="37"/>
  <c r="E25" i="37"/>
  <c r="E25" i="38"/>
  <c r="E40" i="38"/>
  <c r="E47" i="38"/>
  <c r="E18" i="39"/>
  <c r="E34" i="39"/>
  <c r="E50" i="39"/>
  <c r="E55" i="39"/>
  <c r="E34" i="40"/>
  <c r="E39" i="40"/>
  <c r="E48" i="40"/>
  <c r="E53" i="40"/>
  <c r="E19" i="41"/>
  <c r="E24" i="41"/>
  <c r="E29" i="41"/>
  <c r="E34" i="41"/>
  <c r="E27" i="31"/>
  <c r="E24" i="32"/>
  <c r="E28" i="32"/>
  <c r="E30" i="32"/>
  <c r="E7" i="33"/>
  <c r="E15" i="33"/>
  <c r="E20" i="33"/>
  <c r="E44" i="33"/>
  <c r="E10" i="34"/>
  <c r="E30" i="36"/>
  <c r="E44" i="36"/>
  <c r="E9" i="37"/>
  <c r="E52" i="38"/>
  <c r="E46" i="39"/>
  <c r="E25" i="40"/>
  <c r="E45" i="41"/>
  <c r="E9" i="31"/>
  <c r="E13" i="31"/>
  <c r="E17" i="31"/>
  <c r="E21" i="31"/>
  <c r="E25" i="31"/>
  <c r="E29" i="31"/>
  <c r="E33" i="31"/>
  <c r="E37" i="31"/>
  <c r="E41" i="31"/>
  <c r="E45" i="31"/>
  <c r="E49" i="31"/>
  <c r="E53" i="31"/>
  <c r="E12" i="32"/>
  <c r="E19" i="32"/>
  <c r="E25" i="32"/>
  <c r="E27" i="32"/>
  <c r="E29" i="32"/>
  <c r="E40" i="32"/>
  <c r="E42" i="32"/>
  <c r="E44" i="32"/>
  <c r="E46" i="32"/>
  <c r="E57" i="32"/>
  <c r="E13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10" i="37"/>
  <c r="E31" i="37"/>
  <c r="E36" i="37"/>
  <c r="E41" i="37"/>
  <c r="E17" i="38"/>
  <c r="E32" i="38"/>
  <c r="E22" i="39"/>
  <c r="E38" i="39"/>
  <c r="E12" i="40"/>
  <c r="E43" i="40"/>
  <c r="E51" i="41"/>
  <c r="E11" i="31"/>
  <c r="E15" i="31"/>
  <c r="E19" i="31"/>
  <c r="E23" i="31"/>
  <c r="E55" i="31"/>
  <c r="E21" i="32"/>
  <c r="E25" i="33"/>
  <c r="E29" i="33"/>
  <c r="E37" i="33"/>
  <c r="E42" i="34"/>
  <c r="E30" i="39"/>
  <c r="E11" i="40"/>
  <c r="E12" i="31"/>
  <c r="E16" i="31"/>
  <c r="E24" i="31"/>
  <c r="E28" i="31"/>
  <c r="E32" i="31"/>
  <c r="E36" i="31"/>
  <c r="E40" i="31"/>
  <c r="E44" i="31"/>
  <c r="E48" i="31"/>
  <c r="E52" i="31"/>
  <c r="E11" i="32"/>
  <c r="E17" i="32"/>
  <c r="E18" i="32"/>
  <c r="E22" i="32"/>
  <c r="E33" i="32"/>
  <c r="E35" i="32"/>
  <c r="E50" i="32"/>
  <c r="E52" i="32"/>
  <c r="E11" i="33"/>
  <c r="E12" i="33"/>
  <c r="E17" i="33"/>
  <c r="E21" i="33"/>
  <c r="E30" i="33"/>
  <c r="E35" i="33"/>
  <c r="E51" i="33"/>
  <c r="E54" i="33"/>
  <c r="E17" i="34"/>
  <c r="E29" i="34"/>
  <c r="E54" i="34"/>
  <c r="E50" i="35"/>
  <c r="E55" i="35"/>
  <c r="E12" i="36"/>
  <c r="E21" i="36"/>
  <c r="E47" i="37"/>
  <c r="E52" i="37"/>
  <c r="E9" i="38"/>
  <c r="E24" i="38"/>
  <c r="E41" i="38"/>
  <c r="E46" i="38"/>
  <c r="E26" i="39"/>
  <c r="E42" i="39"/>
  <c r="E16" i="40"/>
  <c r="E21" i="40"/>
  <c r="E13" i="41"/>
  <c r="E18" i="41"/>
  <c r="E35" i="41"/>
  <c r="E40" i="41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24" i="37"/>
  <c r="E35" i="37"/>
  <c r="E40" i="37"/>
  <c r="E51" i="37"/>
  <c r="E15" i="38"/>
  <c r="E31" i="38"/>
  <c r="E39" i="38"/>
  <c r="E45" i="38"/>
  <c r="E51" i="38"/>
  <c r="E12" i="39"/>
  <c r="E17" i="39"/>
  <c r="E25" i="39"/>
  <c r="E33" i="39"/>
  <c r="E41" i="39"/>
  <c r="E49" i="39"/>
  <c r="E54" i="39"/>
  <c r="E7" i="40"/>
  <c r="E10" i="40"/>
  <c r="E15" i="40"/>
  <c r="E20" i="40"/>
  <c r="E24" i="40"/>
  <c r="E29" i="40"/>
  <c r="E33" i="40"/>
  <c r="E38" i="40"/>
  <c r="E42" i="40"/>
  <c r="E47" i="40"/>
  <c r="E52" i="40"/>
  <c r="E12" i="41"/>
  <c r="E17" i="41"/>
  <c r="E23" i="41"/>
  <c r="E28" i="41"/>
  <c r="E33" i="41"/>
  <c r="E39" i="41"/>
  <c r="E44" i="41"/>
  <c r="E49" i="41"/>
  <c r="E55" i="41"/>
  <c r="E57" i="33"/>
  <c r="E9" i="34"/>
  <c r="E13" i="34"/>
  <c r="E19" i="34"/>
  <c r="E23" i="34"/>
  <c r="E31" i="34"/>
  <c r="E35" i="34"/>
  <c r="E44" i="34"/>
  <c r="E48" i="34"/>
  <c r="E16" i="35"/>
  <c r="E21" i="35"/>
  <c r="E25" i="35"/>
  <c r="E30" i="35"/>
  <c r="E34" i="35"/>
  <c r="E35" i="35"/>
  <c r="E39" i="35"/>
  <c r="E44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5" i="36"/>
  <c r="E7" i="37"/>
  <c r="E12" i="37"/>
  <c r="E13" i="37"/>
  <c r="E18" i="37"/>
  <c r="E28" i="37"/>
  <c r="E29" i="37"/>
  <c r="E39" i="37"/>
  <c r="E44" i="37"/>
  <c r="E45" i="37"/>
  <c r="E55" i="37"/>
  <c r="E7" i="38"/>
  <c r="E13" i="38"/>
  <c r="E14" i="38"/>
  <c r="E21" i="38"/>
  <c r="E22" i="38"/>
  <c r="E29" i="38"/>
  <c r="E30" i="38"/>
  <c r="E37" i="38"/>
  <c r="E38" i="38"/>
  <c r="E44" i="38"/>
  <c r="E49" i="38"/>
  <c r="E55" i="38"/>
  <c r="E7" i="39"/>
  <c r="E10" i="39"/>
  <c r="E16" i="39"/>
  <c r="E20" i="39"/>
  <c r="E24" i="39"/>
  <c r="E28" i="39"/>
  <c r="E32" i="39"/>
  <c r="E36" i="39"/>
  <c r="E40" i="39"/>
  <c r="E44" i="39"/>
  <c r="E48" i="39"/>
  <c r="E52" i="39"/>
  <c r="E9" i="40"/>
  <c r="E14" i="40"/>
  <c r="E18" i="40"/>
  <c r="E23" i="40"/>
  <c r="E28" i="40"/>
  <c r="E32" i="40"/>
  <c r="E37" i="40"/>
  <c r="E41" i="40"/>
  <c r="E46" i="40"/>
  <c r="E50" i="40"/>
  <c r="E55" i="40"/>
  <c r="E7" i="41"/>
  <c r="E11" i="41"/>
  <c r="E16" i="41"/>
  <c r="E21" i="41"/>
  <c r="E27" i="41"/>
  <c r="E32" i="41"/>
  <c r="E37" i="41"/>
  <c r="E43" i="41"/>
  <c r="E48" i="41"/>
  <c r="E53" i="41"/>
  <c r="E54" i="41"/>
  <c r="E57" i="41"/>
  <c r="E38" i="33"/>
  <c r="E43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6" i="37"/>
  <c r="E17" i="37"/>
  <c r="E22" i="37"/>
  <c r="E27" i="37"/>
  <c r="E32" i="37"/>
  <c r="E33" i="37"/>
  <c r="E43" i="37"/>
  <c r="E48" i="37"/>
  <c r="E49" i="37"/>
  <c r="E57" i="37"/>
  <c r="E11" i="38"/>
  <c r="E12" i="38"/>
  <c r="E19" i="38"/>
  <c r="E20" i="38"/>
  <c r="E27" i="38"/>
  <c r="E28" i="38"/>
  <c r="E35" i="38"/>
  <c r="E43" i="38"/>
  <c r="E48" i="38"/>
  <c r="E53" i="38"/>
  <c r="E54" i="38"/>
  <c r="E57" i="38"/>
  <c r="E9" i="39"/>
  <c r="E14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27" i="40"/>
  <c r="E31" i="40"/>
  <c r="E36" i="40"/>
  <c r="E40" i="40"/>
  <c r="E45" i="40"/>
  <c r="E49" i="40"/>
  <c r="E54" i="40"/>
  <c r="E57" i="40"/>
  <c r="E9" i="41"/>
  <c r="E10" i="41"/>
  <c r="E15" i="41"/>
  <c r="E20" i="41"/>
  <c r="E25" i="41"/>
  <c r="E26" i="41"/>
  <c r="E31" i="41"/>
  <c r="E36" i="41"/>
  <c r="E41" i="41"/>
  <c r="E47" i="41"/>
  <c r="E52" i="41"/>
  <c r="E22" i="29"/>
  <c r="E30" i="29"/>
  <c r="E38" i="29"/>
  <c r="E42" i="29"/>
  <c r="E47" i="29"/>
  <c r="E7" i="30"/>
  <c r="E54" i="30"/>
  <c r="E19" i="27"/>
  <c r="E24" i="27"/>
  <c r="E35" i="27"/>
  <c r="E40" i="27"/>
  <c r="E46" i="27"/>
  <c r="E51" i="27"/>
  <c r="E13" i="29"/>
  <c r="E17" i="29"/>
  <c r="E21" i="29"/>
  <c r="E25" i="29"/>
  <c r="E29" i="29"/>
  <c r="E33" i="29"/>
  <c r="E37" i="29"/>
  <c r="E46" i="29"/>
  <c r="E54" i="29"/>
  <c r="E57" i="29"/>
  <c r="E9" i="30"/>
  <c r="E17" i="30"/>
  <c r="E25" i="30"/>
  <c r="E33" i="30"/>
  <c r="E49" i="30"/>
  <c r="E53" i="30"/>
  <c r="E7" i="27"/>
  <c r="E12" i="27"/>
  <c r="E13" i="27"/>
  <c r="E18" i="27"/>
  <c r="E28" i="27"/>
  <c r="E29" i="27"/>
  <c r="E34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40" i="29"/>
  <c r="E49" i="29"/>
  <c r="E53" i="29"/>
  <c r="E12" i="30"/>
  <c r="E16" i="30"/>
  <c r="E20" i="30"/>
  <c r="E24" i="30"/>
  <c r="E28" i="30"/>
  <c r="E40" i="30"/>
  <c r="E44" i="30"/>
  <c r="E48" i="30"/>
  <c r="E52" i="30"/>
  <c r="E10" i="27"/>
  <c r="E20" i="27"/>
  <c r="E26" i="27"/>
  <c r="E36" i="27"/>
  <c r="E42" i="27"/>
  <c r="E52" i="27"/>
  <c r="E9" i="29"/>
  <c r="E26" i="29"/>
  <c r="E34" i="29"/>
  <c r="E51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7" i="28"/>
  <c r="E11" i="28"/>
  <c r="E13" i="30"/>
  <c r="E21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19" i="29"/>
  <c r="E31" i="29"/>
  <c r="E35" i="29"/>
  <c r="E39" i="29"/>
  <c r="E44" i="29"/>
  <c r="E48" i="29"/>
  <c r="E52" i="29"/>
  <c r="E11" i="30"/>
  <c r="E15" i="30"/>
  <c r="E19" i="30"/>
  <c r="E31" i="30"/>
  <c r="E35" i="30"/>
  <c r="E39" i="30"/>
  <c r="E43" i="30"/>
  <c r="E47" i="30"/>
  <c r="E51" i="30"/>
  <c r="I38" i="29" l="1"/>
  <c r="J38" i="29" s="1"/>
  <c r="I35" i="29"/>
  <c r="I48" i="29"/>
  <c r="I54" i="29"/>
  <c r="I13" i="29"/>
  <c r="I39" i="29"/>
  <c r="I9" i="29"/>
  <c r="I12" i="29"/>
  <c r="I20" i="29"/>
  <c r="I7" i="29"/>
  <c r="J7" i="29" s="1"/>
  <c r="I24" i="29"/>
  <c r="I33" i="29"/>
  <c r="I25" i="29"/>
  <c r="I51" i="29"/>
  <c r="I47" i="29"/>
  <c r="I37" i="29"/>
  <c r="I43" i="29"/>
  <c r="I44" i="29"/>
  <c r="I28" i="29"/>
  <c r="I16" i="29"/>
  <c r="I31" i="29"/>
  <c r="I34" i="29"/>
  <c r="I22" i="29"/>
  <c r="I49" i="29"/>
  <c r="I57" i="29"/>
  <c r="J57" i="29" s="1"/>
  <c r="P17" i="29" s="1"/>
  <c r="I21" i="29"/>
  <c r="I15" i="29"/>
  <c r="I26" i="29"/>
  <c r="J26" i="29" s="1"/>
  <c r="I11" i="29"/>
  <c r="I53" i="29"/>
  <c r="I40" i="29"/>
  <c r="I46" i="29"/>
  <c r="I29" i="29"/>
  <c r="I17" i="29"/>
  <c r="I42" i="29"/>
  <c r="I10" i="29"/>
  <c r="I52" i="29"/>
  <c r="I19" i="29"/>
  <c r="I30" i="29"/>
  <c r="I57" i="35"/>
  <c r="J57" i="35" s="1"/>
  <c r="P17" i="35" s="1"/>
  <c r="I53" i="35"/>
  <c r="I48" i="35"/>
  <c r="I44" i="35"/>
  <c r="I39" i="35"/>
  <c r="I35" i="35"/>
  <c r="I34" i="35"/>
  <c r="I30" i="35"/>
  <c r="I25" i="35"/>
  <c r="I21" i="35"/>
  <c r="I16" i="35"/>
  <c r="I54" i="35"/>
  <c r="I49" i="35"/>
  <c r="I45" i="35"/>
  <c r="I40" i="35"/>
  <c r="I36" i="35"/>
  <c r="I31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33" i="35"/>
  <c r="I24" i="35"/>
  <c r="I7" i="35"/>
  <c r="J7" i="35" s="1"/>
  <c r="I43" i="35"/>
  <c r="I38" i="35"/>
  <c r="I29" i="35"/>
  <c r="I20" i="35"/>
  <c r="I15" i="35"/>
  <c r="I10" i="35"/>
  <c r="I57" i="39"/>
  <c r="J57" i="39" s="1"/>
  <c r="P17" i="39" s="1"/>
  <c r="I52" i="39"/>
  <c r="I48" i="39"/>
  <c r="I44" i="39"/>
  <c r="I40" i="39"/>
  <c r="I36" i="39"/>
  <c r="I32" i="39"/>
  <c r="I28" i="39"/>
  <c r="I24" i="39"/>
  <c r="I20" i="39"/>
  <c r="I16" i="39"/>
  <c r="I11" i="39"/>
  <c r="I10" i="39"/>
  <c r="I7" i="39"/>
  <c r="J7" i="39" s="1"/>
  <c r="I54" i="39"/>
  <c r="I49" i="39"/>
  <c r="I41" i="39"/>
  <c r="I33" i="39"/>
  <c r="I25" i="39"/>
  <c r="I17" i="39"/>
  <c r="I12" i="39"/>
  <c r="I55" i="39"/>
  <c r="I50" i="39"/>
  <c r="I46" i="39"/>
  <c r="I42" i="39"/>
  <c r="I38" i="39"/>
  <c r="I34" i="39"/>
  <c r="I30" i="39"/>
  <c r="I26" i="39"/>
  <c r="I22" i="39"/>
  <c r="I18" i="39"/>
  <c r="I47" i="39"/>
  <c r="I31" i="39"/>
  <c r="I15" i="39"/>
  <c r="I9" i="39"/>
  <c r="I43" i="39"/>
  <c r="I27" i="39"/>
  <c r="I35" i="39"/>
  <c r="I39" i="39"/>
  <c r="I23" i="39"/>
  <c r="I51" i="39"/>
  <c r="I19" i="39"/>
  <c r="I14" i="39"/>
  <c r="I55" i="37"/>
  <c r="I45" i="37"/>
  <c r="I44" i="37"/>
  <c r="I39" i="37"/>
  <c r="I29" i="37"/>
  <c r="I28" i="37"/>
  <c r="I18" i="37"/>
  <c r="I13" i="37"/>
  <c r="I12" i="37"/>
  <c r="I7" i="37"/>
  <c r="J7" i="37" s="1"/>
  <c r="I51" i="37"/>
  <c r="I41" i="37"/>
  <c r="I40" i="37"/>
  <c r="I35" i="37"/>
  <c r="I25" i="37"/>
  <c r="I24" i="37"/>
  <c r="I14" i="37"/>
  <c r="I9" i="37"/>
  <c r="I53" i="37"/>
  <c r="I52" i="37"/>
  <c r="I47" i="37"/>
  <c r="I37" i="37"/>
  <c r="I36" i="37"/>
  <c r="I31" i="37"/>
  <c r="I21" i="37"/>
  <c r="I20" i="37"/>
  <c r="I10" i="37"/>
  <c r="I43" i="37"/>
  <c r="I22" i="37"/>
  <c r="I17" i="37"/>
  <c r="I48" i="37"/>
  <c r="I27" i="37"/>
  <c r="I57" i="37"/>
  <c r="J57" i="37" s="1"/>
  <c r="P17" i="37" s="1"/>
  <c r="I33" i="37"/>
  <c r="I16" i="37"/>
  <c r="I49" i="37"/>
  <c r="I32" i="37"/>
  <c r="I53" i="31"/>
  <c r="I49" i="31"/>
  <c r="I45" i="31"/>
  <c r="I41" i="31"/>
  <c r="I37" i="31"/>
  <c r="I33" i="31"/>
  <c r="I29" i="31"/>
  <c r="I25" i="31"/>
  <c r="I21" i="31"/>
  <c r="I17" i="31"/>
  <c r="I13" i="31"/>
  <c r="I9" i="31"/>
  <c r="I24" i="31"/>
  <c r="I16" i="31"/>
  <c r="I12" i="31"/>
  <c r="I57" i="31"/>
  <c r="J57" i="31" s="1"/>
  <c r="P17" i="31" s="1"/>
  <c r="I54" i="31"/>
  <c r="I46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8"/>
  <c r="I49" i="38"/>
  <c r="I44" i="38"/>
  <c r="I38" i="38"/>
  <c r="I37" i="38"/>
  <c r="I30" i="38"/>
  <c r="I29" i="38"/>
  <c r="I22" i="38"/>
  <c r="I21" i="38"/>
  <c r="I14" i="38"/>
  <c r="I13" i="38"/>
  <c r="I7" i="38"/>
  <c r="J7" i="38" s="1"/>
  <c r="I51" i="38"/>
  <c r="I46" i="38"/>
  <c r="I45" i="38"/>
  <c r="I40" i="38"/>
  <c r="I39" i="38"/>
  <c r="I32" i="38"/>
  <c r="I31" i="38"/>
  <c r="I24" i="38"/>
  <c r="I16" i="38"/>
  <c r="I15" i="38"/>
  <c r="I52" i="38"/>
  <c r="I47" i="38"/>
  <c r="I42" i="38"/>
  <c r="I41" i="38"/>
  <c r="I34" i="38"/>
  <c r="I33" i="38"/>
  <c r="I26" i="38"/>
  <c r="I25" i="38"/>
  <c r="I18" i="38"/>
  <c r="I17" i="38"/>
  <c r="I10" i="38"/>
  <c r="I9" i="38"/>
  <c r="I53" i="38"/>
  <c r="I27" i="38"/>
  <c r="I20" i="38"/>
  <c r="I48" i="38"/>
  <c r="I54" i="38"/>
  <c r="I35" i="38"/>
  <c r="I28" i="38"/>
  <c r="I19" i="38"/>
  <c r="I12" i="38"/>
  <c r="I57" i="38"/>
  <c r="J57" i="38" s="1"/>
  <c r="P17" i="38" s="1"/>
  <c r="I43" i="38"/>
  <c r="I11" i="38"/>
  <c r="I55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2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0" i="36"/>
  <c r="I21" i="36"/>
  <c r="I12" i="36"/>
  <c r="I54" i="36"/>
  <c r="I45" i="36"/>
  <c r="I36" i="36"/>
  <c r="I31" i="36"/>
  <c r="I26" i="36"/>
  <c r="I17" i="36"/>
  <c r="I57" i="36"/>
  <c r="J57" i="36" s="1"/>
  <c r="P17" i="36" s="1"/>
  <c r="I27" i="36"/>
  <c r="I22" i="36"/>
  <c r="I13" i="36"/>
  <c r="I49" i="36"/>
  <c r="I40" i="36"/>
  <c r="I19" i="32"/>
  <c r="I13" i="32"/>
  <c r="I12" i="32"/>
  <c r="I18" i="32"/>
  <c r="I17" i="32"/>
  <c r="I14" i="32"/>
  <c r="I9" i="32"/>
  <c r="I16" i="32"/>
  <c r="I10" i="32"/>
  <c r="I7" i="32"/>
  <c r="J7" i="32" s="1"/>
  <c r="I11" i="32"/>
  <c r="I55" i="40"/>
  <c r="I51" i="40"/>
  <c r="I50" i="40"/>
  <c r="I46" i="40"/>
  <c r="I41" i="40"/>
  <c r="I37" i="40"/>
  <c r="I32" i="40"/>
  <c r="I28" i="40"/>
  <c r="I23" i="40"/>
  <c r="I19" i="40"/>
  <c r="I18" i="40"/>
  <c r="I14" i="40"/>
  <c r="I9" i="40"/>
  <c r="I52" i="40"/>
  <c r="I47" i="40"/>
  <c r="I43" i="40"/>
  <c r="I42" i="40"/>
  <c r="I38" i="40"/>
  <c r="I33" i="40"/>
  <c r="I29" i="40"/>
  <c r="I24" i="40"/>
  <c r="I20" i="40"/>
  <c r="I15" i="40"/>
  <c r="I11" i="40"/>
  <c r="I10" i="40"/>
  <c r="I7" i="40"/>
  <c r="J7" i="40" s="1"/>
  <c r="I53" i="40"/>
  <c r="I48" i="40"/>
  <c r="I44" i="40"/>
  <c r="I39" i="40"/>
  <c r="I35" i="40"/>
  <c r="I34" i="40"/>
  <c r="I30" i="40"/>
  <c r="I25" i="40"/>
  <c r="I21" i="40"/>
  <c r="I16" i="40"/>
  <c r="I12" i="40"/>
  <c r="I57" i="40"/>
  <c r="J57" i="40" s="1"/>
  <c r="P17" i="40" s="1"/>
  <c r="I45" i="40"/>
  <c r="I36" i="40"/>
  <c r="I31" i="40"/>
  <c r="I26" i="40"/>
  <c r="I27" i="40"/>
  <c r="I22" i="40"/>
  <c r="I17" i="40"/>
  <c r="I49" i="40"/>
  <c r="I40" i="40"/>
  <c r="I13" i="40"/>
  <c r="I54" i="40"/>
  <c r="I48" i="34"/>
  <c r="I44" i="34"/>
  <c r="I35" i="34"/>
  <c r="I31" i="34"/>
  <c r="I23" i="34"/>
  <c r="I19" i="34"/>
  <c r="I13" i="34"/>
  <c r="I9" i="34"/>
  <c r="I53" i="34"/>
  <c r="I49" i="34"/>
  <c r="I45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P17" i="34" s="1"/>
  <c r="I54" i="34"/>
  <c r="I50" i="34"/>
  <c r="I42" i="34"/>
  <c r="I37" i="34"/>
  <c r="I29" i="34"/>
  <c r="I25" i="34"/>
  <c r="I43" i="34"/>
  <c r="I34" i="34"/>
  <c r="I18" i="34"/>
  <c r="I11" i="34"/>
  <c r="I17" i="34"/>
  <c r="I55" i="34"/>
  <c r="I30" i="34"/>
  <c r="I12" i="34"/>
  <c r="I47" i="34"/>
  <c r="I38" i="34"/>
  <c r="I22" i="34"/>
  <c r="I51" i="34"/>
  <c r="I26" i="34"/>
  <c r="I57" i="33"/>
  <c r="J57" i="33" s="1"/>
  <c r="P17" i="33" s="1"/>
  <c r="I53" i="33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3" i="33"/>
  <c r="I54" i="33"/>
  <c r="I38" i="33"/>
  <c r="I30" i="33"/>
  <c r="I46" i="33"/>
  <c r="I43" i="33"/>
  <c r="I36" i="33"/>
  <c r="I28" i="33"/>
  <c r="I24" i="33"/>
  <c r="I23" i="33"/>
  <c r="I19" i="33"/>
  <c r="I14" i="33"/>
  <c r="I9" i="33"/>
  <c r="I21" i="33"/>
  <c r="I17" i="33"/>
  <c r="I12" i="33"/>
  <c r="I11" i="33"/>
  <c r="I50" i="33"/>
  <c r="I47" i="33"/>
  <c r="I37" i="33"/>
  <c r="I34" i="33"/>
  <c r="I29" i="33"/>
  <c r="I25" i="33"/>
  <c r="I20" i="33"/>
  <c r="I16" i="33"/>
  <c r="I15" i="33"/>
  <c r="I7" i="33"/>
  <c r="J7" i="33" s="1"/>
  <c r="I51" i="33"/>
  <c r="I57" i="41"/>
  <c r="J57" i="41" s="1"/>
  <c r="P17" i="41" s="1"/>
  <c r="I54" i="41"/>
  <c r="I53" i="41"/>
  <c r="I48" i="41"/>
  <c r="I43" i="41"/>
  <c r="I38" i="41"/>
  <c r="I37" i="41"/>
  <c r="I32" i="41"/>
  <c r="I27" i="41"/>
  <c r="I22" i="41"/>
  <c r="I21" i="41"/>
  <c r="I16" i="41"/>
  <c r="I11" i="41"/>
  <c r="I7" i="41"/>
  <c r="J7" i="41" s="1"/>
  <c r="I55" i="41"/>
  <c r="I50" i="41"/>
  <c r="I49" i="41"/>
  <c r="I44" i="41"/>
  <c r="I39" i="41"/>
  <c r="I34" i="41"/>
  <c r="I33" i="41"/>
  <c r="I28" i="41"/>
  <c r="I23" i="41"/>
  <c r="I18" i="41"/>
  <c r="I17" i="41"/>
  <c r="I12" i="41"/>
  <c r="I51" i="41"/>
  <c r="I46" i="41"/>
  <c r="I45" i="41"/>
  <c r="I40" i="41"/>
  <c r="I35" i="41"/>
  <c r="I30" i="41"/>
  <c r="I29" i="41"/>
  <c r="I24" i="41"/>
  <c r="I19" i="41"/>
  <c r="I14" i="41"/>
  <c r="I13" i="41"/>
  <c r="I31" i="41"/>
  <c r="I26" i="41"/>
  <c r="I47" i="41"/>
  <c r="I42" i="41"/>
  <c r="I41" i="41"/>
  <c r="I36" i="41"/>
  <c r="I9" i="41"/>
  <c r="I52" i="41"/>
  <c r="I15" i="41"/>
  <c r="I10" i="41"/>
  <c r="I25" i="41"/>
  <c r="I20" i="41"/>
  <c r="I52" i="30"/>
  <c r="I48" i="30"/>
  <c r="I44" i="30"/>
  <c r="I40" i="30"/>
  <c r="I28" i="30"/>
  <c r="I24" i="30"/>
  <c r="I20" i="30"/>
  <c r="I16" i="30"/>
  <c r="I12" i="30"/>
  <c r="I46" i="30"/>
  <c r="I38" i="30"/>
  <c r="I30" i="30"/>
  <c r="I22" i="30"/>
  <c r="I47" i="30"/>
  <c r="I43" i="30"/>
  <c r="I39" i="30"/>
  <c r="I35" i="30"/>
  <c r="I31" i="30"/>
  <c r="I11" i="30"/>
  <c r="I53" i="30"/>
  <c r="I49" i="30"/>
  <c r="I37" i="30"/>
  <c r="I33" i="30"/>
  <c r="I29" i="30"/>
  <c r="I25" i="30"/>
  <c r="I21" i="30"/>
  <c r="I17" i="30"/>
  <c r="I13" i="30"/>
  <c r="I9" i="30"/>
  <c r="I57" i="30"/>
  <c r="J57" i="30" s="1"/>
  <c r="P17" i="30" s="1"/>
  <c r="I54" i="30"/>
  <c r="I42" i="30"/>
  <c r="I34" i="30"/>
  <c r="I26" i="30"/>
  <c r="I10" i="30"/>
  <c r="I7" i="30"/>
  <c r="J7" i="30" s="1"/>
  <c r="I51" i="30"/>
  <c r="I19" i="30"/>
  <c r="I15" i="30"/>
  <c r="I55" i="28"/>
  <c r="I50" i="28"/>
  <c r="I46" i="28"/>
  <c r="I42" i="28"/>
  <c r="I34" i="28"/>
  <c r="I30" i="28"/>
  <c r="I26" i="28"/>
  <c r="I22" i="28"/>
  <c r="I18" i="28"/>
  <c r="I14" i="28"/>
  <c r="I10" i="28"/>
  <c r="I9" i="28"/>
  <c r="I24" i="28"/>
  <c r="I20" i="28"/>
  <c r="I45" i="28"/>
  <c r="I37" i="28"/>
  <c r="I29" i="28"/>
  <c r="I21" i="28"/>
  <c r="I13" i="28"/>
  <c r="I52" i="28"/>
  <c r="I47" i="28"/>
  <c r="I43" i="28"/>
  <c r="I39" i="28"/>
  <c r="I35" i="28"/>
  <c r="I27" i="28"/>
  <c r="I23" i="28"/>
  <c r="I15" i="28"/>
  <c r="I11" i="28"/>
  <c r="I7" i="28"/>
  <c r="J7" i="28" s="1"/>
  <c r="I53" i="28"/>
  <c r="I48" i="28"/>
  <c r="I40" i="28"/>
  <c r="I36" i="28"/>
  <c r="I32" i="28"/>
  <c r="I28" i="28"/>
  <c r="I16" i="28"/>
  <c r="I57" i="28"/>
  <c r="J57" i="28" s="1"/>
  <c r="P17" i="28" s="1"/>
  <c r="I54" i="28"/>
  <c r="I49" i="28"/>
  <c r="I41" i="28"/>
  <c r="I33" i="28"/>
  <c r="I17" i="28"/>
  <c r="I57" i="27"/>
  <c r="J57" i="27" s="1"/>
  <c r="P17" i="27" s="1"/>
  <c r="I54" i="27"/>
  <c r="I50" i="27"/>
  <c r="I45" i="27"/>
  <c r="I44" i="27"/>
  <c r="I34" i="27"/>
  <c r="I29" i="27"/>
  <c r="I28" i="27"/>
  <c r="I18" i="27"/>
  <c r="I13" i="27"/>
  <c r="I12" i="27"/>
  <c r="I7" i="27"/>
  <c r="J7" i="27" s="1"/>
  <c r="I42" i="27"/>
  <c r="I10" i="27"/>
  <c r="I53" i="27"/>
  <c r="I49" i="27"/>
  <c r="I48" i="27"/>
  <c r="I43" i="27"/>
  <c r="I38" i="27"/>
  <c r="I33" i="27"/>
  <c r="I32" i="27"/>
  <c r="I27" i="27"/>
  <c r="I22" i="27"/>
  <c r="I11" i="27"/>
  <c r="I51" i="27"/>
  <c r="I46" i="27"/>
  <c r="I41" i="27"/>
  <c r="I40" i="27"/>
  <c r="I35" i="27"/>
  <c r="I30" i="27"/>
  <c r="I25" i="27"/>
  <c r="I24" i="27"/>
  <c r="I19" i="27"/>
  <c r="I14" i="27"/>
  <c r="I9" i="27"/>
  <c r="I52" i="27"/>
  <c r="I37" i="27"/>
  <c r="I36" i="27"/>
  <c r="I26" i="27"/>
  <c r="I21" i="27"/>
  <c r="I20" i="27"/>
  <c r="I17" i="27"/>
  <c r="I16" i="27"/>
  <c r="F39" i="29" l="1"/>
  <c r="F25" i="27"/>
  <c r="J24" i="27"/>
  <c r="F13" i="27"/>
  <c r="J12" i="27"/>
  <c r="F42" i="28"/>
  <c r="J41" i="28"/>
  <c r="F24" i="28"/>
  <c r="J23" i="28"/>
  <c r="J50" i="28"/>
  <c r="F30" i="30"/>
  <c r="J29" i="30"/>
  <c r="F13" i="30"/>
  <c r="J12" i="30"/>
  <c r="F15" i="41"/>
  <c r="J14" i="41"/>
  <c r="F17" i="41"/>
  <c r="J16" i="41"/>
  <c r="F16" i="33"/>
  <c r="J15" i="33"/>
  <c r="F34" i="33"/>
  <c r="F53" i="33"/>
  <c r="J52" i="33"/>
  <c r="J38" i="34"/>
  <c r="F47" i="34"/>
  <c r="F36" i="34"/>
  <c r="J35" i="34"/>
  <c r="F36" i="40"/>
  <c r="J35" i="40"/>
  <c r="F19" i="40"/>
  <c r="J18" i="40"/>
  <c r="F10" i="32"/>
  <c r="J9" i="32"/>
  <c r="F13" i="36"/>
  <c r="J12" i="36"/>
  <c r="J42" i="36"/>
  <c r="F57" i="36"/>
  <c r="J55" i="36"/>
  <c r="F34" i="38"/>
  <c r="J33" i="38"/>
  <c r="F22" i="38"/>
  <c r="J21" i="38"/>
  <c r="F12" i="31"/>
  <c r="J11" i="31"/>
  <c r="F35" i="31"/>
  <c r="J34" i="31"/>
  <c r="F46" i="31"/>
  <c r="J45" i="31"/>
  <c r="F27" i="37"/>
  <c r="F13" i="37"/>
  <c r="J12" i="37"/>
  <c r="F10" i="39"/>
  <c r="J9" i="39"/>
  <c r="F34" i="39"/>
  <c r="J33" i="39"/>
  <c r="F30" i="35"/>
  <c r="J29" i="35"/>
  <c r="F34" i="27"/>
  <c r="J33" i="27"/>
  <c r="F28" i="28"/>
  <c r="J27" i="28"/>
  <c r="J17" i="30"/>
  <c r="F11" i="41"/>
  <c r="J10" i="41"/>
  <c r="F22" i="41"/>
  <c r="J21" i="41"/>
  <c r="F49" i="33"/>
  <c r="F45" i="33"/>
  <c r="J44" i="33"/>
  <c r="F51" i="34"/>
  <c r="J50" i="34"/>
  <c r="F16" i="34"/>
  <c r="F40" i="40"/>
  <c r="J39" i="40"/>
  <c r="F52" i="40"/>
  <c r="J51" i="40"/>
  <c r="F17" i="36"/>
  <c r="F12" i="36"/>
  <c r="J11" i="36"/>
  <c r="F29" i="36"/>
  <c r="J28" i="36"/>
  <c r="F13" i="38"/>
  <c r="J12" i="38"/>
  <c r="F19" i="38"/>
  <c r="J18" i="38"/>
  <c r="F53" i="38"/>
  <c r="J52" i="38"/>
  <c r="F41" i="38"/>
  <c r="J40" i="38"/>
  <c r="F39" i="38"/>
  <c r="J38" i="38"/>
  <c r="F45" i="31"/>
  <c r="J44" i="31"/>
  <c r="F48" i="31"/>
  <c r="J47" i="31"/>
  <c r="F23" i="31"/>
  <c r="J22" i="31"/>
  <c r="F18" i="31"/>
  <c r="J17" i="31"/>
  <c r="J49" i="37"/>
  <c r="F32" i="37"/>
  <c r="J31" i="37"/>
  <c r="F31" i="37"/>
  <c r="J29" i="37"/>
  <c r="F36" i="39"/>
  <c r="J35" i="39"/>
  <c r="F51" i="39"/>
  <c r="J50" i="39"/>
  <c r="F17" i="39"/>
  <c r="J16" i="39"/>
  <c r="F39" i="35"/>
  <c r="J38" i="35"/>
  <c r="F23" i="35"/>
  <c r="J22" i="35"/>
  <c r="F16" i="29"/>
  <c r="J15" i="29"/>
  <c r="F17" i="27"/>
  <c r="J16" i="27"/>
  <c r="F53" i="27"/>
  <c r="J52" i="27"/>
  <c r="F57" i="27"/>
  <c r="F49" i="27"/>
  <c r="J48" i="27"/>
  <c r="F53" i="28"/>
  <c r="J52" i="28"/>
  <c r="J24" i="28"/>
  <c r="F35" i="28"/>
  <c r="J34" i="28"/>
  <c r="F19" i="30"/>
  <c r="J13" i="30"/>
  <c r="F24" i="30"/>
  <c r="J22" i="30"/>
  <c r="J44" i="30"/>
  <c r="F10" i="41"/>
  <c r="J9" i="41"/>
  <c r="F31" i="41"/>
  <c r="J30" i="41"/>
  <c r="F19" i="41"/>
  <c r="J18" i="41"/>
  <c r="F51" i="41"/>
  <c r="J50" i="41"/>
  <c r="F49" i="41"/>
  <c r="J48" i="41"/>
  <c r="F30" i="33"/>
  <c r="J29" i="33"/>
  <c r="F22" i="33"/>
  <c r="J21" i="33"/>
  <c r="F31" i="33"/>
  <c r="J30" i="33"/>
  <c r="F32" i="33"/>
  <c r="J31" i="33"/>
  <c r="J40" i="33"/>
  <c r="F57" i="34"/>
  <c r="J55" i="34"/>
  <c r="F37" i="34"/>
  <c r="J36" i="34"/>
  <c r="F20" i="34"/>
  <c r="J19" i="34"/>
  <c r="F41" i="40"/>
  <c r="J40" i="40"/>
  <c r="F46" i="40"/>
  <c r="J45" i="40"/>
  <c r="F54" i="40"/>
  <c r="J53" i="40"/>
  <c r="F48" i="40"/>
  <c r="J47" i="40"/>
  <c r="F41" i="36"/>
  <c r="J40" i="36"/>
  <c r="F32" i="36"/>
  <c r="J31" i="36"/>
  <c r="F45" i="36"/>
  <c r="J44" i="36"/>
  <c r="J24" i="36"/>
  <c r="F24" i="36"/>
  <c r="J23" i="36"/>
  <c r="F42" i="36"/>
  <c r="J41" i="36"/>
  <c r="J35" i="38"/>
  <c r="F18" i="38"/>
  <c r="J17" i="38"/>
  <c r="F24" i="38"/>
  <c r="F52" i="38"/>
  <c r="J51" i="38"/>
  <c r="F51" i="38"/>
  <c r="F28" i="31"/>
  <c r="J27" i="31"/>
  <c r="F29" i="31"/>
  <c r="J28" i="31"/>
  <c r="F51" i="31"/>
  <c r="F30" i="31"/>
  <c r="J29" i="31"/>
  <c r="J33" i="37"/>
  <c r="J10" i="37"/>
  <c r="F10" i="37"/>
  <c r="J9" i="37"/>
  <c r="J41" i="37"/>
  <c r="F29" i="37"/>
  <c r="J28" i="37"/>
  <c r="F15" i="39"/>
  <c r="J14" i="39"/>
  <c r="F31" i="39"/>
  <c r="J30" i="39"/>
  <c r="F18" i="39"/>
  <c r="J17" i="39"/>
  <c r="F12" i="39"/>
  <c r="J11" i="39"/>
  <c r="J28" i="39"/>
  <c r="J44" i="39"/>
  <c r="F53" i="35"/>
  <c r="J52" i="35"/>
  <c r="F33" i="35"/>
  <c r="J32" i="35"/>
  <c r="F18" i="35"/>
  <c r="J17" i="35"/>
  <c r="F50" i="35"/>
  <c r="J49" i="35"/>
  <c r="F36" i="35"/>
  <c r="J35" i="35"/>
  <c r="F20" i="29"/>
  <c r="J19" i="29"/>
  <c r="J40" i="29"/>
  <c r="F29" i="29"/>
  <c r="J28" i="29"/>
  <c r="F44" i="29"/>
  <c r="J43" i="29"/>
  <c r="F49" i="29"/>
  <c r="J48" i="29"/>
  <c r="F18" i="27"/>
  <c r="J17" i="27"/>
  <c r="F10" i="27"/>
  <c r="J9" i="27"/>
  <c r="F42" i="27"/>
  <c r="J41" i="27"/>
  <c r="F50" i="27"/>
  <c r="J49" i="27"/>
  <c r="F14" i="27"/>
  <c r="J13" i="27"/>
  <c r="F46" i="27"/>
  <c r="J45" i="27"/>
  <c r="F50" i="28"/>
  <c r="J49" i="28"/>
  <c r="F45" i="28"/>
  <c r="J43" i="28"/>
  <c r="F46" i="28"/>
  <c r="J45" i="28"/>
  <c r="F23" i="28"/>
  <c r="J22" i="28"/>
  <c r="F57" i="28"/>
  <c r="J55" i="28"/>
  <c r="J26" i="30"/>
  <c r="F34" i="30"/>
  <c r="J33" i="30"/>
  <c r="F28" i="30"/>
  <c r="F31" i="30"/>
  <c r="J30" i="30"/>
  <c r="F33" i="30"/>
  <c r="F27" i="41"/>
  <c r="J26" i="41"/>
  <c r="F36" i="41"/>
  <c r="J35" i="41"/>
  <c r="F24" i="41"/>
  <c r="J23" i="41"/>
  <c r="F57" i="41"/>
  <c r="J55" i="41"/>
  <c r="F54" i="41"/>
  <c r="J53" i="41"/>
  <c r="F17" i="33"/>
  <c r="J16" i="33"/>
  <c r="F12" i="33"/>
  <c r="J11" i="33"/>
  <c r="F37" i="33"/>
  <c r="J36" i="33"/>
  <c r="F19" i="33"/>
  <c r="F57" i="33"/>
  <c r="J55" i="33"/>
  <c r="F48" i="34"/>
  <c r="J47" i="34"/>
  <c r="F44" i="34"/>
  <c r="J43" i="34"/>
  <c r="F11" i="34"/>
  <c r="J10" i="34"/>
  <c r="F54" i="34"/>
  <c r="J53" i="34"/>
  <c r="F40" i="34"/>
  <c r="F50" i="40"/>
  <c r="J49" i="40"/>
  <c r="F27" i="40"/>
  <c r="J26" i="40"/>
  <c r="F26" i="40"/>
  <c r="J25" i="40"/>
  <c r="F21" i="40"/>
  <c r="J20" i="40"/>
  <c r="F53" i="40"/>
  <c r="J52" i="40"/>
  <c r="F38" i="40"/>
  <c r="J37" i="40"/>
  <c r="F11" i="32"/>
  <c r="J10" i="32"/>
  <c r="J14" i="32"/>
  <c r="F13" i="32"/>
  <c r="J12" i="32"/>
  <c r="F50" i="36"/>
  <c r="J49" i="36"/>
  <c r="F37" i="36"/>
  <c r="J36" i="36"/>
  <c r="F35" i="36"/>
  <c r="F49" i="36"/>
  <c r="J48" i="36"/>
  <c r="F30" i="36"/>
  <c r="J29" i="36"/>
  <c r="F44" i="36"/>
  <c r="F47" i="36"/>
  <c r="J46" i="36"/>
  <c r="F12" i="38"/>
  <c r="J11" i="38"/>
  <c r="F55" i="38"/>
  <c r="J54" i="38"/>
  <c r="F54" i="38"/>
  <c r="J53" i="38"/>
  <c r="F35" i="38"/>
  <c r="J34" i="38"/>
  <c r="F25" i="38"/>
  <c r="J24" i="38"/>
  <c r="J22" i="38"/>
  <c r="F57" i="38"/>
  <c r="J55" i="38"/>
  <c r="F16" i="31"/>
  <c r="J15" i="31"/>
  <c r="F32" i="31"/>
  <c r="J31" i="31"/>
  <c r="F39" i="31"/>
  <c r="J38" i="31"/>
  <c r="F55" i="31"/>
  <c r="J54" i="31"/>
  <c r="F21" i="31"/>
  <c r="F34" i="31"/>
  <c r="J33" i="31"/>
  <c r="J49" i="31"/>
  <c r="F39" i="37"/>
  <c r="F18" i="37"/>
  <c r="J17" i="37"/>
  <c r="F16" i="37"/>
  <c r="F48" i="37"/>
  <c r="J47" i="37"/>
  <c r="J14" i="37"/>
  <c r="F47" i="37"/>
  <c r="F14" i="37"/>
  <c r="J13" i="37"/>
  <c r="J45" i="37"/>
  <c r="F20" i="39"/>
  <c r="J19" i="39"/>
  <c r="F16" i="39"/>
  <c r="J15" i="39"/>
  <c r="F19" i="39"/>
  <c r="J18" i="39"/>
  <c r="F35" i="39"/>
  <c r="J34" i="39"/>
  <c r="F22" i="39"/>
  <c r="F38" i="39"/>
  <c r="F55" i="39"/>
  <c r="J54" i="39"/>
  <c r="F33" i="39"/>
  <c r="J32" i="39"/>
  <c r="F49" i="39"/>
  <c r="J48" i="39"/>
  <c r="F11" i="35"/>
  <c r="J10" i="35"/>
  <c r="F34" i="35"/>
  <c r="J33" i="35"/>
  <c r="J11" i="35"/>
  <c r="F20" i="35"/>
  <c r="J19" i="35"/>
  <c r="F38" i="35"/>
  <c r="J37" i="35"/>
  <c r="F52" i="35"/>
  <c r="J51" i="35"/>
  <c r="F37" i="35"/>
  <c r="J36" i="35"/>
  <c r="F55" i="35"/>
  <c r="J54" i="35"/>
  <c r="F26" i="35"/>
  <c r="J25" i="35"/>
  <c r="F40" i="35"/>
  <c r="J39" i="35"/>
  <c r="F53" i="29"/>
  <c r="J52" i="29"/>
  <c r="J17" i="29"/>
  <c r="F54" i="29"/>
  <c r="J53" i="29"/>
  <c r="J49" i="29"/>
  <c r="J31" i="29"/>
  <c r="F37" i="29"/>
  <c r="F38" i="29"/>
  <c r="J37" i="29"/>
  <c r="F34" i="29"/>
  <c r="J33" i="29"/>
  <c r="F21" i="29"/>
  <c r="J20" i="29"/>
  <c r="F40" i="29"/>
  <c r="J39" i="29"/>
  <c r="J35" i="29"/>
  <c r="F21" i="27"/>
  <c r="J20" i="27"/>
  <c r="F38" i="27"/>
  <c r="J37" i="27"/>
  <c r="J14" i="27"/>
  <c r="J30" i="27"/>
  <c r="J46" i="27"/>
  <c r="J22" i="27"/>
  <c r="J38" i="27"/>
  <c r="F54" i="27"/>
  <c r="J53" i="27"/>
  <c r="F43" i="27"/>
  <c r="J42" i="27"/>
  <c r="F19" i="27"/>
  <c r="J18" i="27"/>
  <c r="F35" i="27"/>
  <c r="J34" i="27"/>
  <c r="F51" i="27"/>
  <c r="J50" i="27"/>
  <c r="F26" i="28"/>
  <c r="F55" i="28"/>
  <c r="J54" i="28"/>
  <c r="F33" i="28"/>
  <c r="J32" i="28"/>
  <c r="F49" i="28"/>
  <c r="J48" i="28"/>
  <c r="F16" i="28"/>
  <c r="J15" i="28"/>
  <c r="F32" i="28"/>
  <c r="F48" i="28"/>
  <c r="J47" i="28"/>
  <c r="F22" i="28"/>
  <c r="J21" i="28"/>
  <c r="F13" i="28"/>
  <c r="F11" i="28"/>
  <c r="J10" i="28"/>
  <c r="F27" i="28"/>
  <c r="J26" i="28"/>
  <c r="F43" i="28"/>
  <c r="J42" i="28"/>
  <c r="F16" i="30"/>
  <c r="J15" i="30"/>
  <c r="F35" i="30"/>
  <c r="J34" i="30"/>
  <c r="F22" i="30"/>
  <c r="J21" i="30"/>
  <c r="F38" i="30"/>
  <c r="J37" i="30"/>
  <c r="F54" i="30"/>
  <c r="J53" i="30"/>
  <c r="J31" i="30"/>
  <c r="F48" i="30"/>
  <c r="J47" i="30"/>
  <c r="F39" i="30"/>
  <c r="J38" i="30"/>
  <c r="F21" i="30"/>
  <c r="J20" i="30"/>
  <c r="F37" i="30"/>
  <c r="F53" i="30"/>
  <c r="J52" i="30"/>
  <c r="F16" i="41"/>
  <c r="J15" i="41"/>
  <c r="F42" i="41"/>
  <c r="J41" i="41"/>
  <c r="F32" i="41"/>
  <c r="J31" i="41"/>
  <c r="F25" i="41"/>
  <c r="J24" i="41"/>
  <c r="F41" i="41"/>
  <c r="J40" i="41"/>
  <c r="F13" i="41"/>
  <c r="J12" i="41"/>
  <c r="F29" i="41"/>
  <c r="J28" i="41"/>
  <c r="F45" i="41"/>
  <c r="J44" i="41"/>
  <c r="F23" i="41"/>
  <c r="J22" i="41"/>
  <c r="F39" i="41"/>
  <c r="J38" i="41"/>
  <c r="F55" i="41"/>
  <c r="J54" i="41"/>
  <c r="F21" i="33"/>
  <c r="J20" i="33"/>
  <c r="F38" i="33"/>
  <c r="J37" i="33"/>
  <c r="F13" i="33"/>
  <c r="J12" i="33"/>
  <c r="J9" i="33"/>
  <c r="F25" i="33"/>
  <c r="J24" i="33"/>
  <c r="F44" i="33"/>
  <c r="J43" i="33"/>
  <c r="F42" i="33"/>
  <c r="F23" i="33"/>
  <c r="J22" i="33"/>
  <c r="F43" i="33"/>
  <c r="J42" i="33"/>
  <c r="F36" i="33"/>
  <c r="J35" i="33"/>
  <c r="F50" i="33"/>
  <c r="J49" i="33"/>
  <c r="J51" i="34"/>
  <c r="F13" i="34"/>
  <c r="J12" i="34"/>
  <c r="F12" i="34"/>
  <c r="J11" i="34"/>
  <c r="F22" i="34"/>
  <c r="F38" i="34"/>
  <c r="J37" i="34"/>
  <c r="F55" i="34"/>
  <c r="J54" i="34"/>
  <c r="J14" i="34"/>
  <c r="F29" i="34"/>
  <c r="J28" i="34"/>
  <c r="F42" i="34"/>
  <c r="J41" i="34"/>
  <c r="F10" i="34"/>
  <c r="J9" i="34"/>
  <c r="F28" i="34"/>
  <c r="F45" i="34"/>
  <c r="J44" i="34"/>
  <c r="F55" i="40"/>
  <c r="J54" i="40"/>
  <c r="F18" i="40"/>
  <c r="J17" i="40"/>
  <c r="F32" i="40"/>
  <c r="J31" i="40"/>
  <c r="F13" i="40"/>
  <c r="J12" i="40"/>
  <c r="F31" i="40"/>
  <c r="J30" i="40"/>
  <c r="F45" i="40"/>
  <c r="J44" i="40"/>
  <c r="F11" i="40"/>
  <c r="J10" i="40"/>
  <c r="F25" i="40"/>
  <c r="J24" i="40"/>
  <c r="F43" i="40"/>
  <c r="J42" i="40"/>
  <c r="F10" i="40"/>
  <c r="J9" i="40"/>
  <c r="F24" i="40"/>
  <c r="J23" i="40"/>
  <c r="F42" i="40"/>
  <c r="J41" i="40"/>
  <c r="F57" i="40"/>
  <c r="J55" i="40"/>
  <c r="F16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J15" i="36"/>
  <c r="J33" i="36"/>
  <c r="F48" i="36"/>
  <c r="J47" i="36"/>
  <c r="F19" i="36"/>
  <c r="J18" i="36"/>
  <c r="F33" i="36"/>
  <c r="J32" i="36"/>
  <c r="J50" i="36"/>
  <c r="F37" i="38"/>
  <c r="F20" i="38"/>
  <c r="J19" i="38"/>
  <c r="F49" i="38"/>
  <c r="J48" i="38"/>
  <c r="F10" i="38"/>
  <c r="J9" i="38"/>
  <c r="F26" i="38"/>
  <c r="J25" i="38"/>
  <c r="F42" i="38"/>
  <c r="J41" i="38"/>
  <c r="F16" i="38"/>
  <c r="J15" i="38"/>
  <c r="F32" i="38"/>
  <c r="J31" i="38"/>
  <c r="F46" i="38"/>
  <c r="J45" i="38"/>
  <c r="F14" i="38"/>
  <c r="J13" i="38"/>
  <c r="F30" i="38"/>
  <c r="J29" i="38"/>
  <c r="F45" i="38"/>
  <c r="J44" i="38"/>
  <c r="F33" i="31"/>
  <c r="J32" i="31"/>
  <c r="F49" i="31"/>
  <c r="J48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22" i="37"/>
  <c r="F21" i="37"/>
  <c r="J20" i="37"/>
  <c r="F37" i="37"/>
  <c r="J36" i="37"/>
  <c r="F53" i="37"/>
  <c r="J52" i="37"/>
  <c r="F20" i="37"/>
  <c r="F36" i="37"/>
  <c r="J35" i="37"/>
  <c r="F52" i="37"/>
  <c r="J51" i="37"/>
  <c r="J18" i="37"/>
  <c r="F35" i="37"/>
  <c r="F51" i="37"/>
  <c r="F52" i="39"/>
  <c r="J51" i="39"/>
  <c r="F28" i="39"/>
  <c r="J27" i="39"/>
  <c r="F32" i="39"/>
  <c r="J31" i="39"/>
  <c r="F23" i="39"/>
  <c r="J22" i="39"/>
  <c r="F39" i="39"/>
  <c r="J38" i="39"/>
  <c r="F57" i="39"/>
  <c r="J55" i="39"/>
  <c r="F26" i="39"/>
  <c r="J25" i="39"/>
  <c r="F42" i="39"/>
  <c r="J41" i="39"/>
  <c r="J20" i="39"/>
  <c r="J36" i="39"/>
  <c r="J52" i="39"/>
  <c r="F16" i="35"/>
  <c r="J15" i="35"/>
  <c r="F44" i="35"/>
  <c r="J43" i="35"/>
  <c r="F43" i="35"/>
  <c r="F10" i="35"/>
  <c r="J9" i="35"/>
  <c r="F24" i="35"/>
  <c r="J23" i="35"/>
  <c r="J41" i="35"/>
  <c r="F57" i="35"/>
  <c r="J55" i="35"/>
  <c r="J26" i="35"/>
  <c r="F41" i="35"/>
  <c r="J40" i="35"/>
  <c r="F13" i="35"/>
  <c r="F31" i="35"/>
  <c r="J30" i="35"/>
  <c r="F45" i="35"/>
  <c r="J44" i="35"/>
  <c r="F11" i="29"/>
  <c r="J10" i="29"/>
  <c r="F30" i="29"/>
  <c r="J29" i="29"/>
  <c r="F22" i="29"/>
  <c r="J21" i="29"/>
  <c r="J22" i="29"/>
  <c r="F51" i="29"/>
  <c r="F46" i="29"/>
  <c r="F48" i="29"/>
  <c r="J47" i="29"/>
  <c r="F25" i="29"/>
  <c r="J24" i="29"/>
  <c r="F19" i="29"/>
  <c r="J13" i="29"/>
  <c r="F27" i="27"/>
  <c r="J26" i="27"/>
  <c r="F41" i="27"/>
  <c r="J40" i="27"/>
  <c r="F33" i="27"/>
  <c r="J32" i="27"/>
  <c r="F16" i="27"/>
  <c r="F29" i="27"/>
  <c r="J28" i="27"/>
  <c r="F45" i="27"/>
  <c r="J44" i="27"/>
  <c r="F17" i="28"/>
  <c r="J16" i="28"/>
  <c r="F41" i="28"/>
  <c r="J40" i="28"/>
  <c r="F40" i="28"/>
  <c r="J39" i="28"/>
  <c r="J37" i="28"/>
  <c r="J18" i="28"/>
  <c r="F52" i="30"/>
  <c r="J51" i="30"/>
  <c r="F51" i="30"/>
  <c r="F46" i="30"/>
  <c r="F40" i="30"/>
  <c r="J39" i="30"/>
  <c r="F29" i="30"/>
  <c r="J28" i="30"/>
  <c r="F26" i="41"/>
  <c r="J25" i="41"/>
  <c r="F48" i="41"/>
  <c r="J47" i="41"/>
  <c r="F47" i="41"/>
  <c r="J46" i="41"/>
  <c r="F35" i="41"/>
  <c r="J34" i="41"/>
  <c r="F33" i="41"/>
  <c r="J32" i="41"/>
  <c r="F27" i="33"/>
  <c r="F51" i="33"/>
  <c r="J50" i="33"/>
  <c r="F20" i="33"/>
  <c r="J19" i="33"/>
  <c r="F14" i="33"/>
  <c r="J13" i="33"/>
  <c r="F35" i="34"/>
  <c r="J34" i="34"/>
  <c r="F30" i="34"/>
  <c r="J29" i="34"/>
  <c r="J20" i="34"/>
  <c r="F50" i="34"/>
  <c r="J49" i="34"/>
  <c r="F53" i="34"/>
  <c r="F28" i="40"/>
  <c r="J27" i="40"/>
  <c r="F22" i="40"/>
  <c r="J21" i="40"/>
  <c r="F16" i="40"/>
  <c r="J15" i="40"/>
  <c r="F34" i="40"/>
  <c r="J33" i="40"/>
  <c r="F33" i="40"/>
  <c r="J32" i="40"/>
  <c r="F51" i="40"/>
  <c r="J50" i="40"/>
  <c r="F19" i="32"/>
  <c r="J18" i="32"/>
  <c r="F28" i="36"/>
  <c r="J27" i="36"/>
  <c r="F31" i="36"/>
  <c r="J30" i="36"/>
  <c r="F11" i="36"/>
  <c r="J10" i="36"/>
  <c r="F10" i="36"/>
  <c r="J9" i="36"/>
  <c r="F28" i="38"/>
  <c r="J27" i="38"/>
  <c r="F48" i="38"/>
  <c r="J47" i="38"/>
  <c r="F40" i="38"/>
  <c r="J39" i="38"/>
  <c r="F38" i="38"/>
  <c r="J37" i="38"/>
  <c r="F41" i="31"/>
  <c r="J40" i="31"/>
  <c r="F44" i="31"/>
  <c r="J43" i="31"/>
  <c r="F19" i="31"/>
  <c r="J18" i="31"/>
  <c r="F17" i="31"/>
  <c r="J16" i="31"/>
  <c r="F14" i="31"/>
  <c r="J13" i="31"/>
  <c r="F33" i="37"/>
  <c r="J32" i="37"/>
  <c r="F49" i="37"/>
  <c r="J48" i="37"/>
  <c r="F43" i="37"/>
  <c r="J25" i="37"/>
  <c r="F45" i="37"/>
  <c r="J44" i="37"/>
  <c r="F40" i="39"/>
  <c r="J39" i="39"/>
  <c r="F14" i="39"/>
  <c r="F47" i="39"/>
  <c r="J46" i="39"/>
  <c r="F50" i="39"/>
  <c r="J49" i="39"/>
  <c r="F25" i="35"/>
  <c r="J24" i="35"/>
  <c r="F19" i="35"/>
  <c r="J18" i="35"/>
  <c r="F51" i="35"/>
  <c r="J50" i="35"/>
  <c r="F32" i="35"/>
  <c r="J31" i="35"/>
  <c r="F22" i="35"/>
  <c r="J21" i="35"/>
  <c r="F54" i="35"/>
  <c r="J53" i="35"/>
  <c r="F24" i="29"/>
  <c r="F35" i="29"/>
  <c r="J34" i="29"/>
  <c r="F26" i="29"/>
  <c r="J25" i="29"/>
  <c r="F10" i="29"/>
  <c r="J9" i="29"/>
  <c r="F37" i="27"/>
  <c r="J36" i="27"/>
  <c r="F26" i="27"/>
  <c r="J25" i="27"/>
  <c r="F12" i="27"/>
  <c r="J11" i="27"/>
  <c r="F32" i="27"/>
  <c r="F30" i="27"/>
  <c r="J29" i="27"/>
  <c r="F18" i="28"/>
  <c r="J17" i="28"/>
  <c r="F29" i="28"/>
  <c r="J28" i="28"/>
  <c r="J11" i="28"/>
  <c r="F14" i="28"/>
  <c r="J13" i="28"/>
  <c r="F10" i="28"/>
  <c r="J9" i="28"/>
  <c r="F39" i="28"/>
  <c r="F57" i="30"/>
  <c r="J54" i="30"/>
  <c r="J49" i="30"/>
  <c r="F44" i="30"/>
  <c r="J43" i="30"/>
  <c r="F17" i="30"/>
  <c r="J16" i="30"/>
  <c r="F49" i="30"/>
  <c r="J48" i="30"/>
  <c r="F37" i="41"/>
  <c r="J36" i="41"/>
  <c r="F20" i="41"/>
  <c r="J19" i="41"/>
  <c r="F52" i="41"/>
  <c r="J51" i="41"/>
  <c r="F40" i="41"/>
  <c r="J39" i="41"/>
  <c r="F38" i="41"/>
  <c r="J37" i="41"/>
  <c r="F52" i="33"/>
  <c r="J51" i="33"/>
  <c r="F35" i="33"/>
  <c r="J34" i="33"/>
  <c r="F24" i="33"/>
  <c r="J23" i="33"/>
  <c r="F39" i="33"/>
  <c r="J38" i="33"/>
  <c r="J32" i="33"/>
  <c r="J26" i="34"/>
  <c r="F18" i="34"/>
  <c r="J17" i="34"/>
  <c r="F34" i="34"/>
  <c r="F25" i="34"/>
  <c r="J24" i="34"/>
  <c r="F41" i="34"/>
  <c r="J40" i="34"/>
  <c r="F24" i="34"/>
  <c r="J23" i="34"/>
  <c r="F39" i="40"/>
  <c r="J38" i="40"/>
  <c r="F20" i="40"/>
  <c r="J19" i="40"/>
  <c r="F15" i="36"/>
  <c r="J14" i="36"/>
  <c r="F22" i="27"/>
  <c r="J21" i="27"/>
  <c r="F48" i="27"/>
  <c r="F20" i="27"/>
  <c r="J19" i="27"/>
  <c r="F36" i="27"/>
  <c r="J35" i="27"/>
  <c r="F52" i="27"/>
  <c r="J51" i="27"/>
  <c r="F28" i="27"/>
  <c r="J27" i="27"/>
  <c r="F44" i="27"/>
  <c r="J43" i="27"/>
  <c r="F11" i="27"/>
  <c r="J10" i="27"/>
  <c r="F24" i="27"/>
  <c r="F40" i="27"/>
  <c r="J54" i="27"/>
  <c r="F34" i="28"/>
  <c r="J33" i="28"/>
  <c r="F37" i="28"/>
  <c r="J36" i="28"/>
  <c r="F54" i="28"/>
  <c r="J53" i="28"/>
  <c r="F20" i="28"/>
  <c r="F36" i="28"/>
  <c r="J35" i="28"/>
  <c r="F52" i="28"/>
  <c r="F30" i="28"/>
  <c r="J29" i="28"/>
  <c r="F21" i="28"/>
  <c r="J20" i="28"/>
  <c r="F15" i="28"/>
  <c r="J14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F12" i="30"/>
  <c r="J11" i="30"/>
  <c r="J35" i="30"/>
  <c r="F15" i="30"/>
  <c r="F47" i="30"/>
  <c r="J46" i="30"/>
  <c r="F25" i="30"/>
  <c r="J24" i="30"/>
  <c r="J40" i="30"/>
  <c r="F21" i="41"/>
  <c r="J20" i="41"/>
  <c r="F53" i="41"/>
  <c r="J52" i="41"/>
  <c r="F43" i="41"/>
  <c r="J42" i="41"/>
  <c r="F14" i="41"/>
  <c r="J13" i="41"/>
  <c r="F30" i="41"/>
  <c r="J29" i="41"/>
  <c r="F46" i="41"/>
  <c r="J45" i="41"/>
  <c r="F18" i="41"/>
  <c r="J17" i="41"/>
  <c r="F34" i="41"/>
  <c r="J33" i="41"/>
  <c r="F50" i="41"/>
  <c r="J49" i="41"/>
  <c r="F12" i="41"/>
  <c r="J11" i="41"/>
  <c r="F28" i="41"/>
  <c r="J27" i="41"/>
  <c r="F44" i="41"/>
  <c r="J43" i="41"/>
  <c r="F11" i="33"/>
  <c r="J25" i="33"/>
  <c r="J47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J53" i="33"/>
  <c r="F23" i="34"/>
  <c r="J22" i="34"/>
  <c r="F31" i="34"/>
  <c r="J30" i="34"/>
  <c r="F19" i="34"/>
  <c r="J18" i="34"/>
  <c r="F26" i="34"/>
  <c r="J25" i="34"/>
  <c r="F43" i="34"/>
  <c r="J42" i="34"/>
  <c r="F17" i="34"/>
  <c r="J16" i="34"/>
  <c r="J32" i="34"/>
  <c r="J45" i="34"/>
  <c r="F14" i="34"/>
  <c r="J13" i="34"/>
  <c r="F32" i="34"/>
  <c r="J31" i="34"/>
  <c r="F49" i="34"/>
  <c r="J48" i="34"/>
  <c r="F14" i="40"/>
  <c r="J13" i="40"/>
  <c r="F23" i="40"/>
  <c r="J22" i="40"/>
  <c r="F37" i="40"/>
  <c r="J36" i="40"/>
  <c r="F17" i="40"/>
  <c r="J16" i="40"/>
  <c r="F35" i="40"/>
  <c r="J34" i="40"/>
  <c r="F49" i="40"/>
  <c r="J48" i="40"/>
  <c r="F12" i="40"/>
  <c r="J11" i="40"/>
  <c r="F30" i="40"/>
  <c r="J29" i="40"/>
  <c r="F44" i="40"/>
  <c r="J43" i="40"/>
  <c r="F15" i="40"/>
  <c r="J14" i="40"/>
  <c r="F29" i="40"/>
  <c r="J28" i="40"/>
  <c r="F47" i="40"/>
  <c r="J46" i="40"/>
  <c r="F12" i="32"/>
  <c r="J11" i="32"/>
  <c r="F17" i="32"/>
  <c r="J16" i="32"/>
  <c r="F18" i="32"/>
  <c r="J17" i="32"/>
  <c r="J19" i="32"/>
  <c r="F23" i="36"/>
  <c r="J22" i="36"/>
  <c r="F27" i="36"/>
  <c r="J26" i="36"/>
  <c r="F55" i="36"/>
  <c r="J54" i="36"/>
  <c r="F26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F44" i="38"/>
  <c r="J43" i="38"/>
  <c r="F29" i="38"/>
  <c r="J28" i="38"/>
  <c r="F21" i="38"/>
  <c r="J20" i="38"/>
  <c r="F11" i="38"/>
  <c r="J10" i="38"/>
  <c r="F27" i="38"/>
  <c r="J26" i="38"/>
  <c r="F43" i="38"/>
  <c r="J42" i="38"/>
  <c r="F17" i="38"/>
  <c r="J16" i="38"/>
  <c r="F33" i="38"/>
  <c r="J32" i="38"/>
  <c r="F47" i="38"/>
  <c r="J46" i="38"/>
  <c r="F15" i="38"/>
  <c r="J14" i="38"/>
  <c r="F31" i="38"/>
  <c r="J30" i="38"/>
  <c r="J49" i="38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F17" i="37"/>
  <c r="J16" i="37"/>
  <c r="F28" i="37"/>
  <c r="J27" i="37"/>
  <c r="F44" i="37"/>
  <c r="J43" i="37"/>
  <c r="F22" i="37"/>
  <c r="J21" i="37"/>
  <c r="J37" i="37"/>
  <c r="J53" i="37"/>
  <c r="F25" i="37"/>
  <c r="J24" i="37"/>
  <c r="F41" i="37"/>
  <c r="J40" i="37"/>
  <c r="F24" i="37"/>
  <c r="F40" i="37"/>
  <c r="J39" i="37"/>
  <c r="F57" i="37"/>
  <c r="J55" i="37"/>
  <c r="F24" i="39"/>
  <c r="J23" i="39"/>
  <c r="F44" i="39"/>
  <c r="J43" i="39"/>
  <c r="F48" i="39"/>
  <c r="J47" i="39"/>
  <c r="F27" i="39"/>
  <c r="J26" i="39"/>
  <c r="F43" i="39"/>
  <c r="J42" i="39"/>
  <c r="J12" i="39"/>
  <c r="F30" i="39"/>
  <c r="F46" i="39"/>
  <c r="F11" i="39"/>
  <c r="J10" i="39"/>
  <c r="F25" i="39"/>
  <c r="J24" i="39"/>
  <c r="F41" i="39"/>
  <c r="J40" i="39"/>
  <c r="F54" i="39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F46" i="35"/>
  <c r="J45" i="35"/>
  <c r="F17" i="35"/>
  <c r="J16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F28" i="29"/>
  <c r="F17" i="29"/>
  <c r="J16" i="29"/>
  <c r="J44" i="29"/>
  <c r="F52" i="29"/>
  <c r="J51" i="29"/>
  <c r="F33" i="29"/>
  <c r="F13" i="29"/>
  <c r="J12" i="29"/>
  <c r="J54" i="29"/>
  <c r="F9" i="29"/>
  <c r="F7" i="29"/>
  <c r="F15" i="29"/>
  <c r="F57" i="29"/>
  <c r="F9" i="33"/>
  <c r="F7" i="33"/>
  <c r="F9" i="38"/>
  <c r="F7" i="38"/>
  <c r="F9" i="37"/>
  <c r="F7" i="37"/>
  <c r="F9" i="39"/>
  <c r="F7" i="39"/>
  <c r="F9" i="27"/>
  <c r="F7" i="27"/>
  <c r="F9" i="41"/>
  <c r="F7" i="41"/>
  <c r="F9" i="28"/>
  <c r="F7" i="28"/>
  <c r="F7" i="40"/>
  <c r="F9" i="40"/>
  <c r="F9" i="32"/>
  <c r="F7" i="32"/>
  <c r="F7" i="36"/>
  <c r="F9" i="36"/>
  <c r="F9" i="31"/>
  <c r="F7" i="31"/>
  <c r="F7" i="34"/>
  <c r="F9" i="34"/>
  <c r="F7" i="30"/>
  <c r="F9" i="30"/>
  <c r="F9" i="35"/>
  <c r="F7" i="35"/>
  <c r="D57" i="3" l="1"/>
  <c r="D10" i="3"/>
  <c r="L10" i="3" s="1"/>
  <c r="D11" i="3"/>
  <c r="L11" i="3" s="1"/>
  <c r="L12" i="3"/>
  <c r="D13" i="3"/>
  <c r="L13" i="3" s="1"/>
  <c r="D14" i="3"/>
  <c r="L14" i="3" s="1"/>
  <c r="D15" i="3"/>
  <c r="L15" i="3" s="1"/>
  <c r="D16" i="3"/>
  <c r="L16" i="3" s="1"/>
  <c r="D17" i="3"/>
  <c r="L17" i="3" s="1"/>
  <c r="D18" i="3"/>
  <c r="L18" i="3" s="1"/>
  <c r="D19" i="3"/>
  <c r="L19" i="3" s="1"/>
  <c r="D20" i="3"/>
  <c r="L20" i="3" s="1"/>
  <c r="D21" i="3"/>
  <c r="L21" i="3" s="1"/>
  <c r="D22" i="3"/>
  <c r="L22" i="3" s="1"/>
  <c r="D23" i="3"/>
  <c r="L23" i="3" s="1"/>
  <c r="D24" i="3"/>
  <c r="L24" i="3" s="1"/>
  <c r="L25" i="3"/>
  <c r="D26" i="3"/>
  <c r="L26" i="3" s="1"/>
  <c r="D27" i="3"/>
  <c r="L27" i="3" s="1"/>
  <c r="D28" i="3"/>
  <c r="L28" i="3" s="1"/>
  <c r="D29" i="3"/>
  <c r="L29" i="3" s="1"/>
  <c r="D30" i="3"/>
  <c r="L30" i="3" s="1"/>
  <c r="D31" i="3"/>
  <c r="L31" i="3" s="1"/>
  <c r="D32" i="3"/>
  <c r="L32" i="3" s="1"/>
  <c r="D33" i="3"/>
  <c r="L33" i="3" s="1"/>
  <c r="D34" i="3"/>
  <c r="L34" i="3" s="1"/>
  <c r="D35" i="3"/>
  <c r="L35" i="3" s="1"/>
  <c r="D36" i="3"/>
  <c r="L36" i="3" s="1"/>
  <c r="L37" i="3"/>
  <c r="D38" i="3"/>
  <c r="L38" i="3" s="1"/>
  <c r="D39" i="3"/>
  <c r="L39" i="3" s="1"/>
  <c r="D40" i="3"/>
  <c r="L40" i="3" s="1"/>
  <c r="D41" i="3"/>
  <c r="L41" i="3" s="1"/>
  <c r="D42" i="3"/>
  <c r="L42" i="3" s="1"/>
  <c r="D43" i="3"/>
  <c r="L43" i="3" s="1"/>
  <c r="D44" i="3"/>
  <c r="L44" i="3" s="1"/>
  <c r="D45" i="3"/>
  <c r="L45" i="3" s="1"/>
  <c r="D46" i="3"/>
  <c r="L46" i="3" s="1"/>
  <c r="D47" i="3"/>
  <c r="L47" i="3" s="1"/>
  <c r="D48" i="3"/>
  <c r="L48" i="3" s="1"/>
  <c r="L49" i="3"/>
  <c r="D50" i="3"/>
  <c r="L50" i="3" s="1"/>
  <c r="D51" i="3"/>
  <c r="L51" i="3" s="1"/>
  <c r="D52" i="3"/>
  <c r="L52" i="3" s="1"/>
  <c r="D53" i="3"/>
  <c r="L53" i="3" s="1"/>
  <c r="D54" i="3"/>
  <c r="L54" i="3" s="1"/>
  <c r="D55" i="3"/>
  <c r="L55" i="3" s="1"/>
  <c r="L9" i="3"/>
  <c r="D7" i="3"/>
  <c r="L7" i="3" s="1"/>
  <c r="G52" i="3" l="1"/>
  <c r="H52" i="3" s="1"/>
  <c r="G44" i="3"/>
  <c r="H44" i="3" s="1"/>
  <c r="G40" i="3"/>
  <c r="H40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55" i="3"/>
  <c r="H55" i="3" s="1"/>
  <c r="G51" i="3"/>
  <c r="H51" i="3" s="1"/>
  <c r="G47" i="3"/>
  <c r="H47" i="3" s="1"/>
  <c r="G43" i="3"/>
  <c r="H43" i="3" s="1"/>
  <c r="G39" i="3"/>
  <c r="H39" i="3" s="1"/>
  <c r="G35" i="3"/>
  <c r="H35" i="3" s="1"/>
  <c r="G31" i="3"/>
  <c r="H31" i="3" s="1"/>
  <c r="G27" i="3"/>
  <c r="H27" i="3" s="1"/>
  <c r="G23" i="3"/>
  <c r="H23" i="3" s="1"/>
  <c r="G19" i="3"/>
  <c r="H19" i="3" s="1"/>
  <c r="G15" i="3"/>
  <c r="H15" i="3" s="1"/>
  <c r="G11" i="3"/>
  <c r="H11" i="3" s="1"/>
  <c r="G7" i="3"/>
  <c r="H7" i="3" s="1"/>
  <c r="G9" i="3"/>
  <c r="H9" i="3" s="1"/>
  <c r="G48" i="3"/>
  <c r="H48" i="3" s="1"/>
  <c r="G54" i="3"/>
  <c r="H54" i="3" s="1"/>
  <c r="G50" i="3"/>
  <c r="H50" i="3" s="1"/>
  <c r="G46" i="3"/>
  <c r="H46" i="3" s="1"/>
  <c r="G42" i="3"/>
  <c r="H42" i="3" s="1"/>
  <c r="G57" i="3"/>
  <c r="H57" i="3" s="1"/>
  <c r="L57" i="3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53" i="3"/>
  <c r="H53" i="3" s="1"/>
  <c r="G45" i="3"/>
  <c r="H45" i="3" s="1"/>
  <c r="G41" i="3"/>
  <c r="H41" i="3" s="1"/>
  <c r="G33" i="3"/>
  <c r="H33" i="3" s="1"/>
  <c r="G29" i="3"/>
  <c r="H29" i="3" s="1"/>
  <c r="G21" i="3"/>
  <c r="H21" i="3" s="1"/>
  <c r="G17" i="3"/>
  <c r="H17" i="3" s="1"/>
  <c r="G13" i="3"/>
  <c r="H13" i="3" s="1"/>
  <c r="G10" i="3"/>
  <c r="H10" i="3" s="1"/>
  <c r="I17" i="3" l="1"/>
  <c r="J17" i="3" s="1"/>
  <c r="I39" i="3"/>
  <c r="J39" i="3" s="1"/>
  <c r="I53" i="3"/>
  <c r="I21" i="3"/>
  <c r="J21" i="3" s="1"/>
  <c r="I48" i="3"/>
  <c r="J48" i="3" s="1"/>
  <c r="I32" i="3"/>
  <c r="J32" i="3" s="1"/>
  <c r="I16" i="3"/>
  <c r="I35" i="3"/>
  <c r="J35" i="3" s="1"/>
  <c r="I54" i="3"/>
  <c r="J54" i="3" s="1"/>
  <c r="I38" i="3"/>
  <c r="J38" i="3" s="1"/>
  <c r="I22" i="3"/>
  <c r="J22" i="3" s="1"/>
  <c r="I41" i="3"/>
  <c r="J41" i="3" s="1"/>
  <c r="I57" i="3"/>
  <c r="J57" i="3" s="1"/>
  <c r="P17" i="3" s="1"/>
  <c r="I31" i="3"/>
  <c r="J31" i="3" s="1"/>
  <c r="I45" i="3"/>
  <c r="I13" i="3"/>
  <c r="J13" i="3" s="1"/>
  <c r="I44" i="3"/>
  <c r="J44" i="3" s="1"/>
  <c r="I28" i="3"/>
  <c r="J28" i="3" s="1"/>
  <c r="I27" i="3"/>
  <c r="J27" i="3" s="1"/>
  <c r="I50" i="3"/>
  <c r="J50" i="3" s="1"/>
  <c r="I34" i="3"/>
  <c r="J34" i="3" s="1"/>
  <c r="I18" i="3"/>
  <c r="J18" i="3" s="1"/>
  <c r="I33" i="3"/>
  <c r="J33" i="3" s="1"/>
  <c r="I55" i="3"/>
  <c r="I23" i="3"/>
  <c r="J23" i="3" s="1"/>
  <c r="I9" i="3"/>
  <c r="J9" i="3" s="1"/>
  <c r="I40" i="3"/>
  <c r="I24" i="3"/>
  <c r="J24" i="3" s="1"/>
  <c r="I51" i="3"/>
  <c r="I19" i="3"/>
  <c r="J19" i="3" s="1"/>
  <c r="I46" i="3"/>
  <c r="J46" i="3" s="1"/>
  <c r="I30" i="3"/>
  <c r="J30" i="3" s="1"/>
  <c r="I14" i="3"/>
  <c r="I7" i="3"/>
  <c r="J7" i="3" s="1"/>
  <c r="I47" i="3"/>
  <c r="I15" i="3"/>
  <c r="J15" i="3" s="1"/>
  <c r="I29" i="3"/>
  <c r="J29" i="3" s="1"/>
  <c r="I52" i="3"/>
  <c r="J52" i="3" s="1"/>
  <c r="I36" i="3"/>
  <c r="J36" i="3" s="1"/>
  <c r="I20" i="3"/>
  <c r="J20" i="3" s="1"/>
  <c r="I43" i="3"/>
  <c r="J43" i="3" s="1"/>
  <c r="I11" i="3"/>
  <c r="J11" i="3" s="1"/>
  <c r="I42" i="3"/>
  <c r="J42" i="3" s="1"/>
  <c r="I26" i="3"/>
  <c r="J26" i="3" s="1"/>
  <c r="I10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24" i="3" l="1"/>
  <c r="F9" i="3"/>
  <c r="F38" i="3"/>
  <c r="F36" i="3"/>
  <c r="F50" i="3"/>
  <c r="F57" i="3"/>
  <c r="F28" i="3"/>
  <c r="F11" i="3"/>
  <c r="F34" i="3"/>
  <c r="F35" i="3"/>
  <c r="F31" i="3"/>
  <c r="F20" i="3"/>
  <c r="F53" i="3"/>
  <c r="F14" i="3"/>
  <c r="F10" i="3"/>
  <c r="F30" i="3"/>
  <c r="F29" i="3"/>
  <c r="F40" i="3"/>
  <c r="F32" i="3"/>
  <c r="F33" i="3"/>
  <c r="F26" i="3"/>
  <c r="F39" i="3"/>
  <c r="F22" i="3"/>
  <c r="J40" i="3"/>
  <c r="J55" i="3"/>
  <c r="J10" i="3"/>
  <c r="F15" i="3"/>
  <c r="F51" i="3"/>
  <c r="F13" i="3"/>
  <c r="F46" i="3"/>
  <c r="F18" i="3"/>
  <c r="F54" i="3"/>
  <c r="F7" i="3"/>
  <c r="F48" i="3"/>
  <c r="F43" i="3"/>
  <c r="F27" i="3"/>
  <c r="J47" i="3"/>
  <c r="J14" i="3"/>
  <c r="J51" i="3"/>
  <c r="J45" i="3"/>
  <c r="J16" i="3"/>
  <c r="J53" i="3"/>
  <c r="F47" i="3"/>
  <c r="F52" i="3"/>
  <c r="F41" i="3"/>
  <c r="F19" i="3"/>
  <c r="F45" i="3"/>
  <c r="F42" i="3"/>
  <c r="F44" i="3"/>
  <c r="F16" i="3"/>
  <c r="F23" i="3"/>
  <c r="F55" i="3"/>
  <c r="F17" i="3"/>
  <c r="F21" i="3"/>
  <c r="E7" i="3"/>
  <c r="E9" i="3"/>
  <c r="E10" i="3"/>
  <c r="E11" i="3"/>
  <c r="E13" i="3"/>
  <c r="E14" i="3"/>
  <c r="E15" i="3"/>
  <c r="E16" i="3"/>
  <c r="E17" i="3"/>
  <c r="E18" i="3"/>
  <c r="E19" i="3"/>
  <c r="E20" i="3"/>
  <c r="E21" i="3"/>
  <c r="E22" i="3"/>
  <c r="E23" i="3"/>
  <c r="E24" i="3"/>
  <c r="E26" i="3"/>
  <c r="E27" i="3"/>
  <c r="E28" i="3"/>
  <c r="E29" i="3"/>
  <c r="E30" i="3"/>
  <c r="E31" i="3"/>
  <c r="E32" i="3"/>
  <c r="E33" i="3"/>
  <c r="E34" i="3"/>
  <c r="E35" i="3"/>
  <c r="E36" i="3"/>
  <c r="E38" i="3"/>
  <c r="E39" i="3"/>
  <c r="E40" i="3"/>
  <c r="E41" i="3"/>
  <c r="E42" i="3"/>
  <c r="E43" i="3"/>
  <c r="E44" i="3"/>
  <c r="E45" i="3"/>
  <c r="E46" i="3"/>
  <c r="E47" i="3"/>
  <c r="E48" i="3"/>
  <c r="E50" i="3"/>
  <c r="E51" i="3"/>
  <c r="E52" i="3"/>
  <c r="E53" i="3"/>
  <c r="E54" i="3"/>
  <c r="E55" i="3"/>
  <c r="E57" i="3"/>
  <c r="I52" i="32" l="1"/>
  <c r="I46" i="32"/>
  <c r="I42" i="32"/>
  <c r="I38" i="32"/>
  <c r="I34" i="32"/>
  <c r="I30" i="32"/>
  <c r="I22" i="32"/>
  <c r="I33" i="32"/>
  <c r="I29" i="32"/>
  <c r="I51" i="32"/>
  <c r="I39" i="32"/>
  <c r="I50" i="32"/>
  <c r="I44" i="32"/>
  <c r="I40" i="32"/>
  <c r="I36" i="32"/>
  <c r="I32" i="32"/>
  <c r="I28" i="32"/>
  <c r="I24" i="32"/>
  <c r="I57" i="32"/>
  <c r="J57" i="32" s="1"/>
  <c r="P17" i="32" s="1"/>
  <c r="I41" i="32"/>
  <c r="I27" i="32"/>
  <c r="I55" i="32"/>
  <c r="I49" i="32"/>
  <c r="I23" i="32"/>
  <c r="I45" i="32"/>
  <c r="I25" i="32"/>
  <c r="I53" i="32"/>
  <c r="I47" i="32"/>
  <c r="I21" i="32"/>
  <c r="F21" i="32" s="1"/>
  <c r="I35" i="32"/>
  <c r="F42" i="32" l="1"/>
  <c r="J41" i="32"/>
  <c r="F52" i="32"/>
  <c r="J51" i="32"/>
  <c r="F46" i="32"/>
  <c r="J45" i="32"/>
  <c r="J36" i="32"/>
  <c r="F27" i="32"/>
  <c r="J42" i="32"/>
  <c r="J25" i="32"/>
  <c r="F33" i="32"/>
  <c r="J32" i="32"/>
  <c r="F30" i="32"/>
  <c r="J29" i="32"/>
  <c r="J47" i="32"/>
  <c r="F24" i="32"/>
  <c r="J23" i="32"/>
  <c r="F28" i="32"/>
  <c r="J27" i="32"/>
  <c r="F25" i="32"/>
  <c r="J24" i="32"/>
  <c r="F41" i="32"/>
  <c r="J40" i="32"/>
  <c r="F51" i="32"/>
  <c r="J50" i="32"/>
  <c r="F34" i="32"/>
  <c r="J33" i="32"/>
  <c r="J30" i="32"/>
  <c r="F47" i="32"/>
  <c r="J46" i="32"/>
  <c r="F36" i="32"/>
  <c r="J35" i="32"/>
  <c r="F50" i="32"/>
  <c r="J49" i="32"/>
  <c r="F49" i="32"/>
  <c r="F23" i="32"/>
  <c r="J22" i="32"/>
  <c r="F39" i="32"/>
  <c r="J38" i="32"/>
  <c r="F22" i="32"/>
  <c r="J21" i="32"/>
  <c r="F57" i="32"/>
  <c r="J55" i="32"/>
  <c r="F55" i="32"/>
  <c r="J53" i="32"/>
  <c r="F38" i="32"/>
  <c r="F32" i="32"/>
  <c r="F29" i="32"/>
  <c r="J28" i="32"/>
  <c r="F45" i="32"/>
  <c r="J44" i="32"/>
  <c r="F40" i="32"/>
  <c r="J39" i="32"/>
  <c r="F44" i="32"/>
  <c r="F35" i="32"/>
  <c r="J34" i="32"/>
  <c r="F53" i="32"/>
  <c r="J52" i="32"/>
  <c r="D46" i="26" l="1"/>
  <c r="E46" i="26" s="1"/>
  <c r="D47" i="26"/>
  <c r="G47" i="26" s="1"/>
  <c r="H47" i="26" s="1"/>
  <c r="D51" i="26"/>
  <c r="E51" i="26" s="1"/>
  <c r="D13" i="26"/>
  <c r="D12" i="26"/>
  <c r="E12" i="26" s="1"/>
  <c r="D36" i="26"/>
  <c r="E36" i="26" s="1"/>
  <c r="E9" i="26"/>
  <c r="D53" i="26"/>
  <c r="D32" i="26"/>
  <c r="E32" i="26" s="1"/>
  <c r="D25" i="26"/>
  <c r="E25" i="26" s="1"/>
  <c r="D24" i="26"/>
  <c r="E24" i="26" s="1"/>
  <c r="D41" i="26"/>
  <c r="E41" i="26" s="1"/>
  <c r="D45" i="26"/>
  <c r="E45" i="26" s="1"/>
  <c r="D43" i="26"/>
  <c r="E43" i="26" s="1"/>
  <c r="D11" i="26"/>
  <c r="E11" i="26" s="1"/>
  <c r="D14" i="26"/>
  <c r="L14" i="26" s="1"/>
  <c r="D16" i="26"/>
  <c r="D29" i="26"/>
  <c r="L29" i="26" s="1"/>
  <c r="D35" i="26"/>
  <c r="E35" i="26" s="1"/>
  <c r="D42" i="26"/>
  <c r="D57" i="26"/>
  <c r="E57" i="26" s="1"/>
  <c r="D27" i="26"/>
  <c r="D30" i="26"/>
  <c r="E30" i="26" s="1"/>
  <c r="D52" i="26"/>
  <c r="G52" i="26" s="1"/>
  <c r="H52" i="26" s="1"/>
  <c r="D31" i="26"/>
  <c r="D10" i="26"/>
  <c r="D19" i="26"/>
  <c r="L19" i="26" s="1"/>
  <c r="E19" i="26"/>
  <c r="D49" i="26"/>
  <c r="G49" i="26" s="1"/>
  <c r="H49" i="26" s="1"/>
  <c r="D17" i="26"/>
  <c r="E17" i="26" s="1"/>
  <c r="D50" i="26"/>
  <c r="D34" i="26"/>
  <c r="E34" i="26" s="1"/>
  <c r="D18" i="26"/>
  <c r="D40" i="26"/>
  <c r="E40" i="26" s="1"/>
  <c r="D44" i="26"/>
  <c r="E44" i="26" s="1"/>
  <c r="D28" i="26"/>
  <c r="E28" i="26" s="1"/>
  <c r="D21" i="26"/>
  <c r="E21" i="26" s="1"/>
  <c r="D20" i="26"/>
  <c r="E20" i="26" s="1"/>
  <c r="D33" i="26"/>
  <c r="E33" i="26" s="1"/>
  <c r="D54" i="26"/>
  <c r="E54" i="26" s="1"/>
  <c r="D38" i="26"/>
  <c r="E38" i="26" s="1"/>
  <c r="D22" i="26"/>
  <c r="E22" i="26" s="1"/>
  <c r="D55" i="26"/>
  <c r="E55" i="26" s="1"/>
  <c r="D39" i="26"/>
  <c r="E39" i="26" s="1"/>
  <c r="D23" i="26"/>
  <c r="E23" i="26" s="1"/>
  <c r="E14" i="69"/>
  <c r="E13" i="69"/>
  <c r="E10" i="69"/>
  <c r="E11" i="69"/>
  <c r="E15" i="69"/>
  <c r="E9" i="69"/>
  <c r="E12" i="69"/>
  <c r="E16" i="69"/>
  <c r="L51" i="26"/>
  <c r="L46" i="26"/>
  <c r="L30" i="26"/>
  <c r="L17" i="26"/>
  <c r="L9" i="26"/>
  <c r="L48" i="26"/>
  <c r="L44" i="26"/>
  <c r="D7" i="26"/>
  <c r="E7" i="26" s="1"/>
  <c r="L12" i="26" l="1"/>
  <c r="L28" i="26"/>
  <c r="L15" i="26"/>
  <c r="L35" i="26"/>
  <c r="G16" i="26"/>
  <c r="H16" i="26" s="1"/>
  <c r="L45" i="26"/>
  <c r="L57" i="26"/>
  <c r="L26" i="26"/>
  <c r="G27" i="26"/>
  <c r="H27" i="26" s="1"/>
  <c r="L20" i="26"/>
  <c r="L22" i="26"/>
  <c r="G18" i="26"/>
  <c r="H18" i="26" s="1"/>
  <c r="G31" i="26"/>
  <c r="H31" i="26" s="1"/>
  <c r="G57" i="26"/>
  <c r="H57" i="26" s="1"/>
  <c r="G23" i="26"/>
  <c r="H23" i="26" s="1"/>
  <c r="G35" i="26"/>
  <c r="H35" i="26" s="1"/>
  <c r="L36" i="26"/>
  <c r="L34" i="26"/>
  <c r="G50" i="26"/>
  <c r="H50" i="26" s="1"/>
  <c r="L25" i="26"/>
  <c r="L43" i="26"/>
  <c r="G13" i="26"/>
  <c r="H13" i="26" s="1"/>
  <c r="L16" i="26"/>
  <c r="L40" i="26"/>
  <c r="L13" i="26"/>
  <c r="L41" i="26"/>
  <c r="L54" i="26"/>
  <c r="L27" i="26"/>
  <c r="L47" i="26"/>
  <c r="G14" i="26"/>
  <c r="H14" i="26" s="1"/>
  <c r="L11" i="26"/>
  <c r="L31" i="26"/>
  <c r="G20" i="26"/>
  <c r="H20" i="26" s="1"/>
  <c r="G17" i="26"/>
  <c r="H17" i="26" s="1"/>
  <c r="G10" i="26"/>
  <c r="H10" i="26" s="1"/>
  <c r="G29" i="26"/>
  <c r="H29" i="26" s="1"/>
  <c r="G55" i="26"/>
  <c r="H55" i="26" s="1"/>
  <c r="E31" i="26"/>
  <c r="G42" i="26"/>
  <c r="H42" i="26" s="1"/>
  <c r="E16" i="26"/>
  <c r="G41" i="26"/>
  <c r="H41" i="26" s="1"/>
  <c r="G9" i="26"/>
  <c r="H9" i="26" s="1"/>
  <c r="E13" i="26"/>
  <c r="E47" i="26"/>
  <c r="G53" i="26"/>
  <c r="H53" i="26" s="1"/>
  <c r="G12" i="26"/>
  <c r="H12" i="26" s="1"/>
  <c r="G51" i="26"/>
  <c r="H51" i="26" s="1"/>
  <c r="L32" i="26"/>
  <c r="L33" i="26"/>
  <c r="L49" i="26"/>
  <c r="L18" i="26"/>
  <c r="L50" i="26"/>
  <c r="G22" i="26"/>
  <c r="H22" i="26" s="1"/>
  <c r="L37" i="26"/>
  <c r="G40" i="26"/>
  <c r="H40" i="26" s="1"/>
  <c r="G34" i="26"/>
  <c r="H34" i="26" s="1"/>
  <c r="G19" i="26"/>
  <c r="H19" i="26" s="1"/>
  <c r="G30" i="26"/>
  <c r="H30" i="26" s="1"/>
  <c r="G36" i="26"/>
  <c r="H36" i="26" s="1"/>
  <c r="G54" i="26"/>
  <c r="H54" i="26" s="1"/>
  <c r="G28" i="26"/>
  <c r="H28" i="26" s="1"/>
  <c r="G43" i="26"/>
  <c r="H43" i="26" s="1"/>
  <c r="G25" i="26"/>
  <c r="H25" i="26" s="1"/>
  <c r="L52" i="26"/>
  <c r="L21" i="26"/>
  <c r="L53" i="26"/>
  <c r="L38" i="26"/>
  <c r="G7" i="26"/>
  <c r="L24" i="26"/>
  <c r="L10" i="26"/>
  <c r="L42" i="26"/>
  <c r="L7" i="26"/>
  <c r="L23" i="26"/>
  <c r="L39" i="26"/>
  <c r="L55" i="26"/>
  <c r="G39" i="26"/>
  <c r="H39" i="26" s="1"/>
  <c r="G38" i="26"/>
  <c r="H38" i="26" s="1"/>
  <c r="G33" i="26"/>
  <c r="H33" i="26" s="1"/>
  <c r="G21" i="26"/>
  <c r="H21" i="26" s="1"/>
  <c r="G44" i="26"/>
  <c r="H44" i="26" s="1"/>
  <c r="E18" i="26"/>
  <c r="E50" i="26"/>
  <c r="E49" i="26"/>
  <c r="E10" i="26"/>
  <c r="E52" i="26"/>
  <c r="E27" i="26"/>
  <c r="E42" i="26"/>
  <c r="E29" i="26"/>
  <c r="E14" i="26"/>
  <c r="G11" i="26"/>
  <c r="H11" i="26" s="1"/>
  <c r="G45" i="26"/>
  <c r="H45" i="26" s="1"/>
  <c r="G24" i="26"/>
  <c r="H24" i="26" s="1"/>
  <c r="G32" i="26"/>
  <c r="H32" i="26" s="1"/>
  <c r="E53" i="26"/>
  <c r="G46" i="26"/>
  <c r="H46" i="26" s="1"/>
  <c r="I50" i="26" l="1"/>
  <c r="I49" i="26"/>
  <c r="I34" i="26"/>
  <c r="I53" i="26"/>
  <c r="I16" i="26"/>
  <c r="I42" i="26"/>
  <c r="I10" i="26"/>
  <c r="I22" i="26"/>
  <c r="I30" i="26"/>
  <c r="I41" i="26"/>
  <c r="I28" i="26"/>
  <c r="I24" i="26"/>
  <c r="I21" i="26"/>
  <c r="I47" i="26"/>
  <c r="I32" i="26"/>
  <c r="I27" i="26"/>
  <c r="I25" i="26"/>
  <c r="I36" i="26"/>
  <c r="I54" i="26"/>
  <c r="I40" i="26"/>
  <c r="I20" i="26"/>
  <c r="I11" i="26"/>
  <c r="I19" i="26"/>
  <c r="I55" i="26"/>
  <c r="I31" i="26"/>
  <c r="I35" i="26"/>
  <c r="I33" i="26"/>
  <c r="I12" i="26"/>
  <c r="I18" i="26"/>
  <c r="I14" i="26"/>
  <c r="I39" i="26"/>
  <c r="I51" i="26"/>
  <c r="I57" i="26"/>
  <c r="J57" i="26" s="1"/>
  <c r="P17" i="26" s="1"/>
  <c r="I38" i="26"/>
  <c r="I45" i="26"/>
  <c r="I52" i="26"/>
  <c r="I13" i="26"/>
  <c r="I23" i="26"/>
  <c r="I17" i="26"/>
  <c r="I46" i="26"/>
  <c r="I7" i="26"/>
  <c r="I43" i="26"/>
  <c r="I9" i="26"/>
  <c r="I44" i="26"/>
  <c r="H7" i="26"/>
  <c r="I29" i="26"/>
  <c r="F9" i="26" l="1"/>
  <c r="J7" i="26"/>
  <c r="F7" i="26"/>
  <c r="J18" i="26"/>
  <c r="F19" i="26"/>
  <c r="F32" i="26"/>
  <c r="J31" i="26"/>
  <c r="J25" i="26"/>
  <c r="F11" i="26"/>
  <c r="J10" i="26"/>
  <c r="F47" i="26"/>
  <c r="J46" i="26"/>
  <c r="J51" i="26"/>
  <c r="F52" i="26"/>
  <c r="J12" i="26"/>
  <c r="F13" i="26"/>
  <c r="F57" i="26"/>
  <c r="J55" i="26"/>
  <c r="J40" i="26"/>
  <c r="F41" i="26"/>
  <c r="J27" i="26"/>
  <c r="F28" i="26"/>
  <c r="F25" i="26"/>
  <c r="J24" i="26"/>
  <c r="F38" i="26"/>
  <c r="F43" i="26"/>
  <c r="J42" i="26"/>
  <c r="J34" i="26"/>
  <c r="F35" i="26"/>
  <c r="J20" i="26"/>
  <c r="F21" i="26"/>
  <c r="F22" i="26"/>
  <c r="J21" i="26"/>
  <c r="F31" i="26"/>
  <c r="J30" i="26"/>
  <c r="F45" i="26"/>
  <c r="J44" i="26"/>
  <c r="F10" i="26"/>
  <c r="J9" i="26"/>
  <c r="F46" i="26"/>
  <c r="J45" i="26"/>
  <c r="J33" i="26"/>
  <c r="F34" i="26"/>
  <c r="J54" i="26"/>
  <c r="F55" i="26"/>
  <c r="J32" i="26"/>
  <c r="F33" i="26"/>
  <c r="F29" i="26"/>
  <c r="J28" i="26"/>
  <c r="F23" i="26"/>
  <c r="J22" i="26"/>
  <c r="F17" i="26"/>
  <c r="J16" i="26"/>
  <c r="J49" i="26"/>
  <c r="F50" i="26"/>
  <c r="F14" i="26"/>
  <c r="J13" i="26"/>
  <c r="F16" i="26"/>
  <c r="F53" i="26"/>
  <c r="J52" i="26"/>
  <c r="F27" i="26"/>
  <c r="F18" i="26"/>
  <c r="J17" i="26"/>
  <c r="J39" i="26"/>
  <c r="F40" i="26"/>
  <c r="J19" i="26"/>
  <c r="F20" i="26"/>
  <c r="J29" i="26"/>
  <c r="F30" i="26"/>
  <c r="F44" i="26"/>
  <c r="J43" i="26"/>
  <c r="F24" i="26"/>
  <c r="J23" i="26"/>
  <c r="J38" i="26"/>
  <c r="F39" i="26"/>
  <c r="J14" i="26"/>
  <c r="J35" i="26"/>
  <c r="F36" i="26"/>
  <c r="J11" i="26"/>
  <c r="F12" i="26"/>
  <c r="J36" i="26"/>
  <c r="J47" i="26"/>
  <c r="J41" i="26"/>
  <c r="F42" i="26"/>
  <c r="F49" i="26"/>
  <c r="F54" i="26"/>
  <c r="J53" i="26"/>
  <c r="F51" i="26"/>
  <c r="J50" i="26"/>
</calcChain>
</file>

<file path=xl/sharedStrings.xml><?xml version="1.0" encoding="utf-8"?>
<sst xmlns="http://schemas.openxmlformats.org/spreadsheetml/2006/main" count="700" uniqueCount="175">
  <si>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</si>
  <si>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</si>
  <si>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</si>
  <si>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</si>
  <si>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</si>
  <si>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</si>
  <si>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</si>
  <si>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</si>
  <si>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</si>
  <si>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</si>
  <si>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</si>
  <si>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</si>
  <si>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</si>
  <si>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</si>
  <si>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</si>
  <si>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</si>
  <si>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</si>
  <si>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</si>
  <si>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물리Ⅰ</t>
    <phoneticPr fontId="1" type="noConversion"/>
  </si>
  <si>
    <t>생명과학Ⅰ</t>
    <phoneticPr fontId="1" type="noConversion"/>
  </si>
  <si>
    <t>지구과학Ⅰ</t>
    <phoneticPr fontId="1" type="noConversion"/>
  </si>
  <si>
    <t>물리Ⅱ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</si>
  <si>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</si>
  <si>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</si>
  <si>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</si>
  <si>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</si>
  <si>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</si>
  <si>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</si>
  <si>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</si>
  <si>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</si>
  <si>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</si>
  <si>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</si>
  <si>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</si>
  <si>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</si>
  <si>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</si>
  <si>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</si>
  <si>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</si>
  <si>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</si>
  <si>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</si>
  <si>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</si>
  <si>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</si>
  <si>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</si>
  <si>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</si>
  <si>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</si>
  <si>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</si>
  <si>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</si>
  <si>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</si>
  <si>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</si>
  <si>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</si>
  <si>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</si>
  <si>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</si>
  <si>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</si>
  <si>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</si>
  <si>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</si>
  <si>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</si>
  <si>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</si>
  <si>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물2</t>
    <phoneticPr fontId="1" type="noConversion"/>
  </si>
  <si>
    <t>화2</t>
    <phoneticPr fontId="1" type="noConversion"/>
  </si>
  <si>
    <t>생2</t>
    <phoneticPr fontId="1" type="noConversion"/>
  </si>
  <si>
    <t>지2</t>
    <phoneticPr fontId="1" type="noConversion"/>
  </si>
  <si>
    <t>이 아래로 붙여넣기</t>
    <phoneticPr fontId="1" type="noConversion"/>
  </si>
  <si>
    <t>.</t>
    <phoneticPr fontId="1" type="noConversion"/>
  </si>
  <si>
    <t>정치와 법</t>
    <phoneticPr fontId="1" type="noConversion"/>
  </si>
  <si>
    <t>물리학Ⅰ</t>
    <phoneticPr fontId="1" type="noConversion"/>
  </si>
  <si>
    <t>물리학Ⅱ</t>
    <phoneticPr fontId="1" type="noConversion"/>
  </si>
  <si>
    <t>정</t>
    <phoneticPr fontId="1" type="noConversion"/>
  </si>
  <si>
    <t>영</t>
    <phoneticPr fontId="1" type="noConversion"/>
  </si>
  <si>
    <t>한</t>
    <phoneticPr fontId="1" type="noConversion"/>
  </si>
  <si>
    <t>오차 경고</t>
    <phoneticPr fontId="1" type="noConversion"/>
  </si>
  <si>
    <t>B2:K58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</si>
  <si>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</si>
  <si>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</si>
  <si>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</si>
  <si>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</si>
  <si>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</si>
  <si>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영어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</si>
  <si>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</si>
  <si>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한국사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</si>
  <si>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</si>
  <si>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등급컷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</si>
  <si>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</si>
  <si>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</si>
  <si>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</si>
  <si>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</si>
  <si>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</si>
  <si>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</si>
  <si>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</si>
  <si>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</si>
  <si>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</si>
  <si>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</si>
  <si>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</si>
  <si>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</si>
  <si>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</si>
  <si>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</si>
  <si>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</si>
  <si>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</si>
  <si>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</si>
  <si>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</si>
  <si>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</si>
  <si>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</si>
  <si>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</si>
  <si>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</si>
  <si>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</si>
  <si>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</si>
  <si>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</si>
  <si>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</si>
  <si>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</si>
  <si>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</si>
  <si>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</si>
  <si>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</si>
  <si>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</si>
  <si>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</si>
  <si>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</si>
  <si>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</si>
  <si>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</si>
  <si>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</si>
  <si>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</si>
  <si>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</si>
  <si>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</si>
  <si>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</si>
  <si>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</si>
  <si>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</si>
  <si>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</si>
  <si>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</si>
  <si>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</si>
  <si>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</si>
  <si>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</si>
  <si>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</si>
  <si>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</si>
  <si>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</si>
  <si>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</si>
  <si>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</si>
  <si>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</si>
  <si>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</si>
  <si>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</si>
  <si>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t xml:space="preserve"> </t>
    </r>
    <r>
      <rPr>
        <sz val="12"/>
        <color theme="1"/>
        <rFont val="맑은 고딕"/>
        <family val="2"/>
        <charset val="129"/>
      </rPr>
      <t>탐구 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</si>
  <si>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t>2025학년도 5월 고3 전국연합학력평가</t>
  </si>
  <si>
    <t>56.89</t>
  </si>
  <si>
    <t>10.89</t>
  </si>
  <si>
    <t>24.15</t>
  </si>
  <si>
    <t>22.89</t>
  </si>
  <si>
    <t>12.83</t>
  </si>
  <si>
    <t>17.83</t>
  </si>
  <si>
    <t>10.35</t>
  </si>
  <si>
    <t>12.80</t>
  </si>
  <si>
    <t>24.17</t>
  </si>
  <si>
    <t>12.15</t>
  </si>
  <si>
    <t>26.83</t>
  </si>
  <si>
    <t>11.52</t>
  </si>
  <si>
    <t>20.71</t>
  </si>
  <si>
    <t>26.22</t>
  </si>
  <si>
    <t>23.03</t>
  </si>
  <si>
    <t>25.95</t>
  </si>
  <si>
    <t>11.93</t>
  </si>
  <si>
    <t>21.61</t>
  </si>
  <si>
    <t>11.43</t>
  </si>
  <si>
    <t>10.97</t>
  </si>
  <si>
    <t>25.41</t>
  </si>
  <si>
    <t>11.87</t>
  </si>
  <si>
    <t>13.38</t>
  </si>
  <si>
    <t>20.83</t>
  </si>
  <si>
    <t>17.20</t>
  </si>
  <si>
    <t>11.28</t>
  </si>
  <si>
    <t>11.41</t>
  </si>
  <si>
    <t>11.95</t>
  </si>
  <si>
    <t>14.18</t>
  </si>
  <si>
    <t>23.64</t>
  </si>
  <si>
    <t>18.22</t>
  </si>
  <si>
    <t xml:space="preserve"> 9.71</t>
  </si>
  <si>
    <t>23.38</t>
  </si>
  <si>
    <t>10.72</t>
  </si>
  <si>
    <t xml:space="preserve"> 9.72</t>
  </si>
  <si>
    <t>14.16</t>
  </si>
  <si>
    <t>27.98</t>
  </si>
  <si>
    <t>10.80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</si>
</sst>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_ "/>
    <numFmt numFmtId="177" formatCode="0.00_);[Red]\(0.00\)"/>
    <numFmt numFmtId="178" formatCode="0.00_ "/>
    <numFmt numFmtId="179" formatCode="#,##0_);[Red]\(#,##0\)"/>
  </numFmts>
  <fonts count="3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Microsoft Sans Serif"/>
      <family val="2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1"/>
      <color rgb="FF00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3"/>
      <name val="Microsoft Sans Serif"/>
      <family val="2"/>
    </font>
    <font>
      <b/>
      <sz val="13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돋움"/>
      <family val="3"/>
      <charset val="129"/>
    </font>
    <font>
      <sz val="10"/>
      <color indexed="8"/>
      <name val="Arial"/>
      <family val="2"/>
    </font>
    <font>
      <sz val="8"/>
      <color indexed="8"/>
      <name val="돋움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</fills>
  <borders count="69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rgb="FF969696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rgb="FF969696"/>
      </right>
      <top/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6">
    <xf numFmtId="0" fontId="0" fillId="0" borderId="0">
      <alignment vertical="center"/>
    </xf>
    <xf numFmtId="0" fontId="2" fillId="0" borderId="0"/>
    <xf numFmtId="0" fontId="4" fillId="0" borderId="26" applyNumberFormat="0" applyFill="0" applyAlignment="0" applyProtection="0">
      <alignment vertical="center"/>
    </xf>
    <xf numFmtId="0" fontId="5" fillId="0" borderId="27" applyNumberFormat="0" applyFill="0" applyAlignment="0" applyProtection="0">
      <alignment vertical="center"/>
    </xf>
    <xf numFmtId="0" fontId="6" fillId="0" borderId="28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9" applyNumberFormat="0" applyAlignment="0" applyProtection="0">
      <alignment vertical="center"/>
    </xf>
    <xf numFmtId="0" fontId="10" fillId="10" borderId="30" applyNumberFormat="0" applyAlignment="0" applyProtection="0">
      <alignment vertical="center"/>
    </xf>
    <xf numFmtId="0" fontId="11" fillId="10" borderId="29" applyNumberFormat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3" fillId="11" borderId="32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4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3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0" fontId="18" fillId="0" borderId="0"/>
    <xf numFmtId="9" fontId="3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7" fillId="0" borderId="0"/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4" fillId="4" borderId="15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57" xfId="0" applyFill="1" applyBorder="1">
      <alignment vertical="center"/>
    </xf>
    <xf numFmtId="0" fontId="0" fillId="5" borderId="59" xfId="0" applyFill="1" applyBorder="1">
      <alignment vertical="center"/>
    </xf>
    <xf numFmtId="0" fontId="0" fillId="5" borderId="60" xfId="0" applyFill="1" applyBorder="1">
      <alignment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>
      <alignment vertical="center"/>
    </xf>
    <xf numFmtId="0" fontId="0" fillId="5" borderId="62" xfId="0" applyFill="1" applyBorder="1">
      <alignment vertical="center"/>
    </xf>
    <xf numFmtId="0" fontId="0" fillId="5" borderId="63" xfId="0" applyFill="1" applyBorder="1">
      <alignment vertical="center"/>
    </xf>
    <xf numFmtId="0" fontId="0" fillId="5" borderId="64" xfId="0" applyFill="1" applyBorder="1">
      <alignment vertical="center"/>
    </xf>
    <xf numFmtId="0" fontId="0" fillId="5" borderId="58" xfId="0" applyFill="1" applyBorder="1">
      <alignment vertical="center"/>
    </xf>
    <xf numFmtId="0" fontId="23" fillId="5" borderId="58" xfId="0" applyFont="1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5" borderId="61" xfId="0" applyFill="1" applyBorder="1">
      <alignment vertical="center"/>
    </xf>
    <xf numFmtId="0" fontId="24" fillId="5" borderId="0" xfId="0" applyFont="1" applyFill="1">
      <alignment vertical="center"/>
    </xf>
    <xf numFmtId="0" fontId="23" fillId="5" borderId="63" xfId="0" applyFont="1" applyFill="1" applyBorder="1" applyAlignment="1">
      <alignment horizontal="center" vertical="center"/>
    </xf>
    <xf numFmtId="0" fontId="0" fillId="5" borderId="63" xfId="0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0" fontId="29" fillId="4" borderId="19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12" xfId="0" applyFont="1" applyFill="1" applyBorder="1" applyAlignment="1">
      <alignment horizontal="center" vertical="center"/>
    </xf>
    <xf numFmtId="0" fontId="31" fillId="37" borderId="21" xfId="0" applyFont="1" applyFill="1" applyBorder="1" applyAlignment="1">
      <alignment horizontal="center" vertical="center"/>
    </xf>
    <xf numFmtId="0" fontId="31" fillId="37" borderId="22" xfId="0" applyFont="1" applyFill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10" fontId="29" fillId="0" borderId="10" xfId="51" applyNumberFormat="1" applyFont="1" applyBorder="1" applyAlignment="1">
      <alignment horizontal="center" vertical="center"/>
    </xf>
    <xf numFmtId="3" fontId="29" fillId="0" borderId="10" xfId="0" applyNumberFormat="1" applyFont="1" applyBorder="1" applyAlignment="1">
      <alignment horizontal="center" vertical="center"/>
    </xf>
    <xf numFmtId="10" fontId="29" fillId="0" borderId="45" xfId="51" applyNumberFormat="1" applyFont="1" applyBorder="1" applyAlignment="1">
      <alignment horizontal="center" vertical="center"/>
    </xf>
    <xf numFmtId="0" fontId="31" fillId="37" borderId="9" xfId="0" applyFont="1" applyFill="1" applyBorder="1" applyAlignment="1">
      <alignment horizontal="center" vertical="center"/>
    </xf>
    <xf numFmtId="0" fontId="31" fillId="37" borderId="44" xfId="0" applyFont="1" applyFill="1" applyBorder="1" applyAlignment="1">
      <alignment horizontal="center" vertical="center"/>
    </xf>
    <xf numFmtId="3" fontId="29" fillId="0" borderId="49" xfId="0" applyNumberFormat="1" applyFont="1" applyBorder="1" applyAlignment="1">
      <alignment horizontal="center" vertical="center"/>
    </xf>
    <xf numFmtId="10" fontId="29" fillId="0" borderId="8" xfId="51" applyNumberFormat="1" applyFont="1" applyBorder="1" applyAlignment="1">
      <alignment horizontal="center" vertical="center"/>
    </xf>
    <xf numFmtId="3" fontId="29" fillId="0" borderId="6" xfId="0" applyNumberFormat="1" applyFont="1" applyBorder="1" applyAlignment="1">
      <alignment horizontal="center" vertical="center"/>
    </xf>
    <xf numFmtId="10" fontId="29" fillId="0" borderId="25" xfId="51" applyNumberFormat="1" applyFont="1" applyBorder="1" applyAlignment="1">
      <alignment horizontal="center" vertical="center"/>
    </xf>
    <xf numFmtId="0" fontId="31" fillId="37" borderId="4" xfId="0" applyFont="1" applyFill="1" applyBorder="1" applyAlignment="1">
      <alignment horizontal="center" vertical="center"/>
    </xf>
    <xf numFmtId="0" fontId="31" fillId="37" borderId="1" xfId="0" applyFont="1" applyFill="1" applyBorder="1" applyAlignment="1">
      <alignment horizontal="center" vertical="center"/>
    </xf>
    <xf numFmtId="3" fontId="29" fillId="0" borderId="50" xfId="0" applyNumberFormat="1" applyFont="1" applyBorder="1" applyAlignment="1">
      <alignment horizontal="center" vertical="center"/>
    </xf>
    <xf numFmtId="10" fontId="29" fillId="0" borderId="24" xfId="51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10" fontId="29" fillId="0" borderId="46" xfId="51" applyNumberFormat="1" applyFont="1" applyBorder="1" applyAlignment="1">
      <alignment horizontal="center" vertical="center"/>
    </xf>
    <xf numFmtId="0" fontId="32" fillId="37" borderId="21" xfId="0" applyFont="1" applyFill="1" applyBorder="1" applyAlignment="1">
      <alignment horizontal="center" vertical="center"/>
    </xf>
    <xf numFmtId="0" fontId="32" fillId="37" borderId="22" xfId="0" applyFont="1" applyFill="1" applyBorder="1" applyAlignment="1">
      <alignment horizontal="center" vertical="center"/>
    </xf>
    <xf numFmtId="0" fontId="32" fillId="37" borderId="9" xfId="0" applyFont="1" applyFill="1" applyBorder="1" applyAlignment="1">
      <alignment horizontal="center" vertical="center"/>
    </xf>
    <xf numFmtId="0" fontId="32" fillId="37" borderId="44" xfId="0" applyFon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0" fontId="32" fillId="37" borderId="1" xfId="0" applyFont="1" applyFill="1" applyBorder="1" applyAlignment="1">
      <alignment horizontal="center" vertical="center"/>
    </xf>
    <xf numFmtId="0" fontId="29" fillId="4" borderId="13" xfId="0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0" fontId="33" fillId="0" borderId="7" xfId="51" applyNumberFormat="1" applyFont="1" applyBorder="1" applyAlignment="1">
      <alignment horizontal="center" vertical="center"/>
    </xf>
    <xf numFmtId="176" fontId="29" fillId="0" borderId="10" xfId="0" applyNumberFormat="1" applyFont="1" applyBorder="1" applyAlignment="1">
      <alignment horizontal="center" vertical="center"/>
    </xf>
    <xf numFmtId="10" fontId="33" fillId="0" borderId="5" xfId="51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6" fontId="29" fillId="0" borderId="6" xfId="0" applyNumberFormat="1" applyFont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177" fontId="29" fillId="2" borderId="2" xfId="0" applyNumberFormat="1" applyFont="1" applyFill="1" applyBorder="1" applyAlignment="1">
      <alignment horizontal="center" vertical="center"/>
    </xf>
    <xf numFmtId="176" fontId="33" fillId="2" borderId="24" xfId="1" applyNumberFormat="1" applyFont="1" applyFill="1" applyBorder="1" applyAlignment="1">
      <alignment horizontal="center" vertical="center"/>
    </xf>
    <xf numFmtId="10" fontId="33" fillId="2" borderId="24" xfId="51" applyNumberFormat="1" applyFont="1" applyFill="1" applyBorder="1" applyAlignment="1">
      <alignment horizontal="center" vertical="center"/>
    </xf>
    <xf numFmtId="176" fontId="29" fillId="2" borderId="2" xfId="0" applyNumberFormat="1" applyFont="1" applyFill="1" applyBorder="1" applyAlignment="1">
      <alignment horizontal="center" vertical="center"/>
    </xf>
    <xf numFmtId="10" fontId="33" fillId="2" borderId="16" xfId="51" applyNumberFormat="1" applyFont="1" applyFill="1" applyBorder="1" applyAlignment="1">
      <alignment horizontal="center" vertical="center"/>
    </xf>
    <xf numFmtId="0" fontId="31" fillId="37" borderId="52" xfId="0" applyFont="1" applyFill="1" applyBorder="1" applyAlignment="1">
      <alignment horizontal="center" vertical="center"/>
    </xf>
    <xf numFmtId="0" fontId="31" fillId="37" borderId="15" xfId="0" applyFont="1" applyFill="1" applyBorder="1" applyAlignment="1">
      <alignment horizontal="center" vertical="center"/>
    </xf>
    <xf numFmtId="0" fontId="31" fillId="37" borderId="14" xfId="0" applyFont="1" applyFill="1" applyBorder="1" applyAlignment="1">
      <alignment horizontal="center" vertical="center"/>
    </xf>
    <xf numFmtId="0" fontId="31" fillId="37" borderId="12" xfId="0" applyFont="1" applyFill="1" applyBorder="1" applyAlignment="1">
      <alignment horizontal="center" vertical="center"/>
    </xf>
    <xf numFmtId="0" fontId="31" fillId="37" borderId="53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31" fillId="37" borderId="54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29" fillId="5" borderId="55" xfId="0" applyFont="1" applyFill="1" applyBorder="1" applyAlignment="1">
      <alignment horizontal="center" vertical="center"/>
    </xf>
    <xf numFmtId="0" fontId="31" fillId="37" borderId="56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>
      <alignment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29" fillId="3" borderId="42" xfId="0" applyFont="1" applyFill="1" applyBorder="1" applyAlignment="1">
      <alignment horizontal="center" vertical="center"/>
    </xf>
    <xf numFmtId="0" fontId="29" fillId="3" borderId="43" xfId="0" applyFont="1" applyFill="1" applyBorder="1" applyAlignment="1">
      <alignment horizontal="center" vertical="center"/>
    </xf>
    <xf numFmtId="0" fontId="29" fillId="3" borderId="44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5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51" xfId="0" applyFont="1" applyFill="1" applyBorder="1" applyAlignment="1">
      <alignment horizontal="center" vertical="center"/>
    </xf>
    <xf numFmtId="176" fontId="36" fillId="0" borderId="6" xfId="52" applyNumberFormat="1" applyFont="1" applyBorder="1" applyAlignment="1">
      <alignment horizontal="center" vertical="center"/>
    </xf>
    <xf numFmtId="178" fontId="36" fillId="0" borderId="6" xfId="52" applyNumberFormat="1" applyFont="1" applyBorder="1" applyAlignment="1">
      <alignment horizontal="center" vertical="center"/>
    </xf>
    <xf numFmtId="0" fontId="36" fillId="0" borderId="6" xfId="53" applyNumberFormat="1" applyFont="1" applyBorder="1" applyAlignment="1">
      <alignment horizontal="center" vertical="center"/>
    </xf>
    <xf numFmtId="179" fontId="36" fillId="0" borderId="6" xfId="53" applyNumberFormat="1" applyFont="1" applyBorder="1" applyAlignment="1">
      <alignment horizontal="center" vertical="center"/>
    </xf>
    <xf numFmtId="0" fontId="36" fillId="0" borderId="65" xfId="54" applyNumberFormat="1" applyFont="1" applyBorder="1" applyAlignment="1">
      <alignment horizontal="center" vertical="center"/>
    </xf>
    <xf numFmtId="179" fontId="36" fillId="0" borderId="65" xfId="54" applyNumberFormat="1" applyFont="1" applyBorder="1" applyAlignment="1">
      <alignment horizontal="center" vertical="center"/>
    </xf>
    <xf numFmtId="0" fontId="36" fillId="0" borderId="65" xfId="55" applyNumberFormat="1" applyFont="1" applyBorder="1" applyAlignment="1">
      <alignment horizontal="center" vertical="center"/>
    </xf>
    <xf numFmtId="179" fontId="36" fillId="0" borderId="65" xfId="55" applyNumberFormat="1" applyFont="1" applyBorder="1" applyAlignment="1">
      <alignment horizontal="center" vertical="center"/>
    </xf>
    <xf numFmtId="0" fontId="36" fillId="0" borderId="66" xfId="54" applyNumberFormat="1" applyFont="1" applyBorder="1" applyAlignment="1">
      <alignment horizontal="center" vertical="center"/>
    </xf>
    <xf numFmtId="179" fontId="36" fillId="0" borderId="66" xfId="54" applyNumberFormat="1" applyFont="1" applyBorder="1" applyAlignment="1">
      <alignment horizontal="center" vertical="center"/>
    </xf>
    <xf numFmtId="179" fontId="36" fillId="0" borderId="65" xfId="54" applyNumberFormat="1" applyFont="1" applyBorder="1" applyAlignment="1">
      <alignment horizontal="center" vertical="center" wrapText="1"/>
    </xf>
    <xf numFmtId="179" fontId="38" fillId="0" borderId="65" xfId="54" applyNumberFormat="1" applyFont="1" applyBorder="1" applyAlignment="1">
      <alignment horizontal="center" vertical="center" wrapText="1"/>
    </xf>
    <xf numFmtId="0" fontId="38" fillId="0" borderId="65" xfId="55" applyNumberFormat="1" applyFont="1" applyBorder="1" applyAlignment="1">
      <alignment horizontal="center" vertical="center"/>
    </xf>
    <xf numFmtId="179" fontId="38" fillId="0" borderId="65" xfId="55" applyNumberFormat="1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67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7" fontId="29" fillId="0" borderId="67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76" fontId="33" fillId="0" borderId="67" xfId="1" applyNumberFormat="1" applyFont="1" applyBorder="1" applyAlignment="1">
      <alignment horizontal="center" vertical="center"/>
    </xf>
    <xf numFmtId="10" fontId="33" fillId="0" borderId="67" xfId="51" applyNumberFormat="1" applyFont="1" applyBorder="1" applyAlignment="1">
      <alignment horizontal="center" vertical="center"/>
    </xf>
    <xf numFmtId="10" fontId="33" fillId="0" borderId="8" xfId="51" applyNumberFormat="1" applyFont="1" applyBorder="1" applyAlignment="1">
      <alignment horizontal="center" vertical="center"/>
    </xf>
    <xf numFmtId="176" fontId="29" fillId="0" borderId="67" xfId="0" applyNumberFormat="1" applyFont="1" applyBorder="1" applyAlignment="1">
      <alignment horizontal="center" vertical="center"/>
    </xf>
    <xf numFmtId="176" fontId="29" fillId="0" borderId="8" xfId="0" applyNumberFormat="1" applyFont="1" applyBorder="1" applyAlignment="1">
      <alignment horizontal="center" vertical="center"/>
    </xf>
    <xf numFmtId="10" fontId="33" fillId="0" borderId="68" xfId="51" applyNumberFormat="1" applyFont="1" applyBorder="1" applyAlignment="1">
      <alignment horizontal="center" vertical="center"/>
    </xf>
    <xf numFmtId="10" fontId="33" fillId="0" borderId="25" xfId="51" applyNumberFormat="1" applyFont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67" xfId="0" applyFont="1" applyFill="1" applyBorder="1" applyAlignment="1">
      <alignment horizontal="center" vertical="center"/>
    </xf>
  </cellXfs>
  <cellStyles count="56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1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2_인원 입력 기능 (사과탐)" xfId="55" xr:uid="{89CDD7A1-7248-4FDE-89D4-1B9815270986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7DE1655F-D382-4187-A654-AE792D843963}"/>
    <cellStyle name="표준 5" xfId="48" xr:uid="{00000000-0005-0000-0000-00002F000000}"/>
    <cellStyle name="표준_인원 입력 기능 (사과탐)" xfId="54" xr:uid="{91D142CA-5154-4034-8DC4-BA04BF22164D}"/>
    <cellStyle name="표준_통계 및 응시자 수 입력 기능" xfId="52" xr:uid="{0241B6A5-49E4-4082-B308-F33C0FC0010A}"/>
    <cellStyle name="표준_표준점수 등급컷 입력기능" xfId="53" xr:uid="{30DE42AA-DED3-4148-B3BE-7F249AF3D40C}"/>
    <cellStyle name="하이퍼링크 2" xfId="46" xr:uid="{00000000-0005-0000-0000-000030000000}"/>
  </cellStyles>
  <dxfs count="51"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4D4D4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654050</xdr:colOff>
          <xdr:row>5</xdr:row>
          <xdr:rowOff>0</xdr:rowOff>
        </xdr:from>
        <xdr:to>
          <xdr:col>8</xdr:col>
          <xdr:colOff>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2"/>
  <sheetViews>
    <sheetView topLeftCell="A7" workbookViewId="0">
      <selection activeCell="C4" sqref="C4:E22"/>
    </sheetView>
  </sheetViews>
  <sheetFormatPr defaultRowHeight="17"/>
  <cols>
    <col min="2" max="5" width="12.58203125" style="1" customWidth="1"/>
  </cols>
  <sheetData>
    <row r="3" spans="2:5">
      <c r="C3" s="1" t="s">
        <v>3</v>
      </c>
      <c r="D3" s="1" t="s">
        <v>4</v>
      </c>
      <c r="E3" s="1" t="s">
        <v>2</v>
      </c>
    </row>
    <row r="4" spans="2:5">
      <c r="B4" s="1" t="s">
        <v>5</v>
      </c>
      <c r="C4" s="117">
        <v>327806</v>
      </c>
      <c r="D4" s="118" t="s">
        <v>137</v>
      </c>
      <c r="E4" s="118" t="s">
        <v>149</v>
      </c>
    </row>
    <row r="5" spans="2:5">
      <c r="B5" s="1" t="s">
        <v>6</v>
      </c>
      <c r="C5" s="117">
        <v>328335</v>
      </c>
      <c r="D5" s="118" t="s">
        <v>150</v>
      </c>
      <c r="E5" s="118" t="s">
        <v>153</v>
      </c>
    </row>
    <row r="6" spans="2:5">
      <c r="B6" s="1" t="s">
        <v>9</v>
      </c>
      <c r="C6" s="117">
        <v>130861</v>
      </c>
      <c r="D6" s="118" t="s">
        <v>152</v>
      </c>
      <c r="E6" s="118" t="s">
        <v>138</v>
      </c>
    </row>
    <row r="7" spans="2:5">
      <c r="B7" s="1" t="s">
        <v>10</v>
      </c>
      <c r="C7" s="117">
        <v>34440</v>
      </c>
      <c r="D7" s="118" t="s">
        <v>154</v>
      </c>
      <c r="E7" s="118" t="s">
        <v>156</v>
      </c>
    </row>
    <row r="8" spans="2:5">
      <c r="B8" s="1" t="s">
        <v>11</v>
      </c>
      <c r="C8" s="117">
        <v>30757</v>
      </c>
      <c r="D8" s="118" t="s">
        <v>151</v>
      </c>
      <c r="E8" s="118" t="s">
        <v>155</v>
      </c>
    </row>
    <row r="9" spans="2:5">
      <c r="B9" s="1" t="s">
        <v>12</v>
      </c>
      <c r="C9" s="117">
        <v>29327</v>
      </c>
      <c r="D9" s="118" t="s">
        <v>157</v>
      </c>
      <c r="E9" s="118" t="s">
        <v>158</v>
      </c>
    </row>
    <row r="10" spans="2:5">
      <c r="B10" s="1" t="s">
        <v>13</v>
      </c>
      <c r="C10" s="117">
        <v>14220</v>
      </c>
      <c r="D10" s="118" t="s">
        <v>139</v>
      </c>
      <c r="E10" s="118" t="s">
        <v>144</v>
      </c>
    </row>
    <row r="11" spans="2:5">
      <c r="B11" s="1" t="s">
        <v>14</v>
      </c>
      <c r="C11" s="117">
        <v>15339</v>
      </c>
      <c r="D11" s="118" t="s">
        <v>140</v>
      </c>
      <c r="E11" s="118" t="s">
        <v>141</v>
      </c>
    </row>
    <row r="12" spans="2:5">
      <c r="B12" s="1" t="s">
        <v>15</v>
      </c>
      <c r="C12" s="117">
        <v>6881</v>
      </c>
      <c r="D12" s="118" t="s">
        <v>142</v>
      </c>
      <c r="E12" s="118" t="s">
        <v>143</v>
      </c>
    </row>
    <row r="13" spans="2:5">
      <c r="B13" s="1" t="s">
        <v>62</v>
      </c>
      <c r="C13" s="117">
        <v>23675</v>
      </c>
      <c r="D13" s="118" t="s">
        <v>145</v>
      </c>
      <c r="E13" s="118" t="s">
        <v>146</v>
      </c>
    </row>
    <row r="14" spans="2:5">
      <c r="B14" s="1" t="s">
        <v>16</v>
      </c>
      <c r="C14" s="117">
        <v>148655</v>
      </c>
      <c r="D14" s="118" t="s">
        <v>147</v>
      </c>
      <c r="E14" s="118" t="s">
        <v>148</v>
      </c>
    </row>
    <row r="15" spans="2:5">
      <c r="B15" s="1" t="s">
        <v>63</v>
      </c>
      <c r="C15" s="117">
        <v>32956</v>
      </c>
      <c r="D15" s="118" t="s">
        <v>169</v>
      </c>
      <c r="E15" s="118" t="s">
        <v>164</v>
      </c>
    </row>
    <row r="16" spans="2:5">
      <c r="B16" s="1" t="s">
        <v>17</v>
      </c>
      <c r="C16" s="117">
        <v>18727</v>
      </c>
      <c r="D16" s="118" t="s">
        <v>160</v>
      </c>
      <c r="E16" s="118" t="s">
        <v>170</v>
      </c>
    </row>
    <row r="17" spans="2:5">
      <c r="B17" s="1" t="s">
        <v>19</v>
      </c>
      <c r="C17" s="117">
        <v>72377</v>
      </c>
      <c r="D17" s="118" t="s">
        <v>173</v>
      </c>
      <c r="E17" s="118" t="s">
        <v>162</v>
      </c>
    </row>
    <row r="18" spans="2:5">
      <c r="B18" s="1" t="s">
        <v>20</v>
      </c>
      <c r="C18" s="117">
        <v>68989</v>
      </c>
      <c r="D18" s="118" t="s">
        <v>166</v>
      </c>
      <c r="E18" s="118" t="s">
        <v>159</v>
      </c>
    </row>
    <row r="19" spans="2:5">
      <c r="B19" s="1" t="s">
        <v>64</v>
      </c>
      <c r="C19" s="117">
        <v>4877</v>
      </c>
      <c r="D19" s="118" t="s">
        <v>161</v>
      </c>
      <c r="E19" s="118" t="s">
        <v>174</v>
      </c>
    </row>
    <row r="20" spans="2:5">
      <c r="B20" s="1" t="s">
        <v>22</v>
      </c>
      <c r="C20" s="117">
        <v>4785</v>
      </c>
      <c r="D20" s="118" t="s">
        <v>167</v>
      </c>
      <c r="E20" s="118" t="s">
        <v>163</v>
      </c>
    </row>
    <row r="21" spans="2:5">
      <c r="B21" s="1" t="s">
        <v>23</v>
      </c>
      <c r="C21" s="117">
        <v>8629</v>
      </c>
      <c r="D21" s="118" t="s">
        <v>172</v>
      </c>
      <c r="E21" s="118" t="s">
        <v>171</v>
      </c>
    </row>
    <row r="22" spans="2:5">
      <c r="B22" s="1" t="s">
        <v>24</v>
      </c>
      <c r="C22" s="117">
        <v>6383</v>
      </c>
      <c r="D22" s="118" t="s">
        <v>165</v>
      </c>
      <c r="E22" s="118" t="s">
        <v>168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3">
                <anchor moveWithCells="1" sizeWithCells="1">
                  <from>
                    <xdr:col>5</xdr:col>
                    <xdr:colOff>654050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A2:T285"/>
  <sheetViews>
    <sheetView topLeftCell="A222" workbookViewId="0">
      <selection activeCell="A236" sqref="A236:T285"/>
    </sheetView>
  </sheetViews>
  <sheetFormatPr defaultRowHeight="17"/>
  <sheetData>
    <row r="2" spans="1:20" ht="17.5" thickBot="1"/>
    <row r="3" spans="1:20">
      <c r="A3" s="12" t="s">
        <v>9</v>
      </c>
      <c r="B3" s="13"/>
      <c r="C3" s="13"/>
      <c r="D3" s="14"/>
      <c r="F3" s="12" t="s">
        <v>10</v>
      </c>
      <c r="G3" s="13"/>
      <c r="H3" s="13"/>
      <c r="I3" s="14"/>
      <c r="K3" s="12" t="s">
        <v>11</v>
      </c>
      <c r="L3" s="13"/>
      <c r="M3" s="13"/>
      <c r="N3" s="14"/>
      <c r="P3" s="12" t="s">
        <v>12</v>
      </c>
      <c r="Q3" s="13"/>
      <c r="R3" s="13"/>
      <c r="S3" s="14"/>
    </row>
    <row r="4" spans="1:20">
      <c r="A4" s="6" t="s">
        <v>7</v>
      </c>
      <c r="B4" s="1"/>
      <c r="C4" s="1"/>
      <c r="D4" s="7" t="s">
        <v>8</v>
      </c>
      <c r="F4" s="6" t="s">
        <v>7</v>
      </c>
      <c r="G4" s="1"/>
      <c r="H4" s="1"/>
      <c r="I4" s="7" t="s">
        <v>8</v>
      </c>
      <c r="K4" s="6" t="s">
        <v>7</v>
      </c>
      <c r="L4" s="1"/>
      <c r="M4" s="1"/>
      <c r="N4" s="7" t="s">
        <v>8</v>
      </c>
      <c r="P4" s="6" t="s">
        <v>7</v>
      </c>
      <c r="Q4" s="1"/>
      <c r="R4" s="1"/>
      <c r="S4" s="7" t="s">
        <v>8</v>
      </c>
    </row>
    <row r="5" spans="1:20">
      <c r="A5" s="121">
        <v>72</v>
      </c>
      <c r="B5" s="121"/>
      <c r="C5" s="121"/>
      <c r="D5" s="122">
        <v>1247</v>
      </c>
      <c r="E5" s="122">
        <v>1247</v>
      </c>
      <c r="F5" s="121">
        <v>76</v>
      </c>
      <c r="G5" s="121"/>
      <c r="H5" s="121"/>
      <c r="I5" s="122">
        <v>254</v>
      </c>
      <c r="J5" s="122">
        <v>254</v>
      </c>
      <c r="K5" s="121">
        <v>74</v>
      </c>
      <c r="L5" s="121"/>
      <c r="M5" s="121"/>
      <c r="N5" s="122">
        <v>500</v>
      </c>
      <c r="O5" s="122">
        <v>500</v>
      </c>
      <c r="P5" s="121">
        <v>71</v>
      </c>
      <c r="Q5" s="121"/>
      <c r="R5" s="121"/>
      <c r="S5" s="122">
        <v>703</v>
      </c>
      <c r="T5" s="122">
        <v>703</v>
      </c>
    </row>
    <row r="6" spans="1:20">
      <c r="A6" s="121">
        <v>70</v>
      </c>
      <c r="B6" s="121"/>
      <c r="C6" s="121"/>
      <c r="D6" s="122">
        <v>375</v>
      </c>
      <c r="E6" s="122">
        <v>1622</v>
      </c>
      <c r="F6" s="121">
        <v>74</v>
      </c>
      <c r="G6" s="121"/>
      <c r="H6" s="121"/>
      <c r="I6" s="122">
        <v>118</v>
      </c>
      <c r="J6" s="122">
        <v>372</v>
      </c>
      <c r="K6" s="121">
        <v>72</v>
      </c>
      <c r="L6" s="121"/>
      <c r="M6" s="121"/>
      <c r="N6" s="122">
        <v>202</v>
      </c>
      <c r="O6" s="122">
        <v>702</v>
      </c>
      <c r="P6" s="121">
        <v>69</v>
      </c>
      <c r="Q6" s="121"/>
      <c r="R6" s="121"/>
      <c r="S6" s="122">
        <v>337</v>
      </c>
      <c r="T6" s="122">
        <v>1040</v>
      </c>
    </row>
    <row r="7" spans="1:20">
      <c r="A7" s="121">
        <v>69</v>
      </c>
      <c r="B7" s="121"/>
      <c r="C7" s="121"/>
      <c r="D7" s="122">
        <v>2393</v>
      </c>
      <c r="E7" s="122">
        <v>4015</v>
      </c>
      <c r="F7" s="121">
        <v>73</v>
      </c>
      <c r="G7" s="121"/>
      <c r="H7" s="121"/>
      <c r="I7" s="122">
        <v>364</v>
      </c>
      <c r="J7" s="122">
        <v>736</v>
      </c>
      <c r="K7" s="121">
        <v>71</v>
      </c>
      <c r="L7" s="121"/>
      <c r="M7" s="121"/>
      <c r="N7" s="122">
        <v>508</v>
      </c>
      <c r="O7" s="122">
        <v>1210</v>
      </c>
      <c r="P7" s="121">
        <v>68</v>
      </c>
      <c r="Q7" s="121"/>
      <c r="R7" s="121"/>
      <c r="S7" s="122">
        <v>615</v>
      </c>
      <c r="T7" s="122">
        <v>1655</v>
      </c>
    </row>
    <row r="8" spans="1:20">
      <c r="A8" s="121">
        <v>68</v>
      </c>
      <c r="B8" s="121"/>
      <c r="C8" s="121"/>
      <c r="D8" s="122">
        <v>1259</v>
      </c>
      <c r="E8" s="122">
        <v>5274</v>
      </c>
      <c r="F8" s="121">
        <v>72</v>
      </c>
      <c r="G8" s="121"/>
      <c r="H8" s="121"/>
      <c r="I8" s="122">
        <v>42</v>
      </c>
      <c r="J8" s="122">
        <v>778</v>
      </c>
      <c r="K8" s="121">
        <v>70</v>
      </c>
      <c r="L8" s="121"/>
      <c r="M8" s="121"/>
      <c r="N8" s="122">
        <v>54</v>
      </c>
      <c r="O8" s="122">
        <v>1264</v>
      </c>
      <c r="P8" s="121">
        <v>67</v>
      </c>
      <c r="Q8" s="121"/>
      <c r="R8" s="121"/>
      <c r="S8" s="122">
        <v>624</v>
      </c>
      <c r="T8" s="122">
        <v>2279</v>
      </c>
    </row>
    <row r="9" spans="1:20">
      <c r="A9" s="121">
        <v>67</v>
      </c>
      <c r="B9" s="121"/>
      <c r="C9" s="121"/>
      <c r="D9" s="122">
        <v>2646</v>
      </c>
      <c r="E9" s="122">
        <v>7920</v>
      </c>
      <c r="F9" s="121">
        <v>71</v>
      </c>
      <c r="G9" s="121"/>
      <c r="H9" s="121"/>
      <c r="I9" s="122">
        <v>340</v>
      </c>
      <c r="J9" s="122">
        <v>1118</v>
      </c>
      <c r="K9" s="121">
        <v>69</v>
      </c>
      <c r="L9" s="121"/>
      <c r="M9" s="121"/>
      <c r="N9" s="122">
        <v>323</v>
      </c>
      <c r="O9" s="122">
        <v>1587</v>
      </c>
      <c r="P9" s="121">
        <v>66</v>
      </c>
      <c r="Q9" s="121"/>
      <c r="R9" s="121"/>
      <c r="S9" s="122">
        <v>462</v>
      </c>
      <c r="T9" s="122">
        <v>2741</v>
      </c>
    </row>
    <row r="10" spans="1:20">
      <c r="A10" s="121">
        <v>66</v>
      </c>
      <c r="B10" s="121"/>
      <c r="C10" s="121"/>
      <c r="D10" s="122">
        <v>320</v>
      </c>
      <c r="E10" s="122">
        <v>8240</v>
      </c>
      <c r="F10" s="121">
        <v>70</v>
      </c>
      <c r="G10" s="121"/>
      <c r="H10" s="121"/>
      <c r="I10" s="122">
        <v>426</v>
      </c>
      <c r="J10" s="122">
        <v>1544</v>
      </c>
      <c r="K10" s="121">
        <v>68</v>
      </c>
      <c r="L10" s="121"/>
      <c r="M10" s="121"/>
      <c r="N10" s="122">
        <v>433</v>
      </c>
      <c r="O10" s="122">
        <v>2020</v>
      </c>
      <c r="P10" s="121">
        <v>65</v>
      </c>
      <c r="Q10" s="121"/>
      <c r="R10" s="121"/>
      <c r="S10" s="122">
        <v>320</v>
      </c>
      <c r="T10" s="122">
        <v>3061</v>
      </c>
    </row>
    <row r="11" spans="1:20">
      <c r="A11" s="121">
        <v>65</v>
      </c>
      <c r="B11" s="121"/>
      <c r="C11" s="121"/>
      <c r="D11" s="122">
        <v>2124</v>
      </c>
      <c r="E11" s="122">
        <v>10364</v>
      </c>
      <c r="F11" s="121">
        <v>69</v>
      </c>
      <c r="G11" s="121"/>
      <c r="H11" s="121"/>
      <c r="I11" s="122">
        <v>581</v>
      </c>
      <c r="J11" s="122">
        <v>2125</v>
      </c>
      <c r="K11" s="121">
        <v>67</v>
      </c>
      <c r="L11" s="121"/>
      <c r="M11" s="121"/>
      <c r="N11" s="122">
        <v>590</v>
      </c>
      <c r="O11" s="122">
        <v>2610</v>
      </c>
      <c r="P11" s="121">
        <v>64</v>
      </c>
      <c r="Q11" s="121"/>
      <c r="R11" s="121"/>
      <c r="S11" s="122">
        <v>525</v>
      </c>
      <c r="T11" s="122">
        <v>3586</v>
      </c>
    </row>
    <row r="12" spans="1:20">
      <c r="A12" s="121">
        <v>64</v>
      </c>
      <c r="B12" s="121"/>
      <c r="C12" s="121"/>
      <c r="D12" s="122">
        <v>2921</v>
      </c>
      <c r="E12" s="122">
        <v>13285</v>
      </c>
      <c r="F12" s="121">
        <v>68</v>
      </c>
      <c r="G12" s="121"/>
      <c r="H12" s="121"/>
      <c r="I12" s="122">
        <v>397</v>
      </c>
      <c r="J12" s="122">
        <v>2522</v>
      </c>
      <c r="K12" s="121">
        <v>66</v>
      </c>
      <c r="L12" s="121"/>
      <c r="M12" s="121"/>
      <c r="N12" s="122">
        <v>358</v>
      </c>
      <c r="O12" s="122">
        <v>2968</v>
      </c>
      <c r="P12" s="121">
        <v>63</v>
      </c>
      <c r="Q12" s="121"/>
      <c r="R12" s="121"/>
      <c r="S12" s="122">
        <v>434</v>
      </c>
      <c r="T12" s="122">
        <v>4020</v>
      </c>
    </row>
    <row r="13" spans="1:20">
      <c r="A13" s="121">
        <v>63</v>
      </c>
      <c r="B13" s="121"/>
      <c r="C13" s="121"/>
      <c r="D13" s="122">
        <v>818</v>
      </c>
      <c r="E13" s="122">
        <v>14103</v>
      </c>
      <c r="F13" s="121">
        <v>67</v>
      </c>
      <c r="G13" s="121"/>
      <c r="H13" s="121"/>
      <c r="I13" s="122">
        <v>326</v>
      </c>
      <c r="J13" s="122">
        <v>2848</v>
      </c>
      <c r="K13" s="121">
        <v>65</v>
      </c>
      <c r="L13" s="121"/>
      <c r="M13" s="121"/>
      <c r="N13" s="122">
        <v>328</v>
      </c>
      <c r="O13" s="122">
        <v>3296</v>
      </c>
      <c r="P13" s="121">
        <v>62</v>
      </c>
      <c r="Q13" s="121"/>
      <c r="R13" s="121"/>
      <c r="S13" s="122">
        <v>471</v>
      </c>
      <c r="T13" s="122">
        <v>4491</v>
      </c>
    </row>
    <row r="14" spans="1:20">
      <c r="A14" s="121">
        <v>62</v>
      </c>
      <c r="B14" s="121"/>
      <c r="C14" s="121"/>
      <c r="D14" s="122">
        <v>3267</v>
      </c>
      <c r="E14" s="122">
        <v>17370</v>
      </c>
      <c r="F14" s="121">
        <v>66</v>
      </c>
      <c r="G14" s="121"/>
      <c r="H14" s="121"/>
      <c r="I14" s="122">
        <v>543</v>
      </c>
      <c r="J14" s="122">
        <v>3391</v>
      </c>
      <c r="K14" s="121">
        <v>64</v>
      </c>
      <c r="L14" s="121"/>
      <c r="M14" s="121"/>
      <c r="N14" s="122">
        <v>449</v>
      </c>
      <c r="O14" s="122">
        <v>3745</v>
      </c>
      <c r="P14" s="121">
        <v>61</v>
      </c>
      <c r="Q14" s="121"/>
      <c r="R14" s="121"/>
      <c r="S14" s="122">
        <v>1083</v>
      </c>
      <c r="T14" s="122">
        <v>5574</v>
      </c>
    </row>
    <row r="15" spans="1:20">
      <c r="A15" s="121">
        <v>61</v>
      </c>
      <c r="B15" s="121"/>
      <c r="C15" s="121"/>
      <c r="D15" s="122">
        <v>3206</v>
      </c>
      <c r="E15" s="122">
        <v>20576</v>
      </c>
      <c r="F15" s="121">
        <v>65</v>
      </c>
      <c r="G15" s="121"/>
      <c r="H15" s="121"/>
      <c r="I15" s="122">
        <v>344</v>
      </c>
      <c r="J15" s="122">
        <v>3735</v>
      </c>
      <c r="K15" s="121">
        <v>63</v>
      </c>
      <c r="L15" s="121"/>
      <c r="M15" s="121"/>
      <c r="N15" s="122">
        <v>363</v>
      </c>
      <c r="O15" s="122">
        <v>4108</v>
      </c>
      <c r="P15" s="121">
        <v>60</v>
      </c>
      <c r="Q15" s="121"/>
      <c r="R15" s="121"/>
      <c r="S15" s="122">
        <v>563</v>
      </c>
      <c r="T15" s="122">
        <v>6137</v>
      </c>
    </row>
    <row r="16" spans="1:20">
      <c r="A16" s="121">
        <v>60</v>
      </c>
      <c r="B16" s="121"/>
      <c r="C16" s="121"/>
      <c r="D16" s="122">
        <v>1952</v>
      </c>
      <c r="E16" s="122">
        <v>22528</v>
      </c>
      <c r="F16" s="121">
        <v>64</v>
      </c>
      <c r="G16" s="121"/>
      <c r="H16" s="121"/>
      <c r="I16" s="122">
        <v>492</v>
      </c>
      <c r="J16" s="122">
        <v>4227</v>
      </c>
      <c r="K16" s="121">
        <v>62</v>
      </c>
      <c r="L16" s="121"/>
      <c r="M16" s="121"/>
      <c r="N16" s="122">
        <v>421</v>
      </c>
      <c r="O16" s="122">
        <v>4529</v>
      </c>
      <c r="P16" s="121">
        <v>59</v>
      </c>
      <c r="Q16" s="121"/>
      <c r="R16" s="121"/>
      <c r="S16" s="122">
        <v>544</v>
      </c>
      <c r="T16" s="122">
        <v>6681</v>
      </c>
    </row>
    <row r="17" spans="1:20">
      <c r="A17" s="121">
        <v>59</v>
      </c>
      <c r="B17" s="121"/>
      <c r="C17" s="121"/>
      <c r="D17" s="122">
        <v>4514</v>
      </c>
      <c r="E17" s="122">
        <v>27042</v>
      </c>
      <c r="F17" s="121">
        <v>63</v>
      </c>
      <c r="G17" s="121"/>
      <c r="H17" s="121"/>
      <c r="I17" s="122">
        <v>585</v>
      </c>
      <c r="J17" s="122">
        <v>4812</v>
      </c>
      <c r="K17" s="121">
        <v>61</v>
      </c>
      <c r="L17" s="121"/>
      <c r="M17" s="121"/>
      <c r="N17" s="122">
        <v>518</v>
      </c>
      <c r="O17" s="122">
        <v>5047</v>
      </c>
      <c r="P17" s="121">
        <v>58</v>
      </c>
      <c r="Q17" s="121"/>
      <c r="R17" s="121"/>
      <c r="S17" s="122">
        <v>595</v>
      </c>
      <c r="T17" s="122">
        <v>7276</v>
      </c>
    </row>
    <row r="18" spans="1:20">
      <c r="A18" s="121">
        <v>58</v>
      </c>
      <c r="B18" s="121"/>
      <c r="C18" s="121"/>
      <c r="D18" s="122">
        <v>3357</v>
      </c>
      <c r="E18" s="122">
        <v>30399</v>
      </c>
      <c r="F18" s="121">
        <v>62</v>
      </c>
      <c r="G18" s="121"/>
      <c r="H18" s="121"/>
      <c r="I18" s="122">
        <v>445</v>
      </c>
      <c r="J18" s="122">
        <v>5257</v>
      </c>
      <c r="K18" s="121">
        <v>60</v>
      </c>
      <c r="L18" s="121"/>
      <c r="M18" s="121"/>
      <c r="N18" s="122">
        <v>1043</v>
      </c>
      <c r="O18" s="122">
        <v>6090</v>
      </c>
      <c r="P18" s="121">
        <v>57</v>
      </c>
      <c r="Q18" s="121"/>
      <c r="R18" s="121"/>
      <c r="S18" s="122">
        <v>646</v>
      </c>
      <c r="T18" s="122">
        <v>7922</v>
      </c>
    </row>
    <row r="19" spans="1:20">
      <c r="A19" s="121">
        <v>57</v>
      </c>
      <c r="B19" s="121"/>
      <c r="C19" s="121"/>
      <c r="D19" s="122">
        <v>3485</v>
      </c>
      <c r="E19" s="122">
        <v>33884</v>
      </c>
      <c r="F19" s="121">
        <v>61</v>
      </c>
      <c r="G19" s="121"/>
      <c r="H19" s="121"/>
      <c r="I19" s="122">
        <v>664</v>
      </c>
      <c r="J19" s="122">
        <v>5921</v>
      </c>
      <c r="K19" s="121">
        <v>59</v>
      </c>
      <c r="L19" s="121"/>
      <c r="M19" s="121"/>
      <c r="N19" s="122">
        <v>508</v>
      </c>
      <c r="O19" s="122">
        <v>6598</v>
      </c>
      <c r="P19" s="121">
        <v>56</v>
      </c>
      <c r="Q19" s="121"/>
      <c r="R19" s="121"/>
      <c r="S19" s="122">
        <v>1312</v>
      </c>
      <c r="T19" s="122">
        <v>9234</v>
      </c>
    </row>
    <row r="20" spans="1:20">
      <c r="A20" s="121">
        <v>56</v>
      </c>
      <c r="B20" s="121"/>
      <c r="C20" s="121"/>
      <c r="D20" s="122">
        <v>8898</v>
      </c>
      <c r="E20" s="122">
        <v>42782</v>
      </c>
      <c r="F20" s="121">
        <v>60</v>
      </c>
      <c r="G20" s="121"/>
      <c r="H20" s="121"/>
      <c r="I20" s="122">
        <v>560</v>
      </c>
      <c r="J20" s="122">
        <v>6481</v>
      </c>
      <c r="K20" s="121">
        <v>58</v>
      </c>
      <c r="L20" s="121"/>
      <c r="M20" s="121"/>
      <c r="N20" s="122">
        <v>608</v>
      </c>
      <c r="O20" s="122">
        <v>7206</v>
      </c>
      <c r="P20" s="121">
        <v>55</v>
      </c>
      <c r="Q20" s="121"/>
      <c r="R20" s="121"/>
      <c r="S20" s="122">
        <v>675</v>
      </c>
      <c r="T20" s="122">
        <v>9909</v>
      </c>
    </row>
    <row r="21" spans="1:20">
      <c r="A21" s="121">
        <v>55</v>
      </c>
      <c r="B21" s="121"/>
      <c r="C21" s="121"/>
      <c r="D21" s="122">
        <v>4938</v>
      </c>
      <c r="E21" s="122">
        <v>47720</v>
      </c>
      <c r="F21" s="121">
        <v>59</v>
      </c>
      <c r="G21" s="121"/>
      <c r="H21" s="121"/>
      <c r="I21" s="122">
        <v>1264</v>
      </c>
      <c r="J21" s="122">
        <v>7745</v>
      </c>
      <c r="K21" s="121">
        <v>57</v>
      </c>
      <c r="L21" s="121"/>
      <c r="M21" s="121"/>
      <c r="N21" s="122">
        <v>655</v>
      </c>
      <c r="O21" s="122">
        <v>7861</v>
      </c>
      <c r="P21" s="121">
        <v>54</v>
      </c>
      <c r="Q21" s="121"/>
      <c r="R21" s="121"/>
      <c r="S21" s="122">
        <v>665</v>
      </c>
      <c r="T21" s="122">
        <v>10574</v>
      </c>
    </row>
    <row r="22" spans="1:20">
      <c r="A22" s="121">
        <v>54</v>
      </c>
      <c r="B22" s="121"/>
      <c r="C22" s="121"/>
      <c r="D22" s="122">
        <v>4889</v>
      </c>
      <c r="E22" s="122">
        <v>52609</v>
      </c>
      <c r="F22" s="121">
        <v>58</v>
      </c>
      <c r="G22" s="121"/>
      <c r="H22" s="121"/>
      <c r="I22" s="122">
        <v>661</v>
      </c>
      <c r="J22" s="122">
        <v>8406</v>
      </c>
      <c r="K22" s="121">
        <v>56</v>
      </c>
      <c r="L22" s="121"/>
      <c r="M22" s="121"/>
      <c r="N22" s="122">
        <v>670</v>
      </c>
      <c r="O22" s="122">
        <v>8531</v>
      </c>
      <c r="P22" s="121">
        <v>53</v>
      </c>
      <c r="Q22" s="121"/>
      <c r="R22" s="121"/>
      <c r="S22" s="122">
        <v>779</v>
      </c>
      <c r="T22" s="122">
        <v>11353</v>
      </c>
    </row>
    <row r="23" spans="1:20">
      <c r="A23" s="121">
        <v>53</v>
      </c>
      <c r="B23" s="121"/>
      <c r="C23" s="121"/>
      <c r="D23" s="122">
        <v>4264</v>
      </c>
      <c r="E23" s="122">
        <v>56873</v>
      </c>
      <c r="F23" s="121">
        <v>57</v>
      </c>
      <c r="G23" s="121"/>
      <c r="H23" s="121"/>
      <c r="I23" s="122">
        <v>745</v>
      </c>
      <c r="J23" s="122">
        <v>9151</v>
      </c>
      <c r="K23" s="121">
        <v>55</v>
      </c>
      <c r="L23" s="121"/>
      <c r="M23" s="121"/>
      <c r="N23" s="122">
        <v>744</v>
      </c>
      <c r="O23" s="122">
        <v>9275</v>
      </c>
      <c r="P23" s="121">
        <v>52</v>
      </c>
      <c r="Q23" s="121"/>
      <c r="R23" s="121"/>
      <c r="S23" s="122">
        <v>735</v>
      </c>
      <c r="T23" s="122">
        <v>12088</v>
      </c>
    </row>
    <row r="24" spans="1:20">
      <c r="A24" s="121">
        <v>52</v>
      </c>
      <c r="B24" s="121"/>
      <c r="C24" s="121"/>
      <c r="D24" s="122">
        <v>4940</v>
      </c>
      <c r="E24" s="122">
        <v>61813</v>
      </c>
      <c r="F24" s="121">
        <v>56</v>
      </c>
      <c r="G24" s="121"/>
      <c r="H24" s="121"/>
      <c r="I24" s="122">
        <v>711</v>
      </c>
      <c r="J24" s="122">
        <v>9862</v>
      </c>
      <c r="K24" s="121">
        <v>54</v>
      </c>
      <c r="L24" s="121"/>
      <c r="M24" s="121"/>
      <c r="N24" s="122">
        <v>778</v>
      </c>
      <c r="O24" s="122">
        <v>10053</v>
      </c>
      <c r="P24" s="121">
        <v>51</v>
      </c>
      <c r="Q24" s="121"/>
      <c r="R24" s="121"/>
      <c r="S24" s="122">
        <v>1531</v>
      </c>
      <c r="T24" s="122">
        <v>13619</v>
      </c>
    </row>
    <row r="25" spans="1:20">
      <c r="A25" s="121">
        <v>51</v>
      </c>
      <c r="B25" s="121"/>
      <c r="C25" s="121"/>
      <c r="D25" s="122">
        <v>4155</v>
      </c>
      <c r="E25" s="122">
        <v>65968</v>
      </c>
      <c r="F25" s="121">
        <v>55</v>
      </c>
      <c r="G25" s="121"/>
      <c r="H25" s="121"/>
      <c r="I25" s="122">
        <v>729</v>
      </c>
      <c r="J25" s="122">
        <v>10591</v>
      </c>
      <c r="K25" s="121">
        <v>53</v>
      </c>
      <c r="L25" s="121"/>
      <c r="M25" s="121"/>
      <c r="N25" s="122">
        <v>1642</v>
      </c>
      <c r="O25" s="122">
        <v>11695</v>
      </c>
      <c r="P25" s="121">
        <v>50</v>
      </c>
      <c r="Q25" s="121"/>
      <c r="R25" s="121"/>
      <c r="S25" s="122">
        <v>797</v>
      </c>
      <c r="T25" s="122">
        <v>14416</v>
      </c>
    </row>
    <row r="26" spans="1:20">
      <c r="A26" s="121">
        <v>50</v>
      </c>
      <c r="B26" s="121"/>
      <c r="C26" s="121"/>
      <c r="D26" s="122">
        <v>4403</v>
      </c>
      <c r="E26" s="122">
        <v>70371</v>
      </c>
      <c r="F26" s="121">
        <v>54</v>
      </c>
      <c r="G26" s="121"/>
      <c r="H26" s="121"/>
      <c r="I26" s="122">
        <v>841</v>
      </c>
      <c r="J26" s="122">
        <v>11432</v>
      </c>
      <c r="K26" s="121">
        <v>52</v>
      </c>
      <c r="L26" s="121"/>
      <c r="M26" s="121"/>
      <c r="N26" s="122">
        <v>854</v>
      </c>
      <c r="O26" s="122">
        <v>12549</v>
      </c>
      <c r="P26" s="121">
        <v>49</v>
      </c>
      <c r="Q26" s="121"/>
      <c r="R26" s="121"/>
      <c r="S26" s="122">
        <v>797</v>
      </c>
      <c r="T26" s="122">
        <v>15213</v>
      </c>
    </row>
    <row r="27" spans="1:20">
      <c r="A27" s="121">
        <v>49</v>
      </c>
      <c r="B27" s="121"/>
      <c r="C27" s="121"/>
      <c r="D27" s="122">
        <v>4027</v>
      </c>
      <c r="E27" s="122">
        <v>74398</v>
      </c>
      <c r="F27" s="121">
        <v>53</v>
      </c>
      <c r="G27" s="121"/>
      <c r="H27" s="121"/>
      <c r="I27" s="122">
        <v>824</v>
      </c>
      <c r="J27" s="122">
        <v>12256</v>
      </c>
      <c r="K27" s="121">
        <v>51</v>
      </c>
      <c r="L27" s="121"/>
      <c r="M27" s="121"/>
      <c r="N27" s="122">
        <v>942</v>
      </c>
      <c r="O27" s="122">
        <v>13491</v>
      </c>
      <c r="P27" s="121">
        <v>48</v>
      </c>
      <c r="Q27" s="121"/>
      <c r="R27" s="121"/>
      <c r="S27" s="122">
        <v>811</v>
      </c>
      <c r="T27" s="122">
        <v>16024</v>
      </c>
    </row>
    <row r="28" spans="1:20">
      <c r="A28" s="121">
        <v>48</v>
      </c>
      <c r="B28" s="121"/>
      <c r="C28" s="121"/>
      <c r="D28" s="122">
        <v>3727</v>
      </c>
      <c r="E28" s="122">
        <v>78125</v>
      </c>
      <c r="F28" s="121">
        <v>52</v>
      </c>
      <c r="G28" s="121"/>
      <c r="H28" s="121"/>
      <c r="I28" s="122">
        <v>952</v>
      </c>
      <c r="J28" s="122">
        <v>13208</v>
      </c>
      <c r="K28" s="121">
        <v>50</v>
      </c>
      <c r="L28" s="121"/>
      <c r="M28" s="121"/>
      <c r="N28" s="122">
        <v>897</v>
      </c>
      <c r="O28" s="122">
        <v>14388</v>
      </c>
      <c r="P28" s="121">
        <v>47</v>
      </c>
      <c r="Q28" s="121"/>
      <c r="R28" s="121"/>
      <c r="S28" s="122">
        <v>817</v>
      </c>
      <c r="T28" s="122">
        <v>16841</v>
      </c>
    </row>
    <row r="29" spans="1:20">
      <c r="A29" s="121">
        <v>47</v>
      </c>
      <c r="B29" s="121"/>
      <c r="C29" s="121"/>
      <c r="D29" s="122">
        <v>3768</v>
      </c>
      <c r="E29" s="122">
        <v>81893</v>
      </c>
      <c r="F29" s="121">
        <v>51</v>
      </c>
      <c r="G29" s="121"/>
      <c r="H29" s="121"/>
      <c r="I29" s="122">
        <v>921</v>
      </c>
      <c r="J29" s="122">
        <v>14129</v>
      </c>
      <c r="K29" s="121">
        <v>49</v>
      </c>
      <c r="L29" s="121"/>
      <c r="M29" s="121"/>
      <c r="N29" s="122">
        <v>964</v>
      </c>
      <c r="O29" s="122">
        <v>15352</v>
      </c>
      <c r="P29" s="121">
        <v>46</v>
      </c>
      <c r="Q29" s="121"/>
      <c r="R29" s="121"/>
      <c r="S29" s="122">
        <v>823</v>
      </c>
      <c r="T29" s="122">
        <v>17664</v>
      </c>
    </row>
    <row r="30" spans="1:20">
      <c r="A30" s="121">
        <v>46</v>
      </c>
      <c r="B30" s="121"/>
      <c r="C30" s="121"/>
      <c r="D30" s="122">
        <v>3210</v>
      </c>
      <c r="E30" s="122">
        <v>85103</v>
      </c>
      <c r="F30" s="121">
        <v>50</v>
      </c>
      <c r="G30" s="121"/>
      <c r="H30" s="121"/>
      <c r="I30" s="122">
        <v>937</v>
      </c>
      <c r="J30" s="122">
        <v>15066</v>
      </c>
      <c r="K30" s="121">
        <v>48</v>
      </c>
      <c r="L30" s="121"/>
      <c r="M30" s="121"/>
      <c r="N30" s="122">
        <v>993</v>
      </c>
      <c r="O30" s="122">
        <v>16345</v>
      </c>
      <c r="P30" s="121">
        <v>45</v>
      </c>
      <c r="Q30" s="121"/>
      <c r="R30" s="121"/>
      <c r="S30" s="122">
        <v>1650</v>
      </c>
      <c r="T30" s="122">
        <v>19314</v>
      </c>
    </row>
    <row r="31" spans="1:20">
      <c r="A31" s="121">
        <v>45</v>
      </c>
      <c r="B31" s="121"/>
      <c r="C31" s="121"/>
      <c r="D31" s="122">
        <v>6077</v>
      </c>
      <c r="E31" s="122">
        <v>91180</v>
      </c>
      <c r="F31" s="121">
        <v>49</v>
      </c>
      <c r="G31" s="121"/>
      <c r="H31" s="121"/>
      <c r="I31" s="122">
        <v>1951</v>
      </c>
      <c r="J31" s="122">
        <v>17017</v>
      </c>
      <c r="K31" s="121">
        <v>47</v>
      </c>
      <c r="L31" s="121"/>
      <c r="M31" s="121"/>
      <c r="N31" s="122">
        <v>922</v>
      </c>
      <c r="O31" s="122">
        <v>17267</v>
      </c>
      <c r="P31" s="121">
        <v>44</v>
      </c>
      <c r="Q31" s="121"/>
      <c r="R31" s="121"/>
      <c r="S31" s="122">
        <v>774</v>
      </c>
      <c r="T31" s="122">
        <v>20088</v>
      </c>
    </row>
    <row r="32" spans="1:20">
      <c r="A32" s="121">
        <v>44</v>
      </c>
      <c r="B32" s="121"/>
      <c r="C32" s="121"/>
      <c r="D32" s="122">
        <v>2696</v>
      </c>
      <c r="E32" s="122">
        <v>93876</v>
      </c>
      <c r="F32" s="121">
        <v>48</v>
      </c>
      <c r="G32" s="121"/>
      <c r="H32" s="121"/>
      <c r="I32" s="122">
        <v>1046</v>
      </c>
      <c r="J32" s="122">
        <v>18063</v>
      </c>
      <c r="K32" s="121">
        <v>46</v>
      </c>
      <c r="L32" s="121"/>
      <c r="M32" s="121"/>
      <c r="N32" s="122">
        <v>2034</v>
      </c>
      <c r="O32" s="122">
        <v>19301</v>
      </c>
      <c r="P32" s="121">
        <v>43</v>
      </c>
      <c r="Q32" s="121"/>
      <c r="R32" s="121"/>
      <c r="S32" s="122">
        <v>807</v>
      </c>
      <c r="T32" s="122">
        <v>20895</v>
      </c>
    </row>
    <row r="33" spans="1:20">
      <c r="A33" s="121">
        <v>43</v>
      </c>
      <c r="B33" s="121"/>
      <c r="C33" s="121"/>
      <c r="D33" s="122">
        <v>2699</v>
      </c>
      <c r="E33" s="122">
        <v>96575</v>
      </c>
      <c r="F33" s="121">
        <v>47</v>
      </c>
      <c r="G33" s="121"/>
      <c r="H33" s="121"/>
      <c r="I33" s="122">
        <v>1142</v>
      </c>
      <c r="J33" s="122">
        <v>19205</v>
      </c>
      <c r="K33" s="121">
        <v>45</v>
      </c>
      <c r="L33" s="121"/>
      <c r="M33" s="121"/>
      <c r="N33" s="122">
        <v>941</v>
      </c>
      <c r="O33" s="122">
        <v>20242</v>
      </c>
      <c r="P33" s="121">
        <v>42</v>
      </c>
      <c r="Q33" s="121"/>
      <c r="R33" s="121"/>
      <c r="S33" s="122">
        <v>869</v>
      </c>
      <c r="T33" s="122">
        <v>21764</v>
      </c>
    </row>
    <row r="34" spans="1:20">
      <c r="A34" s="121">
        <v>42</v>
      </c>
      <c r="B34" s="121"/>
      <c r="C34" s="121"/>
      <c r="D34" s="122">
        <v>2349</v>
      </c>
      <c r="E34" s="122">
        <v>98924</v>
      </c>
      <c r="F34" s="121">
        <v>46</v>
      </c>
      <c r="G34" s="121"/>
      <c r="H34" s="121"/>
      <c r="I34" s="122">
        <v>1103</v>
      </c>
      <c r="J34" s="122">
        <v>20308</v>
      </c>
      <c r="K34" s="121">
        <v>44</v>
      </c>
      <c r="L34" s="121"/>
      <c r="M34" s="121"/>
      <c r="N34" s="122">
        <v>1011</v>
      </c>
      <c r="O34" s="122">
        <v>21253</v>
      </c>
      <c r="P34" s="121">
        <v>41</v>
      </c>
      <c r="Q34" s="121"/>
      <c r="R34" s="121"/>
      <c r="S34" s="122">
        <v>785</v>
      </c>
      <c r="T34" s="122">
        <v>22549</v>
      </c>
    </row>
    <row r="35" spans="1:20">
      <c r="A35" s="121">
        <v>41</v>
      </c>
      <c r="B35" s="121"/>
      <c r="C35" s="121"/>
      <c r="D35" s="122">
        <v>2585</v>
      </c>
      <c r="E35" s="122">
        <v>101509</v>
      </c>
      <c r="F35" s="121">
        <v>45</v>
      </c>
      <c r="G35" s="121"/>
      <c r="H35" s="121"/>
      <c r="I35" s="122">
        <v>1118</v>
      </c>
      <c r="J35" s="122">
        <v>21426</v>
      </c>
      <c r="K35" s="121">
        <v>43</v>
      </c>
      <c r="L35" s="121"/>
      <c r="M35" s="121"/>
      <c r="N35" s="122">
        <v>890</v>
      </c>
      <c r="O35" s="122">
        <v>22143</v>
      </c>
      <c r="P35" s="121">
        <v>40</v>
      </c>
      <c r="Q35" s="121"/>
      <c r="R35" s="121"/>
      <c r="S35" s="122">
        <v>2130</v>
      </c>
      <c r="T35" s="122">
        <v>24679</v>
      </c>
    </row>
    <row r="36" spans="1:20">
      <c r="A36" s="121">
        <v>40</v>
      </c>
      <c r="B36" s="121"/>
      <c r="C36" s="121"/>
      <c r="D36" s="122">
        <v>2129</v>
      </c>
      <c r="E36" s="122">
        <v>103638</v>
      </c>
      <c r="F36" s="121">
        <v>44</v>
      </c>
      <c r="G36" s="121"/>
      <c r="H36" s="121"/>
      <c r="I36" s="122">
        <v>1076</v>
      </c>
      <c r="J36" s="122">
        <v>22502</v>
      </c>
      <c r="K36" s="121">
        <v>42</v>
      </c>
      <c r="L36" s="121"/>
      <c r="M36" s="121"/>
      <c r="N36" s="122">
        <v>904</v>
      </c>
      <c r="O36" s="122">
        <v>23047</v>
      </c>
      <c r="P36" s="121">
        <v>39</v>
      </c>
      <c r="Q36" s="121"/>
      <c r="R36" s="121"/>
      <c r="S36" s="122">
        <v>1628</v>
      </c>
      <c r="T36" s="122">
        <v>26307</v>
      </c>
    </row>
    <row r="37" spans="1:20">
      <c r="A37" s="121">
        <v>39</v>
      </c>
      <c r="B37" s="121"/>
      <c r="C37" s="121"/>
      <c r="D37" s="122">
        <v>7692</v>
      </c>
      <c r="E37" s="122">
        <v>111330</v>
      </c>
      <c r="F37" s="121">
        <v>43</v>
      </c>
      <c r="G37" s="121"/>
      <c r="H37" s="121"/>
      <c r="I37" s="122">
        <v>1108</v>
      </c>
      <c r="J37" s="122">
        <v>23610</v>
      </c>
      <c r="K37" s="121">
        <v>41</v>
      </c>
      <c r="L37" s="121"/>
      <c r="M37" s="121"/>
      <c r="N37" s="122">
        <v>1596</v>
      </c>
      <c r="O37" s="122">
        <v>24643</v>
      </c>
      <c r="P37" s="121">
        <v>38</v>
      </c>
      <c r="Q37" s="121"/>
      <c r="R37" s="121"/>
      <c r="S37" s="122">
        <v>687</v>
      </c>
      <c r="T37" s="122">
        <v>26994</v>
      </c>
    </row>
    <row r="38" spans="1:20">
      <c r="A38" s="121">
        <v>38</v>
      </c>
      <c r="B38" s="121"/>
      <c r="C38" s="121"/>
      <c r="D38" s="122">
        <v>2096</v>
      </c>
      <c r="E38" s="122">
        <v>113426</v>
      </c>
      <c r="F38" s="121">
        <v>42</v>
      </c>
      <c r="G38" s="121"/>
      <c r="H38" s="121"/>
      <c r="I38" s="122">
        <v>3103</v>
      </c>
      <c r="J38" s="122">
        <v>26713</v>
      </c>
      <c r="K38" s="121">
        <v>40</v>
      </c>
      <c r="L38" s="121"/>
      <c r="M38" s="121"/>
      <c r="N38" s="122">
        <v>800</v>
      </c>
      <c r="O38" s="122">
        <v>25443</v>
      </c>
      <c r="P38" s="121">
        <v>37</v>
      </c>
      <c r="Q38" s="121"/>
      <c r="R38" s="121"/>
      <c r="S38" s="122">
        <v>630</v>
      </c>
      <c r="T38" s="122">
        <v>27624</v>
      </c>
    </row>
    <row r="39" spans="1:20">
      <c r="A39" s="121">
        <v>37</v>
      </c>
      <c r="B39" s="121"/>
      <c r="C39" s="121"/>
      <c r="D39" s="122">
        <v>2065</v>
      </c>
      <c r="E39" s="122">
        <v>115491</v>
      </c>
      <c r="F39" s="121">
        <v>41</v>
      </c>
      <c r="G39" s="121"/>
      <c r="H39" s="121"/>
      <c r="I39" s="122">
        <v>2297</v>
      </c>
      <c r="J39" s="122">
        <v>29010</v>
      </c>
      <c r="K39" s="121">
        <v>39</v>
      </c>
      <c r="L39" s="121"/>
      <c r="M39" s="121"/>
      <c r="N39" s="122">
        <v>1405</v>
      </c>
      <c r="O39" s="122">
        <v>26848</v>
      </c>
      <c r="P39" s="121">
        <v>36</v>
      </c>
      <c r="Q39" s="121"/>
      <c r="R39" s="121"/>
      <c r="S39" s="122">
        <v>422</v>
      </c>
      <c r="T39" s="122">
        <v>28046</v>
      </c>
    </row>
    <row r="40" spans="1:20">
      <c r="A40" s="121">
        <v>36</v>
      </c>
      <c r="B40" s="121"/>
      <c r="C40" s="121"/>
      <c r="D40" s="122">
        <v>1836</v>
      </c>
      <c r="E40" s="122">
        <v>117327</v>
      </c>
      <c r="F40" s="121">
        <v>40</v>
      </c>
      <c r="G40" s="121"/>
      <c r="H40" s="121"/>
      <c r="I40" s="122">
        <v>865</v>
      </c>
      <c r="J40" s="122">
        <v>29875</v>
      </c>
      <c r="K40" s="121">
        <v>38</v>
      </c>
      <c r="L40" s="121"/>
      <c r="M40" s="121"/>
      <c r="N40" s="122">
        <v>2287</v>
      </c>
      <c r="O40" s="122">
        <v>29135</v>
      </c>
      <c r="P40" s="121">
        <v>35</v>
      </c>
      <c r="Q40" s="121"/>
      <c r="R40" s="121"/>
      <c r="S40" s="122">
        <v>326</v>
      </c>
      <c r="T40" s="122">
        <v>28372</v>
      </c>
    </row>
    <row r="41" spans="1:20">
      <c r="A41" s="121">
        <v>35</v>
      </c>
      <c r="B41" s="121"/>
      <c r="C41" s="121"/>
      <c r="D41" s="122">
        <v>4966</v>
      </c>
      <c r="E41" s="122">
        <v>122293</v>
      </c>
      <c r="F41" s="121">
        <v>39</v>
      </c>
      <c r="G41" s="121"/>
      <c r="H41" s="121"/>
      <c r="I41" s="122">
        <v>1828</v>
      </c>
      <c r="J41" s="122">
        <v>31703</v>
      </c>
      <c r="K41" s="121">
        <v>37</v>
      </c>
      <c r="L41" s="121"/>
      <c r="M41" s="121"/>
      <c r="N41" s="122">
        <v>397</v>
      </c>
      <c r="O41" s="122">
        <v>29532</v>
      </c>
      <c r="P41" s="121">
        <v>34</v>
      </c>
      <c r="Q41" s="121"/>
      <c r="R41" s="121"/>
      <c r="S41" s="122">
        <v>459</v>
      </c>
      <c r="T41" s="122">
        <v>28831</v>
      </c>
    </row>
    <row r="42" spans="1:20">
      <c r="A42" s="121">
        <v>34</v>
      </c>
      <c r="B42" s="121"/>
      <c r="C42" s="121"/>
      <c r="D42" s="122">
        <v>4825</v>
      </c>
      <c r="E42" s="122">
        <v>127118</v>
      </c>
      <c r="F42" s="121">
        <v>38</v>
      </c>
      <c r="G42" s="121"/>
      <c r="H42" s="121"/>
      <c r="I42" s="122">
        <v>1100</v>
      </c>
      <c r="J42" s="122">
        <v>32803</v>
      </c>
      <c r="K42" s="121">
        <v>36</v>
      </c>
      <c r="L42" s="121"/>
      <c r="M42" s="121"/>
      <c r="N42" s="122">
        <v>389</v>
      </c>
      <c r="O42" s="122">
        <v>29921</v>
      </c>
      <c r="P42" s="121">
        <v>33</v>
      </c>
      <c r="Q42" s="121"/>
      <c r="R42" s="121"/>
      <c r="S42" s="122">
        <v>191</v>
      </c>
      <c r="T42" s="122">
        <v>29022</v>
      </c>
    </row>
    <row r="43" spans="1:20">
      <c r="A43" s="121">
        <v>33</v>
      </c>
      <c r="B43" s="121"/>
      <c r="C43" s="121"/>
      <c r="D43" s="122">
        <v>1073</v>
      </c>
      <c r="E43" s="122">
        <v>128191</v>
      </c>
      <c r="F43" s="121">
        <v>37</v>
      </c>
      <c r="G43" s="121"/>
      <c r="H43" s="121"/>
      <c r="I43" s="122">
        <v>503</v>
      </c>
      <c r="J43" s="122">
        <v>33306</v>
      </c>
      <c r="K43" s="121">
        <v>35</v>
      </c>
      <c r="L43" s="121"/>
      <c r="M43" s="121"/>
      <c r="N43" s="122">
        <v>231</v>
      </c>
      <c r="O43" s="122">
        <v>30152</v>
      </c>
      <c r="P43" s="121">
        <v>32</v>
      </c>
      <c r="Q43" s="121"/>
      <c r="R43" s="121"/>
      <c r="S43" s="122">
        <v>167</v>
      </c>
      <c r="T43" s="122">
        <v>29189</v>
      </c>
    </row>
    <row r="44" spans="1:20">
      <c r="A44" s="121">
        <v>32</v>
      </c>
      <c r="B44" s="121"/>
      <c r="C44" s="121"/>
      <c r="D44" s="122">
        <v>834</v>
      </c>
      <c r="E44" s="122">
        <v>129025</v>
      </c>
      <c r="F44" s="121">
        <v>36</v>
      </c>
      <c r="G44" s="121"/>
      <c r="H44" s="121"/>
      <c r="I44" s="122">
        <v>345</v>
      </c>
      <c r="J44" s="122">
        <v>33651</v>
      </c>
      <c r="K44" s="121">
        <v>34</v>
      </c>
      <c r="L44" s="121"/>
      <c r="M44" s="121"/>
      <c r="N44" s="122">
        <v>226</v>
      </c>
      <c r="O44" s="122">
        <v>30378</v>
      </c>
      <c r="P44" s="121">
        <v>31</v>
      </c>
      <c r="Q44" s="121"/>
      <c r="R44" s="121"/>
      <c r="S44" s="122">
        <v>55</v>
      </c>
      <c r="T44" s="122">
        <v>29244</v>
      </c>
    </row>
    <row r="45" spans="1:20">
      <c r="A45" s="121">
        <v>31</v>
      </c>
      <c r="B45" s="121"/>
      <c r="C45" s="121"/>
      <c r="D45" s="122">
        <v>814</v>
      </c>
      <c r="E45" s="122">
        <v>129839</v>
      </c>
      <c r="F45" s="121">
        <v>35</v>
      </c>
      <c r="G45" s="121"/>
      <c r="H45" s="121"/>
      <c r="I45" s="122">
        <v>324</v>
      </c>
      <c r="J45" s="122">
        <v>33975</v>
      </c>
      <c r="K45" s="121">
        <v>33</v>
      </c>
      <c r="L45" s="121"/>
      <c r="M45" s="121"/>
      <c r="N45" s="122">
        <v>135</v>
      </c>
      <c r="O45" s="122">
        <v>30513</v>
      </c>
      <c r="P45" s="121">
        <v>30</v>
      </c>
      <c r="Q45" s="121"/>
      <c r="R45" s="121"/>
      <c r="S45" s="122">
        <v>59</v>
      </c>
      <c r="T45" s="122">
        <v>29303</v>
      </c>
    </row>
    <row r="46" spans="1:20">
      <c r="A46" s="121">
        <v>30</v>
      </c>
      <c r="B46" s="121"/>
      <c r="C46" s="121"/>
      <c r="D46" s="122">
        <v>382</v>
      </c>
      <c r="E46" s="122">
        <v>130221</v>
      </c>
      <c r="F46" s="121">
        <v>34</v>
      </c>
      <c r="G46" s="121"/>
      <c r="H46" s="121"/>
      <c r="I46" s="122">
        <v>221</v>
      </c>
      <c r="J46" s="122">
        <v>34196</v>
      </c>
      <c r="K46" s="121">
        <v>32</v>
      </c>
      <c r="L46" s="121"/>
      <c r="M46" s="121"/>
      <c r="N46" s="122">
        <v>202</v>
      </c>
      <c r="O46" s="122">
        <v>30715</v>
      </c>
      <c r="P46" s="121">
        <v>29</v>
      </c>
      <c r="Q46" s="121"/>
      <c r="R46" s="121"/>
      <c r="S46" s="122">
        <v>24</v>
      </c>
      <c r="T46" s="122">
        <v>29327</v>
      </c>
    </row>
    <row r="47" spans="1:20">
      <c r="A47" s="121">
        <v>29</v>
      </c>
      <c r="B47" s="121"/>
      <c r="C47" s="121"/>
      <c r="D47" s="122">
        <v>255</v>
      </c>
      <c r="E47" s="122">
        <v>130476</v>
      </c>
      <c r="F47" s="121">
        <v>33</v>
      </c>
      <c r="G47" s="121"/>
      <c r="H47" s="121"/>
      <c r="I47" s="122">
        <v>93</v>
      </c>
      <c r="J47" s="122">
        <v>34289</v>
      </c>
      <c r="K47" s="121">
        <v>30</v>
      </c>
      <c r="L47" s="121"/>
      <c r="M47" s="121"/>
      <c r="N47" s="122">
        <v>42</v>
      </c>
      <c r="O47" s="122">
        <v>30757</v>
      </c>
      <c r="P47" s="121"/>
      <c r="Q47" s="121"/>
      <c r="R47" s="121"/>
      <c r="S47" s="122"/>
      <c r="T47" s="122"/>
    </row>
    <row r="48" spans="1:20">
      <c r="A48" s="121">
        <v>28</v>
      </c>
      <c r="B48" s="121"/>
      <c r="C48" s="121"/>
      <c r="D48" s="122">
        <v>288</v>
      </c>
      <c r="E48" s="122">
        <v>130764</v>
      </c>
      <c r="F48" s="121">
        <v>32</v>
      </c>
      <c r="G48" s="121"/>
      <c r="H48" s="121"/>
      <c r="I48" s="122">
        <v>107</v>
      </c>
      <c r="J48" s="122">
        <v>34396</v>
      </c>
      <c r="K48" s="121"/>
      <c r="L48" s="121"/>
      <c r="M48" s="121"/>
      <c r="N48" s="122"/>
      <c r="O48" s="122"/>
      <c r="P48" s="121"/>
      <c r="Q48" s="121"/>
      <c r="R48" s="121"/>
      <c r="S48" s="122"/>
      <c r="T48" s="122"/>
    </row>
    <row r="49" spans="1:20">
      <c r="A49" s="121">
        <v>26</v>
      </c>
      <c r="B49" s="121"/>
      <c r="C49" s="121"/>
      <c r="D49" s="122">
        <v>97</v>
      </c>
      <c r="E49" s="122">
        <v>130861</v>
      </c>
      <c r="F49" s="121">
        <v>30</v>
      </c>
      <c r="G49" s="121"/>
      <c r="H49" s="121"/>
      <c r="I49" s="122">
        <v>44</v>
      </c>
      <c r="J49" s="122">
        <v>34440</v>
      </c>
      <c r="K49" s="121"/>
      <c r="L49" s="121"/>
      <c r="M49" s="121"/>
      <c r="N49" s="122"/>
      <c r="O49" s="122"/>
      <c r="P49" s="121"/>
      <c r="Q49" s="121"/>
      <c r="R49" s="121"/>
      <c r="S49" s="122"/>
      <c r="T49" s="122"/>
    </row>
    <row r="50" spans="1:20">
      <c r="A50" s="121"/>
      <c r="B50" s="121"/>
      <c r="C50" s="121"/>
      <c r="D50" s="122"/>
      <c r="E50" s="122"/>
      <c r="F50" s="121"/>
      <c r="G50" s="121"/>
      <c r="H50" s="121"/>
      <c r="I50" s="122"/>
      <c r="J50" s="122"/>
      <c r="K50" s="121"/>
      <c r="L50" s="121"/>
      <c r="M50" s="121"/>
      <c r="N50" s="122"/>
      <c r="O50" s="122"/>
      <c r="P50" s="121"/>
      <c r="Q50" s="121"/>
      <c r="R50" s="121"/>
      <c r="S50" s="122"/>
      <c r="T50" s="122"/>
    </row>
    <row r="51" spans="1:20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>
      <c r="A52" s="8"/>
      <c r="B52" s="9"/>
      <c r="C52" s="9"/>
      <c r="D52" s="2"/>
      <c r="F52" s="8"/>
      <c r="G52" s="9"/>
      <c r="H52" s="9"/>
      <c r="I52" s="2"/>
      <c r="K52" s="8"/>
      <c r="L52" s="9"/>
      <c r="M52" s="9"/>
      <c r="N52" s="2"/>
      <c r="P52" s="8"/>
      <c r="Q52" s="9"/>
      <c r="R52" s="9"/>
      <c r="S52" s="2"/>
    </row>
    <row r="61" spans="1:20" ht="17.5" thickBot="1"/>
    <row r="62" spans="1:20">
      <c r="A62" s="12" t="s">
        <v>13</v>
      </c>
      <c r="B62" s="13"/>
      <c r="C62" s="13"/>
      <c r="D62" s="14"/>
      <c r="F62" s="12" t="s">
        <v>14</v>
      </c>
      <c r="G62" s="13"/>
      <c r="H62" s="13"/>
      <c r="I62" s="14"/>
      <c r="K62" s="12" t="s">
        <v>15</v>
      </c>
      <c r="L62" s="13"/>
      <c r="M62" s="13"/>
      <c r="N62" s="14"/>
      <c r="P62" s="12" t="s">
        <v>62</v>
      </c>
      <c r="Q62" s="13"/>
      <c r="R62" s="13"/>
      <c r="S62" s="14"/>
    </row>
    <row r="63" spans="1:20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  <c r="K63" s="6" t="s">
        <v>1</v>
      </c>
      <c r="L63" s="1"/>
      <c r="M63" s="1"/>
      <c r="N63" s="7" t="s">
        <v>0</v>
      </c>
      <c r="P63" s="6" t="s">
        <v>1</v>
      </c>
      <c r="Q63" s="1"/>
      <c r="R63" s="1"/>
      <c r="S63" s="7" t="s">
        <v>0</v>
      </c>
    </row>
    <row r="64" spans="1:20">
      <c r="A64" s="121">
        <v>70</v>
      </c>
      <c r="B64" s="121"/>
      <c r="C64" s="121"/>
      <c r="D64" s="122">
        <v>436</v>
      </c>
      <c r="E64" s="122">
        <v>436</v>
      </c>
      <c r="F64" s="121">
        <v>71</v>
      </c>
      <c r="G64" s="121"/>
      <c r="H64" s="121"/>
      <c r="I64" s="122">
        <v>557</v>
      </c>
      <c r="J64" s="122">
        <v>557</v>
      </c>
      <c r="K64" s="121">
        <v>81</v>
      </c>
      <c r="L64" s="121"/>
      <c r="M64" s="121"/>
      <c r="N64" s="122">
        <v>35</v>
      </c>
      <c r="O64" s="122">
        <v>35</v>
      </c>
      <c r="P64" s="121">
        <v>71</v>
      </c>
      <c r="Q64" s="121"/>
      <c r="R64" s="121"/>
      <c r="S64" s="122">
        <v>531</v>
      </c>
      <c r="T64" s="122">
        <v>531</v>
      </c>
    </row>
    <row r="65" spans="1:20">
      <c r="A65" s="121">
        <v>69</v>
      </c>
      <c r="B65" s="121"/>
      <c r="C65" s="121"/>
      <c r="D65" s="122">
        <v>189</v>
      </c>
      <c r="E65" s="122">
        <v>625</v>
      </c>
      <c r="F65" s="121">
        <v>70</v>
      </c>
      <c r="G65" s="121"/>
      <c r="H65" s="121"/>
      <c r="I65" s="122">
        <v>142</v>
      </c>
      <c r="J65" s="122">
        <v>699</v>
      </c>
      <c r="K65" s="121">
        <v>79</v>
      </c>
      <c r="L65" s="121"/>
      <c r="M65" s="121"/>
      <c r="N65" s="122">
        <v>10</v>
      </c>
      <c r="O65" s="122">
        <v>45</v>
      </c>
      <c r="P65" s="121">
        <v>70</v>
      </c>
      <c r="Q65" s="121"/>
      <c r="R65" s="121"/>
      <c r="S65" s="122">
        <v>206</v>
      </c>
      <c r="T65" s="122">
        <v>737</v>
      </c>
    </row>
    <row r="66" spans="1:20">
      <c r="A66" s="121">
        <v>68</v>
      </c>
      <c r="B66" s="121"/>
      <c r="C66" s="121"/>
      <c r="D66" s="122">
        <v>263</v>
      </c>
      <c r="E66" s="122">
        <v>888</v>
      </c>
      <c r="F66" s="121">
        <v>69</v>
      </c>
      <c r="G66" s="121"/>
      <c r="H66" s="121"/>
      <c r="I66" s="122">
        <v>418</v>
      </c>
      <c r="J66" s="122">
        <v>1117</v>
      </c>
      <c r="K66" s="121">
        <v>78</v>
      </c>
      <c r="L66" s="121"/>
      <c r="M66" s="121"/>
      <c r="N66" s="122">
        <v>65</v>
      </c>
      <c r="O66" s="122">
        <v>110</v>
      </c>
      <c r="P66" s="121">
        <v>69</v>
      </c>
      <c r="Q66" s="121"/>
      <c r="R66" s="121"/>
      <c r="S66" s="122">
        <v>544</v>
      </c>
      <c r="T66" s="122">
        <v>1281</v>
      </c>
    </row>
    <row r="67" spans="1:20">
      <c r="A67" s="121">
        <v>67</v>
      </c>
      <c r="B67" s="121"/>
      <c r="C67" s="121"/>
      <c r="D67" s="122">
        <v>63</v>
      </c>
      <c r="E67" s="122">
        <v>951</v>
      </c>
      <c r="F67" s="121">
        <v>68</v>
      </c>
      <c r="G67" s="121"/>
      <c r="H67" s="121"/>
      <c r="I67" s="122">
        <v>35</v>
      </c>
      <c r="J67" s="122">
        <v>1152</v>
      </c>
      <c r="K67" s="121">
        <v>77</v>
      </c>
      <c r="L67" s="121"/>
      <c r="M67" s="121"/>
      <c r="N67" s="122">
        <v>3</v>
      </c>
      <c r="O67" s="122">
        <v>113</v>
      </c>
      <c r="P67" s="121">
        <v>68</v>
      </c>
      <c r="Q67" s="121"/>
      <c r="R67" s="121"/>
      <c r="S67" s="122">
        <v>86</v>
      </c>
      <c r="T67" s="122">
        <v>1367</v>
      </c>
    </row>
    <row r="68" spans="1:20">
      <c r="A68" s="121">
        <v>66</v>
      </c>
      <c r="B68" s="121"/>
      <c r="C68" s="121"/>
      <c r="D68" s="122">
        <v>275</v>
      </c>
      <c r="E68" s="122">
        <v>1226</v>
      </c>
      <c r="F68" s="121">
        <v>67</v>
      </c>
      <c r="G68" s="121"/>
      <c r="H68" s="121"/>
      <c r="I68" s="122">
        <v>216</v>
      </c>
      <c r="J68" s="122">
        <v>1368</v>
      </c>
      <c r="K68" s="121">
        <v>76</v>
      </c>
      <c r="L68" s="121"/>
      <c r="M68" s="121"/>
      <c r="N68" s="122">
        <v>31</v>
      </c>
      <c r="O68" s="122">
        <v>144</v>
      </c>
      <c r="P68" s="121">
        <v>67</v>
      </c>
      <c r="Q68" s="121"/>
      <c r="R68" s="121"/>
      <c r="S68" s="122">
        <v>338</v>
      </c>
      <c r="T68" s="122">
        <v>1705</v>
      </c>
    </row>
    <row r="69" spans="1:20">
      <c r="A69" s="121">
        <v>65</v>
      </c>
      <c r="B69" s="121"/>
      <c r="C69" s="121"/>
      <c r="D69" s="122">
        <v>357</v>
      </c>
      <c r="E69" s="122">
        <v>1583</v>
      </c>
      <c r="F69" s="121">
        <v>66</v>
      </c>
      <c r="G69" s="121"/>
      <c r="H69" s="121"/>
      <c r="I69" s="122">
        <v>352</v>
      </c>
      <c r="J69" s="122">
        <v>1720</v>
      </c>
      <c r="K69" s="121">
        <v>75</v>
      </c>
      <c r="L69" s="121"/>
      <c r="M69" s="121"/>
      <c r="N69" s="122">
        <v>64</v>
      </c>
      <c r="O69" s="122">
        <v>208</v>
      </c>
      <c r="P69" s="121">
        <v>66</v>
      </c>
      <c r="Q69" s="121"/>
      <c r="R69" s="121"/>
      <c r="S69" s="122">
        <v>334</v>
      </c>
      <c r="T69" s="122">
        <v>2039</v>
      </c>
    </row>
    <row r="70" spans="1:20">
      <c r="A70" s="121">
        <v>64</v>
      </c>
      <c r="B70" s="121"/>
      <c r="C70" s="121"/>
      <c r="D70" s="122">
        <v>257</v>
      </c>
      <c r="E70" s="122">
        <v>1840</v>
      </c>
      <c r="F70" s="121">
        <v>65</v>
      </c>
      <c r="G70" s="121"/>
      <c r="H70" s="121"/>
      <c r="I70" s="122">
        <v>245</v>
      </c>
      <c r="J70" s="122">
        <v>1965</v>
      </c>
      <c r="K70" s="121">
        <v>74</v>
      </c>
      <c r="L70" s="121"/>
      <c r="M70" s="121"/>
      <c r="N70" s="122">
        <v>10</v>
      </c>
      <c r="O70" s="122">
        <v>218</v>
      </c>
      <c r="P70" s="121">
        <v>65</v>
      </c>
      <c r="Q70" s="121"/>
      <c r="R70" s="121"/>
      <c r="S70" s="122">
        <v>608</v>
      </c>
      <c r="T70" s="122">
        <v>2647</v>
      </c>
    </row>
    <row r="71" spans="1:20">
      <c r="A71" s="121">
        <v>63</v>
      </c>
      <c r="B71" s="121"/>
      <c r="C71" s="121"/>
      <c r="D71" s="122">
        <v>179</v>
      </c>
      <c r="E71" s="122">
        <v>2019</v>
      </c>
      <c r="F71" s="121">
        <v>64</v>
      </c>
      <c r="G71" s="121"/>
      <c r="H71" s="121"/>
      <c r="I71" s="122">
        <v>200</v>
      </c>
      <c r="J71" s="122">
        <v>2165</v>
      </c>
      <c r="K71" s="121">
        <v>73</v>
      </c>
      <c r="L71" s="121"/>
      <c r="M71" s="121"/>
      <c r="N71" s="122">
        <v>54</v>
      </c>
      <c r="O71" s="122">
        <v>272</v>
      </c>
      <c r="P71" s="121">
        <v>64</v>
      </c>
      <c r="Q71" s="121"/>
      <c r="R71" s="121"/>
      <c r="S71" s="122">
        <v>264</v>
      </c>
      <c r="T71" s="122">
        <v>2911</v>
      </c>
    </row>
    <row r="72" spans="1:20">
      <c r="A72" s="121">
        <v>62</v>
      </c>
      <c r="B72" s="121"/>
      <c r="C72" s="121"/>
      <c r="D72" s="122">
        <v>443</v>
      </c>
      <c r="E72" s="122">
        <v>2462</v>
      </c>
      <c r="F72" s="121">
        <v>63</v>
      </c>
      <c r="G72" s="121"/>
      <c r="H72" s="121"/>
      <c r="I72" s="122">
        <v>394</v>
      </c>
      <c r="J72" s="122">
        <v>2559</v>
      </c>
      <c r="K72" s="121">
        <v>72</v>
      </c>
      <c r="L72" s="121"/>
      <c r="M72" s="121"/>
      <c r="N72" s="122">
        <v>44</v>
      </c>
      <c r="O72" s="122">
        <v>316</v>
      </c>
      <c r="P72" s="121">
        <v>63</v>
      </c>
      <c r="Q72" s="121"/>
      <c r="R72" s="121"/>
      <c r="S72" s="122">
        <v>420</v>
      </c>
      <c r="T72" s="122">
        <v>3331</v>
      </c>
    </row>
    <row r="73" spans="1:20">
      <c r="A73" s="121">
        <v>61</v>
      </c>
      <c r="B73" s="121"/>
      <c r="C73" s="121"/>
      <c r="D73" s="122">
        <v>246</v>
      </c>
      <c r="E73" s="122">
        <v>2708</v>
      </c>
      <c r="F73" s="121">
        <v>62</v>
      </c>
      <c r="G73" s="121"/>
      <c r="H73" s="121"/>
      <c r="I73" s="122">
        <v>184</v>
      </c>
      <c r="J73" s="122">
        <v>2743</v>
      </c>
      <c r="K73" s="121">
        <v>71</v>
      </c>
      <c r="L73" s="121"/>
      <c r="M73" s="121"/>
      <c r="N73" s="122">
        <v>27</v>
      </c>
      <c r="O73" s="122">
        <v>343</v>
      </c>
      <c r="P73" s="121">
        <v>62</v>
      </c>
      <c r="Q73" s="121"/>
      <c r="R73" s="121"/>
      <c r="S73" s="122">
        <v>402</v>
      </c>
      <c r="T73" s="122">
        <v>3733</v>
      </c>
    </row>
    <row r="74" spans="1:20">
      <c r="A74" s="121">
        <v>60</v>
      </c>
      <c r="B74" s="121"/>
      <c r="C74" s="121"/>
      <c r="D74" s="122">
        <v>234</v>
      </c>
      <c r="E74" s="122">
        <v>2942</v>
      </c>
      <c r="F74" s="121">
        <v>61</v>
      </c>
      <c r="G74" s="121"/>
      <c r="H74" s="121"/>
      <c r="I74" s="122">
        <v>232</v>
      </c>
      <c r="J74" s="122">
        <v>2975</v>
      </c>
      <c r="K74" s="121">
        <v>70</v>
      </c>
      <c r="L74" s="121"/>
      <c r="M74" s="121"/>
      <c r="N74" s="122">
        <v>47</v>
      </c>
      <c r="O74" s="122">
        <v>390</v>
      </c>
      <c r="P74" s="121">
        <v>61</v>
      </c>
      <c r="Q74" s="121"/>
      <c r="R74" s="121"/>
      <c r="S74" s="122">
        <v>815</v>
      </c>
      <c r="T74" s="122">
        <v>4548</v>
      </c>
    </row>
    <row r="75" spans="1:20">
      <c r="A75" s="121">
        <v>59</v>
      </c>
      <c r="B75" s="121"/>
      <c r="C75" s="121"/>
      <c r="D75" s="122">
        <v>222</v>
      </c>
      <c r="E75" s="122">
        <v>3164</v>
      </c>
      <c r="F75" s="121">
        <v>60</v>
      </c>
      <c r="G75" s="121"/>
      <c r="H75" s="121"/>
      <c r="I75" s="122">
        <v>195</v>
      </c>
      <c r="J75" s="122">
        <v>3170</v>
      </c>
      <c r="K75" s="121">
        <v>69</v>
      </c>
      <c r="L75" s="121"/>
      <c r="M75" s="121"/>
      <c r="N75" s="122">
        <v>117</v>
      </c>
      <c r="O75" s="122">
        <v>507</v>
      </c>
      <c r="P75" s="121">
        <v>60</v>
      </c>
      <c r="Q75" s="121"/>
      <c r="R75" s="121"/>
      <c r="S75" s="122">
        <v>363</v>
      </c>
      <c r="T75" s="122">
        <v>4911</v>
      </c>
    </row>
    <row r="76" spans="1:20">
      <c r="A76" s="121">
        <v>58</v>
      </c>
      <c r="B76" s="121"/>
      <c r="C76" s="121"/>
      <c r="D76" s="122">
        <v>522</v>
      </c>
      <c r="E76" s="122">
        <v>3686</v>
      </c>
      <c r="F76" s="121">
        <v>59</v>
      </c>
      <c r="G76" s="121"/>
      <c r="H76" s="121"/>
      <c r="I76" s="122">
        <v>416</v>
      </c>
      <c r="J76" s="122">
        <v>3586</v>
      </c>
      <c r="K76" s="121">
        <v>68</v>
      </c>
      <c r="L76" s="121"/>
      <c r="M76" s="121"/>
      <c r="N76" s="122">
        <v>84</v>
      </c>
      <c r="O76" s="122">
        <v>591</v>
      </c>
      <c r="P76" s="121">
        <v>59</v>
      </c>
      <c r="Q76" s="121"/>
      <c r="R76" s="121"/>
      <c r="S76" s="122">
        <v>447</v>
      </c>
      <c r="T76" s="122">
        <v>5358</v>
      </c>
    </row>
    <row r="77" spans="1:20">
      <c r="A77" s="121">
        <v>57</v>
      </c>
      <c r="B77" s="121"/>
      <c r="C77" s="121"/>
      <c r="D77" s="122">
        <v>294</v>
      </c>
      <c r="E77" s="122">
        <v>3980</v>
      </c>
      <c r="F77" s="121">
        <v>58</v>
      </c>
      <c r="G77" s="121"/>
      <c r="H77" s="121"/>
      <c r="I77" s="122">
        <v>180</v>
      </c>
      <c r="J77" s="122">
        <v>3766</v>
      </c>
      <c r="K77" s="121">
        <v>67</v>
      </c>
      <c r="L77" s="121"/>
      <c r="M77" s="121"/>
      <c r="N77" s="122">
        <v>38</v>
      </c>
      <c r="O77" s="122">
        <v>629</v>
      </c>
      <c r="P77" s="121">
        <v>58</v>
      </c>
      <c r="Q77" s="121"/>
      <c r="R77" s="121"/>
      <c r="S77" s="122">
        <v>503</v>
      </c>
      <c r="T77" s="122">
        <v>5861</v>
      </c>
    </row>
    <row r="78" spans="1:20">
      <c r="A78" s="121">
        <v>56</v>
      </c>
      <c r="B78" s="121"/>
      <c r="C78" s="121"/>
      <c r="D78" s="122">
        <v>276</v>
      </c>
      <c r="E78" s="122">
        <v>4256</v>
      </c>
      <c r="F78" s="121">
        <v>57</v>
      </c>
      <c r="G78" s="121"/>
      <c r="H78" s="121"/>
      <c r="I78" s="122">
        <v>243</v>
      </c>
      <c r="J78" s="122">
        <v>4009</v>
      </c>
      <c r="K78" s="121">
        <v>66</v>
      </c>
      <c r="L78" s="121"/>
      <c r="M78" s="121"/>
      <c r="N78" s="122">
        <v>79</v>
      </c>
      <c r="O78" s="122">
        <v>708</v>
      </c>
      <c r="P78" s="121">
        <v>57</v>
      </c>
      <c r="Q78" s="121"/>
      <c r="R78" s="121"/>
      <c r="S78" s="122">
        <v>439</v>
      </c>
      <c r="T78" s="122">
        <v>6300</v>
      </c>
    </row>
    <row r="79" spans="1:20">
      <c r="A79" s="121">
        <v>55</v>
      </c>
      <c r="B79" s="121"/>
      <c r="C79" s="121"/>
      <c r="D79" s="122">
        <v>616</v>
      </c>
      <c r="E79" s="122">
        <v>4872</v>
      </c>
      <c r="F79" s="121">
        <v>56</v>
      </c>
      <c r="G79" s="121"/>
      <c r="H79" s="121"/>
      <c r="I79" s="122">
        <v>461</v>
      </c>
      <c r="J79" s="122">
        <v>4470</v>
      </c>
      <c r="K79" s="121">
        <v>65</v>
      </c>
      <c r="L79" s="121"/>
      <c r="M79" s="121"/>
      <c r="N79" s="122">
        <v>62</v>
      </c>
      <c r="O79" s="122">
        <v>770</v>
      </c>
      <c r="P79" s="121">
        <v>56</v>
      </c>
      <c r="Q79" s="121"/>
      <c r="R79" s="121"/>
      <c r="S79" s="122">
        <v>1021</v>
      </c>
      <c r="T79" s="122">
        <v>7321</v>
      </c>
    </row>
    <row r="80" spans="1:20">
      <c r="A80" s="121">
        <v>54</v>
      </c>
      <c r="B80" s="121"/>
      <c r="C80" s="121"/>
      <c r="D80" s="122">
        <v>286</v>
      </c>
      <c r="E80" s="122">
        <v>5158</v>
      </c>
      <c r="F80" s="121">
        <v>55</v>
      </c>
      <c r="G80" s="121"/>
      <c r="H80" s="121"/>
      <c r="I80" s="122">
        <v>248</v>
      </c>
      <c r="J80" s="122">
        <v>4718</v>
      </c>
      <c r="K80" s="121">
        <v>64</v>
      </c>
      <c r="L80" s="121"/>
      <c r="M80" s="121"/>
      <c r="N80" s="122">
        <v>61</v>
      </c>
      <c r="O80" s="122">
        <v>831</v>
      </c>
      <c r="P80" s="121">
        <v>55</v>
      </c>
      <c r="Q80" s="121"/>
      <c r="R80" s="121"/>
      <c r="S80" s="122">
        <v>528</v>
      </c>
      <c r="T80" s="122">
        <v>7849</v>
      </c>
    </row>
    <row r="81" spans="1:20">
      <c r="A81" s="121">
        <v>53</v>
      </c>
      <c r="B81" s="121"/>
      <c r="C81" s="121"/>
      <c r="D81" s="122">
        <v>329</v>
      </c>
      <c r="E81" s="122">
        <v>5487</v>
      </c>
      <c r="F81" s="121">
        <v>54</v>
      </c>
      <c r="G81" s="121"/>
      <c r="H81" s="121"/>
      <c r="I81" s="122">
        <v>250</v>
      </c>
      <c r="J81" s="122">
        <v>4968</v>
      </c>
      <c r="K81" s="121">
        <v>63</v>
      </c>
      <c r="L81" s="121"/>
      <c r="M81" s="121"/>
      <c r="N81" s="122">
        <v>84</v>
      </c>
      <c r="O81" s="122">
        <v>915</v>
      </c>
      <c r="P81" s="121">
        <v>54</v>
      </c>
      <c r="Q81" s="121"/>
      <c r="R81" s="121"/>
      <c r="S81" s="122">
        <v>591</v>
      </c>
      <c r="T81" s="122">
        <v>8440</v>
      </c>
    </row>
    <row r="82" spans="1:20">
      <c r="A82" s="121">
        <v>52</v>
      </c>
      <c r="B82" s="121"/>
      <c r="C82" s="121"/>
      <c r="D82" s="122">
        <v>358</v>
      </c>
      <c r="E82" s="122">
        <v>5845</v>
      </c>
      <c r="F82" s="121">
        <v>53</v>
      </c>
      <c r="G82" s="121"/>
      <c r="H82" s="121"/>
      <c r="I82" s="122">
        <v>305</v>
      </c>
      <c r="J82" s="122">
        <v>5273</v>
      </c>
      <c r="K82" s="121">
        <v>62</v>
      </c>
      <c r="L82" s="121"/>
      <c r="M82" s="121"/>
      <c r="N82" s="122">
        <v>90</v>
      </c>
      <c r="O82" s="122">
        <v>1005</v>
      </c>
      <c r="P82" s="121">
        <v>53</v>
      </c>
      <c r="Q82" s="121"/>
      <c r="R82" s="121"/>
      <c r="S82" s="122">
        <v>534</v>
      </c>
      <c r="T82" s="122">
        <v>8974</v>
      </c>
    </row>
    <row r="83" spans="1:20">
      <c r="A83" s="121">
        <v>51</v>
      </c>
      <c r="B83" s="121"/>
      <c r="C83" s="121"/>
      <c r="D83" s="122">
        <v>621</v>
      </c>
      <c r="E83" s="122">
        <v>6466</v>
      </c>
      <c r="F83" s="121">
        <v>52</v>
      </c>
      <c r="G83" s="121"/>
      <c r="H83" s="121"/>
      <c r="I83" s="122">
        <v>587</v>
      </c>
      <c r="J83" s="122">
        <v>5860</v>
      </c>
      <c r="K83" s="121">
        <v>61</v>
      </c>
      <c r="L83" s="121"/>
      <c r="M83" s="121"/>
      <c r="N83" s="122">
        <v>102</v>
      </c>
      <c r="O83" s="122">
        <v>1107</v>
      </c>
      <c r="P83" s="121">
        <v>52</v>
      </c>
      <c r="Q83" s="121"/>
      <c r="R83" s="121"/>
      <c r="S83" s="122">
        <v>1245</v>
      </c>
      <c r="T83" s="122">
        <v>10219</v>
      </c>
    </row>
    <row r="84" spans="1:20">
      <c r="A84" s="121">
        <v>50</v>
      </c>
      <c r="B84" s="121"/>
      <c r="C84" s="121"/>
      <c r="D84" s="122">
        <v>317</v>
      </c>
      <c r="E84" s="122">
        <v>6783</v>
      </c>
      <c r="F84" s="121">
        <v>51</v>
      </c>
      <c r="G84" s="121"/>
      <c r="H84" s="121"/>
      <c r="I84" s="122">
        <v>305</v>
      </c>
      <c r="J84" s="122">
        <v>6165</v>
      </c>
      <c r="K84" s="121">
        <v>60</v>
      </c>
      <c r="L84" s="121"/>
      <c r="M84" s="121"/>
      <c r="N84" s="122">
        <v>129</v>
      </c>
      <c r="O84" s="122">
        <v>1236</v>
      </c>
      <c r="P84" s="121">
        <v>51</v>
      </c>
      <c r="Q84" s="121"/>
      <c r="R84" s="121"/>
      <c r="S84" s="122">
        <v>531</v>
      </c>
      <c r="T84" s="122">
        <v>10750</v>
      </c>
    </row>
    <row r="85" spans="1:20">
      <c r="A85" s="121">
        <v>49</v>
      </c>
      <c r="B85" s="121"/>
      <c r="C85" s="121"/>
      <c r="D85" s="122">
        <v>331</v>
      </c>
      <c r="E85" s="122">
        <v>7114</v>
      </c>
      <c r="F85" s="121">
        <v>50</v>
      </c>
      <c r="G85" s="121"/>
      <c r="H85" s="121"/>
      <c r="I85" s="122">
        <v>299</v>
      </c>
      <c r="J85" s="122">
        <v>6464</v>
      </c>
      <c r="K85" s="121">
        <v>59</v>
      </c>
      <c r="L85" s="121"/>
      <c r="M85" s="121"/>
      <c r="N85" s="122">
        <v>110</v>
      </c>
      <c r="O85" s="122">
        <v>1346</v>
      </c>
      <c r="P85" s="121">
        <v>50</v>
      </c>
      <c r="Q85" s="121"/>
      <c r="R85" s="121"/>
      <c r="S85" s="122">
        <v>640</v>
      </c>
      <c r="T85" s="122">
        <v>11390</v>
      </c>
    </row>
    <row r="86" spans="1:20">
      <c r="A86" s="121">
        <v>48</v>
      </c>
      <c r="B86" s="121"/>
      <c r="C86" s="121"/>
      <c r="D86" s="122">
        <v>665</v>
      </c>
      <c r="E86" s="122">
        <v>7779</v>
      </c>
      <c r="F86" s="121">
        <v>49</v>
      </c>
      <c r="G86" s="121"/>
      <c r="H86" s="121"/>
      <c r="I86" s="122">
        <v>753</v>
      </c>
      <c r="J86" s="122">
        <v>7217</v>
      </c>
      <c r="K86" s="121">
        <v>58</v>
      </c>
      <c r="L86" s="121"/>
      <c r="M86" s="121"/>
      <c r="N86" s="122">
        <v>118</v>
      </c>
      <c r="O86" s="122">
        <v>1464</v>
      </c>
      <c r="P86" s="121">
        <v>49</v>
      </c>
      <c r="Q86" s="121"/>
      <c r="R86" s="121"/>
      <c r="S86" s="122">
        <v>549</v>
      </c>
      <c r="T86" s="122">
        <v>11939</v>
      </c>
    </row>
    <row r="87" spans="1:20">
      <c r="A87" s="121">
        <v>47</v>
      </c>
      <c r="B87" s="121"/>
      <c r="C87" s="121"/>
      <c r="D87" s="122">
        <v>362</v>
      </c>
      <c r="E87" s="122">
        <v>8141</v>
      </c>
      <c r="F87" s="121">
        <v>48</v>
      </c>
      <c r="G87" s="121"/>
      <c r="H87" s="121"/>
      <c r="I87" s="122">
        <v>397</v>
      </c>
      <c r="J87" s="122">
        <v>7614</v>
      </c>
      <c r="K87" s="121">
        <v>57</v>
      </c>
      <c r="L87" s="121"/>
      <c r="M87" s="121"/>
      <c r="N87" s="122">
        <v>123</v>
      </c>
      <c r="O87" s="122">
        <v>1587</v>
      </c>
      <c r="P87" s="121">
        <v>48</v>
      </c>
      <c r="Q87" s="121"/>
      <c r="R87" s="121"/>
      <c r="S87" s="122">
        <v>602</v>
      </c>
      <c r="T87" s="122">
        <v>12541</v>
      </c>
    </row>
    <row r="88" spans="1:20">
      <c r="A88" s="121">
        <v>46</v>
      </c>
      <c r="B88" s="121"/>
      <c r="C88" s="121"/>
      <c r="D88" s="122">
        <v>413</v>
      </c>
      <c r="E88" s="122">
        <v>8554</v>
      </c>
      <c r="F88" s="121">
        <v>47</v>
      </c>
      <c r="G88" s="121"/>
      <c r="H88" s="121"/>
      <c r="I88" s="122">
        <v>415</v>
      </c>
      <c r="J88" s="122">
        <v>8029</v>
      </c>
      <c r="K88" s="121">
        <v>56</v>
      </c>
      <c r="L88" s="121"/>
      <c r="M88" s="121"/>
      <c r="N88" s="122">
        <v>138</v>
      </c>
      <c r="O88" s="122">
        <v>1725</v>
      </c>
      <c r="P88" s="121">
        <v>47</v>
      </c>
      <c r="Q88" s="121"/>
      <c r="R88" s="121"/>
      <c r="S88" s="122">
        <v>1191</v>
      </c>
      <c r="T88" s="122">
        <v>13732</v>
      </c>
    </row>
    <row r="89" spans="1:20">
      <c r="A89" s="121">
        <v>45</v>
      </c>
      <c r="B89" s="121"/>
      <c r="C89" s="121"/>
      <c r="D89" s="122">
        <v>335</v>
      </c>
      <c r="E89" s="122">
        <v>8889</v>
      </c>
      <c r="F89" s="121">
        <v>46</v>
      </c>
      <c r="G89" s="121"/>
      <c r="H89" s="121"/>
      <c r="I89" s="122">
        <v>408</v>
      </c>
      <c r="J89" s="122">
        <v>8437</v>
      </c>
      <c r="K89" s="121">
        <v>55</v>
      </c>
      <c r="L89" s="121"/>
      <c r="M89" s="121"/>
      <c r="N89" s="122">
        <v>145</v>
      </c>
      <c r="O89" s="122">
        <v>1870</v>
      </c>
      <c r="P89" s="121">
        <v>46</v>
      </c>
      <c r="Q89" s="121"/>
      <c r="R89" s="121"/>
      <c r="S89" s="122">
        <v>718</v>
      </c>
      <c r="T89" s="122">
        <v>14450</v>
      </c>
    </row>
    <row r="90" spans="1:20">
      <c r="A90" s="121">
        <v>44</v>
      </c>
      <c r="B90" s="121"/>
      <c r="C90" s="121"/>
      <c r="D90" s="122">
        <v>707</v>
      </c>
      <c r="E90" s="122">
        <v>9596</v>
      </c>
      <c r="F90" s="121">
        <v>45</v>
      </c>
      <c r="G90" s="121"/>
      <c r="H90" s="121"/>
      <c r="I90" s="122">
        <v>1011</v>
      </c>
      <c r="J90" s="122">
        <v>9448</v>
      </c>
      <c r="K90" s="121">
        <v>54</v>
      </c>
      <c r="L90" s="121"/>
      <c r="M90" s="121"/>
      <c r="N90" s="122">
        <v>153</v>
      </c>
      <c r="O90" s="122">
        <v>2023</v>
      </c>
      <c r="P90" s="121">
        <v>45</v>
      </c>
      <c r="Q90" s="121"/>
      <c r="R90" s="121"/>
      <c r="S90" s="122">
        <v>569</v>
      </c>
      <c r="T90" s="122">
        <v>15019</v>
      </c>
    </row>
    <row r="91" spans="1:20">
      <c r="A91" s="121">
        <v>43</v>
      </c>
      <c r="B91" s="121"/>
      <c r="C91" s="121"/>
      <c r="D91" s="122">
        <v>392</v>
      </c>
      <c r="E91" s="122">
        <v>9988</v>
      </c>
      <c r="F91" s="121">
        <v>44</v>
      </c>
      <c r="G91" s="121"/>
      <c r="H91" s="121"/>
      <c r="I91" s="122">
        <v>514</v>
      </c>
      <c r="J91" s="122">
        <v>9962</v>
      </c>
      <c r="K91" s="121">
        <v>53</v>
      </c>
      <c r="L91" s="121"/>
      <c r="M91" s="121"/>
      <c r="N91" s="122">
        <v>179</v>
      </c>
      <c r="O91" s="122">
        <v>2202</v>
      </c>
      <c r="P91" s="121">
        <v>44</v>
      </c>
      <c r="Q91" s="121"/>
      <c r="R91" s="121"/>
      <c r="S91" s="122">
        <v>643</v>
      </c>
      <c r="T91" s="122">
        <v>15662</v>
      </c>
    </row>
    <row r="92" spans="1:20">
      <c r="A92" s="121">
        <v>42</v>
      </c>
      <c r="B92" s="121"/>
      <c r="C92" s="121"/>
      <c r="D92" s="122">
        <v>360</v>
      </c>
      <c r="E92" s="122">
        <v>10348</v>
      </c>
      <c r="F92" s="121">
        <v>43</v>
      </c>
      <c r="G92" s="121"/>
      <c r="H92" s="121"/>
      <c r="I92" s="122">
        <v>610</v>
      </c>
      <c r="J92" s="122">
        <v>10572</v>
      </c>
      <c r="K92" s="121">
        <v>52</v>
      </c>
      <c r="L92" s="121"/>
      <c r="M92" s="121"/>
      <c r="N92" s="122">
        <v>152</v>
      </c>
      <c r="O92" s="122">
        <v>2354</v>
      </c>
      <c r="P92" s="121">
        <v>43</v>
      </c>
      <c r="Q92" s="121"/>
      <c r="R92" s="121"/>
      <c r="S92" s="122">
        <v>699</v>
      </c>
      <c r="T92" s="122">
        <v>16361</v>
      </c>
    </row>
    <row r="93" spans="1:20">
      <c r="A93" s="121">
        <v>41</v>
      </c>
      <c r="B93" s="121"/>
      <c r="C93" s="121"/>
      <c r="D93" s="122">
        <v>856</v>
      </c>
      <c r="E93" s="122">
        <v>11204</v>
      </c>
      <c r="F93" s="121">
        <v>42</v>
      </c>
      <c r="G93" s="121"/>
      <c r="H93" s="121"/>
      <c r="I93" s="122">
        <v>1707</v>
      </c>
      <c r="J93" s="122">
        <v>12279</v>
      </c>
      <c r="K93" s="121">
        <v>51</v>
      </c>
      <c r="L93" s="121"/>
      <c r="M93" s="121"/>
      <c r="N93" s="122">
        <v>207</v>
      </c>
      <c r="O93" s="122">
        <v>2561</v>
      </c>
      <c r="P93" s="121">
        <v>42</v>
      </c>
      <c r="Q93" s="121"/>
      <c r="R93" s="121"/>
      <c r="S93" s="122">
        <v>1286</v>
      </c>
      <c r="T93" s="122">
        <v>17647</v>
      </c>
    </row>
    <row r="94" spans="1:20">
      <c r="A94" s="121">
        <v>40</v>
      </c>
      <c r="B94" s="121"/>
      <c r="C94" s="121"/>
      <c r="D94" s="122">
        <v>286</v>
      </c>
      <c r="E94" s="122">
        <v>11490</v>
      </c>
      <c r="F94" s="121">
        <v>41</v>
      </c>
      <c r="G94" s="121"/>
      <c r="H94" s="121"/>
      <c r="I94" s="122">
        <v>926</v>
      </c>
      <c r="J94" s="122">
        <v>13205</v>
      </c>
      <c r="K94" s="121">
        <v>50</v>
      </c>
      <c r="L94" s="121"/>
      <c r="M94" s="121"/>
      <c r="N94" s="122">
        <v>191</v>
      </c>
      <c r="O94" s="122">
        <v>2752</v>
      </c>
      <c r="P94" s="121">
        <v>41</v>
      </c>
      <c r="Q94" s="121"/>
      <c r="R94" s="121"/>
      <c r="S94" s="122">
        <v>603</v>
      </c>
      <c r="T94" s="122">
        <v>18250</v>
      </c>
    </row>
    <row r="95" spans="1:20">
      <c r="A95" s="121">
        <v>39</v>
      </c>
      <c r="B95" s="121"/>
      <c r="C95" s="121"/>
      <c r="D95" s="122">
        <v>1334</v>
      </c>
      <c r="E95" s="122">
        <v>12824</v>
      </c>
      <c r="F95" s="121">
        <v>40</v>
      </c>
      <c r="G95" s="121"/>
      <c r="H95" s="121"/>
      <c r="I95" s="122">
        <v>465</v>
      </c>
      <c r="J95" s="122">
        <v>13670</v>
      </c>
      <c r="K95" s="121">
        <v>49</v>
      </c>
      <c r="L95" s="121"/>
      <c r="M95" s="121"/>
      <c r="N95" s="122">
        <v>267</v>
      </c>
      <c r="O95" s="122">
        <v>3019</v>
      </c>
      <c r="P95" s="121">
        <v>40</v>
      </c>
      <c r="Q95" s="121"/>
      <c r="R95" s="121"/>
      <c r="S95" s="122">
        <v>1393</v>
      </c>
      <c r="T95" s="122">
        <v>19643</v>
      </c>
    </row>
    <row r="96" spans="1:20">
      <c r="A96" s="121">
        <v>38</v>
      </c>
      <c r="B96" s="121"/>
      <c r="C96" s="121"/>
      <c r="D96" s="122">
        <v>242</v>
      </c>
      <c r="E96" s="122">
        <v>13066</v>
      </c>
      <c r="F96" s="121">
        <v>39</v>
      </c>
      <c r="G96" s="121"/>
      <c r="H96" s="121"/>
      <c r="I96" s="122">
        <v>487</v>
      </c>
      <c r="J96" s="122">
        <v>14157</v>
      </c>
      <c r="K96" s="121">
        <v>48</v>
      </c>
      <c r="L96" s="121"/>
      <c r="M96" s="121"/>
      <c r="N96" s="122">
        <v>231</v>
      </c>
      <c r="O96" s="122">
        <v>3250</v>
      </c>
      <c r="P96" s="121">
        <v>39</v>
      </c>
      <c r="Q96" s="121"/>
      <c r="R96" s="121"/>
      <c r="S96" s="122">
        <v>619</v>
      </c>
      <c r="T96" s="122">
        <v>20262</v>
      </c>
    </row>
    <row r="97" spans="1:20">
      <c r="A97" s="121">
        <v>37</v>
      </c>
      <c r="B97" s="121"/>
      <c r="C97" s="121"/>
      <c r="D97" s="122">
        <v>605</v>
      </c>
      <c r="E97" s="122">
        <v>13671</v>
      </c>
      <c r="F97" s="121">
        <v>38</v>
      </c>
      <c r="G97" s="121"/>
      <c r="H97" s="121"/>
      <c r="I97" s="122">
        <v>664</v>
      </c>
      <c r="J97" s="122">
        <v>14821</v>
      </c>
      <c r="K97" s="121">
        <v>47</v>
      </c>
      <c r="L97" s="121"/>
      <c r="M97" s="121"/>
      <c r="N97" s="122">
        <v>255</v>
      </c>
      <c r="O97" s="122">
        <v>3505</v>
      </c>
      <c r="P97" s="121">
        <v>38</v>
      </c>
      <c r="Q97" s="121"/>
      <c r="R97" s="121"/>
      <c r="S97" s="122">
        <v>2046</v>
      </c>
      <c r="T97" s="122">
        <v>22308</v>
      </c>
    </row>
    <row r="98" spans="1:20">
      <c r="A98" s="121">
        <v>36</v>
      </c>
      <c r="B98" s="121"/>
      <c r="C98" s="121"/>
      <c r="D98" s="122">
        <v>129</v>
      </c>
      <c r="E98" s="122">
        <v>13800</v>
      </c>
      <c r="F98" s="121">
        <v>37</v>
      </c>
      <c r="G98" s="121"/>
      <c r="H98" s="121"/>
      <c r="I98" s="122">
        <v>143</v>
      </c>
      <c r="J98" s="122">
        <v>14964</v>
      </c>
      <c r="K98" s="121">
        <v>46</v>
      </c>
      <c r="L98" s="121"/>
      <c r="M98" s="121"/>
      <c r="N98" s="122">
        <v>286</v>
      </c>
      <c r="O98" s="122">
        <v>3791</v>
      </c>
      <c r="P98" s="121">
        <v>37</v>
      </c>
      <c r="Q98" s="121"/>
      <c r="R98" s="121"/>
      <c r="S98" s="122">
        <v>507</v>
      </c>
      <c r="T98" s="122">
        <v>22815</v>
      </c>
    </row>
    <row r="99" spans="1:20">
      <c r="A99" s="121">
        <v>35</v>
      </c>
      <c r="B99" s="121"/>
      <c r="C99" s="121"/>
      <c r="D99" s="122">
        <v>181</v>
      </c>
      <c r="E99" s="122">
        <v>13981</v>
      </c>
      <c r="F99" s="121">
        <v>36</v>
      </c>
      <c r="G99" s="121"/>
      <c r="H99" s="121"/>
      <c r="I99" s="122">
        <v>159</v>
      </c>
      <c r="J99" s="122">
        <v>15123</v>
      </c>
      <c r="K99" s="121">
        <v>45</v>
      </c>
      <c r="L99" s="121"/>
      <c r="M99" s="121"/>
      <c r="N99" s="122">
        <v>358</v>
      </c>
      <c r="O99" s="122">
        <v>4149</v>
      </c>
      <c r="P99" s="121">
        <v>36</v>
      </c>
      <c r="Q99" s="121"/>
      <c r="R99" s="121"/>
      <c r="S99" s="122">
        <v>283</v>
      </c>
      <c r="T99" s="122">
        <v>23098</v>
      </c>
    </row>
    <row r="100" spans="1:20">
      <c r="A100" s="121">
        <v>34</v>
      </c>
      <c r="B100" s="121"/>
      <c r="C100" s="121"/>
      <c r="D100" s="122">
        <v>85</v>
      </c>
      <c r="E100" s="122">
        <v>14066</v>
      </c>
      <c r="F100" s="121">
        <v>35</v>
      </c>
      <c r="G100" s="121"/>
      <c r="H100" s="121"/>
      <c r="I100" s="122">
        <v>98</v>
      </c>
      <c r="J100" s="122">
        <v>15221</v>
      </c>
      <c r="K100" s="121">
        <v>44</v>
      </c>
      <c r="L100" s="121"/>
      <c r="M100" s="121"/>
      <c r="N100" s="122">
        <v>332</v>
      </c>
      <c r="O100" s="122">
        <v>4481</v>
      </c>
      <c r="P100" s="121">
        <v>35</v>
      </c>
      <c r="Q100" s="121"/>
      <c r="R100" s="121"/>
      <c r="S100" s="122">
        <v>181</v>
      </c>
      <c r="T100" s="122">
        <v>23279</v>
      </c>
    </row>
    <row r="101" spans="1:20">
      <c r="A101" s="121">
        <v>33</v>
      </c>
      <c r="B101" s="121"/>
      <c r="C101" s="121"/>
      <c r="D101" s="122">
        <v>130</v>
      </c>
      <c r="E101" s="122">
        <v>14196</v>
      </c>
      <c r="F101" s="121">
        <v>34</v>
      </c>
      <c r="G101" s="121"/>
      <c r="H101" s="121"/>
      <c r="I101" s="122">
        <v>96</v>
      </c>
      <c r="J101" s="122">
        <v>15317</v>
      </c>
      <c r="K101" s="121">
        <v>43</v>
      </c>
      <c r="L101" s="121"/>
      <c r="M101" s="121"/>
      <c r="N101" s="122">
        <v>208</v>
      </c>
      <c r="O101" s="122">
        <v>4689</v>
      </c>
      <c r="P101" s="121">
        <v>34</v>
      </c>
      <c r="Q101" s="121"/>
      <c r="R101" s="121"/>
      <c r="S101" s="122">
        <v>184</v>
      </c>
      <c r="T101" s="122">
        <v>23463</v>
      </c>
    </row>
    <row r="102" spans="1:20">
      <c r="A102" s="121">
        <v>31</v>
      </c>
      <c r="B102" s="121"/>
      <c r="C102" s="121"/>
      <c r="D102" s="122">
        <v>24</v>
      </c>
      <c r="E102" s="122">
        <v>14220</v>
      </c>
      <c r="F102" s="121">
        <v>32</v>
      </c>
      <c r="G102" s="121"/>
      <c r="H102" s="121"/>
      <c r="I102" s="122">
        <v>22</v>
      </c>
      <c r="J102" s="122">
        <v>15339</v>
      </c>
      <c r="K102" s="121">
        <v>42</v>
      </c>
      <c r="L102" s="121"/>
      <c r="M102" s="121"/>
      <c r="N102" s="122">
        <v>922</v>
      </c>
      <c r="O102" s="122">
        <v>5611</v>
      </c>
      <c r="P102" s="121">
        <v>33</v>
      </c>
      <c r="Q102" s="121"/>
      <c r="R102" s="121"/>
      <c r="S102" s="122">
        <v>145</v>
      </c>
      <c r="T102" s="122">
        <v>23608</v>
      </c>
    </row>
    <row r="103" spans="1:20">
      <c r="A103" s="121"/>
      <c r="B103" s="121"/>
      <c r="C103" s="121"/>
      <c r="D103" s="122"/>
      <c r="E103" s="122"/>
      <c r="F103" s="121"/>
      <c r="G103" s="121"/>
      <c r="H103" s="121"/>
      <c r="I103" s="122"/>
      <c r="J103" s="122"/>
      <c r="K103" s="121">
        <v>41</v>
      </c>
      <c r="L103" s="121"/>
      <c r="M103" s="121"/>
      <c r="N103" s="122">
        <v>247</v>
      </c>
      <c r="O103" s="122">
        <v>5858</v>
      </c>
      <c r="P103" s="121">
        <v>32</v>
      </c>
      <c r="Q103" s="121"/>
      <c r="R103" s="121"/>
      <c r="S103" s="122">
        <v>43</v>
      </c>
      <c r="T103" s="122">
        <v>23651</v>
      </c>
    </row>
    <row r="104" spans="1:20">
      <c r="A104" s="121"/>
      <c r="B104" s="121"/>
      <c r="C104" s="121"/>
      <c r="D104" s="122"/>
      <c r="E104" s="122"/>
      <c r="F104" s="121"/>
      <c r="G104" s="121"/>
      <c r="H104" s="121"/>
      <c r="I104" s="122"/>
      <c r="J104" s="122"/>
      <c r="K104" s="121">
        <v>40</v>
      </c>
      <c r="L104" s="121"/>
      <c r="M104" s="121"/>
      <c r="N104" s="122">
        <v>646</v>
      </c>
      <c r="O104" s="122">
        <v>6504</v>
      </c>
      <c r="P104" s="121">
        <v>30</v>
      </c>
      <c r="Q104" s="121"/>
      <c r="R104" s="121"/>
      <c r="S104" s="122">
        <v>24</v>
      </c>
      <c r="T104" s="122">
        <v>23675</v>
      </c>
    </row>
    <row r="105" spans="1:20">
      <c r="A105" s="121"/>
      <c r="B105" s="121"/>
      <c r="C105" s="121"/>
      <c r="D105" s="122"/>
      <c r="E105" s="122"/>
      <c r="F105" s="121"/>
      <c r="G105" s="121"/>
      <c r="H105" s="121"/>
      <c r="I105" s="122"/>
      <c r="J105" s="122"/>
      <c r="K105" s="121">
        <v>39</v>
      </c>
      <c r="L105" s="121"/>
      <c r="M105" s="121"/>
      <c r="N105" s="122">
        <v>73</v>
      </c>
      <c r="O105" s="122">
        <v>6577</v>
      </c>
      <c r="P105" s="121"/>
      <c r="Q105" s="121"/>
      <c r="R105" s="121"/>
      <c r="S105" s="122"/>
      <c r="T105" s="122"/>
    </row>
    <row r="106" spans="1:20">
      <c r="A106" s="121"/>
      <c r="B106" s="121"/>
      <c r="C106" s="121"/>
      <c r="D106" s="122"/>
      <c r="E106" s="122"/>
      <c r="F106" s="121"/>
      <c r="G106" s="121"/>
      <c r="H106" s="121"/>
      <c r="I106" s="122"/>
      <c r="J106" s="122"/>
      <c r="K106" s="121">
        <v>38</v>
      </c>
      <c r="L106" s="121"/>
      <c r="M106" s="121"/>
      <c r="N106" s="122">
        <v>147</v>
      </c>
      <c r="O106" s="122">
        <v>6724</v>
      </c>
      <c r="P106" s="121"/>
      <c r="Q106" s="121"/>
      <c r="R106" s="121"/>
      <c r="S106" s="122"/>
      <c r="T106" s="122"/>
    </row>
    <row r="107" spans="1:20">
      <c r="A107" s="121"/>
      <c r="B107" s="121"/>
      <c r="C107" s="121"/>
      <c r="D107" s="122"/>
      <c r="E107" s="122"/>
      <c r="F107" s="121"/>
      <c r="G107" s="121"/>
      <c r="H107" s="121"/>
      <c r="I107" s="122"/>
      <c r="J107" s="122"/>
      <c r="K107" s="123">
        <v>37</v>
      </c>
      <c r="L107" s="123"/>
      <c r="M107" s="123"/>
      <c r="N107" s="124">
        <v>58</v>
      </c>
      <c r="O107" s="122">
        <v>6782</v>
      </c>
      <c r="P107" s="121"/>
      <c r="Q107" s="121"/>
      <c r="R107" s="121"/>
      <c r="S107" s="122"/>
      <c r="T107" s="122"/>
    </row>
    <row r="108" spans="1:20">
      <c r="A108" s="121"/>
      <c r="B108" s="121"/>
      <c r="C108" s="121"/>
      <c r="D108" s="122"/>
      <c r="E108" s="122"/>
      <c r="F108" s="121"/>
      <c r="G108" s="121"/>
      <c r="H108" s="121"/>
      <c r="I108" s="122"/>
      <c r="J108" s="122"/>
      <c r="K108" s="123">
        <v>36</v>
      </c>
      <c r="L108" s="123"/>
      <c r="M108" s="123"/>
      <c r="N108" s="124">
        <v>53</v>
      </c>
      <c r="O108" s="122">
        <v>6835</v>
      </c>
      <c r="P108" s="121"/>
      <c r="Q108" s="121"/>
      <c r="R108" s="121"/>
      <c r="S108" s="122"/>
      <c r="T108" s="122"/>
    </row>
    <row r="109" spans="1:20">
      <c r="A109" s="121"/>
      <c r="B109" s="121"/>
      <c r="C109" s="121"/>
      <c r="D109" s="122"/>
      <c r="E109" s="122"/>
      <c r="F109" s="121"/>
      <c r="G109" s="121"/>
      <c r="H109" s="121"/>
      <c r="I109" s="122"/>
      <c r="J109" s="122"/>
      <c r="K109" s="123">
        <v>35</v>
      </c>
      <c r="L109" s="123"/>
      <c r="M109" s="123"/>
      <c r="N109" s="124">
        <v>29</v>
      </c>
      <c r="O109" s="122">
        <v>6864</v>
      </c>
      <c r="P109" s="121"/>
      <c r="Q109" s="121"/>
      <c r="R109" s="121"/>
      <c r="S109" s="122"/>
      <c r="T109" s="122"/>
    </row>
    <row r="110" spans="1:20">
      <c r="A110" s="123"/>
      <c r="B110" s="123"/>
      <c r="C110" s="123"/>
      <c r="D110" s="124"/>
      <c r="E110" s="124"/>
      <c r="F110" s="121"/>
      <c r="G110" s="121"/>
      <c r="H110" s="121"/>
      <c r="I110" s="122"/>
      <c r="J110" s="122"/>
      <c r="K110" s="123">
        <v>33</v>
      </c>
      <c r="L110" s="123"/>
      <c r="M110" s="123"/>
      <c r="N110" s="124">
        <v>17</v>
      </c>
      <c r="O110" s="122">
        <v>6881</v>
      </c>
      <c r="P110" s="121"/>
      <c r="Q110" s="121"/>
      <c r="R110" s="121"/>
      <c r="S110" s="122"/>
      <c r="T110" s="122"/>
    </row>
    <row r="111" spans="1:20" ht="17.5" thickBot="1">
      <c r="A111" s="8"/>
      <c r="B111" s="9"/>
      <c r="C111" s="9"/>
      <c r="D111" s="2"/>
      <c r="F111" s="8"/>
      <c r="G111" s="9"/>
      <c r="H111" s="9"/>
      <c r="I111" s="2"/>
      <c r="K111" s="8"/>
      <c r="L111" s="9"/>
      <c r="M111" s="9"/>
      <c r="N111" s="2"/>
      <c r="P111" s="8"/>
      <c r="Q111" s="9"/>
      <c r="R111" s="9"/>
      <c r="S111" s="2"/>
    </row>
    <row r="118" spans="1:5" ht="17.5" thickBot="1"/>
    <row r="119" spans="1:5">
      <c r="A119" s="12" t="s">
        <v>16</v>
      </c>
      <c r="B119" s="13"/>
      <c r="C119" s="13"/>
      <c r="D119" s="14"/>
    </row>
    <row r="120" spans="1:5">
      <c r="A120" s="6" t="s">
        <v>1</v>
      </c>
      <c r="B120" s="1"/>
      <c r="C120" s="1"/>
      <c r="D120" s="7" t="s">
        <v>0</v>
      </c>
    </row>
    <row r="121" spans="1:5">
      <c r="A121" s="121">
        <v>70</v>
      </c>
      <c r="B121" s="121"/>
      <c r="C121" s="121"/>
      <c r="D121" s="122">
        <v>754</v>
      </c>
      <c r="E121" s="122">
        <v>754</v>
      </c>
    </row>
    <row r="122" spans="1:5">
      <c r="A122" s="121">
        <v>68</v>
      </c>
      <c r="B122" s="121"/>
      <c r="C122" s="121"/>
      <c r="D122" s="122">
        <v>3069</v>
      </c>
      <c r="E122" s="122">
        <v>3823</v>
      </c>
    </row>
    <row r="123" spans="1:5">
      <c r="A123" s="121">
        <v>67</v>
      </c>
      <c r="B123" s="121"/>
      <c r="C123" s="121"/>
      <c r="D123" s="122">
        <v>172</v>
      </c>
      <c r="E123" s="122">
        <v>3995</v>
      </c>
    </row>
    <row r="124" spans="1:5">
      <c r="A124" s="121">
        <v>66</v>
      </c>
      <c r="B124" s="121"/>
      <c r="C124" s="121"/>
      <c r="D124" s="122">
        <v>3122</v>
      </c>
      <c r="E124" s="122">
        <v>7117</v>
      </c>
    </row>
    <row r="125" spans="1:5">
      <c r="A125" s="121">
        <v>65</v>
      </c>
      <c r="B125" s="121"/>
      <c r="C125" s="121"/>
      <c r="D125" s="122">
        <v>2893</v>
      </c>
      <c r="E125" s="122">
        <v>10010</v>
      </c>
    </row>
    <row r="126" spans="1:5">
      <c r="A126" s="121">
        <v>64</v>
      </c>
      <c r="B126" s="121"/>
      <c r="C126" s="121"/>
      <c r="D126" s="122">
        <v>1180</v>
      </c>
      <c r="E126" s="122">
        <v>11190</v>
      </c>
    </row>
    <row r="127" spans="1:5">
      <c r="A127" s="121">
        <v>63</v>
      </c>
      <c r="B127" s="121"/>
      <c r="C127" s="121"/>
      <c r="D127" s="122">
        <v>5302</v>
      </c>
      <c r="E127" s="122">
        <v>16492</v>
      </c>
    </row>
    <row r="128" spans="1:5">
      <c r="A128" s="121">
        <v>62</v>
      </c>
      <c r="B128" s="121"/>
      <c r="C128" s="121"/>
      <c r="D128" s="122">
        <v>2657</v>
      </c>
      <c r="E128" s="122">
        <v>19149</v>
      </c>
    </row>
    <row r="129" spans="1:5">
      <c r="A129" s="121">
        <v>61</v>
      </c>
      <c r="B129" s="121"/>
      <c r="C129" s="121"/>
      <c r="D129" s="122">
        <v>8540</v>
      </c>
      <c r="E129" s="122">
        <v>27689</v>
      </c>
    </row>
    <row r="130" spans="1:5">
      <c r="A130" s="121">
        <v>60</v>
      </c>
      <c r="B130" s="121"/>
      <c r="C130" s="121"/>
      <c r="D130" s="122">
        <v>2788</v>
      </c>
      <c r="E130" s="122">
        <v>30477</v>
      </c>
    </row>
    <row r="131" spans="1:5">
      <c r="A131" s="121">
        <v>59</v>
      </c>
      <c r="B131" s="121"/>
      <c r="C131" s="121"/>
      <c r="D131" s="122">
        <v>4756</v>
      </c>
      <c r="E131" s="122">
        <v>35233</v>
      </c>
    </row>
    <row r="132" spans="1:5">
      <c r="A132" s="121">
        <v>58</v>
      </c>
      <c r="B132" s="121"/>
      <c r="C132" s="121"/>
      <c r="D132" s="122">
        <v>4772</v>
      </c>
      <c r="E132" s="122">
        <v>40005</v>
      </c>
    </row>
    <row r="133" spans="1:5">
      <c r="A133" s="121">
        <v>57</v>
      </c>
      <c r="B133" s="121"/>
      <c r="C133" s="121"/>
      <c r="D133" s="122">
        <v>3753</v>
      </c>
      <c r="E133" s="122">
        <v>43758</v>
      </c>
    </row>
    <row r="134" spans="1:5">
      <c r="A134" s="121">
        <v>56</v>
      </c>
      <c r="B134" s="121"/>
      <c r="C134" s="121"/>
      <c r="D134" s="122">
        <v>5202</v>
      </c>
      <c r="E134" s="122">
        <v>48960</v>
      </c>
    </row>
    <row r="135" spans="1:5">
      <c r="A135" s="121">
        <v>55</v>
      </c>
      <c r="B135" s="121"/>
      <c r="C135" s="121"/>
      <c r="D135" s="122">
        <v>3963</v>
      </c>
      <c r="E135" s="122">
        <v>52923</v>
      </c>
    </row>
    <row r="136" spans="1:5">
      <c r="A136" s="121">
        <v>54</v>
      </c>
      <c r="B136" s="121"/>
      <c r="C136" s="121"/>
      <c r="D136" s="122">
        <v>9362</v>
      </c>
      <c r="E136" s="122">
        <v>62285</v>
      </c>
    </row>
    <row r="137" spans="1:5">
      <c r="A137" s="121">
        <v>53</v>
      </c>
      <c r="B137" s="121"/>
      <c r="C137" s="121"/>
      <c r="D137" s="122">
        <v>4343</v>
      </c>
      <c r="E137" s="122">
        <v>66628</v>
      </c>
    </row>
    <row r="138" spans="1:5">
      <c r="A138" s="121">
        <v>52</v>
      </c>
      <c r="B138" s="121"/>
      <c r="C138" s="121"/>
      <c r="D138" s="122">
        <v>4713</v>
      </c>
      <c r="E138" s="122">
        <v>71341</v>
      </c>
    </row>
    <row r="139" spans="1:5">
      <c r="A139" s="121">
        <v>51</v>
      </c>
      <c r="B139" s="121"/>
      <c r="C139" s="121"/>
      <c r="D139" s="122">
        <v>4112</v>
      </c>
      <c r="E139" s="122">
        <v>75453</v>
      </c>
    </row>
    <row r="140" spans="1:5">
      <c r="A140" s="121">
        <v>50</v>
      </c>
      <c r="B140" s="121"/>
      <c r="C140" s="121"/>
      <c r="D140" s="122">
        <v>4651</v>
      </c>
      <c r="E140" s="122">
        <v>80104</v>
      </c>
    </row>
    <row r="141" spans="1:5">
      <c r="A141" s="121">
        <v>49</v>
      </c>
      <c r="B141" s="121"/>
      <c r="C141" s="121"/>
      <c r="D141" s="122">
        <v>3962</v>
      </c>
      <c r="E141" s="122">
        <v>84066</v>
      </c>
    </row>
    <row r="142" spans="1:5">
      <c r="A142" s="121">
        <v>48</v>
      </c>
      <c r="B142" s="121"/>
      <c r="C142" s="121"/>
      <c r="D142" s="122">
        <v>8328</v>
      </c>
      <c r="E142" s="122">
        <v>92394</v>
      </c>
    </row>
    <row r="143" spans="1:5">
      <c r="A143" s="121">
        <v>47</v>
      </c>
      <c r="B143" s="121"/>
      <c r="C143" s="121"/>
      <c r="D143" s="122">
        <v>3376</v>
      </c>
      <c r="E143" s="122">
        <v>95770</v>
      </c>
    </row>
    <row r="144" spans="1:5">
      <c r="A144" s="121">
        <v>46</v>
      </c>
      <c r="B144" s="121"/>
      <c r="C144" s="121"/>
      <c r="D144" s="122">
        <v>3953</v>
      </c>
      <c r="E144" s="122">
        <v>99723</v>
      </c>
    </row>
    <row r="145" spans="1:5">
      <c r="A145" s="121">
        <v>45</v>
      </c>
      <c r="B145" s="121"/>
      <c r="C145" s="121"/>
      <c r="D145" s="122">
        <v>3110</v>
      </c>
      <c r="E145" s="122">
        <v>102833</v>
      </c>
    </row>
    <row r="146" spans="1:5">
      <c r="A146" s="121">
        <v>44</v>
      </c>
      <c r="B146" s="121"/>
      <c r="C146" s="121"/>
      <c r="D146" s="122">
        <v>3169</v>
      </c>
      <c r="E146" s="122">
        <v>106002</v>
      </c>
    </row>
    <row r="147" spans="1:5">
      <c r="A147" s="121">
        <v>43</v>
      </c>
      <c r="B147" s="121"/>
      <c r="C147" s="121"/>
      <c r="D147" s="122">
        <v>3299</v>
      </c>
      <c r="E147" s="122">
        <v>109301</v>
      </c>
    </row>
    <row r="148" spans="1:5">
      <c r="A148" s="121">
        <v>42</v>
      </c>
      <c r="B148" s="121"/>
      <c r="C148" s="121"/>
      <c r="D148" s="122">
        <v>2622</v>
      </c>
      <c r="E148" s="122">
        <v>111923</v>
      </c>
    </row>
    <row r="149" spans="1:5">
      <c r="A149" s="121">
        <v>41</v>
      </c>
      <c r="B149" s="121"/>
      <c r="C149" s="121"/>
      <c r="D149" s="122">
        <v>5664</v>
      </c>
      <c r="E149" s="122">
        <v>117587</v>
      </c>
    </row>
    <row r="150" spans="1:5">
      <c r="A150" s="121">
        <v>40</v>
      </c>
      <c r="B150" s="121"/>
      <c r="C150" s="121"/>
      <c r="D150" s="122">
        <v>2573</v>
      </c>
      <c r="E150" s="122">
        <v>120160</v>
      </c>
    </row>
    <row r="151" spans="1:5">
      <c r="A151" s="121">
        <v>39</v>
      </c>
      <c r="B151" s="121"/>
      <c r="C151" s="121"/>
      <c r="D151" s="122">
        <v>3233</v>
      </c>
      <c r="E151" s="122">
        <v>123393</v>
      </c>
    </row>
    <row r="152" spans="1:5">
      <c r="A152" s="121">
        <v>38</v>
      </c>
      <c r="B152" s="121"/>
      <c r="C152" s="121"/>
      <c r="D152" s="122">
        <v>2126</v>
      </c>
      <c r="E152" s="122">
        <v>125519</v>
      </c>
    </row>
    <row r="153" spans="1:5">
      <c r="A153" s="121">
        <v>37</v>
      </c>
      <c r="B153" s="121"/>
      <c r="C153" s="121"/>
      <c r="D153" s="122">
        <v>3474</v>
      </c>
      <c r="E153" s="122">
        <v>128993</v>
      </c>
    </row>
    <row r="154" spans="1:5">
      <c r="A154" s="121">
        <v>36</v>
      </c>
      <c r="B154" s="121"/>
      <c r="C154" s="121"/>
      <c r="D154" s="122">
        <v>2102</v>
      </c>
      <c r="E154" s="122">
        <v>131095</v>
      </c>
    </row>
    <row r="155" spans="1:5">
      <c r="A155" s="121">
        <v>35</v>
      </c>
      <c r="B155" s="121"/>
      <c r="C155" s="121"/>
      <c r="D155" s="122">
        <v>7008</v>
      </c>
      <c r="E155" s="122">
        <v>138103</v>
      </c>
    </row>
    <row r="156" spans="1:5">
      <c r="A156" s="121">
        <v>34</v>
      </c>
      <c r="B156" s="121"/>
      <c r="C156" s="121"/>
      <c r="D156" s="122">
        <v>1457</v>
      </c>
      <c r="E156" s="122">
        <v>139560</v>
      </c>
    </row>
    <row r="157" spans="1:5">
      <c r="A157" s="121">
        <v>33</v>
      </c>
      <c r="B157" s="121"/>
      <c r="C157" s="121"/>
      <c r="D157" s="122">
        <v>6455</v>
      </c>
      <c r="E157" s="122">
        <v>146015</v>
      </c>
    </row>
    <row r="158" spans="1:5">
      <c r="A158" s="121">
        <v>32</v>
      </c>
      <c r="B158" s="121"/>
      <c r="C158" s="121"/>
      <c r="D158" s="122">
        <v>666</v>
      </c>
      <c r="E158" s="122">
        <v>146681</v>
      </c>
    </row>
    <row r="159" spans="1:5">
      <c r="A159" s="121">
        <v>31</v>
      </c>
      <c r="B159" s="121"/>
      <c r="C159" s="121"/>
      <c r="D159" s="122">
        <v>888</v>
      </c>
      <c r="E159" s="122">
        <v>147569</v>
      </c>
    </row>
    <row r="160" spans="1:5">
      <c r="A160" s="121">
        <v>30</v>
      </c>
      <c r="B160" s="121"/>
      <c r="C160" s="121"/>
      <c r="D160" s="122">
        <v>429</v>
      </c>
      <c r="E160" s="122">
        <v>147998</v>
      </c>
    </row>
    <row r="161" spans="1:19">
      <c r="A161" s="121">
        <v>29</v>
      </c>
      <c r="B161" s="121"/>
      <c r="C161" s="121"/>
      <c r="D161" s="122">
        <v>216</v>
      </c>
      <c r="E161" s="122">
        <v>148214</v>
      </c>
    </row>
    <row r="162" spans="1:19">
      <c r="A162" s="121">
        <v>28</v>
      </c>
      <c r="B162" s="121"/>
      <c r="C162" s="121"/>
      <c r="D162" s="122">
        <v>343</v>
      </c>
      <c r="E162" s="122">
        <v>148557</v>
      </c>
    </row>
    <row r="163" spans="1:19">
      <c r="A163" s="121">
        <v>27</v>
      </c>
      <c r="B163" s="121"/>
      <c r="C163" s="121"/>
      <c r="D163" s="122">
        <v>98</v>
      </c>
      <c r="E163" s="122">
        <v>148655</v>
      </c>
    </row>
    <row r="164" spans="1:19">
      <c r="A164" s="6"/>
      <c r="B164" s="1"/>
      <c r="C164" s="1"/>
      <c r="D164" s="7"/>
    </row>
    <row r="165" spans="1:19">
      <c r="A165" s="6"/>
      <c r="B165" s="1"/>
      <c r="C165" s="1"/>
      <c r="D165" s="7"/>
    </row>
    <row r="166" spans="1:19">
      <c r="A166" s="6"/>
      <c r="B166" s="1"/>
      <c r="C166" s="1"/>
      <c r="D166" s="7"/>
    </row>
    <row r="167" spans="1:19">
      <c r="A167" s="6"/>
      <c r="B167" s="1"/>
      <c r="C167" s="1"/>
      <c r="D167" s="7"/>
    </row>
    <row r="168" spans="1:19" ht="17.5" thickBot="1">
      <c r="A168" s="8"/>
      <c r="B168" s="9"/>
      <c r="C168" s="9"/>
      <c r="D168" s="2"/>
    </row>
    <row r="174" spans="1:19" ht="17.5" thickBot="1"/>
    <row r="175" spans="1:19">
      <c r="A175" s="12" t="s">
        <v>18</v>
      </c>
      <c r="B175" s="13"/>
      <c r="C175" s="13"/>
      <c r="D175" s="14"/>
      <c r="F175" s="12" t="s">
        <v>17</v>
      </c>
      <c r="G175" s="13"/>
      <c r="H175" s="13"/>
      <c r="I175" s="14"/>
      <c r="K175" s="12" t="s">
        <v>19</v>
      </c>
      <c r="L175" s="13"/>
      <c r="M175" s="13"/>
      <c r="N175" s="14"/>
      <c r="P175" s="12" t="s">
        <v>20</v>
      </c>
      <c r="Q175" s="13"/>
      <c r="R175" s="13"/>
      <c r="S175" s="14"/>
    </row>
    <row r="176" spans="1:19">
      <c r="A176" s="6" t="s">
        <v>7</v>
      </c>
      <c r="B176" s="1"/>
      <c r="C176" s="1"/>
      <c r="D176" s="7" t="s">
        <v>8</v>
      </c>
      <c r="F176" s="6" t="s">
        <v>7</v>
      </c>
      <c r="G176" s="1"/>
      <c r="H176" s="1"/>
      <c r="I176" s="7" t="s">
        <v>8</v>
      </c>
      <c r="K176" s="6" t="s">
        <v>7</v>
      </c>
      <c r="L176" s="1"/>
      <c r="M176" s="1"/>
      <c r="N176" s="7" t="s">
        <v>8</v>
      </c>
      <c r="P176" s="6" t="s">
        <v>7</v>
      </c>
      <c r="Q176" s="1"/>
      <c r="R176" s="1"/>
      <c r="S176" s="7" t="s">
        <v>8</v>
      </c>
    </row>
    <row r="177" spans="1:20">
      <c r="A177" s="121">
        <v>72</v>
      </c>
      <c r="B177" s="121"/>
      <c r="C177" s="121"/>
      <c r="D177" s="122">
        <v>469</v>
      </c>
      <c r="E177" s="122">
        <v>469</v>
      </c>
      <c r="F177" s="121">
        <v>77</v>
      </c>
      <c r="G177" s="121"/>
      <c r="H177" s="121"/>
      <c r="I177" s="122">
        <v>164</v>
      </c>
      <c r="J177" s="122">
        <v>164</v>
      </c>
      <c r="K177" s="121">
        <v>70</v>
      </c>
      <c r="L177" s="121"/>
      <c r="M177" s="121"/>
      <c r="N177" s="122">
        <v>823</v>
      </c>
      <c r="O177" s="122">
        <v>823</v>
      </c>
      <c r="P177" s="121">
        <v>70</v>
      </c>
      <c r="Q177" s="121"/>
      <c r="R177" s="121"/>
      <c r="S177" s="122">
        <v>2299</v>
      </c>
      <c r="T177" s="122">
        <v>2299</v>
      </c>
    </row>
    <row r="178" spans="1:20">
      <c r="A178" s="121">
        <v>71</v>
      </c>
      <c r="B178" s="121"/>
      <c r="C178" s="121"/>
      <c r="D178" s="122">
        <v>300</v>
      </c>
      <c r="E178" s="122">
        <v>769</v>
      </c>
      <c r="F178" s="121">
        <v>75</v>
      </c>
      <c r="G178" s="121"/>
      <c r="H178" s="121"/>
      <c r="I178" s="122">
        <v>51</v>
      </c>
      <c r="J178" s="122">
        <v>215</v>
      </c>
      <c r="K178" s="121">
        <v>68</v>
      </c>
      <c r="L178" s="121"/>
      <c r="M178" s="121"/>
      <c r="N178" s="122">
        <v>759</v>
      </c>
      <c r="O178" s="122">
        <v>1582</v>
      </c>
      <c r="P178" s="121">
        <v>68</v>
      </c>
      <c r="Q178" s="121"/>
      <c r="R178" s="121"/>
      <c r="S178" s="122">
        <v>1016</v>
      </c>
      <c r="T178" s="122">
        <v>3315</v>
      </c>
    </row>
    <row r="179" spans="1:20">
      <c r="A179" s="121">
        <v>70</v>
      </c>
      <c r="B179" s="121"/>
      <c r="C179" s="121"/>
      <c r="D179" s="122">
        <v>505</v>
      </c>
      <c r="E179" s="122">
        <v>1274</v>
      </c>
      <c r="F179" s="121">
        <v>74</v>
      </c>
      <c r="G179" s="121"/>
      <c r="H179" s="121"/>
      <c r="I179" s="122">
        <v>185</v>
      </c>
      <c r="J179" s="122">
        <v>400</v>
      </c>
      <c r="K179" s="121">
        <v>67</v>
      </c>
      <c r="L179" s="121"/>
      <c r="M179" s="121"/>
      <c r="N179" s="122">
        <v>1158</v>
      </c>
      <c r="O179" s="122">
        <v>2740</v>
      </c>
      <c r="P179" s="121">
        <v>67</v>
      </c>
      <c r="Q179" s="121"/>
      <c r="R179" s="121"/>
      <c r="S179" s="122">
        <v>2190</v>
      </c>
      <c r="T179" s="122">
        <v>5505</v>
      </c>
    </row>
    <row r="180" spans="1:20">
      <c r="A180" s="121">
        <v>69</v>
      </c>
      <c r="B180" s="121"/>
      <c r="C180" s="121"/>
      <c r="D180" s="122">
        <v>121</v>
      </c>
      <c r="E180" s="122">
        <v>1395</v>
      </c>
      <c r="F180" s="121">
        <v>73</v>
      </c>
      <c r="G180" s="121"/>
      <c r="H180" s="121"/>
      <c r="I180" s="122">
        <v>184</v>
      </c>
      <c r="J180" s="122">
        <v>584</v>
      </c>
      <c r="K180" s="121">
        <v>66</v>
      </c>
      <c r="L180" s="121"/>
      <c r="M180" s="121"/>
      <c r="N180" s="122">
        <v>464</v>
      </c>
      <c r="O180" s="122">
        <v>3204</v>
      </c>
      <c r="P180" s="121">
        <v>66</v>
      </c>
      <c r="Q180" s="121"/>
      <c r="R180" s="121"/>
      <c r="S180" s="122">
        <v>1407</v>
      </c>
      <c r="T180" s="122">
        <v>6912</v>
      </c>
    </row>
    <row r="181" spans="1:20">
      <c r="A181" s="121">
        <v>68</v>
      </c>
      <c r="B181" s="121"/>
      <c r="C181" s="121"/>
      <c r="D181" s="122">
        <v>539</v>
      </c>
      <c r="E181" s="122">
        <v>1934</v>
      </c>
      <c r="F181" s="121">
        <v>72</v>
      </c>
      <c r="G181" s="121"/>
      <c r="H181" s="121"/>
      <c r="I181" s="122">
        <v>159</v>
      </c>
      <c r="J181" s="122">
        <v>743</v>
      </c>
      <c r="K181" s="121">
        <v>65</v>
      </c>
      <c r="L181" s="121"/>
      <c r="M181" s="121"/>
      <c r="N181" s="122">
        <v>2405</v>
      </c>
      <c r="O181" s="122">
        <v>5609</v>
      </c>
      <c r="P181" s="121">
        <v>65</v>
      </c>
      <c r="Q181" s="121"/>
      <c r="R181" s="121"/>
      <c r="S181" s="122">
        <v>1227</v>
      </c>
      <c r="T181" s="122">
        <v>8139</v>
      </c>
    </row>
    <row r="182" spans="1:20">
      <c r="A182" s="121">
        <v>67</v>
      </c>
      <c r="B182" s="121"/>
      <c r="C182" s="121"/>
      <c r="D182" s="122">
        <v>380</v>
      </c>
      <c r="E182" s="122">
        <v>2314</v>
      </c>
      <c r="F182" s="121">
        <v>71</v>
      </c>
      <c r="G182" s="121"/>
      <c r="H182" s="121"/>
      <c r="I182" s="122">
        <v>69</v>
      </c>
      <c r="J182" s="122">
        <v>812</v>
      </c>
      <c r="K182" s="121">
        <v>64</v>
      </c>
      <c r="L182" s="121"/>
      <c r="M182" s="121"/>
      <c r="N182" s="122">
        <v>824</v>
      </c>
      <c r="O182" s="122">
        <v>6433</v>
      </c>
      <c r="P182" s="121">
        <v>64</v>
      </c>
      <c r="Q182" s="121"/>
      <c r="R182" s="121"/>
      <c r="S182" s="122">
        <v>1988</v>
      </c>
      <c r="T182" s="122">
        <v>10127</v>
      </c>
    </row>
    <row r="183" spans="1:20">
      <c r="A183" s="121">
        <v>66</v>
      </c>
      <c r="B183" s="121"/>
      <c r="C183" s="121"/>
      <c r="D183" s="122">
        <v>1018</v>
      </c>
      <c r="E183" s="122">
        <v>3332</v>
      </c>
      <c r="F183" s="121">
        <v>70</v>
      </c>
      <c r="G183" s="121"/>
      <c r="H183" s="121"/>
      <c r="I183" s="122">
        <v>241</v>
      </c>
      <c r="J183" s="122">
        <v>1053</v>
      </c>
      <c r="K183" s="121">
        <v>63</v>
      </c>
      <c r="L183" s="121"/>
      <c r="M183" s="121"/>
      <c r="N183" s="122">
        <v>2107</v>
      </c>
      <c r="O183" s="122">
        <v>8540</v>
      </c>
      <c r="P183" s="121">
        <v>63</v>
      </c>
      <c r="Q183" s="121"/>
      <c r="R183" s="121"/>
      <c r="S183" s="122">
        <v>935</v>
      </c>
      <c r="T183" s="122">
        <v>11062</v>
      </c>
    </row>
    <row r="184" spans="1:20">
      <c r="A184" s="121">
        <v>65</v>
      </c>
      <c r="B184" s="121"/>
      <c r="C184" s="121"/>
      <c r="D184" s="122">
        <v>378</v>
      </c>
      <c r="E184" s="122">
        <v>3710</v>
      </c>
      <c r="F184" s="121">
        <v>69</v>
      </c>
      <c r="G184" s="121"/>
      <c r="H184" s="121"/>
      <c r="I184" s="122">
        <v>132</v>
      </c>
      <c r="J184" s="122">
        <v>1185</v>
      </c>
      <c r="K184" s="121">
        <v>62</v>
      </c>
      <c r="L184" s="121"/>
      <c r="M184" s="121"/>
      <c r="N184" s="122">
        <v>3194</v>
      </c>
      <c r="O184" s="122">
        <v>11734</v>
      </c>
      <c r="P184" s="121">
        <v>62</v>
      </c>
      <c r="Q184" s="121"/>
      <c r="R184" s="121"/>
      <c r="S184" s="122">
        <v>941</v>
      </c>
      <c r="T184" s="122">
        <v>12003</v>
      </c>
    </row>
    <row r="185" spans="1:20">
      <c r="A185" s="121">
        <v>64</v>
      </c>
      <c r="B185" s="121"/>
      <c r="C185" s="121"/>
      <c r="D185" s="122">
        <v>548</v>
      </c>
      <c r="E185" s="122">
        <v>4258</v>
      </c>
      <c r="F185" s="121">
        <v>68</v>
      </c>
      <c r="G185" s="121"/>
      <c r="H185" s="121"/>
      <c r="I185" s="122">
        <v>202</v>
      </c>
      <c r="J185" s="122">
        <v>1387</v>
      </c>
      <c r="K185" s="121">
        <v>61</v>
      </c>
      <c r="L185" s="121"/>
      <c r="M185" s="121"/>
      <c r="N185" s="122">
        <v>2790</v>
      </c>
      <c r="O185" s="122">
        <v>14524</v>
      </c>
      <c r="P185" s="121">
        <v>61</v>
      </c>
      <c r="Q185" s="121"/>
      <c r="R185" s="121"/>
      <c r="S185" s="122">
        <v>2070</v>
      </c>
      <c r="T185" s="122">
        <v>14073</v>
      </c>
    </row>
    <row r="186" spans="1:20">
      <c r="A186" s="121">
        <v>63</v>
      </c>
      <c r="B186" s="121"/>
      <c r="C186" s="121"/>
      <c r="D186" s="122">
        <v>617</v>
      </c>
      <c r="E186" s="122">
        <v>4875</v>
      </c>
      <c r="F186" s="121">
        <v>67</v>
      </c>
      <c r="G186" s="121"/>
      <c r="H186" s="121"/>
      <c r="I186" s="122">
        <v>228</v>
      </c>
      <c r="J186" s="122">
        <v>1615</v>
      </c>
      <c r="K186" s="121">
        <v>60</v>
      </c>
      <c r="L186" s="121"/>
      <c r="M186" s="121"/>
      <c r="N186" s="122">
        <v>1572</v>
      </c>
      <c r="O186" s="122">
        <v>16096</v>
      </c>
      <c r="P186" s="121">
        <v>60</v>
      </c>
      <c r="Q186" s="121"/>
      <c r="R186" s="121"/>
      <c r="S186" s="122">
        <v>1132</v>
      </c>
      <c r="T186" s="122">
        <v>15205</v>
      </c>
    </row>
    <row r="187" spans="1:20">
      <c r="A187" s="121">
        <v>62</v>
      </c>
      <c r="B187" s="121"/>
      <c r="C187" s="121"/>
      <c r="D187" s="122">
        <v>421</v>
      </c>
      <c r="E187" s="122">
        <v>5296</v>
      </c>
      <c r="F187" s="121">
        <v>66</v>
      </c>
      <c r="G187" s="121"/>
      <c r="H187" s="121"/>
      <c r="I187" s="122">
        <v>141</v>
      </c>
      <c r="J187" s="122">
        <v>1756</v>
      </c>
      <c r="K187" s="121">
        <v>59</v>
      </c>
      <c r="L187" s="121"/>
      <c r="M187" s="121"/>
      <c r="N187" s="122">
        <v>1674</v>
      </c>
      <c r="O187" s="122">
        <v>17770</v>
      </c>
      <c r="P187" s="121">
        <v>59</v>
      </c>
      <c r="Q187" s="121"/>
      <c r="R187" s="121"/>
      <c r="S187" s="122">
        <v>1065</v>
      </c>
      <c r="T187" s="122">
        <v>16270</v>
      </c>
    </row>
    <row r="188" spans="1:20">
      <c r="A188" s="121">
        <v>61</v>
      </c>
      <c r="B188" s="121"/>
      <c r="C188" s="121"/>
      <c r="D188" s="122">
        <v>1185</v>
      </c>
      <c r="E188" s="122">
        <v>6481</v>
      </c>
      <c r="F188" s="121">
        <v>65</v>
      </c>
      <c r="G188" s="121"/>
      <c r="H188" s="121"/>
      <c r="I188" s="122">
        <v>285</v>
      </c>
      <c r="J188" s="122">
        <v>2041</v>
      </c>
      <c r="K188" s="121">
        <v>58</v>
      </c>
      <c r="L188" s="121"/>
      <c r="M188" s="121"/>
      <c r="N188" s="122">
        <v>2394</v>
      </c>
      <c r="O188" s="122">
        <v>20164</v>
      </c>
      <c r="P188" s="121">
        <v>58</v>
      </c>
      <c r="Q188" s="121"/>
      <c r="R188" s="121"/>
      <c r="S188" s="122">
        <v>2144</v>
      </c>
      <c r="T188" s="122">
        <v>18414</v>
      </c>
    </row>
    <row r="189" spans="1:20">
      <c r="A189" s="121">
        <v>60</v>
      </c>
      <c r="B189" s="121"/>
      <c r="C189" s="121"/>
      <c r="D189" s="122">
        <v>545</v>
      </c>
      <c r="E189" s="122">
        <v>7026</v>
      </c>
      <c r="F189" s="121">
        <v>64</v>
      </c>
      <c r="G189" s="121"/>
      <c r="H189" s="121"/>
      <c r="I189" s="122">
        <v>239</v>
      </c>
      <c r="J189" s="122">
        <v>2280</v>
      </c>
      <c r="K189" s="121">
        <v>57</v>
      </c>
      <c r="L189" s="121"/>
      <c r="M189" s="121"/>
      <c r="N189" s="122">
        <v>1361</v>
      </c>
      <c r="O189" s="122">
        <v>21525</v>
      </c>
      <c r="P189" s="121">
        <v>57</v>
      </c>
      <c r="Q189" s="121"/>
      <c r="R189" s="121"/>
      <c r="S189" s="122">
        <v>993</v>
      </c>
      <c r="T189" s="122">
        <v>19407</v>
      </c>
    </row>
    <row r="190" spans="1:20">
      <c r="A190" s="121">
        <v>59</v>
      </c>
      <c r="B190" s="121"/>
      <c r="C190" s="121"/>
      <c r="D190" s="122">
        <v>751</v>
      </c>
      <c r="E190" s="122">
        <v>7777</v>
      </c>
      <c r="F190" s="121">
        <v>63</v>
      </c>
      <c r="G190" s="121"/>
      <c r="H190" s="121"/>
      <c r="I190" s="122">
        <v>209</v>
      </c>
      <c r="J190" s="122">
        <v>2489</v>
      </c>
      <c r="K190" s="121">
        <v>56</v>
      </c>
      <c r="L190" s="121"/>
      <c r="M190" s="121"/>
      <c r="N190" s="122">
        <v>2059</v>
      </c>
      <c r="O190" s="122">
        <v>23584</v>
      </c>
      <c r="P190" s="121">
        <v>56</v>
      </c>
      <c r="Q190" s="121"/>
      <c r="R190" s="121"/>
      <c r="S190" s="122">
        <v>2221</v>
      </c>
      <c r="T190" s="122">
        <v>21628</v>
      </c>
    </row>
    <row r="191" spans="1:20">
      <c r="A191" s="121">
        <v>58</v>
      </c>
      <c r="B191" s="121"/>
      <c r="C191" s="121"/>
      <c r="D191" s="122">
        <v>527</v>
      </c>
      <c r="E191" s="122">
        <v>8304</v>
      </c>
      <c r="F191" s="121">
        <v>62</v>
      </c>
      <c r="G191" s="121"/>
      <c r="H191" s="121"/>
      <c r="I191" s="122">
        <v>335</v>
      </c>
      <c r="J191" s="122">
        <v>2824</v>
      </c>
      <c r="K191" s="121">
        <v>55</v>
      </c>
      <c r="L191" s="121"/>
      <c r="M191" s="121"/>
      <c r="N191" s="122">
        <v>1915</v>
      </c>
      <c r="O191" s="122">
        <v>25499</v>
      </c>
      <c r="P191" s="121">
        <v>55</v>
      </c>
      <c r="Q191" s="121"/>
      <c r="R191" s="121"/>
      <c r="S191" s="122">
        <v>1112</v>
      </c>
      <c r="T191" s="122">
        <v>22740</v>
      </c>
    </row>
    <row r="192" spans="1:20">
      <c r="A192" s="121">
        <v>57</v>
      </c>
      <c r="B192" s="121"/>
      <c r="C192" s="121"/>
      <c r="D192" s="122">
        <v>662</v>
      </c>
      <c r="E192" s="122">
        <v>8966</v>
      </c>
      <c r="F192" s="121">
        <v>61</v>
      </c>
      <c r="G192" s="121"/>
      <c r="H192" s="121"/>
      <c r="I192" s="122">
        <v>253</v>
      </c>
      <c r="J192" s="122">
        <v>3077</v>
      </c>
      <c r="K192" s="121">
        <v>54</v>
      </c>
      <c r="L192" s="121"/>
      <c r="M192" s="121"/>
      <c r="N192" s="122">
        <v>3713</v>
      </c>
      <c r="O192" s="122">
        <v>29212</v>
      </c>
      <c r="P192" s="121">
        <v>54</v>
      </c>
      <c r="Q192" s="121"/>
      <c r="R192" s="121"/>
      <c r="S192" s="122">
        <v>1203</v>
      </c>
      <c r="T192" s="122">
        <v>23943</v>
      </c>
    </row>
    <row r="193" spans="1:20">
      <c r="A193" s="121">
        <v>56</v>
      </c>
      <c r="B193" s="121"/>
      <c r="C193" s="121"/>
      <c r="D193" s="122">
        <v>1231</v>
      </c>
      <c r="E193" s="122">
        <v>10197</v>
      </c>
      <c r="F193" s="121">
        <v>60</v>
      </c>
      <c r="G193" s="121"/>
      <c r="H193" s="121"/>
      <c r="I193" s="122">
        <v>329</v>
      </c>
      <c r="J193" s="122">
        <v>3406</v>
      </c>
      <c r="K193" s="121">
        <v>53</v>
      </c>
      <c r="L193" s="121"/>
      <c r="M193" s="121"/>
      <c r="N193" s="122">
        <v>1776</v>
      </c>
      <c r="O193" s="122">
        <v>30988</v>
      </c>
      <c r="P193" s="121">
        <v>53</v>
      </c>
      <c r="Q193" s="121"/>
      <c r="R193" s="121"/>
      <c r="S193" s="122">
        <v>2456</v>
      </c>
      <c r="T193" s="122">
        <v>26399</v>
      </c>
    </row>
    <row r="194" spans="1:20">
      <c r="A194" s="121">
        <v>55</v>
      </c>
      <c r="B194" s="121"/>
      <c r="C194" s="121"/>
      <c r="D194" s="122">
        <v>790</v>
      </c>
      <c r="E194" s="122">
        <v>10987</v>
      </c>
      <c r="F194" s="121">
        <v>59</v>
      </c>
      <c r="G194" s="121"/>
      <c r="H194" s="121"/>
      <c r="I194" s="122">
        <v>589</v>
      </c>
      <c r="J194" s="122">
        <v>3995</v>
      </c>
      <c r="K194" s="121">
        <v>52</v>
      </c>
      <c r="L194" s="121"/>
      <c r="M194" s="121"/>
      <c r="N194" s="122">
        <v>1897</v>
      </c>
      <c r="O194" s="122">
        <v>32885</v>
      </c>
      <c r="P194" s="121">
        <v>52</v>
      </c>
      <c r="Q194" s="121"/>
      <c r="R194" s="121"/>
      <c r="S194" s="122">
        <v>1320</v>
      </c>
      <c r="T194" s="122">
        <v>27719</v>
      </c>
    </row>
    <row r="195" spans="1:20">
      <c r="A195" s="121">
        <v>54</v>
      </c>
      <c r="B195" s="121"/>
      <c r="C195" s="121"/>
      <c r="D195" s="122">
        <v>641</v>
      </c>
      <c r="E195" s="122">
        <v>11628</v>
      </c>
      <c r="F195" s="121">
        <v>58</v>
      </c>
      <c r="G195" s="121"/>
      <c r="H195" s="121"/>
      <c r="I195" s="122">
        <v>439</v>
      </c>
      <c r="J195" s="122">
        <v>4434</v>
      </c>
      <c r="K195" s="121">
        <v>51</v>
      </c>
      <c r="L195" s="121"/>
      <c r="M195" s="121"/>
      <c r="N195" s="122">
        <v>2051</v>
      </c>
      <c r="O195" s="122">
        <v>34936</v>
      </c>
      <c r="P195" s="121">
        <v>51</v>
      </c>
      <c r="Q195" s="121"/>
      <c r="R195" s="121"/>
      <c r="S195" s="122">
        <v>1298</v>
      </c>
      <c r="T195" s="122">
        <v>29017</v>
      </c>
    </row>
    <row r="196" spans="1:20">
      <c r="A196" s="121">
        <v>53</v>
      </c>
      <c r="B196" s="121"/>
      <c r="C196" s="121"/>
      <c r="D196" s="122">
        <v>713</v>
      </c>
      <c r="E196" s="122">
        <v>12341</v>
      </c>
      <c r="F196" s="121">
        <v>57</v>
      </c>
      <c r="G196" s="121"/>
      <c r="H196" s="121"/>
      <c r="I196" s="122">
        <v>324</v>
      </c>
      <c r="J196" s="122">
        <v>4758</v>
      </c>
      <c r="K196" s="121">
        <v>50</v>
      </c>
      <c r="L196" s="121"/>
      <c r="M196" s="121"/>
      <c r="N196" s="122">
        <v>1832</v>
      </c>
      <c r="O196" s="122">
        <v>36768</v>
      </c>
      <c r="P196" s="121">
        <v>50</v>
      </c>
      <c r="Q196" s="121"/>
      <c r="R196" s="121"/>
      <c r="S196" s="122">
        <v>2856</v>
      </c>
      <c r="T196" s="122">
        <v>31873</v>
      </c>
    </row>
    <row r="197" spans="1:20">
      <c r="A197" s="121">
        <v>52</v>
      </c>
      <c r="B197" s="121"/>
      <c r="C197" s="121"/>
      <c r="D197" s="122">
        <v>758</v>
      </c>
      <c r="E197" s="122">
        <v>13099</v>
      </c>
      <c r="F197" s="121">
        <v>56</v>
      </c>
      <c r="G197" s="121"/>
      <c r="H197" s="121"/>
      <c r="I197" s="122">
        <v>350</v>
      </c>
      <c r="J197" s="122">
        <v>5108</v>
      </c>
      <c r="K197" s="121">
        <v>49</v>
      </c>
      <c r="L197" s="121"/>
      <c r="M197" s="121"/>
      <c r="N197" s="122">
        <v>2283</v>
      </c>
      <c r="O197" s="122">
        <v>39051</v>
      </c>
      <c r="P197" s="121">
        <v>49</v>
      </c>
      <c r="Q197" s="121"/>
      <c r="R197" s="121"/>
      <c r="S197" s="122">
        <v>1544</v>
      </c>
      <c r="T197" s="122">
        <v>33417</v>
      </c>
    </row>
    <row r="198" spans="1:20">
      <c r="A198" s="121">
        <v>51</v>
      </c>
      <c r="B198" s="121"/>
      <c r="C198" s="121"/>
      <c r="D198" s="122">
        <v>1501</v>
      </c>
      <c r="E198" s="122">
        <v>14600</v>
      </c>
      <c r="F198" s="121">
        <v>55</v>
      </c>
      <c r="G198" s="121"/>
      <c r="H198" s="121"/>
      <c r="I198" s="122">
        <v>447</v>
      </c>
      <c r="J198" s="122">
        <v>5555</v>
      </c>
      <c r="K198" s="121">
        <v>48</v>
      </c>
      <c r="L198" s="121"/>
      <c r="M198" s="121"/>
      <c r="N198" s="122">
        <v>1867</v>
      </c>
      <c r="O198" s="122">
        <v>40918</v>
      </c>
      <c r="P198" s="121">
        <v>48</v>
      </c>
      <c r="Q198" s="121"/>
      <c r="R198" s="121"/>
      <c r="S198" s="122">
        <v>1518</v>
      </c>
      <c r="T198" s="122">
        <v>34935</v>
      </c>
    </row>
    <row r="199" spans="1:20">
      <c r="A199" s="121">
        <v>50</v>
      </c>
      <c r="B199" s="121"/>
      <c r="C199" s="121"/>
      <c r="D199" s="122">
        <v>778</v>
      </c>
      <c r="E199" s="122">
        <v>15378</v>
      </c>
      <c r="F199" s="121">
        <v>54</v>
      </c>
      <c r="G199" s="121"/>
      <c r="H199" s="121"/>
      <c r="I199" s="122">
        <v>383</v>
      </c>
      <c r="J199" s="122">
        <v>5938</v>
      </c>
      <c r="K199" s="121">
        <v>47</v>
      </c>
      <c r="L199" s="121"/>
      <c r="M199" s="121"/>
      <c r="N199" s="122">
        <v>2108</v>
      </c>
      <c r="O199" s="122">
        <v>43026</v>
      </c>
      <c r="P199" s="121">
        <v>47</v>
      </c>
      <c r="Q199" s="121"/>
      <c r="R199" s="121"/>
      <c r="S199" s="122">
        <v>3415</v>
      </c>
      <c r="T199" s="122">
        <v>38350</v>
      </c>
    </row>
    <row r="200" spans="1:20">
      <c r="A200" s="121">
        <v>49</v>
      </c>
      <c r="B200" s="121"/>
      <c r="C200" s="121"/>
      <c r="D200" s="122">
        <v>787</v>
      </c>
      <c r="E200" s="122">
        <v>16165</v>
      </c>
      <c r="F200" s="121">
        <v>53</v>
      </c>
      <c r="G200" s="121"/>
      <c r="H200" s="121"/>
      <c r="I200" s="122">
        <v>518</v>
      </c>
      <c r="J200" s="122">
        <v>6456</v>
      </c>
      <c r="K200" s="121">
        <v>46</v>
      </c>
      <c r="L200" s="121"/>
      <c r="M200" s="121"/>
      <c r="N200" s="122">
        <v>4183</v>
      </c>
      <c r="O200" s="122">
        <v>47209</v>
      </c>
      <c r="P200" s="121">
        <v>46</v>
      </c>
      <c r="Q200" s="121"/>
      <c r="R200" s="121"/>
      <c r="S200" s="122">
        <v>1690</v>
      </c>
      <c r="T200" s="122">
        <v>40040</v>
      </c>
    </row>
    <row r="201" spans="1:20">
      <c r="A201" s="121">
        <v>48</v>
      </c>
      <c r="B201" s="121"/>
      <c r="C201" s="121"/>
      <c r="D201" s="122">
        <v>902</v>
      </c>
      <c r="E201" s="122">
        <v>17067</v>
      </c>
      <c r="F201" s="121">
        <v>52</v>
      </c>
      <c r="G201" s="121"/>
      <c r="H201" s="121"/>
      <c r="I201" s="122">
        <v>458</v>
      </c>
      <c r="J201" s="122">
        <v>6914</v>
      </c>
      <c r="K201" s="121">
        <v>45</v>
      </c>
      <c r="L201" s="121"/>
      <c r="M201" s="121"/>
      <c r="N201" s="122">
        <v>2260</v>
      </c>
      <c r="O201" s="122">
        <v>49469</v>
      </c>
      <c r="P201" s="121">
        <v>45</v>
      </c>
      <c r="Q201" s="121"/>
      <c r="R201" s="121"/>
      <c r="S201" s="122">
        <v>2004</v>
      </c>
      <c r="T201" s="122">
        <v>42044</v>
      </c>
    </row>
    <row r="202" spans="1:20">
      <c r="A202" s="121">
        <v>47</v>
      </c>
      <c r="B202" s="121"/>
      <c r="C202" s="121"/>
      <c r="D202" s="122">
        <v>842</v>
      </c>
      <c r="E202" s="122">
        <v>17909</v>
      </c>
      <c r="F202" s="121">
        <v>51</v>
      </c>
      <c r="G202" s="121"/>
      <c r="H202" s="121"/>
      <c r="I202" s="122">
        <v>493</v>
      </c>
      <c r="J202" s="122">
        <v>7407</v>
      </c>
      <c r="K202" s="121">
        <v>44</v>
      </c>
      <c r="L202" s="121"/>
      <c r="M202" s="121"/>
      <c r="N202" s="122">
        <v>1913</v>
      </c>
      <c r="O202" s="122">
        <v>51382</v>
      </c>
      <c r="P202" s="121">
        <v>44</v>
      </c>
      <c r="Q202" s="121"/>
      <c r="R202" s="121"/>
      <c r="S202" s="122">
        <v>4021</v>
      </c>
      <c r="T202" s="122">
        <v>46065</v>
      </c>
    </row>
    <row r="203" spans="1:20">
      <c r="A203" s="121">
        <v>46</v>
      </c>
      <c r="B203" s="121"/>
      <c r="C203" s="121"/>
      <c r="D203" s="122">
        <v>1986</v>
      </c>
      <c r="E203" s="122">
        <v>19895</v>
      </c>
      <c r="F203" s="121">
        <v>50</v>
      </c>
      <c r="G203" s="121"/>
      <c r="H203" s="121"/>
      <c r="I203" s="122">
        <v>647</v>
      </c>
      <c r="J203" s="122">
        <v>8054</v>
      </c>
      <c r="K203" s="121">
        <v>43</v>
      </c>
      <c r="L203" s="121"/>
      <c r="M203" s="121"/>
      <c r="N203" s="122">
        <v>1959</v>
      </c>
      <c r="O203" s="122">
        <v>53341</v>
      </c>
      <c r="P203" s="121">
        <v>43</v>
      </c>
      <c r="Q203" s="121"/>
      <c r="R203" s="121"/>
      <c r="S203" s="122">
        <v>2278</v>
      </c>
      <c r="T203" s="122">
        <v>48343</v>
      </c>
    </row>
    <row r="204" spans="1:20">
      <c r="A204" s="121">
        <v>45</v>
      </c>
      <c r="B204" s="121"/>
      <c r="C204" s="121"/>
      <c r="D204" s="122">
        <v>1041</v>
      </c>
      <c r="E204" s="122">
        <v>20936</v>
      </c>
      <c r="F204" s="121">
        <v>49</v>
      </c>
      <c r="G204" s="121"/>
      <c r="H204" s="121"/>
      <c r="I204" s="122">
        <v>519</v>
      </c>
      <c r="J204" s="122">
        <v>8573</v>
      </c>
      <c r="K204" s="121">
        <v>42</v>
      </c>
      <c r="L204" s="121"/>
      <c r="M204" s="121"/>
      <c r="N204" s="122">
        <v>2006</v>
      </c>
      <c r="O204" s="122">
        <v>55347</v>
      </c>
      <c r="P204" s="121">
        <v>42</v>
      </c>
      <c r="Q204" s="121"/>
      <c r="R204" s="121"/>
      <c r="S204" s="122">
        <v>2175</v>
      </c>
      <c r="T204" s="122">
        <v>50518</v>
      </c>
    </row>
    <row r="205" spans="1:20">
      <c r="A205" s="121">
        <v>44</v>
      </c>
      <c r="B205" s="121"/>
      <c r="C205" s="121"/>
      <c r="D205" s="122">
        <v>1092</v>
      </c>
      <c r="E205" s="122">
        <v>22028</v>
      </c>
      <c r="F205" s="121">
        <v>48</v>
      </c>
      <c r="G205" s="121"/>
      <c r="H205" s="121"/>
      <c r="I205" s="122">
        <v>657</v>
      </c>
      <c r="J205" s="122">
        <v>9230</v>
      </c>
      <c r="K205" s="121">
        <v>41</v>
      </c>
      <c r="L205" s="121"/>
      <c r="M205" s="121"/>
      <c r="N205" s="122">
        <v>1700</v>
      </c>
      <c r="O205" s="122">
        <v>57047</v>
      </c>
      <c r="P205" s="121">
        <v>41</v>
      </c>
      <c r="Q205" s="121"/>
      <c r="R205" s="121"/>
      <c r="S205" s="122">
        <v>5192</v>
      </c>
      <c r="T205" s="122">
        <v>55710</v>
      </c>
    </row>
    <row r="206" spans="1:20">
      <c r="A206" s="121">
        <v>43</v>
      </c>
      <c r="B206" s="121"/>
      <c r="C206" s="121"/>
      <c r="D206" s="122">
        <v>1013</v>
      </c>
      <c r="E206" s="122">
        <v>23041</v>
      </c>
      <c r="F206" s="121">
        <v>47</v>
      </c>
      <c r="G206" s="121"/>
      <c r="H206" s="121"/>
      <c r="I206" s="122">
        <v>654</v>
      </c>
      <c r="J206" s="122">
        <v>9884</v>
      </c>
      <c r="K206" s="121">
        <v>40</v>
      </c>
      <c r="L206" s="121"/>
      <c r="M206" s="121"/>
      <c r="N206" s="122">
        <v>1802</v>
      </c>
      <c r="O206" s="122">
        <v>58849</v>
      </c>
      <c r="P206" s="121">
        <v>40</v>
      </c>
      <c r="Q206" s="121"/>
      <c r="R206" s="121"/>
      <c r="S206" s="122">
        <v>2594</v>
      </c>
      <c r="T206" s="122">
        <v>58304</v>
      </c>
    </row>
    <row r="207" spans="1:20">
      <c r="A207" s="121">
        <v>42</v>
      </c>
      <c r="B207" s="121"/>
      <c r="C207" s="121"/>
      <c r="D207" s="122">
        <v>1211</v>
      </c>
      <c r="E207" s="122">
        <v>24252</v>
      </c>
      <c r="F207" s="121">
        <v>46</v>
      </c>
      <c r="G207" s="121"/>
      <c r="H207" s="121"/>
      <c r="I207" s="122">
        <v>707</v>
      </c>
      <c r="J207" s="122">
        <v>10591</v>
      </c>
      <c r="K207" s="121">
        <v>39</v>
      </c>
      <c r="L207" s="121"/>
      <c r="M207" s="121"/>
      <c r="N207" s="122">
        <v>1629</v>
      </c>
      <c r="O207" s="122">
        <v>60478</v>
      </c>
      <c r="P207" s="121">
        <v>39</v>
      </c>
      <c r="Q207" s="121"/>
      <c r="R207" s="121"/>
      <c r="S207" s="122">
        <v>3288</v>
      </c>
      <c r="T207" s="122">
        <v>61592</v>
      </c>
    </row>
    <row r="208" spans="1:20">
      <c r="A208" s="121">
        <v>41</v>
      </c>
      <c r="B208" s="121"/>
      <c r="C208" s="121"/>
      <c r="D208" s="122">
        <v>1104</v>
      </c>
      <c r="E208" s="122">
        <v>25356</v>
      </c>
      <c r="F208" s="121">
        <v>45</v>
      </c>
      <c r="G208" s="121"/>
      <c r="H208" s="121"/>
      <c r="I208" s="122">
        <v>1523</v>
      </c>
      <c r="J208" s="122">
        <v>12114</v>
      </c>
      <c r="K208" s="121">
        <v>38</v>
      </c>
      <c r="L208" s="121"/>
      <c r="M208" s="121"/>
      <c r="N208" s="122">
        <v>3013</v>
      </c>
      <c r="O208" s="122">
        <v>63491</v>
      </c>
      <c r="P208" s="121">
        <v>38</v>
      </c>
      <c r="Q208" s="121"/>
      <c r="R208" s="121"/>
      <c r="S208" s="122">
        <v>4333</v>
      </c>
      <c r="T208" s="122">
        <v>65925</v>
      </c>
    </row>
    <row r="209" spans="1:20">
      <c r="A209" s="121">
        <v>40</v>
      </c>
      <c r="B209" s="121"/>
      <c r="C209" s="121"/>
      <c r="D209" s="122">
        <v>2898</v>
      </c>
      <c r="E209" s="122">
        <v>28254</v>
      </c>
      <c r="F209" s="121">
        <v>44</v>
      </c>
      <c r="G209" s="121"/>
      <c r="H209" s="121"/>
      <c r="I209" s="122">
        <v>900</v>
      </c>
      <c r="J209" s="122">
        <v>13014</v>
      </c>
      <c r="K209" s="121">
        <v>37</v>
      </c>
      <c r="L209" s="121"/>
      <c r="M209" s="121"/>
      <c r="N209" s="122">
        <v>1377</v>
      </c>
      <c r="O209" s="122">
        <v>64868</v>
      </c>
      <c r="P209" s="121">
        <v>37</v>
      </c>
      <c r="Q209" s="121"/>
      <c r="R209" s="121"/>
      <c r="S209" s="122">
        <v>800</v>
      </c>
      <c r="T209" s="122">
        <v>66725</v>
      </c>
    </row>
    <row r="210" spans="1:20">
      <c r="A210" s="121">
        <v>39</v>
      </c>
      <c r="B210" s="121"/>
      <c r="C210" s="121"/>
      <c r="D210" s="122">
        <v>1725</v>
      </c>
      <c r="E210" s="122">
        <v>29979</v>
      </c>
      <c r="F210" s="121">
        <v>43</v>
      </c>
      <c r="G210" s="121"/>
      <c r="H210" s="121"/>
      <c r="I210" s="122">
        <v>1008</v>
      </c>
      <c r="J210" s="122">
        <v>14022</v>
      </c>
      <c r="K210" s="121">
        <v>36</v>
      </c>
      <c r="L210" s="121"/>
      <c r="M210" s="121"/>
      <c r="N210" s="122">
        <v>1424</v>
      </c>
      <c r="O210" s="122">
        <v>66292</v>
      </c>
      <c r="P210" s="121">
        <v>36</v>
      </c>
      <c r="Q210" s="121"/>
      <c r="R210" s="121"/>
      <c r="S210" s="122">
        <v>961</v>
      </c>
      <c r="T210" s="122">
        <v>67686</v>
      </c>
    </row>
    <row r="211" spans="1:20">
      <c r="A211" s="121">
        <v>38</v>
      </c>
      <c r="B211" s="121"/>
      <c r="C211" s="121"/>
      <c r="D211" s="122">
        <v>802</v>
      </c>
      <c r="E211" s="122">
        <v>30781</v>
      </c>
      <c r="F211" s="121">
        <v>42</v>
      </c>
      <c r="G211" s="121"/>
      <c r="H211" s="121"/>
      <c r="I211" s="122">
        <v>1399</v>
      </c>
      <c r="J211" s="122">
        <v>15421</v>
      </c>
      <c r="K211" s="121">
        <v>35</v>
      </c>
      <c r="L211" s="121"/>
      <c r="M211" s="121"/>
      <c r="N211" s="122">
        <v>2189</v>
      </c>
      <c r="O211" s="122">
        <v>68481</v>
      </c>
      <c r="P211" s="121">
        <v>35</v>
      </c>
      <c r="Q211" s="121"/>
      <c r="R211" s="121"/>
      <c r="S211" s="122">
        <v>826</v>
      </c>
      <c r="T211" s="122">
        <v>68512</v>
      </c>
    </row>
    <row r="212" spans="1:20">
      <c r="A212" s="121">
        <v>37</v>
      </c>
      <c r="B212" s="121"/>
      <c r="C212" s="121"/>
      <c r="D212" s="122">
        <v>667</v>
      </c>
      <c r="E212" s="122">
        <v>31448</v>
      </c>
      <c r="F212" s="121">
        <v>41</v>
      </c>
      <c r="G212" s="121"/>
      <c r="H212" s="121"/>
      <c r="I212" s="122">
        <v>570</v>
      </c>
      <c r="J212" s="122">
        <v>15991</v>
      </c>
      <c r="K212" s="121">
        <v>34</v>
      </c>
      <c r="L212" s="121"/>
      <c r="M212" s="121"/>
      <c r="N212" s="122">
        <v>759</v>
      </c>
      <c r="O212" s="122">
        <v>69240</v>
      </c>
      <c r="P212" s="121">
        <v>34</v>
      </c>
      <c r="Q212" s="121"/>
      <c r="R212" s="121"/>
      <c r="S212" s="122">
        <v>351</v>
      </c>
      <c r="T212" s="122">
        <v>68863</v>
      </c>
    </row>
    <row r="213" spans="1:20">
      <c r="A213" s="121">
        <v>36</v>
      </c>
      <c r="B213" s="121"/>
      <c r="C213" s="121"/>
      <c r="D213" s="122">
        <v>544</v>
      </c>
      <c r="E213" s="122">
        <v>31992</v>
      </c>
      <c r="F213" s="121">
        <v>40</v>
      </c>
      <c r="G213" s="121"/>
      <c r="H213" s="121"/>
      <c r="I213" s="122">
        <v>710</v>
      </c>
      <c r="J213" s="122">
        <v>16701</v>
      </c>
      <c r="K213" s="121">
        <v>33</v>
      </c>
      <c r="L213" s="121"/>
      <c r="M213" s="121"/>
      <c r="N213" s="122">
        <v>1354</v>
      </c>
      <c r="O213" s="122">
        <v>70594</v>
      </c>
      <c r="P213" s="121">
        <v>32</v>
      </c>
      <c r="Q213" s="121"/>
      <c r="R213" s="121"/>
      <c r="S213" s="122">
        <v>126</v>
      </c>
      <c r="T213" s="122">
        <v>68989</v>
      </c>
    </row>
    <row r="214" spans="1:20">
      <c r="A214" s="121">
        <v>35</v>
      </c>
      <c r="B214" s="121"/>
      <c r="C214" s="121"/>
      <c r="D214" s="122">
        <v>569</v>
      </c>
      <c r="E214" s="122">
        <v>32561</v>
      </c>
      <c r="F214" s="121">
        <v>39</v>
      </c>
      <c r="G214" s="121"/>
      <c r="H214" s="121"/>
      <c r="I214" s="122">
        <v>471</v>
      </c>
      <c r="J214" s="122">
        <v>17172</v>
      </c>
      <c r="K214" s="121">
        <v>32</v>
      </c>
      <c r="L214" s="121"/>
      <c r="M214" s="121"/>
      <c r="N214" s="122">
        <v>488</v>
      </c>
      <c r="O214" s="122">
        <v>71082</v>
      </c>
      <c r="P214" s="121"/>
      <c r="Q214" s="121"/>
      <c r="R214" s="121"/>
      <c r="S214" s="122"/>
      <c r="T214" s="122"/>
    </row>
    <row r="215" spans="1:20">
      <c r="A215" s="121">
        <v>34</v>
      </c>
      <c r="B215" s="121"/>
      <c r="C215" s="121"/>
      <c r="D215" s="122">
        <v>185</v>
      </c>
      <c r="E215" s="122">
        <v>32746</v>
      </c>
      <c r="F215" s="121">
        <v>38</v>
      </c>
      <c r="G215" s="121"/>
      <c r="H215" s="121"/>
      <c r="I215" s="122">
        <v>424</v>
      </c>
      <c r="J215" s="122">
        <v>17596</v>
      </c>
      <c r="K215" s="121">
        <v>31</v>
      </c>
      <c r="L215" s="121"/>
      <c r="M215" s="121"/>
      <c r="N215" s="122">
        <v>753</v>
      </c>
      <c r="O215" s="122">
        <v>71835</v>
      </c>
      <c r="P215" s="121"/>
      <c r="Q215" s="121"/>
      <c r="R215" s="121"/>
      <c r="S215" s="122"/>
      <c r="T215" s="122"/>
    </row>
    <row r="216" spans="1:20">
      <c r="A216" s="121">
        <v>33</v>
      </c>
      <c r="B216" s="121"/>
      <c r="C216" s="121"/>
      <c r="D216" s="122">
        <v>85</v>
      </c>
      <c r="E216" s="122">
        <v>32831</v>
      </c>
      <c r="F216" s="121">
        <v>37</v>
      </c>
      <c r="G216" s="121"/>
      <c r="H216" s="121"/>
      <c r="I216" s="122">
        <v>448</v>
      </c>
      <c r="J216" s="122">
        <v>18044</v>
      </c>
      <c r="K216" s="121">
        <v>30</v>
      </c>
      <c r="L216" s="121"/>
      <c r="M216" s="121"/>
      <c r="N216" s="122">
        <v>230</v>
      </c>
      <c r="O216" s="122">
        <v>72065</v>
      </c>
      <c r="P216" s="121"/>
      <c r="Q216" s="121"/>
      <c r="R216" s="121"/>
      <c r="S216" s="122"/>
      <c r="T216" s="122"/>
    </row>
    <row r="217" spans="1:20">
      <c r="A217" s="121">
        <v>32</v>
      </c>
      <c r="B217" s="121"/>
      <c r="C217" s="121"/>
      <c r="D217" s="122">
        <v>97</v>
      </c>
      <c r="E217" s="122">
        <v>32928</v>
      </c>
      <c r="F217" s="121">
        <v>36</v>
      </c>
      <c r="G217" s="121"/>
      <c r="H217" s="121"/>
      <c r="I217" s="122">
        <v>223</v>
      </c>
      <c r="J217" s="122">
        <v>18267</v>
      </c>
      <c r="K217" s="121">
        <v>29</v>
      </c>
      <c r="L217" s="121"/>
      <c r="M217" s="121"/>
      <c r="N217" s="122">
        <v>132</v>
      </c>
      <c r="O217" s="122">
        <v>72197</v>
      </c>
      <c r="P217" s="121"/>
      <c r="Q217" s="121"/>
      <c r="R217" s="121"/>
      <c r="S217" s="122"/>
      <c r="T217" s="122"/>
    </row>
    <row r="218" spans="1:20">
      <c r="A218" s="121">
        <v>30</v>
      </c>
      <c r="B218" s="121"/>
      <c r="C218" s="121"/>
      <c r="D218" s="122">
        <v>28</v>
      </c>
      <c r="E218" s="122">
        <v>32956</v>
      </c>
      <c r="F218" s="121">
        <v>35</v>
      </c>
      <c r="G218" s="121"/>
      <c r="H218" s="121"/>
      <c r="I218" s="122">
        <v>180</v>
      </c>
      <c r="J218" s="122">
        <v>18447</v>
      </c>
      <c r="K218" s="121">
        <v>28</v>
      </c>
      <c r="L218" s="121"/>
      <c r="M218" s="121"/>
      <c r="N218" s="122">
        <v>79</v>
      </c>
      <c r="O218" s="122">
        <v>72276</v>
      </c>
      <c r="P218" s="121"/>
      <c r="Q218" s="121"/>
      <c r="R218" s="121"/>
      <c r="S218" s="122"/>
      <c r="T218" s="122"/>
    </row>
    <row r="219" spans="1:20">
      <c r="A219" s="121"/>
      <c r="B219" s="121"/>
      <c r="C219" s="121"/>
      <c r="D219" s="122"/>
      <c r="E219" s="122"/>
      <c r="F219" s="121">
        <v>34</v>
      </c>
      <c r="G219" s="121"/>
      <c r="H219" s="121"/>
      <c r="I219" s="122">
        <v>128</v>
      </c>
      <c r="J219" s="122">
        <v>18575</v>
      </c>
      <c r="K219" s="121">
        <v>27</v>
      </c>
      <c r="L219" s="121"/>
      <c r="M219" s="121"/>
      <c r="N219" s="122">
        <v>76</v>
      </c>
      <c r="O219" s="122">
        <v>72352</v>
      </c>
      <c r="P219" s="121"/>
      <c r="Q219" s="121"/>
      <c r="R219" s="121"/>
      <c r="S219" s="122"/>
      <c r="T219" s="122"/>
    </row>
    <row r="220" spans="1:20">
      <c r="A220" s="121"/>
      <c r="B220" s="121"/>
      <c r="C220" s="121"/>
      <c r="D220" s="122"/>
      <c r="E220" s="122"/>
      <c r="F220" s="121">
        <v>33</v>
      </c>
      <c r="G220" s="121"/>
      <c r="H220" s="121"/>
      <c r="I220" s="122">
        <v>52</v>
      </c>
      <c r="J220" s="122">
        <v>18627</v>
      </c>
      <c r="K220" s="121">
        <v>25</v>
      </c>
      <c r="L220" s="121"/>
      <c r="M220" s="121"/>
      <c r="N220" s="122">
        <v>25</v>
      </c>
      <c r="O220" s="122">
        <v>72377</v>
      </c>
      <c r="P220" s="121"/>
      <c r="Q220" s="121"/>
      <c r="R220" s="121"/>
      <c r="S220" s="122"/>
      <c r="T220" s="122"/>
    </row>
    <row r="221" spans="1:20">
      <c r="A221" s="121"/>
      <c r="B221" s="121"/>
      <c r="C221" s="121"/>
      <c r="D221" s="122"/>
      <c r="E221" s="122"/>
      <c r="F221" s="121">
        <v>32</v>
      </c>
      <c r="G221" s="121"/>
      <c r="H221" s="121"/>
      <c r="I221" s="122">
        <v>68</v>
      </c>
      <c r="J221" s="122">
        <v>18695</v>
      </c>
      <c r="K221" s="125"/>
      <c r="L221" s="125"/>
      <c r="M221" s="125"/>
      <c r="N221" s="126"/>
      <c r="O221" s="122"/>
      <c r="P221" s="125"/>
      <c r="Q221" s="125"/>
      <c r="R221" s="125"/>
      <c r="S221" s="126"/>
      <c r="T221" s="122"/>
    </row>
    <row r="222" spans="1:20">
      <c r="A222" s="125"/>
      <c r="B222" s="125"/>
      <c r="C222" s="125"/>
      <c r="D222" s="126"/>
      <c r="E222" s="122"/>
      <c r="F222" s="125">
        <v>31</v>
      </c>
      <c r="G222" s="125"/>
      <c r="H222" s="125"/>
      <c r="I222" s="126">
        <v>32</v>
      </c>
      <c r="J222" s="122">
        <v>18727</v>
      </c>
      <c r="K222" s="121"/>
      <c r="L222" s="121"/>
      <c r="M222" s="121"/>
      <c r="N222" s="122"/>
      <c r="O222" s="122"/>
      <c r="P222" s="121"/>
      <c r="Q222" s="121"/>
      <c r="R222" s="121"/>
      <c r="S222" s="122"/>
      <c r="T222" s="122"/>
    </row>
    <row r="223" spans="1:20">
      <c r="A223" s="123"/>
      <c r="B223" s="123"/>
      <c r="C223" s="123"/>
      <c r="D223" s="124"/>
      <c r="E223" s="124"/>
      <c r="F223" s="121"/>
      <c r="G223" s="121"/>
      <c r="H223" s="121"/>
      <c r="I223" s="122"/>
      <c r="J223" s="122"/>
      <c r="K223" s="121"/>
      <c r="L223" s="121"/>
      <c r="M223" s="121"/>
      <c r="N223" s="122"/>
      <c r="O223" s="122"/>
      <c r="P223" s="121"/>
      <c r="Q223" s="121"/>
      <c r="R223" s="121"/>
      <c r="S223" s="122"/>
      <c r="T223" s="122"/>
    </row>
    <row r="224" spans="1:20" ht="17.5" thickBot="1">
      <c r="A224" s="8"/>
      <c r="B224" s="9"/>
      <c r="C224" s="9"/>
      <c r="D224" s="2"/>
      <c r="F224" s="8"/>
      <c r="G224" s="9"/>
      <c r="H224" s="9"/>
      <c r="I224" s="2"/>
      <c r="K224" s="8"/>
      <c r="L224" s="9"/>
      <c r="M224" s="9"/>
      <c r="N224" s="2"/>
      <c r="P224" s="8"/>
      <c r="Q224" s="9"/>
      <c r="R224" s="9"/>
      <c r="S224" s="2"/>
    </row>
    <row r="233" spans="1:20" ht="17.5" thickBot="1"/>
    <row r="234" spans="1:20">
      <c r="A234" s="12" t="s">
        <v>21</v>
      </c>
      <c r="B234" s="13"/>
      <c r="C234" s="13"/>
      <c r="D234" s="14"/>
      <c r="F234" s="12" t="s">
        <v>22</v>
      </c>
      <c r="G234" s="13"/>
      <c r="H234" s="13"/>
      <c r="I234" s="14"/>
      <c r="K234" s="12" t="s">
        <v>23</v>
      </c>
      <c r="L234" s="13"/>
      <c r="M234" s="13"/>
      <c r="N234" s="14"/>
      <c r="P234" s="12" t="s">
        <v>24</v>
      </c>
      <c r="Q234" s="13"/>
      <c r="R234" s="13"/>
      <c r="S234" s="14"/>
    </row>
    <row r="235" spans="1:20">
      <c r="A235" s="6" t="s">
        <v>7</v>
      </c>
      <c r="B235" s="1"/>
      <c r="C235" s="1"/>
      <c r="D235" s="7" t="s">
        <v>8</v>
      </c>
      <c r="F235" s="6" t="s">
        <v>7</v>
      </c>
      <c r="G235" s="1"/>
      <c r="H235" s="1"/>
      <c r="I235" s="7" t="s">
        <v>8</v>
      </c>
      <c r="K235" s="6" t="s">
        <v>7</v>
      </c>
      <c r="L235" s="1"/>
      <c r="M235" s="1"/>
      <c r="N235" s="7" t="s">
        <v>8</v>
      </c>
      <c r="P235" s="6" t="s">
        <v>7</v>
      </c>
      <c r="Q235" s="1"/>
      <c r="R235" s="1"/>
      <c r="S235" s="7" t="s">
        <v>8</v>
      </c>
    </row>
    <row r="236" spans="1:20">
      <c r="A236" s="121">
        <v>80</v>
      </c>
      <c r="B236" s="121"/>
      <c r="C236" s="121"/>
      <c r="D236" s="122">
        <v>64</v>
      </c>
      <c r="E236" s="122">
        <v>64</v>
      </c>
      <c r="F236" s="121">
        <v>78</v>
      </c>
      <c r="G236" s="121"/>
      <c r="H236" s="121"/>
      <c r="I236" s="122">
        <v>61</v>
      </c>
      <c r="J236" s="122">
        <v>61</v>
      </c>
      <c r="K236" s="121">
        <v>87</v>
      </c>
      <c r="L236" s="121"/>
      <c r="M236" s="121"/>
      <c r="N236" s="122">
        <v>97</v>
      </c>
      <c r="O236" s="122">
        <v>97</v>
      </c>
      <c r="P236" s="121">
        <v>87</v>
      </c>
      <c r="Q236" s="121"/>
      <c r="R236" s="121"/>
      <c r="S236" s="122">
        <v>85</v>
      </c>
      <c r="T236" s="122">
        <v>85</v>
      </c>
    </row>
    <row r="237" spans="1:20">
      <c r="A237" s="121">
        <v>79</v>
      </c>
      <c r="B237" s="121"/>
      <c r="C237" s="121"/>
      <c r="D237" s="122">
        <v>40</v>
      </c>
      <c r="E237" s="122">
        <v>104</v>
      </c>
      <c r="F237" s="121">
        <v>76</v>
      </c>
      <c r="G237" s="121"/>
      <c r="H237" s="121"/>
      <c r="I237" s="122">
        <v>13</v>
      </c>
      <c r="J237" s="122">
        <v>74</v>
      </c>
      <c r="K237" s="121">
        <v>85</v>
      </c>
      <c r="L237" s="121"/>
      <c r="M237" s="121"/>
      <c r="N237" s="122">
        <v>36</v>
      </c>
      <c r="O237" s="122">
        <v>133</v>
      </c>
      <c r="P237" s="121">
        <v>85</v>
      </c>
      <c r="Q237" s="121"/>
      <c r="R237" s="121"/>
      <c r="S237" s="122">
        <v>29</v>
      </c>
      <c r="T237" s="122">
        <v>114</v>
      </c>
    </row>
    <row r="238" spans="1:20">
      <c r="A238" s="121">
        <v>78</v>
      </c>
      <c r="B238" s="121"/>
      <c r="C238" s="121"/>
      <c r="D238" s="122">
        <v>46</v>
      </c>
      <c r="E238" s="122">
        <v>150</v>
      </c>
      <c r="F238" s="121">
        <v>75</v>
      </c>
      <c r="G238" s="121"/>
      <c r="H238" s="121"/>
      <c r="I238" s="122">
        <v>92</v>
      </c>
      <c r="J238" s="122">
        <v>166</v>
      </c>
      <c r="K238" s="121">
        <v>84</v>
      </c>
      <c r="L238" s="121"/>
      <c r="M238" s="121"/>
      <c r="N238" s="122">
        <v>43</v>
      </c>
      <c r="O238" s="122">
        <v>176</v>
      </c>
      <c r="P238" s="121">
        <v>84</v>
      </c>
      <c r="Q238" s="121"/>
      <c r="R238" s="121"/>
      <c r="S238" s="122">
        <v>32</v>
      </c>
      <c r="T238" s="122">
        <v>146</v>
      </c>
    </row>
    <row r="239" spans="1:20">
      <c r="A239" s="121">
        <v>77</v>
      </c>
      <c r="B239" s="121"/>
      <c r="C239" s="121"/>
      <c r="D239" s="122">
        <v>23</v>
      </c>
      <c r="E239" s="122">
        <v>173</v>
      </c>
      <c r="F239" s="121">
        <v>74</v>
      </c>
      <c r="G239" s="121"/>
      <c r="H239" s="121"/>
      <c r="I239" s="122">
        <v>5</v>
      </c>
      <c r="J239" s="122">
        <v>171</v>
      </c>
      <c r="K239" s="121">
        <v>83</v>
      </c>
      <c r="L239" s="121"/>
      <c r="M239" s="121"/>
      <c r="N239" s="122">
        <v>18</v>
      </c>
      <c r="O239" s="122">
        <v>194</v>
      </c>
      <c r="P239" s="121">
        <v>83</v>
      </c>
      <c r="Q239" s="121"/>
      <c r="R239" s="121"/>
      <c r="S239" s="122">
        <v>6</v>
      </c>
      <c r="T239" s="122">
        <v>152</v>
      </c>
    </row>
    <row r="240" spans="1:20">
      <c r="A240" s="121">
        <v>76</v>
      </c>
      <c r="B240" s="121"/>
      <c r="C240" s="121"/>
      <c r="D240" s="122">
        <v>37</v>
      </c>
      <c r="E240" s="122">
        <v>210</v>
      </c>
      <c r="F240" s="121">
        <v>73</v>
      </c>
      <c r="G240" s="121"/>
      <c r="H240" s="121"/>
      <c r="I240" s="122">
        <v>85</v>
      </c>
      <c r="J240" s="122">
        <v>256</v>
      </c>
      <c r="K240" s="121">
        <v>82</v>
      </c>
      <c r="L240" s="121"/>
      <c r="M240" s="121"/>
      <c r="N240" s="122">
        <v>36</v>
      </c>
      <c r="O240" s="122">
        <v>230</v>
      </c>
      <c r="P240" s="121">
        <v>82</v>
      </c>
      <c r="Q240" s="121"/>
      <c r="R240" s="121"/>
      <c r="S240" s="122">
        <v>23</v>
      </c>
      <c r="T240" s="122">
        <v>175</v>
      </c>
    </row>
    <row r="241" spans="1:20">
      <c r="A241" s="121">
        <v>75</v>
      </c>
      <c r="B241" s="121"/>
      <c r="C241" s="121"/>
      <c r="D241" s="122">
        <v>14</v>
      </c>
      <c r="E241" s="122">
        <v>224</v>
      </c>
      <c r="F241" s="121">
        <v>72</v>
      </c>
      <c r="G241" s="121"/>
      <c r="H241" s="121"/>
      <c r="I241" s="122">
        <v>9</v>
      </c>
      <c r="J241" s="122">
        <v>265</v>
      </c>
      <c r="K241" s="121">
        <v>81</v>
      </c>
      <c r="L241" s="121"/>
      <c r="M241" s="121"/>
      <c r="N241" s="122">
        <v>24</v>
      </c>
      <c r="O241" s="122">
        <v>254</v>
      </c>
      <c r="P241" s="121">
        <v>81</v>
      </c>
      <c r="Q241" s="121"/>
      <c r="R241" s="121"/>
      <c r="S241" s="122">
        <v>15</v>
      </c>
      <c r="T241" s="122">
        <v>190</v>
      </c>
    </row>
    <row r="242" spans="1:20">
      <c r="A242" s="121">
        <v>74</v>
      </c>
      <c r="B242" s="121"/>
      <c r="C242" s="121"/>
      <c r="D242" s="122">
        <v>27</v>
      </c>
      <c r="E242" s="122">
        <v>251</v>
      </c>
      <c r="F242" s="121">
        <v>71</v>
      </c>
      <c r="G242" s="121"/>
      <c r="H242" s="121"/>
      <c r="I242" s="122">
        <v>40</v>
      </c>
      <c r="J242" s="122">
        <v>305</v>
      </c>
      <c r="K242" s="121">
        <v>80</v>
      </c>
      <c r="L242" s="121"/>
      <c r="M242" s="121"/>
      <c r="N242" s="122">
        <v>25</v>
      </c>
      <c r="O242" s="122">
        <v>279</v>
      </c>
      <c r="P242" s="121">
        <v>80</v>
      </c>
      <c r="Q242" s="121"/>
      <c r="R242" s="121"/>
      <c r="S242" s="122">
        <v>7</v>
      </c>
      <c r="T242" s="122">
        <v>197</v>
      </c>
    </row>
    <row r="243" spans="1:20">
      <c r="A243" s="121">
        <v>73</v>
      </c>
      <c r="B243" s="121"/>
      <c r="C243" s="121"/>
      <c r="D243" s="122">
        <v>25</v>
      </c>
      <c r="E243" s="122">
        <v>276</v>
      </c>
      <c r="F243" s="121">
        <v>70</v>
      </c>
      <c r="G243" s="121"/>
      <c r="H243" s="121"/>
      <c r="I243" s="122">
        <v>41</v>
      </c>
      <c r="J243" s="122">
        <v>346</v>
      </c>
      <c r="K243" s="121">
        <v>79</v>
      </c>
      <c r="L243" s="121"/>
      <c r="M243" s="121"/>
      <c r="N243" s="122">
        <v>28</v>
      </c>
      <c r="O243" s="122">
        <v>307</v>
      </c>
      <c r="P243" s="121">
        <v>79</v>
      </c>
      <c r="Q243" s="121"/>
      <c r="R243" s="121"/>
      <c r="S243" s="122">
        <v>25</v>
      </c>
      <c r="T243" s="122">
        <v>222</v>
      </c>
    </row>
    <row r="244" spans="1:20">
      <c r="A244" s="121">
        <v>72</v>
      </c>
      <c r="B244" s="121"/>
      <c r="C244" s="121"/>
      <c r="D244" s="122">
        <v>26</v>
      </c>
      <c r="E244" s="122">
        <v>302</v>
      </c>
      <c r="F244" s="121">
        <v>69</v>
      </c>
      <c r="G244" s="121"/>
      <c r="H244" s="121"/>
      <c r="I244" s="122">
        <v>13</v>
      </c>
      <c r="J244" s="122">
        <v>359</v>
      </c>
      <c r="K244" s="121">
        <v>78</v>
      </c>
      <c r="L244" s="121"/>
      <c r="M244" s="121"/>
      <c r="N244" s="122">
        <v>21</v>
      </c>
      <c r="O244" s="122">
        <v>328</v>
      </c>
      <c r="P244" s="121">
        <v>78</v>
      </c>
      <c r="Q244" s="121"/>
      <c r="R244" s="121"/>
      <c r="S244" s="122">
        <v>9</v>
      </c>
      <c r="T244" s="122">
        <v>231</v>
      </c>
    </row>
    <row r="245" spans="1:20">
      <c r="A245" s="121">
        <v>71</v>
      </c>
      <c r="B245" s="121"/>
      <c r="C245" s="121"/>
      <c r="D245" s="122">
        <v>37</v>
      </c>
      <c r="E245" s="122">
        <v>339</v>
      </c>
      <c r="F245" s="121">
        <v>68</v>
      </c>
      <c r="G245" s="121"/>
      <c r="H245" s="121"/>
      <c r="I245" s="122">
        <v>48</v>
      </c>
      <c r="J245" s="122">
        <v>407</v>
      </c>
      <c r="K245" s="121">
        <v>77</v>
      </c>
      <c r="L245" s="121"/>
      <c r="M245" s="121"/>
      <c r="N245" s="122">
        <v>34</v>
      </c>
      <c r="O245" s="122">
        <v>362</v>
      </c>
      <c r="P245" s="121">
        <v>77</v>
      </c>
      <c r="Q245" s="121"/>
      <c r="R245" s="121"/>
      <c r="S245" s="122">
        <v>24</v>
      </c>
      <c r="T245" s="122">
        <v>255</v>
      </c>
    </row>
    <row r="246" spans="1:20">
      <c r="A246" s="121">
        <v>70</v>
      </c>
      <c r="B246" s="121"/>
      <c r="C246" s="121"/>
      <c r="D246" s="122">
        <v>27</v>
      </c>
      <c r="E246" s="122">
        <v>366</v>
      </c>
      <c r="F246" s="121">
        <v>67</v>
      </c>
      <c r="G246" s="121"/>
      <c r="H246" s="121"/>
      <c r="I246" s="122">
        <v>42</v>
      </c>
      <c r="J246" s="122">
        <v>449</v>
      </c>
      <c r="K246" s="121">
        <v>76</v>
      </c>
      <c r="L246" s="121"/>
      <c r="M246" s="121"/>
      <c r="N246" s="122">
        <v>26</v>
      </c>
      <c r="O246" s="122">
        <v>388</v>
      </c>
      <c r="P246" s="121">
        <v>76</v>
      </c>
      <c r="Q246" s="121"/>
      <c r="R246" s="121"/>
      <c r="S246" s="122">
        <v>21</v>
      </c>
      <c r="T246" s="122">
        <v>276</v>
      </c>
    </row>
    <row r="247" spans="1:20">
      <c r="A247" s="121">
        <v>69</v>
      </c>
      <c r="B247" s="121"/>
      <c r="C247" s="121"/>
      <c r="D247" s="122">
        <v>30</v>
      </c>
      <c r="E247" s="122">
        <v>396</v>
      </c>
      <c r="F247" s="121">
        <v>66</v>
      </c>
      <c r="G247" s="121"/>
      <c r="H247" s="121"/>
      <c r="I247" s="122">
        <v>80</v>
      </c>
      <c r="J247" s="122">
        <v>529</v>
      </c>
      <c r="K247" s="121">
        <v>75</v>
      </c>
      <c r="L247" s="121"/>
      <c r="M247" s="121"/>
      <c r="N247" s="122">
        <v>25</v>
      </c>
      <c r="O247" s="122">
        <v>413</v>
      </c>
      <c r="P247" s="121">
        <v>75</v>
      </c>
      <c r="Q247" s="121"/>
      <c r="R247" s="121"/>
      <c r="S247" s="122">
        <v>17</v>
      </c>
      <c r="T247" s="122">
        <v>293</v>
      </c>
    </row>
    <row r="248" spans="1:20">
      <c r="A248" s="121">
        <v>68</v>
      </c>
      <c r="B248" s="121"/>
      <c r="C248" s="121"/>
      <c r="D248" s="122">
        <v>35</v>
      </c>
      <c r="E248" s="122">
        <v>431</v>
      </c>
      <c r="F248" s="121">
        <v>65</v>
      </c>
      <c r="G248" s="121"/>
      <c r="H248" s="121"/>
      <c r="I248" s="122">
        <v>36</v>
      </c>
      <c r="J248" s="122">
        <v>565</v>
      </c>
      <c r="K248" s="121">
        <v>73</v>
      </c>
      <c r="L248" s="121"/>
      <c r="M248" s="121"/>
      <c r="N248" s="122">
        <v>28</v>
      </c>
      <c r="O248" s="122">
        <v>441</v>
      </c>
      <c r="P248" s="121">
        <v>73</v>
      </c>
      <c r="Q248" s="121"/>
      <c r="R248" s="121"/>
      <c r="S248" s="122">
        <v>32</v>
      </c>
      <c r="T248" s="122">
        <v>325</v>
      </c>
    </row>
    <row r="249" spans="1:20">
      <c r="A249" s="121">
        <v>67</v>
      </c>
      <c r="B249" s="121"/>
      <c r="C249" s="121"/>
      <c r="D249" s="122">
        <v>17</v>
      </c>
      <c r="E249" s="122">
        <v>448</v>
      </c>
      <c r="F249" s="121">
        <v>64</v>
      </c>
      <c r="G249" s="121"/>
      <c r="H249" s="121"/>
      <c r="I249" s="122">
        <v>45</v>
      </c>
      <c r="J249" s="122">
        <v>610</v>
      </c>
      <c r="K249" s="121">
        <v>72</v>
      </c>
      <c r="L249" s="121"/>
      <c r="M249" s="121"/>
      <c r="N249" s="122">
        <v>23</v>
      </c>
      <c r="O249" s="122">
        <v>464</v>
      </c>
      <c r="P249" s="121">
        <v>72</v>
      </c>
      <c r="Q249" s="121"/>
      <c r="R249" s="121"/>
      <c r="S249" s="122">
        <v>18</v>
      </c>
      <c r="T249" s="122">
        <v>343</v>
      </c>
    </row>
    <row r="250" spans="1:20">
      <c r="A250" s="121">
        <v>66</v>
      </c>
      <c r="B250" s="121"/>
      <c r="C250" s="121"/>
      <c r="D250" s="122">
        <v>77</v>
      </c>
      <c r="E250" s="122">
        <v>525</v>
      </c>
      <c r="F250" s="121">
        <v>63</v>
      </c>
      <c r="G250" s="121"/>
      <c r="H250" s="121"/>
      <c r="I250" s="122">
        <v>58</v>
      </c>
      <c r="J250" s="122">
        <v>668</v>
      </c>
      <c r="K250" s="121">
        <v>71</v>
      </c>
      <c r="L250" s="121"/>
      <c r="M250" s="121"/>
      <c r="N250" s="122">
        <v>29</v>
      </c>
      <c r="O250" s="122">
        <v>493</v>
      </c>
      <c r="P250" s="121">
        <v>71</v>
      </c>
      <c r="Q250" s="121"/>
      <c r="R250" s="121"/>
      <c r="S250" s="122">
        <v>18</v>
      </c>
      <c r="T250" s="122">
        <v>361</v>
      </c>
    </row>
    <row r="251" spans="1:20">
      <c r="A251" s="121">
        <v>65</v>
      </c>
      <c r="B251" s="121"/>
      <c r="C251" s="121"/>
      <c r="D251" s="122">
        <v>23</v>
      </c>
      <c r="E251" s="122">
        <v>548</v>
      </c>
      <c r="F251" s="121">
        <v>62</v>
      </c>
      <c r="G251" s="121"/>
      <c r="H251" s="121"/>
      <c r="I251" s="122">
        <v>44</v>
      </c>
      <c r="J251" s="122">
        <v>712</v>
      </c>
      <c r="K251" s="121">
        <v>70</v>
      </c>
      <c r="L251" s="121"/>
      <c r="M251" s="121"/>
      <c r="N251" s="122">
        <v>31</v>
      </c>
      <c r="O251" s="122">
        <v>524</v>
      </c>
      <c r="P251" s="121">
        <v>70</v>
      </c>
      <c r="Q251" s="121"/>
      <c r="R251" s="121"/>
      <c r="S251" s="122">
        <v>25</v>
      </c>
      <c r="T251" s="122">
        <v>386</v>
      </c>
    </row>
    <row r="252" spans="1:20">
      <c r="A252" s="121">
        <v>64</v>
      </c>
      <c r="B252" s="121"/>
      <c r="C252" s="121"/>
      <c r="D252" s="122">
        <v>47</v>
      </c>
      <c r="E252" s="122">
        <v>595</v>
      </c>
      <c r="F252" s="121">
        <v>61</v>
      </c>
      <c r="G252" s="121"/>
      <c r="H252" s="121"/>
      <c r="I252" s="122">
        <v>53</v>
      </c>
      <c r="J252" s="122">
        <v>765</v>
      </c>
      <c r="K252" s="121">
        <v>69</v>
      </c>
      <c r="L252" s="121"/>
      <c r="M252" s="121"/>
      <c r="N252" s="122">
        <v>34</v>
      </c>
      <c r="O252" s="122">
        <v>558</v>
      </c>
      <c r="P252" s="121">
        <v>69</v>
      </c>
      <c r="Q252" s="121"/>
      <c r="R252" s="121"/>
      <c r="S252" s="122">
        <v>23</v>
      </c>
      <c r="T252" s="122">
        <v>409</v>
      </c>
    </row>
    <row r="253" spans="1:20">
      <c r="A253" s="121">
        <v>63</v>
      </c>
      <c r="B253" s="121"/>
      <c r="C253" s="121"/>
      <c r="D253" s="122">
        <v>29</v>
      </c>
      <c r="E253" s="122">
        <v>624</v>
      </c>
      <c r="F253" s="121">
        <v>60</v>
      </c>
      <c r="G253" s="121"/>
      <c r="H253" s="121"/>
      <c r="I253" s="122">
        <v>45</v>
      </c>
      <c r="J253" s="122">
        <v>810</v>
      </c>
      <c r="K253" s="121">
        <v>68</v>
      </c>
      <c r="L253" s="121"/>
      <c r="M253" s="121"/>
      <c r="N253" s="122">
        <v>40</v>
      </c>
      <c r="O253" s="122">
        <v>598</v>
      </c>
      <c r="P253" s="121">
        <v>68</v>
      </c>
      <c r="Q253" s="121"/>
      <c r="R253" s="121"/>
      <c r="S253" s="122">
        <v>19</v>
      </c>
      <c r="T253" s="122">
        <v>428</v>
      </c>
    </row>
    <row r="254" spans="1:20">
      <c r="A254" s="121">
        <v>62</v>
      </c>
      <c r="B254" s="121"/>
      <c r="C254" s="121"/>
      <c r="D254" s="122">
        <v>34</v>
      </c>
      <c r="E254" s="122">
        <v>658</v>
      </c>
      <c r="F254" s="121">
        <v>59</v>
      </c>
      <c r="G254" s="121"/>
      <c r="H254" s="121"/>
      <c r="I254" s="122">
        <v>113</v>
      </c>
      <c r="J254" s="122">
        <v>923</v>
      </c>
      <c r="K254" s="121">
        <v>67</v>
      </c>
      <c r="L254" s="121"/>
      <c r="M254" s="121"/>
      <c r="N254" s="122">
        <v>27</v>
      </c>
      <c r="O254" s="122">
        <v>625</v>
      </c>
      <c r="P254" s="121">
        <v>67</v>
      </c>
      <c r="Q254" s="121"/>
      <c r="R254" s="121"/>
      <c r="S254" s="122">
        <v>33</v>
      </c>
      <c r="T254" s="122">
        <v>461</v>
      </c>
    </row>
    <row r="255" spans="1:20">
      <c r="A255" s="121">
        <v>61</v>
      </c>
      <c r="B255" s="121"/>
      <c r="C255" s="121"/>
      <c r="D255" s="122">
        <v>43</v>
      </c>
      <c r="E255" s="122">
        <v>701</v>
      </c>
      <c r="F255" s="121">
        <v>58</v>
      </c>
      <c r="G255" s="121"/>
      <c r="H255" s="121"/>
      <c r="I255" s="122">
        <v>54</v>
      </c>
      <c r="J255" s="122">
        <v>977</v>
      </c>
      <c r="K255" s="121">
        <v>66</v>
      </c>
      <c r="L255" s="121"/>
      <c r="M255" s="121"/>
      <c r="N255" s="122">
        <v>46</v>
      </c>
      <c r="O255" s="122">
        <v>671</v>
      </c>
      <c r="P255" s="121">
        <v>66</v>
      </c>
      <c r="Q255" s="121"/>
      <c r="R255" s="121"/>
      <c r="S255" s="122">
        <v>30</v>
      </c>
      <c r="T255" s="122">
        <v>491</v>
      </c>
    </row>
    <row r="256" spans="1:20">
      <c r="A256" s="121">
        <v>60</v>
      </c>
      <c r="B256" s="121"/>
      <c r="C256" s="121"/>
      <c r="D256" s="122">
        <v>39</v>
      </c>
      <c r="E256" s="122">
        <v>740</v>
      </c>
      <c r="F256" s="121">
        <v>57</v>
      </c>
      <c r="G256" s="121"/>
      <c r="H256" s="121"/>
      <c r="I256" s="122">
        <v>68</v>
      </c>
      <c r="J256" s="122">
        <v>1045</v>
      </c>
      <c r="K256" s="121">
        <v>65</v>
      </c>
      <c r="L256" s="121"/>
      <c r="M256" s="121"/>
      <c r="N256" s="122">
        <v>51</v>
      </c>
      <c r="O256" s="122">
        <v>722</v>
      </c>
      <c r="P256" s="121">
        <v>65</v>
      </c>
      <c r="Q256" s="121"/>
      <c r="R256" s="121"/>
      <c r="S256" s="122">
        <v>54</v>
      </c>
      <c r="T256" s="122">
        <v>545</v>
      </c>
    </row>
    <row r="257" spans="1:20">
      <c r="A257" s="121">
        <v>59</v>
      </c>
      <c r="B257" s="121"/>
      <c r="C257" s="121"/>
      <c r="D257" s="122">
        <v>42</v>
      </c>
      <c r="E257" s="122">
        <v>782</v>
      </c>
      <c r="F257" s="121">
        <v>56</v>
      </c>
      <c r="G257" s="121"/>
      <c r="H257" s="121"/>
      <c r="I257" s="122">
        <v>72</v>
      </c>
      <c r="J257" s="122">
        <v>1117</v>
      </c>
      <c r="K257" s="121">
        <v>64</v>
      </c>
      <c r="L257" s="121"/>
      <c r="M257" s="121"/>
      <c r="N257" s="122">
        <v>51</v>
      </c>
      <c r="O257" s="122">
        <v>773</v>
      </c>
      <c r="P257" s="121">
        <v>64</v>
      </c>
      <c r="Q257" s="121"/>
      <c r="R257" s="121"/>
      <c r="S257" s="122">
        <v>54</v>
      </c>
      <c r="T257" s="122">
        <v>599</v>
      </c>
    </row>
    <row r="258" spans="1:20">
      <c r="A258" s="121">
        <v>58</v>
      </c>
      <c r="B258" s="121"/>
      <c r="C258" s="121"/>
      <c r="D258" s="122">
        <v>45</v>
      </c>
      <c r="E258" s="122">
        <v>827</v>
      </c>
      <c r="F258" s="121">
        <v>55</v>
      </c>
      <c r="G258" s="121"/>
      <c r="H258" s="121"/>
      <c r="I258" s="122">
        <v>107</v>
      </c>
      <c r="J258" s="122">
        <v>1224</v>
      </c>
      <c r="K258" s="121">
        <v>63</v>
      </c>
      <c r="L258" s="121"/>
      <c r="M258" s="121"/>
      <c r="N258" s="122">
        <v>72</v>
      </c>
      <c r="O258" s="122">
        <v>845</v>
      </c>
      <c r="P258" s="121">
        <v>63</v>
      </c>
      <c r="Q258" s="121"/>
      <c r="R258" s="121"/>
      <c r="S258" s="122">
        <v>63</v>
      </c>
      <c r="T258" s="122">
        <v>662</v>
      </c>
    </row>
    <row r="259" spans="1:20">
      <c r="A259" s="121">
        <v>57</v>
      </c>
      <c r="B259" s="121"/>
      <c r="C259" s="121"/>
      <c r="D259" s="122">
        <v>66</v>
      </c>
      <c r="E259" s="122">
        <v>893</v>
      </c>
      <c r="F259" s="121">
        <v>54</v>
      </c>
      <c r="G259" s="121"/>
      <c r="H259" s="121"/>
      <c r="I259" s="122">
        <v>95</v>
      </c>
      <c r="J259" s="122">
        <v>1319</v>
      </c>
      <c r="K259" s="121">
        <v>62</v>
      </c>
      <c r="L259" s="121"/>
      <c r="M259" s="121"/>
      <c r="N259" s="122">
        <v>70</v>
      </c>
      <c r="O259" s="122">
        <v>915</v>
      </c>
      <c r="P259" s="121">
        <v>62</v>
      </c>
      <c r="Q259" s="121"/>
      <c r="R259" s="121"/>
      <c r="S259" s="122">
        <v>62</v>
      </c>
      <c r="T259" s="122">
        <v>724</v>
      </c>
    </row>
    <row r="260" spans="1:20">
      <c r="A260" s="121">
        <v>56</v>
      </c>
      <c r="B260" s="121"/>
      <c r="C260" s="121"/>
      <c r="D260" s="122">
        <v>73</v>
      </c>
      <c r="E260" s="122">
        <v>966</v>
      </c>
      <c r="F260" s="121">
        <v>53</v>
      </c>
      <c r="G260" s="121"/>
      <c r="H260" s="121"/>
      <c r="I260" s="122">
        <v>84</v>
      </c>
      <c r="J260" s="122">
        <v>1403</v>
      </c>
      <c r="K260" s="121">
        <v>61</v>
      </c>
      <c r="L260" s="121"/>
      <c r="M260" s="121"/>
      <c r="N260" s="122">
        <v>85</v>
      </c>
      <c r="O260" s="122">
        <v>1000</v>
      </c>
      <c r="P260" s="121">
        <v>61</v>
      </c>
      <c r="Q260" s="121"/>
      <c r="R260" s="121"/>
      <c r="S260" s="122">
        <v>58</v>
      </c>
      <c r="T260" s="122">
        <v>782</v>
      </c>
    </row>
    <row r="261" spans="1:20">
      <c r="A261" s="121">
        <v>55</v>
      </c>
      <c r="B261" s="121"/>
      <c r="C261" s="121"/>
      <c r="D261" s="122">
        <v>83</v>
      </c>
      <c r="E261" s="122">
        <v>1049</v>
      </c>
      <c r="F261" s="121">
        <v>52</v>
      </c>
      <c r="G261" s="121"/>
      <c r="H261" s="121"/>
      <c r="I261" s="122">
        <v>216</v>
      </c>
      <c r="J261" s="122">
        <v>1619</v>
      </c>
      <c r="K261" s="121">
        <v>60</v>
      </c>
      <c r="L261" s="121"/>
      <c r="M261" s="121"/>
      <c r="N261" s="122">
        <v>95</v>
      </c>
      <c r="O261" s="122">
        <v>1095</v>
      </c>
      <c r="P261" s="121">
        <v>60</v>
      </c>
      <c r="Q261" s="121"/>
      <c r="R261" s="121"/>
      <c r="S261" s="122">
        <v>85</v>
      </c>
      <c r="T261" s="122">
        <v>867</v>
      </c>
    </row>
    <row r="262" spans="1:20">
      <c r="A262" s="121">
        <v>54</v>
      </c>
      <c r="B262" s="121"/>
      <c r="C262" s="121"/>
      <c r="D262" s="122">
        <v>228</v>
      </c>
      <c r="E262" s="122">
        <v>1277</v>
      </c>
      <c r="F262" s="121">
        <v>51</v>
      </c>
      <c r="G262" s="121"/>
      <c r="H262" s="121"/>
      <c r="I262" s="122">
        <v>146</v>
      </c>
      <c r="J262" s="122">
        <v>1765</v>
      </c>
      <c r="K262" s="121">
        <v>59</v>
      </c>
      <c r="L262" s="121"/>
      <c r="M262" s="121"/>
      <c r="N262" s="122">
        <v>101</v>
      </c>
      <c r="O262" s="122">
        <v>1196</v>
      </c>
      <c r="P262" s="121">
        <v>59</v>
      </c>
      <c r="Q262" s="121"/>
      <c r="R262" s="121"/>
      <c r="S262" s="122">
        <v>65</v>
      </c>
      <c r="T262" s="122">
        <v>932</v>
      </c>
    </row>
    <row r="263" spans="1:20">
      <c r="A263" s="121">
        <v>53</v>
      </c>
      <c r="B263" s="121"/>
      <c r="C263" s="121"/>
      <c r="D263" s="122">
        <v>123</v>
      </c>
      <c r="E263" s="122">
        <v>1400</v>
      </c>
      <c r="F263" s="121">
        <v>50</v>
      </c>
      <c r="G263" s="121"/>
      <c r="H263" s="121"/>
      <c r="I263" s="122">
        <v>156</v>
      </c>
      <c r="J263" s="122">
        <v>1921</v>
      </c>
      <c r="K263" s="121">
        <v>58</v>
      </c>
      <c r="L263" s="121"/>
      <c r="M263" s="121"/>
      <c r="N263" s="122">
        <v>149</v>
      </c>
      <c r="O263" s="122">
        <v>1345</v>
      </c>
      <c r="P263" s="121">
        <v>58</v>
      </c>
      <c r="Q263" s="121"/>
      <c r="R263" s="121"/>
      <c r="S263" s="122">
        <v>102</v>
      </c>
      <c r="T263" s="122">
        <v>1034</v>
      </c>
    </row>
    <row r="264" spans="1:20">
      <c r="A264" s="121">
        <v>52</v>
      </c>
      <c r="B264" s="121"/>
      <c r="C264" s="121"/>
      <c r="D264" s="122">
        <v>160</v>
      </c>
      <c r="E264" s="122">
        <v>1560</v>
      </c>
      <c r="F264" s="121">
        <v>49</v>
      </c>
      <c r="G264" s="121"/>
      <c r="H264" s="121"/>
      <c r="I264" s="122">
        <v>171</v>
      </c>
      <c r="J264" s="122">
        <v>2092</v>
      </c>
      <c r="K264" s="121">
        <v>57</v>
      </c>
      <c r="L264" s="121"/>
      <c r="M264" s="121"/>
      <c r="N264" s="122">
        <v>147</v>
      </c>
      <c r="O264" s="122">
        <v>1492</v>
      </c>
      <c r="P264" s="121">
        <v>57</v>
      </c>
      <c r="Q264" s="121"/>
      <c r="R264" s="121"/>
      <c r="S264" s="122">
        <v>131</v>
      </c>
      <c r="T264" s="122">
        <v>1165</v>
      </c>
    </row>
    <row r="265" spans="1:20">
      <c r="A265" s="121">
        <v>51</v>
      </c>
      <c r="B265" s="121"/>
      <c r="C265" s="121"/>
      <c r="D265" s="122">
        <v>150</v>
      </c>
      <c r="E265" s="122">
        <v>1710</v>
      </c>
      <c r="F265" s="121">
        <v>48</v>
      </c>
      <c r="G265" s="121"/>
      <c r="H265" s="121"/>
      <c r="I265" s="122">
        <v>180</v>
      </c>
      <c r="J265" s="122">
        <v>2272</v>
      </c>
      <c r="K265" s="121">
        <v>56</v>
      </c>
      <c r="L265" s="121"/>
      <c r="M265" s="121"/>
      <c r="N265" s="122">
        <v>185</v>
      </c>
      <c r="O265" s="122">
        <v>1677</v>
      </c>
      <c r="P265" s="121">
        <v>56</v>
      </c>
      <c r="Q265" s="121"/>
      <c r="R265" s="121"/>
      <c r="S265" s="122">
        <v>90</v>
      </c>
      <c r="T265" s="122">
        <v>1255</v>
      </c>
    </row>
    <row r="266" spans="1:20">
      <c r="A266" s="121">
        <v>50</v>
      </c>
      <c r="B266" s="121"/>
      <c r="C266" s="121"/>
      <c r="D266" s="122">
        <v>206</v>
      </c>
      <c r="E266" s="122">
        <v>1916</v>
      </c>
      <c r="F266" s="121">
        <v>47</v>
      </c>
      <c r="G266" s="121"/>
      <c r="H266" s="121"/>
      <c r="I266" s="122">
        <v>196</v>
      </c>
      <c r="J266" s="122">
        <v>2468</v>
      </c>
      <c r="K266" s="121">
        <v>55</v>
      </c>
      <c r="L266" s="121"/>
      <c r="M266" s="121"/>
      <c r="N266" s="122">
        <v>149</v>
      </c>
      <c r="O266" s="122">
        <v>1826</v>
      </c>
      <c r="P266" s="121">
        <v>55</v>
      </c>
      <c r="Q266" s="121"/>
      <c r="R266" s="121"/>
      <c r="S266" s="122">
        <v>126</v>
      </c>
      <c r="T266" s="122">
        <v>1381</v>
      </c>
    </row>
    <row r="267" spans="1:20">
      <c r="A267" s="121">
        <v>49</v>
      </c>
      <c r="B267" s="121"/>
      <c r="C267" s="121"/>
      <c r="D267" s="122">
        <v>198</v>
      </c>
      <c r="E267" s="122">
        <v>2114</v>
      </c>
      <c r="F267" s="121">
        <v>46</v>
      </c>
      <c r="G267" s="121"/>
      <c r="H267" s="121"/>
      <c r="I267" s="122">
        <v>191</v>
      </c>
      <c r="J267" s="122">
        <v>2659</v>
      </c>
      <c r="K267" s="121">
        <v>54</v>
      </c>
      <c r="L267" s="121"/>
      <c r="M267" s="121"/>
      <c r="N267" s="122">
        <v>201</v>
      </c>
      <c r="O267" s="122">
        <v>2027</v>
      </c>
      <c r="P267" s="121">
        <v>54</v>
      </c>
      <c r="Q267" s="121"/>
      <c r="R267" s="121"/>
      <c r="S267" s="122">
        <v>129</v>
      </c>
      <c r="T267" s="122">
        <v>1510</v>
      </c>
    </row>
    <row r="268" spans="1:20">
      <c r="A268" s="121">
        <v>48</v>
      </c>
      <c r="B268" s="121"/>
      <c r="C268" s="121"/>
      <c r="D268" s="122">
        <v>198</v>
      </c>
      <c r="E268" s="122">
        <v>2312</v>
      </c>
      <c r="F268" s="121">
        <v>45</v>
      </c>
      <c r="G268" s="121"/>
      <c r="H268" s="121"/>
      <c r="I268" s="122">
        <v>438</v>
      </c>
      <c r="J268" s="122">
        <v>3097</v>
      </c>
      <c r="K268" s="121">
        <v>53</v>
      </c>
      <c r="L268" s="121"/>
      <c r="M268" s="121"/>
      <c r="N268" s="122">
        <v>309</v>
      </c>
      <c r="O268" s="122">
        <v>2336</v>
      </c>
      <c r="P268" s="121">
        <v>53</v>
      </c>
      <c r="Q268" s="121"/>
      <c r="R268" s="121"/>
      <c r="S268" s="122">
        <v>169</v>
      </c>
      <c r="T268" s="122">
        <v>1679</v>
      </c>
    </row>
    <row r="269" spans="1:20">
      <c r="A269" s="121">
        <v>47</v>
      </c>
      <c r="B269" s="121"/>
      <c r="C269" s="121"/>
      <c r="D269" s="122">
        <v>241</v>
      </c>
      <c r="E269" s="122">
        <v>2553</v>
      </c>
      <c r="F269" s="121">
        <v>44</v>
      </c>
      <c r="G269" s="121"/>
      <c r="H269" s="121"/>
      <c r="I269" s="122">
        <v>220</v>
      </c>
      <c r="J269" s="122">
        <v>3317</v>
      </c>
      <c r="K269" s="121">
        <v>52</v>
      </c>
      <c r="L269" s="121"/>
      <c r="M269" s="121"/>
      <c r="N269" s="122">
        <v>275</v>
      </c>
      <c r="O269" s="122">
        <v>2611</v>
      </c>
      <c r="P269" s="121">
        <v>52</v>
      </c>
      <c r="Q269" s="121"/>
      <c r="R269" s="121"/>
      <c r="S269" s="122">
        <v>183</v>
      </c>
      <c r="T269" s="122">
        <v>1862</v>
      </c>
    </row>
    <row r="270" spans="1:20">
      <c r="A270" s="121">
        <v>46</v>
      </c>
      <c r="B270" s="121"/>
      <c r="C270" s="121"/>
      <c r="D270" s="122">
        <v>198</v>
      </c>
      <c r="E270" s="122">
        <v>2751</v>
      </c>
      <c r="F270" s="121">
        <v>43</v>
      </c>
      <c r="G270" s="121"/>
      <c r="H270" s="121"/>
      <c r="I270" s="122">
        <v>232</v>
      </c>
      <c r="J270" s="122">
        <v>3549</v>
      </c>
      <c r="K270" s="121">
        <v>51</v>
      </c>
      <c r="L270" s="121"/>
      <c r="M270" s="121"/>
      <c r="N270" s="122">
        <v>372</v>
      </c>
      <c r="O270" s="122">
        <v>2983</v>
      </c>
      <c r="P270" s="121">
        <v>51</v>
      </c>
      <c r="Q270" s="121"/>
      <c r="R270" s="121"/>
      <c r="S270" s="122">
        <v>226</v>
      </c>
      <c r="T270" s="122">
        <v>2088</v>
      </c>
    </row>
    <row r="271" spans="1:20">
      <c r="A271" s="121">
        <v>45</v>
      </c>
      <c r="B271" s="121"/>
      <c r="C271" s="121"/>
      <c r="D271" s="122">
        <v>304</v>
      </c>
      <c r="E271" s="122">
        <v>3055</v>
      </c>
      <c r="F271" s="121">
        <v>42</v>
      </c>
      <c r="G271" s="121"/>
      <c r="H271" s="121"/>
      <c r="I271" s="122">
        <v>427</v>
      </c>
      <c r="J271" s="122">
        <v>3976</v>
      </c>
      <c r="K271" s="121">
        <v>50</v>
      </c>
      <c r="L271" s="121"/>
      <c r="M271" s="121"/>
      <c r="N271" s="122">
        <v>322</v>
      </c>
      <c r="O271" s="122">
        <v>3305</v>
      </c>
      <c r="P271" s="121">
        <v>50</v>
      </c>
      <c r="Q271" s="121"/>
      <c r="R271" s="121"/>
      <c r="S271" s="122">
        <v>249</v>
      </c>
      <c r="T271" s="122">
        <v>2337</v>
      </c>
    </row>
    <row r="272" spans="1:20">
      <c r="A272" s="121">
        <v>44</v>
      </c>
      <c r="B272" s="121"/>
      <c r="C272" s="121"/>
      <c r="D272" s="122">
        <v>250</v>
      </c>
      <c r="E272" s="122">
        <v>3305</v>
      </c>
      <c r="F272" s="121">
        <v>41</v>
      </c>
      <c r="G272" s="121"/>
      <c r="H272" s="121"/>
      <c r="I272" s="122">
        <v>312</v>
      </c>
      <c r="J272" s="122">
        <v>4288</v>
      </c>
      <c r="K272" s="121">
        <v>49</v>
      </c>
      <c r="L272" s="121"/>
      <c r="M272" s="121"/>
      <c r="N272" s="122">
        <v>387</v>
      </c>
      <c r="O272" s="122">
        <v>3692</v>
      </c>
      <c r="P272" s="121">
        <v>49</v>
      </c>
      <c r="Q272" s="121"/>
      <c r="R272" s="121"/>
      <c r="S272" s="122">
        <v>253</v>
      </c>
      <c r="T272" s="122">
        <v>2590</v>
      </c>
    </row>
    <row r="273" spans="1:20">
      <c r="A273" s="121">
        <v>43</v>
      </c>
      <c r="B273" s="121"/>
      <c r="C273" s="121"/>
      <c r="D273" s="122">
        <v>306</v>
      </c>
      <c r="E273" s="122">
        <v>3611</v>
      </c>
      <c r="F273" s="121">
        <v>40</v>
      </c>
      <c r="G273" s="121"/>
      <c r="H273" s="121"/>
      <c r="I273" s="122">
        <v>169</v>
      </c>
      <c r="J273" s="122">
        <v>4457</v>
      </c>
      <c r="K273" s="121">
        <v>48</v>
      </c>
      <c r="L273" s="121"/>
      <c r="M273" s="121"/>
      <c r="N273" s="122">
        <v>887</v>
      </c>
      <c r="O273" s="122">
        <v>4579</v>
      </c>
      <c r="P273" s="121">
        <v>48</v>
      </c>
      <c r="Q273" s="121"/>
      <c r="R273" s="121"/>
      <c r="S273" s="122">
        <v>419</v>
      </c>
      <c r="T273" s="122">
        <v>3009</v>
      </c>
    </row>
    <row r="274" spans="1:20">
      <c r="A274" s="121">
        <v>42</v>
      </c>
      <c r="B274" s="121"/>
      <c r="C274" s="121"/>
      <c r="D274" s="122">
        <v>628</v>
      </c>
      <c r="E274" s="122">
        <v>4239</v>
      </c>
      <c r="F274" s="121">
        <v>39</v>
      </c>
      <c r="G274" s="121"/>
      <c r="H274" s="121"/>
      <c r="I274" s="122">
        <v>95</v>
      </c>
      <c r="J274" s="122">
        <v>4552</v>
      </c>
      <c r="K274" s="121">
        <v>47</v>
      </c>
      <c r="L274" s="121"/>
      <c r="M274" s="121"/>
      <c r="N274" s="122">
        <v>525</v>
      </c>
      <c r="O274" s="122">
        <v>5104</v>
      </c>
      <c r="P274" s="121">
        <v>47</v>
      </c>
      <c r="Q274" s="121"/>
      <c r="R274" s="121"/>
      <c r="S274" s="122">
        <v>731</v>
      </c>
      <c r="T274" s="122">
        <v>3740</v>
      </c>
    </row>
    <row r="275" spans="1:20">
      <c r="A275" s="121">
        <v>41</v>
      </c>
      <c r="B275" s="121"/>
      <c r="C275" s="121"/>
      <c r="D275" s="122">
        <v>324</v>
      </c>
      <c r="E275" s="122">
        <v>4563</v>
      </c>
      <c r="F275" s="121">
        <v>38</v>
      </c>
      <c r="G275" s="121"/>
      <c r="H275" s="121"/>
      <c r="I275" s="122">
        <v>151</v>
      </c>
      <c r="J275" s="122">
        <v>4703</v>
      </c>
      <c r="K275" s="121">
        <v>46</v>
      </c>
      <c r="L275" s="121"/>
      <c r="M275" s="121"/>
      <c r="N275" s="122">
        <v>485</v>
      </c>
      <c r="O275" s="122">
        <v>5589</v>
      </c>
      <c r="P275" s="121">
        <v>46</v>
      </c>
      <c r="Q275" s="121"/>
      <c r="R275" s="121"/>
      <c r="S275" s="122">
        <v>372</v>
      </c>
      <c r="T275" s="122">
        <v>4112</v>
      </c>
    </row>
    <row r="276" spans="1:20">
      <c r="A276" s="121">
        <v>40</v>
      </c>
      <c r="B276" s="121"/>
      <c r="C276" s="121"/>
      <c r="D276" s="122">
        <v>97</v>
      </c>
      <c r="E276" s="122">
        <v>4660</v>
      </c>
      <c r="F276" s="121">
        <v>37</v>
      </c>
      <c r="G276" s="121"/>
      <c r="H276" s="121"/>
      <c r="I276" s="122">
        <v>24</v>
      </c>
      <c r="J276" s="122">
        <v>4727</v>
      </c>
      <c r="K276" s="121">
        <v>45</v>
      </c>
      <c r="L276" s="121"/>
      <c r="M276" s="121"/>
      <c r="N276" s="122">
        <v>661</v>
      </c>
      <c r="O276" s="122">
        <v>6250</v>
      </c>
      <c r="P276" s="121">
        <v>45</v>
      </c>
      <c r="Q276" s="121"/>
      <c r="R276" s="121"/>
      <c r="S276" s="122">
        <v>463</v>
      </c>
      <c r="T276" s="122">
        <v>4575</v>
      </c>
    </row>
    <row r="277" spans="1:20">
      <c r="A277" s="121">
        <v>39</v>
      </c>
      <c r="B277" s="121"/>
      <c r="C277" s="121"/>
      <c r="D277" s="122">
        <v>87</v>
      </c>
      <c r="E277" s="122">
        <v>4747</v>
      </c>
      <c r="F277" s="121">
        <v>36</v>
      </c>
      <c r="G277" s="121"/>
      <c r="H277" s="121"/>
      <c r="I277" s="122">
        <v>43</v>
      </c>
      <c r="J277" s="122">
        <v>4770</v>
      </c>
      <c r="K277" s="121">
        <v>44</v>
      </c>
      <c r="L277" s="121"/>
      <c r="M277" s="121"/>
      <c r="N277" s="122">
        <v>434</v>
      </c>
      <c r="O277" s="122">
        <v>6684</v>
      </c>
      <c r="P277" s="121">
        <v>44</v>
      </c>
      <c r="Q277" s="121"/>
      <c r="R277" s="121"/>
      <c r="S277" s="122">
        <v>554</v>
      </c>
      <c r="T277" s="122">
        <v>5129</v>
      </c>
    </row>
    <row r="278" spans="1:20">
      <c r="A278" s="121">
        <v>38</v>
      </c>
      <c r="B278" s="121"/>
      <c r="C278" s="121"/>
      <c r="D278" s="122">
        <v>31</v>
      </c>
      <c r="E278" s="122">
        <v>4778</v>
      </c>
      <c r="F278" s="121">
        <v>34</v>
      </c>
      <c r="G278" s="121"/>
      <c r="H278" s="121"/>
      <c r="I278" s="122">
        <v>15</v>
      </c>
      <c r="J278" s="122">
        <v>4785</v>
      </c>
      <c r="K278" s="121">
        <v>43</v>
      </c>
      <c r="L278" s="121"/>
      <c r="M278" s="121"/>
      <c r="N278" s="122">
        <v>579</v>
      </c>
      <c r="O278" s="122">
        <v>7263</v>
      </c>
      <c r="P278" s="121">
        <v>43</v>
      </c>
      <c r="Q278" s="121"/>
      <c r="R278" s="121"/>
      <c r="S278" s="122">
        <v>340</v>
      </c>
      <c r="T278" s="122">
        <v>5469</v>
      </c>
    </row>
    <row r="279" spans="1:20">
      <c r="A279" s="121">
        <v>37</v>
      </c>
      <c r="B279" s="121"/>
      <c r="C279" s="121"/>
      <c r="D279" s="122">
        <v>49</v>
      </c>
      <c r="E279" s="122">
        <v>4827</v>
      </c>
      <c r="F279" s="121"/>
      <c r="G279" s="121"/>
      <c r="H279" s="121"/>
      <c r="I279" s="122"/>
      <c r="J279" s="122"/>
      <c r="K279" s="121">
        <v>42</v>
      </c>
      <c r="L279" s="121"/>
      <c r="M279" s="121"/>
      <c r="N279" s="122">
        <v>238</v>
      </c>
      <c r="O279" s="122">
        <v>7501</v>
      </c>
      <c r="P279" s="121">
        <v>42</v>
      </c>
      <c r="Q279" s="121"/>
      <c r="R279" s="121"/>
      <c r="S279" s="122">
        <v>259</v>
      </c>
      <c r="T279" s="122">
        <v>5728</v>
      </c>
    </row>
    <row r="280" spans="1:20">
      <c r="A280" s="121">
        <v>36</v>
      </c>
      <c r="B280" s="121"/>
      <c r="C280" s="121"/>
      <c r="D280" s="122">
        <v>36</v>
      </c>
      <c r="E280" s="122">
        <v>4863</v>
      </c>
      <c r="F280" s="121"/>
      <c r="G280" s="121"/>
      <c r="H280" s="121"/>
      <c r="I280" s="122"/>
      <c r="J280" s="122"/>
      <c r="K280" s="125">
        <v>41</v>
      </c>
      <c r="L280" s="125"/>
      <c r="M280" s="125"/>
      <c r="N280" s="126">
        <v>463</v>
      </c>
      <c r="O280" s="122">
        <v>7964</v>
      </c>
      <c r="P280" s="125">
        <v>41</v>
      </c>
      <c r="Q280" s="125"/>
      <c r="R280" s="125"/>
      <c r="S280" s="126">
        <v>254</v>
      </c>
      <c r="T280" s="122">
        <v>5982</v>
      </c>
    </row>
    <row r="281" spans="1:20">
      <c r="A281" s="125">
        <v>34</v>
      </c>
      <c r="B281" s="125"/>
      <c r="C281" s="125"/>
      <c r="D281" s="126">
        <v>14</v>
      </c>
      <c r="E281" s="122">
        <v>4877</v>
      </c>
      <c r="F281" s="125"/>
      <c r="G281" s="125"/>
      <c r="H281" s="125"/>
      <c r="I281" s="126"/>
      <c r="J281" s="126"/>
      <c r="K281" s="121">
        <v>40</v>
      </c>
      <c r="L281" s="121"/>
      <c r="M281" s="121"/>
      <c r="N281" s="122">
        <v>285</v>
      </c>
      <c r="O281" s="122">
        <v>8249</v>
      </c>
      <c r="P281" s="121">
        <v>40</v>
      </c>
      <c r="Q281" s="121"/>
      <c r="R281" s="121"/>
      <c r="S281" s="122">
        <v>211</v>
      </c>
      <c r="T281" s="122">
        <v>6193</v>
      </c>
    </row>
    <row r="282" spans="1:20">
      <c r="A282" s="123"/>
      <c r="B282" s="123"/>
      <c r="C282" s="123"/>
      <c r="D282" s="124"/>
      <c r="E282" s="122"/>
      <c r="F282" s="121"/>
      <c r="G282" s="121"/>
      <c r="H282" s="121"/>
      <c r="I282" s="122"/>
      <c r="J282" s="122"/>
      <c r="K282" s="121">
        <v>39</v>
      </c>
      <c r="L282" s="121"/>
      <c r="M282" s="121"/>
      <c r="N282" s="122">
        <v>121</v>
      </c>
      <c r="O282" s="122">
        <v>8370</v>
      </c>
      <c r="P282" s="121">
        <v>38</v>
      </c>
      <c r="Q282" s="121"/>
      <c r="R282" s="121"/>
      <c r="S282" s="122">
        <v>48</v>
      </c>
      <c r="T282" s="122">
        <v>6241</v>
      </c>
    </row>
    <row r="283" spans="1:20">
      <c r="A283" s="123"/>
      <c r="B283" s="123"/>
      <c r="C283" s="123"/>
      <c r="D283" s="124"/>
      <c r="E283" s="124"/>
      <c r="F283" s="121"/>
      <c r="G283" s="121"/>
      <c r="H283" s="121"/>
      <c r="I283" s="122"/>
      <c r="J283" s="122"/>
      <c r="K283" s="121">
        <v>37</v>
      </c>
      <c r="L283" s="121"/>
      <c r="M283" s="121"/>
      <c r="N283" s="122">
        <v>207</v>
      </c>
      <c r="O283" s="122">
        <v>8577</v>
      </c>
      <c r="P283" s="121">
        <v>37</v>
      </c>
      <c r="Q283" s="121"/>
      <c r="R283" s="121"/>
      <c r="S283" s="122">
        <v>110</v>
      </c>
      <c r="T283" s="122">
        <v>6351</v>
      </c>
    </row>
    <row r="284" spans="1:20">
      <c r="A284" s="127"/>
      <c r="B284" s="127"/>
      <c r="C284" s="127"/>
      <c r="D284" s="122"/>
      <c r="E284" s="122"/>
      <c r="F284" s="121"/>
      <c r="G284" s="121"/>
      <c r="H284" s="121"/>
      <c r="I284" s="122"/>
      <c r="J284" s="122"/>
      <c r="K284" s="121">
        <v>35</v>
      </c>
      <c r="L284" s="121"/>
      <c r="M284" s="121"/>
      <c r="N284" s="122">
        <v>52</v>
      </c>
      <c r="O284" s="122">
        <v>8629</v>
      </c>
      <c r="P284" s="121">
        <v>35</v>
      </c>
      <c r="Q284" s="121"/>
      <c r="R284" s="121"/>
      <c r="S284" s="122">
        <v>32</v>
      </c>
      <c r="T284" s="122">
        <v>6383</v>
      </c>
    </row>
    <row r="285" spans="1:20">
      <c r="A285" s="128"/>
      <c r="B285" s="128"/>
      <c r="C285" s="128"/>
      <c r="D285" s="128"/>
      <c r="E285" s="128"/>
      <c r="F285" s="128"/>
      <c r="G285" s="128"/>
      <c r="H285" s="128"/>
      <c r="I285" s="128"/>
      <c r="J285" s="128"/>
      <c r="K285" s="129"/>
      <c r="L285" s="129"/>
      <c r="M285" s="129"/>
      <c r="N285" s="130"/>
      <c r="O285" s="130"/>
      <c r="P285" s="128"/>
      <c r="Q285" s="128"/>
      <c r="R285" s="128"/>
      <c r="S285" s="128"/>
      <c r="T285" s="12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4"/>
  <dimension ref="A3:V174"/>
  <sheetViews>
    <sheetView workbookViewId="0">
      <selection activeCell="C4" sqref="C4:D174"/>
    </sheetView>
  </sheetViews>
  <sheetFormatPr defaultRowHeight="17"/>
  <cols>
    <col min="2" max="2" width="12.58203125" customWidth="1"/>
    <col min="3" max="3" width="18" customWidth="1"/>
    <col min="4" max="22" width="12.58203125" customWidth="1"/>
  </cols>
  <sheetData>
    <row r="3" spans="1:22">
      <c r="C3" s="1" t="s">
        <v>60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25</v>
      </c>
      <c r="P3" s="1" t="s">
        <v>17</v>
      </c>
      <c r="Q3" s="1" t="s">
        <v>19</v>
      </c>
      <c r="R3" s="1" t="s">
        <v>20</v>
      </c>
      <c r="S3" s="1" t="s">
        <v>26</v>
      </c>
      <c r="T3" s="1" t="s">
        <v>22</v>
      </c>
      <c r="U3" s="1" t="s">
        <v>23</v>
      </c>
      <c r="V3" s="1" t="s">
        <v>24</v>
      </c>
    </row>
    <row r="4" spans="1:22">
      <c r="A4" t="s">
        <v>66</v>
      </c>
      <c r="B4" s="1" t="s">
        <v>27</v>
      </c>
      <c r="C4" s="119">
        <v>90</v>
      </c>
      <c r="D4" s="120">
        <v>13967</v>
      </c>
    </row>
    <row r="5" spans="1:22">
      <c r="B5" s="1" t="s">
        <v>28</v>
      </c>
      <c r="C5" s="119">
        <v>80</v>
      </c>
      <c r="D5" s="120">
        <v>31221</v>
      </c>
    </row>
    <row r="6" spans="1:22">
      <c r="B6" s="1" t="s">
        <v>29</v>
      </c>
      <c r="C6" s="119">
        <v>70</v>
      </c>
      <c r="D6" s="120">
        <v>53116</v>
      </c>
    </row>
    <row r="7" spans="1:22">
      <c r="B7" s="1" t="s">
        <v>30</v>
      </c>
      <c r="C7" s="119">
        <v>60</v>
      </c>
      <c r="D7" s="120">
        <v>64742</v>
      </c>
    </row>
    <row r="8" spans="1:22">
      <c r="B8" s="1" t="s">
        <v>31</v>
      </c>
      <c r="C8" s="119">
        <v>50</v>
      </c>
      <c r="D8" s="120">
        <v>53432</v>
      </c>
    </row>
    <row r="9" spans="1:22">
      <c r="B9" s="1" t="s">
        <v>32</v>
      </c>
      <c r="C9" s="119">
        <v>40</v>
      </c>
      <c r="D9" s="120">
        <v>39483</v>
      </c>
    </row>
    <row r="10" spans="1:22">
      <c r="B10" s="1" t="s">
        <v>33</v>
      </c>
      <c r="C10" s="119">
        <v>30</v>
      </c>
      <c r="D10" s="120">
        <v>28672</v>
      </c>
    </row>
    <row r="11" spans="1:22">
      <c r="B11" s="1" t="s">
        <v>34</v>
      </c>
      <c r="C11" s="119">
        <v>20</v>
      </c>
      <c r="D11" s="120">
        <v>32817</v>
      </c>
    </row>
    <row r="12" spans="1:22">
      <c r="B12" s="1" t="s">
        <v>36</v>
      </c>
      <c r="C12" s="119">
        <v>0</v>
      </c>
      <c r="D12" s="120">
        <v>10356</v>
      </c>
    </row>
    <row r="13" spans="1:22">
      <c r="A13" t="s">
        <v>67</v>
      </c>
      <c r="B13" s="1" t="s">
        <v>27</v>
      </c>
      <c r="C13" s="119">
        <v>40</v>
      </c>
      <c r="D13" s="120">
        <v>50782</v>
      </c>
    </row>
    <row r="14" spans="1:22">
      <c r="B14" s="1" t="s">
        <v>28</v>
      </c>
      <c r="C14" s="119">
        <v>35</v>
      </c>
      <c r="D14" s="120">
        <v>39839</v>
      </c>
    </row>
    <row r="15" spans="1:22">
      <c r="B15" s="1" t="s">
        <v>29</v>
      </c>
      <c r="C15" s="119">
        <v>30</v>
      </c>
      <c r="D15" s="120">
        <v>46401</v>
      </c>
    </row>
    <row r="16" spans="1:22">
      <c r="B16" s="1" t="s">
        <v>30</v>
      </c>
      <c r="C16" s="119">
        <v>25</v>
      </c>
      <c r="D16" s="120">
        <v>46958</v>
      </c>
    </row>
    <row r="17" spans="1:4">
      <c r="B17" s="1" t="s">
        <v>31</v>
      </c>
      <c r="C17" s="119">
        <v>20</v>
      </c>
      <c r="D17" s="120">
        <v>40236</v>
      </c>
    </row>
    <row r="18" spans="1:4">
      <c r="B18" s="1" t="s">
        <v>32</v>
      </c>
      <c r="C18" s="119">
        <v>15</v>
      </c>
      <c r="D18" s="120">
        <v>32641</v>
      </c>
    </row>
    <row r="19" spans="1:4">
      <c r="B19" s="1" t="s">
        <v>33</v>
      </c>
      <c r="C19" s="119">
        <v>10</v>
      </c>
      <c r="D19" s="120">
        <v>50355</v>
      </c>
    </row>
    <row r="20" spans="1:4">
      <c r="B20" s="1" t="s">
        <v>34</v>
      </c>
      <c r="C20" s="119">
        <v>5</v>
      </c>
      <c r="D20" s="120">
        <v>17410</v>
      </c>
    </row>
    <row r="21" spans="1:4">
      <c r="B21" s="1" t="s">
        <v>36</v>
      </c>
      <c r="C21" s="119">
        <v>0</v>
      </c>
      <c r="D21" s="120">
        <v>3713</v>
      </c>
    </row>
    <row r="22" spans="1:4">
      <c r="A22" t="s">
        <v>45</v>
      </c>
      <c r="B22" s="1" t="s">
        <v>37</v>
      </c>
      <c r="C22" s="119">
        <v>68</v>
      </c>
      <c r="D22" s="120">
        <v>5274</v>
      </c>
    </row>
    <row r="23" spans="1:4">
      <c r="B23" s="1" t="s">
        <v>38</v>
      </c>
      <c r="C23" s="119">
        <v>62</v>
      </c>
      <c r="D23" s="120">
        <v>12096</v>
      </c>
    </row>
    <row r="24" spans="1:4">
      <c r="B24" s="1" t="s">
        <v>39</v>
      </c>
      <c r="C24" s="119">
        <v>58</v>
      </c>
      <c r="D24" s="120">
        <v>13029</v>
      </c>
    </row>
    <row r="25" spans="1:4">
      <c r="B25" s="1" t="s">
        <v>40</v>
      </c>
      <c r="C25" s="119">
        <v>54</v>
      </c>
      <c r="D25" s="120">
        <v>22210</v>
      </c>
    </row>
    <row r="26" spans="1:4">
      <c r="B26" s="1" t="s">
        <v>41</v>
      </c>
      <c r="C26" s="119">
        <v>47</v>
      </c>
      <c r="D26" s="120">
        <v>29284</v>
      </c>
    </row>
    <row r="27" spans="1:4">
      <c r="B27" s="1" t="s">
        <v>42</v>
      </c>
      <c r="C27" s="119">
        <v>41</v>
      </c>
      <c r="D27" s="120">
        <v>19616</v>
      </c>
    </row>
    <row r="28" spans="1:4">
      <c r="B28" s="1" t="s">
        <v>43</v>
      </c>
      <c r="C28" s="119">
        <v>36</v>
      </c>
      <c r="D28" s="120">
        <v>15818</v>
      </c>
    </row>
    <row r="29" spans="1:4">
      <c r="B29" s="1" t="s">
        <v>44</v>
      </c>
      <c r="C29" s="119">
        <v>34</v>
      </c>
      <c r="D29" s="120">
        <v>9791</v>
      </c>
    </row>
    <row r="30" spans="1:4">
      <c r="B30" s="1" t="s">
        <v>35</v>
      </c>
      <c r="C30" s="119">
        <v>26</v>
      </c>
      <c r="D30" s="120">
        <v>3743</v>
      </c>
    </row>
    <row r="31" spans="1:4">
      <c r="A31" t="s">
        <v>46</v>
      </c>
      <c r="B31" s="1" t="s">
        <v>27</v>
      </c>
      <c r="C31" s="119">
        <v>70</v>
      </c>
      <c r="D31" s="120">
        <v>1544</v>
      </c>
    </row>
    <row r="32" spans="1:4">
      <c r="B32" s="1" t="s">
        <v>28</v>
      </c>
      <c r="C32" s="119">
        <v>64</v>
      </c>
      <c r="D32" s="120">
        <v>2683</v>
      </c>
    </row>
    <row r="33" spans="1:4">
      <c r="B33" s="1" t="s">
        <v>29</v>
      </c>
      <c r="C33" s="119">
        <v>58</v>
      </c>
      <c r="D33" s="120">
        <v>4179</v>
      </c>
    </row>
    <row r="34" spans="1:4">
      <c r="B34" s="1" t="s">
        <v>30</v>
      </c>
      <c r="C34" s="119">
        <v>51</v>
      </c>
      <c r="D34" s="120">
        <v>5723</v>
      </c>
    </row>
    <row r="35" spans="1:4">
      <c r="B35" s="1" t="s">
        <v>31</v>
      </c>
      <c r="C35" s="119">
        <v>45</v>
      </c>
      <c r="D35" s="120">
        <v>7297</v>
      </c>
    </row>
    <row r="36" spans="1:4">
      <c r="B36" s="1" t="s">
        <v>32</v>
      </c>
      <c r="C36" s="119">
        <v>42</v>
      </c>
      <c r="D36" s="120">
        <v>5287</v>
      </c>
    </row>
    <row r="37" spans="1:4">
      <c r="B37" s="1" t="s">
        <v>33</v>
      </c>
      <c r="C37" s="119">
        <v>39</v>
      </c>
      <c r="D37" s="120">
        <v>4990</v>
      </c>
    </row>
    <row r="38" spans="1:4">
      <c r="B38" s="1" t="s">
        <v>34</v>
      </c>
      <c r="C38" s="119">
        <v>37</v>
      </c>
      <c r="D38" s="120">
        <v>1603</v>
      </c>
    </row>
    <row r="39" spans="1:4">
      <c r="B39" s="1" t="s">
        <v>36</v>
      </c>
      <c r="C39" s="119">
        <v>30</v>
      </c>
      <c r="D39" s="120">
        <v>1134</v>
      </c>
    </row>
    <row r="40" spans="1:4">
      <c r="A40" t="s">
        <v>47</v>
      </c>
      <c r="B40" s="1" t="s">
        <v>37</v>
      </c>
      <c r="C40" s="119">
        <v>70</v>
      </c>
      <c r="D40" s="120">
        <v>1264</v>
      </c>
    </row>
    <row r="41" spans="1:4">
      <c r="B41" s="1" t="s">
        <v>38</v>
      </c>
      <c r="C41" s="119">
        <v>64</v>
      </c>
      <c r="D41" s="120">
        <v>2481</v>
      </c>
    </row>
    <row r="42" spans="1:4">
      <c r="B42" s="1" t="s">
        <v>39</v>
      </c>
      <c r="C42" s="119">
        <v>58</v>
      </c>
      <c r="D42" s="120">
        <v>3461</v>
      </c>
    </row>
    <row r="43" spans="1:4">
      <c r="B43" s="1" t="s">
        <v>40</v>
      </c>
      <c r="C43" s="119">
        <v>52</v>
      </c>
      <c r="D43" s="120">
        <v>5343</v>
      </c>
    </row>
    <row r="44" spans="1:4">
      <c r="B44" s="1" t="s">
        <v>41</v>
      </c>
      <c r="C44" s="119">
        <v>46</v>
      </c>
      <c r="D44" s="120">
        <v>6752</v>
      </c>
    </row>
    <row r="45" spans="1:4">
      <c r="B45" s="1" t="s">
        <v>42</v>
      </c>
      <c r="C45" s="119">
        <v>41</v>
      </c>
      <c r="D45" s="120">
        <v>5342</v>
      </c>
    </row>
    <row r="46" spans="1:4">
      <c r="B46" s="1" t="s">
        <v>43</v>
      </c>
      <c r="C46" s="119">
        <v>38</v>
      </c>
      <c r="D46" s="120">
        <v>4492</v>
      </c>
    </row>
    <row r="47" spans="1:4">
      <c r="B47" s="1" t="s">
        <v>44</v>
      </c>
      <c r="C47" s="119">
        <v>37</v>
      </c>
      <c r="D47" s="120">
        <v>397</v>
      </c>
    </row>
    <row r="48" spans="1:4">
      <c r="B48" s="1" t="s">
        <v>35</v>
      </c>
      <c r="C48" s="119">
        <v>30</v>
      </c>
      <c r="D48" s="120">
        <v>1225</v>
      </c>
    </row>
    <row r="49" spans="1:4">
      <c r="A49" t="s">
        <v>48</v>
      </c>
      <c r="B49" s="1" t="s">
        <v>27</v>
      </c>
      <c r="C49" s="119">
        <v>68</v>
      </c>
      <c r="D49" s="120">
        <v>1655</v>
      </c>
    </row>
    <row r="50" spans="1:4">
      <c r="B50" s="1" t="s">
        <v>28</v>
      </c>
      <c r="C50" s="119">
        <v>64</v>
      </c>
      <c r="D50" s="120">
        <v>1931</v>
      </c>
    </row>
    <row r="51" spans="1:4">
      <c r="B51" s="1" t="s">
        <v>29</v>
      </c>
      <c r="C51" s="119">
        <v>58</v>
      </c>
      <c r="D51" s="120">
        <v>3690</v>
      </c>
    </row>
    <row r="52" spans="1:4">
      <c r="B52" s="1" t="s">
        <v>30</v>
      </c>
      <c r="C52" s="119">
        <v>52</v>
      </c>
      <c r="D52" s="120">
        <v>4812</v>
      </c>
    </row>
    <row r="53" spans="1:4">
      <c r="B53" s="1" t="s">
        <v>31</v>
      </c>
      <c r="C53" s="119">
        <v>46</v>
      </c>
      <c r="D53" s="120">
        <v>5576</v>
      </c>
    </row>
    <row r="54" spans="1:4">
      <c r="B54" s="1" t="s">
        <v>32</v>
      </c>
      <c r="C54" s="119">
        <v>40</v>
      </c>
      <c r="D54" s="120">
        <v>7015</v>
      </c>
    </row>
    <row r="55" spans="1:4">
      <c r="B55" s="1" t="s">
        <v>33</v>
      </c>
      <c r="C55" s="119">
        <v>39</v>
      </c>
      <c r="D55" s="120">
        <v>1628</v>
      </c>
    </row>
    <row r="56" spans="1:4">
      <c r="B56" s="1" t="s">
        <v>34</v>
      </c>
      <c r="C56" s="119">
        <v>35</v>
      </c>
      <c r="D56" s="120">
        <v>2065</v>
      </c>
    </row>
    <row r="57" spans="1:4">
      <c r="B57" s="1" t="s">
        <v>36</v>
      </c>
      <c r="C57" s="119">
        <v>29</v>
      </c>
      <c r="D57" s="120">
        <v>955</v>
      </c>
    </row>
    <row r="58" spans="1:4">
      <c r="A58" t="s">
        <v>49</v>
      </c>
      <c r="B58" s="1" t="s">
        <v>37</v>
      </c>
      <c r="C58" s="119">
        <v>69</v>
      </c>
      <c r="D58" s="120">
        <v>625</v>
      </c>
    </row>
    <row r="59" spans="1:4">
      <c r="B59" s="1" t="s">
        <v>38</v>
      </c>
      <c r="C59" s="119">
        <v>65</v>
      </c>
      <c r="D59" s="120">
        <v>958</v>
      </c>
    </row>
    <row r="60" spans="1:4">
      <c r="B60" s="1" t="s">
        <v>39</v>
      </c>
      <c r="C60" s="119">
        <v>58</v>
      </c>
      <c r="D60" s="120">
        <v>2103</v>
      </c>
    </row>
    <row r="61" spans="1:4">
      <c r="B61" s="1" t="s">
        <v>40</v>
      </c>
      <c r="C61" s="119">
        <v>52</v>
      </c>
      <c r="D61" s="120">
        <v>2159</v>
      </c>
    </row>
    <row r="62" spans="1:4">
      <c r="B62" s="1" t="s">
        <v>41</v>
      </c>
      <c r="C62" s="119">
        <v>46</v>
      </c>
      <c r="D62" s="120">
        <v>2709</v>
      </c>
    </row>
    <row r="63" spans="1:4">
      <c r="B63" s="1" t="s">
        <v>42</v>
      </c>
      <c r="C63" s="119">
        <v>41</v>
      </c>
      <c r="D63" s="120">
        <v>2650</v>
      </c>
    </row>
    <row r="64" spans="1:4">
      <c r="B64" s="1" t="s">
        <v>43</v>
      </c>
      <c r="C64" s="119">
        <v>39</v>
      </c>
      <c r="D64" s="120">
        <v>1620</v>
      </c>
    </row>
    <row r="65" spans="1:4">
      <c r="B65" s="1" t="s">
        <v>44</v>
      </c>
      <c r="C65" s="119">
        <v>37</v>
      </c>
      <c r="D65" s="120">
        <v>847</v>
      </c>
    </row>
    <row r="66" spans="1:4">
      <c r="B66" s="1" t="s">
        <v>35</v>
      </c>
      <c r="C66" s="119">
        <v>31</v>
      </c>
      <c r="D66" s="120">
        <v>549</v>
      </c>
    </row>
    <row r="67" spans="1:4">
      <c r="A67" t="s">
        <v>48</v>
      </c>
      <c r="B67" s="1" t="s">
        <v>27</v>
      </c>
      <c r="C67" s="119">
        <v>70</v>
      </c>
      <c r="D67" s="120">
        <v>699</v>
      </c>
    </row>
    <row r="68" spans="1:4">
      <c r="B68" s="1" t="s">
        <v>28</v>
      </c>
      <c r="C68" s="119">
        <v>66</v>
      </c>
      <c r="D68" s="120">
        <v>1021</v>
      </c>
    </row>
    <row r="69" spans="1:4">
      <c r="B69" s="1" t="s">
        <v>29</v>
      </c>
      <c r="C69" s="119">
        <v>59</v>
      </c>
      <c r="D69" s="120">
        <v>1866</v>
      </c>
    </row>
    <row r="70" spans="1:4">
      <c r="B70" s="1" t="s">
        <v>30</v>
      </c>
      <c r="C70" s="119">
        <v>51</v>
      </c>
      <c r="D70" s="120">
        <v>2579</v>
      </c>
    </row>
    <row r="71" spans="1:4">
      <c r="B71" s="1" t="s">
        <v>31</v>
      </c>
      <c r="C71" s="119">
        <v>45</v>
      </c>
      <c r="D71" s="120">
        <v>3283</v>
      </c>
    </row>
    <row r="72" spans="1:4">
      <c r="B72" s="1" t="s">
        <v>32</v>
      </c>
      <c r="C72" s="119">
        <v>42</v>
      </c>
      <c r="D72" s="120">
        <v>2831</v>
      </c>
    </row>
    <row r="73" spans="1:4">
      <c r="B73" s="1" t="s">
        <v>33</v>
      </c>
      <c r="C73" s="119">
        <v>40</v>
      </c>
      <c r="D73" s="120">
        <v>1391</v>
      </c>
    </row>
    <row r="74" spans="1:4">
      <c r="B74" s="1" t="s">
        <v>34</v>
      </c>
      <c r="C74" s="119">
        <v>38</v>
      </c>
      <c r="D74" s="120">
        <v>1151</v>
      </c>
    </row>
    <row r="75" spans="1:4">
      <c r="B75" s="1" t="s">
        <v>36</v>
      </c>
      <c r="C75" s="119">
        <v>32</v>
      </c>
      <c r="D75" s="120">
        <v>518</v>
      </c>
    </row>
    <row r="76" spans="1:4">
      <c r="A76" t="s">
        <v>50</v>
      </c>
      <c r="B76" s="1" t="s">
        <v>37</v>
      </c>
      <c r="C76" s="119">
        <v>72</v>
      </c>
      <c r="D76" s="120">
        <v>316</v>
      </c>
    </row>
    <row r="77" spans="1:4">
      <c r="B77" s="1" t="s">
        <v>38</v>
      </c>
      <c r="C77" s="119">
        <v>65</v>
      </c>
      <c r="D77" s="120">
        <v>454</v>
      </c>
    </row>
    <row r="78" spans="1:4">
      <c r="B78" s="1" t="s">
        <v>39</v>
      </c>
      <c r="C78" s="119">
        <v>57</v>
      </c>
      <c r="D78" s="120">
        <v>817</v>
      </c>
    </row>
    <row r="79" spans="1:4">
      <c r="B79" s="1" t="s">
        <v>40</v>
      </c>
      <c r="C79" s="119">
        <v>49</v>
      </c>
      <c r="D79" s="120">
        <v>1432</v>
      </c>
    </row>
    <row r="80" spans="1:4">
      <c r="B80" s="1" t="s">
        <v>41</v>
      </c>
      <c r="C80" s="119">
        <v>45</v>
      </c>
      <c r="D80" s="120">
        <v>1130</v>
      </c>
    </row>
    <row r="81" spans="1:4">
      <c r="B81" s="1" t="s">
        <v>42</v>
      </c>
      <c r="C81" s="119">
        <v>42</v>
      </c>
      <c r="D81" s="120">
        <v>1462</v>
      </c>
    </row>
    <row r="82" spans="1:4">
      <c r="B82" s="1" t="s">
        <v>43</v>
      </c>
      <c r="C82" s="119">
        <v>40</v>
      </c>
      <c r="D82" s="120">
        <v>893</v>
      </c>
    </row>
    <row r="83" spans="1:4">
      <c r="B83" s="1" t="s">
        <v>44</v>
      </c>
      <c r="C83" s="119">
        <v>38</v>
      </c>
      <c r="D83" s="120">
        <v>220</v>
      </c>
    </row>
    <row r="84" spans="1:4">
      <c r="B84" s="1" t="s">
        <v>35</v>
      </c>
      <c r="C84" s="119">
        <v>33</v>
      </c>
      <c r="D84" s="120">
        <v>157</v>
      </c>
    </row>
    <row r="85" spans="1:4">
      <c r="A85" t="s">
        <v>65</v>
      </c>
      <c r="B85" s="1" t="s">
        <v>27</v>
      </c>
      <c r="C85" s="119">
        <v>69</v>
      </c>
      <c r="D85" s="120">
        <v>1281</v>
      </c>
    </row>
    <row r="86" spans="1:4">
      <c r="B86" s="1" t="s">
        <v>28</v>
      </c>
      <c r="C86" s="119">
        <v>65</v>
      </c>
      <c r="D86" s="120">
        <v>1366</v>
      </c>
    </row>
    <row r="87" spans="1:4">
      <c r="B87" s="1" t="s">
        <v>29</v>
      </c>
      <c r="C87" s="119">
        <v>58</v>
      </c>
      <c r="D87" s="120">
        <v>3214</v>
      </c>
    </row>
    <row r="88" spans="1:4">
      <c r="B88" s="1" t="s">
        <v>30</v>
      </c>
      <c r="C88" s="119">
        <v>52</v>
      </c>
      <c r="D88" s="120">
        <v>4358</v>
      </c>
    </row>
    <row r="89" spans="1:4">
      <c r="B89" s="1" t="s">
        <v>31</v>
      </c>
      <c r="C89" s="119">
        <v>46</v>
      </c>
      <c r="D89" s="120">
        <v>4231</v>
      </c>
    </row>
    <row r="90" spans="1:4">
      <c r="B90" s="1" t="s">
        <v>32</v>
      </c>
      <c r="C90" s="119">
        <v>41</v>
      </c>
      <c r="D90" s="120">
        <v>3800</v>
      </c>
    </row>
    <row r="91" spans="1:4">
      <c r="B91" s="1" t="s">
        <v>33</v>
      </c>
      <c r="C91" s="119">
        <v>38</v>
      </c>
      <c r="D91" s="120">
        <v>4058</v>
      </c>
    </row>
    <row r="92" spans="1:4">
      <c r="B92" s="1" t="s">
        <v>34</v>
      </c>
      <c r="C92" s="119">
        <v>37</v>
      </c>
      <c r="D92" s="120">
        <v>507</v>
      </c>
    </row>
    <row r="93" spans="1:4">
      <c r="B93" s="1" t="s">
        <v>36</v>
      </c>
      <c r="C93" s="119">
        <v>30</v>
      </c>
      <c r="D93" s="120">
        <v>860</v>
      </c>
    </row>
    <row r="94" spans="1:4">
      <c r="A94" t="s">
        <v>51</v>
      </c>
      <c r="B94" s="1" t="s">
        <v>37</v>
      </c>
      <c r="C94" s="119">
        <v>66</v>
      </c>
      <c r="D94" s="120">
        <v>7117</v>
      </c>
    </row>
    <row r="95" spans="1:4">
      <c r="B95" s="1" t="s">
        <v>38</v>
      </c>
      <c r="C95" s="119">
        <v>63</v>
      </c>
      <c r="D95" s="120">
        <v>9375</v>
      </c>
    </row>
    <row r="96" spans="1:4">
      <c r="B96" s="1" t="s">
        <v>39</v>
      </c>
      <c r="C96" s="119">
        <v>59</v>
      </c>
      <c r="D96" s="120">
        <v>18741</v>
      </c>
    </row>
    <row r="97" spans="1:4">
      <c r="B97" s="1" t="s">
        <v>40</v>
      </c>
      <c r="C97" s="119">
        <v>54</v>
      </c>
      <c r="D97" s="120">
        <v>27052</v>
      </c>
    </row>
    <row r="98" spans="1:4">
      <c r="B98" s="1" t="s">
        <v>41</v>
      </c>
      <c r="C98" s="119">
        <v>48</v>
      </c>
      <c r="D98" s="120">
        <v>30109</v>
      </c>
    </row>
    <row r="99" spans="1:4">
      <c r="B99" s="1" t="s">
        <v>42</v>
      </c>
      <c r="C99" s="119">
        <v>41</v>
      </c>
      <c r="D99" s="120">
        <v>25193</v>
      </c>
    </row>
    <row r="100" spans="1:4">
      <c r="B100" s="1" t="s">
        <v>43</v>
      </c>
      <c r="C100" s="119">
        <v>35</v>
      </c>
      <c r="D100" s="120">
        <v>20516</v>
      </c>
    </row>
    <row r="101" spans="1:4">
      <c r="B101" s="1" t="s">
        <v>44</v>
      </c>
      <c r="C101" s="119">
        <v>33</v>
      </c>
      <c r="D101" s="120">
        <v>7912</v>
      </c>
    </row>
    <row r="102" spans="1:4">
      <c r="B102" s="1" t="s">
        <v>35</v>
      </c>
      <c r="C102" s="119">
        <v>27</v>
      </c>
      <c r="D102" s="120">
        <v>2640</v>
      </c>
    </row>
    <row r="103" spans="1:4">
      <c r="A103" t="s">
        <v>52</v>
      </c>
      <c r="B103" s="1" t="s">
        <v>27</v>
      </c>
      <c r="C103" s="119">
        <v>69</v>
      </c>
      <c r="D103" s="120">
        <v>1395</v>
      </c>
    </row>
    <row r="104" spans="1:4">
      <c r="B104" s="1" t="s">
        <v>28</v>
      </c>
      <c r="C104" s="119">
        <v>65</v>
      </c>
      <c r="D104" s="120">
        <v>2315</v>
      </c>
    </row>
    <row r="105" spans="1:4">
      <c r="B105" s="1" t="s">
        <v>29</v>
      </c>
      <c r="C105" s="119">
        <v>59</v>
      </c>
      <c r="D105" s="120">
        <v>4067</v>
      </c>
    </row>
    <row r="106" spans="1:4">
      <c r="B106" s="1" t="s">
        <v>30</v>
      </c>
      <c r="C106" s="119">
        <v>51</v>
      </c>
      <c r="D106" s="120">
        <v>6823</v>
      </c>
    </row>
    <row r="107" spans="1:4">
      <c r="B107" s="1" t="s">
        <v>31</v>
      </c>
      <c r="C107" s="119">
        <v>46</v>
      </c>
      <c r="D107" s="120">
        <v>5295</v>
      </c>
    </row>
    <row r="108" spans="1:4">
      <c r="B108" s="1" t="s">
        <v>32</v>
      </c>
      <c r="C108" s="119">
        <v>40</v>
      </c>
      <c r="D108" s="120">
        <v>8359</v>
      </c>
    </row>
    <row r="109" spans="1:4">
      <c r="B109" s="1" t="s">
        <v>33</v>
      </c>
      <c r="C109" s="119">
        <v>39</v>
      </c>
      <c r="D109" s="120">
        <v>1725</v>
      </c>
    </row>
    <row r="110" spans="1:4">
      <c r="B110" s="1" t="s">
        <v>34</v>
      </c>
      <c r="C110" s="119">
        <v>36</v>
      </c>
      <c r="D110" s="120">
        <v>2013</v>
      </c>
    </row>
    <row r="111" spans="1:4">
      <c r="B111" s="1" t="s">
        <v>36</v>
      </c>
      <c r="C111" s="119">
        <v>30</v>
      </c>
      <c r="D111" s="120">
        <v>964</v>
      </c>
    </row>
    <row r="112" spans="1:4">
      <c r="A112" t="s">
        <v>53</v>
      </c>
      <c r="B112" s="1" t="s">
        <v>37</v>
      </c>
      <c r="C112" s="119">
        <v>71</v>
      </c>
      <c r="D112" s="120">
        <v>812</v>
      </c>
    </row>
    <row r="113" spans="1:4">
      <c r="B113" s="1" t="s">
        <v>38</v>
      </c>
      <c r="C113" s="119">
        <v>64</v>
      </c>
      <c r="D113" s="120">
        <v>1468</v>
      </c>
    </row>
    <row r="114" spans="1:4">
      <c r="B114" s="1" t="s">
        <v>39</v>
      </c>
      <c r="C114" s="119">
        <v>58</v>
      </c>
      <c r="D114" s="120">
        <v>2154</v>
      </c>
    </row>
    <row r="115" spans="1:4">
      <c r="B115" s="1" t="s">
        <v>40</v>
      </c>
      <c r="C115" s="119">
        <v>50</v>
      </c>
      <c r="D115" s="120">
        <v>3620</v>
      </c>
    </row>
    <row r="116" spans="1:4">
      <c r="B116" s="1" t="s">
        <v>41</v>
      </c>
      <c r="C116" s="119">
        <v>45</v>
      </c>
      <c r="D116" s="120">
        <v>4060</v>
      </c>
    </row>
    <row r="117" spans="1:4">
      <c r="B117" s="1" t="s">
        <v>42</v>
      </c>
      <c r="C117" s="119">
        <v>42</v>
      </c>
      <c r="D117" s="120">
        <v>3307</v>
      </c>
    </row>
    <row r="118" spans="1:4">
      <c r="B118" s="1" t="s">
        <v>43</v>
      </c>
      <c r="C118" s="119">
        <v>40</v>
      </c>
      <c r="D118" s="120">
        <v>1280</v>
      </c>
    </row>
    <row r="119" spans="1:4">
      <c r="B119" s="1" t="s">
        <v>44</v>
      </c>
      <c r="C119" s="119">
        <v>37</v>
      </c>
      <c r="D119" s="120">
        <v>1343</v>
      </c>
    </row>
    <row r="120" spans="1:4">
      <c r="B120" s="1" t="s">
        <v>35</v>
      </c>
      <c r="C120" s="119">
        <v>31</v>
      </c>
      <c r="D120" s="120">
        <v>683</v>
      </c>
    </row>
    <row r="121" spans="1:4">
      <c r="A121" t="s">
        <v>54</v>
      </c>
      <c r="B121" s="1" t="s">
        <v>27</v>
      </c>
      <c r="C121" s="119">
        <v>66</v>
      </c>
      <c r="D121" s="120">
        <v>3204</v>
      </c>
    </row>
    <row r="122" spans="1:4">
      <c r="B122" s="1" t="s">
        <v>28</v>
      </c>
      <c r="C122" s="119">
        <v>63</v>
      </c>
      <c r="D122" s="120">
        <v>5336</v>
      </c>
    </row>
    <row r="123" spans="1:4">
      <c r="B123" s="1" t="s">
        <v>29</v>
      </c>
      <c r="C123" s="119">
        <v>59</v>
      </c>
      <c r="D123" s="120">
        <v>9230</v>
      </c>
    </row>
    <row r="124" spans="1:4">
      <c r="B124" s="1" t="s">
        <v>30</v>
      </c>
      <c r="C124" s="119">
        <v>54</v>
      </c>
      <c r="D124" s="120">
        <v>11442</v>
      </c>
    </row>
    <row r="125" spans="1:4">
      <c r="B125" s="1" t="s">
        <v>31</v>
      </c>
      <c r="C125" s="119">
        <v>46</v>
      </c>
      <c r="D125" s="120">
        <v>17997</v>
      </c>
    </row>
    <row r="126" spans="1:4">
      <c r="B126" s="1" t="s">
        <v>32</v>
      </c>
      <c r="C126" s="119">
        <v>41</v>
      </c>
      <c r="D126" s="120">
        <v>9838</v>
      </c>
    </row>
    <row r="127" spans="1:4">
      <c r="B127" s="1" t="s">
        <v>33</v>
      </c>
      <c r="C127" s="119">
        <v>37</v>
      </c>
      <c r="D127" s="120">
        <v>7821</v>
      </c>
    </row>
    <row r="128" spans="1:4">
      <c r="B128" s="1" t="s">
        <v>34</v>
      </c>
      <c r="C128" s="119">
        <v>33</v>
      </c>
      <c r="D128" s="120">
        <v>5726</v>
      </c>
    </row>
    <row r="129" spans="1:4">
      <c r="B129" s="1" t="s">
        <v>36</v>
      </c>
      <c r="C129" s="119">
        <v>25</v>
      </c>
      <c r="D129" s="120">
        <v>1783</v>
      </c>
    </row>
    <row r="130" spans="1:4">
      <c r="A130" t="s">
        <v>55</v>
      </c>
      <c r="B130" s="1" t="s">
        <v>37</v>
      </c>
      <c r="C130" s="119">
        <v>68</v>
      </c>
      <c r="D130" s="120">
        <v>3315</v>
      </c>
    </row>
    <row r="131" spans="1:4">
      <c r="B131" s="1" t="s">
        <v>38</v>
      </c>
      <c r="C131" s="119">
        <v>65</v>
      </c>
      <c r="D131" s="120">
        <v>4824</v>
      </c>
    </row>
    <row r="132" spans="1:4">
      <c r="B132" s="1" t="s">
        <v>39</v>
      </c>
      <c r="C132" s="119">
        <v>59</v>
      </c>
      <c r="D132" s="120">
        <v>8131</v>
      </c>
    </row>
    <row r="133" spans="1:4">
      <c r="B133" s="1" t="s">
        <v>40</v>
      </c>
      <c r="C133" s="119">
        <v>52</v>
      </c>
      <c r="D133" s="120">
        <v>11449</v>
      </c>
    </row>
    <row r="134" spans="1:4">
      <c r="B134" s="1" t="s">
        <v>41</v>
      </c>
      <c r="C134" s="119">
        <v>45</v>
      </c>
      <c r="D134" s="120">
        <v>14325</v>
      </c>
    </row>
    <row r="135" spans="1:4">
      <c r="B135" s="1" t="s">
        <v>42</v>
      </c>
      <c r="C135" s="119">
        <v>41</v>
      </c>
      <c r="D135" s="120">
        <v>13666</v>
      </c>
    </row>
    <row r="136" spans="1:4">
      <c r="B136" s="1" t="s">
        <v>43</v>
      </c>
      <c r="C136" s="119">
        <v>39</v>
      </c>
      <c r="D136" s="120">
        <v>5882</v>
      </c>
    </row>
    <row r="137" spans="1:4">
      <c r="B137" s="1" t="s">
        <v>44</v>
      </c>
      <c r="C137" s="119">
        <v>37</v>
      </c>
      <c r="D137" s="120">
        <v>5133</v>
      </c>
    </row>
    <row r="138" spans="1:4">
      <c r="B138" s="1" t="s">
        <v>35</v>
      </c>
      <c r="C138" s="119">
        <v>32</v>
      </c>
      <c r="D138" s="120">
        <v>2264</v>
      </c>
    </row>
    <row r="139" spans="1:4">
      <c r="A139" t="s">
        <v>56</v>
      </c>
      <c r="B139" s="1" t="s">
        <v>27</v>
      </c>
      <c r="C139" s="119">
        <v>76</v>
      </c>
      <c r="D139" s="120">
        <v>210</v>
      </c>
    </row>
    <row r="140" spans="1:4">
      <c r="B140" s="1" t="s">
        <v>28</v>
      </c>
      <c r="C140" s="119">
        <v>65</v>
      </c>
      <c r="D140" s="120">
        <v>338</v>
      </c>
    </row>
    <row r="141" spans="1:4">
      <c r="B141" s="1" t="s">
        <v>29</v>
      </c>
      <c r="C141" s="119">
        <v>54</v>
      </c>
      <c r="D141" s="120">
        <v>729</v>
      </c>
    </row>
    <row r="142" spans="1:4">
      <c r="B142" s="1" t="s">
        <v>30</v>
      </c>
      <c r="C142" s="119">
        <v>49</v>
      </c>
      <c r="D142" s="120">
        <v>837</v>
      </c>
    </row>
    <row r="143" spans="1:4">
      <c r="B143" s="1" t="s">
        <v>31</v>
      </c>
      <c r="C143" s="119">
        <v>45</v>
      </c>
      <c r="D143" s="120">
        <v>941</v>
      </c>
    </row>
    <row r="144" spans="1:4">
      <c r="B144" s="1" t="s">
        <v>32</v>
      </c>
      <c r="C144" s="119">
        <v>42</v>
      </c>
      <c r="D144" s="120">
        <v>1184</v>
      </c>
    </row>
    <row r="145" spans="1:4">
      <c r="B145" s="1" t="s">
        <v>33</v>
      </c>
      <c r="C145" s="119">
        <v>41</v>
      </c>
      <c r="D145" s="120">
        <v>324</v>
      </c>
    </row>
    <row r="146" spans="1:4">
      <c r="B146" s="1" t="s">
        <v>34</v>
      </c>
      <c r="C146" s="119">
        <v>39</v>
      </c>
      <c r="D146" s="120">
        <v>184</v>
      </c>
    </row>
    <row r="147" spans="1:4">
      <c r="B147" s="1" t="s">
        <v>36</v>
      </c>
      <c r="C147" s="119">
        <v>34</v>
      </c>
      <c r="D147" s="120">
        <v>130</v>
      </c>
    </row>
    <row r="148" spans="1:4">
      <c r="A148" t="s">
        <v>57</v>
      </c>
      <c r="B148" s="1" t="s">
        <v>37</v>
      </c>
      <c r="C148" s="119">
        <v>73</v>
      </c>
      <c r="D148" s="120">
        <v>256</v>
      </c>
    </row>
    <row r="149" spans="1:4">
      <c r="B149" s="1" t="s">
        <v>38</v>
      </c>
      <c r="C149" s="119">
        <v>66</v>
      </c>
      <c r="D149" s="120">
        <v>273</v>
      </c>
    </row>
    <row r="150" spans="1:4">
      <c r="B150" s="1" t="s">
        <v>39</v>
      </c>
      <c r="C150" s="119">
        <v>56</v>
      </c>
      <c r="D150" s="120">
        <v>588</v>
      </c>
    </row>
    <row r="151" spans="1:4">
      <c r="B151" s="1" t="s">
        <v>40</v>
      </c>
      <c r="C151" s="119">
        <v>50</v>
      </c>
      <c r="D151" s="120">
        <v>804</v>
      </c>
    </row>
    <row r="152" spans="1:4">
      <c r="B152" s="1" t="s">
        <v>41</v>
      </c>
      <c r="C152" s="119">
        <v>45</v>
      </c>
      <c r="D152" s="120">
        <v>1176</v>
      </c>
    </row>
    <row r="153" spans="1:4">
      <c r="B153" s="1" t="s">
        <v>42</v>
      </c>
      <c r="C153" s="119">
        <v>42</v>
      </c>
      <c r="D153" s="120">
        <v>879</v>
      </c>
    </row>
    <row r="154" spans="1:4">
      <c r="B154" s="1" t="s">
        <v>43</v>
      </c>
      <c r="C154" s="119">
        <v>41</v>
      </c>
      <c r="D154" s="120">
        <v>312</v>
      </c>
    </row>
    <row r="155" spans="1:4">
      <c r="B155" s="1" t="s">
        <v>44</v>
      </c>
      <c r="C155" s="119">
        <v>38</v>
      </c>
      <c r="D155" s="120">
        <v>415</v>
      </c>
    </row>
    <row r="156" spans="1:4">
      <c r="B156" s="1" t="s">
        <v>35</v>
      </c>
      <c r="C156" s="119">
        <v>34</v>
      </c>
      <c r="D156" s="120">
        <v>82</v>
      </c>
    </row>
    <row r="157" spans="1:4">
      <c r="A157" t="s">
        <v>58</v>
      </c>
      <c r="B157" s="1" t="s">
        <v>27</v>
      </c>
      <c r="C157" s="119">
        <v>77</v>
      </c>
      <c r="D157" s="120">
        <v>362</v>
      </c>
    </row>
    <row r="158" spans="1:4">
      <c r="B158" s="1" t="s">
        <v>28</v>
      </c>
      <c r="C158" s="119">
        <v>61</v>
      </c>
      <c r="D158" s="120">
        <v>638</v>
      </c>
    </row>
    <row r="159" spans="1:4">
      <c r="B159" s="1" t="s">
        <v>29</v>
      </c>
      <c r="C159" s="119">
        <v>54</v>
      </c>
      <c r="D159" s="120">
        <v>1027</v>
      </c>
    </row>
    <row r="160" spans="1:4">
      <c r="B160" s="1" t="s">
        <v>30</v>
      </c>
      <c r="C160" s="119">
        <v>49</v>
      </c>
      <c r="D160" s="120">
        <v>1665</v>
      </c>
    </row>
    <row r="161" spans="1:4">
      <c r="B161" s="1" t="s">
        <v>31</v>
      </c>
      <c r="C161" s="119">
        <v>46</v>
      </c>
      <c r="D161" s="120">
        <v>1897</v>
      </c>
    </row>
    <row r="162" spans="1:4">
      <c r="B162" s="1" t="s">
        <v>32</v>
      </c>
      <c r="C162" s="119">
        <v>44</v>
      </c>
      <c r="D162" s="120">
        <v>1095</v>
      </c>
    </row>
    <row r="163" spans="1:4">
      <c r="B163" s="1" t="s">
        <v>33</v>
      </c>
      <c r="C163" s="119">
        <v>41</v>
      </c>
      <c r="D163" s="120">
        <v>1280</v>
      </c>
    </row>
    <row r="164" spans="1:4">
      <c r="B164" s="1" t="s">
        <v>34</v>
      </c>
      <c r="C164" s="119">
        <v>39</v>
      </c>
      <c r="D164" s="120">
        <v>406</v>
      </c>
    </row>
    <row r="165" spans="1:4">
      <c r="B165" s="1" t="s">
        <v>36</v>
      </c>
      <c r="C165" s="119">
        <v>35</v>
      </c>
      <c r="D165" s="120">
        <v>259</v>
      </c>
    </row>
    <row r="166" spans="1:4">
      <c r="A166" t="s">
        <v>59</v>
      </c>
      <c r="B166" s="1" t="s">
        <v>37</v>
      </c>
      <c r="C166" s="119">
        <v>76</v>
      </c>
      <c r="D166" s="120">
        <v>276</v>
      </c>
    </row>
    <row r="167" spans="1:4">
      <c r="B167" s="1" t="s">
        <v>38</v>
      </c>
      <c r="C167" s="119">
        <v>62</v>
      </c>
      <c r="D167" s="120">
        <v>448</v>
      </c>
    </row>
    <row r="168" spans="1:4">
      <c r="B168" s="1" t="s">
        <v>39</v>
      </c>
      <c r="C168" s="119">
        <v>54</v>
      </c>
      <c r="D168" s="120">
        <v>786</v>
      </c>
    </row>
    <row r="169" spans="1:4">
      <c r="B169" s="1" t="s">
        <v>40</v>
      </c>
      <c r="C169" s="119">
        <v>49</v>
      </c>
      <c r="D169" s="120">
        <v>1080</v>
      </c>
    </row>
    <row r="170" spans="1:4">
      <c r="B170" s="1" t="s">
        <v>41</v>
      </c>
      <c r="C170" s="119">
        <v>46</v>
      </c>
      <c r="D170" s="120">
        <v>1522</v>
      </c>
    </row>
    <row r="171" spans="1:4">
      <c r="B171" s="1" t="s">
        <v>42</v>
      </c>
      <c r="C171" s="119">
        <v>44</v>
      </c>
      <c r="D171" s="120">
        <v>1017</v>
      </c>
    </row>
    <row r="172" spans="1:4">
      <c r="B172" s="1" t="s">
        <v>43</v>
      </c>
      <c r="C172" s="119">
        <v>42</v>
      </c>
      <c r="D172" s="120">
        <v>599</v>
      </c>
    </row>
    <row r="173" spans="1:4">
      <c r="B173" s="1" t="s">
        <v>44</v>
      </c>
      <c r="C173" s="119">
        <v>40</v>
      </c>
      <c r="D173" s="120">
        <v>465</v>
      </c>
    </row>
    <row r="174" spans="1:4">
      <c r="B174" s="1" t="s">
        <v>35</v>
      </c>
      <c r="C174" s="119">
        <v>35</v>
      </c>
      <c r="D174" s="120">
        <v>190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5"/>
  <dimension ref="A1:L16"/>
  <sheetViews>
    <sheetView workbookViewId="0">
      <selection activeCell="B2" sqref="B2:K16"/>
    </sheetView>
  </sheetViews>
  <sheetFormatPr defaultRowHeight="17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기능'!D4</f>
        <v>56.89</v>
      </c>
      <c r="I3" s="15" t="s">
        <v>73</v>
      </c>
      <c r="J3" s="35">
        <f>'통계 및 응시자 수 입력 기능'!C4</f>
        <v>327806</v>
      </c>
      <c r="K3" s="28"/>
    </row>
    <row r="4" spans="1:12" ht="25" customHeight="1" thickBot="1">
      <c r="A4" s="4"/>
      <c r="B4" s="19"/>
      <c r="C4" s="36" t="s">
        <v>74</v>
      </c>
      <c r="D4" s="107" t="s">
        <v>75</v>
      </c>
      <c r="E4" s="108"/>
      <c r="F4" s="109"/>
      <c r="G4" s="37" t="s">
        <v>76</v>
      </c>
      <c r="H4" s="38" t="str">
        <f>'통계 및 응시자 수 입력 기능'!E4</f>
        <v>20.71</v>
      </c>
      <c r="I4" s="16"/>
      <c r="J4" s="29"/>
      <c r="K4" s="28"/>
    </row>
    <row r="5" spans="1:12" ht="25" customHeight="1" thickBot="1">
      <c r="A5" s="4"/>
      <c r="B5" s="19"/>
      <c r="C5" s="29"/>
      <c r="D5" s="29"/>
      <c r="E5" s="29"/>
      <c r="F5" s="29"/>
      <c r="G5" s="29"/>
      <c r="H5" s="29"/>
      <c r="I5" s="29"/>
      <c r="J5" s="29"/>
      <c r="K5" s="28"/>
    </row>
    <row r="6" spans="1:12" ht="25" customHeight="1" thickBot="1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>
      <c r="A7" s="4"/>
      <c r="B7" s="19"/>
      <c r="C7" s="44">
        <v>1</v>
      </c>
      <c r="D7" s="45">
        <v>90</v>
      </c>
      <c r="E7" s="46">
        <f>'표준점수 등급컷 입력기능'!D4</f>
        <v>13967</v>
      </c>
      <c r="F7" s="47">
        <f>E7/$J$3</f>
        <v>4.2607517861173984E-2</v>
      </c>
      <c r="G7" s="48">
        <f>SUM($E$7:E7)</f>
        <v>13967</v>
      </c>
      <c r="H7" s="49">
        <f>G7/$J$3</f>
        <v>4.2607517861173984E-2</v>
      </c>
      <c r="I7" s="29"/>
      <c r="J7" s="29"/>
      <c r="K7" s="28"/>
      <c r="L7" s="4"/>
    </row>
    <row r="8" spans="1:12" ht="25" customHeight="1">
      <c r="A8" s="4"/>
      <c r="B8" s="19"/>
      <c r="C8" s="50">
        <v>2</v>
      </c>
      <c r="D8" s="51">
        <v>80</v>
      </c>
      <c r="E8" s="52">
        <f>'표준점수 등급컷 입력기능'!D5</f>
        <v>31221</v>
      </c>
      <c r="F8" s="53">
        <f t="shared" ref="F8:F15" si="0">E8/$J$3</f>
        <v>9.5242307950434105E-2</v>
      </c>
      <c r="G8" s="54">
        <f>SUM($E$7:E8)</f>
        <v>45188</v>
      </c>
      <c r="H8" s="55">
        <f t="shared" ref="H8:H15" si="1">G8/$J$3</f>
        <v>0.1378498258116081</v>
      </c>
      <c r="I8" s="29"/>
      <c r="J8" s="29"/>
      <c r="K8" s="28"/>
      <c r="L8" s="4"/>
    </row>
    <row r="9" spans="1:12" ht="25" customHeight="1">
      <c r="A9" s="4"/>
      <c r="B9" s="19"/>
      <c r="C9" s="50">
        <v>3</v>
      </c>
      <c r="D9" s="51">
        <v>70</v>
      </c>
      <c r="E9" s="52">
        <f>'표준점수 등급컷 입력기능'!D6</f>
        <v>53116</v>
      </c>
      <c r="F9" s="53">
        <f t="shared" si="0"/>
        <v>0.16203486208306131</v>
      </c>
      <c r="G9" s="54">
        <f>SUM($E$7:E9)</f>
        <v>98304</v>
      </c>
      <c r="H9" s="55">
        <f t="shared" si="1"/>
        <v>0.29988468789466943</v>
      </c>
      <c r="I9" s="29"/>
      <c r="J9" s="29"/>
      <c r="K9" s="28"/>
      <c r="L9" s="4"/>
    </row>
    <row r="10" spans="1:12" ht="25" customHeight="1">
      <c r="A10" s="4"/>
      <c r="B10" s="19"/>
      <c r="C10" s="50">
        <v>4</v>
      </c>
      <c r="D10" s="51">
        <v>60</v>
      </c>
      <c r="E10" s="52">
        <f>'표준점수 등급컷 입력기능'!D7</f>
        <v>64742</v>
      </c>
      <c r="F10" s="53">
        <f t="shared" si="0"/>
        <v>0.1975009609342111</v>
      </c>
      <c r="G10" s="54">
        <f>SUM($E$7:E10)</f>
        <v>163046</v>
      </c>
      <c r="H10" s="55">
        <f t="shared" si="1"/>
        <v>0.49738564882888048</v>
      </c>
      <c r="I10" s="29"/>
      <c r="J10" s="29"/>
      <c r="K10" s="28"/>
      <c r="L10" s="4"/>
    </row>
    <row r="11" spans="1:12" ht="25" customHeight="1">
      <c r="A11" s="4"/>
      <c r="B11" s="19"/>
      <c r="C11" s="50">
        <v>5</v>
      </c>
      <c r="D11" s="51">
        <v>50</v>
      </c>
      <c r="E11" s="52">
        <f>'표준점수 등급컷 입력기능'!D8</f>
        <v>53432</v>
      </c>
      <c r="F11" s="53">
        <f t="shared" si="0"/>
        <v>0.1629988468789467</v>
      </c>
      <c r="G11" s="54">
        <f>SUM($E$7:E11)</f>
        <v>216478</v>
      </c>
      <c r="H11" s="55">
        <f t="shared" si="1"/>
        <v>0.6603844957078272</v>
      </c>
      <c r="I11" s="29"/>
      <c r="J11" s="29"/>
      <c r="K11" s="28"/>
      <c r="L11" s="4"/>
    </row>
    <row r="12" spans="1:12" ht="25" customHeight="1">
      <c r="A12" s="4"/>
      <c r="B12" s="19"/>
      <c r="C12" s="50">
        <v>6</v>
      </c>
      <c r="D12" s="51">
        <v>40</v>
      </c>
      <c r="E12" s="52">
        <f>'표준점수 등급컷 입력기능'!D9</f>
        <v>39483</v>
      </c>
      <c r="F12" s="53">
        <f t="shared" si="0"/>
        <v>0.12044623954412061</v>
      </c>
      <c r="G12" s="54">
        <f>SUM($E$7:E12)</f>
        <v>255961</v>
      </c>
      <c r="H12" s="55">
        <f t="shared" si="1"/>
        <v>0.78083073525194779</v>
      </c>
      <c r="I12" s="29"/>
      <c r="J12" s="29"/>
      <c r="K12" s="28"/>
      <c r="L12" s="4"/>
    </row>
    <row r="13" spans="1:12" ht="25" customHeight="1">
      <c r="A13" s="4"/>
      <c r="B13" s="19"/>
      <c r="C13" s="50">
        <v>7</v>
      </c>
      <c r="D13" s="51">
        <v>30</v>
      </c>
      <c r="E13" s="52">
        <f>'표준점수 등급컷 입력기능'!D10</f>
        <v>28672</v>
      </c>
      <c r="F13" s="53">
        <f t="shared" si="0"/>
        <v>8.7466367302611911E-2</v>
      </c>
      <c r="G13" s="54">
        <f>SUM($E$7:E13)</f>
        <v>284633</v>
      </c>
      <c r="H13" s="55">
        <f t="shared" si="1"/>
        <v>0.86829710255455972</v>
      </c>
      <c r="I13" s="29"/>
      <c r="J13" s="29"/>
      <c r="K13" s="28"/>
      <c r="L13" s="4"/>
    </row>
    <row r="14" spans="1:12" ht="25" customHeight="1">
      <c r="A14" s="4"/>
      <c r="B14" s="19"/>
      <c r="C14" s="50">
        <v>8</v>
      </c>
      <c r="D14" s="51">
        <v>20</v>
      </c>
      <c r="E14" s="52">
        <f>'표준점수 등급컷 입력기능'!D11</f>
        <v>32817</v>
      </c>
      <c r="F14" s="53">
        <f t="shared" si="0"/>
        <v>0.10011104128661465</v>
      </c>
      <c r="G14" s="54">
        <f>SUM($E$7:E14)</f>
        <v>317450</v>
      </c>
      <c r="H14" s="55">
        <f t="shared" si="1"/>
        <v>0.96840814384117435</v>
      </c>
      <c r="I14" s="29"/>
      <c r="J14" s="29"/>
      <c r="K14" s="28"/>
      <c r="L14" s="4"/>
    </row>
    <row r="15" spans="1:12" ht="25" customHeight="1" thickBot="1">
      <c r="A15" s="4"/>
      <c r="B15" s="19"/>
      <c r="C15" s="56">
        <v>9</v>
      </c>
      <c r="D15" s="57">
        <v>0</v>
      </c>
      <c r="E15" s="58">
        <f>'표준점수 등급컷 입력기능'!D12</f>
        <v>10356</v>
      </c>
      <c r="F15" s="59">
        <f t="shared" si="0"/>
        <v>3.1591856158825649E-2</v>
      </c>
      <c r="G15" s="60">
        <f>SUM($E$7:E15)</f>
        <v>327806</v>
      </c>
      <c r="H15" s="61">
        <f t="shared" si="1"/>
        <v>1</v>
      </c>
      <c r="I15" s="29"/>
      <c r="J15" s="29"/>
      <c r="K15" s="28"/>
      <c r="L15" s="4"/>
    </row>
    <row r="16" spans="1:12" ht="6" customHeight="1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6"/>
  <dimension ref="A1:L16"/>
  <sheetViews>
    <sheetView workbookViewId="0">
      <selection activeCell="B2" sqref="B2:K16"/>
    </sheetView>
  </sheetViews>
  <sheetFormatPr defaultRowHeight="17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기능'!D5</f>
        <v>26.22</v>
      </c>
      <c r="I3" s="15" t="s">
        <v>73</v>
      </c>
      <c r="J3" s="35">
        <f>'통계 및 응시자 수 입력 기능'!C5</f>
        <v>328335</v>
      </c>
      <c r="K3" s="28"/>
    </row>
    <row r="4" spans="1:12" ht="25" customHeight="1" thickBot="1">
      <c r="A4" s="4"/>
      <c r="B4" s="19"/>
      <c r="C4" s="36" t="s">
        <v>74</v>
      </c>
      <c r="D4" s="107" t="s">
        <v>77</v>
      </c>
      <c r="E4" s="108"/>
      <c r="F4" s="109"/>
      <c r="G4" s="37" t="s">
        <v>76</v>
      </c>
      <c r="H4" s="38" t="str">
        <f>'통계 및 응시자 수 입력 기능'!E5</f>
        <v>11.93</v>
      </c>
      <c r="I4" s="16"/>
      <c r="J4" s="29"/>
      <c r="K4" s="28"/>
    </row>
    <row r="5" spans="1:12" ht="25" customHeight="1" thickBot="1">
      <c r="A5" s="4"/>
      <c r="B5" s="19"/>
      <c r="C5" s="29"/>
      <c r="D5" s="29"/>
      <c r="E5" s="29"/>
      <c r="F5" s="29"/>
      <c r="G5" s="29"/>
      <c r="H5" s="29"/>
      <c r="I5" s="29"/>
      <c r="J5" s="29"/>
      <c r="K5" s="28"/>
    </row>
    <row r="6" spans="1:12" ht="25" customHeight="1" thickBot="1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>
      <c r="A7" s="4"/>
      <c r="B7" s="19"/>
      <c r="C7" s="62">
        <v>1</v>
      </c>
      <c r="D7" s="63">
        <v>40</v>
      </c>
      <c r="E7" s="46">
        <f>'표준점수 등급컷 입력기능'!D13</f>
        <v>50782</v>
      </c>
      <c r="F7" s="47">
        <f>E7/$J$3</f>
        <v>0.15466520474515358</v>
      </c>
      <c r="G7" s="48">
        <f>SUM($E$7:E7)</f>
        <v>50782</v>
      </c>
      <c r="H7" s="49">
        <f>G7/$J$3</f>
        <v>0.15466520474515358</v>
      </c>
      <c r="I7" s="29"/>
      <c r="J7" s="29"/>
      <c r="K7" s="28"/>
      <c r="L7" s="4"/>
    </row>
    <row r="8" spans="1:12" ht="25" customHeight="1">
      <c r="A8" s="4"/>
      <c r="B8" s="19"/>
      <c r="C8" s="64">
        <v>2</v>
      </c>
      <c r="D8" s="65">
        <v>35</v>
      </c>
      <c r="E8" s="52">
        <f>'표준점수 등급컷 입력기능'!D14</f>
        <v>39839</v>
      </c>
      <c r="F8" s="53">
        <f t="shared" ref="F8:F15" si="0">E8/$J$3</f>
        <v>0.12133643991654865</v>
      </c>
      <c r="G8" s="54">
        <f>SUM($E$7:E8)</f>
        <v>90621</v>
      </c>
      <c r="H8" s="55">
        <f t="shared" ref="H8:H15" si="1">G8/$J$3</f>
        <v>0.27600164466170224</v>
      </c>
      <c r="I8" s="29"/>
      <c r="J8" s="29"/>
      <c r="K8" s="28"/>
      <c r="L8" s="4"/>
    </row>
    <row r="9" spans="1:12" ht="25" customHeight="1">
      <c r="A9" s="4"/>
      <c r="B9" s="19"/>
      <c r="C9" s="64">
        <v>3</v>
      </c>
      <c r="D9" s="65">
        <v>30</v>
      </c>
      <c r="E9" s="52">
        <f>'표준점수 등급컷 입력기능'!D15</f>
        <v>46401</v>
      </c>
      <c r="F9" s="53">
        <f t="shared" si="0"/>
        <v>0.14132212526839966</v>
      </c>
      <c r="G9" s="54">
        <f>SUM($E$7:E9)</f>
        <v>137022</v>
      </c>
      <c r="H9" s="55">
        <f t="shared" si="1"/>
        <v>0.4173237699301019</v>
      </c>
      <c r="I9" s="29"/>
      <c r="J9" s="29"/>
      <c r="K9" s="28"/>
      <c r="L9" s="4"/>
    </row>
    <row r="10" spans="1:12" ht="25" customHeight="1">
      <c r="A10" s="4"/>
      <c r="B10" s="19"/>
      <c r="C10" s="64">
        <v>4</v>
      </c>
      <c r="D10" s="65">
        <v>25</v>
      </c>
      <c r="E10" s="52">
        <f>'표준점수 등급컷 입력기능'!D16</f>
        <v>46958</v>
      </c>
      <c r="F10" s="53">
        <f t="shared" si="0"/>
        <v>0.1430185633575464</v>
      </c>
      <c r="G10" s="54">
        <f>SUM($E$7:E10)</f>
        <v>183980</v>
      </c>
      <c r="H10" s="55">
        <f t="shared" si="1"/>
        <v>0.56034233328764826</v>
      </c>
      <c r="I10" s="29"/>
      <c r="J10" s="29"/>
      <c r="K10" s="28"/>
      <c r="L10" s="4"/>
    </row>
    <row r="11" spans="1:12" ht="25" customHeight="1">
      <c r="A11" s="4"/>
      <c r="B11" s="19"/>
      <c r="C11" s="64">
        <v>5</v>
      </c>
      <c r="D11" s="65">
        <v>20</v>
      </c>
      <c r="E11" s="52">
        <f>'표준점수 등급컷 입력기능'!D17</f>
        <v>40236</v>
      </c>
      <c r="F11" s="53">
        <f t="shared" si="0"/>
        <v>0.12254557083466582</v>
      </c>
      <c r="G11" s="54">
        <f>SUM($E$7:E11)</f>
        <v>224216</v>
      </c>
      <c r="H11" s="55">
        <f t="shared" si="1"/>
        <v>0.68288790412231415</v>
      </c>
      <c r="I11" s="29"/>
      <c r="J11" s="29"/>
      <c r="K11" s="28"/>
      <c r="L11" s="4"/>
    </row>
    <row r="12" spans="1:12" ht="25" customHeight="1">
      <c r="A12" s="4"/>
      <c r="B12" s="19"/>
      <c r="C12" s="64">
        <v>6</v>
      </c>
      <c r="D12" s="65">
        <v>15</v>
      </c>
      <c r="E12" s="52">
        <f>'표준점수 등급컷 입력기능'!D18</f>
        <v>32641</v>
      </c>
      <c r="F12" s="53">
        <f t="shared" si="0"/>
        <v>9.9413708559855027E-2</v>
      </c>
      <c r="G12" s="54">
        <f>SUM($E$7:E12)</f>
        <v>256857</v>
      </c>
      <c r="H12" s="55">
        <f t="shared" si="1"/>
        <v>0.78230161268216913</v>
      </c>
      <c r="I12" s="29"/>
      <c r="J12" s="29"/>
      <c r="K12" s="28"/>
      <c r="L12" s="4"/>
    </row>
    <row r="13" spans="1:12" ht="25" customHeight="1">
      <c r="A13" s="4"/>
      <c r="B13" s="19"/>
      <c r="C13" s="64">
        <v>7</v>
      </c>
      <c r="D13" s="65">
        <v>10</v>
      </c>
      <c r="E13" s="52">
        <f>'표준점수 등급컷 입력기능'!D19</f>
        <v>50355</v>
      </c>
      <c r="F13" s="53">
        <f t="shared" si="0"/>
        <v>0.15336470373246835</v>
      </c>
      <c r="G13" s="54">
        <f>SUM($E$7:E13)</f>
        <v>307212</v>
      </c>
      <c r="H13" s="55">
        <f t="shared" si="1"/>
        <v>0.93566631641463749</v>
      </c>
      <c r="I13" s="29"/>
      <c r="J13" s="29"/>
      <c r="K13" s="28"/>
      <c r="L13" s="4"/>
    </row>
    <row r="14" spans="1:12" ht="25" customHeight="1">
      <c r="A14" s="4"/>
      <c r="B14" s="19"/>
      <c r="C14" s="64">
        <v>8</v>
      </c>
      <c r="D14" s="65">
        <v>5</v>
      </c>
      <c r="E14" s="52">
        <f>'표준점수 등급컷 입력기능'!D20</f>
        <v>17410</v>
      </c>
      <c r="F14" s="53">
        <f t="shared" si="0"/>
        <v>5.3025111547657121E-2</v>
      </c>
      <c r="G14" s="54">
        <f>SUM($E$7:E14)</f>
        <v>324622</v>
      </c>
      <c r="H14" s="55">
        <f t="shared" si="1"/>
        <v>0.98869142796229459</v>
      </c>
      <c r="I14" s="29"/>
      <c r="J14" s="29"/>
      <c r="K14" s="28"/>
      <c r="L14" s="4"/>
    </row>
    <row r="15" spans="1:12" ht="25" customHeight="1" thickBot="1">
      <c r="A15" s="4"/>
      <c r="B15" s="19"/>
      <c r="C15" s="66">
        <v>9</v>
      </c>
      <c r="D15" s="67">
        <v>0</v>
      </c>
      <c r="E15" s="58">
        <f>'표준점수 등급컷 입력기능'!D21</f>
        <v>3713</v>
      </c>
      <c r="F15" s="59">
        <f t="shared" si="0"/>
        <v>1.1308572037705392E-2</v>
      </c>
      <c r="G15" s="60">
        <f>SUM($E$7:E15)</f>
        <v>328335</v>
      </c>
      <c r="H15" s="61">
        <f t="shared" si="1"/>
        <v>1</v>
      </c>
      <c r="I15" s="29"/>
      <c r="J15" s="29"/>
      <c r="K15" s="28"/>
      <c r="L15" s="4"/>
    </row>
    <row r="16" spans="1:12" ht="6" customHeight="1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2">
    <mergeCell ref="D3:F3"/>
    <mergeCell ref="D4:F4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7"/>
  <dimension ref="A1:Q105"/>
  <sheetViews>
    <sheetView topLeftCell="A37" zoomScale="70" zoomScaleNormal="70" workbookViewId="0">
      <selection activeCell="B2" sqref="B2:K58"/>
    </sheetView>
  </sheetViews>
  <sheetFormatPr defaultRowHeight="17"/>
  <cols>
    <col min="1" max="1" width="8.6640625" customWidth="1"/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기능'!D6</f>
        <v>25.95</v>
      </c>
      <c r="I3" s="15" t="s">
        <v>84</v>
      </c>
      <c r="J3" s="35">
        <f>'통계 및 응시자 수 입력 기능'!C6</f>
        <v>130861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86</v>
      </c>
      <c r="E4" s="108"/>
      <c r="F4" s="109"/>
      <c r="G4" s="37" t="s">
        <v>87</v>
      </c>
      <c r="H4" s="38" t="str">
        <f>'통계 및 응시자 수 입력 기능'!E6</f>
        <v>10.89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72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99.52</v>
      </c>
      <c r="G7" s="72">
        <f>_xlfn.IFNA(VLOOKUP(D7,'인원 입력 기능 (사과탐)'!$A$5:$D$53,4,FALSE),0)</f>
        <v>1247</v>
      </c>
      <c r="H7" s="73">
        <f>G7/$J$3</f>
        <v>9.5291951001444282E-3</v>
      </c>
      <c r="I7" s="74">
        <f>G7</f>
        <v>1247</v>
      </c>
      <c r="J7" s="75">
        <f>I7/$J$3</f>
        <v>9.5291951001444282E-3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입력기능'!C22</f>
        <v>68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입력기능'!C23</f>
        <v>62</v>
      </c>
    </row>
    <row r="9" spans="1:17" ht="25" customHeight="1">
      <c r="A9" s="4"/>
      <c r="B9" s="19"/>
      <c r="C9" s="69">
        <v>48</v>
      </c>
      <c r="D9" s="70">
        <f>ROUND(10*(C9-$H$3)/$H$4+50,0)</f>
        <v>70</v>
      </c>
      <c r="E9" s="70">
        <f t="shared" si="0"/>
        <v>1</v>
      </c>
      <c r="F9" s="71">
        <f>IF(I8=0,ROUND(100*(1-(I7+I9)/2/$J$3),2),ROUND(100*(1-(I8+I9)/2/$J$3),2))</f>
        <v>98.9</v>
      </c>
      <c r="G9" s="72">
        <f>_xlfn.IFNA(VLOOKUP(D9,'인원 입력 기능 (사과탐)'!$A$5:$D$53,4,FALSE),0)</f>
        <v>375</v>
      </c>
      <c r="H9" s="73">
        <f>G9/$J$3</f>
        <v>2.8656360565791181E-3</v>
      </c>
      <c r="I9" s="77">
        <f>SUM($G$7:G9)</f>
        <v>1622</v>
      </c>
      <c r="J9" s="75">
        <f>I9/$J$3</f>
        <v>1.2394831156723546E-2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입력기능'!C24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69</v>
      </c>
      <c r="E10" s="70">
        <f t="shared" si="0"/>
        <v>1</v>
      </c>
      <c r="F10" s="71">
        <f t="shared" ref="F10:F55" si="3">IF(I9=0,ROUND(100*(1-(I8+I10)/2/$J$3),2),ROUND(100*(1-(I9+I10)/2/$J$3),2))</f>
        <v>97.85</v>
      </c>
      <c r="G10" s="72">
        <f>IF(D10=D9,"",_xlfn.IFNA(VLOOKUP(D10,'인원 입력 기능 (사과탐)'!$A$5:$D$53,4,FALSE),0))</f>
        <v>2393</v>
      </c>
      <c r="H10" s="73">
        <f t="shared" ref="H10:H55" si="4">G10/$J$3</f>
        <v>1.8286578889050213E-2</v>
      </c>
      <c r="I10" s="77">
        <f>SUM($G$7:G10)</f>
        <v>4015</v>
      </c>
      <c r="J10" s="75">
        <f t="shared" ref="J10:J55" si="5">I10/$J$3</f>
        <v>3.0681410045773759E-2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입력기능'!C25</f>
        <v>54</v>
      </c>
    </row>
    <row r="11" spans="1:17" ht="25" customHeight="1">
      <c r="A11" s="4"/>
      <c r="B11" s="19"/>
      <c r="C11" s="69">
        <v>46</v>
      </c>
      <c r="D11" s="132">
        <f t="shared" si="2"/>
        <v>68</v>
      </c>
      <c r="E11" s="132">
        <f t="shared" si="0"/>
        <v>1</v>
      </c>
      <c r="F11" s="134">
        <f t="shared" si="3"/>
        <v>96.45</v>
      </c>
      <c r="G11" s="136">
        <f>IF(D11=D10,"",_xlfn.IFNA(VLOOKUP(D11,'인원 입력 기능 (사과탐)'!$A$5:$D$53,4,FALSE),0))</f>
        <v>1259</v>
      </c>
      <c r="H11" s="137">
        <f t="shared" si="4"/>
        <v>9.6208954539549595E-3</v>
      </c>
      <c r="I11" s="139">
        <f>SUM($G$7:G11)</f>
        <v>5274</v>
      </c>
      <c r="J11" s="141">
        <f t="shared" si="5"/>
        <v>4.030230549972872E-2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입력기능'!C26</f>
        <v>47</v>
      </c>
    </row>
    <row r="12" spans="1:17" ht="25" customHeight="1">
      <c r="A12" s="4"/>
      <c r="B12" s="19"/>
      <c r="C12" s="76">
        <v>45</v>
      </c>
      <c r="D12" s="131"/>
      <c r="E12" s="131"/>
      <c r="F12" s="133"/>
      <c r="G12" s="135"/>
      <c r="H12" s="138"/>
      <c r="I12" s="140"/>
      <c r="J12" s="142"/>
      <c r="K12" s="28"/>
      <c r="L12" s="5" t="str">
        <f t="shared" si="1"/>
        <v>경고</v>
      </c>
      <c r="N12" s="1"/>
      <c r="P12" s="1">
        <v>6</v>
      </c>
      <c r="Q12" s="1">
        <f>'표준점수 등급컷 입력기능'!C27</f>
        <v>41</v>
      </c>
    </row>
    <row r="13" spans="1:17" ht="25" customHeight="1">
      <c r="A13" s="4"/>
      <c r="B13" s="19"/>
      <c r="C13" s="69">
        <v>44</v>
      </c>
      <c r="D13" s="70">
        <f t="shared" si="2"/>
        <v>67</v>
      </c>
      <c r="E13" s="70">
        <f t="shared" si="0"/>
        <v>2</v>
      </c>
      <c r="F13" s="71">
        <f t="shared" si="3"/>
        <v>94.96</v>
      </c>
      <c r="G13" s="72">
        <f>IF(D13=D12,"",_xlfn.IFNA(VLOOKUP(D13,'인원 입력 기능 (사과탐)'!$A$5:$D$53,4,FALSE),0))</f>
        <v>2646</v>
      </c>
      <c r="H13" s="73">
        <f t="shared" si="4"/>
        <v>2.0219928015222259E-2</v>
      </c>
      <c r="I13" s="77">
        <f>SUM($G$7:G13)</f>
        <v>7920</v>
      </c>
      <c r="J13" s="75">
        <f t="shared" si="5"/>
        <v>6.0522233514950979E-2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입력기능'!C28</f>
        <v>36</v>
      </c>
    </row>
    <row r="14" spans="1:17" ht="25" customHeight="1">
      <c r="A14" s="4"/>
      <c r="B14" s="19"/>
      <c r="C14" s="76">
        <v>43</v>
      </c>
      <c r="D14" s="70">
        <f t="shared" si="2"/>
        <v>66</v>
      </c>
      <c r="E14" s="70">
        <f t="shared" si="0"/>
        <v>2</v>
      </c>
      <c r="F14" s="71">
        <f t="shared" si="3"/>
        <v>93.83</v>
      </c>
      <c r="G14" s="72">
        <f>IF(D14=D13,"",_xlfn.IFNA(VLOOKUP(D14,'인원 입력 기능 (사과탐)'!$A$5:$D$53,4,FALSE),0))</f>
        <v>320</v>
      </c>
      <c r="H14" s="73">
        <f t="shared" si="4"/>
        <v>2.4453427682808474E-3</v>
      </c>
      <c r="I14" s="77">
        <f>SUM($G$7:G14)</f>
        <v>8240</v>
      </c>
      <c r="J14" s="75">
        <f t="shared" si="5"/>
        <v>6.2967576283231824E-2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입력기능'!C29</f>
        <v>34</v>
      </c>
    </row>
    <row r="15" spans="1:17" ht="25" customHeight="1">
      <c r="A15" s="4"/>
      <c r="B15" s="19"/>
      <c r="C15" s="69">
        <v>42</v>
      </c>
      <c r="D15" s="70">
        <f t="shared" si="2"/>
        <v>65</v>
      </c>
      <c r="E15" s="70">
        <f t="shared" si="0"/>
        <v>2</v>
      </c>
      <c r="F15" s="71">
        <f t="shared" si="3"/>
        <v>92.89</v>
      </c>
      <c r="G15" s="72">
        <f>IF(D15=D14,"",_xlfn.IFNA(VLOOKUP(D15,'인원 입력 기능 (사과탐)'!$A$5:$D$53,4,FALSE),0))</f>
        <v>2124</v>
      </c>
      <c r="H15" s="73">
        <f t="shared" si="4"/>
        <v>1.6230962624464124E-2</v>
      </c>
      <c r="I15" s="77">
        <f>SUM($G$7:G15)</f>
        <v>10364</v>
      </c>
      <c r="J15" s="75">
        <f t="shared" si="5"/>
        <v>7.9198538907695959E-2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64</v>
      </c>
      <c r="E16" s="70">
        <f t="shared" si="0"/>
        <v>2</v>
      </c>
      <c r="F16" s="71">
        <f t="shared" si="3"/>
        <v>90.96</v>
      </c>
      <c r="G16" s="72">
        <f>IF(D16=D15,"",_xlfn.IFNA(VLOOKUP(D16,'인원 입력 기능 (사과탐)'!$A$5:$D$53,4,FALSE),0))</f>
        <v>2921</v>
      </c>
      <c r="H16" s="73">
        <f t="shared" si="4"/>
        <v>2.2321394456713613E-2</v>
      </c>
      <c r="I16" s="77">
        <f>SUM($G$7:G16)</f>
        <v>13285</v>
      </c>
      <c r="J16" s="75">
        <f t="shared" si="5"/>
        <v>0.10151993336440956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63</v>
      </c>
      <c r="E17" s="70">
        <f t="shared" si="0"/>
        <v>2</v>
      </c>
      <c r="F17" s="71">
        <f t="shared" si="3"/>
        <v>89.54</v>
      </c>
      <c r="G17" s="72">
        <f>IF(D17=D16,"",_xlfn.IFNA(VLOOKUP(D17,'인원 입력 기능 (사과탐)'!$A$5:$D$53,4,FALSE),0))</f>
        <v>818</v>
      </c>
      <c r="H17" s="73">
        <f t="shared" si="4"/>
        <v>6.2509074514179169E-3</v>
      </c>
      <c r="I17" s="77">
        <f>SUM($G$7:G17)</f>
        <v>14103</v>
      </c>
      <c r="J17" s="75">
        <f t="shared" si="5"/>
        <v>0.10777084081582748</v>
      </c>
      <c r="K17" s="28"/>
      <c r="L17" s="5" t="str">
        <f t="shared" si="1"/>
        <v/>
      </c>
      <c r="N17" s="1"/>
      <c r="P17" s="1">
        <f>Q7*H3*H4*J3*IFERROR(IF(J57=1, 1, 0), 0)</f>
        <v>2514689621.3339996</v>
      </c>
    </row>
    <row r="18" spans="1:16" ht="25" customHeight="1">
      <c r="A18" s="4"/>
      <c r="B18" s="19"/>
      <c r="C18" s="76">
        <v>39</v>
      </c>
      <c r="D18" s="70">
        <f t="shared" si="2"/>
        <v>62</v>
      </c>
      <c r="E18" s="70">
        <f t="shared" si="0"/>
        <v>2</v>
      </c>
      <c r="F18" s="71">
        <f t="shared" si="3"/>
        <v>87.97</v>
      </c>
      <c r="G18" s="72">
        <f>IF(D18=D17,"",_xlfn.IFNA(VLOOKUP(D18,'인원 입력 기능 (사과탐)'!$A$5:$D$53,4,FALSE),0))</f>
        <v>3267</v>
      </c>
      <c r="H18" s="73">
        <f t="shared" si="4"/>
        <v>2.4965421324917279E-2</v>
      </c>
      <c r="I18" s="77">
        <f>SUM($G$7:G18)</f>
        <v>17370</v>
      </c>
      <c r="J18" s="75">
        <f t="shared" si="5"/>
        <v>0.13273626214074477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61</v>
      </c>
      <c r="E19" s="70">
        <f t="shared" si="0"/>
        <v>3</v>
      </c>
      <c r="F19" s="71">
        <f t="shared" si="3"/>
        <v>85.5</v>
      </c>
      <c r="G19" s="72">
        <f>IF(D19=D18,"",_xlfn.IFNA(VLOOKUP(D19,'인원 입력 기능 (사과탐)'!$A$5:$D$53,4,FALSE),0))</f>
        <v>3206</v>
      </c>
      <c r="H19" s="73">
        <f t="shared" si="4"/>
        <v>2.4499277859713741E-2</v>
      </c>
      <c r="I19" s="77">
        <f>SUM($G$7:G19)</f>
        <v>20576</v>
      </c>
      <c r="J19" s="75">
        <f t="shared" si="5"/>
        <v>0.1572355400004585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83.53</v>
      </c>
      <c r="G20" s="72">
        <f>IF(D20=D19,"",_xlfn.IFNA(VLOOKUP(D20,'인원 입력 기능 (사과탐)'!$A$5:$D$53,4,FALSE),0))</f>
        <v>1952</v>
      </c>
      <c r="H20" s="73">
        <f t="shared" si="4"/>
        <v>1.4916590886513171E-2</v>
      </c>
      <c r="I20" s="77">
        <f>SUM($G$7:G20)</f>
        <v>22528</v>
      </c>
      <c r="J20" s="75">
        <f t="shared" si="5"/>
        <v>0.17215213088697168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59</v>
      </c>
      <c r="E21" s="79">
        <f t="shared" si="0"/>
        <v>3</v>
      </c>
      <c r="F21" s="71">
        <f t="shared" si="3"/>
        <v>81.06</v>
      </c>
      <c r="G21" s="72">
        <f>IF(D21=D20,"",_xlfn.IFNA(VLOOKUP(D21,'인원 입력 기능 (사과탐)'!$A$5:$D$53,4,FALSE),0))</f>
        <v>4514</v>
      </c>
      <c r="H21" s="73">
        <f t="shared" si="4"/>
        <v>3.4494616425061707E-2</v>
      </c>
      <c r="I21" s="77">
        <f>SUM($G$7:G21)</f>
        <v>27042</v>
      </c>
      <c r="J21" s="75">
        <f t="shared" si="5"/>
        <v>0.20664674731203339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58</v>
      </c>
      <c r="E22" s="79">
        <f t="shared" si="0"/>
        <v>3</v>
      </c>
      <c r="F22" s="71">
        <f t="shared" si="3"/>
        <v>78.05</v>
      </c>
      <c r="G22" s="72">
        <f>IF(D22=D21,"",_xlfn.IFNA(VLOOKUP(D22,'인원 입력 기능 (사과탐)'!$A$5:$D$53,4,FALSE),0))</f>
        <v>3357</v>
      </c>
      <c r="H22" s="73">
        <f t="shared" si="4"/>
        <v>2.5653173978496268E-2</v>
      </c>
      <c r="I22" s="77">
        <f>SUM($G$7:G22)</f>
        <v>30399</v>
      </c>
      <c r="J22" s="75">
        <f t="shared" si="5"/>
        <v>0.23229992129052965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57</v>
      </c>
      <c r="E23" s="79">
        <f t="shared" si="0"/>
        <v>4</v>
      </c>
      <c r="F23" s="71">
        <f t="shared" si="3"/>
        <v>75.44</v>
      </c>
      <c r="G23" s="72">
        <f>IF(D23=D22,"",_xlfn.IFNA(VLOOKUP(D23,'인원 입력 기능 (사과탐)'!$A$5:$D$53,4,FALSE),0))</f>
        <v>3485</v>
      </c>
      <c r="H23" s="73">
        <f t="shared" si="4"/>
        <v>2.6631311085808605E-2</v>
      </c>
      <c r="I23" s="77">
        <f>SUM($G$7:G23)</f>
        <v>33884</v>
      </c>
      <c r="J23" s="75">
        <f t="shared" si="5"/>
        <v>0.25893123237633825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144">
        <f t="shared" si="2"/>
        <v>56</v>
      </c>
      <c r="E24" s="144">
        <f t="shared" si="0"/>
        <v>4</v>
      </c>
      <c r="F24" s="134">
        <f t="shared" si="3"/>
        <v>70.709999999999994</v>
      </c>
      <c r="G24" s="136">
        <f>IF(D24=D23,"",_xlfn.IFNA(VLOOKUP(D24,'인원 입력 기능 (사과탐)'!$A$5:$D$53,4,FALSE),0))</f>
        <v>8898</v>
      </c>
      <c r="H24" s="137">
        <f t="shared" si="4"/>
        <v>6.7995812350509319E-2</v>
      </c>
      <c r="I24" s="139">
        <f>SUM($G$7:G24)</f>
        <v>42782</v>
      </c>
      <c r="J24" s="141">
        <f t="shared" si="5"/>
        <v>0.32692704472684758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3"/>
      <c r="E25" s="143"/>
      <c r="F25" s="133"/>
      <c r="G25" s="135"/>
      <c r="H25" s="138"/>
      <c r="I25" s="140"/>
      <c r="J25" s="142"/>
      <c r="K25" s="28"/>
      <c r="L25" s="5" t="str">
        <f t="shared" si="1"/>
        <v>경고</v>
      </c>
      <c r="N25" s="1"/>
    </row>
    <row r="26" spans="1:16" ht="25" customHeight="1">
      <c r="A26" s="4"/>
      <c r="B26" s="19"/>
      <c r="C26" s="80">
        <v>31</v>
      </c>
      <c r="D26" s="79">
        <f t="shared" si="2"/>
        <v>55</v>
      </c>
      <c r="E26" s="79">
        <f t="shared" si="0"/>
        <v>4</v>
      </c>
      <c r="F26" s="71">
        <f t="shared" si="3"/>
        <v>65.42</v>
      </c>
      <c r="G26" s="72">
        <f>IF(D26=D25,"",_xlfn.IFNA(VLOOKUP(D26,'인원 입력 기능 (사과탐)'!$A$5:$D$53,4,FALSE),0))</f>
        <v>4938</v>
      </c>
      <c r="H26" s="73">
        <f t="shared" si="4"/>
        <v>3.7734695593033829E-2</v>
      </c>
      <c r="I26" s="77">
        <f>SUM($G$7:G26)</f>
        <v>47720</v>
      </c>
      <c r="J26" s="75">
        <f t="shared" si="5"/>
        <v>0.36466174031988141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54</v>
      </c>
      <c r="E27" s="79">
        <f t="shared" si="0"/>
        <v>4</v>
      </c>
      <c r="F27" s="71">
        <f t="shared" si="3"/>
        <v>61.67</v>
      </c>
      <c r="G27" s="72">
        <f>IF(D27=D26,"",_xlfn.IFNA(VLOOKUP(D27,'인원 입력 기능 (사과탐)'!$A$5:$D$53,4,FALSE),0))</f>
        <v>4889</v>
      </c>
      <c r="H27" s="73">
        <f t="shared" si="4"/>
        <v>3.7360252481640828E-2</v>
      </c>
      <c r="I27" s="77">
        <f>SUM($G$7:G27)</f>
        <v>52609</v>
      </c>
      <c r="J27" s="75">
        <f t="shared" si="5"/>
        <v>0.40202199280152223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53</v>
      </c>
      <c r="E28" s="79">
        <f t="shared" si="0"/>
        <v>5</v>
      </c>
      <c r="F28" s="71">
        <f t="shared" si="3"/>
        <v>58.17</v>
      </c>
      <c r="G28" s="72">
        <f>IF(D28=D27,"",_xlfn.IFNA(VLOOKUP(D28,'인원 입력 기능 (사과탐)'!$A$5:$D$53,4,FALSE),0))</f>
        <v>4264</v>
      </c>
      <c r="H28" s="73">
        <f t="shared" si="4"/>
        <v>3.2584192387342295E-2</v>
      </c>
      <c r="I28" s="77">
        <f>SUM($G$7:G28)</f>
        <v>56873</v>
      </c>
      <c r="J28" s="75">
        <f t="shared" si="5"/>
        <v>0.43460618518886451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52</v>
      </c>
      <c r="E29" s="79">
        <f t="shared" si="0"/>
        <v>5</v>
      </c>
      <c r="F29" s="71">
        <f t="shared" si="3"/>
        <v>54.65</v>
      </c>
      <c r="G29" s="72">
        <f>IF(D29=D28,"",_xlfn.IFNA(VLOOKUP(D29,'인원 입력 기능 (사과탐)'!$A$5:$D$53,4,FALSE),0))</f>
        <v>4940</v>
      </c>
      <c r="H29" s="73">
        <f t="shared" si="4"/>
        <v>3.7749978985335587E-2</v>
      </c>
      <c r="I29" s="77">
        <f>SUM($G$7:G29)</f>
        <v>61813</v>
      </c>
      <c r="J29" s="75">
        <f t="shared" si="5"/>
        <v>0.47235616417420012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51</v>
      </c>
      <c r="E30" s="79">
        <f t="shared" si="0"/>
        <v>5</v>
      </c>
      <c r="F30" s="71">
        <f t="shared" si="3"/>
        <v>51.18</v>
      </c>
      <c r="G30" s="72">
        <f>IF(D30=D29,"",_xlfn.IFNA(VLOOKUP(D30,'인원 입력 기능 (사과탐)'!$A$5:$D$53,4,FALSE),0))</f>
        <v>4155</v>
      </c>
      <c r="H30" s="73">
        <f t="shared" si="4"/>
        <v>3.1751247506896632E-2</v>
      </c>
      <c r="I30" s="77">
        <f>SUM($G$7:G30)</f>
        <v>65968</v>
      </c>
      <c r="J30" s="75">
        <f t="shared" si="5"/>
        <v>0.50410741168109674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50</v>
      </c>
      <c r="E31" s="79">
        <f t="shared" si="0"/>
        <v>5</v>
      </c>
      <c r="F31" s="71">
        <f t="shared" si="3"/>
        <v>47.91</v>
      </c>
      <c r="G31" s="72">
        <f>IF(D31=D30,"",_xlfn.IFNA(VLOOKUP(D31,'인원 입력 기능 (사과탐)'!$A$5:$D$53,4,FALSE),0))</f>
        <v>4403</v>
      </c>
      <c r="H31" s="73">
        <f t="shared" si="4"/>
        <v>3.3646388152314285E-2</v>
      </c>
      <c r="I31" s="77">
        <f>SUM($G$7:G31)</f>
        <v>70371</v>
      </c>
      <c r="J31" s="75">
        <f t="shared" si="5"/>
        <v>0.53775379983341098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49</v>
      </c>
      <c r="E32" s="79">
        <f t="shared" si="0"/>
        <v>5</v>
      </c>
      <c r="F32" s="71">
        <f t="shared" si="3"/>
        <v>44.69</v>
      </c>
      <c r="G32" s="72">
        <f>IF(D32=D31,"",_xlfn.IFNA(VLOOKUP(D32,'인원 입력 기능 (사과탐)'!$A$5:$D$53,4,FALSE),0))</f>
        <v>4027</v>
      </c>
      <c r="H32" s="73">
        <f t="shared" si="4"/>
        <v>3.0773110399584292E-2</v>
      </c>
      <c r="I32" s="77">
        <f>SUM($G$7:G32)</f>
        <v>74398</v>
      </c>
      <c r="J32" s="75">
        <f t="shared" si="5"/>
        <v>0.56852691023299529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48</v>
      </c>
      <c r="E33" s="79">
        <f t="shared" si="0"/>
        <v>5</v>
      </c>
      <c r="F33" s="71">
        <f t="shared" si="3"/>
        <v>41.72</v>
      </c>
      <c r="G33" s="72">
        <f>IF(D33=D32,"",_xlfn.IFNA(VLOOKUP(D33,'인원 입력 기능 (사과탐)'!$A$5:$D$53,4,FALSE),0))</f>
        <v>3727</v>
      </c>
      <c r="H33" s="73">
        <f t="shared" si="4"/>
        <v>2.8480601554320997E-2</v>
      </c>
      <c r="I33" s="77">
        <f>SUM($G$7:G33)</f>
        <v>78125</v>
      </c>
      <c r="J33" s="75">
        <f t="shared" si="5"/>
        <v>0.59700751178731626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47</v>
      </c>
      <c r="E34" s="79">
        <f t="shared" si="0"/>
        <v>5</v>
      </c>
      <c r="F34" s="71">
        <f t="shared" si="3"/>
        <v>38.86</v>
      </c>
      <c r="G34" s="72">
        <f>IF(D34=D33,"",_xlfn.IFNA(VLOOKUP(D34,'인원 입력 기능 (사과탐)'!$A$5:$D$53,4,FALSE),0))</f>
        <v>3768</v>
      </c>
      <c r="H34" s="73">
        <f t="shared" si="4"/>
        <v>2.8793911096506981E-2</v>
      </c>
      <c r="I34" s="77">
        <f>SUM($G$7:G34)</f>
        <v>81893</v>
      </c>
      <c r="J34" s="75">
        <f t="shared" si="5"/>
        <v>0.62580142288382334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46</v>
      </c>
      <c r="E35" s="79">
        <f t="shared" si="0"/>
        <v>6</v>
      </c>
      <c r="F35" s="71">
        <f t="shared" si="3"/>
        <v>36.19</v>
      </c>
      <c r="G35" s="72">
        <f>IF(D35=D34,"",_xlfn.IFNA(VLOOKUP(D35,'인원 입력 기능 (사과탐)'!$A$5:$D$53,4,FALSE),0))</f>
        <v>3210</v>
      </c>
      <c r="H35" s="73">
        <f t="shared" si="4"/>
        <v>2.4529844644317254E-2</v>
      </c>
      <c r="I35" s="77">
        <f>SUM($G$7:G35)</f>
        <v>85103</v>
      </c>
      <c r="J35" s="75">
        <f t="shared" si="5"/>
        <v>0.65033126752814052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4">
        <f t="shared" si="2"/>
        <v>45</v>
      </c>
      <c r="E36" s="144">
        <f t="shared" si="0"/>
        <v>6</v>
      </c>
      <c r="F36" s="134">
        <f t="shared" si="3"/>
        <v>32.64</v>
      </c>
      <c r="G36" s="136">
        <f>IF(D36=D35,"",_xlfn.IFNA(VLOOKUP(D36,'인원 입력 기능 (사과탐)'!$A$5:$D$53,4,FALSE),0))</f>
        <v>6077</v>
      </c>
      <c r="H36" s="137">
        <f t="shared" si="4"/>
        <v>4.6438587508883473E-2</v>
      </c>
      <c r="I36" s="139">
        <f>SUM($G$7:G36)</f>
        <v>91180</v>
      </c>
      <c r="J36" s="141">
        <f t="shared" si="5"/>
        <v>0.69676985503702404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3"/>
      <c r="E37" s="143"/>
      <c r="F37" s="133"/>
      <c r="G37" s="135"/>
      <c r="H37" s="138"/>
      <c r="I37" s="140"/>
      <c r="J37" s="142"/>
      <c r="K37" s="28"/>
      <c r="L37" s="5" t="str">
        <f t="shared" si="1"/>
        <v>경고</v>
      </c>
      <c r="N37" s="1"/>
    </row>
    <row r="38" spans="1:14" ht="25" customHeight="1">
      <c r="A38" s="4"/>
      <c r="B38" s="19"/>
      <c r="C38" s="80">
        <v>19</v>
      </c>
      <c r="D38" s="79">
        <f t="shared" si="2"/>
        <v>44</v>
      </c>
      <c r="E38" s="79">
        <f t="shared" si="0"/>
        <v>6</v>
      </c>
      <c r="F38" s="71">
        <f t="shared" si="3"/>
        <v>29.29</v>
      </c>
      <c r="G38" s="72">
        <f>IF(D38=D37,"",_xlfn.IFNA(VLOOKUP(D38,'인원 입력 기능 (사과탐)'!$A$5:$D$53,4,FALSE),0))</f>
        <v>2696</v>
      </c>
      <c r="H38" s="73">
        <f t="shared" si="4"/>
        <v>2.0602012822766143E-2</v>
      </c>
      <c r="I38" s="77">
        <f>SUM($G$7:G38)</f>
        <v>93876</v>
      </c>
      <c r="J38" s="75">
        <f t="shared" si="5"/>
        <v>0.71737186785979012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27.23</v>
      </c>
      <c r="G39" s="72">
        <f>IF(D39=D38,"",_xlfn.IFNA(VLOOKUP(D39,'인원 입력 기능 (사과탐)'!$A$5:$D$53,4,FALSE),0))</f>
        <v>2699</v>
      </c>
      <c r="H39" s="73">
        <f t="shared" si="4"/>
        <v>2.0624937911218773E-2</v>
      </c>
      <c r="I39" s="77">
        <f>SUM($G$7:G39)</f>
        <v>96575</v>
      </c>
      <c r="J39" s="75">
        <f t="shared" si="5"/>
        <v>0.7379968057710089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42</v>
      </c>
      <c r="E40" s="79">
        <f t="shared" si="6"/>
        <v>6</v>
      </c>
      <c r="F40" s="71">
        <f t="shared" si="3"/>
        <v>25.3</v>
      </c>
      <c r="G40" s="72">
        <f>IF(D40=D39,"",_xlfn.IFNA(VLOOKUP(D40,'인원 입력 기능 (사과탐)'!$A$5:$D$53,4,FALSE),0))</f>
        <v>2349</v>
      </c>
      <c r="H40" s="73">
        <f t="shared" si="4"/>
        <v>1.7950344258411598E-2</v>
      </c>
      <c r="I40" s="77">
        <f>SUM($G$7:G40)</f>
        <v>98924</v>
      </c>
      <c r="J40" s="75">
        <f t="shared" si="5"/>
        <v>0.75594715002942048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41</v>
      </c>
      <c r="E41" s="79">
        <f t="shared" si="6"/>
        <v>6</v>
      </c>
      <c r="F41" s="71">
        <f t="shared" si="3"/>
        <v>23.42</v>
      </c>
      <c r="G41" s="72">
        <f>IF(D41=D40,"",_xlfn.IFNA(VLOOKUP(D41,'인원 입력 기능 (사과탐)'!$A$5:$D$53,4,FALSE),0))</f>
        <v>2585</v>
      </c>
      <c r="H41" s="73">
        <f t="shared" si="4"/>
        <v>1.9753784550018721E-2</v>
      </c>
      <c r="I41" s="77">
        <f>SUM($G$7:G41)</f>
        <v>101509</v>
      </c>
      <c r="J41" s="75">
        <f t="shared" si="5"/>
        <v>0.77570093457943923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40</v>
      </c>
      <c r="E42" s="79">
        <f t="shared" si="6"/>
        <v>7</v>
      </c>
      <c r="F42" s="71">
        <f t="shared" si="3"/>
        <v>21.62</v>
      </c>
      <c r="G42" s="72">
        <f>IF(D42=D41,"",_xlfn.IFNA(VLOOKUP(D42,'인원 입력 기능 (사과탐)'!$A$5:$D$53,4,FALSE),0))</f>
        <v>2129</v>
      </c>
      <c r="H42" s="73">
        <f t="shared" si="4"/>
        <v>1.6269171105218513E-2</v>
      </c>
      <c r="I42" s="77">
        <f>SUM($G$7:G42)</f>
        <v>103638</v>
      </c>
      <c r="J42" s="75">
        <f t="shared" si="5"/>
        <v>0.79197010568465775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39</v>
      </c>
      <c r="E43" s="79">
        <f t="shared" si="6"/>
        <v>7</v>
      </c>
      <c r="F43" s="71">
        <f t="shared" si="3"/>
        <v>17.86</v>
      </c>
      <c r="G43" s="72">
        <f>IF(D43=D42,"",_xlfn.IFNA(VLOOKUP(D43,'인원 입력 기능 (사과탐)'!$A$5:$D$53,4,FALSE),0))</f>
        <v>7692</v>
      </c>
      <c r="H43" s="73">
        <f t="shared" si="4"/>
        <v>5.8779926792550875E-2</v>
      </c>
      <c r="I43" s="77">
        <f>SUM($G$7:G43)</f>
        <v>111330</v>
      </c>
      <c r="J43" s="75">
        <f t="shared" si="5"/>
        <v>0.8507500324772086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38</v>
      </c>
      <c r="E44" s="79">
        <f t="shared" si="6"/>
        <v>7</v>
      </c>
      <c r="F44" s="71">
        <f t="shared" si="3"/>
        <v>14.12</v>
      </c>
      <c r="G44" s="72">
        <f>IF(D44=D43,"",_xlfn.IFNA(VLOOKUP(D44,'인원 입력 기능 (사과탐)'!$A$5:$D$53,4,FALSE),0))</f>
        <v>2096</v>
      </c>
      <c r="H44" s="73">
        <f t="shared" si="4"/>
        <v>1.6016995132239552E-2</v>
      </c>
      <c r="I44" s="77">
        <f>SUM($G$7:G44)</f>
        <v>113426</v>
      </c>
      <c r="J44" s="75">
        <f t="shared" si="5"/>
        <v>0.86676702760944824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37</v>
      </c>
      <c r="E45" s="79">
        <f t="shared" si="6"/>
        <v>7</v>
      </c>
      <c r="F45" s="71">
        <f t="shared" si="3"/>
        <v>12.53</v>
      </c>
      <c r="G45" s="72">
        <f>IF(D45=D44,"",_xlfn.IFNA(VLOOKUP(D45,'인원 입력 기능 (사과탐)'!$A$5:$D$53,4,FALSE),0))</f>
        <v>2065</v>
      </c>
      <c r="H45" s="73">
        <f t="shared" si="4"/>
        <v>1.5780102551562345E-2</v>
      </c>
      <c r="I45" s="77">
        <f>SUM($G$7:G45)</f>
        <v>115491</v>
      </c>
      <c r="J45" s="75">
        <f t="shared" si="5"/>
        <v>0.8825471301610105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36</v>
      </c>
      <c r="E46" s="79">
        <f t="shared" si="6"/>
        <v>7</v>
      </c>
      <c r="F46" s="71">
        <f t="shared" si="3"/>
        <v>11.04</v>
      </c>
      <c r="G46" s="72">
        <f>IF(D46=D45,"",_xlfn.IFNA(VLOOKUP(D46,'인원 입력 기능 (사과탐)'!$A$5:$D$53,4,FALSE),0))</f>
        <v>1836</v>
      </c>
      <c r="H46" s="73">
        <f t="shared" si="4"/>
        <v>1.4030154133011364E-2</v>
      </c>
      <c r="I46" s="77">
        <f>SUM($G$7:G46)</f>
        <v>117327</v>
      </c>
      <c r="J46" s="75">
        <f t="shared" si="5"/>
        <v>0.89657728429402195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35</v>
      </c>
      <c r="E47" s="79">
        <f t="shared" si="6"/>
        <v>8</v>
      </c>
      <c r="F47" s="71">
        <f t="shared" si="3"/>
        <v>8.44</v>
      </c>
      <c r="G47" s="72">
        <f>IF(D47=D46,"",_xlfn.IFNA(VLOOKUP(D47,'인원 입력 기능 (사과탐)'!$A$5:$D$53,4,FALSE),0))</f>
        <v>4966</v>
      </c>
      <c r="H47" s="73">
        <f t="shared" si="4"/>
        <v>3.7948663085258405E-2</v>
      </c>
      <c r="I47" s="77">
        <f>SUM($G$7:G47)</f>
        <v>122293</v>
      </c>
      <c r="J47" s="75">
        <f t="shared" si="5"/>
        <v>0.9345259473792803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144">
        <f t="shared" si="2"/>
        <v>34</v>
      </c>
      <c r="E48" s="144">
        <f t="shared" si="6"/>
        <v>8</v>
      </c>
      <c r="F48" s="134">
        <f t="shared" si="3"/>
        <v>4.7</v>
      </c>
      <c r="G48" s="136">
        <f>IF(D48=D47,"",_xlfn.IFNA(VLOOKUP(D48,'인원 입력 기능 (사과탐)'!$A$5:$D$53,4,FALSE),0))</f>
        <v>4825</v>
      </c>
      <c r="H48" s="137">
        <f t="shared" si="4"/>
        <v>3.6871183927984656E-2</v>
      </c>
      <c r="I48" s="139">
        <f>SUM($G$7:G48)</f>
        <v>127118</v>
      </c>
      <c r="J48" s="141">
        <f t="shared" si="5"/>
        <v>0.97139713130726502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3"/>
      <c r="E49" s="143"/>
      <c r="F49" s="133"/>
      <c r="G49" s="135"/>
      <c r="H49" s="138"/>
      <c r="I49" s="140"/>
      <c r="J49" s="142"/>
      <c r="K49" s="28"/>
      <c r="L49" s="5" t="str">
        <f t="shared" si="1"/>
        <v>경고</v>
      </c>
      <c r="N49" s="1"/>
    </row>
    <row r="50" spans="1:14" ht="25" customHeight="1">
      <c r="A50" s="4"/>
      <c r="B50" s="19"/>
      <c r="C50" s="80">
        <v>7</v>
      </c>
      <c r="D50" s="79">
        <f t="shared" si="2"/>
        <v>33</v>
      </c>
      <c r="E50" s="79">
        <f t="shared" si="6"/>
        <v>9</v>
      </c>
      <c r="F50" s="71">
        <f t="shared" si="3"/>
        <v>2.4500000000000002</v>
      </c>
      <c r="G50" s="72">
        <f>IF(D50=D49,"",_xlfn.IFNA(VLOOKUP(D50,'인원 입력 기능 (사과탐)'!$A$5:$D$53,4,FALSE),0))</f>
        <v>1073</v>
      </c>
      <c r="H50" s="73">
        <f t="shared" si="4"/>
        <v>8.1995399698917178E-3</v>
      </c>
      <c r="I50" s="77">
        <f>SUM($G$7:G50)</f>
        <v>128191</v>
      </c>
      <c r="J50" s="75">
        <f t="shared" si="5"/>
        <v>0.97959667127715666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32</v>
      </c>
      <c r="E51" s="79">
        <f t="shared" si="6"/>
        <v>9</v>
      </c>
      <c r="F51" s="71">
        <f t="shared" si="3"/>
        <v>1.72</v>
      </c>
      <c r="G51" s="72">
        <f>IF(D51=D50,"",_xlfn.IFNA(VLOOKUP(D51,'인원 입력 기능 (사과탐)'!$A$5:$D$53,4,FALSE),0))</f>
        <v>834</v>
      </c>
      <c r="H51" s="73">
        <f t="shared" si="4"/>
        <v>6.373174589831959E-3</v>
      </c>
      <c r="I51" s="77">
        <f>SUM($G$7:G51)</f>
        <v>129025</v>
      </c>
      <c r="J51" s="75">
        <f t="shared" si="5"/>
        <v>0.98596984586698866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31</v>
      </c>
      <c r="E52" s="79">
        <f t="shared" si="6"/>
        <v>9</v>
      </c>
      <c r="F52" s="71">
        <f t="shared" si="3"/>
        <v>1.0900000000000001</v>
      </c>
      <c r="G52" s="72">
        <f>IF(D52=D51,"",_xlfn.IFNA(VLOOKUP(D52,'인원 입력 기능 (사과탐)'!$A$5:$D$53,4,FALSE),0))</f>
        <v>814</v>
      </c>
      <c r="H52" s="73">
        <f t="shared" si="4"/>
        <v>6.2203406668144062E-3</v>
      </c>
      <c r="I52" s="77">
        <f>SUM($G$7:G52)</f>
        <v>129839</v>
      </c>
      <c r="J52" s="75">
        <f t="shared" si="5"/>
        <v>0.99219018653380309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30</v>
      </c>
      <c r="E53" s="70">
        <f t="shared" si="6"/>
        <v>9</v>
      </c>
      <c r="F53" s="71">
        <f t="shared" si="3"/>
        <v>0.64</v>
      </c>
      <c r="G53" s="72">
        <f>IF(D53=D52,"",_xlfn.IFNA(VLOOKUP(D53,'인원 입력 기능 (사과탐)'!$A$5:$D$53,4,FALSE),0))</f>
        <v>382</v>
      </c>
      <c r="H53" s="73">
        <f t="shared" si="4"/>
        <v>2.9191279296352617E-3</v>
      </c>
      <c r="I53" s="77">
        <f>SUM($G$7:G53)</f>
        <v>130221</v>
      </c>
      <c r="J53" s="75">
        <f t="shared" si="5"/>
        <v>0.99510931446343831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29</v>
      </c>
      <c r="E54" s="70">
        <f t="shared" si="6"/>
        <v>9</v>
      </c>
      <c r="F54" s="71">
        <f t="shared" si="3"/>
        <v>0.39</v>
      </c>
      <c r="G54" s="72">
        <f>IF(D54=D53,"",_xlfn.IFNA(VLOOKUP(D54,'인원 입력 기능 (사과탐)'!$A$5:$D$53,4,FALSE),0))</f>
        <v>255</v>
      </c>
      <c r="H54" s="73">
        <f t="shared" si="4"/>
        <v>1.9486325184738004E-3</v>
      </c>
      <c r="I54" s="77">
        <f>SUM($G$7:G54)</f>
        <v>130476</v>
      </c>
      <c r="J54" s="75">
        <f t="shared" si="5"/>
        <v>0.99705794698191208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28</v>
      </c>
      <c r="E55" s="70">
        <f t="shared" si="6"/>
        <v>9</v>
      </c>
      <c r="F55" s="71">
        <f t="shared" si="3"/>
        <v>0.18</v>
      </c>
      <c r="G55" s="72">
        <f>IF(D55=D54,"",_xlfn.IFNA(VLOOKUP(D55,'인원 입력 기능 (사과탐)'!$A$5:$D$53,4,FALSE),0))</f>
        <v>288</v>
      </c>
      <c r="H55" s="73">
        <f t="shared" si="4"/>
        <v>2.2008084914527629E-3</v>
      </c>
      <c r="I55" s="77">
        <f>SUM($G$7:G55)</f>
        <v>130764</v>
      </c>
      <c r="J55" s="75">
        <f t="shared" si="5"/>
        <v>0.99925875547336485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26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(사과탐)'!$A$5:$D$53,4,FALSE),0)</f>
        <v>97</v>
      </c>
      <c r="H57" s="86">
        <f>G57/$J$3</f>
        <v>7.4124452663513194E-4</v>
      </c>
      <c r="I57" s="87">
        <f>SUM($G$7:G57)</f>
        <v>130861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32">
    <mergeCell ref="I48:I49"/>
    <mergeCell ref="J48:J49"/>
    <mergeCell ref="D48:D49"/>
    <mergeCell ref="E48:E49"/>
    <mergeCell ref="F48:F49"/>
    <mergeCell ref="G48:G49"/>
    <mergeCell ref="H48:H49"/>
    <mergeCell ref="I24:I25"/>
    <mergeCell ref="J24:J25"/>
    <mergeCell ref="D36:D37"/>
    <mergeCell ref="E36:E37"/>
    <mergeCell ref="F36:F37"/>
    <mergeCell ref="G36:G37"/>
    <mergeCell ref="H36:H37"/>
    <mergeCell ref="I36:I37"/>
    <mergeCell ref="J36:J37"/>
    <mergeCell ref="D3:F3"/>
    <mergeCell ref="D4:F4"/>
    <mergeCell ref="D8:J8"/>
    <mergeCell ref="D56:J56"/>
    <mergeCell ref="D11:D12"/>
    <mergeCell ref="E11:E12"/>
    <mergeCell ref="F11:F12"/>
    <mergeCell ref="G11:G12"/>
    <mergeCell ref="H11:H12"/>
    <mergeCell ref="I11:I12"/>
    <mergeCell ref="J11:J12"/>
    <mergeCell ref="D24:D25"/>
    <mergeCell ref="E24:E25"/>
    <mergeCell ref="F24:F25"/>
    <mergeCell ref="G24:G25"/>
    <mergeCell ref="H24:H25"/>
  </mergeCells>
  <phoneticPr fontId="1" type="noConversion"/>
  <conditionalFormatting sqref="D7:D11 D13:D24 D26:D36 D38:D48 D50:D57">
    <cfRule type="expression" dxfId="50" priority="1">
      <formula>$D7=$D8</formula>
    </cfRule>
  </conditionalFormatting>
  <conditionalFormatting sqref="C7:C57">
    <cfRule type="expression" dxfId="49" priority="3">
      <formula>OR(AND($D7=0,OR($D6=$Q$7:$Q$14)),AND($D8&gt;0,OR($D7=$Q$7:$Q$14)))</formula>
    </cfRule>
  </conditionalFormatting>
  <conditionalFormatting sqref="D7:J7 D8 D57:J57 D56 D9:J11 D13:J24 D26:J36 D38:J48 D50:J55">
    <cfRule type="expression" dxfId="48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8"/>
  <dimension ref="A1:Q105"/>
  <sheetViews>
    <sheetView topLeftCell="A20"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기능'!D7</f>
        <v>21.61</v>
      </c>
      <c r="I3" s="15" t="s">
        <v>84</v>
      </c>
      <c r="J3" s="35">
        <f>'통계 및 응시자 수 입력 기능'!C7</f>
        <v>34440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103</v>
      </c>
      <c r="E4" s="108"/>
      <c r="F4" s="109"/>
      <c r="G4" s="37" t="s">
        <v>87</v>
      </c>
      <c r="H4" s="38" t="str">
        <f>'통계 및 응시자 수 입력 기능'!E7</f>
        <v>10.97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76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99.63</v>
      </c>
      <c r="G7" s="72">
        <f>_xlfn.IFNA(VLOOKUP(D7,'인원 입력 기능 (사과탐)'!$F$5:$I$53,4,FALSE),0)</f>
        <v>254</v>
      </c>
      <c r="H7" s="73">
        <f>G7/$J$3</f>
        <v>7.3751451800232286E-3</v>
      </c>
      <c r="I7" s="74">
        <f>G7</f>
        <v>254</v>
      </c>
      <c r="J7" s="75">
        <f>I7/$J$3</f>
        <v>7.3751451800232286E-3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입력기능'!C31</f>
        <v>70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입력기능'!C32</f>
        <v>64</v>
      </c>
    </row>
    <row r="9" spans="1:17" ht="25" customHeight="1">
      <c r="A9" s="4"/>
      <c r="B9" s="19"/>
      <c r="C9" s="69">
        <v>48</v>
      </c>
      <c r="D9" s="70">
        <f>ROUND(10*(C9-$H$3)/$H$4+50,0)</f>
        <v>74</v>
      </c>
      <c r="E9" s="70">
        <f t="shared" si="0"/>
        <v>1</v>
      </c>
      <c r="F9" s="71">
        <f>IF(I8=0,ROUND(100*(1-(I7+I9)/2/$J$3),2),ROUND(100*(1-(I8+I9)/2/$J$3),2))</f>
        <v>99.09</v>
      </c>
      <c r="G9" s="72">
        <f>_xlfn.IFNA(VLOOKUP(D9,'인원 입력 기능 (사과탐)'!$F$5:$I$53,4,FALSE),0)</f>
        <v>118</v>
      </c>
      <c r="H9" s="73">
        <f>G9/$J$3</f>
        <v>3.4262485481997679E-3</v>
      </c>
      <c r="I9" s="77">
        <f>SUM($G$7:G9)</f>
        <v>372</v>
      </c>
      <c r="J9" s="75">
        <f>I9/$J$3</f>
        <v>1.0801393728222997E-2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입력기능'!C33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73</v>
      </c>
      <c r="E10" s="70">
        <f t="shared" si="0"/>
        <v>1</v>
      </c>
      <c r="F10" s="71">
        <f t="shared" ref="F10:F55" si="3">IF(I9=0,ROUND(100*(1-(I8+I10)/2/$J$3),2),ROUND(100*(1-(I9+I10)/2/$J$3),2))</f>
        <v>98.39</v>
      </c>
      <c r="G10" s="72">
        <f>IF(D10=D9,"",_xlfn.IFNA(VLOOKUP(D10,'인원 입력 기능 (사과탐)'!$F$5:$I$53,4,FALSE),0))</f>
        <v>364</v>
      </c>
      <c r="H10" s="73">
        <f t="shared" ref="H10:H55" si="4">G10/$J$3</f>
        <v>1.056910569105691E-2</v>
      </c>
      <c r="I10" s="77">
        <f>SUM($G$7:G10)</f>
        <v>736</v>
      </c>
      <c r="J10" s="75">
        <f t="shared" ref="J10:J55" si="5">I10/$J$3</f>
        <v>2.1370499419279907E-2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입력기능'!C34</f>
        <v>51</v>
      </c>
    </row>
    <row r="11" spans="1:17" ht="25" customHeight="1">
      <c r="A11" s="4"/>
      <c r="B11" s="19"/>
      <c r="C11" s="69">
        <v>46</v>
      </c>
      <c r="D11" s="70">
        <f t="shared" si="2"/>
        <v>72</v>
      </c>
      <c r="E11" s="70">
        <f t="shared" si="0"/>
        <v>1</v>
      </c>
      <c r="F11" s="71">
        <f t="shared" si="3"/>
        <v>97.8</v>
      </c>
      <c r="G11" s="72">
        <f>IF(D11=D10,"",_xlfn.IFNA(VLOOKUP(D11,'인원 입력 기능 (사과탐)'!$F$5:$I$53,4,FALSE),0))</f>
        <v>42</v>
      </c>
      <c r="H11" s="73">
        <f t="shared" si="4"/>
        <v>1.2195121951219512E-3</v>
      </c>
      <c r="I11" s="77">
        <f>SUM($G$7:G11)</f>
        <v>778</v>
      </c>
      <c r="J11" s="75">
        <f t="shared" si="5"/>
        <v>2.2590011614401859E-2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입력기능'!C35</f>
        <v>45</v>
      </c>
    </row>
    <row r="12" spans="1:17" ht="25" customHeight="1">
      <c r="A12" s="4"/>
      <c r="B12" s="19"/>
      <c r="C12" s="76">
        <v>45</v>
      </c>
      <c r="D12" s="70">
        <f t="shared" si="2"/>
        <v>71</v>
      </c>
      <c r="E12" s="70">
        <f t="shared" si="0"/>
        <v>1</v>
      </c>
      <c r="F12" s="71">
        <f t="shared" si="3"/>
        <v>97.25</v>
      </c>
      <c r="G12" s="72">
        <f>IF(D12=D11,"",_xlfn.IFNA(VLOOKUP(D12,'인원 입력 기능 (사과탐)'!$F$5:$I$53,4,FALSE),0))</f>
        <v>340</v>
      </c>
      <c r="H12" s="73">
        <f t="shared" si="4"/>
        <v>9.8722415795586532E-3</v>
      </c>
      <c r="I12" s="77">
        <f>SUM($G$7:G12)</f>
        <v>1118</v>
      </c>
      <c r="J12" s="75">
        <f t="shared" si="5"/>
        <v>3.2462253193960511E-2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입력기능'!C36</f>
        <v>42</v>
      </c>
    </row>
    <row r="13" spans="1:17" ht="25" customHeight="1">
      <c r="A13" s="4"/>
      <c r="B13" s="19"/>
      <c r="C13" s="69">
        <v>44</v>
      </c>
      <c r="D13" s="70">
        <f t="shared" si="2"/>
        <v>70</v>
      </c>
      <c r="E13" s="70">
        <f t="shared" si="0"/>
        <v>1</v>
      </c>
      <c r="F13" s="71">
        <f t="shared" si="3"/>
        <v>96.14</v>
      </c>
      <c r="G13" s="72">
        <f>IF(D13=D12,"",_xlfn.IFNA(VLOOKUP(D13,'인원 입력 기능 (사과탐)'!$F$5:$I$53,4,FALSE),0))</f>
        <v>426</v>
      </c>
      <c r="H13" s="73">
        <f t="shared" si="4"/>
        <v>1.2369337979094076E-2</v>
      </c>
      <c r="I13" s="77">
        <f>SUM($G$7:G13)</f>
        <v>1544</v>
      </c>
      <c r="J13" s="75">
        <f t="shared" si="5"/>
        <v>4.4831591173054589E-2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입력기능'!C37</f>
        <v>39</v>
      </c>
    </row>
    <row r="14" spans="1:17" ht="25" customHeight="1">
      <c r="A14" s="4"/>
      <c r="B14" s="19"/>
      <c r="C14" s="76">
        <v>43</v>
      </c>
      <c r="D14" s="132">
        <f t="shared" si="2"/>
        <v>69</v>
      </c>
      <c r="E14" s="132">
        <f t="shared" si="0"/>
        <v>2</v>
      </c>
      <c r="F14" s="134">
        <f t="shared" si="3"/>
        <v>94.67</v>
      </c>
      <c r="G14" s="136">
        <f>IF(D14=D13,"",_xlfn.IFNA(VLOOKUP(D14,'인원 입력 기능 (사과탐)'!$F$5:$I$53,4,FALSE),0))</f>
        <v>581</v>
      </c>
      <c r="H14" s="137">
        <f t="shared" si="4"/>
        <v>1.6869918699186991E-2</v>
      </c>
      <c r="I14" s="139">
        <f>SUM($G$7:G14)</f>
        <v>2125</v>
      </c>
      <c r="J14" s="141">
        <f t="shared" si="5"/>
        <v>6.1701509872241579E-2</v>
      </c>
      <c r="K14" s="28"/>
      <c r="L14" s="5" t="str">
        <f t="shared" si="1"/>
        <v>경고</v>
      </c>
      <c r="N14" s="1"/>
      <c r="P14" s="1">
        <v>8</v>
      </c>
      <c r="Q14" s="1">
        <f>'표준점수 등급컷 입력기능'!C38</f>
        <v>37</v>
      </c>
    </row>
    <row r="15" spans="1:17" ht="25" customHeight="1">
      <c r="A15" s="4"/>
      <c r="B15" s="19"/>
      <c r="C15" s="69">
        <v>42</v>
      </c>
      <c r="D15" s="131"/>
      <c r="E15" s="131"/>
      <c r="F15" s="133"/>
      <c r="G15" s="135"/>
      <c r="H15" s="138"/>
      <c r="I15" s="140"/>
      <c r="J15" s="142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68</v>
      </c>
      <c r="E16" s="70">
        <f t="shared" si="0"/>
        <v>2</v>
      </c>
      <c r="F16" s="71">
        <f t="shared" si="3"/>
        <v>93.25</v>
      </c>
      <c r="G16" s="72">
        <f>IF(D16=D15,"",_xlfn.IFNA(VLOOKUP(D16,'인원 입력 기능 (사과탐)'!$F$5:$I$53,4,FALSE),0))</f>
        <v>397</v>
      </c>
      <c r="H16" s="73">
        <f t="shared" si="4"/>
        <v>1.1527293844367015E-2</v>
      </c>
      <c r="I16" s="77">
        <f>SUM($G$7:G16)</f>
        <v>2522</v>
      </c>
      <c r="J16" s="75">
        <f t="shared" si="5"/>
        <v>7.3228803716608601E-2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67</v>
      </c>
      <c r="E17" s="70">
        <f t="shared" si="0"/>
        <v>2</v>
      </c>
      <c r="F17" s="71">
        <f t="shared" si="3"/>
        <v>92.2</v>
      </c>
      <c r="G17" s="72">
        <f>IF(D17=D16,"",_xlfn.IFNA(VLOOKUP(D17,'인원 입력 기능 (사과탐)'!$F$5:$I$53,4,FALSE),0))</f>
        <v>326</v>
      </c>
      <c r="H17" s="73">
        <f t="shared" si="4"/>
        <v>9.465737514518003E-3</v>
      </c>
      <c r="I17" s="77">
        <f>SUM($G$7:G17)</f>
        <v>2848</v>
      </c>
      <c r="J17" s="75">
        <f t="shared" si="5"/>
        <v>8.26945412311266E-2</v>
      </c>
      <c r="K17" s="28"/>
      <c r="L17" s="5" t="str">
        <f t="shared" si="1"/>
        <v/>
      </c>
      <c r="N17" s="1"/>
      <c r="P17" s="1">
        <f>Q7*H3*H4*J3*IFERROR(IF(J57=1, 1, 0), 0)</f>
        <v>571508346.36000013</v>
      </c>
    </row>
    <row r="18" spans="1:16" ht="25" customHeight="1">
      <c r="A18" s="4"/>
      <c r="B18" s="19"/>
      <c r="C18" s="76">
        <v>39</v>
      </c>
      <c r="D18" s="70">
        <f t="shared" si="2"/>
        <v>66</v>
      </c>
      <c r="E18" s="70">
        <f t="shared" si="0"/>
        <v>2</v>
      </c>
      <c r="F18" s="71">
        <f t="shared" si="3"/>
        <v>90.94</v>
      </c>
      <c r="G18" s="72">
        <f>IF(D18=D17,"",_xlfn.IFNA(VLOOKUP(D18,'인원 입력 기능 (사과탐)'!$F$5:$I$53,4,FALSE),0))</f>
        <v>543</v>
      </c>
      <c r="H18" s="73">
        <f t="shared" si="4"/>
        <v>1.5766550522648085E-2</v>
      </c>
      <c r="I18" s="77">
        <f>SUM($G$7:G18)</f>
        <v>3391</v>
      </c>
      <c r="J18" s="75">
        <f t="shared" si="5"/>
        <v>9.8461091753774682E-2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65</v>
      </c>
      <c r="E19" s="70">
        <f t="shared" si="0"/>
        <v>2</v>
      </c>
      <c r="F19" s="71">
        <f t="shared" si="3"/>
        <v>89.65</v>
      </c>
      <c r="G19" s="72">
        <f>IF(D19=D18,"",_xlfn.IFNA(VLOOKUP(D19,'인원 입력 기능 (사과탐)'!$F$5:$I$53,4,FALSE),0))</f>
        <v>344</v>
      </c>
      <c r="H19" s="73">
        <f t="shared" si="4"/>
        <v>9.9883855981416966E-3</v>
      </c>
      <c r="I19" s="77">
        <f>SUM($G$7:G19)</f>
        <v>3735</v>
      </c>
      <c r="J19" s="75">
        <f t="shared" si="5"/>
        <v>0.10844947735191637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64</v>
      </c>
      <c r="E20" s="70">
        <f t="shared" si="0"/>
        <v>2</v>
      </c>
      <c r="F20" s="71">
        <f t="shared" si="3"/>
        <v>88.44</v>
      </c>
      <c r="G20" s="72">
        <f>IF(D20=D19,"",_xlfn.IFNA(VLOOKUP(D20,'인원 입력 기능 (사과탐)'!$F$5:$I$53,4,FALSE),0))</f>
        <v>492</v>
      </c>
      <c r="H20" s="73">
        <f t="shared" si="4"/>
        <v>1.4285714285714285E-2</v>
      </c>
      <c r="I20" s="77">
        <f>SUM($G$7:G20)</f>
        <v>4227</v>
      </c>
      <c r="J20" s="75">
        <f t="shared" si="5"/>
        <v>0.12273519163763066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63</v>
      </c>
      <c r="E21" s="79">
        <f t="shared" si="0"/>
        <v>3</v>
      </c>
      <c r="F21" s="71">
        <f t="shared" si="3"/>
        <v>86.88</v>
      </c>
      <c r="G21" s="72">
        <f>IF(D21=D20,"",_xlfn.IFNA(VLOOKUP(D21,'인원 입력 기능 (사과탐)'!$F$5:$I$53,4,FALSE),0))</f>
        <v>585</v>
      </c>
      <c r="H21" s="73">
        <f t="shared" si="4"/>
        <v>1.6986062717770034E-2</v>
      </c>
      <c r="I21" s="77">
        <f>SUM($G$7:G21)</f>
        <v>4812</v>
      </c>
      <c r="J21" s="75">
        <f t="shared" si="5"/>
        <v>0.1397212543554007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62</v>
      </c>
      <c r="E22" s="79">
        <f t="shared" si="0"/>
        <v>3</v>
      </c>
      <c r="F22" s="71">
        <f t="shared" si="3"/>
        <v>85.38</v>
      </c>
      <c r="G22" s="72">
        <f>IF(D22=D21,"",_xlfn.IFNA(VLOOKUP(D22,'인원 입력 기능 (사과탐)'!$F$5:$I$53,4,FALSE),0))</f>
        <v>445</v>
      </c>
      <c r="H22" s="73">
        <f t="shared" si="4"/>
        <v>1.292102206736353E-2</v>
      </c>
      <c r="I22" s="77">
        <f>SUM($G$7:G22)</f>
        <v>5257</v>
      </c>
      <c r="J22" s="75">
        <f t="shared" si="5"/>
        <v>0.15264227642276423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61</v>
      </c>
      <c r="E23" s="79">
        <f t="shared" si="0"/>
        <v>3</v>
      </c>
      <c r="F23" s="71">
        <f t="shared" si="3"/>
        <v>83.77</v>
      </c>
      <c r="G23" s="72">
        <f>IF(D23=D22,"",_xlfn.IFNA(VLOOKUP(D23,'인원 입력 기능 (사과탐)'!$F$5:$I$53,4,FALSE),0))</f>
        <v>664</v>
      </c>
      <c r="H23" s="73">
        <f t="shared" si="4"/>
        <v>1.9279907084785133E-2</v>
      </c>
      <c r="I23" s="77">
        <f>SUM($G$7:G23)</f>
        <v>5921</v>
      </c>
      <c r="J23" s="75">
        <f t="shared" si="5"/>
        <v>0.17192218350754937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60</v>
      </c>
      <c r="E24" s="79">
        <f t="shared" si="0"/>
        <v>3</v>
      </c>
      <c r="F24" s="71">
        <f t="shared" si="3"/>
        <v>81.99</v>
      </c>
      <c r="G24" s="72">
        <f>IF(D24=D23,"",_xlfn.IFNA(VLOOKUP(D24,'인원 입력 기능 (사과탐)'!$F$5:$I$53,4,FALSE),0))</f>
        <v>560</v>
      </c>
      <c r="H24" s="73">
        <f t="shared" si="4"/>
        <v>1.6260162601626018E-2</v>
      </c>
      <c r="I24" s="77">
        <f>SUM($G$7:G24)</f>
        <v>6481</v>
      </c>
      <c r="J24" s="75">
        <f t="shared" si="5"/>
        <v>0.18818234610917539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4">
        <f t="shared" si="2"/>
        <v>59</v>
      </c>
      <c r="E25" s="144">
        <f t="shared" si="0"/>
        <v>3</v>
      </c>
      <c r="F25" s="134">
        <f t="shared" si="3"/>
        <v>79.349999999999994</v>
      </c>
      <c r="G25" s="136">
        <f>IF(D25=D24,"",_xlfn.IFNA(VLOOKUP(D25,'인원 입력 기능 (사과탐)'!$F$5:$I$53,4,FALSE),0))</f>
        <v>1264</v>
      </c>
      <c r="H25" s="137">
        <f t="shared" si="4"/>
        <v>3.6701509872241578E-2</v>
      </c>
      <c r="I25" s="139">
        <f>SUM($G$7:G25)</f>
        <v>7745</v>
      </c>
      <c r="J25" s="141">
        <f t="shared" si="5"/>
        <v>0.22488385598141697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3"/>
      <c r="E26" s="143"/>
      <c r="F26" s="133"/>
      <c r="G26" s="135"/>
      <c r="H26" s="138"/>
      <c r="I26" s="140"/>
      <c r="J26" s="142"/>
      <c r="K26" s="28"/>
      <c r="L26" s="5" t="str">
        <f t="shared" si="1"/>
        <v>경고</v>
      </c>
      <c r="N26" s="1"/>
    </row>
    <row r="27" spans="1:16" ht="25" customHeight="1">
      <c r="A27" s="4"/>
      <c r="B27" s="19"/>
      <c r="C27" s="78">
        <v>30</v>
      </c>
      <c r="D27" s="79">
        <f t="shared" si="2"/>
        <v>58</v>
      </c>
      <c r="E27" s="79">
        <f t="shared" si="0"/>
        <v>3</v>
      </c>
      <c r="F27" s="71">
        <f t="shared" si="3"/>
        <v>76.55</v>
      </c>
      <c r="G27" s="72">
        <f>IF(D27=D26,"",_xlfn.IFNA(VLOOKUP(D27,'인원 입력 기능 (사과탐)'!$F$5:$I$53,4,FALSE),0))</f>
        <v>661</v>
      </c>
      <c r="H27" s="73">
        <f t="shared" si="4"/>
        <v>1.9192799070847852E-2</v>
      </c>
      <c r="I27" s="77">
        <f>SUM($G$7:G27)</f>
        <v>8406</v>
      </c>
      <c r="J27" s="75">
        <f t="shared" si="5"/>
        <v>0.24407665505226481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57</v>
      </c>
      <c r="E28" s="79">
        <f t="shared" si="0"/>
        <v>4</v>
      </c>
      <c r="F28" s="71">
        <f t="shared" si="3"/>
        <v>74.510000000000005</v>
      </c>
      <c r="G28" s="72">
        <f>IF(D28=D27,"",_xlfn.IFNA(VLOOKUP(D28,'인원 입력 기능 (사과탐)'!$F$5:$I$53,4,FALSE),0))</f>
        <v>745</v>
      </c>
      <c r="H28" s="73">
        <f t="shared" si="4"/>
        <v>2.1631823461091753E-2</v>
      </c>
      <c r="I28" s="77">
        <f>SUM($G$7:G28)</f>
        <v>9151</v>
      </c>
      <c r="J28" s="75">
        <f t="shared" si="5"/>
        <v>0.26570847851335655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56</v>
      </c>
      <c r="E29" s="79">
        <f t="shared" si="0"/>
        <v>4</v>
      </c>
      <c r="F29" s="71">
        <f t="shared" si="3"/>
        <v>72.400000000000006</v>
      </c>
      <c r="G29" s="72">
        <f>IF(D29=D28,"",_xlfn.IFNA(VLOOKUP(D29,'인원 입력 기능 (사과탐)'!$F$5:$I$53,4,FALSE),0))</f>
        <v>711</v>
      </c>
      <c r="H29" s="73">
        <f t="shared" si="4"/>
        <v>2.0644599303135888E-2</v>
      </c>
      <c r="I29" s="77">
        <f>SUM($G$7:G29)</f>
        <v>9862</v>
      </c>
      <c r="J29" s="75">
        <f t="shared" si="5"/>
        <v>0.28635307781649244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55</v>
      </c>
      <c r="E30" s="79">
        <f t="shared" si="0"/>
        <v>4</v>
      </c>
      <c r="F30" s="71">
        <f t="shared" si="3"/>
        <v>70.31</v>
      </c>
      <c r="G30" s="72">
        <f>IF(D30=D29,"",_xlfn.IFNA(VLOOKUP(D30,'인원 입력 기능 (사과탐)'!$F$5:$I$53,4,FALSE),0))</f>
        <v>729</v>
      </c>
      <c r="H30" s="73">
        <f t="shared" si="4"/>
        <v>2.1167247386759583E-2</v>
      </c>
      <c r="I30" s="77">
        <f>SUM($G$7:G30)</f>
        <v>10591</v>
      </c>
      <c r="J30" s="75">
        <f t="shared" si="5"/>
        <v>0.30752032520325201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54</v>
      </c>
      <c r="E31" s="79">
        <f t="shared" si="0"/>
        <v>4</v>
      </c>
      <c r="F31" s="71">
        <f t="shared" si="3"/>
        <v>68.03</v>
      </c>
      <c r="G31" s="72">
        <f>IF(D31=D30,"",_xlfn.IFNA(VLOOKUP(D31,'인원 입력 기능 (사과탐)'!$F$5:$I$53,4,FALSE),0))</f>
        <v>841</v>
      </c>
      <c r="H31" s="73">
        <f t="shared" si="4"/>
        <v>2.4419279907084784E-2</v>
      </c>
      <c r="I31" s="77">
        <f>SUM($G$7:G31)</f>
        <v>11432</v>
      </c>
      <c r="J31" s="75">
        <f t="shared" si="5"/>
        <v>0.33193960511033682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53</v>
      </c>
      <c r="E32" s="79">
        <f t="shared" si="0"/>
        <v>4</v>
      </c>
      <c r="F32" s="71">
        <f t="shared" si="3"/>
        <v>65.61</v>
      </c>
      <c r="G32" s="72">
        <f>IF(D32=D31,"",_xlfn.IFNA(VLOOKUP(D32,'인원 입력 기능 (사과탐)'!$F$5:$I$53,4,FALSE),0))</f>
        <v>824</v>
      </c>
      <c r="H32" s="73">
        <f t="shared" si="4"/>
        <v>2.3925667828106852E-2</v>
      </c>
      <c r="I32" s="77">
        <f>SUM($G$7:G32)</f>
        <v>12256</v>
      </c>
      <c r="J32" s="75">
        <f t="shared" si="5"/>
        <v>0.35586527293844367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52</v>
      </c>
      <c r="E33" s="79">
        <f t="shared" si="0"/>
        <v>4</v>
      </c>
      <c r="F33" s="71">
        <f t="shared" si="3"/>
        <v>63.03</v>
      </c>
      <c r="G33" s="72">
        <f>IF(D33=D32,"",_xlfn.IFNA(VLOOKUP(D33,'인원 입력 기능 (사과탐)'!$F$5:$I$53,4,FALSE),0))</f>
        <v>952</v>
      </c>
      <c r="H33" s="73">
        <f t="shared" si="4"/>
        <v>2.7642276422764227E-2</v>
      </c>
      <c r="I33" s="77">
        <f>SUM($G$7:G33)</f>
        <v>13208</v>
      </c>
      <c r="J33" s="75">
        <f t="shared" si="5"/>
        <v>0.3835075493612079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51</v>
      </c>
      <c r="E34" s="79">
        <f t="shared" si="0"/>
        <v>4</v>
      </c>
      <c r="F34" s="71">
        <f t="shared" si="3"/>
        <v>60.31</v>
      </c>
      <c r="G34" s="72">
        <f>IF(D34=D33,"",_xlfn.IFNA(VLOOKUP(D34,'인원 입력 기능 (사과탐)'!$F$5:$I$53,4,FALSE),0))</f>
        <v>921</v>
      </c>
      <c r="H34" s="73">
        <f t="shared" si="4"/>
        <v>2.6742160278745646E-2</v>
      </c>
      <c r="I34" s="77">
        <f>SUM($G$7:G34)</f>
        <v>14129</v>
      </c>
      <c r="J34" s="75">
        <f t="shared" si="5"/>
        <v>0.41024970963995355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50</v>
      </c>
      <c r="E35" s="79">
        <f t="shared" si="0"/>
        <v>5</v>
      </c>
      <c r="F35" s="71">
        <f t="shared" si="3"/>
        <v>57.61</v>
      </c>
      <c r="G35" s="72">
        <f>IF(D35=D34,"",_xlfn.IFNA(VLOOKUP(D35,'인원 입력 기능 (사과탐)'!$F$5:$I$53,4,FALSE),0))</f>
        <v>937</v>
      </c>
      <c r="H35" s="73">
        <f t="shared" si="4"/>
        <v>2.7206736353077816E-2</v>
      </c>
      <c r="I35" s="77">
        <f>SUM($G$7:G35)</f>
        <v>15066</v>
      </c>
      <c r="J35" s="75">
        <f t="shared" si="5"/>
        <v>0.43745644599303135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4">
        <f t="shared" si="2"/>
        <v>49</v>
      </c>
      <c r="E36" s="144">
        <f t="shared" si="0"/>
        <v>5</v>
      </c>
      <c r="F36" s="134">
        <f t="shared" si="3"/>
        <v>53.42</v>
      </c>
      <c r="G36" s="136">
        <f>IF(D36=D35,"",_xlfn.IFNA(VLOOKUP(D36,'인원 입력 기능 (사과탐)'!$F$5:$I$53,4,FALSE),0))</f>
        <v>1951</v>
      </c>
      <c r="H36" s="137">
        <f t="shared" si="4"/>
        <v>5.6649245063879208E-2</v>
      </c>
      <c r="I36" s="139">
        <f>SUM($G$7:G36)</f>
        <v>17017</v>
      </c>
      <c r="J36" s="141">
        <f t="shared" si="5"/>
        <v>0.49410569105691055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3"/>
      <c r="E37" s="143"/>
      <c r="F37" s="133"/>
      <c r="G37" s="135"/>
      <c r="H37" s="138"/>
      <c r="I37" s="140"/>
      <c r="J37" s="142"/>
      <c r="K37" s="28"/>
      <c r="L37" s="5" t="str">
        <f t="shared" si="1"/>
        <v>경고</v>
      </c>
      <c r="N37" s="1"/>
    </row>
    <row r="38" spans="1:14" ht="25" customHeight="1">
      <c r="A38" s="4"/>
      <c r="B38" s="19"/>
      <c r="C38" s="80">
        <v>19</v>
      </c>
      <c r="D38" s="79">
        <f t="shared" si="2"/>
        <v>48</v>
      </c>
      <c r="E38" s="79">
        <f t="shared" si="0"/>
        <v>5</v>
      </c>
      <c r="F38" s="71">
        <f t="shared" si="3"/>
        <v>49.07</v>
      </c>
      <c r="G38" s="72">
        <f>IF(D38=D37,"",_xlfn.IFNA(VLOOKUP(D38,'인원 입력 기능 (사과탐)'!$F$5:$I$53,4,FALSE),0))</f>
        <v>1046</v>
      </c>
      <c r="H38" s="73">
        <f t="shared" si="4"/>
        <v>3.0371660859465736E-2</v>
      </c>
      <c r="I38" s="77">
        <f>SUM($G$7:G38)</f>
        <v>18063</v>
      </c>
      <c r="J38" s="75">
        <f t="shared" si="5"/>
        <v>0.52447735191637634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47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45.89</v>
      </c>
      <c r="G39" s="72">
        <f>IF(D39=D38,"",_xlfn.IFNA(VLOOKUP(D39,'인원 입력 기능 (사과탐)'!$F$5:$I$53,4,FALSE),0))</f>
        <v>1142</v>
      </c>
      <c r="H39" s="73">
        <f t="shared" si="4"/>
        <v>3.3159117305458771E-2</v>
      </c>
      <c r="I39" s="77">
        <f>SUM($G$7:G39)</f>
        <v>19205</v>
      </c>
      <c r="J39" s="75">
        <f t="shared" si="5"/>
        <v>0.55763646922183507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46</v>
      </c>
      <c r="E40" s="79">
        <f t="shared" si="6"/>
        <v>5</v>
      </c>
      <c r="F40" s="71">
        <f t="shared" si="3"/>
        <v>42.64</v>
      </c>
      <c r="G40" s="72">
        <f>IF(D40=D39,"",_xlfn.IFNA(VLOOKUP(D40,'인원 입력 기능 (사과탐)'!$F$5:$I$53,4,FALSE),0))</f>
        <v>1103</v>
      </c>
      <c r="H40" s="73">
        <f t="shared" si="4"/>
        <v>3.2026713124274103E-2</v>
      </c>
      <c r="I40" s="77">
        <f>SUM($G$7:G40)</f>
        <v>20308</v>
      </c>
      <c r="J40" s="75">
        <f t="shared" si="5"/>
        <v>0.58966318234610915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45</v>
      </c>
      <c r="E41" s="79">
        <f t="shared" si="6"/>
        <v>5</v>
      </c>
      <c r="F41" s="71">
        <f t="shared" si="3"/>
        <v>39.409999999999997</v>
      </c>
      <c r="G41" s="72">
        <f>IF(D41=D40,"",_xlfn.IFNA(VLOOKUP(D41,'인원 입력 기능 (사과탐)'!$F$5:$I$53,4,FALSE),0))</f>
        <v>1118</v>
      </c>
      <c r="H41" s="73">
        <f t="shared" si="4"/>
        <v>3.2462253193960511E-2</v>
      </c>
      <c r="I41" s="77">
        <f>SUM($G$7:G41)</f>
        <v>21426</v>
      </c>
      <c r="J41" s="75">
        <f t="shared" si="5"/>
        <v>0.62212543554006972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44</v>
      </c>
      <c r="E42" s="79">
        <f t="shared" si="6"/>
        <v>6</v>
      </c>
      <c r="F42" s="71">
        <f t="shared" si="3"/>
        <v>36.229999999999997</v>
      </c>
      <c r="G42" s="72">
        <f>IF(D42=D41,"",_xlfn.IFNA(VLOOKUP(D42,'인원 입력 기능 (사과탐)'!$F$5:$I$53,4,FALSE),0))</f>
        <v>1076</v>
      </c>
      <c r="H42" s="73">
        <f t="shared" si="4"/>
        <v>3.1242740998838558E-2</v>
      </c>
      <c r="I42" s="77">
        <f>SUM($G$7:G42)</f>
        <v>22502</v>
      </c>
      <c r="J42" s="75">
        <f t="shared" si="5"/>
        <v>0.65336817653890822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33.049999999999997</v>
      </c>
      <c r="G43" s="72">
        <f>IF(D43=D42,"",_xlfn.IFNA(VLOOKUP(D43,'인원 입력 기능 (사과탐)'!$F$5:$I$53,4,FALSE),0))</f>
        <v>1108</v>
      </c>
      <c r="H43" s="73">
        <f t="shared" si="4"/>
        <v>3.2171893147502906E-2</v>
      </c>
      <c r="I43" s="77">
        <f>SUM($G$7:G43)</f>
        <v>23610</v>
      </c>
      <c r="J43" s="75">
        <f t="shared" si="5"/>
        <v>0.68554006968641112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26.94</v>
      </c>
      <c r="G44" s="72">
        <f>IF(D44=D43,"",_xlfn.IFNA(VLOOKUP(D44,'인원 입력 기능 (사과탐)'!$F$5:$I$53,4,FALSE),0))</f>
        <v>3103</v>
      </c>
      <c r="H44" s="73">
        <f t="shared" si="4"/>
        <v>9.0098722415795585E-2</v>
      </c>
      <c r="I44" s="77">
        <f>SUM($G$7:G44)</f>
        <v>26713</v>
      </c>
      <c r="J44" s="75">
        <f t="shared" si="5"/>
        <v>0.77563879210220676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41</v>
      </c>
      <c r="E45" s="79">
        <f t="shared" si="6"/>
        <v>7</v>
      </c>
      <c r="F45" s="71">
        <f t="shared" si="3"/>
        <v>19.100000000000001</v>
      </c>
      <c r="G45" s="72">
        <f>IF(D45=D44,"",_xlfn.IFNA(VLOOKUP(D45,'인원 입력 기능 (사과탐)'!$F$5:$I$53,4,FALSE),0))</f>
        <v>2297</v>
      </c>
      <c r="H45" s="73">
        <f t="shared" si="4"/>
        <v>6.6695702671312432E-2</v>
      </c>
      <c r="I45" s="77">
        <f>SUM($G$7:G45)</f>
        <v>29010</v>
      </c>
      <c r="J45" s="75">
        <f t="shared" si="5"/>
        <v>0.84233449477351918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40</v>
      </c>
      <c r="E46" s="79">
        <f t="shared" si="6"/>
        <v>7</v>
      </c>
      <c r="F46" s="71">
        <f t="shared" si="3"/>
        <v>14.51</v>
      </c>
      <c r="G46" s="72">
        <f>IF(D46=D45,"",_xlfn.IFNA(VLOOKUP(D46,'인원 입력 기능 (사과탐)'!$F$5:$I$53,4,FALSE),0))</f>
        <v>865</v>
      </c>
      <c r="H46" s="73">
        <f t="shared" si="4"/>
        <v>2.5116144018583041E-2</v>
      </c>
      <c r="I46" s="77">
        <f>SUM($G$7:G46)</f>
        <v>29875</v>
      </c>
      <c r="J46" s="75">
        <f t="shared" si="5"/>
        <v>0.86745063879210216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144">
        <f t="shared" si="2"/>
        <v>39</v>
      </c>
      <c r="E47" s="144">
        <f t="shared" si="6"/>
        <v>7</v>
      </c>
      <c r="F47" s="134">
        <f t="shared" si="3"/>
        <v>10.6</v>
      </c>
      <c r="G47" s="136">
        <f>IF(D47=D46,"",_xlfn.IFNA(VLOOKUP(D47,'인원 입력 기능 (사과탐)'!$F$5:$I$53,4,FALSE),0))</f>
        <v>1828</v>
      </c>
      <c r="H47" s="137">
        <f t="shared" si="4"/>
        <v>5.3077816492450636E-2</v>
      </c>
      <c r="I47" s="139">
        <f>SUM($G$7:G47)</f>
        <v>31703</v>
      </c>
      <c r="J47" s="141">
        <f t="shared" si="5"/>
        <v>0.92052845528455285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143"/>
      <c r="E48" s="143"/>
      <c r="F48" s="133"/>
      <c r="G48" s="135"/>
      <c r="H48" s="138"/>
      <c r="I48" s="140"/>
      <c r="J48" s="142"/>
      <c r="K48" s="28"/>
      <c r="L48" s="5" t="str">
        <f t="shared" si="1"/>
        <v>경고</v>
      </c>
      <c r="N48" s="1"/>
    </row>
    <row r="49" spans="1:14" ht="25" customHeight="1">
      <c r="A49" s="4"/>
      <c r="B49" s="19"/>
      <c r="C49" s="78">
        <v>8</v>
      </c>
      <c r="D49" s="79">
        <f t="shared" si="2"/>
        <v>38</v>
      </c>
      <c r="E49" s="79">
        <f t="shared" si="6"/>
        <v>8</v>
      </c>
      <c r="F49" s="71">
        <f t="shared" si="3"/>
        <v>6.35</v>
      </c>
      <c r="G49" s="72">
        <f>IF(D49=D48,"",_xlfn.IFNA(VLOOKUP(D49,'인원 입력 기능 (사과탐)'!$F$5:$I$53,4,FALSE),0))</f>
        <v>1100</v>
      </c>
      <c r="H49" s="73">
        <f t="shared" si="4"/>
        <v>3.1939605110336819E-2</v>
      </c>
      <c r="I49" s="77">
        <f>SUM($G$7:G49)</f>
        <v>32803</v>
      </c>
      <c r="J49" s="75">
        <f t="shared" si="5"/>
        <v>0.95246806039488963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4.0199999999999996</v>
      </c>
      <c r="G50" s="72">
        <f>IF(D50=D49,"",_xlfn.IFNA(VLOOKUP(D50,'인원 입력 기능 (사과탐)'!$F$5:$I$53,4,FALSE),0))</f>
        <v>503</v>
      </c>
      <c r="H50" s="73">
        <f t="shared" si="4"/>
        <v>1.4605110336817655E-2</v>
      </c>
      <c r="I50" s="77">
        <f>SUM($G$7:G50)</f>
        <v>33306</v>
      </c>
      <c r="J50" s="75">
        <f t="shared" si="5"/>
        <v>0.96707317073170729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2.79</v>
      </c>
      <c r="G51" s="72">
        <f>IF(D51=D50,"",_xlfn.IFNA(VLOOKUP(D51,'인원 입력 기능 (사과탐)'!$F$5:$I$53,4,FALSE),0))</f>
        <v>345</v>
      </c>
      <c r="H51" s="73">
        <f t="shared" si="4"/>
        <v>1.0017421602787456E-2</v>
      </c>
      <c r="I51" s="77">
        <f>SUM($G$7:G51)</f>
        <v>33651</v>
      </c>
      <c r="J51" s="75">
        <f t="shared" si="5"/>
        <v>0.9770905923344948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35</v>
      </c>
      <c r="E52" s="79">
        <f t="shared" si="6"/>
        <v>9</v>
      </c>
      <c r="F52" s="71">
        <f t="shared" si="3"/>
        <v>1.82</v>
      </c>
      <c r="G52" s="72">
        <f>IF(D52=D51,"",_xlfn.IFNA(VLOOKUP(D52,'인원 입력 기능 (사과탐)'!$F$5:$I$53,4,FALSE),0))</f>
        <v>324</v>
      </c>
      <c r="H52" s="73">
        <f t="shared" si="4"/>
        <v>9.4076655052264813E-3</v>
      </c>
      <c r="I52" s="77">
        <f>SUM($G$7:G52)</f>
        <v>33975</v>
      </c>
      <c r="J52" s="75">
        <f t="shared" si="5"/>
        <v>0.98649825783972123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1.03</v>
      </c>
      <c r="G53" s="72">
        <f>IF(D53=D52,"",_xlfn.IFNA(VLOOKUP(D53,'인원 입력 기능 (사과탐)'!$F$5:$I$53,4,FALSE),0))</f>
        <v>221</v>
      </c>
      <c r="H53" s="73">
        <f t="shared" si="4"/>
        <v>6.4169570267131239E-3</v>
      </c>
      <c r="I53" s="77">
        <f>SUM($G$7:G53)</f>
        <v>34196</v>
      </c>
      <c r="J53" s="75">
        <f t="shared" si="5"/>
        <v>0.99291521486643441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0.56999999999999995</v>
      </c>
      <c r="G54" s="72">
        <f>IF(D54=D53,"",_xlfn.IFNA(VLOOKUP(D54,'인원 입력 기능 (사과탐)'!$F$5:$I$53,4,FALSE),0))</f>
        <v>93</v>
      </c>
      <c r="H54" s="73">
        <f t="shared" si="4"/>
        <v>2.7003484320557492E-3</v>
      </c>
      <c r="I54" s="77">
        <f>SUM($G$7:G54)</f>
        <v>34289</v>
      </c>
      <c r="J54" s="75">
        <f t="shared" si="5"/>
        <v>0.9956155632984901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0.28000000000000003</v>
      </c>
      <c r="G55" s="72">
        <f>IF(D55=D54,"",_xlfn.IFNA(VLOOKUP(D55,'인원 입력 기능 (사과탐)'!$F$5:$I$53,4,FALSE),0))</f>
        <v>107</v>
      </c>
      <c r="H55" s="73">
        <f t="shared" si="4"/>
        <v>3.1068524970963994E-3</v>
      </c>
      <c r="I55" s="77">
        <f>SUM($G$7:G55)</f>
        <v>34396</v>
      </c>
      <c r="J55" s="75">
        <f t="shared" si="5"/>
        <v>0.99872241579558652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(사과탐)'!$F$5:$I$53,4,FALSE),0)</f>
        <v>44</v>
      </c>
      <c r="H57" s="86">
        <f>G57/$J$3</f>
        <v>1.2775842044134727E-3</v>
      </c>
      <c r="I57" s="87">
        <f>SUM($G$7:G57)</f>
        <v>34440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32">
    <mergeCell ref="I47:I48"/>
    <mergeCell ref="J47:J48"/>
    <mergeCell ref="D47:D48"/>
    <mergeCell ref="E47:E48"/>
    <mergeCell ref="F47:F48"/>
    <mergeCell ref="G47:G48"/>
    <mergeCell ref="H47:H48"/>
    <mergeCell ref="I25:I26"/>
    <mergeCell ref="J25:J26"/>
    <mergeCell ref="D36:D37"/>
    <mergeCell ref="E36:E37"/>
    <mergeCell ref="F36:F37"/>
    <mergeCell ref="G36:G37"/>
    <mergeCell ref="H36:H37"/>
    <mergeCell ref="I36:I37"/>
    <mergeCell ref="J36:J37"/>
    <mergeCell ref="D3:F3"/>
    <mergeCell ref="D4:F4"/>
    <mergeCell ref="D8:J8"/>
    <mergeCell ref="D56:J56"/>
    <mergeCell ref="D14:D15"/>
    <mergeCell ref="E14:E15"/>
    <mergeCell ref="F14:F15"/>
    <mergeCell ref="G14:G15"/>
    <mergeCell ref="H14:H15"/>
    <mergeCell ref="I14:I15"/>
    <mergeCell ref="J14:J15"/>
    <mergeCell ref="D25:D26"/>
    <mergeCell ref="E25:E26"/>
    <mergeCell ref="F25:F26"/>
    <mergeCell ref="G25:G26"/>
    <mergeCell ref="H25:H26"/>
  </mergeCells>
  <phoneticPr fontId="1" type="noConversion"/>
  <conditionalFormatting sqref="D7:D14 D16:D25 D27:D36 D38:D47 D49:D57">
    <cfRule type="expression" dxfId="47" priority="1">
      <formula>$D7=$D8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J7 D8 D57:J57 D56 D9:J14 D16:J25 D27:J36 D38:J47 D49:J55">
    <cfRule type="expression" dxfId="45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9"/>
  <dimension ref="A1:Q105"/>
  <sheetViews>
    <sheetView topLeftCell="A10"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기능'!D8</f>
        <v>23.03</v>
      </c>
      <c r="I3" s="15" t="s">
        <v>84</v>
      </c>
      <c r="J3" s="35">
        <f>'통계 및 응시자 수 입력 기능'!C8</f>
        <v>30757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102</v>
      </c>
      <c r="E4" s="108"/>
      <c r="F4" s="109"/>
      <c r="G4" s="37" t="s">
        <v>87</v>
      </c>
      <c r="H4" s="38" t="str">
        <f>'통계 및 응시자 수 입력 기능'!E8</f>
        <v>11.43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99.19</v>
      </c>
      <c r="G7" s="72">
        <f>_xlfn.IFNA(VLOOKUP(D7,'인원 입력 기능 (사과탐)'!$K$5:$N$53,4,FALSE),0)</f>
        <v>500</v>
      </c>
      <c r="H7" s="73">
        <f>G7/$J$3</f>
        <v>1.625646194362259E-2</v>
      </c>
      <c r="I7" s="74">
        <f>G7</f>
        <v>500</v>
      </c>
      <c r="J7" s="75">
        <f>I7/$J$3</f>
        <v>1.625646194362259E-2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입력기능'!C40</f>
        <v>70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입력기능'!C41</f>
        <v>64</v>
      </c>
    </row>
    <row r="9" spans="1:17" ht="25" customHeight="1">
      <c r="A9" s="4"/>
      <c r="B9" s="19"/>
      <c r="C9" s="69">
        <v>48</v>
      </c>
      <c r="D9" s="70">
        <f>ROUND(10*(C9-$H$3)/$H$4+50,0)</f>
        <v>72</v>
      </c>
      <c r="E9" s="70">
        <f t="shared" si="0"/>
        <v>1</v>
      </c>
      <c r="F9" s="71">
        <f>IF(I8=0,ROUND(100*(1-(I7+I9)/2/$J$3),2),ROUND(100*(1-(I8+I9)/2/$J$3),2))</f>
        <v>98.05</v>
      </c>
      <c r="G9" s="72">
        <f>_xlfn.IFNA(VLOOKUP(D9,'인원 입력 기능 (사과탐)'!$K$5:$N$53,4,FALSE),0)</f>
        <v>202</v>
      </c>
      <c r="H9" s="73">
        <f>G9/$J$3</f>
        <v>6.5676106252235264E-3</v>
      </c>
      <c r="I9" s="77">
        <f>SUM($G$7:G9)</f>
        <v>702</v>
      </c>
      <c r="J9" s="75">
        <f>I9/$J$3</f>
        <v>2.2824072568846117E-2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입력기능'!C42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71</v>
      </c>
      <c r="E10" s="70">
        <f t="shared" si="0"/>
        <v>1</v>
      </c>
      <c r="F10" s="71">
        <f t="shared" ref="F10:F55" si="3">IF(I9=0,ROUND(100*(1-(I8+I10)/2/$J$3),2),ROUND(100*(1-(I9+I10)/2/$J$3),2))</f>
        <v>96.89</v>
      </c>
      <c r="G10" s="72">
        <f>IF(D10=D9,"",_xlfn.IFNA(VLOOKUP(D10,'인원 입력 기능 (사과탐)'!$K$5:$N$53,4,FALSE),0))</f>
        <v>508</v>
      </c>
      <c r="H10" s="73">
        <f t="shared" ref="H10:H55" si="4">G10/$J$3</f>
        <v>1.651656533472055E-2</v>
      </c>
      <c r="I10" s="77">
        <f>SUM($G$7:G10)</f>
        <v>1210</v>
      </c>
      <c r="J10" s="75">
        <f t="shared" ref="J10:J55" si="5">I10/$J$3</f>
        <v>3.9340637903566671E-2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입력기능'!C43</f>
        <v>52</v>
      </c>
    </row>
    <row r="11" spans="1:17" ht="25" customHeight="1">
      <c r="A11" s="4"/>
      <c r="B11" s="19"/>
      <c r="C11" s="69">
        <v>46</v>
      </c>
      <c r="D11" s="70">
        <f t="shared" si="2"/>
        <v>70</v>
      </c>
      <c r="E11" s="70">
        <f t="shared" si="0"/>
        <v>1</v>
      </c>
      <c r="F11" s="71">
        <f t="shared" si="3"/>
        <v>95.98</v>
      </c>
      <c r="G11" s="72">
        <f>IF(D11=D10,"",_xlfn.IFNA(VLOOKUP(D11,'인원 입력 기능 (사과탐)'!$K$5:$N$53,4,FALSE),0))</f>
        <v>54</v>
      </c>
      <c r="H11" s="73">
        <f t="shared" si="4"/>
        <v>1.7556978899112398E-3</v>
      </c>
      <c r="I11" s="77">
        <f>SUM($G$7:G11)</f>
        <v>1264</v>
      </c>
      <c r="J11" s="75">
        <f t="shared" si="5"/>
        <v>4.1096335793477906E-2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입력기능'!C44</f>
        <v>46</v>
      </c>
    </row>
    <row r="12" spans="1:17" ht="25" customHeight="1">
      <c r="A12" s="4"/>
      <c r="B12" s="19"/>
      <c r="C12" s="76">
        <v>45</v>
      </c>
      <c r="D12" s="70">
        <f t="shared" si="2"/>
        <v>69</v>
      </c>
      <c r="E12" s="70">
        <f t="shared" si="0"/>
        <v>2</v>
      </c>
      <c r="F12" s="71">
        <f t="shared" si="3"/>
        <v>95.37</v>
      </c>
      <c r="G12" s="72">
        <f>IF(D12=D11,"",_xlfn.IFNA(VLOOKUP(D12,'인원 입력 기능 (사과탐)'!$K$5:$N$53,4,FALSE),0))</f>
        <v>323</v>
      </c>
      <c r="H12" s="73">
        <f t="shared" si="4"/>
        <v>1.0501674415580193E-2</v>
      </c>
      <c r="I12" s="77">
        <f>SUM($G$7:G12)</f>
        <v>1587</v>
      </c>
      <c r="J12" s="75">
        <f t="shared" si="5"/>
        <v>5.1598010209058104E-2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입력기능'!C45</f>
        <v>41</v>
      </c>
    </row>
    <row r="13" spans="1:17" ht="25" customHeight="1">
      <c r="A13" s="4"/>
      <c r="B13" s="19"/>
      <c r="C13" s="69">
        <v>44</v>
      </c>
      <c r="D13" s="70">
        <f t="shared" si="2"/>
        <v>68</v>
      </c>
      <c r="E13" s="70">
        <f t="shared" si="0"/>
        <v>2</v>
      </c>
      <c r="F13" s="71">
        <f t="shared" si="3"/>
        <v>94.14</v>
      </c>
      <c r="G13" s="72">
        <f>IF(D13=D12,"",_xlfn.IFNA(VLOOKUP(D13,'인원 입력 기능 (사과탐)'!$K$5:$N$53,4,FALSE),0))</f>
        <v>433</v>
      </c>
      <c r="H13" s="73">
        <f t="shared" si="4"/>
        <v>1.4078096043177163E-2</v>
      </c>
      <c r="I13" s="77">
        <f>SUM($G$7:G13)</f>
        <v>2020</v>
      </c>
      <c r="J13" s="75">
        <f t="shared" si="5"/>
        <v>6.5676106252235258E-2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입력기능'!C46</f>
        <v>38</v>
      </c>
    </row>
    <row r="14" spans="1:17" ht="25" customHeight="1">
      <c r="A14" s="4"/>
      <c r="B14" s="19"/>
      <c r="C14" s="76">
        <v>43</v>
      </c>
      <c r="D14" s="132">
        <f t="shared" si="2"/>
        <v>67</v>
      </c>
      <c r="E14" s="132">
        <f t="shared" si="0"/>
        <v>2</v>
      </c>
      <c r="F14" s="134">
        <f t="shared" si="3"/>
        <v>92.47</v>
      </c>
      <c r="G14" s="136">
        <f>IF(D14=D13,"",_xlfn.IFNA(VLOOKUP(D14,'인원 입력 기능 (사과탐)'!$K$5:$N$53,4,FALSE),0))</f>
        <v>590</v>
      </c>
      <c r="H14" s="137">
        <f t="shared" si="4"/>
        <v>1.9182625093474657E-2</v>
      </c>
      <c r="I14" s="139">
        <f>SUM($G$7:G14)</f>
        <v>2610</v>
      </c>
      <c r="J14" s="141">
        <f t="shared" si="5"/>
        <v>8.4858731345709926E-2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입력기능'!C47</f>
        <v>37</v>
      </c>
    </row>
    <row r="15" spans="1:17" ht="25" customHeight="1">
      <c r="A15" s="4"/>
      <c r="B15" s="19"/>
      <c r="C15" s="69">
        <v>42</v>
      </c>
      <c r="D15" s="131"/>
      <c r="E15" s="131"/>
      <c r="F15" s="133"/>
      <c r="G15" s="135"/>
      <c r="H15" s="138"/>
      <c r="I15" s="140"/>
      <c r="J15" s="142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90.93</v>
      </c>
      <c r="G16" s="72">
        <f>IF(D16=D15,"",_xlfn.IFNA(VLOOKUP(D16,'인원 입력 기능 (사과탐)'!$K$5:$N$53,4,FALSE),0))</f>
        <v>358</v>
      </c>
      <c r="H16" s="73">
        <f t="shared" si="4"/>
        <v>1.1639626751633774E-2</v>
      </c>
      <c r="I16" s="77">
        <f>SUM($G$7:G16)</f>
        <v>2968</v>
      </c>
      <c r="J16" s="75">
        <f t="shared" si="5"/>
        <v>9.6498358097343695E-2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89.82</v>
      </c>
      <c r="G17" s="72">
        <f>IF(D17=D16,"",_xlfn.IFNA(VLOOKUP(D17,'인원 입력 기능 (사과탐)'!$K$5:$N$53,4,FALSE),0))</f>
        <v>328</v>
      </c>
      <c r="H17" s="73">
        <f t="shared" si="4"/>
        <v>1.0664239035016419E-2</v>
      </c>
      <c r="I17" s="77">
        <f>SUM($G$7:G17)</f>
        <v>3296</v>
      </c>
      <c r="J17" s="75">
        <f t="shared" si="5"/>
        <v>0.10716259713236011</v>
      </c>
      <c r="K17" s="28"/>
      <c r="L17" s="5" t="str">
        <f t="shared" si="1"/>
        <v/>
      </c>
      <c r="N17" s="1"/>
      <c r="P17" s="1">
        <f>Q7*H3*H4*J3*IFERROR(IF(J57=1, 1, 0), 0)</f>
        <v>566737801.37100005</v>
      </c>
    </row>
    <row r="18" spans="1:16" ht="25" customHeight="1">
      <c r="A18" s="4"/>
      <c r="B18" s="19"/>
      <c r="C18" s="76">
        <v>39</v>
      </c>
      <c r="D18" s="70">
        <f t="shared" si="2"/>
        <v>64</v>
      </c>
      <c r="E18" s="70">
        <f t="shared" si="0"/>
        <v>2</v>
      </c>
      <c r="F18" s="71">
        <f t="shared" si="3"/>
        <v>88.55</v>
      </c>
      <c r="G18" s="72">
        <f>IF(D18=D17,"",_xlfn.IFNA(VLOOKUP(D18,'인원 입력 기능 (사과탐)'!$K$5:$N$53,4,FALSE),0))</f>
        <v>449</v>
      </c>
      <c r="H18" s="73">
        <f t="shared" si="4"/>
        <v>1.4598302825373086E-2</v>
      </c>
      <c r="I18" s="77">
        <f>SUM($G$7:G18)</f>
        <v>3745</v>
      </c>
      <c r="J18" s="75">
        <f t="shared" si="5"/>
        <v>0.1217608999577332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63</v>
      </c>
      <c r="E19" s="70">
        <f t="shared" si="0"/>
        <v>3</v>
      </c>
      <c r="F19" s="71">
        <f t="shared" si="3"/>
        <v>87.23</v>
      </c>
      <c r="G19" s="72">
        <f>IF(D19=D18,"",_xlfn.IFNA(VLOOKUP(D19,'인원 입력 기능 (사과탐)'!$K$5:$N$53,4,FALSE),0))</f>
        <v>363</v>
      </c>
      <c r="H19" s="73">
        <f t="shared" si="4"/>
        <v>1.1802191371070001E-2</v>
      </c>
      <c r="I19" s="77">
        <f>SUM($G$7:G19)</f>
        <v>4108</v>
      </c>
      <c r="J19" s="75">
        <f t="shared" si="5"/>
        <v>0.1335630913288032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62</v>
      </c>
      <c r="E20" s="70">
        <f t="shared" si="0"/>
        <v>3</v>
      </c>
      <c r="F20" s="71">
        <f t="shared" si="3"/>
        <v>85.96</v>
      </c>
      <c r="G20" s="72">
        <f>IF(D20=D19,"",_xlfn.IFNA(VLOOKUP(D20,'인원 입력 기능 (사과탐)'!$K$5:$N$53,4,FALSE),0))</f>
        <v>421</v>
      </c>
      <c r="H20" s="73">
        <f t="shared" si="4"/>
        <v>1.368794095653022E-2</v>
      </c>
      <c r="I20" s="77">
        <f>SUM($G$7:G20)</f>
        <v>4529</v>
      </c>
      <c r="J20" s="75">
        <f t="shared" si="5"/>
        <v>0.14725103228533343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61</v>
      </c>
      <c r="E21" s="79">
        <f t="shared" si="0"/>
        <v>3</v>
      </c>
      <c r="F21" s="71">
        <f t="shared" si="3"/>
        <v>84.43</v>
      </c>
      <c r="G21" s="72">
        <f>IF(D21=D20,"",_xlfn.IFNA(VLOOKUP(D21,'인원 입력 기능 (사과탐)'!$K$5:$N$53,4,FALSE),0))</f>
        <v>518</v>
      </c>
      <c r="H21" s="73">
        <f t="shared" si="4"/>
        <v>1.6841694573593004E-2</v>
      </c>
      <c r="I21" s="77">
        <f>SUM($G$7:G21)</f>
        <v>5047</v>
      </c>
      <c r="J21" s="75">
        <f t="shared" si="5"/>
        <v>0.16409272685892642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144">
        <f t="shared" si="2"/>
        <v>60</v>
      </c>
      <c r="E22" s="144">
        <f t="shared" si="0"/>
        <v>3</v>
      </c>
      <c r="F22" s="134">
        <f t="shared" si="3"/>
        <v>81.900000000000006</v>
      </c>
      <c r="G22" s="136">
        <f>IF(D22=D21,"",_xlfn.IFNA(VLOOKUP(D22,'인원 입력 기능 (사과탐)'!$K$5:$N$53,4,FALSE),0))</f>
        <v>1043</v>
      </c>
      <c r="H22" s="137">
        <f t="shared" si="4"/>
        <v>3.3910979614396722E-2</v>
      </c>
      <c r="I22" s="139">
        <f>SUM($G$7:G22)</f>
        <v>6090</v>
      </c>
      <c r="J22" s="141">
        <f t="shared" si="5"/>
        <v>0.19800370647332313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143"/>
      <c r="E23" s="143"/>
      <c r="F23" s="133"/>
      <c r="G23" s="135"/>
      <c r="H23" s="138"/>
      <c r="I23" s="140"/>
      <c r="J23" s="142"/>
      <c r="K23" s="28"/>
      <c r="L23" s="5" t="str">
        <f t="shared" si="1"/>
        <v>경고</v>
      </c>
      <c r="N23" s="1"/>
    </row>
    <row r="24" spans="1:16" ht="25" customHeight="1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79.37</v>
      </c>
      <c r="G24" s="72">
        <f>IF(D24=D23,"",_xlfn.IFNA(VLOOKUP(D24,'인원 입력 기능 (사과탐)'!$K$5:$N$53,4,FALSE),0))</f>
        <v>508</v>
      </c>
      <c r="H24" s="73">
        <f t="shared" si="4"/>
        <v>1.651656533472055E-2</v>
      </c>
      <c r="I24" s="77">
        <f>SUM($G$7:G24)</f>
        <v>6598</v>
      </c>
      <c r="J24" s="75">
        <f t="shared" si="5"/>
        <v>0.2145202718080437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58</v>
      </c>
      <c r="E25" s="79">
        <f t="shared" si="0"/>
        <v>3</v>
      </c>
      <c r="F25" s="71">
        <f t="shared" si="3"/>
        <v>77.56</v>
      </c>
      <c r="G25" s="72">
        <f>IF(D25=D24,"",_xlfn.IFNA(VLOOKUP(D25,'인원 입력 기능 (사과탐)'!$K$5:$N$53,4,FALSE),0))</f>
        <v>608</v>
      </c>
      <c r="H25" s="73">
        <f t="shared" si="4"/>
        <v>1.9767857723445071E-2</v>
      </c>
      <c r="I25" s="77">
        <f>SUM($G$7:G25)</f>
        <v>7206</v>
      </c>
      <c r="J25" s="75">
        <f t="shared" si="5"/>
        <v>0.23428812953148875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57</v>
      </c>
      <c r="E26" s="79">
        <f t="shared" si="0"/>
        <v>4</v>
      </c>
      <c r="F26" s="71">
        <f t="shared" si="3"/>
        <v>75.510000000000005</v>
      </c>
      <c r="G26" s="72">
        <f>IF(D26=D25,"",_xlfn.IFNA(VLOOKUP(D26,'인원 입력 기능 (사과탐)'!$K$5:$N$53,4,FALSE),0))</f>
        <v>655</v>
      </c>
      <c r="H26" s="73">
        <f t="shared" si="4"/>
        <v>2.1295965146145592E-2</v>
      </c>
      <c r="I26" s="77">
        <f>SUM($G$7:G26)</f>
        <v>7861</v>
      </c>
      <c r="J26" s="75">
        <f t="shared" si="5"/>
        <v>0.25558409467763438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56</v>
      </c>
      <c r="E27" s="79">
        <f t="shared" si="0"/>
        <v>4</v>
      </c>
      <c r="F27" s="71">
        <f t="shared" si="3"/>
        <v>73.349999999999994</v>
      </c>
      <c r="G27" s="72">
        <f>IF(D27=D26,"",_xlfn.IFNA(VLOOKUP(D27,'인원 입력 기능 (사과탐)'!$K$5:$N$53,4,FALSE),0))</f>
        <v>670</v>
      </c>
      <c r="H27" s="73">
        <f t="shared" si="4"/>
        <v>2.1783659004454271E-2</v>
      </c>
      <c r="I27" s="77">
        <f>SUM($G$7:G27)</f>
        <v>8531</v>
      </c>
      <c r="J27" s="75">
        <f t="shared" si="5"/>
        <v>0.27736775368208866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71.05</v>
      </c>
      <c r="G28" s="72">
        <f>IF(D28=D27,"",_xlfn.IFNA(VLOOKUP(D28,'인원 입력 기능 (사과탐)'!$K$5:$N$53,4,FALSE),0))</f>
        <v>744</v>
      </c>
      <c r="H28" s="73">
        <f t="shared" si="4"/>
        <v>2.4189615372110413E-2</v>
      </c>
      <c r="I28" s="77">
        <f>SUM($G$7:G28)</f>
        <v>9275</v>
      </c>
      <c r="J28" s="75">
        <f t="shared" si="5"/>
        <v>0.30155736905419905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68.58</v>
      </c>
      <c r="G29" s="72">
        <f>IF(D29=D28,"",_xlfn.IFNA(VLOOKUP(D29,'인원 입력 기능 (사과탐)'!$K$5:$N$53,4,FALSE),0))</f>
        <v>778</v>
      </c>
      <c r="H29" s="73">
        <f t="shared" si="4"/>
        <v>2.5295054784276749E-2</v>
      </c>
      <c r="I29" s="77">
        <f>SUM($G$7:G29)</f>
        <v>10053</v>
      </c>
      <c r="J29" s="75">
        <f t="shared" si="5"/>
        <v>0.32685242383847579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144">
        <f t="shared" si="2"/>
        <v>53</v>
      </c>
      <c r="E30" s="144">
        <f t="shared" si="0"/>
        <v>4</v>
      </c>
      <c r="F30" s="134">
        <f t="shared" si="3"/>
        <v>64.650000000000006</v>
      </c>
      <c r="G30" s="136">
        <f>IF(D30=D29,"",_xlfn.IFNA(VLOOKUP(D30,'인원 입력 기능 (사과탐)'!$K$5:$N$53,4,FALSE),0))</f>
        <v>1642</v>
      </c>
      <c r="H30" s="137">
        <f t="shared" si="4"/>
        <v>5.3386221022856582E-2</v>
      </c>
      <c r="I30" s="139">
        <f>SUM($G$7:G30)</f>
        <v>11695</v>
      </c>
      <c r="J30" s="141">
        <f t="shared" si="5"/>
        <v>0.38023864486133235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143"/>
      <c r="E31" s="143"/>
      <c r="F31" s="133"/>
      <c r="G31" s="135"/>
      <c r="H31" s="138"/>
      <c r="I31" s="140"/>
      <c r="J31" s="142"/>
      <c r="K31" s="28"/>
      <c r="L31" s="5" t="str">
        <f t="shared" si="1"/>
        <v>경고</v>
      </c>
      <c r="N31" s="1"/>
    </row>
    <row r="32" spans="1:16" ht="25" customHeight="1">
      <c r="A32" s="4"/>
      <c r="B32" s="19"/>
      <c r="C32" s="80">
        <v>25</v>
      </c>
      <c r="D32" s="79">
        <f t="shared" si="2"/>
        <v>52</v>
      </c>
      <c r="E32" s="79">
        <f t="shared" si="0"/>
        <v>4</v>
      </c>
      <c r="F32" s="71">
        <f t="shared" si="3"/>
        <v>60.59</v>
      </c>
      <c r="G32" s="72">
        <f>IF(D32=D31,"",_xlfn.IFNA(VLOOKUP(D32,'인원 입력 기능 (사과탐)'!$K$5:$N$53,4,FALSE),0))</f>
        <v>854</v>
      </c>
      <c r="H32" s="73">
        <f t="shared" si="4"/>
        <v>2.7766036999707384E-2</v>
      </c>
      <c r="I32" s="77">
        <f>SUM($G$7:G32)</f>
        <v>12549</v>
      </c>
      <c r="J32" s="75">
        <f t="shared" si="5"/>
        <v>0.40800468186103978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51</v>
      </c>
      <c r="E33" s="79">
        <f t="shared" si="0"/>
        <v>5</v>
      </c>
      <c r="F33" s="71">
        <f t="shared" si="3"/>
        <v>57.67</v>
      </c>
      <c r="G33" s="72">
        <f>IF(D33=D32,"",_xlfn.IFNA(VLOOKUP(D33,'인원 입력 기능 (사과탐)'!$K$5:$N$53,4,FALSE),0))</f>
        <v>942</v>
      </c>
      <c r="H33" s="73">
        <f t="shared" si="4"/>
        <v>3.0627174301784958E-2</v>
      </c>
      <c r="I33" s="77">
        <f>SUM($G$7:G33)</f>
        <v>13491</v>
      </c>
      <c r="J33" s="75">
        <f t="shared" si="5"/>
        <v>0.43863185616282474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54.68</v>
      </c>
      <c r="G34" s="72">
        <f>IF(D34=D33,"",_xlfn.IFNA(VLOOKUP(D34,'인원 입력 기능 (사과탐)'!$K$5:$N$53,4,FALSE),0))</f>
        <v>897</v>
      </c>
      <c r="H34" s="73">
        <f t="shared" si="4"/>
        <v>2.9164092726858926E-2</v>
      </c>
      <c r="I34" s="77">
        <f>SUM($G$7:G34)</f>
        <v>14388</v>
      </c>
      <c r="J34" s="75">
        <f t="shared" si="5"/>
        <v>0.46779594888968362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51.65</v>
      </c>
      <c r="G35" s="72">
        <f>IF(D35=D34,"",_xlfn.IFNA(VLOOKUP(D35,'인원 입력 기능 (사과탐)'!$K$5:$N$53,4,FALSE),0))</f>
        <v>964</v>
      </c>
      <c r="H35" s="73">
        <f t="shared" si="4"/>
        <v>3.1342458627304351E-2</v>
      </c>
      <c r="I35" s="77">
        <f>SUM($G$7:G35)</f>
        <v>15352</v>
      </c>
      <c r="J35" s="75">
        <f t="shared" si="5"/>
        <v>0.49913840751698801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48.47</v>
      </c>
      <c r="G36" s="72">
        <f>IF(D36=D35,"",_xlfn.IFNA(VLOOKUP(D36,'인원 입력 기능 (사과탐)'!$K$5:$N$53,4,FALSE),0))</f>
        <v>993</v>
      </c>
      <c r="H36" s="73">
        <f t="shared" si="4"/>
        <v>3.2285333420034465E-2</v>
      </c>
      <c r="I36" s="77">
        <f>SUM($G$7:G36)</f>
        <v>16345</v>
      </c>
      <c r="J36" s="75">
        <f t="shared" si="5"/>
        <v>0.53142374093702249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45.36</v>
      </c>
      <c r="G37" s="72">
        <f>IF(D37=D36,"",_xlfn.IFNA(VLOOKUP(D37,'인원 입력 기능 (사과탐)'!$K$5:$N$53,4,FALSE),0))</f>
        <v>922</v>
      </c>
      <c r="H37" s="73">
        <f t="shared" si="4"/>
        <v>2.9976915824040055E-2</v>
      </c>
      <c r="I37" s="77">
        <f>SUM($G$7:G37)</f>
        <v>17267</v>
      </c>
      <c r="J37" s="75">
        <f t="shared" si="5"/>
        <v>0.56140065676106254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144">
        <f t="shared" si="2"/>
        <v>46</v>
      </c>
      <c r="E38" s="144">
        <f t="shared" si="0"/>
        <v>5</v>
      </c>
      <c r="F38" s="134">
        <f t="shared" si="3"/>
        <v>40.549999999999997</v>
      </c>
      <c r="G38" s="136">
        <f>IF(D38=D37,"",_xlfn.IFNA(VLOOKUP(D38,'인원 입력 기능 (사과탐)'!$K$5:$N$53,4,FALSE),0))</f>
        <v>2034</v>
      </c>
      <c r="H38" s="137">
        <f t="shared" si="4"/>
        <v>6.6131287186656701E-2</v>
      </c>
      <c r="I38" s="139">
        <f>SUM($G$7:G38)</f>
        <v>19301</v>
      </c>
      <c r="J38" s="141">
        <f t="shared" si="5"/>
        <v>0.62753194394771927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143"/>
      <c r="E39" s="143"/>
      <c r="F39" s="133"/>
      <c r="G39" s="135"/>
      <c r="H39" s="138"/>
      <c r="I39" s="140"/>
      <c r="J39" s="142"/>
      <c r="K39" s="28"/>
      <c r="L39" s="5" t="str">
        <f t="shared" si="1"/>
        <v>경고</v>
      </c>
      <c r="N39" s="1"/>
    </row>
    <row r="40" spans="1:14" ht="25" customHeight="1">
      <c r="A40" s="4"/>
      <c r="B40" s="19"/>
      <c r="C40" s="80">
        <v>17</v>
      </c>
      <c r="D40" s="79">
        <f t="shared" si="2"/>
        <v>45</v>
      </c>
      <c r="E40" s="79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1">
        <f t="shared" si="3"/>
        <v>35.72</v>
      </c>
      <c r="G40" s="72">
        <f>IF(D40=D39,"",_xlfn.IFNA(VLOOKUP(D40,'인원 입력 기능 (사과탐)'!$K$5:$N$53,4,FALSE),0))</f>
        <v>941</v>
      </c>
      <c r="H40" s="73">
        <f t="shared" si="4"/>
        <v>3.0594661377897715E-2</v>
      </c>
      <c r="I40" s="77">
        <f>SUM($G$7:G40)</f>
        <v>20242</v>
      </c>
      <c r="J40" s="75">
        <f t="shared" si="5"/>
        <v>0.65812660532561695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32.54</v>
      </c>
      <c r="G41" s="72">
        <f>IF(D41=D40,"",_xlfn.IFNA(VLOOKUP(D41,'인원 입력 기능 (사과탐)'!$K$5:$N$53,4,FALSE),0))</f>
        <v>1011</v>
      </c>
      <c r="H41" s="73">
        <f t="shared" si="4"/>
        <v>3.2870566050004879E-2</v>
      </c>
      <c r="I41" s="77">
        <f>SUM($G$7:G41)</f>
        <v>21253</v>
      </c>
      <c r="J41" s="75">
        <f t="shared" si="5"/>
        <v>0.69099717137562178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29.45</v>
      </c>
      <c r="G42" s="72">
        <f>IF(D42=D41,"",_xlfn.IFNA(VLOOKUP(D42,'인원 입력 기능 (사과탐)'!$K$5:$N$53,4,FALSE),0))</f>
        <v>890</v>
      </c>
      <c r="H42" s="73">
        <f t="shared" si="4"/>
        <v>2.8936502259648209E-2</v>
      </c>
      <c r="I42" s="77">
        <f>SUM($G$7:G42)</f>
        <v>22143</v>
      </c>
      <c r="J42" s="75">
        <f t="shared" si="5"/>
        <v>0.71993367363527005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26.54</v>
      </c>
      <c r="G43" s="72">
        <f>IF(D43=D42,"",_xlfn.IFNA(VLOOKUP(D43,'인원 입력 기능 (사과탐)'!$K$5:$N$53,4,FALSE),0))</f>
        <v>904</v>
      </c>
      <c r="H43" s="73">
        <f t="shared" si="4"/>
        <v>2.9391683194069644E-2</v>
      </c>
      <c r="I43" s="77">
        <f>SUM($G$7:G43)</f>
        <v>23047</v>
      </c>
      <c r="J43" s="75">
        <f t="shared" si="5"/>
        <v>0.74932535682933965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22.47</v>
      </c>
      <c r="G44" s="72">
        <f>IF(D44=D43,"",_xlfn.IFNA(VLOOKUP(D44,'인원 입력 기능 (사과탐)'!$K$5:$N$53,4,FALSE),0))</f>
        <v>1596</v>
      </c>
      <c r="H44" s="73">
        <f t="shared" si="4"/>
        <v>5.1890626524043304E-2</v>
      </c>
      <c r="I44" s="77">
        <f>SUM($G$7:G44)</f>
        <v>24643</v>
      </c>
      <c r="J44" s="75">
        <f t="shared" si="5"/>
        <v>0.80121598335338295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18.579999999999998</v>
      </c>
      <c r="G45" s="72">
        <f>IF(D45=D44,"",_xlfn.IFNA(VLOOKUP(D45,'인원 입력 기능 (사과탐)'!$K$5:$N$53,4,FALSE),0))</f>
        <v>800</v>
      </c>
      <c r="H45" s="73">
        <f t="shared" si="4"/>
        <v>2.6010339109796145E-2</v>
      </c>
      <c r="I45" s="77">
        <f>SUM($G$7:G45)</f>
        <v>25443</v>
      </c>
      <c r="J45" s="75">
        <f t="shared" si="5"/>
        <v>0.82722632246317906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144">
        <f t="shared" si="2"/>
        <v>39</v>
      </c>
      <c r="E46" s="144">
        <f t="shared" si="6"/>
        <v>7</v>
      </c>
      <c r="F46" s="134">
        <f t="shared" si="3"/>
        <v>14.99</v>
      </c>
      <c r="G46" s="136">
        <f>IF(D46=D45,"",_xlfn.IFNA(VLOOKUP(D46,'인원 입력 기능 (사과탐)'!$K$5:$N$53,4,FALSE),0))</f>
        <v>1405</v>
      </c>
      <c r="H46" s="137">
        <f t="shared" si="4"/>
        <v>4.5680658061579477E-2</v>
      </c>
      <c r="I46" s="139">
        <f>SUM($G$7:G46)</f>
        <v>26848</v>
      </c>
      <c r="J46" s="141">
        <f t="shared" si="5"/>
        <v>0.87290698052475857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143"/>
      <c r="E47" s="143"/>
      <c r="F47" s="133"/>
      <c r="G47" s="135"/>
      <c r="H47" s="138"/>
      <c r="I47" s="140"/>
      <c r="J47" s="142"/>
      <c r="K47" s="28"/>
      <c r="L47" s="5" t="str">
        <f t="shared" si="1"/>
        <v>경고</v>
      </c>
      <c r="N47" s="1"/>
    </row>
    <row r="48" spans="1:14" ht="25" customHeight="1">
      <c r="A48" s="4"/>
      <c r="B48" s="19"/>
      <c r="C48" s="80">
        <v>9</v>
      </c>
      <c r="D48" s="79">
        <f t="shared" si="2"/>
        <v>38</v>
      </c>
      <c r="E48" s="79">
        <f t="shared" si="6"/>
        <v>7</v>
      </c>
      <c r="F48" s="71">
        <f t="shared" si="3"/>
        <v>8.99</v>
      </c>
      <c r="G48" s="72">
        <f>IF(D48=D47,"",_xlfn.IFNA(VLOOKUP(D48,'인원 입력 기능 (사과탐)'!$K$5:$N$53,4,FALSE),0))</f>
        <v>2287</v>
      </c>
      <c r="H48" s="73">
        <f t="shared" si="4"/>
        <v>7.4357056930129728E-2</v>
      </c>
      <c r="I48" s="77">
        <f>SUM($G$7:G48)</f>
        <v>29135</v>
      </c>
      <c r="J48" s="75">
        <f t="shared" si="5"/>
        <v>0.9472640374548883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4.63</v>
      </c>
      <c r="G49" s="72">
        <f>IF(D49=D48,"",_xlfn.IFNA(VLOOKUP(D49,'인원 입력 기능 (사과탐)'!$K$5:$N$53,4,FALSE),0))</f>
        <v>397</v>
      </c>
      <c r="H49" s="73">
        <f t="shared" si="4"/>
        <v>1.2907630783236337E-2</v>
      </c>
      <c r="I49" s="77">
        <f>SUM($G$7:G49)</f>
        <v>29532</v>
      </c>
      <c r="J49" s="75">
        <f t="shared" si="5"/>
        <v>0.96017166823812461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36</v>
      </c>
      <c r="E50" s="79">
        <f t="shared" si="6"/>
        <v>9</v>
      </c>
      <c r="F50" s="71">
        <f t="shared" si="3"/>
        <v>3.35</v>
      </c>
      <c r="G50" s="72">
        <f>IF(D50=D49,"",_xlfn.IFNA(VLOOKUP(D50,'인원 입력 기능 (사과탐)'!$K$5:$N$53,4,FALSE),0))</f>
        <v>389</v>
      </c>
      <c r="H50" s="73">
        <f t="shared" si="4"/>
        <v>1.2647527392138374E-2</v>
      </c>
      <c r="I50" s="77">
        <f>SUM($G$7:G50)</f>
        <v>29921</v>
      </c>
      <c r="J50" s="75">
        <f t="shared" si="5"/>
        <v>0.97281919563026298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35</v>
      </c>
      <c r="E51" s="79">
        <f t="shared" si="6"/>
        <v>9</v>
      </c>
      <c r="F51" s="71">
        <f t="shared" si="3"/>
        <v>2.34</v>
      </c>
      <c r="G51" s="72">
        <f>IF(D51=D50,"",_xlfn.IFNA(VLOOKUP(D51,'인원 입력 기능 (사과탐)'!$K$5:$N$53,4,FALSE),0))</f>
        <v>231</v>
      </c>
      <c r="H51" s="73">
        <f t="shared" si="4"/>
        <v>7.5104854179536369E-3</v>
      </c>
      <c r="I51" s="77">
        <f>SUM($G$7:G51)</f>
        <v>30152</v>
      </c>
      <c r="J51" s="75">
        <f t="shared" si="5"/>
        <v>0.98032968104821672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1.6</v>
      </c>
      <c r="G52" s="72">
        <f>IF(D52=D51,"",_xlfn.IFNA(VLOOKUP(D52,'인원 입력 기능 (사과탐)'!$K$5:$N$53,4,FALSE),0))</f>
        <v>226</v>
      </c>
      <c r="H52" s="73">
        <f t="shared" si="4"/>
        <v>7.347920798517411E-3</v>
      </c>
      <c r="I52" s="77">
        <f>SUM($G$7:G52)</f>
        <v>30378</v>
      </c>
      <c r="J52" s="75">
        <f t="shared" si="5"/>
        <v>0.98767760184673403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33</v>
      </c>
      <c r="E53" s="70">
        <f t="shared" si="6"/>
        <v>9</v>
      </c>
      <c r="F53" s="71">
        <f t="shared" si="3"/>
        <v>1.01</v>
      </c>
      <c r="G53" s="72">
        <f>IF(D53=D52,"",_xlfn.IFNA(VLOOKUP(D53,'인원 입력 기능 (사과탐)'!$K$5:$N$53,4,FALSE),0))</f>
        <v>135</v>
      </c>
      <c r="H53" s="73">
        <f t="shared" si="4"/>
        <v>4.3892447247780991E-3</v>
      </c>
      <c r="I53" s="77">
        <f>SUM($G$7:G53)</f>
        <v>30513</v>
      </c>
      <c r="J53" s="75">
        <f t="shared" si="5"/>
        <v>0.99206684657151223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132">
        <f t="shared" si="2"/>
        <v>32</v>
      </c>
      <c r="E54" s="132">
        <f t="shared" si="6"/>
        <v>9</v>
      </c>
      <c r="F54" s="134">
        <f t="shared" si="3"/>
        <v>0.46</v>
      </c>
      <c r="G54" s="136">
        <f>IF(D54=D53,"",_xlfn.IFNA(VLOOKUP(D54,'인원 입력 기능 (사과탐)'!$K$5:$N$53,4,FALSE),0))</f>
        <v>202</v>
      </c>
      <c r="H54" s="137">
        <f t="shared" si="4"/>
        <v>6.5676106252235264E-3</v>
      </c>
      <c r="I54" s="139">
        <f>SUM($G$7:G54)</f>
        <v>30715</v>
      </c>
      <c r="J54" s="141">
        <f t="shared" si="5"/>
        <v>0.99863445719673571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131"/>
      <c r="E55" s="131"/>
      <c r="F55" s="133"/>
      <c r="G55" s="135"/>
      <c r="H55" s="138"/>
      <c r="I55" s="140"/>
      <c r="J55" s="142"/>
      <c r="K55" s="28"/>
      <c r="L55" s="5" t="str">
        <f t="shared" si="1"/>
        <v>경고</v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(사과탐)'!$K$5:$N$53,4,FALSE),0)</f>
        <v>42</v>
      </c>
      <c r="H57" s="86">
        <f>G57/$J$3</f>
        <v>1.3655428032642975E-3</v>
      </c>
      <c r="I57" s="87">
        <f>SUM($G$7:G57)</f>
        <v>30757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46">
    <mergeCell ref="I54:I55"/>
    <mergeCell ref="J54:J55"/>
    <mergeCell ref="D54:D55"/>
    <mergeCell ref="E54:E55"/>
    <mergeCell ref="F54:F55"/>
    <mergeCell ref="G54:G55"/>
    <mergeCell ref="H54:H55"/>
    <mergeCell ref="I38:I39"/>
    <mergeCell ref="J38:J39"/>
    <mergeCell ref="D46:D47"/>
    <mergeCell ref="E46:E47"/>
    <mergeCell ref="F46:F47"/>
    <mergeCell ref="G46:G47"/>
    <mergeCell ref="H46:H47"/>
    <mergeCell ref="I46:I47"/>
    <mergeCell ref="J46:J47"/>
    <mergeCell ref="D38:D39"/>
    <mergeCell ref="E38:E39"/>
    <mergeCell ref="F38:F39"/>
    <mergeCell ref="G38:G39"/>
    <mergeCell ref="H38:H39"/>
    <mergeCell ref="I22:I23"/>
    <mergeCell ref="J22:J23"/>
    <mergeCell ref="D30:D31"/>
    <mergeCell ref="E30:E31"/>
    <mergeCell ref="F30:F31"/>
    <mergeCell ref="G30:G31"/>
    <mergeCell ref="H30:H31"/>
    <mergeCell ref="I30:I31"/>
    <mergeCell ref="J30:J31"/>
    <mergeCell ref="D3:F3"/>
    <mergeCell ref="D4:F4"/>
    <mergeCell ref="D8:J8"/>
    <mergeCell ref="D56:J56"/>
    <mergeCell ref="D14:D15"/>
    <mergeCell ref="E14:E15"/>
    <mergeCell ref="F14:F15"/>
    <mergeCell ref="G14:G15"/>
    <mergeCell ref="H14:H15"/>
    <mergeCell ref="I14:I15"/>
    <mergeCell ref="J14:J15"/>
    <mergeCell ref="D22:D23"/>
    <mergeCell ref="E22:E23"/>
    <mergeCell ref="F22:F23"/>
    <mergeCell ref="G22:G23"/>
    <mergeCell ref="H22:H23"/>
  </mergeCells>
  <phoneticPr fontId="1" type="noConversion"/>
  <conditionalFormatting sqref="D7:D14 D16:D22 D24:D30 D32:D38 D40:D46 D48:D54 D56:D57">
    <cfRule type="expression" dxfId="44" priority="1">
      <formula>$D7=$D8</formula>
    </cfRule>
  </conditionalFormatting>
  <conditionalFormatting sqref="C7:C57">
    <cfRule type="expression" dxfId="43" priority="2">
      <formula>OR(AND($D7=0,OR($D6=$Q$7:$Q$14)),AND($D8&gt;0,OR($D7=$Q$7:$Q$14)))</formula>
    </cfRule>
  </conditionalFormatting>
  <conditionalFormatting sqref="D7:J7 D8 D57:J57 D56 D9:J14 D16:J22 D24:J30 D32:J38 D40:J46 D48:J54">
    <cfRule type="expression" dxfId="42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0"/>
  <dimension ref="A1:Q105"/>
  <sheetViews>
    <sheetView topLeftCell="A44"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기능'!D9</f>
        <v>25.41</v>
      </c>
      <c r="I3" s="15" t="s">
        <v>84</v>
      </c>
      <c r="J3" s="35">
        <f>'통계 및 응시자 수 입력 기능'!C9</f>
        <v>29327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101</v>
      </c>
      <c r="E4" s="108"/>
      <c r="F4" s="109"/>
      <c r="G4" s="37" t="s">
        <v>87</v>
      </c>
      <c r="H4" s="38" t="str">
        <f>'통계 및 응시자 수 입력 기능'!E9</f>
        <v>11.87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98.8</v>
      </c>
      <c r="G7" s="72">
        <f>_xlfn.IFNA(VLOOKUP(D7,'인원 입력 기능 (사과탐)'!$P$5:$S$53,4,FALSE),0)</f>
        <v>703</v>
      </c>
      <c r="H7" s="73">
        <f>G7/$J$3</f>
        <v>2.3971084666007433E-2</v>
      </c>
      <c r="I7" s="74">
        <f>G7</f>
        <v>703</v>
      </c>
      <c r="J7" s="75">
        <f>I7/$J$3</f>
        <v>2.3971084666007433E-2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입력기능'!C49</f>
        <v>68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입력기능'!C50</f>
        <v>64</v>
      </c>
    </row>
    <row r="9" spans="1:17" ht="25" customHeight="1">
      <c r="A9" s="4"/>
      <c r="B9" s="19"/>
      <c r="C9" s="69">
        <v>48</v>
      </c>
      <c r="D9" s="70">
        <f>ROUND(10*(C9-$H$3)/$H$4+50,0)</f>
        <v>69</v>
      </c>
      <c r="E9" s="70">
        <f t="shared" si="0"/>
        <v>1</v>
      </c>
      <c r="F9" s="71">
        <f>IF(I8=0,ROUND(100*(1-(I7+I9)/2/$J$3),2),ROUND(100*(1-(I8+I9)/2/$J$3),2))</f>
        <v>97.03</v>
      </c>
      <c r="G9" s="72">
        <f>_xlfn.IFNA(VLOOKUP(D9,'인원 입력 기능 (사과탐)'!$P$5:$S$53,4,FALSE),0)</f>
        <v>337</v>
      </c>
      <c r="H9" s="73">
        <f>G9/$J$3</f>
        <v>1.1491117400347802E-2</v>
      </c>
      <c r="I9" s="77">
        <f>SUM($G$7:G9)</f>
        <v>1040</v>
      </c>
      <c r="J9" s="75">
        <f>I9/$J$3</f>
        <v>3.5462202066355239E-2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입력기능'!C51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68</v>
      </c>
      <c r="E10" s="70">
        <f t="shared" si="0"/>
        <v>1</v>
      </c>
      <c r="F10" s="71">
        <f t="shared" ref="F10:F55" si="3">IF(I9=0,ROUND(100*(1-(I8+I10)/2/$J$3),2),ROUND(100*(1-(I9+I10)/2/$J$3),2))</f>
        <v>95.41</v>
      </c>
      <c r="G10" s="72">
        <f>IF(D10=D9,"",_xlfn.IFNA(VLOOKUP(D10,'인원 입력 기능 (사과탐)'!$P$5:$S$53,4,FALSE),0))</f>
        <v>615</v>
      </c>
      <c r="H10" s="73">
        <f t="shared" ref="H10:H55" si="4">G10/$J$3</f>
        <v>2.0970436798854297E-2</v>
      </c>
      <c r="I10" s="77">
        <f>SUM($G$7:G10)</f>
        <v>1655</v>
      </c>
      <c r="J10" s="75">
        <f t="shared" ref="J10:J55" si="5">I10/$J$3</f>
        <v>5.6432638865209536E-2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입력기능'!C52</f>
        <v>52</v>
      </c>
    </row>
    <row r="11" spans="1:17" ht="25" customHeight="1">
      <c r="A11" s="4"/>
      <c r="B11" s="19"/>
      <c r="C11" s="69">
        <v>46</v>
      </c>
      <c r="D11" s="132">
        <f t="shared" si="2"/>
        <v>67</v>
      </c>
      <c r="E11" s="132">
        <f t="shared" si="0"/>
        <v>2</v>
      </c>
      <c r="F11" s="134">
        <f t="shared" si="3"/>
        <v>93.29</v>
      </c>
      <c r="G11" s="136">
        <f>IF(D11=D10,"",_xlfn.IFNA(VLOOKUP(D11,'인원 입력 기능 (사과탐)'!$P$5:$S$53,4,FALSE),0))</f>
        <v>624</v>
      </c>
      <c r="H11" s="137">
        <f t="shared" si="4"/>
        <v>2.127732123981314E-2</v>
      </c>
      <c r="I11" s="139">
        <f>SUM($G$7:G11)</f>
        <v>2279</v>
      </c>
      <c r="J11" s="141">
        <f t="shared" si="5"/>
        <v>7.770996010502268E-2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입력기능'!C53</f>
        <v>46</v>
      </c>
    </row>
    <row r="12" spans="1:17" ht="25" customHeight="1">
      <c r="A12" s="4"/>
      <c r="B12" s="19"/>
      <c r="C12" s="76">
        <v>45</v>
      </c>
      <c r="D12" s="131"/>
      <c r="E12" s="131"/>
      <c r="F12" s="133"/>
      <c r="G12" s="135"/>
      <c r="H12" s="138"/>
      <c r="I12" s="140"/>
      <c r="J12" s="142"/>
      <c r="K12" s="28"/>
      <c r="L12" s="5" t="str">
        <f t="shared" si="1"/>
        <v>경고</v>
      </c>
      <c r="N12" s="1"/>
      <c r="P12" s="1">
        <v>6</v>
      </c>
      <c r="Q12" s="1">
        <f>'표준점수 등급컷 입력기능'!C54</f>
        <v>40</v>
      </c>
    </row>
    <row r="13" spans="1:17" ht="25" customHeight="1">
      <c r="A13" s="4"/>
      <c r="B13" s="19"/>
      <c r="C13" s="69">
        <v>44</v>
      </c>
      <c r="D13" s="70">
        <f t="shared" si="2"/>
        <v>66</v>
      </c>
      <c r="E13" s="70">
        <f t="shared" si="0"/>
        <v>2</v>
      </c>
      <c r="F13" s="71">
        <f t="shared" si="3"/>
        <v>91.44</v>
      </c>
      <c r="G13" s="72">
        <f>IF(D13=D12,"",_xlfn.IFNA(VLOOKUP(D13,'인원 입력 기능 (사과탐)'!$P$5:$S$53,4,FALSE),0))</f>
        <v>462</v>
      </c>
      <c r="H13" s="73">
        <f t="shared" si="4"/>
        <v>1.5753401302553961E-2</v>
      </c>
      <c r="I13" s="77">
        <f>SUM($G$7:G13)</f>
        <v>2741</v>
      </c>
      <c r="J13" s="75">
        <f t="shared" si="5"/>
        <v>9.3463361407576634E-2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입력기능'!C55</f>
        <v>39</v>
      </c>
    </row>
    <row r="14" spans="1:17" ht="25" customHeight="1">
      <c r="A14" s="4"/>
      <c r="B14" s="19"/>
      <c r="C14" s="76">
        <v>43</v>
      </c>
      <c r="D14" s="70">
        <f t="shared" si="2"/>
        <v>65</v>
      </c>
      <c r="E14" s="70">
        <f t="shared" si="0"/>
        <v>2</v>
      </c>
      <c r="F14" s="71">
        <f t="shared" si="3"/>
        <v>90.11</v>
      </c>
      <c r="G14" s="72">
        <f>IF(D14=D13,"",_xlfn.IFNA(VLOOKUP(D14,'인원 입력 기능 (사과탐)'!$P$5:$S$53,4,FALSE),0))</f>
        <v>320</v>
      </c>
      <c r="H14" s="73">
        <f t="shared" si="4"/>
        <v>1.0911446789647766E-2</v>
      </c>
      <c r="I14" s="77">
        <f>SUM($G$7:G14)</f>
        <v>3061</v>
      </c>
      <c r="J14" s="75">
        <f t="shared" si="5"/>
        <v>0.1043748081972244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입력기능'!C56</f>
        <v>35</v>
      </c>
    </row>
    <row r="15" spans="1:17" ht="25" customHeight="1">
      <c r="A15" s="4"/>
      <c r="B15" s="19"/>
      <c r="C15" s="69">
        <v>42</v>
      </c>
      <c r="D15" s="70">
        <f t="shared" si="2"/>
        <v>64</v>
      </c>
      <c r="E15" s="70">
        <f t="shared" si="0"/>
        <v>2</v>
      </c>
      <c r="F15" s="71">
        <f t="shared" si="3"/>
        <v>88.67</v>
      </c>
      <c r="G15" s="72">
        <f>IF(D15=D14,"",_xlfn.IFNA(VLOOKUP(D15,'인원 입력 기능 (사과탐)'!$P$5:$S$53,4,FALSE),0))</f>
        <v>525</v>
      </c>
      <c r="H15" s="73">
        <f t="shared" si="4"/>
        <v>1.7901592389265863E-2</v>
      </c>
      <c r="I15" s="77">
        <f>SUM($G$7:G15)</f>
        <v>3586</v>
      </c>
      <c r="J15" s="75">
        <f t="shared" si="5"/>
        <v>0.12227640058649027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63</v>
      </c>
      <c r="E16" s="70">
        <f t="shared" si="0"/>
        <v>3</v>
      </c>
      <c r="F16" s="71">
        <f t="shared" si="3"/>
        <v>87.03</v>
      </c>
      <c r="G16" s="72">
        <f>IF(D16=D15,"",_xlfn.IFNA(VLOOKUP(D16,'인원 입력 기능 (사과탐)'!$P$5:$S$53,4,FALSE),0))</f>
        <v>434</v>
      </c>
      <c r="H16" s="73">
        <f t="shared" si="4"/>
        <v>1.4798649708459781E-2</v>
      </c>
      <c r="I16" s="77">
        <f>SUM($G$7:G16)</f>
        <v>4020</v>
      </c>
      <c r="J16" s="75">
        <f t="shared" si="5"/>
        <v>0.13707505029495004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62</v>
      </c>
      <c r="E17" s="70">
        <f t="shared" si="0"/>
        <v>3</v>
      </c>
      <c r="F17" s="71">
        <f t="shared" si="3"/>
        <v>85.49</v>
      </c>
      <c r="G17" s="72">
        <f>IF(D17=D16,"",_xlfn.IFNA(VLOOKUP(D17,'인원 입력 기능 (사과탐)'!$P$5:$S$53,4,FALSE),0))</f>
        <v>471</v>
      </c>
      <c r="H17" s="73">
        <f t="shared" si="4"/>
        <v>1.6060285743512804E-2</v>
      </c>
      <c r="I17" s="77">
        <f>SUM($G$7:G17)</f>
        <v>4491</v>
      </c>
      <c r="J17" s="75">
        <f t="shared" si="5"/>
        <v>0.15313533603846285</v>
      </c>
      <c r="K17" s="28"/>
      <c r="L17" s="5" t="str">
        <f t="shared" si="1"/>
        <v/>
      </c>
      <c r="N17" s="1"/>
      <c r="P17" s="1">
        <f>Q7*H3*H4*J3*IFERROR(IF(J57=1, 1, 0), 0)</f>
        <v>601494881.34119999</v>
      </c>
    </row>
    <row r="18" spans="1:16" ht="25" customHeight="1">
      <c r="A18" s="4"/>
      <c r="B18" s="19"/>
      <c r="C18" s="76">
        <v>39</v>
      </c>
      <c r="D18" s="132">
        <f t="shared" si="2"/>
        <v>61</v>
      </c>
      <c r="E18" s="132">
        <f t="shared" si="0"/>
        <v>3</v>
      </c>
      <c r="F18" s="134">
        <f t="shared" si="3"/>
        <v>82.84</v>
      </c>
      <c r="G18" s="136">
        <f>IF(D18=D17,"",_xlfn.IFNA(VLOOKUP(D18,'인원 입력 기능 (사과탐)'!$P$5:$S$53,4,FALSE),0))</f>
        <v>1083</v>
      </c>
      <c r="H18" s="137">
        <f t="shared" si="4"/>
        <v>3.6928427728714151E-2</v>
      </c>
      <c r="I18" s="139">
        <f>SUM($G$7:G18)</f>
        <v>5574</v>
      </c>
      <c r="J18" s="141">
        <f t="shared" si="5"/>
        <v>0.19006376376717701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131"/>
      <c r="E19" s="131"/>
      <c r="F19" s="133"/>
      <c r="G19" s="135"/>
      <c r="H19" s="138"/>
      <c r="I19" s="140"/>
      <c r="J19" s="142"/>
      <c r="K19" s="28"/>
      <c r="L19" s="5" t="str">
        <f t="shared" si="1"/>
        <v>경고</v>
      </c>
      <c r="N19" s="1"/>
    </row>
    <row r="20" spans="1:16" ht="25" customHeight="1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80.03</v>
      </c>
      <c r="G20" s="72">
        <f>IF(D20=D19,"",_xlfn.IFNA(VLOOKUP(D20,'인원 입력 기능 (사과탐)'!$P$5:$S$53,4,FALSE),0))</f>
        <v>563</v>
      </c>
      <c r="H20" s="73">
        <f t="shared" si="4"/>
        <v>1.9197326695536535E-2</v>
      </c>
      <c r="I20" s="77">
        <f>SUM($G$7:G20)</f>
        <v>6137</v>
      </c>
      <c r="J20" s="75">
        <f t="shared" si="5"/>
        <v>0.20926109046271354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59</v>
      </c>
      <c r="E21" s="79">
        <f t="shared" si="0"/>
        <v>3</v>
      </c>
      <c r="F21" s="71">
        <f t="shared" si="3"/>
        <v>78.150000000000006</v>
      </c>
      <c r="G21" s="72">
        <f>IF(D21=D20,"",_xlfn.IFNA(VLOOKUP(D21,'인원 입력 기능 (사과탐)'!$P$5:$S$53,4,FALSE),0))</f>
        <v>544</v>
      </c>
      <c r="H21" s="73">
        <f t="shared" si="4"/>
        <v>1.8549459542401201E-2</v>
      </c>
      <c r="I21" s="77">
        <f>SUM($G$7:G21)</f>
        <v>6681</v>
      </c>
      <c r="J21" s="75">
        <f t="shared" si="5"/>
        <v>0.22781055000511474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58</v>
      </c>
      <c r="E22" s="79">
        <f t="shared" si="0"/>
        <v>3</v>
      </c>
      <c r="F22" s="71">
        <f t="shared" si="3"/>
        <v>76.2</v>
      </c>
      <c r="G22" s="72">
        <f>IF(D22=D21,"",_xlfn.IFNA(VLOOKUP(D22,'인원 입력 기능 (사과탐)'!$P$5:$S$53,4,FALSE),0))</f>
        <v>595</v>
      </c>
      <c r="H22" s="73">
        <f t="shared" si="4"/>
        <v>2.0288471374501314E-2</v>
      </c>
      <c r="I22" s="77">
        <f>SUM($G$7:G22)</f>
        <v>7276</v>
      </c>
      <c r="J22" s="75">
        <f t="shared" si="5"/>
        <v>0.24809902137961606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57</v>
      </c>
      <c r="E23" s="79">
        <f t="shared" si="0"/>
        <v>4</v>
      </c>
      <c r="F23" s="71">
        <f t="shared" si="3"/>
        <v>74.09</v>
      </c>
      <c r="G23" s="72">
        <f>IF(D23=D22,"",_xlfn.IFNA(VLOOKUP(D23,'인원 입력 기능 (사과탐)'!$P$5:$S$53,4,FALSE),0))</f>
        <v>646</v>
      </c>
      <c r="H23" s="73">
        <f t="shared" si="4"/>
        <v>2.2027483206601424E-2</v>
      </c>
      <c r="I23" s="77">
        <f>SUM($G$7:G23)</f>
        <v>7922</v>
      </c>
      <c r="J23" s="75">
        <f t="shared" si="5"/>
        <v>0.27012650458621745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144">
        <f t="shared" si="2"/>
        <v>56</v>
      </c>
      <c r="E24" s="144">
        <f t="shared" si="0"/>
        <v>4</v>
      </c>
      <c r="F24" s="134">
        <f t="shared" si="3"/>
        <v>70.75</v>
      </c>
      <c r="G24" s="136">
        <f>IF(D24=D23,"",_xlfn.IFNA(VLOOKUP(D24,'인원 입력 기능 (사과탐)'!$P$5:$S$53,4,FALSE),0))</f>
        <v>1312</v>
      </c>
      <c r="H24" s="137">
        <f t="shared" si="4"/>
        <v>4.4736931837555838E-2</v>
      </c>
      <c r="I24" s="139">
        <f>SUM($G$7:G24)</f>
        <v>9234</v>
      </c>
      <c r="J24" s="141">
        <f t="shared" si="5"/>
        <v>0.31486343642377329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3"/>
      <c r="E25" s="143"/>
      <c r="F25" s="133"/>
      <c r="G25" s="135"/>
      <c r="H25" s="138"/>
      <c r="I25" s="140"/>
      <c r="J25" s="142"/>
      <c r="K25" s="28"/>
      <c r="L25" s="5" t="str">
        <f t="shared" si="1"/>
        <v>경고</v>
      </c>
      <c r="N25" s="1"/>
    </row>
    <row r="26" spans="1:16" ht="25" customHeight="1">
      <c r="A26" s="4"/>
      <c r="B26" s="19"/>
      <c r="C26" s="80">
        <v>31</v>
      </c>
      <c r="D26" s="79">
        <f t="shared" si="2"/>
        <v>55</v>
      </c>
      <c r="E26" s="79">
        <f t="shared" si="0"/>
        <v>4</v>
      </c>
      <c r="F26" s="71">
        <f t="shared" si="3"/>
        <v>67.36</v>
      </c>
      <c r="G26" s="72">
        <f>IF(D26=D25,"",_xlfn.IFNA(VLOOKUP(D26,'인원 입력 기능 (사과탐)'!$P$5:$S$53,4,FALSE),0))</f>
        <v>675</v>
      </c>
      <c r="H26" s="73">
        <f t="shared" si="4"/>
        <v>2.3016333071913253E-2</v>
      </c>
      <c r="I26" s="77">
        <f>SUM($G$7:G26)</f>
        <v>9909</v>
      </c>
      <c r="J26" s="75">
        <f t="shared" si="5"/>
        <v>0.33787976949568654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54</v>
      </c>
      <c r="E27" s="79">
        <f t="shared" si="0"/>
        <v>4</v>
      </c>
      <c r="F27" s="71">
        <f t="shared" si="3"/>
        <v>65.08</v>
      </c>
      <c r="G27" s="72">
        <f>IF(D27=D26,"",_xlfn.IFNA(VLOOKUP(D27,'인원 입력 기능 (사과탐)'!$P$5:$S$53,4,FALSE),0))</f>
        <v>665</v>
      </c>
      <c r="H27" s="73">
        <f t="shared" si="4"/>
        <v>2.2675350359736762E-2</v>
      </c>
      <c r="I27" s="77">
        <f>SUM($G$7:G27)</f>
        <v>10574</v>
      </c>
      <c r="J27" s="75">
        <f t="shared" si="5"/>
        <v>0.36055511985542332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53</v>
      </c>
      <c r="E28" s="79">
        <f t="shared" si="0"/>
        <v>4</v>
      </c>
      <c r="F28" s="71">
        <f t="shared" si="3"/>
        <v>62.62</v>
      </c>
      <c r="G28" s="72">
        <f>IF(D28=D27,"",_xlfn.IFNA(VLOOKUP(D28,'인원 입력 기능 (사과탐)'!$P$5:$S$53,4,FALSE),0))</f>
        <v>779</v>
      </c>
      <c r="H28" s="73">
        <f t="shared" si="4"/>
        <v>2.6562553278548777E-2</v>
      </c>
      <c r="I28" s="77">
        <f>SUM($G$7:G28)</f>
        <v>11353</v>
      </c>
      <c r="J28" s="75">
        <f t="shared" si="5"/>
        <v>0.38711767313397211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52</v>
      </c>
      <c r="E29" s="79">
        <f t="shared" si="0"/>
        <v>4</v>
      </c>
      <c r="F29" s="71">
        <f t="shared" si="3"/>
        <v>60.04</v>
      </c>
      <c r="G29" s="72">
        <f>IF(D29=D28,"",_xlfn.IFNA(VLOOKUP(D29,'인원 입력 기능 (사과탐)'!$P$5:$S$53,4,FALSE),0))</f>
        <v>735</v>
      </c>
      <c r="H29" s="73">
        <f t="shared" si="4"/>
        <v>2.5062229344972209E-2</v>
      </c>
      <c r="I29" s="77">
        <f>SUM($G$7:G29)</f>
        <v>12088</v>
      </c>
      <c r="J29" s="75">
        <f t="shared" si="5"/>
        <v>0.41217990247894432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144">
        <f t="shared" si="2"/>
        <v>51</v>
      </c>
      <c r="E30" s="144">
        <f t="shared" si="0"/>
        <v>5</v>
      </c>
      <c r="F30" s="134">
        <f t="shared" si="3"/>
        <v>56.17</v>
      </c>
      <c r="G30" s="136">
        <f>IF(D30=D29,"",_xlfn.IFNA(VLOOKUP(D30,'인원 입력 기능 (사과탐)'!$P$5:$S$53,4,FALSE),0))</f>
        <v>1531</v>
      </c>
      <c r="H30" s="137">
        <f t="shared" si="4"/>
        <v>5.2204453234221022E-2</v>
      </c>
      <c r="I30" s="139">
        <f>SUM($G$7:G30)</f>
        <v>13619</v>
      </c>
      <c r="J30" s="141">
        <f t="shared" si="5"/>
        <v>0.46438435571316533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143"/>
      <c r="E31" s="143"/>
      <c r="F31" s="133"/>
      <c r="G31" s="135"/>
      <c r="H31" s="138"/>
      <c r="I31" s="140"/>
      <c r="J31" s="142"/>
      <c r="K31" s="28"/>
      <c r="L31" s="5" t="str">
        <f t="shared" si="1"/>
        <v>경고</v>
      </c>
      <c r="N31" s="1"/>
    </row>
    <row r="32" spans="1:16" ht="25" customHeight="1">
      <c r="A32" s="4"/>
      <c r="B32" s="19"/>
      <c r="C32" s="80">
        <v>25</v>
      </c>
      <c r="D32" s="79">
        <f t="shared" si="2"/>
        <v>50</v>
      </c>
      <c r="E32" s="79">
        <f t="shared" si="0"/>
        <v>5</v>
      </c>
      <c r="F32" s="71">
        <f t="shared" si="3"/>
        <v>52.2</v>
      </c>
      <c r="G32" s="72">
        <f>IF(D32=D31,"",_xlfn.IFNA(VLOOKUP(D32,'인원 입력 기능 (사과탐)'!$P$5:$S$53,4,FALSE),0))</f>
        <v>797</v>
      </c>
      <c r="H32" s="73">
        <f t="shared" si="4"/>
        <v>2.7176322160466466E-2</v>
      </c>
      <c r="I32" s="77">
        <f>SUM($G$7:G32)</f>
        <v>14416</v>
      </c>
      <c r="J32" s="75">
        <f t="shared" si="5"/>
        <v>0.49156067787363178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49</v>
      </c>
      <c r="E33" s="79">
        <f t="shared" si="0"/>
        <v>5</v>
      </c>
      <c r="F33" s="71">
        <f t="shared" si="3"/>
        <v>49.49</v>
      </c>
      <c r="G33" s="72">
        <f>IF(D33=D32,"",_xlfn.IFNA(VLOOKUP(D33,'인원 입력 기능 (사과탐)'!$P$5:$S$53,4,FALSE),0))</f>
        <v>797</v>
      </c>
      <c r="H33" s="73">
        <f t="shared" si="4"/>
        <v>2.7176322160466466E-2</v>
      </c>
      <c r="I33" s="77">
        <f>SUM($G$7:G33)</f>
        <v>15213</v>
      </c>
      <c r="J33" s="75">
        <f t="shared" si="5"/>
        <v>0.51873700003409828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48</v>
      </c>
      <c r="E34" s="79">
        <f t="shared" si="0"/>
        <v>5</v>
      </c>
      <c r="F34" s="71">
        <f t="shared" si="3"/>
        <v>46.74</v>
      </c>
      <c r="G34" s="72">
        <f>IF(D34=D33,"",_xlfn.IFNA(VLOOKUP(D34,'인원 입력 기능 (사과탐)'!$P$5:$S$53,4,FALSE),0))</f>
        <v>811</v>
      </c>
      <c r="H34" s="73">
        <f t="shared" si="4"/>
        <v>2.7653697957513552E-2</v>
      </c>
      <c r="I34" s="77">
        <f>SUM($G$7:G34)</f>
        <v>16024</v>
      </c>
      <c r="J34" s="75">
        <f t="shared" si="5"/>
        <v>0.54639069799161177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47</v>
      </c>
      <c r="E35" s="79">
        <f t="shared" si="0"/>
        <v>5</v>
      </c>
      <c r="F35" s="71">
        <f t="shared" si="3"/>
        <v>43.97</v>
      </c>
      <c r="G35" s="72">
        <f>IF(D35=D34,"",_xlfn.IFNA(VLOOKUP(D35,'인원 입력 기능 (사과탐)'!$P$5:$S$53,4,FALSE),0))</f>
        <v>817</v>
      </c>
      <c r="H35" s="73">
        <f t="shared" si="4"/>
        <v>2.7858287584819449E-2</v>
      </c>
      <c r="I35" s="77">
        <f>SUM($G$7:G35)</f>
        <v>16841</v>
      </c>
      <c r="J35" s="75">
        <f t="shared" si="5"/>
        <v>0.57424898557643123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46</v>
      </c>
      <c r="E36" s="79">
        <f t="shared" si="0"/>
        <v>5</v>
      </c>
      <c r="F36" s="71">
        <f t="shared" si="3"/>
        <v>41.17</v>
      </c>
      <c r="G36" s="72">
        <f>IF(D36=D35,"",_xlfn.IFNA(VLOOKUP(D36,'인원 입력 기능 (사과탐)'!$P$5:$S$53,4,FALSE),0))</f>
        <v>823</v>
      </c>
      <c r="H36" s="73">
        <f t="shared" si="4"/>
        <v>2.8062877212125345E-2</v>
      </c>
      <c r="I36" s="77">
        <f>SUM($G$7:G36)</f>
        <v>17664</v>
      </c>
      <c r="J36" s="75">
        <f t="shared" si="5"/>
        <v>0.60231186278855664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4">
        <f t="shared" si="2"/>
        <v>45</v>
      </c>
      <c r="E37" s="144">
        <f t="shared" si="0"/>
        <v>6</v>
      </c>
      <c r="F37" s="134">
        <f t="shared" si="3"/>
        <v>36.96</v>
      </c>
      <c r="G37" s="136">
        <f>IF(D37=D36,"",_xlfn.IFNA(VLOOKUP(D37,'인원 입력 기능 (사과탐)'!$P$5:$S$53,4,FALSE),0))</f>
        <v>1650</v>
      </c>
      <c r="H37" s="137">
        <f t="shared" si="4"/>
        <v>5.6262147509121285E-2</v>
      </c>
      <c r="I37" s="139">
        <f>SUM($G$7:G37)</f>
        <v>19314</v>
      </c>
      <c r="J37" s="141">
        <f t="shared" si="5"/>
        <v>0.65857401029767793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143"/>
      <c r="E38" s="143"/>
      <c r="F38" s="133"/>
      <c r="G38" s="135"/>
      <c r="H38" s="138"/>
      <c r="I38" s="140"/>
      <c r="J38" s="142"/>
      <c r="K38" s="28"/>
      <c r="L38" s="5" t="str">
        <f t="shared" si="1"/>
        <v>경고</v>
      </c>
      <c r="N38" s="1"/>
    </row>
    <row r="39" spans="1:14" ht="25" customHeight="1">
      <c r="A39" s="4"/>
      <c r="B39" s="19"/>
      <c r="C39" s="78">
        <v>18</v>
      </c>
      <c r="D39" s="79">
        <f t="shared" si="2"/>
        <v>44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32.82</v>
      </c>
      <c r="G39" s="72">
        <f>IF(D39=D38,"",_xlfn.IFNA(VLOOKUP(D39,'인원 입력 기능 (사과탐)'!$P$5:$S$53,4,FALSE),0))</f>
        <v>774</v>
      </c>
      <c r="H39" s="73">
        <f t="shared" si="4"/>
        <v>2.6392061922460533E-2</v>
      </c>
      <c r="I39" s="77">
        <f>SUM($G$7:G39)</f>
        <v>20088</v>
      </c>
      <c r="J39" s="75">
        <f t="shared" si="5"/>
        <v>0.68496607222013839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43</v>
      </c>
      <c r="E40" s="79">
        <f t="shared" si="6"/>
        <v>6</v>
      </c>
      <c r="F40" s="71">
        <f t="shared" si="3"/>
        <v>30.13</v>
      </c>
      <c r="G40" s="72">
        <f>IF(D40=D39,"",_xlfn.IFNA(VLOOKUP(D40,'인원 입력 기능 (사과탐)'!$P$5:$S$53,4,FALSE),0))</f>
        <v>807</v>
      </c>
      <c r="H40" s="73">
        <f t="shared" si="4"/>
        <v>2.7517304872642957E-2</v>
      </c>
      <c r="I40" s="77">
        <f>SUM($G$7:G40)</f>
        <v>20895</v>
      </c>
      <c r="J40" s="75">
        <f t="shared" si="5"/>
        <v>0.71248337709278142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42</v>
      </c>
      <c r="E41" s="79">
        <f t="shared" si="6"/>
        <v>6</v>
      </c>
      <c r="F41" s="71">
        <f t="shared" si="3"/>
        <v>27.27</v>
      </c>
      <c r="G41" s="72">
        <f>IF(D41=D40,"",_xlfn.IFNA(VLOOKUP(D41,'인원 입력 기능 (사과탐)'!$P$5:$S$53,4,FALSE),0))</f>
        <v>869</v>
      </c>
      <c r="H41" s="73">
        <f t="shared" si="4"/>
        <v>2.9631397688137211E-2</v>
      </c>
      <c r="I41" s="77">
        <f>SUM($G$7:G41)</f>
        <v>21764</v>
      </c>
      <c r="J41" s="75">
        <f t="shared" si="5"/>
        <v>0.74211477478091858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41</v>
      </c>
      <c r="E42" s="79">
        <f t="shared" si="6"/>
        <v>6</v>
      </c>
      <c r="F42" s="71">
        <f t="shared" si="3"/>
        <v>24.45</v>
      </c>
      <c r="G42" s="72">
        <f>IF(D42=D41,"",_xlfn.IFNA(VLOOKUP(D42,'인원 입력 기능 (사과탐)'!$P$5:$S$53,4,FALSE),0))</f>
        <v>785</v>
      </c>
      <c r="H42" s="73">
        <f t="shared" si="4"/>
        <v>2.6767142905854673E-2</v>
      </c>
      <c r="I42" s="77">
        <f>SUM($G$7:G42)</f>
        <v>22549</v>
      </c>
      <c r="J42" s="75">
        <f t="shared" si="5"/>
        <v>0.76888191768677328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144">
        <f t="shared" si="2"/>
        <v>40</v>
      </c>
      <c r="E43" s="144">
        <f t="shared" si="6"/>
        <v>6</v>
      </c>
      <c r="F43" s="134">
        <f t="shared" si="3"/>
        <v>19.48</v>
      </c>
      <c r="G43" s="136">
        <f>IF(D43=D42,"",_xlfn.IFNA(VLOOKUP(D43,'인원 입력 기능 (사과탐)'!$P$5:$S$53,4,FALSE),0))</f>
        <v>2130</v>
      </c>
      <c r="H43" s="137">
        <f t="shared" si="4"/>
        <v>7.2629317693592932E-2</v>
      </c>
      <c r="I43" s="139">
        <f>SUM($G$7:G43)</f>
        <v>24679</v>
      </c>
      <c r="J43" s="141">
        <f t="shared" si="5"/>
        <v>0.84151123538036621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143"/>
      <c r="E44" s="143"/>
      <c r="F44" s="133"/>
      <c r="G44" s="135"/>
      <c r="H44" s="138"/>
      <c r="I44" s="140"/>
      <c r="J44" s="142"/>
      <c r="K44" s="28"/>
      <c r="L44" s="5" t="str">
        <f t="shared" si="1"/>
        <v>경고</v>
      </c>
      <c r="N44" s="1"/>
    </row>
    <row r="45" spans="1:14" ht="25" customHeight="1">
      <c r="A45" s="4"/>
      <c r="B45" s="19"/>
      <c r="C45" s="78">
        <v>12</v>
      </c>
      <c r="D45" s="79">
        <f t="shared" si="2"/>
        <v>39</v>
      </c>
      <c r="E45" s="79">
        <f t="shared" si="6"/>
        <v>7</v>
      </c>
      <c r="F45" s="71">
        <f t="shared" si="3"/>
        <v>13.07</v>
      </c>
      <c r="G45" s="72">
        <f>IF(D45=D44,"",_xlfn.IFNA(VLOOKUP(D45,'인원 입력 기능 (사과탐)'!$P$5:$S$53,4,FALSE),0))</f>
        <v>1628</v>
      </c>
      <c r="H45" s="73">
        <f t="shared" si="4"/>
        <v>5.5511985542333005E-2</v>
      </c>
      <c r="I45" s="77">
        <f>SUM($G$7:G45)</f>
        <v>26307</v>
      </c>
      <c r="J45" s="75">
        <f t="shared" si="5"/>
        <v>0.89702322092269926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38</v>
      </c>
      <c r="E46" s="79">
        <f t="shared" si="6"/>
        <v>8</v>
      </c>
      <c r="F46" s="71">
        <f t="shared" si="3"/>
        <v>9.1300000000000008</v>
      </c>
      <c r="G46" s="72">
        <f>IF(D46=D45,"",_xlfn.IFNA(VLOOKUP(D46,'인원 입력 기능 (사과탐)'!$P$5:$S$53,4,FALSE),0))</f>
        <v>687</v>
      </c>
      <c r="H46" s="73">
        <f t="shared" si="4"/>
        <v>2.3425512326525046E-2</v>
      </c>
      <c r="I46" s="77">
        <f>SUM($G$7:G46)</f>
        <v>26994</v>
      </c>
      <c r="J46" s="75">
        <f t="shared" si="5"/>
        <v>0.92044873324922427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37</v>
      </c>
      <c r="E47" s="79">
        <f t="shared" si="6"/>
        <v>8</v>
      </c>
      <c r="F47" s="71">
        <f t="shared" si="3"/>
        <v>6.88</v>
      </c>
      <c r="G47" s="72">
        <f>IF(D47=D46,"",_xlfn.IFNA(VLOOKUP(D47,'인원 입력 기능 (사과탐)'!$P$5:$S$53,4,FALSE),0))</f>
        <v>630</v>
      </c>
      <c r="H47" s="73">
        <f t="shared" si="4"/>
        <v>2.1481910867119036E-2</v>
      </c>
      <c r="I47" s="77">
        <f>SUM($G$7:G47)</f>
        <v>27624</v>
      </c>
      <c r="J47" s="75">
        <f t="shared" si="5"/>
        <v>0.94193064411634331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36</v>
      </c>
      <c r="E48" s="79">
        <f t="shared" si="6"/>
        <v>8</v>
      </c>
      <c r="F48" s="71">
        <f t="shared" si="3"/>
        <v>5.09</v>
      </c>
      <c r="G48" s="72">
        <f>IF(D48=D47,"",_xlfn.IFNA(VLOOKUP(D48,'인원 입력 기능 (사과탐)'!$P$5:$S$53,4,FALSE),0))</f>
        <v>422</v>
      </c>
      <c r="H48" s="73">
        <f t="shared" si="4"/>
        <v>1.438947045384799E-2</v>
      </c>
      <c r="I48" s="77">
        <f>SUM($G$7:G48)</f>
        <v>28046</v>
      </c>
      <c r="J48" s="75">
        <f t="shared" si="5"/>
        <v>0.95632011457019128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35</v>
      </c>
      <c r="E49" s="79">
        <f t="shared" si="6"/>
        <v>8</v>
      </c>
      <c r="F49" s="71">
        <f t="shared" si="3"/>
        <v>3.81</v>
      </c>
      <c r="G49" s="72">
        <f>IF(D49=D48,"",_xlfn.IFNA(VLOOKUP(D49,'인원 입력 기능 (사과탐)'!$P$5:$S$53,4,FALSE),0))</f>
        <v>326</v>
      </c>
      <c r="H49" s="73">
        <f t="shared" si="4"/>
        <v>1.111603641695366E-2</v>
      </c>
      <c r="I49" s="77">
        <f>SUM($G$7:G49)</f>
        <v>28372</v>
      </c>
      <c r="J49" s="75">
        <f t="shared" si="5"/>
        <v>0.96743615098714497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4">
        <f t="shared" si="2"/>
        <v>34</v>
      </c>
      <c r="E50" s="144">
        <f t="shared" si="6"/>
        <v>9</v>
      </c>
      <c r="F50" s="134">
        <f t="shared" si="3"/>
        <v>2.4700000000000002</v>
      </c>
      <c r="G50" s="136">
        <f>IF(D50=D49,"",_xlfn.IFNA(VLOOKUP(D50,'인원 입력 기능 (사과탐)'!$P$5:$S$53,4,FALSE),0))</f>
        <v>459</v>
      </c>
      <c r="H50" s="137">
        <f t="shared" si="4"/>
        <v>1.5651106488901011E-2</v>
      </c>
      <c r="I50" s="139">
        <f>SUM($G$7:G50)</f>
        <v>28831</v>
      </c>
      <c r="J50" s="141">
        <f t="shared" si="5"/>
        <v>0.98308725747604597</v>
      </c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143"/>
      <c r="E51" s="143"/>
      <c r="F51" s="133"/>
      <c r="G51" s="135"/>
      <c r="H51" s="138"/>
      <c r="I51" s="140"/>
      <c r="J51" s="142"/>
      <c r="K51" s="28"/>
      <c r="L51" s="5" t="str">
        <f t="shared" si="1"/>
        <v>경고</v>
      </c>
      <c r="N51" s="1"/>
    </row>
    <row r="52" spans="1:14" ht="25" customHeight="1">
      <c r="A52" s="4"/>
      <c r="B52" s="19"/>
      <c r="C52" s="80">
        <v>5</v>
      </c>
      <c r="D52" s="79">
        <f t="shared" si="2"/>
        <v>33</v>
      </c>
      <c r="E52" s="79">
        <f t="shared" si="6"/>
        <v>9</v>
      </c>
      <c r="F52" s="71">
        <f t="shared" si="3"/>
        <v>1.37</v>
      </c>
      <c r="G52" s="72">
        <f>IF(D52=D51,"",_xlfn.IFNA(VLOOKUP(D52,'인원 입력 기능 (사과탐)'!$P$5:$S$53,4,FALSE),0))</f>
        <v>191</v>
      </c>
      <c r="H52" s="73">
        <f t="shared" si="4"/>
        <v>6.5127698025710095E-3</v>
      </c>
      <c r="I52" s="77">
        <f>SUM($G$7:G52)</f>
        <v>29022</v>
      </c>
      <c r="J52" s="75">
        <f t="shared" si="5"/>
        <v>0.98960002727861696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32</v>
      </c>
      <c r="E53" s="70">
        <f t="shared" si="6"/>
        <v>9</v>
      </c>
      <c r="F53" s="71">
        <f t="shared" si="3"/>
        <v>0.76</v>
      </c>
      <c r="G53" s="72">
        <f>IF(D53=D52,"",_xlfn.IFNA(VLOOKUP(D53,'인원 입력 기능 (사과탐)'!$P$5:$S$53,4,FALSE),0))</f>
        <v>167</v>
      </c>
      <c r="H53" s="73">
        <f t="shared" si="4"/>
        <v>5.694411293347427E-3</v>
      </c>
      <c r="I53" s="77">
        <f>SUM($G$7:G53)</f>
        <v>29189</v>
      </c>
      <c r="J53" s="75">
        <f t="shared" si="5"/>
        <v>0.99529443857196442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31</v>
      </c>
      <c r="E54" s="70">
        <f t="shared" si="6"/>
        <v>9</v>
      </c>
      <c r="F54" s="71">
        <f t="shared" si="3"/>
        <v>0.38</v>
      </c>
      <c r="G54" s="72">
        <f>IF(D54=D53,"",_xlfn.IFNA(VLOOKUP(D54,'인원 입력 기능 (사과탐)'!$P$5:$S$53,4,FALSE),0))</f>
        <v>55</v>
      </c>
      <c r="H54" s="73">
        <f t="shared" si="4"/>
        <v>1.8754049169707097E-3</v>
      </c>
      <c r="I54" s="77">
        <f>SUM($G$7:G54)</f>
        <v>29244</v>
      </c>
      <c r="J54" s="75">
        <f t="shared" si="5"/>
        <v>0.99716984348893511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30</v>
      </c>
      <c r="E55" s="70">
        <f t="shared" si="6"/>
        <v>9</v>
      </c>
      <c r="F55" s="71">
        <f t="shared" si="3"/>
        <v>0.18</v>
      </c>
      <c r="G55" s="72">
        <f>IF(D55=D54,"",_xlfn.IFNA(VLOOKUP(D55,'인원 입력 기능 (사과탐)'!$P$5:$S$53,4,FALSE),0))</f>
        <v>59</v>
      </c>
      <c r="H55" s="73">
        <f t="shared" si="4"/>
        <v>2.0117980018413066E-3</v>
      </c>
      <c r="I55" s="77">
        <f>SUM($G$7:G55)</f>
        <v>29303</v>
      </c>
      <c r="J55" s="75">
        <f t="shared" si="5"/>
        <v>0.99918164149077637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29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(사과탐)'!$P$5:$S$53,4,FALSE),0)</f>
        <v>24</v>
      </c>
      <c r="H57" s="86">
        <f>G57/$J$3</f>
        <v>8.183585092235824E-4</v>
      </c>
      <c r="I57" s="87">
        <f>SUM($G$7:G57)</f>
        <v>29327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53">
    <mergeCell ref="I43:I44"/>
    <mergeCell ref="J43:J44"/>
    <mergeCell ref="D50:D51"/>
    <mergeCell ref="E50:E51"/>
    <mergeCell ref="F50:F51"/>
    <mergeCell ref="G50:G51"/>
    <mergeCell ref="H50:H51"/>
    <mergeCell ref="I50:I51"/>
    <mergeCell ref="J50:J51"/>
    <mergeCell ref="D43:D44"/>
    <mergeCell ref="E43:E44"/>
    <mergeCell ref="F43:F44"/>
    <mergeCell ref="G43:G44"/>
    <mergeCell ref="H43:H44"/>
    <mergeCell ref="I30:I31"/>
    <mergeCell ref="J30:J31"/>
    <mergeCell ref="D37:D38"/>
    <mergeCell ref="E37:E38"/>
    <mergeCell ref="F37:F38"/>
    <mergeCell ref="G37:G38"/>
    <mergeCell ref="H37:H38"/>
    <mergeCell ref="I37:I38"/>
    <mergeCell ref="J37:J38"/>
    <mergeCell ref="D30:D31"/>
    <mergeCell ref="E30:E31"/>
    <mergeCell ref="F30:F31"/>
    <mergeCell ref="G30:G31"/>
    <mergeCell ref="H30:H31"/>
    <mergeCell ref="I18:I19"/>
    <mergeCell ref="J18:J19"/>
    <mergeCell ref="D24:D25"/>
    <mergeCell ref="E24:E25"/>
    <mergeCell ref="F24:F25"/>
    <mergeCell ref="G24:G25"/>
    <mergeCell ref="H24:H25"/>
    <mergeCell ref="I24:I25"/>
    <mergeCell ref="J24:J25"/>
    <mergeCell ref="D3:F3"/>
    <mergeCell ref="D4:F4"/>
    <mergeCell ref="D8:J8"/>
    <mergeCell ref="D56:J56"/>
    <mergeCell ref="D11:D12"/>
    <mergeCell ref="E11:E12"/>
    <mergeCell ref="F11:F12"/>
    <mergeCell ref="G11:G12"/>
    <mergeCell ref="H11:H12"/>
    <mergeCell ref="I11:I12"/>
    <mergeCell ref="J11:J12"/>
    <mergeCell ref="D18:D19"/>
    <mergeCell ref="E18:E19"/>
    <mergeCell ref="F18:F19"/>
    <mergeCell ref="G18:G19"/>
    <mergeCell ref="H18:H19"/>
  </mergeCells>
  <phoneticPr fontId="1" type="noConversion"/>
  <conditionalFormatting sqref="D7:D11 D13:D18 D20:D24 D26:D30 D32:D37 D39:D43 D45:D50 D52:D57">
    <cfRule type="expression" dxfId="41" priority="1">
      <formula>$D7=$D8</formula>
    </cfRule>
  </conditionalFormatting>
  <conditionalFormatting sqref="C7:C57">
    <cfRule type="expression" dxfId="40" priority="4">
      <formula>OR(AND($D7=0,OR($D6=$Q$7:$Q$14)),AND($D8&gt;0,OR($D7=$Q$7:$Q$14)))</formula>
    </cfRule>
  </conditionalFormatting>
  <conditionalFormatting sqref="D7:J7 D8 D57:J57 D56 D9:J11 D13:J18 D20:J24 D26:J30 D32:J37 D39:J43 D45:J50 D52:J55">
    <cfRule type="expression" dxfId="39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1"/>
  <dimension ref="A1:Q105"/>
  <sheetViews>
    <sheetView topLeftCell="A50"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기능'!D10</f>
        <v>24.15</v>
      </c>
      <c r="I3" s="15" t="s">
        <v>84</v>
      </c>
      <c r="J3" s="35">
        <f>'통계 및 응시자 수 입력 기능'!C10</f>
        <v>14220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100</v>
      </c>
      <c r="E4" s="108"/>
      <c r="F4" s="109"/>
      <c r="G4" s="37" t="s">
        <v>87</v>
      </c>
      <c r="H4" s="38" t="str">
        <f>'통계 및 응시자 수 입력 기능'!E10</f>
        <v>12.80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98.47</v>
      </c>
      <c r="G7" s="72">
        <f>_xlfn.IFNA(VLOOKUP(D7,'인원 입력 기능 (사과탐)'!$A$64:$D$112,4,FALSE),0)</f>
        <v>436</v>
      </c>
      <c r="H7" s="73">
        <f>G7/$J$3</f>
        <v>3.0661040787623065E-2</v>
      </c>
      <c r="I7" s="74">
        <f>G7</f>
        <v>436</v>
      </c>
      <c r="J7" s="75">
        <f>I7/$J$3</f>
        <v>3.0661040787623065E-2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입력기능'!C58</f>
        <v>69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입력기능'!C59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69</v>
      </c>
      <c r="E9" s="70">
        <f t="shared" si="0"/>
        <v>1</v>
      </c>
      <c r="F9" s="71">
        <f>IF(I8=0,ROUND(100*(1-(I7+I9)/2/$J$3),2),ROUND(100*(1-(I8+I9)/2/$J$3),2))</f>
        <v>96.27</v>
      </c>
      <c r="G9" s="72">
        <f>_xlfn.IFNA(VLOOKUP(D9,'인원 입력 기능 (사과탐)'!$A$64:$D$112,4,FALSE),0)</f>
        <v>189</v>
      </c>
      <c r="H9" s="73">
        <f>G9/$J$3</f>
        <v>1.3291139240506329E-2</v>
      </c>
      <c r="I9" s="77">
        <f>SUM($G$7:G9)</f>
        <v>625</v>
      </c>
      <c r="J9" s="75">
        <f>I9/$J$3</f>
        <v>4.3952180028129395E-2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입력기능'!C60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68</v>
      </c>
      <c r="E10" s="70">
        <f t="shared" si="0"/>
        <v>2</v>
      </c>
      <c r="F10" s="71">
        <f t="shared" ref="F10:F55" si="3">IF(I9=0,ROUND(100*(1-(I8+I10)/2/$J$3),2),ROUND(100*(1-(I9+I10)/2/$J$3),2))</f>
        <v>94.68</v>
      </c>
      <c r="G10" s="72">
        <f>IF(D10=D9,"",_xlfn.IFNA(VLOOKUP(D10,'인원 입력 기능 (사과탐)'!$A$64:$D$112,4,FALSE),0))</f>
        <v>263</v>
      </c>
      <c r="H10" s="73">
        <f t="shared" ref="H10:H55" si="4">G10/$J$3</f>
        <v>1.8495077355836848E-2</v>
      </c>
      <c r="I10" s="77">
        <f>SUM($G$7:G10)</f>
        <v>888</v>
      </c>
      <c r="J10" s="75">
        <f t="shared" ref="J10:J55" si="5">I10/$J$3</f>
        <v>6.2447257383966247E-2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입력기능'!C61</f>
        <v>52</v>
      </c>
    </row>
    <row r="11" spans="1:17" ht="25" customHeight="1">
      <c r="A11" s="4"/>
      <c r="B11" s="19"/>
      <c r="C11" s="69">
        <v>46</v>
      </c>
      <c r="D11" s="70">
        <f t="shared" si="2"/>
        <v>67</v>
      </c>
      <c r="E11" s="70">
        <f t="shared" si="0"/>
        <v>2</v>
      </c>
      <c r="F11" s="71">
        <f t="shared" si="3"/>
        <v>93.53</v>
      </c>
      <c r="G11" s="72">
        <f>IF(D11=D10,"",_xlfn.IFNA(VLOOKUP(D11,'인원 입력 기능 (사과탐)'!$A$64:$D$112,4,FALSE),0))</f>
        <v>63</v>
      </c>
      <c r="H11" s="73">
        <f t="shared" si="4"/>
        <v>4.4303797468354432E-3</v>
      </c>
      <c r="I11" s="77">
        <f>SUM($G$7:G11)</f>
        <v>951</v>
      </c>
      <c r="J11" s="75">
        <f t="shared" si="5"/>
        <v>6.6877637130801693E-2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입력기능'!C62</f>
        <v>46</v>
      </c>
    </row>
    <row r="12" spans="1:17" ht="25" customHeight="1">
      <c r="A12" s="4"/>
      <c r="B12" s="19"/>
      <c r="C12" s="76">
        <v>45</v>
      </c>
      <c r="D12" s="70">
        <f t="shared" si="2"/>
        <v>66</v>
      </c>
      <c r="E12" s="70">
        <f t="shared" si="0"/>
        <v>2</v>
      </c>
      <c r="F12" s="71">
        <f t="shared" si="3"/>
        <v>92.35</v>
      </c>
      <c r="G12" s="72">
        <f>IF(D12=D11,"",_xlfn.IFNA(VLOOKUP(D12,'인원 입력 기능 (사과탐)'!$A$64:$D$112,4,FALSE),0))</f>
        <v>275</v>
      </c>
      <c r="H12" s="73">
        <f t="shared" si="4"/>
        <v>1.9338959212376935E-2</v>
      </c>
      <c r="I12" s="77">
        <f>SUM($G$7:G12)</f>
        <v>1226</v>
      </c>
      <c r="J12" s="75">
        <f t="shared" si="5"/>
        <v>8.6216596343178617E-2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입력기능'!C63</f>
        <v>41</v>
      </c>
    </row>
    <row r="13" spans="1:17" ht="25" customHeight="1">
      <c r="A13" s="4"/>
      <c r="B13" s="19"/>
      <c r="C13" s="69">
        <v>44</v>
      </c>
      <c r="D13" s="132">
        <v>65</v>
      </c>
      <c r="E13" s="132">
        <f t="shared" si="0"/>
        <v>2</v>
      </c>
      <c r="F13" s="134">
        <f t="shared" si="3"/>
        <v>90.12</v>
      </c>
      <c r="G13" s="136">
        <f>IF(D13=D12,"",_xlfn.IFNA(VLOOKUP(D13,'인원 입력 기능 (사과탐)'!$A$64:$D$112,4,FALSE),0))</f>
        <v>357</v>
      </c>
      <c r="H13" s="137">
        <f t="shared" si="4"/>
        <v>2.5105485232067511E-2</v>
      </c>
      <c r="I13" s="139">
        <f>SUM($G$7:G13)</f>
        <v>1583</v>
      </c>
      <c r="J13" s="141">
        <f t="shared" si="5"/>
        <v>0.11132208157524613</v>
      </c>
      <c r="K13" s="28"/>
      <c r="L13" s="5" t="str">
        <f t="shared" si="1"/>
        <v>경고</v>
      </c>
      <c r="N13" s="1"/>
      <c r="P13" s="1">
        <v>7</v>
      </c>
      <c r="Q13" s="1">
        <f>'표준점수 등급컷 입력기능'!C64</f>
        <v>39</v>
      </c>
    </row>
    <row r="14" spans="1:17" ht="25" customHeight="1">
      <c r="A14" s="4"/>
      <c r="B14" s="19"/>
      <c r="C14" s="76">
        <v>43</v>
      </c>
      <c r="D14" s="131"/>
      <c r="E14" s="131"/>
      <c r="F14" s="133"/>
      <c r="G14" s="135"/>
      <c r="H14" s="138"/>
      <c r="I14" s="140"/>
      <c r="J14" s="142"/>
      <c r="K14" s="28"/>
      <c r="L14" s="5" t="str">
        <f t="shared" si="1"/>
        <v>경고</v>
      </c>
      <c r="N14" s="1"/>
      <c r="P14" s="1">
        <v>8</v>
      </c>
      <c r="Q14" s="1">
        <f>'표준점수 등급컷 입력기능'!C65</f>
        <v>37</v>
      </c>
    </row>
    <row r="15" spans="1:17" ht="25" customHeight="1">
      <c r="A15" s="4"/>
      <c r="B15" s="19"/>
      <c r="C15" s="69">
        <v>42</v>
      </c>
      <c r="D15" s="70">
        <f t="shared" si="2"/>
        <v>64</v>
      </c>
      <c r="E15" s="70">
        <f t="shared" si="0"/>
        <v>3</v>
      </c>
      <c r="F15" s="71">
        <f t="shared" si="3"/>
        <v>87.96</v>
      </c>
      <c r="G15" s="72">
        <f>IF(D15=D14,"",_xlfn.IFNA(VLOOKUP(D15,'인원 입력 기능 (사과탐)'!$A$64:$D$112,4,FALSE),0))</f>
        <v>257</v>
      </c>
      <c r="H15" s="73">
        <f t="shared" si="4"/>
        <v>1.8073136427566808E-2</v>
      </c>
      <c r="I15" s="77">
        <f>SUM($G$7:G15)</f>
        <v>1840</v>
      </c>
      <c r="J15" s="75">
        <f t="shared" si="5"/>
        <v>0.12939521800281295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63</v>
      </c>
      <c r="E16" s="70">
        <f t="shared" si="0"/>
        <v>3</v>
      </c>
      <c r="F16" s="71">
        <f t="shared" si="3"/>
        <v>86.43</v>
      </c>
      <c r="G16" s="72">
        <f>IF(D16=D15,"",_xlfn.IFNA(VLOOKUP(D16,'인원 입력 기능 (사과탐)'!$A$64:$D$112,4,FALSE),0))</f>
        <v>179</v>
      </c>
      <c r="H16" s="73">
        <f t="shared" si="4"/>
        <v>1.258790436005626E-2</v>
      </c>
      <c r="I16" s="77">
        <f>SUM($G$7:G16)</f>
        <v>2019</v>
      </c>
      <c r="J16" s="75">
        <f t="shared" si="5"/>
        <v>0.1419831223628692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132">
        <f t="shared" si="2"/>
        <v>62</v>
      </c>
      <c r="E17" s="132">
        <f t="shared" si="0"/>
        <v>3</v>
      </c>
      <c r="F17" s="134">
        <f t="shared" si="3"/>
        <v>84.24</v>
      </c>
      <c r="G17" s="136">
        <f>IF(D17=D16,"",_xlfn.IFNA(VLOOKUP(D17,'인원 입력 기능 (사과탐)'!$A$64:$D$112,4,FALSE),0))</f>
        <v>443</v>
      </c>
      <c r="H17" s="137">
        <f t="shared" si="4"/>
        <v>3.1153305203938116E-2</v>
      </c>
      <c r="I17" s="139">
        <f>SUM($G$7:G17)</f>
        <v>2462</v>
      </c>
      <c r="J17" s="141">
        <f t="shared" si="5"/>
        <v>0.1731364275668073</v>
      </c>
      <c r="K17" s="28"/>
      <c r="L17" s="5" t="str">
        <f t="shared" si="1"/>
        <v/>
      </c>
      <c r="N17" s="1"/>
      <c r="P17" s="1">
        <f>Q7*H3*H4*J3*IFERROR(IF(J57=1, 1, 0), 0)</f>
        <v>303302361.59999996</v>
      </c>
    </row>
    <row r="18" spans="1:16" ht="25" customHeight="1">
      <c r="A18" s="4"/>
      <c r="B18" s="19"/>
      <c r="C18" s="76">
        <v>39</v>
      </c>
      <c r="D18" s="131"/>
      <c r="E18" s="131"/>
      <c r="F18" s="133"/>
      <c r="G18" s="135"/>
      <c r="H18" s="138"/>
      <c r="I18" s="140"/>
      <c r="J18" s="142"/>
      <c r="K18" s="28"/>
      <c r="L18" s="5" t="str">
        <f t="shared" si="1"/>
        <v>경고</v>
      </c>
      <c r="N18" s="1"/>
    </row>
    <row r="19" spans="1:16" ht="25" customHeight="1">
      <c r="A19" s="4"/>
      <c r="B19" s="19"/>
      <c r="C19" s="69">
        <v>38</v>
      </c>
      <c r="D19" s="70">
        <f t="shared" si="2"/>
        <v>61</v>
      </c>
      <c r="E19" s="70">
        <f t="shared" si="0"/>
        <v>3</v>
      </c>
      <c r="F19" s="71">
        <f t="shared" si="3"/>
        <v>81.819999999999993</v>
      </c>
      <c r="G19" s="72">
        <f>IF(D19=D18,"",_xlfn.IFNA(VLOOKUP(D19,'인원 입력 기능 (사과탐)'!$A$64:$D$112,4,FALSE),0))</f>
        <v>246</v>
      </c>
      <c r="H19" s="73">
        <f t="shared" si="4"/>
        <v>1.729957805907173E-2</v>
      </c>
      <c r="I19" s="77">
        <f>SUM($G$7:G19)</f>
        <v>2708</v>
      </c>
      <c r="J19" s="75">
        <f t="shared" si="5"/>
        <v>0.19043600562587903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80.13</v>
      </c>
      <c r="G20" s="72">
        <f>IF(D20=D19,"",_xlfn.IFNA(VLOOKUP(D20,'인원 입력 기능 (사과탐)'!$A$64:$D$112,4,FALSE),0))</f>
        <v>234</v>
      </c>
      <c r="H20" s="73">
        <f t="shared" si="4"/>
        <v>1.6455696202531647E-2</v>
      </c>
      <c r="I20" s="77">
        <f>SUM($G$7:G20)</f>
        <v>2942</v>
      </c>
      <c r="J20" s="75">
        <f t="shared" si="5"/>
        <v>0.20689170182841068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59</v>
      </c>
      <c r="E21" s="79">
        <f t="shared" si="0"/>
        <v>3</v>
      </c>
      <c r="F21" s="71">
        <f t="shared" si="3"/>
        <v>78.53</v>
      </c>
      <c r="G21" s="72">
        <f>IF(D21=D20,"",_xlfn.IFNA(VLOOKUP(D21,'인원 입력 기능 (사과탐)'!$A$64:$D$112,4,FALSE),0))</f>
        <v>222</v>
      </c>
      <c r="H21" s="73">
        <f t="shared" si="4"/>
        <v>1.5611814345991562E-2</v>
      </c>
      <c r="I21" s="77">
        <f>SUM($G$7:G21)</f>
        <v>3164</v>
      </c>
      <c r="J21" s="75">
        <f t="shared" si="5"/>
        <v>0.22250351617440225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144">
        <f t="shared" si="2"/>
        <v>58</v>
      </c>
      <c r="E22" s="144">
        <f t="shared" si="0"/>
        <v>3</v>
      </c>
      <c r="F22" s="134">
        <f t="shared" si="3"/>
        <v>75.91</v>
      </c>
      <c r="G22" s="136">
        <f>IF(D22=D21,"",_xlfn.IFNA(VLOOKUP(D22,'인원 입력 기능 (사과탐)'!$A$64:$D$112,4,FALSE),0))</f>
        <v>522</v>
      </c>
      <c r="H22" s="137">
        <f t="shared" si="4"/>
        <v>3.6708860759493672E-2</v>
      </c>
      <c r="I22" s="139">
        <f>SUM($G$7:G22)</f>
        <v>3686</v>
      </c>
      <c r="J22" s="141">
        <f t="shared" si="5"/>
        <v>0.25921237693389593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143"/>
      <c r="E23" s="143"/>
      <c r="F23" s="133"/>
      <c r="G23" s="135"/>
      <c r="H23" s="138"/>
      <c r="I23" s="140"/>
      <c r="J23" s="142"/>
      <c r="K23" s="28"/>
      <c r="L23" s="5" t="str">
        <f t="shared" si="1"/>
        <v>경고</v>
      </c>
      <c r="N23" s="1"/>
    </row>
    <row r="24" spans="1:16" ht="25" customHeight="1">
      <c r="A24" s="4"/>
      <c r="B24" s="19"/>
      <c r="C24" s="80">
        <v>33</v>
      </c>
      <c r="D24" s="79">
        <f t="shared" si="2"/>
        <v>57</v>
      </c>
      <c r="E24" s="79">
        <f t="shared" si="0"/>
        <v>4</v>
      </c>
      <c r="F24" s="71">
        <f t="shared" si="3"/>
        <v>73.05</v>
      </c>
      <c r="G24" s="72">
        <f>IF(D24=D23,"",_xlfn.IFNA(VLOOKUP(D24,'인원 입력 기능 (사과탐)'!$A$64:$D$112,4,FALSE),0))</f>
        <v>294</v>
      </c>
      <c r="H24" s="73">
        <f t="shared" si="4"/>
        <v>2.0675105485232069E-2</v>
      </c>
      <c r="I24" s="77">
        <f>SUM($G$7:G24)</f>
        <v>3980</v>
      </c>
      <c r="J24" s="75">
        <f t="shared" si="5"/>
        <v>0.27988748241912798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56</v>
      </c>
      <c r="E25" s="79">
        <f t="shared" si="0"/>
        <v>4</v>
      </c>
      <c r="F25" s="71">
        <f t="shared" si="3"/>
        <v>71.040000000000006</v>
      </c>
      <c r="G25" s="72">
        <f>IF(D25=D24,"",_xlfn.IFNA(VLOOKUP(D25,'인원 입력 기능 (사과탐)'!$A$64:$D$112,4,FALSE),0))</f>
        <v>276</v>
      </c>
      <c r="H25" s="73">
        <f t="shared" si="4"/>
        <v>1.9409282700421943E-2</v>
      </c>
      <c r="I25" s="77">
        <f>SUM($G$7:G25)</f>
        <v>4256</v>
      </c>
      <c r="J25" s="75">
        <f t="shared" si="5"/>
        <v>0.29929676511954995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4">
        <f t="shared" si="2"/>
        <v>55</v>
      </c>
      <c r="E26" s="144">
        <f t="shared" si="0"/>
        <v>4</v>
      </c>
      <c r="F26" s="134">
        <f t="shared" si="3"/>
        <v>67.900000000000006</v>
      </c>
      <c r="G26" s="136">
        <f>IF(D26=D25,"",_xlfn.IFNA(VLOOKUP(D26,'인원 입력 기능 (사과탐)'!$A$64:$D$112,4,FALSE),0))</f>
        <v>616</v>
      </c>
      <c r="H26" s="137">
        <f t="shared" si="4"/>
        <v>4.3319268635724335E-2</v>
      </c>
      <c r="I26" s="139">
        <f>SUM($G$7:G26)</f>
        <v>4872</v>
      </c>
      <c r="J26" s="141">
        <f t="shared" si="5"/>
        <v>0.34261603375527427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143"/>
      <c r="E27" s="143"/>
      <c r="F27" s="133"/>
      <c r="G27" s="135"/>
      <c r="H27" s="138"/>
      <c r="I27" s="140"/>
      <c r="J27" s="142"/>
      <c r="K27" s="28"/>
      <c r="L27" s="5" t="str">
        <f t="shared" si="1"/>
        <v>경고</v>
      </c>
      <c r="N27" s="1"/>
    </row>
    <row r="28" spans="1:16" ht="25" customHeight="1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64.73</v>
      </c>
      <c r="G28" s="72">
        <f>IF(D28=D27,"",_xlfn.IFNA(VLOOKUP(D28,'인원 입력 기능 (사과탐)'!$A$64:$D$112,4,FALSE),0))</f>
        <v>286</v>
      </c>
      <c r="H28" s="73">
        <f t="shared" si="4"/>
        <v>2.011251758087201E-2</v>
      </c>
      <c r="I28" s="77">
        <f>SUM($G$7:G28)</f>
        <v>5158</v>
      </c>
      <c r="J28" s="75">
        <f t="shared" si="5"/>
        <v>0.36272855133614629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53</v>
      </c>
      <c r="E29" s="79">
        <f t="shared" si="0"/>
        <v>4</v>
      </c>
      <c r="F29" s="71">
        <f t="shared" si="3"/>
        <v>62.57</v>
      </c>
      <c r="G29" s="72">
        <f>IF(D29=D28,"",_xlfn.IFNA(VLOOKUP(D29,'인원 입력 기능 (사과탐)'!$A$64:$D$112,4,FALSE),0))</f>
        <v>329</v>
      </c>
      <c r="H29" s="73">
        <f t="shared" si="4"/>
        <v>2.3136427566807314E-2</v>
      </c>
      <c r="I29" s="77">
        <f>SUM($G$7:G29)</f>
        <v>5487</v>
      </c>
      <c r="J29" s="75">
        <f t="shared" si="5"/>
        <v>0.38586497890295357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52</v>
      </c>
      <c r="E30" s="79">
        <f t="shared" si="0"/>
        <v>4</v>
      </c>
      <c r="F30" s="71">
        <f t="shared" si="3"/>
        <v>60.15</v>
      </c>
      <c r="G30" s="72">
        <f>IF(D30=D29,"",_xlfn.IFNA(VLOOKUP(D30,'인원 입력 기능 (사과탐)'!$A$64:$D$112,4,FALSE),0))</f>
        <v>358</v>
      </c>
      <c r="H30" s="73">
        <f t="shared" si="4"/>
        <v>2.5175808720112519E-2</v>
      </c>
      <c r="I30" s="77">
        <f>SUM($G$7:G30)</f>
        <v>5845</v>
      </c>
      <c r="J30" s="75">
        <f t="shared" si="5"/>
        <v>0.41104078762306612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144">
        <f t="shared" si="2"/>
        <v>51</v>
      </c>
      <c r="E31" s="144">
        <f t="shared" si="0"/>
        <v>5</v>
      </c>
      <c r="F31" s="134">
        <f t="shared" si="3"/>
        <v>56.71</v>
      </c>
      <c r="G31" s="136">
        <f>IF(D31=D30,"",_xlfn.IFNA(VLOOKUP(D31,'인원 입력 기능 (사과탐)'!$A$64:$D$112,4,FALSE),0))</f>
        <v>621</v>
      </c>
      <c r="H31" s="137">
        <f t="shared" si="4"/>
        <v>4.3670886075949364E-2</v>
      </c>
      <c r="I31" s="139">
        <f>SUM($G$7:G31)</f>
        <v>6466</v>
      </c>
      <c r="J31" s="141">
        <f t="shared" si="5"/>
        <v>0.4547116736990155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143"/>
      <c r="E32" s="143"/>
      <c r="F32" s="133"/>
      <c r="G32" s="135"/>
      <c r="H32" s="138"/>
      <c r="I32" s="140"/>
      <c r="J32" s="142"/>
      <c r="K32" s="28"/>
      <c r="L32" s="5" t="str">
        <f t="shared" si="1"/>
        <v>경고</v>
      </c>
      <c r="N32" s="1"/>
    </row>
    <row r="33" spans="1:14" ht="25" customHeight="1">
      <c r="A33" s="4"/>
      <c r="B33" s="19"/>
      <c r="C33" s="78">
        <v>24</v>
      </c>
      <c r="D33" s="79">
        <f t="shared" si="2"/>
        <v>50</v>
      </c>
      <c r="E33" s="79">
        <f t="shared" si="0"/>
        <v>5</v>
      </c>
      <c r="F33" s="71">
        <f t="shared" si="3"/>
        <v>53.41</v>
      </c>
      <c r="G33" s="72">
        <f>IF(D33=D32,"",_xlfn.IFNA(VLOOKUP(D33,'인원 입력 기능 (사과탐)'!$A$64:$D$112,4,FALSE),0))</f>
        <v>317</v>
      </c>
      <c r="H33" s="73">
        <f t="shared" si="4"/>
        <v>2.2292545710267231E-2</v>
      </c>
      <c r="I33" s="77">
        <f>SUM($G$7:G33)</f>
        <v>6783</v>
      </c>
      <c r="J33" s="75">
        <f t="shared" si="5"/>
        <v>0.47700421940928273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49</v>
      </c>
      <c r="E34" s="79">
        <f t="shared" si="0"/>
        <v>5</v>
      </c>
      <c r="F34" s="71">
        <f t="shared" si="3"/>
        <v>51.14</v>
      </c>
      <c r="G34" s="72">
        <f>IF(D34=D33,"",_xlfn.IFNA(VLOOKUP(D34,'인원 입력 기능 (사과탐)'!$A$64:$D$112,4,FALSE),0))</f>
        <v>331</v>
      </c>
      <c r="H34" s="73">
        <f t="shared" si="4"/>
        <v>2.3277074542897326E-2</v>
      </c>
      <c r="I34" s="77">
        <f>SUM($G$7:G34)</f>
        <v>7114</v>
      </c>
      <c r="J34" s="75">
        <f t="shared" si="5"/>
        <v>0.50028129395218002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144">
        <f t="shared" si="2"/>
        <v>48</v>
      </c>
      <c r="E35" s="144">
        <f t="shared" si="0"/>
        <v>5</v>
      </c>
      <c r="F35" s="134">
        <f t="shared" si="3"/>
        <v>47.63</v>
      </c>
      <c r="G35" s="136">
        <f>IF(D35=D34,"",_xlfn.IFNA(VLOOKUP(D35,'인원 입력 기능 (사과탐)'!$A$64:$D$112,4,FALSE),0))</f>
        <v>665</v>
      </c>
      <c r="H35" s="137">
        <f t="shared" si="4"/>
        <v>4.6765119549929679E-2</v>
      </c>
      <c r="I35" s="139">
        <f>SUM($G$7:G35)</f>
        <v>7779</v>
      </c>
      <c r="J35" s="141">
        <f t="shared" si="5"/>
        <v>0.5470464135021097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3"/>
      <c r="E36" s="143"/>
      <c r="F36" s="133"/>
      <c r="G36" s="135"/>
      <c r="H36" s="138"/>
      <c r="I36" s="140"/>
      <c r="J36" s="142"/>
      <c r="K36" s="28"/>
      <c r="L36" s="5" t="str">
        <f t="shared" si="1"/>
        <v>경고</v>
      </c>
      <c r="N36" s="1"/>
    </row>
    <row r="37" spans="1:14" ht="25" customHeight="1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44.02</v>
      </c>
      <c r="G37" s="72">
        <f>IF(D37=D36,"",_xlfn.IFNA(VLOOKUP(D37,'인원 입력 기능 (사과탐)'!$A$64:$D$112,4,FALSE),0))</f>
        <v>362</v>
      </c>
      <c r="H37" s="73">
        <f t="shared" si="4"/>
        <v>2.5457102672292547E-2</v>
      </c>
      <c r="I37" s="77">
        <f>SUM($G$7:G37)</f>
        <v>8141</v>
      </c>
      <c r="J37" s="75">
        <f t="shared" si="5"/>
        <v>0.5725035161744022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46</v>
      </c>
      <c r="E38" s="79">
        <f t="shared" si="0"/>
        <v>5</v>
      </c>
      <c r="F38" s="71">
        <f t="shared" si="3"/>
        <v>41.3</v>
      </c>
      <c r="G38" s="72">
        <f>IF(D38=D37,"",_xlfn.IFNA(VLOOKUP(D38,'인원 입력 기능 (사과탐)'!$A$64:$D$112,4,FALSE),0))</f>
        <v>413</v>
      </c>
      <c r="H38" s="73">
        <f t="shared" si="4"/>
        <v>2.9043600562587903E-2</v>
      </c>
      <c r="I38" s="77">
        <f>SUM($G$7:G38)</f>
        <v>8554</v>
      </c>
      <c r="J38" s="75">
        <f t="shared" si="5"/>
        <v>0.60154711673699013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38.67</v>
      </c>
      <c r="G39" s="72">
        <f>IF(D39=D38,"",_xlfn.IFNA(VLOOKUP(D39,'인원 입력 기능 (사과탐)'!$A$64:$D$112,4,FALSE),0))</f>
        <v>335</v>
      </c>
      <c r="H39" s="73">
        <f t="shared" si="4"/>
        <v>2.3558368495077357E-2</v>
      </c>
      <c r="I39" s="77">
        <f>SUM($G$7:G39)</f>
        <v>8889</v>
      </c>
      <c r="J39" s="75">
        <f t="shared" si="5"/>
        <v>0.62510548523206755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144">
        <f t="shared" si="2"/>
        <v>44</v>
      </c>
      <c r="E40" s="144">
        <f t="shared" si="6"/>
        <v>6</v>
      </c>
      <c r="F40" s="134">
        <f t="shared" si="3"/>
        <v>35</v>
      </c>
      <c r="G40" s="136">
        <f>IF(D40=D39,"",_xlfn.IFNA(VLOOKUP(D40,'인원 입력 기능 (사과탐)'!$A$64:$D$112,4,FALSE),0))</f>
        <v>707</v>
      </c>
      <c r="H40" s="137">
        <f t="shared" si="4"/>
        <v>4.9718706047819972E-2</v>
      </c>
      <c r="I40" s="139">
        <f>SUM($G$7:G40)</f>
        <v>9596</v>
      </c>
      <c r="J40" s="141">
        <f t="shared" si="5"/>
        <v>0.67482419127988746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143"/>
      <c r="E41" s="143"/>
      <c r="F41" s="133"/>
      <c r="G41" s="135"/>
      <c r="H41" s="138"/>
      <c r="I41" s="140"/>
      <c r="J41" s="142"/>
      <c r="K41" s="28"/>
      <c r="L41" s="5" t="str">
        <f t="shared" si="1"/>
        <v>경고</v>
      </c>
      <c r="N41" s="1"/>
    </row>
    <row r="42" spans="1:14" ht="25" customHeight="1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31.14</v>
      </c>
      <c r="G42" s="72">
        <f>IF(D42=D41,"",_xlfn.IFNA(VLOOKUP(D42,'인원 입력 기능 (사과탐)'!$A$64:$D$112,4,FALSE),0))</f>
        <v>392</v>
      </c>
      <c r="H42" s="73">
        <f t="shared" si="4"/>
        <v>2.7566807313642756E-2</v>
      </c>
      <c r="I42" s="77">
        <f>SUM($G$7:G42)</f>
        <v>9988</v>
      </c>
      <c r="J42" s="75">
        <f t="shared" si="5"/>
        <v>0.70239099859353027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28.5</v>
      </c>
      <c r="G43" s="72">
        <f>IF(D43=D42,"",_xlfn.IFNA(VLOOKUP(D43,'인원 입력 기능 (사과탐)'!$A$64:$D$112,4,FALSE),0))</f>
        <v>360</v>
      </c>
      <c r="H43" s="73">
        <f t="shared" si="4"/>
        <v>2.5316455696202531E-2</v>
      </c>
      <c r="I43" s="77">
        <f>SUM($G$7:G43)</f>
        <v>10348</v>
      </c>
      <c r="J43" s="75">
        <f t="shared" si="5"/>
        <v>0.72770745428973282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144">
        <f t="shared" si="2"/>
        <v>41</v>
      </c>
      <c r="E44" s="144">
        <f t="shared" si="6"/>
        <v>6</v>
      </c>
      <c r="F44" s="134">
        <f t="shared" si="3"/>
        <v>24.22</v>
      </c>
      <c r="G44" s="136">
        <f>IF(D44=D43,"",_xlfn.IFNA(VLOOKUP(D44,'인원 입력 기능 (사과탐)'!$A$64:$D$112,4,FALSE),0))</f>
        <v>856</v>
      </c>
      <c r="H44" s="137">
        <f t="shared" si="4"/>
        <v>6.0196905766526018E-2</v>
      </c>
      <c r="I44" s="139">
        <f>SUM($G$7:G44)</f>
        <v>11204</v>
      </c>
      <c r="J44" s="141">
        <f t="shared" si="5"/>
        <v>0.78790436005625875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143"/>
      <c r="E45" s="143"/>
      <c r="F45" s="133"/>
      <c r="G45" s="135"/>
      <c r="H45" s="138"/>
      <c r="I45" s="140"/>
      <c r="J45" s="142"/>
      <c r="K45" s="28"/>
      <c r="L45" s="5" t="str">
        <f t="shared" si="1"/>
        <v>경고</v>
      </c>
      <c r="N45" s="1"/>
    </row>
    <row r="46" spans="1:14" ht="25" customHeight="1">
      <c r="A46" s="4"/>
      <c r="B46" s="19"/>
      <c r="C46" s="80">
        <v>11</v>
      </c>
      <c r="D46" s="79">
        <f t="shared" si="2"/>
        <v>40</v>
      </c>
      <c r="E46" s="79">
        <f t="shared" si="6"/>
        <v>7</v>
      </c>
      <c r="F46" s="71">
        <f t="shared" si="3"/>
        <v>20.2</v>
      </c>
      <c r="G46" s="72">
        <f>IF(D46=D45,"",_xlfn.IFNA(VLOOKUP(D46,'인원 입력 기능 (사과탐)'!$A$64:$D$112,4,FALSE),0))</f>
        <v>286</v>
      </c>
      <c r="H46" s="73">
        <f t="shared" si="4"/>
        <v>2.011251758087201E-2</v>
      </c>
      <c r="I46" s="77">
        <f>SUM($G$7:G46)</f>
        <v>11490</v>
      </c>
      <c r="J46" s="75">
        <f t="shared" si="5"/>
        <v>0.80801687763713081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39</v>
      </c>
      <c r="E47" s="79">
        <f t="shared" si="6"/>
        <v>7</v>
      </c>
      <c r="F47" s="71">
        <f t="shared" si="3"/>
        <v>14.51</v>
      </c>
      <c r="G47" s="72">
        <f>IF(D47=D46,"",_xlfn.IFNA(VLOOKUP(D47,'인원 입력 기능 (사과탐)'!$A$64:$D$112,4,FALSE),0))</f>
        <v>1334</v>
      </c>
      <c r="H47" s="73">
        <f t="shared" si="4"/>
        <v>9.3811533052039375E-2</v>
      </c>
      <c r="I47" s="77">
        <f>SUM($G$7:G47)</f>
        <v>12824</v>
      </c>
      <c r="J47" s="75">
        <f t="shared" si="5"/>
        <v>0.90182841068917019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38</v>
      </c>
      <c r="E48" s="79">
        <f t="shared" si="6"/>
        <v>8</v>
      </c>
      <c r="F48" s="71">
        <f t="shared" si="3"/>
        <v>8.9700000000000006</v>
      </c>
      <c r="G48" s="72">
        <f>IF(D48=D47,"",_xlfn.IFNA(VLOOKUP(D48,'인원 입력 기능 (사과탐)'!$A$64:$D$112,4,FALSE),0))</f>
        <v>242</v>
      </c>
      <c r="H48" s="73">
        <f t="shared" si="4"/>
        <v>1.7018284106891702E-2</v>
      </c>
      <c r="I48" s="77">
        <f>SUM($G$7:G48)</f>
        <v>13066</v>
      </c>
      <c r="J48" s="75">
        <f t="shared" si="5"/>
        <v>0.91884669479606185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4">
        <f t="shared" si="2"/>
        <v>37</v>
      </c>
      <c r="E49" s="144">
        <f t="shared" si="6"/>
        <v>8</v>
      </c>
      <c r="F49" s="134">
        <f t="shared" si="3"/>
        <v>5.99</v>
      </c>
      <c r="G49" s="136">
        <f>IF(D49=D48,"",_xlfn.IFNA(VLOOKUP(D49,'인원 입력 기능 (사과탐)'!$A$64:$D$112,4,FALSE),0))</f>
        <v>605</v>
      </c>
      <c r="H49" s="137">
        <f t="shared" si="4"/>
        <v>4.2545710267229253E-2</v>
      </c>
      <c r="I49" s="139">
        <f>SUM($G$7:G49)</f>
        <v>13671</v>
      </c>
      <c r="J49" s="141">
        <f t="shared" si="5"/>
        <v>0.96139240506329116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3"/>
      <c r="E50" s="143"/>
      <c r="F50" s="133"/>
      <c r="G50" s="135"/>
      <c r="H50" s="138"/>
      <c r="I50" s="140"/>
      <c r="J50" s="142"/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3.41</v>
      </c>
      <c r="G51" s="72">
        <f>IF(D51=D50,"",_xlfn.IFNA(VLOOKUP(D51,'인원 입력 기능 (사과탐)'!$A$64:$D$112,4,FALSE),0))</f>
        <v>129</v>
      </c>
      <c r="H51" s="73">
        <f t="shared" si="4"/>
        <v>9.0717299578059064E-3</v>
      </c>
      <c r="I51" s="77">
        <f>SUM($G$7:G51)</f>
        <v>13800</v>
      </c>
      <c r="J51" s="75">
        <f t="shared" si="5"/>
        <v>0.97046413502109707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35</v>
      </c>
      <c r="E52" s="79">
        <f t="shared" si="6"/>
        <v>9</v>
      </c>
      <c r="F52" s="71">
        <f t="shared" si="3"/>
        <v>2.3199999999999998</v>
      </c>
      <c r="G52" s="72">
        <f>IF(D52=D51,"",_xlfn.IFNA(VLOOKUP(D52,'인원 입력 기능 (사과탐)'!$A$64:$D$112,4,FALSE),0))</f>
        <v>181</v>
      </c>
      <c r="H52" s="73">
        <f t="shared" si="4"/>
        <v>1.2728551336146273E-2</v>
      </c>
      <c r="I52" s="77">
        <f>SUM($G$7:G52)</f>
        <v>13981</v>
      </c>
      <c r="J52" s="75">
        <f t="shared" si="5"/>
        <v>0.98319268635724333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1.38</v>
      </c>
      <c r="G53" s="72">
        <f>IF(D53=D52,"",_xlfn.IFNA(VLOOKUP(D53,'인원 입력 기능 (사과탐)'!$A$64:$D$112,4,FALSE),0))</f>
        <v>85</v>
      </c>
      <c r="H53" s="73">
        <f t="shared" si="4"/>
        <v>5.9774964838255973E-3</v>
      </c>
      <c r="I53" s="77">
        <f>SUM($G$7:G53)</f>
        <v>14066</v>
      </c>
      <c r="J53" s="75">
        <f t="shared" si="5"/>
        <v>0.98917018284106895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132">
        <f t="shared" si="2"/>
        <v>33</v>
      </c>
      <c r="E54" s="132">
        <f t="shared" si="6"/>
        <v>9</v>
      </c>
      <c r="F54" s="134">
        <f t="shared" si="3"/>
        <v>0.63</v>
      </c>
      <c r="G54" s="136">
        <f>IF(D54=D53,"",_xlfn.IFNA(VLOOKUP(D54,'인원 입력 기능 (사과탐)'!$A$64:$D$112,4,FALSE),0))</f>
        <v>130</v>
      </c>
      <c r="H54" s="137">
        <f t="shared" si="4"/>
        <v>9.1420534458509142E-3</v>
      </c>
      <c r="I54" s="139">
        <f>SUM($G$7:G54)</f>
        <v>14196</v>
      </c>
      <c r="J54" s="141">
        <f t="shared" si="5"/>
        <v>0.99831223628691979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131"/>
      <c r="E55" s="131"/>
      <c r="F55" s="133"/>
      <c r="G55" s="135"/>
      <c r="H55" s="138"/>
      <c r="I55" s="140"/>
      <c r="J55" s="142"/>
      <c r="K55" s="28"/>
      <c r="L55" s="5" t="str">
        <f t="shared" si="1"/>
        <v>경고</v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0.08</v>
      </c>
      <c r="G57" s="85">
        <f>_xlfn.IFNA(VLOOKUP(D57,'인원 입력 기능 (사과탐)'!$A$64:$D$112,4,FALSE),0)</f>
        <v>24</v>
      </c>
      <c r="H57" s="86">
        <f>G57/$J$3</f>
        <v>1.6877637130801688E-3</v>
      </c>
      <c r="I57" s="87">
        <f>SUM($G$7:G57)</f>
        <v>14220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74">
    <mergeCell ref="I54:I55"/>
    <mergeCell ref="J54:J55"/>
    <mergeCell ref="D54:D55"/>
    <mergeCell ref="E54:E55"/>
    <mergeCell ref="F54:F55"/>
    <mergeCell ref="G54:G55"/>
    <mergeCell ref="H54:H55"/>
    <mergeCell ref="I44:I45"/>
    <mergeCell ref="J44:J45"/>
    <mergeCell ref="D49:D50"/>
    <mergeCell ref="E49:E50"/>
    <mergeCell ref="F49:F50"/>
    <mergeCell ref="G49:G50"/>
    <mergeCell ref="H49:H50"/>
    <mergeCell ref="I49:I50"/>
    <mergeCell ref="J49:J50"/>
    <mergeCell ref="D44:D45"/>
    <mergeCell ref="E44:E45"/>
    <mergeCell ref="F44:F45"/>
    <mergeCell ref="G44:G45"/>
    <mergeCell ref="H44:H45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8:J8"/>
    <mergeCell ref="D56:J56"/>
    <mergeCell ref="D13:D14"/>
    <mergeCell ref="E13:E14"/>
    <mergeCell ref="F13:F14"/>
    <mergeCell ref="G13:G14"/>
    <mergeCell ref="H13:H14"/>
    <mergeCell ref="I13:I14"/>
    <mergeCell ref="J13:J14"/>
    <mergeCell ref="D17:D18"/>
    <mergeCell ref="E17:E18"/>
    <mergeCell ref="F17:F18"/>
    <mergeCell ref="G17:G18"/>
    <mergeCell ref="H17:H18"/>
  </mergeCells>
  <phoneticPr fontId="1" type="noConversion"/>
  <conditionalFormatting sqref="D7:D13 D15:D17 D19:D22 D24:D26 D28:D31 D33:D35 D37:D40 D42:D44 D46:D49 D51:D54 D56:D57">
    <cfRule type="expression" dxfId="38" priority="1">
      <formula>$D7=$D8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J7 D8 D57:J57 D56 D9:J13 D15:J17 D19:J22 D24:J26 D28:J31 D33:J35 D37:J40 D42:J44 D46:J49 D51:J54">
    <cfRule type="expression" dxfId="36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2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기능'!D11</f>
        <v>22.89</v>
      </c>
      <c r="I3" s="15" t="s">
        <v>84</v>
      </c>
      <c r="J3" s="35">
        <f>'통계 및 응시자 수 입력 기능'!C11</f>
        <v>15339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99</v>
      </c>
      <c r="E4" s="108"/>
      <c r="F4" s="109"/>
      <c r="G4" s="37" t="s">
        <v>87</v>
      </c>
      <c r="H4" s="38" t="str">
        <f>'통계 및 응시자 수 입력 기능'!E11</f>
        <v>12.83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98.18</v>
      </c>
      <c r="G7" s="72">
        <f>_xlfn.IFNA(VLOOKUP(D7,'인원 입력 기능 (사과탐)'!$F$64:$I$112,4,FALSE),0)</f>
        <v>557</v>
      </c>
      <c r="H7" s="73">
        <f>G7/$J$3</f>
        <v>3.6312667057826459E-2</v>
      </c>
      <c r="I7" s="74">
        <f>G7</f>
        <v>557</v>
      </c>
      <c r="J7" s="75">
        <f>I7/$J$3</f>
        <v>3.6312667057826459E-2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입력기능'!C67</f>
        <v>70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입력기능'!C68</f>
        <v>66</v>
      </c>
    </row>
    <row r="9" spans="1:17" ht="25" customHeight="1">
      <c r="A9" s="4"/>
      <c r="B9" s="19"/>
      <c r="C9" s="69">
        <v>48</v>
      </c>
      <c r="D9" s="70">
        <f>ROUND(10*(C9-$H$3)/$H$4+50,0)</f>
        <v>70</v>
      </c>
      <c r="E9" s="70">
        <f t="shared" si="0"/>
        <v>1</v>
      </c>
      <c r="F9" s="71">
        <f>IF(I8=0,ROUND(100*(1-(I7+I9)/2/$J$3),2),ROUND(100*(1-(I8+I9)/2/$J$3),2))</f>
        <v>95.91</v>
      </c>
      <c r="G9" s="72">
        <f>_xlfn.IFNA(VLOOKUP(D9,'인원 입력 기능 (사과탐)'!$F$64:$I$112,4,FALSE),0)</f>
        <v>142</v>
      </c>
      <c r="H9" s="73">
        <f>G9/$J$3</f>
        <v>9.2574483343112329E-3</v>
      </c>
      <c r="I9" s="77">
        <f>SUM($G$7:G9)</f>
        <v>699</v>
      </c>
      <c r="J9" s="75">
        <f>I9/$J$3</f>
        <v>4.5570115392137692E-2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입력기능'!C69</f>
        <v>59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69</v>
      </c>
      <c r="E10" s="70">
        <f t="shared" si="0"/>
        <v>2</v>
      </c>
      <c r="F10" s="71">
        <f t="shared" ref="F10:F55" si="3">IF(I9=0,ROUND(100*(1-(I8+I10)/2/$J$3),2),ROUND(100*(1-(I9+I10)/2/$J$3),2))</f>
        <v>94.08</v>
      </c>
      <c r="G10" s="72">
        <f>IF(D10=D9,"",_xlfn.IFNA(VLOOKUP(D10,'인원 입력 기능 (사과탐)'!$F$64:$I$112,4,FALSE),0))</f>
        <v>418</v>
      </c>
      <c r="H10" s="73">
        <f t="shared" ref="H10:H55" si="4">G10/$J$3</f>
        <v>2.725079861790208E-2</v>
      </c>
      <c r="I10" s="77">
        <f>SUM($G$7:G10)</f>
        <v>1117</v>
      </c>
      <c r="J10" s="75">
        <f t="shared" ref="J10:J55" si="5">I10/$J$3</f>
        <v>7.2820914010039761E-2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입력기능'!C70</f>
        <v>51</v>
      </c>
    </row>
    <row r="11" spans="1:17" ht="25" customHeight="1">
      <c r="A11" s="4"/>
      <c r="B11" s="19"/>
      <c r="C11" s="69">
        <v>46</v>
      </c>
      <c r="D11" s="70">
        <f t="shared" si="2"/>
        <v>68</v>
      </c>
      <c r="E11" s="70">
        <f t="shared" si="0"/>
        <v>2</v>
      </c>
      <c r="F11" s="71">
        <f t="shared" si="3"/>
        <v>92.6</v>
      </c>
      <c r="G11" s="72">
        <f>IF(D11=D10,"",_xlfn.IFNA(VLOOKUP(D11,'인원 입력 기능 (사과탐)'!$F$64:$I$112,4,FALSE),0))</f>
        <v>35</v>
      </c>
      <c r="H11" s="73">
        <f t="shared" si="4"/>
        <v>2.2817654345133318E-3</v>
      </c>
      <c r="I11" s="77">
        <f>SUM($G$7:G11)</f>
        <v>1152</v>
      </c>
      <c r="J11" s="75">
        <f t="shared" si="5"/>
        <v>7.5102679444553094E-2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입력기능'!C71</f>
        <v>45</v>
      </c>
    </row>
    <row r="12" spans="1:17" ht="25" customHeight="1">
      <c r="A12" s="4"/>
      <c r="B12" s="19"/>
      <c r="C12" s="76">
        <v>45</v>
      </c>
      <c r="D12" s="70">
        <f t="shared" si="2"/>
        <v>67</v>
      </c>
      <c r="E12" s="70">
        <f t="shared" si="0"/>
        <v>2</v>
      </c>
      <c r="F12" s="71">
        <f t="shared" si="3"/>
        <v>91.79</v>
      </c>
      <c r="G12" s="72">
        <f>IF(D12=D11,"",_xlfn.IFNA(VLOOKUP(D12,'인원 입력 기능 (사과탐)'!$F$64:$I$112,4,FALSE),0))</f>
        <v>216</v>
      </c>
      <c r="H12" s="73">
        <f t="shared" si="4"/>
        <v>1.4081752395853707E-2</v>
      </c>
      <c r="I12" s="77">
        <f>SUM($G$7:G12)</f>
        <v>1368</v>
      </c>
      <c r="J12" s="75">
        <f t="shared" si="5"/>
        <v>8.9184431840406808E-2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입력기능'!C72</f>
        <v>42</v>
      </c>
    </row>
    <row r="13" spans="1:17" ht="25" customHeight="1">
      <c r="A13" s="4"/>
      <c r="B13" s="19"/>
      <c r="C13" s="69">
        <v>44</v>
      </c>
      <c r="D13" s="132">
        <f t="shared" si="2"/>
        <v>66</v>
      </c>
      <c r="E13" s="132">
        <f t="shared" si="0"/>
        <v>2</v>
      </c>
      <c r="F13" s="134">
        <f t="shared" si="3"/>
        <v>89.93</v>
      </c>
      <c r="G13" s="136">
        <f>IF(D13=D12,"",_xlfn.IFNA(VLOOKUP(D13,'인원 입력 기능 (사과탐)'!$F$64:$I$112,4,FALSE),0))</f>
        <v>352</v>
      </c>
      <c r="H13" s="137">
        <f t="shared" si="4"/>
        <v>2.2948040941391225E-2</v>
      </c>
      <c r="I13" s="139">
        <f>SUM($G$7:G13)</f>
        <v>1720</v>
      </c>
      <c r="J13" s="141">
        <f t="shared" si="5"/>
        <v>0.11213247278179803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입력기능'!C73</f>
        <v>40</v>
      </c>
    </row>
    <row r="14" spans="1:17" ht="25" customHeight="1">
      <c r="A14" s="4"/>
      <c r="B14" s="19"/>
      <c r="C14" s="76">
        <v>43</v>
      </c>
      <c r="D14" s="131"/>
      <c r="E14" s="131"/>
      <c r="F14" s="133"/>
      <c r="G14" s="135"/>
      <c r="H14" s="138"/>
      <c r="I14" s="140"/>
      <c r="J14" s="142"/>
      <c r="K14" s="28"/>
      <c r="L14" s="5" t="str">
        <f t="shared" si="1"/>
        <v>경고</v>
      </c>
      <c r="N14" s="1"/>
      <c r="P14" s="1">
        <v>8</v>
      </c>
      <c r="Q14" s="1">
        <f>'표준점수 등급컷 입력기능'!C74</f>
        <v>38</v>
      </c>
    </row>
    <row r="15" spans="1:17" ht="25" customHeight="1">
      <c r="A15" s="4"/>
      <c r="B15" s="19"/>
      <c r="C15" s="69">
        <v>42</v>
      </c>
      <c r="D15" s="70">
        <f t="shared" si="2"/>
        <v>65</v>
      </c>
      <c r="E15" s="70">
        <f t="shared" si="0"/>
        <v>3</v>
      </c>
      <c r="F15" s="71">
        <f t="shared" si="3"/>
        <v>87.99</v>
      </c>
      <c r="G15" s="72">
        <f>IF(D15=D14,"",_xlfn.IFNA(VLOOKUP(D15,'인원 입력 기능 (사과탐)'!$F$64:$I$112,4,FALSE),0))</f>
        <v>245</v>
      </c>
      <c r="H15" s="73">
        <f t="shared" si="4"/>
        <v>1.5972358041593325E-2</v>
      </c>
      <c r="I15" s="77">
        <f>SUM($G$7:G15)</f>
        <v>1965</v>
      </c>
      <c r="J15" s="75">
        <f t="shared" si="5"/>
        <v>0.12810483082339136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64</v>
      </c>
      <c r="E16" s="70">
        <f t="shared" si="0"/>
        <v>3</v>
      </c>
      <c r="F16" s="71">
        <f t="shared" si="3"/>
        <v>86.54</v>
      </c>
      <c r="G16" s="72">
        <f>IF(D16=D15,"",_xlfn.IFNA(VLOOKUP(D16,'인원 입력 기능 (사과탐)'!$F$64:$I$112,4,FALSE),0))</f>
        <v>200</v>
      </c>
      <c r="H16" s="73">
        <f t="shared" si="4"/>
        <v>1.3038659625790469E-2</v>
      </c>
      <c r="I16" s="77">
        <f>SUM($G$7:G16)</f>
        <v>2165</v>
      </c>
      <c r="J16" s="75">
        <f t="shared" si="5"/>
        <v>0.14114349044918181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132">
        <f t="shared" si="2"/>
        <v>63</v>
      </c>
      <c r="E17" s="132">
        <f t="shared" si="0"/>
        <v>3</v>
      </c>
      <c r="F17" s="134">
        <f t="shared" si="3"/>
        <v>84.6</v>
      </c>
      <c r="G17" s="136">
        <f>IF(D17=D16,"",_xlfn.IFNA(VLOOKUP(D17,'인원 입력 기능 (사과탐)'!$F$64:$I$112,4,FALSE),0))</f>
        <v>394</v>
      </c>
      <c r="H17" s="137">
        <f t="shared" si="4"/>
        <v>2.5686159462807223E-2</v>
      </c>
      <c r="I17" s="139">
        <f>SUM($G$7:G17)</f>
        <v>2559</v>
      </c>
      <c r="J17" s="141">
        <f t="shared" si="5"/>
        <v>0.16682964991198904</v>
      </c>
      <c r="K17" s="28"/>
      <c r="L17" s="5" t="str">
        <f t="shared" si="1"/>
        <v/>
      </c>
      <c r="N17" s="1"/>
      <c r="P17" s="1">
        <f>Q7*H3*H4*J3*IFERROR(IF(J57=1, 1, 0), 0)</f>
        <v>315331630.551</v>
      </c>
    </row>
    <row r="18" spans="1:16" ht="25" customHeight="1">
      <c r="A18" s="4"/>
      <c r="B18" s="19"/>
      <c r="C18" s="76">
        <v>39</v>
      </c>
      <c r="D18" s="131"/>
      <c r="E18" s="131"/>
      <c r="F18" s="133"/>
      <c r="G18" s="135"/>
      <c r="H18" s="138"/>
      <c r="I18" s="140"/>
      <c r="J18" s="142"/>
      <c r="K18" s="28"/>
      <c r="L18" s="5" t="str">
        <f t="shared" si="1"/>
        <v>경고</v>
      </c>
      <c r="N18" s="1"/>
    </row>
    <row r="19" spans="1:16" ht="25" customHeight="1">
      <c r="A19" s="4"/>
      <c r="B19" s="19"/>
      <c r="C19" s="69">
        <v>38</v>
      </c>
      <c r="D19" s="70">
        <f t="shared" si="2"/>
        <v>62</v>
      </c>
      <c r="E19" s="70">
        <f t="shared" si="0"/>
        <v>3</v>
      </c>
      <c r="F19" s="71">
        <f t="shared" si="3"/>
        <v>82.72</v>
      </c>
      <c r="G19" s="72">
        <f>IF(D19=D18,"",_xlfn.IFNA(VLOOKUP(D19,'인원 입력 기능 (사과탐)'!$F$64:$I$112,4,FALSE),0))</f>
        <v>184</v>
      </c>
      <c r="H19" s="73">
        <f t="shared" si="4"/>
        <v>1.1995566855727231E-2</v>
      </c>
      <c r="I19" s="77">
        <f>SUM($G$7:G19)</f>
        <v>2743</v>
      </c>
      <c r="J19" s="75">
        <f t="shared" si="5"/>
        <v>0.17882521676771629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61</v>
      </c>
      <c r="E20" s="70">
        <f t="shared" si="0"/>
        <v>3</v>
      </c>
      <c r="F20" s="71">
        <f t="shared" si="3"/>
        <v>81.36</v>
      </c>
      <c r="G20" s="72">
        <f>IF(D20=D19,"",_xlfn.IFNA(VLOOKUP(D20,'인원 입력 기능 (사과탐)'!$F$64:$I$112,4,FALSE),0))</f>
        <v>232</v>
      </c>
      <c r="H20" s="73">
        <f t="shared" si="4"/>
        <v>1.5124845165916943E-2</v>
      </c>
      <c r="I20" s="77">
        <f>SUM($G$7:G20)</f>
        <v>2975</v>
      </c>
      <c r="J20" s="75">
        <f t="shared" si="5"/>
        <v>0.19395006193363323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60</v>
      </c>
      <c r="E21" s="79">
        <f t="shared" si="0"/>
        <v>3</v>
      </c>
      <c r="F21" s="71">
        <f t="shared" si="3"/>
        <v>79.97</v>
      </c>
      <c r="G21" s="72">
        <f>IF(D21=D20,"",_xlfn.IFNA(VLOOKUP(D21,'인원 입력 기능 (사과탐)'!$F$64:$I$112,4,FALSE),0))</f>
        <v>195</v>
      </c>
      <c r="H21" s="73">
        <f t="shared" si="4"/>
        <v>1.2712693135145708E-2</v>
      </c>
      <c r="I21" s="77">
        <f>SUM($G$7:G21)</f>
        <v>3170</v>
      </c>
      <c r="J21" s="75">
        <f t="shared" si="5"/>
        <v>0.20666275506877893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144">
        <f t="shared" si="2"/>
        <v>59</v>
      </c>
      <c r="E22" s="144">
        <f t="shared" si="0"/>
        <v>3</v>
      </c>
      <c r="F22" s="134">
        <f t="shared" si="3"/>
        <v>77.98</v>
      </c>
      <c r="G22" s="136">
        <f>IF(D22=D21,"",_xlfn.IFNA(VLOOKUP(D22,'인원 입력 기능 (사과탐)'!$F$64:$I$112,4,FALSE),0))</f>
        <v>416</v>
      </c>
      <c r="H22" s="137">
        <f t="shared" si="4"/>
        <v>2.7120412021644176E-2</v>
      </c>
      <c r="I22" s="139">
        <f>SUM($G$7:G22)</f>
        <v>3586</v>
      </c>
      <c r="J22" s="141">
        <f t="shared" si="5"/>
        <v>0.2337831670904231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143"/>
      <c r="E23" s="143"/>
      <c r="F23" s="133"/>
      <c r="G23" s="135"/>
      <c r="H23" s="138"/>
      <c r="I23" s="140"/>
      <c r="J23" s="142"/>
      <c r="K23" s="28"/>
      <c r="L23" s="5" t="str">
        <f t="shared" si="1"/>
        <v>경고</v>
      </c>
      <c r="N23" s="1"/>
    </row>
    <row r="24" spans="1:16" ht="25" customHeight="1">
      <c r="A24" s="4"/>
      <c r="B24" s="19"/>
      <c r="C24" s="80">
        <v>33</v>
      </c>
      <c r="D24" s="79">
        <f t="shared" si="2"/>
        <v>58</v>
      </c>
      <c r="E24" s="79">
        <f t="shared" si="0"/>
        <v>4</v>
      </c>
      <c r="F24" s="71">
        <f t="shared" si="3"/>
        <v>76.03</v>
      </c>
      <c r="G24" s="72">
        <f>IF(D24=D23,"",_xlfn.IFNA(VLOOKUP(D24,'인원 입력 기능 (사과탐)'!$F$64:$I$112,4,FALSE),0))</f>
        <v>180</v>
      </c>
      <c r="H24" s="73">
        <f t="shared" si="4"/>
        <v>1.1734793663211422E-2</v>
      </c>
      <c r="I24" s="77">
        <f>SUM($G$7:G24)</f>
        <v>3766</v>
      </c>
      <c r="J24" s="75">
        <f t="shared" si="5"/>
        <v>0.24551796075363452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57</v>
      </c>
      <c r="E25" s="79">
        <f t="shared" si="0"/>
        <v>4</v>
      </c>
      <c r="F25" s="71">
        <f t="shared" si="3"/>
        <v>74.66</v>
      </c>
      <c r="G25" s="72">
        <f>IF(D25=D24,"",_xlfn.IFNA(VLOOKUP(D25,'인원 입력 기능 (사과탐)'!$F$64:$I$112,4,FALSE),0))</f>
        <v>243</v>
      </c>
      <c r="H25" s="73">
        <f t="shared" si="4"/>
        <v>1.5841971445335421E-2</v>
      </c>
      <c r="I25" s="77">
        <f>SUM($G$7:G25)</f>
        <v>4009</v>
      </c>
      <c r="J25" s="75">
        <f t="shared" si="5"/>
        <v>0.26135993219896997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4">
        <f t="shared" si="2"/>
        <v>56</v>
      </c>
      <c r="E26" s="144">
        <f t="shared" si="0"/>
        <v>4</v>
      </c>
      <c r="F26" s="134">
        <f t="shared" si="3"/>
        <v>72.36</v>
      </c>
      <c r="G26" s="136">
        <f>IF(D26=D25,"",_xlfn.IFNA(VLOOKUP(D26,'인원 입력 기능 (사과탐)'!$F$64:$I$112,4,FALSE),0))</f>
        <v>461</v>
      </c>
      <c r="H26" s="137">
        <f t="shared" si="4"/>
        <v>3.0054110437447032E-2</v>
      </c>
      <c r="I26" s="139">
        <f>SUM($G$7:G26)</f>
        <v>4470</v>
      </c>
      <c r="J26" s="141">
        <f t="shared" si="5"/>
        <v>0.29141404263641696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143"/>
      <c r="E27" s="143"/>
      <c r="F27" s="133"/>
      <c r="G27" s="135"/>
      <c r="H27" s="138"/>
      <c r="I27" s="140"/>
      <c r="J27" s="142"/>
      <c r="K27" s="28"/>
      <c r="L27" s="5" t="str">
        <f t="shared" si="1"/>
        <v>경고</v>
      </c>
      <c r="N27" s="1"/>
    </row>
    <row r="28" spans="1:16" ht="25" customHeight="1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70.05</v>
      </c>
      <c r="G28" s="72">
        <f>IF(D28=D27,"",_xlfn.IFNA(VLOOKUP(D28,'인원 입력 기능 (사과탐)'!$F$64:$I$112,4,FALSE),0))</f>
        <v>248</v>
      </c>
      <c r="H28" s="73">
        <f t="shared" si="4"/>
        <v>1.6167937935980183E-2</v>
      </c>
      <c r="I28" s="77">
        <f>SUM($G$7:G28)</f>
        <v>4718</v>
      </c>
      <c r="J28" s="75">
        <f t="shared" si="5"/>
        <v>0.30758198057239716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68.430000000000007</v>
      </c>
      <c r="G29" s="72">
        <f>IF(D29=D28,"",_xlfn.IFNA(VLOOKUP(D29,'인원 입력 기능 (사과탐)'!$F$64:$I$112,4,FALSE),0))</f>
        <v>250</v>
      </c>
      <c r="H29" s="73">
        <f t="shared" si="4"/>
        <v>1.6298324532238086E-2</v>
      </c>
      <c r="I29" s="77">
        <f>SUM($G$7:G29)</f>
        <v>4968</v>
      </c>
      <c r="J29" s="75">
        <f t="shared" si="5"/>
        <v>0.32388030510463522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66.62</v>
      </c>
      <c r="G30" s="72">
        <f>IF(D30=D29,"",_xlfn.IFNA(VLOOKUP(D30,'인원 입력 기능 (사과탐)'!$F$64:$I$112,4,FALSE),0))</f>
        <v>305</v>
      </c>
      <c r="H30" s="73">
        <f t="shared" si="4"/>
        <v>1.9883955929330465E-2</v>
      </c>
      <c r="I30" s="77">
        <f>SUM($G$7:G30)</f>
        <v>5273</v>
      </c>
      <c r="J30" s="75">
        <f t="shared" si="5"/>
        <v>0.34376426103396573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144">
        <f t="shared" si="2"/>
        <v>52</v>
      </c>
      <c r="E31" s="144">
        <f t="shared" si="0"/>
        <v>4</v>
      </c>
      <c r="F31" s="134">
        <f t="shared" si="3"/>
        <v>63.71</v>
      </c>
      <c r="G31" s="136">
        <f>IF(D31=D30,"",_xlfn.IFNA(VLOOKUP(D31,'인원 입력 기능 (사과탐)'!$F$64:$I$112,4,FALSE),0))</f>
        <v>587</v>
      </c>
      <c r="H31" s="137">
        <f t="shared" si="4"/>
        <v>3.8268466001695027E-2</v>
      </c>
      <c r="I31" s="139">
        <f>SUM($G$7:G31)</f>
        <v>5860</v>
      </c>
      <c r="J31" s="141">
        <f t="shared" si="5"/>
        <v>0.38203272703566071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143"/>
      <c r="E32" s="143"/>
      <c r="F32" s="133"/>
      <c r="G32" s="135"/>
      <c r="H32" s="138"/>
      <c r="I32" s="140"/>
      <c r="J32" s="142"/>
      <c r="K32" s="28"/>
      <c r="L32" s="5" t="str">
        <f t="shared" si="1"/>
        <v>경고</v>
      </c>
      <c r="N32" s="1"/>
    </row>
    <row r="33" spans="1:14" ht="25" customHeight="1">
      <c r="A33" s="4"/>
      <c r="B33" s="19"/>
      <c r="C33" s="78">
        <v>24</v>
      </c>
      <c r="D33" s="79">
        <f t="shared" si="2"/>
        <v>51</v>
      </c>
      <c r="E33" s="79">
        <f t="shared" si="0"/>
        <v>4</v>
      </c>
      <c r="F33" s="71">
        <f t="shared" si="3"/>
        <v>60.8</v>
      </c>
      <c r="G33" s="72">
        <f>IF(D33=D32,"",_xlfn.IFNA(VLOOKUP(D33,'인원 입력 기능 (사과탐)'!$F$64:$I$112,4,FALSE),0))</f>
        <v>305</v>
      </c>
      <c r="H33" s="73">
        <f t="shared" si="4"/>
        <v>1.9883955929330465E-2</v>
      </c>
      <c r="I33" s="77">
        <f>SUM($G$7:G33)</f>
        <v>6165</v>
      </c>
      <c r="J33" s="75">
        <f t="shared" si="5"/>
        <v>0.40191668296499122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58.83</v>
      </c>
      <c r="G34" s="72">
        <f>IF(D34=D33,"",_xlfn.IFNA(VLOOKUP(D34,'인원 입력 기능 (사과탐)'!$F$64:$I$112,4,FALSE),0))</f>
        <v>299</v>
      </c>
      <c r="H34" s="73">
        <f t="shared" si="4"/>
        <v>1.949279614055675E-2</v>
      </c>
      <c r="I34" s="77">
        <f>SUM($G$7:G34)</f>
        <v>6464</v>
      </c>
      <c r="J34" s="75">
        <f t="shared" si="5"/>
        <v>0.42140947910554793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144">
        <f t="shared" si="2"/>
        <v>49</v>
      </c>
      <c r="E35" s="144">
        <f t="shared" si="0"/>
        <v>5</v>
      </c>
      <c r="F35" s="134">
        <f t="shared" si="3"/>
        <v>55.4</v>
      </c>
      <c r="G35" s="136">
        <f>IF(D35=D34,"",_xlfn.IFNA(VLOOKUP(D35,'인원 입력 기능 (사과탐)'!$F$64:$I$112,4,FALSE),0))</f>
        <v>753</v>
      </c>
      <c r="H35" s="137">
        <f t="shared" si="4"/>
        <v>4.9090553491101113E-2</v>
      </c>
      <c r="I35" s="139">
        <f>SUM($G$7:G35)</f>
        <v>7217</v>
      </c>
      <c r="J35" s="141">
        <f t="shared" si="5"/>
        <v>0.47050003259664908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3"/>
      <c r="E36" s="143"/>
      <c r="F36" s="133"/>
      <c r="G36" s="135"/>
      <c r="H36" s="138"/>
      <c r="I36" s="140"/>
      <c r="J36" s="142"/>
      <c r="K36" s="28"/>
      <c r="L36" s="5" t="str">
        <f t="shared" si="1"/>
        <v>경고</v>
      </c>
      <c r="N36" s="1"/>
    </row>
    <row r="37" spans="1:14" ht="25" customHeight="1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51.66</v>
      </c>
      <c r="G37" s="72">
        <f>IF(D37=D36,"",_xlfn.IFNA(VLOOKUP(D37,'인원 입력 기능 (사과탐)'!$F$64:$I$112,4,FALSE),0))</f>
        <v>397</v>
      </c>
      <c r="H37" s="73">
        <f t="shared" si="4"/>
        <v>2.5881739357194081E-2</v>
      </c>
      <c r="I37" s="77">
        <f>SUM($G$7:G37)</f>
        <v>7614</v>
      </c>
      <c r="J37" s="75">
        <f t="shared" si="5"/>
        <v>0.49638177195384314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49.01</v>
      </c>
      <c r="G38" s="72">
        <f>IF(D38=D37,"",_xlfn.IFNA(VLOOKUP(D38,'인원 입력 기능 (사과탐)'!$F$64:$I$112,4,FALSE),0))</f>
        <v>415</v>
      </c>
      <c r="H38" s="73">
        <f t="shared" si="4"/>
        <v>2.7055218723515222E-2</v>
      </c>
      <c r="I38" s="77">
        <f>SUM($G$7:G38)</f>
        <v>8029</v>
      </c>
      <c r="J38" s="75">
        <f t="shared" si="5"/>
        <v>0.52343699067735838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46.33</v>
      </c>
      <c r="G39" s="72">
        <f>IF(D39=D38,"",_xlfn.IFNA(VLOOKUP(D39,'인원 입력 기능 (사과탐)'!$F$64:$I$112,4,FALSE),0))</f>
        <v>408</v>
      </c>
      <c r="H39" s="73">
        <f t="shared" si="4"/>
        <v>2.6598865636612557E-2</v>
      </c>
      <c r="I39" s="77">
        <f>SUM($G$7:G39)</f>
        <v>8437</v>
      </c>
      <c r="J39" s="75">
        <f t="shared" si="5"/>
        <v>0.55003585631397089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144">
        <f t="shared" si="2"/>
        <v>45</v>
      </c>
      <c r="E40" s="144">
        <f t="shared" si="6"/>
        <v>5</v>
      </c>
      <c r="F40" s="134">
        <f t="shared" si="3"/>
        <v>41.7</v>
      </c>
      <c r="G40" s="136">
        <f>IF(D40=D39,"",_xlfn.IFNA(VLOOKUP(D40,'인원 입력 기능 (사과탐)'!$F$64:$I$112,4,FALSE),0))</f>
        <v>1011</v>
      </c>
      <c r="H40" s="137">
        <f t="shared" si="4"/>
        <v>6.5910424408370819E-2</v>
      </c>
      <c r="I40" s="139">
        <f>SUM($G$7:G40)</f>
        <v>9448</v>
      </c>
      <c r="J40" s="141">
        <f t="shared" si="5"/>
        <v>0.6159462807223417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143"/>
      <c r="E41" s="143"/>
      <c r="F41" s="133"/>
      <c r="G41" s="135"/>
      <c r="H41" s="138"/>
      <c r="I41" s="140"/>
      <c r="J41" s="142"/>
      <c r="K41" s="28"/>
      <c r="L41" s="5" t="str">
        <f t="shared" si="1"/>
        <v>경고</v>
      </c>
      <c r="N41" s="1"/>
    </row>
    <row r="42" spans="1:14" ht="25" customHeight="1">
      <c r="A42" s="4"/>
      <c r="B42" s="19"/>
      <c r="C42" s="80">
        <v>15</v>
      </c>
      <c r="D42" s="79">
        <f t="shared" si="2"/>
        <v>44</v>
      </c>
      <c r="E42" s="79">
        <f t="shared" si="6"/>
        <v>6</v>
      </c>
      <c r="F42" s="71">
        <f t="shared" si="3"/>
        <v>36.729999999999997</v>
      </c>
      <c r="G42" s="72">
        <f>IF(D42=D41,"",_xlfn.IFNA(VLOOKUP(D42,'인원 입력 기능 (사과탐)'!$F$64:$I$112,4,FALSE),0))</f>
        <v>514</v>
      </c>
      <c r="H42" s="73">
        <f t="shared" si="4"/>
        <v>3.3509355238281503E-2</v>
      </c>
      <c r="I42" s="77">
        <f>SUM($G$7:G42)</f>
        <v>9962</v>
      </c>
      <c r="J42" s="75">
        <f t="shared" si="5"/>
        <v>0.64945563596062328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33.07</v>
      </c>
      <c r="G43" s="72">
        <f>IF(D43=D42,"",_xlfn.IFNA(VLOOKUP(D43,'인원 입력 기능 (사과탐)'!$F$64:$I$112,4,FALSE),0))</f>
        <v>610</v>
      </c>
      <c r="H43" s="73">
        <f t="shared" si="4"/>
        <v>3.976791185866093E-2</v>
      </c>
      <c r="I43" s="77">
        <f>SUM($G$7:G43)</f>
        <v>10572</v>
      </c>
      <c r="J43" s="75">
        <f t="shared" si="5"/>
        <v>0.68922354781928419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144">
        <f t="shared" si="2"/>
        <v>42</v>
      </c>
      <c r="E44" s="144">
        <f t="shared" si="6"/>
        <v>6</v>
      </c>
      <c r="F44" s="134">
        <f t="shared" si="3"/>
        <v>25.51</v>
      </c>
      <c r="G44" s="136">
        <f>IF(D44=D43,"",_xlfn.IFNA(VLOOKUP(D44,'인원 입력 기능 (사과탐)'!$F$64:$I$112,4,FALSE),0))</f>
        <v>1707</v>
      </c>
      <c r="H44" s="137">
        <f t="shared" si="4"/>
        <v>0.11128495990612165</v>
      </c>
      <c r="I44" s="139">
        <f>SUM($G$7:G44)</f>
        <v>12279</v>
      </c>
      <c r="J44" s="141">
        <f t="shared" si="5"/>
        <v>0.80050850772540583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143"/>
      <c r="E45" s="143"/>
      <c r="F45" s="133"/>
      <c r="G45" s="135"/>
      <c r="H45" s="138"/>
      <c r="I45" s="140"/>
      <c r="J45" s="142"/>
      <c r="K45" s="28"/>
      <c r="L45" s="5" t="str">
        <f t="shared" si="1"/>
        <v>경고</v>
      </c>
      <c r="N45" s="1"/>
    </row>
    <row r="46" spans="1:14" ht="25" customHeight="1">
      <c r="A46" s="4"/>
      <c r="B46" s="19"/>
      <c r="C46" s="80">
        <v>11</v>
      </c>
      <c r="D46" s="79">
        <f t="shared" si="2"/>
        <v>41</v>
      </c>
      <c r="E46" s="79">
        <f t="shared" si="6"/>
        <v>7</v>
      </c>
      <c r="F46" s="71">
        <f t="shared" si="3"/>
        <v>16.93</v>
      </c>
      <c r="G46" s="72">
        <f>IF(D46=D45,"",_xlfn.IFNA(VLOOKUP(D46,'인원 입력 기능 (사과탐)'!$F$64:$I$112,4,FALSE),0))</f>
        <v>926</v>
      </c>
      <c r="H46" s="73">
        <f t="shared" si="4"/>
        <v>6.0368994067409872E-2</v>
      </c>
      <c r="I46" s="77">
        <f>SUM($G$7:G46)</f>
        <v>13205</v>
      </c>
      <c r="J46" s="75">
        <f t="shared" si="5"/>
        <v>0.86087750179281575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12.4</v>
      </c>
      <c r="G47" s="72">
        <f>IF(D47=D46,"",_xlfn.IFNA(VLOOKUP(D47,'인원 입력 기능 (사과탐)'!$F$64:$I$112,4,FALSE),0))</f>
        <v>465</v>
      </c>
      <c r="H47" s="73">
        <f t="shared" si="4"/>
        <v>3.031488362996284E-2</v>
      </c>
      <c r="I47" s="77">
        <f>SUM($G$7:G47)</f>
        <v>13670</v>
      </c>
      <c r="J47" s="75">
        <f t="shared" si="5"/>
        <v>0.89119238542277857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39</v>
      </c>
      <c r="E48" s="79">
        <f t="shared" si="6"/>
        <v>8</v>
      </c>
      <c r="F48" s="71">
        <f t="shared" si="3"/>
        <v>9.2899999999999991</v>
      </c>
      <c r="G48" s="72">
        <f>IF(D48=D47,"",_xlfn.IFNA(VLOOKUP(D48,'인원 입력 기능 (사과탐)'!$F$64:$I$112,4,FALSE),0))</f>
        <v>487</v>
      </c>
      <c r="H48" s="73">
        <f t="shared" si="4"/>
        <v>3.1749136188799792E-2</v>
      </c>
      <c r="I48" s="77">
        <f>SUM($G$7:G48)</f>
        <v>14157</v>
      </c>
      <c r="J48" s="75">
        <f t="shared" si="5"/>
        <v>0.92294152161157827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4">
        <f t="shared" si="2"/>
        <v>38</v>
      </c>
      <c r="E49" s="144">
        <f t="shared" si="6"/>
        <v>8</v>
      </c>
      <c r="F49" s="134">
        <f t="shared" si="3"/>
        <v>5.54</v>
      </c>
      <c r="G49" s="136">
        <f>IF(D49=D48,"",_xlfn.IFNA(VLOOKUP(D49,'인원 입력 기능 (사과탐)'!$F$64:$I$112,4,FALSE),0))</f>
        <v>664</v>
      </c>
      <c r="H49" s="137">
        <f t="shared" si="4"/>
        <v>4.3288349957624359E-2</v>
      </c>
      <c r="I49" s="139">
        <f>SUM($G$7:G49)</f>
        <v>14821</v>
      </c>
      <c r="J49" s="141">
        <f t="shared" si="5"/>
        <v>0.9662298715692027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3"/>
      <c r="E50" s="143"/>
      <c r="F50" s="133"/>
      <c r="G50" s="135"/>
      <c r="H50" s="138"/>
      <c r="I50" s="140"/>
      <c r="J50" s="142"/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79">
        <f t="shared" si="2"/>
        <v>37</v>
      </c>
      <c r="E51" s="79">
        <f t="shared" si="6"/>
        <v>9</v>
      </c>
      <c r="F51" s="71">
        <f t="shared" si="3"/>
        <v>2.91</v>
      </c>
      <c r="G51" s="72">
        <f>IF(D51=D50,"",_xlfn.IFNA(VLOOKUP(D51,'인원 입력 기능 (사과탐)'!$F$64:$I$112,4,FALSE),0))</f>
        <v>143</v>
      </c>
      <c r="H51" s="73">
        <f t="shared" si="4"/>
        <v>9.3226416324401849E-3</v>
      </c>
      <c r="I51" s="77">
        <f>SUM($G$7:G51)</f>
        <v>14964</v>
      </c>
      <c r="J51" s="75">
        <f t="shared" si="5"/>
        <v>0.97555251320164282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36</v>
      </c>
      <c r="E52" s="79">
        <f t="shared" si="6"/>
        <v>9</v>
      </c>
      <c r="F52" s="71">
        <f t="shared" si="3"/>
        <v>1.93</v>
      </c>
      <c r="G52" s="72">
        <f>IF(D52=D51,"",_xlfn.IFNA(VLOOKUP(D52,'인원 입력 기능 (사과탐)'!$F$64:$I$112,4,FALSE),0))</f>
        <v>159</v>
      </c>
      <c r="H52" s="73">
        <f t="shared" si="4"/>
        <v>1.0365734402503423E-2</v>
      </c>
      <c r="I52" s="77">
        <f>SUM($G$7:G52)</f>
        <v>15123</v>
      </c>
      <c r="J52" s="75">
        <f t="shared" si="5"/>
        <v>0.98591824760414626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35</v>
      </c>
      <c r="E53" s="70">
        <f t="shared" si="6"/>
        <v>9</v>
      </c>
      <c r="F53" s="71">
        <f t="shared" si="3"/>
        <v>1.0900000000000001</v>
      </c>
      <c r="G53" s="72">
        <f>IF(D53=D52,"",_xlfn.IFNA(VLOOKUP(D53,'인원 입력 기능 (사과탐)'!$F$64:$I$112,4,FALSE),0))</f>
        <v>98</v>
      </c>
      <c r="H53" s="73">
        <f t="shared" si="4"/>
        <v>6.3889432166373298E-3</v>
      </c>
      <c r="I53" s="77">
        <f>SUM($G$7:G53)</f>
        <v>15221</v>
      </c>
      <c r="J53" s="75">
        <f t="shared" si="5"/>
        <v>0.99230719082078367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132">
        <f t="shared" si="2"/>
        <v>34</v>
      </c>
      <c r="E54" s="132">
        <f t="shared" si="6"/>
        <v>9</v>
      </c>
      <c r="F54" s="134">
        <f t="shared" si="3"/>
        <v>0.46</v>
      </c>
      <c r="G54" s="136">
        <f>IF(D54=D53,"",_xlfn.IFNA(VLOOKUP(D54,'인원 입력 기능 (사과탐)'!$F$64:$I$112,4,FALSE),0))</f>
        <v>96</v>
      </c>
      <c r="H54" s="137">
        <f t="shared" si="4"/>
        <v>6.2585566203794251E-3</v>
      </c>
      <c r="I54" s="139">
        <f>SUM($G$7:G54)</f>
        <v>15317</v>
      </c>
      <c r="J54" s="141">
        <f t="shared" si="5"/>
        <v>0.998565747441163</v>
      </c>
      <c r="K54" s="28"/>
      <c r="L54" s="5" t="str">
        <f t="shared" si="1"/>
        <v>경고</v>
      </c>
      <c r="N54" s="1"/>
    </row>
    <row r="55" spans="1:14" ht="25" customHeight="1">
      <c r="A55" s="4"/>
      <c r="B55" s="19"/>
      <c r="C55" s="69">
        <v>2</v>
      </c>
      <c r="D55" s="131"/>
      <c r="E55" s="131"/>
      <c r="F55" s="133"/>
      <c r="G55" s="135"/>
      <c r="H55" s="138"/>
      <c r="I55" s="140"/>
      <c r="J55" s="142"/>
      <c r="K55" s="28"/>
      <c r="L55" s="5" t="str">
        <f t="shared" si="1"/>
        <v>경고</v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(사과탐)'!$F$64:$I$112,4,FALSE),0)</f>
        <v>22</v>
      </c>
      <c r="H57" s="86">
        <f>G57/$J$3</f>
        <v>1.4342525588369516E-3</v>
      </c>
      <c r="I57" s="87">
        <f>SUM($G$7:G57)</f>
        <v>15339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74">
    <mergeCell ref="I54:I55"/>
    <mergeCell ref="J54:J55"/>
    <mergeCell ref="D54:D55"/>
    <mergeCell ref="E54:E55"/>
    <mergeCell ref="F54:F55"/>
    <mergeCell ref="G54:G55"/>
    <mergeCell ref="H54:H55"/>
    <mergeCell ref="I44:I45"/>
    <mergeCell ref="J44:J45"/>
    <mergeCell ref="D49:D50"/>
    <mergeCell ref="E49:E50"/>
    <mergeCell ref="F49:F50"/>
    <mergeCell ref="G49:G50"/>
    <mergeCell ref="H49:H50"/>
    <mergeCell ref="I49:I50"/>
    <mergeCell ref="J49:J50"/>
    <mergeCell ref="D44:D45"/>
    <mergeCell ref="E44:E45"/>
    <mergeCell ref="F44:F45"/>
    <mergeCell ref="G44:G45"/>
    <mergeCell ref="H44:H45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8:J8"/>
    <mergeCell ref="D56:J56"/>
    <mergeCell ref="D13:D14"/>
    <mergeCell ref="E13:E14"/>
    <mergeCell ref="F13:F14"/>
    <mergeCell ref="G13:G14"/>
    <mergeCell ref="H13:H14"/>
    <mergeCell ref="I13:I14"/>
    <mergeCell ref="J13:J14"/>
    <mergeCell ref="D17:D18"/>
    <mergeCell ref="E17:E18"/>
    <mergeCell ref="F17:F18"/>
    <mergeCell ref="G17:G18"/>
    <mergeCell ref="H17:H18"/>
  </mergeCells>
  <phoneticPr fontId="1" type="noConversion"/>
  <conditionalFormatting sqref="D7:D13 D15:D17 D19:D22 D24:D26 D28:D31 D33:D35 D37:D40 D42:D44 D46:D49 D51:D54 D56:D57">
    <cfRule type="expression" dxfId="35" priority="1">
      <formula>$D7=$D8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J7 D8 D57:J57 D56 D9:J13 D15:J17 D19:J22 D24:J26 D28:J31 D33:J35 D37:J40 D42:J44 D46:J49 D51:J54">
    <cfRule type="expression" dxfId="33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3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기능'!D12</f>
        <v>17.83</v>
      </c>
      <c r="I3" s="15" t="s">
        <v>84</v>
      </c>
      <c r="J3" s="35">
        <f>'통계 및 응시자 수 입력 기능'!C12</f>
        <v>6881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98</v>
      </c>
      <c r="E4" s="108"/>
      <c r="F4" s="109"/>
      <c r="G4" s="37" t="s">
        <v>87</v>
      </c>
      <c r="H4" s="38" t="str">
        <f>'통계 및 응시자 수 입력 기능'!E12</f>
        <v>10.35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81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99.75</v>
      </c>
      <c r="G7" s="72">
        <f>_xlfn.IFNA(VLOOKUP(D7,'인원 입력 기능 (사과탐)'!$K$64:$N$112,4,FALSE),0)</f>
        <v>35</v>
      </c>
      <c r="H7" s="73">
        <f>G7/$J$3</f>
        <v>5.0864699898270603E-3</v>
      </c>
      <c r="I7" s="74">
        <f>G7</f>
        <v>35</v>
      </c>
      <c r="J7" s="75">
        <f>I7/$J$3</f>
        <v>5.0864699898270603E-3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입력기능'!C76</f>
        <v>72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입력기능'!C77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79</v>
      </c>
      <c r="E9" s="70">
        <f t="shared" si="0"/>
        <v>1</v>
      </c>
      <c r="F9" s="71">
        <f>IF(I8=0,ROUND(100*(1-(I7+I9)/2/$J$3),2),ROUND(100*(1-(I8+I9)/2/$J$3),2))</f>
        <v>99.42</v>
      </c>
      <c r="G9" s="72">
        <f>_xlfn.IFNA(VLOOKUP(D9,'인원 입력 기능 (사과탐)'!$K$64:$N$112,4,FALSE),0)</f>
        <v>10</v>
      </c>
      <c r="H9" s="73">
        <f>G9/$J$3</f>
        <v>1.4532771399505887E-3</v>
      </c>
      <c r="I9" s="77">
        <f>SUM($G$7:G9)</f>
        <v>45</v>
      </c>
      <c r="J9" s="75">
        <f>I9/$J$3</f>
        <v>6.539747129777649E-3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입력기능'!C78</f>
        <v>57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78</v>
      </c>
      <c r="E10" s="70">
        <f t="shared" si="0"/>
        <v>1</v>
      </c>
      <c r="F10" s="71">
        <f t="shared" ref="F10:F55" si="3">IF(I9=0,ROUND(100*(1-(I8+I10)/2/$J$3),2),ROUND(100*(1-(I9+I10)/2/$J$3),2))</f>
        <v>98.87</v>
      </c>
      <c r="G10" s="72">
        <f>IF(D10=D9,"",_xlfn.IFNA(VLOOKUP(D10,'인원 입력 기능 (사과탐)'!$K$64:$N$112,4,FALSE),0))</f>
        <v>65</v>
      </c>
      <c r="H10" s="73">
        <f t="shared" ref="H10:H55" si="4">G10/$J$3</f>
        <v>9.4463014096788263E-3</v>
      </c>
      <c r="I10" s="77">
        <f>SUM($G$7:G10)</f>
        <v>110</v>
      </c>
      <c r="J10" s="75">
        <f t="shared" ref="J10:J55" si="5">I10/$J$3</f>
        <v>1.5986048539456475E-2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입력기능'!C79</f>
        <v>49</v>
      </c>
    </row>
    <row r="11" spans="1:17" ht="25" customHeight="1">
      <c r="A11" s="4"/>
      <c r="B11" s="19"/>
      <c r="C11" s="69">
        <v>46</v>
      </c>
      <c r="D11" s="70">
        <f t="shared" si="2"/>
        <v>77</v>
      </c>
      <c r="E11" s="70">
        <f t="shared" si="0"/>
        <v>1</v>
      </c>
      <c r="F11" s="71">
        <f t="shared" si="3"/>
        <v>98.38</v>
      </c>
      <c r="G11" s="72">
        <f>IF(D11=D10,"",_xlfn.IFNA(VLOOKUP(D11,'인원 입력 기능 (사과탐)'!$K$64:$N$112,4,FALSE),0))</f>
        <v>3</v>
      </c>
      <c r="H11" s="73">
        <f t="shared" si="4"/>
        <v>4.3598314198517658E-4</v>
      </c>
      <c r="I11" s="77">
        <f>SUM($G$7:G11)</f>
        <v>113</v>
      </c>
      <c r="J11" s="75">
        <f t="shared" si="5"/>
        <v>1.642203168144165E-2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입력기능'!C80</f>
        <v>45</v>
      </c>
    </row>
    <row r="12" spans="1:17" ht="25" customHeight="1">
      <c r="A12" s="4"/>
      <c r="B12" s="19"/>
      <c r="C12" s="76">
        <v>45</v>
      </c>
      <c r="D12" s="70">
        <f t="shared" si="2"/>
        <v>76</v>
      </c>
      <c r="E12" s="70">
        <f t="shared" si="0"/>
        <v>1</v>
      </c>
      <c r="F12" s="71">
        <f t="shared" si="3"/>
        <v>98.13</v>
      </c>
      <c r="G12" s="72">
        <f>IF(D12=D11,"",_xlfn.IFNA(VLOOKUP(D12,'인원 입력 기능 (사과탐)'!$K$64:$N$112,4,FALSE),0))</f>
        <v>31</v>
      </c>
      <c r="H12" s="73">
        <f t="shared" si="4"/>
        <v>4.505159133846825E-3</v>
      </c>
      <c r="I12" s="77">
        <f>SUM($G$7:G12)</f>
        <v>144</v>
      </c>
      <c r="J12" s="75">
        <f t="shared" si="5"/>
        <v>2.0927190815288474E-2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입력기능'!C81</f>
        <v>42</v>
      </c>
    </row>
    <row r="13" spans="1:17" ht="25" customHeight="1">
      <c r="A13" s="4"/>
      <c r="B13" s="19"/>
      <c r="C13" s="69">
        <v>44</v>
      </c>
      <c r="D13" s="70">
        <f t="shared" si="2"/>
        <v>75</v>
      </c>
      <c r="E13" s="70">
        <f t="shared" si="0"/>
        <v>1</v>
      </c>
      <c r="F13" s="71">
        <f t="shared" si="3"/>
        <v>97.44</v>
      </c>
      <c r="G13" s="72">
        <f>IF(D13=D12,"",_xlfn.IFNA(VLOOKUP(D13,'인원 입력 기능 (사과탐)'!$K$64:$N$112,4,FALSE),0))</f>
        <v>64</v>
      </c>
      <c r="H13" s="73">
        <f t="shared" si="4"/>
        <v>9.3009736956837664E-3</v>
      </c>
      <c r="I13" s="77">
        <f>SUM($G$7:G13)</f>
        <v>208</v>
      </c>
      <c r="J13" s="75">
        <f t="shared" si="5"/>
        <v>3.0228164510972242E-2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입력기능'!C82</f>
        <v>40</v>
      </c>
    </row>
    <row r="14" spans="1:17" ht="25" customHeight="1">
      <c r="A14" s="4"/>
      <c r="B14" s="19"/>
      <c r="C14" s="76">
        <v>43</v>
      </c>
      <c r="D14" s="70">
        <f t="shared" si="2"/>
        <v>74</v>
      </c>
      <c r="E14" s="70">
        <f t="shared" si="0"/>
        <v>1</v>
      </c>
      <c r="F14" s="71">
        <f t="shared" si="3"/>
        <v>96.9</v>
      </c>
      <c r="G14" s="72">
        <f>IF(D14=D13,"",_xlfn.IFNA(VLOOKUP(D14,'인원 입력 기능 (사과탐)'!$K$64:$N$112,4,FALSE),0))</f>
        <v>10</v>
      </c>
      <c r="H14" s="73">
        <f t="shared" si="4"/>
        <v>1.4532771399505887E-3</v>
      </c>
      <c r="I14" s="77">
        <f>SUM($G$7:G14)</f>
        <v>218</v>
      </c>
      <c r="J14" s="75">
        <f t="shared" si="5"/>
        <v>3.1681441650922834E-2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입력기능'!C83</f>
        <v>38</v>
      </c>
    </row>
    <row r="15" spans="1:17" ht="25" customHeight="1">
      <c r="A15" s="4"/>
      <c r="B15" s="19"/>
      <c r="C15" s="69">
        <v>42</v>
      </c>
      <c r="D15" s="70">
        <f t="shared" si="2"/>
        <v>73</v>
      </c>
      <c r="E15" s="70">
        <f t="shared" si="0"/>
        <v>1</v>
      </c>
      <c r="F15" s="71">
        <f t="shared" si="3"/>
        <v>96.44</v>
      </c>
      <c r="G15" s="72">
        <f>IF(D15=D14,"",_xlfn.IFNA(VLOOKUP(D15,'인원 입력 기능 (사과탐)'!$K$64:$N$112,4,FALSE),0))</f>
        <v>54</v>
      </c>
      <c r="H15" s="73">
        <f t="shared" si="4"/>
        <v>7.8476965557331777E-3</v>
      </c>
      <c r="I15" s="77">
        <f>SUM($G$7:G15)</f>
        <v>272</v>
      </c>
      <c r="J15" s="75">
        <f t="shared" si="5"/>
        <v>3.952913820665601E-2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72</v>
      </c>
      <c r="E16" s="70">
        <f t="shared" si="0"/>
        <v>1</v>
      </c>
      <c r="F16" s="71">
        <f t="shared" si="3"/>
        <v>95.73</v>
      </c>
      <c r="G16" s="72">
        <f>IF(D16=D15,"",_xlfn.IFNA(VLOOKUP(D16,'인원 입력 기능 (사과탐)'!$K$64:$N$112,4,FALSE),0))</f>
        <v>44</v>
      </c>
      <c r="H16" s="73">
        <f t="shared" si="4"/>
        <v>6.3944194157825899E-3</v>
      </c>
      <c r="I16" s="77">
        <f>SUM($G$7:G16)</f>
        <v>316</v>
      </c>
      <c r="J16" s="75">
        <f t="shared" si="5"/>
        <v>4.5923557622438597E-2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71</v>
      </c>
      <c r="E17" s="70">
        <f t="shared" si="0"/>
        <v>2</v>
      </c>
      <c r="F17" s="71">
        <f t="shared" si="3"/>
        <v>95.21</v>
      </c>
      <c r="G17" s="72">
        <f>IF(D17=D16,"",_xlfn.IFNA(VLOOKUP(D17,'인원 입력 기능 (사과탐)'!$K$64:$N$112,4,FALSE),0))</f>
        <v>27</v>
      </c>
      <c r="H17" s="73">
        <f t="shared" si="4"/>
        <v>3.9238482778665889E-3</v>
      </c>
      <c r="I17" s="77">
        <f>SUM($G$7:G17)</f>
        <v>343</v>
      </c>
      <c r="J17" s="75">
        <f t="shared" si="5"/>
        <v>4.9847405900305189E-2</v>
      </c>
      <c r="K17" s="28"/>
      <c r="L17" s="5" t="str">
        <f t="shared" si="1"/>
        <v/>
      </c>
      <c r="N17" s="1"/>
      <c r="P17" s="1">
        <f>Q7*H3*H4*J3*IFERROR(IF(J57=1, 1, 0), 0)</f>
        <v>91427268.995999977</v>
      </c>
    </row>
    <row r="18" spans="1:16" ht="25" customHeight="1">
      <c r="A18" s="4"/>
      <c r="B18" s="19"/>
      <c r="C18" s="76">
        <v>39</v>
      </c>
      <c r="D18" s="70">
        <f t="shared" si="2"/>
        <v>70</v>
      </c>
      <c r="E18" s="70">
        <f t="shared" si="0"/>
        <v>2</v>
      </c>
      <c r="F18" s="71">
        <f t="shared" si="3"/>
        <v>94.67</v>
      </c>
      <c r="G18" s="72">
        <f>IF(D18=D17,"",_xlfn.IFNA(VLOOKUP(D18,'인원 입력 기능 (사과탐)'!$K$64:$N$112,4,FALSE),0))</f>
        <v>47</v>
      </c>
      <c r="H18" s="73">
        <f t="shared" si="4"/>
        <v>6.8304025577677662E-3</v>
      </c>
      <c r="I18" s="77">
        <f>SUM($G$7:G18)</f>
        <v>390</v>
      </c>
      <c r="J18" s="75">
        <f t="shared" si="5"/>
        <v>5.6677808458072958E-2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132">
        <f t="shared" si="2"/>
        <v>69</v>
      </c>
      <c r="E19" s="132">
        <f t="shared" si="0"/>
        <v>2</v>
      </c>
      <c r="F19" s="134">
        <f t="shared" si="3"/>
        <v>93.48</v>
      </c>
      <c r="G19" s="136">
        <f>IF(D19=D18,"",_xlfn.IFNA(VLOOKUP(D19,'인원 입력 기능 (사과탐)'!$K$64:$N$112,4,FALSE),0))</f>
        <v>117</v>
      </c>
      <c r="H19" s="137">
        <f t="shared" si="4"/>
        <v>1.7003342537421886E-2</v>
      </c>
      <c r="I19" s="139">
        <f>SUM($G$7:G19)</f>
        <v>507</v>
      </c>
      <c r="J19" s="141">
        <f t="shared" si="5"/>
        <v>7.368115099549484E-2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131"/>
      <c r="E20" s="131"/>
      <c r="F20" s="133"/>
      <c r="G20" s="135"/>
      <c r="H20" s="138"/>
      <c r="I20" s="140"/>
      <c r="J20" s="142"/>
      <c r="K20" s="28"/>
      <c r="L20" s="5" t="str">
        <f t="shared" si="1"/>
        <v>경고</v>
      </c>
      <c r="N20" s="1"/>
    </row>
    <row r="21" spans="1:16" ht="25" customHeight="1">
      <c r="A21" s="4"/>
      <c r="B21" s="19"/>
      <c r="C21" s="78">
        <v>36</v>
      </c>
      <c r="D21" s="79">
        <f t="shared" si="2"/>
        <v>68</v>
      </c>
      <c r="E21" s="79">
        <f t="shared" si="0"/>
        <v>2</v>
      </c>
      <c r="F21" s="71">
        <f t="shared" si="3"/>
        <v>92.02</v>
      </c>
      <c r="G21" s="72">
        <f>IF(D21=D20,"",_xlfn.IFNA(VLOOKUP(D21,'인원 입력 기능 (사과탐)'!$K$64:$N$112,4,FALSE),0))</f>
        <v>84</v>
      </c>
      <c r="H21" s="73">
        <f t="shared" si="4"/>
        <v>1.2207527975584944E-2</v>
      </c>
      <c r="I21" s="77">
        <f>SUM($G$7:G21)</f>
        <v>591</v>
      </c>
      <c r="J21" s="75">
        <f t="shared" si="5"/>
        <v>8.5888678971079782E-2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67</v>
      </c>
      <c r="E22" s="79">
        <f t="shared" si="0"/>
        <v>2</v>
      </c>
      <c r="F22" s="71">
        <f t="shared" si="3"/>
        <v>91.14</v>
      </c>
      <c r="G22" s="72">
        <f>IF(D22=D21,"",_xlfn.IFNA(VLOOKUP(D22,'인원 입력 기능 (사과탐)'!$K$64:$N$112,4,FALSE),0))</f>
        <v>38</v>
      </c>
      <c r="H22" s="73">
        <f t="shared" si="4"/>
        <v>5.5224531318122366E-3</v>
      </c>
      <c r="I22" s="77">
        <f>SUM($G$7:G22)</f>
        <v>629</v>
      </c>
      <c r="J22" s="75">
        <f t="shared" si="5"/>
        <v>9.141113210289202E-2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66</v>
      </c>
      <c r="E23" s="79">
        <f t="shared" si="0"/>
        <v>2</v>
      </c>
      <c r="F23" s="71">
        <f t="shared" si="3"/>
        <v>90.28</v>
      </c>
      <c r="G23" s="72">
        <f>IF(D23=D22,"",_xlfn.IFNA(VLOOKUP(D23,'인원 입력 기능 (사과탐)'!$K$64:$N$112,4,FALSE),0))</f>
        <v>79</v>
      </c>
      <c r="H23" s="73">
        <f t="shared" si="4"/>
        <v>1.1480889405609649E-2</v>
      </c>
      <c r="I23" s="77">
        <f>SUM($G$7:G23)</f>
        <v>708</v>
      </c>
      <c r="J23" s="75">
        <f t="shared" si="5"/>
        <v>0.10289202150850167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65</v>
      </c>
      <c r="E24" s="79">
        <f t="shared" si="0"/>
        <v>2</v>
      </c>
      <c r="F24" s="71">
        <f t="shared" si="3"/>
        <v>89.26</v>
      </c>
      <c r="G24" s="72">
        <f>IF(D24=D23,"",_xlfn.IFNA(VLOOKUP(D24,'인원 입력 기능 (사과탐)'!$K$64:$N$112,4,FALSE),0))</f>
        <v>62</v>
      </c>
      <c r="H24" s="73">
        <f t="shared" si="4"/>
        <v>9.01031826769365E-3</v>
      </c>
      <c r="I24" s="77">
        <f>SUM($G$7:G24)</f>
        <v>770</v>
      </c>
      <c r="J24" s="75">
        <f t="shared" si="5"/>
        <v>0.11190233977619532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64</v>
      </c>
      <c r="E25" s="79">
        <f t="shared" si="0"/>
        <v>3</v>
      </c>
      <c r="F25" s="71">
        <f t="shared" si="3"/>
        <v>88.37</v>
      </c>
      <c r="G25" s="72">
        <f>IF(D25=D24,"",_xlfn.IFNA(VLOOKUP(D25,'인원 입력 기능 (사과탐)'!$K$64:$N$112,4,FALSE),0))</f>
        <v>61</v>
      </c>
      <c r="H25" s="73">
        <f t="shared" si="4"/>
        <v>8.8649905536985901E-3</v>
      </c>
      <c r="I25" s="77">
        <f>SUM($G$7:G25)</f>
        <v>831</v>
      </c>
      <c r="J25" s="75">
        <f t="shared" si="5"/>
        <v>0.12076733032989391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63</v>
      </c>
      <c r="E26" s="79">
        <f t="shared" si="0"/>
        <v>3</v>
      </c>
      <c r="F26" s="71">
        <f t="shared" si="3"/>
        <v>87.31</v>
      </c>
      <c r="G26" s="72">
        <f>IF(D26=D25,"",_xlfn.IFNA(VLOOKUP(D26,'인원 입력 기능 (사과탐)'!$K$64:$N$112,4,FALSE),0))</f>
        <v>84</v>
      </c>
      <c r="H26" s="73">
        <f t="shared" si="4"/>
        <v>1.2207527975584944E-2</v>
      </c>
      <c r="I26" s="77">
        <f>SUM($G$7:G26)</f>
        <v>915</v>
      </c>
      <c r="J26" s="75">
        <f t="shared" si="5"/>
        <v>0.13297485830547887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62</v>
      </c>
      <c r="E27" s="79">
        <f t="shared" si="0"/>
        <v>3</v>
      </c>
      <c r="F27" s="71">
        <f t="shared" si="3"/>
        <v>86.05</v>
      </c>
      <c r="G27" s="72">
        <f>IF(D27=D26,"",_xlfn.IFNA(VLOOKUP(D27,'인원 입력 기능 (사과탐)'!$K$64:$N$112,4,FALSE),0))</f>
        <v>90</v>
      </c>
      <c r="H27" s="73">
        <f t="shared" si="4"/>
        <v>1.3079494259555298E-2</v>
      </c>
      <c r="I27" s="77">
        <f>SUM($G$7:G27)</f>
        <v>1005</v>
      </c>
      <c r="J27" s="75">
        <f t="shared" si="5"/>
        <v>0.14605435256503416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61</v>
      </c>
      <c r="E28" s="79">
        <f t="shared" si="0"/>
        <v>3</v>
      </c>
      <c r="F28" s="71">
        <f t="shared" si="3"/>
        <v>84.65</v>
      </c>
      <c r="G28" s="72">
        <f>IF(D28=D27,"",_xlfn.IFNA(VLOOKUP(D28,'인원 입력 기능 (사과탐)'!$K$64:$N$112,4,FALSE),0))</f>
        <v>102</v>
      </c>
      <c r="H28" s="73">
        <f t="shared" si="4"/>
        <v>1.4823426827496003E-2</v>
      </c>
      <c r="I28" s="77">
        <f>SUM($G$7:G28)</f>
        <v>1107</v>
      </c>
      <c r="J28" s="75">
        <f t="shared" si="5"/>
        <v>0.16087777939253015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60</v>
      </c>
      <c r="E29" s="79">
        <f t="shared" si="0"/>
        <v>3</v>
      </c>
      <c r="F29" s="71">
        <f t="shared" si="3"/>
        <v>82.97</v>
      </c>
      <c r="G29" s="72">
        <f>IF(D29=D28,"",_xlfn.IFNA(VLOOKUP(D29,'인원 입력 기능 (사과탐)'!$K$64:$N$112,4,FALSE),0))</f>
        <v>129</v>
      </c>
      <c r="H29" s="73">
        <f t="shared" si="4"/>
        <v>1.8747275105362591E-2</v>
      </c>
      <c r="I29" s="77">
        <f>SUM($G$7:G29)</f>
        <v>1236</v>
      </c>
      <c r="J29" s="75">
        <f t="shared" si="5"/>
        <v>0.17962505449789276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59</v>
      </c>
      <c r="E30" s="79">
        <f t="shared" si="0"/>
        <v>3</v>
      </c>
      <c r="F30" s="71">
        <f t="shared" si="3"/>
        <v>81.239999999999995</v>
      </c>
      <c r="G30" s="72">
        <f>IF(D30=D29,"",_xlfn.IFNA(VLOOKUP(D30,'인원 입력 기능 (사과탐)'!$K$64:$N$112,4,FALSE),0))</f>
        <v>110</v>
      </c>
      <c r="H30" s="73">
        <f t="shared" si="4"/>
        <v>1.5986048539456475E-2</v>
      </c>
      <c r="I30" s="77">
        <f>SUM($G$7:G30)</f>
        <v>1346</v>
      </c>
      <c r="J30" s="75">
        <f t="shared" si="5"/>
        <v>0.19561110303734922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58</v>
      </c>
      <c r="E31" s="79">
        <f t="shared" si="0"/>
        <v>3</v>
      </c>
      <c r="F31" s="71">
        <f t="shared" si="3"/>
        <v>79.58</v>
      </c>
      <c r="G31" s="72">
        <f>IF(D31=D30,"",_xlfn.IFNA(VLOOKUP(D31,'인원 입력 기능 (사과탐)'!$K$64:$N$112,4,FALSE),0))</f>
        <v>118</v>
      </c>
      <c r="H31" s="73">
        <f t="shared" si="4"/>
        <v>1.7148670251416944E-2</v>
      </c>
      <c r="I31" s="77">
        <f>SUM($G$7:G31)</f>
        <v>1464</v>
      </c>
      <c r="J31" s="75">
        <f t="shared" si="5"/>
        <v>0.21275977328876616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57</v>
      </c>
      <c r="E32" s="79">
        <f t="shared" si="0"/>
        <v>3</v>
      </c>
      <c r="F32" s="71">
        <f t="shared" si="3"/>
        <v>77.83</v>
      </c>
      <c r="G32" s="72">
        <f>IF(D32=D31,"",_xlfn.IFNA(VLOOKUP(D32,'인원 입력 기능 (사과탐)'!$K$64:$N$112,4,FALSE),0))</f>
        <v>123</v>
      </c>
      <c r="H32" s="73">
        <f t="shared" si="4"/>
        <v>1.7875308821392238E-2</v>
      </c>
      <c r="I32" s="77">
        <f>SUM($G$7:G32)</f>
        <v>1587</v>
      </c>
      <c r="J32" s="75">
        <f t="shared" si="5"/>
        <v>0.2306350821101584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56</v>
      </c>
      <c r="E33" s="79">
        <f t="shared" si="0"/>
        <v>4</v>
      </c>
      <c r="F33" s="71">
        <f t="shared" si="3"/>
        <v>75.930000000000007</v>
      </c>
      <c r="G33" s="72">
        <f>IF(D33=D32,"",_xlfn.IFNA(VLOOKUP(D33,'인원 입력 기능 (사과탐)'!$K$64:$N$112,4,FALSE),0))</f>
        <v>138</v>
      </c>
      <c r="H33" s="73">
        <f t="shared" si="4"/>
        <v>2.0055224531318121E-2</v>
      </c>
      <c r="I33" s="77">
        <f>SUM($G$7:G33)</f>
        <v>1725</v>
      </c>
      <c r="J33" s="75">
        <f t="shared" si="5"/>
        <v>0.25069030664147651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55</v>
      </c>
      <c r="E34" s="79">
        <f t="shared" si="0"/>
        <v>4</v>
      </c>
      <c r="F34" s="71">
        <f t="shared" si="3"/>
        <v>73.88</v>
      </c>
      <c r="G34" s="72">
        <f>IF(D34=D33,"",_xlfn.IFNA(VLOOKUP(D34,'인원 입력 기능 (사과탐)'!$K$64:$N$112,4,FALSE),0))</f>
        <v>145</v>
      </c>
      <c r="H34" s="73">
        <f t="shared" si="4"/>
        <v>2.1072518529283536E-2</v>
      </c>
      <c r="I34" s="77">
        <f>SUM($G$7:G34)</f>
        <v>1870</v>
      </c>
      <c r="J34" s="75">
        <f t="shared" si="5"/>
        <v>0.27176282517076006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54</v>
      </c>
      <c r="E35" s="79">
        <f t="shared" si="0"/>
        <v>4</v>
      </c>
      <c r="F35" s="71">
        <f t="shared" si="3"/>
        <v>71.709999999999994</v>
      </c>
      <c r="G35" s="72">
        <f>IF(D35=D34,"",_xlfn.IFNA(VLOOKUP(D35,'인원 입력 기능 (사과탐)'!$K$64:$N$112,4,FALSE),0))</f>
        <v>153</v>
      </c>
      <c r="H35" s="73">
        <f t="shared" si="4"/>
        <v>2.2235140241244004E-2</v>
      </c>
      <c r="I35" s="77">
        <f>SUM($G$7:G35)</f>
        <v>2023</v>
      </c>
      <c r="J35" s="75">
        <f t="shared" si="5"/>
        <v>0.29399796541200407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53</v>
      </c>
      <c r="E36" s="79">
        <f t="shared" si="0"/>
        <v>4</v>
      </c>
      <c r="F36" s="71">
        <f t="shared" si="3"/>
        <v>69.3</v>
      </c>
      <c r="G36" s="72">
        <f>IF(D36=D35,"",_xlfn.IFNA(VLOOKUP(D36,'인원 입력 기능 (사과탐)'!$K$64:$N$112,4,FALSE),0))</f>
        <v>179</v>
      </c>
      <c r="H36" s="73">
        <f t="shared" si="4"/>
        <v>2.6013660805115534E-2</v>
      </c>
      <c r="I36" s="77">
        <f>SUM($G$7:G36)</f>
        <v>2202</v>
      </c>
      <c r="J36" s="75">
        <f t="shared" si="5"/>
        <v>0.32001162621711959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52</v>
      </c>
      <c r="E37" s="79">
        <f t="shared" si="0"/>
        <v>4</v>
      </c>
      <c r="F37" s="71">
        <f t="shared" si="3"/>
        <v>66.89</v>
      </c>
      <c r="G37" s="72">
        <f>IF(D37=D36,"",_xlfn.IFNA(VLOOKUP(D37,'인원 입력 기능 (사과탐)'!$K$64:$N$112,4,FALSE),0))</f>
        <v>152</v>
      </c>
      <c r="H37" s="73">
        <f t="shared" si="4"/>
        <v>2.2089812527248946E-2</v>
      </c>
      <c r="I37" s="77">
        <f>SUM($G$7:G37)</f>
        <v>2354</v>
      </c>
      <c r="J37" s="75">
        <f t="shared" si="5"/>
        <v>0.34210143874436855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51</v>
      </c>
      <c r="E38" s="79">
        <f t="shared" si="0"/>
        <v>4</v>
      </c>
      <c r="F38" s="71">
        <f t="shared" si="3"/>
        <v>64.290000000000006</v>
      </c>
      <c r="G38" s="72">
        <f>IF(D38=D37,"",_xlfn.IFNA(VLOOKUP(D38,'인원 입력 기능 (사과탐)'!$K$64:$N$112,4,FALSE),0))</f>
        <v>207</v>
      </c>
      <c r="H38" s="73">
        <f t="shared" si="4"/>
        <v>3.0082836796977184E-2</v>
      </c>
      <c r="I38" s="77">
        <f>SUM($G$7:G38)</f>
        <v>2561</v>
      </c>
      <c r="J38" s="75">
        <f t="shared" si="5"/>
        <v>0.37218427554134575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50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61.39</v>
      </c>
      <c r="G39" s="72">
        <f>IF(D39=D38,"",_xlfn.IFNA(VLOOKUP(D39,'인원 입력 기능 (사과탐)'!$K$64:$N$112,4,FALSE),0))</f>
        <v>191</v>
      </c>
      <c r="H39" s="73">
        <f t="shared" si="4"/>
        <v>2.7757593373056243E-2</v>
      </c>
      <c r="I39" s="77">
        <f>SUM($G$7:G39)</f>
        <v>2752</v>
      </c>
      <c r="J39" s="75">
        <f t="shared" si="5"/>
        <v>0.39994186891440198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49</v>
      </c>
      <c r="E40" s="79">
        <f t="shared" si="6"/>
        <v>4</v>
      </c>
      <c r="F40" s="71">
        <f t="shared" si="3"/>
        <v>58.07</v>
      </c>
      <c r="G40" s="72">
        <f>IF(D40=D39,"",_xlfn.IFNA(VLOOKUP(D40,'인원 입력 기능 (사과탐)'!$K$64:$N$112,4,FALSE),0))</f>
        <v>267</v>
      </c>
      <c r="H40" s="73">
        <f t="shared" si="4"/>
        <v>3.8802499636680712E-2</v>
      </c>
      <c r="I40" s="77">
        <f>SUM($G$7:G40)</f>
        <v>3019</v>
      </c>
      <c r="J40" s="75">
        <f t="shared" si="5"/>
        <v>0.43874436855108268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48</v>
      </c>
      <c r="E41" s="79">
        <f t="shared" si="6"/>
        <v>5</v>
      </c>
      <c r="F41" s="71">
        <f t="shared" si="3"/>
        <v>54.45</v>
      </c>
      <c r="G41" s="72">
        <f>IF(D41=D40,"",_xlfn.IFNA(VLOOKUP(D41,'인원 입력 기능 (사과탐)'!$K$64:$N$112,4,FALSE),0))</f>
        <v>231</v>
      </c>
      <c r="H41" s="73">
        <f t="shared" si="4"/>
        <v>3.3570701932858597E-2</v>
      </c>
      <c r="I41" s="77">
        <f>SUM($G$7:G41)</f>
        <v>3250</v>
      </c>
      <c r="J41" s="75">
        <f t="shared" si="5"/>
        <v>0.47231507048394128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47</v>
      </c>
      <c r="E42" s="79">
        <f t="shared" si="6"/>
        <v>5</v>
      </c>
      <c r="F42" s="71">
        <f t="shared" si="3"/>
        <v>50.92</v>
      </c>
      <c r="G42" s="72">
        <f>IF(D42=D41,"",_xlfn.IFNA(VLOOKUP(D42,'인원 입력 기능 (사과탐)'!$K$64:$N$112,4,FALSE),0))</f>
        <v>255</v>
      </c>
      <c r="H42" s="73">
        <f t="shared" si="4"/>
        <v>3.7058567068740007E-2</v>
      </c>
      <c r="I42" s="77">
        <f>SUM($G$7:G42)</f>
        <v>3505</v>
      </c>
      <c r="J42" s="75">
        <f t="shared" si="5"/>
        <v>0.50937363755268128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46</v>
      </c>
      <c r="E43" s="79">
        <f t="shared" si="6"/>
        <v>5</v>
      </c>
      <c r="F43" s="71">
        <f t="shared" si="3"/>
        <v>46.98</v>
      </c>
      <c r="G43" s="72">
        <f>IF(D43=D42,"",_xlfn.IFNA(VLOOKUP(D43,'인원 입력 기능 (사과탐)'!$K$64:$N$112,4,FALSE),0))</f>
        <v>286</v>
      </c>
      <c r="H43" s="73">
        <f t="shared" si="4"/>
        <v>4.1563726202586831E-2</v>
      </c>
      <c r="I43" s="77">
        <f>SUM($G$7:G43)</f>
        <v>3791</v>
      </c>
      <c r="J43" s="75">
        <f t="shared" si="5"/>
        <v>0.55093736375526814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45</v>
      </c>
      <c r="E44" s="79">
        <f t="shared" si="6"/>
        <v>5</v>
      </c>
      <c r="F44" s="71">
        <f t="shared" si="3"/>
        <v>42.3</v>
      </c>
      <c r="G44" s="72">
        <f>IF(D44=D43,"",_xlfn.IFNA(VLOOKUP(D44,'인원 입력 기능 (사과탐)'!$K$64:$N$112,4,FALSE),0))</f>
        <v>358</v>
      </c>
      <c r="H44" s="73">
        <f t="shared" si="4"/>
        <v>5.2027321610231068E-2</v>
      </c>
      <c r="I44" s="77">
        <f>SUM($G$7:G44)</f>
        <v>4149</v>
      </c>
      <c r="J44" s="75">
        <f t="shared" si="5"/>
        <v>0.60296468536549919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44</v>
      </c>
      <c r="E45" s="79">
        <f t="shared" si="6"/>
        <v>6</v>
      </c>
      <c r="F45" s="71">
        <f t="shared" si="3"/>
        <v>37.29</v>
      </c>
      <c r="G45" s="72">
        <f>IF(D45=D44,"",_xlfn.IFNA(VLOOKUP(D45,'인원 입력 기능 (사과탐)'!$K$64:$N$112,4,FALSE),0))</f>
        <v>332</v>
      </c>
      <c r="H45" s="73">
        <f t="shared" si="4"/>
        <v>4.8248801046359542E-2</v>
      </c>
      <c r="I45" s="77">
        <f>SUM($G$7:G45)</f>
        <v>4481</v>
      </c>
      <c r="J45" s="75">
        <f t="shared" si="5"/>
        <v>0.65121348641185872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43</v>
      </c>
      <c r="E46" s="79">
        <f t="shared" si="6"/>
        <v>6</v>
      </c>
      <c r="F46" s="71">
        <f t="shared" si="3"/>
        <v>33.369999999999997</v>
      </c>
      <c r="G46" s="72">
        <f>IF(D46=D45,"",_xlfn.IFNA(VLOOKUP(D46,'인원 입력 기능 (사과탐)'!$K$64:$N$112,4,FALSE),0))</f>
        <v>208</v>
      </c>
      <c r="H46" s="73">
        <f t="shared" si="4"/>
        <v>3.0228164510972242E-2</v>
      </c>
      <c r="I46" s="77">
        <f>SUM($G$7:G46)</f>
        <v>4689</v>
      </c>
      <c r="J46" s="75">
        <f t="shared" si="5"/>
        <v>0.68144165092283093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42</v>
      </c>
      <c r="E47" s="79">
        <f t="shared" si="6"/>
        <v>6</v>
      </c>
      <c r="F47" s="71">
        <f t="shared" si="3"/>
        <v>25.16</v>
      </c>
      <c r="G47" s="72">
        <f>IF(D47=D46,"",_xlfn.IFNA(VLOOKUP(D47,'인원 입력 기능 (사과탐)'!$K$64:$N$112,4,FALSE),0))</f>
        <v>922</v>
      </c>
      <c r="H47" s="73">
        <f t="shared" si="4"/>
        <v>0.13399215230344427</v>
      </c>
      <c r="I47" s="77">
        <f>SUM($G$7:G47)</f>
        <v>5611</v>
      </c>
      <c r="J47" s="75">
        <f t="shared" si="5"/>
        <v>0.81543380322627523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41</v>
      </c>
      <c r="E48" s="79">
        <f t="shared" si="6"/>
        <v>7</v>
      </c>
      <c r="F48" s="71">
        <f t="shared" si="3"/>
        <v>16.66</v>
      </c>
      <c r="G48" s="72">
        <f>IF(D48=D47,"",_xlfn.IFNA(VLOOKUP(D48,'인원 입력 기능 (사과탐)'!$K$64:$N$112,4,FALSE),0))</f>
        <v>247</v>
      </c>
      <c r="H48" s="73">
        <f t="shared" si="4"/>
        <v>3.5895945356779535E-2</v>
      </c>
      <c r="I48" s="77">
        <f>SUM($G$7:G48)</f>
        <v>5858</v>
      </c>
      <c r="J48" s="75">
        <f t="shared" si="5"/>
        <v>0.85132974858305477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4">
        <v>40</v>
      </c>
      <c r="E49" s="144">
        <f t="shared" si="6"/>
        <v>7</v>
      </c>
      <c r="F49" s="134">
        <f t="shared" si="3"/>
        <v>10.17</v>
      </c>
      <c r="G49" s="136">
        <f>IF(D49=D48,"",_xlfn.IFNA(VLOOKUP(D49,'인원 입력 기능 (사과탐)'!$K$64:$N$112,4,FALSE),0))</f>
        <v>646</v>
      </c>
      <c r="H49" s="137">
        <f t="shared" si="4"/>
        <v>9.3881703240808023E-2</v>
      </c>
      <c r="I49" s="139">
        <f>SUM($G$7:G49)</f>
        <v>6504</v>
      </c>
      <c r="J49" s="141">
        <f t="shared" si="5"/>
        <v>0.94521145182386279</v>
      </c>
      <c r="K49" s="28"/>
      <c r="L49" s="5" t="str">
        <f t="shared" si="1"/>
        <v>경고</v>
      </c>
      <c r="N49" s="1"/>
    </row>
    <row r="50" spans="1:14" ht="25" customHeight="1">
      <c r="A50" s="4"/>
      <c r="B50" s="19"/>
      <c r="C50" s="80">
        <v>7</v>
      </c>
      <c r="D50" s="143"/>
      <c r="E50" s="143"/>
      <c r="F50" s="133"/>
      <c r="G50" s="135"/>
      <c r="H50" s="138"/>
      <c r="I50" s="140"/>
      <c r="J50" s="142"/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79">
        <f t="shared" si="2"/>
        <v>39</v>
      </c>
      <c r="E51" s="79">
        <f t="shared" si="6"/>
        <v>8</v>
      </c>
      <c r="F51" s="71">
        <f t="shared" si="3"/>
        <v>4.95</v>
      </c>
      <c r="G51" s="72">
        <f>IF(D51=D50,"",_xlfn.IFNA(VLOOKUP(D51,'인원 입력 기능 (사과탐)'!$K$64:$N$112,4,FALSE),0))</f>
        <v>73</v>
      </c>
      <c r="H51" s="73">
        <f t="shared" si="4"/>
        <v>1.0608923121639297E-2</v>
      </c>
      <c r="I51" s="77">
        <f>SUM($G$7:G51)</f>
        <v>6577</v>
      </c>
      <c r="J51" s="75">
        <f t="shared" si="5"/>
        <v>0.95582037494550209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38</v>
      </c>
      <c r="E52" s="79">
        <f t="shared" si="6"/>
        <v>8</v>
      </c>
      <c r="F52" s="71">
        <f t="shared" si="3"/>
        <v>3.35</v>
      </c>
      <c r="G52" s="72">
        <f>IF(D52=D51,"",_xlfn.IFNA(VLOOKUP(D52,'인원 입력 기능 (사과탐)'!$K$64:$N$112,4,FALSE),0))</f>
        <v>147</v>
      </c>
      <c r="H52" s="73">
        <f t="shared" si="4"/>
        <v>2.1363173957273652E-2</v>
      </c>
      <c r="I52" s="77">
        <f>SUM($G$7:G52)</f>
        <v>6724</v>
      </c>
      <c r="J52" s="75">
        <f t="shared" si="5"/>
        <v>0.97718354890277581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37</v>
      </c>
      <c r="E53" s="70">
        <f t="shared" si="6"/>
        <v>9</v>
      </c>
      <c r="F53" s="71">
        <f t="shared" si="3"/>
        <v>1.86</v>
      </c>
      <c r="G53" s="72">
        <f>IF(D53=D52,"",_xlfn.IFNA(VLOOKUP(D53,'인원 입력 기능 (사과탐)'!$K$64:$N$112,4,FALSE),0))</f>
        <v>58</v>
      </c>
      <c r="H53" s="73">
        <f t="shared" si="4"/>
        <v>8.4290074117134139E-3</v>
      </c>
      <c r="I53" s="77">
        <f>SUM($G$7:G53)</f>
        <v>6782</v>
      </c>
      <c r="J53" s="75">
        <f t="shared" si="5"/>
        <v>0.98561255631448919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36</v>
      </c>
      <c r="E54" s="70">
        <f t="shared" si="6"/>
        <v>9</v>
      </c>
      <c r="F54" s="71">
        <f t="shared" si="3"/>
        <v>1.05</v>
      </c>
      <c r="G54" s="72">
        <f>IF(D54=D53,"",_xlfn.IFNA(VLOOKUP(D54,'인원 입력 기능 (사과탐)'!$K$64:$N$112,4,FALSE),0))</f>
        <v>53</v>
      </c>
      <c r="H54" s="73">
        <f t="shared" si="4"/>
        <v>7.7023688417381195E-3</v>
      </c>
      <c r="I54" s="77">
        <f>SUM($G$7:G54)</f>
        <v>6835</v>
      </c>
      <c r="J54" s="75">
        <f t="shared" si="5"/>
        <v>0.99331492515622732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35</v>
      </c>
      <c r="E55" s="70">
        <f t="shared" si="6"/>
        <v>9</v>
      </c>
      <c r="F55" s="71">
        <f t="shared" si="3"/>
        <v>0.46</v>
      </c>
      <c r="G55" s="72">
        <f>IF(D55=D54,"",_xlfn.IFNA(VLOOKUP(D55,'인원 입력 기능 (사과탐)'!$K$64:$N$112,4,FALSE),0))</f>
        <v>29</v>
      </c>
      <c r="H55" s="73">
        <f t="shared" si="4"/>
        <v>4.2145037058567069E-3</v>
      </c>
      <c r="I55" s="77">
        <f>SUM($G$7:G55)</f>
        <v>6864</v>
      </c>
      <c r="J55" s="75">
        <f t="shared" si="5"/>
        <v>0.99752942886208396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33</v>
      </c>
      <c r="E57" s="83">
        <f t="shared" si="6"/>
        <v>9</v>
      </c>
      <c r="F57" s="84">
        <f>IF(I55=0,ROUND(100*(1-(I54+I57)/2/$J$3),2),ROUND(100*(1-(I55+I57)/2/$J$3),2))</f>
        <v>0.12</v>
      </c>
      <c r="G57" s="85">
        <f>_xlfn.IFNA(VLOOKUP(D57,'인원 입력 기능 (사과탐)'!$K$64:$N$112,4,FALSE),0)</f>
        <v>17</v>
      </c>
      <c r="H57" s="86">
        <f>G57/$J$3</f>
        <v>2.4705711379160006E-3</v>
      </c>
      <c r="I57" s="87">
        <f>SUM($G$7:G57)</f>
        <v>6881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18">
    <mergeCell ref="I49:I50"/>
    <mergeCell ref="J49:J50"/>
    <mergeCell ref="D3:F3"/>
    <mergeCell ref="D4:F4"/>
    <mergeCell ref="D8:J8"/>
    <mergeCell ref="D56:J56"/>
    <mergeCell ref="D19:D20"/>
    <mergeCell ref="E19:E20"/>
    <mergeCell ref="F19:F20"/>
    <mergeCell ref="G19:G20"/>
    <mergeCell ref="H19:H20"/>
    <mergeCell ref="I19:I20"/>
    <mergeCell ref="J19:J20"/>
    <mergeCell ref="D49:D50"/>
    <mergeCell ref="E49:E50"/>
    <mergeCell ref="F49:F50"/>
    <mergeCell ref="G49:G50"/>
    <mergeCell ref="H49:H50"/>
  </mergeCells>
  <phoneticPr fontId="1" type="noConversion"/>
  <conditionalFormatting sqref="D7:D19 D21:D49 D51:D57">
    <cfRule type="expression" dxfId="32" priority="1">
      <formula>$D7=$D8</formula>
    </cfRule>
  </conditionalFormatting>
  <conditionalFormatting sqref="C7:C57">
    <cfRule type="expression" dxfId="31" priority="3">
      <formula>OR(AND($D7=0,OR($D6=$Q$7:$Q$14)),AND($D8&gt;0,OR($D7=$Q$7:$Q$14)))</formula>
    </cfRule>
  </conditionalFormatting>
  <conditionalFormatting sqref="D7:J7 D8 D57:J57 D56 D9:J19 D21:J49 D51:J55">
    <cfRule type="expression" dxfId="30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4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기능'!D13</f>
        <v>24.17</v>
      </c>
      <c r="I3" s="15" t="s">
        <v>84</v>
      </c>
      <c r="J3" s="35">
        <f>'통계 및 응시자 수 입력 기능'!C13</f>
        <v>23675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97</v>
      </c>
      <c r="E4" s="108"/>
      <c r="F4" s="109"/>
      <c r="G4" s="37" t="s">
        <v>87</v>
      </c>
      <c r="H4" s="38" t="str">
        <f>'통계 및 응시자 수 입력 기능'!E13</f>
        <v>12.15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98.88</v>
      </c>
      <c r="G7" s="72">
        <f>_xlfn.IFNA(VLOOKUP(D7,'인원 입력 기능 (사과탐)'!$P$64:$S$112,4,FALSE),0)</f>
        <v>531</v>
      </c>
      <c r="H7" s="73">
        <f>G7/$J$3</f>
        <v>2.2428722280887013E-2</v>
      </c>
      <c r="I7" s="74">
        <f>G7</f>
        <v>531</v>
      </c>
      <c r="J7" s="75">
        <f>I7/$J$3</f>
        <v>2.2428722280887013E-2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입력기능'!C85</f>
        <v>69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입력기능'!C86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70</v>
      </c>
      <c r="E9" s="70">
        <f t="shared" si="0"/>
        <v>1</v>
      </c>
      <c r="F9" s="71">
        <f>IF(I8=0,ROUND(100*(1-(I7+I9)/2/$J$3),2),ROUND(100*(1-(I8+I9)/2/$J$3),2))</f>
        <v>97.32</v>
      </c>
      <c r="G9" s="72">
        <f>_xlfn.IFNA(VLOOKUP(D9,'인원 입력 기능 (사과탐)'!$P$64:$S$112,4,FALSE),0)</f>
        <v>206</v>
      </c>
      <c r="H9" s="73">
        <f>G9/$J$3</f>
        <v>8.7011615628299899E-3</v>
      </c>
      <c r="I9" s="77">
        <f>SUM($G$7:G9)</f>
        <v>737</v>
      </c>
      <c r="J9" s="75">
        <f>I9/$J$3</f>
        <v>3.1129883843717E-2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입력기능'!C87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69</v>
      </c>
      <c r="E10" s="70">
        <f t="shared" si="0"/>
        <v>1</v>
      </c>
      <c r="F10" s="71">
        <f t="shared" ref="F10:F55" si="3">IF(I9=0,ROUND(100*(1-(I8+I10)/2/$J$3),2),ROUND(100*(1-(I9+I10)/2/$J$3),2))</f>
        <v>95.74</v>
      </c>
      <c r="G10" s="72">
        <f>IF(D10=D9,"",_xlfn.IFNA(VLOOKUP(D10,'인원 입력 기능 (사과탐)'!$P$64:$S$112,4,FALSE),0))</f>
        <v>544</v>
      </c>
      <c r="H10" s="73">
        <f t="shared" ref="H10:H55" si="4">G10/$J$3</f>
        <v>2.2977824709609292E-2</v>
      </c>
      <c r="I10" s="77">
        <f>SUM($G$7:G10)</f>
        <v>1281</v>
      </c>
      <c r="J10" s="75">
        <f t="shared" ref="J10:J55" si="5">I10/$J$3</f>
        <v>5.4107708553326292E-2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입력기능'!C88</f>
        <v>52</v>
      </c>
    </row>
    <row r="11" spans="1:17" ht="25" customHeight="1">
      <c r="A11" s="4"/>
      <c r="B11" s="19"/>
      <c r="C11" s="69">
        <v>46</v>
      </c>
      <c r="D11" s="70">
        <f t="shared" si="2"/>
        <v>68</v>
      </c>
      <c r="E11" s="70">
        <f t="shared" si="0"/>
        <v>2</v>
      </c>
      <c r="F11" s="71">
        <f t="shared" si="3"/>
        <v>94.41</v>
      </c>
      <c r="G11" s="72">
        <f>IF(D11=D10,"",_xlfn.IFNA(VLOOKUP(D11,'인원 입력 기능 (사과탐)'!$P$64:$S$112,4,FALSE),0))</f>
        <v>86</v>
      </c>
      <c r="H11" s="73">
        <f t="shared" si="4"/>
        <v>3.6325237592397044E-3</v>
      </c>
      <c r="I11" s="77">
        <f>SUM($G$7:G11)</f>
        <v>1367</v>
      </c>
      <c r="J11" s="75">
        <f t="shared" si="5"/>
        <v>5.7740232312565996E-2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입력기능'!C89</f>
        <v>46</v>
      </c>
    </row>
    <row r="12" spans="1:17" ht="25" customHeight="1">
      <c r="A12" s="4"/>
      <c r="B12" s="19"/>
      <c r="C12" s="76">
        <v>45</v>
      </c>
      <c r="D12" s="70">
        <f t="shared" si="2"/>
        <v>67</v>
      </c>
      <c r="E12" s="70">
        <f t="shared" si="0"/>
        <v>2</v>
      </c>
      <c r="F12" s="71">
        <f t="shared" si="3"/>
        <v>93.51</v>
      </c>
      <c r="G12" s="72">
        <f>IF(D12=D11,"",_xlfn.IFNA(VLOOKUP(D12,'인원 입력 기능 (사과탐)'!$P$64:$S$112,4,FALSE),0))</f>
        <v>338</v>
      </c>
      <c r="H12" s="73">
        <f t="shared" si="4"/>
        <v>1.4276663146779302E-2</v>
      </c>
      <c r="I12" s="77">
        <f>SUM($G$7:G12)</f>
        <v>1705</v>
      </c>
      <c r="J12" s="75">
        <f t="shared" si="5"/>
        <v>7.2016895459345295E-2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입력기능'!C90</f>
        <v>41</v>
      </c>
    </row>
    <row r="13" spans="1:17" ht="25" customHeight="1">
      <c r="A13" s="4"/>
      <c r="B13" s="19"/>
      <c r="C13" s="69">
        <v>44</v>
      </c>
      <c r="D13" s="70">
        <f t="shared" si="2"/>
        <v>66</v>
      </c>
      <c r="E13" s="70">
        <f t="shared" si="0"/>
        <v>2</v>
      </c>
      <c r="F13" s="71">
        <f t="shared" si="3"/>
        <v>92.09</v>
      </c>
      <c r="G13" s="72">
        <f>IF(D13=D12,"",_xlfn.IFNA(VLOOKUP(D13,'인원 입력 기능 (사과탐)'!$P$64:$S$112,4,FALSE),0))</f>
        <v>334</v>
      </c>
      <c r="H13" s="73">
        <f t="shared" si="4"/>
        <v>1.4107708553326293E-2</v>
      </c>
      <c r="I13" s="77">
        <f>SUM($G$7:G13)</f>
        <v>2039</v>
      </c>
      <c r="J13" s="75">
        <f t="shared" si="5"/>
        <v>8.6124604012671593E-2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입력기능'!C91</f>
        <v>38</v>
      </c>
    </row>
    <row r="14" spans="1:17" ht="25" customHeight="1">
      <c r="A14" s="4"/>
      <c r="B14" s="19"/>
      <c r="C14" s="76">
        <v>43</v>
      </c>
      <c r="D14" s="132">
        <f t="shared" si="2"/>
        <v>65</v>
      </c>
      <c r="E14" s="132">
        <f t="shared" si="0"/>
        <v>2</v>
      </c>
      <c r="F14" s="134">
        <f t="shared" si="3"/>
        <v>90.1</v>
      </c>
      <c r="G14" s="136">
        <f>IF(D14=D13,"",_xlfn.IFNA(VLOOKUP(D14,'인원 입력 기능 (사과탐)'!$P$64:$S$112,4,FALSE),0))</f>
        <v>608</v>
      </c>
      <c r="H14" s="137">
        <f t="shared" si="4"/>
        <v>2.5681098204857443E-2</v>
      </c>
      <c r="I14" s="139">
        <f>SUM($G$7:G14)</f>
        <v>2647</v>
      </c>
      <c r="J14" s="141">
        <f t="shared" si="5"/>
        <v>0.11180570221752904</v>
      </c>
      <c r="K14" s="28"/>
      <c r="L14" s="5" t="str">
        <f t="shared" si="1"/>
        <v>경고</v>
      </c>
      <c r="N14" s="1"/>
      <c r="P14" s="1">
        <v>8</v>
      </c>
      <c r="Q14" s="1">
        <f>'표준점수 등급컷 입력기능'!C92</f>
        <v>37</v>
      </c>
    </row>
    <row r="15" spans="1:17" ht="25" customHeight="1">
      <c r="A15" s="4"/>
      <c r="B15" s="19"/>
      <c r="C15" s="69">
        <v>42</v>
      </c>
      <c r="D15" s="131"/>
      <c r="E15" s="131"/>
      <c r="F15" s="133"/>
      <c r="G15" s="135"/>
      <c r="H15" s="138"/>
      <c r="I15" s="140"/>
      <c r="J15" s="142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64</v>
      </c>
      <c r="E16" s="70">
        <f t="shared" si="0"/>
        <v>3</v>
      </c>
      <c r="F16" s="71">
        <f t="shared" si="3"/>
        <v>88.26</v>
      </c>
      <c r="G16" s="72">
        <f>IF(D16=D15,"",_xlfn.IFNA(VLOOKUP(D16,'인원 입력 기능 (사과탐)'!$P$64:$S$112,4,FALSE),0))</f>
        <v>264</v>
      </c>
      <c r="H16" s="73">
        <f t="shared" si="4"/>
        <v>1.1151003167898627E-2</v>
      </c>
      <c r="I16" s="77">
        <f>SUM($G$7:G16)</f>
        <v>2911</v>
      </c>
      <c r="J16" s="75">
        <f t="shared" si="5"/>
        <v>0.12295670538542766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63</v>
      </c>
      <c r="E17" s="70">
        <f t="shared" si="0"/>
        <v>3</v>
      </c>
      <c r="F17" s="71">
        <f t="shared" si="3"/>
        <v>86.82</v>
      </c>
      <c r="G17" s="72">
        <f>IF(D17=D16,"",_xlfn.IFNA(VLOOKUP(D17,'인원 입력 기능 (사과탐)'!$P$64:$S$112,4,FALSE),0))</f>
        <v>420</v>
      </c>
      <c r="H17" s="73">
        <f t="shared" si="4"/>
        <v>1.7740232312565999E-2</v>
      </c>
      <c r="I17" s="77">
        <f>SUM($G$7:G17)</f>
        <v>3331</v>
      </c>
      <c r="J17" s="75">
        <f t="shared" si="5"/>
        <v>0.14069693769799366</v>
      </c>
      <c r="K17" s="28"/>
      <c r="L17" s="5" t="str">
        <f t="shared" si="1"/>
        <v/>
      </c>
      <c r="N17" s="1"/>
      <c r="P17" s="1">
        <f>Q7*H3*H4*J3*IFERROR(IF(J57=1, 1, 0), 0)</f>
        <v>479724619.16250002</v>
      </c>
    </row>
    <row r="18" spans="1:16" ht="25" customHeight="1">
      <c r="A18" s="4"/>
      <c r="B18" s="19"/>
      <c r="C18" s="76">
        <v>39</v>
      </c>
      <c r="D18" s="70">
        <f t="shared" si="2"/>
        <v>62</v>
      </c>
      <c r="E18" s="70">
        <f t="shared" si="0"/>
        <v>3</v>
      </c>
      <c r="F18" s="71">
        <f t="shared" si="3"/>
        <v>85.08</v>
      </c>
      <c r="G18" s="72">
        <f>IF(D18=D17,"",_xlfn.IFNA(VLOOKUP(D18,'인원 입력 기능 (사과탐)'!$P$64:$S$112,4,FALSE),0))</f>
        <v>402</v>
      </c>
      <c r="H18" s="73">
        <f t="shared" si="4"/>
        <v>1.6979936642027457E-2</v>
      </c>
      <c r="I18" s="77">
        <f>SUM($G$7:G18)</f>
        <v>3733</v>
      </c>
      <c r="J18" s="75">
        <f t="shared" si="5"/>
        <v>0.15767687434002112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132">
        <f t="shared" si="2"/>
        <v>61</v>
      </c>
      <c r="E19" s="132">
        <f t="shared" si="0"/>
        <v>3</v>
      </c>
      <c r="F19" s="134">
        <f t="shared" si="3"/>
        <v>82.51</v>
      </c>
      <c r="G19" s="136">
        <f>IF(D19=D18,"",_xlfn.IFNA(VLOOKUP(D19,'인원 입력 기능 (사과탐)'!$P$64:$S$112,4,FALSE),0))</f>
        <v>815</v>
      </c>
      <c r="H19" s="137">
        <f t="shared" si="4"/>
        <v>3.4424498416050685E-2</v>
      </c>
      <c r="I19" s="139">
        <f>SUM($G$7:G19)</f>
        <v>4548</v>
      </c>
      <c r="J19" s="141">
        <f t="shared" si="5"/>
        <v>0.19210137275607181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131"/>
      <c r="E20" s="131"/>
      <c r="F20" s="133"/>
      <c r="G20" s="135"/>
      <c r="H20" s="138"/>
      <c r="I20" s="140"/>
      <c r="J20" s="142"/>
      <c r="K20" s="28"/>
      <c r="L20" s="5" t="str">
        <f t="shared" si="1"/>
        <v>경고</v>
      </c>
      <c r="N20" s="1"/>
    </row>
    <row r="21" spans="1:16" ht="25" customHeight="1">
      <c r="A21" s="4"/>
      <c r="B21" s="19"/>
      <c r="C21" s="78">
        <v>36</v>
      </c>
      <c r="D21" s="79">
        <f t="shared" si="2"/>
        <v>60</v>
      </c>
      <c r="E21" s="79">
        <f t="shared" si="0"/>
        <v>3</v>
      </c>
      <c r="F21" s="71">
        <f t="shared" si="3"/>
        <v>80.02</v>
      </c>
      <c r="G21" s="72">
        <f>IF(D21=D20,"",_xlfn.IFNA(VLOOKUP(D21,'인원 입력 기능 (사과탐)'!$P$64:$S$112,4,FALSE),0))</f>
        <v>363</v>
      </c>
      <c r="H21" s="73">
        <f t="shared" si="4"/>
        <v>1.5332629355860612E-2</v>
      </c>
      <c r="I21" s="77">
        <f>SUM($G$7:G21)</f>
        <v>4911</v>
      </c>
      <c r="J21" s="75">
        <f t="shared" si="5"/>
        <v>0.20743400211193241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59</v>
      </c>
      <c r="E22" s="79">
        <f t="shared" si="0"/>
        <v>3</v>
      </c>
      <c r="F22" s="71">
        <f t="shared" si="3"/>
        <v>78.31</v>
      </c>
      <c r="G22" s="72">
        <f>IF(D22=D21,"",_xlfn.IFNA(VLOOKUP(D22,'인원 입력 기능 (사과탐)'!$P$64:$S$112,4,FALSE),0))</f>
        <v>447</v>
      </c>
      <c r="H22" s="73">
        <f t="shared" si="4"/>
        <v>1.8880675818373813E-2</v>
      </c>
      <c r="I22" s="77">
        <f>SUM($G$7:G22)</f>
        <v>5358</v>
      </c>
      <c r="J22" s="75">
        <f t="shared" si="5"/>
        <v>0.22631467793030624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58</v>
      </c>
      <c r="E23" s="79">
        <f t="shared" si="0"/>
        <v>3</v>
      </c>
      <c r="F23" s="71">
        <f t="shared" si="3"/>
        <v>76.31</v>
      </c>
      <c r="G23" s="72">
        <f>IF(D23=D22,"",_xlfn.IFNA(VLOOKUP(D23,'인원 입력 기능 (사과탐)'!$P$64:$S$112,4,FALSE),0))</f>
        <v>503</v>
      </c>
      <c r="H23" s="73">
        <f t="shared" si="4"/>
        <v>2.1246040126715944E-2</v>
      </c>
      <c r="I23" s="77">
        <f>SUM($G$7:G23)</f>
        <v>5861</v>
      </c>
      <c r="J23" s="75">
        <f t="shared" si="5"/>
        <v>0.24756071805702218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57</v>
      </c>
      <c r="E24" s="79">
        <f t="shared" si="0"/>
        <v>4</v>
      </c>
      <c r="F24" s="71">
        <f t="shared" si="3"/>
        <v>74.319999999999993</v>
      </c>
      <c r="G24" s="72">
        <f>IF(D24=D23,"",_xlfn.IFNA(VLOOKUP(D24,'인원 입력 기능 (사과탐)'!$P$64:$S$112,4,FALSE),0))</f>
        <v>439</v>
      </c>
      <c r="H24" s="73">
        <f t="shared" si="4"/>
        <v>1.8542766631467793E-2</v>
      </c>
      <c r="I24" s="77">
        <f>SUM($G$7:G24)</f>
        <v>6300</v>
      </c>
      <c r="J24" s="75">
        <f t="shared" si="5"/>
        <v>0.26610348468848999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4">
        <f t="shared" si="2"/>
        <v>56</v>
      </c>
      <c r="E25" s="144">
        <f t="shared" si="0"/>
        <v>4</v>
      </c>
      <c r="F25" s="134">
        <f t="shared" si="3"/>
        <v>71.23</v>
      </c>
      <c r="G25" s="136">
        <f>IF(D25=D24,"",_xlfn.IFNA(VLOOKUP(D25,'인원 입력 기능 (사과탐)'!$P$64:$S$112,4,FALSE),0))</f>
        <v>1021</v>
      </c>
      <c r="H25" s="137">
        <f t="shared" si="4"/>
        <v>4.3125659978880675E-2</v>
      </c>
      <c r="I25" s="139">
        <f>SUM($G$7:G25)</f>
        <v>7321</v>
      </c>
      <c r="J25" s="141">
        <f t="shared" si="5"/>
        <v>0.30922914466737067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3"/>
      <c r="E26" s="143"/>
      <c r="F26" s="133"/>
      <c r="G26" s="135"/>
      <c r="H26" s="138"/>
      <c r="I26" s="140"/>
      <c r="J26" s="142"/>
      <c r="K26" s="28"/>
      <c r="L26" s="5" t="str">
        <f t="shared" si="1"/>
        <v>경고</v>
      </c>
      <c r="N26" s="1"/>
    </row>
    <row r="27" spans="1:16" ht="25" customHeight="1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67.959999999999994</v>
      </c>
      <c r="G27" s="72">
        <f>IF(D27=D26,"",_xlfn.IFNA(VLOOKUP(D27,'인원 입력 기능 (사과탐)'!$P$64:$S$112,4,FALSE),0))</f>
        <v>528</v>
      </c>
      <c r="H27" s="73">
        <f t="shared" si="4"/>
        <v>2.2302006335797254E-2</v>
      </c>
      <c r="I27" s="77">
        <f>SUM($G$7:G27)</f>
        <v>7849</v>
      </c>
      <c r="J27" s="75">
        <f t="shared" si="5"/>
        <v>0.33153115100316788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65.599999999999994</v>
      </c>
      <c r="G28" s="72">
        <f>IF(D28=D27,"",_xlfn.IFNA(VLOOKUP(D28,'인원 입력 기능 (사과탐)'!$P$64:$S$112,4,FALSE),0))</f>
        <v>591</v>
      </c>
      <c r="H28" s="73">
        <f t="shared" si="4"/>
        <v>2.4963041182682152E-2</v>
      </c>
      <c r="I28" s="77">
        <f>SUM($G$7:G28)</f>
        <v>8440</v>
      </c>
      <c r="J28" s="75">
        <f t="shared" si="5"/>
        <v>0.35649419218585005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53</v>
      </c>
      <c r="E29" s="79">
        <f t="shared" si="0"/>
        <v>4</v>
      </c>
      <c r="F29" s="71">
        <f t="shared" si="3"/>
        <v>63.22</v>
      </c>
      <c r="G29" s="72">
        <f>IF(D29=D28,"",_xlfn.IFNA(VLOOKUP(D29,'인원 입력 기능 (사과탐)'!$P$64:$S$112,4,FALSE),0))</f>
        <v>534</v>
      </c>
      <c r="H29" s="73">
        <f t="shared" si="4"/>
        <v>2.2555438225976769E-2</v>
      </c>
      <c r="I29" s="77">
        <f>SUM($G$7:G29)</f>
        <v>8974</v>
      </c>
      <c r="J29" s="75">
        <f t="shared" si="5"/>
        <v>0.37904963041182682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144">
        <f t="shared" si="2"/>
        <v>52</v>
      </c>
      <c r="E30" s="144">
        <f t="shared" si="0"/>
        <v>4</v>
      </c>
      <c r="F30" s="134">
        <f t="shared" si="3"/>
        <v>59.47</v>
      </c>
      <c r="G30" s="136">
        <f>IF(D30=D29,"",_xlfn.IFNA(VLOOKUP(D30,'인원 입력 기능 (사과탐)'!$P$64:$S$112,4,FALSE),0))</f>
        <v>1245</v>
      </c>
      <c r="H30" s="137">
        <f t="shared" si="4"/>
        <v>5.2587117212249207E-2</v>
      </c>
      <c r="I30" s="139">
        <f>SUM($G$7:G30)</f>
        <v>10219</v>
      </c>
      <c r="J30" s="141">
        <f t="shared" si="5"/>
        <v>0.43163674762407606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143"/>
      <c r="E31" s="143"/>
      <c r="F31" s="133"/>
      <c r="G31" s="135"/>
      <c r="H31" s="138"/>
      <c r="I31" s="140"/>
      <c r="J31" s="142"/>
      <c r="K31" s="28"/>
      <c r="L31" s="5" t="str">
        <f t="shared" si="1"/>
        <v>경고</v>
      </c>
      <c r="N31" s="1"/>
    </row>
    <row r="32" spans="1:16" ht="25" customHeight="1">
      <c r="A32" s="4"/>
      <c r="B32" s="19"/>
      <c r="C32" s="80">
        <v>25</v>
      </c>
      <c r="D32" s="79">
        <f t="shared" si="2"/>
        <v>51</v>
      </c>
      <c r="E32" s="79">
        <f t="shared" si="0"/>
        <v>5</v>
      </c>
      <c r="F32" s="71">
        <f t="shared" si="3"/>
        <v>55.71</v>
      </c>
      <c r="G32" s="72">
        <f>IF(D32=D31,"",_xlfn.IFNA(VLOOKUP(D32,'인원 입력 기능 (사과탐)'!$P$64:$S$112,4,FALSE),0))</f>
        <v>531</v>
      </c>
      <c r="H32" s="73">
        <f t="shared" si="4"/>
        <v>2.2428722280887013E-2</v>
      </c>
      <c r="I32" s="77">
        <f>SUM($G$7:G32)</f>
        <v>10750</v>
      </c>
      <c r="J32" s="75">
        <f t="shared" si="5"/>
        <v>0.45406546990496305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50</v>
      </c>
      <c r="E33" s="79">
        <f t="shared" si="0"/>
        <v>5</v>
      </c>
      <c r="F33" s="71">
        <f t="shared" si="3"/>
        <v>53.24</v>
      </c>
      <c r="G33" s="72">
        <f>IF(D33=D32,"",_xlfn.IFNA(VLOOKUP(D33,'인원 입력 기능 (사과탐)'!$P$64:$S$112,4,FALSE),0))</f>
        <v>640</v>
      </c>
      <c r="H33" s="73">
        <f t="shared" si="4"/>
        <v>2.703273495248152E-2</v>
      </c>
      <c r="I33" s="77">
        <f>SUM($G$7:G33)</f>
        <v>11390</v>
      </c>
      <c r="J33" s="75">
        <f t="shared" si="5"/>
        <v>0.48109820485744459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49</v>
      </c>
      <c r="E34" s="79">
        <f t="shared" si="0"/>
        <v>5</v>
      </c>
      <c r="F34" s="71">
        <f t="shared" si="3"/>
        <v>50.73</v>
      </c>
      <c r="G34" s="72">
        <f>IF(D34=D33,"",_xlfn.IFNA(VLOOKUP(D34,'인원 입력 기능 (사과탐)'!$P$64:$S$112,4,FALSE),0))</f>
        <v>549</v>
      </c>
      <c r="H34" s="73">
        <f t="shared" si="4"/>
        <v>2.3189017951425556E-2</v>
      </c>
      <c r="I34" s="77">
        <f>SUM($G$7:G34)</f>
        <v>11939</v>
      </c>
      <c r="J34" s="75">
        <f t="shared" si="5"/>
        <v>0.50428722280887006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48</v>
      </c>
      <c r="E35" s="79">
        <f t="shared" si="0"/>
        <v>5</v>
      </c>
      <c r="F35" s="71">
        <f t="shared" si="3"/>
        <v>48.3</v>
      </c>
      <c r="G35" s="72">
        <f>IF(D35=D34,"",_xlfn.IFNA(VLOOKUP(D35,'인원 입력 기능 (사과탐)'!$P$64:$S$112,4,FALSE),0))</f>
        <v>602</v>
      </c>
      <c r="H35" s="73">
        <f t="shared" si="4"/>
        <v>2.5427666314677931E-2</v>
      </c>
      <c r="I35" s="77">
        <f>SUM($G$7:G35)</f>
        <v>12541</v>
      </c>
      <c r="J35" s="75">
        <f t="shared" si="5"/>
        <v>0.52971488912354803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4">
        <f t="shared" si="2"/>
        <v>47</v>
      </c>
      <c r="E36" s="144">
        <f t="shared" si="0"/>
        <v>5</v>
      </c>
      <c r="F36" s="134">
        <f t="shared" si="3"/>
        <v>44.51</v>
      </c>
      <c r="G36" s="136">
        <f>IF(D36=D35,"",_xlfn.IFNA(VLOOKUP(D36,'인원 입력 기능 (사과탐)'!$P$64:$S$112,4,FALSE),0))</f>
        <v>1191</v>
      </c>
      <c r="H36" s="137">
        <f t="shared" si="4"/>
        <v>5.030623020063358E-2</v>
      </c>
      <c r="I36" s="139">
        <f>SUM($G$7:G36)</f>
        <v>13732</v>
      </c>
      <c r="J36" s="141">
        <f t="shared" si="5"/>
        <v>0.58002111932418166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3"/>
      <c r="E37" s="143"/>
      <c r="F37" s="133"/>
      <c r="G37" s="135"/>
      <c r="H37" s="138"/>
      <c r="I37" s="140"/>
      <c r="J37" s="142"/>
      <c r="K37" s="28"/>
      <c r="L37" s="5" t="str">
        <f t="shared" si="1"/>
        <v>경고</v>
      </c>
      <c r="N37" s="1"/>
    </row>
    <row r="38" spans="1:14" ht="25" customHeight="1">
      <c r="A38" s="4"/>
      <c r="B38" s="19"/>
      <c r="C38" s="80">
        <v>19</v>
      </c>
      <c r="D38" s="79">
        <f t="shared" si="2"/>
        <v>46</v>
      </c>
      <c r="E38" s="79">
        <f t="shared" si="0"/>
        <v>5</v>
      </c>
      <c r="F38" s="71">
        <f t="shared" si="3"/>
        <v>40.479999999999997</v>
      </c>
      <c r="G38" s="72">
        <f>IF(D38=D37,"",_xlfn.IFNA(VLOOKUP(D38,'인원 입력 기능 (사과탐)'!$P$64:$S$112,4,FALSE),0))</f>
        <v>718</v>
      </c>
      <c r="H38" s="73">
        <f t="shared" si="4"/>
        <v>3.0327349524815205E-2</v>
      </c>
      <c r="I38" s="77">
        <f>SUM($G$7:G38)</f>
        <v>14450</v>
      </c>
      <c r="J38" s="75">
        <f t="shared" si="5"/>
        <v>0.61034846884899685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37.76</v>
      </c>
      <c r="G39" s="72">
        <f>IF(D39=D38,"",_xlfn.IFNA(VLOOKUP(D39,'인원 입력 기능 (사과탐)'!$P$64:$S$112,4,FALSE),0))</f>
        <v>569</v>
      </c>
      <c r="H39" s="73">
        <f t="shared" si="4"/>
        <v>2.4033790918690602E-2</v>
      </c>
      <c r="I39" s="77">
        <f>SUM($G$7:G39)</f>
        <v>15019</v>
      </c>
      <c r="J39" s="75">
        <f t="shared" si="5"/>
        <v>0.63438225976768747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44</v>
      </c>
      <c r="E40" s="79">
        <f t="shared" si="6"/>
        <v>6</v>
      </c>
      <c r="F40" s="71">
        <f t="shared" si="3"/>
        <v>35.200000000000003</v>
      </c>
      <c r="G40" s="72">
        <f>IF(D40=D39,"",_xlfn.IFNA(VLOOKUP(D40,'인원 입력 기능 (사과탐)'!$P$64:$S$112,4,FALSE),0))</f>
        <v>643</v>
      </c>
      <c r="H40" s="73">
        <f t="shared" si="4"/>
        <v>2.7159450897571279E-2</v>
      </c>
      <c r="I40" s="77">
        <f>SUM($G$7:G40)</f>
        <v>15662</v>
      </c>
      <c r="J40" s="75">
        <f t="shared" si="5"/>
        <v>0.66154171066525869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43</v>
      </c>
      <c r="E41" s="79">
        <f t="shared" si="6"/>
        <v>6</v>
      </c>
      <c r="F41" s="71">
        <f t="shared" si="3"/>
        <v>32.369999999999997</v>
      </c>
      <c r="G41" s="72">
        <f>IF(D41=D40,"",_xlfn.IFNA(VLOOKUP(D41,'인원 입력 기능 (사과탐)'!$P$64:$S$112,4,FALSE),0))</f>
        <v>699</v>
      </c>
      <c r="H41" s="73">
        <f t="shared" si="4"/>
        <v>2.9524815205913411E-2</v>
      </c>
      <c r="I41" s="77">
        <f>SUM($G$7:G41)</f>
        <v>16361</v>
      </c>
      <c r="J41" s="75">
        <f t="shared" si="5"/>
        <v>0.69106652587117212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144">
        <f t="shared" si="2"/>
        <v>42</v>
      </c>
      <c r="E42" s="144">
        <f t="shared" si="6"/>
        <v>6</v>
      </c>
      <c r="F42" s="134">
        <f t="shared" si="3"/>
        <v>28.18</v>
      </c>
      <c r="G42" s="136">
        <f>IF(D42=D41,"",_xlfn.IFNA(VLOOKUP(D42,'인원 입력 기능 (사과탐)'!$P$64:$S$112,4,FALSE),0))</f>
        <v>1286</v>
      </c>
      <c r="H42" s="137">
        <f t="shared" si="4"/>
        <v>5.4318901795142559E-2</v>
      </c>
      <c r="I42" s="139">
        <f>SUM($G$7:G42)</f>
        <v>17647</v>
      </c>
      <c r="J42" s="141">
        <f t="shared" si="5"/>
        <v>0.74538542766631466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143"/>
      <c r="E43" s="143"/>
      <c r="F43" s="133"/>
      <c r="G43" s="135"/>
      <c r="H43" s="138"/>
      <c r="I43" s="140"/>
      <c r="J43" s="142"/>
      <c r="K43" s="28"/>
      <c r="L43" s="5" t="str">
        <f t="shared" si="1"/>
        <v>경고</v>
      </c>
      <c r="N43" s="1"/>
    </row>
    <row r="44" spans="1:14" ht="25" customHeight="1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24.19</v>
      </c>
      <c r="G44" s="72">
        <f>IF(D44=D43,"",_xlfn.IFNA(VLOOKUP(D44,'인원 입력 기능 (사과탐)'!$P$64:$S$112,4,FALSE),0))</f>
        <v>603</v>
      </c>
      <c r="H44" s="73">
        <f t="shared" si="4"/>
        <v>2.5469904963041183E-2</v>
      </c>
      <c r="I44" s="77">
        <f>SUM($G$7:G44)</f>
        <v>18250</v>
      </c>
      <c r="J44" s="75">
        <f t="shared" si="5"/>
        <v>0.7708553326293559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19.97</v>
      </c>
      <c r="G45" s="72">
        <f>IF(D45=D44,"",_xlfn.IFNA(VLOOKUP(D45,'인원 입력 기능 (사과탐)'!$P$64:$S$112,4,FALSE),0))</f>
        <v>1393</v>
      </c>
      <c r="H45" s="73">
        <f t="shared" si="4"/>
        <v>5.8838437170010562E-2</v>
      </c>
      <c r="I45" s="77">
        <f>SUM($G$7:G45)</f>
        <v>19643</v>
      </c>
      <c r="J45" s="75">
        <f t="shared" si="5"/>
        <v>0.82969376979936638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39</v>
      </c>
      <c r="E46" s="79">
        <f t="shared" si="6"/>
        <v>7</v>
      </c>
      <c r="F46" s="71">
        <f t="shared" si="3"/>
        <v>15.72</v>
      </c>
      <c r="G46" s="72">
        <f>IF(D46=D45,"",_xlfn.IFNA(VLOOKUP(D46,'인원 입력 기능 (사과탐)'!$P$64:$S$112,4,FALSE),0))</f>
        <v>619</v>
      </c>
      <c r="H46" s="73">
        <f t="shared" si="4"/>
        <v>2.6145723336853222E-2</v>
      </c>
      <c r="I46" s="77">
        <f>SUM($G$7:G46)</f>
        <v>20262</v>
      </c>
      <c r="J46" s="75">
        <f t="shared" si="5"/>
        <v>0.85583949313621965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144">
        <f t="shared" si="2"/>
        <v>38</v>
      </c>
      <c r="E47" s="144">
        <f t="shared" si="6"/>
        <v>7</v>
      </c>
      <c r="F47" s="134">
        <f t="shared" si="3"/>
        <v>10.1</v>
      </c>
      <c r="G47" s="136">
        <f>IF(D47=D46,"",_xlfn.IFNA(VLOOKUP(D47,'인원 입력 기능 (사과탐)'!$P$64:$S$112,4,FALSE),0))</f>
        <v>2046</v>
      </c>
      <c r="H47" s="137">
        <f t="shared" si="4"/>
        <v>8.6420274551214357E-2</v>
      </c>
      <c r="I47" s="139">
        <f>SUM($G$7:G47)</f>
        <v>22308</v>
      </c>
      <c r="J47" s="141">
        <f t="shared" si="5"/>
        <v>0.94225976768743402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143"/>
      <c r="E48" s="143"/>
      <c r="F48" s="133"/>
      <c r="G48" s="135"/>
      <c r="H48" s="138"/>
      <c r="I48" s="140"/>
      <c r="J48" s="142"/>
      <c r="K48" s="28"/>
      <c r="L48" s="5" t="str">
        <f t="shared" si="1"/>
        <v>경고</v>
      </c>
      <c r="N48" s="1"/>
    </row>
    <row r="49" spans="1:14" ht="25" customHeight="1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4.7</v>
      </c>
      <c r="G49" s="72">
        <f>IF(D49=D48,"",_xlfn.IFNA(VLOOKUP(D49,'인원 입력 기능 (사과탐)'!$P$64:$S$112,4,FALSE),0))</f>
        <v>507</v>
      </c>
      <c r="H49" s="73">
        <f t="shared" si="4"/>
        <v>2.1414994720168955E-2</v>
      </c>
      <c r="I49" s="77">
        <f>SUM($G$7:G49)</f>
        <v>22815</v>
      </c>
      <c r="J49" s="75">
        <f t="shared" si="5"/>
        <v>0.96367476240760297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36</v>
      </c>
      <c r="E50" s="79">
        <f t="shared" si="6"/>
        <v>9</v>
      </c>
      <c r="F50" s="71">
        <f t="shared" si="3"/>
        <v>3.03</v>
      </c>
      <c r="G50" s="72">
        <f>IF(D50=D49,"",_xlfn.IFNA(VLOOKUP(D50,'인원 입력 기능 (사과탐)'!$P$64:$S$112,4,FALSE),0))</f>
        <v>283</v>
      </c>
      <c r="H50" s="73">
        <f t="shared" si="4"/>
        <v>1.1953537486800423E-2</v>
      </c>
      <c r="I50" s="77">
        <f>SUM($G$7:G50)</f>
        <v>23098</v>
      </c>
      <c r="J50" s="75">
        <f t="shared" si="5"/>
        <v>0.97562829989440336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35</v>
      </c>
      <c r="E51" s="79">
        <f t="shared" si="6"/>
        <v>9</v>
      </c>
      <c r="F51" s="71">
        <f t="shared" si="3"/>
        <v>2.0499999999999998</v>
      </c>
      <c r="G51" s="72">
        <f>IF(D51=D50,"",_xlfn.IFNA(VLOOKUP(D51,'인원 입력 기능 (사과탐)'!$P$64:$S$112,4,FALSE),0))</f>
        <v>181</v>
      </c>
      <c r="H51" s="73">
        <f t="shared" si="4"/>
        <v>7.6451953537486801E-3</v>
      </c>
      <c r="I51" s="77">
        <f>SUM($G$7:G51)</f>
        <v>23279</v>
      </c>
      <c r="J51" s="75">
        <f t="shared" si="5"/>
        <v>0.98327349524815211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1.28</v>
      </c>
      <c r="G52" s="72">
        <f>IF(D52=D51,"",_xlfn.IFNA(VLOOKUP(D52,'인원 입력 기능 (사과탐)'!$P$64:$S$112,4,FALSE),0))</f>
        <v>184</v>
      </c>
      <c r="H52" s="73">
        <f t="shared" si="4"/>
        <v>7.7719112988384369E-3</v>
      </c>
      <c r="I52" s="77">
        <f>SUM($G$7:G52)</f>
        <v>23463</v>
      </c>
      <c r="J52" s="75">
        <f t="shared" si="5"/>
        <v>0.99104540654699047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132">
        <f t="shared" si="2"/>
        <v>33</v>
      </c>
      <c r="E53" s="132">
        <f t="shared" si="6"/>
        <v>9</v>
      </c>
      <c r="F53" s="134">
        <f t="shared" si="3"/>
        <v>0.59</v>
      </c>
      <c r="G53" s="136">
        <f>IF(D53=D52,"",_xlfn.IFNA(VLOOKUP(D53,'인원 입력 기능 (사과탐)'!$P$64:$S$112,4,FALSE),0))</f>
        <v>145</v>
      </c>
      <c r="H53" s="137">
        <f t="shared" si="4"/>
        <v>6.1246040126715943E-3</v>
      </c>
      <c r="I53" s="139">
        <f>SUM($G$7:G53)</f>
        <v>23608</v>
      </c>
      <c r="J53" s="141">
        <f t="shared" si="5"/>
        <v>0.99717001055966215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131"/>
      <c r="E54" s="131"/>
      <c r="F54" s="133"/>
      <c r="G54" s="135"/>
      <c r="H54" s="138"/>
      <c r="I54" s="140"/>
      <c r="J54" s="142"/>
      <c r="K54" s="28"/>
      <c r="L54" s="5" t="str">
        <f t="shared" si="1"/>
        <v>경고</v>
      </c>
      <c r="N54" s="1"/>
    </row>
    <row r="55" spans="1:14" ht="25" customHeight="1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0.19</v>
      </c>
      <c r="G55" s="72">
        <f>IF(D55=D54,"",_xlfn.IFNA(VLOOKUP(D55,'인원 입력 기능 (사과탐)'!$P$64:$S$112,4,FALSE),0))</f>
        <v>43</v>
      </c>
      <c r="H55" s="73">
        <f t="shared" si="4"/>
        <v>1.8162618796198522E-3</v>
      </c>
      <c r="I55" s="77">
        <f>SUM($G$7:G55)</f>
        <v>23651</v>
      </c>
      <c r="J55" s="75">
        <f t="shared" si="5"/>
        <v>0.99898627243928195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0.05</v>
      </c>
      <c r="G57" s="85">
        <f>_xlfn.IFNA(VLOOKUP(D57,'인원 입력 기능 (사과탐)'!$P$64:$S$112,4,FALSE),0)</f>
        <v>24</v>
      </c>
      <c r="H57" s="86">
        <f>G57/$J$3</f>
        <v>1.0137275607180571E-3</v>
      </c>
      <c r="I57" s="87">
        <f>SUM($G$7:G57)</f>
        <v>23675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60">
    <mergeCell ref="I53:I54"/>
    <mergeCell ref="J53:J54"/>
    <mergeCell ref="D53:D54"/>
    <mergeCell ref="E53:E54"/>
    <mergeCell ref="F53:F54"/>
    <mergeCell ref="G53:G54"/>
    <mergeCell ref="H53:H54"/>
    <mergeCell ref="I42:I43"/>
    <mergeCell ref="J42:J43"/>
    <mergeCell ref="D47:D48"/>
    <mergeCell ref="E47:E48"/>
    <mergeCell ref="F47:F48"/>
    <mergeCell ref="G47:G48"/>
    <mergeCell ref="H47:H48"/>
    <mergeCell ref="I47:I48"/>
    <mergeCell ref="J47:J48"/>
    <mergeCell ref="D42:D43"/>
    <mergeCell ref="E42:E43"/>
    <mergeCell ref="F42:F43"/>
    <mergeCell ref="G42:G43"/>
    <mergeCell ref="H42:H43"/>
    <mergeCell ref="I30:I31"/>
    <mergeCell ref="J30:J31"/>
    <mergeCell ref="D36:D37"/>
    <mergeCell ref="E36:E37"/>
    <mergeCell ref="F36:F37"/>
    <mergeCell ref="G36:G37"/>
    <mergeCell ref="H36:H37"/>
    <mergeCell ref="I36:I37"/>
    <mergeCell ref="J36:J37"/>
    <mergeCell ref="D30:D31"/>
    <mergeCell ref="E30:E31"/>
    <mergeCell ref="F30:F31"/>
    <mergeCell ref="G30:G31"/>
    <mergeCell ref="H30:H31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8:J8"/>
    <mergeCell ref="D56:J56"/>
    <mergeCell ref="D14:D15"/>
    <mergeCell ref="E14:E15"/>
    <mergeCell ref="F14:F15"/>
    <mergeCell ref="G14:G15"/>
    <mergeCell ref="H14:H15"/>
    <mergeCell ref="I14:I15"/>
    <mergeCell ref="J14:J15"/>
    <mergeCell ref="D19:D20"/>
    <mergeCell ref="E19:E20"/>
    <mergeCell ref="F19:F20"/>
    <mergeCell ref="G19:G20"/>
    <mergeCell ref="H19:H20"/>
  </mergeCells>
  <phoneticPr fontId="1" type="noConversion"/>
  <conditionalFormatting sqref="D7:D14 D16:D19 D21:D25 D27:D30 D32:D36 D38:D42 D44:D47 D49:D53 D55:D57">
    <cfRule type="expression" dxfId="29" priority="1">
      <formula>$D7=$D8</formula>
    </cfRule>
  </conditionalFormatting>
  <conditionalFormatting sqref="C7:C57">
    <cfRule type="expression" dxfId="28" priority="3">
      <formula>OR(AND($D7=0,OR($D6=$Q$7:$Q$14)),AND($D8&gt;0,OR($D7=$Q$7:$Q$14)))</formula>
    </cfRule>
  </conditionalFormatting>
  <conditionalFormatting sqref="D7:J7 D8 D57:J57 D56 D9:J14 D16:J19 D21:J25 D27:J30 D32:J36 D38:J42 D44:J47 D49:J53 D55:J55">
    <cfRule type="expression" dxfId="27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5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기능'!D14</f>
        <v>26.83</v>
      </c>
      <c r="I3" s="15" t="s">
        <v>84</v>
      </c>
      <c r="J3" s="35">
        <f>'통계 및 응시자 수 입력 기능'!C14</f>
        <v>148655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96</v>
      </c>
      <c r="E4" s="108"/>
      <c r="F4" s="109"/>
      <c r="G4" s="37" t="s">
        <v>87</v>
      </c>
      <c r="H4" s="38" t="str">
        <f>'통계 및 응시자 수 입력 기능'!E14</f>
        <v>11.52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99.75</v>
      </c>
      <c r="G7" s="72">
        <f>_xlfn.IFNA(VLOOKUP(D7,'인원 입력 기능 (사과탐)'!$A$121:$D$169,4,FALSE),0)</f>
        <v>754</v>
      </c>
      <c r="H7" s="73">
        <f>G7/$J$3</f>
        <v>5.0721469173589852E-3</v>
      </c>
      <c r="I7" s="74">
        <f>G7</f>
        <v>754</v>
      </c>
      <c r="J7" s="75">
        <f>I7/$J$3</f>
        <v>5.0721469173589852E-3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입력기능'!C94</f>
        <v>66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입력기능'!C95</f>
        <v>63</v>
      </c>
    </row>
    <row r="9" spans="1:17" ht="25" customHeight="1">
      <c r="A9" s="4"/>
      <c r="B9" s="19"/>
      <c r="C9" s="69">
        <v>48</v>
      </c>
      <c r="D9" s="132">
        <f>ROUND(10*(C9-$H$3)/$H$4+50,0)</f>
        <v>68</v>
      </c>
      <c r="E9" s="132">
        <f t="shared" si="0"/>
        <v>1</v>
      </c>
      <c r="F9" s="134">
        <f>IF(I8=0,ROUND(100*(1-(I7+I9)/2/$J$3),2),ROUND(100*(1-(I8+I9)/2/$J$3),2))</f>
        <v>98.46</v>
      </c>
      <c r="G9" s="136">
        <f>_xlfn.IFNA(VLOOKUP(D9,'인원 입력 기능 (사과탐)'!$A$121:$D$169,4,FALSE),0)</f>
        <v>3069</v>
      </c>
      <c r="H9" s="137">
        <f>G9/$J$3</f>
        <v>2.0645117890417411E-2</v>
      </c>
      <c r="I9" s="139">
        <f>SUM($G$7:G9)</f>
        <v>3823</v>
      </c>
      <c r="J9" s="141">
        <f>I9/$J$3</f>
        <v>2.5717264807776394E-2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입력기능'!C96</f>
        <v>59</v>
      </c>
    </row>
    <row r="10" spans="1:17" ht="25" customHeight="1">
      <c r="A10" s="4"/>
      <c r="B10" s="19"/>
      <c r="C10" s="76">
        <v>47</v>
      </c>
      <c r="D10" s="131"/>
      <c r="E10" s="131"/>
      <c r="F10" s="133"/>
      <c r="G10" s="135"/>
      <c r="H10" s="138"/>
      <c r="I10" s="140"/>
      <c r="J10" s="142"/>
      <c r="K10" s="28"/>
      <c r="L10" s="5" t="str">
        <f t="shared" si="1"/>
        <v>경고</v>
      </c>
      <c r="N10" s="1"/>
      <c r="P10" s="1">
        <v>4</v>
      </c>
      <c r="Q10" s="1">
        <f>'표준점수 등급컷 입력기능'!C97</f>
        <v>54</v>
      </c>
    </row>
    <row r="11" spans="1:17" ht="25" customHeight="1">
      <c r="A11" s="4"/>
      <c r="B11" s="19"/>
      <c r="C11" s="69">
        <v>46</v>
      </c>
      <c r="D11" s="70">
        <f t="shared" ref="D10:D55" si="2">ROUND(10*(C11-$H$3)/$H$4+50,0)</f>
        <v>67</v>
      </c>
      <c r="E11" s="70">
        <f t="shared" si="0"/>
        <v>1</v>
      </c>
      <c r="F11" s="71">
        <f t="shared" ref="F10:F55" si="3">IF(I10=0,ROUND(100*(1-(I9+I11)/2/$J$3),2),ROUND(100*(1-(I10+I11)/2/$J$3),2))</f>
        <v>97.37</v>
      </c>
      <c r="G11" s="72">
        <f>IF(D11=D10,"",_xlfn.IFNA(VLOOKUP(D11,'인원 입력 기능 (사과탐)'!$A$121:$D$169,4,FALSE),0))</f>
        <v>172</v>
      </c>
      <c r="H11" s="73">
        <f t="shared" ref="H10:H55" si="4">G11/$J$3</f>
        <v>1.1570414718643841E-3</v>
      </c>
      <c r="I11" s="77">
        <f>SUM($G$7:G11)</f>
        <v>3995</v>
      </c>
      <c r="J11" s="75">
        <f t="shared" ref="J10:J55" si="5">I11/$J$3</f>
        <v>2.687430627964078E-2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입력기능'!C98</f>
        <v>48</v>
      </c>
    </row>
    <row r="12" spans="1:17" ht="25" customHeight="1">
      <c r="A12" s="4"/>
      <c r="B12" s="19"/>
      <c r="C12" s="76">
        <v>45</v>
      </c>
      <c r="D12" s="70">
        <f t="shared" si="2"/>
        <v>66</v>
      </c>
      <c r="E12" s="70">
        <f t="shared" si="0"/>
        <v>1</v>
      </c>
      <c r="F12" s="71">
        <f t="shared" si="3"/>
        <v>96.26</v>
      </c>
      <c r="G12" s="72">
        <f>IF(D12=D11,"",_xlfn.IFNA(VLOOKUP(D12,'인원 입력 기능 (사과탐)'!$A$121:$D$169,4,FALSE),0))</f>
        <v>3122</v>
      </c>
      <c r="H12" s="73">
        <f t="shared" si="4"/>
        <v>2.1001648111398877E-2</v>
      </c>
      <c r="I12" s="77">
        <f>SUM($G$7:G12)</f>
        <v>7117</v>
      </c>
      <c r="J12" s="75">
        <f t="shared" si="5"/>
        <v>4.7875954391039657E-2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입력기능'!C99</f>
        <v>41</v>
      </c>
    </row>
    <row r="13" spans="1:17" ht="25" customHeight="1">
      <c r="A13" s="4"/>
      <c r="B13" s="19"/>
      <c r="C13" s="69">
        <v>44</v>
      </c>
      <c r="D13" s="70">
        <f t="shared" si="2"/>
        <v>65</v>
      </c>
      <c r="E13" s="70">
        <f t="shared" si="0"/>
        <v>2</v>
      </c>
      <c r="F13" s="71">
        <f t="shared" si="3"/>
        <v>94.24</v>
      </c>
      <c r="G13" s="72">
        <f>IF(D13=D12,"",_xlfn.IFNA(VLOOKUP(D13,'인원 입력 기능 (사과탐)'!$A$121:$D$169,4,FALSE),0))</f>
        <v>2893</v>
      </c>
      <c r="H13" s="73">
        <f t="shared" si="4"/>
        <v>1.9461168477346878E-2</v>
      </c>
      <c r="I13" s="77">
        <f>SUM($G$7:G13)</f>
        <v>10010</v>
      </c>
      <c r="J13" s="75">
        <f t="shared" si="5"/>
        <v>6.7337122868386529E-2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입력기능'!C100</f>
        <v>35</v>
      </c>
    </row>
    <row r="14" spans="1:17" ht="25" customHeight="1">
      <c r="A14" s="4"/>
      <c r="B14" s="19"/>
      <c r="C14" s="76">
        <v>43</v>
      </c>
      <c r="D14" s="70">
        <f t="shared" si="2"/>
        <v>64</v>
      </c>
      <c r="E14" s="70">
        <f t="shared" si="0"/>
        <v>2</v>
      </c>
      <c r="F14" s="71">
        <f t="shared" si="3"/>
        <v>92.87</v>
      </c>
      <c r="G14" s="72">
        <f>IF(D14=D13,"",_xlfn.IFNA(VLOOKUP(D14,'인원 입력 기능 (사과탐)'!$A$121:$D$169,4,FALSE),0))</f>
        <v>1180</v>
      </c>
      <c r="H14" s="73">
        <f t="shared" si="4"/>
        <v>7.9378426558137979E-3</v>
      </c>
      <c r="I14" s="77">
        <f>SUM($G$7:G14)</f>
        <v>11190</v>
      </c>
      <c r="J14" s="75">
        <f t="shared" si="5"/>
        <v>7.5274965524200335E-2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입력기능'!C101</f>
        <v>33</v>
      </c>
    </row>
    <row r="15" spans="1:17" ht="25" customHeight="1">
      <c r="A15" s="4"/>
      <c r="B15" s="19"/>
      <c r="C15" s="69">
        <v>42</v>
      </c>
      <c r="D15" s="70">
        <f t="shared" si="2"/>
        <v>63</v>
      </c>
      <c r="E15" s="70">
        <f t="shared" si="0"/>
        <v>2</v>
      </c>
      <c r="F15" s="71">
        <f t="shared" si="3"/>
        <v>90.69</v>
      </c>
      <c r="G15" s="72">
        <f>IF(D15=D14,"",_xlfn.IFNA(VLOOKUP(D15,'인원 입력 기능 (사과탐)'!$A$121:$D$169,4,FALSE),0))</f>
        <v>5302</v>
      </c>
      <c r="H15" s="73">
        <f t="shared" si="4"/>
        <v>3.5666476068749793E-2</v>
      </c>
      <c r="I15" s="77">
        <f>SUM($G$7:G15)</f>
        <v>16492</v>
      </c>
      <c r="J15" s="75">
        <f t="shared" si="5"/>
        <v>0.11094144159295012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62</v>
      </c>
      <c r="E16" s="70">
        <f t="shared" si="0"/>
        <v>3</v>
      </c>
      <c r="F16" s="71">
        <f t="shared" si="3"/>
        <v>88.01</v>
      </c>
      <c r="G16" s="72">
        <f>IF(D16=D15,"",_xlfn.IFNA(VLOOKUP(D16,'인원 입력 기능 (사과탐)'!$A$121:$D$169,4,FALSE),0))</f>
        <v>2657</v>
      </c>
      <c r="H16" s="73">
        <f t="shared" si="4"/>
        <v>1.7873599946184118E-2</v>
      </c>
      <c r="I16" s="77">
        <f>SUM($G$7:G16)</f>
        <v>19149</v>
      </c>
      <c r="J16" s="75">
        <f t="shared" si="5"/>
        <v>0.12881504153913423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132">
        <f t="shared" si="2"/>
        <v>61</v>
      </c>
      <c r="E17" s="132">
        <f t="shared" si="0"/>
        <v>3</v>
      </c>
      <c r="F17" s="134">
        <f t="shared" si="3"/>
        <v>84.25</v>
      </c>
      <c r="G17" s="136">
        <f>IF(D17=D16,"",_xlfn.IFNA(VLOOKUP(D17,'인원 입력 기능 (사과탐)'!$A$121:$D$169,4,FALSE),0))</f>
        <v>8540</v>
      </c>
      <c r="H17" s="137">
        <f t="shared" si="4"/>
        <v>5.7448454475126969E-2</v>
      </c>
      <c r="I17" s="139">
        <f>SUM($G$7:G17)</f>
        <v>27689</v>
      </c>
      <c r="J17" s="141">
        <f t="shared" si="5"/>
        <v>0.1862634960142612</v>
      </c>
      <c r="K17" s="28"/>
      <c r="L17" s="5" t="str">
        <f t="shared" si="1"/>
        <v/>
      </c>
      <c r="N17" s="1"/>
      <c r="P17" s="1">
        <f>Q7*H3*H4*J3*IFERROR(IF(J57=1, 1, 0), 0)</f>
        <v>3032470666.3679996</v>
      </c>
    </row>
    <row r="18" spans="1:16" ht="25" customHeight="1">
      <c r="A18" s="4"/>
      <c r="B18" s="19"/>
      <c r="C18" s="76">
        <v>39</v>
      </c>
      <c r="D18" s="131"/>
      <c r="E18" s="131"/>
      <c r="F18" s="133"/>
      <c r="G18" s="135"/>
      <c r="H18" s="138"/>
      <c r="I18" s="140"/>
      <c r="J18" s="142"/>
      <c r="K18" s="28"/>
      <c r="L18" s="5" t="str">
        <f t="shared" si="1"/>
        <v>경고</v>
      </c>
      <c r="N18" s="1"/>
    </row>
    <row r="19" spans="1:16" ht="25" customHeight="1">
      <c r="A19" s="4"/>
      <c r="B19" s="19"/>
      <c r="C19" s="69">
        <v>38</v>
      </c>
      <c r="D19" s="70">
        <f t="shared" si="2"/>
        <v>60</v>
      </c>
      <c r="E19" s="70">
        <f t="shared" si="0"/>
        <v>3</v>
      </c>
      <c r="F19" s="71">
        <f t="shared" si="3"/>
        <v>80.44</v>
      </c>
      <c r="G19" s="72">
        <f>IF(D19=D18,"",_xlfn.IFNA(VLOOKUP(D19,'인원 입력 기능 (사과탐)'!$A$121:$D$169,4,FALSE),0))</f>
        <v>2788</v>
      </c>
      <c r="H19" s="73">
        <f t="shared" si="4"/>
        <v>1.8754835020685479E-2</v>
      </c>
      <c r="I19" s="77">
        <f>SUM($G$7:G19)</f>
        <v>30477</v>
      </c>
      <c r="J19" s="75">
        <f t="shared" si="5"/>
        <v>0.20501833103494668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59</v>
      </c>
      <c r="E20" s="70">
        <f t="shared" si="0"/>
        <v>3</v>
      </c>
      <c r="F20" s="71">
        <f t="shared" si="3"/>
        <v>77.900000000000006</v>
      </c>
      <c r="G20" s="72">
        <f>IF(D20=D19,"",_xlfn.IFNA(VLOOKUP(D20,'인원 입력 기능 (사과탐)'!$A$121:$D$169,4,FALSE),0))</f>
        <v>4756</v>
      </c>
      <c r="H20" s="73">
        <f t="shared" si="4"/>
        <v>3.1993542094110525E-2</v>
      </c>
      <c r="I20" s="77">
        <f>SUM($G$7:G20)</f>
        <v>35233</v>
      </c>
      <c r="J20" s="75">
        <f t="shared" si="5"/>
        <v>0.23701187312905722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58</v>
      </c>
      <c r="E21" s="79">
        <f t="shared" si="0"/>
        <v>4</v>
      </c>
      <c r="F21" s="71">
        <f t="shared" si="3"/>
        <v>74.69</v>
      </c>
      <c r="G21" s="72">
        <f>IF(D21=D20,"",_xlfn.IFNA(VLOOKUP(D21,'인원 입력 기능 (사과탐)'!$A$121:$D$169,4,FALSE),0))</f>
        <v>4772</v>
      </c>
      <c r="H21" s="73">
        <f t="shared" si="4"/>
        <v>3.2101173858935121E-2</v>
      </c>
      <c r="I21" s="77">
        <f>SUM($G$7:G21)</f>
        <v>40005</v>
      </c>
      <c r="J21" s="75">
        <f t="shared" si="5"/>
        <v>0.26911304698799232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57</v>
      </c>
      <c r="E22" s="79">
        <f t="shared" si="0"/>
        <v>4</v>
      </c>
      <c r="F22" s="71">
        <f t="shared" si="3"/>
        <v>71.83</v>
      </c>
      <c r="G22" s="72">
        <f>IF(D22=D21,"",_xlfn.IFNA(VLOOKUP(D22,'인원 입력 기능 (사과탐)'!$A$121:$D$169,4,FALSE),0))</f>
        <v>3753</v>
      </c>
      <c r="H22" s="73">
        <f t="shared" si="4"/>
        <v>2.5246375836668798E-2</v>
      </c>
      <c r="I22" s="77">
        <f>SUM($G$7:G22)</f>
        <v>43758</v>
      </c>
      <c r="J22" s="75">
        <f t="shared" si="5"/>
        <v>0.29435942282466115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56</v>
      </c>
      <c r="E23" s="79">
        <f t="shared" si="0"/>
        <v>4</v>
      </c>
      <c r="F23" s="71">
        <f t="shared" si="3"/>
        <v>68.81</v>
      </c>
      <c r="G23" s="72">
        <f>IF(D23=D22,"",_xlfn.IFNA(VLOOKUP(D23,'인원 입력 기능 (사과탐)'!$A$121:$D$169,4,FALSE),0))</f>
        <v>5202</v>
      </c>
      <c r="H23" s="73">
        <f t="shared" si="4"/>
        <v>3.4993777538596081E-2</v>
      </c>
      <c r="I23" s="77">
        <f>SUM($G$7:G23)</f>
        <v>48960</v>
      </c>
      <c r="J23" s="75">
        <f t="shared" si="5"/>
        <v>0.32935320036325721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55</v>
      </c>
      <c r="E24" s="79">
        <f t="shared" si="0"/>
        <v>4</v>
      </c>
      <c r="F24" s="71">
        <f t="shared" si="3"/>
        <v>65.73</v>
      </c>
      <c r="G24" s="72">
        <f>IF(D24=D23,"",_xlfn.IFNA(VLOOKUP(D24,'인원 입력 기능 (사과탐)'!$A$121:$D$169,4,FALSE),0))</f>
        <v>3963</v>
      </c>
      <c r="H24" s="73">
        <f t="shared" si="4"/>
        <v>2.6659042749991591E-2</v>
      </c>
      <c r="I24" s="77">
        <f>SUM($G$7:G24)</f>
        <v>52923</v>
      </c>
      <c r="J24" s="75">
        <f t="shared" si="5"/>
        <v>0.35601224311324881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4">
        <f t="shared" si="2"/>
        <v>54</v>
      </c>
      <c r="E25" s="144">
        <f t="shared" si="0"/>
        <v>4</v>
      </c>
      <c r="F25" s="134">
        <f t="shared" si="3"/>
        <v>61.25</v>
      </c>
      <c r="G25" s="136">
        <f>IF(D25=D24,"",_xlfn.IFNA(VLOOKUP(D25,'인원 입력 기능 (사과탐)'!$A$121:$D$169,4,FALSE),0))</f>
        <v>9362</v>
      </c>
      <c r="H25" s="137">
        <f t="shared" si="4"/>
        <v>6.2978036392990475E-2</v>
      </c>
      <c r="I25" s="139">
        <f>SUM($G$7:G25)</f>
        <v>62285</v>
      </c>
      <c r="J25" s="141">
        <f t="shared" si="5"/>
        <v>0.41899027950623929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3"/>
      <c r="E26" s="143"/>
      <c r="F26" s="133"/>
      <c r="G26" s="135"/>
      <c r="H26" s="138"/>
      <c r="I26" s="140"/>
      <c r="J26" s="142"/>
      <c r="K26" s="28"/>
      <c r="L26" s="5" t="str">
        <f t="shared" si="1"/>
        <v>경고</v>
      </c>
      <c r="N26" s="1"/>
    </row>
    <row r="27" spans="1:16" ht="25" customHeight="1">
      <c r="A27" s="4"/>
      <c r="B27" s="19"/>
      <c r="C27" s="78">
        <v>30</v>
      </c>
      <c r="D27" s="79">
        <f t="shared" si="2"/>
        <v>53</v>
      </c>
      <c r="E27" s="79">
        <f t="shared" si="0"/>
        <v>5</v>
      </c>
      <c r="F27" s="71">
        <f t="shared" si="3"/>
        <v>56.64</v>
      </c>
      <c r="G27" s="72">
        <f>IF(D27=D26,"",_xlfn.IFNA(VLOOKUP(D27,'인원 입력 기능 (사과탐)'!$A$121:$D$169,4,FALSE),0))</f>
        <v>4343</v>
      </c>
      <c r="H27" s="73">
        <f t="shared" si="4"/>
        <v>2.9215297164575695E-2</v>
      </c>
      <c r="I27" s="77">
        <f>SUM($G$7:G27)</f>
        <v>66628</v>
      </c>
      <c r="J27" s="75">
        <f t="shared" si="5"/>
        <v>0.44820557667081495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52</v>
      </c>
      <c r="E28" s="79">
        <f t="shared" si="0"/>
        <v>5</v>
      </c>
      <c r="F28" s="71">
        <f t="shared" si="3"/>
        <v>53.59</v>
      </c>
      <c r="G28" s="72">
        <f>IF(D28=D27,"",_xlfn.IFNA(VLOOKUP(D28,'인원 입력 기능 (사과탐)'!$A$121:$D$169,4,FALSE),0))</f>
        <v>4713</v>
      </c>
      <c r="H28" s="73">
        <f t="shared" si="4"/>
        <v>3.170428172614443E-2</v>
      </c>
      <c r="I28" s="77">
        <f>SUM($G$7:G28)</f>
        <v>71341</v>
      </c>
      <c r="J28" s="75">
        <f t="shared" si="5"/>
        <v>0.47990985839695938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51</v>
      </c>
      <c r="E29" s="79">
        <f t="shared" si="0"/>
        <v>5</v>
      </c>
      <c r="F29" s="71">
        <f t="shared" si="3"/>
        <v>50.63</v>
      </c>
      <c r="G29" s="72">
        <f>IF(D29=D28,"",_xlfn.IFNA(VLOOKUP(D29,'인원 입력 기능 (사과탐)'!$A$121:$D$169,4,FALSE),0))</f>
        <v>4112</v>
      </c>
      <c r="H29" s="73">
        <f t="shared" si="4"/>
        <v>2.7661363559920622E-2</v>
      </c>
      <c r="I29" s="77">
        <f>SUM($G$7:G29)</f>
        <v>75453</v>
      </c>
      <c r="J29" s="75">
        <f t="shared" si="5"/>
        <v>0.50757122195687998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50</v>
      </c>
      <c r="E30" s="79">
        <f t="shared" si="0"/>
        <v>5</v>
      </c>
      <c r="F30" s="71">
        <f t="shared" si="3"/>
        <v>47.68</v>
      </c>
      <c r="G30" s="72">
        <f>IF(D30=D29,"",_xlfn.IFNA(VLOOKUP(D30,'인원 입력 기능 (사과탐)'!$A$121:$D$169,4,FALSE),0))</f>
        <v>4651</v>
      </c>
      <c r="H30" s="73">
        <f t="shared" si="4"/>
        <v>3.1287208637449125E-2</v>
      </c>
      <c r="I30" s="77">
        <f>SUM($G$7:G30)</f>
        <v>80104</v>
      </c>
      <c r="J30" s="75">
        <f t="shared" si="5"/>
        <v>0.53885843059432914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49</v>
      </c>
      <c r="E31" s="79">
        <f t="shared" si="0"/>
        <v>5</v>
      </c>
      <c r="F31" s="71">
        <f t="shared" si="3"/>
        <v>44.78</v>
      </c>
      <c r="G31" s="72">
        <f>IF(D31=D30,"",_xlfn.IFNA(VLOOKUP(D31,'인원 입력 기능 (사과탐)'!$A$121:$D$169,4,FALSE),0))</f>
        <v>3962</v>
      </c>
      <c r="H31" s="73">
        <f t="shared" si="4"/>
        <v>2.6652315764690054E-2</v>
      </c>
      <c r="I31" s="77">
        <f>SUM($G$7:G31)</f>
        <v>84066</v>
      </c>
      <c r="J31" s="75">
        <f t="shared" si="5"/>
        <v>0.56551074635901921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144">
        <f t="shared" si="2"/>
        <v>48</v>
      </c>
      <c r="E32" s="144">
        <f t="shared" si="0"/>
        <v>5</v>
      </c>
      <c r="F32" s="134">
        <f t="shared" si="3"/>
        <v>40.65</v>
      </c>
      <c r="G32" s="136">
        <f>IF(D32=D31,"",_xlfn.IFNA(VLOOKUP(D32,'인원 입력 기능 (사과탐)'!$A$121:$D$169,4,FALSE),0))</f>
        <v>8328</v>
      </c>
      <c r="H32" s="137">
        <f t="shared" si="4"/>
        <v>5.6022333591201103E-2</v>
      </c>
      <c r="I32" s="139">
        <f>SUM($G$7:G32)</f>
        <v>92394</v>
      </c>
      <c r="J32" s="141">
        <f t="shared" si="5"/>
        <v>0.62153307995022034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143"/>
      <c r="E33" s="143"/>
      <c r="F33" s="133"/>
      <c r="G33" s="135"/>
      <c r="H33" s="138"/>
      <c r="I33" s="140"/>
      <c r="J33" s="142"/>
      <c r="K33" s="28"/>
      <c r="L33" s="5" t="str">
        <f t="shared" si="1"/>
        <v>경고</v>
      </c>
      <c r="N33" s="1"/>
    </row>
    <row r="34" spans="1:14" ht="25" customHeight="1">
      <c r="A34" s="4"/>
      <c r="B34" s="19"/>
      <c r="C34" s="80">
        <v>23</v>
      </c>
      <c r="D34" s="79">
        <f t="shared" si="2"/>
        <v>47</v>
      </c>
      <c r="E34" s="79">
        <f t="shared" si="0"/>
        <v>6</v>
      </c>
      <c r="F34" s="71">
        <f t="shared" si="3"/>
        <v>36.71</v>
      </c>
      <c r="G34" s="72">
        <f>IF(D34=D33,"",_xlfn.IFNA(VLOOKUP(D34,'인원 입력 기능 (사과탐)'!$A$121:$D$169,4,FALSE),0))</f>
        <v>3376</v>
      </c>
      <c r="H34" s="73">
        <f t="shared" si="4"/>
        <v>2.2710302377989305E-2</v>
      </c>
      <c r="I34" s="77">
        <f>SUM($G$7:G34)</f>
        <v>95770</v>
      </c>
      <c r="J34" s="75">
        <f t="shared" si="5"/>
        <v>0.64424338232820966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46</v>
      </c>
      <c r="E35" s="79">
        <f t="shared" si="0"/>
        <v>6</v>
      </c>
      <c r="F35" s="71">
        <f t="shared" si="3"/>
        <v>34.25</v>
      </c>
      <c r="G35" s="72">
        <f>IF(D35=D34,"",_xlfn.IFNA(VLOOKUP(D35,'인원 입력 기능 (사과탐)'!$A$121:$D$169,4,FALSE),0))</f>
        <v>3953</v>
      </c>
      <c r="H35" s="73">
        <f t="shared" si="4"/>
        <v>2.6591772896976219E-2</v>
      </c>
      <c r="I35" s="77">
        <f>SUM($G$7:G35)</f>
        <v>99723</v>
      </c>
      <c r="J35" s="75">
        <f t="shared" si="5"/>
        <v>0.67083515522518589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45</v>
      </c>
      <c r="E36" s="79">
        <f t="shared" si="0"/>
        <v>6</v>
      </c>
      <c r="F36" s="71">
        <f t="shared" si="3"/>
        <v>31.87</v>
      </c>
      <c r="G36" s="72">
        <f>IF(D36=D35,"",_xlfn.IFNA(VLOOKUP(D36,'인원 입력 기능 (사과탐)'!$A$121:$D$169,4,FALSE),0))</f>
        <v>3110</v>
      </c>
      <c r="H36" s="73">
        <f t="shared" si="4"/>
        <v>2.0920924287780432E-2</v>
      </c>
      <c r="I36" s="77">
        <f>SUM($G$7:G36)</f>
        <v>102833</v>
      </c>
      <c r="J36" s="75">
        <f t="shared" si="5"/>
        <v>0.69175607951296625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44</v>
      </c>
      <c r="E37" s="79">
        <f t="shared" si="0"/>
        <v>6</v>
      </c>
      <c r="F37" s="71">
        <f t="shared" si="3"/>
        <v>29.76</v>
      </c>
      <c r="G37" s="72">
        <f>IF(D37=D36,"",_xlfn.IFNA(VLOOKUP(D37,'인원 입력 기능 (사과탐)'!$A$121:$D$169,4,FALSE),0))</f>
        <v>3169</v>
      </c>
      <c r="H37" s="73">
        <f t="shared" si="4"/>
        <v>2.1317816420571119E-2</v>
      </c>
      <c r="I37" s="77">
        <f>SUM($G$7:G37)</f>
        <v>106002</v>
      </c>
      <c r="J37" s="75">
        <f t="shared" si="5"/>
        <v>0.71307389593353743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43</v>
      </c>
      <c r="E38" s="79">
        <f t="shared" si="0"/>
        <v>6</v>
      </c>
      <c r="F38" s="71">
        <f t="shared" si="3"/>
        <v>27.58</v>
      </c>
      <c r="G38" s="72">
        <f>IF(D38=D37,"",_xlfn.IFNA(VLOOKUP(D38,'인원 입력 기능 (사과탐)'!$A$121:$D$169,4,FALSE),0))</f>
        <v>3299</v>
      </c>
      <c r="H38" s="73">
        <f t="shared" si="4"/>
        <v>2.2192324509770947E-2</v>
      </c>
      <c r="I38" s="77">
        <f>SUM($G$7:G38)</f>
        <v>109301</v>
      </c>
      <c r="J38" s="75">
        <f t="shared" si="5"/>
        <v>0.73526622044330836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42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25.59</v>
      </c>
      <c r="G39" s="72">
        <f>IF(D39=D38,"",_xlfn.IFNA(VLOOKUP(D39,'인원 입력 기능 (사과탐)'!$A$121:$D$169,4,FALSE),0))</f>
        <v>2622</v>
      </c>
      <c r="H39" s="73">
        <f t="shared" si="4"/>
        <v>1.7638155460630318E-2</v>
      </c>
      <c r="I39" s="77">
        <f>SUM($G$7:G39)</f>
        <v>111923</v>
      </c>
      <c r="J39" s="75">
        <f t="shared" si="5"/>
        <v>0.75290437590393866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144">
        <f t="shared" si="2"/>
        <v>41</v>
      </c>
      <c r="E40" s="144">
        <f t="shared" si="6"/>
        <v>6</v>
      </c>
      <c r="F40" s="134">
        <f t="shared" si="3"/>
        <v>22.8</v>
      </c>
      <c r="G40" s="136">
        <f>IF(D40=D39,"",_xlfn.IFNA(VLOOKUP(D40,'인원 입력 기능 (사과탐)'!$A$121:$D$169,4,FALSE),0))</f>
        <v>5664</v>
      </c>
      <c r="H40" s="137">
        <f t="shared" si="4"/>
        <v>3.8101644747906227E-2</v>
      </c>
      <c r="I40" s="139">
        <f>SUM($G$7:G40)</f>
        <v>117587</v>
      </c>
      <c r="J40" s="141">
        <f t="shared" si="5"/>
        <v>0.79100602065184489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143"/>
      <c r="E41" s="143"/>
      <c r="F41" s="133"/>
      <c r="G41" s="135"/>
      <c r="H41" s="138"/>
      <c r="I41" s="140"/>
      <c r="J41" s="142"/>
      <c r="K41" s="28"/>
      <c r="L41" s="5" t="str">
        <f t="shared" si="1"/>
        <v>경고</v>
      </c>
      <c r="N41" s="1"/>
    </row>
    <row r="42" spans="1:14" ht="25" customHeight="1">
      <c r="A42" s="4"/>
      <c r="B42" s="19"/>
      <c r="C42" s="80">
        <v>15</v>
      </c>
      <c r="D42" s="79">
        <f t="shared" si="2"/>
        <v>40</v>
      </c>
      <c r="E42" s="79">
        <f t="shared" si="6"/>
        <v>7</v>
      </c>
      <c r="F42" s="71">
        <f t="shared" si="3"/>
        <v>20.03</v>
      </c>
      <c r="G42" s="72">
        <f>IF(D42=D41,"",_xlfn.IFNA(VLOOKUP(D42,'인원 입력 기능 (사과탐)'!$A$121:$D$169,4,FALSE),0))</f>
        <v>2573</v>
      </c>
      <c r="H42" s="73">
        <f t="shared" si="4"/>
        <v>1.7308533180854999E-2</v>
      </c>
      <c r="I42" s="77">
        <f>SUM($G$7:G42)</f>
        <v>120160</v>
      </c>
      <c r="J42" s="75">
        <f t="shared" si="5"/>
        <v>0.8083145538326999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39</v>
      </c>
      <c r="E43" s="79">
        <f t="shared" si="6"/>
        <v>7</v>
      </c>
      <c r="F43" s="71">
        <f t="shared" si="3"/>
        <v>18.079999999999998</v>
      </c>
      <c r="G43" s="72">
        <f>IF(D43=D42,"",_xlfn.IFNA(VLOOKUP(D43,'인원 입력 기능 (사과탐)'!$A$121:$D$169,4,FALSE),0))</f>
        <v>3233</v>
      </c>
      <c r="H43" s="73">
        <f t="shared" si="4"/>
        <v>2.1748343479869498E-2</v>
      </c>
      <c r="I43" s="77">
        <f>SUM($G$7:G43)</f>
        <v>123393</v>
      </c>
      <c r="J43" s="75">
        <f t="shared" si="5"/>
        <v>0.83006289731256933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38</v>
      </c>
      <c r="E44" s="79">
        <f t="shared" si="6"/>
        <v>7</v>
      </c>
      <c r="F44" s="71">
        <f t="shared" si="3"/>
        <v>16.28</v>
      </c>
      <c r="G44" s="72">
        <f>IF(D44=D43,"",_xlfn.IFNA(VLOOKUP(D44,'인원 입력 기능 (사과탐)'!$A$121:$D$169,4,FALSE),0))</f>
        <v>2126</v>
      </c>
      <c r="H44" s="73">
        <f t="shared" si="4"/>
        <v>1.4301570751067909E-2</v>
      </c>
      <c r="I44" s="77">
        <f>SUM($G$7:G44)</f>
        <v>125519</v>
      </c>
      <c r="J44" s="75">
        <f t="shared" si="5"/>
        <v>0.8443644680636373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37</v>
      </c>
      <c r="E45" s="79">
        <f t="shared" si="6"/>
        <v>7</v>
      </c>
      <c r="F45" s="71">
        <f t="shared" si="3"/>
        <v>14.4</v>
      </c>
      <c r="G45" s="72">
        <f>IF(D45=D44,"",_xlfn.IFNA(VLOOKUP(D45,'인원 입력 기능 (사과탐)'!$A$121:$D$169,4,FALSE),0))</f>
        <v>3474</v>
      </c>
      <c r="H45" s="73">
        <f t="shared" si="4"/>
        <v>2.3369546937539943E-2</v>
      </c>
      <c r="I45" s="77">
        <f>SUM($G$7:G45)</f>
        <v>128993</v>
      </c>
      <c r="J45" s="75">
        <f t="shared" si="5"/>
        <v>0.86773401500117719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36</v>
      </c>
      <c r="E46" s="79">
        <f t="shared" si="6"/>
        <v>7</v>
      </c>
      <c r="F46" s="71">
        <f t="shared" si="3"/>
        <v>12.52</v>
      </c>
      <c r="G46" s="72">
        <f>IF(D46=D45,"",_xlfn.IFNA(VLOOKUP(D46,'인원 입력 기능 (사과탐)'!$A$121:$D$169,4,FALSE),0))</f>
        <v>2102</v>
      </c>
      <c r="H46" s="73">
        <f t="shared" si="4"/>
        <v>1.4140123103831018E-2</v>
      </c>
      <c r="I46" s="77">
        <f>SUM($G$7:G46)</f>
        <v>131095</v>
      </c>
      <c r="J46" s="75">
        <f t="shared" si="5"/>
        <v>0.88187413810500825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144">
        <f t="shared" si="2"/>
        <v>35</v>
      </c>
      <c r="E47" s="144">
        <f t="shared" si="6"/>
        <v>7</v>
      </c>
      <c r="F47" s="134">
        <f t="shared" si="3"/>
        <v>9.4600000000000009</v>
      </c>
      <c r="G47" s="136">
        <f>IF(D47=D46,"",_xlfn.IFNA(VLOOKUP(D47,'인원 입력 기능 (사과탐)'!$A$121:$D$169,4,FALSE),0))</f>
        <v>7008</v>
      </c>
      <c r="H47" s="137">
        <f t="shared" si="4"/>
        <v>4.714271299317211E-2</v>
      </c>
      <c r="I47" s="139">
        <f>SUM($G$7:G47)</f>
        <v>138103</v>
      </c>
      <c r="J47" s="141">
        <f t="shared" si="5"/>
        <v>0.92901685109818033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143"/>
      <c r="E48" s="143"/>
      <c r="F48" s="133"/>
      <c r="G48" s="135"/>
      <c r="H48" s="138"/>
      <c r="I48" s="140"/>
      <c r="J48" s="142"/>
      <c r="K48" s="28"/>
      <c r="L48" s="5" t="str">
        <f t="shared" si="1"/>
        <v>경고</v>
      </c>
      <c r="N48" s="1"/>
    </row>
    <row r="49" spans="1:14" ht="25" customHeight="1">
      <c r="A49" s="4"/>
      <c r="B49" s="19"/>
      <c r="C49" s="78">
        <v>8</v>
      </c>
      <c r="D49" s="79">
        <f t="shared" si="2"/>
        <v>34</v>
      </c>
      <c r="E49" s="79">
        <f t="shared" si="6"/>
        <v>8</v>
      </c>
      <c r="F49" s="71">
        <f t="shared" si="3"/>
        <v>6.61</v>
      </c>
      <c r="G49" s="72">
        <f>IF(D49=D48,"",_xlfn.IFNA(VLOOKUP(D49,'인원 입력 기능 (사과탐)'!$A$121:$D$169,4,FALSE),0))</f>
        <v>1457</v>
      </c>
      <c r="H49" s="73">
        <f t="shared" si="4"/>
        <v>9.8012175843395777E-3</v>
      </c>
      <c r="I49" s="77">
        <f>SUM($G$7:G49)</f>
        <v>139560</v>
      </c>
      <c r="J49" s="75">
        <f t="shared" si="5"/>
        <v>0.93881806868251994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33</v>
      </c>
      <c r="E50" s="79">
        <f t="shared" si="6"/>
        <v>8</v>
      </c>
      <c r="F50" s="71">
        <f t="shared" si="3"/>
        <v>3.95</v>
      </c>
      <c r="G50" s="72">
        <f>IF(D50=D49,"",_xlfn.IFNA(VLOOKUP(D50,'인원 입력 기능 (사과탐)'!$A$121:$D$169,4,FALSE),0))</f>
        <v>6455</v>
      </c>
      <c r="H50" s="73">
        <f t="shared" si="4"/>
        <v>4.3422690121422088E-2</v>
      </c>
      <c r="I50" s="77">
        <f>SUM($G$7:G50)</f>
        <v>146015</v>
      </c>
      <c r="J50" s="75">
        <f t="shared" si="5"/>
        <v>0.98224075880394202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32</v>
      </c>
      <c r="E51" s="79">
        <f t="shared" si="6"/>
        <v>9</v>
      </c>
      <c r="F51" s="71">
        <f t="shared" si="3"/>
        <v>1.55</v>
      </c>
      <c r="G51" s="72">
        <f>IF(D51=D50,"",_xlfn.IFNA(VLOOKUP(D51,'인원 입력 기능 (사과탐)'!$A$121:$D$169,4,FALSE),0))</f>
        <v>666</v>
      </c>
      <c r="H51" s="73">
        <f t="shared" si="4"/>
        <v>4.4801722108237197E-3</v>
      </c>
      <c r="I51" s="77">
        <f>SUM($G$7:G51)</f>
        <v>146681</v>
      </c>
      <c r="J51" s="75">
        <f t="shared" si="5"/>
        <v>0.98672093101476577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31</v>
      </c>
      <c r="E52" s="79">
        <f t="shared" si="6"/>
        <v>9</v>
      </c>
      <c r="F52" s="71">
        <f t="shared" si="3"/>
        <v>1.03</v>
      </c>
      <c r="G52" s="72">
        <f>IF(D52=D51,"",_xlfn.IFNA(VLOOKUP(D52,'인원 입력 기능 (사과탐)'!$A$121:$D$169,4,FALSE),0))</f>
        <v>888</v>
      </c>
      <c r="H52" s="73">
        <f t="shared" si="4"/>
        <v>5.9735629477649594E-3</v>
      </c>
      <c r="I52" s="77">
        <f>SUM($G$7:G52)</f>
        <v>147569</v>
      </c>
      <c r="J52" s="75">
        <f t="shared" si="5"/>
        <v>0.99269449396253073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30</v>
      </c>
      <c r="E53" s="70">
        <f t="shared" si="6"/>
        <v>9</v>
      </c>
      <c r="F53" s="71">
        <f t="shared" si="3"/>
        <v>0.59</v>
      </c>
      <c r="G53" s="72">
        <f>IF(D53=D52,"",_xlfn.IFNA(VLOOKUP(D53,'인원 입력 기능 (사과탐)'!$A$121:$D$169,4,FALSE),0))</f>
        <v>429</v>
      </c>
      <c r="H53" s="73">
        <f t="shared" si="4"/>
        <v>2.8858766943594227E-3</v>
      </c>
      <c r="I53" s="77">
        <f>SUM($G$7:G53)</f>
        <v>147998</v>
      </c>
      <c r="J53" s="75">
        <f t="shared" si="5"/>
        <v>0.99558037065689009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29</v>
      </c>
      <c r="E54" s="70">
        <f t="shared" si="6"/>
        <v>9</v>
      </c>
      <c r="F54" s="71">
        <f t="shared" si="3"/>
        <v>0.37</v>
      </c>
      <c r="G54" s="72">
        <f>IF(D54=D53,"",_xlfn.IFNA(VLOOKUP(D54,'인원 입력 기능 (사과탐)'!$A$121:$D$169,4,FALSE),0))</f>
        <v>216</v>
      </c>
      <c r="H54" s="73">
        <f t="shared" si="4"/>
        <v>1.4530288251320171E-3</v>
      </c>
      <c r="I54" s="77">
        <f>SUM($G$7:G54)</f>
        <v>148214</v>
      </c>
      <c r="J54" s="75">
        <f t="shared" si="5"/>
        <v>0.99703339948202219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28</v>
      </c>
      <c r="E55" s="70">
        <f t="shared" si="6"/>
        <v>9</v>
      </c>
      <c r="F55" s="71">
        <f t="shared" si="3"/>
        <v>0.18</v>
      </c>
      <c r="G55" s="72">
        <f>IF(D55=D54,"",_xlfn.IFNA(VLOOKUP(D55,'인원 입력 기능 (사과탐)'!$A$121:$D$169,4,FALSE),0))</f>
        <v>343</v>
      </c>
      <c r="H55" s="73">
        <f t="shared" si="4"/>
        <v>2.3073559584272309E-3</v>
      </c>
      <c r="I55" s="77">
        <f>SUM($G$7:G55)</f>
        <v>148557</v>
      </c>
      <c r="J55" s="75">
        <f t="shared" si="5"/>
        <v>0.99934075544044931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27</v>
      </c>
      <c r="E57" s="83">
        <f t="shared" si="6"/>
        <v>9</v>
      </c>
      <c r="F57" s="84">
        <f>IF(I55=0,ROUND(100*(1-(I54+I57)/2/$J$3),2),ROUND(100*(1-(I55+I57)/2/$J$3),2))</f>
        <v>0.03</v>
      </c>
      <c r="G57" s="85">
        <f>_xlfn.IFNA(VLOOKUP(D57,'인원 입력 기능 (사과탐)'!$A$121:$D$169,4,FALSE),0)</f>
        <v>98</v>
      </c>
      <c r="H57" s="86">
        <f>G57/$J$3</f>
        <v>6.592445595506374E-4</v>
      </c>
      <c r="I57" s="87">
        <f>SUM($G$7:G57)</f>
        <v>148655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46">
    <mergeCell ref="I47:I48"/>
    <mergeCell ref="J47:J48"/>
    <mergeCell ref="D47:D48"/>
    <mergeCell ref="E47:E48"/>
    <mergeCell ref="F47:F48"/>
    <mergeCell ref="G47:G48"/>
    <mergeCell ref="H47:H48"/>
    <mergeCell ref="I32:I33"/>
    <mergeCell ref="J32:J33"/>
    <mergeCell ref="D40:D41"/>
    <mergeCell ref="E40:E41"/>
    <mergeCell ref="F40:F41"/>
    <mergeCell ref="G40:G41"/>
    <mergeCell ref="H40:H41"/>
    <mergeCell ref="I40:I41"/>
    <mergeCell ref="J40:J41"/>
    <mergeCell ref="D32:D33"/>
    <mergeCell ref="E32:E33"/>
    <mergeCell ref="F32:F33"/>
    <mergeCell ref="G32:G33"/>
    <mergeCell ref="H32:H33"/>
    <mergeCell ref="I17:I18"/>
    <mergeCell ref="J17:J18"/>
    <mergeCell ref="D25:D26"/>
    <mergeCell ref="E25:E26"/>
    <mergeCell ref="F25:F26"/>
    <mergeCell ref="G25:G26"/>
    <mergeCell ref="H25:H26"/>
    <mergeCell ref="I25:I26"/>
    <mergeCell ref="J25:J26"/>
    <mergeCell ref="D3:F3"/>
    <mergeCell ref="D4:F4"/>
    <mergeCell ref="D8:J8"/>
    <mergeCell ref="D56:J56"/>
    <mergeCell ref="D9:D10"/>
    <mergeCell ref="E9:E10"/>
    <mergeCell ref="F9:F10"/>
    <mergeCell ref="G9:G10"/>
    <mergeCell ref="H9:H10"/>
    <mergeCell ref="I9:I10"/>
    <mergeCell ref="J9:J10"/>
    <mergeCell ref="D17:D18"/>
    <mergeCell ref="E17:E18"/>
    <mergeCell ref="F17:F18"/>
    <mergeCell ref="G17:G18"/>
    <mergeCell ref="H17:H18"/>
  </mergeCells>
  <phoneticPr fontId="1" type="noConversion"/>
  <conditionalFormatting sqref="D7:D9 D11:D17 D19:D25 D27:D32 D34:D40 D42:D47 D49:D57">
    <cfRule type="expression" dxfId="26" priority="1">
      <formula>$D7=$D8</formula>
    </cfRule>
  </conditionalFormatting>
  <conditionalFormatting sqref="C7:C57">
    <cfRule type="expression" dxfId="25" priority="2">
      <formula>OR(AND($D7=0,OR($D6=$Q$7:$Q$14)),AND($D8&gt;0,OR($D7=$Q$7:$Q$14)))</formula>
    </cfRule>
  </conditionalFormatting>
  <conditionalFormatting sqref="D7:J7 D8 D57:J57 D56 D9:J9 D11:J17 D19:J25 D27:J32 D34:J40 D42:J47 D49:J55">
    <cfRule type="expression" dxfId="24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6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기능'!D15</f>
        <v>23.38</v>
      </c>
      <c r="I3" s="15" t="s">
        <v>84</v>
      </c>
      <c r="J3" s="35">
        <f>'통계 및 응시자 수 입력 기능'!C15</f>
        <v>32956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95</v>
      </c>
      <c r="E4" s="108"/>
      <c r="F4" s="109"/>
      <c r="G4" s="37" t="s">
        <v>87</v>
      </c>
      <c r="H4" s="38" t="str">
        <f>'통계 및 응시자 수 입력 기능'!E15</f>
        <v>11.95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72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99.29</v>
      </c>
      <c r="G7" s="72">
        <f>_xlfn.IFNA(VLOOKUP(D7,'인원 입력 기능 (사과탐)'!$A$177:$D$225,4,FALSE),0)</f>
        <v>469</v>
      </c>
      <c r="H7" s="73">
        <f>G7/$J$3</f>
        <v>1.4231096006796942E-2</v>
      </c>
      <c r="I7" s="74">
        <f>G7</f>
        <v>469</v>
      </c>
      <c r="J7" s="75">
        <f>I7/$J$3</f>
        <v>1.4231096006796942E-2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입력기능'!C103</f>
        <v>69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입력기능'!C104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71</v>
      </c>
      <c r="E9" s="70">
        <f t="shared" si="0"/>
        <v>1</v>
      </c>
      <c r="F9" s="71">
        <f>IF(I8=0,ROUND(100*(1-(I7+I9)/2/$J$3),2),ROUND(100*(1-(I8+I9)/2/$J$3),2))</f>
        <v>98.12</v>
      </c>
      <c r="G9" s="72">
        <f>_xlfn.IFNA(VLOOKUP(D9,'인원 입력 기능 (사과탐)'!$A$177:$D$225,4,FALSE),0)</f>
        <v>300</v>
      </c>
      <c r="H9" s="73">
        <f>G9/$J$3</f>
        <v>9.1030464862240559E-3</v>
      </c>
      <c r="I9" s="77">
        <f>SUM($G$7:G9)</f>
        <v>769</v>
      </c>
      <c r="J9" s="75">
        <f>I9/$J$3</f>
        <v>2.3334142493020998E-2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입력기능'!C105</f>
        <v>59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70</v>
      </c>
      <c r="E10" s="70">
        <f t="shared" si="0"/>
        <v>1</v>
      </c>
      <c r="F10" s="71">
        <f t="shared" ref="F10:F55" si="3">IF(I9=0,ROUND(100*(1-(I8+I10)/2/$J$3),2),ROUND(100*(1-(I9+I10)/2/$J$3),2))</f>
        <v>96.9</v>
      </c>
      <c r="G10" s="72">
        <f>IF(D10=D9,"",_xlfn.IFNA(VLOOKUP(D10,'인원 입력 기능 (사과탐)'!$A$177:$D$225,4,FALSE),0))</f>
        <v>505</v>
      </c>
      <c r="H10" s="73">
        <f t="shared" ref="H10:H55" si="4">G10/$J$3</f>
        <v>1.5323461585143828E-2</v>
      </c>
      <c r="I10" s="77">
        <f>SUM($G$7:G10)</f>
        <v>1274</v>
      </c>
      <c r="J10" s="75">
        <f t="shared" ref="J10:J55" si="5">I10/$J$3</f>
        <v>3.8657604078164827E-2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입력기능'!C106</f>
        <v>51</v>
      </c>
    </row>
    <row r="11" spans="1:17" ht="25" customHeight="1">
      <c r="A11" s="4"/>
      <c r="B11" s="19"/>
      <c r="C11" s="69">
        <v>46</v>
      </c>
      <c r="D11" s="70">
        <f t="shared" si="2"/>
        <v>69</v>
      </c>
      <c r="E11" s="70">
        <f t="shared" si="0"/>
        <v>1</v>
      </c>
      <c r="F11" s="71">
        <f t="shared" si="3"/>
        <v>95.95</v>
      </c>
      <c r="G11" s="72">
        <f>IF(D11=D10,"",_xlfn.IFNA(VLOOKUP(D11,'인원 입력 기능 (사과탐)'!$A$177:$D$225,4,FALSE),0))</f>
        <v>121</v>
      </c>
      <c r="H11" s="73">
        <f t="shared" si="4"/>
        <v>3.6715620827770358E-3</v>
      </c>
      <c r="I11" s="77">
        <f>SUM($G$7:G11)</f>
        <v>1395</v>
      </c>
      <c r="J11" s="75">
        <f t="shared" si="5"/>
        <v>4.2329166160941858E-2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입력기능'!C107</f>
        <v>46</v>
      </c>
    </row>
    <row r="12" spans="1:17" ht="25" customHeight="1">
      <c r="A12" s="4"/>
      <c r="B12" s="19"/>
      <c r="C12" s="76">
        <v>45</v>
      </c>
      <c r="D12" s="70">
        <f t="shared" si="2"/>
        <v>68</v>
      </c>
      <c r="E12" s="70">
        <f t="shared" si="0"/>
        <v>2</v>
      </c>
      <c r="F12" s="71">
        <f t="shared" si="3"/>
        <v>94.95</v>
      </c>
      <c r="G12" s="72">
        <f>IF(D12=D11,"",_xlfn.IFNA(VLOOKUP(D12,'인원 입력 기능 (사과탐)'!$A$177:$D$225,4,FALSE),0))</f>
        <v>539</v>
      </c>
      <c r="H12" s="73">
        <f t="shared" si="4"/>
        <v>1.6355140186915886E-2</v>
      </c>
      <c r="I12" s="77">
        <f>SUM($G$7:G12)</f>
        <v>1934</v>
      </c>
      <c r="J12" s="75">
        <f t="shared" si="5"/>
        <v>5.8684306347857748E-2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입력기능'!C108</f>
        <v>40</v>
      </c>
    </row>
    <row r="13" spans="1:17" ht="25" customHeight="1">
      <c r="A13" s="4"/>
      <c r="B13" s="19"/>
      <c r="C13" s="69">
        <v>44</v>
      </c>
      <c r="D13" s="70">
        <f t="shared" si="2"/>
        <v>67</v>
      </c>
      <c r="E13" s="70">
        <f t="shared" si="0"/>
        <v>2</v>
      </c>
      <c r="F13" s="71">
        <f t="shared" si="3"/>
        <v>93.56</v>
      </c>
      <c r="G13" s="72">
        <f>IF(D13=D12,"",_xlfn.IFNA(VLOOKUP(D13,'인원 입력 기능 (사과탐)'!$A$177:$D$225,4,FALSE),0))</f>
        <v>380</v>
      </c>
      <c r="H13" s="73">
        <f t="shared" si="4"/>
        <v>1.1530525549217139E-2</v>
      </c>
      <c r="I13" s="77">
        <f>SUM($G$7:G13)</f>
        <v>2314</v>
      </c>
      <c r="J13" s="75">
        <f t="shared" si="5"/>
        <v>7.0214831897074892E-2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입력기능'!C109</f>
        <v>39</v>
      </c>
    </row>
    <row r="14" spans="1:17" ht="25" customHeight="1">
      <c r="A14" s="4"/>
      <c r="B14" s="19"/>
      <c r="C14" s="80">
        <v>43</v>
      </c>
      <c r="D14" s="132">
        <f t="shared" si="2"/>
        <v>66</v>
      </c>
      <c r="E14" s="132">
        <f t="shared" si="0"/>
        <v>2</v>
      </c>
      <c r="F14" s="134">
        <f t="shared" si="3"/>
        <v>91.43</v>
      </c>
      <c r="G14" s="136">
        <f>IF(D14=D13,"",_xlfn.IFNA(VLOOKUP(D14,'인원 입력 기능 (사과탐)'!$A$177:$D$225,4,FALSE),0))</f>
        <v>1018</v>
      </c>
      <c r="H14" s="137">
        <f t="shared" si="4"/>
        <v>3.0889671076586963E-2</v>
      </c>
      <c r="I14" s="139">
        <f>SUM($G$7:G14)</f>
        <v>3332</v>
      </c>
      <c r="J14" s="141">
        <f t="shared" si="5"/>
        <v>0.10110450297366186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입력기능'!C110</f>
        <v>36</v>
      </c>
    </row>
    <row r="15" spans="1:17" ht="25" customHeight="1">
      <c r="A15" s="4"/>
      <c r="B15" s="19"/>
      <c r="C15" s="69">
        <v>42</v>
      </c>
      <c r="D15" s="131"/>
      <c r="E15" s="131"/>
      <c r="F15" s="133"/>
      <c r="G15" s="135"/>
      <c r="H15" s="138"/>
      <c r="I15" s="140"/>
      <c r="J15" s="142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65</v>
      </c>
      <c r="E16" s="70">
        <f t="shared" si="0"/>
        <v>2</v>
      </c>
      <c r="F16" s="71">
        <f t="shared" si="3"/>
        <v>89.32</v>
      </c>
      <c r="G16" s="72">
        <f>IF(D16=D15,"",_xlfn.IFNA(VLOOKUP(D16,'인원 입력 기능 (사과탐)'!$A$177:$D$225,4,FALSE),0))</f>
        <v>378</v>
      </c>
      <c r="H16" s="73">
        <f t="shared" si="4"/>
        <v>1.1469838572642312E-2</v>
      </c>
      <c r="I16" s="77">
        <f>SUM($G$7:G16)</f>
        <v>3710</v>
      </c>
      <c r="J16" s="75">
        <f t="shared" si="5"/>
        <v>0.11257434154630416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64</v>
      </c>
      <c r="E17" s="70">
        <f t="shared" si="0"/>
        <v>3</v>
      </c>
      <c r="F17" s="71">
        <f t="shared" si="3"/>
        <v>87.91</v>
      </c>
      <c r="G17" s="72">
        <f>IF(D17=D16,"",_xlfn.IFNA(VLOOKUP(D17,'인원 입력 기능 (사과탐)'!$A$177:$D$225,4,FALSE),0))</f>
        <v>548</v>
      </c>
      <c r="H17" s="73">
        <f t="shared" si="4"/>
        <v>1.662823158150261E-2</v>
      </c>
      <c r="I17" s="77">
        <f>SUM($G$7:G17)</f>
        <v>4258</v>
      </c>
      <c r="J17" s="75">
        <f t="shared" si="5"/>
        <v>0.12920257312780678</v>
      </c>
      <c r="K17" s="28"/>
      <c r="L17" s="5" t="str">
        <f t="shared" si="1"/>
        <v/>
      </c>
      <c r="N17" s="1"/>
      <c r="P17" s="1">
        <f>Q7*H3*H4*J3*IFERROR(IF(J57=1, 1, 0), 0)</f>
        <v>635325075.92400002</v>
      </c>
    </row>
    <row r="18" spans="1:16" ht="25" customHeight="1">
      <c r="A18" s="4"/>
      <c r="B18" s="19"/>
      <c r="C18" s="76">
        <v>39</v>
      </c>
      <c r="D18" s="70">
        <f t="shared" si="2"/>
        <v>63</v>
      </c>
      <c r="E18" s="70">
        <f t="shared" si="0"/>
        <v>3</v>
      </c>
      <c r="F18" s="71">
        <f t="shared" si="3"/>
        <v>86.14</v>
      </c>
      <c r="G18" s="72">
        <f>IF(D18=D17,"",_xlfn.IFNA(VLOOKUP(D18,'인원 입력 기능 (사과탐)'!$A$177:$D$225,4,FALSE),0))</f>
        <v>617</v>
      </c>
      <c r="H18" s="73">
        <f t="shared" si="4"/>
        <v>1.8721932273334144E-2</v>
      </c>
      <c r="I18" s="77">
        <f>SUM($G$7:G18)</f>
        <v>4875</v>
      </c>
      <c r="J18" s="75">
        <f t="shared" si="5"/>
        <v>0.14792450540114091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62</v>
      </c>
      <c r="E19" s="70">
        <f t="shared" si="0"/>
        <v>3</v>
      </c>
      <c r="F19" s="71">
        <f t="shared" si="3"/>
        <v>84.57</v>
      </c>
      <c r="G19" s="72">
        <f>IF(D19=D18,"",_xlfn.IFNA(VLOOKUP(D19,'인원 입력 기능 (사과탐)'!$A$177:$D$225,4,FALSE),0))</f>
        <v>421</v>
      </c>
      <c r="H19" s="73">
        <f t="shared" si="4"/>
        <v>1.2774608569001093E-2</v>
      </c>
      <c r="I19" s="77">
        <f>SUM($G$7:G19)</f>
        <v>5296</v>
      </c>
      <c r="J19" s="75">
        <f t="shared" si="5"/>
        <v>0.160699113970142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132">
        <f t="shared" si="2"/>
        <v>61</v>
      </c>
      <c r="E20" s="132">
        <f t="shared" si="0"/>
        <v>3</v>
      </c>
      <c r="F20" s="134">
        <f t="shared" si="3"/>
        <v>82.13</v>
      </c>
      <c r="G20" s="136">
        <f>IF(D20=D19,"",_xlfn.IFNA(VLOOKUP(D20,'인원 입력 기능 (사과탐)'!$A$177:$D$225,4,FALSE),0))</f>
        <v>1185</v>
      </c>
      <c r="H20" s="137">
        <f t="shared" si="4"/>
        <v>3.595703362058502E-2</v>
      </c>
      <c r="I20" s="139">
        <f>SUM($G$7:G20)</f>
        <v>6481</v>
      </c>
      <c r="J20" s="141">
        <f t="shared" si="5"/>
        <v>0.19665614759072703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131"/>
      <c r="E21" s="131"/>
      <c r="F21" s="133"/>
      <c r="G21" s="135"/>
      <c r="H21" s="138"/>
      <c r="I21" s="140"/>
      <c r="J21" s="142"/>
      <c r="K21" s="28"/>
      <c r="L21" s="5" t="str">
        <f t="shared" si="1"/>
        <v>경고</v>
      </c>
      <c r="N21" s="1"/>
    </row>
    <row r="22" spans="1:16" ht="25" customHeight="1">
      <c r="A22" s="4"/>
      <c r="B22" s="19"/>
      <c r="C22" s="80">
        <v>35</v>
      </c>
      <c r="D22" s="79">
        <f t="shared" si="2"/>
        <v>60</v>
      </c>
      <c r="E22" s="79">
        <f t="shared" si="0"/>
        <v>3</v>
      </c>
      <c r="F22" s="71">
        <f t="shared" si="3"/>
        <v>79.510000000000005</v>
      </c>
      <c r="G22" s="72">
        <f>IF(D22=D21,"",_xlfn.IFNA(VLOOKUP(D22,'인원 입력 기능 (사과탐)'!$A$177:$D$225,4,FALSE),0))</f>
        <v>545</v>
      </c>
      <c r="H22" s="73">
        <f t="shared" si="4"/>
        <v>1.6537201116640369E-2</v>
      </c>
      <c r="I22" s="77">
        <f>SUM($G$7:G22)</f>
        <v>7026</v>
      </c>
      <c r="J22" s="75">
        <f t="shared" si="5"/>
        <v>0.21319334870736739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59</v>
      </c>
      <c r="E23" s="79">
        <f t="shared" si="0"/>
        <v>3</v>
      </c>
      <c r="F23" s="71">
        <f t="shared" si="3"/>
        <v>77.540000000000006</v>
      </c>
      <c r="G23" s="72">
        <f>IF(D23=D22,"",_xlfn.IFNA(VLOOKUP(D23,'인원 입력 기능 (사과탐)'!$A$177:$D$225,4,FALSE),0))</f>
        <v>751</v>
      </c>
      <c r="H23" s="73">
        <f t="shared" si="4"/>
        <v>2.2787959703847553E-2</v>
      </c>
      <c r="I23" s="77">
        <f>SUM($G$7:G23)</f>
        <v>7777</v>
      </c>
      <c r="J23" s="75">
        <f t="shared" si="5"/>
        <v>0.23598130841121495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58</v>
      </c>
      <c r="E24" s="79">
        <f t="shared" si="0"/>
        <v>4</v>
      </c>
      <c r="F24" s="71">
        <f t="shared" si="3"/>
        <v>75.599999999999994</v>
      </c>
      <c r="G24" s="72">
        <f>IF(D24=D23,"",_xlfn.IFNA(VLOOKUP(D24,'인원 입력 기능 (사과탐)'!$A$177:$D$225,4,FALSE),0))</f>
        <v>527</v>
      </c>
      <c r="H24" s="73">
        <f t="shared" si="4"/>
        <v>1.5991018327466924E-2</v>
      </c>
      <c r="I24" s="77">
        <f>SUM($G$7:G24)</f>
        <v>8304</v>
      </c>
      <c r="J24" s="75">
        <f t="shared" si="5"/>
        <v>0.25197232673868186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57</v>
      </c>
      <c r="E25" s="79">
        <f t="shared" si="0"/>
        <v>4</v>
      </c>
      <c r="F25" s="71">
        <f t="shared" si="3"/>
        <v>73.8</v>
      </c>
      <c r="G25" s="72">
        <f>IF(D25=D24,"",_xlfn.IFNA(VLOOKUP(D25,'인원 입력 기능 (사과탐)'!$A$177:$D$225,4,FALSE),0))</f>
        <v>662</v>
      </c>
      <c r="H25" s="73">
        <f t="shared" si="4"/>
        <v>2.008738924626775E-2</v>
      </c>
      <c r="I25" s="77">
        <f>SUM($G$7:G25)</f>
        <v>8966</v>
      </c>
      <c r="J25" s="75">
        <f t="shared" si="5"/>
        <v>0.27205971598494966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4">
        <f t="shared" si="2"/>
        <v>56</v>
      </c>
      <c r="E26" s="144">
        <f t="shared" si="0"/>
        <v>4</v>
      </c>
      <c r="F26" s="134">
        <f t="shared" si="3"/>
        <v>70.930000000000007</v>
      </c>
      <c r="G26" s="136">
        <f>IF(D26=D25,"",_xlfn.IFNA(VLOOKUP(D26,'인원 입력 기능 (사과탐)'!$A$177:$D$225,4,FALSE),0))</f>
        <v>1231</v>
      </c>
      <c r="H26" s="137">
        <f t="shared" si="4"/>
        <v>3.7352834081806043E-2</v>
      </c>
      <c r="I26" s="139">
        <f>SUM($G$7:G26)</f>
        <v>10197</v>
      </c>
      <c r="J26" s="141">
        <f t="shared" si="5"/>
        <v>0.30941255006675566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143"/>
      <c r="E27" s="143"/>
      <c r="F27" s="133"/>
      <c r="G27" s="135"/>
      <c r="H27" s="138"/>
      <c r="I27" s="140"/>
      <c r="J27" s="142"/>
      <c r="K27" s="28"/>
      <c r="L27" s="5" t="str">
        <f t="shared" si="1"/>
        <v>경고</v>
      </c>
      <c r="N27" s="1"/>
    </row>
    <row r="28" spans="1:16" ht="25" customHeight="1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67.86</v>
      </c>
      <c r="G28" s="72">
        <f>IF(D28=D27,"",_xlfn.IFNA(VLOOKUP(D28,'인원 입력 기능 (사과탐)'!$A$177:$D$225,4,FALSE),0))</f>
        <v>790</v>
      </c>
      <c r="H28" s="73">
        <f t="shared" si="4"/>
        <v>2.397135574705668E-2</v>
      </c>
      <c r="I28" s="77">
        <f>SUM($G$7:G28)</f>
        <v>10987</v>
      </c>
      <c r="J28" s="75">
        <f t="shared" si="5"/>
        <v>0.33338390581381233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65.69</v>
      </c>
      <c r="G29" s="72">
        <f>IF(D29=D28,"",_xlfn.IFNA(VLOOKUP(D29,'인원 입력 기능 (사과탐)'!$A$177:$D$225,4,FALSE),0))</f>
        <v>641</v>
      </c>
      <c r="H29" s="73">
        <f t="shared" si="4"/>
        <v>1.9450175992232067E-2</v>
      </c>
      <c r="I29" s="77">
        <f>SUM($G$7:G29)</f>
        <v>11628</v>
      </c>
      <c r="J29" s="75">
        <f t="shared" si="5"/>
        <v>0.35283408180604442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63.63</v>
      </c>
      <c r="G30" s="72">
        <f>IF(D30=D29,"",_xlfn.IFNA(VLOOKUP(D30,'인원 입력 기능 (사과탐)'!$A$177:$D$225,4,FALSE),0))</f>
        <v>713</v>
      </c>
      <c r="H30" s="73">
        <f t="shared" si="4"/>
        <v>2.1634907148925842E-2</v>
      </c>
      <c r="I30" s="77">
        <f>SUM($G$7:G30)</f>
        <v>12341</v>
      </c>
      <c r="J30" s="75">
        <f t="shared" si="5"/>
        <v>0.37446898895497027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52</v>
      </c>
      <c r="E31" s="79">
        <f t="shared" si="0"/>
        <v>4</v>
      </c>
      <c r="F31" s="71">
        <f t="shared" si="3"/>
        <v>61.4</v>
      </c>
      <c r="G31" s="72">
        <f>IF(D31=D30,"",_xlfn.IFNA(VLOOKUP(D31,'인원 입력 기능 (사과탐)'!$A$177:$D$225,4,FALSE),0))</f>
        <v>758</v>
      </c>
      <c r="H31" s="73">
        <f t="shared" si="4"/>
        <v>2.3000364121859448E-2</v>
      </c>
      <c r="I31" s="77">
        <f>SUM($G$7:G31)</f>
        <v>13099</v>
      </c>
      <c r="J31" s="75">
        <f t="shared" si="5"/>
        <v>0.39746935307682973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144">
        <f t="shared" si="2"/>
        <v>51</v>
      </c>
      <c r="E32" s="144">
        <f t="shared" si="0"/>
        <v>4</v>
      </c>
      <c r="F32" s="134">
        <f t="shared" si="3"/>
        <v>57.98</v>
      </c>
      <c r="G32" s="136">
        <f>IF(D32=D31,"",_xlfn.IFNA(VLOOKUP(D32,'인원 입력 기능 (사과탐)'!$A$177:$D$225,4,FALSE),0))</f>
        <v>1501</v>
      </c>
      <c r="H32" s="137">
        <f t="shared" si="4"/>
        <v>4.5545575919407694E-2</v>
      </c>
      <c r="I32" s="139">
        <f>SUM($G$7:G32)</f>
        <v>14600</v>
      </c>
      <c r="J32" s="141">
        <f t="shared" si="5"/>
        <v>0.4430149289962374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143"/>
      <c r="E33" s="143"/>
      <c r="F33" s="133"/>
      <c r="G33" s="135"/>
      <c r="H33" s="138"/>
      <c r="I33" s="140"/>
      <c r="J33" s="142"/>
      <c r="K33" s="28"/>
      <c r="L33" s="5" t="str">
        <f t="shared" si="1"/>
        <v>경고</v>
      </c>
      <c r="N33" s="1"/>
    </row>
    <row r="34" spans="1:14" ht="25" customHeight="1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54.52</v>
      </c>
      <c r="G34" s="72">
        <f>IF(D34=D33,"",_xlfn.IFNA(VLOOKUP(D34,'인원 입력 기능 (사과탐)'!$A$177:$D$225,4,FALSE),0))</f>
        <v>778</v>
      </c>
      <c r="H34" s="73">
        <f t="shared" si="4"/>
        <v>2.3607233887607718E-2</v>
      </c>
      <c r="I34" s="77">
        <f>SUM($G$7:G34)</f>
        <v>15378</v>
      </c>
      <c r="J34" s="75">
        <f t="shared" si="5"/>
        <v>0.46662216288384512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52.14</v>
      </c>
      <c r="G35" s="72">
        <f>IF(D35=D34,"",_xlfn.IFNA(VLOOKUP(D35,'인원 입력 기능 (사과탐)'!$A$177:$D$225,4,FALSE),0))</f>
        <v>787</v>
      </c>
      <c r="H35" s="73">
        <f t="shared" si="4"/>
        <v>2.3880325282194442E-2</v>
      </c>
      <c r="I35" s="77">
        <f>SUM($G$7:G35)</f>
        <v>16165</v>
      </c>
      <c r="J35" s="75">
        <f t="shared" si="5"/>
        <v>0.49050248816603959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49.58</v>
      </c>
      <c r="G36" s="72">
        <f>IF(D36=D35,"",_xlfn.IFNA(VLOOKUP(D36,'인원 입력 기능 (사과탐)'!$A$177:$D$225,4,FALSE),0))</f>
        <v>902</v>
      </c>
      <c r="H36" s="73">
        <f t="shared" si="4"/>
        <v>2.7369826435246995E-2</v>
      </c>
      <c r="I36" s="77">
        <f>SUM($G$7:G36)</f>
        <v>17067</v>
      </c>
      <c r="J36" s="75">
        <f t="shared" si="5"/>
        <v>0.51787231460128658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46.94</v>
      </c>
      <c r="G37" s="72">
        <f>IF(D37=D36,"",_xlfn.IFNA(VLOOKUP(D37,'인원 입력 기능 (사과탐)'!$A$177:$D$225,4,FALSE),0))</f>
        <v>842</v>
      </c>
      <c r="H37" s="73">
        <f t="shared" si="4"/>
        <v>2.5549217138002185E-2</v>
      </c>
      <c r="I37" s="77">
        <f>SUM($G$7:G37)</f>
        <v>17909</v>
      </c>
      <c r="J37" s="75">
        <f t="shared" si="5"/>
        <v>0.54342153173928875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144">
        <f t="shared" si="2"/>
        <v>46</v>
      </c>
      <c r="E38" s="144">
        <f t="shared" si="0"/>
        <v>5</v>
      </c>
      <c r="F38" s="134">
        <f t="shared" si="3"/>
        <v>42.64</v>
      </c>
      <c r="G38" s="136">
        <f>IF(D38=D37,"",_xlfn.IFNA(VLOOKUP(D38,'인원 입력 기능 (사과탐)'!$A$177:$D$225,4,FALSE),0))</f>
        <v>1986</v>
      </c>
      <c r="H38" s="137">
        <f t="shared" si="4"/>
        <v>6.0262167738803253E-2</v>
      </c>
      <c r="I38" s="139">
        <f>SUM($G$7:G38)</f>
        <v>19895</v>
      </c>
      <c r="J38" s="141">
        <f t="shared" si="5"/>
        <v>0.60368369947809197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143"/>
      <c r="E39" s="143"/>
      <c r="F39" s="133"/>
      <c r="G39" s="135"/>
      <c r="H39" s="138"/>
      <c r="I39" s="140"/>
      <c r="J39" s="142"/>
      <c r="K39" s="28"/>
      <c r="L39" s="5" t="str">
        <f t="shared" si="1"/>
        <v>경고</v>
      </c>
      <c r="N39" s="1"/>
    </row>
    <row r="40" spans="1:14" ht="25" customHeight="1">
      <c r="A40" s="4"/>
      <c r="B40" s="19"/>
      <c r="C40" s="80">
        <v>17</v>
      </c>
      <c r="D40" s="79">
        <f t="shared" si="2"/>
        <v>45</v>
      </c>
      <c r="E40" s="79">
        <f t="shared" ref="E39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71">
        <f t="shared" si="3"/>
        <v>38.049999999999997</v>
      </c>
      <c r="G40" s="72">
        <f>IF(D40=D39,"",_xlfn.IFNA(VLOOKUP(D40,'인원 입력 기능 (사과탐)'!$A$177:$D$225,4,FALSE),0))</f>
        <v>1041</v>
      </c>
      <c r="H40" s="73">
        <f t="shared" si="4"/>
        <v>3.1587571307197478E-2</v>
      </c>
      <c r="I40" s="77">
        <f>SUM($G$7:G40)</f>
        <v>20936</v>
      </c>
      <c r="J40" s="75">
        <f t="shared" si="5"/>
        <v>0.63527127078528944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34.82</v>
      </c>
      <c r="G41" s="72">
        <f>IF(D41=D40,"",_xlfn.IFNA(VLOOKUP(D41,'인원 입력 기능 (사과탐)'!$A$177:$D$225,4,FALSE),0))</f>
        <v>1092</v>
      </c>
      <c r="H41" s="73">
        <f t="shared" si="4"/>
        <v>3.3135089209855563E-2</v>
      </c>
      <c r="I41" s="77">
        <f>SUM($G$7:G41)</f>
        <v>22028</v>
      </c>
      <c r="J41" s="75">
        <f t="shared" si="5"/>
        <v>0.66840635999514508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31.62</v>
      </c>
      <c r="G42" s="72">
        <f>IF(D42=D41,"",_xlfn.IFNA(VLOOKUP(D42,'인원 입력 기능 (사과탐)'!$A$177:$D$225,4,FALSE),0))</f>
        <v>1013</v>
      </c>
      <c r="H42" s="73">
        <f t="shared" si="4"/>
        <v>3.0737953635149896E-2</v>
      </c>
      <c r="I42" s="77">
        <f>SUM($G$7:G42)</f>
        <v>23041</v>
      </c>
      <c r="J42" s="75">
        <f t="shared" si="5"/>
        <v>0.69914431363029494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28.25</v>
      </c>
      <c r="G43" s="72">
        <f>IF(D43=D42,"",_xlfn.IFNA(VLOOKUP(D43,'인원 입력 기능 (사과탐)'!$A$177:$D$225,4,FALSE),0))</f>
        <v>1211</v>
      </c>
      <c r="H43" s="73">
        <f t="shared" si="4"/>
        <v>3.6745964316057776E-2</v>
      </c>
      <c r="I43" s="77">
        <f>SUM($G$7:G43)</f>
        <v>24252</v>
      </c>
      <c r="J43" s="75">
        <f t="shared" si="5"/>
        <v>0.73589027794635276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24.74</v>
      </c>
      <c r="G44" s="72">
        <f>IF(D44=D43,"",_xlfn.IFNA(VLOOKUP(D44,'인원 입력 기능 (사과탐)'!$A$177:$D$225,4,FALSE),0))</f>
        <v>1104</v>
      </c>
      <c r="H44" s="73">
        <f t="shared" si="4"/>
        <v>3.3499211069304528E-2</v>
      </c>
      <c r="I44" s="77">
        <f>SUM($G$7:G44)</f>
        <v>25356</v>
      </c>
      <c r="J44" s="75">
        <f t="shared" si="5"/>
        <v>0.76938948901565729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144">
        <f t="shared" si="2"/>
        <v>40</v>
      </c>
      <c r="E45" s="144">
        <f t="shared" si="6"/>
        <v>6</v>
      </c>
      <c r="F45" s="134">
        <f t="shared" si="3"/>
        <v>18.66</v>
      </c>
      <c r="G45" s="136">
        <f>IF(D45=D44,"",_xlfn.IFNA(VLOOKUP(D45,'인원 입력 기능 (사과탐)'!$A$177:$D$225,4,FALSE),0))</f>
        <v>2898</v>
      </c>
      <c r="H45" s="137">
        <f t="shared" si="4"/>
        <v>8.7935429056924377E-2</v>
      </c>
      <c r="I45" s="139">
        <f>SUM($G$7:G45)</f>
        <v>28254</v>
      </c>
      <c r="J45" s="141">
        <f t="shared" si="5"/>
        <v>0.8573249180725816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143"/>
      <c r="E46" s="143"/>
      <c r="F46" s="133"/>
      <c r="G46" s="135"/>
      <c r="H46" s="138"/>
      <c r="I46" s="140"/>
      <c r="J46" s="142"/>
      <c r="K46" s="28"/>
      <c r="L46" s="5" t="str">
        <f t="shared" si="1"/>
        <v>경고</v>
      </c>
      <c r="N46" s="1"/>
    </row>
    <row r="47" spans="1:14" ht="25" customHeight="1">
      <c r="A47" s="4"/>
      <c r="B47" s="19"/>
      <c r="C47" s="78">
        <v>10</v>
      </c>
      <c r="D47" s="79">
        <f t="shared" si="2"/>
        <v>39</v>
      </c>
      <c r="E47" s="79">
        <f t="shared" si="6"/>
        <v>7</v>
      </c>
      <c r="F47" s="71">
        <f t="shared" si="3"/>
        <v>11.65</v>
      </c>
      <c r="G47" s="72">
        <f>IF(D47=D46,"",_xlfn.IFNA(VLOOKUP(D47,'인원 입력 기능 (사과탐)'!$A$177:$D$225,4,FALSE),0))</f>
        <v>1725</v>
      </c>
      <c r="H47" s="73">
        <f t="shared" si="4"/>
        <v>5.2342517295788323E-2</v>
      </c>
      <c r="I47" s="77">
        <f>SUM($G$7:G47)</f>
        <v>29979</v>
      </c>
      <c r="J47" s="75">
        <f t="shared" si="5"/>
        <v>0.90966743536836991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38</v>
      </c>
      <c r="E48" s="79">
        <f t="shared" si="6"/>
        <v>8</v>
      </c>
      <c r="F48" s="71">
        <f t="shared" si="3"/>
        <v>7.82</v>
      </c>
      <c r="G48" s="72">
        <f>IF(D48=D47,"",_xlfn.IFNA(VLOOKUP(D48,'인원 입력 기능 (사과탐)'!$A$177:$D$225,4,FALSE),0))</f>
        <v>802</v>
      </c>
      <c r="H48" s="73">
        <f t="shared" si="4"/>
        <v>2.4335477606505646E-2</v>
      </c>
      <c r="I48" s="77">
        <f>SUM($G$7:G48)</f>
        <v>30781</v>
      </c>
      <c r="J48" s="75">
        <f t="shared" si="5"/>
        <v>0.93400291297487559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5.59</v>
      </c>
      <c r="G49" s="72">
        <f>IF(D49=D48,"",_xlfn.IFNA(VLOOKUP(D49,'인원 입력 기능 (사과탐)'!$A$177:$D$225,4,FALSE),0))</f>
        <v>667</v>
      </c>
      <c r="H49" s="73">
        <f t="shared" si="4"/>
        <v>2.023910668770482E-2</v>
      </c>
      <c r="I49" s="77">
        <f>SUM($G$7:G49)</f>
        <v>31448</v>
      </c>
      <c r="J49" s="75">
        <f t="shared" si="5"/>
        <v>0.95424201966258038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3.75</v>
      </c>
      <c r="G50" s="72">
        <f>IF(D50=D49,"",_xlfn.IFNA(VLOOKUP(D50,'인원 입력 기능 (사과탐)'!$A$177:$D$225,4,FALSE),0))</f>
        <v>544</v>
      </c>
      <c r="H50" s="73">
        <f t="shared" si="4"/>
        <v>1.6506857628352956E-2</v>
      </c>
      <c r="I50" s="77">
        <f>SUM($G$7:G50)</f>
        <v>31992</v>
      </c>
      <c r="J50" s="75">
        <f t="shared" si="5"/>
        <v>0.9707488772909334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144">
        <f t="shared" si="2"/>
        <v>35</v>
      </c>
      <c r="E51" s="144">
        <f t="shared" si="6"/>
        <v>9</v>
      </c>
      <c r="F51" s="134">
        <f t="shared" si="3"/>
        <v>2.06</v>
      </c>
      <c r="G51" s="136">
        <f>IF(D51=D50,"",_xlfn.IFNA(VLOOKUP(D51,'인원 입력 기능 (사과탐)'!$A$177:$D$225,4,FALSE),0))</f>
        <v>569</v>
      </c>
      <c r="H51" s="137">
        <f t="shared" si="4"/>
        <v>1.7265444835538293E-2</v>
      </c>
      <c r="I51" s="139">
        <f>SUM($G$7:G51)</f>
        <v>32561</v>
      </c>
      <c r="J51" s="141">
        <f t="shared" si="5"/>
        <v>0.98801432212647167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143"/>
      <c r="E52" s="143"/>
      <c r="F52" s="133"/>
      <c r="G52" s="135"/>
      <c r="H52" s="138"/>
      <c r="I52" s="140"/>
      <c r="J52" s="142"/>
      <c r="K52" s="28"/>
      <c r="L52" s="5" t="str">
        <f t="shared" si="1"/>
        <v>경고</v>
      </c>
      <c r="N52" s="1"/>
    </row>
    <row r="53" spans="1:14" ht="25" customHeight="1">
      <c r="A53" s="4"/>
      <c r="B53" s="19"/>
      <c r="C53" s="78">
        <v>4</v>
      </c>
      <c r="D53" s="70">
        <f t="shared" si="2"/>
        <v>34</v>
      </c>
      <c r="E53" s="70">
        <f t="shared" si="6"/>
        <v>9</v>
      </c>
      <c r="F53" s="71">
        <f t="shared" si="3"/>
        <v>0.92</v>
      </c>
      <c r="G53" s="72">
        <f>IF(D53=D52,"",_xlfn.IFNA(VLOOKUP(D53,'인원 입력 기능 (사과탐)'!$A$177:$D$225,4,FALSE),0))</f>
        <v>185</v>
      </c>
      <c r="H53" s="73">
        <f t="shared" si="4"/>
        <v>5.613545333171501E-3</v>
      </c>
      <c r="I53" s="77">
        <f>SUM($G$7:G53)</f>
        <v>32746</v>
      </c>
      <c r="J53" s="75">
        <f t="shared" si="5"/>
        <v>0.99362786745964315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0.51</v>
      </c>
      <c r="G54" s="72">
        <f>IF(D54=D53,"",_xlfn.IFNA(VLOOKUP(D54,'인원 입력 기능 (사과탐)'!$A$177:$D$225,4,FALSE),0))</f>
        <v>85</v>
      </c>
      <c r="H54" s="73">
        <f t="shared" si="4"/>
        <v>2.5791965044301493E-3</v>
      </c>
      <c r="I54" s="77">
        <f>SUM($G$7:G54)</f>
        <v>32831</v>
      </c>
      <c r="J54" s="75">
        <f t="shared" si="5"/>
        <v>0.99620706396407332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0.23</v>
      </c>
      <c r="G55" s="72">
        <f>IF(D55=D54,"",_xlfn.IFNA(VLOOKUP(D55,'인원 입력 기능 (사과탐)'!$A$177:$D$225,4,FALSE),0))</f>
        <v>97</v>
      </c>
      <c r="H55" s="73">
        <f t="shared" si="4"/>
        <v>2.9433183638791116E-3</v>
      </c>
      <c r="I55" s="77">
        <f>SUM($G$7:G55)</f>
        <v>32928</v>
      </c>
      <c r="J55" s="75">
        <f t="shared" si="5"/>
        <v>0.99915038232795239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(사과탐)'!$A$177:$D$225,4,FALSE),0)</f>
        <v>28</v>
      </c>
      <c r="H57" s="86">
        <f>G57/$J$3</f>
        <v>8.4961767204757861E-4</v>
      </c>
      <c r="I57" s="87">
        <f>SUM($G$7:G57)</f>
        <v>32956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53">
    <mergeCell ref="I45:I46"/>
    <mergeCell ref="J45:J46"/>
    <mergeCell ref="D51:D52"/>
    <mergeCell ref="E51:E52"/>
    <mergeCell ref="F51:F52"/>
    <mergeCell ref="G51:G52"/>
    <mergeCell ref="H51:H52"/>
    <mergeCell ref="I51:I52"/>
    <mergeCell ref="J51:J52"/>
    <mergeCell ref="D45:D46"/>
    <mergeCell ref="E45:E46"/>
    <mergeCell ref="F45:F46"/>
    <mergeCell ref="G45:G46"/>
    <mergeCell ref="H45:H46"/>
    <mergeCell ref="I32:I33"/>
    <mergeCell ref="J32:J33"/>
    <mergeCell ref="D38:D39"/>
    <mergeCell ref="E38:E39"/>
    <mergeCell ref="F38:F39"/>
    <mergeCell ref="G38:G39"/>
    <mergeCell ref="H38:H39"/>
    <mergeCell ref="I38:I39"/>
    <mergeCell ref="J38:J39"/>
    <mergeCell ref="D32:D33"/>
    <mergeCell ref="E32:E33"/>
    <mergeCell ref="F32:F33"/>
    <mergeCell ref="G32:G33"/>
    <mergeCell ref="H32:H33"/>
    <mergeCell ref="I20:I21"/>
    <mergeCell ref="J20:J21"/>
    <mergeCell ref="D26:D27"/>
    <mergeCell ref="E26:E27"/>
    <mergeCell ref="F26:F27"/>
    <mergeCell ref="G26:G27"/>
    <mergeCell ref="H26:H27"/>
    <mergeCell ref="I26:I27"/>
    <mergeCell ref="J26:J27"/>
    <mergeCell ref="D3:F3"/>
    <mergeCell ref="D4:F4"/>
    <mergeCell ref="D8:J8"/>
    <mergeCell ref="D56:J56"/>
    <mergeCell ref="D14:D15"/>
    <mergeCell ref="E14:E15"/>
    <mergeCell ref="F14:F15"/>
    <mergeCell ref="G14:G15"/>
    <mergeCell ref="H14:H15"/>
    <mergeCell ref="I14:I15"/>
    <mergeCell ref="J14:J15"/>
    <mergeCell ref="D20:D21"/>
    <mergeCell ref="E20:E21"/>
    <mergeCell ref="F20:F21"/>
    <mergeCell ref="G20:G21"/>
    <mergeCell ref="H20:H21"/>
  </mergeCells>
  <phoneticPr fontId="1" type="noConversion"/>
  <conditionalFormatting sqref="D7:D14 D16:D20 D22:D26 D28:D32 D34:D38 D40:D45 D47:D51 D53:D57">
    <cfRule type="expression" dxfId="23" priority="1">
      <formula>$D7=$D8</formula>
    </cfRule>
  </conditionalFormatting>
  <conditionalFormatting sqref="C7:C57">
    <cfRule type="expression" dxfId="22" priority="2">
      <formula>OR(AND($D7=0,OR($D6=$Q$7:$Q$14)),AND($D8&gt;0,OR($D7=$Q$7:$Q$14)))</formula>
    </cfRule>
  </conditionalFormatting>
  <conditionalFormatting sqref="D7:J7 D8 D57:J57 D56 D9:J14 D16:J20 D22:J26 D28:J32 D34:J38 D40:J45 D47:J51 D53:J55">
    <cfRule type="expression" dxfId="21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7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기능'!D16</f>
        <v>20.83</v>
      </c>
      <c r="I3" s="15" t="s">
        <v>84</v>
      </c>
      <c r="J3" s="35">
        <f>'통계 및 응시자 수 입력 기능'!C16</f>
        <v>18727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94</v>
      </c>
      <c r="E4" s="108"/>
      <c r="F4" s="109"/>
      <c r="G4" s="37" t="s">
        <v>87</v>
      </c>
      <c r="H4" s="38" t="str">
        <f>'통계 및 응시자 수 입력 기능'!E16</f>
        <v>10.72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99.56</v>
      </c>
      <c r="G7" s="72">
        <f>_xlfn.IFNA(VLOOKUP(D7,'인원 입력 기능 (사과탐)'!$F$177:$I$225,4,FALSE),0)</f>
        <v>164</v>
      </c>
      <c r="H7" s="73">
        <f>G7/$J$3</f>
        <v>8.7574090884818719E-3</v>
      </c>
      <c r="I7" s="74">
        <f>G7</f>
        <v>164</v>
      </c>
      <c r="J7" s="75">
        <f>I7/$J$3</f>
        <v>8.7574090884818719E-3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입력기능'!C112</f>
        <v>71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입력기능'!C113</f>
        <v>64</v>
      </c>
    </row>
    <row r="9" spans="1:17" ht="25" customHeight="1">
      <c r="A9" s="4"/>
      <c r="B9" s="19"/>
      <c r="C9" s="69">
        <v>48</v>
      </c>
      <c r="D9" s="70">
        <f>ROUND(10*(C9-$H$3)/$H$4+50,0)</f>
        <v>75</v>
      </c>
      <c r="E9" s="70">
        <f t="shared" si="0"/>
        <v>1</v>
      </c>
      <c r="F9" s="71">
        <f>IF(I8=0,ROUND(100*(1-(I7+I9)/2/$J$3),2),ROUND(100*(1-(I8+I9)/2/$J$3),2))</f>
        <v>98.99</v>
      </c>
      <c r="G9" s="72">
        <f>_xlfn.IFNA(VLOOKUP(D9,'인원 입력 기능 (사과탐)'!$F$177:$I$225,4,FALSE),0)</f>
        <v>51</v>
      </c>
      <c r="H9" s="73">
        <f>G9/$J$3</f>
        <v>2.7233406311742404E-3</v>
      </c>
      <c r="I9" s="77">
        <f>SUM($G$7:G9)</f>
        <v>215</v>
      </c>
      <c r="J9" s="75">
        <f>I9/$J$3</f>
        <v>1.1480749719656111E-2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입력기능'!C114</f>
        <v>58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74</v>
      </c>
      <c r="E10" s="70">
        <f t="shared" si="0"/>
        <v>1</v>
      </c>
      <c r="F10" s="71">
        <f t="shared" ref="F10:F55" si="3">IF(I9=0,ROUND(100*(1-(I8+I10)/2/$J$3),2),ROUND(100*(1-(I9+I10)/2/$J$3),2))</f>
        <v>98.36</v>
      </c>
      <c r="G10" s="72">
        <f>IF(D10=D9,"",_xlfn.IFNA(VLOOKUP(D10,'인원 입력 기능 (사과탐)'!$F$177:$I$225,4,FALSE),0))</f>
        <v>185</v>
      </c>
      <c r="H10" s="73">
        <f t="shared" ref="H10:H55" si="4">G10/$J$3</f>
        <v>9.8787846424947933E-3</v>
      </c>
      <c r="I10" s="77">
        <f>SUM($G$7:G10)</f>
        <v>400</v>
      </c>
      <c r="J10" s="75">
        <f t="shared" ref="J10:J55" si="5">I10/$J$3</f>
        <v>2.1359534362150906E-2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입력기능'!C115</f>
        <v>50</v>
      </c>
    </row>
    <row r="11" spans="1:17" ht="25" customHeight="1">
      <c r="A11" s="4"/>
      <c r="B11" s="19"/>
      <c r="C11" s="69">
        <v>46</v>
      </c>
      <c r="D11" s="132">
        <f t="shared" si="2"/>
        <v>73</v>
      </c>
      <c r="E11" s="132">
        <f t="shared" si="0"/>
        <v>1</v>
      </c>
      <c r="F11" s="134">
        <f t="shared" si="3"/>
        <v>97.37</v>
      </c>
      <c r="G11" s="136">
        <f>IF(D11=D10,"",_xlfn.IFNA(VLOOKUP(D11,'인원 입력 기능 (사과탐)'!$F$177:$I$225,4,FALSE),0))</f>
        <v>184</v>
      </c>
      <c r="H11" s="137">
        <f t="shared" si="4"/>
        <v>9.8253858065894158E-3</v>
      </c>
      <c r="I11" s="139">
        <f>SUM($G$7:G11)</f>
        <v>584</v>
      </c>
      <c r="J11" s="141">
        <f t="shared" si="5"/>
        <v>3.1184920168740322E-2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입력기능'!C116</f>
        <v>45</v>
      </c>
    </row>
    <row r="12" spans="1:17" ht="25" customHeight="1">
      <c r="A12" s="4"/>
      <c r="B12" s="19"/>
      <c r="C12" s="76">
        <v>45</v>
      </c>
      <c r="D12" s="131"/>
      <c r="E12" s="131"/>
      <c r="F12" s="133"/>
      <c r="G12" s="135"/>
      <c r="H12" s="138"/>
      <c r="I12" s="140"/>
      <c r="J12" s="142"/>
      <c r="K12" s="28"/>
      <c r="L12" s="5" t="str">
        <f t="shared" si="1"/>
        <v>경고</v>
      </c>
      <c r="N12" s="1"/>
      <c r="P12" s="1">
        <v>6</v>
      </c>
      <c r="Q12" s="1">
        <f>'표준점수 등급컷 입력기능'!C117</f>
        <v>42</v>
      </c>
    </row>
    <row r="13" spans="1:17" ht="25" customHeight="1">
      <c r="A13" s="4"/>
      <c r="B13" s="19"/>
      <c r="C13" s="69">
        <v>44</v>
      </c>
      <c r="D13" s="70">
        <f t="shared" si="2"/>
        <v>72</v>
      </c>
      <c r="E13" s="70">
        <f t="shared" si="0"/>
        <v>1</v>
      </c>
      <c r="F13" s="71">
        <f t="shared" si="3"/>
        <v>96.46</v>
      </c>
      <c r="G13" s="72">
        <f>IF(D13=D12,"",_xlfn.IFNA(VLOOKUP(D13,'인원 입력 기능 (사과탐)'!$F$177:$I$225,4,FALSE),0))</f>
        <v>159</v>
      </c>
      <c r="H13" s="73">
        <f t="shared" si="4"/>
        <v>8.4904149089549841E-3</v>
      </c>
      <c r="I13" s="77">
        <f>SUM($G$7:G13)</f>
        <v>743</v>
      </c>
      <c r="J13" s="75">
        <f t="shared" si="5"/>
        <v>3.9675335077695308E-2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입력기능'!C118</f>
        <v>40</v>
      </c>
    </row>
    <row r="14" spans="1:17" ht="25" customHeight="1">
      <c r="A14" s="4"/>
      <c r="B14" s="19"/>
      <c r="C14" s="76">
        <v>43</v>
      </c>
      <c r="D14" s="70">
        <f t="shared" si="2"/>
        <v>71</v>
      </c>
      <c r="E14" s="70">
        <f t="shared" si="0"/>
        <v>1</v>
      </c>
      <c r="F14" s="71">
        <f t="shared" si="3"/>
        <v>95.85</v>
      </c>
      <c r="G14" s="72">
        <f>IF(D14=D13,"",_xlfn.IFNA(VLOOKUP(D14,'인원 입력 기능 (사과탐)'!$F$177:$I$225,4,FALSE),0))</f>
        <v>69</v>
      </c>
      <c r="H14" s="73">
        <f t="shared" si="4"/>
        <v>3.6845196774710313E-3</v>
      </c>
      <c r="I14" s="77">
        <f>SUM($G$7:G14)</f>
        <v>812</v>
      </c>
      <c r="J14" s="75">
        <f t="shared" si="5"/>
        <v>4.3359854755166335E-2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입력기능'!C119</f>
        <v>37</v>
      </c>
    </row>
    <row r="15" spans="1:17" ht="25" customHeight="1">
      <c r="A15" s="4"/>
      <c r="B15" s="19"/>
      <c r="C15" s="69">
        <v>42</v>
      </c>
      <c r="D15" s="70">
        <f t="shared" si="2"/>
        <v>70</v>
      </c>
      <c r="E15" s="70">
        <f t="shared" si="0"/>
        <v>2</v>
      </c>
      <c r="F15" s="71">
        <f t="shared" si="3"/>
        <v>95.02</v>
      </c>
      <c r="G15" s="72">
        <f>IF(D15=D14,"",_xlfn.IFNA(VLOOKUP(D15,'인원 입력 기능 (사과탐)'!$F$177:$I$225,4,FALSE),0))</f>
        <v>241</v>
      </c>
      <c r="H15" s="73">
        <f t="shared" si="4"/>
        <v>1.286911945319592E-2</v>
      </c>
      <c r="I15" s="77">
        <f>SUM($G$7:G15)</f>
        <v>1053</v>
      </c>
      <c r="J15" s="75">
        <f t="shared" si="5"/>
        <v>5.6228974208362259E-2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69</v>
      </c>
      <c r="E16" s="70">
        <f t="shared" si="0"/>
        <v>2</v>
      </c>
      <c r="F16" s="71">
        <f t="shared" si="3"/>
        <v>94.02</v>
      </c>
      <c r="G16" s="72">
        <f>IF(D16=D15,"",_xlfn.IFNA(VLOOKUP(D16,'인원 입력 기능 (사과탐)'!$F$177:$I$225,4,FALSE),0))</f>
        <v>132</v>
      </c>
      <c r="H16" s="73">
        <f t="shared" si="4"/>
        <v>7.0486463395097983E-3</v>
      </c>
      <c r="I16" s="77">
        <f>SUM($G$7:G16)</f>
        <v>1185</v>
      </c>
      <c r="J16" s="75">
        <f t="shared" si="5"/>
        <v>6.327762054787206E-2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68</v>
      </c>
      <c r="E17" s="70">
        <f t="shared" si="0"/>
        <v>2</v>
      </c>
      <c r="F17" s="71">
        <f t="shared" si="3"/>
        <v>93.13</v>
      </c>
      <c r="G17" s="72">
        <f>IF(D17=D16,"",_xlfn.IFNA(VLOOKUP(D17,'인원 입력 기능 (사과탐)'!$F$177:$I$225,4,FALSE),0))</f>
        <v>202</v>
      </c>
      <c r="H17" s="73">
        <f t="shared" si="4"/>
        <v>1.0786564852886206E-2</v>
      </c>
      <c r="I17" s="77">
        <f>SUM($G$7:G17)</f>
        <v>1387</v>
      </c>
      <c r="J17" s="75">
        <f t="shared" si="5"/>
        <v>7.4064185400758265E-2</v>
      </c>
      <c r="K17" s="28"/>
      <c r="L17" s="5" t="str">
        <f t="shared" si="1"/>
        <v/>
      </c>
      <c r="N17" s="1"/>
      <c r="P17" s="1">
        <f>Q7*H3*H4*J3*IFERROR(IF(J57=1, 1, 0), 0)</f>
        <v>296900285.01919997</v>
      </c>
    </row>
    <row r="18" spans="1:16" ht="25" customHeight="1">
      <c r="A18" s="4"/>
      <c r="B18" s="19"/>
      <c r="C18" s="76">
        <v>39</v>
      </c>
      <c r="D18" s="70">
        <f t="shared" si="2"/>
        <v>67</v>
      </c>
      <c r="E18" s="70">
        <f t="shared" si="0"/>
        <v>2</v>
      </c>
      <c r="F18" s="71">
        <f t="shared" si="3"/>
        <v>91.98</v>
      </c>
      <c r="G18" s="72">
        <f>IF(D18=D17,"",_xlfn.IFNA(VLOOKUP(D18,'인원 입력 기능 (사과탐)'!$F$177:$I$225,4,FALSE),0))</f>
        <v>228</v>
      </c>
      <c r="H18" s="73">
        <f t="shared" si="4"/>
        <v>1.2174934586426015E-2</v>
      </c>
      <c r="I18" s="77">
        <f>SUM($G$7:G18)</f>
        <v>1615</v>
      </c>
      <c r="J18" s="75">
        <f t="shared" si="5"/>
        <v>8.6239119987184282E-2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66</v>
      </c>
      <c r="E19" s="70">
        <f t="shared" si="0"/>
        <v>2</v>
      </c>
      <c r="F19" s="71">
        <f t="shared" si="3"/>
        <v>91</v>
      </c>
      <c r="G19" s="72">
        <f>IF(D19=D18,"",_xlfn.IFNA(VLOOKUP(D19,'인원 입력 기능 (사과탐)'!$F$177:$I$225,4,FALSE),0))</f>
        <v>141</v>
      </c>
      <c r="H19" s="73">
        <f t="shared" si="4"/>
        <v>7.5292358626581945E-3</v>
      </c>
      <c r="I19" s="77">
        <f>SUM($G$7:G19)</f>
        <v>1756</v>
      </c>
      <c r="J19" s="75">
        <f t="shared" si="5"/>
        <v>9.3768355849842472E-2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65</v>
      </c>
      <c r="E20" s="70">
        <f t="shared" si="0"/>
        <v>2</v>
      </c>
      <c r="F20" s="71">
        <f t="shared" si="3"/>
        <v>89.86</v>
      </c>
      <c r="G20" s="72">
        <f>IF(D20=D19,"",_xlfn.IFNA(VLOOKUP(D20,'인원 입력 기능 (사과탐)'!$F$177:$I$225,4,FALSE),0))</f>
        <v>285</v>
      </c>
      <c r="H20" s="73">
        <f t="shared" si="4"/>
        <v>1.521866823303252E-2</v>
      </c>
      <c r="I20" s="77">
        <f>SUM($G$7:G20)</f>
        <v>2041</v>
      </c>
      <c r="J20" s="75">
        <f t="shared" si="5"/>
        <v>0.10898702408287499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64</v>
      </c>
      <c r="E21" s="79">
        <f t="shared" si="0"/>
        <v>2</v>
      </c>
      <c r="F21" s="71">
        <f t="shared" si="3"/>
        <v>88.46</v>
      </c>
      <c r="G21" s="72">
        <f>IF(D21=D20,"",_xlfn.IFNA(VLOOKUP(D21,'인원 입력 기능 (사과탐)'!$F$177:$I$225,4,FALSE),0))</f>
        <v>239</v>
      </c>
      <c r="H21" s="73">
        <f t="shared" si="4"/>
        <v>1.2762321781385165E-2</v>
      </c>
      <c r="I21" s="77">
        <f>SUM($G$7:G21)</f>
        <v>2280</v>
      </c>
      <c r="J21" s="75">
        <f t="shared" si="5"/>
        <v>0.12174934586426016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63</v>
      </c>
      <c r="E22" s="79">
        <f t="shared" si="0"/>
        <v>3</v>
      </c>
      <c r="F22" s="71">
        <f t="shared" si="3"/>
        <v>87.27</v>
      </c>
      <c r="G22" s="72">
        <f>IF(D22=D21,"",_xlfn.IFNA(VLOOKUP(D22,'인원 입력 기능 (사과탐)'!$F$177:$I$225,4,FALSE),0))</f>
        <v>209</v>
      </c>
      <c r="H22" s="73">
        <f t="shared" si="4"/>
        <v>1.1160356704223847E-2</v>
      </c>
      <c r="I22" s="77">
        <f>SUM($G$7:G22)</f>
        <v>2489</v>
      </c>
      <c r="J22" s="75">
        <f t="shared" si="5"/>
        <v>0.132909702568484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62</v>
      </c>
      <c r="E23" s="79">
        <f t="shared" si="0"/>
        <v>3</v>
      </c>
      <c r="F23" s="71">
        <f t="shared" si="3"/>
        <v>85.81</v>
      </c>
      <c r="G23" s="72">
        <f>IF(D23=D22,"",_xlfn.IFNA(VLOOKUP(D23,'인원 입력 기능 (사과탐)'!$F$177:$I$225,4,FALSE),0))</f>
        <v>335</v>
      </c>
      <c r="H23" s="73">
        <f t="shared" si="4"/>
        <v>1.7888610028301381E-2</v>
      </c>
      <c r="I23" s="77">
        <f>SUM($G$7:G23)</f>
        <v>2824</v>
      </c>
      <c r="J23" s="75">
        <f t="shared" si="5"/>
        <v>0.15079831259678539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61</v>
      </c>
      <c r="E24" s="79">
        <f t="shared" si="0"/>
        <v>3</v>
      </c>
      <c r="F24" s="71">
        <f t="shared" si="3"/>
        <v>84.24</v>
      </c>
      <c r="G24" s="72">
        <f>IF(D24=D23,"",_xlfn.IFNA(VLOOKUP(D24,'인원 입력 기능 (사과탐)'!$F$177:$I$225,4,FALSE),0))</f>
        <v>253</v>
      </c>
      <c r="H24" s="73">
        <f t="shared" si="4"/>
        <v>1.3509905484060447E-2</v>
      </c>
      <c r="I24" s="77">
        <f>SUM($G$7:G24)</f>
        <v>3077</v>
      </c>
      <c r="J24" s="75">
        <f t="shared" si="5"/>
        <v>0.16430821808084584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60</v>
      </c>
      <c r="E25" s="79">
        <f t="shared" si="0"/>
        <v>3</v>
      </c>
      <c r="F25" s="71">
        <f t="shared" si="3"/>
        <v>82.69</v>
      </c>
      <c r="G25" s="72">
        <f>IF(D25=D24,"",_xlfn.IFNA(VLOOKUP(D25,'인원 입력 기능 (사과탐)'!$F$177:$I$225,4,FALSE),0))</f>
        <v>329</v>
      </c>
      <c r="H25" s="73">
        <f t="shared" si="4"/>
        <v>1.756821701286912E-2</v>
      </c>
      <c r="I25" s="77">
        <f>SUM($G$7:G25)</f>
        <v>3406</v>
      </c>
      <c r="J25" s="75">
        <f t="shared" si="5"/>
        <v>0.18187643509371496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4">
        <f t="shared" si="2"/>
        <v>59</v>
      </c>
      <c r="E26" s="144">
        <f t="shared" si="0"/>
        <v>3</v>
      </c>
      <c r="F26" s="134">
        <f t="shared" si="3"/>
        <v>80.239999999999995</v>
      </c>
      <c r="G26" s="136">
        <f>IF(D26=D25,"",_xlfn.IFNA(VLOOKUP(D26,'인원 입력 기능 (사과탐)'!$F$177:$I$225,4,FALSE),0))</f>
        <v>589</v>
      </c>
      <c r="H26" s="137">
        <f t="shared" si="4"/>
        <v>3.1451914348267211E-2</v>
      </c>
      <c r="I26" s="139">
        <f>SUM($G$7:G26)</f>
        <v>3995</v>
      </c>
      <c r="J26" s="141">
        <f t="shared" si="5"/>
        <v>0.21332834944198217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143"/>
      <c r="E27" s="143"/>
      <c r="F27" s="133"/>
      <c r="G27" s="135"/>
      <c r="H27" s="138"/>
      <c r="I27" s="140"/>
      <c r="J27" s="142"/>
      <c r="K27" s="28"/>
      <c r="L27" s="5" t="str">
        <f t="shared" si="1"/>
        <v>경고</v>
      </c>
      <c r="N27" s="1"/>
    </row>
    <row r="28" spans="1:16" ht="25" customHeight="1">
      <c r="A28" s="4"/>
      <c r="B28" s="19"/>
      <c r="C28" s="80">
        <v>29</v>
      </c>
      <c r="D28" s="79">
        <f t="shared" si="2"/>
        <v>58</v>
      </c>
      <c r="E28" s="79">
        <f t="shared" si="0"/>
        <v>3</v>
      </c>
      <c r="F28" s="71">
        <f t="shared" si="3"/>
        <v>77.5</v>
      </c>
      <c r="G28" s="72">
        <f>IF(D28=D27,"",_xlfn.IFNA(VLOOKUP(D28,'인원 입력 기능 (사과탐)'!$F$177:$I$225,4,FALSE),0))</f>
        <v>439</v>
      </c>
      <c r="H28" s="73">
        <f t="shared" si="4"/>
        <v>2.3442088962460618E-2</v>
      </c>
      <c r="I28" s="77">
        <f>SUM($G$7:G28)</f>
        <v>4434</v>
      </c>
      <c r="J28" s="75">
        <f t="shared" si="5"/>
        <v>0.23677043840444278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57</v>
      </c>
      <c r="E29" s="79">
        <f t="shared" si="0"/>
        <v>4</v>
      </c>
      <c r="F29" s="71">
        <f t="shared" si="3"/>
        <v>75.459999999999994</v>
      </c>
      <c r="G29" s="72">
        <f>IF(D29=D28,"",_xlfn.IFNA(VLOOKUP(D29,'인원 입력 기능 (사과탐)'!$F$177:$I$225,4,FALSE),0))</f>
        <v>324</v>
      </c>
      <c r="H29" s="73">
        <f t="shared" si="4"/>
        <v>1.7301222833342234E-2</v>
      </c>
      <c r="I29" s="77">
        <f>SUM($G$7:G29)</f>
        <v>4758</v>
      </c>
      <c r="J29" s="75">
        <f t="shared" si="5"/>
        <v>0.25407166123778502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56</v>
      </c>
      <c r="E30" s="79">
        <f t="shared" si="0"/>
        <v>4</v>
      </c>
      <c r="F30" s="71">
        <f t="shared" si="3"/>
        <v>73.66</v>
      </c>
      <c r="G30" s="72">
        <f>IF(D30=D29,"",_xlfn.IFNA(VLOOKUP(D30,'인원 입력 기능 (사과탐)'!$F$177:$I$225,4,FALSE),0))</f>
        <v>350</v>
      </c>
      <c r="H30" s="73">
        <f t="shared" si="4"/>
        <v>1.8689592566882043E-2</v>
      </c>
      <c r="I30" s="77">
        <f>SUM($G$7:G30)</f>
        <v>5108</v>
      </c>
      <c r="J30" s="75">
        <f t="shared" si="5"/>
        <v>0.27276125380466704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55</v>
      </c>
      <c r="E31" s="79">
        <f t="shared" si="0"/>
        <v>4</v>
      </c>
      <c r="F31" s="71">
        <f t="shared" si="3"/>
        <v>71.53</v>
      </c>
      <c r="G31" s="72">
        <f>IF(D31=D30,"",_xlfn.IFNA(VLOOKUP(D31,'인원 입력 기능 (사과탐)'!$F$177:$I$225,4,FALSE),0))</f>
        <v>447</v>
      </c>
      <c r="H31" s="73">
        <f t="shared" si="4"/>
        <v>2.3869279649703635E-2</v>
      </c>
      <c r="I31" s="77">
        <f>SUM($G$7:G31)</f>
        <v>5555</v>
      </c>
      <c r="J31" s="75">
        <f t="shared" si="5"/>
        <v>0.29663053345437068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54</v>
      </c>
      <c r="E32" s="79">
        <f t="shared" si="0"/>
        <v>4</v>
      </c>
      <c r="F32" s="71">
        <f t="shared" si="3"/>
        <v>69.31</v>
      </c>
      <c r="G32" s="72">
        <f>IF(D32=D31,"",_xlfn.IFNA(VLOOKUP(D32,'인원 입력 기능 (사과탐)'!$F$177:$I$225,4,FALSE),0))</f>
        <v>383</v>
      </c>
      <c r="H32" s="73">
        <f t="shared" si="4"/>
        <v>2.0451754151759493E-2</v>
      </c>
      <c r="I32" s="77">
        <f>SUM($G$7:G32)</f>
        <v>5938</v>
      </c>
      <c r="J32" s="75">
        <f t="shared" si="5"/>
        <v>0.31708228760613016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53</v>
      </c>
      <c r="E33" s="79">
        <f t="shared" si="0"/>
        <v>4</v>
      </c>
      <c r="F33" s="71">
        <f t="shared" si="3"/>
        <v>66.91</v>
      </c>
      <c r="G33" s="72">
        <f>IF(D33=D32,"",_xlfn.IFNA(VLOOKUP(D33,'인원 입력 기능 (사과탐)'!$F$177:$I$225,4,FALSE),0))</f>
        <v>518</v>
      </c>
      <c r="H33" s="73">
        <f t="shared" si="4"/>
        <v>2.7660596998985421E-2</v>
      </c>
      <c r="I33" s="77">
        <f>SUM($G$7:G33)</f>
        <v>6456</v>
      </c>
      <c r="J33" s="75">
        <f t="shared" si="5"/>
        <v>0.3447428846051156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52</v>
      </c>
      <c r="E34" s="79">
        <f t="shared" si="0"/>
        <v>4</v>
      </c>
      <c r="F34" s="71">
        <f t="shared" si="3"/>
        <v>64.3</v>
      </c>
      <c r="G34" s="72">
        <f>IF(D34=D33,"",_xlfn.IFNA(VLOOKUP(D34,'인원 입력 기능 (사과탐)'!$F$177:$I$225,4,FALSE),0))</f>
        <v>458</v>
      </c>
      <c r="H34" s="73">
        <f t="shared" si="4"/>
        <v>2.4456666844662786E-2</v>
      </c>
      <c r="I34" s="77">
        <f>SUM($G$7:G34)</f>
        <v>6914</v>
      </c>
      <c r="J34" s="75">
        <f t="shared" si="5"/>
        <v>0.3691995514497784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51</v>
      </c>
      <c r="E35" s="79">
        <f t="shared" si="0"/>
        <v>4</v>
      </c>
      <c r="F35" s="71">
        <f t="shared" si="3"/>
        <v>61.76</v>
      </c>
      <c r="G35" s="72">
        <f>IF(D35=D34,"",_xlfn.IFNA(VLOOKUP(D35,'인원 입력 기능 (사과탐)'!$F$177:$I$225,4,FALSE),0))</f>
        <v>493</v>
      </c>
      <c r="H35" s="73">
        <f t="shared" si="4"/>
        <v>2.6325626101350991E-2</v>
      </c>
      <c r="I35" s="77">
        <f>SUM($G$7:G35)</f>
        <v>7407</v>
      </c>
      <c r="J35" s="75">
        <f t="shared" si="5"/>
        <v>0.39552517755112937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50</v>
      </c>
      <c r="E36" s="79">
        <f t="shared" si="0"/>
        <v>4</v>
      </c>
      <c r="F36" s="71">
        <f t="shared" si="3"/>
        <v>58.72</v>
      </c>
      <c r="G36" s="72">
        <f>IF(D36=D35,"",_xlfn.IFNA(VLOOKUP(D36,'인원 입력 기능 (사과탐)'!$F$177:$I$225,4,FALSE),0))</f>
        <v>647</v>
      </c>
      <c r="H36" s="73">
        <f t="shared" si="4"/>
        <v>3.4549046830779091E-2</v>
      </c>
      <c r="I36" s="77">
        <f>SUM($G$7:G36)</f>
        <v>8054</v>
      </c>
      <c r="J36" s="75">
        <f t="shared" si="5"/>
        <v>0.43007422438190845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49</v>
      </c>
      <c r="E37" s="79">
        <f t="shared" si="0"/>
        <v>5</v>
      </c>
      <c r="F37" s="71">
        <f t="shared" si="3"/>
        <v>55.61</v>
      </c>
      <c r="G37" s="72">
        <f>IF(D37=D36,"",_xlfn.IFNA(VLOOKUP(D37,'인원 입력 기능 (사과탐)'!$F$177:$I$225,4,FALSE),0))</f>
        <v>519</v>
      </c>
      <c r="H37" s="73">
        <f t="shared" si="4"/>
        <v>2.7713995834890801E-2</v>
      </c>
      <c r="I37" s="77">
        <f>SUM($G$7:G37)</f>
        <v>8573</v>
      </c>
      <c r="J37" s="75">
        <f t="shared" si="5"/>
        <v>0.45778822021679927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48</v>
      </c>
      <c r="E38" s="79">
        <f t="shared" si="0"/>
        <v>5</v>
      </c>
      <c r="F38" s="71">
        <f t="shared" si="3"/>
        <v>52.47</v>
      </c>
      <c r="G38" s="72">
        <f>IF(D38=D37,"",_xlfn.IFNA(VLOOKUP(D38,'인원 입력 기능 (사과탐)'!$F$177:$I$225,4,FALSE),0))</f>
        <v>657</v>
      </c>
      <c r="H38" s="73">
        <f t="shared" si="4"/>
        <v>3.5083035189832863E-2</v>
      </c>
      <c r="I38" s="77">
        <f>SUM($G$7:G38)</f>
        <v>9230</v>
      </c>
      <c r="J38" s="75">
        <f t="shared" si="5"/>
        <v>0.49287125540663212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47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48.97</v>
      </c>
      <c r="G39" s="72">
        <f>IF(D39=D38,"",_xlfn.IFNA(VLOOKUP(D39,'인원 입력 기능 (사과탐)'!$F$177:$I$225,4,FALSE),0))</f>
        <v>654</v>
      </c>
      <c r="H39" s="73">
        <f t="shared" si="4"/>
        <v>3.4922838682116729E-2</v>
      </c>
      <c r="I39" s="77">
        <f>SUM($G$7:G39)</f>
        <v>9884</v>
      </c>
      <c r="J39" s="75">
        <f t="shared" si="5"/>
        <v>0.52779409408874889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46</v>
      </c>
      <c r="E40" s="79">
        <f t="shared" si="6"/>
        <v>5</v>
      </c>
      <c r="F40" s="71">
        <f t="shared" si="3"/>
        <v>45.33</v>
      </c>
      <c r="G40" s="72">
        <f>IF(D40=D39,"",_xlfn.IFNA(VLOOKUP(D40,'인원 입력 기능 (사과탐)'!$F$177:$I$225,4,FALSE),0))</f>
        <v>707</v>
      </c>
      <c r="H40" s="73">
        <f t="shared" si="4"/>
        <v>3.7752976985101723E-2</v>
      </c>
      <c r="I40" s="77">
        <f>SUM($G$7:G40)</f>
        <v>10591</v>
      </c>
      <c r="J40" s="75">
        <f t="shared" si="5"/>
        <v>0.5655470710738506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144">
        <f t="shared" si="2"/>
        <v>45</v>
      </c>
      <c r="E41" s="144">
        <f t="shared" si="6"/>
        <v>5</v>
      </c>
      <c r="F41" s="134">
        <f t="shared" si="3"/>
        <v>39.380000000000003</v>
      </c>
      <c r="G41" s="136">
        <f>IF(D41=D40,"",_xlfn.IFNA(VLOOKUP(D41,'인원 입력 기능 (사과탐)'!$F$177:$I$225,4,FALSE),0))</f>
        <v>1523</v>
      </c>
      <c r="H41" s="137">
        <f t="shared" si="4"/>
        <v>8.1326427083889569E-2</v>
      </c>
      <c r="I41" s="139">
        <f>SUM($G$7:G41)</f>
        <v>12114</v>
      </c>
      <c r="J41" s="141">
        <f t="shared" si="5"/>
        <v>0.6468734981577402</v>
      </c>
      <c r="K41" s="28"/>
      <c r="L41" s="5" t="str">
        <f t="shared" si="1"/>
        <v>경고</v>
      </c>
      <c r="N41" s="1"/>
    </row>
    <row r="42" spans="1:14" ht="25" customHeight="1">
      <c r="A42" s="4"/>
      <c r="B42" s="19"/>
      <c r="C42" s="80">
        <v>15</v>
      </c>
      <c r="D42" s="143"/>
      <c r="E42" s="143"/>
      <c r="F42" s="133"/>
      <c r="G42" s="135"/>
      <c r="H42" s="138"/>
      <c r="I42" s="140"/>
      <c r="J42" s="142"/>
      <c r="K42" s="28"/>
      <c r="L42" s="5" t="str">
        <f t="shared" si="1"/>
        <v>경고</v>
      </c>
      <c r="N42" s="1"/>
    </row>
    <row r="43" spans="1:14" ht="25" customHeight="1">
      <c r="A43" s="4"/>
      <c r="B43" s="19"/>
      <c r="C43" s="78">
        <v>14</v>
      </c>
      <c r="D43" s="79">
        <f t="shared" si="2"/>
        <v>44</v>
      </c>
      <c r="E43" s="79">
        <f t="shared" si="6"/>
        <v>6</v>
      </c>
      <c r="F43" s="71">
        <f t="shared" si="3"/>
        <v>32.909999999999997</v>
      </c>
      <c r="G43" s="72">
        <f>IF(D43=D42,"",_xlfn.IFNA(VLOOKUP(D43,'인원 입력 기능 (사과탐)'!$F$177:$I$225,4,FALSE),0))</f>
        <v>900</v>
      </c>
      <c r="H43" s="73">
        <f t="shared" si="4"/>
        <v>4.8058952314839538E-2</v>
      </c>
      <c r="I43" s="77">
        <f>SUM($G$7:G43)</f>
        <v>13014</v>
      </c>
      <c r="J43" s="75">
        <f t="shared" si="5"/>
        <v>0.69493245047257968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43</v>
      </c>
      <c r="E44" s="79">
        <f t="shared" si="6"/>
        <v>6</v>
      </c>
      <c r="F44" s="71">
        <f t="shared" si="3"/>
        <v>27.82</v>
      </c>
      <c r="G44" s="72">
        <f>IF(D44=D43,"",_xlfn.IFNA(VLOOKUP(D44,'인원 입력 기능 (사과탐)'!$F$177:$I$225,4,FALSE),0))</f>
        <v>1008</v>
      </c>
      <c r="H44" s="73">
        <f t="shared" si="4"/>
        <v>5.3826026592620278E-2</v>
      </c>
      <c r="I44" s="77">
        <f>SUM($G$7:G44)</f>
        <v>14022</v>
      </c>
      <c r="J44" s="75">
        <f t="shared" si="5"/>
        <v>0.74875847706519993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42</v>
      </c>
      <c r="E45" s="79">
        <f t="shared" si="6"/>
        <v>6</v>
      </c>
      <c r="F45" s="71">
        <f t="shared" si="3"/>
        <v>21.39</v>
      </c>
      <c r="G45" s="72">
        <f>IF(D45=D44,"",_xlfn.IFNA(VLOOKUP(D45,'인원 입력 기능 (사과탐)'!$F$177:$I$225,4,FALSE),0))</f>
        <v>1399</v>
      </c>
      <c r="H45" s="73">
        <f t="shared" si="4"/>
        <v>7.4704971431622788E-2</v>
      </c>
      <c r="I45" s="77">
        <f>SUM($G$7:G45)</f>
        <v>15421</v>
      </c>
      <c r="J45" s="75">
        <f t="shared" si="5"/>
        <v>0.82346344849682274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41</v>
      </c>
      <c r="E46" s="79">
        <f t="shared" si="6"/>
        <v>7</v>
      </c>
      <c r="F46" s="71">
        <f t="shared" si="3"/>
        <v>16.13</v>
      </c>
      <c r="G46" s="72">
        <f>IF(D46=D45,"",_xlfn.IFNA(VLOOKUP(D46,'인원 입력 기능 (사과탐)'!$F$177:$I$225,4,FALSE),0))</f>
        <v>570</v>
      </c>
      <c r="H46" s="73">
        <f t="shared" si="4"/>
        <v>3.043733646606504E-2</v>
      </c>
      <c r="I46" s="77">
        <f>SUM($G$7:G46)</f>
        <v>15991</v>
      </c>
      <c r="J46" s="75">
        <f t="shared" si="5"/>
        <v>0.85390078496288779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12.71</v>
      </c>
      <c r="G47" s="72">
        <f>IF(D47=D46,"",_xlfn.IFNA(VLOOKUP(D47,'인원 입력 기능 (사과탐)'!$F$177:$I$225,4,FALSE),0))</f>
        <v>710</v>
      </c>
      <c r="H47" s="73">
        <f t="shared" si="4"/>
        <v>3.7913173492817857E-2</v>
      </c>
      <c r="I47" s="77">
        <f>SUM($G$7:G47)</f>
        <v>16701</v>
      </c>
      <c r="J47" s="75">
        <f t="shared" si="5"/>
        <v>0.89181395845570566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39</v>
      </c>
      <c r="E48" s="79">
        <f t="shared" si="6"/>
        <v>8</v>
      </c>
      <c r="F48" s="71">
        <f t="shared" si="3"/>
        <v>9.56</v>
      </c>
      <c r="G48" s="72">
        <f>IF(D48=D47,"",_xlfn.IFNA(VLOOKUP(D48,'인원 입력 기능 (사과탐)'!$F$177:$I$225,4,FALSE),0))</f>
        <v>471</v>
      </c>
      <c r="H48" s="73">
        <f t="shared" si="4"/>
        <v>2.5150851711432692E-2</v>
      </c>
      <c r="I48" s="77">
        <f>SUM($G$7:G48)</f>
        <v>17172</v>
      </c>
      <c r="J48" s="75">
        <f t="shared" si="5"/>
        <v>0.91696481016713838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38</v>
      </c>
      <c r="E49" s="79">
        <f t="shared" si="6"/>
        <v>8</v>
      </c>
      <c r="F49" s="71">
        <f t="shared" si="3"/>
        <v>7.17</v>
      </c>
      <c r="G49" s="72">
        <f>IF(D49=D48,"",_xlfn.IFNA(VLOOKUP(D49,'인원 입력 기능 (사과탐)'!$F$177:$I$225,4,FALSE),0))</f>
        <v>424</v>
      </c>
      <c r="H49" s="73">
        <f t="shared" si="4"/>
        <v>2.264110642387996E-2</v>
      </c>
      <c r="I49" s="77">
        <f>SUM($G$7:G49)</f>
        <v>17596</v>
      </c>
      <c r="J49" s="75">
        <f t="shared" si="5"/>
        <v>0.93960591659101833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4.84</v>
      </c>
      <c r="G50" s="72">
        <f>IF(D50=D49,"",_xlfn.IFNA(VLOOKUP(D50,'인원 입력 기능 (사과탐)'!$F$177:$I$225,4,FALSE),0))</f>
        <v>448</v>
      </c>
      <c r="H50" s="73">
        <f t="shared" si="4"/>
        <v>2.3922678485609014E-2</v>
      </c>
      <c r="I50" s="77">
        <f>SUM($G$7:G50)</f>
        <v>18044</v>
      </c>
      <c r="J50" s="75">
        <f t="shared" si="5"/>
        <v>0.96352859507662736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3.05</v>
      </c>
      <c r="G51" s="72">
        <f>IF(D51=D50,"",_xlfn.IFNA(VLOOKUP(D51,'인원 입력 기능 (사과탐)'!$F$177:$I$225,4,FALSE),0))</f>
        <v>223</v>
      </c>
      <c r="H51" s="73">
        <f t="shared" si="4"/>
        <v>1.190794040689913E-2</v>
      </c>
      <c r="I51" s="77">
        <f>SUM($G$7:G51)</f>
        <v>18267</v>
      </c>
      <c r="J51" s="75">
        <f t="shared" si="5"/>
        <v>0.97543653548352649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35</v>
      </c>
      <c r="E52" s="79">
        <f t="shared" si="6"/>
        <v>9</v>
      </c>
      <c r="F52" s="71">
        <f t="shared" si="3"/>
        <v>1.98</v>
      </c>
      <c r="G52" s="72">
        <f>IF(D52=D51,"",_xlfn.IFNA(VLOOKUP(D52,'인원 입력 기능 (사과탐)'!$F$177:$I$225,4,FALSE),0))</f>
        <v>180</v>
      </c>
      <c r="H52" s="73">
        <f t="shared" si="4"/>
        <v>9.6117904629679073E-3</v>
      </c>
      <c r="I52" s="77">
        <f>SUM($G$7:G52)</f>
        <v>18447</v>
      </c>
      <c r="J52" s="75">
        <f t="shared" si="5"/>
        <v>0.98504832594649439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1.1499999999999999</v>
      </c>
      <c r="G53" s="72">
        <f>IF(D53=D52,"",_xlfn.IFNA(VLOOKUP(D53,'인원 입력 기능 (사과탐)'!$F$177:$I$225,4,FALSE),0))</f>
        <v>128</v>
      </c>
      <c r="H53" s="73">
        <f t="shared" si="4"/>
        <v>6.8350509958882899E-3</v>
      </c>
      <c r="I53" s="77">
        <f>SUM($G$7:G53)</f>
        <v>18575</v>
      </c>
      <c r="J53" s="75">
        <f t="shared" si="5"/>
        <v>0.99188337694238271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0.67</v>
      </c>
      <c r="G54" s="72">
        <f>IF(D54=D53,"",_xlfn.IFNA(VLOOKUP(D54,'인원 입력 기능 (사과탐)'!$F$177:$I$225,4,FALSE),0))</f>
        <v>52</v>
      </c>
      <c r="H54" s="73">
        <f t="shared" si="4"/>
        <v>2.7767394670796175E-3</v>
      </c>
      <c r="I54" s="77">
        <f>SUM($G$7:G54)</f>
        <v>18627</v>
      </c>
      <c r="J54" s="75">
        <f t="shared" si="5"/>
        <v>0.99466011640946228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0.35</v>
      </c>
      <c r="G55" s="72">
        <f>IF(D55=D54,"",_xlfn.IFNA(VLOOKUP(D55,'인원 입력 기능 (사과탐)'!$F$177:$I$225,4,FALSE),0))</f>
        <v>68</v>
      </c>
      <c r="H55" s="73">
        <f t="shared" si="4"/>
        <v>3.6311208415656538E-3</v>
      </c>
      <c r="I55" s="77">
        <f>SUM($G$7:G55)</f>
        <v>18695</v>
      </c>
      <c r="J55" s="75">
        <f t="shared" si="5"/>
        <v>0.99829123725102797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0.09</v>
      </c>
      <c r="G57" s="85">
        <f>_xlfn.IFNA(VLOOKUP(D57,'인원 입력 기능 (사과탐)'!$F$177:$I$225,4,FALSE),0)</f>
        <v>32</v>
      </c>
      <c r="H57" s="86">
        <f>G57/$J$3</f>
        <v>1.7087627489720725E-3</v>
      </c>
      <c r="I57" s="87">
        <f>SUM($G$7:G57)</f>
        <v>18727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25">
    <mergeCell ref="I26:I27"/>
    <mergeCell ref="J26:J27"/>
    <mergeCell ref="D41:D42"/>
    <mergeCell ref="E41:E42"/>
    <mergeCell ref="F41:F42"/>
    <mergeCell ref="G41:G42"/>
    <mergeCell ref="H41:H42"/>
    <mergeCell ref="I41:I42"/>
    <mergeCell ref="J41:J42"/>
    <mergeCell ref="D3:F3"/>
    <mergeCell ref="D4:F4"/>
    <mergeCell ref="D8:J8"/>
    <mergeCell ref="D56:J56"/>
    <mergeCell ref="D11:D12"/>
    <mergeCell ref="E11:E12"/>
    <mergeCell ref="F11:F12"/>
    <mergeCell ref="G11:G12"/>
    <mergeCell ref="H11:H12"/>
    <mergeCell ref="I11:I12"/>
    <mergeCell ref="J11:J12"/>
    <mergeCell ref="D26:D27"/>
    <mergeCell ref="E26:E27"/>
    <mergeCell ref="F26:F27"/>
    <mergeCell ref="G26:G27"/>
    <mergeCell ref="H26:H27"/>
  </mergeCells>
  <phoneticPr fontId="1" type="noConversion"/>
  <conditionalFormatting sqref="D7:D11 D13:D26 D28:D41 D43:D57">
    <cfRule type="expression" dxfId="20" priority="1">
      <formula>$D7=$D8</formula>
    </cfRule>
  </conditionalFormatting>
  <conditionalFormatting sqref="C7:C57">
    <cfRule type="expression" dxfId="19" priority="3">
      <formula>OR(AND($D7=0,OR($D6=$Q$7:$Q$14)),AND($D8&gt;0,OR($D7=$Q$7:$Q$14)))</formula>
    </cfRule>
  </conditionalFormatting>
  <conditionalFormatting sqref="D7:J7 D8 D57:J57 D56 D9:J11 D13:J26 D28:J41 D43:J55">
    <cfRule type="expression" dxfId="18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8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기능'!D17</f>
        <v>27.98</v>
      </c>
      <c r="I3" s="15" t="s">
        <v>84</v>
      </c>
      <c r="J3" s="35">
        <f>'통계 및 응시자 수 입력 기능'!C17</f>
        <v>72377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93</v>
      </c>
      <c r="E4" s="108"/>
      <c r="F4" s="109"/>
      <c r="G4" s="37" t="s">
        <v>87</v>
      </c>
      <c r="H4" s="38" t="str">
        <f>'통계 및 응시자 수 입력 기능'!E17</f>
        <v>11.28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99.43</v>
      </c>
      <c r="G7" s="72">
        <f>_xlfn.IFNA(VLOOKUP(D7,'인원 입력 기능 (사과탐)'!$K$177:$N$225,4,FALSE),0)</f>
        <v>823</v>
      </c>
      <c r="H7" s="73">
        <f>G7/$J$3</f>
        <v>1.1371015654144272E-2</v>
      </c>
      <c r="I7" s="74">
        <f>G7</f>
        <v>823</v>
      </c>
      <c r="J7" s="75">
        <f>I7/$J$3</f>
        <v>1.1371015654144272E-2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입력기능'!C121</f>
        <v>66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입력기능'!C122</f>
        <v>63</v>
      </c>
    </row>
    <row r="9" spans="1:17" ht="25" customHeight="1">
      <c r="A9" s="4"/>
      <c r="B9" s="19"/>
      <c r="C9" s="69">
        <v>48</v>
      </c>
      <c r="D9" s="70">
        <f>ROUND(10*(C9-$H$3)/$H$4+50,0)</f>
        <v>68</v>
      </c>
      <c r="E9" s="70">
        <f t="shared" si="0"/>
        <v>1</v>
      </c>
      <c r="F9" s="71">
        <f>IF(I8=0,ROUND(100*(1-(I7+I9)/2/$J$3),2),ROUND(100*(1-(I8+I9)/2/$J$3),2))</f>
        <v>98.34</v>
      </c>
      <c r="G9" s="72">
        <f>_xlfn.IFNA(VLOOKUP(D9,'인원 입력 기능 (사과탐)'!$K$177:$N$225,4,FALSE),0)</f>
        <v>759</v>
      </c>
      <c r="H9" s="73">
        <f>G9/$J$3</f>
        <v>1.0486756842643382E-2</v>
      </c>
      <c r="I9" s="77">
        <f>SUM($G$7:G9)</f>
        <v>1582</v>
      </c>
      <c r="J9" s="75">
        <f>I9/$J$3</f>
        <v>2.1857772496787654E-2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입력기능'!C123</f>
        <v>59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67</v>
      </c>
      <c r="E10" s="70">
        <f t="shared" si="0"/>
        <v>1</v>
      </c>
      <c r="F10" s="71">
        <f t="shared" ref="F10:F55" si="3">IF(I9=0,ROUND(100*(1-(I8+I10)/2/$J$3),2),ROUND(100*(1-(I9+I10)/2/$J$3),2))</f>
        <v>97.01</v>
      </c>
      <c r="G10" s="72">
        <f>IF(D10=D9,"",_xlfn.IFNA(VLOOKUP(D10,'인원 입력 기능 (사과탐)'!$K$177:$N$225,4,FALSE),0))</f>
        <v>1158</v>
      </c>
      <c r="H10" s="73">
        <f t="shared" ref="H10:H55" si="4">G10/$J$3</f>
        <v>1.5999557870594251E-2</v>
      </c>
      <c r="I10" s="77">
        <f>SUM($G$7:G10)</f>
        <v>2740</v>
      </c>
      <c r="J10" s="75">
        <f t="shared" ref="J10:J55" si="5">I10/$J$3</f>
        <v>3.7857330367381904E-2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입력기능'!C124</f>
        <v>54</v>
      </c>
    </row>
    <row r="11" spans="1:17" ht="25" customHeight="1">
      <c r="A11" s="4"/>
      <c r="B11" s="19"/>
      <c r="C11" s="69">
        <v>46</v>
      </c>
      <c r="D11" s="70">
        <f t="shared" si="2"/>
        <v>66</v>
      </c>
      <c r="E11" s="70">
        <f t="shared" si="0"/>
        <v>1</v>
      </c>
      <c r="F11" s="71">
        <f t="shared" si="3"/>
        <v>95.89</v>
      </c>
      <c r="G11" s="72">
        <f>IF(D11=D10,"",_xlfn.IFNA(VLOOKUP(D11,'인원 입력 기능 (사과탐)'!$K$177:$N$225,4,FALSE),0))</f>
        <v>464</v>
      </c>
      <c r="H11" s="73">
        <f t="shared" si="4"/>
        <v>6.4108763833814614E-3</v>
      </c>
      <c r="I11" s="77">
        <f>SUM($G$7:G11)</f>
        <v>3204</v>
      </c>
      <c r="J11" s="75">
        <f t="shared" si="5"/>
        <v>4.4268206750763366E-2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입력기능'!C125</f>
        <v>46</v>
      </c>
    </row>
    <row r="12" spans="1:17" ht="25" customHeight="1">
      <c r="A12" s="4"/>
      <c r="B12" s="19"/>
      <c r="C12" s="76">
        <v>45</v>
      </c>
      <c r="D12" s="70">
        <f t="shared" si="2"/>
        <v>65</v>
      </c>
      <c r="E12" s="70">
        <f t="shared" si="0"/>
        <v>2</v>
      </c>
      <c r="F12" s="71">
        <f t="shared" si="3"/>
        <v>93.91</v>
      </c>
      <c r="G12" s="72">
        <f>IF(D12=D11,"",_xlfn.IFNA(VLOOKUP(D12,'인원 입력 기능 (사과탐)'!$K$177:$N$225,4,FALSE),0))</f>
        <v>2405</v>
      </c>
      <c r="H12" s="73">
        <f t="shared" si="4"/>
        <v>3.3228788150931929E-2</v>
      </c>
      <c r="I12" s="77">
        <f>SUM($G$7:G12)</f>
        <v>5609</v>
      </c>
      <c r="J12" s="75">
        <f t="shared" si="5"/>
        <v>7.7496994901695287E-2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입력기능'!C126</f>
        <v>41</v>
      </c>
    </row>
    <row r="13" spans="1:17" ht="25" customHeight="1">
      <c r="A13" s="4"/>
      <c r="B13" s="19"/>
      <c r="C13" s="69">
        <v>44</v>
      </c>
      <c r="D13" s="70">
        <f t="shared" si="2"/>
        <v>64</v>
      </c>
      <c r="E13" s="70">
        <f t="shared" si="0"/>
        <v>2</v>
      </c>
      <c r="F13" s="71">
        <f t="shared" si="3"/>
        <v>91.68</v>
      </c>
      <c r="G13" s="72">
        <f>IF(D13=D12,"",_xlfn.IFNA(VLOOKUP(D13,'인원 입력 기능 (사과탐)'!$K$177:$N$225,4,FALSE),0))</f>
        <v>824</v>
      </c>
      <c r="H13" s="73">
        <f t="shared" si="4"/>
        <v>1.1384832198073973E-2</v>
      </c>
      <c r="I13" s="77">
        <f>SUM($G$7:G13)</f>
        <v>6433</v>
      </c>
      <c r="J13" s="75">
        <f t="shared" si="5"/>
        <v>8.8881827099769259E-2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입력기능'!C127</f>
        <v>37</v>
      </c>
    </row>
    <row r="14" spans="1:17" ht="25" customHeight="1">
      <c r="A14" s="4"/>
      <c r="B14" s="19"/>
      <c r="C14" s="76">
        <v>43</v>
      </c>
      <c r="D14" s="70">
        <f t="shared" si="2"/>
        <v>63</v>
      </c>
      <c r="E14" s="70">
        <f t="shared" si="0"/>
        <v>2</v>
      </c>
      <c r="F14" s="71">
        <f t="shared" si="3"/>
        <v>89.66</v>
      </c>
      <c r="G14" s="72">
        <f>IF(D14=D13,"",_xlfn.IFNA(VLOOKUP(D14,'인원 입력 기능 (사과탐)'!$K$177:$N$225,4,FALSE),0))</f>
        <v>2107</v>
      </c>
      <c r="H14" s="73">
        <f t="shared" si="4"/>
        <v>2.9111458059880902E-2</v>
      </c>
      <c r="I14" s="77">
        <f>SUM($G$7:G14)</f>
        <v>8540</v>
      </c>
      <c r="J14" s="75">
        <f t="shared" si="5"/>
        <v>0.11799328515965017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입력기능'!C128</f>
        <v>33</v>
      </c>
    </row>
    <row r="15" spans="1:17" ht="25" customHeight="1">
      <c r="A15" s="4"/>
      <c r="B15" s="19"/>
      <c r="C15" s="69">
        <v>42</v>
      </c>
      <c r="D15" s="132">
        <f t="shared" si="2"/>
        <v>62</v>
      </c>
      <c r="E15" s="132">
        <f t="shared" si="0"/>
        <v>3</v>
      </c>
      <c r="F15" s="134">
        <f t="shared" si="3"/>
        <v>85.99</v>
      </c>
      <c r="G15" s="136">
        <f>IF(D15=D14,"",_xlfn.IFNA(VLOOKUP(D15,'인원 입력 기능 (사과탐)'!$K$177:$N$225,4,FALSE),0))</f>
        <v>3194</v>
      </c>
      <c r="H15" s="137">
        <f t="shared" si="4"/>
        <v>4.4130041311466348E-2</v>
      </c>
      <c r="I15" s="139">
        <f>SUM($G$7:G15)</f>
        <v>11734</v>
      </c>
      <c r="J15" s="141">
        <f t="shared" si="5"/>
        <v>0.16212332647111652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131"/>
      <c r="E16" s="131"/>
      <c r="F16" s="133"/>
      <c r="G16" s="135"/>
      <c r="H16" s="138"/>
      <c r="I16" s="140"/>
      <c r="J16" s="142"/>
      <c r="K16" s="28"/>
      <c r="L16" s="5" t="str">
        <f t="shared" si="1"/>
        <v>경고</v>
      </c>
      <c r="N16" s="1"/>
    </row>
    <row r="17" spans="1:16" ht="25" customHeight="1">
      <c r="A17" s="4"/>
      <c r="B17" s="19"/>
      <c r="C17" s="69">
        <v>40</v>
      </c>
      <c r="D17" s="70">
        <f t="shared" si="2"/>
        <v>61</v>
      </c>
      <c r="E17" s="70">
        <f t="shared" si="0"/>
        <v>3</v>
      </c>
      <c r="F17" s="71">
        <f t="shared" si="3"/>
        <v>81.86</v>
      </c>
      <c r="G17" s="72">
        <f>IF(D17=D16,"",_xlfn.IFNA(VLOOKUP(D17,'인원 입력 기능 (사과탐)'!$K$177:$N$225,4,FALSE),0))</f>
        <v>2790</v>
      </c>
      <c r="H17" s="73">
        <f t="shared" si="4"/>
        <v>3.8548157563866974E-2</v>
      </c>
      <c r="I17" s="77">
        <f>SUM($G$7:G17)</f>
        <v>14524</v>
      </c>
      <c r="J17" s="75">
        <f t="shared" si="5"/>
        <v>0.2006714840349835</v>
      </c>
      <c r="K17" s="28"/>
      <c r="L17" s="5" t="str">
        <f t="shared" si="1"/>
        <v/>
      </c>
      <c r="N17" s="1"/>
      <c r="P17" s="1">
        <f>Q7*H3*H4*J3*IFERROR(IF(J57=1, 1, 0), 0)</f>
        <v>1507652746.3008001</v>
      </c>
    </row>
    <row r="18" spans="1:16" ht="25" customHeight="1">
      <c r="A18" s="4"/>
      <c r="B18" s="19"/>
      <c r="C18" s="76">
        <v>39</v>
      </c>
      <c r="D18" s="70">
        <f t="shared" si="2"/>
        <v>60</v>
      </c>
      <c r="E18" s="70">
        <f t="shared" si="0"/>
        <v>3</v>
      </c>
      <c r="F18" s="71">
        <f t="shared" si="3"/>
        <v>78.849999999999994</v>
      </c>
      <c r="G18" s="72">
        <f>IF(D18=D17,"",_xlfn.IFNA(VLOOKUP(D18,'인원 입력 기능 (사과탐)'!$K$177:$N$225,4,FALSE),0))</f>
        <v>1572</v>
      </c>
      <c r="H18" s="73">
        <f t="shared" si="4"/>
        <v>2.1719607057490639E-2</v>
      </c>
      <c r="I18" s="77">
        <f>SUM($G$7:G18)</f>
        <v>16096</v>
      </c>
      <c r="J18" s="75">
        <f t="shared" si="5"/>
        <v>0.22239109109247412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59</v>
      </c>
      <c r="E19" s="70">
        <f t="shared" si="0"/>
        <v>3</v>
      </c>
      <c r="F19" s="71">
        <f t="shared" si="3"/>
        <v>76.599999999999994</v>
      </c>
      <c r="G19" s="72">
        <f>IF(D19=D18,"",_xlfn.IFNA(VLOOKUP(D19,'인원 입력 기능 (사과탐)'!$K$177:$N$225,4,FALSE),0))</f>
        <v>1674</v>
      </c>
      <c r="H19" s="73">
        <f t="shared" si="4"/>
        <v>2.3128894538320184E-2</v>
      </c>
      <c r="I19" s="77">
        <f>SUM($G$7:G19)</f>
        <v>17770</v>
      </c>
      <c r="J19" s="75">
        <f t="shared" si="5"/>
        <v>0.2455199856307943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58</v>
      </c>
      <c r="E20" s="70">
        <f t="shared" si="0"/>
        <v>4</v>
      </c>
      <c r="F20" s="71">
        <f t="shared" si="3"/>
        <v>73.790000000000006</v>
      </c>
      <c r="G20" s="72">
        <f>IF(D20=D19,"",_xlfn.IFNA(VLOOKUP(D20,'인원 입력 기능 (사과탐)'!$K$177:$N$225,4,FALSE),0))</f>
        <v>2394</v>
      </c>
      <c r="H20" s="73">
        <f t="shared" si="4"/>
        <v>3.3076806167705211E-2</v>
      </c>
      <c r="I20" s="77">
        <f>SUM($G$7:G20)</f>
        <v>20164</v>
      </c>
      <c r="J20" s="75">
        <f t="shared" si="5"/>
        <v>0.2785967917984995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57</v>
      </c>
      <c r="E21" s="79">
        <f t="shared" si="0"/>
        <v>4</v>
      </c>
      <c r="F21" s="71">
        <f t="shared" si="3"/>
        <v>71.2</v>
      </c>
      <c r="G21" s="72">
        <f>IF(D21=D20,"",_xlfn.IFNA(VLOOKUP(D21,'인원 입력 기능 (사과탐)'!$K$177:$N$225,4,FALSE),0))</f>
        <v>1361</v>
      </c>
      <c r="H21" s="73">
        <f t="shared" si="4"/>
        <v>1.8804316288323637E-2</v>
      </c>
      <c r="I21" s="77">
        <f>SUM($G$7:G21)</f>
        <v>21525</v>
      </c>
      <c r="J21" s="75">
        <f t="shared" si="5"/>
        <v>0.29740110808682318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56</v>
      </c>
      <c r="E22" s="79">
        <f t="shared" si="0"/>
        <v>4</v>
      </c>
      <c r="F22" s="71">
        <f t="shared" si="3"/>
        <v>68.84</v>
      </c>
      <c r="G22" s="72">
        <f>IF(D22=D21,"",_xlfn.IFNA(VLOOKUP(D22,'인원 입력 기능 (사과탐)'!$K$177:$N$225,4,FALSE),0))</f>
        <v>2059</v>
      </c>
      <c r="H22" s="73">
        <f t="shared" si="4"/>
        <v>2.8448263951255232E-2</v>
      </c>
      <c r="I22" s="77">
        <f>SUM($G$7:G22)</f>
        <v>23584</v>
      </c>
      <c r="J22" s="75">
        <f t="shared" si="5"/>
        <v>0.3258493720380784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55</v>
      </c>
      <c r="E23" s="79">
        <f t="shared" si="0"/>
        <v>4</v>
      </c>
      <c r="F23" s="71">
        <f t="shared" si="3"/>
        <v>66.09</v>
      </c>
      <c r="G23" s="72">
        <f>IF(D23=D22,"",_xlfn.IFNA(VLOOKUP(D23,'인원 입력 기능 (사과탐)'!$K$177:$N$225,4,FALSE),0))</f>
        <v>1915</v>
      </c>
      <c r="H23" s="73">
        <f t="shared" si="4"/>
        <v>2.645868162537823E-2</v>
      </c>
      <c r="I23" s="77">
        <f>SUM($G$7:G23)</f>
        <v>25499</v>
      </c>
      <c r="J23" s="75">
        <f t="shared" si="5"/>
        <v>0.35230805366345663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144">
        <f t="shared" si="2"/>
        <v>54</v>
      </c>
      <c r="E24" s="144">
        <f t="shared" si="0"/>
        <v>4</v>
      </c>
      <c r="F24" s="134">
        <f t="shared" si="3"/>
        <v>62.2</v>
      </c>
      <c r="G24" s="136">
        <f>IF(D24=D23,"",_xlfn.IFNA(VLOOKUP(D24,'인원 입력 기능 (사과탐)'!$K$177:$N$225,4,FALSE),0))</f>
        <v>3713</v>
      </c>
      <c r="H24" s="137">
        <f t="shared" si="4"/>
        <v>5.1300827610981391E-2</v>
      </c>
      <c r="I24" s="139">
        <f>SUM($G$7:G24)</f>
        <v>29212</v>
      </c>
      <c r="J24" s="141">
        <f t="shared" si="5"/>
        <v>0.403608881274438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3"/>
      <c r="E25" s="143"/>
      <c r="F25" s="133"/>
      <c r="G25" s="135"/>
      <c r="H25" s="138"/>
      <c r="I25" s="140"/>
      <c r="J25" s="142"/>
      <c r="K25" s="28"/>
      <c r="L25" s="5" t="str">
        <f t="shared" si="1"/>
        <v>경고</v>
      </c>
      <c r="N25" s="1"/>
    </row>
    <row r="26" spans="1:16" ht="25" customHeight="1">
      <c r="A26" s="4"/>
      <c r="B26" s="19"/>
      <c r="C26" s="80">
        <v>31</v>
      </c>
      <c r="D26" s="79">
        <f t="shared" si="2"/>
        <v>53</v>
      </c>
      <c r="E26" s="79">
        <f t="shared" si="0"/>
        <v>5</v>
      </c>
      <c r="F26" s="71">
        <f t="shared" si="3"/>
        <v>58.41</v>
      </c>
      <c r="G26" s="72">
        <f>IF(D26=D25,"",_xlfn.IFNA(VLOOKUP(D26,'인원 입력 기능 (사과탐)'!$K$177:$N$225,4,FALSE),0))</f>
        <v>1776</v>
      </c>
      <c r="H26" s="73">
        <f t="shared" si="4"/>
        <v>2.4538182019149729E-2</v>
      </c>
      <c r="I26" s="77">
        <f>SUM($G$7:G26)</f>
        <v>30988</v>
      </c>
      <c r="J26" s="75">
        <f t="shared" si="5"/>
        <v>0.42814706329358776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52</v>
      </c>
      <c r="E27" s="79">
        <f t="shared" si="0"/>
        <v>5</v>
      </c>
      <c r="F27" s="71">
        <f t="shared" si="3"/>
        <v>55.87</v>
      </c>
      <c r="G27" s="72">
        <f>IF(D27=D26,"",_xlfn.IFNA(VLOOKUP(D27,'인원 입력 기능 (사과탐)'!$K$177:$N$225,4,FALSE),0))</f>
        <v>1897</v>
      </c>
      <c r="H27" s="73">
        <f t="shared" si="4"/>
        <v>2.6209983834643603E-2</v>
      </c>
      <c r="I27" s="77">
        <f>SUM($G$7:G27)</f>
        <v>32885</v>
      </c>
      <c r="J27" s="75">
        <f t="shared" si="5"/>
        <v>0.45435704712823133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51</v>
      </c>
      <c r="E28" s="79">
        <f t="shared" si="0"/>
        <v>5</v>
      </c>
      <c r="F28" s="71">
        <f t="shared" si="3"/>
        <v>53.15</v>
      </c>
      <c r="G28" s="72">
        <f>IF(D28=D27,"",_xlfn.IFNA(VLOOKUP(D28,'인원 입력 기능 (사과탐)'!$K$177:$N$225,4,FALSE),0))</f>
        <v>2051</v>
      </c>
      <c r="H28" s="73">
        <f t="shared" si="4"/>
        <v>2.8337731599817621E-2</v>
      </c>
      <c r="I28" s="77">
        <f>SUM($G$7:G28)</f>
        <v>34936</v>
      </c>
      <c r="J28" s="75">
        <f t="shared" si="5"/>
        <v>0.48269477872804895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50</v>
      </c>
      <c r="E29" s="79">
        <f t="shared" si="0"/>
        <v>5</v>
      </c>
      <c r="F29" s="71">
        <f t="shared" si="3"/>
        <v>50.46</v>
      </c>
      <c r="G29" s="72">
        <f>IF(D29=D28,"",_xlfn.IFNA(VLOOKUP(D29,'인원 입력 기능 (사과탐)'!$K$177:$N$225,4,FALSE),0))</f>
        <v>1832</v>
      </c>
      <c r="H29" s="73">
        <f t="shared" si="4"/>
        <v>2.5311908479213011E-2</v>
      </c>
      <c r="I29" s="77">
        <f>SUM($G$7:G29)</f>
        <v>36768</v>
      </c>
      <c r="J29" s="75">
        <f t="shared" si="5"/>
        <v>0.50800668720726194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49</v>
      </c>
      <c r="E30" s="79">
        <f t="shared" si="0"/>
        <v>5</v>
      </c>
      <c r="F30" s="71">
        <f t="shared" si="3"/>
        <v>47.62</v>
      </c>
      <c r="G30" s="72">
        <f>IF(D30=D29,"",_xlfn.IFNA(VLOOKUP(D30,'인원 입력 기능 (사과탐)'!$K$177:$N$225,4,FALSE),0))</f>
        <v>2283</v>
      </c>
      <c r="H30" s="73">
        <f t="shared" si="4"/>
        <v>3.1543169791508355E-2</v>
      </c>
      <c r="I30" s="77">
        <f>SUM($G$7:G30)</f>
        <v>39051</v>
      </c>
      <c r="J30" s="75">
        <f t="shared" si="5"/>
        <v>0.53954985699877034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48</v>
      </c>
      <c r="E31" s="79">
        <f t="shared" si="0"/>
        <v>5</v>
      </c>
      <c r="F31" s="71">
        <f t="shared" si="3"/>
        <v>44.76</v>
      </c>
      <c r="G31" s="72">
        <f>IF(D31=D30,"",_xlfn.IFNA(VLOOKUP(D31,'인원 입력 기능 (사과탐)'!$K$177:$N$225,4,FALSE),0))</f>
        <v>1867</v>
      </c>
      <c r="H31" s="73">
        <f t="shared" si="4"/>
        <v>2.579548751675256E-2</v>
      </c>
      <c r="I31" s="77">
        <f>SUM($G$7:G31)</f>
        <v>40918</v>
      </c>
      <c r="J31" s="75">
        <f t="shared" si="5"/>
        <v>0.56534534451552287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47</v>
      </c>
      <c r="E32" s="79">
        <f t="shared" si="0"/>
        <v>5</v>
      </c>
      <c r="F32" s="71">
        <f t="shared" si="3"/>
        <v>42.01</v>
      </c>
      <c r="G32" s="72">
        <f>IF(D32=D31,"",_xlfn.IFNA(VLOOKUP(D32,'인원 입력 기능 (사과탐)'!$K$177:$N$225,4,FALSE),0))</f>
        <v>2108</v>
      </c>
      <c r="H32" s="73">
        <f t="shared" si="4"/>
        <v>2.9125274603810602E-2</v>
      </c>
      <c r="I32" s="77">
        <f>SUM($G$7:G32)</f>
        <v>43026</v>
      </c>
      <c r="J32" s="75">
        <f t="shared" si="5"/>
        <v>0.59447061911933352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144">
        <f t="shared" si="2"/>
        <v>46</v>
      </c>
      <c r="E33" s="144">
        <f t="shared" si="0"/>
        <v>5</v>
      </c>
      <c r="F33" s="134">
        <f t="shared" si="3"/>
        <v>37.659999999999997</v>
      </c>
      <c r="G33" s="136">
        <f>IF(D33=D32,"",_xlfn.IFNA(VLOOKUP(D33,'인원 입력 기능 (사과탐)'!$K$177:$N$225,4,FALSE),0))</f>
        <v>4183</v>
      </c>
      <c r="H33" s="137">
        <f t="shared" si="4"/>
        <v>5.7794603257941057E-2</v>
      </c>
      <c r="I33" s="139">
        <f>SUM($G$7:G33)</f>
        <v>47209</v>
      </c>
      <c r="J33" s="141">
        <f t="shared" si="5"/>
        <v>0.65226522237727458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143"/>
      <c r="E34" s="143"/>
      <c r="F34" s="133"/>
      <c r="G34" s="135"/>
      <c r="H34" s="138"/>
      <c r="I34" s="140"/>
      <c r="J34" s="142"/>
      <c r="K34" s="28"/>
      <c r="L34" s="5" t="str">
        <f t="shared" si="1"/>
        <v>경고</v>
      </c>
      <c r="N34" s="1"/>
    </row>
    <row r="35" spans="1:14" ht="25" customHeight="1">
      <c r="A35" s="4"/>
      <c r="B35" s="19"/>
      <c r="C35" s="78">
        <v>22</v>
      </c>
      <c r="D35" s="79">
        <f t="shared" si="2"/>
        <v>45</v>
      </c>
      <c r="E35" s="79">
        <f t="shared" si="0"/>
        <v>6</v>
      </c>
      <c r="F35" s="71">
        <f t="shared" si="3"/>
        <v>33.21</v>
      </c>
      <c r="G35" s="72">
        <f>IF(D35=D34,"",_xlfn.IFNA(VLOOKUP(D35,'인원 입력 기능 (사과탐)'!$K$177:$N$225,4,FALSE),0))</f>
        <v>2260</v>
      </c>
      <c r="H35" s="73">
        <f t="shared" si="4"/>
        <v>3.122538928112522E-2</v>
      </c>
      <c r="I35" s="77">
        <f>SUM($G$7:G35)</f>
        <v>49469</v>
      </c>
      <c r="J35" s="75">
        <f t="shared" si="5"/>
        <v>0.68349061165839975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44</v>
      </c>
      <c r="E36" s="79">
        <f t="shared" si="0"/>
        <v>6</v>
      </c>
      <c r="F36" s="71">
        <f t="shared" si="3"/>
        <v>30.33</v>
      </c>
      <c r="G36" s="72">
        <f>IF(D36=D35,"",_xlfn.IFNA(VLOOKUP(D36,'인원 입력 기능 (사과탐)'!$K$177:$N$225,4,FALSE),0))</f>
        <v>1913</v>
      </c>
      <c r="H36" s="73">
        <f t="shared" si="4"/>
        <v>2.6431048537518827E-2</v>
      </c>
      <c r="I36" s="77">
        <f>SUM($G$7:G36)</f>
        <v>51382</v>
      </c>
      <c r="J36" s="75">
        <f t="shared" si="5"/>
        <v>0.70992166019591862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43</v>
      </c>
      <c r="E37" s="79">
        <f t="shared" si="0"/>
        <v>6</v>
      </c>
      <c r="F37" s="71">
        <f t="shared" si="3"/>
        <v>27.65</v>
      </c>
      <c r="G37" s="72">
        <f>IF(D37=D36,"",_xlfn.IFNA(VLOOKUP(D37,'인원 입력 기능 (사과탐)'!$K$177:$N$225,4,FALSE),0))</f>
        <v>1959</v>
      </c>
      <c r="H37" s="73">
        <f t="shared" si="4"/>
        <v>2.706660955828509E-2</v>
      </c>
      <c r="I37" s="77">
        <f>SUM($G$7:G37)</f>
        <v>53341</v>
      </c>
      <c r="J37" s="75">
        <f t="shared" si="5"/>
        <v>0.73698826975420373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42</v>
      </c>
      <c r="E38" s="79">
        <f t="shared" si="0"/>
        <v>6</v>
      </c>
      <c r="F38" s="71">
        <f t="shared" si="3"/>
        <v>24.92</v>
      </c>
      <c r="G38" s="72">
        <f>IF(D38=D37,"",_xlfn.IFNA(VLOOKUP(D38,'인원 입력 기능 (사과탐)'!$K$177:$N$225,4,FALSE),0))</f>
        <v>2006</v>
      </c>
      <c r="H38" s="73">
        <f t="shared" si="4"/>
        <v>2.7715987122981057E-2</v>
      </c>
      <c r="I38" s="77">
        <f>SUM($G$7:G38)</f>
        <v>55347</v>
      </c>
      <c r="J38" s="75">
        <f t="shared" si="5"/>
        <v>0.7647042568771848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41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22.36</v>
      </c>
      <c r="G39" s="72">
        <f>IF(D39=D38,"",_xlfn.IFNA(VLOOKUP(D39,'인원 입력 기능 (사과탐)'!$K$177:$N$225,4,FALSE),0))</f>
        <v>1700</v>
      </c>
      <c r="H39" s="73">
        <f t="shared" si="4"/>
        <v>2.3488124680492422E-2</v>
      </c>
      <c r="I39" s="77">
        <f>SUM($G$7:G39)</f>
        <v>57047</v>
      </c>
      <c r="J39" s="75">
        <f t="shared" si="5"/>
        <v>0.78819238155767712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40</v>
      </c>
      <c r="E40" s="79">
        <f t="shared" si="6"/>
        <v>7</v>
      </c>
      <c r="F40" s="71">
        <f t="shared" si="3"/>
        <v>19.940000000000001</v>
      </c>
      <c r="G40" s="72">
        <f>IF(D40=D39,"",_xlfn.IFNA(VLOOKUP(D40,'인원 입력 기능 (사과탐)'!$K$177:$N$225,4,FALSE),0))</f>
        <v>1802</v>
      </c>
      <c r="H40" s="73">
        <f t="shared" si="4"/>
        <v>2.4897412161321967E-2</v>
      </c>
      <c r="I40" s="77">
        <f>SUM($G$7:G40)</f>
        <v>58849</v>
      </c>
      <c r="J40" s="75">
        <f t="shared" si="5"/>
        <v>0.81308979371899914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39</v>
      </c>
      <c r="E41" s="79">
        <f t="shared" si="6"/>
        <v>7</v>
      </c>
      <c r="F41" s="71">
        <f t="shared" si="3"/>
        <v>17.57</v>
      </c>
      <c r="G41" s="72">
        <f>IF(D41=D40,"",_xlfn.IFNA(VLOOKUP(D41,'인원 입력 기능 (사과탐)'!$K$177:$N$225,4,FALSE),0))</f>
        <v>1629</v>
      </c>
      <c r="H41" s="73">
        <f t="shared" si="4"/>
        <v>2.250715006148362E-2</v>
      </c>
      <c r="I41" s="77">
        <f>SUM($G$7:G41)</f>
        <v>60478</v>
      </c>
      <c r="J41" s="75">
        <f t="shared" si="5"/>
        <v>0.83559694378048277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144">
        <f t="shared" si="2"/>
        <v>38</v>
      </c>
      <c r="E42" s="144">
        <f t="shared" si="6"/>
        <v>7</v>
      </c>
      <c r="F42" s="134">
        <f t="shared" si="3"/>
        <v>14.36</v>
      </c>
      <c r="G42" s="136">
        <f>IF(D42=D41,"",_xlfn.IFNA(VLOOKUP(D42,'인원 입력 기능 (사과탐)'!$K$177:$N$225,4,FALSE),0))</f>
        <v>3013</v>
      </c>
      <c r="H42" s="137">
        <f t="shared" si="4"/>
        <v>4.1629246860190393E-2</v>
      </c>
      <c r="I42" s="139">
        <f>SUM($G$7:G42)</f>
        <v>63491</v>
      </c>
      <c r="J42" s="141">
        <f t="shared" si="5"/>
        <v>0.87722619064067309</v>
      </c>
      <c r="K42" s="28"/>
      <c r="L42" s="5" t="str">
        <f t="shared" si="1"/>
        <v>경고</v>
      </c>
      <c r="N42" s="1"/>
    </row>
    <row r="43" spans="1:14" ht="25" customHeight="1">
      <c r="A43" s="4"/>
      <c r="B43" s="19"/>
      <c r="C43" s="78">
        <v>14</v>
      </c>
      <c r="D43" s="143"/>
      <c r="E43" s="143"/>
      <c r="F43" s="133"/>
      <c r="G43" s="135"/>
      <c r="H43" s="138"/>
      <c r="I43" s="140"/>
      <c r="J43" s="142"/>
      <c r="K43" s="28"/>
      <c r="L43" s="5" t="str">
        <f t="shared" si="1"/>
        <v>경고</v>
      </c>
      <c r="N43" s="1"/>
    </row>
    <row r="44" spans="1:14" ht="25" customHeight="1">
      <c r="A44" s="4"/>
      <c r="B44" s="19"/>
      <c r="C44" s="80">
        <v>13</v>
      </c>
      <c r="D44" s="79">
        <f t="shared" si="2"/>
        <v>37</v>
      </c>
      <c r="E44" s="79">
        <f t="shared" si="6"/>
        <v>7</v>
      </c>
      <c r="F44" s="71">
        <f t="shared" si="3"/>
        <v>11.33</v>
      </c>
      <c r="G44" s="72">
        <f>IF(D44=D43,"",_xlfn.IFNA(VLOOKUP(D44,'인원 입력 기능 (사과탐)'!$K$177:$N$225,4,FALSE),0))</f>
        <v>1377</v>
      </c>
      <c r="H44" s="73">
        <f t="shared" si="4"/>
        <v>1.9025380991198861E-2</v>
      </c>
      <c r="I44" s="77">
        <f>SUM($G$7:G44)</f>
        <v>64868</v>
      </c>
      <c r="J44" s="75">
        <f t="shared" si="5"/>
        <v>0.89625157163187197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36</v>
      </c>
      <c r="E45" s="79">
        <f t="shared" si="6"/>
        <v>8</v>
      </c>
      <c r="F45" s="71">
        <f t="shared" si="3"/>
        <v>9.39</v>
      </c>
      <c r="G45" s="72">
        <f>IF(D45=D44,"",_xlfn.IFNA(VLOOKUP(D45,'인원 입력 기능 (사과탐)'!$K$177:$N$225,4,FALSE),0))</f>
        <v>1424</v>
      </c>
      <c r="H45" s="73">
        <f t="shared" si="4"/>
        <v>1.9674758555894827E-2</v>
      </c>
      <c r="I45" s="77">
        <f>SUM($G$7:G45)</f>
        <v>66292</v>
      </c>
      <c r="J45" s="75">
        <f t="shared" si="5"/>
        <v>0.91592633018776681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35</v>
      </c>
      <c r="E46" s="79">
        <f t="shared" si="6"/>
        <v>8</v>
      </c>
      <c r="F46" s="71">
        <f t="shared" si="3"/>
        <v>6.9</v>
      </c>
      <c r="G46" s="72">
        <f>IF(D46=D45,"",_xlfn.IFNA(VLOOKUP(D46,'인원 입력 기능 (사과탐)'!$K$177:$N$225,4,FALSE),0))</f>
        <v>2189</v>
      </c>
      <c r="H46" s="73">
        <f t="shared" si="4"/>
        <v>3.0244414662116418E-2</v>
      </c>
      <c r="I46" s="77">
        <f>SUM($G$7:G46)</f>
        <v>68481</v>
      </c>
      <c r="J46" s="75">
        <f t="shared" si="5"/>
        <v>0.94617074484988328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34</v>
      </c>
      <c r="E47" s="79">
        <f t="shared" si="6"/>
        <v>8</v>
      </c>
      <c r="F47" s="71">
        <f t="shared" si="3"/>
        <v>4.8600000000000003</v>
      </c>
      <c r="G47" s="72">
        <f>IF(D47=D46,"",_xlfn.IFNA(VLOOKUP(D47,'인원 입력 기능 (사과탐)'!$K$177:$N$225,4,FALSE),0))</f>
        <v>759</v>
      </c>
      <c r="H47" s="73">
        <f t="shared" si="4"/>
        <v>1.0486756842643382E-2</v>
      </c>
      <c r="I47" s="77">
        <f>SUM($G$7:G47)</f>
        <v>69240</v>
      </c>
      <c r="J47" s="75">
        <f t="shared" si="5"/>
        <v>0.95665750169252661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33</v>
      </c>
      <c r="E48" s="79">
        <f t="shared" si="6"/>
        <v>8</v>
      </c>
      <c r="F48" s="71">
        <f t="shared" si="3"/>
        <v>3.4</v>
      </c>
      <c r="G48" s="72">
        <f>IF(D48=D47,"",_xlfn.IFNA(VLOOKUP(D48,'인원 입력 기능 (사과탐)'!$K$177:$N$225,4,FALSE),0))</f>
        <v>1354</v>
      </c>
      <c r="H48" s="73">
        <f t="shared" si="4"/>
        <v>1.8707600480815729E-2</v>
      </c>
      <c r="I48" s="77">
        <f>SUM($G$7:G48)</f>
        <v>70594</v>
      </c>
      <c r="J48" s="75">
        <f t="shared" si="5"/>
        <v>0.97536510217334238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32</v>
      </c>
      <c r="E49" s="79">
        <f t="shared" si="6"/>
        <v>9</v>
      </c>
      <c r="F49" s="71">
        <f t="shared" si="3"/>
        <v>2.13</v>
      </c>
      <c r="G49" s="72">
        <f>IF(D49=D48,"",_xlfn.IFNA(VLOOKUP(D49,'인원 입력 기능 (사과탐)'!$K$177:$N$225,4,FALSE),0))</f>
        <v>488</v>
      </c>
      <c r="H49" s="73">
        <f t="shared" si="4"/>
        <v>6.7424734376942954E-3</v>
      </c>
      <c r="I49" s="77">
        <f>SUM($G$7:G49)</f>
        <v>71082</v>
      </c>
      <c r="J49" s="75">
        <f t="shared" si="5"/>
        <v>0.98210757561103668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4">
        <f t="shared" si="2"/>
        <v>31</v>
      </c>
      <c r="E50" s="144">
        <f t="shared" si="6"/>
        <v>9</v>
      </c>
      <c r="F50" s="134">
        <f t="shared" si="3"/>
        <v>1.27</v>
      </c>
      <c r="G50" s="136">
        <f>IF(D50=D49,"",_xlfn.IFNA(VLOOKUP(D50,'인원 입력 기능 (사과탐)'!$K$177:$N$225,4,FALSE),0))</f>
        <v>753</v>
      </c>
      <c r="H50" s="137">
        <f t="shared" si="4"/>
        <v>1.0403857579065173E-2</v>
      </c>
      <c r="I50" s="139">
        <f>SUM($G$7:G50)</f>
        <v>71835</v>
      </c>
      <c r="J50" s="141">
        <f t="shared" si="5"/>
        <v>0.99251143319010182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143"/>
      <c r="E51" s="143"/>
      <c r="F51" s="133"/>
      <c r="G51" s="135"/>
      <c r="H51" s="138"/>
      <c r="I51" s="140"/>
      <c r="J51" s="142"/>
      <c r="K51" s="28"/>
      <c r="L51" s="5" t="str">
        <f t="shared" si="1"/>
        <v>경고</v>
      </c>
      <c r="N51" s="1"/>
    </row>
    <row r="52" spans="1:14" ht="25" customHeight="1">
      <c r="A52" s="4"/>
      <c r="B52" s="19"/>
      <c r="C52" s="80">
        <v>5</v>
      </c>
      <c r="D52" s="79">
        <f t="shared" si="2"/>
        <v>30</v>
      </c>
      <c r="E52" s="79">
        <f t="shared" si="6"/>
        <v>9</v>
      </c>
      <c r="F52" s="71">
        <f t="shared" si="3"/>
        <v>0.59</v>
      </c>
      <c r="G52" s="72">
        <f>IF(D52=D51,"",_xlfn.IFNA(VLOOKUP(D52,'인원 입력 기능 (사과탐)'!$K$177:$N$225,4,FALSE),0))</f>
        <v>230</v>
      </c>
      <c r="H52" s="73">
        <f t="shared" si="4"/>
        <v>3.1778051038313278E-3</v>
      </c>
      <c r="I52" s="77">
        <f>SUM($G$7:G52)</f>
        <v>72065</v>
      </c>
      <c r="J52" s="75">
        <f t="shared" si="5"/>
        <v>0.99568923829393319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29</v>
      </c>
      <c r="E53" s="70">
        <f t="shared" si="6"/>
        <v>9</v>
      </c>
      <c r="F53" s="71">
        <f t="shared" si="3"/>
        <v>0.34</v>
      </c>
      <c r="G53" s="72">
        <f>IF(D53=D52,"",_xlfn.IFNA(VLOOKUP(D53,'인원 입력 기능 (사과탐)'!$K$177:$N$225,4,FALSE),0))</f>
        <v>132</v>
      </c>
      <c r="H53" s="73">
        <f t="shared" si="4"/>
        <v>1.823783798720588E-3</v>
      </c>
      <c r="I53" s="77">
        <f>SUM($G$7:G53)</f>
        <v>72197</v>
      </c>
      <c r="J53" s="75">
        <f t="shared" si="5"/>
        <v>0.99751302209265369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28</v>
      </c>
      <c r="E54" s="70">
        <f t="shared" si="6"/>
        <v>9</v>
      </c>
      <c r="F54" s="71">
        <f t="shared" si="3"/>
        <v>0.19</v>
      </c>
      <c r="G54" s="72">
        <f>IF(D54=D53,"",_xlfn.IFNA(VLOOKUP(D54,'인원 입력 기능 (사과탐)'!$K$177:$N$225,4,FALSE),0))</f>
        <v>79</v>
      </c>
      <c r="H54" s="73">
        <f t="shared" si="4"/>
        <v>1.0915069704464126E-3</v>
      </c>
      <c r="I54" s="77">
        <f>SUM($G$7:G54)</f>
        <v>72276</v>
      </c>
      <c r="J54" s="75">
        <f t="shared" si="5"/>
        <v>0.99860452906310015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27</v>
      </c>
      <c r="E55" s="70">
        <f t="shared" si="6"/>
        <v>9</v>
      </c>
      <c r="F55" s="71">
        <f t="shared" si="3"/>
        <v>0.09</v>
      </c>
      <c r="G55" s="72">
        <f>IF(D55=D54,"",_xlfn.IFNA(VLOOKUP(D55,'인원 입력 기능 (사과탐)'!$K$177:$N$225,4,FALSE),0))</f>
        <v>76</v>
      </c>
      <c r="H55" s="73">
        <f t="shared" si="4"/>
        <v>1.0500573386573082E-3</v>
      </c>
      <c r="I55" s="77">
        <f>SUM($G$7:G55)</f>
        <v>72352</v>
      </c>
      <c r="J55" s="75">
        <f t="shared" si="5"/>
        <v>0.99965458640175742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25</v>
      </c>
      <c r="E57" s="83">
        <f t="shared" si="6"/>
        <v>9</v>
      </c>
      <c r="F57" s="84">
        <f>IF(I55=0,ROUND(100*(1-(I54+I57)/2/$J$3),2),ROUND(100*(1-(I55+I57)/2/$J$3),2))</f>
        <v>0.02</v>
      </c>
      <c r="G57" s="85">
        <f>_xlfn.IFNA(VLOOKUP(D57,'인원 입력 기능 (사과탐)'!$K$177:$N$225,4,FALSE),0)</f>
        <v>25</v>
      </c>
      <c r="H57" s="86">
        <f>G57/$J$3</f>
        <v>3.4541359824253562E-4</v>
      </c>
      <c r="I57" s="87">
        <f>SUM($G$7:G57)</f>
        <v>72377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39">
    <mergeCell ref="I42:I43"/>
    <mergeCell ref="J42:J43"/>
    <mergeCell ref="D50:D51"/>
    <mergeCell ref="E50:E51"/>
    <mergeCell ref="F50:F51"/>
    <mergeCell ref="G50:G51"/>
    <mergeCell ref="H50:H51"/>
    <mergeCell ref="I50:I51"/>
    <mergeCell ref="J50:J51"/>
    <mergeCell ref="D42:D43"/>
    <mergeCell ref="E42:E43"/>
    <mergeCell ref="F42:F43"/>
    <mergeCell ref="G42:G43"/>
    <mergeCell ref="H42:H43"/>
    <mergeCell ref="I24:I25"/>
    <mergeCell ref="J24:J25"/>
    <mergeCell ref="D33:D34"/>
    <mergeCell ref="E33:E34"/>
    <mergeCell ref="F33:F34"/>
    <mergeCell ref="G33:G34"/>
    <mergeCell ref="H33:H34"/>
    <mergeCell ref="I33:I34"/>
    <mergeCell ref="J33:J34"/>
    <mergeCell ref="D3:F3"/>
    <mergeCell ref="D4:F4"/>
    <mergeCell ref="D8:J8"/>
    <mergeCell ref="D56:J56"/>
    <mergeCell ref="D15:D16"/>
    <mergeCell ref="E15:E16"/>
    <mergeCell ref="F15:F16"/>
    <mergeCell ref="G15:G16"/>
    <mergeCell ref="H15:H16"/>
    <mergeCell ref="I15:I16"/>
    <mergeCell ref="J15:J16"/>
    <mergeCell ref="D24:D25"/>
    <mergeCell ref="E24:E25"/>
    <mergeCell ref="F24:F25"/>
    <mergeCell ref="G24:G25"/>
    <mergeCell ref="H24:H25"/>
  </mergeCells>
  <phoneticPr fontId="1" type="noConversion"/>
  <conditionalFormatting sqref="D7:D15 D17:D24 D26:D33 D35:D42 D44:D50 D52:D57">
    <cfRule type="expression" dxfId="17" priority="1">
      <formula>$D7=$D8</formula>
    </cfRule>
  </conditionalFormatting>
  <conditionalFormatting sqref="C7:C57">
    <cfRule type="expression" dxfId="16" priority="2">
      <formula>OR(AND($D7=0,OR($D6=$Q$7:$Q$14)),AND($D8&gt;0,OR($D7=$Q$7:$Q$14)))</formula>
    </cfRule>
  </conditionalFormatting>
  <conditionalFormatting sqref="D7:J7 D8 D57:J57 D56 D9:J15 D17:J24 D26:J33 D35:J42 D44:J50 D52:J55">
    <cfRule type="expression" dxfId="15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19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기능'!D18</f>
        <v>23.64</v>
      </c>
      <c r="I3" s="15" t="s">
        <v>84</v>
      </c>
      <c r="J3" s="35">
        <f>'통계 및 응시자 수 입력 기능'!C18</f>
        <v>68989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92</v>
      </c>
      <c r="E4" s="108"/>
      <c r="F4" s="109"/>
      <c r="G4" s="37" t="s">
        <v>87</v>
      </c>
      <c r="H4" s="38" t="str">
        <f>'통계 및 응시자 수 입력 기능'!E18</f>
        <v>13.38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98.33</v>
      </c>
      <c r="G7" s="72">
        <f>_xlfn.IFNA(VLOOKUP(D7,'인원 입력 기능 (사과탐)'!$P$177:$S$225,4,FALSE),0)</f>
        <v>2299</v>
      </c>
      <c r="H7" s="73">
        <f>G7/$J$3</f>
        <v>3.3324153125860644E-2</v>
      </c>
      <c r="I7" s="74">
        <f>G7</f>
        <v>2299</v>
      </c>
      <c r="J7" s="75">
        <f>I7/$J$3</f>
        <v>3.3324153125860644E-2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입력기능'!C130</f>
        <v>68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입력기능'!C131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68</v>
      </c>
      <c r="E9" s="70">
        <f t="shared" si="0"/>
        <v>1</v>
      </c>
      <c r="F9" s="71">
        <f>IF(I8=0,ROUND(100*(1-(I7+I9)/2/$J$3),2),ROUND(100*(1-(I8+I9)/2/$J$3),2))</f>
        <v>95.93</v>
      </c>
      <c r="G9" s="72">
        <f>_xlfn.IFNA(VLOOKUP(D9,'인원 입력 기능 (사과탐)'!$P$177:$S$225,4,FALSE),0)</f>
        <v>1016</v>
      </c>
      <c r="H9" s="73">
        <f>G9/$J$3</f>
        <v>1.4726985461450376E-2</v>
      </c>
      <c r="I9" s="77">
        <f>SUM($G$7:G9)</f>
        <v>3315</v>
      </c>
      <c r="J9" s="75">
        <f>I9/$J$3</f>
        <v>4.8051138587311019E-2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입력기능'!C132</f>
        <v>59</v>
      </c>
    </row>
    <row r="10" spans="1:17" ht="25" customHeight="1">
      <c r="A10" s="4"/>
      <c r="B10" s="19"/>
      <c r="C10" s="76">
        <v>47</v>
      </c>
      <c r="D10" s="132">
        <f t="shared" ref="D10:D55" si="2">ROUND(10*(C10-$H$3)/$H$4+50,0)</f>
        <v>67</v>
      </c>
      <c r="E10" s="132">
        <f t="shared" si="0"/>
        <v>2</v>
      </c>
      <c r="F10" s="134">
        <f t="shared" ref="F10:F55" si="3">IF(I9=0,ROUND(100*(1-(I8+I10)/2/$J$3),2),ROUND(100*(1-(I9+I10)/2/$J$3),2))</f>
        <v>93.61</v>
      </c>
      <c r="G10" s="136">
        <f>IF(D10=D9,"",_xlfn.IFNA(VLOOKUP(D10,'인원 입력 기능 (사과탐)'!$P$177:$S$225,4,FALSE),0))</f>
        <v>2190</v>
      </c>
      <c r="H10" s="137">
        <f t="shared" ref="H10:H55" si="4">G10/$J$3</f>
        <v>3.1744191102929455E-2</v>
      </c>
      <c r="I10" s="139">
        <f>SUM($G$7:G10)</f>
        <v>5505</v>
      </c>
      <c r="J10" s="141">
        <f t="shared" ref="J10:J55" si="5">I10/$J$3</f>
        <v>7.9795329690240474E-2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입력기능'!C133</f>
        <v>52</v>
      </c>
    </row>
    <row r="11" spans="1:17" ht="25" customHeight="1">
      <c r="A11" s="4"/>
      <c r="B11" s="19"/>
      <c r="C11" s="69">
        <v>46</v>
      </c>
      <c r="D11" s="131"/>
      <c r="E11" s="131"/>
      <c r="F11" s="133"/>
      <c r="G11" s="135"/>
      <c r="H11" s="138"/>
      <c r="I11" s="140"/>
      <c r="J11" s="142"/>
      <c r="K11" s="28"/>
      <c r="L11" s="5" t="str">
        <f t="shared" si="1"/>
        <v>경고</v>
      </c>
      <c r="N11" s="1"/>
      <c r="P11" s="1">
        <v>5</v>
      </c>
      <c r="Q11" s="1">
        <f>'표준점수 등급컷 입력기능'!C134</f>
        <v>45</v>
      </c>
    </row>
    <row r="12" spans="1:17" ht="25" customHeight="1">
      <c r="A12" s="4"/>
      <c r="B12" s="19"/>
      <c r="C12" s="76">
        <v>45</v>
      </c>
      <c r="D12" s="70">
        <f t="shared" si="2"/>
        <v>66</v>
      </c>
      <c r="E12" s="70">
        <f t="shared" si="0"/>
        <v>2</v>
      </c>
      <c r="F12" s="71">
        <f t="shared" si="3"/>
        <v>91</v>
      </c>
      <c r="G12" s="72">
        <f>IF(D12=D11,"",_xlfn.IFNA(VLOOKUP(D12,'인원 입력 기능 (사과탐)'!$P$177:$S$225,4,FALSE),0))</f>
        <v>1407</v>
      </c>
      <c r="H12" s="73">
        <f t="shared" si="4"/>
        <v>2.0394555653799881E-2</v>
      </c>
      <c r="I12" s="77">
        <f>SUM($G$7:G12)</f>
        <v>6912</v>
      </c>
      <c r="J12" s="75">
        <f t="shared" si="5"/>
        <v>0.10018988534404036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입력기능'!C135</f>
        <v>41</v>
      </c>
    </row>
    <row r="13" spans="1:17" ht="25" customHeight="1">
      <c r="A13" s="4"/>
      <c r="B13" s="19"/>
      <c r="C13" s="69">
        <v>44</v>
      </c>
      <c r="D13" s="70">
        <f t="shared" si="2"/>
        <v>65</v>
      </c>
      <c r="E13" s="70">
        <f t="shared" si="0"/>
        <v>2</v>
      </c>
      <c r="F13" s="71">
        <f t="shared" si="3"/>
        <v>89.09</v>
      </c>
      <c r="G13" s="72">
        <f>IF(D13=D12,"",_xlfn.IFNA(VLOOKUP(D13,'인원 입력 기능 (사과탐)'!$P$177:$S$225,4,FALSE),0))</f>
        <v>1227</v>
      </c>
      <c r="H13" s="73">
        <f t="shared" si="4"/>
        <v>1.7785444056298831E-2</v>
      </c>
      <c r="I13" s="77">
        <f>SUM($G$7:G13)</f>
        <v>8139</v>
      </c>
      <c r="J13" s="75">
        <f t="shared" si="5"/>
        <v>0.11797532940033918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입력기능'!C136</f>
        <v>39</v>
      </c>
    </row>
    <row r="14" spans="1:17" ht="25" customHeight="1">
      <c r="A14" s="4"/>
      <c r="B14" s="19"/>
      <c r="C14" s="76">
        <v>43</v>
      </c>
      <c r="D14" s="132">
        <f t="shared" si="2"/>
        <v>64</v>
      </c>
      <c r="E14" s="132">
        <f t="shared" si="0"/>
        <v>3</v>
      </c>
      <c r="F14" s="134">
        <f t="shared" si="3"/>
        <v>86.76</v>
      </c>
      <c r="G14" s="136">
        <f>IF(D14=D13,"",_xlfn.IFNA(VLOOKUP(D14,'인원 입력 기능 (사과탐)'!$P$177:$S$225,4,FALSE),0))</f>
        <v>1988</v>
      </c>
      <c r="H14" s="137">
        <f t="shared" si="4"/>
        <v>2.8816188087956052E-2</v>
      </c>
      <c r="I14" s="139">
        <f>SUM($G$7:G14)</f>
        <v>10127</v>
      </c>
      <c r="J14" s="141">
        <f t="shared" si="5"/>
        <v>0.14679151748829525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입력기능'!C137</f>
        <v>37</v>
      </c>
    </row>
    <row r="15" spans="1:17" ht="25" customHeight="1">
      <c r="A15" s="4"/>
      <c r="B15" s="19"/>
      <c r="C15" s="69">
        <v>42</v>
      </c>
      <c r="D15" s="131"/>
      <c r="E15" s="131"/>
      <c r="F15" s="133"/>
      <c r="G15" s="135"/>
      <c r="H15" s="138"/>
      <c r="I15" s="140"/>
      <c r="J15" s="142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63</v>
      </c>
      <c r="E16" s="70">
        <f t="shared" si="0"/>
        <v>3</v>
      </c>
      <c r="F16" s="71">
        <f t="shared" si="3"/>
        <v>84.64</v>
      </c>
      <c r="G16" s="72">
        <f>IF(D16=D15,"",_xlfn.IFNA(VLOOKUP(D16,'인원 입력 기능 (사과탐)'!$P$177:$S$225,4,FALSE),0))</f>
        <v>935</v>
      </c>
      <c r="H16" s="73">
        <f t="shared" si="4"/>
        <v>1.3552885242574903E-2</v>
      </c>
      <c r="I16" s="77">
        <f>SUM($G$7:G16)</f>
        <v>11062</v>
      </c>
      <c r="J16" s="75">
        <f t="shared" si="5"/>
        <v>0.16034440273087014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62</v>
      </c>
      <c r="E17" s="70">
        <f t="shared" si="0"/>
        <v>3</v>
      </c>
      <c r="F17" s="71">
        <f t="shared" si="3"/>
        <v>83.28</v>
      </c>
      <c r="G17" s="72">
        <f>IF(D17=D16,"",_xlfn.IFNA(VLOOKUP(D17,'인원 입력 기능 (사과탐)'!$P$177:$S$225,4,FALSE),0))</f>
        <v>941</v>
      </c>
      <c r="H17" s="73">
        <f t="shared" si="4"/>
        <v>1.3639855629158272E-2</v>
      </c>
      <c r="I17" s="77">
        <f>SUM($G$7:G17)</f>
        <v>12003</v>
      </c>
      <c r="J17" s="75">
        <f t="shared" si="5"/>
        <v>0.1739842583600284</v>
      </c>
      <c r="K17" s="28"/>
      <c r="L17" s="5" t="str">
        <f t="shared" si="1"/>
        <v/>
      </c>
      <c r="N17" s="1"/>
      <c r="P17" s="1">
        <f>Q7*H3*H4*J3*IFERROR(IF(J57=1, 1, 0), 0)</f>
        <v>1483858019.6064</v>
      </c>
    </row>
    <row r="18" spans="1:16" ht="25" customHeight="1">
      <c r="A18" s="4"/>
      <c r="B18" s="19"/>
      <c r="C18" s="76">
        <v>39</v>
      </c>
      <c r="D18" s="132">
        <f t="shared" si="2"/>
        <v>61</v>
      </c>
      <c r="E18" s="132">
        <f t="shared" si="0"/>
        <v>3</v>
      </c>
      <c r="F18" s="134">
        <f t="shared" si="3"/>
        <v>81.099999999999994</v>
      </c>
      <c r="G18" s="136">
        <f>IF(D18=D17,"",_xlfn.IFNA(VLOOKUP(D18,'인원 입력 기능 (사과탐)'!$P$177:$S$225,4,FALSE),0))</f>
        <v>2070</v>
      </c>
      <c r="H18" s="137">
        <f t="shared" si="4"/>
        <v>3.0004783371262084E-2</v>
      </c>
      <c r="I18" s="139">
        <f>SUM($G$7:G18)</f>
        <v>14073</v>
      </c>
      <c r="J18" s="141">
        <f t="shared" si="5"/>
        <v>0.20398904173129048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131"/>
      <c r="E19" s="131"/>
      <c r="F19" s="133"/>
      <c r="G19" s="135"/>
      <c r="H19" s="138"/>
      <c r="I19" s="140"/>
      <c r="J19" s="142"/>
      <c r="K19" s="28"/>
      <c r="L19" s="5" t="str">
        <f t="shared" si="1"/>
        <v>경고</v>
      </c>
      <c r="N19" s="1"/>
    </row>
    <row r="20" spans="1:16" ht="25" customHeight="1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78.78</v>
      </c>
      <c r="G20" s="72">
        <f>IF(D20=D19,"",_xlfn.IFNA(VLOOKUP(D20,'인원 입력 기능 (사과탐)'!$P$177:$S$225,4,FALSE),0))</f>
        <v>1132</v>
      </c>
      <c r="H20" s="73">
        <f t="shared" si="4"/>
        <v>1.6408412935395498E-2</v>
      </c>
      <c r="I20" s="77">
        <f>SUM($G$7:G20)</f>
        <v>15205</v>
      </c>
      <c r="J20" s="75">
        <f t="shared" si="5"/>
        <v>0.220397454666686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59</v>
      </c>
      <c r="E21" s="79">
        <f t="shared" si="0"/>
        <v>3</v>
      </c>
      <c r="F21" s="71">
        <f t="shared" si="3"/>
        <v>77.19</v>
      </c>
      <c r="G21" s="72">
        <f>IF(D21=D20,"",_xlfn.IFNA(VLOOKUP(D21,'인원 입력 기능 (사과탐)'!$P$177:$S$225,4,FALSE),0))</f>
        <v>1065</v>
      </c>
      <c r="H21" s="73">
        <f t="shared" si="4"/>
        <v>1.5437243618547885E-2</v>
      </c>
      <c r="I21" s="77">
        <f>SUM($G$7:G21)</f>
        <v>16270</v>
      </c>
      <c r="J21" s="75">
        <f t="shared" si="5"/>
        <v>0.23583469828523387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144">
        <f t="shared" si="2"/>
        <v>58</v>
      </c>
      <c r="E22" s="144">
        <f t="shared" si="0"/>
        <v>4</v>
      </c>
      <c r="F22" s="134">
        <f t="shared" si="3"/>
        <v>74.86</v>
      </c>
      <c r="G22" s="136">
        <f>IF(D22=D21,"",_xlfn.IFNA(VLOOKUP(D22,'인원 입력 기능 (사과탐)'!$P$177:$S$225,4,FALSE),0))</f>
        <v>2144</v>
      </c>
      <c r="H22" s="137">
        <f t="shared" si="4"/>
        <v>3.1077418139123628E-2</v>
      </c>
      <c r="I22" s="139">
        <f>SUM($G$7:G22)</f>
        <v>18414</v>
      </c>
      <c r="J22" s="141">
        <f t="shared" si="5"/>
        <v>0.26691211642435753</v>
      </c>
      <c r="K22" s="28"/>
      <c r="L22" s="5" t="str">
        <f t="shared" si="1"/>
        <v>경고</v>
      </c>
      <c r="N22" s="1"/>
    </row>
    <row r="23" spans="1:16" ht="25" customHeight="1">
      <c r="A23" s="4"/>
      <c r="B23" s="19"/>
      <c r="C23" s="78">
        <v>34</v>
      </c>
      <c r="D23" s="143"/>
      <c r="E23" s="143"/>
      <c r="F23" s="133"/>
      <c r="G23" s="135"/>
      <c r="H23" s="138"/>
      <c r="I23" s="140"/>
      <c r="J23" s="142"/>
      <c r="K23" s="28"/>
      <c r="L23" s="5" t="str">
        <f t="shared" si="1"/>
        <v>경고</v>
      </c>
      <c r="N23" s="1"/>
    </row>
    <row r="24" spans="1:16" ht="25" customHeight="1">
      <c r="A24" s="4"/>
      <c r="B24" s="19"/>
      <c r="C24" s="80">
        <v>33</v>
      </c>
      <c r="D24" s="79">
        <f t="shared" si="2"/>
        <v>57</v>
      </c>
      <c r="E24" s="79">
        <f t="shared" si="0"/>
        <v>4</v>
      </c>
      <c r="F24" s="71">
        <f t="shared" si="3"/>
        <v>72.59</v>
      </c>
      <c r="G24" s="72">
        <f>IF(D24=D23,"",_xlfn.IFNA(VLOOKUP(D24,'인원 입력 기능 (사과탐)'!$P$177:$S$225,4,FALSE),0))</f>
        <v>993</v>
      </c>
      <c r="H24" s="73">
        <f t="shared" si="4"/>
        <v>1.4393598979547464E-2</v>
      </c>
      <c r="I24" s="77">
        <f>SUM($G$7:G24)</f>
        <v>19407</v>
      </c>
      <c r="J24" s="75">
        <f t="shared" si="5"/>
        <v>0.28130571540390498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144">
        <f t="shared" si="2"/>
        <v>56</v>
      </c>
      <c r="E25" s="144">
        <f t="shared" si="0"/>
        <v>4</v>
      </c>
      <c r="F25" s="134">
        <f t="shared" si="3"/>
        <v>70.260000000000005</v>
      </c>
      <c r="G25" s="136">
        <f>IF(D25=D24,"",_xlfn.IFNA(VLOOKUP(D25,'인원 입력 기능 (사과탐)'!$P$177:$S$225,4,FALSE),0))</f>
        <v>2221</v>
      </c>
      <c r="H25" s="137">
        <f t="shared" si="4"/>
        <v>3.2193538100276857E-2</v>
      </c>
      <c r="I25" s="139">
        <f>SUM($G$7:G25)</f>
        <v>21628</v>
      </c>
      <c r="J25" s="141">
        <f t="shared" si="5"/>
        <v>0.31349925350418184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143"/>
      <c r="E26" s="143"/>
      <c r="F26" s="133"/>
      <c r="G26" s="135"/>
      <c r="H26" s="138"/>
      <c r="I26" s="140"/>
      <c r="J26" s="142"/>
      <c r="K26" s="28"/>
      <c r="L26" s="5" t="str">
        <f t="shared" si="1"/>
        <v>경고</v>
      </c>
      <c r="N26" s="1"/>
    </row>
    <row r="27" spans="1:16" ht="25" customHeight="1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67.84</v>
      </c>
      <c r="G27" s="72">
        <f>IF(D27=D26,"",_xlfn.IFNA(VLOOKUP(D27,'인원 입력 기능 (사과탐)'!$P$177:$S$225,4,FALSE),0))</f>
        <v>1112</v>
      </c>
      <c r="H27" s="73">
        <f t="shared" si="4"/>
        <v>1.6118511646784271E-2</v>
      </c>
      <c r="I27" s="77">
        <f>SUM($G$7:G27)</f>
        <v>22740</v>
      </c>
      <c r="J27" s="75">
        <f t="shared" si="5"/>
        <v>0.32961776515096608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66.17</v>
      </c>
      <c r="G28" s="72">
        <f>IF(D28=D27,"",_xlfn.IFNA(VLOOKUP(D28,'인원 입력 기능 (사과탐)'!$P$177:$S$225,4,FALSE),0))</f>
        <v>1203</v>
      </c>
      <c r="H28" s="73">
        <f t="shared" si="4"/>
        <v>1.7437562509965358E-2</v>
      </c>
      <c r="I28" s="77">
        <f>SUM($G$7:G28)</f>
        <v>23943</v>
      </c>
      <c r="J28" s="75">
        <f t="shared" si="5"/>
        <v>0.34705532766093145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144">
        <f t="shared" si="2"/>
        <v>53</v>
      </c>
      <c r="E29" s="144">
        <f t="shared" si="0"/>
        <v>4</v>
      </c>
      <c r="F29" s="134">
        <f t="shared" si="3"/>
        <v>63.51</v>
      </c>
      <c r="G29" s="136">
        <f>IF(D29=D28,"",_xlfn.IFNA(VLOOKUP(D29,'인원 입력 기능 (사과탐)'!$P$177:$S$225,4,FALSE),0))</f>
        <v>2456</v>
      </c>
      <c r="H29" s="137">
        <f t="shared" si="4"/>
        <v>3.5599878241458785E-2</v>
      </c>
      <c r="I29" s="139">
        <f>SUM($G$7:G29)</f>
        <v>26399</v>
      </c>
      <c r="J29" s="141">
        <f t="shared" si="5"/>
        <v>0.38265520590239022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143"/>
      <c r="E30" s="143"/>
      <c r="F30" s="133"/>
      <c r="G30" s="135"/>
      <c r="H30" s="138"/>
      <c r="I30" s="140"/>
      <c r="J30" s="142"/>
      <c r="K30" s="28"/>
      <c r="L30" s="5" t="str">
        <f t="shared" si="1"/>
        <v>경고</v>
      </c>
      <c r="N30" s="1"/>
    </row>
    <row r="31" spans="1:16" ht="25" customHeight="1">
      <c r="A31" s="4"/>
      <c r="B31" s="19"/>
      <c r="C31" s="78">
        <v>26</v>
      </c>
      <c r="D31" s="79">
        <f t="shared" si="2"/>
        <v>52</v>
      </c>
      <c r="E31" s="79">
        <f t="shared" si="0"/>
        <v>4</v>
      </c>
      <c r="F31" s="71">
        <f t="shared" si="3"/>
        <v>60.78</v>
      </c>
      <c r="G31" s="72">
        <f>IF(D31=D30,"",_xlfn.IFNA(VLOOKUP(D31,'인원 입력 기능 (사과탐)'!$P$177:$S$225,4,FALSE),0))</f>
        <v>1320</v>
      </c>
      <c r="H31" s="73">
        <f t="shared" si="4"/>
        <v>1.9133485048341038E-2</v>
      </c>
      <c r="I31" s="77">
        <f>SUM($G$7:G31)</f>
        <v>27719</v>
      </c>
      <c r="J31" s="75">
        <f t="shared" si="5"/>
        <v>0.40178869095073128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51</v>
      </c>
      <c r="E32" s="79">
        <f t="shared" si="0"/>
        <v>5</v>
      </c>
      <c r="F32" s="71">
        <f t="shared" si="3"/>
        <v>58.88</v>
      </c>
      <c r="G32" s="72">
        <f>IF(D32=D31,"",_xlfn.IFNA(VLOOKUP(D32,'인원 입력 기능 (사과탐)'!$P$177:$S$225,4,FALSE),0))</f>
        <v>1298</v>
      </c>
      <c r="H32" s="73">
        <f t="shared" si="4"/>
        <v>1.8814593630868688E-2</v>
      </c>
      <c r="I32" s="77">
        <f>SUM($G$7:G32)</f>
        <v>29017</v>
      </c>
      <c r="J32" s="75">
        <f t="shared" si="5"/>
        <v>0.42060328458159996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144">
        <f t="shared" si="2"/>
        <v>50</v>
      </c>
      <c r="E33" s="144">
        <f t="shared" si="0"/>
        <v>5</v>
      </c>
      <c r="F33" s="134">
        <f t="shared" si="3"/>
        <v>55.87</v>
      </c>
      <c r="G33" s="136">
        <f>IF(D33=D32,"",_xlfn.IFNA(VLOOKUP(D33,'인원 입력 기능 (사과탐)'!$P$177:$S$225,4,FALSE),0))</f>
        <v>2856</v>
      </c>
      <c r="H33" s="137">
        <f t="shared" si="4"/>
        <v>4.1397904013683338E-2</v>
      </c>
      <c r="I33" s="139">
        <f>SUM($G$7:G33)</f>
        <v>31873</v>
      </c>
      <c r="J33" s="141">
        <f t="shared" si="5"/>
        <v>0.46200118859528333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143"/>
      <c r="E34" s="143"/>
      <c r="F34" s="133"/>
      <c r="G34" s="135"/>
      <c r="H34" s="138"/>
      <c r="I34" s="140"/>
      <c r="J34" s="142"/>
      <c r="K34" s="28"/>
      <c r="L34" s="5" t="str">
        <f t="shared" si="1"/>
        <v>경고</v>
      </c>
      <c r="N34" s="1"/>
    </row>
    <row r="35" spans="1:14" ht="25" customHeight="1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52.68</v>
      </c>
      <c r="G35" s="72">
        <f>IF(D35=D34,"",_xlfn.IFNA(VLOOKUP(D35,'인원 입력 기능 (사과탐)'!$P$177:$S$225,4,FALSE),0))</f>
        <v>1544</v>
      </c>
      <c r="H35" s="73">
        <f t="shared" si="4"/>
        <v>2.2380379480786791E-2</v>
      </c>
      <c r="I35" s="77">
        <f>SUM($G$7:G35)</f>
        <v>33417</v>
      </c>
      <c r="J35" s="75">
        <f t="shared" si="5"/>
        <v>0.48438156807607008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50.46</v>
      </c>
      <c r="G36" s="72">
        <f>IF(D36=D35,"",_xlfn.IFNA(VLOOKUP(D36,'인원 입력 기능 (사과탐)'!$P$177:$S$225,4,FALSE),0))</f>
        <v>1518</v>
      </c>
      <c r="H36" s="73">
        <f t="shared" si="4"/>
        <v>2.2003507805592196E-2</v>
      </c>
      <c r="I36" s="77">
        <f>SUM($G$7:G36)</f>
        <v>34935</v>
      </c>
      <c r="J36" s="75">
        <f t="shared" si="5"/>
        <v>0.50638507588166226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4">
        <f t="shared" si="2"/>
        <v>47</v>
      </c>
      <c r="E37" s="144">
        <f t="shared" si="0"/>
        <v>5</v>
      </c>
      <c r="F37" s="134">
        <f t="shared" si="3"/>
        <v>46.89</v>
      </c>
      <c r="G37" s="136">
        <f>IF(D37=D36,"",_xlfn.IFNA(VLOOKUP(D37,'인원 입력 기능 (사과탐)'!$P$177:$S$225,4,FALSE),0))</f>
        <v>3415</v>
      </c>
      <c r="H37" s="137">
        <f t="shared" si="4"/>
        <v>4.9500645030367163E-2</v>
      </c>
      <c r="I37" s="139">
        <f>SUM($G$7:G37)</f>
        <v>38350</v>
      </c>
      <c r="J37" s="141">
        <f t="shared" si="5"/>
        <v>0.55588572091202948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143"/>
      <c r="E38" s="143"/>
      <c r="F38" s="133"/>
      <c r="G38" s="135"/>
      <c r="H38" s="138"/>
      <c r="I38" s="140"/>
      <c r="J38" s="142"/>
      <c r="K38" s="28"/>
      <c r="L38" s="5" t="str">
        <f t="shared" si="1"/>
        <v>경고</v>
      </c>
      <c r="N38" s="1"/>
    </row>
    <row r="39" spans="1:14" ht="25" customHeight="1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43.19</v>
      </c>
      <c r="G39" s="72">
        <f>IF(D39=D38,"",_xlfn.IFNA(VLOOKUP(D39,'인원 입력 기능 (사과탐)'!$P$177:$S$225,4,FALSE),0))</f>
        <v>1690</v>
      </c>
      <c r="H39" s="73">
        <f t="shared" si="4"/>
        <v>2.4496658887648754E-2</v>
      </c>
      <c r="I39" s="77">
        <f>SUM($G$7:G39)</f>
        <v>40040</v>
      </c>
      <c r="J39" s="75">
        <f t="shared" si="5"/>
        <v>0.58038237979967822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40.51</v>
      </c>
      <c r="G40" s="72">
        <f>IF(D40=D39,"",_xlfn.IFNA(VLOOKUP(D40,'인원 입력 기능 (사과탐)'!$P$177:$S$225,4,FALSE),0))</f>
        <v>2004</v>
      </c>
      <c r="H40" s="73">
        <f t="shared" si="4"/>
        <v>2.9048109118845034E-2</v>
      </c>
      <c r="I40" s="77">
        <f>SUM($G$7:G40)</f>
        <v>42044</v>
      </c>
      <c r="J40" s="75">
        <f t="shared" si="5"/>
        <v>0.60943048891852325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144">
        <f t="shared" si="2"/>
        <v>44</v>
      </c>
      <c r="E41" s="144">
        <f t="shared" si="6"/>
        <v>6</v>
      </c>
      <c r="F41" s="134">
        <f t="shared" si="3"/>
        <v>36.14</v>
      </c>
      <c r="G41" s="136">
        <f>IF(D41=D40,"",_xlfn.IFNA(VLOOKUP(D41,'인원 입력 기능 (사과탐)'!$P$177:$S$225,4,FALSE),0))</f>
        <v>4021</v>
      </c>
      <c r="H41" s="137">
        <f t="shared" si="4"/>
        <v>5.8284654075287365E-2</v>
      </c>
      <c r="I41" s="139">
        <f>SUM($G$7:G41)</f>
        <v>46065</v>
      </c>
      <c r="J41" s="141">
        <f t="shared" si="5"/>
        <v>0.66771514299381063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143"/>
      <c r="E42" s="143"/>
      <c r="F42" s="133"/>
      <c r="G42" s="135"/>
      <c r="H42" s="138"/>
      <c r="I42" s="140"/>
      <c r="J42" s="142"/>
      <c r="K42" s="28"/>
      <c r="L42" s="5" t="str">
        <f t="shared" si="1"/>
        <v>경고</v>
      </c>
      <c r="N42" s="1"/>
    </row>
    <row r="43" spans="1:14" ht="25" customHeight="1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31.58</v>
      </c>
      <c r="G43" s="72">
        <f>IF(D43=D42,"",_xlfn.IFNA(VLOOKUP(D43,'인원 입력 기능 (사과탐)'!$P$177:$S$225,4,FALSE),0))</f>
        <v>2278</v>
      </c>
      <c r="H43" s="73">
        <f t="shared" si="4"/>
        <v>3.3019756772818855E-2</v>
      </c>
      <c r="I43" s="77">
        <f>SUM($G$7:G43)</f>
        <v>48343</v>
      </c>
      <c r="J43" s="75">
        <f t="shared" si="5"/>
        <v>0.7007348997666295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28.35</v>
      </c>
      <c r="G44" s="72">
        <f>IF(D44=D43,"",_xlfn.IFNA(VLOOKUP(D44,'인원 입력 기능 (사과탐)'!$P$177:$S$225,4,FALSE),0))</f>
        <v>2175</v>
      </c>
      <c r="H44" s="73">
        <f t="shared" si="4"/>
        <v>3.1526765136471034E-2</v>
      </c>
      <c r="I44" s="77">
        <f>SUM($G$7:G44)</f>
        <v>50518</v>
      </c>
      <c r="J44" s="75">
        <f t="shared" si="5"/>
        <v>0.73226166490310052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144">
        <f t="shared" si="2"/>
        <v>41</v>
      </c>
      <c r="E45" s="144">
        <f t="shared" si="6"/>
        <v>6</v>
      </c>
      <c r="F45" s="134">
        <f t="shared" si="3"/>
        <v>23.01</v>
      </c>
      <c r="G45" s="136">
        <f>IF(D45=D44,"",_xlfn.IFNA(VLOOKUP(D45,'인원 입력 기능 (사과탐)'!$P$177:$S$225,4,FALSE),0))</f>
        <v>5192</v>
      </c>
      <c r="H45" s="137">
        <f t="shared" si="4"/>
        <v>7.5258374523474753E-2</v>
      </c>
      <c r="I45" s="139">
        <f>SUM($G$7:G45)</f>
        <v>55710</v>
      </c>
      <c r="J45" s="141">
        <f t="shared" si="5"/>
        <v>0.80752003942657524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143"/>
      <c r="E46" s="143"/>
      <c r="F46" s="133"/>
      <c r="G46" s="135"/>
      <c r="H46" s="138"/>
      <c r="I46" s="140"/>
      <c r="J46" s="142"/>
      <c r="K46" s="28"/>
      <c r="L46" s="5" t="str">
        <f t="shared" si="1"/>
        <v>경고</v>
      </c>
      <c r="N46" s="1"/>
    </row>
    <row r="47" spans="1:14" ht="25" customHeight="1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17.37</v>
      </c>
      <c r="G47" s="72">
        <f>IF(D47=D46,"",_xlfn.IFNA(VLOOKUP(D47,'인원 입력 기능 (사과탐)'!$P$177:$S$225,4,FALSE),0))</f>
        <v>2594</v>
      </c>
      <c r="H47" s="73">
        <f t="shared" si="4"/>
        <v>3.7600197132876254E-2</v>
      </c>
      <c r="I47" s="77">
        <f>SUM($G$7:G47)</f>
        <v>58304</v>
      </c>
      <c r="J47" s="75">
        <f t="shared" si="5"/>
        <v>0.84512023655945145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39</v>
      </c>
      <c r="E48" s="79">
        <f t="shared" si="6"/>
        <v>7</v>
      </c>
      <c r="F48" s="71">
        <f t="shared" si="3"/>
        <v>13.1</v>
      </c>
      <c r="G48" s="72">
        <f>IF(D48=D47,"",_xlfn.IFNA(VLOOKUP(D48,'인원 입력 기능 (사과탐)'!$P$177:$S$225,4,FALSE),0))</f>
        <v>3288</v>
      </c>
      <c r="H48" s="73">
        <f t="shared" si="4"/>
        <v>4.7659771847685863E-2</v>
      </c>
      <c r="I48" s="77">
        <f>SUM($G$7:G48)</f>
        <v>61592</v>
      </c>
      <c r="J48" s="75">
        <f t="shared" si="5"/>
        <v>0.89278000840713734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4">
        <f t="shared" si="2"/>
        <v>38</v>
      </c>
      <c r="E49" s="144">
        <f t="shared" si="6"/>
        <v>8</v>
      </c>
      <c r="F49" s="134">
        <f t="shared" si="3"/>
        <v>7.58</v>
      </c>
      <c r="G49" s="136">
        <f>IF(D49=D48,"",_xlfn.IFNA(VLOOKUP(D49,'인원 입력 기능 (사과탐)'!$P$177:$S$225,4,FALSE),0))</f>
        <v>4333</v>
      </c>
      <c r="H49" s="137">
        <f t="shared" si="4"/>
        <v>6.2807114177622525E-2</v>
      </c>
      <c r="I49" s="139">
        <f>SUM($G$7:G49)</f>
        <v>65925</v>
      </c>
      <c r="J49" s="141">
        <f t="shared" si="5"/>
        <v>0.95558712258475986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3"/>
      <c r="E50" s="143"/>
      <c r="F50" s="133"/>
      <c r="G50" s="135"/>
      <c r="H50" s="138"/>
      <c r="I50" s="140"/>
      <c r="J50" s="142"/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79">
        <f t="shared" si="2"/>
        <v>37</v>
      </c>
      <c r="E51" s="79">
        <f t="shared" si="6"/>
        <v>8</v>
      </c>
      <c r="F51" s="71">
        <f t="shared" si="3"/>
        <v>3.86</v>
      </c>
      <c r="G51" s="72">
        <f>IF(D51=D50,"",_xlfn.IFNA(VLOOKUP(D51,'인원 입력 기능 (사과탐)'!$P$177:$S$225,4,FALSE),0))</f>
        <v>800</v>
      </c>
      <c r="H51" s="73">
        <f t="shared" si="4"/>
        <v>1.1596051544449116E-2</v>
      </c>
      <c r="I51" s="77">
        <f>SUM($G$7:G51)</f>
        <v>66725</v>
      </c>
      <c r="J51" s="75">
        <f t="shared" si="5"/>
        <v>0.96718317412920896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36</v>
      </c>
      <c r="E52" s="79">
        <f t="shared" si="6"/>
        <v>9</v>
      </c>
      <c r="F52" s="71">
        <f t="shared" si="3"/>
        <v>2.59</v>
      </c>
      <c r="G52" s="72">
        <f>IF(D52=D51,"",_xlfn.IFNA(VLOOKUP(D52,'인원 입력 기능 (사과탐)'!$P$177:$S$225,4,FALSE),0))</f>
        <v>961</v>
      </c>
      <c r="H52" s="73">
        <f t="shared" si="4"/>
        <v>1.3929756917769499E-2</v>
      </c>
      <c r="I52" s="77">
        <f>SUM($G$7:G52)</f>
        <v>67686</v>
      </c>
      <c r="J52" s="75">
        <f t="shared" si="5"/>
        <v>0.9811129310469785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132">
        <f t="shared" si="2"/>
        <v>35</v>
      </c>
      <c r="E53" s="132">
        <f t="shared" si="6"/>
        <v>9</v>
      </c>
      <c r="F53" s="134">
        <f t="shared" si="3"/>
        <v>1.29</v>
      </c>
      <c r="G53" s="136">
        <f>IF(D53=D52,"",_xlfn.IFNA(VLOOKUP(D53,'인원 입력 기능 (사과탐)'!$P$177:$S$225,4,FALSE),0))</f>
        <v>826</v>
      </c>
      <c r="H53" s="137">
        <f t="shared" si="4"/>
        <v>1.1972923219643711E-2</v>
      </c>
      <c r="I53" s="139">
        <f>SUM($G$7:G53)</f>
        <v>68512</v>
      </c>
      <c r="J53" s="141">
        <f t="shared" si="5"/>
        <v>0.99308585426662221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131"/>
      <c r="E54" s="131"/>
      <c r="F54" s="133"/>
      <c r="G54" s="135"/>
      <c r="H54" s="138"/>
      <c r="I54" s="140"/>
      <c r="J54" s="142"/>
      <c r="K54" s="28"/>
      <c r="L54" s="5" t="str">
        <f t="shared" si="1"/>
        <v>경고</v>
      </c>
      <c r="N54" s="1"/>
    </row>
    <row r="55" spans="1:14" ht="25" customHeight="1">
      <c r="A55" s="4"/>
      <c r="B55" s="19"/>
      <c r="C55" s="69">
        <v>2</v>
      </c>
      <c r="D55" s="70">
        <f t="shared" si="2"/>
        <v>34</v>
      </c>
      <c r="E55" s="70">
        <f t="shared" si="6"/>
        <v>9</v>
      </c>
      <c r="F55" s="71">
        <f t="shared" si="3"/>
        <v>0.44</v>
      </c>
      <c r="G55" s="72">
        <f>IF(D55=D54,"",_xlfn.IFNA(VLOOKUP(D55,'인원 입력 기능 (사과탐)'!$P$177:$S$225,4,FALSE),0))</f>
        <v>351</v>
      </c>
      <c r="H55" s="73">
        <f t="shared" si="4"/>
        <v>5.0877676151270491E-3</v>
      </c>
      <c r="I55" s="77">
        <f>SUM($G$7:G55)</f>
        <v>68863</v>
      </c>
      <c r="J55" s="75">
        <f t="shared" si="5"/>
        <v>0.9981736218817493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0.09</v>
      </c>
      <c r="G57" s="85">
        <f>_xlfn.IFNA(VLOOKUP(D57,'인원 입력 기능 (사과탐)'!$P$177:$S$225,4,FALSE),0)</f>
        <v>126</v>
      </c>
      <c r="H57" s="86">
        <f>G57/$J$3</f>
        <v>1.8263781182507356E-3</v>
      </c>
      <c r="I57" s="87">
        <f>SUM($G$7:G57)</f>
        <v>68989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88">
    <mergeCell ref="I53:I54"/>
    <mergeCell ref="J53:J54"/>
    <mergeCell ref="D53:D54"/>
    <mergeCell ref="E53:E54"/>
    <mergeCell ref="F53:F54"/>
    <mergeCell ref="G53:G54"/>
    <mergeCell ref="H53:H54"/>
    <mergeCell ref="I45:I46"/>
    <mergeCell ref="J45:J46"/>
    <mergeCell ref="D49:D50"/>
    <mergeCell ref="E49:E50"/>
    <mergeCell ref="F49:F50"/>
    <mergeCell ref="G49:G50"/>
    <mergeCell ref="H49:H50"/>
    <mergeCell ref="I49:I50"/>
    <mergeCell ref="J49:J50"/>
    <mergeCell ref="D45:D46"/>
    <mergeCell ref="E45:E46"/>
    <mergeCell ref="F45:F46"/>
    <mergeCell ref="G45:G46"/>
    <mergeCell ref="H45:H46"/>
    <mergeCell ref="I37:I38"/>
    <mergeCell ref="J37:J38"/>
    <mergeCell ref="D41:D42"/>
    <mergeCell ref="E41:E42"/>
    <mergeCell ref="F41:F42"/>
    <mergeCell ref="G41:G42"/>
    <mergeCell ref="H41:H42"/>
    <mergeCell ref="I41:I42"/>
    <mergeCell ref="J41:J42"/>
    <mergeCell ref="D37:D38"/>
    <mergeCell ref="E37:E38"/>
    <mergeCell ref="F37:F38"/>
    <mergeCell ref="G37:G38"/>
    <mergeCell ref="H37:H38"/>
    <mergeCell ref="I29:I30"/>
    <mergeCell ref="J29:J30"/>
    <mergeCell ref="D33:D34"/>
    <mergeCell ref="E33:E34"/>
    <mergeCell ref="F33:F34"/>
    <mergeCell ref="G33:G34"/>
    <mergeCell ref="H33:H34"/>
    <mergeCell ref="I33:I34"/>
    <mergeCell ref="J33:J34"/>
    <mergeCell ref="D29:D30"/>
    <mergeCell ref="E29:E30"/>
    <mergeCell ref="F29:F30"/>
    <mergeCell ref="G29:G30"/>
    <mergeCell ref="H29:H30"/>
    <mergeCell ref="I22:I23"/>
    <mergeCell ref="J22:J23"/>
    <mergeCell ref="D25:D26"/>
    <mergeCell ref="E25:E26"/>
    <mergeCell ref="F25:F26"/>
    <mergeCell ref="G25:G26"/>
    <mergeCell ref="H25:H26"/>
    <mergeCell ref="I25:I26"/>
    <mergeCell ref="J25:J26"/>
    <mergeCell ref="D22:D23"/>
    <mergeCell ref="E22:E23"/>
    <mergeCell ref="F22:F23"/>
    <mergeCell ref="G22:G23"/>
    <mergeCell ref="H22:H23"/>
    <mergeCell ref="I14:I15"/>
    <mergeCell ref="J14:J15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8:J8"/>
    <mergeCell ref="D56:J56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  <mergeCell ref="H14:H15"/>
  </mergeCells>
  <phoneticPr fontId="1" type="noConversion"/>
  <conditionalFormatting sqref="D7:D10 D12:D14 D16:D18 D20:D22 D24:D25 D27:D29 D31:D33 D35:D37 D39:D41 D43:D45 D47:D49 D51:D53 D55:D57">
    <cfRule type="expression" dxfId="14" priority="1">
      <formula>$D7=$D8</formula>
    </cfRule>
  </conditionalFormatting>
  <conditionalFormatting sqref="C7:C57">
    <cfRule type="expression" dxfId="13" priority="3">
      <formula>OR(AND($D7=0,OR($D6=$Q$7:$Q$14)),AND($D8&gt;0,OR($D7=$Q$7:$Q$14)))</formula>
    </cfRule>
  </conditionalFormatting>
  <conditionalFormatting sqref="D7:J7 D8 D57:J57 D56 D9:J10 D12:J14 D16:J18 D20:J22 D24:J25 D27:J29 D31:J33 D35:J37 D39:J41 D43:J45 D47:J49 D51:J53 D55:J55">
    <cfRule type="expression" dxfId="12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5A5CF-70CF-4702-9339-D6937B6FF4BA}">
  <sheetPr codeName="Sheet20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기능'!D19</f>
        <v>17.20</v>
      </c>
      <c r="I3" s="15" t="s">
        <v>84</v>
      </c>
      <c r="J3" s="35">
        <f>'통계 및 응시자 수 입력 기능'!C19</f>
        <v>4877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91</v>
      </c>
      <c r="E4" s="108"/>
      <c r="F4" s="109"/>
      <c r="G4" s="37" t="s">
        <v>87</v>
      </c>
      <c r="H4" s="38" t="str">
        <f>'통계 및 응시자 수 입력 기능'!E19</f>
        <v>10.80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80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99.34</v>
      </c>
      <c r="G7" s="72">
        <f>_xlfn.IFNA(VLOOKUP(D7,'인원 입력 기능 (사과탐)'!$A$236:$D$284,4,FALSE),0)</f>
        <v>64</v>
      </c>
      <c r="H7" s="73">
        <f>G7/$J$3</f>
        <v>1.312282140660242E-2</v>
      </c>
      <c r="I7" s="74">
        <f>G7</f>
        <v>64</v>
      </c>
      <c r="J7" s="75">
        <f>I7/$J$3</f>
        <v>1.312282140660242E-2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입력기능'!C139</f>
        <v>76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입력기능'!C140</f>
        <v>65</v>
      </c>
    </row>
    <row r="9" spans="1:17" ht="25" customHeight="1">
      <c r="A9" s="4"/>
      <c r="B9" s="19"/>
      <c r="C9" s="69">
        <v>48</v>
      </c>
      <c r="D9" s="70">
        <f>ROUND(10*(C9-$H$3)/$H$4+50,0)</f>
        <v>79</v>
      </c>
      <c r="E9" s="70">
        <f t="shared" si="0"/>
        <v>1</v>
      </c>
      <c r="F9" s="71">
        <f>IF(I8=0,ROUND(100*(1-(I7+I9)/2/$J$3),2),ROUND(100*(1-(I8+I9)/2/$J$3),2))</f>
        <v>98.28</v>
      </c>
      <c r="G9" s="72">
        <f>_xlfn.IFNA(VLOOKUP(D9,'인원 입력 기능 (사과탐)'!$A$236:$D$284,4,FALSE),0)</f>
        <v>40</v>
      </c>
      <c r="H9" s="73">
        <f>G9/$J$3</f>
        <v>8.2017633791265122E-3</v>
      </c>
      <c r="I9" s="77">
        <f>SUM($G$7:G9)</f>
        <v>104</v>
      </c>
      <c r="J9" s="75">
        <f>I9/$J$3</f>
        <v>2.132458478572893E-2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입력기능'!C141</f>
        <v>54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78</v>
      </c>
      <c r="E10" s="70">
        <f t="shared" si="0"/>
        <v>1</v>
      </c>
      <c r="F10" s="71">
        <f t="shared" ref="F10:F55" si="3">IF(I9=0,ROUND(100*(1-(I8+I10)/2/$J$3),2),ROUND(100*(1-(I9+I10)/2/$J$3),2))</f>
        <v>97.4</v>
      </c>
      <c r="G10" s="72">
        <f>IF(D10=D9,"",_xlfn.IFNA(VLOOKUP(D10,'인원 입력 기능 (사과탐)'!$A$236:$D$284,4,FALSE),0))</f>
        <v>46</v>
      </c>
      <c r="H10" s="73">
        <f t="shared" ref="H10:H55" si="4">G10/$J$3</f>
        <v>9.4320278859954896E-3</v>
      </c>
      <c r="I10" s="77">
        <f>SUM($G$7:G10)</f>
        <v>150</v>
      </c>
      <c r="J10" s="75">
        <f t="shared" ref="J10:J55" si="5">I10/$J$3</f>
        <v>3.0756612671724422E-2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입력기능'!C142</f>
        <v>49</v>
      </c>
    </row>
    <row r="11" spans="1:17" ht="25" customHeight="1">
      <c r="A11" s="4"/>
      <c r="B11" s="19"/>
      <c r="C11" s="69">
        <v>46</v>
      </c>
      <c r="D11" s="70">
        <f t="shared" si="2"/>
        <v>77</v>
      </c>
      <c r="E11" s="70">
        <f t="shared" si="0"/>
        <v>1</v>
      </c>
      <c r="F11" s="71">
        <f t="shared" si="3"/>
        <v>96.69</v>
      </c>
      <c r="G11" s="72">
        <f>IF(D11=D10,"",_xlfn.IFNA(VLOOKUP(D11,'인원 입력 기능 (사과탐)'!$A$236:$D$284,4,FALSE),0))</f>
        <v>23</v>
      </c>
      <c r="H11" s="73">
        <f t="shared" si="4"/>
        <v>4.7160139429977448E-3</v>
      </c>
      <c r="I11" s="77">
        <f>SUM($G$7:G11)</f>
        <v>173</v>
      </c>
      <c r="J11" s="75">
        <f t="shared" si="5"/>
        <v>3.5472626614722162E-2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입력기능'!C143</f>
        <v>45</v>
      </c>
    </row>
    <row r="12" spans="1:17" ht="25" customHeight="1">
      <c r="A12" s="4"/>
      <c r="B12" s="19"/>
      <c r="C12" s="76">
        <v>45</v>
      </c>
      <c r="D12" s="70">
        <f t="shared" si="2"/>
        <v>76</v>
      </c>
      <c r="E12" s="70">
        <f t="shared" si="0"/>
        <v>1</v>
      </c>
      <c r="F12" s="71">
        <f t="shared" si="3"/>
        <v>96.07</v>
      </c>
      <c r="G12" s="72">
        <f>IF(D12=D11,"",_xlfn.IFNA(VLOOKUP(D12,'인원 입력 기능 (사과탐)'!$A$236:$D$284,4,FALSE),0))</f>
        <v>37</v>
      </c>
      <c r="H12" s="73">
        <f t="shared" si="4"/>
        <v>7.5866311256920236E-3</v>
      </c>
      <c r="I12" s="77">
        <f>SUM($G$7:G12)</f>
        <v>210</v>
      </c>
      <c r="J12" s="75">
        <f t="shared" si="5"/>
        <v>4.3059257740414192E-2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입력기능'!C144</f>
        <v>42</v>
      </c>
    </row>
    <row r="13" spans="1:17" ht="25" customHeight="1">
      <c r="A13" s="4"/>
      <c r="B13" s="19"/>
      <c r="C13" s="69">
        <v>44</v>
      </c>
      <c r="D13" s="70">
        <f t="shared" si="2"/>
        <v>75</v>
      </c>
      <c r="E13" s="70">
        <f t="shared" si="0"/>
        <v>2</v>
      </c>
      <c r="F13" s="71">
        <f t="shared" si="3"/>
        <v>95.55</v>
      </c>
      <c r="G13" s="72">
        <f>IF(D13=D12,"",_xlfn.IFNA(VLOOKUP(D13,'인원 입력 기능 (사과탐)'!$A$236:$D$284,4,FALSE),0))</f>
        <v>14</v>
      </c>
      <c r="H13" s="73">
        <f t="shared" si="4"/>
        <v>2.8706171826942792E-3</v>
      </c>
      <c r="I13" s="77">
        <f>SUM($G$7:G13)</f>
        <v>224</v>
      </c>
      <c r="J13" s="75">
        <f t="shared" si="5"/>
        <v>4.5929874923108467E-2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입력기능'!C145</f>
        <v>41</v>
      </c>
    </row>
    <row r="14" spans="1:17" ht="25" customHeight="1">
      <c r="A14" s="4"/>
      <c r="B14" s="19"/>
      <c r="C14" s="76">
        <v>43</v>
      </c>
      <c r="D14" s="70">
        <f t="shared" si="2"/>
        <v>74</v>
      </c>
      <c r="E14" s="70">
        <f t="shared" si="0"/>
        <v>2</v>
      </c>
      <c r="F14" s="71">
        <f t="shared" si="3"/>
        <v>95.13</v>
      </c>
      <c r="G14" s="72">
        <f>IF(D14=D13,"",_xlfn.IFNA(VLOOKUP(D14,'인원 입력 기능 (사과탐)'!$A$236:$D$284,4,FALSE),0))</f>
        <v>27</v>
      </c>
      <c r="H14" s="73">
        <f t="shared" si="4"/>
        <v>5.5361902809103955E-3</v>
      </c>
      <c r="I14" s="77">
        <f>SUM($G$7:G14)</f>
        <v>251</v>
      </c>
      <c r="J14" s="75">
        <f t="shared" si="5"/>
        <v>5.1466065204018863E-2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입력기능'!C146</f>
        <v>39</v>
      </c>
    </row>
    <row r="15" spans="1:17" ht="25" customHeight="1">
      <c r="A15" s="4"/>
      <c r="B15" s="19"/>
      <c r="C15" s="69">
        <v>42</v>
      </c>
      <c r="D15" s="70">
        <f t="shared" si="2"/>
        <v>73</v>
      </c>
      <c r="E15" s="70">
        <f t="shared" si="0"/>
        <v>2</v>
      </c>
      <c r="F15" s="71">
        <f t="shared" si="3"/>
        <v>94.6</v>
      </c>
      <c r="G15" s="72">
        <f>IF(D15=D14,"",_xlfn.IFNA(VLOOKUP(D15,'인원 입력 기능 (사과탐)'!$A$236:$D$284,4,FALSE),0))</f>
        <v>25</v>
      </c>
      <c r="H15" s="73">
        <f t="shared" si="4"/>
        <v>5.1261021119540697E-3</v>
      </c>
      <c r="I15" s="77">
        <f>SUM($G$7:G15)</f>
        <v>276</v>
      </c>
      <c r="J15" s="75">
        <f t="shared" si="5"/>
        <v>5.6592167315972934E-2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72</v>
      </c>
      <c r="E16" s="70">
        <f t="shared" si="0"/>
        <v>2</v>
      </c>
      <c r="F16" s="71">
        <f t="shared" si="3"/>
        <v>94.07</v>
      </c>
      <c r="G16" s="72">
        <f>IF(D16=D15,"",_xlfn.IFNA(VLOOKUP(D16,'인원 입력 기능 (사과탐)'!$A$236:$D$284,4,FALSE),0))</f>
        <v>26</v>
      </c>
      <c r="H16" s="73">
        <f t="shared" si="4"/>
        <v>5.3311461964322326E-3</v>
      </c>
      <c r="I16" s="77">
        <f>SUM($G$7:G16)</f>
        <v>302</v>
      </c>
      <c r="J16" s="75">
        <f t="shared" si="5"/>
        <v>6.1923313512405168E-2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71</v>
      </c>
      <c r="E17" s="70">
        <f t="shared" si="0"/>
        <v>2</v>
      </c>
      <c r="F17" s="71">
        <f t="shared" si="3"/>
        <v>93.43</v>
      </c>
      <c r="G17" s="72">
        <f>IF(D17=D16,"",_xlfn.IFNA(VLOOKUP(D17,'인원 입력 기능 (사과탐)'!$A$236:$D$284,4,FALSE),0))</f>
        <v>37</v>
      </c>
      <c r="H17" s="73">
        <f t="shared" si="4"/>
        <v>7.5866311256920236E-3</v>
      </c>
      <c r="I17" s="77">
        <f>SUM($G$7:G17)</f>
        <v>339</v>
      </c>
      <c r="J17" s="75">
        <f t="shared" si="5"/>
        <v>6.950994463809719E-2</v>
      </c>
      <c r="K17" s="28"/>
      <c r="L17" s="5" t="str">
        <f t="shared" si="1"/>
        <v/>
      </c>
      <c r="N17" s="1"/>
      <c r="P17" s="1">
        <f>Q7*H3*H4*J3*IFERROR(IF(J57=1, 1, 0), 0)</f>
        <v>68852315.520000011</v>
      </c>
    </row>
    <row r="18" spans="1:16" ht="25" customHeight="1">
      <c r="A18" s="4"/>
      <c r="B18" s="19"/>
      <c r="C18" s="76">
        <v>39</v>
      </c>
      <c r="D18" s="70">
        <f t="shared" si="2"/>
        <v>70</v>
      </c>
      <c r="E18" s="70">
        <f t="shared" si="0"/>
        <v>2</v>
      </c>
      <c r="F18" s="71">
        <f t="shared" si="3"/>
        <v>92.77</v>
      </c>
      <c r="G18" s="72">
        <f>IF(D18=D17,"",_xlfn.IFNA(VLOOKUP(D18,'인원 입력 기능 (사과탐)'!$A$236:$D$284,4,FALSE),0))</f>
        <v>27</v>
      </c>
      <c r="H18" s="73">
        <f t="shared" si="4"/>
        <v>5.5361902809103955E-3</v>
      </c>
      <c r="I18" s="77">
        <f>SUM($G$7:G18)</f>
        <v>366</v>
      </c>
      <c r="J18" s="75">
        <f t="shared" si="5"/>
        <v>7.5046134919007593E-2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69</v>
      </c>
      <c r="E19" s="70">
        <f t="shared" si="0"/>
        <v>2</v>
      </c>
      <c r="F19" s="71">
        <f t="shared" si="3"/>
        <v>92.19</v>
      </c>
      <c r="G19" s="72">
        <f>IF(D19=D18,"",_xlfn.IFNA(VLOOKUP(D19,'인원 입력 기능 (사과탐)'!$A$236:$D$284,4,FALSE),0))</f>
        <v>30</v>
      </c>
      <c r="H19" s="73">
        <f t="shared" si="4"/>
        <v>6.1513225343448842E-3</v>
      </c>
      <c r="I19" s="77">
        <f>SUM($G$7:G19)</f>
        <v>396</v>
      </c>
      <c r="J19" s="75">
        <f t="shared" si="5"/>
        <v>8.1197457453352467E-2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68</v>
      </c>
      <c r="E20" s="70">
        <f t="shared" si="0"/>
        <v>2</v>
      </c>
      <c r="F20" s="71">
        <f t="shared" si="3"/>
        <v>91.52</v>
      </c>
      <c r="G20" s="72">
        <f>IF(D20=D19,"",_xlfn.IFNA(VLOOKUP(D20,'인원 입력 기능 (사과탐)'!$A$236:$D$284,4,FALSE),0))</f>
        <v>35</v>
      </c>
      <c r="H20" s="73">
        <f t="shared" si="4"/>
        <v>7.1765429567356978E-3</v>
      </c>
      <c r="I20" s="77">
        <f>SUM($G$7:G20)</f>
        <v>431</v>
      </c>
      <c r="J20" s="75">
        <f t="shared" si="5"/>
        <v>8.8374000410088166E-2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79">
        <f t="shared" si="2"/>
        <v>67</v>
      </c>
      <c r="E21" s="79">
        <f t="shared" si="0"/>
        <v>2</v>
      </c>
      <c r="F21" s="71">
        <f t="shared" si="3"/>
        <v>90.99</v>
      </c>
      <c r="G21" s="72">
        <f>IF(D21=D20,"",_xlfn.IFNA(VLOOKUP(D21,'인원 입력 기능 (사과탐)'!$A$236:$D$284,4,FALSE),0))</f>
        <v>17</v>
      </c>
      <c r="H21" s="73">
        <f t="shared" si="4"/>
        <v>3.4857494361287679E-3</v>
      </c>
      <c r="I21" s="77">
        <f>SUM($G$7:G21)</f>
        <v>448</v>
      </c>
      <c r="J21" s="75">
        <f t="shared" si="5"/>
        <v>9.1859749846216934E-2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144">
        <f t="shared" si="2"/>
        <v>66</v>
      </c>
      <c r="E22" s="144">
        <f t="shared" si="0"/>
        <v>2</v>
      </c>
      <c r="F22" s="134">
        <f t="shared" si="3"/>
        <v>90.02</v>
      </c>
      <c r="G22" s="136">
        <f>IF(D22=D21,"",_xlfn.IFNA(VLOOKUP(D22,'인원 입력 기능 (사과탐)'!$A$236:$D$284,4,FALSE),0))</f>
        <v>77</v>
      </c>
      <c r="H22" s="137">
        <f t="shared" si="4"/>
        <v>1.5788394504818535E-2</v>
      </c>
      <c r="I22" s="139">
        <f>SUM($G$7:G22)</f>
        <v>525</v>
      </c>
      <c r="J22" s="141">
        <f t="shared" si="5"/>
        <v>0.10764814435103547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143"/>
      <c r="E23" s="143"/>
      <c r="F23" s="133"/>
      <c r="G23" s="135"/>
      <c r="H23" s="138"/>
      <c r="I23" s="140"/>
      <c r="J23" s="142"/>
      <c r="K23" s="28"/>
      <c r="L23" s="5" t="str">
        <f t="shared" si="1"/>
        <v>경고</v>
      </c>
      <c r="N23" s="1"/>
    </row>
    <row r="24" spans="1:16" ht="25" customHeight="1">
      <c r="A24" s="4"/>
      <c r="B24" s="19"/>
      <c r="C24" s="80">
        <v>33</v>
      </c>
      <c r="D24" s="79">
        <f t="shared" si="2"/>
        <v>65</v>
      </c>
      <c r="E24" s="79">
        <f t="shared" si="0"/>
        <v>2</v>
      </c>
      <c r="F24" s="71">
        <f t="shared" si="3"/>
        <v>89</v>
      </c>
      <c r="G24" s="72">
        <f>IF(D24=D23,"",_xlfn.IFNA(VLOOKUP(D24,'인원 입력 기능 (사과탐)'!$A$236:$D$284,4,FALSE),0))</f>
        <v>23</v>
      </c>
      <c r="H24" s="73">
        <f t="shared" si="4"/>
        <v>4.7160139429977448E-3</v>
      </c>
      <c r="I24" s="77">
        <f>SUM($G$7:G24)</f>
        <v>548</v>
      </c>
      <c r="J24" s="75">
        <f t="shared" si="5"/>
        <v>0.11236415829403322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64</v>
      </c>
      <c r="E25" s="79">
        <f t="shared" si="0"/>
        <v>3</v>
      </c>
      <c r="F25" s="71">
        <f t="shared" si="3"/>
        <v>88.28</v>
      </c>
      <c r="G25" s="72">
        <f>IF(D25=D24,"",_xlfn.IFNA(VLOOKUP(D25,'인원 입력 기능 (사과탐)'!$A$236:$D$284,4,FALSE),0))</f>
        <v>47</v>
      </c>
      <c r="H25" s="73">
        <f t="shared" si="4"/>
        <v>9.6370719704736516E-3</v>
      </c>
      <c r="I25" s="77">
        <f>SUM($G$7:G25)</f>
        <v>595</v>
      </c>
      <c r="J25" s="75">
        <f t="shared" si="5"/>
        <v>0.12200123026450686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63</v>
      </c>
      <c r="E26" s="79">
        <f t="shared" si="0"/>
        <v>3</v>
      </c>
      <c r="F26" s="71">
        <f t="shared" si="3"/>
        <v>87.5</v>
      </c>
      <c r="G26" s="72">
        <f>IF(D26=D25,"",_xlfn.IFNA(VLOOKUP(D26,'인원 입력 기능 (사과탐)'!$A$236:$D$284,4,FALSE),0))</f>
        <v>29</v>
      </c>
      <c r="H26" s="73">
        <f t="shared" si="4"/>
        <v>5.9462784498667213E-3</v>
      </c>
      <c r="I26" s="77">
        <f>SUM($G$7:G26)</f>
        <v>624</v>
      </c>
      <c r="J26" s="75">
        <f t="shared" si="5"/>
        <v>0.1279475087143736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62</v>
      </c>
      <c r="E27" s="79">
        <f t="shared" si="0"/>
        <v>3</v>
      </c>
      <c r="F27" s="71">
        <f t="shared" si="3"/>
        <v>86.86</v>
      </c>
      <c r="G27" s="72">
        <f>IF(D27=D26,"",_xlfn.IFNA(VLOOKUP(D27,'인원 입력 기능 (사과탐)'!$A$236:$D$284,4,FALSE),0))</f>
        <v>34</v>
      </c>
      <c r="H27" s="73">
        <f t="shared" si="4"/>
        <v>6.9714988722575357E-3</v>
      </c>
      <c r="I27" s="77">
        <f>SUM($G$7:G27)</f>
        <v>658</v>
      </c>
      <c r="J27" s="75">
        <f t="shared" si="5"/>
        <v>0.13491900758663111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61</v>
      </c>
      <c r="E28" s="79">
        <f t="shared" si="0"/>
        <v>3</v>
      </c>
      <c r="F28" s="71">
        <f t="shared" si="3"/>
        <v>86.07</v>
      </c>
      <c r="G28" s="72">
        <f>IF(D28=D27,"",_xlfn.IFNA(VLOOKUP(D28,'인원 입력 기능 (사과탐)'!$A$236:$D$284,4,FALSE),0))</f>
        <v>43</v>
      </c>
      <c r="H28" s="73">
        <f t="shared" si="4"/>
        <v>8.816895632561E-3</v>
      </c>
      <c r="I28" s="77">
        <f>SUM($G$7:G28)</f>
        <v>701</v>
      </c>
      <c r="J28" s="75">
        <f t="shared" si="5"/>
        <v>0.14373590321919213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60</v>
      </c>
      <c r="E29" s="79">
        <f t="shared" si="0"/>
        <v>3</v>
      </c>
      <c r="F29" s="71">
        <f t="shared" si="3"/>
        <v>85.23</v>
      </c>
      <c r="G29" s="72">
        <f>IF(D29=D28,"",_xlfn.IFNA(VLOOKUP(D29,'인원 입력 기능 (사과탐)'!$A$236:$D$284,4,FALSE),0))</f>
        <v>39</v>
      </c>
      <c r="H29" s="73">
        <f t="shared" si="4"/>
        <v>7.9967192946483502E-3</v>
      </c>
      <c r="I29" s="77">
        <f>SUM($G$7:G29)</f>
        <v>740</v>
      </c>
      <c r="J29" s="75">
        <f t="shared" si="5"/>
        <v>0.15173262251384048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59</v>
      </c>
      <c r="E30" s="79">
        <f t="shared" si="0"/>
        <v>3</v>
      </c>
      <c r="F30" s="71">
        <f t="shared" si="3"/>
        <v>84.4</v>
      </c>
      <c r="G30" s="72">
        <f>IF(D30=D29,"",_xlfn.IFNA(VLOOKUP(D30,'인원 입력 기능 (사과탐)'!$A$236:$D$284,4,FALSE),0))</f>
        <v>42</v>
      </c>
      <c r="H30" s="73">
        <f t="shared" si="4"/>
        <v>8.611851548082838E-3</v>
      </c>
      <c r="I30" s="77">
        <f>SUM($G$7:G30)</f>
        <v>782</v>
      </c>
      <c r="J30" s="75">
        <f t="shared" si="5"/>
        <v>0.16034447406192331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58</v>
      </c>
      <c r="E31" s="79">
        <f t="shared" si="0"/>
        <v>3</v>
      </c>
      <c r="F31" s="71">
        <f t="shared" si="3"/>
        <v>83.5</v>
      </c>
      <c r="G31" s="72">
        <f>IF(D31=D30,"",_xlfn.IFNA(VLOOKUP(D31,'인원 입력 기능 (사과탐)'!$A$236:$D$284,4,FALSE),0))</f>
        <v>45</v>
      </c>
      <c r="H31" s="73">
        <f t="shared" si="4"/>
        <v>9.2269838015173258E-3</v>
      </c>
      <c r="I31" s="77">
        <f>SUM($G$7:G31)</f>
        <v>827</v>
      </c>
      <c r="J31" s="75">
        <f t="shared" si="5"/>
        <v>0.16957145786344063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57</v>
      </c>
      <c r="E32" s="79">
        <f t="shared" si="0"/>
        <v>3</v>
      </c>
      <c r="F32" s="71">
        <f t="shared" si="3"/>
        <v>82.37</v>
      </c>
      <c r="G32" s="72">
        <f>IF(D32=D31,"",_xlfn.IFNA(VLOOKUP(D32,'인원 입력 기능 (사과탐)'!$A$236:$D$284,4,FALSE),0))</f>
        <v>66</v>
      </c>
      <c r="H32" s="73">
        <f t="shared" si="4"/>
        <v>1.3532909575558746E-2</v>
      </c>
      <c r="I32" s="77">
        <f>SUM($G$7:G32)</f>
        <v>893</v>
      </c>
      <c r="J32" s="75">
        <f t="shared" si="5"/>
        <v>0.18310436743899938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56</v>
      </c>
      <c r="E33" s="79">
        <f t="shared" si="0"/>
        <v>3</v>
      </c>
      <c r="F33" s="71">
        <f t="shared" si="3"/>
        <v>80.94</v>
      </c>
      <c r="G33" s="72">
        <f>IF(D33=D32,"",_xlfn.IFNA(VLOOKUP(D33,'인원 입력 기능 (사과탐)'!$A$236:$D$284,4,FALSE),0))</f>
        <v>73</v>
      </c>
      <c r="H33" s="73">
        <f t="shared" si="4"/>
        <v>1.4968218166905885E-2</v>
      </c>
      <c r="I33" s="77">
        <f>SUM($G$7:G33)</f>
        <v>966</v>
      </c>
      <c r="J33" s="75">
        <f t="shared" si="5"/>
        <v>0.19807258560590527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55</v>
      </c>
      <c r="E34" s="79">
        <f t="shared" si="0"/>
        <v>3</v>
      </c>
      <c r="F34" s="71">
        <f t="shared" si="3"/>
        <v>79.34</v>
      </c>
      <c r="G34" s="72">
        <f>IF(D34=D33,"",_xlfn.IFNA(VLOOKUP(D34,'인원 입력 기능 (사과탐)'!$A$236:$D$284,4,FALSE),0))</f>
        <v>83</v>
      </c>
      <c r="H34" s="73">
        <f t="shared" si="4"/>
        <v>1.7018659011687514E-2</v>
      </c>
      <c r="I34" s="77">
        <f>SUM($G$7:G34)</f>
        <v>1049</v>
      </c>
      <c r="J34" s="75">
        <f t="shared" si="5"/>
        <v>0.21509124461759277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144">
        <f t="shared" si="2"/>
        <v>54</v>
      </c>
      <c r="E35" s="144">
        <f t="shared" si="0"/>
        <v>3</v>
      </c>
      <c r="F35" s="134">
        <f t="shared" si="3"/>
        <v>76.150000000000006</v>
      </c>
      <c r="G35" s="136">
        <f>IF(D35=D34,"",_xlfn.IFNA(VLOOKUP(D35,'인원 입력 기능 (사과탐)'!$A$236:$D$284,4,FALSE),0))</f>
        <v>228</v>
      </c>
      <c r="H35" s="137">
        <f t="shared" si="4"/>
        <v>4.6750051261021122E-2</v>
      </c>
      <c r="I35" s="139">
        <f>SUM($G$7:G35)</f>
        <v>1277</v>
      </c>
      <c r="J35" s="141">
        <f t="shared" si="5"/>
        <v>0.26184129587861388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3"/>
      <c r="E36" s="143"/>
      <c r="F36" s="133"/>
      <c r="G36" s="135"/>
      <c r="H36" s="138"/>
      <c r="I36" s="140"/>
      <c r="J36" s="142"/>
      <c r="K36" s="28"/>
      <c r="L36" s="5" t="str">
        <f t="shared" si="1"/>
        <v>경고</v>
      </c>
      <c r="N36" s="1"/>
    </row>
    <row r="37" spans="1:14" ht="25" customHeight="1">
      <c r="A37" s="4"/>
      <c r="B37" s="19"/>
      <c r="C37" s="78">
        <v>20</v>
      </c>
      <c r="D37" s="79">
        <f t="shared" si="2"/>
        <v>53</v>
      </c>
      <c r="E37" s="79">
        <f t="shared" si="0"/>
        <v>4</v>
      </c>
      <c r="F37" s="71">
        <f t="shared" si="3"/>
        <v>72.55</v>
      </c>
      <c r="G37" s="72">
        <f>IF(D37=D36,"",_xlfn.IFNA(VLOOKUP(D37,'인원 입력 기능 (사과탐)'!$A$236:$D$284,4,FALSE),0))</f>
        <v>123</v>
      </c>
      <c r="H37" s="73">
        <f t="shared" si="4"/>
        <v>2.5220422390814026E-2</v>
      </c>
      <c r="I37" s="77">
        <f>SUM($G$7:G37)</f>
        <v>1400</v>
      </c>
      <c r="J37" s="75">
        <f t="shared" si="5"/>
        <v>0.28706171826942795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52</v>
      </c>
      <c r="E38" s="79">
        <f t="shared" si="0"/>
        <v>4</v>
      </c>
      <c r="F38" s="71">
        <f t="shared" si="3"/>
        <v>69.650000000000006</v>
      </c>
      <c r="G38" s="72">
        <f>IF(D38=D37,"",_xlfn.IFNA(VLOOKUP(D38,'인원 입력 기능 (사과탐)'!$A$236:$D$284,4,FALSE),0))</f>
        <v>160</v>
      </c>
      <c r="H38" s="73">
        <f t="shared" si="4"/>
        <v>3.2807053516506049E-2</v>
      </c>
      <c r="I38" s="77">
        <f>SUM($G$7:G38)</f>
        <v>1560</v>
      </c>
      <c r="J38" s="75">
        <f t="shared" si="5"/>
        <v>0.31986877178593398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51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66.48</v>
      </c>
      <c r="G39" s="72">
        <f>IF(D39=D38,"",_xlfn.IFNA(VLOOKUP(D39,'인원 입력 기능 (사과탐)'!$A$236:$D$284,4,FALSE),0))</f>
        <v>150</v>
      </c>
      <c r="H39" s="73">
        <f t="shared" si="4"/>
        <v>3.0756612671724422E-2</v>
      </c>
      <c r="I39" s="77">
        <f>SUM($G$7:G39)</f>
        <v>1710</v>
      </c>
      <c r="J39" s="75">
        <f t="shared" si="5"/>
        <v>0.3506253844576584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50</v>
      </c>
      <c r="E40" s="79">
        <f t="shared" si="6"/>
        <v>4</v>
      </c>
      <c r="F40" s="71">
        <f t="shared" si="3"/>
        <v>62.83</v>
      </c>
      <c r="G40" s="72">
        <f>IF(D40=D39,"",_xlfn.IFNA(VLOOKUP(D40,'인원 입력 기능 (사과탐)'!$A$236:$D$284,4,FALSE),0))</f>
        <v>206</v>
      </c>
      <c r="H40" s="73">
        <f t="shared" si="4"/>
        <v>4.2239081402501537E-2</v>
      </c>
      <c r="I40" s="77">
        <f>SUM($G$7:G40)</f>
        <v>1916</v>
      </c>
      <c r="J40" s="75">
        <f t="shared" si="5"/>
        <v>0.39286446586015994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49</v>
      </c>
      <c r="E41" s="79">
        <f t="shared" si="6"/>
        <v>4</v>
      </c>
      <c r="F41" s="71">
        <f t="shared" si="3"/>
        <v>58.68</v>
      </c>
      <c r="G41" s="72">
        <f>IF(D41=D40,"",_xlfn.IFNA(VLOOKUP(D41,'인원 입력 기능 (사과탐)'!$A$236:$D$284,4,FALSE),0))</f>
        <v>198</v>
      </c>
      <c r="H41" s="73">
        <f t="shared" si="4"/>
        <v>4.0598728726676234E-2</v>
      </c>
      <c r="I41" s="77">
        <f>SUM($G$7:G41)</f>
        <v>2114</v>
      </c>
      <c r="J41" s="75">
        <f t="shared" si="5"/>
        <v>0.43346319458683619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48</v>
      </c>
      <c r="E42" s="79">
        <f t="shared" si="6"/>
        <v>5</v>
      </c>
      <c r="F42" s="71">
        <f t="shared" si="3"/>
        <v>54.62</v>
      </c>
      <c r="G42" s="72">
        <f>IF(D42=D41,"",_xlfn.IFNA(VLOOKUP(D42,'인원 입력 기능 (사과탐)'!$A$236:$D$284,4,FALSE),0))</f>
        <v>198</v>
      </c>
      <c r="H42" s="73">
        <f t="shared" si="4"/>
        <v>4.0598728726676234E-2</v>
      </c>
      <c r="I42" s="77">
        <f>SUM($G$7:G42)</f>
        <v>2312</v>
      </c>
      <c r="J42" s="75">
        <f t="shared" si="5"/>
        <v>0.47406192331351238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47</v>
      </c>
      <c r="E43" s="79">
        <f t="shared" si="6"/>
        <v>5</v>
      </c>
      <c r="F43" s="71">
        <f t="shared" si="3"/>
        <v>50.12</v>
      </c>
      <c r="G43" s="72">
        <f>IF(D43=D42,"",_xlfn.IFNA(VLOOKUP(D43,'인원 입력 기능 (사과탐)'!$A$236:$D$284,4,FALSE),0))</f>
        <v>241</v>
      </c>
      <c r="H43" s="73">
        <f t="shared" si="4"/>
        <v>4.9415624359237235E-2</v>
      </c>
      <c r="I43" s="77">
        <f>SUM($G$7:G43)</f>
        <v>2553</v>
      </c>
      <c r="J43" s="75">
        <f t="shared" si="5"/>
        <v>0.52347754767274968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46</v>
      </c>
      <c r="E44" s="79">
        <f t="shared" si="6"/>
        <v>5</v>
      </c>
      <c r="F44" s="71">
        <f t="shared" si="3"/>
        <v>45.62</v>
      </c>
      <c r="G44" s="72">
        <f>IF(D44=D43,"",_xlfn.IFNA(VLOOKUP(D44,'인원 입력 기능 (사과탐)'!$A$236:$D$284,4,FALSE),0))</f>
        <v>198</v>
      </c>
      <c r="H44" s="73">
        <f t="shared" si="4"/>
        <v>4.0598728726676234E-2</v>
      </c>
      <c r="I44" s="77">
        <f>SUM($G$7:G44)</f>
        <v>2751</v>
      </c>
      <c r="J44" s="75">
        <f t="shared" si="5"/>
        <v>0.56407627639942592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45</v>
      </c>
      <c r="E45" s="79">
        <f t="shared" si="6"/>
        <v>5</v>
      </c>
      <c r="F45" s="71">
        <f t="shared" si="3"/>
        <v>40.479999999999997</v>
      </c>
      <c r="G45" s="72">
        <f>IF(D45=D44,"",_xlfn.IFNA(VLOOKUP(D45,'인원 입력 기능 (사과탐)'!$A$236:$D$284,4,FALSE),0))</f>
        <v>304</v>
      </c>
      <c r="H45" s="73">
        <f t="shared" si="4"/>
        <v>6.2333401681361492E-2</v>
      </c>
      <c r="I45" s="77">
        <f>SUM($G$7:G45)</f>
        <v>3055</v>
      </c>
      <c r="J45" s="75">
        <f t="shared" si="5"/>
        <v>0.6264096780807874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44</v>
      </c>
      <c r="E46" s="79">
        <f t="shared" si="6"/>
        <v>6</v>
      </c>
      <c r="F46" s="71">
        <f t="shared" si="3"/>
        <v>34.799999999999997</v>
      </c>
      <c r="G46" s="72">
        <f>IF(D46=D45,"",_xlfn.IFNA(VLOOKUP(D46,'인원 입력 기능 (사과탐)'!$A$236:$D$284,4,FALSE),0))</f>
        <v>250</v>
      </c>
      <c r="H46" s="73">
        <f t="shared" si="4"/>
        <v>5.1261021119540701E-2</v>
      </c>
      <c r="I46" s="77">
        <f>SUM($G$7:G46)</f>
        <v>3305</v>
      </c>
      <c r="J46" s="75">
        <f t="shared" si="5"/>
        <v>0.67767069920032807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43</v>
      </c>
      <c r="E47" s="79">
        <f t="shared" si="6"/>
        <v>6</v>
      </c>
      <c r="F47" s="71">
        <f t="shared" si="3"/>
        <v>29.1</v>
      </c>
      <c r="G47" s="72">
        <f>IF(D47=D46,"",_xlfn.IFNA(VLOOKUP(D47,'인원 입력 기능 (사과탐)'!$A$236:$D$284,4,FALSE),0))</f>
        <v>306</v>
      </c>
      <c r="H47" s="73">
        <f t="shared" si="4"/>
        <v>6.2743489850317816E-2</v>
      </c>
      <c r="I47" s="77">
        <f>SUM($G$7:G47)</f>
        <v>3611</v>
      </c>
      <c r="J47" s="75">
        <f t="shared" si="5"/>
        <v>0.74041418905064593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42</v>
      </c>
      <c r="E48" s="79">
        <f t="shared" si="6"/>
        <v>6</v>
      </c>
      <c r="F48" s="71">
        <f t="shared" si="3"/>
        <v>19.52</v>
      </c>
      <c r="G48" s="72">
        <f>IF(D48=D47,"",_xlfn.IFNA(VLOOKUP(D48,'인원 입력 기능 (사과탐)'!$A$236:$D$284,4,FALSE),0))</f>
        <v>628</v>
      </c>
      <c r="H48" s="73">
        <f t="shared" si="4"/>
        <v>0.12876768505228625</v>
      </c>
      <c r="I48" s="77">
        <f>SUM($G$7:G48)</f>
        <v>4239</v>
      </c>
      <c r="J48" s="75">
        <f t="shared" si="5"/>
        <v>0.86918187410293213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144">
        <f t="shared" si="2"/>
        <v>41</v>
      </c>
      <c r="E49" s="144">
        <f t="shared" si="6"/>
        <v>7</v>
      </c>
      <c r="F49" s="134">
        <f t="shared" si="3"/>
        <v>9.76</v>
      </c>
      <c r="G49" s="136">
        <f>IF(D49=D48,"",_xlfn.IFNA(VLOOKUP(D49,'인원 입력 기능 (사과탐)'!$A$236:$D$284,4,FALSE),0))</f>
        <v>324</v>
      </c>
      <c r="H49" s="137">
        <f t="shared" si="4"/>
        <v>6.6434283370924746E-2</v>
      </c>
      <c r="I49" s="139">
        <f>SUM($G$7:G49)</f>
        <v>4563</v>
      </c>
      <c r="J49" s="141">
        <f t="shared" si="5"/>
        <v>0.93561615747385685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143"/>
      <c r="E50" s="143"/>
      <c r="F50" s="133"/>
      <c r="G50" s="135"/>
      <c r="H50" s="138"/>
      <c r="I50" s="140"/>
      <c r="J50" s="142"/>
      <c r="K50" s="28"/>
      <c r="L50" s="5" t="str">
        <f t="shared" si="1"/>
        <v>경고</v>
      </c>
      <c r="N50" s="1"/>
    </row>
    <row r="51" spans="1:14" ht="25" customHeight="1">
      <c r="A51" s="4"/>
      <c r="B51" s="19"/>
      <c r="C51" s="78">
        <v>6</v>
      </c>
      <c r="D51" s="79">
        <f t="shared" si="2"/>
        <v>40</v>
      </c>
      <c r="E51" s="79">
        <f t="shared" si="6"/>
        <v>8</v>
      </c>
      <c r="F51" s="71">
        <f t="shared" si="3"/>
        <v>5.44</v>
      </c>
      <c r="G51" s="72">
        <f>IF(D51=D50,"",_xlfn.IFNA(VLOOKUP(D51,'인원 입력 기능 (사과탐)'!$A$236:$D$284,4,FALSE),0))</f>
        <v>97</v>
      </c>
      <c r="H51" s="73">
        <f t="shared" si="4"/>
        <v>1.9889276194381793E-2</v>
      </c>
      <c r="I51" s="77">
        <f>SUM($G$7:G51)</f>
        <v>4660</v>
      </c>
      <c r="J51" s="75">
        <f t="shared" si="5"/>
        <v>0.9555054336682387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39</v>
      </c>
      <c r="E52" s="79">
        <f t="shared" si="6"/>
        <v>8</v>
      </c>
      <c r="F52" s="71">
        <f t="shared" si="3"/>
        <v>3.56</v>
      </c>
      <c r="G52" s="72">
        <f>IF(D52=D51,"",_xlfn.IFNA(VLOOKUP(D52,'인원 입력 기능 (사과탐)'!$A$236:$D$284,4,FALSE),0))</f>
        <v>87</v>
      </c>
      <c r="H52" s="73">
        <f t="shared" si="4"/>
        <v>1.7838835349600166E-2</v>
      </c>
      <c r="I52" s="77">
        <f>SUM($G$7:G52)</f>
        <v>4747</v>
      </c>
      <c r="J52" s="75">
        <f t="shared" si="5"/>
        <v>0.97334426901783888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38</v>
      </c>
      <c r="E53" s="70">
        <f t="shared" si="6"/>
        <v>9</v>
      </c>
      <c r="F53" s="71">
        <f t="shared" si="3"/>
        <v>2.35</v>
      </c>
      <c r="G53" s="72">
        <f>IF(D53=D52,"",_xlfn.IFNA(VLOOKUP(D53,'인원 입력 기능 (사과탐)'!$A$236:$D$284,4,FALSE),0))</f>
        <v>31</v>
      </c>
      <c r="H53" s="73">
        <f t="shared" si="4"/>
        <v>6.3563666188230471E-3</v>
      </c>
      <c r="I53" s="77">
        <f>SUM($G$7:G53)</f>
        <v>4778</v>
      </c>
      <c r="J53" s="75">
        <f t="shared" si="5"/>
        <v>0.97970063563666188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37</v>
      </c>
      <c r="E54" s="70">
        <f t="shared" si="6"/>
        <v>9</v>
      </c>
      <c r="F54" s="71">
        <f t="shared" si="3"/>
        <v>1.53</v>
      </c>
      <c r="G54" s="72">
        <f>IF(D54=D53,"",_xlfn.IFNA(VLOOKUP(D54,'인원 입력 기능 (사과탐)'!$A$236:$D$284,4,FALSE),0))</f>
        <v>49</v>
      </c>
      <c r="H54" s="73">
        <f t="shared" si="4"/>
        <v>1.0047160139429977E-2</v>
      </c>
      <c r="I54" s="77">
        <f>SUM($G$7:G54)</f>
        <v>4827</v>
      </c>
      <c r="J54" s="75">
        <f t="shared" si="5"/>
        <v>0.98974779577609184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36</v>
      </c>
      <c r="E55" s="70">
        <f t="shared" si="6"/>
        <v>9</v>
      </c>
      <c r="F55" s="71">
        <f t="shared" si="3"/>
        <v>0.66</v>
      </c>
      <c r="G55" s="72">
        <f>IF(D55=D54,"",_xlfn.IFNA(VLOOKUP(D55,'인원 입력 기능 (사과탐)'!$A$236:$D$284,4,FALSE),0))</f>
        <v>36</v>
      </c>
      <c r="H55" s="73">
        <f t="shared" si="4"/>
        <v>7.3815870412138607E-3</v>
      </c>
      <c r="I55" s="77">
        <f>SUM($G$7:G55)</f>
        <v>4863</v>
      </c>
      <c r="J55" s="75">
        <f t="shared" si="5"/>
        <v>0.99712938281730568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34</v>
      </c>
      <c r="E57" s="83">
        <f t="shared" si="6"/>
        <v>9</v>
      </c>
      <c r="F57" s="84">
        <f>IF(I55=0,ROUND(100*(1-(I54+I57)/2/$J$3),2),ROUND(100*(1-(I55+I57)/2/$J$3),2))</f>
        <v>0.14000000000000001</v>
      </c>
      <c r="G57" s="85">
        <f>_xlfn.IFNA(VLOOKUP(D57,'인원 입력 기능 (사과탐)'!$A$236:$D$284,4,FALSE),0)</f>
        <v>14</v>
      </c>
      <c r="H57" s="86">
        <f>G57/$J$3</f>
        <v>2.8706171826942792E-3</v>
      </c>
      <c r="I57" s="87">
        <f>SUM($G$7:G57)</f>
        <v>4877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25">
    <mergeCell ref="I35:I36"/>
    <mergeCell ref="J35:J36"/>
    <mergeCell ref="D49:D50"/>
    <mergeCell ref="E49:E50"/>
    <mergeCell ref="F49:F50"/>
    <mergeCell ref="G49:G50"/>
    <mergeCell ref="H49:H50"/>
    <mergeCell ref="I49:I50"/>
    <mergeCell ref="J49:J50"/>
    <mergeCell ref="D3:F3"/>
    <mergeCell ref="D4:F4"/>
    <mergeCell ref="D8:J8"/>
    <mergeCell ref="D56:J56"/>
    <mergeCell ref="D22:D23"/>
    <mergeCell ref="E22:E23"/>
    <mergeCell ref="F22:F23"/>
    <mergeCell ref="G22:G23"/>
    <mergeCell ref="H22:H23"/>
    <mergeCell ref="I22:I23"/>
    <mergeCell ref="J22:J23"/>
    <mergeCell ref="D35:D36"/>
    <mergeCell ref="E35:E36"/>
    <mergeCell ref="F35:F36"/>
    <mergeCell ref="G35:G36"/>
    <mergeCell ref="H35:H36"/>
  </mergeCells>
  <phoneticPr fontId="1" type="noConversion"/>
  <conditionalFormatting sqref="D7:J22 D24:J35 D37:J49 D51:J57">
    <cfRule type="expression" dxfId="11" priority="3">
      <formula>OR($D7=$Q$7:$Q$14)</formula>
    </cfRule>
  </conditionalFormatting>
  <conditionalFormatting sqref="C7:C57">
    <cfRule type="expression" dxfId="10" priority="2">
      <formula>OR(AND($D7=0,OR($D6=$Q$7:$Q$14)),AND($D8&gt;0,OR($D7=$Q$7:$Q$14)))</formula>
    </cfRule>
  </conditionalFormatting>
  <conditionalFormatting sqref="D7:D22 D24:D35 D37:D49 D51:D57">
    <cfRule type="expression" dxfId="9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기능'!D20</f>
        <v>18.22</v>
      </c>
      <c r="I3" s="15" t="s">
        <v>84</v>
      </c>
      <c r="J3" s="35">
        <f>'통계 및 응시자 수 입력 기능'!C20</f>
        <v>4785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90</v>
      </c>
      <c r="E4" s="108"/>
      <c r="F4" s="109"/>
      <c r="G4" s="37" t="s">
        <v>87</v>
      </c>
      <c r="H4" s="38" t="str">
        <f>'통계 및 응시자 수 입력 기능'!E20</f>
        <v>11.41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78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99.36</v>
      </c>
      <c r="G7" s="72">
        <f>_xlfn.IFNA(VLOOKUP(D7,'인원 입력 기능 (사과탐)'!$F$236:$I$284,4,FALSE),0)</f>
        <v>61</v>
      </c>
      <c r="H7" s="73">
        <f>G7/$J$3</f>
        <v>1.2748171368861024E-2</v>
      </c>
      <c r="I7" s="74">
        <f>G7</f>
        <v>61</v>
      </c>
      <c r="J7" s="75">
        <f>I7/$J$3</f>
        <v>1.2748171368861024E-2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입력기능'!C148</f>
        <v>73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입력기능'!C149</f>
        <v>66</v>
      </c>
    </row>
    <row r="9" spans="1:17" ht="25" customHeight="1">
      <c r="A9" s="4"/>
      <c r="B9" s="19"/>
      <c r="C9" s="69">
        <v>48</v>
      </c>
      <c r="D9" s="70">
        <f>ROUND(10*(C9-$H$3)/$H$4+50,0)</f>
        <v>76</v>
      </c>
      <c r="E9" s="70">
        <f t="shared" si="0"/>
        <v>1</v>
      </c>
      <c r="F9" s="71">
        <f>IF(I8=0,ROUND(100*(1-(I7+I9)/2/$J$3),2),ROUND(100*(1-(I8+I9)/2/$J$3),2))</f>
        <v>98.59</v>
      </c>
      <c r="G9" s="72">
        <f>_xlfn.IFNA(VLOOKUP(D9,'인원 입력 기능 (사과탐)'!$F$236:$I$284,4,FALSE),0)</f>
        <v>13</v>
      </c>
      <c r="H9" s="73">
        <f>G9/$J$3</f>
        <v>2.7168234064785788E-3</v>
      </c>
      <c r="I9" s="77">
        <f>SUM($G$7:G9)</f>
        <v>74</v>
      </c>
      <c r="J9" s="75">
        <f>I9/$J$3</f>
        <v>1.5464994775339603E-2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입력기능'!C150</f>
        <v>56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75</v>
      </c>
      <c r="E10" s="70">
        <f t="shared" si="0"/>
        <v>1</v>
      </c>
      <c r="F10" s="71">
        <f t="shared" ref="F10:F55" si="3">IF(I9=0,ROUND(100*(1-(I8+I10)/2/$J$3),2),ROUND(100*(1-(I9+I10)/2/$J$3),2))</f>
        <v>97.49</v>
      </c>
      <c r="G10" s="72">
        <f>IF(D10=D9,"",_xlfn.IFNA(VLOOKUP(D10,'인원 입력 기능 (사과탐)'!$F$236:$I$284,4,FALSE),0))</f>
        <v>92</v>
      </c>
      <c r="H10" s="73">
        <f t="shared" ref="H10:H55" si="4">G10/$J$3</f>
        <v>1.9226750261233019E-2</v>
      </c>
      <c r="I10" s="77">
        <f>SUM($G$7:G10)</f>
        <v>166</v>
      </c>
      <c r="J10" s="75">
        <f t="shared" ref="J10:J55" si="5">I10/$J$3</f>
        <v>3.4691745036572623E-2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입력기능'!C151</f>
        <v>50</v>
      </c>
    </row>
    <row r="11" spans="1:17" ht="25" customHeight="1">
      <c r="A11" s="4"/>
      <c r="B11" s="19"/>
      <c r="C11" s="69">
        <v>46</v>
      </c>
      <c r="D11" s="70">
        <f t="shared" si="2"/>
        <v>74</v>
      </c>
      <c r="E11" s="70">
        <f t="shared" si="0"/>
        <v>1</v>
      </c>
      <c r="F11" s="71">
        <f t="shared" si="3"/>
        <v>96.48</v>
      </c>
      <c r="G11" s="72">
        <f>IF(D11=D10,"",_xlfn.IFNA(VLOOKUP(D11,'인원 입력 기능 (사과탐)'!$F$236:$I$284,4,FALSE),0))</f>
        <v>5</v>
      </c>
      <c r="H11" s="73">
        <f t="shared" si="4"/>
        <v>1.0449320794148381E-3</v>
      </c>
      <c r="I11" s="77">
        <f>SUM($G$7:G11)</f>
        <v>171</v>
      </c>
      <c r="J11" s="75">
        <f t="shared" si="5"/>
        <v>3.5736677115987464E-2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입력기능'!C152</f>
        <v>45</v>
      </c>
    </row>
    <row r="12" spans="1:17" ht="25" customHeight="1">
      <c r="A12" s="4"/>
      <c r="B12" s="19"/>
      <c r="C12" s="76">
        <v>45</v>
      </c>
      <c r="D12" s="132">
        <f t="shared" si="2"/>
        <v>73</v>
      </c>
      <c r="E12" s="132">
        <f t="shared" si="0"/>
        <v>1</v>
      </c>
      <c r="F12" s="134">
        <f t="shared" si="3"/>
        <v>95.54</v>
      </c>
      <c r="G12" s="136">
        <f>IF(D12=D11,"",_xlfn.IFNA(VLOOKUP(D12,'인원 입력 기능 (사과탐)'!$F$236:$I$284,4,FALSE),0))</f>
        <v>85</v>
      </c>
      <c r="H12" s="137">
        <f t="shared" si="4"/>
        <v>1.7763845350052248E-2</v>
      </c>
      <c r="I12" s="139">
        <f>SUM($G$7:G12)</f>
        <v>256</v>
      </c>
      <c r="J12" s="141">
        <f t="shared" si="5"/>
        <v>5.3500522466039709E-2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입력기능'!C153</f>
        <v>42</v>
      </c>
    </row>
    <row r="13" spans="1:17" ht="25" customHeight="1">
      <c r="A13" s="4"/>
      <c r="B13" s="19"/>
      <c r="C13" s="69">
        <v>44</v>
      </c>
      <c r="D13" s="131"/>
      <c r="E13" s="131"/>
      <c r="F13" s="133"/>
      <c r="G13" s="135"/>
      <c r="H13" s="138"/>
      <c r="I13" s="140"/>
      <c r="J13" s="142"/>
      <c r="K13" s="28"/>
      <c r="L13" s="5" t="str">
        <f t="shared" si="1"/>
        <v>경고</v>
      </c>
      <c r="N13" s="1"/>
      <c r="P13" s="1">
        <v>7</v>
      </c>
      <c r="Q13" s="1">
        <f>'표준점수 등급컷 입력기능'!C154</f>
        <v>41</v>
      </c>
    </row>
    <row r="14" spans="1:17" ht="25" customHeight="1">
      <c r="A14" s="4"/>
      <c r="B14" s="19"/>
      <c r="C14" s="76">
        <v>43</v>
      </c>
      <c r="D14" s="70">
        <f t="shared" si="2"/>
        <v>72</v>
      </c>
      <c r="E14" s="70">
        <f t="shared" si="0"/>
        <v>2</v>
      </c>
      <c r="F14" s="71">
        <f t="shared" si="3"/>
        <v>94.56</v>
      </c>
      <c r="G14" s="72">
        <f>IF(D14=D13,"",_xlfn.IFNA(VLOOKUP(D14,'인원 입력 기능 (사과탐)'!$F$236:$I$284,4,FALSE),0))</f>
        <v>9</v>
      </c>
      <c r="H14" s="73">
        <f t="shared" si="4"/>
        <v>1.8808777429467085E-3</v>
      </c>
      <c r="I14" s="77">
        <f>SUM($G$7:G14)</f>
        <v>265</v>
      </c>
      <c r="J14" s="75">
        <f t="shared" si="5"/>
        <v>5.5381400208986416E-2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입력기능'!C155</f>
        <v>38</v>
      </c>
    </row>
    <row r="15" spans="1:17" ht="25" customHeight="1">
      <c r="A15" s="4"/>
      <c r="B15" s="19"/>
      <c r="C15" s="69">
        <v>42</v>
      </c>
      <c r="D15" s="70">
        <f t="shared" si="2"/>
        <v>71</v>
      </c>
      <c r="E15" s="70">
        <f t="shared" si="0"/>
        <v>2</v>
      </c>
      <c r="F15" s="71">
        <f t="shared" si="3"/>
        <v>94.04</v>
      </c>
      <c r="G15" s="72">
        <f>IF(D15=D14,"",_xlfn.IFNA(VLOOKUP(D15,'인원 입력 기능 (사과탐)'!$F$236:$I$284,4,FALSE),0))</f>
        <v>40</v>
      </c>
      <c r="H15" s="73">
        <f t="shared" si="4"/>
        <v>8.3594566353187051E-3</v>
      </c>
      <c r="I15" s="77">
        <f>SUM($G$7:G15)</f>
        <v>305</v>
      </c>
      <c r="J15" s="75">
        <f t="shared" si="5"/>
        <v>6.3740856844305124E-2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70</v>
      </c>
      <c r="E16" s="70">
        <f t="shared" si="0"/>
        <v>2</v>
      </c>
      <c r="F16" s="71">
        <f t="shared" si="3"/>
        <v>93.2</v>
      </c>
      <c r="G16" s="72">
        <f>IF(D16=D15,"",_xlfn.IFNA(VLOOKUP(D16,'인원 입력 기능 (사과탐)'!$F$236:$I$284,4,FALSE),0))</f>
        <v>41</v>
      </c>
      <c r="H16" s="73">
        <f t="shared" si="4"/>
        <v>8.5684430512016716E-3</v>
      </c>
      <c r="I16" s="77">
        <f>SUM($G$7:G16)</f>
        <v>346</v>
      </c>
      <c r="J16" s="75">
        <f t="shared" si="5"/>
        <v>7.2309299895506787E-2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69</v>
      </c>
      <c r="E17" s="70">
        <f t="shared" si="0"/>
        <v>2</v>
      </c>
      <c r="F17" s="71">
        <f t="shared" si="3"/>
        <v>92.63</v>
      </c>
      <c r="G17" s="72">
        <f>IF(D17=D16,"",_xlfn.IFNA(VLOOKUP(D17,'인원 입력 기능 (사과탐)'!$F$236:$I$284,4,FALSE),0))</f>
        <v>13</v>
      </c>
      <c r="H17" s="73">
        <f t="shared" si="4"/>
        <v>2.7168234064785788E-3</v>
      </c>
      <c r="I17" s="77">
        <f>SUM($G$7:G17)</f>
        <v>359</v>
      </c>
      <c r="J17" s="75">
        <f t="shared" si="5"/>
        <v>7.5026123301985367E-2</v>
      </c>
      <c r="K17" s="28"/>
      <c r="L17" s="5" t="str">
        <f t="shared" si="1"/>
        <v/>
      </c>
      <c r="N17" s="1"/>
      <c r="P17" s="1">
        <f>Q7*H3*H4*J3*IFERROR(IF(J57=1, 1, 0), 0)</f>
        <v>72617086.311000004</v>
      </c>
    </row>
    <row r="18" spans="1:16" ht="25" customHeight="1">
      <c r="A18" s="4"/>
      <c r="B18" s="19"/>
      <c r="C18" s="76">
        <v>39</v>
      </c>
      <c r="D18" s="70">
        <f t="shared" si="2"/>
        <v>68</v>
      </c>
      <c r="E18" s="70">
        <f t="shared" si="0"/>
        <v>2</v>
      </c>
      <c r="F18" s="71">
        <f t="shared" si="3"/>
        <v>92</v>
      </c>
      <c r="G18" s="72">
        <f>IF(D18=D17,"",_xlfn.IFNA(VLOOKUP(D18,'인원 입력 기능 (사과탐)'!$F$236:$I$284,4,FALSE),0))</f>
        <v>48</v>
      </c>
      <c r="H18" s="73">
        <f t="shared" si="4"/>
        <v>1.0031347962382446E-2</v>
      </c>
      <c r="I18" s="77">
        <f>SUM($G$7:G18)</f>
        <v>407</v>
      </c>
      <c r="J18" s="75">
        <f t="shared" si="5"/>
        <v>8.5057471264367815E-2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67</v>
      </c>
      <c r="E19" s="70">
        <f t="shared" si="0"/>
        <v>2</v>
      </c>
      <c r="F19" s="71">
        <f t="shared" si="3"/>
        <v>91.06</v>
      </c>
      <c r="G19" s="72">
        <f>IF(D19=D18,"",_xlfn.IFNA(VLOOKUP(D19,'인원 입력 기능 (사과탐)'!$F$236:$I$284,4,FALSE),0))</f>
        <v>42</v>
      </c>
      <c r="H19" s="73">
        <f t="shared" si="4"/>
        <v>8.7774294670846398E-3</v>
      </c>
      <c r="I19" s="77">
        <f>SUM($G$7:G19)</f>
        <v>449</v>
      </c>
      <c r="J19" s="75">
        <f t="shared" si="5"/>
        <v>9.3834900731452453E-2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132">
        <f t="shared" si="2"/>
        <v>66</v>
      </c>
      <c r="E20" s="132">
        <f t="shared" si="0"/>
        <v>2</v>
      </c>
      <c r="F20" s="134">
        <f t="shared" si="3"/>
        <v>89.78</v>
      </c>
      <c r="G20" s="136">
        <f>IF(D20=D19,"",_xlfn.IFNA(VLOOKUP(D20,'인원 입력 기능 (사과탐)'!$F$236:$I$284,4,FALSE),0))</f>
        <v>80</v>
      </c>
      <c r="H20" s="137">
        <f t="shared" si="4"/>
        <v>1.671891327063741E-2</v>
      </c>
      <c r="I20" s="139">
        <f>SUM($G$7:G20)</f>
        <v>529</v>
      </c>
      <c r="J20" s="141">
        <f t="shared" si="5"/>
        <v>0.11055381400208987</v>
      </c>
      <c r="K20" s="28"/>
      <c r="L20" s="5" t="str">
        <f t="shared" si="1"/>
        <v/>
      </c>
      <c r="N20" s="1"/>
    </row>
    <row r="21" spans="1:16" ht="25" customHeight="1">
      <c r="A21" s="4"/>
      <c r="B21" s="19"/>
      <c r="C21" s="78">
        <v>36</v>
      </c>
      <c r="D21" s="131"/>
      <c r="E21" s="131"/>
      <c r="F21" s="133"/>
      <c r="G21" s="135"/>
      <c r="H21" s="138"/>
      <c r="I21" s="140"/>
      <c r="J21" s="142"/>
      <c r="K21" s="28"/>
      <c r="L21" s="5" t="str">
        <f t="shared" si="1"/>
        <v>경고</v>
      </c>
      <c r="N21" s="1"/>
    </row>
    <row r="22" spans="1:16" ht="25" customHeight="1">
      <c r="A22" s="4"/>
      <c r="B22" s="19"/>
      <c r="C22" s="80">
        <v>35</v>
      </c>
      <c r="D22" s="79">
        <f t="shared" si="2"/>
        <v>65</v>
      </c>
      <c r="E22" s="79">
        <f t="shared" si="0"/>
        <v>3</v>
      </c>
      <c r="F22" s="71">
        <f t="shared" si="3"/>
        <v>88.57</v>
      </c>
      <c r="G22" s="72">
        <f>IF(D22=D21,"",_xlfn.IFNA(VLOOKUP(D22,'인원 입력 기능 (사과탐)'!$F$236:$I$284,4,FALSE),0))</f>
        <v>36</v>
      </c>
      <c r="H22" s="73">
        <f t="shared" si="4"/>
        <v>7.5235109717868339E-3</v>
      </c>
      <c r="I22" s="77">
        <f>SUM($G$7:G22)</f>
        <v>565</v>
      </c>
      <c r="J22" s="75">
        <f t="shared" si="5"/>
        <v>0.1180773249738767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64</v>
      </c>
      <c r="E23" s="79">
        <f t="shared" si="0"/>
        <v>3</v>
      </c>
      <c r="F23" s="71">
        <f t="shared" si="3"/>
        <v>87.72</v>
      </c>
      <c r="G23" s="72">
        <f>IF(D23=D22,"",_xlfn.IFNA(VLOOKUP(D23,'인원 입력 기능 (사과탐)'!$F$236:$I$284,4,FALSE),0))</f>
        <v>45</v>
      </c>
      <c r="H23" s="73">
        <f t="shared" si="4"/>
        <v>9.4043887147335428E-3</v>
      </c>
      <c r="I23" s="77">
        <f>SUM($G$7:G23)</f>
        <v>610</v>
      </c>
      <c r="J23" s="75">
        <f t="shared" si="5"/>
        <v>0.12748171368861025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63</v>
      </c>
      <c r="E24" s="79">
        <f t="shared" si="0"/>
        <v>3</v>
      </c>
      <c r="F24" s="71">
        <f t="shared" si="3"/>
        <v>86.65</v>
      </c>
      <c r="G24" s="72">
        <f>IF(D24=D23,"",_xlfn.IFNA(VLOOKUP(D24,'인원 입력 기능 (사과탐)'!$F$236:$I$284,4,FALSE),0))</f>
        <v>58</v>
      </c>
      <c r="H24" s="73">
        <f t="shared" si="4"/>
        <v>1.2121212121212121E-2</v>
      </c>
      <c r="I24" s="77">
        <f>SUM($G$7:G24)</f>
        <v>668</v>
      </c>
      <c r="J24" s="75">
        <f t="shared" si="5"/>
        <v>0.13960292580982236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62</v>
      </c>
      <c r="E25" s="79">
        <f t="shared" si="0"/>
        <v>3</v>
      </c>
      <c r="F25" s="71">
        <f t="shared" si="3"/>
        <v>85.58</v>
      </c>
      <c r="G25" s="72">
        <f>IF(D25=D24,"",_xlfn.IFNA(VLOOKUP(D25,'인원 입력 기능 (사과탐)'!$F$236:$I$284,4,FALSE),0))</f>
        <v>44</v>
      </c>
      <c r="H25" s="73">
        <f t="shared" si="4"/>
        <v>9.1954022988505746E-3</v>
      </c>
      <c r="I25" s="77">
        <f>SUM($G$7:G25)</f>
        <v>712</v>
      </c>
      <c r="J25" s="75">
        <f t="shared" si="5"/>
        <v>0.14879832810867294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61</v>
      </c>
      <c r="E26" s="79">
        <f t="shared" si="0"/>
        <v>3</v>
      </c>
      <c r="F26" s="71">
        <f t="shared" si="3"/>
        <v>84.57</v>
      </c>
      <c r="G26" s="72">
        <f>IF(D26=D25,"",_xlfn.IFNA(VLOOKUP(D26,'인원 입력 기능 (사과탐)'!$F$236:$I$284,4,FALSE),0))</f>
        <v>53</v>
      </c>
      <c r="H26" s="73">
        <f t="shared" si="4"/>
        <v>1.1076280041797283E-2</v>
      </c>
      <c r="I26" s="77">
        <f>SUM($G$7:G26)</f>
        <v>765</v>
      </c>
      <c r="J26" s="75">
        <f t="shared" si="5"/>
        <v>0.15987460815047022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60</v>
      </c>
      <c r="E27" s="79">
        <f t="shared" si="0"/>
        <v>3</v>
      </c>
      <c r="F27" s="71">
        <f t="shared" si="3"/>
        <v>83.54</v>
      </c>
      <c r="G27" s="72">
        <f>IF(D27=D26,"",_xlfn.IFNA(VLOOKUP(D27,'인원 입력 기능 (사과탐)'!$F$236:$I$284,4,FALSE),0))</f>
        <v>45</v>
      </c>
      <c r="H27" s="73">
        <f t="shared" si="4"/>
        <v>9.4043887147335428E-3</v>
      </c>
      <c r="I27" s="77">
        <f>SUM($G$7:G27)</f>
        <v>810</v>
      </c>
      <c r="J27" s="75">
        <f t="shared" si="5"/>
        <v>0.16927899686520376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144">
        <f t="shared" si="2"/>
        <v>59</v>
      </c>
      <c r="E28" s="144">
        <f t="shared" si="0"/>
        <v>3</v>
      </c>
      <c r="F28" s="134">
        <f t="shared" si="3"/>
        <v>81.89</v>
      </c>
      <c r="G28" s="136">
        <f>IF(D28=D27,"",_xlfn.IFNA(VLOOKUP(D28,'인원 입력 기능 (사과탐)'!$F$236:$I$284,4,FALSE),0))</f>
        <v>113</v>
      </c>
      <c r="H28" s="137">
        <f t="shared" si="4"/>
        <v>2.3615464994775341E-2</v>
      </c>
      <c r="I28" s="139">
        <f>SUM($G$7:G28)</f>
        <v>923</v>
      </c>
      <c r="J28" s="141">
        <f t="shared" si="5"/>
        <v>0.1928944618599791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143"/>
      <c r="E29" s="143"/>
      <c r="F29" s="133"/>
      <c r="G29" s="135"/>
      <c r="H29" s="138"/>
      <c r="I29" s="140"/>
      <c r="J29" s="142"/>
      <c r="K29" s="28"/>
      <c r="L29" s="5" t="str">
        <f t="shared" si="1"/>
        <v>경고</v>
      </c>
      <c r="N29" s="1"/>
    </row>
    <row r="30" spans="1:16" ht="25" customHeight="1">
      <c r="A30" s="4"/>
      <c r="B30" s="19"/>
      <c r="C30" s="80">
        <v>27</v>
      </c>
      <c r="D30" s="79">
        <f t="shared" si="2"/>
        <v>58</v>
      </c>
      <c r="E30" s="79">
        <f t="shared" si="0"/>
        <v>3</v>
      </c>
      <c r="F30" s="71">
        <f t="shared" si="3"/>
        <v>80.150000000000006</v>
      </c>
      <c r="G30" s="72">
        <f>IF(D30=D29,"",_xlfn.IFNA(VLOOKUP(D30,'인원 입력 기능 (사과탐)'!$F$236:$I$284,4,FALSE),0))</f>
        <v>54</v>
      </c>
      <c r="H30" s="73">
        <f t="shared" si="4"/>
        <v>1.128526645768025E-2</v>
      </c>
      <c r="I30" s="77">
        <f>SUM($G$7:G30)</f>
        <v>977</v>
      </c>
      <c r="J30" s="75">
        <f t="shared" si="5"/>
        <v>0.20417972831765935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57</v>
      </c>
      <c r="E31" s="79">
        <f t="shared" si="0"/>
        <v>3</v>
      </c>
      <c r="F31" s="71">
        <f t="shared" si="3"/>
        <v>78.87</v>
      </c>
      <c r="G31" s="72">
        <f>IF(D31=D30,"",_xlfn.IFNA(VLOOKUP(D31,'인원 입력 기능 (사과탐)'!$F$236:$I$284,4,FALSE),0))</f>
        <v>68</v>
      </c>
      <c r="H31" s="73">
        <f t="shared" si="4"/>
        <v>1.4211076280041797E-2</v>
      </c>
      <c r="I31" s="77">
        <f>SUM($G$7:G31)</f>
        <v>1045</v>
      </c>
      <c r="J31" s="75">
        <f t="shared" si="5"/>
        <v>0.21839080459770116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56</v>
      </c>
      <c r="E32" s="79">
        <f t="shared" si="0"/>
        <v>3</v>
      </c>
      <c r="F32" s="71">
        <f t="shared" si="3"/>
        <v>77.41</v>
      </c>
      <c r="G32" s="72">
        <f>IF(D32=D31,"",_xlfn.IFNA(VLOOKUP(D32,'인원 입력 기능 (사과탐)'!$F$236:$I$284,4,FALSE),0))</f>
        <v>72</v>
      </c>
      <c r="H32" s="73">
        <f t="shared" si="4"/>
        <v>1.5047021943573668E-2</v>
      </c>
      <c r="I32" s="77">
        <f>SUM($G$7:G32)</f>
        <v>1117</v>
      </c>
      <c r="J32" s="75">
        <f t="shared" si="5"/>
        <v>0.23343782654127482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55</v>
      </c>
      <c r="E33" s="79">
        <f t="shared" si="0"/>
        <v>4</v>
      </c>
      <c r="F33" s="71">
        <f t="shared" si="3"/>
        <v>75.540000000000006</v>
      </c>
      <c r="G33" s="72">
        <f>IF(D33=D32,"",_xlfn.IFNA(VLOOKUP(D33,'인원 입력 기능 (사과탐)'!$F$236:$I$284,4,FALSE),0))</f>
        <v>107</v>
      </c>
      <c r="H33" s="73">
        <f t="shared" si="4"/>
        <v>2.2361546499477535E-2</v>
      </c>
      <c r="I33" s="77">
        <f>SUM($G$7:G33)</f>
        <v>1224</v>
      </c>
      <c r="J33" s="75">
        <f t="shared" si="5"/>
        <v>0.25579937304075234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54</v>
      </c>
      <c r="E34" s="79">
        <f t="shared" si="0"/>
        <v>4</v>
      </c>
      <c r="F34" s="71">
        <f t="shared" si="3"/>
        <v>73.430000000000007</v>
      </c>
      <c r="G34" s="72">
        <f>IF(D34=D33,"",_xlfn.IFNA(VLOOKUP(D34,'인원 입력 기능 (사과탐)'!$F$236:$I$284,4,FALSE),0))</f>
        <v>95</v>
      </c>
      <c r="H34" s="73">
        <f t="shared" si="4"/>
        <v>1.9853709508881923E-2</v>
      </c>
      <c r="I34" s="77">
        <f>SUM($G$7:G34)</f>
        <v>1319</v>
      </c>
      <c r="J34" s="75">
        <f t="shared" si="5"/>
        <v>0.27565308254963428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53</v>
      </c>
      <c r="E35" s="79">
        <f t="shared" si="0"/>
        <v>4</v>
      </c>
      <c r="F35" s="71">
        <f t="shared" si="3"/>
        <v>71.56</v>
      </c>
      <c r="G35" s="72">
        <f>IF(D35=D34,"",_xlfn.IFNA(VLOOKUP(D35,'인원 입력 기능 (사과탐)'!$F$236:$I$284,4,FALSE),0))</f>
        <v>84</v>
      </c>
      <c r="H35" s="73">
        <f t="shared" si="4"/>
        <v>1.755485893416928E-2</v>
      </c>
      <c r="I35" s="77">
        <f>SUM($G$7:G35)</f>
        <v>1403</v>
      </c>
      <c r="J35" s="75">
        <f t="shared" si="5"/>
        <v>0.29320794148380358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144">
        <f t="shared" si="2"/>
        <v>52</v>
      </c>
      <c r="E36" s="144">
        <f t="shared" si="0"/>
        <v>4</v>
      </c>
      <c r="F36" s="134">
        <f t="shared" si="3"/>
        <v>68.42</v>
      </c>
      <c r="G36" s="136">
        <f>IF(D36=D35,"",_xlfn.IFNA(VLOOKUP(D36,'인원 입력 기능 (사과탐)'!$F$236:$I$284,4,FALSE),0))</f>
        <v>216</v>
      </c>
      <c r="H36" s="137">
        <f t="shared" si="4"/>
        <v>4.5141065830721E-2</v>
      </c>
      <c r="I36" s="139">
        <f>SUM($G$7:G36)</f>
        <v>1619</v>
      </c>
      <c r="J36" s="141">
        <f t="shared" si="5"/>
        <v>0.33834900731452455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143"/>
      <c r="E37" s="143"/>
      <c r="F37" s="133"/>
      <c r="G37" s="135"/>
      <c r="H37" s="138"/>
      <c r="I37" s="140"/>
      <c r="J37" s="142"/>
      <c r="K37" s="28"/>
      <c r="L37" s="5" t="str">
        <f t="shared" si="1"/>
        <v>경고</v>
      </c>
      <c r="N37" s="1"/>
    </row>
    <row r="38" spans="1:14" ht="25" customHeight="1">
      <c r="A38" s="4"/>
      <c r="B38" s="19"/>
      <c r="C38" s="80">
        <v>19</v>
      </c>
      <c r="D38" s="79">
        <f t="shared" si="2"/>
        <v>51</v>
      </c>
      <c r="E38" s="79">
        <f t="shared" si="0"/>
        <v>4</v>
      </c>
      <c r="F38" s="71">
        <f t="shared" si="3"/>
        <v>64.64</v>
      </c>
      <c r="G38" s="72">
        <f>IF(D38=D37,"",_xlfn.IFNA(VLOOKUP(D38,'인원 입력 기능 (사과탐)'!$F$236:$I$284,4,FALSE),0))</f>
        <v>146</v>
      </c>
      <c r="H38" s="73">
        <f t="shared" si="4"/>
        <v>3.0512016718913272E-2</v>
      </c>
      <c r="I38" s="77">
        <f>SUM($G$7:G38)</f>
        <v>1765</v>
      </c>
      <c r="J38" s="75">
        <f t="shared" si="5"/>
        <v>0.36886102403343785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50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61.48</v>
      </c>
      <c r="G39" s="72">
        <f>IF(D39=D38,"",_xlfn.IFNA(VLOOKUP(D39,'인원 입력 기능 (사과탐)'!$F$236:$I$284,4,FALSE),0))</f>
        <v>156</v>
      </c>
      <c r="H39" s="73">
        <f t="shared" si="4"/>
        <v>3.2601880877742948E-2</v>
      </c>
      <c r="I39" s="77">
        <f>SUM($G$7:G39)</f>
        <v>1921</v>
      </c>
      <c r="J39" s="75">
        <f t="shared" si="5"/>
        <v>0.40146290491118075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49</v>
      </c>
      <c r="E40" s="79">
        <f t="shared" si="6"/>
        <v>5</v>
      </c>
      <c r="F40" s="71">
        <f t="shared" si="3"/>
        <v>58.07</v>
      </c>
      <c r="G40" s="72">
        <f>IF(D40=D39,"",_xlfn.IFNA(VLOOKUP(D40,'인원 입력 기능 (사과탐)'!$F$236:$I$284,4,FALSE),0))</f>
        <v>171</v>
      </c>
      <c r="H40" s="73">
        <f t="shared" si="4"/>
        <v>3.5736677115987464E-2</v>
      </c>
      <c r="I40" s="77">
        <f>SUM($G$7:G40)</f>
        <v>2092</v>
      </c>
      <c r="J40" s="75">
        <f t="shared" si="5"/>
        <v>0.43719958202716824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48</v>
      </c>
      <c r="E41" s="79">
        <f t="shared" si="6"/>
        <v>5</v>
      </c>
      <c r="F41" s="71">
        <f t="shared" si="3"/>
        <v>54.4</v>
      </c>
      <c r="G41" s="72">
        <f>IF(D41=D40,"",_xlfn.IFNA(VLOOKUP(D41,'인원 입력 기능 (사과탐)'!$F$236:$I$284,4,FALSE),0))</f>
        <v>180</v>
      </c>
      <c r="H41" s="73">
        <f t="shared" si="4"/>
        <v>3.7617554858934171E-2</v>
      </c>
      <c r="I41" s="77">
        <f>SUM($G$7:G41)</f>
        <v>2272</v>
      </c>
      <c r="J41" s="75">
        <f t="shared" si="5"/>
        <v>0.47481713688610239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47</v>
      </c>
      <c r="E42" s="79">
        <f t="shared" si="6"/>
        <v>5</v>
      </c>
      <c r="F42" s="71">
        <f t="shared" si="3"/>
        <v>50.47</v>
      </c>
      <c r="G42" s="72">
        <f>IF(D42=D41,"",_xlfn.IFNA(VLOOKUP(D42,'인원 입력 기능 (사과탐)'!$F$236:$I$284,4,FALSE),0))</f>
        <v>196</v>
      </c>
      <c r="H42" s="73">
        <f t="shared" si="4"/>
        <v>4.0961337513061649E-2</v>
      </c>
      <c r="I42" s="77">
        <f>SUM($G$7:G42)</f>
        <v>2468</v>
      </c>
      <c r="J42" s="75">
        <f t="shared" si="5"/>
        <v>0.51577847439916402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46</v>
      </c>
      <c r="E43" s="79">
        <f t="shared" si="6"/>
        <v>5</v>
      </c>
      <c r="F43" s="71">
        <f t="shared" si="3"/>
        <v>46.43</v>
      </c>
      <c r="G43" s="72">
        <f>IF(D43=D42,"",_xlfn.IFNA(VLOOKUP(D43,'인원 입력 기능 (사과탐)'!$F$236:$I$284,4,FALSE),0))</f>
        <v>191</v>
      </c>
      <c r="H43" s="73">
        <f t="shared" si="4"/>
        <v>3.9916405433646815E-2</v>
      </c>
      <c r="I43" s="77">
        <f>SUM($G$7:G43)</f>
        <v>2659</v>
      </c>
      <c r="J43" s="75">
        <f t="shared" si="5"/>
        <v>0.55569487983281085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144">
        <f t="shared" si="2"/>
        <v>45</v>
      </c>
      <c r="E44" s="144">
        <f t="shared" si="6"/>
        <v>5</v>
      </c>
      <c r="F44" s="134">
        <f t="shared" si="3"/>
        <v>39.85</v>
      </c>
      <c r="G44" s="136">
        <f>IF(D44=D43,"",_xlfn.IFNA(VLOOKUP(D44,'인원 입력 기능 (사과탐)'!$F$236:$I$284,4,FALSE),0))</f>
        <v>438</v>
      </c>
      <c r="H44" s="137">
        <f t="shared" si="4"/>
        <v>9.1536050156739809E-2</v>
      </c>
      <c r="I44" s="139">
        <f>SUM($G$7:G44)</f>
        <v>3097</v>
      </c>
      <c r="J44" s="141">
        <f t="shared" si="5"/>
        <v>0.64723092998955067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143"/>
      <c r="E45" s="143"/>
      <c r="F45" s="133"/>
      <c r="G45" s="135"/>
      <c r="H45" s="138"/>
      <c r="I45" s="140"/>
      <c r="J45" s="142"/>
      <c r="K45" s="28"/>
      <c r="L45" s="5" t="str">
        <f t="shared" si="1"/>
        <v>경고</v>
      </c>
      <c r="N45" s="1"/>
    </row>
    <row r="46" spans="1:14" ht="25" customHeight="1">
      <c r="A46" s="4"/>
      <c r="B46" s="19"/>
      <c r="C46" s="80">
        <v>11</v>
      </c>
      <c r="D46" s="79">
        <f t="shared" si="2"/>
        <v>44</v>
      </c>
      <c r="E46" s="79">
        <f t="shared" si="6"/>
        <v>6</v>
      </c>
      <c r="F46" s="71">
        <f t="shared" si="3"/>
        <v>32.979999999999997</v>
      </c>
      <c r="G46" s="72">
        <f>IF(D46=D45,"",_xlfn.IFNA(VLOOKUP(D46,'인원 입력 기능 (사과탐)'!$F$236:$I$284,4,FALSE),0))</f>
        <v>220</v>
      </c>
      <c r="H46" s="73">
        <f t="shared" si="4"/>
        <v>4.5977011494252873E-2</v>
      </c>
      <c r="I46" s="77">
        <f>SUM($G$7:G46)</f>
        <v>3317</v>
      </c>
      <c r="J46" s="75">
        <f t="shared" si="5"/>
        <v>0.6932079414838036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43</v>
      </c>
      <c r="E47" s="79">
        <f t="shared" si="6"/>
        <v>6</v>
      </c>
      <c r="F47" s="71">
        <f t="shared" si="3"/>
        <v>28.25</v>
      </c>
      <c r="G47" s="72">
        <f>IF(D47=D46,"",_xlfn.IFNA(VLOOKUP(D47,'인원 입력 기능 (사과탐)'!$F$236:$I$284,4,FALSE),0))</f>
        <v>232</v>
      </c>
      <c r="H47" s="73">
        <f t="shared" si="4"/>
        <v>4.8484848484848485E-2</v>
      </c>
      <c r="I47" s="77">
        <f>SUM($G$7:G47)</f>
        <v>3549</v>
      </c>
      <c r="J47" s="75">
        <f t="shared" si="5"/>
        <v>0.74169278996865207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42</v>
      </c>
      <c r="E48" s="79">
        <f t="shared" si="6"/>
        <v>6</v>
      </c>
      <c r="F48" s="71">
        <f t="shared" si="3"/>
        <v>21.37</v>
      </c>
      <c r="G48" s="72">
        <f>IF(D48=D47,"",_xlfn.IFNA(VLOOKUP(D48,'인원 입력 기능 (사과탐)'!$F$236:$I$284,4,FALSE),0))</f>
        <v>427</v>
      </c>
      <c r="H48" s="73">
        <f t="shared" si="4"/>
        <v>8.9237199582027166E-2</v>
      </c>
      <c r="I48" s="77">
        <f>SUM($G$7:G48)</f>
        <v>3976</v>
      </c>
      <c r="J48" s="75">
        <f t="shared" si="5"/>
        <v>0.8309299895506792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41</v>
      </c>
      <c r="E49" s="79">
        <f t="shared" si="6"/>
        <v>7</v>
      </c>
      <c r="F49" s="71">
        <f t="shared" si="3"/>
        <v>13.65</v>
      </c>
      <c r="G49" s="72">
        <f>IF(D49=D48,"",_xlfn.IFNA(VLOOKUP(D49,'인원 입력 기능 (사과탐)'!$F$236:$I$284,4,FALSE),0))</f>
        <v>312</v>
      </c>
      <c r="H49" s="73">
        <f t="shared" si="4"/>
        <v>6.5203761755485895E-2</v>
      </c>
      <c r="I49" s="77">
        <f>SUM($G$7:G49)</f>
        <v>4288</v>
      </c>
      <c r="J49" s="75">
        <f t="shared" si="5"/>
        <v>0.89613375130616513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40</v>
      </c>
      <c r="E50" s="79">
        <f t="shared" si="6"/>
        <v>8</v>
      </c>
      <c r="F50" s="71">
        <f t="shared" si="3"/>
        <v>8.6199999999999992</v>
      </c>
      <c r="G50" s="72">
        <f>IF(D50=D49,"",_xlfn.IFNA(VLOOKUP(D50,'인원 입력 기능 (사과탐)'!$F$236:$I$284,4,FALSE),0))</f>
        <v>169</v>
      </c>
      <c r="H50" s="73">
        <f t="shared" si="4"/>
        <v>3.5318704284221528E-2</v>
      </c>
      <c r="I50" s="77">
        <f>SUM($G$7:G50)</f>
        <v>4457</v>
      </c>
      <c r="J50" s="75">
        <f t="shared" si="5"/>
        <v>0.93145245559038659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39</v>
      </c>
      <c r="E51" s="79">
        <f t="shared" si="6"/>
        <v>8</v>
      </c>
      <c r="F51" s="71">
        <f t="shared" si="3"/>
        <v>5.86</v>
      </c>
      <c r="G51" s="72">
        <f>IF(D51=D50,"",_xlfn.IFNA(VLOOKUP(D51,'인원 입력 기능 (사과탐)'!$F$236:$I$284,4,FALSE),0))</f>
        <v>95</v>
      </c>
      <c r="H51" s="73">
        <f t="shared" si="4"/>
        <v>1.9853709508881923E-2</v>
      </c>
      <c r="I51" s="77">
        <f>SUM($G$7:G51)</f>
        <v>4552</v>
      </c>
      <c r="J51" s="75">
        <f t="shared" si="5"/>
        <v>0.95130616509926857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144">
        <f t="shared" si="2"/>
        <v>38</v>
      </c>
      <c r="E52" s="144">
        <f t="shared" si="6"/>
        <v>8</v>
      </c>
      <c r="F52" s="134">
        <f t="shared" si="3"/>
        <v>3.29</v>
      </c>
      <c r="G52" s="136">
        <f>IF(D52=D51,"",_xlfn.IFNA(VLOOKUP(D52,'인원 입력 기능 (사과탐)'!$F$236:$I$284,4,FALSE),0))</f>
        <v>151</v>
      </c>
      <c r="H52" s="137">
        <f t="shared" si="4"/>
        <v>3.1556948798328106E-2</v>
      </c>
      <c r="I52" s="139">
        <f>SUM($G$7:G52)</f>
        <v>4703</v>
      </c>
      <c r="J52" s="141">
        <f t="shared" si="5"/>
        <v>0.98286311389759662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143"/>
      <c r="E53" s="143"/>
      <c r="F53" s="133"/>
      <c r="G53" s="135"/>
      <c r="H53" s="138"/>
      <c r="I53" s="140"/>
      <c r="J53" s="142"/>
      <c r="K53" s="28"/>
      <c r="L53" s="5" t="str">
        <f t="shared" si="1"/>
        <v>경고</v>
      </c>
      <c r="N53" s="1"/>
    </row>
    <row r="54" spans="1:14" ht="25" customHeight="1">
      <c r="A54" s="4"/>
      <c r="B54" s="19"/>
      <c r="C54" s="76">
        <v>3</v>
      </c>
      <c r="D54" s="70">
        <f t="shared" si="2"/>
        <v>37</v>
      </c>
      <c r="E54" s="70">
        <f t="shared" si="6"/>
        <v>9</v>
      </c>
      <c r="F54" s="71">
        <f t="shared" si="3"/>
        <v>1.46</v>
      </c>
      <c r="G54" s="72">
        <f>IF(D54=D53,"",_xlfn.IFNA(VLOOKUP(D54,'인원 입력 기능 (사과탐)'!$F$236:$I$284,4,FALSE),0))</f>
        <v>24</v>
      </c>
      <c r="H54" s="73">
        <f t="shared" si="4"/>
        <v>5.0156739811912229E-3</v>
      </c>
      <c r="I54" s="77">
        <f>SUM($G$7:G54)</f>
        <v>4727</v>
      </c>
      <c r="J54" s="75">
        <f t="shared" si="5"/>
        <v>0.98787878787878791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36</v>
      </c>
      <c r="E55" s="70">
        <f t="shared" si="6"/>
        <v>9</v>
      </c>
      <c r="F55" s="71">
        <f t="shared" si="3"/>
        <v>0.76</v>
      </c>
      <c r="G55" s="72">
        <f>IF(D55=D54,"",_xlfn.IFNA(VLOOKUP(D55,'인원 입력 기능 (사과탐)'!$F$236:$I$284,4,FALSE),0))</f>
        <v>43</v>
      </c>
      <c r="H55" s="73">
        <f t="shared" si="4"/>
        <v>8.9864158829676064E-3</v>
      </c>
      <c r="I55" s="77">
        <f>SUM($G$7:G55)</f>
        <v>4770</v>
      </c>
      <c r="J55" s="75">
        <f t="shared" si="5"/>
        <v>0.99686520376175547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34</v>
      </c>
      <c r="E57" s="83">
        <f t="shared" si="6"/>
        <v>9</v>
      </c>
      <c r="F57" s="84">
        <f>IF(I55=0,ROUND(100*(1-(I54+I57)/2/$J$3),2),ROUND(100*(1-(I55+I57)/2/$J$3),2))</f>
        <v>0.16</v>
      </c>
      <c r="G57" s="85">
        <f>_xlfn.IFNA(VLOOKUP(D57,'인원 입력 기능 (사과탐)'!$F$236:$I$284,4,FALSE),0)</f>
        <v>15</v>
      </c>
      <c r="H57" s="86">
        <f>G57/$J$3</f>
        <v>3.134796238244514E-3</v>
      </c>
      <c r="I57" s="87">
        <f>SUM($G$7:G57)</f>
        <v>4785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46">
    <mergeCell ref="I52:I53"/>
    <mergeCell ref="J52:J53"/>
    <mergeCell ref="D52:D53"/>
    <mergeCell ref="E52:E53"/>
    <mergeCell ref="F52:F53"/>
    <mergeCell ref="G52:G53"/>
    <mergeCell ref="H52:H53"/>
    <mergeCell ref="I36:I37"/>
    <mergeCell ref="J36:J37"/>
    <mergeCell ref="D44:D45"/>
    <mergeCell ref="E44:E45"/>
    <mergeCell ref="F44:F45"/>
    <mergeCell ref="G44:G45"/>
    <mergeCell ref="H44:H45"/>
    <mergeCell ref="I44:I45"/>
    <mergeCell ref="J44:J45"/>
    <mergeCell ref="D36:D37"/>
    <mergeCell ref="E36:E37"/>
    <mergeCell ref="F36:F37"/>
    <mergeCell ref="G36:G37"/>
    <mergeCell ref="H36:H37"/>
    <mergeCell ref="I20:I21"/>
    <mergeCell ref="J20:J21"/>
    <mergeCell ref="D28:D29"/>
    <mergeCell ref="E28:E29"/>
    <mergeCell ref="F28:F29"/>
    <mergeCell ref="G28:G29"/>
    <mergeCell ref="H28:H29"/>
    <mergeCell ref="I28:I29"/>
    <mergeCell ref="J28:J29"/>
    <mergeCell ref="D3:F3"/>
    <mergeCell ref="D4:F4"/>
    <mergeCell ref="D8:J8"/>
    <mergeCell ref="D56:J56"/>
    <mergeCell ref="D12:D13"/>
    <mergeCell ref="E12:E13"/>
    <mergeCell ref="F12:F13"/>
    <mergeCell ref="G12:G13"/>
    <mergeCell ref="H12:H13"/>
    <mergeCell ref="I12:I13"/>
    <mergeCell ref="J12:J13"/>
    <mergeCell ref="D20:D21"/>
    <mergeCell ref="E20:E21"/>
    <mergeCell ref="F20:F21"/>
    <mergeCell ref="G20:G21"/>
    <mergeCell ref="H20:H21"/>
  </mergeCells>
  <phoneticPr fontId="1" type="noConversion"/>
  <conditionalFormatting sqref="D7:J12 D14:J20 D22:J28 D30:J36 D38:J44 D46:J52 D54:J57">
    <cfRule type="expression" dxfId="8" priority="3">
      <formula>OR($D7=$Q$7:$Q$14)</formula>
    </cfRule>
  </conditionalFormatting>
  <conditionalFormatting sqref="C7:C57">
    <cfRule type="expression" dxfId="7" priority="2">
      <formula>OR(AND($D7=0,OR($D6=$Q$7:$Q$14)),AND($D8&gt;0,OR($D7=$Q$7:$Q$14)))</formula>
    </cfRule>
  </conditionalFormatting>
  <conditionalFormatting sqref="D7:D12 D14:D20 D22:D28 D30:D36 D38:D44 D46:D52 D54:D57">
    <cfRule type="expression" dxfId="6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기능'!D21</f>
        <v>14.16</v>
      </c>
      <c r="I3" s="15" t="s">
        <v>84</v>
      </c>
      <c r="J3" s="35">
        <f>'통계 및 응시자 수 입력 기능'!C21</f>
        <v>8629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89</v>
      </c>
      <c r="E4" s="108"/>
      <c r="F4" s="109"/>
      <c r="G4" s="37" t="s">
        <v>87</v>
      </c>
      <c r="H4" s="38" t="str">
        <f>'통계 및 응시자 수 입력 기능'!E21</f>
        <v xml:space="preserve"> 9.72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87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99.44</v>
      </c>
      <c r="G7" s="72">
        <f>_xlfn.IFNA(VLOOKUP(D7,'인원 입력 기능 (사과탐)'!$K$236:$N$284,4,FALSE),0)</f>
        <v>97</v>
      </c>
      <c r="H7" s="73">
        <f>G7/$J$3</f>
        <v>1.1241163518368293E-2</v>
      </c>
      <c r="I7" s="74">
        <f>G7</f>
        <v>97</v>
      </c>
      <c r="J7" s="75">
        <f>I7/$J$3</f>
        <v>1.1241163518368293E-2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입력기능'!C157</f>
        <v>77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입력기능'!C158</f>
        <v>61</v>
      </c>
    </row>
    <row r="9" spans="1:17" ht="25" customHeight="1">
      <c r="A9" s="4"/>
      <c r="B9" s="19"/>
      <c r="C9" s="69">
        <v>48</v>
      </c>
      <c r="D9" s="70">
        <f>ROUND(10*(C9-$H$3)/$H$4+50,0)</f>
        <v>85</v>
      </c>
      <c r="E9" s="70">
        <f t="shared" si="0"/>
        <v>1</v>
      </c>
      <c r="F9" s="71">
        <f>IF(I8=0,ROUND(100*(1-(I7+I9)/2/$J$3),2),ROUND(100*(1-(I8+I9)/2/$J$3),2))</f>
        <v>98.67</v>
      </c>
      <c r="G9" s="72">
        <f>_xlfn.IFNA(VLOOKUP(D9,'인원 입력 기능 (사과탐)'!$K$236:$N$284,4,FALSE),0)</f>
        <v>36</v>
      </c>
      <c r="H9" s="73">
        <f>G9/$J$3</f>
        <v>4.1719782130026657E-3</v>
      </c>
      <c r="I9" s="77">
        <f>SUM($G$7:G9)</f>
        <v>133</v>
      </c>
      <c r="J9" s="75">
        <f>I9/$J$3</f>
        <v>1.5413141731370959E-2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입력기능'!C159</f>
        <v>54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84</v>
      </c>
      <c r="E10" s="70">
        <f t="shared" si="0"/>
        <v>1</v>
      </c>
      <c r="F10" s="71">
        <f t="shared" ref="F10:F55" si="3">IF(I9=0,ROUND(100*(1-(I8+I10)/2/$J$3),2),ROUND(100*(1-(I9+I10)/2/$J$3),2))</f>
        <v>98.21</v>
      </c>
      <c r="G10" s="72">
        <f>IF(D10=D9,"",_xlfn.IFNA(VLOOKUP(D10,'인원 입력 기능 (사과탐)'!$K$236:$N$284,4,FALSE),0))</f>
        <v>43</v>
      </c>
      <c r="H10" s="73">
        <f t="shared" ref="H10:H55" si="4">G10/$J$3</f>
        <v>4.9831961988642945E-3</v>
      </c>
      <c r="I10" s="77">
        <f>SUM($G$7:G10)</f>
        <v>176</v>
      </c>
      <c r="J10" s="75">
        <f t="shared" ref="J10:J55" si="5">I10/$J$3</f>
        <v>2.0396337930235254E-2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입력기능'!C160</f>
        <v>49</v>
      </c>
    </row>
    <row r="11" spans="1:17" ht="25" customHeight="1">
      <c r="A11" s="4"/>
      <c r="B11" s="19"/>
      <c r="C11" s="69">
        <v>46</v>
      </c>
      <c r="D11" s="70">
        <f t="shared" si="2"/>
        <v>83</v>
      </c>
      <c r="E11" s="70">
        <f t="shared" si="0"/>
        <v>1</v>
      </c>
      <c r="F11" s="71">
        <f t="shared" si="3"/>
        <v>97.86</v>
      </c>
      <c r="G11" s="72">
        <f>IF(D11=D10,"",_xlfn.IFNA(VLOOKUP(D11,'인원 입력 기능 (사과탐)'!$K$236:$N$284,4,FALSE),0))</f>
        <v>18</v>
      </c>
      <c r="H11" s="73">
        <f t="shared" si="4"/>
        <v>2.0859891065013328E-3</v>
      </c>
      <c r="I11" s="77">
        <f>SUM($G$7:G11)</f>
        <v>194</v>
      </c>
      <c r="J11" s="75">
        <f t="shared" si="5"/>
        <v>2.2482327036736586E-2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입력기능'!C161</f>
        <v>46</v>
      </c>
    </row>
    <row r="12" spans="1:17" ht="25" customHeight="1">
      <c r="A12" s="4"/>
      <c r="B12" s="19"/>
      <c r="C12" s="76">
        <v>45</v>
      </c>
      <c r="D12" s="70">
        <f t="shared" si="2"/>
        <v>82</v>
      </c>
      <c r="E12" s="70">
        <f t="shared" si="0"/>
        <v>1</v>
      </c>
      <c r="F12" s="71">
        <f t="shared" si="3"/>
        <v>97.54</v>
      </c>
      <c r="G12" s="72">
        <f>IF(D12=D11,"",_xlfn.IFNA(VLOOKUP(D12,'인원 입력 기능 (사과탐)'!$K$236:$N$284,4,FALSE),0))</f>
        <v>36</v>
      </c>
      <c r="H12" s="73">
        <f t="shared" si="4"/>
        <v>4.1719782130026657E-3</v>
      </c>
      <c r="I12" s="77">
        <f>SUM($G$7:G12)</f>
        <v>230</v>
      </c>
      <c r="J12" s="75">
        <f t="shared" si="5"/>
        <v>2.665430524973925E-2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입력기능'!C162</f>
        <v>44</v>
      </c>
    </row>
    <row r="13" spans="1:17" ht="25" customHeight="1">
      <c r="A13" s="4"/>
      <c r="B13" s="19"/>
      <c r="C13" s="69">
        <v>44</v>
      </c>
      <c r="D13" s="70">
        <f t="shared" si="2"/>
        <v>81</v>
      </c>
      <c r="E13" s="70">
        <f t="shared" si="0"/>
        <v>1</v>
      </c>
      <c r="F13" s="71">
        <f t="shared" si="3"/>
        <v>97.2</v>
      </c>
      <c r="G13" s="72">
        <f>IF(D13=D12,"",_xlfn.IFNA(VLOOKUP(D13,'인원 입력 기능 (사과탐)'!$K$236:$N$284,4,FALSE),0))</f>
        <v>24</v>
      </c>
      <c r="H13" s="73">
        <f t="shared" si="4"/>
        <v>2.7813188086684435E-3</v>
      </c>
      <c r="I13" s="77">
        <f>SUM($G$7:G13)</f>
        <v>254</v>
      </c>
      <c r="J13" s="75">
        <f t="shared" si="5"/>
        <v>2.9435624058407696E-2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입력기능'!C163</f>
        <v>41</v>
      </c>
    </row>
    <row r="14" spans="1:17" ht="25" customHeight="1">
      <c r="A14" s="4"/>
      <c r="B14" s="19"/>
      <c r="C14" s="76">
        <v>43</v>
      </c>
      <c r="D14" s="70">
        <f t="shared" si="2"/>
        <v>80</v>
      </c>
      <c r="E14" s="70">
        <f t="shared" si="0"/>
        <v>1</v>
      </c>
      <c r="F14" s="71">
        <f t="shared" si="3"/>
        <v>96.91</v>
      </c>
      <c r="G14" s="72">
        <f>IF(D14=D13,"",_xlfn.IFNA(VLOOKUP(D14,'인원 입력 기능 (사과탐)'!$K$236:$N$284,4,FALSE),0))</f>
        <v>25</v>
      </c>
      <c r="H14" s="73">
        <f t="shared" si="4"/>
        <v>2.8972070923629621E-3</v>
      </c>
      <c r="I14" s="77">
        <f>SUM($G$7:G14)</f>
        <v>279</v>
      </c>
      <c r="J14" s="75">
        <f t="shared" si="5"/>
        <v>3.2332831150770659E-2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입력기능'!C164</f>
        <v>39</v>
      </c>
    </row>
    <row r="15" spans="1:17" ht="25" customHeight="1">
      <c r="A15" s="4"/>
      <c r="B15" s="19"/>
      <c r="C15" s="69">
        <v>42</v>
      </c>
      <c r="D15" s="70">
        <f t="shared" si="2"/>
        <v>79</v>
      </c>
      <c r="E15" s="70">
        <f t="shared" si="0"/>
        <v>1</v>
      </c>
      <c r="F15" s="71">
        <f t="shared" si="3"/>
        <v>96.6</v>
      </c>
      <c r="G15" s="72">
        <f>IF(D15=D14,"",_xlfn.IFNA(VLOOKUP(D15,'인원 입력 기능 (사과탐)'!$K$236:$N$284,4,FALSE),0))</f>
        <v>28</v>
      </c>
      <c r="H15" s="73">
        <f t="shared" si="4"/>
        <v>3.2448719434465174E-3</v>
      </c>
      <c r="I15" s="77">
        <f>SUM($G$7:G15)</f>
        <v>307</v>
      </c>
      <c r="J15" s="75">
        <f t="shared" si="5"/>
        <v>3.5577703094217178E-2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78</v>
      </c>
      <c r="E16" s="70">
        <f t="shared" si="0"/>
        <v>1</v>
      </c>
      <c r="F16" s="71">
        <f t="shared" si="3"/>
        <v>96.32</v>
      </c>
      <c r="G16" s="72">
        <f>IF(D16=D15,"",_xlfn.IFNA(VLOOKUP(D16,'인원 입력 기능 (사과탐)'!$K$236:$N$284,4,FALSE),0))</f>
        <v>21</v>
      </c>
      <c r="H16" s="73">
        <f t="shared" si="4"/>
        <v>2.4336539575848882E-3</v>
      </c>
      <c r="I16" s="77">
        <f>SUM($G$7:G16)</f>
        <v>328</v>
      </c>
      <c r="J16" s="75">
        <f t="shared" si="5"/>
        <v>3.8011357051802065E-2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77</v>
      </c>
      <c r="E17" s="70">
        <f t="shared" si="0"/>
        <v>1</v>
      </c>
      <c r="F17" s="71">
        <f t="shared" si="3"/>
        <v>96</v>
      </c>
      <c r="G17" s="72">
        <f>IF(D17=D16,"",_xlfn.IFNA(VLOOKUP(D17,'인원 입력 기능 (사과탐)'!$K$236:$N$284,4,FALSE),0))</f>
        <v>34</v>
      </c>
      <c r="H17" s="73">
        <f t="shared" si="4"/>
        <v>3.9402016456136285E-3</v>
      </c>
      <c r="I17" s="77">
        <f>SUM($G$7:G17)</f>
        <v>362</v>
      </c>
      <c r="J17" s="75">
        <f t="shared" si="5"/>
        <v>4.1951558697415695E-2</v>
      </c>
      <c r="K17" s="28"/>
      <c r="L17" s="5" t="str">
        <f t="shared" si="1"/>
        <v/>
      </c>
      <c r="N17" s="1"/>
      <c r="P17" s="1">
        <f>Q7*H3*H4*J3*IFERROR(IF(J57=1, 1, 0), 0)</f>
        <v>91449368.841600001</v>
      </c>
    </row>
    <row r="18" spans="1:16" ht="25" customHeight="1">
      <c r="A18" s="4"/>
      <c r="B18" s="19"/>
      <c r="C18" s="76">
        <v>39</v>
      </c>
      <c r="D18" s="70">
        <f t="shared" si="2"/>
        <v>76</v>
      </c>
      <c r="E18" s="70">
        <f t="shared" si="0"/>
        <v>2</v>
      </c>
      <c r="F18" s="71">
        <f t="shared" si="3"/>
        <v>95.65</v>
      </c>
      <c r="G18" s="72">
        <f>IF(D18=D17,"",_xlfn.IFNA(VLOOKUP(D18,'인원 입력 기능 (사과탐)'!$K$236:$N$284,4,FALSE),0))</f>
        <v>26</v>
      </c>
      <c r="H18" s="73">
        <f t="shared" si="4"/>
        <v>3.0130953760574807E-3</v>
      </c>
      <c r="I18" s="77">
        <f>SUM($G$7:G18)</f>
        <v>388</v>
      </c>
      <c r="J18" s="75">
        <f t="shared" si="5"/>
        <v>4.4964654073473172E-2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75</v>
      </c>
      <c r="E19" s="70">
        <f t="shared" si="0"/>
        <v>2</v>
      </c>
      <c r="F19" s="71">
        <f t="shared" si="3"/>
        <v>95.36</v>
      </c>
      <c r="G19" s="72">
        <f>IF(D19=D18,"",_xlfn.IFNA(VLOOKUP(D19,'인원 입력 기능 (사과탐)'!$K$236:$N$284,4,FALSE),0))</f>
        <v>25</v>
      </c>
      <c r="H19" s="73">
        <f t="shared" si="4"/>
        <v>2.8972070923629621E-3</v>
      </c>
      <c r="I19" s="77">
        <f>SUM($G$7:G19)</f>
        <v>413</v>
      </c>
      <c r="J19" s="75">
        <f t="shared" si="5"/>
        <v>4.7861861165836135E-2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f t="shared" si="2"/>
        <v>73</v>
      </c>
      <c r="E20" s="70">
        <f t="shared" si="0"/>
        <v>2</v>
      </c>
      <c r="F20" s="71">
        <f t="shared" si="3"/>
        <v>95.05</v>
      </c>
      <c r="G20" s="72">
        <f>IF(D20=D19,"",_xlfn.IFNA(VLOOKUP(D20,'인원 입력 기능 (사과탐)'!$K$236:$N$284,4,FALSE),0))</f>
        <v>28</v>
      </c>
      <c r="H20" s="73">
        <f t="shared" si="4"/>
        <v>3.2448719434465174E-3</v>
      </c>
      <c r="I20" s="77">
        <f>SUM($G$7:G20)</f>
        <v>441</v>
      </c>
      <c r="J20" s="75">
        <f t="shared" si="5"/>
        <v>5.1106733109282654E-2</v>
      </c>
      <c r="K20" s="28"/>
      <c r="L20" s="5" t="str">
        <f t="shared" si="1"/>
        <v>경고</v>
      </c>
      <c r="N20" s="1"/>
    </row>
    <row r="21" spans="1:16" ht="25" customHeight="1">
      <c r="A21" s="4"/>
      <c r="B21" s="19"/>
      <c r="C21" s="78">
        <v>36</v>
      </c>
      <c r="D21" s="79">
        <f t="shared" si="2"/>
        <v>72</v>
      </c>
      <c r="E21" s="79">
        <f t="shared" si="0"/>
        <v>2</v>
      </c>
      <c r="F21" s="71">
        <f t="shared" si="3"/>
        <v>94.76</v>
      </c>
      <c r="G21" s="72">
        <f>IF(D21=D20,"",_xlfn.IFNA(VLOOKUP(D21,'인원 입력 기능 (사과탐)'!$K$236:$N$284,4,FALSE),0))</f>
        <v>23</v>
      </c>
      <c r="H21" s="73">
        <f t="shared" si="4"/>
        <v>2.6654305249739253E-3</v>
      </c>
      <c r="I21" s="77">
        <f>SUM($G$7:G21)</f>
        <v>464</v>
      </c>
      <c r="J21" s="75">
        <f t="shared" si="5"/>
        <v>5.3772163634256576E-2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71</v>
      </c>
      <c r="E22" s="79">
        <f t="shared" si="0"/>
        <v>2</v>
      </c>
      <c r="F22" s="71">
        <f t="shared" si="3"/>
        <v>94.45</v>
      </c>
      <c r="G22" s="72">
        <f>IF(D22=D21,"",_xlfn.IFNA(VLOOKUP(D22,'인원 입력 기능 (사과탐)'!$K$236:$N$284,4,FALSE),0))</f>
        <v>29</v>
      </c>
      <c r="H22" s="73">
        <f t="shared" si="4"/>
        <v>3.360760227141036E-3</v>
      </c>
      <c r="I22" s="77">
        <f>SUM($G$7:G22)</f>
        <v>493</v>
      </c>
      <c r="J22" s="75">
        <f t="shared" si="5"/>
        <v>5.7132923861397615E-2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70</v>
      </c>
      <c r="E23" s="79">
        <f t="shared" si="0"/>
        <v>2</v>
      </c>
      <c r="F23" s="71">
        <f t="shared" si="3"/>
        <v>94.11</v>
      </c>
      <c r="G23" s="72">
        <f>IF(D23=D22,"",_xlfn.IFNA(VLOOKUP(D23,'인원 입력 기능 (사과탐)'!$K$236:$N$284,4,FALSE),0))</f>
        <v>31</v>
      </c>
      <c r="H23" s="73">
        <f t="shared" si="4"/>
        <v>3.5925367945300732E-3</v>
      </c>
      <c r="I23" s="77">
        <f>SUM($G$7:G23)</f>
        <v>524</v>
      </c>
      <c r="J23" s="75">
        <f t="shared" si="5"/>
        <v>6.0725460655927689E-2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69</v>
      </c>
      <c r="E24" s="79">
        <f t="shared" si="0"/>
        <v>2</v>
      </c>
      <c r="F24" s="71">
        <f t="shared" si="3"/>
        <v>93.73</v>
      </c>
      <c r="G24" s="72">
        <f>IF(D24=D23,"",_xlfn.IFNA(VLOOKUP(D24,'인원 입력 기능 (사과탐)'!$K$236:$N$284,4,FALSE),0))</f>
        <v>34</v>
      </c>
      <c r="H24" s="73">
        <f t="shared" si="4"/>
        <v>3.9402016456136285E-3</v>
      </c>
      <c r="I24" s="77">
        <f>SUM($G$7:G24)</f>
        <v>558</v>
      </c>
      <c r="J24" s="75">
        <f t="shared" si="5"/>
        <v>6.4665662301541318E-2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68</v>
      </c>
      <c r="E25" s="79">
        <f t="shared" si="0"/>
        <v>2</v>
      </c>
      <c r="F25" s="71">
        <f t="shared" si="3"/>
        <v>93.3</v>
      </c>
      <c r="G25" s="72">
        <f>IF(D25=D24,"",_xlfn.IFNA(VLOOKUP(D25,'인원 입력 기능 (사과탐)'!$K$236:$N$284,4,FALSE),0))</f>
        <v>40</v>
      </c>
      <c r="H25" s="73">
        <f t="shared" si="4"/>
        <v>4.6355313477807391E-3</v>
      </c>
      <c r="I25" s="77">
        <f>SUM($G$7:G25)</f>
        <v>598</v>
      </c>
      <c r="J25" s="75">
        <f t="shared" si="5"/>
        <v>6.9301193649322052E-2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92.91</v>
      </c>
      <c r="G26" s="72">
        <f>IF(D26=D25,"",_xlfn.IFNA(VLOOKUP(D26,'인원 입력 기능 (사과탐)'!$K$236:$N$284,4,FALSE),0))</f>
        <v>27</v>
      </c>
      <c r="H26" s="73">
        <f t="shared" si="4"/>
        <v>3.1289836597519992E-3</v>
      </c>
      <c r="I26" s="77">
        <f>SUM($G$7:G26)</f>
        <v>625</v>
      </c>
      <c r="J26" s="75">
        <f t="shared" si="5"/>
        <v>7.2430177309074056E-2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92.49</v>
      </c>
      <c r="G27" s="72">
        <f>IF(D27=D26,"",_xlfn.IFNA(VLOOKUP(D27,'인원 입력 기능 (사과탐)'!$K$236:$N$284,4,FALSE),0))</f>
        <v>46</v>
      </c>
      <c r="H27" s="73">
        <f t="shared" si="4"/>
        <v>5.3308610499478506E-3</v>
      </c>
      <c r="I27" s="77">
        <f>SUM($G$7:G27)</f>
        <v>671</v>
      </c>
      <c r="J27" s="75">
        <f t="shared" si="5"/>
        <v>7.77610383590219E-2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91.93</v>
      </c>
      <c r="G28" s="72">
        <f>IF(D28=D27,"",_xlfn.IFNA(VLOOKUP(D28,'인원 입력 기능 (사과탐)'!$K$236:$N$284,4,FALSE),0))</f>
        <v>51</v>
      </c>
      <c r="H28" s="73">
        <f t="shared" si="4"/>
        <v>5.9103024684204423E-3</v>
      </c>
      <c r="I28" s="77">
        <f>SUM($G$7:G28)</f>
        <v>722</v>
      </c>
      <c r="J28" s="75">
        <f t="shared" si="5"/>
        <v>8.3671340827442348E-2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91.34</v>
      </c>
      <c r="G29" s="72">
        <f>IF(D29=D28,"",_xlfn.IFNA(VLOOKUP(D29,'인원 입력 기능 (사과탐)'!$K$236:$N$284,4,FALSE),0))</f>
        <v>51</v>
      </c>
      <c r="H29" s="73">
        <f t="shared" si="4"/>
        <v>5.9103024684204423E-3</v>
      </c>
      <c r="I29" s="77">
        <f>SUM($G$7:G29)</f>
        <v>773</v>
      </c>
      <c r="J29" s="75">
        <f t="shared" si="5"/>
        <v>8.9581643295862795E-2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90.62</v>
      </c>
      <c r="G30" s="72">
        <f>IF(D30=D29,"",_xlfn.IFNA(VLOOKUP(D30,'인원 입력 기능 (사과탐)'!$K$236:$N$284,4,FALSE),0))</f>
        <v>72</v>
      </c>
      <c r="H30" s="73">
        <f t="shared" si="4"/>
        <v>8.3439564260053313E-3</v>
      </c>
      <c r="I30" s="77">
        <f>SUM($G$7:G30)</f>
        <v>845</v>
      </c>
      <c r="J30" s="75">
        <f t="shared" si="5"/>
        <v>9.7925599721868123E-2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62</v>
      </c>
      <c r="E31" s="79">
        <f t="shared" si="0"/>
        <v>2</v>
      </c>
      <c r="F31" s="71">
        <f t="shared" si="3"/>
        <v>89.8</v>
      </c>
      <c r="G31" s="72">
        <f>IF(D31=D30,"",_xlfn.IFNA(VLOOKUP(D31,'인원 입력 기능 (사과탐)'!$K$236:$N$284,4,FALSE),0))</f>
        <v>70</v>
      </c>
      <c r="H31" s="73">
        <f t="shared" si="4"/>
        <v>8.1121798586162933E-3</v>
      </c>
      <c r="I31" s="77">
        <f>SUM($G$7:G31)</f>
        <v>915</v>
      </c>
      <c r="J31" s="75">
        <f t="shared" si="5"/>
        <v>0.10603777958048441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61</v>
      </c>
      <c r="E32" s="79">
        <f t="shared" si="0"/>
        <v>2</v>
      </c>
      <c r="F32" s="71">
        <f t="shared" si="3"/>
        <v>88.9</v>
      </c>
      <c r="G32" s="72">
        <f>IF(D32=D31,"",_xlfn.IFNA(VLOOKUP(D32,'인원 입력 기능 (사과탐)'!$K$236:$N$284,4,FALSE),0))</f>
        <v>85</v>
      </c>
      <c r="H32" s="73">
        <f t="shared" si="4"/>
        <v>9.8505041140340716E-3</v>
      </c>
      <c r="I32" s="77">
        <f>SUM($G$7:G32)</f>
        <v>1000</v>
      </c>
      <c r="J32" s="75">
        <f t="shared" si="5"/>
        <v>0.11588828369451848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60</v>
      </c>
      <c r="E33" s="79">
        <f t="shared" si="0"/>
        <v>3</v>
      </c>
      <c r="F33" s="71">
        <f t="shared" si="3"/>
        <v>87.86</v>
      </c>
      <c r="G33" s="72">
        <f>IF(D33=D32,"",_xlfn.IFNA(VLOOKUP(D33,'인원 입력 기능 (사과탐)'!$K$236:$N$284,4,FALSE),0))</f>
        <v>95</v>
      </c>
      <c r="H33" s="73">
        <f t="shared" si="4"/>
        <v>1.1009386950979257E-2</v>
      </c>
      <c r="I33" s="77">
        <f>SUM($G$7:G33)</f>
        <v>1095</v>
      </c>
      <c r="J33" s="75">
        <f t="shared" si="5"/>
        <v>0.12689767064549773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59</v>
      </c>
      <c r="E34" s="79">
        <f t="shared" si="0"/>
        <v>3</v>
      </c>
      <c r="F34" s="71">
        <f t="shared" si="3"/>
        <v>86.72</v>
      </c>
      <c r="G34" s="72">
        <f>IF(D34=D33,"",_xlfn.IFNA(VLOOKUP(D34,'인원 입력 기능 (사과탐)'!$K$236:$N$284,4,FALSE),0))</f>
        <v>101</v>
      </c>
      <c r="H34" s="73">
        <f t="shared" si="4"/>
        <v>1.1704716653146367E-2</v>
      </c>
      <c r="I34" s="77">
        <f>SUM($G$7:G34)</f>
        <v>1196</v>
      </c>
      <c r="J34" s="75">
        <f t="shared" si="5"/>
        <v>0.1386023872986441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58</v>
      </c>
      <c r="E35" s="79">
        <f t="shared" si="0"/>
        <v>3</v>
      </c>
      <c r="F35" s="71">
        <f t="shared" si="3"/>
        <v>85.28</v>
      </c>
      <c r="G35" s="72">
        <f>IF(D35=D34,"",_xlfn.IFNA(VLOOKUP(D35,'인원 입력 기능 (사과탐)'!$K$236:$N$284,4,FALSE),0))</f>
        <v>149</v>
      </c>
      <c r="H35" s="73">
        <f t="shared" si="4"/>
        <v>1.7267354270483252E-2</v>
      </c>
      <c r="I35" s="77">
        <f>SUM($G$7:G35)</f>
        <v>1345</v>
      </c>
      <c r="J35" s="75">
        <f t="shared" si="5"/>
        <v>0.15586974156912736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57</v>
      </c>
      <c r="E36" s="79">
        <f t="shared" si="0"/>
        <v>3</v>
      </c>
      <c r="F36" s="71">
        <f t="shared" si="3"/>
        <v>83.56</v>
      </c>
      <c r="G36" s="72">
        <f>IF(D36=D35,"",_xlfn.IFNA(VLOOKUP(D36,'인원 입력 기능 (사과탐)'!$K$236:$N$284,4,FALSE),0))</f>
        <v>147</v>
      </c>
      <c r="H36" s="73">
        <f t="shared" si="4"/>
        <v>1.7035577703094218E-2</v>
      </c>
      <c r="I36" s="77">
        <f>SUM($G$7:G36)</f>
        <v>1492</v>
      </c>
      <c r="J36" s="75">
        <f t="shared" si="5"/>
        <v>0.17290531927222158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56</v>
      </c>
      <c r="E37" s="79">
        <f t="shared" si="0"/>
        <v>3</v>
      </c>
      <c r="F37" s="71">
        <f t="shared" si="3"/>
        <v>81.64</v>
      </c>
      <c r="G37" s="72">
        <f>IF(D37=D36,"",_xlfn.IFNA(VLOOKUP(D37,'인원 입력 기능 (사과탐)'!$K$236:$N$284,4,FALSE),0))</f>
        <v>185</v>
      </c>
      <c r="H37" s="73">
        <f t="shared" si="4"/>
        <v>2.143933248348592E-2</v>
      </c>
      <c r="I37" s="77">
        <f>SUM($G$7:G37)</f>
        <v>1677</v>
      </c>
      <c r="J37" s="75">
        <f t="shared" si="5"/>
        <v>0.1943446517557075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55</v>
      </c>
      <c r="E38" s="79">
        <f t="shared" si="0"/>
        <v>3</v>
      </c>
      <c r="F38" s="71">
        <f t="shared" si="3"/>
        <v>79.7</v>
      </c>
      <c r="G38" s="72">
        <f>IF(D38=D37,"",_xlfn.IFNA(VLOOKUP(D38,'인원 입력 기능 (사과탐)'!$K$236:$N$284,4,FALSE),0))</f>
        <v>149</v>
      </c>
      <c r="H38" s="73">
        <f t="shared" si="4"/>
        <v>1.7267354270483252E-2</v>
      </c>
      <c r="I38" s="77">
        <f>SUM($G$7:G38)</f>
        <v>1826</v>
      </c>
      <c r="J38" s="75">
        <f t="shared" si="5"/>
        <v>0.21161200602619076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54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77.67</v>
      </c>
      <c r="G39" s="72">
        <f>IF(D39=D38,"",_xlfn.IFNA(VLOOKUP(D39,'인원 입력 기능 (사과탐)'!$K$236:$N$284,4,FALSE),0))</f>
        <v>201</v>
      </c>
      <c r="H39" s="73">
        <f t="shared" si="4"/>
        <v>2.3293545022598214E-2</v>
      </c>
      <c r="I39" s="77">
        <f>SUM($G$7:G39)</f>
        <v>2027</v>
      </c>
      <c r="J39" s="75">
        <f t="shared" si="5"/>
        <v>0.23490555104878896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53</v>
      </c>
      <c r="E40" s="79">
        <f t="shared" si="6"/>
        <v>4</v>
      </c>
      <c r="F40" s="71">
        <f t="shared" si="3"/>
        <v>74.72</v>
      </c>
      <c r="G40" s="72">
        <f>IF(D40=D39,"",_xlfn.IFNA(VLOOKUP(D40,'인원 입력 기능 (사과탐)'!$K$236:$N$284,4,FALSE),0))</f>
        <v>309</v>
      </c>
      <c r="H40" s="73">
        <f t="shared" si="4"/>
        <v>3.5809479661606212E-2</v>
      </c>
      <c r="I40" s="77">
        <f>SUM($G$7:G40)</f>
        <v>2336</v>
      </c>
      <c r="J40" s="75">
        <f t="shared" si="5"/>
        <v>0.27071503071039515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52</v>
      </c>
      <c r="E41" s="79">
        <f t="shared" si="6"/>
        <v>4</v>
      </c>
      <c r="F41" s="71">
        <f t="shared" si="3"/>
        <v>71.34</v>
      </c>
      <c r="G41" s="72">
        <f>IF(D41=D40,"",_xlfn.IFNA(VLOOKUP(D41,'인원 입력 기능 (사과탐)'!$K$236:$N$284,4,FALSE),0))</f>
        <v>275</v>
      </c>
      <c r="H41" s="73">
        <f t="shared" si="4"/>
        <v>3.1869278015992583E-2</v>
      </c>
      <c r="I41" s="77">
        <f>SUM($G$7:G41)</f>
        <v>2611</v>
      </c>
      <c r="J41" s="75">
        <f t="shared" si="5"/>
        <v>0.30258430872638775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51</v>
      </c>
      <c r="E42" s="79">
        <f t="shared" si="6"/>
        <v>4</v>
      </c>
      <c r="F42" s="71">
        <f t="shared" si="3"/>
        <v>67.59</v>
      </c>
      <c r="G42" s="72">
        <f>IF(D42=D41,"",_xlfn.IFNA(VLOOKUP(D42,'인원 입력 기능 (사과탐)'!$K$236:$N$284,4,FALSE),0))</f>
        <v>372</v>
      </c>
      <c r="H42" s="73">
        <f t="shared" si="4"/>
        <v>4.3110441534360874E-2</v>
      </c>
      <c r="I42" s="77">
        <f>SUM($G$7:G42)</f>
        <v>2983</v>
      </c>
      <c r="J42" s="75">
        <f t="shared" si="5"/>
        <v>0.34569475026074864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50</v>
      </c>
      <c r="E43" s="79">
        <f t="shared" si="6"/>
        <v>4</v>
      </c>
      <c r="F43" s="71">
        <f t="shared" si="3"/>
        <v>63.56</v>
      </c>
      <c r="G43" s="72">
        <f>IF(D43=D42,"",_xlfn.IFNA(VLOOKUP(D43,'인원 입력 기능 (사과탐)'!$K$236:$N$284,4,FALSE),0))</f>
        <v>322</v>
      </c>
      <c r="H43" s="73">
        <f t="shared" si="4"/>
        <v>3.7316027349634955E-2</v>
      </c>
      <c r="I43" s="77">
        <f>SUM($G$7:G43)</f>
        <v>3305</v>
      </c>
      <c r="J43" s="75">
        <f t="shared" si="5"/>
        <v>0.3830107776103836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49</v>
      </c>
      <c r="E44" s="79">
        <f t="shared" si="6"/>
        <v>4</v>
      </c>
      <c r="F44" s="71">
        <f t="shared" si="3"/>
        <v>59.46</v>
      </c>
      <c r="G44" s="72">
        <f>IF(D44=D43,"",_xlfn.IFNA(VLOOKUP(D44,'인원 입력 기능 (사과탐)'!$K$236:$N$284,4,FALSE),0))</f>
        <v>387</v>
      </c>
      <c r="H44" s="73">
        <f t="shared" si="4"/>
        <v>4.4848765789778651E-2</v>
      </c>
      <c r="I44" s="77">
        <f>SUM($G$7:G44)</f>
        <v>3692</v>
      </c>
      <c r="J44" s="75">
        <f t="shared" si="5"/>
        <v>0.42785954340016225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48</v>
      </c>
      <c r="E45" s="79">
        <f t="shared" si="6"/>
        <v>5</v>
      </c>
      <c r="F45" s="71">
        <f t="shared" si="3"/>
        <v>52.07</v>
      </c>
      <c r="G45" s="72">
        <f>IF(D45=D44,"",_xlfn.IFNA(VLOOKUP(D45,'인원 입력 기능 (사과탐)'!$K$236:$N$284,4,FALSE),0))</f>
        <v>887</v>
      </c>
      <c r="H45" s="73">
        <f t="shared" si="4"/>
        <v>0.1027929076370379</v>
      </c>
      <c r="I45" s="77">
        <f>SUM($G$7:G45)</f>
        <v>4579</v>
      </c>
      <c r="J45" s="75">
        <f t="shared" si="5"/>
        <v>0.53065245103720016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47</v>
      </c>
      <c r="E46" s="79">
        <f t="shared" si="6"/>
        <v>5</v>
      </c>
      <c r="F46" s="71">
        <f t="shared" si="3"/>
        <v>43.89</v>
      </c>
      <c r="G46" s="72">
        <f>IF(D46=D45,"",_xlfn.IFNA(VLOOKUP(D46,'인원 입력 기능 (사과탐)'!$K$236:$N$284,4,FALSE),0))</f>
        <v>525</v>
      </c>
      <c r="H46" s="73">
        <f t="shared" si="4"/>
        <v>6.0841348939622203E-2</v>
      </c>
      <c r="I46" s="77">
        <f>SUM($G$7:G46)</f>
        <v>5104</v>
      </c>
      <c r="J46" s="75">
        <f t="shared" si="5"/>
        <v>0.59149379997682239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46</v>
      </c>
      <c r="E47" s="79">
        <f t="shared" si="6"/>
        <v>5</v>
      </c>
      <c r="F47" s="71">
        <f t="shared" si="3"/>
        <v>38.04</v>
      </c>
      <c r="G47" s="72">
        <f>IF(D47=D46,"",_xlfn.IFNA(VLOOKUP(D47,'인원 입력 기능 (사과탐)'!$K$236:$N$284,4,FALSE),0))</f>
        <v>485</v>
      </c>
      <c r="H47" s="73">
        <f t="shared" si="4"/>
        <v>5.6205817591841463E-2</v>
      </c>
      <c r="I47" s="77">
        <f>SUM($G$7:G47)</f>
        <v>5589</v>
      </c>
      <c r="J47" s="75">
        <f t="shared" si="5"/>
        <v>0.64769961756866379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45</v>
      </c>
      <c r="E48" s="79">
        <f t="shared" si="6"/>
        <v>6</v>
      </c>
      <c r="F48" s="71">
        <f t="shared" si="3"/>
        <v>31.4</v>
      </c>
      <c r="G48" s="72">
        <f>IF(D48=D47,"",_xlfn.IFNA(VLOOKUP(D48,'인원 입력 기능 (사과탐)'!$K$236:$N$284,4,FALSE),0))</f>
        <v>661</v>
      </c>
      <c r="H48" s="73">
        <f t="shared" si="4"/>
        <v>7.660215552207672E-2</v>
      </c>
      <c r="I48" s="77">
        <f>SUM($G$7:G48)</f>
        <v>6250</v>
      </c>
      <c r="J48" s="75">
        <f t="shared" si="5"/>
        <v>0.72430177309074051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44</v>
      </c>
      <c r="E49" s="79">
        <f t="shared" si="6"/>
        <v>6</v>
      </c>
      <c r="F49" s="71">
        <f t="shared" si="3"/>
        <v>25.06</v>
      </c>
      <c r="G49" s="72">
        <f>IF(D49=D48,"",_xlfn.IFNA(VLOOKUP(D49,'인원 입력 기능 (사과탐)'!$K$236:$N$284,4,FALSE),0))</f>
        <v>434</v>
      </c>
      <c r="H49" s="73">
        <f t="shared" si="4"/>
        <v>5.0295515123421022E-2</v>
      </c>
      <c r="I49" s="77">
        <f>SUM($G$7:G49)</f>
        <v>6684</v>
      </c>
      <c r="J49" s="75">
        <f t="shared" si="5"/>
        <v>0.77459728821416152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43</v>
      </c>
      <c r="E50" s="79">
        <f t="shared" si="6"/>
        <v>7</v>
      </c>
      <c r="F50" s="71">
        <f t="shared" si="3"/>
        <v>19.190000000000001</v>
      </c>
      <c r="G50" s="72">
        <f>IF(D50=D49,"",_xlfn.IFNA(VLOOKUP(D50,'인원 입력 기능 (사과탐)'!$K$236:$N$284,4,FALSE),0))</f>
        <v>579</v>
      </c>
      <c r="H50" s="73">
        <f t="shared" si="4"/>
        <v>6.7099316259126199E-2</v>
      </c>
      <c r="I50" s="77">
        <f>SUM($G$7:G50)</f>
        <v>7263</v>
      </c>
      <c r="J50" s="75">
        <f t="shared" si="5"/>
        <v>0.84169660447328776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42</v>
      </c>
      <c r="E51" s="79">
        <f t="shared" si="6"/>
        <v>7</v>
      </c>
      <c r="F51" s="71">
        <f t="shared" si="3"/>
        <v>14.45</v>
      </c>
      <c r="G51" s="72">
        <f>IF(D51=D50,"",_xlfn.IFNA(VLOOKUP(D51,'인원 입력 기능 (사과탐)'!$K$236:$N$284,4,FALSE),0))</f>
        <v>238</v>
      </c>
      <c r="H51" s="73">
        <f t="shared" si="4"/>
        <v>2.7581411519295398E-2</v>
      </c>
      <c r="I51" s="77">
        <f>SUM($G$7:G51)</f>
        <v>7501</v>
      </c>
      <c r="J51" s="75">
        <f t="shared" si="5"/>
        <v>0.86927801599258314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41</v>
      </c>
      <c r="E52" s="79">
        <f t="shared" si="6"/>
        <v>7</v>
      </c>
      <c r="F52" s="71">
        <f t="shared" si="3"/>
        <v>10.39</v>
      </c>
      <c r="G52" s="72">
        <f>IF(D52=D51,"",_xlfn.IFNA(VLOOKUP(D52,'인원 입력 기능 (사과탐)'!$K$236:$N$284,4,FALSE),0))</f>
        <v>463</v>
      </c>
      <c r="H52" s="73">
        <f t="shared" si="4"/>
        <v>5.3656275350562055E-2</v>
      </c>
      <c r="I52" s="77">
        <f>SUM($G$7:G52)</f>
        <v>7964</v>
      </c>
      <c r="J52" s="75">
        <f t="shared" si="5"/>
        <v>0.9229342913431452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40</v>
      </c>
      <c r="E53" s="70">
        <f t="shared" si="6"/>
        <v>8</v>
      </c>
      <c r="F53" s="71">
        <f t="shared" si="3"/>
        <v>6.06</v>
      </c>
      <c r="G53" s="72">
        <f>IF(D53=D52,"",_xlfn.IFNA(VLOOKUP(D53,'인원 입력 기능 (사과탐)'!$K$236:$N$284,4,FALSE),0))</f>
        <v>285</v>
      </c>
      <c r="H53" s="73">
        <f t="shared" si="4"/>
        <v>3.302816085293777E-2</v>
      </c>
      <c r="I53" s="77">
        <f>SUM($G$7:G53)</f>
        <v>8249</v>
      </c>
      <c r="J53" s="75">
        <f t="shared" si="5"/>
        <v>0.955962452196083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39</v>
      </c>
      <c r="E54" s="70">
        <f t="shared" si="6"/>
        <v>8</v>
      </c>
      <c r="F54" s="71">
        <f t="shared" si="3"/>
        <v>3.7</v>
      </c>
      <c r="G54" s="72">
        <f>IF(D54=D53,"",_xlfn.IFNA(VLOOKUP(D54,'인원 입력 기능 (사과탐)'!$K$236:$N$284,4,FALSE),0))</f>
        <v>121</v>
      </c>
      <c r="H54" s="73">
        <f t="shared" si="4"/>
        <v>1.4022482327036737E-2</v>
      </c>
      <c r="I54" s="77">
        <f>SUM($G$7:G54)</f>
        <v>8370</v>
      </c>
      <c r="J54" s="75">
        <f t="shared" si="5"/>
        <v>0.96998493452311974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37</v>
      </c>
      <c r="E55" s="70">
        <f t="shared" si="6"/>
        <v>9</v>
      </c>
      <c r="F55" s="71">
        <f t="shared" si="3"/>
        <v>1.8</v>
      </c>
      <c r="G55" s="72">
        <f>IF(D55=D54,"",_xlfn.IFNA(VLOOKUP(D55,'인원 입력 기능 (사과탐)'!$K$236:$N$284,4,FALSE),0))</f>
        <v>207</v>
      </c>
      <c r="H55" s="73">
        <f t="shared" si="4"/>
        <v>2.3988874724765328E-2</v>
      </c>
      <c r="I55" s="77">
        <f>SUM($G$7:G55)</f>
        <v>8577</v>
      </c>
      <c r="J55" s="75">
        <f t="shared" si="5"/>
        <v>0.99397380924788503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35</v>
      </c>
      <c r="E57" s="83">
        <f t="shared" si="6"/>
        <v>9</v>
      </c>
      <c r="F57" s="84">
        <f>IF(I55=0,ROUND(100*(1-(I54+I57)/2/$J$3),2),ROUND(100*(1-(I55+I57)/2/$J$3),2))</f>
        <v>0.3</v>
      </c>
      <c r="G57" s="85">
        <f>_xlfn.IFNA(VLOOKUP(D57,'인원 입력 기능 (사과탐)'!$K$236:$N$284,4,FALSE),0)</f>
        <v>52</v>
      </c>
      <c r="H57" s="86">
        <f>G57/$J$3</f>
        <v>6.0261907521149613E-3</v>
      </c>
      <c r="I57" s="87">
        <f>SUM($G$7:G57)</f>
        <v>8629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57">
    <cfRule type="expression" dxfId="5" priority="3">
      <formula>OR($D7=$Q$7:$Q$14)</formula>
    </cfRule>
  </conditionalFormatting>
  <conditionalFormatting sqref="C7:C57">
    <cfRule type="expression" dxfId="4" priority="2">
      <formula>OR(AND($D7=0,OR($D6=$Q$7:$Q$14)),AND($D8&gt;0,OR($D7=$Q$7:$Q$14)))</formula>
    </cfRule>
  </conditionalFormatting>
  <conditionalFormatting sqref="D7:D57">
    <cfRule type="expression" dxfId="3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Q105"/>
  <sheetViews>
    <sheetView zoomScale="85" zoomScaleNormal="85" workbookViewId="0">
      <selection activeCell="B2" sqref="B2:K58"/>
    </sheetView>
  </sheetViews>
  <sheetFormatPr defaultRowHeight="17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>
      <c r="A3" s="4"/>
      <c r="B3" s="19"/>
      <c r="C3" s="33" t="s">
        <v>71</v>
      </c>
      <c r="D3" s="104" t="s">
        <v>136</v>
      </c>
      <c r="E3" s="105"/>
      <c r="F3" s="106"/>
      <c r="G3" s="33" t="s">
        <v>72</v>
      </c>
      <c r="H3" s="34" t="str">
        <f>'통계 및 응시자 수 입력 기능'!D22</f>
        <v>14.18</v>
      </c>
      <c r="I3" s="15" t="s">
        <v>84</v>
      </c>
      <c r="J3" s="35">
        <f>'통계 및 응시자 수 입력 기능'!C22</f>
        <v>6383</v>
      </c>
      <c r="K3" s="28"/>
      <c r="L3" s="5"/>
    </row>
    <row r="4" spans="1:17" ht="25" customHeight="1" thickBot="1">
      <c r="A4" s="4"/>
      <c r="B4" s="19"/>
      <c r="C4" s="36" t="s">
        <v>85</v>
      </c>
      <c r="D4" s="107" t="s">
        <v>88</v>
      </c>
      <c r="E4" s="108"/>
      <c r="F4" s="109"/>
      <c r="G4" s="37" t="s">
        <v>87</v>
      </c>
      <c r="H4" s="38" t="str">
        <f>'통계 및 응시자 수 입력 기능'!E22</f>
        <v xml:space="preserve"> 9.71</v>
      </c>
      <c r="I4" s="16"/>
      <c r="J4" s="29"/>
      <c r="K4" s="28"/>
      <c r="L4" s="5"/>
    </row>
    <row r="5" spans="1:17" ht="25" customHeight="1" thickBot="1">
      <c r="A5" s="4"/>
      <c r="B5" s="19"/>
      <c r="C5" s="20"/>
      <c r="D5" s="20"/>
      <c r="E5" s="20"/>
      <c r="F5" s="20"/>
      <c r="G5" s="20"/>
      <c r="H5" s="21"/>
      <c r="I5" s="21"/>
      <c r="J5" s="21"/>
      <c r="K5" s="28"/>
      <c r="L5" s="5"/>
    </row>
    <row r="6" spans="1:17" ht="25" customHeight="1" thickBot="1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>
      <c r="A7" s="4"/>
      <c r="B7" s="19"/>
      <c r="C7" s="69">
        <v>50</v>
      </c>
      <c r="D7" s="70">
        <f>ROUND(10*(C7-$H$3)/$H$4+50,0)</f>
        <v>87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99.33</v>
      </c>
      <c r="G7" s="72">
        <f>_xlfn.IFNA(VLOOKUP(D7,'인원 입력 기능 (사과탐)'!$P$236:$S$284,4,FALSE),0)</f>
        <v>85</v>
      </c>
      <c r="H7" s="73">
        <f>G7/$J$3</f>
        <v>1.331662227792574E-2</v>
      </c>
      <c r="I7" s="74">
        <f>G7</f>
        <v>85</v>
      </c>
      <c r="J7" s="75">
        <f>I7/$J$3</f>
        <v>1.331662227792574E-2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입력기능'!C166</f>
        <v>76</v>
      </c>
    </row>
    <row r="8" spans="1:17" ht="25" customHeight="1">
      <c r="A8" s="4"/>
      <c r="B8" s="19"/>
      <c r="C8" s="76">
        <v>49</v>
      </c>
      <c r="D8" s="110" t="s">
        <v>61</v>
      </c>
      <c r="E8" s="111"/>
      <c r="F8" s="111"/>
      <c r="G8" s="111"/>
      <c r="H8" s="111"/>
      <c r="I8" s="111"/>
      <c r="J8" s="112"/>
      <c r="K8" s="28"/>
      <c r="L8" s="5"/>
      <c r="N8" s="1"/>
      <c r="P8" s="1">
        <v>2</v>
      </c>
      <c r="Q8" s="1">
        <f>'표준점수 등급컷 입력기능'!C167</f>
        <v>62</v>
      </c>
    </row>
    <row r="9" spans="1:17" ht="25" customHeight="1">
      <c r="A9" s="4"/>
      <c r="B9" s="19"/>
      <c r="C9" s="69">
        <v>48</v>
      </c>
      <c r="D9" s="70">
        <f>ROUND(10*(C9-$H$3)/$H$4+50,0)</f>
        <v>85</v>
      </c>
      <c r="E9" s="70">
        <f t="shared" si="0"/>
        <v>1</v>
      </c>
      <c r="F9" s="71">
        <f>IF(I8=0,ROUND(100*(1-(I7+I9)/2/$J$3),2),ROUND(100*(1-(I8+I9)/2/$J$3),2))</f>
        <v>98.44</v>
      </c>
      <c r="G9" s="72">
        <f>_xlfn.IFNA(VLOOKUP(D9,'인원 입력 기능 (사과탐)'!$P$236:$S$284,4,FALSE),0)</f>
        <v>29</v>
      </c>
      <c r="H9" s="73">
        <f>G9/$J$3</f>
        <v>4.5433181889393704E-3</v>
      </c>
      <c r="I9" s="77">
        <f>SUM($G$7:G9)</f>
        <v>114</v>
      </c>
      <c r="J9" s="75">
        <f>I9/$J$3</f>
        <v>1.785994046686511E-2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입력기능'!C168</f>
        <v>54</v>
      </c>
    </row>
    <row r="10" spans="1:17" ht="25" customHeight="1">
      <c r="A10" s="4"/>
      <c r="B10" s="19"/>
      <c r="C10" s="76">
        <v>47</v>
      </c>
      <c r="D10" s="70">
        <f t="shared" ref="D10:D55" si="2">ROUND(10*(C10-$H$3)/$H$4+50,0)</f>
        <v>84</v>
      </c>
      <c r="E10" s="70">
        <f t="shared" si="0"/>
        <v>1</v>
      </c>
      <c r="F10" s="71">
        <f t="shared" ref="F10:F55" si="3">IF(I9=0,ROUND(100*(1-(I8+I10)/2/$J$3),2),ROUND(100*(1-(I9+I10)/2/$J$3),2))</f>
        <v>97.96</v>
      </c>
      <c r="G10" s="72">
        <f>IF(D10=D9,"",_xlfn.IFNA(VLOOKUP(D10,'인원 입력 기능 (사과탐)'!$P$236:$S$284,4,FALSE),0))</f>
        <v>32</v>
      </c>
      <c r="H10" s="73">
        <f t="shared" ref="H10:H55" si="4">G10/$J$3</f>
        <v>5.0133166222779257E-3</v>
      </c>
      <c r="I10" s="77">
        <f>SUM($G$7:G10)</f>
        <v>146</v>
      </c>
      <c r="J10" s="75">
        <f t="shared" ref="J10:J55" si="5">I10/$J$3</f>
        <v>2.2873257089143038E-2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입력기능'!C169</f>
        <v>49</v>
      </c>
    </row>
    <row r="11" spans="1:17" ht="25" customHeight="1">
      <c r="A11" s="4"/>
      <c r="B11" s="19"/>
      <c r="C11" s="69">
        <v>46</v>
      </c>
      <c r="D11" s="70">
        <f t="shared" si="2"/>
        <v>83</v>
      </c>
      <c r="E11" s="70">
        <f t="shared" si="0"/>
        <v>1</v>
      </c>
      <c r="F11" s="71">
        <f t="shared" si="3"/>
        <v>97.67</v>
      </c>
      <c r="G11" s="72">
        <f>IF(D11=D10,"",_xlfn.IFNA(VLOOKUP(D11,'인원 입력 기능 (사과탐)'!$P$236:$S$284,4,FALSE),0))</f>
        <v>6</v>
      </c>
      <c r="H11" s="73">
        <f t="shared" si="4"/>
        <v>9.3999686667711106E-4</v>
      </c>
      <c r="I11" s="77">
        <f>SUM($G$7:G11)</f>
        <v>152</v>
      </c>
      <c r="J11" s="75">
        <f t="shared" si="5"/>
        <v>2.3813253955820148E-2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입력기능'!C170</f>
        <v>46</v>
      </c>
    </row>
    <row r="12" spans="1:17" ht="25" customHeight="1">
      <c r="A12" s="4"/>
      <c r="B12" s="19"/>
      <c r="C12" s="76">
        <v>45</v>
      </c>
      <c r="D12" s="70">
        <f t="shared" si="2"/>
        <v>82</v>
      </c>
      <c r="E12" s="70">
        <f t="shared" si="0"/>
        <v>1</v>
      </c>
      <c r="F12" s="71">
        <f t="shared" si="3"/>
        <v>97.44</v>
      </c>
      <c r="G12" s="72">
        <f>IF(D12=D11,"",_xlfn.IFNA(VLOOKUP(D12,'인원 입력 기능 (사과탐)'!$P$236:$S$284,4,FALSE),0))</f>
        <v>23</v>
      </c>
      <c r="H12" s="73">
        <f t="shared" si="4"/>
        <v>3.603321322262259E-3</v>
      </c>
      <c r="I12" s="77">
        <f>SUM($G$7:G12)</f>
        <v>175</v>
      </c>
      <c r="J12" s="75">
        <f t="shared" si="5"/>
        <v>2.7416575278082406E-2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입력기능'!C171</f>
        <v>44</v>
      </c>
    </row>
    <row r="13" spans="1:17" ht="25" customHeight="1">
      <c r="A13" s="4"/>
      <c r="B13" s="19"/>
      <c r="C13" s="69">
        <v>44</v>
      </c>
      <c r="D13" s="70">
        <f t="shared" si="2"/>
        <v>81</v>
      </c>
      <c r="E13" s="70">
        <f t="shared" si="0"/>
        <v>1</v>
      </c>
      <c r="F13" s="71">
        <f t="shared" si="3"/>
        <v>97.14</v>
      </c>
      <c r="G13" s="72">
        <f>IF(D13=D12,"",_xlfn.IFNA(VLOOKUP(D13,'인원 입력 기능 (사과탐)'!$P$236:$S$284,4,FALSE),0))</f>
        <v>15</v>
      </c>
      <c r="H13" s="73">
        <f t="shared" si="4"/>
        <v>2.3499921666927776E-3</v>
      </c>
      <c r="I13" s="77">
        <f>SUM($G$7:G13)</f>
        <v>190</v>
      </c>
      <c r="J13" s="75">
        <f t="shared" si="5"/>
        <v>2.9766567444775183E-2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입력기능'!C172</f>
        <v>42</v>
      </c>
    </row>
    <row r="14" spans="1:17" ht="25" customHeight="1">
      <c r="A14" s="4"/>
      <c r="B14" s="19"/>
      <c r="C14" s="76">
        <v>43</v>
      </c>
      <c r="D14" s="70">
        <f t="shared" si="2"/>
        <v>80</v>
      </c>
      <c r="E14" s="70">
        <f t="shared" si="0"/>
        <v>1</v>
      </c>
      <c r="F14" s="71">
        <f t="shared" si="3"/>
        <v>96.97</v>
      </c>
      <c r="G14" s="72">
        <f>IF(D14=D13,"",_xlfn.IFNA(VLOOKUP(D14,'인원 입력 기능 (사과탐)'!$P$236:$S$284,4,FALSE),0))</f>
        <v>7</v>
      </c>
      <c r="H14" s="73">
        <f t="shared" si="4"/>
        <v>1.0966630111232962E-3</v>
      </c>
      <c r="I14" s="77">
        <f>SUM($G$7:G14)</f>
        <v>197</v>
      </c>
      <c r="J14" s="75">
        <f t="shared" si="5"/>
        <v>3.0863230455898481E-2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입력기능'!C173</f>
        <v>40</v>
      </c>
    </row>
    <row r="15" spans="1:17" ht="25" customHeight="1">
      <c r="A15" s="4"/>
      <c r="B15" s="19"/>
      <c r="C15" s="69">
        <v>42</v>
      </c>
      <c r="D15" s="70">
        <f t="shared" si="2"/>
        <v>79</v>
      </c>
      <c r="E15" s="70">
        <f t="shared" si="0"/>
        <v>1</v>
      </c>
      <c r="F15" s="71">
        <f t="shared" si="3"/>
        <v>96.72</v>
      </c>
      <c r="G15" s="72">
        <f>IF(D15=D14,"",_xlfn.IFNA(VLOOKUP(D15,'인원 입력 기능 (사과탐)'!$P$236:$S$284,4,FALSE),0))</f>
        <v>25</v>
      </c>
      <c r="H15" s="73">
        <f t="shared" si="4"/>
        <v>3.9166536111546295E-3</v>
      </c>
      <c r="I15" s="77">
        <f>SUM($G$7:G15)</f>
        <v>222</v>
      </c>
      <c r="J15" s="75">
        <f t="shared" si="5"/>
        <v>3.477988406705311E-2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>
      <c r="A16" s="4"/>
      <c r="B16" s="19"/>
      <c r="C16" s="76">
        <v>41</v>
      </c>
      <c r="D16" s="70">
        <f t="shared" si="2"/>
        <v>78</v>
      </c>
      <c r="E16" s="70">
        <f t="shared" si="0"/>
        <v>1</v>
      </c>
      <c r="F16" s="71">
        <f t="shared" si="3"/>
        <v>96.45</v>
      </c>
      <c r="G16" s="72">
        <f>IF(D16=D15,"",_xlfn.IFNA(VLOOKUP(D16,'인원 입력 기능 (사과탐)'!$P$236:$S$284,4,FALSE),0))</f>
        <v>9</v>
      </c>
      <c r="H16" s="73">
        <f t="shared" si="4"/>
        <v>1.4099953000156666E-3</v>
      </c>
      <c r="I16" s="77">
        <f>SUM($G$7:G16)</f>
        <v>231</v>
      </c>
      <c r="J16" s="75">
        <f t="shared" si="5"/>
        <v>3.6189879367068779E-2</v>
      </c>
      <c r="K16" s="28"/>
      <c r="L16" s="5" t="str">
        <f t="shared" si="1"/>
        <v/>
      </c>
      <c r="N16" s="1"/>
    </row>
    <row r="17" spans="1:16" ht="25" customHeight="1">
      <c r="A17" s="4"/>
      <c r="B17" s="19"/>
      <c r="C17" s="69">
        <v>40</v>
      </c>
      <c r="D17" s="70">
        <f t="shared" si="2"/>
        <v>77</v>
      </c>
      <c r="E17" s="70">
        <f t="shared" si="0"/>
        <v>1</v>
      </c>
      <c r="F17" s="71">
        <f t="shared" si="3"/>
        <v>96.19</v>
      </c>
      <c r="G17" s="72">
        <f>IF(D17=D16,"",_xlfn.IFNA(VLOOKUP(D17,'인원 입력 기능 (사과탐)'!$P$236:$S$284,4,FALSE),0))</f>
        <v>24</v>
      </c>
      <c r="H17" s="73">
        <f t="shared" si="4"/>
        <v>3.7599874667084443E-3</v>
      </c>
      <c r="I17" s="77">
        <f>SUM($G$7:G17)</f>
        <v>255</v>
      </c>
      <c r="J17" s="75">
        <f t="shared" si="5"/>
        <v>3.9949866833777221E-2</v>
      </c>
      <c r="K17" s="28"/>
      <c r="L17" s="5" t="str">
        <f t="shared" si="1"/>
        <v/>
      </c>
      <c r="N17" s="1"/>
      <c r="P17" s="1">
        <f>Q7*H3*H4*J3*IFERROR(IF(J57=1, 1, 0), 0)</f>
        <v>66793453.282400005</v>
      </c>
    </row>
    <row r="18" spans="1:16" ht="25" customHeight="1">
      <c r="A18" s="4"/>
      <c r="B18" s="19"/>
      <c r="C18" s="76">
        <v>39</v>
      </c>
      <c r="D18" s="70">
        <f t="shared" si="2"/>
        <v>76</v>
      </c>
      <c r="E18" s="70">
        <f t="shared" si="0"/>
        <v>1</v>
      </c>
      <c r="F18" s="71">
        <f t="shared" si="3"/>
        <v>95.84</v>
      </c>
      <c r="G18" s="72">
        <f>IF(D18=D17,"",_xlfn.IFNA(VLOOKUP(D18,'인원 입력 기능 (사과탐)'!$P$236:$S$284,4,FALSE),0))</f>
        <v>21</v>
      </c>
      <c r="H18" s="73">
        <f t="shared" si="4"/>
        <v>3.2899890333698886E-3</v>
      </c>
      <c r="I18" s="77">
        <f>SUM($G$7:G18)</f>
        <v>276</v>
      </c>
      <c r="J18" s="75">
        <f t="shared" si="5"/>
        <v>4.3239855867147112E-2</v>
      </c>
      <c r="K18" s="28"/>
      <c r="L18" s="5" t="str">
        <f t="shared" si="1"/>
        <v/>
      </c>
      <c r="N18" s="1"/>
    </row>
    <row r="19" spans="1:16" ht="25" customHeight="1">
      <c r="A19" s="4"/>
      <c r="B19" s="19"/>
      <c r="C19" s="69">
        <v>38</v>
      </c>
      <c r="D19" s="70">
        <f t="shared" si="2"/>
        <v>75</v>
      </c>
      <c r="E19" s="70">
        <f t="shared" si="0"/>
        <v>2</v>
      </c>
      <c r="F19" s="71">
        <f t="shared" si="3"/>
        <v>95.54</v>
      </c>
      <c r="G19" s="72">
        <f>IF(D19=D18,"",_xlfn.IFNA(VLOOKUP(D19,'인원 입력 기능 (사과탐)'!$P$236:$S$284,4,FALSE),0))</f>
        <v>17</v>
      </c>
      <c r="H19" s="73">
        <f t="shared" si="4"/>
        <v>2.6633244555851481E-3</v>
      </c>
      <c r="I19" s="77">
        <f>SUM($G$7:G19)</f>
        <v>293</v>
      </c>
      <c r="J19" s="75">
        <f t="shared" si="5"/>
        <v>4.5903180322732259E-2</v>
      </c>
      <c r="K19" s="28"/>
      <c r="L19" s="5" t="str">
        <f t="shared" si="1"/>
        <v/>
      </c>
      <c r="N19" s="1"/>
    </row>
    <row r="20" spans="1:16" ht="25" customHeight="1">
      <c r="A20" s="4"/>
      <c r="B20" s="19"/>
      <c r="C20" s="76">
        <v>37</v>
      </c>
      <c r="D20" s="70">
        <v>73</v>
      </c>
      <c r="E20" s="70">
        <f t="shared" si="0"/>
        <v>2</v>
      </c>
      <c r="F20" s="71">
        <f t="shared" si="3"/>
        <v>95.16</v>
      </c>
      <c r="G20" s="72">
        <f>IF(D20=D19,"",_xlfn.IFNA(VLOOKUP(D20,'인원 입력 기능 (사과탐)'!$P$236:$S$284,4,FALSE),0))</f>
        <v>32</v>
      </c>
      <c r="H20" s="73">
        <f t="shared" si="4"/>
        <v>5.0133166222779257E-3</v>
      </c>
      <c r="I20" s="77">
        <f>SUM($G$7:G20)</f>
        <v>325</v>
      </c>
      <c r="J20" s="75">
        <f t="shared" si="5"/>
        <v>5.0916496945010187E-2</v>
      </c>
      <c r="K20" s="28"/>
      <c r="L20" s="5" t="str">
        <f t="shared" si="1"/>
        <v>경고</v>
      </c>
      <c r="N20" s="1"/>
    </row>
    <row r="21" spans="1:16" ht="25" customHeight="1">
      <c r="A21" s="4"/>
      <c r="B21" s="19"/>
      <c r="C21" s="78">
        <v>36</v>
      </c>
      <c r="D21" s="79">
        <f t="shared" si="2"/>
        <v>72</v>
      </c>
      <c r="E21" s="79">
        <f t="shared" si="0"/>
        <v>2</v>
      </c>
      <c r="F21" s="71">
        <f t="shared" si="3"/>
        <v>94.77</v>
      </c>
      <c r="G21" s="72">
        <f>IF(D21=D20,"",_xlfn.IFNA(VLOOKUP(D21,'인원 입력 기능 (사과탐)'!$P$236:$S$284,4,FALSE),0))</f>
        <v>18</v>
      </c>
      <c r="H21" s="73">
        <f t="shared" si="4"/>
        <v>2.8199906000313333E-3</v>
      </c>
      <c r="I21" s="77">
        <f>SUM($G$7:G21)</f>
        <v>343</v>
      </c>
      <c r="J21" s="75">
        <f t="shared" si="5"/>
        <v>5.3736487545041518E-2</v>
      </c>
      <c r="K21" s="28"/>
      <c r="L21" s="5" t="str">
        <f t="shared" si="1"/>
        <v/>
      </c>
      <c r="N21" s="1"/>
    </row>
    <row r="22" spans="1:16" ht="25" customHeight="1">
      <c r="A22" s="4"/>
      <c r="B22" s="19"/>
      <c r="C22" s="80">
        <v>35</v>
      </c>
      <c r="D22" s="79">
        <f t="shared" si="2"/>
        <v>71</v>
      </c>
      <c r="E22" s="79">
        <f t="shared" si="0"/>
        <v>2</v>
      </c>
      <c r="F22" s="71">
        <f t="shared" si="3"/>
        <v>94.49</v>
      </c>
      <c r="G22" s="72">
        <f>IF(D22=D21,"",_xlfn.IFNA(VLOOKUP(D22,'인원 입력 기능 (사과탐)'!$P$236:$S$284,4,FALSE),0))</f>
        <v>18</v>
      </c>
      <c r="H22" s="73">
        <f t="shared" si="4"/>
        <v>2.8199906000313333E-3</v>
      </c>
      <c r="I22" s="77">
        <f>SUM($G$7:G22)</f>
        <v>361</v>
      </c>
      <c r="J22" s="75">
        <f t="shared" si="5"/>
        <v>5.655647814507285E-2</v>
      </c>
      <c r="K22" s="28"/>
      <c r="L22" s="5" t="str">
        <f t="shared" si="1"/>
        <v/>
      </c>
      <c r="N22" s="1"/>
    </row>
    <row r="23" spans="1:16" ht="25" customHeight="1">
      <c r="A23" s="4"/>
      <c r="B23" s="19"/>
      <c r="C23" s="78">
        <v>34</v>
      </c>
      <c r="D23" s="79">
        <f t="shared" si="2"/>
        <v>70</v>
      </c>
      <c r="E23" s="79">
        <f t="shared" si="0"/>
        <v>2</v>
      </c>
      <c r="F23" s="71">
        <f t="shared" si="3"/>
        <v>94.15</v>
      </c>
      <c r="G23" s="72">
        <f>IF(D23=D22,"",_xlfn.IFNA(VLOOKUP(D23,'인원 입력 기능 (사과탐)'!$P$236:$S$284,4,FALSE),0))</f>
        <v>25</v>
      </c>
      <c r="H23" s="73">
        <f t="shared" si="4"/>
        <v>3.9166536111546295E-3</v>
      </c>
      <c r="I23" s="77">
        <f>SUM($G$7:G23)</f>
        <v>386</v>
      </c>
      <c r="J23" s="75">
        <f t="shared" si="5"/>
        <v>6.0473131756227476E-2</v>
      </c>
      <c r="K23" s="28"/>
      <c r="L23" s="5" t="str">
        <f t="shared" si="1"/>
        <v/>
      </c>
      <c r="N23" s="1"/>
    </row>
    <row r="24" spans="1:16" ht="25" customHeight="1">
      <c r="A24" s="4"/>
      <c r="B24" s="19"/>
      <c r="C24" s="80">
        <v>33</v>
      </c>
      <c r="D24" s="79">
        <f t="shared" si="2"/>
        <v>69</v>
      </c>
      <c r="E24" s="79">
        <f t="shared" si="0"/>
        <v>2</v>
      </c>
      <c r="F24" s="71">
        <f t="shared" si="3"/>
        <v>93.77</v>
      </c>
      <c r="G24" s="72">
        <f>IF(D24=D23,"",_xlfn.IFNA(VLOOKUP(D24,'인원 입력 기능 (사과탐)'!$P$236:$S$284,4,FALSE),0))</f>
        <v>23</v>
      </c>
      <c r="H24" s="73">
        <f t="shared" si="4"/>
        <v>3.603321322262259E-3</v>
      </c>
      <c r="I24" s="77">
        <f>SUM($G$7:G24)</f>
        <v>409</v>
      </c>
      <c r="J24" s="75">
        <f t="shared" si="5"/>
        <v>6.4076453078489734E-2</v>
      </c>
      <c r="K24" s="28"/>
      <c r="L24" s="5" t="str">
        <f t="shared" si="1"/>
        <v/>
      </c>
      <c r="N24" s="1"/>
    </row>
    <row r="25" spans="1:16" ht="25" customHeight="1">
      <c r="A25" s="4"/>
      <c r="B25" s="19"/>
      <c r="C25" s="78">
        <v>32</v>
      </c>
      <c r="D25" s="79">
        <f t="shared" si="2"/>
        <v>68</v>
      </c>
      <c r="E25" s="79">
        <f t="shared" si="0"/>
        <v>2</v>
      </c>
      <c r="F25" s="71">
        <f t="shared" si="3"/>
        <v>93.44</v>
      </c>
      <c r="G25" s="72">
        <f>IF(D25=D24,"",_xlfn.IFNA(VLOOKUP(D25,'인원 입력 기능 (사과탐)'!$P$236:$S$284,4,FALSE),0))</f>
        <v>19</v>
      </c>
      <c r="H25" s="73">
        <f t="shared" si="4"/>
        <v>2.9766567444775185E-3</v>
      </c>
      <c r="I25" s="77">
        <f>SUM($G$7:G25)</f>
        <v>428</v>
      </c>
      <c r="J25" s="75">
        <f t="shared" si="5"/>
        <v>6.7053109822967263E-2</v>
      </c>
      <c r="K25" s="28"/>
      <c r="L25" s="5" t="str">
        <f t="shared" si="1"/>
        <v/>
      </c>
      <c r="N25" s="1"/>
    </row>
    <row r="26" spans="1:16" ht="25" customHeight="1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93.04</v>
      </c>
      <c r="G26" s="72">
        <f>IF(D26=D25,"",_xlfn.IFNA(VLOOKUP(D26,'인원 입력 기능 (사과탐)'!$P$236:$S$284,4,FALSE),0))</f>
        <v>33</v>
      </c>
      <c r="H26" s="73">
        <f t="shared" si="4"/>
        <v>5.1699827667241113E-3</v>
      </c>
      <c r="I26" s="77">
        <f>SUM($G$7:G26)</f>
        <v>461</v>
      </c>
      <c r="J26" s="75">
        <f t="shared" si="5"/>
        <v>7.2223092589691368E-2</v>
      </c>
      <c r="K26" s="28"/>
      <c r="L26" s="5" t="str">
        <f t="shared" si="1"/>
        <v/>
      </c>
      <c r="N26" s="1"/>
    </row>
    <row r="27" spans="1:16" ht="25" customHeight="1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92.54</v>
      </c>
      <c r="G27" s="72">
        <f>IF(D27=D26,"",_xlfn.IFNA(VLOOKUP(D27,'인원 입력 기능 (사과탐)'!$P$236:$S$284,4,FALSE),0))</f>
        <v>30</v>
      </c>
      <c r="H27" s="73">
        <f t="shared" si="4"/>
        <v>4.6999843333855552E-3</v>
      </c>
      <c r="I27" s="77">
        <f>SUM($G$7:G27)</f>
        <v>491</v>
      </c>
      <c r="J27" s="75">
        <f t="shared" si="5"/>
        <v>7.6923076923076927E-2</v>
      </c>
      <c r="K27" s="28"/>
      <c r="L27" s="5" t="str">
        <f t="shared" si="1"/>
        <v/>
      </c>
      <c r="N27" s="1"/>
    </row>
    <row r="28" spans="1:16" ht="25" customHeight="1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91.88</v>
      </c>
      <c r="G28" s="72">
        <f>IF(D28=D27,"",_xlfn.IFNA(VLOOKUP(D28,'인원 입력 기능 (사과탐)'!$P$236:$S$284,4,FALSE),0))</f>
        <v>54</v>
      </c>
      <c r="H28" s="73">
        <f t="shared" si="4"/>
        <v>8.4599718000939999E-3</v>
      </c>
      <c r="I28" s="77">
        <f>SUM($G$7:G28)</f>
        <v>545</v>
      </c>
      <c r="J28" s="75">
        <f t="shared" si="5"/>
        <v>8.5383048723170929E-2</v>
      </c>
      <c r="K28" s="28"/>
      <c r="L28" s="5" t="str">
        <f t="shared" si="1"/>
        <v/>
      </c>
      <c r="N28" s="1"/>
    </row>
    <row r="29" spans="1:16" ht="25" customHeight="1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91.04</v>
      </c>
      <c r="G29" s="72">
        <f>IF(D29=D28,"",_xlfn.IFNA(VLOOKUP(D29,'인원 입력 기능 (사과탐)'!$P$236:$S$284,4,FALSE),0))</f>
        <v>54</v>
      </c>
      <c r="H29" s="73">
        <f t="shared" si="4"/>
        <v>8.4599718000939999E-3</v>
      </c>
      <c r="I29" s="77">
        <f>SUM($G$7:G29)</f>
        <v>599</v>
      </c>
      <c r="J29" s="75">
        <f t="shared" si="5"/>
        <v>9.3843020523264917E-2</v>
      </c>
      <c r="K29" s="28"/>
      <c r="L29" s="5" t="str">
        <f t="shared" si="1"/>
        <v/>
      </c>
      <c r="N29" s="1"/>
    </row>
    <row r="30" spans="1:16" ht="25" customHeight="1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90.12</v>
      </c>
      <c r="G30" s="72">
        <f>IF(D30=D29,"",_xlfn.IFNA(VLOOKUP(D30,'인원 입력 기능 (사과탐)'!$P$236:$S$284,4,FALSE),0))</f>
        <v>63</v>
      </c>
      <c r="H30" s="73">
        <f t="shared" si="4"/>
        <v>9.8699671001096657E-3</v>
      </c>
      <c r="I30" s="77">
        <f>SUM($G$7:G30)</f>
        <v>662</v>
      </c>
      <c r="J30" s="75">
        <f t="shared" si="5"/>
        <v>0.10371298762337459</v>
      </c>
      <c r="K30" s="28"/>
      <c r="L30" s="5" t="str">
        <f t="shared" si="1"/>
        <v/>
      </c>
      <c r="N30" s="1"/>
    </row>
    <row r="31" spans="1:16" ht="25" customHeight="1">
      <c r="A31" s="4"/>
      <c r="B31" s="19"/>
      <c r="C31" s="78">
        <v>26</v>
      </c>
      <c r="D31" s="79">
        <f t="shared" si="2"/>
        <v>62</v>
      </c>
      <c r="E31" s="79">
        <f t="shared" si="0"/>
        <v>2</v>
      </c>
      <c r="F31" s="71">
        <f t="shared" si="3"/>
        <v>89.14</v>
      </c>
      <c r="G31" s="72">
        <f>IF(D31=D30,"",_xlfn.IFNA(VLOOKUP(D31,'인원 입력 기능 (사과탐)'!$P$236:$S$284,4,FALSE),0))</f>
        <v>62</v>
      </c>
      <c r="H31" s="73">
        <f t="shared" si="4"/>
        <v>9.7133009556634817E-3</v>
      </c>
      <c r="I31" s="77">
        <f>SUM($G$7:G31)</f>
        <v>724</v>
      </c>
      <c r="J31" s="75">
        <f t="shared" si="5"/>
        <v>0.11342628857903807</v>
      </c>
      <c r="K31" s="28"/>
      <c r="L31" s="5" t="str">
        <f t="shared" si="1"/>
        <v/>
      </c>
      <c r="N31" s="1"/>
    </row>
    <row r="32" spans="1:16" ht="25" customHeight="1">
      <c r="A32" s="4"/>
      <c r="B32" s="19"/>
      <c r="C32" s="80">
        <v>25</v>
      </c>
      <c r="D32" s="79">
        <f t="shared" si="2"/>
        <v>61</v>
      </c>
      <c r="E32" s="79">
        <f t="shared" si="0"/>
        <v>3</v>
      </c>
      <c r="F32" s="71">
        <f t="shared" si="3"/>
        <v>88.2</v>
      </c>
      <c r="G32" s="72">
        <f>IF(D32=D31,"",_xlfn.IFNA(VLOOKUP(D32,'인원 입력 기능 (사과탐)'!$P$236:$S$284,4,FALSE),0))</f>
        <v>58</v>
      </c>
      <c r="H32" s="73">
        <f t="shared" si="4"/>
        <v>9.0866363778787408E-3</v>
      </c>
      <c r="I32" s="77">
        <f>SUM($G$7:G32)</f>
        <v>782</v>
      </c>
      <c r="J32" s="75">
        <f t="shared" si="5"/>
        <v>0.1225129249569168</v>
      </c>
      <c r="K32" s="28"/>
      <c r="L32" s="5" t="str">
        <f t="shared" si="1"/>
        <v/>
      </c>
      <c r="N32" s="1"/>
    </row>
    <row r="33" spans="1:14" ht="25" customHeight="1">
      <c r="A33" s="4"/>
      <c r="B33" s="19"/>
      <c r="C33" s="78">
        <v>24</v>
      </c>
      <c r="D33" s="79">
        <f t="shared" si="2"/>
        <v>60</v>
      </c>
      <c r="E33" s="79">
        <f t="shared" si="0"/>
        <v>3</v>
      </c>
      <c r="F33" s="71">
        <f t="shared" si="3"/>
        <v>87.08</v>
      </c>
      <c r="G33" s="72">
        <f>IF(D33=D32,"",_xlfn.IFNA(VLOOKUP(D33,'인원 입력 기능 (사과탐)'!$P$236:$S$284,4,FALSE),0))</f>
        <v>85</v>
      </c>
      <c r="H33" s="73">
        <f t="shared" si="4"/>
        <v>1.331662227792574E-2</v>
      </c>
      <c r="I33" s="77">
        <f>SUM($G$7:G33)</f>
        <v>867</v>
      </c>
      <c r="J33" s="75">
        <f t="shared" si="5"/>
        <v>0.13582954723484256</v>
      </c>
      <c r="K33" s="28"/>
      <c r="L33" s="5" t="str">
        <f t="shared" si="1"/>
        <v/>
      </c>
      <c r="N33" s="1"/>
    </row>
    <row r="34" spans="1:14" ht="25" customHeight="1">
      <c r="A34" s="4"/>
      <c r="B34" s="19"/>
      <c r="C34" s="80">
        <v>23</v>
      </c>
      <c r="D34" s="79">
        <f t="shared" si="2"/>
        <v>59</v>
      </c>
      <c r="E34" s="79">
        <f t="shared" si="0"/>
        <v>3</v>
      </c>
      <c r="F34" s="71">
        <f t="shared" si="3"/>
        <v>85.91</v>
      </c>
      <c r="G34" s="72">
        <f>IF(D34=D33,"",_xlfn.IFNA(VLOOKUP(D34,'인원 입력 기능 (사과탐)'!$P$236:$S$284,4,FALSE),0))</f>
        <v>65</v>
      </c>
      <c r="H34" s="73">
        <f t="shared" si="4"/>
        <v>1.0183299389002037E-2</v>
      </c>
      <c r="I34" s="77">
        <f>SUM($G$7:G34)</f>
        <v>932</v>
      </c>
      <c r="J34" s="75">
        <f t="shared" si="5"/>
        <v>0.14601284662384459</v>
      </c>
      <c r="K34" s="28"/>
      <c r="L34" s="5" t="str">
        <f t="shared" si="1"/>
        <v/>
      </c>
      <c r="N34" s="1"/>
    </row>
    <row r="35" spans="1:14" ht="25" customHeight="1">
      <c r="A35" s="4"/>
      <c r="B35" s="19"/>
      <c r="C35" s="78">
        <v>22</v>
      </c>
      <c r="D35" s="79">
        <f t="shared" si="2"/>
        <v>58</v>
      </c>
      <c r="E35" s="79">
        <f t="shared" si="0"/>
        <v>3</v>
      </c>
      <c r="F35" s="71">
        <f t="shared" si="3"/>
        <v>84.6</v>
      </c>
      <c r="G35" s="72">
        <f>IF(D35=D34,"",_xlfn.IFNA(VLOOKUP(D35,'인원 입력 기능 (사과탐)'!$P$236:$S$284,4,FALSE),0))</f>
        <v>102</v>
      </c>
      <c r="H35" s="73">
        <f t="shared" si="4"/>
        <v>1.5979946733510889E-2</v>
      </c>
      <c r="I35" s="77">
        <f>SUM($G$7:G35)</f>
        <v>1034</v>
      </c>
      <c r="J35" s="75">
        <f t="shared" si="5"/>
        <v>0.16199279335735547</v>
      </c>
      <c r="K35" s="28"/>
      <c r="L35" s="5" t="str">
        <f t="shared" si="1"/>
        <v/>
      </c>
      <c r="N35" s="1"/>
    </row>
    <row r="36" spans="1:14" ht="25" customHeight="1">
      <c r="A36" s="4"/>
      <c r="B36" s="19"/>
      <c r="C36" s="80">
        <v>21</v>
      </c>
      <c r="D36" s="79">
        <f t="shared" si="2"/>
        <v>57</v>
      </c>
      <c r="E36" s="79">
        <f t="shared" si="0"/>
        <v>3</v>
      </c>
      <c r="F36" s="71">
        <f t="shared" si="3"/>
        <v>82.77</v>
      </c>
      <c r="G36" s="72">
        <f>IF(D36=D35,"",_xlfn.IFNA(VLOOKUP(D36,'인원 입력 기능 (사과탐)'!$P$236:$S$284,4,FALSE),0))</f>
        <v>131</v>
      </c>
      <c r="H36" s="73">
        <f t="shared" si="4"/>
        <v>2.0523264922450258E-2</v>
      </c>
      <c r="I36" s="77">
        <f>SUM($G$7:G36)</f>
        <v>1165</v>
      </c>
      <c r="J36" s="75">
        <f t="shared" si="5"/>
        <v>0.18251605827980574</v>
      </c>
      <c r="K36" s="28"/>
      <c r="L36" s="5" t="str">
        <f t="shared" si="1"/>
        <v/>
      </c>
      <c r="N36" s="1"/>
    </row>
    <row r="37" spans="1:14" ht="25" customHeight="1">
      <c r="A37" s="4"/>
      <c r="B37" s="19"/>
      <c r="C37" s="78">
        <v>20</v>
      </c>
      <c r="D37" s="79">
        <f t="shared" si="2"/>
        <v>56</v>
      </c>
      <c r="E37" s="79">
        <f t="shared" si="0"/>
        <v>3</v>
      </c>
      <c r="F37" s="71">
        <f t="shared" si="3"/>
        <v>81.040000000000006</v>
      </c>
      <c r="G37" s="72">
        <f>IF(D37=D36,"",_xlfn.IFNA(VLOOKUP(D37,'인원 입력 기능 (사과탐)'!$P$236:$S$284,4,FALSE),0))</f>
        <v>90</v>
      </c>
      <c r="H37" s="73">
        <f t="shared" si="4"/>
        <v>1.4099953000156666E-2</v>
      </c>
      <c r="I37" s="77">
        <f>SUM($G$7:G37)</f>
        <v>1255</v>
      </c>
      <c r="J37" s="75">
        <f t="shared" si="5"/>
        <v>0.19661601127996239</v>
      </c>
      <c r="K37" s="28"/>
      <c r="L37" s="5" t="str">
        <f t="shared" si="1"/>
        <v/>
      </c>
      <c r="N37" s="1"/>
    </row>
    <row r="38" spans="1:14" ht="25" customHeight="1">
      <c r="A38" s="4"/>
      <c r="B38" s="19"/>
      <c r="C38" s="80">
        <v>19</v>
      </c>
      <c r="D38" s="79">
        <f t="shared" si="2"/>
        <v>55</v>
      </c>
      <c r="E38" s="79">
        <f t="shared" si="0"/>
        <v>3</v>
      </c>
      <c r="F38" s="71">
        <f t="shared" si="3"/>
        <v>79.349999999999994</v>
      </c>
      <c r="G38" s="72">
        <f>IF(D38=D37,"",_xlfn.IFNA(VLOOKUP(D38,'인원 입력 기능 (사과탐)'!$P$236:$S$284,4,FALSE),0))</f>
        <v>126</v>
      </c>
      <c r="H38" s="73">
        <f t="shared" si="4"/>
        <v>1.9739934200219331E-2</v>
      </c>
      <c r="I38" s="77">
        <f>SUM($G$7:G38)</f>
        <v>1381</v>
      </c>
      <c r="J38" s="75">
        <f t="shared" si="5"/>
        <v>0.21635594548018172</v>
      </c>
      <c r="K38" s="28"/>
      <c r="L38" s="5" t="str">
        <f t="shared" si="1"/>
        <v/>
      </c>
      <c r="N38" s="1"/>
    </row>
    <row r="39" spans="1:14" ht="25" customHeight="1">
      <c r="A39" s="4"/>
      <c r="B39" s="19"/>
      <c r="C39" s="78">
        <v>18</v>
      </c>
      <c r="D39" s="79">
        <f t="shared" si="2"/>
        <v>54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77.349999999999994</v>
      </c>
      <c r="G39" s="72">
        <f>IF(D39=D38,"",_xlfn.IFNA(VLOOKUP(D39,'인원 입력 기능 (사과탐)'!$P$236:$S$284,4,FALSE),0))</f>
        <v>129</v>
      </c>
      <c r="H39" s="73">
        <f t="shared" si="4"/>
        <v>2.0209932633557887E-2</v>
      </c>
      <c r="I39" s="77">
        <f>SUM($G$7:G39)</f>
        <v>1510</v>
      </c>
      <c r="J39" s="75">
        <f t="shared" si="5"/>
        <v>0.23656587811373961</v>
      </c>
      <c r="K39" s="28"/>
      <c r="L39" s="5" t="str">
        <f t="shared" si="1"/>
        <v/>
      </c>
      <c r="N39" s="1"/>
    </row>
    <row r="40" spans="1:14" ht="25" customHeight="1">
      <c r="A40" s="4"/>
      <c r="B40" s="19"/>
      <c r="C40" s="80">
        <v>17</v>
      </c>
      <c r="D40" s="79">
        <f t="shared" si="2"/>
        <v>53</v>
      </c>
      <c r="E40" s="79">
        <f t="shared" si="6"/>
        <v>4</v>
      </c>
      <c r="F40" s="71">
        <f t="shared" si="3"/>
        <v>75.02</v>
      </c>
      <c r="G40" s="72">
        <f>IF(D40=D39,"",_xlfn.IFNA(VLOOKUP(D40,'인원 입력 기능 (사과탐)'!$P$236:$S$284,4,FALSE),0))</f>
        <v>169</v>
      </c>
      <c r="H40" s="73">
        <f t="shared" si="4"/>
        <v>2.6476578411405296E-2</v>
      </c>
      <c r="I40" s="77">
        <f>SUM($G$7:G40)</f>
        <v>1679</v>
      </c>
      <c r="J40" s="75">
        <f t="shared" si="5"/>
        <v>0.26304245652514491</v>
      </c>
      <c r="K40" s="28"/>
      <c r="L40" s="5" t="str">
        <f t="shared" si="1"/>
        <v/>
      </c>
      <c r="N40" s="1"/>
    </row>
    <row r="41" spans="1:14" ht="25" customHeight="1">
      <c r="A41" s="4"/>
      <c r="B41" s="19"/>
      <c r="C41" s="78">
        <v>16</v>
      </c>
      <c r="D41" s="79">
        <f t="shared" si="2"/>
        <v>52</v>
      </c>
      <c r="E41" s="79">
        <f t="shared" si="6"/>
        <v>4</v>
      </c>
      <c r="F41" s="71">
        <f t="shared" si="3"/>
        <v>72.260000000000005</v>
      </c>
      <c r="G41" s="72">
        <f>IF(D41=D40,"",_xlfn.IFNA(VLOOKUP(D41,'인원 입력 기능 (사과탐)'!$P$236:$S$284,4,FALSE),0))</f>
        <v>183</v>
      </c>
      <c r="H41" s="73">
        <f t="shared" si="4"/>
        <v>2.8669904433651888E-2</v>
      </c>
      <c r="I41" s="77">
        <f>SUM($G$7:G41)</f>
        <v>1862</v>
      </c>
      <c r="J41" s="75">
        <f t="shared" si="5"/>
        <v>0.29171236095879682</v>
      </c>
      <c r="K41" s="28"/>
      <c r="L41" s="5" t="str">
        <f t="shared" si="1"/>
        <v/>
      </c>
      <c r="N41" s="1"/>
    </row>
    <row r="42" spans="1:14" ht="25" customHeight="1">
      <c r="A42" s="4"/>
      <c r="B42" s="19"/>
      <c r="C42" s="80">
        <v>15</v>
      </c>
      <c r="D42" s="79">
        <f t="shared" si="2"/>
        <v>51</v>
      </c>
      <c r="E42" s="79">
        <f t="shared" si="6"/>
        <v>4</v>
      </c>
      <c r="F42" s="71">
        <f t="shared" si="3"/>
        <v>69.06</v>
      </c>
      <c r="G42" s="72">
        <f>IF(D42=D41,"",_xlfn.IFNA(VLOOKUP(D42,'인원 입력 기능 (사과탐)'!$P$236:$S$284,4,FALSE),0))</f>
        <v>226</v>
      </c>
      <c r="H42" s="73">
        <f t="shared" si="4"/>
        <v>3.5406548644837853E-2</v>
      </c>
      <c r="I42" s="77">
        <f>SUM($G$7:G42)</f>
        <v>2088</v>
      </c>
      <c r="J42" s="75">
        <f t="shared" si="5"/>
        <v>0.32711890960363466</v>
      </c>
      <c r="K42" s="28"/>
      <c r="L42" s="5" t="str">
        <f t="shared" si="1"/>
        <v/>
      </c>
      <c r="N42" s="1"/>
    </row>
    <row r="43" spans="1:14" ht="25" customHeight="1">
      <c r="A43" s="4"/>
      <c r="B43" s="19"/>
      <c r="C43" s="78">
        <v>14</v>
      </c>
      <c r="D43" s="79">
        <f t="shared" si="2"/>
        <v>50</v>
      </c>
      <c r="E43" s="79">
        <f t="shared" si="6"/>
        <v>4</v>
      </c>
      <c r="F43" s="71">
        <f t="shared" si="3"/>
        <v>65.34</v>
      </c>
      <c r="G43" s="72">
        <f>IF(D43=D42,"",_xlfn.IFNA(VLOOKUP(D43,'인원 입력 기능 (사과탐)'!$P$236:$S$284,4,FALSE),0))</f>
        <v>249</v>
      </c>
      <c r="H43" s="73">
        <f t="shared" si="4"/>
        <v>3.9009869967100111E-2</v>
      </c>
      <c r="I43" s="77">
        <f>SUM($G$7:G43)</f>
        <v>2337</v>
      </c>
      <c r="J43" s="75">
        <f t="shared" si="5"/>
        <v>0.36612877957073475</v>
      </c>
      <c r="K43" s="28"/>
      <c r="L43" s="5" t="str">
        <f t="shared" si="1"/>
        <v/>
      </c>
      <c r="N43" s="1"/>
    </row>
    <row r="44" spans="1:14" ht="25" customHeight="1">
      <c r="A44" s="4"/>
      <c r="B44" s="19"/>
      <c r="C44" s="80">
        <v>13</v>
      </c>
      <c r="D44" s="79">
        <f t="shared" si="2"/>
        <v>49</v>
      </c>
      <c r="E44" s="79">
        <f t="shared" si="6"/>
        <v>4</v>
      </c>
      <c r="F44" s="71">
        <f t="shared" si="3"/>
        <v>61.41</v>
      </c>
      <c r="G44" s="72">
        <f>IF(D44=D43,"",_xlfn.IFNA(VLOOKUP(D44,'인원 입력 기능 (사과탐)'!$P$236:$S$284,4,FALSE),0))</f>
        <v>253</v>
      </c>
      <c r="H44" s="73">
        <f t="shared" si="4"/>
        <v>3.9636534544884854E-2</v>
      </c>
      <c r="I44" s="77">
        <f>SUM($G$7:G44)</f>
        <v>2590</v>
      </c>
      <c r="J44" s="75">
        <f t="shared" si="5"/>
        <v>0.40576531411561961</v>
      </c>
      <c r="K44" s="28"/>
      <c r="L44" s="5" t="str">
        <f t="shared" si="1"/>
        <v/>
      </c>
      <c r="N44" s="1"/>
    </row>
    <row r="45" spans="1:14" ht="25" customHeight="1">
      <c r="A45" s="4"/>
      <c r="B45" s="19"/>
      <c r="C45" s="78">
        <v>12</v>
      </c>
      <c r="D45" s="79">
        <f t="shared" si="2"/>
        <v>48</v>
      </c>
      <c r="E45" s="79">
        <f t="shared" si="6"/>
        <v>5</v>
      </c>
      <c r="F45" s="71">
        <f t="shared" si="3"/>
        <v>56.14</v>
      </c>
      <c r="G45" s="72">
        <f>IF(D45=D44,"",_xlfn.IFNA(VLOOKUP(D45,'인원 입력 기능 (사과탐)'!$P$236:$S$284,4,FALSE),0))</f>
        <v>419</v>
      </c>
      <c r="H45" s="73">
        <f t="shared" si="4"/>
        <v>6.5643114522951587E-2</v>
      </c>
      <c r="I45" s="77">
        <f>SUM($G$7:G45)</f>
        <v>3009</v>
      </c>
      <c r="J45" s="75">
        <f t="shared" si="5"/>
        <v>0.47140842863857119</v>
      </c>
      <c r="K45" s="28"/>
      <c r="L45" s="5" t="str">
        <f t="shared" si="1"/>
        <v/>
      </c>
      <c r="N45" s="1"/>
    </row>
    <row r="46" spans="1:14" ht="25" customHeight="1">
      <c r="A46" s="4"/>
      <c r="B46" s="19"/>
      <c r="C46" s="80">
        <v>11</v>
      </c>
      <c r="D46" s="79">
        <f t="shared" si="2"/>
        <v>47</v>
      </c>
      <c r="E46" s="79">
        <f t="shared" si="6"/>
        <v>5</v>
      </c>
      <c r="F46" s="71">
        <f t="shared" si="3"/>
        <v>47.13</v>
      </c>
      <c r="G46" s="72">
        <f>IF(D46=D45,"",_xlfn.IFNA(VLOOKUP(D46,'인원 입력 기능 (사과탐)'!$P$236:$S$284,4,FALSE),0))</f>
        <v>731</v>
      </c>
      <c r="H46" s="73">
        <f t="shared" si="4"/>
        <v>0.11452295159016136</v>
      </c>
      <c r="I46" s="77">
        <f>SUM($G$7:G46)</f>
        <v>3740</v>
      </c>
      <c r="J46" s="75">
        <f t="shared" si="5"/>
        <v>0.58593138022873259</v>
      </c>
      <c r="K46" s="28"/>
      <c r="L46" s="5" t="str">
        <f t="shared" si="1"/>
        <v/>
      </c>
      <c r="N46" s="1"/>
    </row>
    <row r="47" spans="1:14" ht="25" customHeight="1">
      <c r="A47" s="4"/>
      <c r="B47" s="19"/>
      <c r="C47" s="78">
        <v>10</v>
      </c>
      <c r="D47" s="79">
        <f t="shared" si="2"/>
        <v>46</v>
      </c>
      <c r="E47" s="79">
        <f t="shared" si="6"/>
        <v>5</v>
      </c>
      <c r="F47" s="71">
        <f t="shared" si="3"/>
        <v>38.49</v>
      </c>
      <c r="G47" s="72">
        <f>IF(D47=D46,"",_xlfn.IFNA(VLOOKUP(D47,'인원 입력 기능 (사과탐)'!$P$236:$S$284,4,FALSE),0))</f>
        <v>372</v>
      </c>
      <c r="H47" s="73">
        <f t="shared" si="4"/>
        <v>5.8279805733980887E-2</v>
      </c>
      <c r="I47" s="77">
        <f>SUM($G$7:G47)</f>
        <v>4112</v>
      </c>
      <c r="J47" s="75">
        <f t="shared" si="5"/>
        <v>0.64421118596271343</v>
      </c>
      <c r="K47" s="28"/>
      <c r="L47" s="5" t="str">
        <f t="shared" si="1"/>
        <v/>
      </c>
      <c r="N47" s="1"/>
    </row>
    <row r="48" spans="1:14" ht="25" customHeight="1">
      <c r="A48" s="4"/>
      <c r="B48" s="19"/>
      <c r="C48" s="80">
        <v>9</v>
      </c>
      <c r="D48" s="79">
        <f t="shared" si="2"/>
        <v>45</v>
      </c>
      <c r="E48" s="79">
        <f t="shared" si="6"/>
        <v>6</v>
      </c>
      <c r="F48" s="71">
        <f t="shared" si="3"/>
        <v>31.95</v>
      </c>
      <c r="G48" s="72">
        <f>IF(D48=D47,"",_xlfn.IFNA(VLOOKUP(D48,'인원 입력 기능 (사과탐)'!$P$236:$S$284,4,FALSE),0))</f>
        <v>463</v>
      </c>
      <c r="H48" s="73">
        <f t="shared" si="4"/>
        <v>7.2536424878583736E-2</v>
      </c>
      <c r="I48" s="77">
        <f>SUM($G$7:G48)</f>
        <v>4575</v>
      </c>
      <c r="J48" s="75">
        <f t="shared" si="5"/>
        <v>0.71674761084129723</v>
      </c>
      <c r="K48" s="28"/>
      <c r="L48" s="5" t="str">
        <f t="shared" si="1"/>
        <v/>
      </c>
      <c r="N48" s="1"/>
    </row>
    <row r="49" spans="1:14" ht="25" customHeight="1">
      <c r="A49" s="4"/>
      <c r="B49" s="19"/>
      <c r="C49" s="78">
        <v>8</v>
      </c>
      <c r="D49" s="79">
        <f t="shared" si="2"/>
        <v>44</v>
      </c>
      <c r="E49" s="79">
        <f t="shared" si="6"/>
        <v>6</v>
      </c>
      <c r="F49" s="71">
        <f t="shared" si="3"/>
        <v>23.99</v>
      </c>
      <c r="G49" s="72">
        <f>IF(D49=D48,"",_xlfn.IFNA(VLOOKUP(D49,'인원 입력 기능 (사과탐)'!$P$236:$S$284,4,FALSE),0))</f>
        <v>554</v>
      </c>
      <c r="H49" s="73">
        <f t="shared" si="4"/>
        <v>8.6793044023186591E-2</v>
      </c>
      <c r="I49" s="77">
        <f>SUM($G$7:G49)</f>
        <v>5129</v>
      </c>
      <c r="J49" s="75">
        <f t="shared" si="5"/>
        <v>0.80354065486448378</v>
      </c>
      <c r="K49" s="28"/>
      <c r="L49" s="5" t="str">
        <f t="shared" si="1"/>
        <v/>
      </c>
      <c r="N49" s="1"/>
    </row>
    <row r="50" spans="1:14" ht="25" customHeight="1">
      <c r="A50" s="4"/>
      <c r="B50" s="19"/>
      <c r="C50" s="80">
        <v>7</v>
      </c>
      <c r="D50" s="79">
        <f t="shared" si="2"/>
        <v>43</v>
      </c>
      <c r="E50" s="79">
        <f t="shared" si="6"/>
        <v>7</v>
      </c>
      <c r="F50" s="71">
        <f t="shared" si="3"/>
        <v>16.98</v>
      </c>
      <c r="G50" s="72">
        <f>IF(D50=D49,"",_xlfn.IFNA(VLOOKUP(D50,'인원 입력 기능 (사과탐)'!$P$236:$S$284,4,FALSE),0))</f>
        <v>340</v>
      </c>
      <c r="H50" s="73">
        <f t="shared" si="4"/>
        <v>5.326648911170296E-2</v>
      </c>
      <c r="I50" s="77">
        <f>SUM($G$7:G50)</f>
        <v>5469</v>
      </c>
      <c r="J50" s="75">
        <f t="shared" si="5"/>
        <v>0.85680714397618674</v>
      </c>
      <c r="K50" s="28"/>
      <c r="L50" s="5" t="str">
        <f t="shared" si="1"/>
        <v/>
      </c>
      <c r="N50" s="1"/>
    </row>
    <row r="51" spans="1:14" ht="25" customHeight="1">
      <c r="A51" s="4"/>
      <c r="B51" s="19"/>
      <c r="C51" s="78">
        <v>6</v>
      </c>
      <c r="D51" s="79">
        <f t="shared" si="2"/>
        <v>42</v>
      </c>
      <c r="E51" s="79">
        <f t="shared" si="6"/>
        <v>7</v>
      </c>
      <c r="F51" s="71">
        <f t="shared" si="3"/>
        <v>12.29</v>
      </c>
      <c r="G51" s="72">
        <f>IF(D51=D50,"",_xlfn.IFNA(VLOOKUP(D51,'인원 입력 기능 (사과탐)'!$P$236:$S$284,4,FALSE),0))</f>
        <v>259</v>
      </c>
      <c r="H51" s="73">
        <f t="shared" si="4"/>
        <v>4.0576531411561964E-2</v>
      </c>
      <c r="I51" s="77">
        <f>SUM($G$7:G51)</f>
        <v>5728</v>
      </c>
      <c r="J51" s="75">
        <f t="shared" si="5"/>
        <v>0.89738367538774866</v>
      </c>
      <c r="K51" s="28"/>
      <c r="L51" s="5" t="str">
        <f t="shared" si="1"/>
        <v/>
      </c>
      <c r="N51" s="1"/>
    </row>
    <row r="52" spans="1:14" ht="25" customHeight="1">
      <c r="A52" s="4"/>
      <c r="B52" s="19"/>
      <c r="C52" s="80">
        <v>5</v>
      </c>
      <c r="D52" s="79">
        <f t="shared" si="2"/>
        <v>41</v>
      </c>
      <c r="E52" s="79">
        <f t="shared" si="6"/>
        <v>8</v>
      </c>
      <c r="F52" s="71">
        <f t="shared" si="3"/>
        <v>8.27</v>
      </c>
      <c r="G52" s="72">
        <f>IF(D52=D51,"",_xlfn.IFNA(VLOOKUP(D52,'인원 입력 기능 (사과탐)'!$P$236:$S$284,4,FALSE),0))</f>
        <v>254</v>
      </c>
      <c r="H52" s="73">
        <f t="shared" si="4"/>
        <v>3.9793200689331037E-2</v>
      </c>
      <c r="I52" s="77">
        <f>SUM($G$7:G52)</f>
        <v>5982</v>
      </c>
      <c r="J52" s="75">
        <f t="shared" si="5"/>
        <v>0.93717687607707978</v>
      </c>
      <c r="K52" s="28"/>
      <c r="L52" s="5" t="str">
        <f t="shared" si="1"/>
        <v/>
      </c>
      <c r="N52" s="1"/>
    </row>
    <row r="53" spans="1:14" ht="25" customHeight="1">
      <c r="A53" s="4"/>
      <c r="B53" s="19"/>
      <c r="C53" s="69">
        <v>4</v>
      </c>
      <c r="D53" s="70">
        <f t="shared" si="2"/>
        <v>40</v>
      </c>
      <c r="E53" s="70">
        <f t="shared" si="6"/>
        <v>8</v>
      </c>
      <c r="F53" s="71">
        <f t="shared" si="3"/>
        <v>4.63</v>
      </c>
      <c r="G53" s="72">
        <f>IF(D53=D52,"",_xlfn.IFNA(VLOOKUP(D53,'인원 입력 기능 (사과탐)'!$P$236:$S$284,4,FALSE),0))</f>
        <v>211</v>
      </c>
      <c r="H53" s="73">
        <f t="shared" si="4"/>
        <v>3.3056556478145073E-2</v>
      </c>
      <c r="I53" s="77">
        <f>SUM($G$7:G53)</f>
        <v>6193</v>
      </c>
      <c r="J53" s="75">
        <f t="shared" si="5"/>
        <v>0.97023343255522476</v>
      </c>
      <c r="K53" s="28"/>
      <c r="L53" s="5" t="str">
        <f t="shared" si="1"/>
        <v/>
      </c>
      <c r="N53" s="1"/>
    </row>
    <row r="54" spans="1:14" ht="25" customHeight="1">
      <c r="A54" s="4"/>
      <c r="B54" s="19"/>
      <c r="C54" s="76">
        <v>3</v>
      </c>
      <c r="D54" s="70">
        <f t="shared" si="2"/>
        <v>38</v>
      </c>
      <c r="E54" s="70">
        <f t="shared" si="6"/>
        <v>9</v>
      </c>
      <c r="F54" s="71">
        <f t="shared" si="3"/>
        <v>2.6</v>
      </c>
      <c r="G54" s="72">
        <f>IF(D54=D53,"",_xlfn.IFNA(VLOOKUP(D54,'인원 입력 기능 (사과탐)'!$P$236:$S$284,4,FALSE),0))</f>
        <v>48</v>
      </c>
      <c r="H54" s="73">
        <f t="shared" si="4"/>
        <v>7.5199749334168885E-3</v>
      </c>
      <c r="I54" s="77">
        <f>SUM($G$7:G54)</f>
        <v>6241</v>
      </c>
      <c r="J54" s="75">
        <f t="shared" si="5"/>
        <v>0.9777534074886417</v>
      </c>
      <c r="K54" s="28"/>
      <c r="L54" s="5" t="str">
        <f t="shared" si="1"/>
        <v/>
      </c>
      <c r="N54" s="1"/>
    </row>
    <row r="55" spans="1:14" ht="25" customHeight="1">
      <c r="A55" s="4"/>
      <c r="B55" s="19"/>
      <c r="C55" s="69">
        <v>2</v>
      </c>
      <c r="D55" s="70">
        <f t="shared" si="2"/>
        <v>37</v>
      </c>
      <c r="E55" s="70">
        <f t="shared" si="6"/>
        <v>9</v>
      </c>
      <c r="F55" s="71">
        <f t="shared" si="3"/>
        <v>1.36</v>
      </c>
      <c r="G55" s="72">
        <f>IF(D55=D54,"",_xlfn.IFNA(VLOOKUP(D55,'인원 입력 기능 (사과탐)'!$P$236:$S$284,4,FALSE),0))</f>
        <v>110</v>
      </c>
      <c r="H55" s="73">
        <f t="shared" si="4"/>
        <v>1.7233275889080371E-2</v>
      </c>
      <c r="I55" s="77">
        <f>SUM($G$7:G55)</f>
        <v>6351</v>
      </c>
      <c r="J55" s="75">
        <f t="shared" si="5"/>
        <v>0.99498668337772211</v>
      </c>
      <c r="K55" s="28"/>
      <c r="L55" s="5" t="str">
        <f t="shared" si="1"/>
        <v/>
      </c>
      <c r="N55" s="1"/>
    </row>
    <row r="56" spans="1:14" ht="25" customHeight="1">
      <c r="A56" s="4"/>
      <c r="B56" s="19"/>
      <c r="C56" s="76">
        <v>1</v>
      </c>
      <c r="D56" s="110" t="s">
        <v>61</v>
      </c>
      <c r="E56" s="111"/>
      <c r="F56" s="111"/>
      <c r="G56" s="111"/>
      <c r="H56" s="111"/>
      <c r="I56" s="111"/>
      <c r="J56" s="112"/>
      <c r="K56" s="28"/>
      <c r="L56" s="5"/>
      <c r="N56" s="1"/>
    </row>
    <row r="57" spans="1:14" ht="25" customHeight="1" thickBot="1">
      <c r="A57" s="4"/>
      <c r="B57" s="19"/>
      <c r="C57" s="81">
        <v>0</v>
      </c>
      <c r="D57" s="82">
        <f>ROUND(10*(C57-$H$3)/$H$4+50,0)</f>
        <v>35</v>
      </c>
      <c r="E57" s="83">
        <f t="shared" si="6"/>
        <v>9</v>
      </c>
      <c r="F57" s="84">
        <f>IF(I55=0,ROUND(100*(1-(I54+I57)/2/$J$3),2),ROUND(100*(1-(I55+I57)/2/$J$3),2))</f>
        <v>0.25</v>
      </c>
      <c r="G57" s="85">
        <f>_xlfn.IFNA(VLOOKUP(D57,'인원 입력 기능 (사과탐)'!$P$236:$S$284,4,FALSE),0)</f>
        <v>32</v>
      </c>
      <c r="H57" s="86">
        <f>G57/$J$3</f>
        <v>5.0133166222779257E-3</v>
      </c>
      <c r="I57" s="87">
        <f>SUM($G$7:G57)</f>
        <v>6383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>
      <c r="N59" s="1"/>
    </row>
    <row r="60" spans="1:14">
      <c r="N60" s="1"/>
    </row>
    <row r="61" spans="1:14">
      <c r="N61" s="1"/>
    </row>
    <row r="62" spans="1:14">
      <c r="N62" s="1"/>
    </row>
    <row r="63" spans="1:14">
      <c r="N63" s="1"/>
    </row>
    <row r="64" spans="1:14">
      <c r="N64" s="1"/>
    </row>
    <row r="65" spans="14:14">
      <c r="N65" s="1"/>
    </row>
    <row r="66" spans="14:14">
      <c r="N66" s="1"/>
    </row>
    <row r="67" spans="14:14">
      <c r="N67" s="1"/>
    </row>
    <row r="68" spans="14:14">
      <c r="N68" s="1"/>
    </row>
    <row r="69" spans="14:14">
      <c r="N69" s="1"/>
    </row>
    <row r="70" spans="14:14">
      <c r="N70" s="1"/>
    </row>
    <row r="71" spans="14:14">
      <c r="N71" s="1"/>
    </row>
    <row r="72" spans="14:14">
      <c r="N72" s="1"/>
    </row>
    <row r="73" spans="14:14">
      <c r="N73" s="1"/>
    </row>
    <row r="74" spans="14:14">
      <c r="N74" s="1"/>
    </row>
    <row r="75" spans="14:14">
      <c r="N75" s="1"/>
    </row>
    <row r="76" spans="14:14">
      <c r="N76" s="1"/>
    </row>
    <row r="77" spans="14:14">
      <c r="N77" s="1"/>
    </row>
    <row r="78" spans="14:14">
      <c r="N78" s="1"/>
    </row>
    <row r="79" spans="14:14">
      <c r="N79" s="1"/>
    </row>
    <row r="80" spans="14:14">
      <c r="N80" s="1"/>
    </row>
    <row r="81" spans="14:14">
      <c r="N81" s="1"/>
    </row>
    <row r="82" spans="14:14">
      <c r="N82" s="1"/>
    </row>
    <row r="83" spans="14:14">
      <c r="N83" s="1"/>
    </row>
    <row r="84" spans="14:14">
      <c r="N84" s="1"/>
    </row>
    <row r="85" spans="14:14">
      <c r="N85" s="1"/>
    </row>
    <row r="86" spans="14:14">
      <c r="N86" s="1"/>
    </row>
    <row r="87" spans="14:14">
      <c r="N87" s="1"/>
    </row>
    <row r="88" spans="14:14">
      <c r="N88" s="1"/>
    </row>
    <row r="89" spans="14:14">
      <c r="N89" s="1"/>
    </row>
    <row r="90" spans="14:14">
      <c r="N90" s="1"/>
    </row>
    <row r="91" spans="14:14">
      <c r="N91" s="1"/>
    </row>
    <row r="92" spans="14:14">
      <c r="N92" s="1"/>
    </row>
    <row r="93" spans="14:14">
      <c r="N93" s="1"/>
    </row>
    <row r="94" spans="14:14">
      <c r="N94" s="1"/>
    </row>
    <row r="95" spans="14:14">
      <c r="N95" s="1"/>
    </row>
    <row r="96" spans="14:14">
      <c r="N96" s="1"/>
    </row>
    <row r="97" spans="14:14">
      <c r="N97" s="1"/>
    </row>
    <row r="98" spans="14:14">
      <c r="N98" s="1"/>
    </row>
    <row r="99" spans="14:14">
      <c r="N99" s="1"/>
    </row>
    <row r="100" spans="14:14">
      <c r="N100" s="1"/>
    </row>
    <row r="101" spans="14:14">
      <c r="N101" s="1"/>
    </row>
    <row r="102" spans="14:14">
      <c r="N102" s="1"/>
    </row>
    <row r="103" spans="14:14">
      <c r="N103" s="1"/>
    </row>
    <row r="104" spans="14:14">
      <c r="N104" s="1"/>
    </row>
    <row r="105" spans="14:14">
      <c r="N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57">
    <cfRule type="expression" dxfId="2" priority="3">
      <formula>OR($D7=$Q$7:$Q$14)</formula>
    </cfRule>
  </conditionalFormatting>
  <conditionalFormatting sqref="C7:C57">
    <cfRule type="expression" dxfId="1" priority="2">
      <formula>OR(AND($D7=0,OR($D6=$Q$7:$Q$14)),AND($D8&gt;0,OR($D7=$Q$7:$Q$14)))</formula>
    </cfRule>
  </conditionalFormatting>
  <conditionalFormatting sqref="D7:D57">
    <cfRule type="expression" dxfId="0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FA2-E637-4335-8706-D1AEEBF067D6}">
  <sheetPr codeName="Sheet30">
    <tabColor rgb="FF00B050"/>
    <pageSetUpPr fitToPage="1"/>
  </sheetPr>
  <dimension ref="A1:N33"/>
  <sheetViews>
    <sheetView tabSelected="1" topLeftCell="A14" zoomScale="85" zoomScaleNormal="85" workbookViewId="0">
      <selection activeCell="B3" sqref="B3:M28"/>
    </sheetView>
  </sheetViews>
  <sheetFormatPr defaultRowHeight="17"/>
  <cols>
    <col min="1" max="1" width="8.6640625" style="4"/>
    <col min="2" max="2" width="1" customWidth="1"/>
    <col min="3" max="3" width="11.4140625" style="11" customWidth="1"/>
    <col min="4" max="11" width="12.4140625" style="1" customWidth="1"/>
    <col min="12" max="12" width="12.4140625" customWidth="1"/>
    <col min="13" max="13" width="1" customWidth="1"/>
    <col min="14" max="14" width="8.6640625" style="4"/>
  </cols>
  <sheetData>
    <row r="1" spans="2:13" s="4" customFormat="1">
      <c r="C1" s="10"/>
      <c r="D1" s="5"/>
      <c r="E1" s="5"/>
      <c r="F1" s="5"/>
      <c r="G1" s="5"/>
      <c r="H1" s="5"/>
      <c r="I1" s="5"/>
      <c r="J1" s="5"/>
      <c r="K1" s="5"/>
    </row>
    <row r="2" spans="2:13">
      <c r="B2" s="4"/>
      <c r="C2" s="10"/>
      <c r="D2" s="5"/>
      <c r="E2" s="5"/>
      <c r="F2" s="5"/>
      <c r="G2" s="5"/>
      <c r="H2" s="5"/>
      <c r="I2" s="5"/>
      <c r="J2" s="5"/>
      <c r="K2" s="5"/>
      <c r="L2" s="4"/>
      <c r="M2" s="4"/>
    </row>
    <row r="3" spans="2:13" ht="6" customHeight="1" thickBot="1">
      <c r="B3" s="17"/>
      <c r="C3" s="26"/>
      <c r="D3" s="27"/>
      <c r="E3" s="27"/>
      <c r="F3" s="27"/>
      <c r="G3" s="27"/>
      <c r="H3" s="27"/>
      <c r="I3" s="27"/>
      <c r="J3" s="27"/>
      <c r="K3" s="27"/>
      <c r="L3" s="25"/>
      <c r="M3" s="18"/>
    </row>
    <row r="4" spans="2:13" ht="25" customHeight="1">
      <c r="B4" s="19"/>
      <c r="C4" s="33" t="s">
        <v>71</v>
      </c>
      <c r="D4" s="113" t="s">
        <v>136</v>
      </c>
      <c r="E4" s="113"/>
      <c r="F4" s="113"/>
      <c r="G4" s="114"/>
      <c r="H4" s="20"/>
      <c r="I4" s="20"/>
      <c r="J4" s="20"/>
      <c r="K4" s="20"/>
      <c r="L4" s="21"/>
      <c r="M4" s="28"/>
    </row>
    <row r="5" spans="2:13" ht="25" customHeight="1" thickBot="1">
      <c r="B5" s="19"/>
      <c r="C5" s="36" t="s">
        <v>107</v>
      </c>
      <c r="D5" s="115" t="s">
        <v>135</v>
      </c>
      <c r="E5" s="115"/>
      <c r="F5" s="115"/>
      <c r="G5" s="116"/>
      <c r="H5" s="20"/>
      <c r="I5" s="20"/>
      <c r="J5" s="20"/>
      <c r="K5" s="20"/>
      <c r="L5" s="21"/>
      <c r="M5" s="28"/>
    </row>
    <row r="6" spans="2:13" ht="25" customHeight="1">
      <c r="B6" s="19"/>
      <c r="C6" s="20"/>
      <c r="D6" s="20"/>
      <c r="E6" s="20"/>
      <c r="F6" s="20"/>
      <c r="G6" s="20"/>
      <c r="H6" s="20"/>
      <c r="I6" s="20"/>
      <c r="J6" s="20"/>
      <c r="K6" s="20"/>
      <c r="L6" s="21"/>
      <c r="M6" s="28"/>
    </row>
    <row r="7" spans="2:13" ht="25" customHeight="1" thickBot="1">
      <c r="B7" s="19"/>
      <c r="C7" s="20"/>
      <c r="D7" s="20"/>
      <c r="E7" s="20"/>
      <c r="F7" s="20"/>
      <c r="G7" s="20"/>
      <c r="H7" s="20"/>
      <c r="I7" s="20"/>
      <c r="J7" s="20"/>
      <c r="K7" s="20"/>
      <c r="L7" s="21"/>
      <c r="M7" s="28"/>
    </row>
    <row r="8" spans="2:13" ht="25" customHeight="1" thickBot="1">
      <c r="B8" s="19"/>
      <c r="C8" s="89" t="s">
        <v>108</v>
      </c>
      <c r="D8" s="90" t="s">
        <v>109</v>
      </c>
      <c r="E8" s="91" t="s">
        <v>110</v>
      </c>
      <c r="F8" s="91" t="s">
        <v>111</v>
      </c>
      <c r="G8" s="91" t="s">
        <v>112</v>
      </c>
      <c r="H8" s="91" t="s">
        <v>113</v>
      </c>
      <c r="I8" s="91" t="s">
        <v>114</v>
      </c>
      <c r="J8" s="91" t="s">
        <v>115</v>
      </c>
      <c r="K8" s="91" t="s">
        <v>116</v>
      </c>
      <c r="L8" s="92" t="s">
        <v>117</v>
      </c>
      <c r="M8" s="28"/>
    </row>
    <row r="9" spans="2:13" ht="25" customHeight="1">
      <c r="B9" s="19"/>
      <c r="C9" s="93" t="s">
        <v>118</v>
      </c>
      <c r="D9" s="78">
        <v>45</v>
      </c>
      <c r="E9" s="79">
        <f>ROUNDUP(('윤리와 사상'!$Q7-0.5-50)/10*'윤리와 사상'!$H$4+'윤리와 사상'!$H$3, 0)</f>
        <v>44</v>
      </c>
      <c r="F9" s="79">
        <f>ROUNDUP((한국지리!$Q7-0.5-50)/10*한국지리!$H$4+한국지리!$H$3, 0)</f>
        <v>46</v>
      </c>
      <c r="G9" s="79">
        <f>ROUNDUP((세계지리!$Q7-0.5-50)/10*세계지리!$H$4+세계지리!$H$3, 0)</f>
        <v>47</v>
      </c>
      <c r="H9" s="79">
        <f>ROUNDUP((동아시아사!$Q7-0.5-50)/10*동아시아사!$H$4+동아시아사!$H$3, 0)</f>
        <v>48</v>
      </c>
      <c r="I9" s="79">
        <f>ROUNDUP((세계사!$Q7-0.5-50)/10*세계사!$H$4+세계사!$H$3, 0)</f>
        <v>48</v>
      </c>
      <c r="J9" s="79">
        <f>ROUNDUP((경제!$Q7-0.5-50)/10*경제!$H$4+경제!$H$3, 0)</f>
        <v>41</v>
      </c>
      <c r="K9" s="79">
        <f>ROUNDUP(('정치와 법'!$Q7-0.5-50)/10*'정치와 법'!$H$4+'정치와 법'!$H$3, 0)</f>
        <v>47</v>
      </c>
      <c r="L9" s="94">
        <f>ROUNDUP((사회∙문화!$Q7-0.5-50)/10*사회∙문화!$H$4+사회∙문화!$H$3, 0)</f>
        <v>45</v>
      </c>
      <c r="M9" s="28"/>
    </row>
    <row r="10" spans="2:13" ht="25" customHeight="1">
      <c r="B10" s="19"/>
      <c r="C10" s="95" t="s">
        <v>119</v>
      </c>
      <c r="D10" s="80">
        <f>ROUNDUP(('생활과 윤리'!$Q8-0.5-50)/10*'생활과 윤리'!$H$4+'생활과 윤리'!$H$3, 0)</f>
        <v>39</v>
      </c>
      <c r="E10" s="96">
        <f>ROUNDUP(('윤리와 사상'!$Q8-0.5-50)/10*'윤리와 사상'!$H$4+'윤리와 사상'!$H$3, 0)</f>
        <v>37</v>
      </c>
      <c r="F10" s="96">
        <f>ROUNDUP((한국지리!$Q8-0.5-50)/10*한국지리!$H$4+한국지리!$H$3, 0)</f>
        <v>39</v>
      </c>
      <c r="G10" s="96">
        <f>ROUNDUP((세계지리!$Q8-0.5-50)/10*세계지리!$H$4+세계지리!$H$3, 0)</f>
        <v>42</v>
      </c>
      <c r="H10" s="96">
        <f>ROUNDUP((동아시아사!$Q8-0.5-50)/10*동아시아사!$H$4+동아시아사!$H$3, 0)</f>
        <v>43</v>
      </c>
      <c r="I10" s="96">
        <f>ROUNDUP((세계사!$Q8-0.5-50)/10*세계사!$H$4+세계사!$H$3, 0)</f>
        <v>43</v>
      </c>
      <c r="J10" s="96">
        <f>ROUNDUP((경제!$Q8-0.5-50)/10*경제!$H$4+경제!$H$3, 0)</f>
        <v>33</v>
      </c>
      <c r="K10" s="96">
        <f>ROUNDUP(('정치와 법'!$Q8-0.5-50)/10*'정치와 법'!$H$4+'정치와 법'!$H$3, 0)</f>
        <v>42</v>
      </c>
      <c r="L10" s="97">
        <f>ROUNDUP((사회∙문화!$Q8-0.5-50)/10*사회∙문화!$H$4+사회∙문화!$H$3, 0)</f>
        <v>42</v>
      </c>
      <c r="M10" s="28"/>
    </row>
    <row r="11" spans="2:13" ht="25" customHeight="1">
      <c r="B11" s="19"/>
      <c r="C11" s="95" t="s">
        <v>120</v>
      </c>
      <c r="D11" s="80">
        <f>ROUNDUP(('생활과 윤리'!$Q9-0.5-50)/10*'생활과 윤리'!$H$4+'생활과 윤리'!$H$3, 0)</f>
        <v>35</v>
      </c>
      <c r="E11" s="96">
        <f>ROUNDUP(('윤리와 사상'!$Q9-0.5-50)/10*'윤리와 사상'!$H$4+'윤리와 사상'!$H$3, 0)</f>
        <v>30</v>
      </c>
      <c r="F11" s="96">
        <f>ROUNDUP((한국지리!$Q9-0.5-50)/10*한국지리!$H$4+한국지리!$H$3, 0)</f>
        <v>32</v>
      </c>
      <c r="G11" s="96">
        <f>ROUNDUP((세계지리!$Q9-0.5-50)/10*세계지리!$H$4+세계지리!$H$3, 0)</f>
        <v>35</v>
      </c>
      <c r="H11" s="96">
        <f>ROUNDUP((동아시아사!$Q9-0.5-50)/10*동아시아사!$H$4+동아시아사!$H$3, 0)</f>
        <v>34</v>
      </c>
      <c r="I11" s="96">
        <f>ROUNDUP((세계사!$Q9-0.5-50)/10*세계사!$H$4+세계사!$H$3, 0)</f>
        <v>34</v>
      </c>
      <c r="J11" s="96">
        <f>ROUNDUP((경제!$Q9-0.5-50)/10*경제!$H$4+경제!$H$3, 0)</f>
        <v>25</v>
      </c>
      <c r="K11" s="96">
        <f>ROUNDUP(('정치와 법'!$Q9-0.5-50)/10*'정치와 법'!$H$4+'정치와 법'!$H$3, 0)</f>
        <v>34</v>
      </c>
      <c r="L11" s="97">
        <f>ROUNDUP((사회∙문화!$Q9-0.5-50)/10*사회∙문화!$H$4+사회∙문화!$H$3, 0)</f>
        <v>37</v>
      </c>
      <c r="M11" s="28"/>
    </row>
    <row r="12" spans="2:13" ht="25" customHeight="1">
      <c r="B12" s="19"/>
      <c r="C12" s="95" t="s">
        <v>121</v>
      </c>
      <c r="D12" s="80">
        <f>ROUNDUP(('생활과 윤리'!$Q10-0.5-50)/10*'생활과 윤리'!$H$4+'생활과 윤리'!$H$3, 0)</f>
        <v>30</v>
      </c>
      <c r="E12" s="96">
        <f>ROUNDUP(('윤리와 사상'!$Q10-0.5-50)/10*'윤리와 사상'!$H$4+'윤리와 사상'!$H$3, 0)</f>
        <v>23</v>
      </c>
      <c r="F12" s="96">
        <f>ROUNDUP((한국지리!$Q10-0.5-50)/10*한국지리!$H$4+한국지리!$H$3, 0)</f>
        <v>25</v>
      </c>
      <c r="G12" s="96">
        <f>ROUNDUP((세계지리!$Q10-0.5-50)/10*세계지리!$H$4+세계지리!$H$3, 0)</f>
        <v>28</v>
      </c>
      <c r="H12" s="96">
        <f>ROUNDUP((동아시아사!$Q10-0.5-50)/10*동아시아사!$H$4+동아시아사!$H$3, 0)</f>
        <v>27</v>
      </c>
      <c r="I12" s="96">
        <f>ROUNDUP((세계사!$Q10-0.5-50)/10*세계사!$H$4+세계사!$H$3, 0)</f>
        <v>24</v>
      </c>
      <c r="J12" s="96">
        <f>ROUNDUP((경제!$Q10-0.5-50)/10*경제!$H$4+경제!$H$3, 0)</f>
        <v>17</v>
      </c>
      <c r="K12" s="96">
        <f>ROUNDUP(('정치와 법'!$Q10-0.5-50)/10*'정치와 법'!$H$4+'정치와 법'!$H$3, 0)</f>
        <v>26</v>
      </c>
      <c r="L12" s="97">
        <f>ROUNDUP((사회∙문화!$Q10-0.5-50)/10*사회∙문화!$H$4+사회∙문화!$H$3, 0)</f>
        <v>31</v>
      </c>
      <c r="M12" s="28"/>
    </row>
    <row r="13" spans="2:13" ht="25" customHeight="1">
      <c r="B13" s="19"/>
      <c r="C13" s="95" t="s">
        <v>122</v>
      </c>
      <c r="D13" s="80">
        <f>ROUNDUP(('생활과 윤리'!$Q11-0.5-50)/10*'생활과 윤리'!$H$4+'생활과 윤리'!$H$3, 0)</f>
        <v>23</v>
      </c>
      <c r="E13" s="96">
        <f>ROUNDUP(('윤리와 사상'!$Q11-0.5-50)/10*'윤리와 사상'!$H$4+'윤리와 사상'!$H$3, 0)</f>
        <v>16</v>
      </c>
      <c r="F13" s="96">
        <f>ROUNDUP((한국지리!$Q11-0.5-50)/10*한국지리!$H$4+한국지리!$H$3, 0)</f>
        <v>18</v>
      </c>
      <c r="G13" s="96">
        <f>ROUNDUP((세계지리!$Q11-0.5-50)/10*세계지리!$H$4+세계지리!$H$3, 0)</f>
        <v>21</v>
      </c>
      <c r="H13" s="96">
        <f>ROUNDUP((동아시아사!$Q11-0.5-50)/10*동아시아사!$H$4+동아시아사!$H$3, 0)</f>
        <v>19</v>
      </c>
      <c r="I13" s="96">
        <f>ROUNDUP((세계사!$Q11-0.5-50)/10*세계사!$H$4+세계사!$H$3, 0)</f>
        <v>16</v>
      </c>
      <c r="J13" s="96">
        <f>ROUNDUP((경제!$Q11-0.5-50)/10*경제!$H$4+경제!$H$3, 0)</f>
        <v>13</v>
      </c>
      <c r="K13" s="96">
        <f>ROUNDUP(('정치와 법'!$Q11-0.5-50)/10*'정치와 법'!$H$4+'정치와 법'!$H$3, 0)</f>
        <v>19</v>
      </c>
      <c r="L13" s="97">
        <f>ROUNDUP((사회∙문화!$Q11-0.5-50)/10*사회∙문화!$H$4+사회∙문화!$H$3, 0)</f>
        <v>24</v>
      </c>
      <c r="M13" s="28"/>
    </row>
    <row r="14" spans="2:13" ht="25" customHeight="1">
      <c r="B14" s="19"/>
      <c r="C14" s="95" t="s">
        <v>123</v>
      </c>
      <c r="D14" s="80">
        <f>ROUNDUP(('생활과 윤리'!$Q12-0.5-50)/10*'생활과 윤리'!$H$4+'생활과 윤리'!$H$3, 0)</f>
        <v>16</v>
      </c>
      <c r="E14" s="96">
        <f>ROUNDUP(('윤리와 사상'!$Q12-0.5-50)/10*'윤리와 사상'!$H$4+'윤리와 사상'!$H$3, 0)</f>
        <v>13</v>
      </c>
      <c r="F14" s="96">
        <f>ROUNDUP((한국지리!$Q12-0.5-50)/10*한국지리!$H$4+한국지리!$H$3, 0)</f>
        <v>13</v>
      </c>
      <c r="G14" s="96">
        <f>ROUNDUP((세계지리!$Q12-0.5-50)/10*세계지리!$H$4+세계지리!$H$3, 0)</f>
        <v>13</v>
      </c>
      <c r="H14" s="96">
        <f>ROUNDUP((동아시아사!$Q12-0.5-50)/10*동아시아사!$H$4+동아시아사!$H$3, 0)</f>
        <v>12</v>
      </c>
      <c r="I14" s="96">
        <f>ROUNDUP((세계사!$Q12-0.5-50)/10*세계사!$H$4+세계사!$H$3, 0)</f>
        <v>12</v>
      </c>
      <c r="J14" s="96">
        <f>ROUNDUP((경제!$Q12-0.5-50)/10*경제!$H$4+경제!$H$3, 0)</f>
        <v>10</v>
      </c>
      <c r="K14" s="96">
        <f>ROUNDUP(('정치와 법'!$Q12-0.5-50)/10*'정치와 법'!$H$4+'정치와 법'!$H$3, 0)</f>
        <v>13</v>
      </c>
      <c r="L14" s="97">
        <f>ROUNDUP((사회∙문화!$Q12-0.5-50)/10*사회∙문화!$H$4+사회∙문화!$H$3, 0)</f>
        <v>16</v>
      </c>
      <c r="M14" s="28"/>
    </row>
    <row r="15" spans="2:13" ht="25" customHeight="1">
      <c r="B15" s="19"/>
      <c r="C15" s="95" t="s">
        <v>124</v>
      </c>
      <c r="D15" s="80">
        <f>ROUNDUP(('생활과 윤리'!$Q13-0.5-50)/10*'생활과 윤리'!$H$4+'생활과 윤리'!$H$3, 0)</f>
        <v>11</v>
      </c>
      <c r="E15" s="96">
        <f>ROUNDUP(('윤리와 사상'!$Q13-0.5-50)/10*'윤리와 사상'!$H$4+'윤리와 사상'!$H$3, 0)</f>
        <v>9</v>
      </c>
      <c r="F15" s="96">
        <f>ROUNDUP((한국지리!$Q13-0.5-50)/10*한국지리!$H$4+한국지리!$H$3, 0)</f>
        <v>9</v>
      </c>
      <c r="G15" s="96">
        <f>ROUNDUP((세계지리!$Q13-0.5-50)/10*세계지리!$H$4+세계지리!$H$3, 0)</f>
        <v>12</v>
      </c>
      <c r="H15" s="96">
        <f>ROUNDUP((동아시아사!$Q13-0.5-50)/10*동아시아사!$H$4+동아시아사!$H$3, 0)</f>
        <v>10</v>
      </c>
      <c r="I15" s="96">
        <f>ROUNDUP((세계사!$Q13-0.5-50)/10*세계사!$H$4+세계사!$H$3, 0)</f>
        <v>10</v>
      </c>
      <c r="J15" s="96">
        <f>ROUNDUP((경제!$Q13-0.5-50)/10*경제!$H$4+경제!$H$3, 0)</f>
        <v>7</v>
      </c>
      <c r="K15" s="96">
        <f>ROUNDUP(('정치와 법'!$Q13-0.5-50)/10*'정치와 법'!$H$4+'정치와 법'!$H$3, 0)</f>
        <v>9</v>
      </c>
      <c r="L15" s="97">
        <f>ROUNDUP((사회∙문화!$Q13-0.5-50)/10*사회∙문화!$H$4+사회∙문화!$H$3, 0)</f>
        <v>9</v>
      </c>
      <c r="M15" s="28"/>
    </row>
    <row r="16" spans="2:13" ht="25" customHeight="1" thickBot="1">
      <c r="B16" s="19"/>
      <c r="C16" s="98" t="s">
        <v>125</v>
      </c>
      <c r="D16" s="99">
        <f>ROUNDUP(('생활과 윤리'!$Q14-0.5-50)/10*'생활과 윤리'!$H$4+'생활과 윤리'!$H$3, 0)</f>
        <v>8</v>
      </c>
      <c r="E16" s="100">
        <f>ROUNDUP(('윤리와 사상'!$Q14-0.5-50)/10*'윤리와 사상'!$H$4+'윤리와 사상'!$H$3, 0)</f>
        <v>7</v>
      </c>
      <c r="F16" s="100">
        <f>ROUNDUP((한국지리!$Q14-0.5-50)/10*한국지리!$H$4+한국지리!$H$3, 0)</f>
        <v>8</v>
      </c>
      <c r="G16" s="100">
        <f>ROUNDUP((세계지리!$Q14-0.5-50)/10*세계지리!$H$4+세계지리!$H$3, 0)</f>
        <v>8</v>
      </c>
      <c r="H16" s="100">
        <f>ROUNDUP((동아시아사!$Q14-0.5-50)/10*동아시아사!$H$4+동아시아사!$H$3, 0)</f>
        <v>7</v>
      </c>
      <c r="I16" s="100">
        <f>ROUNDUP((세계사!$Q14-0.5-50)/10*세계사!$H$4+세계사!$H$3, 0)</f>
        <v>7</v>
      </c>
      <c r="J16" s="100">
        <f>ROUNDUP((경제!$Q14-0.5-50)/10*경제!$H$4+경제!$H$3, 0)</f>
        <v>5</v>
      </c>
      <c r="K16" s="100">
        <f>ROUNDUP(('정치와 법'!$Q14-0.5-50)/10*'정치와 법'!$H$4+'정치와 법'!$H$3, 0)</f>
        <v>8</v>
      </c>
      <c r="L16" s="101">
        <f>ROUNDUP((사회∙문화!$Q14-0.5-50)/10*사회∙문화!$H$4+사회∙문화!$H$3, 0)</f>
        <v>7</v>
      </c>
      <c r="M16" s="28"/>
    </row>
    <row r="17" spans="2:13" ht="25" customHeight="1">
      <c r="B17" s="19"/>
      <c r="C17" s="102"/>
      <c r="D17" s="102"/>
      <c r="E17" s="102"/>
      <c r="F17" s="102"/>
      <c r="G17" s="102"/>
      <c r="H17" s="102"/>
      <c r="I17" s="102"/>
      <c r="J17" s="102"/>
      <c r="K17" s="102"/>
      <c r="L17" s="103"/>
      <c r="M17" s="28"/>
    </row>
    <row r="18" spans="2:13" ht="25" customHeight="1" thickBot="1">
      <c r="B18" s="19"/>
      <c r="C18" s="102"/>
      <c r="D18" s="102"/>
      <c r="E18" s="102"/>
      <c r="F18" s="102"/>
      <c r="G18" s="102"/>
      <c r="H18" s="102"/>
      <c r="I18" s="102"/>
      <c r="J18" s="102"/>
      <c r="K18" s="102"/>
      <c r="L18" s="103"/>
      <c r="M18" s="28"/>
    </row>
    <row r="19" spans="2:13" ht="25" customHeight="1" thickBot="1">
      <c r="B19" s="19"/>
      <c r="C19" s="89" t="s">
        <v>126</v>
      </c>
      <c r="D19" s="90" t="s">
        <v>127</v>
      </c>
      <c r="E19" s="91" t="s">
        <v>128</v>
      </c>
      <c r="F19" s="91" t="s">
        <v>129</v>
      </c>
      <c r="G19" s="91" t="s">
        <v>130</v>
      </c>
      <c r="H19" s="91" t="s">
        <v>131</v>
      </c>
      <c r="I19" s="91" t="s">
        <v>132</v>
      </c>
      <c r="J19" s="91" t="s">
        <v>133</v>
      </c>
      <c r="K19" s="92" t="s">
        <v>134</v>
      </c>
      <c r="L19" s="103"/>
      <c r="M19" s="28"/>
    </row>
    <row r="20" spans="2:13" ht="25" customHeight="1">
      <c r="B20" s="19"/>
      <c r="C20" s="93" t="s">
        <v>118</v>
      </c>
      <c r="D20" s="78">
        <f>ROUNDUP((물리학Ⅰ!$Q7-0.5-50)/10*물리학Ⅰ!$H$4+물리학Ⅰ!$H$3, 0)</f>
        <v>46</v>
      </c>
      <c r="E20" s="79">
        <f>ROUNDUP((화학Ⅰ!$Q7-0.5-50)/10*화학Ⅰ!$H$4+화학Ⅰ!$H$3, 0)</f>
        <v>43</v>
      </c>
      <c r="F20" s="79">
        <f>ROUNDUP((생명과학Ⅰ!$Q7-0.5-50)/10*생명과학Ⅰ!$H$4+생명과학Ⅰ!$H$3, 0)</f>
        <v>46</v>
      </c>
      <c r="G20" s="79">
        <f>ROUNDUP((지구과학Ⅰ!$Q7-0.5-50)/10*지구과학Ⅰ!$H$4+지구과학Ⅰ!$H$3, 0)</f>
        <v>48</v>
      </c>
      <c r="H20" s="79">
        <f>ROUNDUP((물리학Ⅱ!$Q7-0.5-50)/10*물리학Ⅱ!$H$4+물리학Ⅱ!$H$3, 0)</f>
        <v>45</v>
      </c>
      <c r="I20" s="79">
        <f>ROUNDUP((화학Ⅱ!$Q7-0.5-50)/10*화학Ⅱ!$H$4+화학Ⅱ!$H$3, 0)</f>
        <v>44</v>
      </c>
      <c r="J20" s="79">
        <f>ROUNDUP((생명과학Ⅱ!$Q7-0.5-50)/10*생명과학Ⅱ!$H$4+생명과학Ⅱ!$H$3, 0)</f>
        <v>40</v>
      </c>
      <c r="K20" s="94">
        <f>ROUNDUP((지구과학Ⅱ!$Q7-0.5-50)/10*지구과학Ⅱ!$H$4+지구과학Ⅱ!$H$3, 0)</f>
        <v>39</v>
      </c>
      <c r="L20" s="103"/>
      <c r="M20" s="28"/>
    </row>
    <row r="21" spans="2:13" ht="25" customHeight="1">
      <c r="B21" s="19"/>
      <c r="C21" s="95" t="s">
        <v>119</v>
      </c>
      <c r="D21" s="80">
        <f>ROUNDUP((물리학Ⅰ!$Q8-0.5-50)/10*물리학Ⅰ!$H$4+물리학Ⅰ!$H$3, 0)</f>
        <v>41</v>
      </c>
      <c r="E21" s="96">
        <f>ROUNDUP((화학Ⅰ!$Q8-0.5-50)/10*화학Ⅰ!$H$4+화학Ⅰ!$H$3, 0)</f>
        <v>36</v>
      </c>
      <c r="F21" s="96">
        <f>ROUNDUP((생명과학Ⅰ!$Q8-0.5-50)/10*생명과학Ⅰ!$H$4+생명과학Ⅰ!$H$3, 0)</f>
        <v>43</v>
      </c>
      <c r="G21" s="96">
        <f>ROUNDUP((지구과학Ⅰ!$Q8-0.5-50)/10*지구과학Ⅰ!$H$4+지구과학Ⅰ!$H$3, 0)</f>
        <v>44</v>
      </c>
      <c r="H21" s="96">
        <f>ROUNDUP((물리학Ⅱ!$Q8-0.5-50)/10*물리학Ⅱ!$H$4+물리학Ⅱ!$H$3, 0)</f>
        <v>33</v>
      </c>
      <c r="I21" s="96">
        <f>ROUNDUP((화학Ⅱ!$Q8-0.5-50)/10*화학Ⅱ!$H$4+화학Ⅱ!$H$3, 0)</f>
        <v>36</v>
      </c>
      <c r="J21" s="96">
        <f>ROUNDUP((생명과학Ⅱ!$Q8-0.5-50)/10*생명과학Ⅱ!$H$4+생명과학Ⅱ!$H$3, 0)</f>
        <v>25</v>
      </c>
      <c r="K21" s="97">
        <f>ROUNDUP((지구과학Ⅱ!$Q8-0.5-50)/10*지구과학Ⅱ!$H$4+지구과학Ⅱ!$H$3, 0)</f>
        <v>26</v>
      </c>
      <c r="L21" s="103"/>
      <c r="M21" s="28"/>
    </row>
    <row r="22" spans="2:13" ht="25" customHeight="1">
      <c r="B22" s="19"/>
      <c r="C22" s="95" t="s">
        <v>120</v>
      </c>
      <c r="D22" s="80">
        <f>ROUNDUP((물리학Ⅰ!$Q9-0.5-50)/10*물리학Ⅰ!$H$4+물리학Ⅰ!$H$3, 0)</f>
        <v>34</v>
      </c>
      <c r="E22" s="96">
        <f>ROUNDUP((화학Ⅰ!$Q9-0.5-50)/10*화학Ⅰ!$H$4+화학Ⅰ!$H$3, 0)</f>
        <v>29</v>
      </c>
      <c r="F22" s="96">
        <f>ROUNDUP((생명과학Ⅰ!$Q9-0.5-50)/10*생명과학Ⅰ!$H$4+생명과학Ⅰ!$H$3, 0)</f>
        <v>38</v>
      </c>
      <c r="G22" s="96">
        <f>ROUNDUP((지구과학Ⅰ!$Q9-0.5-50)/10*지구과학Ⅰ!$H$4+지구과학Ⅰ!$H$3, 0)</f>
        <v>36</v>
      </c>
      <c r="H22" s="96">
        <f>ROUNDUP((물리학Ⅱ!$Q9-0.5-50)/10*물리학Ⅱ!$H$4+물리학Ⅱ!$H$3, 0)</f>
        <v>21</v>
      </c>
      <c r="I22" s="96">
        <f>ROUNDUP((화학Ⅱ!$Q9-0.5-50)/10*화학Ⅱ!$H$4+화학Ⅱ!$H$3, 0)</f>
        <v>25</v>
      </c>
      <c r="J22" s="96">
        <f>ROUNDUP((생명과학Ⅱ!$Q9-0.5-50)/10*생명과학Ⅱ!$H$4+생명과학Ⅱ!$H$3, 0)</f>
        <v>18</v>
      </c>
      <c r="K22" s="97">
        <f>ROUNDUP((지구과학Ⅱ!$Q9-0.5-50)/10*지구과학Ⅱ!$H$4+지구과학Ⅱ!$H$3, 0)</f>
        <v>18</v>
      </c>
      <c r="L22" s="103"/>
      <c r="M22" s="28"/>
    </row>
    <row r="23" spans="2:13" ht="25" customHeight="1">
      <c r="B23" s="19"/>
      <c r="C23" s="95" t="s">
        <v>121</v>
      </c>
      <c r="D23" s="80">
        <f>ROUNDUP((물리학Ⅰ!$Q10-0.5-50)/10*물리학Ⅰ!$H$4+물리학Ⅰ!$H$3, 0)</f>
        <v>24</v>
      </c>
      <c r="E23" s="96">
        <f>ROUNDUP((화학Ⅰ!$Q10-0.5-50)/10*화학Ⅰ!$H$4+화학Ⅰ!$H$3, 0)</f>
        <v>21</v>
      </c>
      <c r="F23" s="96">
        <f>ROUNDUP((생명과학Ⅰ!$Q10-0.5-50)/10*생명과학Ⅰ!$H$4+생명과학Ⅰ!$H$3, 0)</f>
        <v>32</v>
      </c>
      <c r="G23" s="96">
        <f>ROUNDUP((지구과학Ⅰ!$Q10-0.5-50)/10*지구과학Ⅰ!$H$4+지구과학Ⅰ!$H$3, 0)</f>
        <v>26</v>
      </c>
      <c r="H23" s="96">
        <f>ROUNDUP((물리학Ⅱ!$Q10-0.5-50)/10*물리학Ⅱ!$H$4+물리학Ⅱ!$H$3, 0)</f>
        <v>16</v>
      </c>
      <c r="I23" s="96">
        <f>ROUNDUP((화학Ⅱ!$Q10-0.5-50)/10*화학Ⅱ!$H$4+화학Ⅱ!$H$3, 0)</f>
        <v>18</v>
      </c>
      <c r="J23" s="96">
        <f>ROUNDUP((생명과학Ⅱ!$Q10-0.5-50)/10*생명과학Ⅱ!$H$4+생명과학Ⅱ!$H$3, 0)</f>
        <v>13</v>
      </c>
      <c r="K23" s="97">
        <f>ROUNDUP((지구과학Ⅱ!$Q10-0.5-50)/10*지구과학Ⅱ!$H$4+지구과학Ⅱ!$H$3, 0)</f>
        <v>13</v>
      </c>
      <c r="L23" s="103"/>
      <c r="M23" s="28"/>
    </row>
    <row r="24" spans="2:13" ht="25" customHeight="1">
      <c r="B24" s="19"/>
      <c r="C24" s="95" t="s">
        <v>122</v>
      </c>
      <c r="D24" s="80">
        <v>18</v>
      </c>
      <c r="E24" s="96">
        <f>ROUNDUP((화학Ⅰ!$Q11-0.5-50)/10*화학Ⅰ!$H$4+화학Ⅰ!$H$3, 0)</f>
        <v>15</v>
      </c>
      <c r="F24" s="96">
        <f>ROUNDUP((생명과학Ⅰ!$Q11-0.5-50)/10*생명과학Ⅰ!$H$4+생명과학Ⅰ!$H$3, 0)</f>
        <v>23</v>
      </c>
      <c r="G24" s="96">
        <f>ROUNDUP((지구과학Ⅰ!$Q11-0.5-50)/10*지구과학Ⅰ!$H$4+지구과학Ⅰ!$H$3, 0)</f>
        <v>17</v>
      </c>
      <c r="H24" s="96">
        <f>ROUNDUP((물리학Ⅱ!$Q11-0.5-50)/10*물리학Ⅱ!$H$4+물리학Ⅱ!$H$3, 0)</f>
        <v>12</v>
      </c>
      <c r="I24" s="96">
        <f>ROUNDUP((화학Ⅱ!$Q11-0.5-50)/10*화학Ⅱ!$H$4+화학Ⅱ!$H$3, 0)</f>
        <v>12</v>
      </c>
      <c r="J24" s="96">
        <f>ROUNDUP((생명과학Ⅱ!$Q11-0.5-50)/10*생명과학Ⅱ!$H$4+생명과학Ⅱ!$H$3, 0)</f>
        <v>10</v>
      </c>
      <c r="K24" s="97">
        <f>ROUNDUP((지구과학Ⅱ!$Q11-0.5-50)/10*지구과학Ⅱ!$H$4+지구과학Ⅱ!$H$3, 0)</f>
        <v>10</v>
      </c>
      <c r="L24" s="103"/>
      <c r="M24" s="28"/>
    </row>
    <row r="25" spans="2:13" ht="25" customHeight="1">
      <c r="B25" s="19"/>
      <c r="C25" s="95" t="s">
        <v>123</v>
      </c>
      <c r="D25" s="80">
        <f>ROUNDUP((물리학Ⅰ!$Q12-0.5-50)/10*물리학Ⅰ!$H$4+물리학Ⅰ!$H$3, 0)</f>
        <v>11</v>
      </c>
      <c r="E25" s="96">
        <f>ROUNDUP((화학Ⅰ!$Q12-0.5-50)/10*화학Ⅰ!$H$4+화학Ⅰ!$H$3, 0)</f>
        <v>12</v>
      </c>
      <c r="F25" s="96">
        <f>ROUNDUP((생명과학Ⅰ!$Q12-0.5-50)/10*생명과학Ⅰ!$H$4+생명과학Ⅰ!$H$3, 0)</f>
        <v>18</v>
      </c>
      <c r="G25" s="96">
        <f>ROUNDUP((지구과학Ⅰ!$Q12-0.5-50)/10*지구과학Ⅰ!$H$4+지구과학Ⅰ!$H$3, 0)</f>
        <v>11</v>
      </c>
      <c r="H25" s="96">
        <f>ROUNDUP((물리학Ⅱ!$Q12-0.5-50)/10*물리학Ⅱ!$H$4+물리학Ⅱ!$H$3, 0)</f>
        <v>9</v>
      </c>
      <c r="I25" s="96">
        <f>ROUNDUP((화학Ⅱ!$Q12-0.5-50)/10*화학Ⅱ!$H$4+화학Ⅱ!$H$3, 0)</f>
        <v>9</v>
      </c>
      <c r="J25" s="96">
        <f>ROUNDUP((생명과학Ⅱ!$Q12-0.5-50)/10*생명과학Ⅱ!$H$4+생명과학Ⅱ!$H$3, 0)</f>
        <v>8</v>
      </c>
      <c r="K25" s="97">
        <f>ROUNDUP((지구과학Ⅱ!$Q12-0.5-50)/10*지구과학Ⅱ!$H$4+지구과학Ⅱ!$H$3, 0)</f>
        <v>8</v>
      </c>
      <c r="L25" s="103"/>
      <c r="M25" s="28"/>
    </row>
    <row r="26" spans="2:13" ht="25" customHeight="1">
      <c r="B26" s="19"/>
      <c r="C26" s="95" t="s">
        <v>124</v>
      </c>
      <c r="D26" s="80">
        <f>ROUNDUP((물리학Ⅰ!$Q13-0.5-50)/10*물리학Ⅰ!$H$4+물리학Ⅰ!$H$3, 0)</f>
        <v>10</v>
      </c>
      <c r="E26" s="96">
        <f>ROUNDUP((화학Ⅰ!$Q13-0.5-50)/10*화학Ⅰ!$H$4+화학Ⅰ!$H$3, 0)</f>
        <v>10</v>
      </c>
      <c r="F26" s="96">
        <f>ROUNDUP((생명과학Ⅰ!$Q13-0.5-50)/10*생명과학Ⅰ!$H$4+생명과학Ⅰ!$H$3, 0)</f>
        <v>13</v>
      </c>
      <c r="G26" s="96">
        <f>ROUNDUP((지구과학Ⅰ!$Q13-0.5-50)/10*지구과학Ⅰ!$H$4+지구과학Ⅰ!$H$3, 0)</f>
        <v>9</v>
      </c>
      <c r="H26" s="96">
        <f>ROUNDUP((물리학Ⅱ!$Q13-0.5-50)/10*물리학Ⅱ!$H$4+물리학Ⅱ!$H$3, 0)</f>
        <v>7</v>
      </c>
      <c r="I26" s="96">
        <f>ROUNDUP((화학Ⅱ!$Q13-0.5-50)/10*화학Ⅱ!$H$4+화학Ⅱ!$H$3, 0)</f>
        <v>8</v>
      </c>
      <c r="J26" s="96">
        <f>ROUNDUP((생명과학Ⅱ!$Q13-0.5-50)/10*생명과학Ⅱ!$H$4+생명과학Ⅱ!$H$3, 0)</f>
        <v>5</v>
      </c>
      <c r="K26" s="97">
        <f>ROUNDUP((지구과학Ⅱ!$Q13-0.5-50)/10*지구과학Ⅱ!$H$4+지구과학Ⅱ!$H$3, 0)</f>
        <v>6</v>
      </c>
      <c r="L26" s="103"/>
      <c r="M26" s="28"/>
    </row>
    <row r="27" spans="2:13" ht="25" customHeight="1" thickBot="1">
      <c r="B27" s="19"/>
      <c r="C27" s="98" t="s">
        <v>125</v>
      </c>
      <c r="D27" s="99">
        <f>ROUNDUP((물리학Ⅰ!$Q14-0.5-50)/10*물리학Ⅰ!$H$4+물리학Ⅰ!$H$3, 0)</f>
        <v>7</v>
      </c>
      <c r="E27" s="100">
        <f>ROUNDUP((화학Ⅰ!$Q14-0.5-50)/10*화학Ⅰ!$H$4+화학Ⅰ!$H$3, 0)</f>
        <v>7</v>
      </c>
      <c r="F27" s="100">
        <f>ROUNDUP((생명과학Ⅰ!$Q14-0.5-50)/10*생명과학Ⅰ!$H$4+생명과학Ⅰ!$H$3, 0)</f>
        <v>9</v>
      </c>
      <c r="G27" s="100">
        <f>ROUNDUP((지구과학Ⅰ!$Q14-0.5-50)/10*지구과학Ⅰ!$H$4+지구과학Ⅰ!$H$3, 0)</f>
        <v>6</v>
      </c>
      <c r="H27" s="100">
        <f>ROUNDUP((물리학Ⅱ!$Q14-0.5-50)/10*물리학Ⅱ!$H$4+물리학Ⅱ!$H$3, 0)</f>
        <v>5</v>
      </c>
      <c r="I27" s="100">
        <f>ROUNDUP((화학Ⅱ!$Q14-0.5-50)/10*화학Ⅱ!$H$4+화학Ⅱ!$H$3, 0)</f>
        <v>4</v>
      </c>
      <c r="J27" s="100">
        <f>ROUNDUP((생명과학Ⅱ!$Q14-0.5-50)/10*생명과학Ⅱ!$H$4+생명과학Ⅱ!$H$3, 0)</f>
        <v>3</v>
      </c>
      <c r="K27" s="101">
        <f>ROUNDUP((지구과학Ⅱ!$Q14-0.5-50)/10*지구과학Ⅱ!$H$4+지구과학Ⅱ!$H$3, 0)</f>
        <v>4</v>
      </c>
      <c r="L27" s="103"/>
      <c r="M27" s="28"/>
    </row>
    <row r="28" spans="2:13" ht="6" customHeight="1">
      <c r="B28" s="22"/>
      <c r="C28" s="30"/>
      <c r="D28" s="31"/>
      <c r="E28" s="31"/>
      <c r="F28" s="31"/>
      <c r="G28" s="31"/>
      <c r="H28" s="31"/>
      <c r="I28" s="31"/>
      <c r="J28" s="31"/>
      <c r="K28" s="31"/>
      <c r="L28" s="23"/>
      <c r="M28" s="24"/>
    </row>
    <row r="29" spans="2:13">
      <c r="B29" s="4"/>
      <c r="C29" s="10"/>
      <c r="D29" s="5"/>
      <c r="E29" s="5"/>
      <c r="F29" s="5"/>
      <c r="G29" s="5"/>
      <c r="H29" s="5"/>
      <c r="I29" s="5"/>
      <c r="J29" s="5"/>
      <c r="K29" s="5"/>
      <c r="L29" s="4"/>
      <c r="M29" s="4"/>
    </row>
    <row r="30" spans="2:13" s="4" customFormat="1">
      <c r="C30" s="10"/>
      <c r="D30" s="5"/>
      <c r="E30" s="5"/>
      <c r="F30" s="5"/>
      <c r="G30" s="5"/>
      <c r="H30" s="5"/>
      <c r="I30" s="5"/>
      <c r="J30" s="5"/>
      <c r="K30" s="5"/>
    </row>
    <row r="31" spans="2:13" s="4" customFormat="1">
      <c r="C31" s="10"/>
      <c r="D31" s="5"/>
      <c r="E31" s="5"/>
      <c r="F31" s="5"/>
      <c r="G31" s="5"/>
      <c r="H31" s="5"/>
      <c r="I31" s="5"/>
      <c r="J31" s="5"/>
      <c r="K31" s="5"/>
    </row>
    <row r="32" spans="2:13" s="4" customFormat="1">
      <c r="C32" s="10"/>
      <c r="D32" s="5"/>
      <c r="E32" s="5"/>
      <c r="F32" s="5"/>
      <c r="G32" s="5"/>
      <c r="H32" s="5"/>
      <c r="I32" s="5"/>
      <c r="J32" s="5"/>
      <c r="K32" s="5"/>
    </row>
    <row r="33" spans="3:11" s="4" customFormat="1">
      <c r="C33" s="10"/>
      <c r="D33" s="5"/>
      <c r="E33" s="5"/>
      <c r="F33" s="5"/>
      <c r="G33" s="5"/>
      <c r="H33" s="5"/>
      <c r="I33" s="5"/>
      <c r="J33" s="5"/>
      <c r="K33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통계 및 응시자 수 입력 기능</vt:lpstr>
      <vt:lpstr>인원 입력 기능 (사과탐)</vt:lpstr>
      <vt:lpstr>표준점수 등급컷 입력기능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123</cp:lastModifiedBy>
  <dcterms:created xsi:type="dcterms:W3CDTF">2018-04-21T04:34:05Z</dcterms:created>
  <dcterms:modified xsi:type="dcterms:W3CDTF">2025-05-22T01:14:05Z</dcterms:modified>
</cp:coreProperties>
</file>